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★作業中★\試薬管理システム\運用\記録\"/>
    </mc:Choice>
  </mc:AlternateContent>
  <bookViews>
    <workbookView xWindow="480" yWindow="165" windowWidth="18315" windowHeight="11610"/>
  </bookViews>
  <sheets>
    <sheet name="入力画面" sheetId="3" r:id="rId1"/>
    <sheet name="重量記録原紙" sheetId="4" r:id="rId2"/>
    <sheet name="瓶の記録" sheetId="5" r:id="rId3"/>
    <sheet name="バーコードラベル" sheetId="6" r:id="rId4"/>
  </sheets>
  <definedNames>
    <definedName name="記録">#REF!</definedName>
  </definedNames>
  <calcPr calcId="152511"/>
</workbook>
</file>

<file path=xl/calcChain.xml><?xml version="1.0" encoding="utf-8"?>
<calcChain xmlns="http://schemas.openxmlformats.org/spreadsheetml/2006/main">
  <c r="F29" i="3" l="1"/>
  <c r="A3" i="6" s="1"/>
  <c r="A20" i="3"/>
  <c r="A1" i="6" l="1"/>
  <c r="C2" i="5"/>
  <c r="B2" i="5"/>
  <c r="D2" i="5" s="1"/>
  <c r="H7" i="4"/>
  <c r="H6" i="4"/>
  <c r="H4" i="4"/>
  <c r="C5" i="4"/>
  <c r="C4" i="4"/>
  <c r="C2" i="4"/>
  <c r="F20" i="3"/>
  <c r="L2" i="3" l="1"/>
</calcChain>
</file>

<file path=xl/sharedStrings.xml><?xml version="1.0" encoding="utf-8"?>
<sst xmlns="http://schemas.openxmlformats.org/spreadsheetml/2006/main" count="170" uniqueCount="168">
  <si>
    <t>試薬名</t>
  </si>
  <si>
    <t>法令に基づく分類</t>
  </si>
  <si>
    <t>毒劇物取締法</t>
  </si>
  <si>
    <r>
      <t>消防法</t>
    </r>
    <r>
      <rPr>
        <sz val="10.5"/>
        <color theme="1"/>
        <rFont val="Century"/>
        <family val="1"/>
      </rPr>
      <t xml:space="preserve"> </t>
    </r>
    <r>
      <rPr>
        <sz val="10.5"/>
        <color theme="1"/>
        <rFont val="ＭＳ 明朝"/>
        <family val="1"/>
        <charset val="128"/>
      </rPr>
      <t>危険物</t>
    </r>
  </si>
  <si>
    <t>グレード</t>
  </si>
  <si>
    <t>形　　態</t>
  </si>
  <si>
    <t>性　　状</t>
  </si>
  <si>
    <t>保管場所</t>
  </si>
  <si>
    <t>作業</t>
    <rPh sb="0" eb="2">
      <t>サギョウ</t>
    </rPh>
    <phoneticPr fontId="5"/>
  </si>
  <si>
    <t>メーカー</t>
    <phoneticPr fontId="5"/>
  </si>
  <si>
    <t>グレード</t>
    <phoneticPr fontId="5"/>
  </si>
  <si>
    <t>容量</t>
    <rPh sb="0" eb="2">
      <t>ヨウリョウ</t>
    </rPh>
    <phoneticPr fontId="5"/>
  </si>
  <si>
    <t>CAT No.</t>
    <phoneticPr fontId="5"/>
  </si>
  <si>
    <t>分類</t>
    <rPh sb="0" eb="2">
      <t>ブンルイ</t>
    </rPh>
    <phoneticPr fontId="5"/>
  </si>
  <si>
    <t>性状</t>
    <rPh sb="0" eb="2">
      <t>セイジョウ</t>
    </rPh>
    <phoneticPr fontId="5"/>
  </si>
  <si>
    <t>保管場所1</t>
    <rPh sb="0" eb="2">
      <t>ホカン</t>
    </rPh>
    <rPh sb="2" eb="4">
      <t>バショ</t>
    </rPh>
    <phoneticPr fontId="5"/>
  </si>
  <si>
    <t>保管場所2</t>
    <rPh sb="0" eb="2">
      <t>ホカン</t>
    </rPh>
    <rPh sb="2" eb="4">
      <t>バショ</t>
    </rPh>
    <phoneticPr fontId="5"/>
  </si>
  <si>
    <t>試薬名</t>
    <rPh sb="0" eb="2">
      <t>シヤク</t>
    </rPh>
    <rPh sb="2" eb="3">
      <t>メイ</t>
    </rPh>
    <phoneticPr fontId="5"/>
  </si>
  <si>
    <t>作業者名</t>
    <rPh sb="0" eb="3">
      <t>サギョウシャ</t>
    </rPh>
    <rPh sb="3" eb="4">
      <t>メイ</t>
    </rPh>
    <phoneticPr fontId="5"/>
  </si>
  <si>
    <t>A1</t>
    <phoneticPr fontId="5"/>
  </si>
  <si>
    <t>A3</t>
    <phoneticPr fontId="5"/>
  </si>
  <si>
    <t>I3</t>
    <phoneticPr fontId="5"/>
  </si>
  <si>
    <t>瓶番号</t>
    <rPh sb="0" eb="1">
      <t>ビン</t>
    </rPh>
    <rPh sb="1" eb="3">
      <t>バンゴウ</t>
    </rPh>
    <phoneticPr fontId="5"/>
  </si>
  <si>
    <t>A4</t>
    <phoneticPr fontId="5"/>
  </si>
  <si>
    <t>確認コード</t>
    <rPh sb="0" eb="2">
      <t>カクニン</t>
    </rPh>
    <phoneticPr fontId="5"/>
  </si>
  <si>
    <t>最終行</t>
    <rPh sb="0" eb="3">
      <t>サイシュウギョウ</t>
    </rPh>
    <phoneticPr fontId="5"/>
  </si>
  <si>
    <t>最終確認</t>
    <rPh sb="0" eb="2">
      <t>サイシュウ</t>
    </rPh>
    <rPh sb="2" eb="4">
      <t>カクニン</t>
    </rPh>
    <phoneticPr fontId="5"/>
  </si>
  <si>
    <t>保存確認</t>
    <rPh sb="0" eb="2">
      <t>ホゾン</t>
    </rPh>
    <rPh sb="2" eb="4">
      <t>カクニン</t>
    </rPh>
    <phoneticPr fontId="5"/>
  </si>
  <si>
    <t>パス</t>
    <phoneticPr fontId="5"/>
  </si>
  <si>
    <t>バーコード</t>
    <phoneticPr fontId="5"/>
  </si>
  <si>
    <r>
      <t>毒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物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等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出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入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庫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記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録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表</t>
    </r>
    <rPh sb="0" eb="1">
      <t>ドク</t>
    </rPh>
    <phoneticPr fontId="5"/>
  </si>
  <si>
    <t>液　　体</t>
  </si>
  <si>
    <t>記入方法</t>
  </si>
  <si>
    <t>（出入の都度記入）</t>
  </si>
  <si>
    <t>日付</t>
    <rPh sb="0" eb="2">
      <t>ヒヅケ</t>
    </rPh>
    <phoneticPr fontId="5"/>
  </si>
  <si>
    <t>記録者</t>
    <rPh sb="0" eb="3">
      <t>キロクシャ</t>
    </rPh>
    <phoneticPr fontId="5"/>
  </si>
  <si>
    <t>作業前重量</t>
    <rPh sb="0" eb="2">
      <t>サギョウ</t>
    </rPh>
    <rPh sb="2" eb="3">
      <t>マエ</t>
    </rPh>
    <rPh sb="3" eb="5">
      <t>ジュウリョウ</t>
    </rPh>
    <phoneticPr fontId="5"/>
  </si>
  <si>
    <t>作業後重量</t>
    <rPh sb="0" eb="2">
      <t>サギョウ</t>
    </rPh>
    <rPh sb="2" eb="3">
      <t>ゴ</t>
    </rPh>
    <rPh sb="3" eb="5">
      <t>ジュウリョウ</t>
    </rPh>
    <phoneticPr fontId="5"/>
  </si>
  <si>
    <t>使用量</t>
    <phoneticPr fontId="5"/>
  </si>
  <si>
    <t>管理者確認</t>
  </si>
  <si>
    <t>（１回／月）</t>
  </si>
  <si>
    <r>
      <t>透明　</t>
    </r>
    <r>
      <rPr>
        <b/>
        <sz val="9"/>
        <color theme="1"/>
        <rFont val="Century"/>
        <family val="1"/>
      </rPr>
      <t>1</t>
    </r>
  </si>
  <si>
    <t>毒物管理記録</t>
    <rPh sb="0" eb="2">
      <t>ドクブツ</t>
    </rPh>
    <phoneticPr fontId="5"/>
  </si>
  <si>
    <t>前回重量</t>
    <rPh sb="0" eb="2">
      <t>ゼンカイ</t>
    </rPh>
    <rPh sb="2" eb="4">
      <t>ジュウリョウ</t>
    </rPh>
    <phoneticPr fontId="5"/>
  </si>
  <si>
    <t>ID</t>
    <phoneticPr fontId="5"/>
  </si>
  <si>
    <t>入荷日</t>
    <rPh sb="0" eb="2">
      <t>ニュウカ</t>
    </rPh>
    <rPh sb="2" eb="3">
      <t>ビ</t>
    </rPh>
    <phoneticPr fontId="5"/>
  </si>
  <si>
    <t>廃棄日</t>
    <rPh sb="0" eb="2">
      <t>ハイキ</t>
    </rPh>
    <rPh sb="2" eb="3">
      <t>ビ</t>
    </rPh>
    <phoneticPr fontId="5"/>
  </si>
  <si>
    <t>03</t>
    <phoneticPr fontId="5"/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</si>
  <si>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</si>
  <si>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</si>
  <si>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</si>
  <si>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</si>
  <si>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</si>
  <si>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</si>
  <si>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</si>
  <si>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</si>
  <si>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</si>
  <si>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</si>
  <si>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</si>
  <si>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</si>
  <si>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</si>
  <si>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</si>
  <si>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</si>
  <si>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</si>
  <si>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</si>
  <si>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</si>
  <si>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</si>
  <si>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</si>
  <si>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</si>
  <si>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</si>
  <si>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</si>
  <si>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</si>
  <si>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</si>
  <si>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</si>
  <si>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</si>
  <si>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</si>
  <si>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</si>
  <si>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</si>
  <si>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</si>
  <si>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</si>
  <si>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</si>
  <si>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</si>
  <si>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</si>
  <si>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</si>
  <si>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</si>
  <si>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</si>
  <si>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</si>
  <si>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</si>
  <si>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</si>
  <si>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</si>
  <si>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</si>
  <si>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</si>
  <si>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</si>
  <si>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</si>
  <si>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</si>
  <si>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</si>
  <si>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</si>
  <si>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</si>
  <si>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</si>
  <si>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</si>
  <si>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</si>
  <si>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</si>
  <si>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</si>
  <si>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</si>
  <si>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</si>
  <si>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</si>
  <si>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</si>
  <si>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</si>
  <si>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</si>
  <si>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</si>
  <si>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</si>
  <si>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</si>
  <si>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</si>
  <si>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</si>
  <si>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</si>
  <si>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</si>
  <si>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</si>
  <si>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</si>
  <si>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</si>
  <si>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</si>
  <si>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</si>
  <si>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</si>
  <si>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</si>
  <si>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</si>
  <si>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</si>
  <si>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</si>
  <si>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</si>
  <si>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</si>
  <si>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</si>
  <si>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</si>
  <si>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</si>
  <si>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</si>
  <si>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</si>
  <si>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</si>
  <si>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</si>
  <si>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</si>
  <si>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</si>
  <si>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</si>
  <si>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</si>
  <si>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</si>
  <si>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</si>
  <si>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</si>
  <si>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</si>
  <si>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</si>
  <si>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</si>
  <si>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01</t>
    <phoneticPr fontId="5"/>
  </si>
  <si>
    <t>02</t>
    <phoneticPr fontId="5"/>
  </si>
  <si>
    <t>瓶番号</t>
    <rPh sb="0" eb="1">
      <t>ビン</t>
    </rPh>
    <rPh sb="1" eb="3">
      <t>バンゴウ</t>
    </rPh>
    <phoneticPr fontId="5"/>
  </si>
  <si>
    <t>瓶番号発行確認</t>
    <rPh sb="0" eb="1">
      <t>ビン</t>
    </rPh>
    <rPh sb="1" eb="3">
      <t>バンゴウ</t>
    </rPh>
    <rPh sb="3" eb="5">
      <t>ハッコウ</t>
    </rPh>
    <rPh sb="5" eb="7">
      <t>カクニン</t>
    </rPh>
    <phoneticPr fontId="5"/>
  </si>
  <si>
    <t>水上化学</t>
    <phoneticPr fontId="5"/>
  </si>
  <si>
    <t>いちころ</t>
    <phoneticPr fontId="5"/>
  </si>
  <si>
    <t>いっぱつ</t>
    <phoneticPr fontId="5"/>
  </si>
  <si>
    <t>25g</t>
    <phoneticPr fontId="5"/>
  </si>
  <si>
    <t>YM249</t>
    <phoneticPr fontId="5"/>
  </si>
  <si>
    <t>毒物</t>
    <phoneticPr fontId="5"/>
  </si>
  <si>
    <t>粉末</t>
    <phoneticPr fontId="5"/>
  </si>
  <si>
    <t>技術本部_東_２F</t>
    <phoneticPr fontId="5"/>
  </si>
  <si>
    <t>毒物格納庫</t>
    <phoneticPr fontId="5"/>
  </si>
  <si>
    <t>Z:\★作業中★\試薬管理システム\記録</t>
    <phoneticPr fontId="5"/>
  </si>
  <si>
    <t>使用</t>
  </si>
  <si>
    <t>購入</t>
  </si>
  <si>
    <t>管理</t>
  </si>
  <si>
    <t>登録</t>
  </si>
  <si>
    <t/>
  </si>
  <si>
    <t>END</t>
    <phoneticPr fontId="5"/>
  </si>
  <si>
    <t>この記録用紙を保存する場合は『１』を、破棄する場合は『９』を入力してください</t>
  </si>
  <si>
    <t>END</t>
    <phoneticPr fontId="5"/>
  </si>
  <si>
    <t>*END*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</si>
</sst>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ＭＳ Ｐゴシック"/>
      <family val="2"/>
      <charset val="128"/>
      <scheme val="minor"/>
    </font>
    <font>
      <sz val="10.5"/>
      <color theme="1"/>
      <name val="Century"/>
      <family val="1"/>
    </font>
    <font>
      <b/>
      <sz val="12"/>
      <color theme="1"/>
      <name val="ＭＳ ゴシック"/>
      <family val="3"/>
      <charset val="128"/>
    </font>
    <font>
      <b/>
      <sz val="12"/>
      <color theme="1"/>
      <name val="Century"/>
      <family val="1"/>
    </font>
    <font>
      <sz val="10.5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sz val="10.5"/>
      <color theme="1"/>
      <name val="ＭＳ Ｐ明朝"/>
      <family val="1"/>
      <charset val="128"/>
    </font>
    <font>
      <sz val="24"/>
      <color theme="1"/>
      <name val="ＭＳ Ｐゴシック"/>
      <family val="2"/>
      <charset val="128"/>
      <scheme val="minor"/>
    </font>
    <font>
      <sz val="24"/>
      <color rgb="FFFFFF00"/>
      <name val="ＭＳ Ｐゴシック"/>
      <family val="2"/>
      <charset val="128"/>
      <scheme val="minor"/>
    </font>
    <font>
      <sz val="26"/>
      <color theme="1"/>
      <name val="ＭＳ Ｐゴシック"/>
      <family val="2"/>
      <charset val="128"/>
      <scheme val="minor"/>
    </font>
    <font>
      <sz val="24"/>
      <color theme="3" tint="-0.249977111117893"/>
      <name val="ＭＳ Ｐゴシック"/>
      <family val="2"/>
      <charset val="128"/>
      <scheme val="minor"/>
    </font>
    <font>
      <sz val="24"/>
      <color rgb="FF7030A0"/>
      <name val="ＭＳ Ｐゴシック"/>
      <family val="2"/>
      <charset val="128"/>
      <scheme val="minor"/>
    </font>
    <font>
      <sz val="24"/>
      <color rgb="FF7030A0"/>
      <name val="ＭＳ Ｐゴシック"/>
      <family val="3"/>
      <charset val="128"/>
      <scheme val="minor"/>
    </font>
    <font>
      <sz val="24"/>
      <color theme="8" tint="-0.249977111117893"/>
      <name val="ＭＳ Ｐゴシック"/>
      <family val="2"/>
      <charset val="128"/>
      <scheme val="minor"/>
    </font>
    <font>
      <sz val="24"/>
      <color theme="8" tint="-0.249977111117893"/>
      <name val="ＭＳ Ｐゴシック"/>
      <family val="3"/>
      <charset val="128"/>
      <scheme val="minor"/>
    </font>
    <font>
      <sz val="10"/>
      <color theme="1"/>
      <name val="Century"/>
      <family val="1"/>
    </font>
    <font>
      <b/>
      <sz val="9"/>
      <color theme="1"/>
      <name val="ＭＳ ゴシック"/>
      <family val="3"/>
      <charset val="128"/>
    </font>
    <font>
      <b/>
      <sz val="9"/>
      <color theme="1"/>
      <name val="Century"/>
      <family val="1"/>
    </font>
    <font>
      <sz val="36"/>
      <color rgb="FFFF0000"/>
      <name val="HGS創英角ｺﾞｼｯｸUB"/>
      <family val="3"/>
      <charset val="128"/>
    </font>
    <font>
      <sz val="24"/>
      <color theme="6" tint="0.59999389629810485"/>
      <name val="ＭＳ Ｐゴシック"/>
      <family val="2"/>
      <charset val="128"/>
      <scheme val="minor"/>
    </font>
    <font>
      <sz val="24"/>
      <color rgb="FF00B050"/>
      <name val="ＭＳ Ｐゴシック"/>
      <family val="2"/>
      <charset val="128"/>
      <scheme val="minor"/>
    </font>
    <font>
      <sz val="26"/>
      <color indexed="10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24"/>
      <color theme="9" tint="0.39997558519241921"/>
      <name val="ＭＳ Ｐゴシック"/>
      <family val="2"/>
      <charset val="128"/>
      <scheme val="minor"/>
    </font>
    <font>
      <sz val="11"/>
      <color rgb="FFA6A6A6"/>
      <name val="ＭＳ Ｐゴシック"/>
      <family val="2"/>
      <charset val="128"/>
      <scheme val="minor"/>
    </font>
    <font>
      <sz val="11"/>
      <color rgb="FFA6A6A6"/>
      <name val="ＭＳ Ｐゴシック"/>
      <family val="3"/>
      <charset val="128"/>
      <scheme val="minor"/>
    </font>
    <font>
      <sz val="28"/>
      <color theme="1"/>
      <name val="ＭＳ Ｐゴシック"/>
      <family val="2"/>
      <charset val="128"/>
      <scheme val="minor"/>
    </font>
    <font>
      <sz val="20"/>
      <color theme="1"/>
      <name val="CODE39"/>
      <family val="2"/>
    </font>
    <font>
      <sz val="36"/>
      <color theme="1"/>
      <name val="CODE39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 diagonalUp="1"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 style="thin">
        <color indexed="64"/>
      </diagonal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2" borderId="0" xfId="0" applyFill="1">
      <alignment vertical="center"/>
    </xf>
    <xf numFmtId="49" fontId="13" fillId="2" borderId="0" xfId="0" applyNumberFormat="1" applyFont="1" applyFill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4" fillId="0" borderId="2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4" fillId="0" borderId="17" xfId="0" applyFont="1" applyBorder="1" applyAlignment="1">
      <alignment horizontal="center" vertical="center" wrapText="1"/>
    </xf>
    <xf numFmtId="0" fontId="1" fillId="0" borderId="22" xfId="0" applyFont="1" applyBorder="1" applyAlignment="1">
      <alignment vertical="center" wrapText="1"/>
    </xf>
    <xf numFmtId="0" fontId="1" fillId="0" borderId="25" xfId="0" applyFont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horizontal="right" vertical="center"/>
    </xf>
    <xf numFmtId="0" fontId="3" fillId="0" borderId="0" xfId="0" applyFont="1" applyAlignment="1">
      <alignment horizontal="justify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49" fontId="23" fillId="0" borderId="0" xfId="0" applyNumberFormat="1" applyFont="1">
      <alignment vertical="center"/>
    </xf>
    <xf numFmtId="0" fontId="23" fillId="0" borderId="0" xfId="0" applyNumberFormat="1" applyFont="1">
      <alignment vertical="center"/>
    </xf>
    <xf numFmtId="0" fontId="1" fillId="0" borderId="26" xfId="0" applyFont="1" applyBorder="1" applyAlignment="1">
      <alignment vertical="center" wrapText="1"/>
    </xf>
    <xf numFmtId="49" fontId="25" fillId="2" borderId="0" xfId="0" applyNumberFormat="1" applyFont="1" applyFill="1">
      <alignment vertical="center"/>
    </xf>
    <xf numFmtId="0" fontId="26" fillId="2" borderId="0" xfId="0" applyFont="1" applyFill="1">
      <alignment vertical="center"/>
    </xf>
    <xf numFmtId="49" fontId="26" fillId="2" borderId="0" xfId="0" quotePrefix="1" applyNumberFormat="1" applyFont="1" applyFill="1">
      <alignment vertical="center"/>
    </xf>
    <xf numFmtId="0" fontId="26" fillId="2" borderId="0" xfId="0" applyNumberFormat="1" applyFont="1" applyFill="1">
      <alignment vertical="center"/>
    </xf>
    <xf numFmtId="0" fontId="28" fillId="0" borderId="0" xfId="0" applyFont="1">
      <alignment vertical="center"/>
    </xf>
    <xf numFmtId="0" fontId="7" fillId="2" borderId="0" xfId="0" applyFont="1" applyFill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4" fillId="2" borderId="0" xfId="0" applyNumberFormat="1" applyFont="1" applyFill="1" applyAlignment="1">
      <alignment horizontal="center" vertical="center"/>
    </xf>
    <xf numFmtId="0" fontId="7" fillId="2" borderId="0" xfId="0" applyFont="1" applyFill="1">
      <alignment vertical="center"/>
    </xf>
    <xf numFmtId="0" fontId="27" fillId="2" borderId="0" xfId="0" applyFont="1" applyFill="1">
      <alignment vertical="center"/>
    </xf>
    <xf numFmtId="49" fontId="10" fillId="2" borderId="0" xfId="0" applyNumberFormat="1" applyFont="1" applyFill="1" applyAlignment="1">
      <alignment horizontal="center" vertical="center"/>
    </xf>
    <xf numFmtId="49" fontId="13" fillId="2" borderId="0" xfId="0" applyNumberFormat="1" applyFont="1" applyFill="1">
      <alignment vertical="center"/>
    </xf>
    <xf numFmtId="49" fontId="14" fillId="2" borderId="0" xfId="0" applyNumberFormat="1" applyFont="1" applyFill="1">
      <alignment vertical="center"/>
    </xf>
    <xf numFmtId="49" fontId="13" fillId="2" borderId="0" xfId="0" applyNumberFormat="1" applyFont="1" applyFill="1" applyAlignment="1">
      <alignment vertical="center" shrinkToFit="1"/>
    </xf>
    <xf numFmtId="49" fontId="14" fillId="2" borderId="0" xfId="0" applyNumberFormat="1" applyFont="1" applyFill="1" applyAlignment="1">
      <alignment vertical="center" shrinkToFit="1"/>
    </xf>
    <xf numFmtId="0" fontId="18" fillId="2" borderId="0" xfId="0" applyFont="1" applyFill="1" applyAlignment="1">
      <alignment horizontal="distributed" vertical="center" justifyLastLine="1"/>
    </xf>
    <xf numFmtId="0" fontId="20" fillId="3" borderId="0" xfId="0" applyFont="1" applyFill="1" applyAlignment="1">
      <alignment horizontal="center" vertical="center"/>
    </xf>
    <xf numFmtId="0" fontId="13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 shrinkToFit="1"/>
    </xf>
    <xf numFmtId="0" fontId="21" fillId="2" borderId="0" xfId="0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0" fontId="19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 shrinkToFi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justify" vertical="center" wrapText="1"/>
    </xf>
    <xf numFmtId="0" fontId="4" fillId="0" borderId="4" xfId="0" applyFont="1" applyBorder="1" applyAlignment="1">
      <alignment horizontal="justify" vertical="center" wrapText="1"/>
    </xf>
    <xf numFmtId="0" fontId="4" fillId="0" borderId="11" xfId="0" applyFont="1" applyBorder="1" applyAlignment="1">
      <alignment horizontal="justify" vertical="center" wrapText="1"/>
    </xf>
    <xf numFmtId="0" fontId="2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0" fontId="4" fillId="0" borderId="4" xfId="0" applyNumberFormat="1" applyFont="1" applyBorder="1" applyAlignment="1">
      <alignment horizontal="center" vertical="center" wrapText="1"/>
    </xf>
    <xf numFmtId="0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0" fontId="1" fillId="0" borderId="4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49" fontId="4" fillId="0" borderId="12" xfId="0" applyNumberFormat="1" applyFont="1" applyBorder="1" applyAlignment="1">
      <alignment horizontal="center" vertical="center" wrapText="1"/>
    </xf>
    <xf numFmtId="0" fontId="4" fillId="0" borderId="13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0" fontId="4" fillId="0" borderId="14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justify" vertical="center" wrapText="1"/>
    </xf>
    <xf numFmtId="0" fontId="4" fillId="0" borderId="9" xfId="0" applyFont="1" applyBorder="1" applyAlignment="1">
      <alignment horizontal="justify" vertical="center" wrapText="1"/>
    </xf>
    <xf numFmtId="0" fontId="4" fillId="0" borderId="14" xfId="0" applyFont="1" applyBorder="1" applyAlignment="1">
      <alignment horizontal="justify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14" fontId="1" fillId="0" borderId="18" xfId="0" applyNumberFormat="1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29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1"/>
  <sheetViews>
    <sheetView tabSelected="1" workbookViewId="0"/>
  </sheetViews>
  <sheetFormatPr defaultRowHeight="13.5" x14ac:dyDescent="0.15"/>
  <cols>
    <col min="1" max="3" width="1.875" style="22" customWidth="1"/>
    <col min="4" max="16" width="9.75" style="1" customWidth="1"/>
    <col min="17" max="16384" width="9" style="1"/>
  </cols>
  <sheetData>
    <row r="1" spans="1:17" x14ac:dyDescent="0.15">
      <c r="A1" s="21">
        <v>0</v>
      </c>
      <c r="B1" s="22" t="s">
        <v>8</v>
      </c>
      <c r="C1" s="22" t="s">
        <v>19</v>
      </c>
    </row>
    <row r="2" spans="1:17" ht="13.5" customHeight="1" x14ac:dyDescent="0.15">
      <c r="A2" s="21" t="s">
        <v>163</v>
      </c>
      <c r="B2" s="22" t="s">
        <v>18</v>
      </c>
      <c r="C2" s="22" t="s">
        <v>21</v>
      </c>
      <c r="D2" s="36" t="s">
        <v>42</v>
      </c>
      <c r="E2" s="36"/>
      <c r="F2" s="36"/>
      <c r="G2" s="36"/>
      <c r="H2" s="36"/>
      <c r="I2" s="36"/>
      <c r="J2" s="36"/>
      <c r="K2" s="36"/>
      <c r="L2" s="31" t="str">
        <f>A2</f>
        <v/>
      </c>
      <c r="M2" s="31"/>
      <c r="N2" s="90" t="s">
        <v>166</v>
      </c>
      <c r="O2" s="91" t="s">
        <v>167</v>
      </c>
      <c r="P2" s="91"/>
      <c r="Q2" s="91"/>
    </row>
    <row r="3" spans="1:17" ht="13.5" customHeight="1" x14ac:dyDescent="0.15">
      <c r="A3" s="21" t="s">
        <v>164</v>
      </c>
      <c r="B3" s="22" t="s">
        <v>29</v>
      </c>
      <c r="C3" s="22" t="s">
        <v>20</v>
      </c>
      <c r="D3" s="36"/>
      <c r="E3" s="36"/>
      <c r="F3" s="36"/>
      <c r="G3" s="36"/>
      <c r="H3" s="36"/>
      <c r="I3" s="36"/>
      <c r="J3" s="36"/>
      <c r="K3" s="36"/>
      <c r="L3" s="31"/>
      <c r="M3" s="31"/>
      <c r="N3" s="90"/>
      <c r="O3" s="91"/>
      <c r="P3" s="91"/>
      <c r="Q3" s="91"/>
    </row>
    <row r="4" spans="1:17" ht="23.25" customHeight="1" x14ac:dyDescent="0.15">
      <c r="A4" s="23"/>
      <c r="B4" s="22" t="s">
        <v>22</v>
      </c>
      <c r="C4" s="22" t="s">
        <v>23</v>
      </c>
      <c r="D4" s="36"/>
      <c r="E4" s="36"/>
      <c r="F4" s="36"/>
      <c r="G4" s="36"/>
      <c r="H4" s="36"/>
      <c r="I4" s="36"/>
      <c r="J4" s="36"/>
      <c r="K4" s="36"/>
      <c r="L4" s="31"/>
      <c r="M4" s="31"/>
      <c r="N4" s="90"/>
      <c r="O4" s="91"/>
      <c r="P4" s="91"/>
      <c r="Q4" s="91"/>
    </row>
    <row r="5" spans="1:17" ht="28.5" x14ac:dyDescent="0.15">
      <c r="A5" s="21"/>
      <c r="B5" s="22" t="s">
        <v>24</v>
      </c>
      <c r="D5" s="29" t="s">
        <v>9</v>
      </c>
      <c r="E5" s="29"/>
      <c r="F5" s="32" t="s">
        <v>149</v>
      </c>
      <c r="G5" s="32"/>
      <c r="H5" s="32"/>
      <c r="J5" s="29" t="s">
        <v>10</v>
      </c>
      <c r="K5" s="29"/>
      <c r="L5" s="32" t="s">
        <v>150</v>
      </c>
      <c r="M5" s="33"/>
      <c r="N5" s="33"/>
    </row>
    <row r="6" spans="1:17" ht="6.75" customHeight="1" x14ac:dyDescent="0.15"/>
    <row r="7" spans="1:17" ht="6.75" customHeight="1" x14ac:dyDescent="0.15"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7" ht="28.5" x14ac:dyDescent="0.15">
      <c r="B8" s="22" t="s">
        <v>26</v>
      </c>
      <c r="D8" s="29" t="s">
        <v>17</v>
      </c>
      <c r="E8" s="29"/>
      <c r="F8" s="32" t="s">
        <v>151</v>
      </c>
      <c r="G8" s="32"/>
      <c r="H8" s="32"/>
      <c r="I8" s="32"/>
      <c r="J8" s="32"/>
      <c r="K8" s="32"/>
      <c r="L8" s="32"/>
      <c r="M8" s="32"/>
      <c r="N8" s="32"/>
      <c r="O8" s="32"/>
      <c r="P8" s="32"/>
    </row>
    <row r="9" spans="1:17" ht="6.75" customHeight="1" x14ac:dyDescent="0.15"/>
    <row r="10" spans="1:17" ht="6.75" customHeight="1" x14ac:dyDescent="0.15"/>
    <row r="11" spans="1:17" ht="28.5" x14ac:dyDescent="0.15">
      <c r="A11" s="22" t="s">
        <v>158</v>
      </c>
      <c r="B11" s="22" t="s">
        <v>28</v>
      </c>
      <c r="D11" s="29" t="s">
        <v>11</v>
      </c>
      <c r="E11" s="29"/>
      <c r="F11" s="34" t="s">
        <v>152</v>
      </c>
      <c r="G11" s="35"/>
      <c r="H11" s="35"/>
      <c r="J11" s="29" t="s">
        <v>12</v>
      </c>
      <c r="K11" s="29"/>
      <c r="L11" s="32" t="s">
        <v>153</v>
      </c>
      <c r="M11" s="33"/>
      <c r="N11" s="33"/>
    </row>
    <row r="12" spans="1:17" ht="6.75" customHeight="1" x14ac:dyDescent="0.15"/>
    <row r="13" spans="1:17" ht="6.75" customHeight="1" x14ac:dyDescent="0.15"/>
    <row r="14" spans="1:17" ht="28.5" x14ac:dyDescent="0.15">
      <c r="B14" s="22" t="s">
        <v>27</v>
      </c>
      <c r="D14" s="29" t="s">
        <v>13</v>
      </c>
      <c r="E14" s="29"/>
      <c r="F14" s="38" t="s">
        <v>154</v>
      </c>
      <c r="G14" s="39"/>
      <c r="H14" s="39"/>
      <c r="J14" s="29" t="s">
        <v>14</v>
      </c>
      <c r="K14" s="29"/>
      <c r="L14" s="38" t="s">
        <v>155</v>
      </c>
      <c r="M14" s="39"/>
      <c r="N14" s="39"/>
    </row>
    <row r="15" spans="1:17" ht="6.75" customHeight="1" x14ac:dyDescent="0.15"/>
    <row r="16" spans="1:17" ht="6.75" customHeight="1" x14ac:dyDescent="0.15"/>
    <row r="17" spans="1:16" ht="28.5" x14ac:dyDescent="0.15">
      <c r="B17" s="22" t="s">
        <v>148</v>
      </c>
      <c r="D17" s="29" t="s">
        <v>15</v>
      </c>
      <c r="E17" s="29"/>
      <c r="F17" s="34" t="s">
        <v>156</v>
      </c>
      <c r="G17" s="35"/>
      <c r="H17" s="35"/>
      <c r="I17" s="35"/>
      <c r="J17" s="29" t="s">
        <v>16</v>
      </c>
      <c r="K17" s="29"/>
      <c r="L17" s="34" t="s">
        <v>157</v>
      </c>
      <c r="M17" s="35"/>
      <c r="N17" s="35"/>
    </row>
    <row r="18" spans="1:16" ht="6.75" customHeight="1" x14ac:dyDescent="0.15"/>
    <row r="19" spans="1:16" ht="6.75" customHeight="1" x14ac:dyDescent="0.15"/>
    <row r="20" spans="1:16" ht="28.5" x14ac:dyDescent="0.15">
      <c r="A20" s="24">
        <f ca="1">COUNTIF(IF(A4="",重量記録原紙!A11:B1010,INDIRECT($A$4 &amp; "!$A$11:$B$1010")),"&gt;100")+10</f>
        <v>10</v>
      </c>
      <c r="B20" s="22" t="s">
        <v>25</v>
      </c>
      <c r="D20" s="29" t="s">
        <v>43</v>
      </c>
      <c r="E20" s="29"/>
      <c r="F20" s="45" t="e">
        <f ca="1">IF(INDIRECT(A4 &amp; "!R"&amp;A20&amp;"C7",FALSE)="作業後重量","",INDIRECT(A4 &amp; "!R"&amp;A20&amp;"C7",FALSE))</f>
        <v>#REF!</v>
      </c>
      <c r="G20" s="45"/>
      <c r="H20" s="46" t="s">
        <v>36</v>
      </c>
      <c r="I20" s="46"/>
      <c r="J20" s="37"/>
      <c r="K20" s="37"/>
      <c r="L20" s="42" t="s">
        <v>37</v>
      </c>
      <c r="M20" s="42"/>
      <c r="N20" s="37"/>
      <c r="O20" s="37"/>
    </row>
    <row r="21" spans="1:16" ht="6.75" customHeight="1" x14ac:dyDescent="0.15"/>
    <row r="22" spans="1:16" ht="6.75" customHeight="1" x14ac:dyDescent="0.15"/>
    <row r="23" spans="1:16" ht="30.75" x14ac:dyDescent="0.15">
      <c r="D23" s="43" t="s">
        <v>165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</row>
    <row r="24" spans="1:16" ht="6.75" customHeight="1" x14ac:dyDescent="0.15"/>
    <row r="25" spans="1:16" ht="6.75" customHeight="1" x14ac:dyDescent="0.15"/>
    <row r="26" spans="1:16" ht="30.75" customHeight="1" x14ac:dyDescent="0.15">
      <c r="D26" s="40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</row>
    <row r="27" spans="1:16" ht="6.75" customHeight="1" x14ac:dyDescent="0.15">
      <c r="A27" s="22">
        <v>1</v>
      </c>
      <c r="B27" s="22" t="s">
        <v>159</v>
      </c>
    </row>
    <row r="28" spans="1:16" ht="6.75" customHeight="1" x14ac:dyDescent="0.15">
      <c r="A28" s="22">
        <v>3</v>
      </c>
      <c r="B28" s="22" t="s">
        <v>160</v>
      </c>
    </row>
    <row r="29" spans="1:16" x14ac:dyDescent="0.15">
      <c r="A29" s="22">
        <v>7</v>
      </c>
      <c r="B29" s="22" t="s">
        <v>161</v>
      </c>
      <c r="D29" s="26" t="s">
        <v>147</v>
      </c>
      <c r="E29" s="27"/>
      <c r="F29" s="28" t="str">
        <f>IF(A4="","",A4)</f>
        <v/>
      </c>
      <c r="G29" s="28"/>
      <c r="I29" s="29"/>
      <c r="J29" s="29"/>
      <c r="K29" s="30"/>
      <c r="L29" s="30"/>
      <c r="M29" s="30"/>
    </row>
    <row r="30" spans="1:16" x14ac:dyDescent="0.15">
      <c r="A30" s="22">
        <v>9</v>
      </c>
      <c r="B30" s="22" t="s">
        <v>162</v>
      </c>
      <c r="D30" s="27"/>
      <c r="E30" s="27"/>
      <c r="F30" s="28"/>
      <c r="G30" s="28"/>
      <c r="I30" s="29"/>
      <c r="J30" s="29"/>
      <c r="K30" s="30"/>
      <c r="L30" s="30"/>
      <c r="M30" s="30"/>
    </row>
    <row r="31" spans="1:16" x14ac:dyDescent="0.15">
      <c r="D31" s="27"/>
      <c r="E31" s="27"/>
      <c r="F31" s="28"/>
      <c r="G31" s="28"/>
      <c r="I31" s="29"/>
      <c r="J31" s="29"/>
      <c r="K31" s="30"/>
      <c r="L31" s="30"/>
      <c r="M31" s="30"/>
    </row>
  </sheetData>
  <mergeCells count="34">
    <mergeCell ref="N2:N4"/>
    <mergeCell ref="O2:Q4"/>
    <mergeCell ref="J20:K20"/>
    <mergeCell ref="D14:E14"/>
    <mergeCell ref="F14:H14"/>
    <mergeCell ref="F17:I17"/>
    <mergeCell ref="D26:P26"/>
    <mergeCell ref="L20:M20"/>
    <mergeCell ref="D23:P23"/>
    <mergeCell ref="D17:E17"/>
    <mergeCell ref="L14:N14"/>
    <mergeCell ref="L17:N17"/>
    <mergeCell ref="J14:K14"/>
    <mergeCell ref="J17:K17"/>
    <mergeCell ref="D20:E20"/>
    <mergeCell ref="F20:G20"/>
    <mergeCell ref="H20:I20"/>
    <mergeCell ref="N20:O20"/>
    <mergeCell ref="D29:E31"/>
    <mergeCell ref="F29:G31"/>
    <mergeCell ref="I29:J31"/>
    <mergeCell ref="K29:M31"/>
    <mergeCell ref="L2:M4"/>
    <mergeCell ref="D8:E8"/>
    <mergeCell ref="D11:E11"/>
    <mergeCell ref="F5:H5"/>
    <mergeCell ref="L5:N5"/>
    <mergeCell ref="F11:H11"/>
    <mergeCell ref="L11:N11"/>
    <mergeCell ref="D5:E5"/>
    <mergeCell ref="J5:K5"/>
    <mergeCell ref="D2:K4"/>
    <mergeCell ref="J11:K11"/>
    <mergeCell ref="F8:P8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0"/>
  <sheetViews>
    <sheetView workbookViewId="0">
      <selection activeCell="A11" sqref="A11:B11"/>
    </sheetView>
  </sheetViews>
  <sheetFormatPr defaultRowHeight="13.5" x14ac:dyDescent="0.15"/>
  <cols>
    <col min="1" max="9" width="10.125" customWidth="1"/>
  </cols>
  <sheetData>
    <row r="1" spans="1:9" ht="21.75" customHeight="1" thickBot="1" x14ac:dyDescent="0.2">
      <c r="A1" s="53" t="s">
        <v>30</v>
      </c>
      <c r="B1" s="53"/>
      <c r="C1" s="53"/>
      <c r="D1" s="53"/>
      <c r="E1" s="53"/>
      <c r="F1" s="53"/>
      <c r="G1" s="53"/>
      <c r="H1" s="53"/>
      <c r="I1" s="53"/>
    </row>
    <row r="2" spans="1:9" ht="27" customHeight="1" thickBot="1" x14ac:dyDescent="0.2">
      <c r="A2" s="3">
        <v>4</v>
      </c>
      <c r="B2" s="54" t="s">
        <v>0</v>
      </c>
      <c r="C2" s="56" t="str">
        <f>入力画面!$F$8</f>
        <v>いっぱつ</v>
      </c>
      <c r="D2" s="57"/>
      <c r="E2" s="57"/>
      <c r="F2" s="57"/>
      <c r="G2" s="57"/>
      <c r="H2" s="60" t="s">
        <v>1</v>
      </c>
      <c r="I2" s="61"/>
    </row>
    <row r="3" spans="1:9" ht="27" customHeight="1" thickBot="1" x14ac:dyDescent="0.2">
      <c r="A3" s="4">
        <v>1</v>
      </c>
      <c r="B3" s="55"/>
      <c r="C3" s="58"/>
      <c r="D3" s="59"/>
      <c r="E3" s="59"/>
      <c r="F3" s="59"/>
      <c r="G3" s="59"/>
      <c r="H3" s="5" t="s">
        <v>2</v>
      </c>
      <c r="I3" s="6" t="s">
        <v>3</v>
      </c>
    </row>
    <row r="4" spans="1:9" ht="26.25" customHeight="1" thickBot="1" x14ac:dyDescent="0.2">
      <c r="A4" s="60" t="s">
        <v>4</v>
      </c>
      <c r="B4" s="61"/>
      <c r="C4" s="60" t="str">
        <f>入力画面!$L$5&amp;"  ("&amp;入力画面!$L$11&amp;")"</f>
        <v>いちころ  (YM249)</v>
      </c>
      <c r="D4" s="62"/>
      <c r="E4" s="62"/>
      <c r="F4" s="62"/>
      <c r="G4" s="62"/>
      <c r="H4" s="54" t="str">
        <f>入力画面!$F$14</f>
        <v>毒物</v>
      </c>
      <c r="I4" s="7"/>
    </row>
    <row r="5" spans="1:9" ht="26.25" customHeight="1" thickBot="1" x14ac:dyDescent="0.2">
      <c r="A5" s="47" t="s">
        <v>5</v>
      </c>
      <c r="B5" s="49"/>
      <c r="C5" s="63" t="str">
        <f>入力画面!$F$11</f>
        <v>25g</v>
      </c>
      <c r="D5" s="64"/>
      <c r="E5" s="64"/>
      <c r="F5" s="64"/>
      <c r="G5" s="64"/>
      <c r="H5" s="55"/>
      <c r="I5" s="8"/>
    </row>
    <row r="6" spans="1:9" ht="26.25" customHeight="1" x14ac:dyDescent="0.15">
      <c r="A6" s="47" t="s">
        <v>6</v>
      </c>
      <c r="B6" s="49"/>
      <c r="C6" s="47" t="s">
        <v>31</v>
      </c>
      <c r="D6" s="48"/>
      <c r="E6" s="49"/>
      <c r="F6" s="47" t="s">
        <v>7</v>
      </c>
      <c r="G6" s="49"/>
      <c r="H6" s="68" t="str">
        <f>入力画面!$F$17</f>
        <v>技術本部_東_２F</v>
      </c>
      <c r="I6" s="69"/>
    </row>
    <row r="7" spans="1:9" ht="26.25" customHeight="1" thickBot="1" x14ac:dyDescent="0.2">
      <c r="A7" s="65"/>
      <c r="B7" s="66"/>
      <c r="C7" s="65"/>
      <c r="D7" s="67"/>
      <c r="E7" s="66"/>
      <c r="F7" s="65"/>
      <c r="G7" s="66"/>
      <c r="H7" s="70" t="str">
        <f>入力画面!$L$17</f>
        <v>毒物格納庫</v>
      </c>
      <c r="I7" s="71"/>
    </row>
    <row r="8" spans="1:9" ht="30" customHeight="1" x14ac:dyDescent="0.15">
      <c r="A8" s="47" t="s">
        <v>32</v>
      </c>
      <c r="B8" s="48"/>
      <c r="C8" s="48"/>
      <c r="D8" s="49"/>
      <c r="E8" s="50"/>
      <c r="F8" s="51"/>
      <c r="G8" s="51"/>
      <c r="H8" s="51"/>
      <c r="I8" s="52"/>
    </row>
    <row r="9" spans="1:9" ht="30" customHeight="1" thickBot="1" x14ac:dyDescent="0.2">
      <c r="A9" s="65" t="s">
        <v>33</v>
      </c>
      <c r="B9" s="67"/>
      <c r="C9" s="67"/>
      <c r="D9" s="66"/>
      <c r="E9" s="72"/>
      <c r="F9" s="73"/>
      <c r="G9" s="73"/>
      <c r="H9" s="73"/>
      <c r="I9" s="74"/>
    </row>
    <row r="10" spans="1:9" ht="30" customHeight="1" thickBot="1" x14ac:dyDescent="0.2">
      <c r="A10" s="75" t="s">
        <v>34</v>
      </c>
      <c r="B10" s="76"/>
      <c r="C10" s="76" t="s">
        <v>35</v>
      </c>
      <c r="D10" s="76"/>
      <c r="E10" s="76" t="s">
        <v>36</v>
      </c>
      <c r="F10" s="76"/>
      <c r="G10" s="76" t="s">
        <v>37</v>
      </c>
      <c r="H10" s="76"/>
      <c r="I10" s="9" t="s">
        <v>38</v>
      </c>
    </row>
    <row r="11" spans="1:9" ht="30" customHeight="1" x14ac:dyDescent="0.15">
      <c r="A11" s="77"/>
      <c r="B11" s="78"/>
      <c r="C11" s="79"/>
      <c r="D11" s="78"/>
      <c r="E11" s="79"/>
      <c r="F11" s="78"/>
      <c r="G11" s="78"/>
      <c r="H11" s="78"/>
      <c r="I11" s="20"/>
    </row>
    <row r="12" spans="1:9" ht="30" customHeight="1" x14ac:dyDescent="0.15">
      <c r="A12" s="80"/>
      <c r="B12" s="81"/>
      <c r="C12" s="81"/>
      <c r="D12" s="81"/>
      <c r="E12" s="81"/>
      <c r="F12" s="81"/>
      <c r="G12" s="81"/>
      <c r="H12" s="81"/>
      <c r="I12" s="10"/>
    </row>
    <row r="13" spans="1:9" ht="30" customHeight="1" x14ac:dyDescent="0.15">
      <c r="A13" s="80"/>
      <c r="B13" s="81"/>
      <c r="C13" s="81"/>
      <c r="D13" s="81"/>
      <c r="E13" s="81"/>
      <c r="F13" s="81"/>
      <c r="G13" s="81"/>
      <c r="H13" s="81"/>
      <c r="I13" s="10"/>
    </row>
    <row r="14" spans="1:9" ht="30" customHeight="1" x14ac:dyDescent="0.15">
      <c r="A14" s="80"/>
      <c r="B14" s="81"/>
      <c r="C14" s="81"/>
      <c r="D14" s="81"/>
      <c r="E14" s="81"/>
      <c r="F14" s="81"/>
      <c r="G14" s="81"/>
      <c r="H14" s="81"/>
      <c r="I14" s="10"/>
    </row>
    <row r="15" spans="1:9" ht="30" customHeight="1" x14ac:dyDescent="0.15">
      <c r="A15" s="80"/>
      <c r="B15" s="81"/>
      <c r="C15" s="81"/>
      <c r="D15" s="81"/>
      <c r="E15" s="81"/>
      <c r="F15" s="81"/>
      <c r="G15" s="81"/>
      <c r="H15" s="81"/>
      <c r="I15" s="10"/>
    </row>
    <row r="16" spans="1:9" ht="30" customHeight="1" x14ac:dyDescent="0.15">
      <c r="A16" s="80"/>
      <c r="B16" s="81"/>
      <c r="C16" s="81"/>
      <c r="D16" s="81"/>
      <c r="E16" s="81"/>
      <c r="F16" s="81"/>
      <c r="G16" s="81"/>
      <c r="H16" s="81"/>
      <c r="I16" s="10"/>
    </row>
    <row r="17" spans="1:9" ht="30" customHeight="1" x14ac:dyDescent="0.15">
      <c r="A17" s="80"/>
      <c r="B17" s="81"/>
      <c r="C17" s="81"/>
      <c r="D17" s="81"/>
      <c r="E17" s="81"/>
      <c r="F17" s="81"/>
      <c r="G17" s="81"/>
      <c r="H17" s="81"/>
      <c r="I17" s="10"/>
    </row>
    <row r="18" spans="1:9" ht="30" customHeight="1" x14ac:dyDescent="0.15">
      <c r="A18" s="80"/>
      <c r="B18" s="81"/>
      <c r="C18" s="81"/>
      <c r="D18" s="81"/>
      <c r="E18" s="81"/>
      <c r="F18" s="81"/>
      <c r="G18" s="81"/>
      <c r="H18" s="81"/>
      <c r="I18" s="10"/>
    </row>
    <row r="19" spans="1:9" ht="30" customHeight="1" x14ac:dyDescent="0.15">
      <c r="A19" s="80"/>
      <c r="B19" s="81"/>
      <c r="C19" s="81"/>
      <c r="D19" s="81"/>
      <c r="E19" s="81"/>
      <c r="F19" s="81"/>
      <c r="G19" s="81"/>
      <c r="H19" s="81"/>
      <c r="I19" s="10"/>
    </row>
    <row r="20" spans="1:9" ht="30" customHeight="1" x14ac:dyDescent="0.15">
      <c r="A20" s="80"/>
      <c r="B20" s="81"/>
      <c r="C20" s="81"/>
      <c r="D20" s="81"/>
      <c r="E20" s="81"/>
      <c r="F20" s="81"/>
      <c r="G20" s="81"/>
      <c r="H20" s="81"/>
      <c r="I20" s="10"/>
    </row>
    <row r="21" spans="1:9" ht="30" customHeight="1" x14ac:dyDescent="0.15">
      <c r="A21" s="80"/>
      <c r="B21" s="81"/>
      <c r="C21" s="81"/>
      <c r="D21" s="81"/>
      <c r="E21" s="81"/>
      <c r="F21" s="81"/>
      <c r="G21" s="81"/>
      <c r="H21" s="81"/>
      <c r="I21" s="10"/>
    </row>
    <row r="22" spans="1:9" ht="30" customHeight="1" x14ac:dyDescent="0.15">
      <c r="A22" s="80"/>
      <c r="B22" s="81"/>
      <c r="C22" s="81"/>
      <c r="D22" s="81"/>
      <c r="E22" s="81"/>
      <c r="F22" s="81"/>
      <c r="G22" s="81"/>
      <c r="H22" s="81"/>
      <c r="I22" s="10"/>
    </row>
    <row r="23" spans="1:9" ht="30" customHeight="1" x14ac:dyDescent="0.15">
      <c r="A23" s="80"/>
      <c r="B23" s="81"/>
      <c r="C23" s="81"/>
      <c r="D23" s="81"/>
      <c r="E23" s="81"/>
      <c r="F23" s="81"/>
      <c r="G23" s="81"/>
      <c r="H23" s="81"/>
      <c r="I23" s="10"/>
    </row>
    <row r="24" spans="1:9" ht="30" customHeight="1" x14ac:dyDescent="0.15">
      <c r="A24" s="80"/>
      <c r="B24" s="81"/>
      <c r="C24" s="81"/>
      <c r="D24" s="81"/>
      <c r="E24" s="81"/>
      <c r="F24" s="81"/>
      <c r="G24" s="81"/>
      <c r="H24" s="81"/>
      <c r="I24" s="10"/>
    </row>
    <row r="25" spans="1:9" ht="30" customHeight="1" thickBot="1" x14ac:dyDescent="0.2">
      <c r="A25" s="82"/>
      <c r="B25" s="83"/>
      <c r="C25" s="83"/>
      <c r="D25" s="83"/>
      <c r="E25" s="83"/>
      <c r="F25" s="83"/>
      <c r="G25" s="83"/>
      <c r="H25" s="83"/>
      <c r="I25" s="11"/>
    </row>
    <row r="26" spans="1:9" ht="30" customHeight="1" x14ac:dyDescent="0.15">
      <c r="A26" s="47" t="s">
        <v>39</v>
      </c>
      <c r="B26" s="48"/>
      <c r="C26" s="49"/>
      <c r="D26" s="84"/>
      <c r="E26" s="85"/>
      <c r="F26" s="85"/>
      <c r="G26" s="85"/>
      <c r="H26" s="85"/>
      <c r="I26" s="86"/>
    </row>
    <row r="27" spans="1:9" ht="30" customHeight="1" thickBot="1" x14ac:dyDescent="0.2">
      <c r="A27" s="65" t="s">
        <v>40</v>
      </c>
      <c r="B27" s="67"/>
      <c r="C27" s="66"/>
      <c r="D27" s="87"/>
      <c r="E27" s="88"/>
      <c r="F27" s="88"/>
      <c r="G27" s="88"/>
      <c r="H27" s="88"/>
      <c r="I27" s="89"/>
    </row>
    <row r="28" spans="1:9" x14ac:dyDescent="0.15">
      <c r="A28" s="12"/>
      <c r="B28" s="12"/>
      <c r="C28" s="12"/>
      <c r="D28" s="12"/>
      <c r="E28" s="12"/>
      <c r="F28" s="12"/>
      <c r="G28" s="12"/>
      <c r="H28" s="12"/>
      <c r="I28" s="12"/>
    </row>
    <row r="29" spans="1:9" x14ac:dyDescent="0.15">
      <c r="A29" s="13" t="s">
        <v>41</v>
      </c>
    </row>
    <row r="30" spans="1:9" ht="15.75" x14ac:dyDescent="0.15">
      <c r="A30" s="14"/>
    </row>
  </sheetData>
  <mergeCells count="85">
    <mergeCell ref="A25:B25"/>
    <mergeCell ref="C25:D25"/>
    <mergeCell ref="E25:F25"/>
    <mergeCell ref="G25:H25"/>
    <mergeCell ref="A26:C26"/>
    <mergeCell ref="D26:I27"/>
    <mergeCell ref="A27:C27"/>
    <mergeCell ref="A23:B23"/>
    <mergeCell ref="C23:D23"/>
    <mergeCell ref="E23:F23"/>
    <mergeCell ref="G23:H23"/>
    <mergeCell ref="A24:B24"/>
    <mergeCell ref="C24:D24"/>
    <mergeCell ref="E24:F24"/>
    <mergeCell ref="G24:H24"/>
    <mergeCell ref="A21:B21"/>
    <mergeCell ref="C21:D21"/>
    <mergeCell ref="E21:F21"/>
    <mergeCell ref="G21:H21"/>
    <mergeCell ref="A22:B22"/>
    <mergeCell ref="C22:D22"/>
    <mergeCell ref="E22:F22"/>
    <mergeCell ref="G22:H22"/>
    <mergeCell ref="A19:B19"/>
    <mergeCell ref="C19:D19"/>
    <mergeCell ref="E19:F19"/>
    <mergeCell ref="G19:H19"/>
    <mergeCell ref="A20:B20"/>
    <mergeCell ref="C20:D20"/>
    <mergeCell ref="E20:F20"/>
    <mergeCell ref="G20:H20"/>
    <mergeCell ref="A17:B17"/>
    <mergeCell ref="C17:D17"/>
    <mergeCell ref="E17:F17"/>
    <mergeCell ref="G17:H17"/>
    <mergeCell ref="A18:B18"/>
    <mergeCell ref="C18:D18"/>
    <mergeCell ref="E18:F18"/>
    <mergeCell ref="G18:H18"/>
    <mergeCell ref="A15:B15"/>
    <mergeCell ref="C15:D15"/>
    <mergeCell ref="E15:F15"/>
    <mergeCell ref="G15:H15"/>
    <mergeCell ref="A16:B16"/>
    <mergeCell ref="C16:D16"/>
    <mergeCell ref="E16:F16"/>
    <mergeCell ref="G16:H16"/>
    <mergeCell ref="A13:B13"/>
    <mergeCell ref="C13:D13"/>
    <mergeCell ref="E13:F13"/>
    <mergeCell ref="G13:H13"/>
    <mergeCell ref="A14:B14"/>
    <mergeCell ref="C14:D14"/>
    <mergeCell ref="E14:F14"/>
    <mergeCell ref="G14:H14"/>
    <mergeCell ref="A11:B11"/>
    <mergeCell ref="C11:D11"/>
    <mergeCell ref="E11:F11"/>
    <mergeCell ref="G11:H11"/>
    <mergeCell ref="A12:B12"/>
    <mergeCell ref="C12:D12"/>
    <mergeCell ref="E12:F12"/>
    <mergeCell ref="G12:H12"/>
    <mergeCell ref="A9:D9"/>
    <mergeCell ref="E9:I9"/>
    <mergeCell ref="A10:B10"/>
    <mergeCell ref="C10:D10"/>
    <mergeCell ref="E10:F10"/>
    <mergeCell ref="G10:H10"/>
    <mergeCell ref="A8:D8"/>
    <mergeCell ref="E8:I8"/>
    <mergeCell ref="A1:I1"/>
    <mergeCell ref="B2:B3"/>
    <mergeCell ref="C2:G3"/>
    <mergeCell ref="H2:I2"/>
    <mergeCell ref="A4:B4"/>
    <mergeCell ref="C4:G4"/>
    <mergeCell ref="H4:H5"/>
    <mergeCell ref="A5:B5"/>
    <mergeCell ref="C5:G5"/>
    <mergeCell ref="A6:B7"/>
    <mergeCell ref="C6:E7"/>
    <mergeCell ref="F6:G7"/>
    <mergeCell ref="H6:I6"/>
    <mergeCell ref="H7:I7"/>
  </mergeCells>
  <phoneticPr fontId="5"/>
  <pageMargins left="0.9055118110236221" right="0.31496062992125984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104"/>
  <sheetViews>
    <sheetView workbookViewId="0">
      <selection activeCell="D3" sqref="D3"/>
    </sheetView>
  </sheetViews>
  <sheetFormatPr defaultRowHeight="13.5" x14ac:dyDescent="0.15"/>
  <cols>
    <col min="1" max="1" width="9" style="15"/>
    <col min="2" max="3" width="15.375" customWidth="1"/>
  </cols>
  <sheetData>
    <row r="2" spans="1:4" x14ac:dyDescent="0.15">
      <c r="B2">
        <f>COUNTA(B5:B104)+5</f>
        <v>5</v>
      </c>
      <c r="C2">
        <f>COUNTA(C5:C104)+5</f>
        <v>5</v>
      </c>
      <c r="D2">
        <f>B2-C2</f>
        <v>0</v>
      </c>
    </row>
    <row r="4" spans="1:4" x14ac:dyDescent="0.15">
      <c r="A4" s="15" t="s">
        <v>44</v>
      </c>
      <c r="B4" s="16" t="s">
        <v>45</v>
      </c>
      <c r="C4" s="16" t="s">
        <v>46</v>
      </c>
    </row>
    <row r="5" spans="1:4" x14ac:dyDescent="0.15">
      <c r="A5" s="15" t="s">
        <v>145</v>
      </c>
      <c r="B5" s="17"/>
    </row>
    <row r="6" spans="1:4" x14ac:dyDescent="0.15">
      <c r="A6" s="15" t="s">
        <v>146</v>
      </c>
      <c r="B6" s="17"/>
    </row>
    <row r="7" spans="1:4" x14ac:dyDescent="0.15">
      <c r="A7" s="15" t="s">
        <v>47</v>
      </c>
    </row>
    <row r="8" spans="1:4" x14ac:dyDescent="0.15">
      <c r="A8" s="15" t="s">
        <v>48</v>
      </c>
    </row>
    <row r="9" spans="1:4" x14ac:dyDescent="0.15">
      <c r="A9" s="15" t="s">
        <v>49</v>
      </c>
    </row>
    <row r="10" spans="1:4" x14ac:dyDescent="0.15">
      <c r="A10" s="15" t="s">
        <v>50</v>
      </c>
    </row>
    <row r="11" spans="1:4" x14ac:dyDescent="0.15">
      <c r="A11" s="15" t="s">
        <v>51</v>
      </c>
    </row>
    <row r="12" spans="1:4" x14ac:dyDescent="0.15">
      <c r="A12" s="15" t="s">
        <v>52</v>
      </c>
    </row>
    <row r="13" spans="1:4" x14ac:dyDescent="0.15">
      <c r="A13" s="15" t="s">
        <v>53</v>
      </c>
    </row>
    <row r="14" spans="1:4" x14ac:dyDescent="0.15">
      <c r="A14" s="15" t="s">
        <v>54</v>
      </c>
    </row>
    <row r="15" spans="1:4" x14ac:dyDescent="0.15">
      <c r="A15" s="15" t="s">
        <v>55</v>
      </c>
    </row>
    <row r="16" spans="1:4" x14ac:dyDescent="0.15">
      <c r="A16" s="15" t="s">
        <v>56</v>
      </c>
    </row>
    <row r="17" spans="1:1" x14ac:dyDescent="0.15">
      <c r="A17" s="15" t="s">
        <v>57</v>
      </c>
    </row>
    <row r="18" spans="1:1" x14ac:dyDescent="0.15">
      <c r="A18" s="15" t="s">
        <v>58</v>
      </c>
    </row>
    <row r="19" spans="1:1" x14ac:dyDescent="0.15">
      <c r="A19" s="15" t="s">
        <v>59</v>
      </c>
    </row>
    <row r="20" spans="1:1" x14ac:dyDescent="0.15">
      <c r="A20" s="15" t="s">
        <v>60</v>
      </c>
    </row>
    <row r="21" spans="1:1" x14ac:dyDescent="0.15">
      <c r="A21" s="15" t="s">
        <v>61</v>
      </c>
    </row>
    <row r="22" spans="1:1" x14ac:dyDescent="0.15">
      <c r="A22" s="15" t="s">
        <v>62</v>
      </c>
    </row>
    <row r="23" spans="1:1" x14ac:dyDescent="0.15">
      <c r="A23" s="15" t="s">
        <v>63</v>
      </c>
    </row>
    <row r="24" spans="1:1" x14ac:dyDescent="0.15">
      <c r="A24" s="15" t="s">
        <v>64</v>
      </c>
    </row>
    <row r="25" spans="1:1" x14ac:dyDescent="0.15">
      <c r="A25" s="15" t="s">
        <v>65</v>
      </c>
    </row>
    <row r="26" spans="1:1" x14ac:dyDescent="0.15">
      <c r="A26" s="15" t="s">
        <v>66</v>
      </c>
    </row>
    <row r="27" spans="1:1" x14ac:dyDescent="0.15">
      <c r="A27" s="15" t="s">
        <v>67</v>
      </c>
    </row>
    <row r="28" spans="1:1" x14ac:dyDescent="0.15">
      <c r="A28" s="15" t="s">
        <v>68</v>
      </c>
    </row>
    <row r="29" spans="1:1" x14ac:dyDescent="0.15">
      <c r="A29" s="15" t="s">
        <v>69</v>
      </c>
    </row>
    <row r="30" spans="1:1" x14ac:dyDescent="0.15">
      <c r="A30" s="15" t="s">
        <v>70</v>
      </c>
    </row>
    <row r="31" spans="1:1" x14ac:dyDescent="0.15">
      <c r="A31" s="15" t="s">
        <v>71</v>
      </c>
    </row>
    <row r="32" spans="1:1" x14ac:dyDescent="0.15">
      <c r="A32" s="15" t="s">
        <v>72</v>
      </c>
    </row>
    <row r="33" spans="1:1" x14ac:dyDescent="0.15">
      <c r="A33" s="15" t="s">
        <v>73</v>
      </c>
    </row>
    <row r="34" spans="1:1" x14ac:dyDescent="0.15">
      <c r="A34" s="15" t="s">
        <v>74</v>
      </c>
    </row>
    <row r="35" spans="1:1" x14ac:dyDescent="0.15">
      <c r="A35" s="15" t="s">
        <v>75</v>
      </c>
    </row>
    <row r="36" spans="1:1" x14ac:dyDescent="0.15">
      <c r="A36" s="15" t="s">
        <v>76</v>
      </c>
    </row>
    <row r="37" spans="1:1" x14ac:dyDescent="0.15">
      <c r="A37" s="15" t="s">
        <v>77</v>
      </c>
    </row>
    <row r="38" spans="1:1" x14ac:dyDescent="0.15">
      <c r="A38" s="15" t="s">
        <v>78</v>
      </c>
    </row>
    <row r="39" spans="1:1" x14ac:dyDescent="0.15">
      <c r="A39" s="15" t="s">
        <v>79</v>
      </c>
    </row>
    <row r="40" spans="1:1" x14ac:dyDescent="0.15">
      <c r="A40" s="15" t="s">
        <v>80</v>
      </c>
    </row>
    <row r="41" spans="1:1" x14ac:dyDescent="0.15">
      <c r="A41" s="15" t="s">
        <v>81</v>
      </c>
    </row>
    <row r="42" spans="1:1" x14ac:dyDescent="0.15">
      <c r="A42" s="15" t="s">
        <v>82</v>
      </c>
    </row>
    <row r="43" spans="1:1" x14ac:dyDescent="0.15">
      <c r="A43" s="15" t="s">
        <v>83</v>
      </c>
    </row>
    <row r="44" spans="1:1" x14ac:dyDescent="0.15">
      <c r="A44" s="15" t="s">
        <v>84</v>
      </c>
    </row>
    <row r="45" spans="1:1" x14ac:dyDescent="0.15">
      <c r="A45" s="15" t="s">
        <v>85</v>
      </c>
    </row>
    <row r="46" spans="1:1" x14ac:dyDescent="0.15">
      <c r="A46" s="15" t="s">
        <v>86</v>
      </c>
    </row>
    <row r="47" spans="1:1" x14ac:dyDescent="0.15">
      <c r="A47" s="15" t="s">
        <v>87</v>
      </c>
    </row>
    <row r="48" spans="1:1" x14ac:dyDescent="0.15">
      <c r="A48" s="15" t="s">
        <v>88</v>
      </c>
    </row>
    <row r="49" spans="1:1" x14ac:dyDescent="0.15">
      <c r="A49" s="15" t="s">
        <v>89</v>
      </c>
    </row>
    <row r="50" spans="1:1" x14ac:dyDescent="0.15">
      <c r="A50" s="15" t="s">
        <v>90</v>
      </c>
    </row>
    <row r="51" spans="1:1" x14ac:dyDescent="0.15">
      <c r="A51" s="15" t="s">
        <v>91</v>
      </c>
    </row>
    <row r="52" spans="1:1" x14ac:dyDescent="0.15">
      <c r="A52" s="15" t="s">
        <v>92</v>
      </c>
    </row>
    <row r="53" spans="1:1" x14ac:dyDescent="0.15">
      <c r="A53" s="15" t="s">
        <v>93</v>
      </c>
    </row>
    <row r="54" spans="1:1" x14ac:dyDescent="0.15">
      <c r="A54" s="15" t="s">
        <v>94</v>
      </c>
    </row>
    <row r="55" spans="1:1" x14ac:dyDescent="0.15">
      <c r="A55" s="15" t="s">
        <v>95</v>
      </c>
    </row>
    <row r="56" spans="1:1" x14ac:dyDescent="0.15">
      <c r="A56" s="15" t="s">
        <v>96</v>
      </c>
    </row>
    <row r="57" spans="1:1" x14ac:dyDescent="0.15">
      <c r="A57" s="15" t="s">
        <v>97</v>
      </c>
    </row>
    <row r="58" spans="1:1" x14ac:dyDescent="0.15">
      <c r="A58" s="15" t="s">
        <v>98</v>
      </c>
    </row>
    <row r="59" spans="1:1" x14ac:dyDescent="0.15">
      <c r="A59" s="15" t="s">
        <v>99</v>
      </c>
    </row>
    <row r="60" spans="1:1" x14ac:dyDescent="0.15">
      <c r="A60" s="15" t="s">
        <v>100</v>
      </c>
    </row>
    <row r="61" spans="1:1" x14ac:dyDescent="0.15">
      <c r="A61" s="15" t="s">
        <v>101</v>
      </c>
    </row>
    <row r="62" spans="1:1" x14ac:dyDescent="0.15">
      <c r="A62" s="15" t="s">
        <v>102</v>
      </c>
    </row>
    <row r="63" spans="1:1" x14ac:dyDescent="0.15">
      <c r="A63" s="15" t="s">
        <v>103</v>
      </c>
    </row>
    <row r="64" spans="1:1" x14ac:dyDescent="0.15">
      <c r="A64" s="15" t="s">
        <v>104</v>
      </c>
    </row>
    <row r="65" spans="1:1" x14ac:dyDescent="0.15">
      <c r="A65" s="15" t="s">
        <v>105</v>
      </c>
    </row>
    <row r="66" spans="1:1" x14ac:dyDescent="0.15">
      <c r="A66" s="15" t="s">
        <v>106</v>
      </c>
    </row>
    <row r="67" spans="1:1" x14ac:dyDescent="0.15">
      <c r="A67" s="15" t="s">
        <v>107</v>
      </c>
    </row>
    <row r="68" spans="1:1" x14ac:dyDescent="0.15">
      <c r="A68" s="15" t="s">
        <v>108</v>
      </c>
    </row>
    <row r="69" spans="1:1" x14ac:dyDescent="0.15">
      <c r="A69" s="15" t="s">
        <v>109</v>
      </c>
    </row>
    <row r="70" spans="1:1" x14ac:dyDescent="0.15">
      <c r="A70" s="15" t="s">
        <v>110</v>
      </c>
    </row>
    <row r="71" spans="1:1" x14ac:dyDescent="0.15">
      <c r="A71" s="15" t="s">
        <v>111</v>
      </c>
    </row>
    <row r="72" spans="1:1" x14ac:dyDescent="0.15">
      <c r="A72" s="15" t="s">
        <v>112</v>
      </c>
    </row>
    <row r="73" spans="1:1" x14ac:dyDescent="0.15">
      <c r="A73" s="15" t="s">
        <v>113</v>
      </c>
    </row>
    <row r="74" spans="1:1" x14ac:dyDescent="0.15">
      <c r="A74" s="15" t="s">
        <v>114</v>
      </c>
    </row>
    <row r="75" spans="1:1" x14ac:dyDescent="0.15">
      <c r="A75" s="15" t="s">
        <v>115</v>
      </c>
    </row>
    <row r="76" spans="1:1" x14ac:dyDescent="0.15">
      <c r="A76" s="15" t="s">
        <v>116</v>
      </c>
    </row>
    <row r="77" spans="1:1" x14ac:dyDescent="0.15">
      <c r="A77" s="15" t="s">
        <v>117</v>
      </c>
    </row>
    <row r="78" spans="1:1" x14ac:dyDescent="0.15">
      <c r="A78" s="15" t="s">
        <v>118</v>
      </c>
    </row>
    <row r="79" spans="1:1" x14ac:dyDescent="0.15">
      <c r="A79" s="15" t="s">
        <v>119</v>
      </c>
    </row>
    <row r="80" spans="1:1" x14ac:dyDescent="0.15">
      <c r="A80" s="15" t="s">
        <v>120</v>
      </c>
    </row>
    <row r="81" spans="1:1" x14ac:dyDescent="0.15">
      <c r="A81" s="15" t="s">
        <v>121</v>
      </c>
    </row>
    <row r="82" spans="1:1" x14ac:dyDescent="0.15">
      <c r="A82" s="15" t="s">
        <v>122</v>
      </c>
    </row>
    <row r="83" spans="1:1" x14ac:dyDescent="0.15">
      <c r="A83" s="15" t="s">
        <v>123</v>
      </c>
    </row>
    <row r="84" spans="1:1" x14ac:dyDescent="0.15">
      <c r="A84" s="15" t="s">
        <v>124</v>
      </c>
    </row>
    <row r="85" spans="1:1" x14ac:dyDescent="0.15">
      <c r="A85" s="15" t="s">
        <v>125</v>
      </c>
    </row>
    <row r="86" spans="1:1" x14ac:dyDescent="0.15">
      <c r="A86" s="15" t="s">
        <v>126</v>
      </c>
    </row>
    <row r="87" spans="1:1" x14ac:dyDescent="0.15">
      <c r="A87" s="15" t="s">
        <v>127</v>
      </c>
    </row>
    <row r="88" spans="1:1" x14ac:dyDescent="0.15">
      <c r="A88" s="15" t="s">
        <v>128</v>
      </c>
    </row>
    <row r="89" spans="1:1" x14ac:dyDescent="0.15">
      <c r="A89" s="15" t="s">
        <v>129</v>
      </c>
    </row>
    <row r="90" spans="1:1" x14ac:dyDescent="0.15">
      <c r="A90" s="15" t="s">
        <v>130</v>
      </c>
    </row>
    <row r="91" spans="1:1" x14ac:dyDescent="0.15">
      <c r="A91" s="15" t="s">
        <v>131</v>
      </c>
    </row>
    <row r="92" spans="1:1" x14ac:dyDescent="0.15">
      <c r="A92" s="15" t="s">
        <v>132</v>
      </c>
    </row>
    <row r="93" spans="1:1" x14ac:dyDescent="0.15">
      <c r="A93" s="15" t="s">
        <v>133</v>
      </c>
    </row>
    <row r="94" spans="1:1" x14ac:dyDescent="0.15">
      <c r="A94" s="15" t="s">
        <v>134</v>
      </c>
    </row>
    <row r="95" spans="1:1" x14ac:dyDescent="0.15">
      <c r="A95" s="15" t="s">
        <v>135</v>
      </c>
    </row>
    <row r="96" spans="1:1" x14ac:dyDescent="0.15">
      <c r="A96" s="15" t="s">
        <v>136</v>
      </c>
    </row>
    <row r="97" spans="1:1" x14ac:dyDescent="0.15">
      <c r="A97" s="15" t="s">
        <v>137</v>
      </c>
    </row>
    <row r="98" spans="1:1" x14ac:dyDescent="0.15">
      <c r="A98" s="15" t="s">
        <v>138</v>
      </c>
    </row>
    <row r="99" spans="1:1" x14ac:dyDescent="0.15">
      <c r="A99" s="15" t="s">
        <v>139</v>
      </c>
    </row>
    <row r="100" spans="1:1" x14ac:dyDescent="0.15">
      <c r="A100" s="15" t="s">
        <v>140</v>
      </c>
    </row>
    <row r="101" spans="1:1" x14ac:dyDescent="0.15">
      <c r="A101" s="15" t="s">
        <v>141</v>
      </c>
    </row>
    <row r="102" spans="1:1" x14ac:dyDescent="0.15">
      <c r="A102" s="15" t="s">
        <v>142</v>
      </c>
    </row>
    <row r="103" spans="1:1" x14ac:dyDescent="0.15">
      <c r="A103" s="15" t="s">
        <v>143</v>
      </c>
    </row>
    <row r="104" spans="1:1" x14ac:dyDescent="0.15">
      <c r="A104" s="15" t="s">
        <v>144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/>
  </sheetViews>
  <sheetFormatPr defaultRowHeight="13.5" x14ac:dyDescent="0.15"/>
  <cols>
    <col min="1" max="1" width="19.125" bestFit="1" customWidth="1"/>
  </cols>
  <sheetData>
    <row r="1" spans="1:1" ht="17.25" x14ac:dyDescent="0.15">
      <c r="A1" s="19" t="str">
        <f>入力画面!F8 &amp; 入力画面!F29</f>
        <v>いっぱつ</v>
      </c>
    </row>
    <row r="2" spans="1:1" ht="17.25" x14ac:dyDescent="0.15">
      <c r="A2" s="18"/>
    </row>
    <row r="3" spans="1:1" ht="24" x14ac:dyDescent="0.15">
      <c r="A3" s="25" t="str">
        <f>"*B" &amp; 入力画面!A3 &amp; 入力画面!F29 &amp; "*"</f>
        <v>*BEND*</v>
      </c>
    </row>
  </sheetData>
  <phoneticPr fontId="5"/>
  <pageMargins left="0.31496062992125984" right="0.11811023622047245" top="0.74803149606299213" bottom="0.74803149606299213" header="0.31496062992125984" footer="0.31496062992125984"/>
  <pageSetup paperSize="26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入力画面</vt:lpstr>
      <vt:lpstr>重量記録原紙</vt:lpstr>
      <vt:lpstr>瓶の記録</vt:lpstr>
      <vt:lpstr>バーコードラベル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0015</dc:creator>
  <cp:lastModifiedBy>0015</cp:lastModifiedBy>
  <cp:lastPrinted>2015-04-21T02:11:55Z</cp:lastPrinted>
  <dcterms:created xsi:type="dcterms:W3CDTF">2014-06-06T06:29:51Z</dcterms:created>
  <dcterms:modified xsi:type="dcterms:W3CDTF">2015-05-13T05:07:47Z</dcterms:modified>
</cp:coreProperties>
</file>