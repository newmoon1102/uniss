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4.xml" ContentType="application/vnd.openxmlformats-officedocument.drawing+xml"/>
  <Override PartName="/xl/ctrlProps/ctrlProp38.xml" ContentType="application/vnd.ms-excel.controlproperties+xml"/>
  <Override PartName="/xl/drawings/drawing5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6.xml" ContentType="application/vnd.openxmlformats-officedocument.drawing+xml"/>
  <Override PartName="/xl/ctrlProps/ctrlProp5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9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0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bsc_2015_UNISS\UNISS001\"/>
    </mc:Choice>
  </mc:AlternateContent>
  <bookViews>
    <workbookView xWindow="0" yWindow="0" windowWidth="28800" windowHeight="9750" tabRatio="883"/>
  </bookViews>
  <sheets>
    <sheet name="UNKB0010_H" sheetId="1" r:id="rId1"/>
    <sheet name="UNKB0010_B" sheetId="6" r:id="rId2"/>
    <sheet name="UNKB0010_IF" sheetId="50" r:id="rId3"/>
    <sheet name="UNKB0010_SQL" sheetId="51" r:id="rId4"/>
    <sheet name="UNKB0020_H" sheetId="45" r:id="rId5"/>
    <sheet name="UNKB0020_B" sheetId="46" r:id="rId6"/>
    <sheet name="UNKB0020_IF" sheetId="47" r:id="rId7"/>
    <sheet name="UNKB0020_SQL" sheetId="48" r:id="rId8"/>
    <sheet name="UNKB0020_REPORT" sheetId="52" r:id="rId9"/>
    <sheet name="UNKB0020_REPORT_IF" sheetId="53" r:id="rId10"/>
    <sheet name="UNKB0040_H" sheetId="79" r:id="rId11"/>
    <sheet name="UNKB0040_B" sheetId="80" r:id="rId12"/>
    <sheet name="UNKB0040_IF" sheetId="94" r:id="rId13"/>
    <sheet name="UNKB0040_SQL" sheetId="95" r:id="rId14"/>
    <sheet name="UNKB0050_H" sheetId="81" r:id="rId15"/>
    <sheet name="UNKB0050_B" sheetId="82" r:id="rId16"/>
    <sheet name="UNKB0050_IF" sheetId="98" r:id="rId17"/>
    <sheet name="UNKB0050_SQL" sheetId="97" r:id="rId18"/>
    <sheet name="UNKB0050_REPORT" sheetId="104" r:id="rId19"/>
    <sheet name="UNKB0050_REPORT_IF" sheetId="105" r:id="rId20"/>
    <sheet name="UNKB0080_H" sheetId="106" r:id="rId21"/>
    <sheet name="UNKB0080_B" sheetId="107" r:id="rId22"/>
    <sheet name="UNKB0080_IF" sheetId="108" r:id="rId23"/>
    <sheet name="UNKB0080_SQL" sheetId="109" r:id="rId24"/>
    <sheet name="UNKB0080_REPORT" sheetId="110" r:id="rId25"/>
    <sheet name="UNKB0080_REPORT_IF" sheetId="111" r:id="rId26"/>
    <sheet name="UNKB0090" sheetId="101" r:id="rId27"/>
    <sheet name="UNKB0090_IF" sheetId="102" r:id="rId28"/>
    <sheet name="UNKB0090_SQL" sheetId="103" r:id="rId29"/>
    <sheet name="UNKB0130_H" sheetId="90" r:id="rId30"/>
    <sheet name="UNKB0130_B" sheetId="91" r:id="rId31"/>
    <sheet name="UNKB0130_IF" sheetId="117" r:id="rId32"/>
    <sheet name="UNKB0130_SQL" sheetId="118" r:id="rId33"/>
    <sheet name="UNKB0140_H" sheetId="112" r:id="rId34"/>
    <sheet name="UNKB0140_B" sheetId="113" r:id="rId35"/>
    <sheet name="UNKB0140_IF" sheetId="114" r:id="rId36"/>
    <sheet name="UNKB0140_SQL" sheetId="115" r:id="rId37"/>
    <sheet name="UNKB0140_LABEL" sheetId="116" r:id="rId38"/>
    <sheet name="UNKB0140_RECEIPT" sheetId="119" r:id="rId39"/>
    <sheet name="UNKB_COMMON_SQL" sheetId="2" r:id="rId40"/>
    <sheet name="UNKB_COMMON" sheetId="3" r:id="rId41"/>
    <sheet name="UNKB_YOSAN_CD_IF" sheetId="120" r:id="rId42"/>
    <sheet name="UNKB_JURI_NO_IF" sheetId="121" r:id="rId43"/>
    <sheet name="Excel_Save_H" sheetId="54" r:id="rId44"/>
    <sheet name="Excel_Save_B" sheetId="55" r:id="rId45"/>
  </sheets>
  <functionGroups builtInGroupCount="18"/>
  <definedNames>
    <definedName name="_xlnm.Print_Area" localSheetId="0">UNKB0010_H!$G$1:$Y$12</definedName>
    <definedName name="_xlnm.Print_Area" localSheetId="2">OFFSET(UNKB0010_IF_PRINT_START,-1,0,1+UNKB0010_IF_PRINT_COUNT,COLUMNS(UNKB0010_IF_PRINT_SHOSHIKI_COPY_MOTO))</definedName>
    <definedName name="_xlnm.Print_Area" localSheetId="5">OFFSET(UNKB0020_B_GYO,0,0,1+UNKB0020_B_GYO_COUNT,COLUMNS(UNKB0020_IF_COPY_B_CLEAR))</definedName>
    <definedName name="_xlnm.Print_Area" localSheetId="4">UNKB0020_H!$F$1:$Q$8</definedName>
    <definedName name="_xlnm.Print_Area" localSheetId="8">OFFSET(UNKB0020_REPORT_START,0,0,ROWS(UNKB0020_REPORT_IF_COPY_MOTO)*UNKB0020_REPORT_IF_DATA_KENSU,COLUMNS(UNKB0020_REPORT_IF_COPY_MOTO))</definedName>
    <definedName name="_xlnm.Print_Area" localSheetId="10">UNKB0040_H!$G$1:$V$12</definedName>
    <definedName name="_xlnm.Print_Area" localSheetId="12">OFFSET(UNKB0040_IF_PRINT_START,-1,0,1+UNKB0040_IF_PRINT_COUNT,COLUMNS(UNKB0040_IF_PRINT_SHOSHIKI_COPY_MOTO))</definedName>
    <definedName name="_xlnm.Print_Area" localSheetId="14">UNKB0050_H!$G$1:$Y$12</definedName>
    <definedName name="_xlnm.Print_Area" localSheetId="16">OFFSET(UNKB0050_IF_PRINT_START,-1,0,1+UNKB0050_IF_PRINT_COUNT,COLUMNS(UNKB0050_IF_PRINT_SHOSHIKI_COPY_MOTO))</definedName>
    <definedName name="_xlnm.Print_Area" localSheetId="18">OFFSET(UNKB0050_REPORT_HEADER,0,0,ROWS(UNKB0050_REPORT_HEADER)+UNKB0050_REPORT_IF_PAGE_GYO*ROUNDUP(UNKB0050_REPORT_IF_DATA_KENSU/UNKB0050_REPORT_IF_PAGE_GYO,0),COLUMNS(UNKB0050_REPORT_HEADER))</definedName>
    <definedName name="_xlnm.Print_Area" localSheetId="20">UNKB0080_H!$G$1:$V$13</definedName>
    <definedName name="_xlnm.Print_Area" localSheetId="22">OFFSET(UNKB0080_IF_PRINT_START,-1,0,1+UNKB0080_IF_PRINT_COUNT,COLUMNS(UNKB0080_IF_PRINT_SHOSHIKI_COPY_MOTO))</definedName>
    <definedName name="_xlnm.Print_Area" localSheetId="24">OFFSET(UNKB0080_REPORT_HEADER,0,0,ROWS(UNKB0080_REPORT_HEADER)+UNKB0080_REPORT_IF_KENSU,COLUMNS(UNKB0080_REPORT_HEADER))</definedName>
    <definedName name="_xlnm.Print_Area" localSheetId="29">UNKB0130_H!$G$1:$U$12</definedName>
    <definedName name="_xlnm.Print_Area" localSheetId="31">OFFSET(UNKB0130_IF_EXCEL_START,-1,0,1+UNKB0130_IF_EXCEL_COUNT,COLUMNS(UNKB0130_IF_EXCEL_SHOSHIKI_COPY_MOTO))</definedName>
    <definedName name="_xlnm.Print_Area" localSheetId="34">UNKB0140_B!$F$6:$O$27</definedName>
    <definedName name="_xlnm.Print_Area" localSheetId="33">UNKB0140_H!$F$1:$I$4</definedName>
    <definedName name="_xlnm.Print_Area" localSheetId="37">UNKB0140_LABEL!$A$1:$O$12</definedName>
    <definedName name="_xlnm.Print_Area" localSheetId="38">UNKB0140_RECEIPT!$A$1:$J$15</definedName>
    <definedName name="_xlnm.Print_Titles" localSheetId="18">UNKB0050_REPORT!$1:$7</definedName>
    <definedName name="_xlnm.Print_Titles" localSheetId="24">UNKB0080_REPORT!$1:$4</definedName>
    <definedName name="UNKB_COMMON_ACTIVE_SHEET_NAME">UNKB_COMMON!$D$4</definedName>
    <definedName name="UNKB_COMMON_CHANGE_CHECK">UNKB_COMMON!$D$2</definedName>
    <definedName name="UNKB_COMMON_CHANGE_CHECK_AREA">UNKB_COMMON!$D$7:$F$9</definedName>
    <definedName name="UNKB_COMMON_SQL_BUSHO_SEARCH">UNKB_COMMON_SQL!$D$16</definedName>
    <definedName name="UNKB_COMMON_SQL_HOKAN_BASHO_SEARCH">UNKB_COMMON_SQL!$D$22</definedName>
    <definedName name="UNKB_COMMON_SQL_IRAI_NO_SEARCH">UNKB_COMMON_SQL!$D$12</definedName>
    <definedName name="UNKB_COMMON_SQL_JURI_NO_SEARCH">UNKB_COMMON_SQL!$D$10</definedName>
    <definedName name="UNKB_COMMON_SQL_KOBAI_KBN_SEARCH">UNKB_COMMON_SQL!$D$19</definedName>
    <definedName name="UNKB_COMMON_SQL_KOBAI_NO_SEARCH">UNKB_COMMON_SQL!$D$11</definedName>
    <definedName name="UNKB_COMMON_SQL_KOBAI_STS_SEARCH">UNKB_COMMON_SQL!$D$18</definedName>
    <definedName name="UNKB_COMMON_SQL_KOBAIHIN_SEARCH">UNKB_COMMON_SQL!$D$15</definedName>
    <definedName name="UNKB_COMMON_SQL_MAKER_SEARCH">UNKB_COMMON_SQL!$D$21</definedName>
    <definedName name="UNKB_COMMON_SQL_NYUSHUKKO_NO_SEARCH">UNKB_COMMON_SQL!$D$13</definedName>
    <definedName name="UNKB_COMMON_SQL_SELECT_CTRL_HYOJI_GYO_SU">UNKB_COMMON_SQL!$D$2</definedName>
    <definedName name="UNKB_COMMON_SQL_SELECT_TAX_RATE">UNKB_COMMON_SQL!$D$3</definedName>
    <definedName name="UNKB_COMMON_SQL_SHAIN_SEARCH">UNKB_COMMON_SQL!$D$8</definedName>
    <definedName name="UNKB_COMMON_SQL_SHIIRESAKI_SEARCH">UNKB_COMMON_SQL!$D$9</definedName>
    <definedName name="UNKB_COMMON_SQL_YOSAN_SEARCH">UNKB_COMMON_SQL!$D$17</definedName>
    <definedName name="UNKB_JURI_NO_IF_KENSU">UNKB_JURI_NO_IF!$C$4</definedName>
    <definedName name="UNKB_JURI_NO_IF_LIST">OFFSET(UNKB_JURI_NO_IF_START,,,IF(UNKB_JURI_NO_IF_KENSU=0,1,UNKB_JURI_NO_IF_KENSU),1)</definedName>
    <definedName name="UNKB_JURI_NO_IF_START">UNKB_JURI_NO_IF!$B$7</definedName>
    <definedName name="UNKB_YOSAN_CD_IF_KENSU">UNKB_YOSAN_CD_IF!$C$4</definedName>
    <definedName name="UNKB_YOSAN_CD_IF_LIST">OFFSET(UNKB_YOSAN_CD_IF_START,,,IF(UNKB_YOSAN_CD_IF_KENSU=0,1,UNKB_YOSAN_CD_IF_KENSU),1)</definedName>
    <definedName name="UNKB_YOSAN_CD_IF_START">UNKB_YOSAN_CD_IF!$B$7</definedName>
    <definedName name="UNKB0010_B_ALERT">UNKB0010_B!$J$16</definedName>
    <definedName name="UNKB0010_B_ALL_KENSU">UNKB0010_B!$D$20</definedName>
    <definedName name="UNKB0010_B_ALL_PAGE_SU">UNKB0010_B!$D$22</definedName>
    <definedName name="UNKB0010_B_BACK_PAGE">UNKB0010_B!$D$34</definedName>
    <definedName name="UNKB0010_B_BACK_PAGE_NO">UNKB0010_B!$D$33</definedName>
    <definedName name="UNKB0010_B_BARA_TANI">UNKB0010_B!$Q$16</definedName>
    <definedName name="UNKB0010_B_BIKO">UNKB0010_B!$AF$16</definedName>
    <definedName name="UNKB0010_B_DEL_DISP">UNKB0010_B!$AI$16</definedName>
    <definedName name="UNKB0010_B_DEL_FLG">UNKB0010_B!$AM$16</definedName>
    <definedName name="UNKB0010_B_FREEWD">UNKB0010_B!$AN$16</definedName>
    <definedName name="UNKB0010_B_HIDE_COLUMN">UNKB0010_B!$D$17</definedName>
    <definedName name="UNKB0010_B_HIDE_ROW">UNKB0010_B!$D$16</definedName>
    <definedName name="UNKB0010_B_HOKAN_BASHO">UNKB0010_B!$Y$16</definedName>
    <definedName name="UNKB0010_B_HYOJI_GYO_SU">UNKB0010_B!$D$24</definedName>
    <definedName name="UNKB0010_B_HYOJI_KENSU">UNKB0010_B!$D$23</definedName>
    <definedName name="UNKB0010_B_IRAI_NO">UNKB0010_B!$AH$16</definedName>
    <definedName name="UNKB0010_B_IRISU">UNKB0010_B!$P$16</definedName>
    <definedName name="UNKB0010_B_IRISU_TANI">UNKB0010_B!$S$16</definedName>
    <definedName name="UNKB0010_B_JURI_NO">UNKB0010_B!$AE$16</definedName>
    <definedName name="UNKB0010_B_KENSHU_DATE">UNKB0010_B!$X$16</definedName>
    <definedName name="UNKB0010_B_KOBAI_KBN_CD">UNKB0010_B!$AJ$16</definedName>
    <definedName name="UNKB0010_B_KOBAI_KBN_MEI">UNKB0010_B!$M$16</definedName>
    <definedName name="UNKB0010_B_KOBAI_NO">UNKB0010_B!$AG$16</definedName>
    <definedName name="UNKB0010_B_KOBAI_SEQ">UNKB0010_B!$AO$16</definedName>
    <definedName name="UNKB0010_B_KOBAIHIN_CD">UNKB0010_B!$H$16</definedName>
    <definedName name="UNKB0010_B_KOBAIHIN_MEI">UNKB0010_B!$I$16</definedName>
    <definedName name="UNKB0010_B_LIST_CLEAR">UNKB0010_B!$D$30</definedName>
    <definedName name="UNKB0010_B_LIST_COPY_FLAG">UNKB0010_B!$D$28</definedName>
    <definedName name="UNKB0010_B_LIST_COPY_SAKI">UNKB0010_B!$D$29</definedName>
    <definedName name="UNKB0010_B_LIST_END">UNKB0010_B!$D$27</definedName>
    <definedName name="UNKB0010_B_LIST_START">UNKB0010_B!$D$26</definedName>
    <definedName name="UNKB0010_B_MAKER_CD">UNKB0010_B!$AB$16</definedName>
    <definedName name="UNKB0010_B_MAKER_MEI">UNKB0010_B!$AC$16</definedName>
    <definedName name="UNKB0010_B_NEXT_PAGE">UNKB0010_B!$D$35</definedName>
    <definedName name="UNKB0010_B_NEXT_PAGE_NO">UNKB0010_B!$D$32</definedName>
    <definedName name="UNKB0010_B_NOKI">UNKB0010_B!$V$16</definedName>
    <definedName name="UNKB0010_B_PAGE_NO">UNKB0010_B!$D$21</definedName>
    <definedName name="UNKB0010_B_SCROLL_LOCK">UNKB0010_B!$D$18</definedName>
    <definedName name="UNKB0010_B_SELECT_KOBAI_NO">UNKB0010_B!$D$38</definedName>
    <definedName name="UNKB0010_B_SELECT_KOBAI_SEQ">UNKB0010_B!$D$39</definedName>
    <definedName name="UNKB0010_B_SELECT_ROW_NO">UNKB0010_B!$D$37</definedName>
    <definedName name="UNKB0010_B_SENTAKU">UNKB0010_B!$G$16</definedName>
    <definedName name="UNKB0010_B_SHIIRESAKI_CD">UNKB0010_B!$Z$16</definedName>
    <definedName name="UNKB0010_B_SHIIRESAKI_MEI">UNKB0010_B!$AA$16</definedName>
    <definedName name="UNKB0010_B_SHINSEI_DATETIME">UNKB0010_B!$L$16</definedName>
    <definedName name="UNKB0010_B_SHINSEISHA_CD">UNKB0010_B!$AL$16</definedName>
    <definedName name="UNKB0010_B_SHINSEISHA_MEI">UNKB0010_B!$K$16</definedName>
    <definedName name="UNKB0010_B_SOSU">UNKB0010_B!$T$16</definedName>
    <definedName name="UNKB0010_B_STS_CD">UNKB0010_B!$AK$16</definedName>
    <definedName name="UNKB0010_B_STS_MEI">UNKB0010_B!$N$16</definedName>
    <definedName name="UNKB0010_B_SURYO">UNKB0010_B!$R$16</definedName>
    <definedName name="UNKB0010_B_TANKA">UNKB0010_B!$O$16</definedName>
    <definedName name="UNKB0010_B_TOTAL">UNKB0010_B!$U$16</definedName>
    <definedName name="UNKB0010_B_UKEIRE_DATE">UNKB0010_B!$W$16</definedName>
    <definedName name="UNKB0010_B_YOSAN_CD">UNKB0010_B!$AD$16</definedName>
    <definedName name="UNKB0010_H_CHUMONSHO_STS">UNKB0010_H!$E$14</definedName>
    <definedName name="UNKB0010_H_CHUMONSHO_STS_S">UNKB0010_H!$E$37</definedName>
    <definedName name="UNKB0010_H_COPY_CELL_SAKI">UNKB0010_H!$I$6:$X$11</definedName>
    <definedName name="UNKB0010_H_DEL_FLG">UNKB0010_H!$E$19</definedName>
    <definedName name="UNKB0010_H_DEL_FLG_S">UNKB0010_H!$E$42</definedName>
    <definedName name="UNKB0010_H_FREEWD_1">UNKB0010_H!$I$11</definedName>
    <definedName name="UNKB0010_H_FREEWD_1_S">UNKB0010_H!$E$63</definedName>
    <definedName name="UNKB0010_H_FREEWD_2">UNKB0010_H!$L$11</definedName>
    <definedName name="UNKB0010_H_FREEWD_2_S">UNKB0010_H!$E$64</definedName>
    <definedName name="UNKB0010_H_FREEWD_3">UNKB0010_H!$O$11</definedName>
    <definedName name="UNKB0010_H_FREEWD_3_S">UNKB0010_H!$E$65</definedName>
    <definedName name="UNKB0010_H_FREEWD_KBN">UNKB0010_H!$E$25</definedName>
    <definedName name="UNKB0010_H_FREEWD_KBN_DISP">UNKB0010_H!$K$11</definedName>
    <definedName name="UNKB0010_H_FREEWD_KBN_S">UNKB0010_H!$E$66</definedName>
    <definedName name="UNKB0010_H_GAICHU_KBN">UNKB0010_H!$E$8</definedName>
    <definedName name="UNKB0010_H_GAICHU_KBN_S">UNKB0010_H!$E$31</definedName>
    <definedName name="UNKB0010_H_HANBAI_KBN">UNKB0010_H!$E$11</definedName>
    <definedName name="UNKB0010_H_HANBAI_KBN_S">UNKB0010_H!$E$34</definedName>
    <definedName name="UNKB0010_H_HIDE_COLUMN">UNKB0010_H!$E$3</definedName>
    <definedName name="UNKB0010_H_HIDE_ROW">UNKB0010_H!$E$2</definedName>
    <definedName name="UNKB0010_H_ICHIBU_STS">UNKB0010_H!$E$15</definedName>
    <definedName name="UNKB0010_H_ICHIBU_STS_S">UNKB0010_H!$E$38</definedName>
    <definedName name="UNKB0010_H_INIT_HEADER_FLG_COPY_SAKI">UNKB0010_H!$E$7:$E$25</definedName>
    <definedName name="UNKB0010_H_IRAICHU_STS">UNKB0010_H!$E$13</definedName>
    <definedName name="UNKB0010_H_IRAICHU_STS_S">UNKB0010_H!$E$36</definedName>
    <definedName name="UNKB0010_H_JIGO_STS">UNKB0010_H!$E$18</definedName>
    <definedName name="UNKB0010_H_JIGO_STS_S">UNKB0010_H!$E$41</definedName>
    <definedName name="UNKB0010_H_JURI_NO">UNKB0010_H!$Q$8</definedName>
    <definedName name="UNKB0010_H_JURI_NO_S">UNKB0010_H!$E$54</definedName>
    <definedName name="UNKB0010_H_KENSHU_DATE_END">UNKB0010_H!$L$9</definedName>
    <definedName name="UNKB0010_H_KENSHU_DATE_END_S">UNKB0010_H!$E$50</definedName>
    <definedName name="UNKB0010_H_KENSHU_DATE_START">UNKB0010_H!$I$9</definedName>
    <definedName name="UNKB0010_H_KENSHU_DATE_START_S">UNKB0010_H!$E$49</definedName>
    <definedName name="UNKB0010_H_KENSHU_STS">UNKB0010_H!$E$17</definedName>
    <definedName name="UNKB0010_H_KENSHU_STS_S">UNKB0010_H!$E$40</definedName>
    <definedName name="UNKB0010_H_KOBAI_NO">UNKB0010_H!$Q$6</definedName>
    <definedName name="UNKB0010_H_KOBAI_NO_S">UNKB0010_H!$E$51</definedName>
    <definedName name="UNKB0010_H_KOBAIHIN_CD">UNKB0010_H!$U$6</definedName>
    <definedName name="UNKB0010_H_KOBAIHIN_CD_S">UNKB0010_H!$E$57</definedName>
    <definedName name="UNKB0010_H_KOBAIHIN_KBN">UNKB0010_H!$E$7</definedName>
    <definedName name="UNKB0010_H_KOBAIHIN_KBN_S">UNKB0010_H!$E$30</definedName>
    <definedName name="UNKB0010_H_KOBAIHIN_MEI">UNKB0010_H!$E$22</definedName>
    <definedName name="UNKB0010_H_KOBAIHIN_MEI_S">UNKB0010_H!$E$58</definedName>
    <definedName name="UNKB0010_H_MAKER_CD">UNKB0010_H!$U$8</definedName>
    <definedName name="UNKB0010_H_MAKER_CD_S">UNKB0010_H!$E$61</definedName>
    <definedName name="UNKB0010_H_MAKER_MEI">UNKB0010_H!$E$24</definedName>
    <definedName name="UNKB0010_H_MAKER_MEI_S">UNKB0010_H!$E$62</definedName>
    <definedName name="UNKB0010_H_MISHONIN_STS">UNKB0010_H!$E$12</definedName>
    <definedName name="UNKB0010_H_MISHONIN_STS_S">UNKB0010_H!$E$35</definedName>
    <definedName name="UNKB0010_H_NOKI_END">UNKB0010_H!$L$7</definedName>
    <definedName name="UNKB0010_H_NOKI_END_S">UNKB0010_H!$E$46</definedName>
    <definedName name="UNKB0010_H_NOKI_START">UNKB0010_H!$I$7</definedName>
    <definedName name="UNKB0010_H_NOKI_START_S">UNKB0010_H!$E$45</definedName>
    <definedName name="UNKB0010_H_NYUKA_STS">UNKB0010_H!$E$16</definedName>
    <definedName name="UNKB0010_H_NYUKA_STS_S">UNKB0010_H!$E$39</definedName>
    <definedName name="UNKB0010_H_SHIIRE_CD">UNKB0010_H!$U$7</definedName>
    <definedName name="UNKB0010_H_SHIIRE_CD_S">UNKB0010_H!$E$59</definedName>
    <definedName name="UNKB0010_H_SHIIRE_MEI">UNKB0010_H!$E$23</definedName>
    <definedName name="UNKB0010_H_SHIIRE_MEI_S">UNKB0010_H!$E$60</definedName>
    <definedName name="UNKB0010_H_SHINSEI_DATE_END">UNKB0010_H!$L$6</definedName>
    <definedName name="UNKB0010_H_SHINSEI_DATE_END_S">UNKB0010_H!$E$44</definedName>
    <definedName name="UNKB0010_H_SHINSEI_DATE_START">UNKB0010_H!$I$6</definedName>
    <definedName name="UNKB0010_H_SHINSEI_DATE_START_S">UNKB0010_H!$E$43</definedName>
    <definedName name="UNKB0010_H_SHINSEISHA_CD">UNKB0010_H!$E$20</definedName>
    <definedName name="UNKB0010_H_SHINSEISHA_CD_S">UNKB0010_H!$E$52</definedName>
    <definedName name="UNKB0010_H_SHINSEISHA_MEI">UNKB0010_H!$Q$7</definedName>
    <definedName name="UNKB0010_H_SHINSEISHA_MEI_S">UNKB0010_H!$E$53</definedName>
    <definedName name="UNKB0010_H_SHUZEN_KBN">UNKB0010_H!$E$9</definedName>
    <definedName name="UNKB0010_H_SHUZEN_KBN_S">UNKB0010_H!$E$32</definedName>
    <definedName name="UNKB0010_H_TOSHI_KBN">UNKB0010_H!$E$10</definedName>
    <definedName name="UNKB0010_H_TOSHI_KBN_S">UNKB0010_H!$E$33</definedName>
    <definedName name="UNKB0010_H_UKEIRE_DATE_END">UNKB0010_H!$L$8</definedName>
    <definedName name="UNKB0010_H_UKEIRE_DATE_END_S">UNKB0010_H!$E$48</definedName>
    <definedName name="UNKB0010_H_UKEIRE_DATE_START">UNKB0010_H!$I$8</definedName>
    <definedName name="UNKB0010_H_UKEIRE_DATE_START_S">UNKB0010_H!$E$47</definedName>
    <definedName name="UNKB0010_H_YOSAN_CD">UNKB0010_H!$Q$9</definedName>
    <definedName name="UNKB0010_H_YOSAN_CD_S">UNKB0010_H!$E$55</definedName>
    <definedName name="UNKB0010_H_YOSAN_MEI">UNKB0010_H!$E$21</definedName>
    <definedName name="UNKB0010_H_YOSAN_MEI_S">UNKB0010_H!$E$56</definedName>
    <definedName name="UNKB0010_IF_ACTIVE_CELL_NAME">UNKB0010_IF!$D$25</definedName>
    <definedName name="UNKB0010_IF_ACTIVE_COLUMN">UNKB0010_IF!$D$23</definedName>
    <definedName name="UNKB0010_IF_ACTIVE_ROW">UNKB0010_IF!$D$22</definedName>
    <definedName name="UNKB0010_IF_ACTIVE_SHEET">UNKB0010_IF!$D$21</definedName>
    <definedName name="UNKB0010_IF_DATA_SEARCH_FLG">UNKB0010_IF!$D$9</definedName>
    <definedName name="UNKB0010_IF_EXCEL_FILE_NAME">UNKB0010_IF!$BL$10</definedName>
    <definedName name="UNKB0010_IF_INIT_HEADER_COPY_MOTO">UNKB0010_IF!$AR$3:$BG$8</definedName>
    <definedName name="UNKB0010_IF_INIT_HEADER_FLG_COPY_MOTO">UNKB0010_IF!$AO$5:$AO$23</definedName>
    <definedName name="UNKB0010_IF_KOBAI_NO">UNKB0010_IF!$D$10</definedName>
    <definedName name="UNKB0010_IF_KOBAI_SEQ">UNKB0010_IF!$D$11</definedName>
    <definedName name="UNKB0010_IF_LIST_COPY_MOTO">UNKB0010_IF!$D$5:$AL$5</definedName>
    <definedName name="UNKB0010_IF_LIST_DEFAULT">UNKB0010_IF!$D$4:$AL$4</definedName>
    <definedName name="UNKB0010_IF_MODE">UNKB0010_IF!$D$18</definedName>
    <definedName name="UNKB0010_IF_PRINT_COUNT">UNKB0010_IF!$BL$6</definedName>
    <definedName name="UNKB0010_IF_PRINT_SHOSHIKI_COPY_FLAG">UNKB0010_IF!$BL$8</definedName>
    <definedName name="UNKB0010_IF_PRINT_SHOSHIKI_COPY_MOTO">UNKB0010_IF!$BN$3:$DE$3</definedName>
    <definedName name="UNKB0010_IF_PRINT_SHOSHIKI_COPY_SAKI">UNKB0010_IF!$BL$7</definedName>
    <definedName name="UNKB0010_IF_PRINT_START">UNKB0010_IF!$BN$5</definedName>
    <definedName name="UNKB0010_IF_W_SERIAL">UNKB0010_IF!$D$15</definedName>
    <definedName name="UNKB0010_IF_W_SERIAL_CREATE">UNKB0010_IF!$D$16</definedName>
    <definedName name="UNKB0010_IF_W_USER_ID">UNKB0010_IF!$D$14</definedName>
    <definedName name="UNKB0010_SQL_DEFAULT_SORT">UNKB0010_SQL!$F$61</definedName>
    <definedName name="UNKB0010_SQL_EXCEL_LIST">UNKB0010_SQL!$F$9</definedName>
    <definedName name="UNKB0010_SQL_SEARCH_LIST">UNKB0010_SQL!$F$6</definedName>
    <definedName name="UNKB0010_SQL_SEARCH_LIST_CNT">UNKB0010_SQL!$F$12</definedName>
    <definedName name="UNKB0010_SQL_SORT">UNKB0010_SQL!$F$52</definedName>
    <definedName name="UNKB0010_SQL_SORT_BY">UNKB0010_SQL!$F$57</definedName>
    <definedName name="UNKB0020_B_ALERT">UNKB0020_B!$H$26</definedName>
    <definedName name="UNKB0020_B_BARA_TANI">UNKB0020_B!$AB$26</definedName>
    <definedName name="UNKB0020_B_BARA_TANI_TENKAI">UNKB0020_B!$D$43</definedName>
    <definedName name="UNKB0020_B_BIKO">UNKB0020_B!$AO$26</definedName>
    <definedName name="UNKB0020_B_COPY_GYO_SUSHIKI">UNKB0020_B!$D$62</definedName>
    <definedName name="UNKB0020_B_COPY_GYO_SUSHIKI_MOTO">UNKB0020_B!$D$61</definedName>
    <definedName name="UNKB0020_B_COPY_MAKER_MEI_SUSHIKI">UNKB0020_B!$D$66</definedName>
    <definedName name="UNKB0020_B_COPY_MOTO_AREA">UNKB0020_B!$D$59</definedName>
    <definedName name="UNKB0020_B_COPY_MOTO_NAME">UNKB0020_B!$D$58</definedName>
    <definedName name="UNKB0020_B_COPY_SAKI_AREA">UNKB0020_B!$D$60</definedName>
    <definedName name="UNKB0020_B_COPY_SHIIRE_MEI_SUSHIKI">UNKB0020_B!$D$65</definedName>
    <definedName name="UNKB0020_B_COPY_SOSU_SUSHIKI">UNKB0020_B!$D$63</definedName>
    <definedName name="UNKB0020_B_COPY_TOTAL_KINGAKU_SUSHIKI">UNKB0020_B!$D$64</definedName>
    <definedName name="UNKB0020_B_GYO">UNKB0020_B!$G$26</definedName>
    <definedName name="UNKB0020_B_GYO_COUNT">UNKB0020_B!$D$33</definedName>
    <definedName name="UNKB0020_B_GYO_DECREMENT">UNKB0020_B!$D$35</definedName>
    <definedName name="UNKB0020_B_GYO_INCREMENT">UNKB0020_B!$D$34</definedName>
    <definedName name="UNKB0020_B_HIDE_COLUMN">UNKB0020_B!$D$27</definedName>
    <definedName name="UNKB0020_B_HIDE_ROW">UNKB0020_B!$D$26</definedName>
    <definedName name="UNKB0020_B_HOKAN_BASHO">UNKB0020_B!$AH$26</definedName>
    <definedName name="UNKB0020_B_HOKAN_BASHO_KBN">UNKB0020_B!$M$26</definedName>
    <definedName name="UNKB0020_B_HOKAN_BASHO_KBN_TENKAI">UNKB0020_B!$D$44</definedName>
    <definedName name="UNKB0020_B_HOKAN_BASHO_TENKAI">UNKB0020_B!$D$45</definedName>
    <definedName name="UNKB0020_B_HYOJUN_NOKI">UNKB0020_B!$S$26</definedName>
    <definedName name="UNKB0020_B_IRAI_NO">UNKB0020_B!$AQ$26</definedName>
    <definedName name="UNKB0020_B_IRISU">UNKB0020_B!$AA$26</definedName>
    <definedName name="UNKB0020_B_IRISU_TANI">UNKB0020_B!$AD$26</definedName>
    <definedName name="UNKB0020_B_JOGAI_CHECK">UNKB0020_B!$I$26</definedName>
    <definedName name="UNKB0020_B_JOGAI_FLG">UNKB0020_B!$J$26</definedName>
    <definedName name="UNKB0020_B_JURI_NO">UNKB0020_B!$AN$26</definedName>
    <definedName name="UNKB0020_B_JURI_NO_TENKAI">UNKB0020_B!$D$53</definedName>
    <definedName name="UNKB0020_B_KOBAIHIN_CD">UNKB0020_B!$X$26</definedName>
    <definedName name="UNKB0020_B_KOBAIHIN_CD_TENKAI">UNKB0020_B!$D$37</definedName>
    <definedName name="UNKB0020_B_KOBAIHIN_KBN">UNKB0020_B!$W$26</definedName>
    <definedName name="UNKB0020_B_KOBAIHIN_MEI">UNKB0020_B!$Y$26</definedName>
    <definedName name="UNKB0020_B_KOBAIHIN_MEI_TENKAI">UNKB0020_B!$D$38</definedName>
    <definedName name="UNKB0020_B_LAST_SHINSEI_DATE">UNKB0020_B!$T$26</definedName>
    <definedName name="UNKB0020_B_LIST_CLEAR_AREA">UNKB0020_B!$D$67</definedName>
    <definedName name="UNKB0020_B_LIST_DELETE_AREA">UNKB0020_B!$D$70</definedName>
    <definedName name="UNKB0020_B_LIST_INSERT_AREA">UNKB0020_B!$D$69</definedName>
    <definedName name="UNKB0020_B_LIST_INSERT_SELECT_CELL">UNKB0020_B!$D$71</definedName>
    <definedName name="UNKB0020_B_LIST_START">UNKB0020_B!$D$31</definedName>
    <definedName name="UNKB0020_B_MAKER_CD">UNKB0020_B!$AK$26</definedName>
    <definedName name="UNKB0020_B_MAKER_CD_TENKAI">UNKB0020_B!$D$49</definedName>
    <definedName name="UNKB0020_B_MAKER_MEI">UNKB0020_B!$P$26</definedName>
    <definedName name="UNKB0020_B_MAKER_MEI_DISP">UNKB0020_B!$AL$26</definedName>
    <definedName name="UNKB0020_B_MAKER_MEI_TENKAI">UNKB0020_B!$D$50</definedName>
    <definedName name="UNKB0020_B_MULTI_SELECT_COPY_GYO_SUSHIKI">UNKB0020_B!$D$74</definedName>
    <definedName name="UNKB0020_B_MULTI_SELECT_COPY_SAKI">UNKB0020_B!$D$73</definedName>
    <definedName name="UNKB0020_B_NOKI">UNKB0020_B!$AG$26</definedName>
    <definedName name="UNKB0020_B_NOKI_TENKAI">UNKB0020_B!$D$56</definedName>
    <definedName name="UNKB0020_B_SCROLL_LOCK">UNKB0020_B!$D$28</definedName>
    <definedName name="UNKB0020_B_SEQ">UNKB0020_B!$K$26</definedName>
    <definedName name="UNKB0020_B_SHIIRE_CD">UNKB0020_B!$AI$26</definedName>
    <definedName name="UNKB0020_B_SHIIRE_CD_TENKAI">UNKB0020_B!$D$46</definedName>
    <definedName name="UNKB0020_B_SHIIRE_HASU_KBN">UNKB0020_B!$Q$26</definedName>
    <definedName name="UNKB0020_B_SHIIRE_HASU_KBN_TENKAI">UNKB0020_B!$D$48</definedName>
    <definedName name="UNKB0020_B_SHIIRE_IRISU_TANI_TENKAI">UNKB0020_B!$D$42</definedName>
    <definedName name="UNKB0020_B_SHIIRE_IRISU_TENKAI">UNKB0020_B!$D$41</definedName>
    <definedName name="UNKB0020_B_SHIIRE_MEI">UNKB0020_B!$O$26</definedName>
    <definedName name="UNKB0020_B_SHIIRE_MEI_DISP">UNKB0020_B!$AJ$26</definedName>
    <definedName name="UNKB0020_B_SHIIRE_MEI_TENKAI">UNKB0020_B!$D$47</definedName>
    <definedName name="UNKB0020_B_SHIIRE_TANKA_TENKAI">UNKB0020_B!$D$40</definedName>
    <definedName name="UNKB0020_B_SHIKIICHI">UNKB0020_B!$R$26</definedName>
    <definedName name="UNKB0020_B_SHIYAKU_FLG">UNKB0020_B!$V$26</definedName>
    <definedName name="UNKB0020_B_SHIYAKU_FLG_TENKAI">UNKB0020_B!$D$39</definedName>
    <definedName name="UNKB0020_B_SHOHIN_BUNRUI_KBN">UNKB0020_B!$U$26</definedName>
    <definedName name="UNKB0020_B_SOSU">UNKB0020_B!$AE$26</definedName>
    <definedName name="UNKB0020_B_STS">UNKB0020_B!$AP$26</definedName>
    <definedName name="UNKB0020_B_STS_CD">UNKB0020_B!$L$26</definedName>
    <definedName name="UNKB0020_B_STS_CD_TENKAI">UNKB0020_B!$D$54</definedName>
    <definedName name="UNKB0020_B_STS_TENKAI">UNKB0020_B!$D$55</definedName>
    <definedName name="UNKB0020_B_SURYO">UNKB0020_B!$AC$26</definedName>
    <definedName name="UNKB0020_B_TANKA">UNKB0020_B!$Z$26</definedName>
    <definedName name="UNKB0020_B_TOTAL_KINGAKU">UNKB0020_B!$AF$26</definedName>
    <definedName name="UNKB0020_B_YOSAN_CD">UNKB0020_B!$AM$26</definedName>
    <definedName name="UNKB0020_B_YOSAN_CD_MEI">UNKB0020_B!$N$26</definedName>
    <definedName name="UNKB0020_B_YOSAN_CD_TENKAI">UNKB0020_B!$D$51</definedName>
    <definedName name="UNKB0020_B_YOSAN_MEI_TENKAI">UNKB0020_B!$D$52</definedName>
    <definedName name="UNKB0020_H_CD_COPY_SAKI">UNKB0020_H!$D$8:$D$10</definedName>
    <definedName name="UNKB0020_H_COPY_SAKI">UNKB0020_H!$H$3:$P$4</definedName>
    <definedName name="UNKB0020_H_HIDE_COLUMN">UNKB0020_H!$D$3</definedName>
    <definedName name="UNKB0020_H_HIDE_ROW">UNKB0020_H!$D$2</definedName>
    <definedName name="UNKB0020_H_KOBAI_KBN">UNKB0020_H!$K$4</definedName>
    <definedName name="UNKB0020_H_KOBAI_KBN_CD">UNKB0020_H!$D$10</definedName>
    <definedName name="UNKB0020_H_KOBAI_NO">UNKB0020_H!$H$4</definedName>
    <definedName name="UNKB0020_H_KOMI_TOTAL">UNKB0020_H!$K$7</definedName>
    <definedName name="UNKB0020_H_NUKI_TOTAL">UNKB0020_H!$I$7</definedName>
    <definedName name="UNKB0020_H_SHINSEI_DATETIME">UNKB0020_H!$D$9</definedName>
    <definedName name="UNKB0020_H_SHINSEI_GAIYO">UNKB0020_H!$K$3</definedName>
    <definedName name="UNKB0020_H_SHINSEISHA_CD">UNKB0020_H!$D$8</definedName>
    <definedName name="UNKB0020_H_SHINSEISHA_MEI">UNKB0020_H!$H$3</definedName>
    <definedName name="UNKB0020_H_TAX">UNKB0020_H!$J$7</definedName>
    <definedName name="UNKB0020_H_TAX_RATE">UNKB0020_H!$D$5</definedName>
    <definedName name="UNKB0020_IF_ACTIVE_CELL_NAME">UNKB0020_IF!$D$21</definedName>
    <definedName name="UNKB0020_IF_ACTIVE_COLUMN">UNKB0020_IF!$D$20</definedName>
    <definedName name="UNKB0020_IF_ACTIVE_ROW">UNKB0020_IF!$D$19</definedName>
    <definedName name="UNKB0020_IF_ACTIVE_SHEET">UNKB0020_IF!$D$18</definedName>
    <definedName name="UNKB0020_IF_BUTTON_04_HYOJI">UNKB0020_IF!$D$30</definedName>
    <definedName name="UNKB0020_IF_BUTTON_05_ERROR">UNKB0020_IF!$D$46</definedName>
    <definedName name="UNKB0020_IF_BUTTON_05_ERROR_MSG">UNKB0020_IF!$D$51</definedName>
    <definedName name="UNKB0020_IF_BUTTON_05_HYOJI">UNKB0020_IF!$D$31</definedName>
    <definedName name="UNKB0020_IF_BUTTON_06_HYOJI">UNKB0020_IF!$D$32</definedName>
    <definedName name="UNKB0020_IF_BUTTON_06_NAME">UNKB0020_IF!$D$25</definedName>
    <definedName name="UNKB0020_IF_BUTTON_07_ERROR">UNKB0020_IF!$D$47</definedName>
    <definedName name="UNKB0020_IF_BUTTON_07_ERROR_MSG">UNKB0020_IF!$D$52</definedName>
    <definedName name="UNKB0020_IF_BUTTON_07_HYOJI">UNKB0020_IF!$D$33</definedName>
    <definedName name="UNKB0020_IF_BUTTON_09_HYOJI">UNKB0020_IF!$D$34</definedName>
    <definedName name="UNKB0020_IF_BUTTON_10_HYOJI">UNKB0020_IF!$D$35</definedName>
    <definedName name="UNKB0020_IF_BUTTON_10_NAME">UNKB0020_IF!$D$26</definedName>
    <definedName name="UNKB0020_IF_BUTTON_11_ERROR">UNKB0020_IF!$D$43</definedName>
    <definedName name="UNKB0020_IF_BUTTON_11_ERROR_MSG">UNKB0020_IF!$D$48</definedName>
    <definedName name="UNKB0020_IF_BUTTON_11_HYOJI">UNKB0020_IF!$D$36</definedName>
    <definedName name="UNKB0020_IF_BUTTON_12_ERROR">UNKB0020_IF!$D$44</definedName>
    <definedName name="UNKB0020_IF_BUTTON_12_ERROR_MSG">UNKB0020_IF!$D$49</definedName>
    <definedName name="UNKB0020_IF_BUTTON_12_HYOJI">UNKB0020_IF!$D$37</definedName>
    <definedName name="UNKB0020_IF_BUTTON_14_ERROR">UNKB0020_IF!$D$45</definedName>
    <definedName name="UNKB0020_IF_BUTTON_14_ERROR_MSG">UNKB0020_IF!$D$50</definedName>
    <definedName name="UNKB0020_IF_BUTTON_14_HYOJI">UNKB0020_IF!$D$38</definedName>
    <definedName name="UNKB0020_IF_BUTTON_19_HYOJI">UNKB0020_IF!$D$39</definedName>
    <definedName name="UNKB0020_IF_BUTTON_20_HYOJI">UNKB0020_IF!$D$40</definedName>
    <definedName name="UNKB0020_IF_CD_COPY_MOTO">UNKB0020_IF!$AA$4:$AA$6</definedName>
    <definedName name="UNKB0020_IF_COPY_B_1">UNKB0020_IF!$AE$5:$BO$5</definedName>
    <definedName name="UNKB0020_IF_COPY_B_2">UNKB0020_IF!$AE$9:$BO$9</definedName>
    <definedName name="UNKB0020_IF_COPY_B_3">UNKB0020_IF!$AE$13:$BO$13</definedName>
    <definedName name="UNKB0020_IF_COPY_B_4">UNKB0020_IF!$AE$17:$BO$17</definedName>
    <definedName name="UNKB0020_IF_COPY_B_5">UNKB0020_IF!$AE$21:$BO$21</definedName>
    <definedName name="UNKB0020_IF_COPY_B_CLEAR">UNKB0020_IF!$AE$29:$BO$29</definedName>
    <definedName name="UNKB0020_IF_COPY_B_GYO_SUSHIKI">UNKB0020_IF!$AE$5:$AG$5</definedName>
    <definedName name="UNKB0020_IF_COPY_B_GYO_SUSHIKI_SANSHO">UNKB0020_IF!$AE$25:$AG$25</definedName>
    <definedName name="UNKB0020_IF_COPY_B_MAKER_MEI_SUSHIKI">UNKB0020_IF!$BJ$5</definedName>
    <definedName name="UNKB0020_IF_COPY_B_SANSHO">UNKB0020_IF!$AE$25:$BO$25</definedName>
    <definedName name="UNKB0020_IF_COPY_B_SHIIRE_MEI_SUSHIKI">UNKB0020_IF!$BH$5</definedName>
    <definedName name="UNKB0020_IF_COPY_B_SOSU_SUSHIKI">UNKB0020_IF!$BC$5</definedName>
    <definedName name="UNKB0020_IF_COPY_B_STS_MEI_1">UNKB0020_IF!$BN$5</definedName>
    <definedName name="UNKB0020_IF_COPY_B_STS_MEI_2">UNKB0020_IF!$BN$9</definedName>
    <definedName name="UNKB0020_IF_COPY_B_STS_MEI_3">UNKB0020_IF!$BN$13</definedName>
    <definedName name="UNKB0020_IF_COPY_B_STS_MEI_4">UNKB0020_IF!$BN$17</definedName>
    <definedName name="UNKB0020_IF_COPY_B_STS_MEI_5">UNKB0020_IF!$BN$21</definedName>
    <definedName name="UNKB0020_IF_COPY_B_TOTAL_KINGAKU_SUSHIKI">UNKB0020_IF!$BD$5</definedName>
    <definedName name="UNKB0020_IF_COPY_H_SANSHO">UNKB0020_IF!$O$14:$W$15</definedName>
    <definedName name="UNKB0020_IF_COPY_H_SHINKI">UNKB0020_IF!$O$4:$W$5</definedName>
    <definedName name="UNKB0020_IF_COPY_H_SHUSEI">UNKB0020_IF!$O$9:$W$10</definedName>
    <definedName name="UNKB0020_IF_DATA_SEARCH_FLG">UNKB0020_IF!$D$3</definedName>
    <definedName name="UNKB0020_IF_EXCEL_FILE_NAME">UNKB0020_IF!$D$56</definedName>
    <definedName name="UNKB0020_IF_INPUT_CHECK">UNKB0020_IF!$BZ$26</definedName>
    <definedName name="UNKB0020_IF_INPUT_ERROR_MESSAGE">UNKB0020_IF!$BZ$27</definedName>
    <definedName name="UNKB0020_IF_LIST_KOBAI_KBN">OFFSET(UNKB0020_IF_LIST_KOBAI_KBN_START,,,IF(UNKB0020_IF_LIST_KOBAI_KBN_KENSU=0,1,UNKB0020_IF_LIST_KOBAI_KBN_KENSU-1),1)</definedName>
    <definedName name="UNKB0020_IF_LIST_KOBAI_KBN_KENSU">UNKB0020_IF!$K$4</definedName>
    <definedName name="UNKB0020_IF_LIST_KOBAI_KBN_START">UNKB0020_IF!$J$7</definedName>
    <definedName name="UNKB0020_IF_MEISAI_SANSHO_FLG">UNKB0020_IF!$D$15</definedName>
    <definedName name="UNKB0020_IF_MODE">UNKB0020_IF!$D$12</definedName>
    <definedName name="UNKB0020_IF_MULTI_SELECT_CHECK">UNKB0020_IF!$DW$6</definedName>
    <definedName name="UNKB0020_IF_MULTI_SELECT_FLG">UNKB0020_IF!$D$6</definedName>
    <definedName name="UNKB0020_IF_MULTI_SELECT_GYO_INCREMENT">UNKB0020_IF!$DW$7</definedName>
    <definedName name="UNKB0020_IF_MULTI_SELECT_GYO_SUSHIKI_COPY_SAKI">UNKB0020_IF!$DW$10</definedName>
    <definedName name="UNKB0020_IF_MULTI_SELECT_KENSU">UNKB0020_IF!$DW$3</definedName>
    <definedName name="UNKB0020_IF_MULTI_SELECT_KINGAKU_SUSHIKI_COPY_SAKI">UNKB0020_IF!$DW$12</definedName>
    <definedName name="UNKB0020_IF_MULTI_SELECT_LIST_GYO">UNKB0020_IF!$EA$3</definedName>
    <definedName name="UNKB0020_IF_MULTI_SELECT_LIST_MAKER_MEI">UNKB0020_IF!$FF$3</definedName>
    <definedName name="UNKB0020_IF_MULTI_SELECT_LIST_SHIIRE_MEI">UNKB0020_IF!$FD$3</definedName>
    <definedName name="UNKB0020_IF_MULTI_SELECT_LIST_SOSU">UNKB0020_IF!$EY$3</definedName>
    <definedName name="UNKB0020_IF_MULTI_SELECT_LIST_TOTAL_KINGAKU">UNKB0020_IF!$EZ$3</definedName>
    <definedName name="UNKB0020_IF_MULTI_SELECT_MAKER_SUSHIKI_COPY_SAKI">UNKB0020_IF!$DW$14</definedName>
    <definedName name="UNKB0020_IF_MULTI_SELECT_SHIIRE_SUSHIKI_COPY_SAKI">UNKB0020_IF!$DW$13</definedName>
    <definedName name="UNKB0020_IF_MULTI_SELECT_SHOSHIKI_COPY_SAKI">UNKB0020_IF!$DW$9</definedName>
    <definedName name="UNKB0020_IF_MULTI_SELECT_SOSU_SUSHIKI_COPY_SAKI">UNKB0020_IF!$DW$11</definedName>
    <definedName name="UNKB0020_IF_MULTI_SELECT_TENKAI_KENSU">UNKB0020_IF!$DW$5</definedName>
    <definedName name="UNKB0020_IF_MULTI_SELECT_TENKAI_START">UNKB0020_IF!$EA$4</definedName>
    <definedName name="UNKB0020_IF_PDF_FILE_NAME">UNKB0020_IF!$D$58</definedName>
    <definedName name="UNKB0020_IF_PREVIOUS_ID">UNKB0020_IF!$D$13</definedName>
    <definedName name="UNKB0020_IF_REF_NO">UNKB0020_IF!$D$4</definedName>
    <definedName name="UNKB0020_IF_SANSHO_FLG">UNKB0020_IF!$D$14</definedName>
    <definedName name="UNKB0020_IF_SAVE_BARA_TANI">UNKB0020_IF!$DC$4</definedName>
    <definedName name="UNKB0020_IF_SAVE_CHECK_ERROR_KOMOKU">UNKB0020_IF!$BZ$30</definedName>
    <definedName name="UNKB0020_IF_SAVE_CHECK_RESULT">UNKB0020_IF!$BY$30</definedName>
    <definedName name="UNKB0020_IF_SAVE_CHECK_START">UNKB0020_IF!$CX$5</definedName>
    <definedName name="UNKB0020_IF_SAVE_COPY_MOTO">UNKB0020_IF!$CD$2:$DR$2</definedName>
    <definedName name="UNKB0020_IF_SAVE_COPY_SAKI">UNKB0020_IF!$BU$11</definedName>
    <definedName name="UNKB0020_IF_SAVE_COPY_START">UNKB0020_IF!$CD$5</definedName>
    <definedName name="UNKB0020_IF_SAVE_ERROR_CHECK">UNKB0020_IF!$BU$21</definedName>
    <definedName name="UNKB0020_IF_SAVE_ERROR_MESSAGE">UNKB0020_IF!$BU$22</definedName>
    <definedName name="UNKB0020_IF_SAVE_HOKAN_BASHO">UNKB0020_IF!$DG$4</definedName>
    <definedName name="UNKB0020_IF_SAVE_IRISU">UNKB0020_IF!$CZ$4</definedName>
    <definedName name="UNKB0020_IF_SAVE_IRISU_TANI">UNKB0020_IF!$DA$4</definedName>
    <definedName name="UNKB0020_IF_SAVE_JOGAI_GYO">UNKB0020_IF!$CD$4</definedName>
    <definedName name="UNKB0020_IF_SAVE_JURI_NO">UNKB0020_IF!$DK$4</definedName>
    <definedName name="UNKB0020_IF_SAVE_KENSU">UNKB0020_IF!$BU$12</definedName>
    <definedName name="UNKB0020_IF_SAVE_KOBAIHIN_MEI">UNKB0020_IF!$CX$4</definedName>
    <definedName name="UNKB0020_IF_SAVE_MAKER_CD">UNKB0020_IF!$DI$4</definedName>
    <definedName name="UNKB0020_IF_SAVE_NOKI">UNKB0020_IF!$DF$4</definedName>
    <definedName name="UNKB0020_IF_SAVE_RESULT_CD">UNKB0020_IF!$BU$19</definedName>
    <definedName name="UNKB0020_IF_SAVE_RESULT_KENSU">UNKB0020_IF!$BU$16</definedName>
    <definedName name="UNKB0020_IF_SAVE_RESULT_KOBAI_NO">UNKB0020_IF!$BU$18</definedName>
    <definedName name="UNKB0020_IF_SAVE_RESULT_MESSAGE">UNKB0020_IF!$BU$20</definedName>
    <definedName name="UNKB0020_IF_SAVE_SHIIRE_CD">UNKB0020_IF!$DH$4</definedName>
    <definedName name="UNKB0020_IF_SAVE_SOSU">UNKB0020_IF!$DD$4</definedName>
    <definedName name="UNKB0020_IF_SAVE_START">UNKB0020_IF!$CF$5</definedName>
    <definedName name="UNKB0020_IF_SAVE_SURYO">UNKB0020_IF!$DB$4</definedName>
    <definedName name="UNKB0020_IF_SAVE_TANKA">UNKB0020_IF!$CY$4</definedName>
    <definedName name="UNKB0020_IF_SAVE_TOTAL">UNKB0020_IF!$DE$4</definedName>
    <definedName name="UNKB0020_IF_SAVE_YOSAN_CD">UNKB0020_IF!$DJ$4</definedName>
    <definedName name="UNKB0020_IF_SELECT_STS_CD">UNKB0020_IF!$D$22</definedName>
    <definedName name="UNKB0020_IF_STS_LIMIT">UNKB0020_IF!$D$8</definedName>
    <definedName name="UNKB0020_IF_USER_AUTH">UNKB0020_IF!$D$7</definedName>
    <definedName name="UNKB0020_IF_W_MODE">UNKB0020_IF!$BU$7</definedName>
    <definedName name="UNKB0020_IF_W_SERIAL">UNKB0020_IF!$BU$5</definedName>
    <definedName name="UNKB0020_IF_W_SERIAL_CREATE">UNKB0020_IF!$BU$6</definedName>
    <definedName name="UNKB0020_IF_W_USER_ID">UNKB0020_IF!$BU$4</definedName>
    <definedName name="UNKB0020_REPORT_IF_BARA_TANI">UNKB0020_REPORT_IF!$AT$33</definedName>
    <definedName name="UNKB0020_REPORT_IF_BIKO">UNKB0020_REPORT_IF!$BH$33</definedName>
    <definedName name="UNKB0020_REPORT_IF_COPY_MOTO">UNKB0020_REPORT_IF!$A$1:$AI$29</definedName>
    <definedName name="UNKB0020_REPORT_IF_COPY_MOTO_GYO">UNKB0020_REPORT_IF!$AM$35</definedName>
    <definedName name="UNKB0020_REPORT_IF_DATA_KENSU">UNKB0020_REPORT_IF!$AM$33</definedName>
    <definedName name="UNKB0020_REPORT_IF_ERROR_CHECK">UNKB0020_REPORT_IF!$AM$36</definedName>
    <definedName name="UNKB0020_REPORT_IF_HOKAN_BASHO">UNKB0020_REPORT_IF!$AZ$33</definedName>
    <definedName name="UNKB0020_REPORT_IF_IRISU">UNKB0020_REPORT_IF!$AS$33</definedName>
    <definedName name="UNKB0020_REPORT_IF_IRISU_TANI">UNKB0020_REPORT_IF!$AV$33</definedName>
    <definedName name="UNKB0020_REPORT_IF_JURI_NO">UNKB0020_REPORT_IF!$BG$33</definedName>
    <definedName name="UNKB0020_REPORT_IF_KOBAI_NO">UNKB0020_REPORT_IF!$AO$33</definedName>
    <definedName name="UNKB0020_REPORT_IF_KOBAIHIN_CD">UNKB0020_REPORT_IF!$AP$33</definedName>
    <definedName name="UNKB0020_REPORT_IF_KOBAIHIN_MEI">UNKB0020_REPORT_IF!$AQ$33</definedName>
    <definedName name="UNKB0020_REPORT_IF_MAKER_CD">UNKB0020_REPORT_IF!$BC$33</definedName>
    <definedName name="UNKB0020_REPORT_IF_MAKER_MEI">UNKB0020_REPORT_IF!$BD$33</definedName>
    <definedName name="UNKB0020_REPORT_IF_NOKI">UNKB0020_REPORT_IF!$AY$33</definedName>
    <definedName name="UNKB0020_REPORT_IF_SHIIRE_CD">UNKB0020_REPORT_IF!$BA$33</definedName>
    <definedName name="UNKB0020_REPORT_IF_SHIIRE_MEI">UNKB0020_REPORT_IF!$BB$33</definedName>
    <definedName name="UNKB0020_REPORT_IF_SOSU">UNKB0020_REPORT_IF!$AW$33</definedName>
    <definedName name="UNKB0020_REPORT_IF_SURYO">UNKB0020_REPORT_IF!$AU$33</definedName>
    <definedName name="UNKB0020_REPORT_IF_TANKA">UNKB0020_REPORT_IF!$AR$33</definedName>
    <definedName name="UNKB0020_REPORT_IF_TENKAI_START">UNKB0020_REPORT_IF!$AO$34</definedName>
    <definedName name="UNKB0020_REPORT_IF_TOTAL">UNKB0020_REPORT_IF!$AX$33</definedName>
    <definedName name="UNKB0020_REPORT_IF_YOSAN_CD">UNKB0020_REPORT_IF!$BE$33</definedName>
    <definedName name="UNKB0020_REPORT_IF_YOSAN_MEI">UNKB0020_REPORT_IF!$BF$33</definedName>
    <definedName name="UNKB0020_REPORT_START">UNKB0020_REPORT!$A$1</definedName>
    <definedName name="UNKB0020_SQL_DATA_B">UNKB0020_SQL!$F$5</definedName>
    <definedName name="UNKB0020_SQL_DATA_H">UNKB0020_SQL!$F$4</definedName>
    <definedName name="UNKB0020_SQL_DEFAULT_KOBAI_KBN">UNKB0020_SQL!$F$55</definedName>
    <definedName name="UNKB0020_SQL_DEFAULT_SHINSEISHA">UNKB0020_SQL!$F$54</definedName>
    <definedName name="UNKB0020_SQL_DEFAULT_STS_MEI">UNKB0020_SQL!$F$56</definedName>
    <definedName name="UNKB0020_SQL_KOBAIHIN_SEARCH">UNKB0020_SQL!$F$37</definedName>
    <definedName name="UNKB0020_SQL_KOBAIHIN_SEARCH_VLOOKUP_AREA">UNKB0020_SQL!$E$45:$F$49</definedName>
    <definedName name="UNKB0020_SQL_LIST_KOBAI_KBN">UNKB0020_SQL!$F$33</definedName>
    <definedName name="UNKB0020_SQL_MIN_STS">UNKB0020_SQL!$F$22</definedName>
    <definedName name="UNKB0020_SQL_MULTI_SELECT">UNKB0020_SQL!$F$39</definedName>
    <definedName name="UNKB0020_SQL_MULTI_SELECT_RIREKI">UNKB0020_SQL!$F$41</definedName>
    <definedName name="UNKB0020_SQL_PROC">UNKB0020_SQL!$F$28</definedName>
    <definedName name="UNKB0020_SQL_REPORT_DATA">UNKB0020_SQL!$F$15</definedName>
    <definedName name="UNKB0020_SQL_REPORT_DATA_SAVE">UNKB0020_SQL!$F$16</definedName>
    <definedName name="UNKB0020_SQL_STS_LIMIT">UNKB0020_SQL!$F$57</definedName>
    <definedName name="UNKB0040_B_ALERT">UNKB0040_B!$I$16</definedName>
    <definedName name="UNKB0040_B_ALL_KENSU">UNKB0040_B!$D$20</definedName>
    <definedName name="UNKB0040_B_ALL_PAGE_SU">UNKB0040_B!$D$22</definedName>
    <definedName name="UNKB0040_B_BACK_PAGE">UNKB0040_B!$D$35</definedName>
    <definedName name="UNKB0040_B_BACK_PAGE_NO">UNKB0040_B!$D$34</definedName>
    <definedName name="UNKB0040_B_BIKO">UNKB0040_B!$AI$16</definedName>
    <definedName name="UNKB0040_B_CHUMON_SOSU">UNKB0040_B!$W$16</definedName>
    <definedName name="UNKB0040_B_FREEWD">UNKB0040_B!$AO$16</definedName>
    <definedName name="UNKB0040_B_GOKEI_KINGAKU">UNKB0040_B!$X$16</definedName>
    <definedName name="UNKB0040_B_HIDE_COLUMN">UNKB0040_B!$D$17</definedName>
    <definedName name="UNKB0040_B_HIDE_ROW">UNKB0040_B!$D$16</definedName>
    <definedName name="UNKB0040_B_HOKAN_BASHO">UNKB0040_B!$AB$16</definedName>
    <definedName name="UNKB0040_B_HYOJI_GYO_SU">UNKB0040_B!$D$24</definedName>
    <definedName name="UNKB0040_B_HYOJI_KENSU">UNKB0040_B!$D$23</definedName>
    <definedName name="UNKB0040_B_IRAI_NO">UNKB0040_B!$AK$16</definedName>
    <definedName name="UNKB0040_B_IRISU">UNKB0040_B!$S$16</definedName>
    <definedName name="UNKB0040_B_IRISU_TANI">UNKB0040_B!$V$16</definedName>
    <definedName name="UNKB0040_B_JOGAI">UNKB0040_B!$K$16</definedName>
    <definedName name="UNKB0040_B_JOGAI_CKH">UNKB0040_B!$J$16</definedName>
    <definedName name="UNKB0040_B_JURI_NO">UNKB0040_B!$AH$16</definedName>
    <definedName name="UNKB0040_B_KENSHU_DATE">UNKB0040_B!$AA$16</definedName>
    <definedName name="UNKB0040_B_KIBO_NOKI">UNKB0040_B!$Y$16</definedName>
    <definedName name="UNKB0040_B_KOBAI_KBN">UNKB0040_B!$AL$16</definedName>
    <definedName name="UNKB0040_B_KOBAI_KBN_MEI">UNKB0040_B!$L$16</definedName>
    <definedName name="UNKB0040_B_KOBAI_SEQ">UNKB0040_B!$AP$16</definedName>
    <definedName name="UNKB0040_B_KOBAI_STS">UNKB0040_B!$AM$16</definedName>
    <definedName name="UNKB0040_B_KOBAI_STS_MEI">UNKB0040_B!$M$16</definedName>
    <definedName name="UNKB0040_B_KOBAIHIN_CD">UNKB0040_B!$P$16</definedName>
    <definedName name="UNKB0040_B_KOBAIHIN_MEI">UNKB0040_B!$Q$16</definedName>
    <definedName name="UNKB0040_B_KOBAISHINSEI_NO">UNKB0040_B!$AJ$16</definedName>
    <definedName name="UNKB0040_B_LIST_CLEAR">UNKB0040_B!$D$31</definedName>
    <definedName name="UNKB0040_B_LIST_COPY_FLAG">UNKB0040_B!$D$28</definedName>
    <definedName name="UNKB0040_B_LIST_COPY_SAKI">UNKB0040_B!$D$29</definedName>
    <definedName name="UNKB0040_B_LIST_END">UNKB0040_B!$D$27</definedName>
    <definedName name="UNKB0040_B_LIST_START">UNKB0040_B!$D$26</definedName>
    <definedName name="UNKB0040_B_MAKER_CD">UNKB0040_B!$AE$16</definedName>
    <definedName name="UNKB0040_B_MAKER_MEI">UNKB0040_B!$AF$16</definedName>
    <definedName name="UNKB0040_B_NEXT_PAGE">UNKB0040_B!$D$36</definedName>
    <definedName name="UNKB0040_B_NEXT_PAGE_NO">UNKB0040_B!$D$33</definedName>
    <definedName name="UNKB0040_B_PAGE_NO">UNKB0040_B!$D$21</definedName>
    <definedName name="UNKB0040_B_ROW">UNKB0040_B!$H$16</definedName>
    <definedName name="UNKB0040_B_SCROLL_LOCK">UNKB0040_B!$D$18</definedName>
    <definedName name="UNKB0040_B_SELECT_FLG_COPY_SAKI">UNKB0040_B!$D$30</definedName>
    <definedName name="UNKB0040_B_SELECT_KOBAI_NO">UNKB0040_B!$D$39</definedName>
    <definedName name="UNKB0040_B_SELECT_KOBAI_SEQ">UNKB0040_B!$D$40</definedName>
    <definedName name="UNKB0040_B_SELECT_ROW_NO">UNKB0040_B!$D$38</definedName>
    <definedName name="UNKB0040_B_SENTAKU">UNKB0040_B!$G$16</definedName>
    <definedName name="UNKB0040_B_SHIIRESAKI_CD">UNKB0040_B!$AC$16</definedName>
    <definedName name="UNKB0040_B_SHIIRESAKI_MEI">UNKB0040_B!$AD$16</definedName>
    <definedName name="UNKB0040_B_SHINSEI_DATE">UNKB0040_B!$O$16</definedName>
    <definedName name="UNKB0040_B_SHINSEISHA">UNKB0040_B!$N$16</definedName>
    <definedName name="UNKB0040_B_SHINSEISHA_CD">UNKB0040_B!$AN$16</definedName>
    <definedName name="UNKB0040_B_SURYO">UNKB0040_B!$U$16</definedName>
    <definedName name="UNKB0040_B_TANI">UNKB0040_B!$T$16</definedName>
    <definedName name="UNKB0040_B_TANKA">UNKB0040_B!$R$16</definedName>
    <definedName name="UNKB0040_B_UKEIRE_DATE">UNKB0040_B!$Z$16</definedName>
    <definedName name="UNKB0040_B_YOSAN_CD">UNKB0040_B!$AG$16</definedName>
    <definedName name="UNKB0040_H_CHUMONSHO_STS">UNKB0040_H!$E$14</definedName>
    <definedName name="UNKB0040_H_CHUMONSHO_STS_S">UNKB0040_H!$E$35</definedName>
    <definedName name="UNKB0040_H_COPY_CELL_SAKI">UNKB0040_H!$I$6:$U$11</definedName>
    <definedName name="UNKB0040_H_FREEWD_1">UNKB0040_H!$I$11</definedName>
    <definedName name="UNKB0040_H_FREEWD_1_S">UNKB0040_H!$E$59</definedName>
    <definedName name="UNKB0040_H_FREEWD_2">UNKB0040_H!$L$11</definedName>
    <definedName name="UNKB0040_H_FREEWD_2_S">UNKB0040_H!$E$60</definedName>
    <definedName name="UNKB0040_H_FREEWD_3">UNKB0040_H!$N$11</definedName>
    <definedName name="UNKB0040_H_FREEWD_3_S">UNKB0040_H!$E$61</definedName>
    <definedName name="UNKB0040_H_FREEWD_KBN">UNKB0040_H!$E$23</definedName>
    <definedName name="UNKB0040_H_FREEWD_KBN_DISP">UNKB0040_H!$K$11</definedName>
    <definedName name="UNKB0040_H_FREEWD_KBN_S">UNKB0040_H!$E$62</definedName>
    <definedName name="UNKB0040_H_GAICHU_KBN">UNKB0040_H!$E$8</definedName>
    <definedName name="UNKB0040_H_GAICHU_KBN_S">UNKB0040_H!$E$29</definedName>
    <definedName name="UNKB0040_H_HANBAI_KBN">UNKB0040_H!$E$11</definedName>
    <definedName name="UNKB0040_H_HANBAI_KBN_S">UNKB0040_H!$E$32</definedName>
    <definedName name="UNKB0040_H_HIDE_COLUMN">UNKB0040_H!$E$3</definedName>
    <definedName name="UNKB0040_H_HIDE_ROW">UNKB0040_H!$E$2</definedName>
    <definedName name="UNKB0040_H_ICHIBU_STS">UNKB0040_H!$E$15</definedName>
    <definedName name="UNKB0040_H_ICHIBU_STS_S">UNKB0040_H!$E$36</definedName>
    <definedName name="UNKB0040_H_INIT_HEADER_FLG_COPY_SAKI">UNKB0040_H!$E$7:$E$23</definedName>
    <definedName name="UNKB0040_H_IRAICHU_STS">UNKB0040_H!$E$13</definedName>
    <definedName name="UNKB0040_H_IRAICHU_STS_S">UNKB0040_H!$E$34</definedName>
    <definedName name="UNKB0040_H_JURI_NO">UNKB0040_H!$O$8</definedName>
    <definedName name="UNKB0040_H_JURI_NO_S">UNKB0040_H!$E$50</definedName>
    <definedName name="UNKB0040_H_KENSHU_DATE_END">UNKB0040_H!$L$9</definedName>
    <definedName name="UNKB0040_H_KENSHU_DATE_END_S">UNKB0040_H!$E$46</definedName>
    <definedName name="UNKB0040_H_KENSHU_DATE_START">UNKB0040_H!$I$9</definedName>
    <definedName name="UNKB0040_H_KENSHU_DATE_START_S">UNKB0040_H!$E$45</definedName>
    <definedName name="UNKB0040_H_KENSHU_STS">UNKB0040_H!$E$17</definedName>
    <definedName name="UNKB0040_H_KENSHU_STS_S">UNKB0040_H!$E$38</definedName>
    <definedName name="UNKB0040_H_KOBAI_NO">UNKB0040_H!$O$6</definedName>
    <definedName name="UNKB0040_H_KOBAI_NO_S">UNKB0040_H!$E$47</definedName>
    <definedName name="UNKB0040_H_KOBAIHIN_CD">UNKB0040_H!$S$6</definedName>
    <definedName name="UNKB0040_H_KOBAIHIN_CD_S">UNKB0040_H!$E$53</definedName>
    <definedName name="UNKB0040_H_KOBAIHIN_KBN">UNKB0040_H!$E$7</definedName>
    <definedName name="UNKB0040_H_KOBAIHIN_KBN_S">UNKB0040_H!$E$28</definedName>
    <definedName name="UNKB0040_H_KOBAIHIN_MEI">UNKB0040_H!$E$20</definedName>
    <definedName name="UNKB0040_H_KOBAIHIN_MEI_S">UNKB0040_H!$E$54</definedName>
    <definedName name="UNKB0040_H_MAKER_CD">UNKB0040_H!$S$8</definedName>
    <definedName name="UNKB0040_H_MAKER_CD_S">UNKB0040_H!$E$57</definedName>
    <definedName name="UNKB0040_H_MAKER_MEI">UNKB0040_H!$E$22</definedName>
    <definedName name="UNKB0040_H_MAKER_MEI_S">UNKB0040_H!$E$58</definedName>
    <definedName name="UNKB0040_H_MISHONIN_STS">UNKB0040_H!$E$12</definedName>
    <definedName name="UNKB0040_H_MISHONIN_STS_S">UNKB0040_H!$E$33</definedName>
    <definedName name="UNKB0040_H_NOKI_DATE_END">UNKB0040_H!$L$7</definedName>
    <definedName name="UNKB0040_H_NOKI_DATE_START">UNKB0040_H!$I$7</definedName>
    <definedName name="UNKB0040_H_NOKI_END_S">UNKB0040_H!$E$42</definedName>
    <definedName name="UNKB0040_H_NOKI_START_S">UNKB0040_H!$E$41</definedName>
    <definedName name="UNKB0040_H_NYUKA_STS">UNKB0040_H!$E$16</definedName>
    <definedName name="UNKB0040_H_NYUKA_STS_S">UNKB0040_H!$E$37</definedName>
    <definedName name="UNKB0040_H_SHIIRE_CD_S">UNKB0040_H!$E$55</definedName>
    <definedName name="UNKB0040_H_SHIIRE_MEI">UNKB0040_H!$E$21</definedName>
    <definedName name="UNKB0040_H_SHIIRE_MEI_S">UNKB0040_H!$E$56</definedName>
    <definedName name="UNKB0040_H_SHIIRESAKI_CD">UNKB0040_H!$S$7</definedName>
    <definedName name="UNKB0040_H_SHINSEI_DATE_END">UNKB0040_H!$L$6</definedName>
    <definedName name="UNKB0040_H_SHINSEI_DATE_END_S">UNKB0040_H!$E$40</definedName>
    <definedName name="UNKB0040_H_SHINSEI_DATE_START">UNKB0040_H!$I$6</definedName>
    <definedName name="UNKB0040_H_SHINSEI_DATE_START_S">UNKB0040_H!$E$39</definedName>
    <definedName name="UNKB0040_H_SHINSEISHA_CD">UNKB0040_H!$E$18</definedName>
    <definedName name="UNKB0040_H_SHINSEISHA_CD_S">UNKB0040_H!$E$48</definedName>
    <definedName name="UNKB0040_H_SHINSEISHA_MEI">UNKB0040_H!$O$7</definedName>
    <definedName name="UNKB0040_H_SHINSEISHA_MEI_S">UNKB0040_H!$E$49</definedName>
    <definedName name="UNKB0040_H_SHUZEN_KBN">UNKB0040_H!$E$9</definedName>
    <definedName name="UNKB0040_H_SHUZEN_KBN_S">UNKB0040_H!$E$30</definedName>
    <definedName name="UNKB0040_H_TOSHI_KBN">UNKB0040_H!$E$10</definedName>
    <definedName name="UNKB0040_H_TOSHI_KBN_S">UNKB0040_H!$E$31</definedName>
    <definedName name="UNKB0040_H_UKEIRE_DATE_END">UNKB0040_H!$L$8</definedName>
    <definedName name="UNKB0040_H_UKEIRE_DATE_END_S">UNKB0040_H!$E$44</definedName>
    <definedName name="UNKB0040_H_UKEIRE_DATE_START">UNKB0040_H!$I$8</definedName>
    <definedName name="UNKB0040_H_UKEIRE_DATE_START_S">UNKB0040_H!$E$43</definedName>
    <definedName name="UNKB0040_H_YOSAN_CD">UNKB0040_H!$O$9</definedName>
    <definedName name="UNKB0040_H_YOSAN_CD_S">UNKB0040_H!$E$51</definedName>
    <definedName name="UNKB0040_H_YOSAN_MEI">UNKB0040_H!$E$19</definedName>
    <definedName name="UNKB0040_H_YOSAN_MEI_S">UNKB0040_H!$E$52</definedName>
    <definedName name="UNKB0040_IF_ACTIVE_CELL_NAME">UNKB0040_IF!$D$24</definedName>
    <definedName name="UNKB0040_IF_ACTIVE_COLUMN">UNKB0040_IF!$D$22</definedName>
    <definedName name="UNKB0040_IF_ACTIVE_ROW">UNKB0040_IF!$D$21</definedName>
    <definedName name="UNKB0040_IF_ACTIVE_SHEET">UNKB0040_IF!$D$20</definedName>
    <definedName name="UNKB0040_IF_B_FLG_COPY_MOTO">UNKB0040_IF!$G$6</definedName>
    <definedName name="UNKB0040_IF_CREATE_W_SERIAL">UNKB0040_IF!$BJ$6</definedName>
    <definedName name="UNKB0040_IF_DATA_SEARCH_FLG">UNKB0040_IF!$D$9</definedName>
    <definedName name="UNKB0040_IF_EXCEL_FILE_NAME">UNKB0040_IF!$DE$10</definedName>
    <definedName name="UNKB0040_IF_INIT_HEADER_COPY_MOTO">UNKB0040_IF!$AS$3:$BE$8</definedName>
    <definedName name="UNKB0040_IF_INIT_HEADER_FLG_COPY_MOTO">UNKB0040_IF!$AP$5:$AP$21</definedName>
    <definedName name="UNKB0040_IF_KOBAI_NO">UNKB0040_IF!$D$10</definedName>
    <definedName name="UNKB0040_IF_KOBAI_SEQ">UNKB0040_IF!$D$11</definedName>
    <definedName name="UNKB0040_IF_LIST_COPY_MOTO">UNKB0040_IF!$D$5:$AM$5</definedName>
    <definedName name="UNKB0040_IF_LIST_DEFAULT">UNKB0040_IF!$D$4:$AM$4</definedName>
    <definedName name="UNKB0040_IF_MODE">UNKB0040_IF!$D$17</definedName>
    <definedName name="UNKB0040_IF_PRINT_COUNT">UNKB0040_IF!$DE$6</definedName>
    <definedName name="UNKB0040_IF_PRINT_SHOSHIKI_COPY_FLAG">UNKB0040_IF!$DE$8</definedName>
    <definedName name="UNKB0040_IF_PRINT_SHOSHIKI_COPY_MOTO">UNKB0040_IF!$DG$3:$EH$3</definedName>
    <definedName name="UNKB0040_IF_PRINT_SHOSHIKI_COPY_SAKI">UNKB0040_IF!$DE$7</definedName>
    <definedName name="UNKB0040_IF_PRINT_START">UNKB0040_IF!$DG$5</definedName>
    <definedName name="UNKB0040_IF_SAVE_COPY_MOTO">UNKB0040_IF!$BN$2:$CZ$2</definedName>
    <definedName name="UNKB0040_IF_SAVE_COPY_SAKI">UNKB0040_IF!$BJ$10</definedName>
    <definedName name="UNKB0040_IF_SAVE_COPY_START">UNKB0040_IF!$BN$5</definedName>
    <definedName name="UNKB0040_IF_SAVE_KENSU">UNKB0040_IF!$BJ$11</definedName>
    <definedName name="UNKB0040_IF_SAVE_START">UNKB0040_IF!$BO$5</definedName>
    <definedName name="UNKB0040_IF_SAVE_W_MODE">UNKB0040_IF!$BJ$7</definedName>
    <definedName name="UNKB0040_IF_SAVE_W_SERIAL">UNKB0040_IF!$BJ$5</definedName>
    <definedName name="UNKB0040_IF_SAVE_W_USER_ID">UNKB0040_IF!$BJ$4</definedName>
    <definedName name="UNKB0040_IF_W_SERIAL">UNKB0040_IF!$D$14</definedName>
    <definedName name="UNKB0040_IF_W_SERIAL_CREATE">UNKB0040_IF!$D$15</definedName>
    <definedName name="UNKB0040_IF_W_USER_ID">UNKB0040_IF!$D$13</definedName>
    <definedName name="UNKB0040_SQL_DEFAULT_SORT">UNKB0040_SQL!$F$68</definedName>
    <definedName name="UNKB0040_SQL_EXCEL_LIST">UNKB0040_SQL!$F$9</definedName>
    <definedName name="UNKB0040_SQL_SHONIN_LIST">UNKB0040_SQL!$F$6</definedName>
    <definedName name="UNKB0040_SQL_SHONIN_LIST_CNT">UNKB0040_SQL!$F$12</definedName>
    <definedName name="UNKB0040_SQL_SORT">UNKB0040_SQL!$F$59</definedName>
    <definedName name="UNKB0040_SQL_SORT_BY">UNKB0040_SQL!$F$64</definedName>
    <definedName name="UNKB0040_SQL_W_SHONIN_LIST">UNKB0040_SQL!$F$53</definedName>
    <definedName name="UNKB0040_SQL_W_SHONIN_LIST_UPDATE">UNKB0040_SQL!$F$55</definedName>
    <definedName name="UNKB0050_B_ALERT">UNKB0050_B!$I$16</definedName>
    <definedName name="UNKB0050_B_ALL_KENSU">UNKB0050_B!$D$20</definedName>
    <definedName name="UNKB0050_B_ALL_PAGE_SU">UNKB0050_B!$D$22</definedName>
    <definedName name="UNKB0050_B_BACK_PAGE">UNKB0050_B!$D$35</definedName>
    <definedName name="UNKB0050_B_BACK_PAGE_NO">UNKB0050_B!$D$34</definedName>
    <definedName name="UNKB0050_B_BARA_TANI">UNKB0050_B!$T$16</definedName>
    <definedName name="UNKB0050_B_BIKO">UNKB0050_B!$AJ$16</definedName>
    <definedName name="UNKB0050_B_CHUMON_NO">UNKB0050_B!$AM$16</definedName>
    <definedName name="UNKB0050_B_CHUMON_SOSU">UNKB0050_B!$W$16</definedName>
    <definedName name="UNKB0050_B_FREEWD">UNKB0050_B!$AQ$16</definedName>
    <definedName name="UNKB0050_B_GOKEI_KINGAKU">UNKB0050_B!$X$16</definedName>
    <definedName name="UNKB0050_B_HATCHU_DATE">UNKB0050_B!$Y$16</definedName>
    <definedName name="UNKB0050_B_HIDE_COLUMN">UNKB0050_B!$D$17</definedName>
    <definedName name="UNKB0050_B_HIDE_ROW">UNKB0050_B!$D$16</definedName>
    <definedName name="UNKB0050_B_HOKAN_BASHO">UNKB0050_B!$AC$16</definedName>
    <definedName name="UNKB0050_B_HYOJI_GYO_SU">UNKB0050_B!$D$24</definedName>
    <definedName name="UNKB0050_B_HYOJI_KENSU">UNKB0050_B!$D$23</definedName>
    <definedName name="UNKB0050_B_IRAI_NO">UNKB0050_B!$AL$16</definedName>
    <definedName name="UNKB0050_B_IRISU">UNKB0050_B!$S$16</definedName>
    <definedName name="UNKB0050_B_IRISU_TANI">UNKB0050_B!$V$16</definedName>
    <definedName name="UNKB0050_B_JURI_NO">UNKB0050_B!$AI$16</definedName>
    <definedName name="UNKB0050_B_KENSHU_DATE">UNKB0050_B!$AB$16</definedName>
    <definedName name="UNKB0050_B_KIBO_NOKI">UNKB0050_B!$Z$16</definedName>
    <definedName name="UNKB0050_B_KOBAI_KBN">UNKB0050_B!$AN$16</definedName>
    <definedName name="UNKB0050_B_KOBAI_KBN_MEI">UNKB0050_B!$L$16</definedName>
    <definedName name="UNKB0050_B_KOBAI_SEQ">UNKB0050_B!$AR$16</definedName>
    <definedName name="UNKB0050_B_KOBAI_STS">UNKB0050_B!$AO$16</definedName>
    <definedName name="UNKB0050_B_KOBAI_STS_MEI">UNKB0050_B!$M$16</definedName>
    <definedName name="UNKB0050_B_KOBAIHIN_CD">UNKB0050_B!$P$16</definedName>
    <definedName name="UNKB0050_B_KOBAIHIN_MEI">UNKB0050_B!$Q$16</definedName>
    <definedName name="UNKB0050_B_KOBAISHINSEI_NO">UNKB0050_B!$AK$16</definedName>
    <definedName name="UNKB0050_B_LIST_CLEAR">UNKB0050_B!$D$31</definedName>
    <definedName name="UNKB0050_B_LIST_COPY_FLG">UNKB0050_B!$D$28</definedName>
    <definedName name="UNKB0050_B_LIST_COPY_SAKI">UNKB0050_B!$D$29</definedName>
    <definedName name="UNKB0050_B_LIST_END">UNKB0050_B!$D$27</definedName>
    <definedName name="UNKB0050_B_LIST_START">UNKB0050_B!$D$26</definedName>
    <definedName name="UNKB0050_B_MAKER_CD">UNKB0050_B!$AF$16</definedName>
    <definedName name="UNKB0050_B_MAKER_MEI">UNKB0050_B!$AG$16</definedName>
    <definedName name="UNKB0050_B_NEXT_PAGE">UNKB0050_B!$D$36</definedName>
    <definedName name="UNKB0050_B_NEXT_PAGE_NO">UNKB0050_B!$D$33</definedName>
    <definedName name="UNKB0050_B_PAGE_NO">UNKB0050_B!$D$21</definedName>
    <definedName name="UNKB0050_B_ROW">UNKB0050_B!$H$16</definedName>
    <definedName name="UNKB0050_B_SCROLL_LOCK">UNKB0050_B!$D$18</definedName>
    <definedName name="UNKB0050_B_SELECT_FLG_COPY_SAKI">UNKB0050_B!$D$30</definedName>
    <definedName name="UNKB0050_B_SELECT_KOBAI_NO">UNKB0050_B!$D$39</definedName>
    <definedName name="UNKB0050_B_SELECT_KOBAI_SEQ">UNKB0050_B!$D$40</definedName>
    <definedName name="UNKB0050_B_SELECT_ROW_NO">UNKB0050_B!$D$38</definedName>
    <definedName name="UNKB0050_B_SENTAKU">UNKB0050_B!$G$16</definedName>
    <definedName name="UNKB0050_B_SHIIRESAKI_CD">UNKB0050_B!$AD$16</definedName>
    <definedName name="UNKB0050_B_SHIIRESAKI_MEI">UNKB0050_B!$AE$16</definedName>
    <definedName name="UNKB0050_B_SHINSEI_DATE">UNKB0050_B!$O$16</definedName>
    <definedName name="UNKB0050_B_SHINSEISHA_CD">UNKB0050_B!$AP$16</definedName>
    <definedName name="UNKB0050_B_SHINSEISHA_MEI">UNKB0050_B!$N$16</definedName>
    <definedName name="UNKB0050_B_SURYO">UNKB0050_B!$U$16</definedName>
    <definedName name="UNKB0050_B_TAISHO_SENTAKU">UNKB0050_B!$K$16</definedName>
    <definedName name="UNKB0050_B_TAISHO_SENTAKU_CKH">UNKB0050_B!$J$16</definedName>
    <definedName name="UNKB0050_B_TANKA">UNKB0050_B!$R$16</definedName>
    <definedName name="UNKB0050_B_UKEIRE_DATE">UNKB0050_B!$AA$16</definedName>
    <definedName name="UNKB0050_B_YOSAN_CD">UNKB0050_B!$AH$16</definedName>
    <definedName name="UNKB0050_H_CHUMONSHO_STS">UNKB0050_H!$E$16</definedName>
    <definedName name="UNKB0050_H_CHUMONSHO_STS_S">UNKB0050_H!$E$37</definedName>
    <definedName name="UNKB0050_H_COPY_CELL_SAKI">UNKB0050_H!$I$6:$X$11</definedName>
    <definedName name="UNKB0050_H_FREEWD_1">UNKB0050_H!$I$11</definedName>
    <definedName name="UNKB0050_H_FREEWD_1_S">UNKB0050_H!$E$61</definedName>
    <definedName name="UNKB0050_H_FREEWD_2">UNKB0050_H!$L$11</definedName>
    <definedName name="UNKB0050_H_FREEWD_2_S">UNKB0050_H!$E$62</definedName>
    <definedName name="UNKB0050_H_FREEWD_3">UNKB0050_H!$N$11</definedName>
    <definedName name="UNKB0050_H_FREEWD_3_S">UNKB0050_H!$E$63</definedName>
    <definedName name="UNKB0050_H_FREEWD_KBN">UNKB0050_H!$E$25</definedName>
    <definedName name="UNKB0050_H_FREEWD_KBN_DISP">UNKB0050_H!$K$11</definedName>
    <definedName name="UNKB0050_H_FREEWD_KBN_S">UNKB0050_H!$E$64</definedName>
    <definedName name="UNKB0050_H_GAICHU_KBN">UNKB0050_H!$E$10</definedName>
    <definedName name="UNKB0050_H_GAICHU_KBN_S">UNKB0050_H!$E$31</definedName>
    <definedName name="UNKB0050_H_HANBAI_KBN">UNKB0050_H!$E$13</definedName>
    <definedName name="UNKB0050_H_HANBAI_KBN_S">UNKB0050_H!$E$34</definedName>
    <definedName name="UNKB0050_H_HATCHU_DATE">UNKB0050_H!$E$5</definedName>
    <definedName name="UNKB0050_H_HIDE_COLUMN">UNKB0050_H!$E$3</definedName>
    <definedName name="UNKB0050_H_HIDE_ROW">UNKB0050_H!$E$2</definedName>
    <definedName name="UNKB0050_H_ICHIBU_STS">UNKB0050_H!$E$17</definedName>
    <definedName name="UNKB0050_H_ICHIBU_STS_S">UNKB0050_H!$E$38</definedName>
    <definedName name="UNKB0050_H_INIT_HEADER_FLG_COPY_SAKI">UNKB0050_H!$E$9:$E$25</definedName>
    <definedName name="UNKB0050_H_IRAICHU_STS">UNKB0050_H!$E$15</definedName>
    <definedName name="UNKB0050_H_IRAICHU_STS_S">UNKB0050_H!$E$36</definedName>
    <definedName name="UNKB0050_H_JURI_NO">UNKB0050_H!$O$8</definedName>
    <definedName name="UNKB0050_H_JURI_NO_S">UNKB0050_H!$E$52</definedName>
    <definedName name="UNKB0050_H_KENSHU_DATE_END">UNKB0050_H!$L$9</definedName>
    <definedName name="UNKB0050_H_KENSHU_DATE_END_S">UNKB0050_H!$E$48</definedName>
    <definedName name="UNKB0050_H_KENSHU_DATE_START">UNKB0050_H!$I$9</definedName>
    <definedName name="UNKB0050_H_KENSHU_DATE_START_S">UNKB0050_H!$E$47</definedName>
    <definedName name="UNKB0050_H_KENSHU_STS">UNKB0050_H!$E$19</definedName>
    <definedName name="UNKB0050_H_KENSHU_STS_S">UNKB0050_H!$E$40</definedName>
    <definedName name="UNKB0050_H_KOBAI_NO">UNKB0050_H!$O$6</definedName>
    <definedName name="UNKB0050_H_KOBAI_NO_S">UNKB0050_H!$E$49</definedName>
    <definedName name="UNKB0050_H_KOBAIHIN_CD">UNKB0050_H!$S$6</definedName>
    <definedName name="UNKB0050_H_KOBAIHIN_CD_S">UNKB0050_H!$E$55</definedName>
    <definedName name="UNKB0050_H_KOBAIHIN_KBN">UNKB0050_H!$E$9</definedName>
    <definedName name="UNKB0050_H_KOBAIHIN_KBN_S">UNKB0050_H!$E$30</definedName>
    <definedName name="UNKB0050_H_KOBAIHIN_MEI">UNKB0050_H!$E$22</definedName>
    <definedName name="UNKB0050_H_KOBAIHIN_MEI_S">UNKB0050_H!$E$56</definedName>
    <definedName name="UNKB0050_H_MAKER_CD">UNKB0050_H!$S$8</definedName>
    <definedName name="UNKB0050_H_MAKER_CD_S">UNKB0050_H!$E$59</definedName>
    <definedName name="UNKB0050_H_MAKER_MEI">UNKB0050_H!$E$24</definedName>
    <definedName name="UNKB0050_H_MAKER_MEI_S">UNKB0050_H!$E$60</definedName>
    <definedName name="UNKB0050_H_MISHONIN_STS">UNKB0050_H!$E$14</definedName>
    <definedName name="UNKB0050_H_MISHONIN_STS_S">UNKB0050_H!$E$35</definedName>
    <definedName name="UNKB0050_H_NOKI_DATE_END">UNKB0050_H!$L$7</definedName>
    <definedName name="UNKB0050_H_NOKI_DATE_START">UNKB0050_H!$I$7</definedName>
    <definedName name="UNKB0050_H_NOKI_END_S">UNKB0050_H!$E$44</definedName>
    <definedName name="UNKB0050_H_NOKI_START_S">UNKB0050_H!$E$43</definedName>
    <definedName name="UNKB0050_H_NYUKA_STS">UNKB0050_H!$E$18</definedName>
    <definedName name="UNKB0050_H_NYUKA_STS_S">UNKB0050_H!$E$39</definedName>
    <definedName name="UNKB0050_H_SHIIRE_CD_S">UNKB0050_H!$E$57</definedName>
    <definedName name="UNKB0050_H_SHIIRE_MEI">UNKB0050_H!$E$23</definedName>
    <definedName name="UNKB0050_H_SHIIRE_MEI_S">UNKB0050_H!$E$58</definedName>
    <definedName name="UNKB0050_H_SHIIRESAKI_CD">UNKB0050_H!$S$7</definedName>
    <definedName name="UNKB0050_H_SHINSEI_DATE_END">UNKB0050_H!$L$6</definedName>
    <definedName name="UNKB0050_H_SHINSEI_DATE_END_S">UNKB0050_H!$E$42</definedName>
    <definedName name="UNKB0050_H_SHINSEI_DATE_START">UNKB0050_H!$I$6</definedName>
    <definedName name="UNKB0050_H_SHINSEI_DATE_START_S">UNKB0050_H!$E$41</definedName>
    <definedName name="UNKB0050_H_SHINSEISHA_CD">UNKB0050_H!$E$20</definedName>
    <definedName name="UNKB0050_H_SHINSEISHA_CD_S">UNKB0050_H!$E$50</definedName>
    <definedName name="UNKB0050_H_SHINSEISHA_MEI">UNKB0050_H!$O$7</definedName>
    <definedName name="UNKB0050_H_SHINSEISHA_MEI_S">UNKB0050_H!$E$51</definedName>
    <definedName name="UNKB0050_H_SHUZEN_KBN">UNKB0050_H!$E$11</definedName>
    <definedName name="UNKB0050_H_SHUZEN_KBN_S">UNKB0050_H!$E$32</definedName>
    <definedName name="UNKB0050_H_TOSHI_KBN">UNKB0050_H!$E$12</definedName>
    <definedName name="UNKB0050_H_TOSHI_KBN_S">UNKB0050_H!$E$33</definedName>
    <definedName name="UNKB0050_H_UKEIRE_DATE_END">UNKB0050_H!$L$8</definedName>
    <definedName name="UNKB0050_H_UKEIRE_DATE_END_S">UNKB0050_H!$E$46</definedName>
    <definedName name="UNKB0050_H_UKEIRE_DATE_START">UNKB0050_H!$I$8</definedName>
    <definedName name="UNKB0050_H_UKEIRE_DATE_START_S">UNKB0050_H!$E$45</definedName>
    <definedName name="UNKB0050_H_YOSAN_CD">UNKB0050_H!$O$9</definedName>
    <definedName name="UNKB0050_H_YOSAN_CD_S">UNKB0050_H!$E$53</definedName>
    <definedName name="UNKB0050_H_YOSAN_MEI">UNKB0050_H!$E$21</definedName>
    <definedName name="UNKB0050_H_YOSAN_MEI_S">UNKB0050_H!$E$54</definedName>
    <definedName name="UNKB0050_IF_ACTIVE_CELL_NAME">UNKB0050_IF!$D$25</definedName>
    <definedName name="UNKB0050_IF_ACTIVE_COLUMN">UNKB0050_IF!$D$23</definedName>
    <definedName name="UNKB0050_IF_ACTIVE_ROW">UNKB0050_IF!$D$22</definedName>
    <definedName name="UNKB0050_IF_ACTIVE_SHEET">UNKB0050_IF!$D$21</definedName>
    <definedName name="UNKB0050_IF_B_FLG_COPY_MOTO">UNKB0050_IF!$G$6</definedName>
    <definedName name="UNKB0050_IF_CREATE_W_SERIAL">UNKB0050_IF!$BO$6</definedName>
    <definedName name="UNKB0050_IF_DATA_SEARCH_FLG">UNKB0050_IF!$D$9</definedName>
    <definedName name="UNKB0050_IF_EXCEL_FILE_NAME">UNKB0050_IF!$DL$12</definedName>
    <definedName name="UNKB0050_IF_INIT_HEADER_COPY_MOTO">UNKB0050_IF!$AU$3:$BJ$8</definedName>
    <definedName name="UNKB0050_IF_INIT_HEADER_FLG_COPY_MOTO">UNKB0050_IF!$AR$5:$AR$21</definedName>
    <definedName name="UNKB0050_IF_KOBAI_NO">UNKB0050_IF!$D$10</definedName>
    <definedName name="UNKB0050_IF_KOBAI_SEQ">UNKB0050_IF!$D$11</definedName>
    <definedName name="UNKB0050_IF_LIST_COPY_MOTO">UNKB0050_IF!$D$5:$AO$5</definedName>
    <definedName name="UNKB0050_IF_LIST_DEFAULT">UNKB0050_IF!$D$4:$AO$4</definedName>
    <definedName name="UNKB0050_IF_MODE">UNKB0050_IF!$D$18</definedName>
    <definedName name="UNKB0050_IF_PRINT_COUNT">UNKB0050_IF!$DL$6</definedName>
    <definedName name="UNKB0050_IF_PRINT_SHOSHIKI_COPY_FLAG">UNKB0050_IF!$DL$8</definedName>
    <definedName name="UNKB0050_IF_PRINT_SHOSHIKI_COPY_MOTO">UNKB0050_IF!$DN$3:$EQ$3</definedName>
    <definedName name="UNKB0050_IF_PRINT_SHOSHIKI_COPY_SAKI">UNKB0050_IF!$DL$7</definedName>
    <definedName name="UNKB0050_IF_PRINT_START">UNKB0050_IF!$DN$5</definedName>
    <definedName name="UNKB0050_IF_SAVE_COPY_MOTO">UNKB0050_IF!$BS$2:$DG$2</definedName>
    <definedName name="UNKB0050_IF_SAVE_COPY_SAKI">UNKB0050_IF!$BO$12</definedName>
    <definedName name="UNKB0050_IF_SAVE_COPY_START">UNKB0050_IF!$BS$5</definedName>
    <definedName name="UNKB0050_IF_SAVE_COUNT">UNKB0050_IF!$BO$16</definedName>
    <definedName name="UNKB0050_IF_SAVE_KENSU">UNKB0050_IF!$BO$13</definedName>
    <definedName name="UNKB0050_IF_SAVE_START">UNKB0050_IF!$BT$5</definedName>
    <definedName name="UNKB0050_IF_SAVE_W_MODE">UNKB0050_IF!$BO$7</definedName>
    <definedName name="UNKB0050_IF_SAVE_W_SERIAL">UNKB0050_IF!$BO$5</definedName>
    <definedName name="UNKB0050_IF_SAVE_W_USER_ID">UNKB0050_IF!$BO$4</definedName>
    <definedName name="UNKB0050_IF_W_SERIAL">UNKB0050_IF!$D$15</definedName>
    <definedName name="UNKB0050_IF_W_SERIAL_CREATE">UNKB0050_IF!$D$16</definedName>
    <definedName name="UNKB0050_IF_W_USER_ID">UNKB0050_IF!$D$14</definedName>
    <definedName name="UNKB0050_REPORT_DATA_START">UNKB0050_REPORT!$A$8</definedName>
    <definedName name="UNKB0050_REPORT_HEADER">UNKB0050_REPORT!$A$1:$Q$7</definedName>
    <definedName name="UNKB0050_REPORT_IF_CLEAR_AREA">UNKB0050_REPORT_IF!$R$5</definedName>
    <definedName name="UNKB0050_REPORT_IF_COPY_MOTO">UNKB0050_REPORT_IF!$AX$4:$BN$4</definedName>
    <definedName name="UNKB0050_REPORT_IF_COPY_SAKI">UNKB0050_REPORT_IF!$R$4</definedName>
    <definedName name="UNKB0050_REPORT_IF_DATA_BARA_TANI">UNKB0050_REPORT_IF!$AK$3</definedName>
    <definedName name="UNKB0050_REPORT_IF_DATA_BIKO">UNKB0050_REPORT_IF!$AL$3</definedName>
    <definedName name="UNKB0050_REPORT_IF_DATA_CHUMON_NO">UNKB0050_REPORT_IF!$AB$3</definedName>
    <definedName name="UNKB0050_REPORT_IF_DATA_CHUMON_SEQ">UNKB0050_REPORT_IF!$AC$3</definedName>
    <definedName name="UNKB0050_REPORT_IF_DATA_HASSO_ADDRESS">UNKB0050_REPORT_IF!$AQ$3</definedName>
    <definedName name="UNKB0050_REPORT_IF_DATA_HASSO_MEI">UNKB0050_REPORT_IF!$AO$3</definedName>
    <definedName name="UNKB0050_REPORT_IF_DATA_HASSO_TANTO_MEI">UNKB0050_REPORT_IF!$AR$3</definedName>
    <definedName name="UNKB0050_REPORT_IF_DATA_HASSO_TEL">UNKB0050_REPORT_IF!$AS$3</definedName>
    <definedName name="UNKB0050_REPORT_IF_DATA_HASSO_YUBIN_NO">UNKB0050_REPORT_IF!$AP$3</definedName>
    <definedName name="UNKB0050_REPORT_IF_DATA_HIMBAN">UNKB0050_REPORT_IF!$AF$3</definedName>
    <definedName name="UNKB0050_REPORT_IF_DATA_IRAI_NO">UNKB0050_REPORT_IF!$AD$3</definedName>
    <definedName name="UNKB0050_REPORT_IF_DATA_JURI_NO">UNKB0050_REPORT_IF!$AA$3</definedName>
    <definedName name="UNKB0050_REPORT_IF_DATA_KENSU">UNKB0050_REPORT_IF!$R$3</definedName>
    <definedName name="UNKB0050_REPORT_IF_DATA_KOBAI_KBN">UNKB0050_REPORT_IF!$Z$3</definedName>
    <definedName name="UNKB0050_REPORT_IF_DATA_KOBAI_NO">UNKB0050_REPORT_IF!$X$3</definedName>
    <definedName name="UNKB0050_REPORT_IF_DATA_KOBAI_SEQ">UNKB0050_REPORT_IF!$Y$3</definedName>
    <definedName name="UNKB0050_REPORT_IF_DATA_KOBAIHIN_MEI">UNKB0050_REPORT_IF!$AG$3</definedName>
    <definedName name="UNKB0050_REPORT_IF_DATA_MAKER_FLG">UNKB0050_REPORT_IF!$AN$3</definedName>
    <definedName name="UNKB0050_REPORT_IF_DATA_MAKER_MEI">UNKB0050_REPORT_IF!$AE$3</definedName>
    <definedName name="UNKB0050_REPORT_IF_DATA_NOKI">UNKB0050_REPORT_IF!$AM$3</definedName>
    <definedName name="UNKB0050_REPORT_IF_DATA_SHIIRE_CD">UNKB0050_REPORT_IF!$W$3</definedName>
    <definedName name="UNKB0050_REPORT_IF_DATA_SHIIRE_IRISU">UNKB0050_REPORT_IF!$AH$3</definedName>
    <definedName name="UNKB0050_REPORT_IF_DATA_SHIIRE_IRISU_TANI">UNKB0050_REPORT_IF!$AI$3</definedName>
    <definedName name="UNKB0050_REPORT_IF_DATA_START">UNKB0050_REPORT_IF!$W$4</definedName>
    <definedName name="UNKB0050_REPORT_IF_DATA_SURYO">UNKB0050_REPORT_IF!$AJ$3</definedName>
    <definedName name="UNKB0050_REPORT_IF_PAGE_GYO">UNKB0050_REPORT_IF!$D$6</definedName>
    <definedName name="UNKB0050_REPORT_IF_PRINT_CHECK">UNKB0050_REPORT_IF!$R$7</definedName>
    <definedName name="UNKB0050_REPORT_IF_SHIIRE_FAX">UNKB0050_REPORT_IF!$M$3</definedName>
    <definedName name="UNKB0050_REPORT_IF_SHIIRE_KENSU">UNKB0050_REPORT_IF!$D$3</definedName>
    <definedName name="UNKB0050_REPORT_IF_SHIIRE_LOOP">UNKB0050_REPORT_IF!$D$4</definedName>
    <definedName name="UNKB0050_REPORT_IF_SHIIRE_SHIIRE_CD">UNKB0050_REPORT_IF!$I$3</definedName>
    <definedName name="UNKB0050_REPORT_IF_SHIIRE_SHIIRE_MEI">UNKB0050_REPORT_IF!$J$3</definedName>
    <definedName name="UNKB0050_REPORT_IF_SHIIRE_START">UNKB0050_REPORT_IF!$I$4</definedName>
    <definedName name="UNKB0050_REPORT_IF_SHIIRE_TANTO_MEI">UNKB0050_REPORT_IF!$K$3</definedName>
    <definedName name="UNKB0050_REPORT_IF_SHIIRE_TEL">UNKB0050_REPORT_IF!$L$3</definedName>
    <definedName name="UNKB0050_SQL_CHUMON_LIST">UNKB0050_SQL!$F$6</definedName>
    <definedName name="UNKB0050_SQL_CHUMON_LIST_CNT">UNKB0050_SQL!$F$12</definedName>
    <definedName name="UNKB0050_SQL_DEFAULT_SORT">UNKB0050_SQL!$F$81</definedName>
    <definedName name="UNKB0050_SQL_EXCEL_LIST">UNKB0050_SQL!$F$9</definedName>
    <definedName name="UNKB0050_SQL_REPORT_DATA">UNKB0050_SQL!$F$68</definedName>
    <definedName name="UNKB0050_SQL_REPORT_SHIIRE">UNKB0050_SQL!$F$64</definedName>
    <definedName name="UNKB0050_SQL_SORT">UNKB0050_SQL!$F$59</definedName>
    <definedName name="UNKB0050_SQL_SORT_BY">UNKB0050_SQL!$F$77</definedName>
    <definedName name="UNKB0050_SQL_W_CHUMON_LIST">UNKB0050_SQL!$F$53</definedName>
    <definedName name="UNKB0050_SQL_W_CHUMON_LIST_UPDATE">UNKB0050_SQL!$F$55</definedName>
    <definedName name="UNKB0080_B_ALERT">UNKB0080_B!$I$16</definedName>
    <definedName name="UNKB0080_B_ALL_KENSU">UNKB0080_B!$D$20</definedName>
    <definedName name="UNKB0080_B_ALL_PAGE_SU">UNKB0080_B!$D$22</definedName>
    <definedName name="UNKB0080_B_BACK_PAGE">UNKB0080_B!$D$34</definedName>
    <definedName name="UNKB0080_B_BACK_PAGE_NO">UNKB0080_B!$D$33</definedName>
    <definedName name="UNKB0080_B_BARA_TANI">UNKB0080_B!$R$16</definedName>
    <definedName name="UNKB0080_B_BIKO">UNKB0080_B!$AH$16</definedName>
    <definedName name="UNKB0080_B_CHUMON_NO">UNKB0080_B!$AK$16</definedName>
    <definedName name="UNKB0080_B_CHUMON_SOSU">UNKB0080_B!$U$16</definedName>
    <definedName name="UNKB0080_B_GOKEI_KINGAKU">UNKB0080_B!$V$16</definedName>
    <definedName name="UNKB0080_B_HAKKO_DATE">UNKB0080_B!$W$16</definedName>
    <definedName name="UNKB0080_B_HIDE_COLUMN">UNKB0080_B!$D$17</definedName>
    <definedName name="UNKB0080_B_HIDE_ROW">UNKB0080_B!$D$16</definedName>
    <definedName name="UNKB0080_B_HOKAN_BASHO">UNKB0080_B!$AA$16</definedName>
    <definedName name="UNKB0080_B_HYOJI_GYO_SU">UNKB0080_B!$D$24</definedName>
    <definedName name="UNKB0080_B_HYOJI_KENSU">UNKB0080_B!$D$23</definedName>
    <definedName name="UNKB0080_B_IRAI_NO">UNKB0080_B!$AJ$16</definedName>
    <definedName name="UNKB0080_B_IRISU">UNKB0080_B!$Q$16</definedName>
    <definedName name="UNKB0080_B_IRISU_TANI">UNKB0080_B!$T$16</definedName>
    <definedName name="UNKB0080_B_JURI_NO">UNKB0080_B!$AG$16</definedName>
    <definedName name="UNKB0080_B_KENSHU_DATE">UNKB0080_B!$Z$16</definedName>
    <definedName name="UNKB0080_B_KIBO_NOKI">UNKB0080_B!$X$16</definedName>
    <definedName name="UNKB0080_B_KOBAI_KBN">UNKB0080_B!$J$16</definedName>
    <definedName name="UNKB0080_B_KOBAIHIN_CD">UNKB0080_B!$N$16</definedName>
    <definedName name="UNKB0080_B_KOBAIHIN_LIST">UNKB0080_B!$G$16</definedName>
    <definedName name="UNKB0080_B_KOBAIHIN_MEI">UNKB0080_B!$O$16</definedName>
    <definedName name="UNKB0080_B_KOBAISHINSEI_NO">UNKB0080_B!$AI$16</definedName>
    <definedName name="UNKB0080_B_LIST_CLEAR">UNKB0080_B!$D$30</definedName>
    <definedName name="UNKB0080_B_LIST_COPY_FLG">UNKB0080_B!$D$28</definedName>
    <definedName name="UNKB0080_B_LIST_COPY_SAKI">UNKB0080_B!$D$29</definedName>
    <definedName name="UNKB0080_B_LIST_END">UNKB0080_B!$D$27</definedName>
    <definedName name="UNKB0080_B_LIST_START">UNKB0080_B!$D$26</definedName>
    <definedName name="UNKB0080_B_MAKER_CD">UNKB0080_B!$AD$16</definedName>
    <definedName name="UNKB0080_B_MAKER_MEI">UNKB0080_B!$AE$16</definedName>
    <definedName name="UNKB0080_B_NEXT_PAGE">UNKB0080_B!$D$35</definedName>
    <definedName name="UNKB0080_B_NEXT_PAGE_NO">UNKB0080_B!$D$32</definedName>
    <definedName name="UNKB0080_B_PAGE_NO">UNKB0080_B!$D$21</definedName>
    <definedName name="UNKB0080_B_SCROLL_LOCK">UNKB0080_B!$D$18</definedName>
    <definedName name="UNKB0080_B_SENTAKU">UNKB0080_B!$H$16</definedName>
    <definedName name="UNKB0080_B_SHIIRESAKI_CD">UNKB0080_B!$AB$16</definedName>
    <definedName name="UNKB0080_B_SHIIRESAKI_MEI">UNKB0080_B!$AC$16</definedName>
    <definedName name="UNKB0080_B_SHINSEI_DATE">UNKB0080_B!$M$16</definedName>
    <definedName name="UNKB0080_B_SHINSEISHA">UNKB0080_B!$L$16</definedName>
    <definedName name="UNKB0080_B_STS">UNKB0080_B!$K$16</definedName>
    <definedName name="UNKB0080_B_SURYO">UNKB0080_B!$S$16</definedName>
    <definedName name="UNKB0080_B_TANKA">UNKB0080_B!$P$16</definedName>
    <definedName name="UNKB0080_B_UKEIRE_DATE">UNKB0080_B!$Y$16</definedName>
    <definedName name="UNKB0080_B_YOSAN_CD">UNKB0080_B!$AF$16</definedName>
    <definedName name="UNKB0080_H_CHUMONSHO_STS">UNKB0080_H!$E$14</definedName>
    <definedName name="UNKB0080_H_CHUMONSHO_STS_S">UNKB0080_H!$E$37</definedName>
    <definedName name="UNKB0080_H_COPY_CELL_SAKI">UNKB0080_H!$I$7:$U$12</definedName>
    <definedName name="UNKB0080_H_FREEWD_1">UNKB0080_H!$I$12</definedName>
    <definedName name="UNKB0080_H_FREEWD_1_S">UNKB0080_H!$E$63</definedName>
    <definedName name="UNKB0080_H_FREEWD_2">UNKB0080_H!$L$12</definedName>
    <definedName name="UNKB0080_H_FREEWD_2_S">UNKB0080_H!$E$64</definedName>
    <definedName name="UNKB0080_H_FREEWD_3">UNKB0080_H!$N$12</definedName>
    <definedName name="UNKB0080_H_FREEWD_3_S">UNKB0080_H!$E$65</definedName>
    <definedName name="UNKB0080_H_FREEWD_KBN">UNKB0080_H!$E$25</definedName>
    <definedName name="UNKB0080_H_FREEWD_KBN_DISP">UNKB0080_H!$K$12</definedName>
    <definedName name="UNKB0080_H_FREEWD_KBN_S">UNKB0080_H!$E$66</definedName>
    <definedName name="UNKB0080_H_GAICHU_KBN">UNKB0080_H!$E$8</definedName>
    <definedName name="UNKB0080_H_GAICHU_KBN_S">UNKB0080_H!$E$31</definedName>
    <definedName name="UNKB0080_H_HANBAI_KBN">UNKB0080_H!$E$11</definedName>
    <definedName name="UNKB0080_H_HANBAI_KBN_S">UNKB0080_H!$E$34</definedName>
    <definedName name="UNKB0080_H_HIDE_COLUMN">UNKB0080_H!$E$3</definedName>
    <definedName name="UNKB0080_H_HIDE_ROW">UNKB0080_H!$E$2</definedName>
    <definedName name="UNKB0080_H_ICHIBU_STS">UNKB0080_H!$E$15</definedName>
    <definedName name="UNKB0080_H_ICHIBU_STS_S">UNKB0080_H!$E$38</definedName>
    <definedName name="UNKB0080_H_INIT_HEADER_FLG_COPY_SAKI">UNKB0080_H!$E$7:$E$25</definedName>
    <definedName name="UNKB0080_H_INSATSU_MI_STS">UNKB0080_H!$E$18</definedName>
    <definedName name="UNKB0080_H_INSATSU_MI_STS_S">UNKB0080_H!$E$41</definedName>
    <definedName name="UNKB0080_H_INSATSU_SUMI_STS">UNKB0080_H!$E$19</definedName>
    <definedName name="UNKB0080_H_INSATSU_SUMI_STS_S">UNKB0080_H!$E$42</definedName>
    <definedName name="UNKB0080_H_IRAICHU_STS">UNKB0080_H!$E$13</definedName>
    <definedName name="UNKB0080_H_IRAICHU_STS_S">UNKB0080_H!$E$36</definedName>
    <definedName name="UNKB0080_H_JURI_NO">UNKB0080_H!$O$9</definedName>
    <definedName name="UNKB0080_H_JURI_NO_S">UNKB0080_H!$E$54</definedName>
    <definedName name="UNKB0080_H_KENSHU_DATE_END">UNKB0080_H!$L$10</definedName>
    <definedName name="UNKB0080_H_KENSHU_DATE_END_S">UNKB0080_H!$E$50</definedName>
    <definedName name="UNKB0080_H_KENSHU_DATE_START">UNKB0080_H!$I$10</definedName>
    <definedName name="UNKB0080_H_KENSHU_DATE_START_S">UNKB0080_H!$E$49</definedName>
    <definedName name="UNKB0080_H_KENSHU_STS">UNKB0080_H!$E$17</definedName>
    <definedName name="UNKB0080_H_KENSHU_STS_S">UNKB0080_H!$E$40</definedName>
    <definedName name="UNKB0080_H_KOBAI_NO">UNKB0080_H!$O$7</definedName>
    <definedName name="UNKB0080_H_KOBAI_NO_S">UNKB0080_H!$E$51</definedName>
    <definedName name="UNKB0080_H_KOBAIHIN_CD">UNKB0080_H!$S$7</definedName>
    <definedName name="UNKB0080_H_KOBAIHIN_CD_S">UNKB0080_H!$E$57</definedName>
    <definedName name="UNKB0080_H_KOBAIHIN_KBN">UNKB0080_H!$E$7</definedName>
    <definedName name="UNKB0080_H_KOBAIHIN_KBN_S">UNKB0080_H!$E$30</definedName>
    <definedName name="UNKB0080_H_KOBAIHIN_MEI">UNKB0080_H!$E$22</definedName>
    <definedName name="UNKB0080_H_KOBAIHIN_MEI_S">UNKB0080_H!$E$58</definedName>
    <definedName name="UNKB0080_H_MAKER_CD">UNKB0080_H!$S$9</definedName>
    <definedName name="UNKB0080_H_MAKER_CD_S">UNKB0080_H!$E$61</definedName>
    <definedName name="UNKB0080_H_MAKER_MEI">UNKB0080_H!$E$24</definedName>
    <definedName name="UNKB0080_H_MAKER_MEI_S">UNKB0080_H!$E$62</definedName>
    <definedName name="UNKB0080_H_MISHONIN_STS">UNKB0080_H!$E$12</definedName>
    <definedName name="UNKB0080_H_MISHONIN_STS_S">UNKB0080_H!$E$35</definedName>
    <definedName name="UNKB0080_H_NOKI_DATE_END">UNKB0080_H!$L$8</definedName>
    <definedName name="UNKB0080_H_NOKI_DATE_START">UNKB0080_H!$I$8</definedName>
    <definedName name="UNKB0080_H_NOKI_END_S">UNKB0080_H!$E$46</definedName>
    <definedName name="UNKB0080_H_NOKI_START_S">UNKB0080_H!$E$45</definedName>
    <definedName name="UNKB0080_H_NYUKA_STS">UNKB0080_H!$E$16</definedName>
    <definedName name="UNKB0080_H_NYUKA_STS_S">UNKB0080_H!$E$39</definedName>
    <definedName name="UNKB0080_H_SHIIRE_CD_S">UNKB0080_H!$E$59</definedName>
    <definedName name="UNKB0080_H_SHIIRE_MEI">UNKB0080_H!$E$23</definedName>
    <definedName name="UNKB0080_H_SHIIRE_MEI_S">UNKB0080_H!$E$60</definedName>
    <definedName name="UNKB0080_H_SHIIRESAKI_CD">UNKB0080_H!$S$8</definedName>
    <definedName name="UNKB0080_H_SHINSEI_DATE_END">UNKB0080_H!$L$7</definedName>
    <definedName name="UNKB0080_H_SHINSEI_DATE_END_S">UNKB0080_H!$E$44</definedName>
    <definedName name="UNKB0080_H_SHINSEI_DATE_START">UNKB0080_H!$I$7</definedName>
    <definedName name="UNKB0080_H_SHINSEI_DATE_START_S">UNKB0080_H!$E$43</definedName>
    <definedName name="UNKB0080_H_SHINSEISHA_CD">UNKB0080_H!$E$20</definedName>
    <definedName name="UNKB0080_H_SHINSEISHA_CD_S">UNKB0080_H!$E$52</definedName>
    <definedName name="UNKB0080_H_SHINSEISHA_MEI">UNKB0080_H!$O$8</definedName>
    <definedName name="UNKB0080_H_SHINSEISHA_MEI_S">UNKB0080_H!$E$53</definedName>
    <definedName name="UNKB0080_H_SHUZEN_KBN">UNKB0080_H!$E$9</definedName>
    <definedName name="UNKB0080_H_SHUZEN_KBN_S">UNKB0080_H!$E$32</definedName>
    <definedName name="UNKB0080_H_TOSHI_KBN">UNKB0080_H!$E$10</definedName>
    <definedName name="UNKB0080_H_TOSHI_KBN_S">UNKB0080_H!$E$33</definedName>
    <definedName name="UNKB0080_H_UKEIRE_DATE_END">UNKB0080_H!$L$9</definedName>
    <definedName name="UNKB0080_H_UKEIRE_DATE_END_S">UNKB0080_H!$E$48</definedName>
    <definedName name="UNKB0080_H_UKEIRE_DATE_START">UNKB0080_H!$I$9</definedName>
    <definedName name="UNKB0080_H_UKEIRE_DATE_START_S">UNKB0080_H!$E$47</definedName>
    <definedName name="UNKB0080_H_YOSAN_CD">UNKB0080_H!$O$10</definedName>
    <definedName name="UNKB0080_H_YOSAN_CD_S">UNKB0080_H!$E$55</definedName>
    <definedName name="UNKB0080_H_YOSAN_MEI">UNKB0080_H!$E$21</definedName>
    <definedName name="UNKB0080_H_YOSAN_MEI_S">UNKB0080_H!$E$56</definedName>
    <definedName name="UNKB0080_IF_ACTIVE_CELL_NAME">UNKB0080_IF!$D$17</definedName>
    <definedName name="UNKB0080_IF_ACTIVE_COLUMN">UNKB0080_IF!$D$15</definedName>
    <definedName name="UNKB0080_IF_ACTIVE_ROW">UNKB0080_IF!$D$14</definedName>
    <definedName name="UNKB0080_IF_ACTIVE_SHEET">UNKB0080_IF!$D$13</definedName>
    <definedName name="UNKB0080_IF_BUTTON_16_HYOJI">UNKB0080_IF!$D$21</definedName>
    <definedName name="UNKB0080_IF_DATA_SEARCH_FLG">UNKB0080_IF!$D$9</definedName>
    <definedName name="UNKB0080_IF_EXCEL_FILE_NAME">UNKB0080_IF!$BE$10</definedName>
    <definedName name="UNKB0080_IF_INIT_HEADER_COPY_MOTO">UNKB0080_IF!$AN$3:$AZ$8</definedName>
    <definedName name="UNKB0080_IF_INIT_HEADER_FLG_COPY_MOTO">UNKB0080_IF!$AK$5:$AK$23</definedName>
    <definedName name="UNKB0080_IF_LIST_COPY_MOTO">UNKB0080_IF!$D$5:$AH$5</definedName>
    <definedName name="UNKB0080_IF_LIST_DEFAULT">UNKB0080_IF!$D$4:$AH$4</definedName>
    <definedName name="UNKB0080_IF_PRINT_COUNT">UNKB0080_IF!$BE$6</definedName>
    <definedName name="UNKB0080_IF_PRINT_SHOSHIKI_COPY_FLAG">UNKB0080_IF!$BE$8</definedName>
    <definedName name="UNKB0080_IF_PRINT_SHOSHIKI_COPY_MOTO">UNKB0080_IF!$BG$3:$CL$3</definedName>
    <definedName name="UNKB0080_IF_PRINT_SHOSHIKI_COPY_SAKI">UNKB0080_IF!$BE$7</definedName>
    <definedName name="UNKB0080_IF_PRINT_START">UNKB0080_IF!$BG$5</definedName>
    <definedName name="UNKB0080_REPORT_HEADER">UNKB0080_REPORT!$A$1:$BQ$4</definedName>
    <definedName name="UNKB0080_REPORT_IF_BARA_TANI">UNKB0080_REPORT_IF!$Z$3</definedName>
    <definedName name="UNKB0080_REPORT_IF_CHUMON_NO">UNKB0080_REPORT_IF!$R$3</definedName>
    <definedName name="UNKB0080_REPORT_IF_COPY_MOTO">UNKB0080_REPORT_IF!$AI$4:$CY$4</definedName>
    <definedName name="UNKB0080_REPORT_IF_COPY_SAKI">UNKB0080_REPORT_IF!$J$9</definedName>
    <definedName name="UNKB0080_REPORT_IF_HATCHU_DATE">UNKB0080_REPORT_IF!$S$3</definedName>
    <definedName name="UNKB0080_REPORT_IF_IRAI_NO">UNKB0080_REPORT_IF!$Q$3</definedName>
    <definedName name="UNKB0080_REPORT_IF_IRISU">UNKB0080_REPORT_IF!$Y$3</definedName>
    <definedName name="UNKB0080_REPORT_IF_IRISU_TANI">UNKB0080_REPORT_IF!$AB$3</definedName>
    <definedName name="UNKB0080_REPORT_IF_KENSU">UNKB0080_REPORT_IF!$J$8</definedName>
    <definedName name="UNKB0080_REPORT_IF_KOBAI_NO">UNKB0080_REPORT_IF!$O$3</definedName>
    <definedName name="UNKB0080_REPORT_IF_KOBAI_SEQ">UNKB0080_REPORT_IF!$P$3</definedName>
    <definedName name="UNKB0080_REPORT_IF_KOBAIHIN_MEI">UNKB0080_REPORT_IF!$X$3</definedName>
    <definedName name="UNKB0080_REPORT_IF_LOOP_COUNT">UNKB0080_REPORT_IF!$J$4</definedName>
    <definedName name="UNKB0080_REPORT_IF_LOOP_KENSU">UNKB0080_REPORT_IF!$D$4</definedName>
    <definedName name="UNKB0080_REPORT_IF_LOOP_SHIIRE_CD">UNKB0080_REPORT_IF!$B$11</definedName>
    <definedName name="UNKB0080_REPORT_IF_MAKER_MEI">UNKB0080_REPORT_IF!$W$3</definedName>
    <definedName name="UNKB0080_REPORT_IF_NOKI">UNKB0080_REPORT_IF!$T$3</definedName>
    <definedName name="UNKB0080_REPORT_IF_SHIIRE_CD">UNKB0080_REPORT_IF!$J$5</definedName>
    <definedName name="UNKB0080_REPORT_IF_SHIIRE_MEI">UNKB0080_REPORT_IF!$V$3</definedName>
    <definedName name="UNKB0080_REPORT_IF_SHINSEISHA_MEI">UNKB0080_REPORT_IF!$U$3</definedName>
    <definedName name="UNKB0080_REPORT_IF_SOSU">UNKB0080_REPORT_IF!$AC$3</definedName>
    <definedName name="UNKB0080_REPORT_IF_START">UNKB0080_REPORT_IF!$O$4</definedName>
    <definedName name="UNKB0080_REPORT_IF_SURYO">UNKB0080_REPORT_IF!$AA$3</definedName>
    <definedName name="UNKB0080_REPORT_IF_YOSAN_CD">UNKB0080_REPORT_IF!$AD$3</definedName>
    <definedName name="UNKB0080_REPORT_START">UNKB0080_REPORT!$A$5</definedName>
    <definedName name="UNKB0080_SQL_COMMON_WHERE">UNKB0080_SQL!$F$28</definedName>
    <definedName name="UNKB0080_SQL_DEFAULT_SORT">UNKB0080_SQL!$F$74</definedName>
    <definedName name="UNKB0080_SQL_EXCEL_LIST">UNKB0080_SQL!$F$10</definedName>
    <definedName name="UNKB0080_SQL_PAGE">UNKB0080_SQL!$F$66</definedName>
    <definedName name="UNKB0080_SQL_REPORT_DATA">UNKB0080_SQL!$F$20</definedName>
    <definedName name="UNKB0080_SQL_REPORT_SHIIRE_DATA">UNKB0080_SQL!$F$17</definedName>
    <definedName name="UNKB0080_SQL_SEARCH_LIST">UNKB0080_SQL!$F$6</definedName>
    <definedName name="UNKB0080_SQL_SEARCH_LIST_CNT">UNKB0080_SQL!$F$13</definedName>
    <definedName name="UNKB0080_SQL_SORT">UNKB0080_SQL!$F$65</definedName>
    <definedName name="UNKB0080_SQL_SORT_BY">UNKB0080_SQL!$F$70</definedName>
    <definedName name="UNKB0080_SQL_UPDATE_HAKKO_FLG">UNKB0080_SQL!$F$25</definedName>
    <definedName name="UNKB0090_COPY_SAKI">UNKB0090!$D$16</definedName>
    <definedName name="UNKB0090_CTRL_HYOJI_GYO_SU">UNKB0090!$D$11</definedName>
    <definedName name="UNKB0090_HIDE_COLUMN">UNKB0090!$D$5</definedName>
    <definedName name="UNKB0090_HIDE_ROW">UNKB0090!$D$4</definedName>
    <definedName name="UNKB0090_HYOJI_KENSU">UNKB0090!$D$13</definedName>
    <definedName name="UNKB0090_IF_BUTTON_11_HYOJI">UNKB0090_IF!$D$11</definedName>
    <definedName name="UNKB0090_IF_BUTTON_12_HYOJI">UNKB0090_IF!$D$12</definedName>
    <definedName name="UNKB0090_IF_KOBAI_NO">UNKB0090_IF!$D$4</definedName>
    <definedName name="UNKB0090_IF_KOBAI_SEQ">UNKB0090_IF!$D$5</definedName>
    <definedName name="UNKB0090_IF_LIST_COPY_MOTO">UNKB0090_IF!$I$4:$P$4</definedName>
    <definedName name="UNKB0090_IF_LIST_DEFAULT">UNKB0090_IF!$I$5:$P$5</definedName>
    <definedName name="UNKB0090_IF_PREVIOUS_ID">UNKB0090_IF!$D$7</definedName>
    <definedName name="UNKB0090_KENSAKU_KENSU">UNKB0090!$D$12</definedName>
    <definedName name="UNKB0090_KOBAI_NO">UNKB0090!$J$3</definedName>
    <definedName name="UNKB0090_KOBAIHIN_CD">UNKB0090!$J$4</definedName>
    <definedName name="UNKB0090_KOBAIHIN_MEI">UNKB0090!$J$5</definedName>
    <definedName name="UNKB0090_LIST_CLEAR">UNKB0090!$D$17</definedName>
    <definedName name="UNKB0090_LIST_HENKO_DATETIME">UNKB0090!$J$7</definedName>
    <definedName name="UNKB0090_LIST_HENKO_USER">UNKB0090!$K$7</definedName>
    <definedName name="UNKB0090_LIST_KOBAI_NO">UNKB0090!$L$7</definedName>
    <definedName name="UNKB0090_LIST_KOBAI_SEQ">UNKB0090!$M$7</definedName>
    <definedName name="UNKB0090_LIST_START">UNKB0090!$D$15</definedName>
    <definedName name="UNKB0090_LIST_STS_AFTER">UNKB0090!$H$7</definedName>
    <definedName name="UNKB0090_LIST_STS_BEFORE">UNKB0090!$I$7</definedName>
    <definedName name="UNKB0090_LIST_STS_CD_AFTER">UNKB0090!$N$7</definedName>
    <definedName name="UNKB0090_LIST_STS_CD_BEFORE">UNKB0090!$O$7</definedName>
    <definedName name="UNKB0090_NEXT_PAGE_NO">UNKB0090!$D$20</definedName>
    <definedName name="UNKB0090_PAGE_NO">UNKB0090!$D$10</definedName>
    <definedName name="UNKB0090_PAGE_TOTAL">UNKB0090!$D$9</definedName>
    <definedName name="UNKB0090_PREV_PAGE_NO">UNKB0090!$D$21</definedName>
    <definedName name="UNKB0090_SQL_DATA_B">UNKB0090_SQL!$F$5</definedName>
    <definedName name="UNKB0090_SQL_DATA_CNT">UNKB0090_SQL!$F$9</definedName>
    <definedName name="UNKB0090_SQL_DATA_H">UNKB0090_SQL!$F$3</definedName>
    <definedName name="UNKB0090_SQL_DATA_ORDER">UNKB0090_SQL!$F$7</definedName>
    <definedName name="UNKB0090_SQL_DEFAULT_SORT">UNKB0090_SQL!$F$15</definedName>
    <definedName name="UNKB0090_SQL_POP_SORT">UNKB0090_SQL!$F$19</definedName>
    <definedName name="UNKB0130_B_ALL_KENSU">UNKB0130_B!$D$18</definedName>
    <definedName name="UNKB0130_B_ALL_PAGE_SU">UNKB0130_B!$D$20</definedName>
    <definedName name="UNKB0130_B_BACK_PAGE">UNKB0130_B!$D$33</definedName>
    <definedName name="UNKB0130_B_BACK_PAGE_NO">UNKB0130_B!$D$24</definedName>
    <definedName name="UNKB0130_B_BARA_TANI">UNKB0130_B!$P$14</definedName>
    <definedName name="UNKB0130_B_BIKO">UNKB0130_B!$AE$14</definedName>
    <definedName name="UNKB0130_B_FREEWD">UNKB0130_B!$AM$14</definedName>
    <definedName name="UNKB0130_B_HIDE_COLUMN">UNKB0130_B!$D$15</definedName>
    <definedName name="UNKB0130_B_HIDE_ROW">UNKB0130_B!$D$14</definedName>
    <definedName name="UNKB0130_B_HOKAN_BASHO_KBN">UNKB0130_B!$AK$14</definedName>
    <definedName name="UNKB0130_B_HOKAN_BASHO_MEI">UNKB0130_B!$X$14</definedName>
    <definedName name="UNKB0130_B_HYOJI_GYO_SU">UNKB0130_B!$D$22</definedName>
    <definedName name="UNKB0130_B_HYOJI_KENSU">UNKB0130_B!$D$21</definedName>
    <definedName name="UNKB0130_B_IRAI_NO">UNKB0130_B!$AG$14</definedName>
    <definedName name="UNKB0130_B_IRISU">UNKB0130_B!$O$14</definedName>
    <definedName name="UNKB0130_B_IRISU_TANI">UNKB0130_B!$R$14</definedName>
    <definedName name="UNKB0130_B_JURI_NO">UNKB0130_B!$AD$14</definedName>
    <definedName name="UNKB0130_B_KENSHU_DATE">UNKB0130_B!$W$14</definedName>
    <definedName name="UNKB0130_B_KOBAI_KBN_CD">UNKB0130_B!$AH$14</definedName>
    <definedName name="UNKB0130_B_KOBAI_KBN_MEI">UNKB0130_B!$I$14</definedName>
    <definedName name="UNKB0130_B_KOBAI_NO">UNKB0130_B!$AF$14</definedName>
    <definedName name="UNKB0130_B_KOBAI_SEQ">UNKB0130_B!$AJ$14</definedName>
    <definedName name="UNKB0130_B_KOBAIHIN_CD">UNKB0130_B!$L$14</definedName>
    <definedName name="UNKB0130_B_KOBAIHIN_MEI">UNKB0130_B!$M$14</definedName>
    <definedName name="UNKB0130_B_LIST_CLEAR">UNKB0130_B!$D$31</definedName>
    <definedName name="UNKB0130_B_LIST_COPY_FLG">UNKB0130_B!$D$29</definedName>
    <definedName name="UNKB0130_B_LIST_COPY_SAKI">UNKB0130_B!$D$30</definedName>
    <definedName name="UNKB0130_B_LIST_END">UNKB0130_B!$D$28</definedName>
    <definedName name="UNKB0130_B_LIST_START">UNKB0130_B!$D$27</definedName>
    <definedName name="UNKB0130_B_MAKER_CD">UNKB0130_B!$AA$14</definedName>
    <definedName name="UNKB0130_B_MAKER_MEI">UNKB0130_B!$AB$14</definedName>
    <definedName name="UNKB0130_B_NEXT_PAGE">UNKB0130_B!$D$34</definedName>
    <definedName name="UNKB0130_B_NEXT_PAGE_NO">UNKB0130_B!$D$25</definedName>
    <definedName name="UNKB0130_B_NOKI">UNKB0130_B!$U$14</definedName>
    <definedName name="UNKB0130_B_NYUSHUKKO_NO">UNKB0130_B!$H$14</definedName>
    <definedName name="UNKB0130_B_PAGE_NO">UNKB0130_B!$D$19</definedName>
    <definedName name="UNKB0130_B_SCROLL_LOCK">UNKB0130_B!$D$16</definedName>
    <definedName name="UNKB0130_B_SELECT_NYUSHUKKO_NO">UNKB0130_B!$D$39</definedName>
    <definedName name="UNKB0130_B_SELECT_ROW_NO">UNKB0130_B!$D$38</definedName>
    <definedName name="UNKB0130_B_SENTAKU">UNKB0130_B!$G$14</definedName>
    <definedName name="UNKB0130_B_SHIIRE_CD">UNKB0130_B!$Y$14</definedName>
    <definedName name="UNKB0130_B_SHIIRE_MEI">UNKB0130_B!$Z$14</definedName>
    <definedName name="UNKB0130_B_SHINSEI_DATE">UNKB0130_B!$K$14</definedName>
    <definedName name="UNKB0130_B_SHINSEISHA_CD">UNKB0130_B!$AI$14</definedName>
    <definedName name="UNKB0130_B_SHINSEISHA_MEI">UNKB0130_B!$J$14</definedName>
    <definedName name="UNKB0130_B_SOSU">UNKB0130_B!$S$14</definedName>
    <definedName name="UNKB0130_B_SURYO">UNKB0130_B!$Q$14</definedName>
    <definedName name="UNKB0130_B_TANKA">UNKB0130_B!$N$14</definedName>
    <definedName name="UNKB0130_B_TOTAL">UNKB0130_B!$T$14</definedName>
    <definedName name="UNKB0130_B_UKEIRE_DATE">UNKB0130_B!$V$14</definedName>
    <definedName name="UNKB0130_B_YOSAN_CD">UNKB0130_B!$AC$14</definedName>
    <definedName name="UNKB0130_H_COPY_SAKI">UNKB0130_H!$I$5:$T$11</definedName>
    <definedName name="UNKB0130_H_FREEWD_1">UNKB0130_H!$I$11</definedName>
    <definedName name="UNKB0130_H_FREEWD_1_S">UNKB0130_H!$E$51</definedName>
    <definedName name="UNKB0130_H_FREEWD_2">UNKB0130_H!$L$11</definedName>
    <definedName name="UNKB0130_H_FREEWD_2_S">UNKB0130_H!$E$52</definedName>
    <definedName name="UNKB0130_H_FREEWD_3">UNKB0130_H!$N$11</definedName>
    <definedName name="UNKB0130_H_FREEWD_3_S">UNKB0130_H!$E$53</definedName>
    <definedName name="UNKB0130_H_FREEWD_KBN">UNKB0130_H!$E$18</definedName>
    <definedName name="UNKB0130_H_FREEWD_KBN_DISP">UNKB0130_H!$K$11</definedName>
    <definedName name="UNKB0130_H_FREEWD_KBN_S">UNKB0130_H!$E$54</definedName>
    <definedName name="UNKB0130_H_GAICHU_KBN">UNKB0130_H!$E$8</definedName>
    <definedName name="UNKB0130_H_GAICHU_KBN_S">UNKB0130_H!$E$24</definedName>
    <definedName name="UNKB0130_H_HANBAI_KBN">UNKB0130_H!$E$11</definedName>
    <definedName name="UNKB0130_H_HANBAI_KBN_S">UNKB0130_H!$E$27</definedName>
    <definedName name="UNKB0130_H_HIDE_COLUMN">UNKB0130_H!$E$3</definedName>
    <definedName name="UNKB0130_H_HIDE_ROW">UNKB0130_H!$E$2</definedName>
    <definedName name="UNKB0130_H_INIT_HEADER_FLG_COPY_SAKI">UNKB0130_H!$E$7:$E$18</definedName>
    <definedName name="UNKB0130_H_IRAI_NO">UNKB0130_H!$O$5</definedName>
    <definedName name="UNKB0130_H_IRAI_NO_S">UNKB0130_H!$E$36</definedName>
    <definedName name="UNKB0130_H_JURI_NO">UNKB0130_H!$O$8</definedName>
    <definedName name="UNKB0130_H_JURI_NO_S">UNKB0130_H!$E$40</definedName>
    <definedName name="UNKB0130_H_KENSHU_DATE_END">UNKB0130_H!$L$8</definedName>
    <definedName name="UNKB0130_H_KENSHU_DATE_END_S">UNKB0130_H!$E$35</definedName>
    <definedName name="UNKB0130_H_KENSHU_DATE_START">UNKB0130_H!$I$8</definedName>
    <definedName name="UNKB0130_H_KENSHU_DATE_START_S">UNKB0130_H!$E$34</definedName>
    <definedName name="UNKB0130_H_KOBAI_NO">UNKB0130_H!$O$6</definedName>
    <definedName name="UNKB0130_H_KOBAI_NO_S">UNKB0130_H!$E$37</definedName>
    <definedName name="UNKB0130_H_KOBAIHIN_CD">UNKB0130_H!$S$5</definedName>
    <definedName name="UNKB0130_H_KOBAIHIN_CD_S">UNKB0130_H!$E$44</definedName>
    <definedName name="UNKB0130_H_KOBAIHIN_KBN">UNKB0130_H!$E$7</definedName>
    <definedName name="UNKB0130_H_KOBAIHIN_KBN_S">UNKB0130_H!$E$23</definedName>
    <definedName name="UNKB0130_H_KOBAIHIN_MEI">UNKB0130_H!$E$14</definedName>
    <definedName name="UNKB0130_H_KOBAIHIN_MEI_S">UNKB0130_H!$E$45</definedName>
    <definedName name="UNKB0130_H_MAKER_CD">UNKB0130_H!$S$7</definedName>
    <definedName name="UNKB0130_H_MAKER_CD_S">UNKB0130_H!$E$48</definedName>
    <definedName name="UNKB0130_H_MAKER_MEI">UNKB0130_H!$E$16</definedName>
    <definedName name="UNKB0130_H_MAKER_MEI_S">UNKB0130_H!$E$49</definedName>
    <definedName name="UNKB0130_H_MIKENSHU_FLG">UNKB0130_H!$E$17</definedName>
    <definedName name="UNKB0130_H_MIKENSHU_FLG_S">UNKB0130_H!$E$50</definedName>
    <definedName name="UNKB0130_H_NOKI_END">UNKB0130_H!$L$6</definedName>
    <definedName name="UNKB0130_H_NOKI_END_S">UNKB0130_H!$E$31</definedName>
    <definedName name="UNKB0130_H_NOKI_START">UNKB0130_H!$I$6</definedName>
    <definedName name="UNKB0130_H_NOKI_START_S">UNKB0130_H!$E$30</definedName>
    <definedName name="UNKB0130_H_NYUSHUKKO_NO">UNKB0130_H!$O$9</definedName>
    <definedName name="UNKB0130_H_NYUSHUKKO_NO_S">UNKB0130_H!$E$41</definedName>
    <definedName name="UNKB0130_H_SHIIRE_CD">UNKB0130_H!$S$6</definedName>
    <definedName name="UNKB0130_H_SHIIRE_CD_S">UNKB0130_H!$E$46</definedName>
    <definedName name="UNKB0130_H_SHIIRE_MEI">UNKB0130_H!$E$15</definedName>
    <definedName name="UNKB0130_H_SHIIRE_MEI_S">UNKB0130_H!$E$47</definedName>
    <definedName name="UNKB0130_H_SHINSEI_DATE_END">UNKB0130_H!$L$5</definedName>
    <definedName name="UNKB0130_H_SHINSEI_DATE_END_S">UNKB0130_H!$E$29</definedName>
    <definedName name="UNKB0130_H_SHINSEI_DATE_START">UNKB0130_H!$I$5</definedName>
    <definedName name="UNKB0130_H_SHINSEI_DATE_START_S">UNKB0130_H!$E$28</definedName>
    <definedName name="UNKB0130_H_SHINSEISHA_CD">UNKB0130_H!$E$12</definedName>
    <definedName name="UNKB0130_H_SHINSEISHA_CD_S">UNKB0130_H!$E$38</definedName>
    <definedName name="UNKB0130_H_SHINSEISHA_MEI">UNKB0130_H!$O$7</definedName>
    <definedName name="UNKB0130_H_SHINSEISHA_MEI_S">UNKB0130_H!$E$39</definedName>
    <definedName name="UNKB0130_H_SHUZEN_KBN">UNKB0130_H!$E$9</definedName>
    <definedName name="UNKB0130_H_SHUZEN_KBN_S">UNKB0130_H!$E$25</definedName>
    <definedName name="UNKB0130_H_TOSHI_KBN">UNKB0130_H!$E$10</definedName>
    <definedName name="UNKB0130_H_TOSHI_KBN_S">UNKB0130_H!$E$26</definedName>
    <definedName name="UNKB0130_H_UKEIRE_DATE_END">UNKB0130_H!$L$7</definedName>
    <definedName name="UNKB0130_H_UKEIRE_DATE_END_S">UNKB0130_H!$E$33</definedName>
    <definedName name="UNKB0130_H_UKEIRE_DATE_START">UNKB0130_H!$I$7</definedName>
    <definedName name="UNKB0130_H_UKEIRE_DATE_START_S">UNKB0130_H!$E$32</definedName>
    <definedName name="UNKB0130_H_YOSAN_CD">UNKB0130_H!$S$8</definedName>
    <definedName name="UNKB0130_H_YOSAN_CD_S">UNKB0130_H!$E$42</definedName>
    <definedName name="UNKB0130_H_YOSAN_MEI">UNKB0130_H!$E$13</definedName>
    <definedName name="UNKB0130_H_YOSAN_MEI_S">UNKB0130_H!$E$43</definedName>
    <definedName name="UNKB0130_IF_ACTIVE_CELL_NAME">UNKB0130_IF!$D$16</definedName>
    <definedName name="UNKB0130_IF_ACTIVE_COLUMN">UNKB0130_IF!$D$14</definedName>
    <definedName name="UNKB0130_IF_ACTIVE_ROW">UNKB0130_IF!$D$13</definedName>
    <definedName name="UNKB0130_IF_ACTIVE_SHEET">UNKB0130_IF!$D$12</definedName>
    <definedName name="UNKB0130_IF_DATA_SEARCH_FLG">UNKB0130_IF!$D$9</definedName>
    <definedName name="UNKB0130_IF_EXCEL_COUNT">UNKB0130_IF!$BG$6</definedName>
    <definedName name="UNKB0130_IF_EXCEL_FILE_NAME">UNKB0130_IF!$BG$10</definedName>
    <definedName name="UNKB0130_IF_EXCEL_SHOSHIKI_COPY_FLG">UNKB0130_IF!$BG$8</definedName>
    <definedName name="UNKB0130_IF_EXCEL_SHOSHIKI_COPY_MOTO">UNKB0130_IF!$BI$3:$CI$3</definedName>
    <definedName name="UNKB0130_IF_EXCEL_SHOSHIKI_COPY_SAKI">UNKB0130_IF!$BG$7</definedName>
    <definedName name="UNKB0130_IF_EXCEL_START">UNKB0130_IF!$BI$5</definedName>
    <definedName name="UNKB0130_IF_INIT_HEADER_COPY_MOTO">UNKB0130_IF!$AP$3:$BA$9</definedName>
    <definedName name="UNKB0130_IF_INIT_HEADER_FLG_COPY_MOTO">UNKB0130_IF!$AM$5:$AM$16</definedName>
    <definedName name="UNKB0130_IF_LIST_COPY_MOTO">UNKB0130_IF!$D$5:$AJ$5</definedName>
    <definedName name="UNKB0130_IF_LIST_DEFAULT">UNKB0130_IF!$D$4:$AJ$4</definedName>
    <definedName name="UNKB0130_IF_W_SERIAL">UNKB0130_IF!#REF!</definedName>
    <definedName name="UNKB0130_IF_W_SERIAL_CREATE">UNKB0130_IF!#REF!</definedName>
    <definedName name="UNKB0130_IF_W_USER_ID">UNKB0130_IF!#REF!</definedName>
    <definedName name="UNKB0130_SQL_DEFAULT_SORT">UNKB0130_SQL!$F$52</definedName>
    <definedName name="UNKB0130_SQL_EXCEL_LIST">UNKB0130_SQL!$F$6</definedName>
    <definedName name="UNKB0130_SQL_SEARCH_LIST">UNKB0130_SQL!$F$3</definedName>
    <definedName name="UNKB0130_SQL_SEARCH_LIST_CNT">UNKB0130_SQL!$F$9</definedName>
    <definedName name="UNKB0130_SQL_SORT">UNKB0130_SQL!$F$43</definedName>
    <definedName name="UNKB0130_SQL_SORT_POPUP">UNKB0130_SQL!$F$48</definedName>
    <definedName name="UNKB0140_B_BARA_TANI">UNKB0140_B!$K$18</definedName>
    <definedName name="UNKB0140_B_BIKO">UNKB0140_B!$H$25</definedName>
    <definedName name="UNKB0140_B_CHUMON_NO">UNKB0140_B!$K$26</definedName>
    <definedName name="UNKB0140_B_CHUMON_SU">UNKB0140_B!$H$18</definedName>
    <definedName name="UNKB0140_B_CODE_AREA">UNKB0140_B!$D$11:$D$19</definedName>
    <definedName name="UNKB0140_B_COPY_SAKI">UNKB0140_B!$H$7:$N$26</definedName>
    <definedName name="UNKB0140_B_DOKU_FLG">UNKB0140_B!$D$18</definedName>
    <definedName name="UNKB0140_B_HATCHU_DATE">UNKB0140_B!$D$16</definedName>
    <definedName name="UNKB0140_B_HIDE_COLUMN">UNKB0140_B!$D$8</definedName>
    <definedName name="UNKB0140_B_HIDE_ROW">UNKB0140_B!$D$7</definedName>
    <definedName name="UNKB0140_B_HOKAN_BASHO">UNKB0140_B!$H$10</definedName>
    <definedName name="UNKB0140_B_HOKAN_BASHO_KBN">UNKB0140_B!$D$13</definedName>
    <definedName name="UNKB0140_B_IRISU">UNKB0140_B!$K$17</definedName>
    <definedName name="UNKB0140_B_IRISU_TANI">UNKB0140_B!$K$19</definedName>
    <definedName name="UNKB0140_B_JURI_NO">UNKB0140_B!$K$24</definedName>
    <definedName name="UNKB0140_B_KENSHU_DATE">UNKB0140_B!$K$10</definedName>
    <definedName name="UNKB0140_B_KIBO_NOKI">UNKB0140_B!$K$11</definedName>
    <definedName name="UNKB0140_B_KINGAKU">UNKB0140_B!$N$18</definedName>
    <definedName name="UNKB0140_B_KOBAI_KBN">UNKB0140_B!$H$13</definedName>
    <definedName name="UNKB0140_B_KOBAI_KBN_CD">UNKB0140_B!$D$17</definedName>
    <definedName name="UNKB0140_B_KOBAI_NO">UNKB0140_B!$H$26</definedName>
    <definedName name="UNKB0140_B_KOBAI_SEQ">UNKB0140_B!$D$12</definedName>
    <definedName name="UNKB0140_B_KOBAIHIN_CD">UNKB0140_B!$H$16</definedName>
    <definedName name="UNKB0140_B_KOBAIHIN_MEI">UNKB0140_B!$I$16</definedName>
    <definedName name="UNKB0140_B_MAKER_CD">UNKB0140_B!$H$22</definedName>
    <definedName name="UNKB0140_B_MAKER_MEI">UNKB0140_B!$I$22</definedName>
    <definedName name="UNKB0140_B_NYUKO_TOTAL">UNKB0140_B!$N$19</definedName>
    <definedName name="UNKB0140_B_NYURYOKUSHA_CD">UNKB0140_B!$D$11</definedName>
    <definedName name="UNKB0140_B_NYURYOKUSHA_MEI">UNKB0140_B!$H$9</definedName>
    <definedName name="UNKB0140_B_NYUSHUKKO_NO">UNKB0140_B!$H$7</definedName>
    <definedName name="UNKB0140_B_SHIIRESAKI_CD">UNKB0140_B!$H$21</definedName>
    <definedName name="UNKB0140_B_SHIIRESAKI_MEI">UNKB0140_B!$I$21</definedName>
    <definedName name="UNKB0140_B_SHINSEI_DATE">UNKB0140_B!$K$14</definedName>
    <definedName name="UNKB0140_B_SHINSEISHA_MEI">UNKB0140_B!$H$14</definedName>
    <definedName name="UNKB0140_B_SHIYAKU_FLG">UNKB0140_B!$D$15</definedName>
    <definedName name="UNKB0140_B_SOSU">UNKB0140_B!$N$17</definedName>
    <definedName name="UNKB0140_B_SUMI_SURYO">UNKB0140_B!$D$19</definedName>
    <definedName name="UNKB0140_B_SURYO">UNKB0140_B!$H$19</definedName>
    <definedName name="UNKB0140_B_TANKA">UNKB0140_B!$H$17</definedName>
    <definedName name="UNKB0140_B_UKEIRE_DATE">UNKB0140_B!$K$9</definedName>
    <definedName name="UNKB0140_B_YOSAN_CD">UNKB0140_B!$H$24</definedName>
    <definedName name="UNKB0140_B_YOSAN_MEI">UNKB0140_B!$D$14</definedName>
    <definedName name="UNKB0140_B_ZAIKO_NO">UNKB0140_B!$K$7</definedName>
    <definedName name="UNKB0140_H_COPY_SAKI">UNKB0140_H!$G$3:$H$3</definedName>
    <definedName name="UNKB0140_H_DATA_COUNT">UNKB0140_H!$D$5</definedName>
    <definedName name="UNKB0140_H_DBS_01">UNKB0140_H!$D$3</definedName>
    <definedName name="UNKB0140_H_HIDE_COLUMN">UNKB0140_H!$D$9</definedName>
    <definedName name="UNKB0140_H_HIDE_ROW">UNKB0140_H!$D$8</definedName>
    <definedName name="UNKB0140_H_IRAI_NO">UNKB0140_H!$H$3</definedName>
    <definedName name="UNKB0140_IF_ACTIVE_CELL_NAME">UNKB0140_IF!$D$15</definedName>
    <definedName name="UNKB0140_IF_ACTIVE_COLUMN">UNKB0140_IF!$D$14</definedName>
    <definedName name="UNKB0140_IF_ACTIVE_ROW">UNKB0140_IF!$D$13</definedName>
    <definedName name="UNKB0140_IF_ACTIVE_SHEET">UNKB0140_IF!$D$12</definedName>
    <definedName name="UNKB0140_IF_BUTTON_06_HYOJI">UNKB0140_IF!$D$22</definedName>
    <definedName name="UNKB0140_IF_BUTTON_06_NAME">UNKB0140_IF!$D$18</definedName>
    <definedName name="UNKB0140_IF_BUTTON_07_HYOJI">UNKB0140_IF!$D$23</definedName>
    <definedName name="UNKB0140_IF_BUTTON_10_ERROR">UNKB0140_IF!$D$29</definedName>
    <definedName name="UNKB0140_IF_BUTTON_10_ERROR_MSG">UNKB0140_IF!$D$30</definedName>
    <definedName name="UNKB0140_IF_BUTTON_10_HYOJI">UNKB0140_IF!$D$24</definedName>
    <definedName name="UNKB0140_IF_BUTTON_10_NAME">UNKB0140_IF!$D$19</definedName>
    <definedName name="UNKB0140_IF_BUTTON_18_HYOJI">UNKB0140_IF!$D$25</definedName>
    <definedName name="UNKB0140_IF_BUTTON_20_HYOJI">UNKB0140_IF!$D$26</definedName>
    <definedName name="UNKB0140_IF_COPY_B_INIT">UNKB0140_IF!$O$68:$U$87</definedName>
    <definedName name="UNKB0140_IF_COPY_B_SANSHO">UNKB0140_IF!$O$47:$U$66</definedName>
    <definedName name="UNKB0140_IF_COPY_B_SHINKI">UNKB0140_IF!$O$5:$U$24</definedName>
    <definedName name="UNKB0140_IF_COPY_B_SHUSEI">UNKB0140_IF!$O$26:$U$45</definedName>
    <definedName name="UNKB0140_IF_COPY_H_INIT">UNKB0140_IF!$K$20:$L$20</definedName>
    <definedName name="UNKB0140_IF_COPY_H_SANSHO">UNKB0140_IF!$K$15:$L$15</definedName>
    <definedName name="UNKB0140_IF_COPY_H_SHINKI">UNKB0140_IF!$K$5:$L$5</definedName>
    <definedName name="UNKB0140_IF_COPY_H_SHUSEI">UNKB0140_IF!$K$10:$L$10</definedName>
    <definedName name="UNKB0140_IF_DATA_SEARCH_FLG">UNKB0140_IF!$D$3</definedName>
    <definedName name="UNKB0140_IF_EXCEL_FILE_NAME">UNKB0140_IF!$D$33</definedName>
    <definedName name="UNKB0140_IF_INPUT_CHECK">UNKB0140_IF!$AE$26</definedName>
    <definedName name="UNKB0140_IF_INPUT_ERROR_MESSAGE">UNKB0140_IF!$AE$27</definedName>
    <definedName name="UNKB0140_IF_LABEL_PRINTER">UNKB0140_IF!$D$38</definedName>
    <definedName name="UNKB0140_IF_MODE">UNKB0140_IF!$D$8</definedName>
    <definedName name="UNKB0140_IF_PRINT_CHECK">UNKB0140_IF!#REF!</definedName>
    <definedName name="UNKB0140_IF_RECEIPT_PRINTER">UNKB0140_IF!$D$39</definedName>
    <definedName name="UNKB0140_IF_REF_NO">UNKB0140_IF!$D$4</definedName>
    <definedName name="UNKB0140_IF_SAVE_CHECK_ERROR_KOMOKU">UNKB0140_IF!$AE$30</definedName>
    <definedName name="UNKB0140_IF_SAVE_CHECK_RESULT">UNKB0140_IF!$AD$30</definedName>
    <definedName name="UNKB0140_IF_SAVE_ERROR_CHECK">UNKB0140_IF!$Z$19</definedName>
    <definedName name="UNKB0140_IF_SAVE_ERROR_MESSAGE">UNKB0140_IF!$Z$20</definedName>
    <definedName name="UNKB0140_IF_SAVE_HOKAN_BASHO_KBN">UNKB0140_IF!$AR$5</definedName>
    <definedName name="UNKB0140_IF_SAVE_IRAI_NO">UNKB0140_IF!$AO$5</definedName>
    <definedName name="UNKB0140_IF_SAVE_KENSU">UNKB0140_IF!$Z$11</definedName>
    <definedName name="UNKB0140_IF_SAVE_NYUKO_SURYO">UNKB0140_IF!$AU$5</definedName>
    <definedName name="UNKB0140_IF_SAVE_NYURYOKUSHA_CD">UNKB0140_IF!$AQ$5</definedName>
    <definedName name="UNKB0140_IF_SAVE_PRINT_CHECK">UNKB0140_IF!$D$41</definedName>
    <definedName name="UNKB0140_IF_SAVE_RESULT_CD">UNKB0140_IF!$Z$17</definedName>
    <definedName name="UNKB0140_IF_SAVE_RESULT_MESSAGE">UNKB0140_IF!$Z$18</definedName>
    <definedName name="UNKB0140_IF_SAVE_RESULT_NYUSHUKKO_NO">UNKB0140_IF!$Z$16</definedName>
    <definedName name="UNKB0140_IF_SAVE_SHIYAKU_CHECK">UNKB0140_IF!$Z$24</definedName>
    <definedName name="UNKB0140_IF_SAVE_SHIYAKU_LOOP_CNT">UNKB0140_IF!$Z$25</definedName>
    <definedName name="UNKB0140_IF_SAVE_START">UNKB0140_IF!$AH$5</definedName>
    <definedName name="UNKB0140_IF_SAVE_UKEIRE_DATE">UNKB0140_IF!$AS$5</definedName>
    <definedName name="UNKB0140_IF_SHIYAKU_FLG">UNKB0140_IF!$D$37</definedName>
    <definedName name="UNKB0140_IF_W_MODE">UNKB0140_IF!$Z$7</definedName>
    <definedName name="UNKB0140_IF_W_SERIAL">UNKB0140_IF!$Z$5</definedName>
    <definedName name="UNKB0140_IF_W_SERIAL_CREATE">UNKB0140_IF!$Z$6</definedName>
    <definedName name="UNKB0140_IF_W_USER_ID">UNKB0140_IF!$Z$4</definedName>
    <definedName name="UNKB0140_SQL_DATA">UNKB0140_SQL!$F$4</definedName>
    <definedName name="UNKB0140_SQL_DATA_COUNT">UNKB0140_SQL!$F$13</definedName>
    <definedName name="UNKB0140_SQL_DEFAULT_NYURYOKUSHA">UNKB0140_SQL!$F$23</definedName>
    <definedName name="UNKB0140_SQL_PROC">UNKB0140_SQL!$F$19</definedName>
    <definedName name="必須チェック設定" localSheetId="6">UNKB0020_IF!$BX$4</definedName>
    <definedName name="必須チェック設定" localSheetId="35">UNKB0140_IF!$AC$4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V4" i="111" l="1"/>
  <c r="G30" i="51" l="1"/>
  <c r="F30" i="51" s="1"/>
  <c r="G29" i="51"/>
  <c r="F29" i="51" s="1"/>
  <c r="BF5" i="50" l="1"/>
  <c r="BF4" i="50"/>
  <c r="BF3" i="50"/>
  <c r="D30" i="114" l="1"/>
  <c r="Z24" i="114" l="1"/>
  <c r="D29" i="114" l="1"/>
  <c r="D41" i="114" l="1"/>
  <c r="AF25" i="47" l="1"/>
  <c r="AF21" i="47"/>
  <c r="AF17" i="47"/>
  <c r="AF13" i="47"/>
  <c r="AF9" i="47"/>
  <c r="AF5" i="47"/>
  <c r="D26" i="47" l="1"/>
  <c r="D10" i="45" l="1"/>
  <c r="AM36" i="53" s="1"/>
  <c r="A2" i="53" l="1"/>
  <c r="A2" i="52"/>
  <c r="N9" i="116"/>
  <c r="B12" i="116"/>
  <c r="B11" i="116"/>
  <c r="K10" i="116"/>
  <c r="B10" i="116"/>
  <c r="B9" i="116"/>
  <c r="B8" i="116"/>
  <c r="B7" i="116"/>
  <c r="B6" i="116"/>
  <c r="B5" i="116"/>
  <c r="B4" i="116"/>
  <c r="B3" i="116"/>
  <c r="K2" i="116"/>
  <c r="B2" i="116"/>
  <c r="B1" i="116"/>
  <c r="AQ12" i="116"/>
  <c r="AQ11" i="116"/>
  <c r="AZ10" i="116"/>
  <c r="AQ10" i="116"/>
  <c r="AQ9" i="116"/>
  <c r="AQ8" i="116"/>
  <c r="AQ7" i="116"/>
  <c r="AQ6" i="116"/>
  <c r="AQ5" i="116"/>
  <c r="AQ4" i="116"/>
  <c r="AQ3" i="116"/>
  <c r="AQ2" i="116"/>
  <c r="AQ1" i="116"/>
  <c r="B10" i="119"/>
  <c r="U80" i="114" l="1"/>
  <c r="U59" i="114"/>
  <c r="U38" i="114"/>
  <c r="U17" i="114"/>
  <c r="N19" i="113" l="1"/>
  <c r="D18" i="114" l="1"/>
  <c r="D25" i="47"/>
  <c r="R7" i="105" l="1"/>
  <c r="AX4" i="105" l="1"/>
  <c r="B3" i="119" l="1"/>
  <c r="J5" i="111" l="1"/>
  <c r="F23" i="109" l="1"/>
  <c r="D47" i="47"/>
  <c r="B9" i="119" l="1"/>
  <c r="B8" i="119"/>
  <c r="B7" i="119"/>
  <c r="D18" i="6"/>
  <c r="BH4" i="105"/>
  <c r="BF4" i="105"/>
  <c r="D33" i="114"/>
  <c r="BG10" i="117"/>
  <c r="BE10" i="108"/>
  <c r="DL12" i="98"/>
  <c r="DE10" i="94"/>
  <c r="D58" i="47"/>
  <c r="D56" i="47"/>
  <c r="BL10" i="50"/>
  <c r="J19" i="52" l="1"/>
  <c r="J18" i="52"/>
  <c r="AD17" i="52"/>
  <c r="J17" i="52"/>
  <c r="AD16" i="52"/>
  <c r="J16" i="52"/>
  <c r="J15" i="52"/>
  <c r="J14" i="52"/>
  <c r="J13" i="52"/>
  <c r="AD9" i="52"/>
  <c r="J9" i="52"/>
  <c r="J8" i="52"/>
  <c r="BY18" i="47" l="1"/>
  <c r="CE2" i="47"/>
  <c r="D39" i="46"/>
  <c r="F7" i="109" l="1"/>
  <c r="B15" i="119"/>
  <c r="B16" i="119" l="1"/>
  <c r="B14" i="119"/>
  <c r="B12" i="119"/>
  <c r="B13" i="119"/>
  <c r="B11" i="119"/>
  <c r="B6" i="119"/>
  <c r="B5" i="119"/>
  <c r="B4" i="119"/>
  <c r="B2" i="119"/>
  <c r="B1" i="119"/>
  <c r="AD10" i="114"/>
  <c r="AD9" i="114"/>
  <c r="G37" i="118" l="1"/>
  <c r="K11" i="90"/>
  <c r="M11" i="90" s="1"/>
  <c r="T7" i="90" l="1"/>
  <c r="T6" i="90"/>
  <c r="T5" i="90"/>
  <c r="D15" i="91" l="1"/>
  <c r="D31" i="91" l="1"/>
  <c r="D39" i="91"/>
  <c r="F8" i="3"/>
  <c r="AR9" i="117" l="1"/>
  <c r="BA5" i="117"/>
  <c r="BA4" i="117"/>
  <c r="BA3" i="117"/>
  <c r="F37" i="118"/>
  <c r="G32" i="118"/>
  <c r="F32" i="118" s="1"/>
  <c r="G28" i="118"/>
  <c r="F28" i="118" s="1"/>
  <c r="BG8" i="117"/>
  <c r="BG7" i="117"/>
  <c r="D28" i="91"/>
  <c r="D27" i="91"/>
  <c r="D14" i="91"/>
  <c r="K12" i="106"/>
  <c r="F44" i="118"/>
  <c r="F42" i="118"/>
  <c r="G41" i="118"/>
  <c r="G40" i="118"/>
  <c r="G39" i="118"/>
  <c r="F39" i="118" s="1"/>
  <c r="G36" i="118"/>
  <c r="F36" i="118" s="1"/>
  <c r="G35" i="118"/>
  <c r="F35" i="118" s="1"/>
  <c r="G34" i="118"/>
  <c r="F34" i="118" s="1"/>
  <c r="G33" i="118"/>
  <c r="F33" i="118" s="1"/>
  <c r="G31" i="118"/>
  <c r="F31" i="118" s="1"/>
  <c r="G30" i="118"/>
  <c r="F30" i="118" s="1"/>
  <c r="G29" i="118"/>
  <c r="F29" i="118" s="1"/>
  <c r="G27" i="118"/>
  <c r="F27" i="118" s="1"/>
  <c r="G26" i="118"/>
  <c r="F26" i="118" s="1"/>
  <c r="G25" i="118"/>
  <c r="F25" i="118" s="1"/>
  <c r="G24" i="118"/>
  <c r="F24" i="118" s="1"/>
  <c r="G23" i="118"/>
  <c r="F23" i="118" s="1"/>
  <c r="G22" i="118"/>
  <c r="F22" i="118" s="1"/>
  <c r="G21" i="118"/>
  <c r="F21" i="118" s="1"/>
  <c r="G20" i="118"/>
  <c r="F20" i="118" s="1"/>
  <c r="G19" i="118"/>
  <c r="F19" i="118" s="1"/>
  <c r="G18" i="118"/>
  <c r="F18" i="118" s="1"/>
  <c r="G17" i="118"/>
  <c r="F17" i="118" s="1"/>
  <c r="G16" i="118"/>
  <c r="F16" i="118" s="1"/>
  <c r="G15" i="118"/>
  <c r="F15" i="118" s="1"/>
  <c r="D33" i="91"/>
  <c r="D24" i="91"/>
  <c r="D25" i="91"/>
  <c r="D29" i="91"/>
  <c r="D20" i="91"/>
  <c r="D34" i="91" s="1"/>
  <c r="D16" i="91"/>
  <c r="E3" i="90"/>
  <c r="F14" i="118" l="1"/>
  <c r="F40" i="118"/>
  <c r="F41" i="118"/>
  <c r="AT9" i="117"/>
  <c r="D30" i="91"/>
  <c r="F13" i="91"/>
  <c r="G38" i="118"/>
  <c r="D8" i="113"/>
  <c r="F23" i="115"/>
  <c r="F19" i="115"/>
  <c r="F15" i="115"/>
  <c r="F13" i="115" s="1"/>
  <c r="F12" i="115"/>
  <c r="F9" i="115" s="1"/>
  <c r="F4" i="115" s="1"/>
  <c r="F8" i="115"/>
  <c r="F5" i="115" s="1"/>
  <c r="AE27" i="114"/>
  <c r="AE26" i="114"/>
  <c r="D26" i="114"/>
  <c r="D25" i="114"/>
  <c r="D24" i="114"/>
  <c r="D23" i="114"/>
  <c r="D22" i="114"/>
  <c r="Z19" i="114"/>
  <c r="D19" i="114"/>
  <c r="AD6" i="114"/>
  <c r="BA5" i="114"/>
  <c r="AZ5" i="114"/>
  <c r="AY5" i="114"/>
  <c r="AX5" i="114"/>
  <c r="AW5" i="114"/>
  <c r="AV5" i="114"/>
  <c r="AU5" i="114"/>
  <c r="AT5" i="114"/>
  <c r="AS5" i="114"/>
  <c r="AR5" i="114"/>
  <c r="AQ5" i="114"/>
  <c r="AP5" i="114"/>
  <c r="AO5" i="114"/>
  <c r="AN5" i="114"/>
  <c r="AM5" i="114"/>
  <c r="AL5" i="114"/>
  <c r="AK5" i="114"/>
  <c r="AI5" i="114"/>
  <c r="AH5" i="114"/>
  <c r="D37" i="114"/>
  <c r="D7" i="113"/>
  <c r="D9" i="112"/>
  <c r="F38" i="118" l="1"/>
  <c r="F13" i="118" s="1"/>
  <c r="D11" i="102"/>
  <c r="F6" i="118" l="1"/>
  <c r="D30" i="107"/>
  <c r="D27" i="107"/>
  <c r="F9" i="118" l="1"/>
  <c r="F3" i="118"/>
  <c r="D28" i="107"/>
  <c r="D26" i="107"/>
  <c r="D29" i="107" s="1"/>
  <c r="F64" i="109"/>
  <c r="G40" i="109" l="1"/>
  <c r="F40" i="109" s="1"/>
  <c r="G39" i="109"/>
  <c r="F39" i="109" s="1"/>
  <c r="G38" i="109"/>
  <c r="F38" i="109" s="1"/>
  <c r="G63" i="109"/>
  <c r="F63" i="109" s="1"/>
  <c r="G62" i="109"/>
  <c r="F62" i="109" s="1"/>
  <c r="G61" i="109"/>
  <c r="F61" i="109" s="1"/>
  <c r="G59" i="109"/>
  <c r="F59" i="109" s="1"/>
  <c r="G58" i="109"/>
  <c r="F58" i="109" s="1"/>
  <c r="G57" i="109"/>
  <c r="F57" i="109" s="1"/>
  <c r="G56" i="109"/>
  <c r="F56" i="109" s="1"/>
  <c r="G55" i="109"/>
  <c r="F55" i="109" s="1"/>
  <c r="G54" i="109"/>
  <c r="F54" i="109" s="1"/>
  <c r="G53" i="109"/>
  <c r="F53" i="109" s="1"/>
  <c r="G52" i="109"/>
  <c r="F52" i="109" s="1"/>
  <c r="G51" i="109"/>
  <c r="F51" i="109" s="1"/>
  <c r="G50" i="109"/>
  <c r="F50" i="109" s="1"/>
  <c r="G49" i="109"/>
  <c r="F49" i="109" s="1"/>
  <c r="G48" i="109"/>
  <c r="F48" i="109" s="1"/>
  <c r="G47" i="109"/>
  <c r="F47" i="109" s="1"/>
  <c r="G46" i="109"/>
  <c r="F46" i="109" s="1"/>
  <c r="G45" i="109"/>
  <c r="F45" i="109" s="1"/>
  <c r="G44" i="109"/>
  <c r="F44" i="109" s="1"/>
  <c r="G43" i="109"/>
  <c r="F43" i="109" s="1"/>
  <c r="G41" i="109"/>
  <c r="F41" i="109" s="1"/>
  <c r="G37" i="109"/>
  <c r="F37" i="109" s="1"/>
  <c r="G36" i="109"/>
  <c r="F36" i="109" s="1"/>
  <c r="G34" i="109"/>
  <c r="F34" i="109" s="1"/>
  <c r="G33" i="109"/>
  <c r="F33" i="109" s="1"/>
  <c r="G32" i="109"/>
  <c r="F32" i="109" s="1"/>
  <c r="G31" i="109"/>
  <c r="F31" i="109" s="1"/>
  <c r="G30" i="109"/>
  <c r="F30" i="109" s="1"/>
  <c r="F35" i="109" l="1"/>
  <c r="F29" i="109"/>
  <c r="F42" i="109"/>
  <c r="G60" i="109"/>
  <c r="F60" i="109" s="1"/>
  <c r="F28" i="109" l="1"/>
  <c r="F20" i="109" s="1"/>
  <c r="BK4" i="105"/>
  <c r="F17" i="109" l="1"/>
  <c r="F25" i="109"/>
  <c r="F13" i="109"/>
  <c r="F10" i="109"/>
  <c r="J9" i="111"/>
  <c r="AI4" i="111"/>
  <c r="F66" i="109"/>
  <c r="F6" i="109" s="1"/>
  <c r="D21" i="108"/>
  <c r="BE8" i="108"/>
  <c r="BE7" i="108"/>
  <c r="AZ5" i="108"/>
  <c r="AZ4" i="108"/>
  <c r="AZ3" i="108"/>
  <c r="D34" i="107"/>
  <c r="D33" i="107"/>
  <c r="D32" i="107"/>
  <c r="D22" i="107"/>
  <c r="D35" i="107" s="1"/>
  <c r="D18" i="107"/>
  <c r="D17" i="107"/>
  <c r="D16" i="107"/>
  <c r="AR8" i="108"/>
  <c r="U9" i="106"/>
  <c r="U8" i="106"/>
  <c r="U7" i="106"/>
  <c r="E3" i="106"/>
  <c r="CA4" i="111" l="1"/>
  <c r="AR4" i="111"/>
  <c r="BU4" i="111"/>
  <c r="BR4" i="111"/>
  <c r="BF4" i="111"/>
  <c r="CR4" i="111"/>
  <c r="AV4" i="111"/>
  <c r="F15" i="107"/>
  <c r="AZ4" i="111"/>
  <c r="AJ4" i="111"/>
  <c r="BX4" i="111"/>
  <c r="M12" i="106"/>
  <c r="AN4" i="111"/>
  <c r="BL4" i="111"/>
  <c r="F71" i="97" l="1"/>
  <c r="R5" i="105" l="1"/>
  <c r="BN4" i="105"/>
  <c r="BI4" i="105"/>
  <c r="BG4" i="105"/>
  <c r="BC4" i="105"/>
  <c r="BB4" i="105"/>
  <c r="AZ4" i="105"/>
  <c r="R4" i="105"/>
  <c r="F68" i="97"/>
  <c r="F67" i="97"/>
  <c r="F64" i="97" s="1"/>
  <c r="B5" i="104"/>
  <c r="B4" i="104"/>
  <c r="B3" i="104"/>
  <c r="E5" i="81"/>
  <c r="P1" i="104" s="1"/>
  <c r="G28" i="97" l="1"/>
  <c r="G27" i="97"/>
  <c r="G26" i="97"/>
  <c r="G28" i="95"/>
  <c r="G27" i="95"/>
  <c r="G26" i="95"/>
  <c r="G28" i="51"/>
  <c r="F28" i="51" s="1"/>
  <c r="G27" i="51"/>
  <c r="F27" i="51" s="1"/>
  <c r="G26" i="51"/>
  <c r="F26" i="51" s="1"/>
  <c r="G24" i="97"/>
  <c r="F24" i="97" s="1"/>
  <c r="F11" i="103" l="1"/>
  <c r="F9" i="103" s="1"/>
  <c r="F8" i="103"/>
  <c r="D21" i="101"/>
  <c r="D20" i="101"/>
  <c r="D15" i="101"/>
  <c r="D9" i="101"/>
  <c r="D12" i="102" s="1"/>
  <c r="D5" i="101"/>
  <c r="D39" i="82"/>
  <c r="D40" i="82"/>
  <c r="D39" i="80"/>
  <c r="D40" i="80"/>
  <c r="D16" i="101"/>
  <c r="D17" i="101"/>
  <c r="G6" i="101" l="1"/>
  <c r="F5" i="103"/>
  <c r="F3" i="103"/>
  <c r="F58" i="97" l="1"/>
  <c r="F60" i="97"/>
  <c r="F49" i="97"/>
  <c r="G48" i="97"/>
  <c r="F48" i="97" s="1"/>
  <c r="G47" i="97"/>
  <c r="F47" i="97" s="1"/>
  <c r="G46" i="97"/>
  <c r="F46" i="97" s="1"/>
  <c r="G44" i="97"/>
  <c r="F44" i="97" s="1"/>
  <c r="G43" i="97"/>
  <c r="F43" i="97" s="1"/>
  <c r="G42" i="97"/>
  <c r="F42" i="97" s="1"/>
  <c r="G41" i="97"/>
  <c r="F41" i="97" s="1"/>
  <c r="G40" i="97"/>
  <c r="F40" i="97" s="1"/>
  <c r="G39" i="97"/>
  <c r="F39" i="97" s="1"/>
  <c r="G38" i="97"/>
  <c r="F38" i="97" s="1"/>
  <c r="G37" i="97"/>
  <c r="F37" i="97" s="1"/>
  <c r="G36" i="97"/>
  <c r="F36" i="97" s="1"/>
  <c r="G35" i="97"/>
  <c r="F35" i="97" s="1"/>
  <c r="G34" i="97"/>
  <c r="F34" i="97" s="1"/>
  <c r="G33" i="97"/>
  <c r="F33" i="97" s="1"/>
  <c r="G32" i="97"/>
  <c r="F32" i="97" s="1"/>
  <c r="G31" i="97"/>
  <c r="F31" i="97" s="1"/>
  <c r="G30" i="97"/>
  <c r="F30" i="97" s="1"/>
  <c r="G29" i="97"/>
  <c r="F29" i="97" s="1"/>
  <c r="F28" i="97"/>
  <c r="F27" i="97"/>
  <c r="F26" i="97"/>
  <c r="G25" i="97"/>
  <c r="F25" i="97" s="1"/>
  <c r="G22" i="97"/>
  <c r="F22" i="97" s="1"/>
  <c r="G21" i="97"/>
  <c r="F21" i="97" s="1"/>
  <c r="G20" i="97"/>
  <c r="F20" i="97" s="1"/>
  <c r="G19" i="97"/>
  <c r="F19" i="97" s="1"/>
  <c r="G18" i="97"/>
  <c r="F18" i="97" s="1"/>
  <c r="D17" i="82"/>
  <c r="D30" i="82"/>
  <c r="F23" i="97" l="1"/>
  <c r="F17" i="97"/>
  <c r="F55" i="97"/>
  <c r="G45" i="97"/>
  <c r="F45" i="97" s="1"/>
  <c r="F9" i="97"/>
  <c r="F53" i="97"/>
  <c r="F16" i="97" l="1"/>
  <c r="F12" i="97" l="1"/>
  <c r="F6" i="97"/>
  <c r="D39" i="6"/>
  <c r="D38" i="6"/>
  <c r="BO13" i="98" l="1"/>
  <c r="BO12" i="98"/>
  <c r="DL8" i="98"/>
  <c r="DL7" i="98"/>
  <c r="BW2" i="98"/>
  <c r="BU2" i="98"/>
  <c r="BT2" i="98"/>
  <c r="BS2" i="98"/>
  <c r="AW8" i="98"/>
  <c r="BJ5" i="98"/>
  <c r="BI5" i="98"/>
  <c r="BH5" i="98"/>
  <c r="BG5" i="98"/>
  <c r="BJ4" i="98"/>
  <c r="BI4" i="98"/>
  <c r="BH4" i="98"/>
  <c r="BG4" i="98"/>
  <c r="BJ3" i="98"/>
  <c r="BI3" i="98"/>
  <c r="BH3" i="98"/>
  <c r="BG3" i="98"/>
  <c r="D35" i="82"/>
  <c r="D34" i="82"/>
  <c r="D33" i="82"/>
  <c r="D31" i="82"/>
  <c r="D28" i="82"/>
  <c r="D27" i="82"/>
  <c r="D26" i="82"/>
  <c r="D29" i="82" s="1"/>
  <c r="D22" i="82"/>
  <c r="F15" i="82" s="1"/>
  <c r="D18" i="82"/>
  <c r="D16" i="82"/>
  <c r="U8" i="81"/>
  <c r="U7" i="81"/>
  <c r="U6" i="81"/>
  <c r="X8" i="81"/>
  <c r="W8" i="81"/>
  <c r="V8" i="81"/>
  <c r="X7" i="81"/>
  <c r="W7" i="81"/>
  <c r="V7" i="81"/>
  <c r="X6" i="81"/>
  <c r="W6" i="81"/>
  <c r="V6" i="81"/>
  <c r="K11" i="81"/>
  <c r="M11" i="81" s="1"/>
  <c r="E3" i="81"/>
  <c r="D18" i="80"/>
  <c r="CN2" i="98" l="1"/>
  <c r="DE2" i="98"/>
  <c r="DA2" i="98"/>
  <c r="CW2" i="98"/>
  <c r="CS2" i="98"/>
  <c r="CO2" i="98"/>
  <c r="CJ2" i="98"/>
  <c r="CF2" i="98"/>
  <c r="CB2" i="98"/>
  <c r="BX2" i="98"/>
  <c r="DC2" i="98"/>
  <c r="CU2" i="98"/>
  <c r="CL2" i="98"/>
  <c r="BZ2" i="98"/>
  <c r="CK2" i="98"/>
  <c r="CC2" i="98"/>
  <c r="DD2" i="98"/>
  <c r="CZ2" i="98"/>
  <c r="CV2" i="98"/>
  <c r="CR2" i="98"/>
  <c r="CM2" i="98"/>
  <c r="CI2" i="98"/>
  <c r="CE2" i="98"/>
  <c r="CA2" i="98"/>
  <c r="BV2" i="98"/>
  <c r="DG2" i="98"/>
  <c r="CY2" i="98"/>
  <c r="CQ2" i="98"/>
  <c r="CH2" i="98"/>
  <c r="CD2" i="98"/>
  <c r="DF2" i="98"/>
  <c r="DB2" i="98"/>
  <c r="CX2" i="98"/>
  <c r="CT2" i="98"/>
  <c r="CP2" i="98"/>
  <c r="CG2" i="98"/>
  <c r="BY2" i="98"/>
  <c r="AY8" i="98"/>
  <c r="D36" i="82"/>
  <c r="AU8" i="94" l="1"/>
  <c r="BE5" i="94"/>
  <c r="BE4" i="94"/>
  <c r="BE3" i="94"/>
  <c r="D30" i="80" l="1"/>
  <c r="BJ10" i="94"/>
  <c r="BJ11" i="94"/>
  <c r="F60" i="95" l="1"/>
  <c r="F58" i="95"/>
  <c r="F9" i="95" s="1"/>
  <c r="D17" i="80"/>
  <c r="F53" i="95" l="1"/>
  <c r="F55" i="95"/>
  <c r="BR2" i="94"/>
  <c r="BP2" i="94"/>
  <c r="BO2" i="94"/>
  <c r="BN2" i="94"/>
  <c r="F49" i="95"/>
  <c r="G48" i="95"/>
  <c r="F48" i="95" s="1"/>
  <c r="G47" i="95"/>
  <c r="F47" i="95" s="1"/>
  <c r="G46" i="95"/>
  <c r="F46" i="95" s="1"/>
  <c r="G44" i="95"/>
  <c r="F44" i="95" s="1"/>
  <c r="G43" i="95"/>
  <c r="F43" i="95" s="1"/>
  <c r="G42" i="95"/>
  <c r="F42" i="95" s="1"/>
  <c r="G41" i="95"/>
  <c r="F41" i="95" s="1"/>
  <c r="G40" i="95"/>
  <c r="F40" i="95" s="1"/>
  <c r="G39" i="95"/>
  <c r="F39" i="95" s="1"/>
  <c r="G38" i="95"/>
  <c r="F38" i="95" s="1"/>
  <c r="G37" i="95"/>
  <c r="F37" i="95" s="1"/>
  <c r="G36" i="95"/>
  <c r="F36" i="95" s="1"/>
  <c r="G35" i="95"/>
  <c r="F35" i="95" s="1"/>
  <c r="G34" i="95"/>
  <c r="F34" i="95" s="1"/>
  <c r="G33" i="95"/>
  <c r="F33" i="95" s="1"/>
  <c r="G32" i="95"/>
  <c r="F32" i="95" s="1"/>
  <c r="G31" i="95"/>
  <c r="F31" i="95" s="1"/>
  <c r="G30" i="95"/>
  <c r="F30" i="95" s="1"/>
  <c r="G29" i="95"/>
  <c r="F29" i="95" s="1"/>
  <c r="F28" i="95"/>
  <c r="F27" i="95"/>
  <c r="F26" i="95"/>
  <c r="G25" i="95"/>
  <c r="F25" i="95" s="1"/>
  <c r="G24" i="95"/>
  <c r="F24" i="95" s="1"/>
  <c r="G22" i="95"/>
  <c r="F22" i="95" s="1"/>
  <c r="G21" i="95"/>
  <c r="F21" i="95" s="1"/>
  <c r="G20" i="95"/>
  <c r="F20" i="95" s="1"/>
  <c r="G19" i="95"/>
  <c r="F19" i="95" s="1"/>
  <c r="G18" i="95"/>
  <c r="F18" i="95" s="1"/>
  <c r="DE8" i="94"/>
  <c r="DE7" i="94"/>
  <c r="D16" i="80"/>
  <c r="D35" i="80"/>
  <c r="D34" i="80"/>
  <c r="D33" i="80"/>
  <c r="D31" i="80"/>
  <c r="D28" i="80"/>
  <c r="D27" i="80"/>
  <c r="D26" i="80"/>
  <c r="D29" i="80" s="1"/>
  <c r="D22" i="80"/>
  <c r="D36" i="80" s="1"/>
  <c r="U8" i="79"/>
  <c r="U7" i="79"/>
  <c r="U6" i="79"/>
  <c r="K11" i="79"/>
  <c r="E3" i="79"/>
  <c r="BL8" i="50"/>
  <c r="F17" i="95" l="1"/>
  <c r="F23" i="95"/>
  <c r="CX2" i="94"/>
  <c r="CT2" i="94"/>
  <c r="CP2" i="94"/>
  <c r="CL2" i="94"/>
  <c r="CH2" i="94"/>
  <c r="CD2" i="94"/>
  <c r="BZ2" i="94"/>
  <c r="BV2" i="94"/>
  <c r="BQ2" i="94"/>
  <c r="CV2" i="94"/>
  <c r="CN2" i="94"/>
  <c r="CF2" i="94"/>
  <c r="CB2" i="94"/>
  <c r="BT2" i="94"/>
  <c r="CY2" i="94"/>
  <c r="CQ2" i="94"/>
  <c r="CI2" i="94"/>
  <c r="CA2" i="94"/>
  <c r="BS2" i="94"/>
  <c r="CW2" i="94"/>
  <c r="CS2" i="94"/>
  <c r="CO2" i="94"/>
  <c r="CK2" i="94"/>
  <c r="CG2" i="94"/>
  <c r="CC2" i="94"/>
  <c r="BY2" i="94"/>
  <c r="BU2" i="94"/>
  <c r="CZ2" i="94"/>
  <c r="CR2" i="94"/>
  <c r="CJ2" i="94"/>
  <c r="BX2" i="94"/>
  <c r="CU2" i="94"/>
  <c r="CM2" i="94"/>
  <c r="CE2" i="94"/>
  <c r="BW2" i="94"/>
  <c r="M11" i="79"/>
  <c r="AW8" i="94"/>
  <c r="F15" i="80"/>
  <c r="G45" i="95"/>
  <c r="F45" i="95" s="1"/>
  <c r="G18" i="51"/>
  <c r="F18" i="51" s="1"/>
  <c r="G19" i="51"/>
  <c r="F19" i="51" s="1"/>
  <c r="G20" i="51"/>
  <c r="F20" i="51" s="1"/>
  <c r="G21" i="51"/>
  <c r="F21" i="51" s="1"/>
  <c r="G22" i="51"/>
  <c r="F22" i="51" s="1"/>
  <c r="G24" i="51"/>
  <c r="F24" i="51" s="1"/>
  <c r="G25" i="51"/>
  <c r="F25" i="51" s="1"/>
  <c r="G31" i="51"/>
  <c r="F31" i="51" s="1"/>
  <c r="G32" i="51"/>
  <c r="F32" i="51" s="1"/>
  <c r="G33" i="51"/>
  <c r="F33" i="51" s="1"/>
  <c r="G34" i="51"/>
  <c r="F34" i="51" s="1"/>
  <c r="G35" i="51"/>
  <c r="F35" i="51" s="1"/>
  <c r="G36" i="51"/>
  <c r="F36" i="51" s="1"/>
  <c r="G37" i="51"/>
  <c r="F37" i="51" s="1"/>
  <c r="G38" i="51"/>
  <c r="F38" i="51" s="1"/>
  <c r="G39" i="51"/>
  <c r="F39" i="51" s="1"/>
  <c r="G40" i="51"/>
  <c r="F40" i="51" s="1"/>
  <c r="BL7" i="50"/>
  <c r="F23" i="51" l="1"/>
  <c r="F17" i="51"/>
  <c r="F16" i="95"/>
  <c r="F12" i="95" s="1"/>
  <c r="F53" i="51"/>
  <c r="F6" i="95" l="1"/>
  <c r="W8" i="1"/>
  <c r="W7" i="1"/>
  <c r="W6" i="1"/>
  <c r="F50" i="51" l="1"/>
  <c r="G49" i="51"/>
  <c r="F49" i="51" s="1"/>
  <c r="G48" i="51"/>
  <c r="F48" i="51" s="1"/>
  <c r="G47" i="51"/>
  <c r="F47" i="51" s="1"/>
  <c r="G46" i="51" l="1"/>
  <c r="AT8" i="50" l="1"/>
  <c r="K11" i="1"/>
  <c r="AW8" i="50" s="1"/>
  <c r="D27" i="6"/>
  <c r="D28" i="6"/>
  <c r="D34" i="6"/>
  <c r="D33" i="6"/>
  <c r="D32" i="6"/>
  <c r="D30" i="6"/>
  <c r="D26" i="6"/>
  <c r="D29" i="6" s="1"/>
  <c r="D22" i="6"/>
  <c r="D31" i="46"/>
  <c r="D17" i="6"/>
  <c r="D28" i="46"/>
  <c r="D69" i="46"/>
  <c r="D35" i="6" l="1"/>
  <c r="F15" i="6"/>
  <c r="N11" i="1"/>
  <c r="D16" i="6" l="1"/>
  <c r="G51" i="51" l="1"/>
  <c r="F51" i="51" s="1"/>
  <c r="G45" i="51"/>
  <c r="F45" i="51" s="1"/>
  <c r="G44" i="51"/>
  <c r="F44" i="51" s="1"/>
  <c r="G43" i="51"/>
  <c r="F43" i="51" s="1"/>
  <c r="G42" i="51"/>
  <c r="F42" i="51" s="1"/>
  <c r="G41" i="51"/>
  <c r="F41" i="51" s="1"/>
  <c r="E3" i="1" l="1"/>
  <c r="F46" i="51" l="1"/>
  <c r="F16" i="51" s="1"/>
  <c r="F9" i="51" s="1"/>
  <c r="DJ2" i="47"/>
  <c r="F12" i="51" l="1"/>
  <c r="F6" i="51"/>
  <c r="F57" i="48" l="1"/>
  <c r="D27" i="46" l="1"/>
  <c r="Z3" i="52"/>
  <c r="F14" i="48"/>
  <c r="F12" i="48" s="1"/>
  <c r="F10" i="48" l="1"/>
  <c r="H1" i="45"/>
  <c r="D61" i="46"/>
  <c r="AG25" i="47"/>
  <c r="F28" i="48" l="1"/>
  <c r="D56" i="46" l="1"/>
  <c r="D55" i="46"/>
  <c r="D54" i="46"/>
  <c r="D53" i="46"/>
  <c r="D52" i="46"/>
  <c r="D51" i="46"/>
  <c r="D50" i="46"/>
  <c r="D49" i="46"/>
  <c r="D48" i="46"/>
  <c r="D47" i="46"/>
  <c r="D46" i="46"/>
  <c r="D45" i="46"/>
  <c r="D44" i="46"/>
  <c r="D43" i="46"/>
  <c r="D42" i="46"/>
  <c r="D41" i="46"/>
  <c r="D40" i="46"/>
  <c r="D38" i="46"/>
  <c r="D37" i="46"/>
  <c r="A11" i="52" l="1"/>
  <c r="A12" i="52"/>
  <c r="A10" i="52"/>
  <c r="J11" i="52"/>
  <c r="J12" i="52"/>
  <c r="J10" i="52"/>
  <c r="J12" i="53"/>
  <c r="J11" i="53"/>
  <c r="J10" i="53"/>
  <c r="A11" i="53"/>
  <c r="A12" i="53"/>
  <c r="D58" i="46"/>
  <c r="A10" i="53"/>
  <c r="D31" i="47"/>
  <c r="D59" i="46"/>
  <c r="D51" i="47" l="1"/>
  <c r="D46" i="47"/>
  <c r="D45" i="47" l="1"/>
  <c r="D26" i="46" l="1"/>
  <c r="F54" i="48" l="1"/>
  <c r="D48" i="47" l="1"/>
  <c r="D43" i="47"/>
  <c r="D22" i="47"/>
  <c r="D49" i="47" l="1"/>
  <c r="AM35" i="53"/>
  <c r="D44" i="47" l="1"/>
  <c r="F24" i="48"/>
  <c r="J14" i="53"/>
  <c r="J19" i="53"/>
  <c r="J18" i="53"/>
  <c r="AD17" i="53"/>
  <c r="AD16" i="53"/>
  <c r="J17" i="53"/>
  <c r="J16" i="53"/>
  <c r="J15" i="53"/>
  <c r="J13" i="53"/>
  <c r="J8" i="53"/>
  <c r="J9" i="53"/>
  <c r="AD9" i="53"/>
  <c r="Z3" i="53"/>
  <c r="BD25" i="47"/>
  <c r="BD21" i="47"/>
  <c r="BD17" i="47"/>
  <c r="BD13" i="47"/>
  <c r="BD9" i="47"/>
  <c r="BD5" i="47"/>
  <c r="BC25" i="47"/>
  <c r="BC21" i="47"/>
  <c r="BC17" i="47"/>
  <c r="BC13" i="47"/>
  <c r="F20" i="48" l="1"/>
  <c r="F22" i="48"/>
  <c r="F6" i="48"/>
  <c r="F4" i="48" s="1"/>
  <c r="F8" i="48"/>
  <c r="F5" i="48" s="1"/>
  <c r="F18" i="48"/>
  <c r="F19" i="48"/>
  <c r="I7" i="45" l="1"/>
  <c r="J7" i="45" s="1"/>
  <c r="DW6" i="47"/>
  <c r="DW5" i="47"/>
  <c r="DL2" i="47"/>
  <c r="DK2" i="47"/>
  <c r="CD2" i="47" s="1"/>
  <c r="DI2" i="47"/>
  <c r="DH2" i="47"/>
  <c r="DG2" i="47"/>
  <c r="DF2" i="47"/>
  <c r="DE2" i="47"/>
  <c r="DC2" i="47"/>
  <c r="DD2" i="47"/>
  <c r="DB2" i="47"/>
  <c r="DA2" i="47"/>
  <c r="CZ2" i="47"/>
  <c r="CY2" i="47"/>
  <c r="CX2" i="47"/>
  <c r="CW2" i="47"/>
  <c r="CV2" i="47"/>
  <c r="CU2" i="47"/>
  <c r="CT2" i="47"/>
  <c r="CS2" i="47"/>
  <c r="CO2" i="47"/>
  <c r="CM2" i="47"/>
  <c r="AA6" i="47"/>
  <c r="CL2" i="47"/>
  <c r="CK2" i="47"/>
  <c r="CJ2" i="47"/>
  <c r="CH2" i="47"/>
  <c r="CI2" i="47"/>
  <c r="CG2" i="47"/>
  <c r="CF2" i="47"/>
  <c r="BU21" i="47"/>
  <c r="BZ27" i="47"/>
  <c r="BZ26" i="47"/>
  <c r="BY13" i="47"/>
  <c r="BU12" i="47"/>
  <c r="BY6" i="47"/>
  <c r="BY17" i="47"/>
  <c r="BY15" i="47" l="1"/>
  <c r="DW13" i="47"/>
  <c r="K7" i="45"/>
  <c r="DW14" i="47"/>
  <c r="DW7" i="47"/>
  <c r="DW12" i="47"/>
  <c r="DW9" i="47"/>
  <c r="DW10" i="47"/>
  <c r="DW11" i="47"/>
  <c r="BU11" i="47"/>
  <c r="BJ25" i="47" l="1"/>
  <c r="BH25" i="47"/>
  <c r="AE25" i="47"/>
  <c r="BJ21" i="47" l="1"/>
  <c r="BH21" i="47"/>
  <c r="AE21" i="47"/>
  <c r="BJ17" i="47"/>
  <c r="BH17" i="47"/>
  <c r="AE17" i="47"/>
  <c r="BJ13" i="47"/>
  <c r="BH13" i="47"/>
  <c r="AE13" i="47"/>
  <c r="BJ9" i="47"/>
  <c r="BH9" i="47"/>
  <c r="BC9" i="47"/>
  <c r="AE9" i="47"/>
  <c r="BJ5" i="47" l="1"/>
  <c r="BH5" i="47"/>
  <c r="BC5" i="47"/>
  <c r="AE5" i="47"/>
  <c r="D39" i="47"/>
  <c r="D38" i="47"/>
  <c r="D40" i="47"/>
  <c r="D37" i="47"/>
  <c r="D36" i="47"/>
  <c r="D35" i="47"/>
  <c r="D34" i="47"/>
  <c r="D33" i="47"/>
  <c r="D32" i="47"/>
  <c r="D30" i="47"/>
  <c r="D35" i="46"/>
  <c r="D34" i="46"/>
  <c r="D62" i="46"/>
  <c r="D66" i="46"/>
  <c r="D63" i="46"/>
  <c r="D65" i="46"/>
  <c r="D64" i="46"/>
  <c r="D70" i="46"/>
  <c r="D74" i="46"/>
  <c r="D73" i="46"/>
  <c r="F16" i="48" l="1"/>
  <c r="F44" i="48"/>
  <c r="F37" i="48" s="1"/>
  <c r="F15" i="48"/>
  <c r="CN2" i="47"/>
  <c r="H7" i="45"/>
  <c r="D3" i="45"/>
  <c r="CR2" i="47"/>
  <c r="CQ2" i="47"/>
  <c r="D60" i="46"/>
  <c r="D71" i="46"/>
  <c r="D67" i="46"/>
  <c r="F41" i="48" l="1"/>
  <c r="F39" i="48"/>
  <c r="CP2" i="47"/>
  <c r="F7" i="3"/>
  <c r="D2" i="3" l="1"/>
</calcChain>
</file>

<file path=xl/sharedStrings.xml><?xml version="1.0" encoding="utf-8"?>
<sst xmlns="http://schemas.openxmlformats.org/spreadsheetml/2006/main" count="4136" uniqueCount="1929">
  <si>
    <t>表示行数取得</t>
    <rPh sb="0" eb="2">
      <t>ヒョウジ</t>
    </rPh>
    <rPh sb="2" eb="4">
      <t>ギョウスウ</t>
    </rPh>
    <rPh sb="4" eb="6">
      <t>シュトク</t>
    </rPh>
    <phoneticPr fontId="1"/>
  </si>
  <si>
    <t>SELECT HYOJI_GYO_SU
  FROM M_CONTROL
 WHERE CTRL_KEY = 1</t>
  </si>
  <si>
    <t>消費税率取得</t>
    <rPh sb="0" eb="3">
      <t>ショウヒゼイ</t>
    </rPh>
    <rPh sb="3" eb="4">
      <t>リツ</t>
    </rPh>
    <rPh sb="4" eb="6">
      <t>シュトク</t>
    </rPh>
    <phoneticPr fontId="1"/>
  </si>
  <si>
    <t>■ポップアップ表示用SQL</t>
    <rPh sb="7" eb="9">
      <t>ヒョウジ</t>
    </rPh>
    <rPh sb="9" eb="10">
      <t>ヨウ</t>
    </rPh>
    <phoneticPr fontId="1"/>
  </si>
  <si>
    <t>社員検索用SQL</t>
    <rPh sb="0" eb="2">
      <t>シャイン</t>
    </rPh>
    <rPh sb="2" eb="4">
      <t>ケンサク</t>
    </rPh>
    <rPh sb="4" eb="5">
      <t>ヨウ</t>
    </rPh>
    <phoneticPr fontId="1"/>
  </si>
  <si>
    <t>SELECT M_SHAIN.SHAIN_CD     AS 社員CD
      ,M_MEISHO_B.DATA_1    AS 所属部署
      ,M_SHAIN.SHIMEI       AS 氏名
  FROM M_SHAIN
  LEFT JOIN
       M_MEISHO_B
    ON M_MEISHO_B.MEISHO_KBN = 'M001'
   AND M_MEISHO_B.MEISHO_CD  = M_SHAIN.BUSHO_CD
 WHERE M_SHAIN.MISHIYO_FLG = 'False'
 ORDER BY
       CAST(M_SHAIN.SHAIN_CD AS INT) ASC</t>
    <phoneticPr fontId="1"/>
  </si>
  <si>
    <t>受理No検索</t>
    <rPh sb="0" eb="2">
      <t>ジュリ</t>
    </rPh>
    <rPh sb="4" eb="6">
      <t>ケンサク</t>
    </rPh>
    <phoneticPr fontId="1"/>
  </si>
  <si>
    <t xml:space="preserve">SELECT T_BUN_JUCHU_H.JURI_NO                AS '受理No.'
      ,J_BUN_HAN_STATUS_MEISHO.MEISHO_CD    AS '受注区分CD'
      ,J_BUN_HAN_STATUS_MEISHO.DATA_1       AS '分析／販売区分'
      ,J_BUN_STATUS_MEISHO.DATA_1           AS 'ステータス'
      ,J_BUN_KBN_MEISHO.DATA_1              AS '分析区分'
      ,J_SEIKYU_MEI.AITE_MEI                AS '請求先名'
      ,T_BUN_JUCHU_H.NOHIN_DATE             AS '納品日'
      ,T_BUN_JUCHU_H.MITSU_NO               AS '見積No.'
  FROM T_BUN_JUCHU_H
 LEFT JOIN M_MEISHO_B                    AS J_BUN_HAN_STATUS_MEISHO    --分析／販売区分名称用
    ON J_BUN_HAN_STATUS_MEISHO .MEISHO_KBN = 'K030'
   AND J_BUN_HAN_STATUS_MEISHO .MEISHO_CD = 1
  LEFT JOIN M_MEISHO_B                   AS J_BUN_STATUS_MEISHO        --分析ステータス名称用
    ON J_BUN_STATUS_MEISHO.MEISHO_KBN = 'S003'
   AND T_BUN_JUCHU_H.BUNSEKI_STS = J_BUN_STATUS_MEISHO.MEISHO_CD
  LEFT JOIN M_MEISHO_B                   AS J_BUN_KBN_MEISHO           --分析区分名称用
    ON J_BUN_KBN_MEISHO.MEISHO_KBN = 'K012'
   AND T_BUN_JUCHU_H.JUCHU_KBN = J_BUN_KBN_MEISHO.MEISHO_CD
  LEFT JOIN M_AITESAKI                   AS J_SEIKYU_MEI               --請求先名名称用
    ON T_BUN_JUCHU_H.SEIKYU_CD = J_SEIKYU_MEI.AITE_CD
 WHERE T_BUN_JUCHU_H.DEMPYO_HAKKO_KBN &lt;&gt; '1'
   AND T_BUN_JUCHU_H.DEL_FLG          =  'False'
   AND T_BUN_JUCHU_H.BUNSEKI_STS      &lt;= 10
UNION ALL
SELECT T_HAN_JUCHU_H.JURI_NO                AS '受理No.'
      ,J_BUN_HAN_STATUS_MEISHO.MEISHO_CD    AS '受注区分CD'
      ,J_BUN_HAN_STATUS_MEISHO.DATA_1       AS '分析／販売区分'
      ,J_BUN_STATUS_MEISHO.DATA_1           AS 'ステータス'
      ,J_BUN_KBN_MEISHO.DATA_1              AS '分析区分'
      ,J_SEIKYU_MEI.AITE_MEI                AS '請求先名'
      ,T_HAN_JUCHU_H.NOHIN_DATE             AS '納品日'
      ,T_HAN_JUCHU_H.MITSU_NO               AS '見積No.'
  FROM T_HAN_JUCHU_H
  LEFT JOIN M_MEISHO_B                   AS J_BUN_HAN_STATUS_MEISHO         --分析／販売区分名称用
    ON J_BUN_HAN_STATUS_MEISHO .MEISHO_KBN = 'K030'
   AND J_BUN_HAN_STATUS_MEISHO .MEISHO_CD = 2
  LEFT JOIN M_MEISHO_B                   AS J_BUN_STATUS_MEISHO        --販売商品ステータス名称用
    ON J_BUN_STATUS_MEISHO.MEISHO_KBN = 'S004'
   AND T_HAN_JUCHU_H.HAMBAI_STS = J_BUN_STATUS_MEISHO.MEISHO_CD
  LEFT JOIN M_MEISHO_B                   AS J_BUN_KBN_MEISHO           --分析区分名称用
    ON J_BUN_KBN_MEISHO.MEISHO_KBN = 'K020'
   AND T_HAN_JUCHU_H.HAMBAI_KBN = J_BUN_KBN_MEISHO.MEISHO_CD
  LEFT JOIN M_AITESAKI                   AS J_SEIKYU_MEI               --請求先名名称用
    ON T_HAN_JUCHU_H.SEIKYU_CD = J_SEIKYU_MEI.AITE_CD
 WHERE T_HAN_JUCHU_H.DEMPYO_HAKKO_KBN &lt;&gt; '1'
   AND T_HAN_JUCHU_H.DEL_FLG          =  'False'
 ORDER BY JURI_NO
</t>
    <phoneticPr fontId="1"/>
  </si>
  <si>
    <t>所属部署検索用SQL</t>
    <rPh sb="0" eb="2">
      <t>ショゾク</t>
    </rPh>
    <rPh sb="2" eb="4">
      <t>ブショ</t>
    </rPh>
    <rPh sb="4" eb="6">
      <t>ケンサク</t>
    </rPh>
    <rPh sb="6" eb="7">
      <t>ヨウ</t>
    </rPh>
    <phoneticPr fontId="1"/>
  </si>
  <si>
    <t>画面遷移確認メッセージ表示判定</t>
    <rPh sb="0" eb="2">
      <t>ガメン</t>
    </rPh>
    <rPh sb="2" eb="4">
      <t>センイ</t>
    </rPh>
    <rPh sb="4" eb="6">
      <t>カクニン</t>
    </rPh>
    <rPh sb="11" eb="13">
      <t>ヒョウジ</t>
    </rPh>
    <rPh sb="13" eb="15">
      <t>ハンテイ</t>
    </rPh>
    <phoneticPr fontId="1"/>
  </si>
  <si>
    <t>1:表示する / 2:表示しない</t>
    <rPh sb="2" eb="4">
      <t>ヒョウジ</t>
    </rPh>
    <rPh sb="11" eb="13">
      <t>ヒョウジ</t>
    </rPh>
    <phoneticPr fontId="1"/>
  </si>
  <si>
    <t>かつ参照モード以外の場合、メッセージ表示</t>
    <rPh sb="2" eb="4">
      <t>サンショウ</t>
    </rPh>
    <rPh sb="7" eb="9">
      <t>イガイ</t>
    </rPh>
    <rPh sb="10" eb="12">
      <t>バアイ</t>
    </rPh>
    <rPh sb="18" eb="20">
      <t>ヒョウジ</t>
    </rPh>
    <phoneticPr fontId="1"/>
  </si>
  <si>
    <t>表示中シート名</t>
    <rPh sb="0" eb="3">
      <t>ヒョウジチュウ</t>
    </rPh>
    <rPh sb="6" eb="7">
      <t>メイ</t>
    </rPh>
    <phoneticPr fontId="1"/>
  </si>
  <si>
    <t>シート名</t>
    <rPh sb="3" eb="4">
      <t>メイ</t>
    </rPh>
    <phoneticPr fontId="1"/>
  </si>
  <si>
    <t>モードセル名</t>
    <rPh sb="5" eb="6">
      <t>メイ</t>
    </rPh>
    <phoneticPr fontId="1"/>
  </si>
  <si>
    <t>状態</t>
    <rPh sb="0" eb="2">
      <t>ジョウタイ</t>
    </rPh>
    <phoneticPr fontId="1"/>
  </si>
  <si>
    <t>対象シート範囲</t>
    <rPh sb="0" eb="2">
      <t>タイショウ</t>
    </rPh>
    <rPh sb="5" eb="7">
      <t>ハンイ</t>
    </rPh>
    <phoneticPr fontId="1"/>
  </si>
  <si>
    <t>購買申請検索</t>
    <rPh sb="0" eb="2">
      <t>コウバイ</t>
    </rPh>
    <rPh sb="2" eb="4">
      <t>シンセイ</t>
    </rPh>
    <rPh sb="4" eb="6">
      <t>ケンサク</t>
    </rPh>
    <phoneticPr fontId="1"/>
  </si>
  <si>
    <t>購買区分：</t>
    <rPh sb="0" eb="2">
      <t>コウバイ</t>
    </rPh>
    <rPh sb="2" eb="4">
      <t>クブン</t>
    </rPh>
    <phoneticPr fontId="1"/>
  </si>
  <si>
    <t>購買品</t>
    <rPh sb="0" eb="2">
      <t>コウバイ</t>
    </rPh>
    <rPh sb="2" eb="3">
      <t>ヒン</t>
    </rPh>
    <phoneticPr fontId="1"/>
  </si>
  <si>
    <t>外注手配</t>
    <rPh sb="0" eb="2">
      <t>ガイチュウ</t>
    </rPh>
    <rPh sb="2" eb="4">
      <t>テハイ</t>
    </rPh>
    <phoneticPr fontId="1"/>
  </si>
  <si>
    <t>修繕・定期点検</t>
    <rPh sb="0" eb="2">
      <t>シュウゼン</t>
    </rPh>
    <rPh sb="3" eb="5">
      <t>テイキ</t>
    </rPh>
    <rPh sb="5" eb="7">
      <t>テンケン</t>
    </rPh>
    <phoneticPr fontId="1"/>
  </si>
  <si>
    <t>投資</t>
    <rPh sb="0" eb="2">
      <t>トウシ</t>
    </rPh>
    <phoneticPr fontId="1"/>
  </si>
  <si>
    <t>販売商品</t>
    <rPh sb="0" eb="2">
      <t>ハンバイ</t>
    </rPh>
    <rPh sb="2" eb="4">
      <t>ショウヒン</t>
    </rPh>
    <phoneticPr fontId="1"/>
  </si>
  <si>
    <t>未承認</t>
    <rPh sb="0" eb="1">
      <t>ミ</t>
    </rPh>
    <rPh sb="1" eb="3">
      <t>ショウニン</t>
    </rPh>
    <phoneticPr fontId="1"/>
  </si>
  <si>
    <t>依頼中</t>
  </si>
  <si>
    <t>注文書発行済</t>
  </si>
  <si>
    <t>一部入荷済</t>
    <rPh sb="0" eb="2">
      <t>イチブ</t>
    </rPh>
    <rPh sb="2" eb="4">
      <t>ニュウカ</t>
    </rPh>
    <rPh sb="4" eb="5">
      <t>ス</t>
    </rPh>
    <phoneticPr fontId="1"/>
  </si>
  <si>
    <t>入荷完了</t>
    <rPh sb="0" eb="2">
      <t>ニュウカ</t>
    </rPh>
    <rPh sb="2" eb="4">
      <t>カンリョウ</t>
    </rPh>
    <phoneticPr fontId="1"/>
  </si>
  <si>
    <t>検収済</t>
  </si>
  <si>
    <t>～</t>
  </si>
  <si>
    <t>購買申請No.▽</t>
    <rPh sb="0" eb="2">
      <t>コウバイ</t>
    </rPh>
    <rPh sb="2" eb="4">
      <t>シンセイ</t>
    </rPh>
    <phoneticPr fontId="1"/>
  </si>
  <si>
    <t>購買品▼</t>
    <rPh sb="0" eb="2">
      <t>コウバイ</t>
    </rPh>
    <rPh sb="2" eb="3">
      <t>ヒン</t>
    </rPh>
    <phoneticPr fontId="1"/>
  </si>
  <si>
    <t>申請者名▼</t>
  </si>
  <si>
    <t>仕入先▼</t>
    <rPh sb="0" eb="2">
      <t>シイレ</t>
    </rPh>
    <rPh sb="2" eb="3">
      <t>サキ</t>
    </rPh>
    <phoneticPr fontId="1"/>
  </si>
  <si>
    <t>受入日▼</t>
    <rPh sb="0" eb="2">
      <t>ウケイレ</t>
    </rPh>
    <phoneticPr fontId="1"/>
  </si>
  <si>
    <t>受理No.▽</t>
    <rPh sb="0" eb="2">
      <t>ジュリ</t>
    </rPh>
    <phoneticPr fontId="1"/>
  </si>
  <si>
    <t>メーカー▼</t>
  </si>
  <si>
    <t>フリーワード：</t>
  </si>
  <si>
    <t>選択</t>
    <rPh sb="0" eb="2">
      <t>センタク</t>
    </rPh>
    <phoneticPr fontId="1"/>
  </si>
  <si>
    <t>警告</t>
    <rPh sb="0" eb="2">
      <t>ケイコク</t>
    </rPh>
    <phoneticPr fontId="1"/>
  </si>
  <si>
    <t>購買区分</t>
    <rPh sb="0" eb="2">
      <t>コウバイ</t>
    </rPh>
    <rPh sb="2" eb="4">
      <t>クブン</t>
    </rPh>
    <phoneticPr fontId="1"/>
  </si>
  <si>
    <t>ステータス</t>
    <phoneticPr fontId="1"/>
  </si>
  <si>
    <t>申請者名</t>
    <phoneticPr fontId="1"/>
  </si>
  <si>
    <t>申請日</t>
    <rPh sb="0" eb="2">
      <t>シンセイ</t>
    </rPh>
    <rPh sb="2" eb="3">
      <t>ビ</t>
    </rPh>
    <phoneticPr fontId="1"/>
  </si>
  <si>
    <t>購買品CD</t>
    <rPh sb="0" eb="2">
      <t>コウバイ</t>
    </rPh>
    <rPh sb="2" eb="3">
      <t>ヒン</t>
    </rPh>
    <phoneticPr fontId="1"/>
  </si>
  <si>
    <t>購買品名</t>
    <rPh sb="0" eb="2">
      <t>コウバイ</t>
    </rPh>
    <rPh sb="2" eb="3">
      <t>ヒン</t>
    </rPh>
    <rPh sb="3" eb="4">
      <t>メイ</t>
    </rPh>
    <phoneticPr fontId="1"/>
  </si>
  <si>
    <t>単価</t>
    <rPh sb="0" eb="2">
      <t>タンカ</t>
    </rPh>
    <phoneticPr fontId="1"/>
  </si>
  <si>
    <t>入数</t>
    <rPh sb="0" eb="1">
      <t>イ</t>
    </rPh>
    <rPh sb="1" eb="2">
      <t>スウ</t>
    </rPh>
    <phoneticPr fontId="1"/>
  </si>
  <si>
    <t>入数単位</t>
    <rPh sb="0" eb="1">
      <t>イ</t>
    </rPh>
    <rPh sb="1" eb="2">
      <t>スウ</t>
    </rPh>
    <rPh sb="2" eb="4">
      <t>タンイ</t>
    </rPh>
    <phoneticPr fontId="1"/>
  </si>
  <si>
    <t>数量</t>
    <rPh sb="0" eb="2">
      <t>スウリョウ</t>
    </rPh>
    <phoneticPr fontId="1"/>
  </si>
  <si>
    <t>バラ単位</t>
    <rPh sb="2" eb="4">
      <t>タンイ</t>
    </rPh>
    <phoneticPr fontId="1"/>
  </si>
  <si>
    <t>注文総数</t>
    <rPh sb="0" eb="2">
      <t>チュウモン</t>
    </rPh>
    <rPh sb="2" eb="4">
      <t>ソウスウ</t>
    </rPh>
    <phoneticPr fontId="1"/>
  </si>
  <si>
    <t>合計金額</t>
    <rPh sb="0" eb="2">
      <t>ゴウケイ</t>
    </rPh>
    <rPh sb="2" eb="4">
      <t>キンガク</t>
    </rPh>
    <phoneticPr fontId="1"/>
  </si>
  <si>
    <t>希望納期</t>
    <rPh sb="0" eb="4">
      <t>キボウノウキ</t>
    </rPh>
    <phoneticPr fontId="1"/>
  </si>
  <si>
    <t>受入日</t>
    <rPh sb="0" eb="2">
      <t>ウケイレ</t>
    </rPh>
    <rPh sb="2" eb="3">
      <t>ヒ</t>
    </rPh>
    <phoneticPr fontId="1"/>
  </si>
  <si>
    <t>検収日</t>
    <rPh sb="0" eb="2">
      <t>ケンシュウ</t>
    </rPh>
    <rPh sb="2" eb="3">
      <t>ビ</t>
    </rPh>
    <phoneticPr fontId="1"/>
  </si>
  <si>
    <t>保管場所</t>
    <rPh sb="0" eb="2">
      <t>ホカン</t>
    </rPh>
    <rPh sb="2" eb="4">
      <t>バショ</t>
    </rPh>
    <phoneticPr fontId="1"/>
  </si>
  <si>
    <t>仕入先CD</t>
    <rPh sb="0" eb="2">
      <t>シイレ</t>
    </rPh>
    <rPh sb="2" eb="3">
      <t>サキ</t>
    </rPh>
    <phoneticPr fontId="1"/>
  </si>
  <si>
    <t>仕入先名</t>
    <rPh sb="0" eb="2">
      <t>シイレ</t>
    </rPh>
    <rPh sb="2" eb="3">
      <t>サキ</t>
    </rPh>
    <rPh sb="3" eb="4">
      <t>メイ</t>
    </rPh>
    <phoneticPr fontId="1"/>
  </si>
  <si>
    <t>メーカーCD</t>
    <phoneticPr fontId="1"/>
  </si>
  <si>
    <t>メーカー名</t>
    <rPh sb="4" eb="5">
      <t>メイ</t>
    </rPh>
    <phoneticPr fontId="1"/>
  </si>
  <si>
    <t>予算コード</t>
    <rPh sb="0" eb="2">
      <t>ヨサン</t>
    </rPh>
    <phoneticPr fontId="1"/>
  </si>
  <si>
    <t>受理No.</t>
    <rPh sb="0" eb="2">
      <t>ジュリ</t>
    </rPh>
    <phoneticPr fontId="1"/>
  </si>
  <si>
    <t>備考</t>
    <rPh sb="0" eb="2">
      <t>ビコウ</t>
    </rPh>
    <phoneticPr fontId="1"/>
  </si>
  <si>
    <t>購買申請No.</t>
    <rPh sb="0" eb="2">
      <t>コウバイ</t>
    </rPh>
    <rPh sb="2" eb="4">
      <t>シンセイ</t>
    </rPh>
    <phoneticPr fontId="1"/>
  </si>
  <si>
    <t>依頼No.</t>
    <rPh sb="0" eb="2">
      <t>イライ</t>
    </rPh>
    <phoneticPr fontId="1"/>
  </si>
  <si>
    <t>削除</t>
    <rPh sb="0" eb="2">
      <t>サクジョ</t>
    </rPh>
    <phoneticPr fontId="1"/>
  </si>
  <si>
    <t>未承認</t>
    <rPh sb="0" eb="3">
      <t>ミショウニン</t>
    </rPh>
    <phoneticPr fontId="1"/>
  </si>
  <si>
    <t>購買品</t>
    <rPh sb="0" eb="3">
      <t>コウバイヒン</t>
    </rPh>
    <phoneticPr fontId="1"/>
  </si>
  <si>
    <t>メーカー</t>
    <phoneticPr fontId="1"/>
  </si>
  <si>
    <t>～</t>
    <phoneticPr fontId="1"/>
  </si>
  <si>
    <t>申請者名▼</t>
    <phoneticPr fontId="1"/>
  </si>
  <si>
    <t>明細参照作成</t>
    <rPh sb="0" eb="2">
      <t>メイサイ</t>
    </rPh>
    <rPh sb="2" eb="4">
      <t>サンショウ</t>
    </rPh>
    <rPh sb="4" eb="6">
      <t>サクセイ</t>
    </rPh>
    <phoneticPr fontId="1"/>
  </si>
  <si>
    <t>購買品CD</t>
    <rPh sb="0" eb="3">
      <t>コウバイヒン</t>
    </rPh>
    <phoneticPr fontId="1"/>
  </si>
  <si>
    <t>メーカーCD</t>
  </si>
  <si>
    <t>修正</t>
    <rPh sb="0" eb="2">
      <t>シュウセイ</t>
    </rPh>
    <phoneticPr fontId="1"/>
  </si>
  <si>
    <t>購買申請入力</t>
    <rPh sb="0" eb="2">
      <t>コウバイ</t>
    </rPh>
    <rPh sb="2" eb="4">
      <t>シンセイ</t>
    </rPh>
    <rPh sb="4" eb="6">
      <t>ニュウリョク</t>
    </rPh>
    <phoneticPr fontId="1"/>
  </si>
  <si>
    <t>申請概要：</t>
    <rPh sb="0" eb="2">
      <t>シンセイ</t>
    </rPh>
    <rPh sb="2" eb="4">
      <t>ガイヨウ</t>
    </rPh>
    <phoneticPr fontId="1"/>
  </si>
  <si>
    <t>購買申請No.：</t>
    <rPh sb="0" eb="2">
      <t>コウバイ</t>
    </rPh>
    <rPh sb="2" eb="4">
      <t>シンセイ</t>
    </rPh>
    <phoneticPr fontId="1"/>
  </si>
  <si>
    <t>購買区分▼</t>
    <rPh sb="0" eb="2">
      <t>コウバイ</t>
    </rPh>
    <rPh sb="2" eb="4">
      <t>クブン</t>
    </rPh>
    <phoneticPr fontId="1"/>
  </si>
  <si>
    <t>税率</t>
    <rPh sb="0" eb="2">
      <t>ゼイリツ</t>
    </rPh>
    <phoneticPr fontId="1"/>
  </si>
  <si>
    <t>税抜合計</t>
    <rPh sb="0" eb="2">
      <t>ゼイヌキ</t>
    </rPh>
    <rPh sb="2" eb="4">
      <t>ゴウケイ</t>
    </rPh>
    <phoneticPr fontId="1"/>
  </si>
  <si>
    <t>消費税</t>
    <rPh sb="0" eb="3">
      <t>ショウヒゼイ</t>
    </rPh>
    <phoneticPr fontId="1"/>
  </si>
  <si>
    <t>税込合計</t>
    <rPh sb="0" eb="2">
      <t>ゼイコミ</t>
    </rPh>
    <rPh sb="2" eb="4">
      <t>ゴウケイ</t>
    </rPh>
    <phoneticPr fontId="1"/>
  </si>
  <si>
    <t>行</t>
    <rPh sb="0" eb="1">
      <t>ギョウ</t>
    </rPh>
    <phoneticPr fontId="1"/>
  </si>
  <si>
    <t>除外</t>
    <rPh sb="0" eb="2">
      <t>ジョガイ</t>
    </rPh>
    <phoneticPr fontId="1"/>
  </si>
  <si>
    <t>単位</t>
    <rPh sb="0" eb="2">
      <t>タンイ</t>
    </rPh>
    <phoneticPr fontId="1"/>
  </si>
  <si>
    <t>承認</t>
    <rPh sb="0" eb="2">
      <t>ショウニン</t>
    </rPh>
    <phoneticPr fontId="1"/>
  </si>
  <si>
    <t>発注日</t>
    <rPh sb="0" eb="2">
      <t>ハッチュウ</t>
    </rPh>
    <rPh sb="2" eb="3">
      <t>ビ</t>
    </rPh>
    <phoneticPr fontId="1"/>
  </si>
  <si>
    <t>購買品名</t>
    <rPh sb="0" eb="2">
      <t>コウバイ</t>
    </rPh>
    <rPh sb="2" eb="4">
      <t>ヒンメイ</t>
    </rPh>
    <phoneticPr fontId="1"/>
  </si>
  <si>
    <t>入数</t>
    <rPh sb="0" eb="2">
      <t>イリスウ</t>
    </rPh>
    <phoneticPr fontId="1"/>
  </si>
  <si>
    <t>合計金額（税抜）</t>
    <rPh sb="0" eb="2">
      <t>ゴウケイ</t>
    </rPh>
    <rPh sb="2" eb="4">
      <t>キンガク</t>
    </rPh>
    <rPh sb="5" eb="7">
      <t>ゼイヌキ</t>
    </rPh>
    <phoneticPr fontId="1"/>
  </si>
  <si>
    <t>申請理由</t>
    <rPh sb="0" eb="2">
      <t>シンセイ</t>
    </rPh>
    <rPh sb="2" eb="4">
      <t>リユウ</t>
    </rPh>
    <phoneticPr fontId="1"/>
  </si>
  <si>
    <t>担当</t>
    <rPh sb="0" eb="2">
      <t>タントウ</t>
    </rPh>
    <phoneticPr fontId="1"/>
  </si>
  <si>
    <t>購買申請No.</t>
    <phoneticPr fontId="1"/>
  </si>
  <si>
    <t>予算コード／受理No.</t>
    <rPh sb="0" eb="2">
      <t>ヨサン</t>
    </rPh>
    <rPh sb="6" eb="8">
      <t>ジュリ</t>
    </rPh>
    <phoneticPr fontId="1"/>
  </si>
  <si>
    <t>適合性確認（納品時確認欄）</t>
    <rPh sb="0" eb="3">
      <t>テキゴウセイ</t>
    </rPh>
    <rPh sb="3" eb="5">
      <t>カクニン</t>
    </rPh>
    <rPh sb="6" eb="8">
      <t>ノウヒン</t>
    </rPh>
    <rPh sb="8" eb="9">
      <t>ジ</t>
    </rPh>
    <rPh sb="9" eb="11">
      <t>カクニン</t>
    </rPh>
    <rPh sb="11" eb="12">
      <t>ラン</t>
    </rPh>
    <phoneticPr fontId="1"/>
  </si>
  <si>
    <t>受入検査</t>
    <rPh sb="0" eb="2">
      <t>ウケイレ</t>
    </rPh>
    <rPh sb="2" eb="4">
      <t>ケンサ</t>
    </rPh>
    <phoneticPr fontId="1"/>
  </si>
  <si>
    <t>資産管理用　</t>
    <phoneticPr fontId="1"/>
  </si>
  <si>
    <t>設備へのシール貼付日：</t>
    <phoneticPr fontId="1"/>
  </si>
  <si>
    <t>注　文　書</t>
    <phoneticPr fontId="1"/>
  </si>
  <si>
    <t>品番</t>
    <rPh sb="0" eb="2">
      <t>シナバン</t>
    </rPh>
    <phoneticPr fontId="1"/>
  </si>
  <si>
    <t>品名</t>
    <phoneticPr fontId="1"/>
  </si>
  <si>
    <t>包装等</t>
    <phoneticPr fontId="1"/>
  </si>
  <si>
    <t>数量</t>
    <phoneticPr fontId="1"/>
  </si>
  <si>
    <t>納品場所</t>
    <rPh sb="0" eb="2">
      <t>ノウヒン</t>
    </rPh>
    <rPh sb="2" eb="4">
      <t>バショ</t>
    </rPh>
    <phoneticPr fontId="1"/>
  </si>
  <si>
    <t>希望納期</t>
    <rPh sb="0" eb="2">
      <t>キボウ</t>
    </rPh>
    <rPh sb="2" eb="4">
      <t>ノウキ</t>
    </rPh>
    <phoneticPr fontId="1"/>
  </si>
  <si>
    <t>バーコード</t>
    <phoneticPr fontId="1"/>
  </si>
  <si>
    <t>入荷予定一覧表</t>
    <rPh sb="0" eb="2">
      <t>ニュウカ</t>
    </rPh>
    <rPh sb="2" eb="4">
      <t>ヨテイ</t>
    </rPh>
    <rPh sb="4" eb="6">
      <t>イチラン</t>
    </rPh>
    <rPh sb="6" eb="7">
      <t>ヒョウ</t>
    </rPh>
    <phoneticPr fontId="1"/>
  </si>
  <si>
    <t>申請担当者</t>
    <rPh sb="0" eb="2">
      <t>シンセイ</t>
    </rPh>
    <rPh sb="2" eb="5">
      <t>タントウシャ</t>
    </rPh>
    <phoneticPr fontId="1"/>
  </si>
  <si>
    <t>在庫管理№</t>
    <rPh sb="0" eb="2">
      <t>ザイコ</t>
    </rPh>
    <rPh sb="2" eb="4">
      <t>カンリ</t>
    </rPh>
    <phoneticPr fontId="1"/>
  </si>
  <si>
    <t>非表示行</t>
    <rPh sb="0" eb="3">
      <t>ヒヒョウジ</t>
    </rPh>
    <rPh sb="3" eb="4">
      <t>ギョウ</t>
    </rPh>
    <phoneticPr fontId="1"/>
  </si>
  <si>
    <t>非表示列</t>
    <rPh sb="0" eb="3">
      <t>ヒヒョウジ</t>
    </rPh>
    <rPh sb="3" eb="4">
      <t>レツ</t>
    </rPh>
    <phoneticPr fontId="1"/>
  </si>
  <si>
    <t>申請者CD</t>
    <rPh sb="0" eb="2">
      <t>シンセイ</t>
    </rPh>
    <rPh sb="2" eb="3">
      <t>シャ</t>
    </rPh>
    <phoneticPr fontId="1"/>
  </si>
  <si>
    <t>購買区分CD</t>
    <rPh sb="0" eb="2">
      <t>コウバイ</t>
    </rPh>
    <rPh sb="2" eb="4">
      <t>クブン</t>
    </rPh>
    <phoneticPr fontId="1"/>
  </si>
  <si>
    <t>申請日時</t>
    <rPh sb="0" eb="2">
      <t>シンセイ</t>
    </rPh>
    <rPh sb="2" eb="4">
      <t>ニチジ</t>
    </rPh>
    <phoneticPr fontId="1"/>
  </si>
  <si>
    <t>UNKB0020_H_SHINSEI_DATETIME</t>
    <phoneticPr fontId="1"/>
  </si>
  <si>
    <t>UNKB0020_H_HIDE_ROW</t>
    <phoneticPr fontId="1"/>
  </si>
  <si>
    <t>UNKB0020_H_HIDE_COLUMN</t>
    <phoneticPr fontId="1"/>
  </si>
  <si>
    <t>UNKB0020_H_TAX_RATE</t>
    <phoneticPr fontId="1"/>
  </si>
  <si>
    <t>UNKB0020_H_SHINSEISHA_CD</t>
    <phoneticPr fontId="1"/>
  </si>
  <si>
    <t>UNKB0020_H_KOBAI_KBN_CD</t>
    <phoneticPr fontId="1"/>
  </si>
  <si>
    <t>メイン</t>
  </si>
  <si>
    <t>SELECT</t>
    <phoneticPr fontId="1"/>
  </si>
  <si>
    <t>参照</t>
    <rPh sb="0" eb="2">
      <t>サンショウ</t>
    </rPh>
    <phoneticPr fontId="1"/>
  </si>
  <si>
    <t>【処理用】</t>
    <rPh sb="1" eb="4">
      <t>ショリヨウ</t>
    </rPh>
    <phoneticPr fontId="1"/>
  </si>
  <si>
    <t>データ照会中フラグ</t>
    <rPh sb="3" eb="5">
      <t>ショウカイ</t>
    </rPh>
    <rPh sb="5" eb="6">
      <t>チュウ</t>
    </rPh>
    <phoneticPr fontId="1"/>
  </si>
  <si>
    <t>ON:1</t>
  </si>
  <si>
    <t>OFF:1以外</t>
    <rPh sb="5" eb="7">
      <t>イガイ</t>
    </rPh>
    <phoneticPr fontId="1"/>
  </si>
  <si>
    <t>複数商品選択フラグ</t>
    <rPh sb="0" eb="2">
      <t>フクスウ</t>
    </rPh>
    <rPh sb="2" eb="4">
      <t>ショウヒン</t>
    </rPh>
    <rPh sb="4" eb="6">
      <t>センタク</t>
    </rPh>
    <phoneticPr fontId="1"/>
  </si>
  <si>
    <t>OFF:2</t>
  </si>
  <si>
    <t>【モード判定】</t>
    <rPh sb="4" eb="6">
      <t>ハンテイ</t>
    </rPh>
    <phoneticPr fontId="1"/>
  </si>
  <si>
    <t>表示モード</t>
    <rPh sb="0" eb="2">
      <t>ヒョウジ</t>
    </rPh>
    <phoneticPr fontId="1"/>
  </si>
  <si>
    <t>1：新規2：修正0：参照</t>
    <rPh sb="2" eb="4">
      <t>シンキ</t>
    </rPh>
    <rPh sb="6" eb="8">
      <t>シュウセイ</t>
    </rPh>
    <rPh sb="10" eb="12">
      <t>サンショウ</t>
    </rPh>
    <phoneticPr fontId="1"/>
  </si>
  <si>
    <t>遷移元プログラムID</t>
    <rPh sb="0" eb="2">
      <t>センイ</t>
    </rPh>
    <rPh sb="2" eb="3">
      <t>モト</t>
    </rPh>
    <phoneticPr fontId="1"/>
  </si>
  <si>
    <t>【コンボボックス】</t>
    <phoneticPr fontId="1"/>
  </si>
  <si>
    <t>リスト名</t>
    <rPh sb="3" eb="4">
      <t>メイ</t>
    </rPh>
    <phoneticPr fontId="1"/>
  </si>
  <si>
    <t>件数</t>
    <rPh sb="0" eb="2">
      <t>ケンスウ</t>
    </rPh>
    <phoneticPr fontId="1"/>
  </si>
  <si>
    <t>名称</t>
    <rPh sb="0" eb="2">
      <t>メイショウ</t>
    </rPh>
    <phoneticPr fontId="1"/>
  </si>
  <si>
    <t>コード</t>
    <phoneticPr fontId="1"/>
  </si>
  <si>
    <t>購買申請区分</t>
    <rPh sb="0" eb="2">
      <t>コウバイ</t>
    </rPh>
    <rPh sb="2" eb="4">
      <t>シンセイ</t>
    </rPh>
    <rPh sb="4" eb="6">
      <t>クブン</t>
    </rPh>
    <phoneticPr fontId="1"/>
  </si>
  <si>
    <t>SELECT DATA_1
      ,MEISHO_CD
  FROM M_MEISHO_B
 WHERE MEISHO_KBN = 'K021'
 ORDER BY SORT_NO ASC, CAST(MEISHO_CD AS INT) ASC</t>
    <phoneticPr fontId="1"/>
  </si>
  <si>
    <t>ドロップダウンリスト</t>
    <phoneticPr fontId="1"/>
  </si>
  <si>
    <t>購買品</t>
  </si>
  <si>
    <t>外注手配</t>
  </si>
  <si>
    <t>修繕・定期点検</t>
  </si>
  <si>
    <t>投資</t>
  </si>
  <si>
    <t>販売商品</t>
  </si>
  <si>
    <t>除外フラグ</t>
    <rPh sb="0" eb="2">
      <t>ジョガイ</t>
    </rPh>
    <phoneticPr fontId="1"/>
  </si>
  <si>
    <t>SEQ</t>
    <phoneticPr fontId="1"/>
  </si>
  <si>
    <t>ステータスCD</t>
    <phoneticPr fontId="1"/>
  </si>
  <si>
    <t>保管場所区分</t>
    <rPh sb="0" eb="2">
      <t>ホカン</t>
    </rPh>
    <rPh sb="2" eb="4">
      <t>バショ</t>
    </rPh>
    <rPh sb="4" eb="6">
      <t>クブン</t>
    </rPh>
    <phoneticPr fontId="1"/>
  </si>
  <si>
    <t>閾値</t>
    <rPh sb="0" eb="2">
      <t>シキイチ</t>
    </rPh>
    <phoneticPr fontId="1"/>
  </si>
  <si>
    <t>標準納期</t>
    <rPh sb="0" eb="2">
      <t>ヒョウジュン</t>
    </rPh>
    <rPh sb="2" eb="4">
      <t>ノウキ</t>
    </rPh>
    <phoneticPr fontId="1"/>
  </si>
  <si>
    <t>最終申請日</t>
    <rPh sb="0" eb="2">
      <t>サイシュウ</t>
    </rPh>
    <rPh sb="2" eb="4">
      <t>シンセイ</t>
    </rPh>
    <rPh sb="4" eb="5">
      <t>ビ</t>
    </rPh>
    <phoneticPr fontId="1"/>
  </si>
  <si>
    <t>商品分類区分</t>
    <rPh sb="0" eb="2">
      <t>ショウヒン</t>
    </rPh>
    <rPh sb="2" eb="4">
      <t>ブンルイ</t>
    </rPh>
    <rPh sb="4" eb="6">
      <t>クブン</t>
    </rPh>
    <phoneticPr fontId="1"/>
  </si>
  <si>
    <t>ウィンドウ固定位置</t>
    <rPh sb="5" eb="7">
      <t>コテイ</t>
    </rPh>
    <rPh sb="7" eb="9">
      <t>イチ</t>
    </rPh>
    <phoneticPr fontId="1"/>
  </si>
  <si>
    <t>リスト展開開始位置</t>
    <rPh sb="3" eb="5">
      <t>テンカイ</t>
    </rPh>
    <rPh sb="5" eb="7">
      <t>カイシ</t>
    </rPh>
    <rPh sb="7" eb="9">
      <t>イチ</t>
    </rPh>
    <phoneticPr fontId="1"/>
  </si>
  <si>
    <t>入力行数</t>
    <rPh sb="0" eb="2">
      <t>ニュウリョク</t>
    </rPh>
    <rPh sb="2" eb="4">
      <t>ギョウスウ</t>
    </rPh>
    <phoneticPr fontId="1"/>
  </si>
  <si>
    <t>入力行数_加算分</t>
    <rPh sb="0" eb="2">
      <t>ニュウリョク</t>
    </rPh>
    <rPh sb="2" eb="4">
      <t>ギョウスウ</t>
    </rPh>
    <rPh sb="5" eb="7">
      <t>カサン</t>
    </rPh>
    <rPh sb="7" eb="8">
      <t>ブン</t>
    </rPh>
    <phoneticPr fontId="1"/>
  </si>
  <si>
    <t>入力行数_減算分</t>
    <rPh sb="0" eb="2">
      <t>ニュウリョク</t>
    </rPh>
    <rPh sb="2" eb="4">
      <t>ギョウスウ</t>
    </rPh>
    <rPh sb="5" eb="7">
      <t>ゲンサン</t>
    </rPh>
    <rPh sb="7" eb="8">
      <t>ブン</t>
    </rPh>
    <phoneticPr fontId="1"/>
  </si>
  <si>
    <t>仕入入数展開位置</t>
    <rPh sb="4" eb="6">
      <t>テンカイ</t>
    </rPh>
    <rPh sb="6" eb="8">
      <t>イチ</t>
    </rPh>
    <phoneticPr fontId="1"/>
  </si>
  <si>
    <t>仕入入数単位展開位置</t>
    <rPh sb="6" eb="8">
      <t>テンカイ</t>
    </rPh>
    <rPh sb="8" eb="10">
      <t>イチ</t>
    </rPh>
    <phoneticPr fontId="1"/>
  </si>
  <si>
    <t>バラ単位展開位置</t>
    <rPh sb="4" eb="6">
      <t>テンカイ</t>
    </rPh>
    <rPh sb="6" eb="8">
      <t>イチ</t>
    </rPh>
    <phoneticPr fontId="1"/>
  </si>
  <si>
    <t>行数式コピー先</t>
    <rPh sb="0" eb="1">
      <t>ギョウ</t>
    </rPh>
    <rPh sb="1" eb="3">
      <t>スウシキ</t>
    </rPh>
    <rPh sb="6" eb="7">
      <t>サキ</t>
    </rPh>
    <phoneticPr fontId="1"/>
  </si>
  <si>
    <t>クリア範囲</t>
    <rPh sb="3" eb="5">
      <t>ハンイ</t>
    </rPh>
    <phoneticPr fontId="1"/>
  </si>
  <si>
    <t>行挿入範囲</t>
    <rPh sb="0" eb="1">
      <t>ギョウ</t>
    </rPh>
    <rPh sb="1" eb="3">
      <t>ソウニュウ</t>
    </rPh>
    <rPh sb="3" eb="5">
      <t>ハンイ</t>
    </rPh>
    <phoneticPr fontId="1"/>
  </si>
  <si>
    <t>行削除範囲</t>
    <rPh sb="0" eb="1">
      <t>ギョウ</t>
    </rPh>
    <rPh sb="1" eb="3">
      <t>サクジョ</t>
    </rPh>
    <rPh sb="3" eb="5">
      <t>ハンイ</t>
    </rPh>
    <phoneticPr fontId="1"/>
  </si>
  <si>
    <t>複数選択コピー先</t>
    <rPh sb="0" eb="2">
      <t>フクスウ</t>
    </rPh>
    <rPh sb="2" eb="4">
      <t>センタク</t>
    </rPh>
    <rPh sb="7" eb="8">
      <t>サキ</t>
    </rPh>
    <phoneticPr fontId="1"/>
  </si>
  <si>
    <t>UNKB0020_B_GYO_COUNT</t>
  </si>
  <si>
    <t>UNKB0020_B_GYO_INCREMENT</t>
  </si>
  <si>
    <t>UNKB0020_B_GYO_DECREMENT</t>
  </si>
  <si>
    <t>UNKB0020_B_SHIIRE_IRISU_TENKAI</t>
  </si>
  <si>
    <t>UNKB0020_B_BARA_TANI_TENKAI</t>
  </si>
  <si>
    <t>UNKB0020_B_LIST_DELETE_AREA</t>
  </si>
  <si>
    <t>UNKB0020_B_LIST_START</t>
    <phoneticPr fontId="1"/>
  </si>
  <si>
    <t>UNKB0020_B_HIDE_ROW</t>
    <phoneticPr fontId="1"/>
  </si>
  <si>
    <t>UNKB0020_B_HIDE_COLUMN</t>
    <phoneticPr fontId="1"/>
  </si>
  <si>
    <t>UNKB0020_B_SCROLL_LOCK</t>
    <phoneticPr fontId="1"/>
  </si>
  <si>
    <t>【フォーカス判定】</t>
    <rPh sb="6" eb="8">
      <t>ハンテイ</t>
    </rPh>
    <phoneticPr fontId="1"/>
  </si>
  <si>
    <t>選択シート名</t>
    <rPh sb="0" eb="2">
      <t>センタク</t>
    </rPh>
    <rPh sb="5" eb="6">
      <t>メイ</t>
    </rPh>
    <phoneticPr fontId="1"/>
  </si>
  <si>
    <t>選択行番号</t>
    <rPh sb="0" eb="2">
      <t>センタク</t>
    </rPh>
    <rPh sb="2" eb="3">
      <t>ギョウ</t>
    </rPh>
    <rPh sb="3" eb="5">
      <t>バンゴウ</t>
    </rPh>
    <phoneticPr fontId="1"/>
  </si>
  <si>
    <t>選択列番号</t>
    <rPh sb="0" eb="2">
      <t>センタク</t>
    </rPh>
    <rPh sb="2" eb="3">
      <t>レツ</t>
    </rPh>
    <rPh sb="3" eb="5">
      <t>バンゴウ</t>
    </rPh>
    <phoneticPr fontId="1"/>
  </si>
  <si>
    <t>選択セル名</t>
    <rPh sb="0" eb="2">
      <t>センタク</t>
    </rPh>
    <rPh sb="4" eb="5">
      <t>メイ</t>
    </rPh>
    <phoneticPr fontId="1"/>
  </si>
  <si>
    <t>【ボタン名】</t>
    <rPh sb="4" eb="5">
      <t>メイ</t>
    </rPh>
    <phoneticPr fontId="1"/>
  </si>
  <si>
    <t>新規</t>
    <rPh sb="0" eb="2">
      <t>シンキ</t>
    </rPh>
    <phoneticPr fontId="1"/>
  </si>
  <si>
    <t>修正/参照ボタン</t>
    <rPh sb="0" eb="2">
      <t>シュウセイ</t>
    </rPh>
    <rPh sb="3" eb="5">
      <t>サンショウ</t>
    </rPh>
    <phoneticPr fontId="1"/>
  </si>
  <si>
    <t>-</t>
    <phoneticPr fontId="1"/>
  </si>
  <si>
    <t>保存ボタン</t>
    <rPh sb="0" eb="2">
      <t>ホゾン</t>
    </rPh>
    <phoneticPr fontId="1"/>
  </si>
  <si>
    <t>保存</t>
    <rPh sb="0" eb="2">
      <t>ホゾン</t>
    </rPh>
    <phoneticPr fontId="1"/>
  </si>
  <si>
    <t>-</t>
    <phoneticPr fontId="1"/>
  </si>
  <si>
    <t>【ボタン表示制御】</t>
    <rPh sb="4" eb="6">
      <t>ヒョウジ</t>
    </rPh>
    <rPh sb="6" eb="8">
      <t>セイギョ</t>
    </rPh>
    <phoneticPr fontId="1"/>
  </si>
  <si>
    <t>参照作成ボタン</t>
    <rPh sb="0" eb="2">
      <t>サンショウ</t>
    </rPh>
    <rPh sb="2" eb="4">
      <t>サクセイ</t>
    </rPh>
    <phoneticPr fontId="1"/>
  </si>
  <si>
    <t>無効(2)</t>
  </si>
  <si>
    <t>有効(1)</t>
  </si>
  <si>
    <t>削除ボタン</t>
    <rPh sb="0" eb="2">
      <t>サクジョ</t>
    </rPh>
    <phoneticPr fontId="1"/>
  </si>
  <si>
    <t>キャンセルボタン</t>
    <phoneticPr fontId="1"/>
  </si>
  <si>
    <t>行追加ボタン</t>
    <rPh sb="0" eb="1">
      <t>ギョウ</t>
    </rPh>
    <rPh sb="1" eb="3">
      <t>ツイカ</t>
    </rPh>
    <phoneticPr fontId="1"/>
  </si>
  <si>
    <t>行削除ボタン</t>
    <rPh sb="0" eb="3">
      <t>ギョウサクジョ</t>
    </rPh>
    <phoneticPr fontId="1"/>
  </si>
  <si>
    <t>Excel出力ボタン</t>
    <phoneticPr fontId="1"/>
  </si>
  <si>
    <t>【ボタンエラー判定】</t>
    <rPh sb="7" eb="9">
      <t>ハンテイ</t>
    </rPh>
    <phoneticPr fontId="1"/>
  </si>
  <si>
    <t>行削除</t>
    <rPh sb="0" eb="3">
      <t>ギョウサクジョ</t>
    </rPh>
    <phoneticPr fontId="1"/>
  </si>
  <si>
    <t>1:エラー</t>
  </si>
  <si>
    <t>0:OK</t>
  </si>
  <si>
    <t>【Excel保存】</t>
    <rPh sb="6" eb="8">
      <t>ホゾン</t>
    </rPh>
    <phoneticPr fontId="1"/>
  </si>
  <si>
    <t>Excel保存ファイル名</t>
    <rPh sb="5" eb="7">
      <t>ホゾン</t>
    </rPh>
    <rPh sb="11" eb="12">
      <t>メイ</t>
    </rPh>
    <phoneticPr fontId="1"/>
  </si>
  <si>
    <t>UNKB0020_IF_LIST_KOBAI_KBN</t>
  </si>
  <si>
    <t>UNKB0020_IF_PREVIOUS_ID</t>
  </si>
  <si>
    <t>UNKB0020_IF_ACTIVE_SHEET</t>
  </si>
  <si>
    <t>UNKB0020_IF_ACTIVE_ROW</t>
  </si>
  <si>
    <t>UNKB0020_IF_ACTIVE_COLUMN</t>
  </si>
  <si>
    <t>UNKB0020_IF_ACTIVE_CELL_NAME</t>
  </si>
  <si>
    <t>UNKB0020_IF_BUTTON_04_HYOJI</t>
  </si>
  <si>
    <t>UNKB0020_IF_BUTTON_06_HYOJI</t>
  </si>
  <si>
    <t>UNKB0020_IF_BUTTON_07_HYOJI</t>
  </si>
  <si>
    <t>UNKB0020_IF_BUTTON_09_HYOJI</t>
  </si>
  <si>
    <t>UNKB0020_IF_BUTTON_10_HYOJI</t>
  </si>
  <si>
    <t>UNKB0020_IF_BUTTON_11_HYOJI</t>
  </si>
  <si>
    <t>UNKB0020_IF_BUTTON_12_HYOJI</t>
  </si>
  <si>
    <t>UNKB0020_IF_BUTTON_14_HYOJI</t>
  </si>
  <si>
    <t>UNKB0020_IF_BUTTON_19_HYOJI</t>
  </si>
  <si>
    <t>UNKB0020_IF_BUTTON_20_HYOJI</t>
  </si>
  <si>
    <t>UNKB0020_IF_DATA_SEARCH_FLG</t>
    <phoneticPr fontId="1"/>
  </si>
  <si>
    <t>UNKB0020_IF_REF_NO</t>
    <phoneticPr fontId="1"/>
  </si>
  <si>
    <t>UNKB0020_IF_MULTI_SELECT_FLG</t>
    <phoneticPr fontId="1"/>
  </si>
  <si>
    <t>UNKB0020_IF_MODE</t>
    <phoneticPr fontId="1"/>
  </si>
  <si>
    <t>UNKB0020_IF_BUTTON_06_NAME</t>
    <phoneticPr fontId="1"/>
  </si>
  <si>
    <t>UNKB0020_IF_BUTTON_10_NAME</t>
    <phoneticPr fontId="1"/>
  </si>
  <si>
    <t>PDF出力ボタン</t>
    <rPh sb="3" eb="5">
      <t>シュツリョク</t>
    </rPh>
    <phoneticPr fontId="1"/>
  </si>
  <si>
    <t>UNKB0020_IF_BUTTON_12_ERROR</t>
    <phoneticPr fontId="1"/>
  </si>
  <si>
    <t>【書式コピー元】</t>
    <rPh sb="1" eb="3">
      <t>ショシキ</t>
    </rPh>
    <rPh sb="6" eb="7">
      <t>モト</t>
    </rPh>
    <phoneticPr fontId="1"/>
  </si>
  <si>
    <t>【ヘッダ】</t>
    <phoneticPr fontId="1"/>
  </si>
  <si>
    <t>【新規】</t>
    <rPh sb="1" eb="3">
      <t>シンキ</t>
    </rPh>
    <phoneticPr fontId="1"/>
  </si>
  <si>
    <t>【修正】</t>
    <rPh sb="1" eb="3">
      <t>シュウセイ</t>
    </rPh>
    <phoneticPr fontId="1"/>
  </si>
  <si>
    <t>【参照】</t>
    <rPh sb="1" eb="3">
      <t>サンショウ</t>
    </rPh>
    <phoneticPr fontId="1"/>
  </si>
  <si>
    <t>【ボディ】</t>
    <phoneticPr fontId="1"/>
  </si>
  <si>
    <t>【外注手配】</t>
    <rPh sb="1" eb="3">
      <t>ガイチュウ</t>
    </rPh>
    <rPh sb="3" eb="5">
      <t>テハイ</t>
    </rPh>
    <phoneticPr fontId="1"/>
  </si>
  <si>
    <t>【修繕・定期点検】</t>
    <rPh sb="1" eb="3">
      <t>シュウゼン</t>
    </rPh>
    <rPh sb="4" eb="6">
      <t>テイキ</t>
    </rPh>
    <rPh sb="6" eb="8">
      <t>テンケン</t>
    </rPh>
    <phoneticPr fontId="1"/>
  </si>
  <si>
    <t>【投資】</t>
    <rPh sb="1" eb="3">
      <t>トウシ</t>
    </rPh>
    <phoneticPr fontId="1"/>
  </si>
  <si>
    <t>【販売商品】</t>
    <rPh sb="1" eb="3">
      <t>ハンバイ</t>
    </rPh>
    <rPh sb="3" eb="5">
      <t>ショウヒン</t>
    </rPh>
    <phoneticPr fontId="1"/>
  </si>
  <si>
    <t>購買品区分(未使用)</t>
    <rPh sb="0" eb="3">
      <t>コウバイヒン</t>
    </rPh>
    <rPh sb="3" eb="5">
      <t>クブン</t>
    </rPh>
    <rPh sb="6" eb="9">
      <t>ミシヨウ</t>
    </rPh>
    <phoneticPr fontId="1"/>
  </si>
  <si>
    <t>【クリア】</t>
    <phoneticPr fontId="1"/>
  </si>
  <si>
    <t>【購買品】</t>
    <rPh sb="1" eb="3">
      <t>コウバイ</t>
    </rPh>
    <rPh sb="3" eb="4">
      <t>ヒン</t>
    </rPh>
    <phoneticPr fontId="1"/>
  </si>
  <si>
    <t>UNKB0020_IF_COPY_B_SHIIRE_MEI_SUSHIKI</t>
    <phoneticPr fontId="1"/>
  </si>
  <si>
    <t>UNKB0020_IF_COPY_B_MAKER_MEI_SUSHIKI</t>
    <phoneticPr fontId="1"/>
  </si>
  <si>
    <t>UNKB0020_IF_COPY_B_TOTAL_KINGAKU_SUSHIKI</t>
    <phoneticPr fontId="1"/>
  </si>
  <si>
    <t>UNKB0020_IF_COPY_B_SOSU_SUSHIKI</t>
    <phoneticPr fontId="1"/>
  </si>
  <si>
    <t>UNKB0020_IF_COPY_B_GYO_SUSHIKI</t>
    <phoneticPr fontId="1"/>
  </si>
  <si>
    <t>UNKB0020_IF_COPY_B_1</t>
    <phoneticPr fontId="1"/>
  </si>
  <si>
    <t>UNKB0020_IF_COPY_B_2</t>
    <phoneticPr fontId="1"/>
  </si>
  <si>
    <t>UNKB0020_IF_COPY_B_3</t>
    <phoneticPr fontId="1"/>
  </si>
  <si>
    <t>UNKB0020_IF_COPY_B_4</t>
    <phoneticPr fontId="1"/>
  </si>
  <si>
    <t>UNKB0020_IF_COPY_B_5</t>
    <phoneticPr fontId="1"/>
  </si>
  <si>
    <t>UNKB0020_IF_COPY_H_SHINKI</t>
    <phoneticPr fontId="1"/>
  </si>
  <si>
    <t>UNKB0020_IF_COPY_H_SHUSEI</t>
    <phoneticPr fontId="1"/>
  </si>
  <si>
    <t>UNKB0020_IF_COPY_H_SANSHO</t>
    <phoneticPr fontId="1"/>
  </si>
  <si>
    <t>UNKB0020_IF_COPY_B_SANSHO</t>
    <phoneticPr fontId="1"/>
  </si>
  <si>
    <t>UNKB0020_IF_CD_COPY_MOTO</t>
    <phoneticPr fontId="1"/>
  </si>
  <si>
    <t>UNKB0020_H_CD_COPY_SAKI</t>
    <phoneticPr fontId="1"/>
  </si>
  <si>
    <t>【保存】</t>
    <rPh sb="1" eb="3">
      <t>ホゾン</t>
    </rPh>
    <phoneticPr fontId="1"/>
  </si>
  <si>
    <t>【ワークテーブル用】</t>
    <rPh sb="8" eb="9">
      <t>ヨウ</t>
    </rPh>
    <phoneticPr fontId="1"/>
  </si>
  <si>
    <t>必須情報</t>
    <rPh sb="0" eb="2">
      <t>ヒッス</t>
    </rPh>
    <rPh sb="2" eb="4">
      <t>ジョウホウ</t>
    </rPh>
    <phoneticPr fontId="1"/>
  </si>
  <si>
    <t>ユーザーID</t>
    <phoneticPr fontId="1"/>
  </si>
  <si>
    <t>必須チェック設定</t>
    <rPh sb="0" eb="2">
      <t>ヒッス</t>
    </rPh>
    <rPh sb="6" eb="8">
      <t>セッテイ</t>
    </rPh>
    <phoneticPr fontId="1"/>
  </si>
  <si>
    <t>シリアル値</t>
    <rPh sb="4" eb="5">
      <t>アタイ</t>
    </rPh>
    <phoneticPr fontId="1"/>
  </si>
  <si>
    <t>結果出力先シート名</t>
    <rPh sb="0" eb="2">
      <t>ケッカ</t>
    </rPh>
    <rPh sb="2" eb="5">
      <t>シュツリョクサキ</t>
    </rPh>
    <rPh sb="8" eb="9">
      <t>メイ</t>
    </rPh>
    <phoneticPr fontId="1"/>
  </si>
  <si>
    <t>シリアル生成</t>
    <rPh sb="4" eb="6">
      <t>セイセイ</t>
    </rPh>
    <phoneticPr fontId="1"/>
  </si>
  <si>
    <t>結果出力先セル</t>
    <rPh sb="0" eb="2">
      <t>ケッカ</t>
    </rPh>
    <rPh sb="2" eb="5">
      <t>シュツリョクサキ</t>
    </rPh>
    <phoneticPr fontId="1"/>
  </si>
  <si>
    <t>処理モード</t>
    <rPh sb="0" eb="2">
      <t>ショリ</t>
    </rPh>
    <phoneticPr fontId="1"/>
  </si>
  <si>
    <t>0:読込 / 1:新規保存 / 2:更新 / 3:削除 / 4:受注データ検索接続 / 5:受注接続一括保存 / 6:参照作成 / 7:履歴データ取得 / 8:伝票発行済設定 / 9(ELSE):ワークテーブルクリア</t>
    <phoneticPr fontId="1"/>
  </si>
  <si>
    <t>項目名</t>
    <rPh sb="0" eb="3">
      <t>コウモクメイ</t>
    </rPh>
    <phoneticPr fontId="1"/>
  </si>
  <si>
    <t>情報</t>
    <rPh sb="0" eb="2">
      <t>ジョウホウ</t>
    </rPh>
    <phoneticPr fontId="1"/>
  </si>
  <si>
    <t>入力チェックセル名</t>
    <rPh sb="0" eb="2">
      <t>ニュウリョク</t>
    </rPh>
    <rPh sb="8" eb="9">
      <t>メイ</t>
    </rPh>
    <phoneticPr fontId="1"/>
  </si>
  <si>
    <t>入力チェックセル項目名</t>
    <rPh sb="0" eb="2">
      <t>ニュウリョク</t>
    </rPh>
    <rPh sb="8" eb="11">
      <t>コウモクメイ</t>
    </rPh>
    <phoneticPr fontId="1"/>
  </si>
  <si>
    <t>【保存数式】</t>
    <rPh sb="1" eb="3">
      <t>ホゾン</t>
    </rPh>
    <rPh sb="3" eb="5">
      <t>スウシキ</t>
    </rPh>
    <phoneticPr fontId="1"/>
  </si>
  <si>
    <t>入力チェック・リスト</t>
    <rPh sb="0" eb="2">
      <t>ニュウリョク</t>
    </rPh>
    <phoneticPr fontId="1"/>
  </si>
  <si>
    <t>保存数式コピー先</t>
    <rPh sb="0" eb="2">
      <t>ホゾン</t>
    </rPh>
    <rPh sb="2" eb="4">
      <t>スウシキ</t>
    </rPh>
    <rPh sb="7" eb="8">
      <t>サキ</t>
    </rPh>
    <phoneticPr fontId="1"/>
  </si>
  <si>
    <t>保存件数</t>
    <rPh sb="0" eb="2">
      <t>ホゾン</t>
    </rPh>
    <rPh sb="2" eb="4">
      <t>ケンスウ</t>
    </rPh>
    <phoneticPr fontId="1"/>
  </si>
  <si>
    <t>開始位置</t>
    <rPh sb="0" eb="2">
      <t>カイシ</t>
    </rPh>
    <rPh sb="2" eb="4">
      <t>イチ</t>
    </rPh>
    <phoneticPr fontId="1"/>
  </si>
  <si>
    <t>横幅（列数）</t>
    <rPh sb="0" eb="2">
      <t>ヨコハバ</t>
    </rPh>
    <rPh sb="3" eb="4">
      <t>レツ</t>
    </rPh>
    <rPh sb="4" eb="5">
      <t>スウ</t>
    </rPh>
    <phoneticPr fontId="1"/>
  </si>
  <si>
    <t>縦幅（行数）</t>
    <rPh sb="0" eb="2">
      <t>タテハバ</t>
    </rPh>
    <rPh sb="3" eb="5">
      <t>ギョウスウ</t>
    </rPh>
    <phoneticPr fontId="1"/>
  </si>
  <si>
    <t>項目名リスト</t>
    <rPh sb="0" eb="2">
      <t>コウモク</t>
    </rPh>
    <rPh sb="2" eb="3">
      <t>メイ</t>
    </rPh>
    <phoneticPr fontId="1"/>
  </si>
  <si>
    <t>除外セル(アドレス)</t>
    <rPh sb="0" eb="2">
      <t>ジョガイ</t>
    </rPh>
    <phoneticPr fontId="1"/>
  </si>
  <si>
    <t>除外列リスト(列数)</t>
    <rPh sb="0" eb="2">
      <t>ジョガイ</t>
    </rPh>
    <rPh sb="2" eb="3">
      <t>レツ</t>
    </rPh>
    <rPh sb="7" eb="8">
      <t>レツ</t>
    </rPh>
    <rPh sb="8" eb="9">
      <t>スウ</t>
    </rPh>
    <phoneticPr fontId="1"/>
  </si>
  <si>
    <t>除外行リスト(行数)</t>
    <rPh sb="0" eb="2">
      <t>ジョガイ</t>
    </rPh>
    <rPh sb="2" eb="3">
      <t>ギョウ</t>
    </rPh>
    <rPh sb="7" eb="9">
      <t>ギョウスウ</t>
    </rPh>
    <phoneticPr fontId="1"/>
  </si>
  <si>
    <t>※エラー結果をExcelシートに出力</t>
    <rPh sb="4" eb="6">
      <t>ケッカ</t>
    </rPh>
    <rPh sb="16" eb="18">
      <t>シュツリョク</t>
    </rPh>
    <phoneticPr fontId="1"/>
  </si>
  <si>
    <t>リスト：行番号、項目名</t>
    <rPh sb="8" eb="11">
      <t>コウモクメイ</t>
    </rPh>
    <phoneticPr fontId="1"/>
  </si>
  <si>
    <t>個別：行番号はゼロ、項目名</t>
    <rPh sb="0" eb="2">
      <t>コベツ</t>
    </rPh>
    <rPh sb="10" eb="13">
      <t>コウモクメイ</t>
    </rPh>
    <phoneticPr fontId="1"/>
  </si>
  <si>
    <t>開始位置が無い場合はリストチェックをしない</t>
    <rPh sb="0" eb="2">
      <t>カイシ</t>
    </rPh>
    <rPh sb="2" eb="4">
      <t>イチ</t>
    </rPh>
    <rPh sb="5" eb="6">
      <t>ナ</t>
    </rPh>
    <rPh sb="7" eb="9">
      <t>バアイ</t>
    </rPh>
    <phoneticPr fontId="1"/>
  </si>
  <si>
    <t>【必須チェック】</t>
    <rPh sb="1" eb="3">
      <t>ヒッス</t>
    </rPh>
    <phoneticPr fontId="1"/>
  </si>
  <si>
    <t>入力確認</t>
    <rPh sb="0" eb="2">
      <t>ニュウリョク</t>
    </rPh>
    <rPh sb="2" eb="4">
      <t>カクニン</t>
    </rPh>
    <phoneticPr fontId="1"/>
  </si>
  <si>
    <t>1:エラー / 2:正常終了</t>
    <rPh sb="10" eb="12">
      <t>セイジョウ</t>
    </rPh>
    <rPh sb="12" eb="14">
      <t>シュウリョウ</t>
    </rPh>
    <phoneticPr fontId="1"/>
  </si>
  <si>
    <t>エラーメッセージ</t>
    <phoneticPr fontId="1"/>
  </si>
  <si>
    <t>必須チェック結果出力先</t>
    <rPh sb="0" eb="2">
      <t>ヒッス</t>
    </rPh>
    <rPh sb="6" eb="8">
      <t>ケッカ</t>
    </rPh>
    <rPh sb="8" eb="10">
      <t>シュツリョク</t>
    </rPh>
    <rPh sb="10" eb="11">
      <t>サキ</t>
    </rPh>
    <phoneticPr fontId="1"/>
  </si>
  <si>
    <t>【保存結果】</t>
    <rPh sb="1" eb="3">
      <t>ホゾン</t>
    </rPh>
    <rPh sb="3" eb="5">
      <t>ケッカ</t>
    </rPh>
    <phoneticPr fontId="1"/>
  </si>
  <si>
    <t>保存処理結果</t>
    <rPh sb="0" eb="2">
      <t>ホゾン</t>
    </rPh>
    <rPh sb="2" eb="4">
      <t>ショリ</t>
    </rPh>
    <rPh sb="4" eb="6">
      <t>ケッカ</t>
    </rPh>
    <phoneticPr fontId="1"/>
  </si>
  <si>
    <t>保存処理結果メッセージ</t>
    <rPh sb="0" eb="2">
      <t>ホゾン</t>
    </rPh>
    <rPh sb="2" eb="4">
      <t>ショリ</t>
    </rPh>
    <rPh sb="4" eb="6">
      <t>ケッカ</t>
    </rPh>
    <phoneticPr fontId="1"/>
  </si>
  <si>
    <t>保存エラー判定</t>
    <rPh sb="0" eb="2">
      <t>ホゾン</t>
    </rPh>
    <rPh sb="5" eb="7">
      <t>ハンテイ</t>
    </rPh>
    <phoneticPr fontId="1"/>
  </si>
  <si>
    <t>エラーメッセージ</t>
  </si>
  <si>
    <t>処理に失敗しました。再度実行してください。</t>
    <phoneticPr fontId="1"/>
  </si>
  <si>
    <t>UNKB0020_IF_W_USER_ID</t>
  </si>
  <si>
    <t>UNKB0020_IF_W_SERIAL</t>
  </si>
  <si>
    <t>UNKB0020_IF</t>
  </si>
  <si>
    <t>UNKB0020_IF_W_SERIAL_CREATE</t>
  </si>
  <si>
    <t>UNKB0020_IF_W_MODE</t>
  </si>
  <si>
    <t>UNKB0020_H</t>
  </si>
  <si>
    <t>UNKB0020_IF_SAVE_COPY_SAKI</t>
  </si>
  <si>
    <t>UNKB0020_IF_SAVE_KENSU</t>
  </si>
  <si>
    <t>UNKB0020_IF_INPUT_CHECK</t>
  </si>
  <si>
    <t>UNKB0020_IF_INPUT_ERROR_MESSAGE</t>
  </si>
  <si>
    <t>UNKB0020_IF_SAVE_RESULT_KENSU</t>
  </si>
  <si>
    <t>UNKB0020_IF_SAVE_RESULT_CD</t>
  </si>
  <si>
    <t>UNKB0020_IF_SAVE_RESULT_MESSAGE</t>
  </si>
  <si>
    <t>UNKB0020_IF_SAVE_ERROR_CHECK</t>
  </si>
  <si>
    <t>UNKB0020_IF_SAVE_CHECK_RESULT</t>
    <phoneticPr fontId="1"/>
  </si>
  <si>
    <t>UNKB0020_IF_SAVE_CHECK_ERROR_KOMOKU</t>
    <phoneticPr fontId="1"/>
  </si>
  <si>
    <t>申請者名▼</t>
    <phoneticPr fontId="1"/>
  </si>
  <si>
    <t>UNKB0020_H_SHINSEISHA_MEI,UNKB0020_H_KOBAI_KBN</t>
    <phoneticPr fontId="1"/>
  </si>
  <si>
    <t>申請者名,購買区分</t>
    <phoneticPr fontId="1"/>
  </si>
  <si>
    <t>W_USER_ID</t>
  </si>
  <si>
    <t>W_SERIAL</t>
  </si>
  <si>
    <t>W_ROW</t>
  </si>
  <si>
    <t>W_MODE</t>
  </si>
  <si>
    <t>KOBAI_NO</t>
  </si>
  <si>
    <t>SHINSEISHA_CD</t>
  </si>
  <si>
    <t>SHINSEI_DATETIME</t>
  </si>
  <si>
    <t>KOBAI_STS</t>
  </si>
  <si>
    <t>SHIIRE_CD</t>
  </si>
  <si>
    <t>MAKER_CD</t>
  </si>
  <si>
    <t>YOSAN_CD</t>
  </si>
  <si>
    <t>JURI_NO</t>
  </si>
  <si>
    <t>BIKO</t>
  </si>
  <si>
    <t>DEL_FLG</t>
  </si>
  <si>
    <t>DBS_STATUS</t>
  </si>
  <si>
    <t>DBS_CREATE_USER</t>
  </si>
  <si>
    <t>DBS_CREATE_DATE</t>
  </si>
  <si>
    <t>DBS_UPDATE_USER</t>
  </si>
  <si>
    <t>DBS_UPDATE_DATE</t>
  </si>
  <si>
    <t>ユーザーID</t>
  </si>
  <si>
    <t>シリアル</t>
  </si>
  <si>
    <t>行番号</t>
  </si>
  <si>
    <t>処理モード</t>
  </si>
  <si>
    <t>購買申請No.</t>
  </si>
  <si>
    <t>申請者CD</t>
  </si>
  <si>
    <t>申請日時</t>
  </si>
  <si>
    <t>申請概要</t>
  </si>
  <si>
    <t>購買区分</t>
  </si>
  <si>
    <t>税率</t>
  </si>
  <si>
    <t>税抜合計</t>
  </si>
  <si>
    <t>消費税</t>
  </si>
  <si>
    <t>税込合計</t>
  </si>
  <si>
    <t>購買申請SEQ</t>
  </si>
  <si>
    <t>購買申請行No.</t>
  </si>
  <si>
    <t>購買ステータス</t>
  </si>
  <si>
    <t>除外フラグ</t>
  </si>
  <si>
    <t>購買品CD</t>
  </si>
  <si>
    <t>購買品名</t>
  </si>
  <si>
    <t>単価</t>
  </si>
  <si>
    <t>入数</t>
  </si>
  <si>
    <t>入数単位</t>
  </si>
  <si>
    <t>数量</t>
  </si>
  <si>
    <t>注文総数</t>
  </si>
  <si>
    <t>バラ単位</t>
  </si>
  <si>
    <t>合計金額</t>
  </si>
  <si>
    <t>希望納期</t>
  </si>
  <si>
    <t>保管場所区分</t>
  </si>
  <si>
    <t>仕入先CD</t>
  </si>
  <si>
    <t>予算コード</t>
  </si>
  <si>
    <t>受理No.</t>
  </si>
  <si>
    <t>備考</t>
  </si>
  <si>
    <t>削除フラグ</t>
  </si>
  <si>
    <t>レコード状態</t>
  </si>
  <si>
    <t>作成ユーザＩＤ</t>
  </si>
  <si>
    <t>作成日時</t>
  </si>
  <si>
    <t>更新ユーザＩＤ</t>
  </si>
  <si>
    <t>更新日時</t>
  </si>
  <si>
    <t>保存数式コピー元</t>
    <rPh sb="0" eb="2">
      <t>ホゾン</t>
    </rPh>
    <rPh sb="2" eb="4">
      <t>スウシキ</t>
    </rPh>
    <rPh sb="7" eb="8">
      <t>モト</t>
    </rPh>
    <phoneticPr fontId="1"/>
  </si>
  <si>
    <t>【保存対象】</t>
    <rPh sb="1" eb="3">
      <t>ホゾン</t>
    </rPh>
    <rPh sb="3" eb="5">
      <t>タイショウ</t>
    </rPh>
    <phoneticPr fontId="1"/>
  </si>
  <si>
    <t>除外行</t>
    <rPh sb="0" eb="2">
      <t>ジョガイ</t>
    </rPh>
    <rPh sb="2" eb="3">
      <t>ギョウ</t>
    </rPh>
    <phoneticPr fontId="1"/>
  </si>
  <si>
    <t>展開開始位置</t>
    <rPh sb="0" eb="2">
      <t>テンカイ</t>
    </rPh>
    <rPh sb="2" eb="4">
      <t>カイシ</t>
    </rPh>
    <rPh sb="4" eb="6">
      <t>イチ</t>
    </rPh>
    <phoneticPr fontId="1"/>
  </si>
  <si>
    <t>UNKB0020_IF_SAVE_COPY_MOTO</t>
  </si>
  <si>
    <t>UNKB0020_IF_SAVE_JOGAI_GYO</t>
  </si>
  <si>
    <t>UNKB0020_IF_SAVE_COPY_START</t>
  </si>
  <si>
    <t>【複数商品追加】</t>
    <rPh sb="1" eb="3">
      <t>フクスウ</t>
    </rPh>
    <rPh sb="3" eb="5">
      <t>ショウヒン</t>
    </rPh>
    <rPh sb="5" eb="7">
      <t>ツイカ</t>
    </rPh>
    <phoneticPr fontId="1"/>
  </si>
  <si>
    <t>複数商品選択件数</t>
    <rPh sb="0" eb="2">
      <t>フクスウ</t>
    </rPh>
    <rPh sb="2" eb="4">
      <t>ショウヒン</t>
    </rPh>
    <rPh sb="4" eb="6">
      <t>センタク</t>
    </rPh>
    <rPh sb="6" eb="8">
      <t>ケンスウ</t>
    </rPh>
    <phoneticPr fontId="1"/>
  </si>
  <si>
    <t>複数商品選択展開開始位置</t>
    <rPh sb="0" eb="2">
      <t>フクスウ</t>
    </rPh>
    <rPh sb="2" eb="4">
      <t>ショウヒン</t>
    </rPh>
    <rPh sb="4" eb="6">
      <t>センタク</t>
    </rPh>
    <rPh sb="6" eb="8">
      <t>テンカイ</t>
    </rPh>
    <rPh sb="8" eb="10">
      <t>カイシ</t>
    </rPh>
    <rPh sb="10" eb="12">
      <t>イチ</t>
    </rPh>
    <phoneticPr fontId="1"/>
  </si>
  <si>
    <t>展開件数</t>
    <rPh sb="0" eb="2">
      <t>テンカイ</t>
    </rPh>
    <rPh sb="2" eb="4">
      <t>ケンスウ</t>
    </rPh>
    <phoneticPr fontId="1"/>
  </si>
  <si>
    <t>展開処理実行判定</t>
    <rPh sb="0" eb="2">
      <t>テンカイ</t>
    </rPh>
    <rPh sb="2" eb="4">
      <t>ショリ</t>
    </rPh>
    <rPh sb="4" eb="6">
      <t>ジッコウ</t>
    </rPh>
    <rPh sb="6" eb="8">
      <t>ハンテイ</t>
    </rPh>
    <phoneticPr fontId="1"/>
  </si>
  <si>
    <t>1:有効 / 2:無効</t>
    <rPh sb="2" eb="4">
      <t>ユウコウ</t>
    </rPh>
    <rPh sb="9" eb="11">
      <t>ムコウ</t>
    </rPh>
    <phoneticPr fontId="1"/>
  </si>
  <si>
    <t>展開後件数</t>
    <rPh sb="0" eb="2">
      <t>テンカイ</t>
    </rPh>
    <rPh sb="2" eb="3">
      <t>ゴ</t>
    </rPh>
    <rPh sb="3" eb="5">
      <t>ケンスウ</t>
    </rPh>
    <phoneticPr fontId="1"/>
  </si>
  <si>
    <t>書式コピー先</t>
    <rPh sb="0" eb="2">
      <t>ショシキ</t>
    </rPh>
    <rPh sb="5" eb="6">
      <t>サキ</t>
    </rPh>
    <phoneticPr fontId="1"/>
  </si>
  <si>
    <t>行数式コピー先</t>
    <rPh sb="0" eb="2">
      <t>ギョウスウ</t>
    </rPh>
    <rPh sb="2" eb="3">
      <t>シキ</t>
    </rPh>
    <rPh sb="6" eb="7">
      <t>サキ</t>
    </rPh>
    <phoneticPr fontId="1"/>
  </si>
  <si>
    <t>金額数式コピー先</t>
    <rPh sb="0" eb="2">
      <t>キンガク</t>
    </rPh>
    <rPh sb="2" eb="4">
      <t>スウシキ</t>
    </rPh>
    <rPh sb="7" eb="8">
      <t>サキ</t>
    </rPh>
    <phoneticPr fontId="1"/>
  </si>
  <si>
    <t>総数数式コピー先</t>
    <rPh sb="0" eb="2">
      <t>ソウスウ</t>
    </rPh>
    <rPh sb="2" eb="4">
      <t>スウシキ</t>
    </rPh>
    <rPh sb="7" eb="8">
      <t>サキ</t>
    </rPh>
    <phoneticPr fontId="1"/>
  </si>
  <si>
    <t>UNKB0020_IF_MULTI_SELECT_KENSU</t>
  </si>
  <si>
    <t>UNKB0020_IF_MULTI_SELECT_TENKAI_KENSU</t>
  </si>
  <si>
    <t>UNKB0020_IF_MULTI_SELECT_CHECK</t>
  </si>
  <si>
    <t>UNKB0020_IF_MULTI_SELECT_GYO_INCREMENT</t>
  </si>
  <si>
    <t>UNKB0020_IF_MULTI_SELECT_TENKAI_START</t>
  </si>
  <si>
    <t>UNKB0020_IF_MULTI_SELECT_LIST_GYO</t>
  </si>
  <si>
    <t>UNKB0020_IF_MULTI_SELECT_LIST_SOSU</t>
  </si>
  <si>
    <t>UNKB0020_IF_MULTI_SELECT_LIST_TOTAL_KINGAKU</t>
  </si>
  <si>
    <t>UNKB0020_IF_MULTI_SELECT_LIST_SHIIRE_MEI</t>
  </si>
  <si>
    <t>UNKB0020_IF_MULTI_SELECT_LIST_MAKER_MEI</t>
  </si>
  <si>
    <t>コピー元書式名</t>
    <rPh sb="3" eb="4">
      <t>モト</t>
    </rPh>
    <rPh sb="4" eb="6">
      <t>ショシキ</t>
    </rPh>
    <rPh sb="6" eb="7">
      <t>メイ</t>
    </rPh>
    <phoneticPr fontId="1"/>
  </si>
  <si>
    <t>UNKB0020_B_COPY_MOTO_NAME</t>
    <phoneticPr fontId="1"/>
  </si>
  <si>
    <t>UNKB0020_IF_MULTI_SELECT_SHIIRE_SUSHIKI_COPY_SAKI</t>
    <phoneticPr fontId="1"/>
  </si>
  <si>
    <t>UNKB0020_IF_MULTI_SELECT_MAKER_SUSHIKI_COPY_SAKI</t>
    <phoneticPr fontId="1"/>
  </si>
  <si>
    <t>UNKB0020_IF_MULTI_SELECT_SHOSHIKI_COPY_SAKI</t>
    <phoneticPr fontId="1"/>
  </si>
  <si>
    <t>UNKB0020_IF_MULTI_SELECT_GYO_SUSHIKI_COPY_SAKI</t>
    <phoneticPr fontId="1"/>
  </si>
  <si>
    <t>UNKB0020_IF_MULTI_SELECT_SOSU_SUSHIKI_COPY_SAKI</t>
    <phoneticPr fontId="1"/>
  </si>
  <si>
    <t>UNKB0020_IF_MULTI_SELECT_KINGAKU_SUSHIKI_COPY_SAKI</t>
    <phoneticPr fontId="1"/>
  </si>
  <si>
    <t>コピー元範囲</t>
    <rPh sb="3" eb="4">
      <t>モト</t>
    </rPh>
    <rPh sb="4" eb="6">
      <t>ハンイ</t>
    </rPh>
    <phoneticPr fontId="1"/>
  </si>
  <si>
    <t>UNKB0020_B_COPY_MOTO_AREA</t>
    <phoneticPr fontId="1"/>
  </si>
  <si>
    <t>POPUP</t>
    <phoneticPr fontId="1"/>
  </si>
  <si>
    <t>商品選択</t>
    <rPh sb="0" eb="2">
      <t>ショウヒン</t>
    </rPh>
    <rPh sb="2" eb="4">
      <t>センタク</t>
    </rPh>
    <phoneticPr fontId="1"/>
  </si>
  <si>
    <t>商品複数選択</t>
    <rPh sb="0" eb="2">
      <t>ショウヒン</t>
    </rPh>
    <rPh sb="2" eb="4">
      <t>フクスウ</t>
    </rPh>
    <rPh sb="4" eb="6">
      <t>センタク</t>
    </rPh>
    <phoneticPr fontId="1"/>
  </si>
  <si>
    <t>条件(購買品)</t>
    <rPh sb="0" eb="2">
      <t>ジョウケン</t>
    </rPh>
    <rPh sb="3" eb="6">
      <t>コウバイヒン</t>
    </rPh>
    <phoneticPr fontId="1"/>
  </si>
  <si>
    <t>条件(外注手配)</t>
    <phoneticPr fontId="1"/>
  </si>
  <si>
    <t>条件(修繕・定期点検)</t>
    <phoneticPr fontId="1"/>
  </si>
  <si>
    <t>条件(投資)</t>
    <phoneticPr fontId="1"/>
  </si>
  <si>
    <t>条件(販売商品)</t>
    <phoneticPr fontId="1"/>
  </si>
  <si>
    <t>UNKB0020_SQL_MULTI_SELECT</t>
    <phoneticPr fontId="1"/>
  </si>
  <si>
    <t>UNKB0020_SQL_LIST_KOBAI_KBN</t>
    <phoneticPr fontId="1"/>
  </si>
  <si>
    <t>SHINSEI_GAIYO</t>
    <phoneticPr fontId="1"/>
  </si>
  <si>
    <t>KOBAI_KBN</t>
    <phoneticPr fontId="1"/>
  </si>
  <si>
    <t>TAX_RATE</t>
    <phoneticPr fontId="1"/>
  </si>
  <si>
    <t>NUKI_TOTAL</t>
    <phoneticPr fontId="1"/>
  </si>
  <si>
    <t>TAX</t>
    <phoneticPr fontId="1"/>
  </si>
  <si>
    <t>KOMI_TOTAL</t>
    <phoneticPr fontId="1"/>
  </si>
  <si>
    <t>KOBAI_SEQ</t>
    <phoneticPr fontId="1"/>
  </si>
  <si>
    <t>KOBAI_GYO_NO</t>
    <phoneticPr fontId="1"/>
  </si>
  <si>
    <t>JOGAI_FLG</t>
    <phoneticPr fontId="1"/>
  </si>
  <si>
    <t>KOBAIHIN_CD</t>
    <phoneticPr fontId="1"/>
  </si>
  <si>
    <t>KOBAIHIN_MEI</t>
    <phoneticPr fontId="1"/>
  </si>
  <si>
    <t>TANKA</t>
    <phoneticPr fontId="1"/>
  </si>
  <si>
    <t>IRISU</t>
    <phoneticPr fontId="1"/>
  </si>
  <si>
    <t>IRISU_TANI</t>
    <phoneticPr fontId="1"/>
  </si>
  <si>
    <t>SURYO</t>
    <phoneticPr fontId="1"/>
  </si>
  <si>
    <t>SOSU</t>
    <phoneticPr fontId="1"/>
  </si>
  <si>
    <t>BARA_TANI</t>
    <phoneticPr fontId="1"/>
  </si>
  <si>
    <t>TOTAL</t>
    <phoneticPr fontId="1"/>
  </si>
  <si>
    <t>NOKI</t>
    <phoneticPr fontId="1"/>
  </si>
  <si>
    <t>HOKAN_BASHO_KBN</t>
    <phoneticPr fontId="1"/>
  </si>
  <si>
    <t>UNKB0020_B_COPY_GYO_SUSHIKI</t>
    <phoneticPr fontId="1"/>
  </si>
  <si>
    <t>保管場所名</t>
    <rPh sb="0" eb="2">
      <t>ホカン</t>
    </rPh>
    <rPh sb="2" eb="4">
      <t>バショ</t>
    </rPh>
    <rPh sb="4" eb="5">
      <t>メイ</t>
    </rPh>
    <phoneticPr fontId="1"/>
  </si>
  <si>
    <t>仕入先CD</t>
    <rPh sb="0" eb="2">
      <t>シイレ</t>
    </rPh>
    <rPh sb="2" eb="3">
      <t>サキ</t>
    </rPh>
    <phoneticPr fontId="1"/>
  </si>
  <si>
    <t>仕入先名</t>
    <rPh sb="0" eb="2">
      <t>シイレ</t>
    </rPh>
    <rPh sb="2" eb="3">
      <t>サキ</t>
    </rPh>
    <rPh sb="3" eb="4">
      <t>メイ</t>
    </rPh>
    <phoneticPr fontId="1"/>
  </si>
  <si>
    <t>メーカーCD</t>
    <phoneticPr fontId="1"/>
  </si>
  <si>
    <t>メーカー名</t>
    <rPh sb="4" eb="5">
      <t>メイ</t>
    </rPh>
    <phoneticPr fontId="1"/>
  </si>
  <si>
    <t>予算コード</t>
    <rPh sb="0" eb="2">
      <t>ヨサン</t>
    </rPh>
    <phoneticPr fontId="1"/>
  </si>
  <si>
    <t>予算名</t>
    <rPh sb="0" eb="2">
      <t>ヨサン</t>
    </rPh>
    <rPh sb="2" eb="3">
      <t>メイ</t>
    </rPh>
    <phoneticPr fontId="1"/>
  </si>
  <si>
    <t>受理No.</t>
    <rPh sb="0" eb="2">
      <t>ジュリ</t>
    </rPh>
    <phoneticPr fontId="1"/>
  </si>
  <si>
    <t>ステータスCD</t>
    <phoneticPr fontId="1"/>
  </si>
  <si>
    <t>ステータス名</t>
    <rPh sb="5" eb="6">
      <t>メイ</t>
    </rPh>
    <phoneticPr fontId="1"/>
  </si>
  <si>
    <t>保管場所区分</t>
    <rPh sb="0" eb="2">
      <t>ホカン</t>
    </rPh>
    <rPh sb="2" eb="4">
      <t>バショ</t>
    </rPh>
    <rPh sb="4" eb="6">
      <t>クブン</t>
    </rPh>
    <phoneticPr fontId="1"/>
  </si>
  <si>
    <t>UNKB0020_B_HOKAN_BASHO_KBN_TENKAI</t>
    <phoneticPr fontId="1"/>
  </si>
  <si>
    <t>UNKB0020_B_HOKAN_BASHO_TENKAI</t>
    <phoneticPr fontId="1"/>
  </si>
  <si>
    <t>UNKB0020_B_SHIIRE_CD_TENKAI</t>
    <phoneticPr fontId="1"/>
  </si>
  <si>
    <t>UNKB0020_B_SHIIRE_MEI_TENKAI</t>
    <phoneticPr fontId="1"/>
  </si>
  <si>
    <t>UNKB0020_B_MAKER_CD_TENKAI</t>
    <phoneticPr fontId="1"/>
  </si>
  <si>
    <t>UNKB0020_B_MAKER_MEI_TENKAI</t>
    <phoneticPr fontId="1"/>
  </si>
  <si>
    <t>UNKB0020_B_YOSAN_CD_TENKAI</t>
    <phoneticPr fontId="1"/>
  </si>
  <si>
    <t>UNKB0020_B_YOSAN_MEI_TENKAI</t>
    <phoneticPr fontId="1"/>
  </si>
  <si>
    <t>UNKB0020_B_JURI_NO_TENKAI</t>
    <phoneticPr fontId="1"/>
  </si>
  <si>
    <t>UNKB0020_B_STS_CD_TENKAI</t>
    <phoneticPr fontId="1"/>
  </si>
  <si>
    <t>UNKB0020_B_STS_TENKAI</t>
    <phoneticPr fontId="1"/>
  </si>
  <si>
    <t>UNKB0020_B_KOBAIHIN_CD_TENKAI</t>
    <phoneticPr fontId="1"/>
  </si>
  <si>
    <t>UNKB0020_B_KOBAIHIN_MEI_TENKAI</t>
    <phoneticPr fontId="1"/>
  </si>
  <si>
    <t>UNKB0020_B_SHIIRE_IRISU_TANI_TENKAI</t>
    <phoneticPr fontId="1"/>
  </si>
  <si>
    <t>購買品CD展開位置</t>
    <rPh sb="0" eb="3">
      <t>コウバイヒン</t>
    </rPh>
    <rPh sb="5" eb="7">
      <t>テンカイ</t>
    </rPh>
    <rPh sb="7" eb="9">
      <t>イチ</t>
    </rPh>
    <phoneticPr fontId="1"/>
  </si>
  <si>
    <t>購買品展開位置</t>
    <rPh sb="0" eb="3">
      <t>コウバイヒン</t>
    </rPh>
    <rPh sb="3" eb="5">
      <t>テンカイ</t>
    </rPh>
    <rPh sb="5" eb="7">
      <t>イチ</t>
    </rPh>
    <phoneticPr fontId="1"/>
  </si>
  <si>
    <t>購買ステータス取得用SQL</t>
    <rPh sb="0" eb="2">
      <t>コウバイ</t>
    </rPh>
    <rPh sb="7" eb="9">
      <t>シュトク</t>
    </rPh>
    <rPh sb="9" eb="10">
      <t>ヨウ</t>
    </rPh>
    <phoneticPr fontId="1"/>
  </si>
  <si>
    <t>仕入先取得SQL</t>
    <rPh sb="0" eb="2">
      <t>シイレ</t>
    </rPh>
    <rPh sb="2" eb="3">
      <t>サキ</t>
    </rPh>
    <rPh sb="3" eb="5">
      <t>シュトク</t>
    </rPh>
    <phoneticPr fontId="1"/>
  </si>
  <si>
    <t>SELECT CASE
       WHEN M_CONTROL.TAX_1_DATE &gt; M_CONTROL.TAX_2_DATE THEN
            CASE
            WHEN M_CONTROL.TAX_1_DATE &gt; CONVERT(VARCHAR(10), GETDATE(),111) THEN
                 M_CONTROL.TAX_2
            ELSE
                 M_CONTROL.TAX_1
            END
       ELSE
            CASE
            WHEN M_CONTROL.TAX_2_DATE &gt; CONVERT(VARCHAR(10), GETDATE(),111) THEN
                 M_CONTROL.TAX_1
            ELSE
                 M_CONTROL.TAX_2
            END
       END
  FROM M_CONTROL
 WHERE M_CONTROL.CTRL_KEY = 1</t>
    <phoneticPr fontId="1"/>
  </si>
  <si>
    <t>予算コード検索</t>
    <rPh sb="0" eb="2">
      <t>ヨサン</t>
    </rPh>
    <rPh sb="5" eb="7">
      <t>ケンサク</t>
    </rPh>
    <phoneticPr fontId="1"/>
  </si>
  <si>
    <t>UNKB_COMMON_CHANGE_CHECK</t>
  </si>
  <si>
    <t>表示中シートがUNKB0020</t>
    <rPh sb="0" eb="3">
      <t>ヒョウジチュウ</t>
    </rPh>
    <phoneticPr fontId="1"/>
  </si>
  <si>
    <t>UNKB_COMMON_ACTIVE_SHEET_NAME</t>
  </si>
  <si>
    <t>UNKB_COMMON_CHANGE_CHECK_AREA</t>
  </si>
  <si>
    <t>UNKB0020</t>
    <phoneticPr fontId="1"/>
  </si>
  <si>
    <t>UNKB0020_IF_MODE</t>
    <phoneticPr fontId="1"/>
  </si>
  <si>
    <t>UNKB0020_H</t>
    <phoneticPr fontId="1"/>
  </si>
  <si>
    <t>SELECT M_AITESAKI.AITE_CD                   AS  仕入先CD
      ,M_AITESAKI.AITE_MEI                  AS  仕入先名
      ,M_AITESAKI.BUSHO_MEI                 AS  相手先部署名
      ,M_AITESAKI.TANTO_MEI                 AS  相手先担当者名
      ,M_AITESAKI.SHIHARAIHOHO_KBN          AS  支払方法区分
      ,J_SHIHARAIHOHO.DATA_1                AS  支払方法
      ,M_AITESAKI.SHIIRE_CHUKI              AS  注記
      ,M_AITESAKI.SHIIRE_HASU_KBN           AS  端数処理区分
      ,M_AITESAKI.SHIIRE_TESURYO_KBN        AS  手数料負担区分
  FROM M_AITESAKI
  LEFT JOIN M_MEISHO_B   AS J_SHIHARAIHOHO
    ON J_SHIHARAIHOHO.MEISHO_KBN = 'K006'
   AND J_SHIHARAIHOHO.MEISHO_CD  =  M_AITESAKI.SHIHARAIHOHO_KBN
 WHERE M_AITESAKI.SHIRE_FLG = 'True'
   AND M_AITESAKI.MISHIYO_FLG = 'False'
 ORDER BY AITE_CD ASC</t>
    <phoneticPr fontId="1"/>
  </si>
  <si>
    <t>購買区分検索</t>
    <rPh sb="0" eb="2">
      <t>コウバイ</t>
    </rPh>
    <rPh sb="2" eb="4">
      <t>クブン</t>
    </rPh>
    <rPh sb="4" eb="6">
      <t>ケンサク</t>
    </rPh>
    <phoneticPr fontId="1"/>
  </si>
  <si>
    <t>UNKB_COMMON_SQL_KOBAI_STS_SEARCH</t>
    <phoneticPr fontId="1"/>
  </si>
  <si>
    <t>UNKB_COMMON_SQL_KOBAI_KBN_SEARCH</t>
    <phoneticPr fontId="1"/>
  </si>
  <si>
    <t xml:space="preserve">SELECT YOSAN_CD     AS 予算コード
      ,YOSAN_MEI    AS 予算コード名
  FROM M_YOSAN
 ORDER BY YOSAN_CD ASC
</t>
    <phoneticPr fontId="1"/>
  </si>
  <si>
    <t>UNKB_COMMON_SQL_SHAIN_SEARCH</t>
    <phoneticPr fontId="1"/>
  </si>
  <si>
    <t>UNKB_COMMON_SQL_SELECT_CTRL_HYOJI_GYO_SU</t>
    <phoneticPr fontId="1"/>
  </si>
  <si>
    <t>UNKB_COMMON_SQL_SELECT_TAX_RATE</t>
    <phoneticPr fontId="1"/>
  </si>
  <si>
    <t>UNKB_COMMON_SQL_SHIIRESAKI_SEARCH</t>
    <phoneticPr fontId="1"/>
  </si>
  <si>
    <t>UNKB_COMMON_SQL_JURI_NO_SEARCH</t>
    <phoneticPr fontId="1"/>
  </si>
  <si>
    <t>UNKB_COMMON_SQL_BUSHO_SEARCH</t>
    <phoneticPr fontId="1"/>
  </si>
  <si>
    <t>UNKB_COMMON_SQL_YOSAN_SEARCH</t>
    <phoneticPr fontId="1"/>
  </si>
  <si>
    <t>仕入先端数処理区分</t>
    <rPh sb="0" eb="2">
      <t>シイレ</t>
    </rPh>
    <rPh sb="2" eb="3">
      <t>サキ</t>
    </rPh>
    <rPh sb="3" eb="5">
      <t>ハスウ</t>
    </rPh>
    <rPh sb="5" eb="7">
      <t>ショリ</t>
    </rPh>
    <rPh sb="7" eb="9">
      <t>クブン</t>
    </rPh>
    <phoneticPr fontId="1"/>
  </si>
  <si>
    <t>仕入先端数処理区分</t>
    <rPh sb="0" eb="2">
      <t>シイレ</t>
    </rPh>
    <rPh sb="2" eb="3">
      <t>サキ</t>
    </rPh>
    <rPh sb="3" eb="5">
      <t>ハスウ</t>
    </rPh>
    <rPh sb="5" eb="7">
      <t>ショリ</t>
    </rPh>
    <rPh sb="7" eb="9">
      <t>クブン</t>
    </rPh>
    <phoneticPr fontId="1"/>
  </si>
  <si>
    <t>備品No.：</t>
    <phoneticPr fontId="1"/>
  </si>
  <si>
    <t>※添付資料</t>
    <rPh sb="1" eb="3">
      <t>テンプ</t>
    </rPh>
    <rPh sb="3" eb="5">
      <t>シリョウ</t>
    </rPh>
    <phoneticPr fontId="1"/>
  </si>
  <si>
    <t>購買申請No.</t>
    <rPh sb="0" eb="2">
      <t>コウバイ</t>
    </rPh>
    <rPh sb="2" eb="4">
      <t>シンセイ</t>
    </rPh>
    <phoneticPr fontId="1"/>
  </si>
  <si>
    <t>購買品名</t>
    <rPh sb="0" eb="2">
      <t>コウバイ</t>
    </rPh>
    <rPh sb="2" eb="4">
      <t>ヒンメイ</t>
    </rPh>
    <phoneticPr fontId="1"/>
  </si>
  <si>
    <t>購買品CD</t>
    <rPh sb="0" eb="3">
      <t>コウバイヒン</t>
    </rPh>
    <phoneticPr fontId="1"/>
  </si>
  <si>
    <t>単価</t>
    <rPh sb="0" eb="2">
      <t>タンカ</t>
    </rPh>
    <phoneticPr fontId="1"/>
  </si>
  <si>
    <t>入数</t>
    <rPh sb="0" eb="1">
      <t>イ</t>
    </rPh>
    <rPh sb="1" eb="2">
      <t>スウ</t>
    </rPh>
    <phoneticPr fontId="1"/>
  </si>
  <si>
    <t>希望納期</t>
    <rPh sb="0" eb="2">
      <t>キボウ</t>
    </rPh>
    <rPh sb="2" eb="4">
      <t>ノウキ</t>
    </rPh>
    <phoneticPr fontId="1"/>
  </si>
  <si>
    <t>予算コード名</t>
    <rPh sb="0" eb="2">
      <t>ヨサン</t>
    </rPh>
    <rPh sb="5" eb="6">
      <t>メイ</t>
    </rPh>
    <phoneticPr fontId="1"/>
  </si>
  <si>
    <t>備考</t>
    <rPh sb="0" eb="2">
      <t>ビコウ</t>
    </rPh>
    <phoneticPr fontId="1"/>
  </si>
  <si>
    <t>↑コピー元 UNKB0020_REPORT_IF_COPY_MOTO</t>
    <rPh sb="4" eb="5">
      <t>モト</t>
    </rPh>
    <phoneticPr fontId="1"/>
  </si>
  <si>
    <t>入数単位</t>
    <rPh sb="0" eb="1">
      <t>イ</t>
    </rPh>
    <rPh sb="1" eb="2">
      <t>スウ</t>
    </rPh>
    <rPh sb="2" eb="4">
      <t>タンイ</t>
    </rPh>
    <phoneticPr fontId="1"/>
  </si>
  <si>
    <t>バラ単位</t>
    <rPh sb="2" eb="4">
      <t>タンイ</t>
    </rPh>
    <phoneticPr fontId="1"/>
  </si>
  <si>
    <t>総数</t>
    <rPh sb="0" eb="2">
      <t>ソウスウ</t>
    </rPh>
    <phoneticPr fontId="1"/>
  </si>
  <si>
    <t>UNKB0020_IF_SAVE_RESULT_KOBAI_NO</t>
    <phoneticPr fontId="1"/>
  </si>
  <si>
    <t>UNKB0020_IF_SAVE_ERROR_MESSAGE</t>
    <phoneticPr fontId="1"/>
  </si>
  <si>
    <t>UNKB0020_REPORT_IF_DATA_KENSU</t>
    <phoneticPr fontId="1"/>
  </si>
  <si>
    <t>合計金額</t>
    <rPh sb="0" eb="2">
      <t>ゴウケイ</t>
    </rPh>
    <rPh sb="2" eb="4">
      <t>キンガク</t>
    </rPh>
    <phoneticPr fontId="1"/>
  </si>
  <si>
    <t>データ取得SQL</t>
    <rPh sb="3" eb="5">
      <t>シュトク</t>
    </rPh>
    <phoneticPr fontId="1"/>
  </si>
  <si>
    <t>帳票用データ取得SQL</t>
    <rPh sb="0" eb="2">
      <t>チョウヒョウ</t>
    </rPh>
    <rPh sb="2" eb="3">
      <t>ヨウ</t>
    </rPh>
    <rPh sb="6" eb="8">
      <t>シュトク</t>
    </rPh>
    <phoneticPr fontId="1"/>
  </si>
  <si>
    <t>UNKB0020_SQL_REPORT_DATA</t>
    <phoneticPr fontId="1"/>
  </si>
  <si>
    <t>共通WHERE句</t>
    <rPh sb="0" eb="2">
      <t>キョウツウ</t>
    </rPh>
    <rPh sb="7" eb="8">
      <t>ク</t>
    </rPh>
    <phoneticPr fontId="1"/>
  </si>
  <si>
    <t>WHERE(未登録購買品)</t>
    <rPh sb="6" eb="9">
      <t>ミトウロク</t>
    </rPh>
    <rPh sb="9" eb="12">
      <t>コウバイヒン</t>
    </rPh>
    <phoneticPr fontId="1"/>
  </si>
  <si>
    <t>WHERE(修繕・定期点検)</t>
    <rPh sb="6" eb="8">
      <t>シュウゼン</t>
    </rPh>
    <rPh sb="9" eb="11">
      <t>テイキ</t>
    </rPh>
    <rPh sb="11" eb="13">
      <t>テンケン</t>
    </rPh>
    <phoneticPr fontId="1"/>
  </si>
  <si>
    <t>WHERE(投資)</t>
    <rPh sb="6" eb="8">
      <t>トウシ</t>
    </rPh>
    <phoneticPr fontId="1"/>
  </si>
  <si>
    <t>1</t>
    <phoneticPr fontId="1"/>
  </si>
  <si>
    <t>3</t>
    <phoneticPr fontId="1"/>
  </si>
  <si>
    <t>4</t>
    <phoneticPr fontId="1"/>
  </si>
  <si>
    <t>データ取得SQL(ヘッダ)</t>
    <rPh sb="3" eb="5">
      <t>シュトク</t>
    </rPh>
    <phoneticPr fontId="1"/>
  </si>
  <si>
    <t>参照作成データ取得SQL(ヘッダ)</t>
    <rPh sb="0" eb="2">
      <t>サンショウ</t>
    </rPh>
    <rPh sb="2" eb="4">
      <t>サクセイ</t>
    </rPh>
    <rPh sb="7" eb="9">
      <t>シュトク</t>
    </rPh>
    <phoneticPr fontId="1"/>
  </si>
  <si>
    <t>参照作成データ取得SQL(ボディ)</t>
    <rPh sb="0" eb="2">
      <t>サンショウ</t>
    </rPh>
    <rPh sb="2" eb="4">
      <t>サクセイ</t>
    </rPh>
    <rPh sb="7" eb="9">
      <t>シュトク</t>
    </rPh>
    <phoneticPr fontId="1"/>
  </si>
  <si>
    <t>データ取得SQL(ボディ)</t>
    <rPh sb="3" eb="5">
      <t>シュトク</t>
    </rPh>
    <phoneticPr fontId="1"/>
  </si>
  <si>
    <t xml:space="preserve">SELECT KOBAI_NO
      ,SHINSEISHA_CD
      ,SHINSEISHA_MEI
      ,SHINSEI_DATETIME
      ,SHINSEI_GAIYO
      ,KOBAI_KBN_CD
      ,KOBAI_KBN_MEI
      ,TAX_RATE
      ,NUKI_TOTAL
      ,TAX
      ,KOMI_TOTAL
  FROM V_KOBAI_H
</t>
    <phoneticPr fontId="1"/>
  </si>
  <si>
    <t xml:space="preserve">SELECT KOBAI_NO
      ,SHINSEISHA_CD
      ,SHINSEISHA_MEI
      ,SHINSEI_DATETIME
      ,SHINSEI_GAIYO
      ,KOBAI_KBN_CD
      ,KOBAI_KBN_MEI
      ,TAX_RATE
      ,NUKI_TOTAL
      ,TAX
      ,KOMI_TOTAL
  FROM V_KOBAI_H_SANSHO
</t>
    <phoneticPr fontId="1"/>
  </si>
  <si>
    <t>コピー元行範囲</t>
    <rPh sb="3" eb="4">
      <t>モト</t>
    </rPh>
    <rPh sb="4" eb="5">
      <t>ギョウ</t>
    </rPh>
    <rPh sb="5" eb="7">
      <t>ハンイ</t>
    </rPh>
    <phoneticPr fontId="1"/>
  </si>
  <si>
    <t>データ件数</t>
    <rPh sb="3" eb="5">
      <t>ケンスウ</t>
    </rPh>
    <phoneticPr fontId="1"/>
  </si>
  <si>
    <t>印刷エラー判定</t>
    <rPh sb="0" eb="2">
      <t>インサツ</t>
    </rPh>
    <rPh sb="5" eb="7">
      <t>ハンテイ</t>
    </rPh>
    <phoneticPr fontId="1"/>
  </si>
  <si>
    <t>UNKB0020_REPORT_IF_COPY_MOTO_GYO</t>
    <phoneticPr fontId="1"/>
  </si>
  <si>
    <t>UNKB0020_REPORT_IF_ERROR_CHECK</t>
    <phoneticPr fontId="1"/>
  </si>
  <si>
    <t>正常:1 / エラー:2</t>
    <rPh sb="0" eb="2">
      <t>セイジョウ</t>
    </rPh>
    <phoneticPr fontId="1"/>
  </si>
  <si>
    <t>操作可能ステータス</t>
    <rPh sb="0" eb="2">
      <t>ソウサ</t>
    </rPh>
    <rPh sb="2" eb="4">
      <t>カノウ</t>
    </rPh>
    <phoneticPr fontId="1"/>
  </si>
  <si>
    <t>UNKB0020_IF_STS_LIMIT</t>
    <phoneticPr fontId="1"/>
  </si>
  <si>
    <t>権限グループ番号</t>
    <rPh sb="0" eb="2">
      <t>ケンゲン</t>
    </rPh>
    <rPh sb="6" eb="8">
      <t>バンゴウ</t>
    </rPh>
    <phoneticPr fontId="1"/>
  </si>
  <si>
    <t>明細のステータスが権限範囲を超える場合、操作不可</t>
    <rPh sb="0" eb="2">
      <t>メイサイ</t>
    </rPh>
    <rPh sb="9" eb="11">
      <t>ケンゲン</t>
    </rPh>
    <rPh sb="11" eb="13">
      <t>ハンイ</t>
    </rPh>
    <rPh sb="14" eb="15">
      <t>コ</t>
    </rPh>
    <rPh sb="17" eb="19">
      <t>バアイ</t>
    </rPh>
    <rPh sb="20" eb="22">
      <t>ソウサ</t>
    </rPh>
    <rPh sb="22" eb="24">
      <t>フカ</t>
    </rPh>
    <phoneticPr fontId="1"/>
  </si>
  <si>
    <t>選択対象ステータスCD</t>
    <rPh sb="0" eb="2">
      <t>センタク</t>
    </rPh>
    <rPh sb="2" eb="4">
      <t>タイショウ</t>
    </rPh>
    <phoneticPr fontId="1"/>
  </si>
  <si>
    <t>UNKB0020_IF_SELECT_STS_CD</t>
    <phoneticPr fontId="1"/>
  </si>
  <si>
    <t>行追加</t>
    <rPh sb="0" eb="1">
      <t>ギョウ</t>
    </rPh>
    <rPh sb="1" eb="3">
      <t>ツイカ</t>
    </rPh>
    <phoneticPr fontId="1"/>
  </si>
  <si>
    <t>UNKB0020_IF_BUTTON_11_ERROR</t>
    <phoneticPr fontId="1"/>
  </si>
  <si>
    <t>UNKB0020_IF_EXCEL_FILE_NAME</t>
    <phoneticPr fontId="1"/>
  </si>
  <si>
    <t>行追加エラーメッセージ</t>
    <rPh sb="0" eb="1">
      <t>ギョウ</t>
    </rPh>
    <rPh sb="1" eb="3">
      <t>ツイカ</t>
    </rPh>
    <phoneticPr fontId="1"/>
  </si>
  <si>
    <t>行削除エラーメッセージ</t>
    <rPh sb="0" eb="3">
      <t>ギョウサクジョ</t>
    </rPh>
    <phoneticPr fontId="1"/>
  </si>
  <si>
    <t>UNKB0020_IF_BUTTON_11_ERROR_MSG</t>
    <phoneticPr fontId="1"/>
  </si>
  <si>
    <t>UNKB0020_IF_BUTTON_12_ERROR_MSG</t>
    <phoneticPr fontId="1"/>
  </si>
  <si>
    <t>UNKB0020_B_SHIIRE_HASU_KBN_TENKAI</t>
    <phoneticPr fontId="1"/>
  </si>
  <si>
    <t>更新時</t>
    <rPh sb="0" eb="3">
      <t>コウシンジ</t>
    </rPh>
    <phoneticPr fontId="1"/>
  </si>
  <si>
    <t>UNKB0020_SQL_REPORT_DATA_SAVE</t>
    <phoneticPr fontId="1"/>
  </si>
  <si>
    <t>帳票用データ取得SQL(保存時)</t>
    <rPh sb="0" eb="2">
      <t>チョウヒョウ</t>
    </rPh>
    <rPh sb="2" eb="3">
      <t>ヨウ</t>
    </rPh>
    <rPh sb="6" eb="8">
      <t>シュトク</t>
    </rPh>
    <rPh sb="12" eb="14">
      <t>ホゾン</t>
    </rPh>
    <rPh sb="14" eb="15">
      <t>ジ</t>
    </rPh>
    <phoneticPr fontId="1"/>
  </si>
  <si>
    <t xml:space="preserve">   AND DBS_CREATE_DATE = DBS_UPDATE_DATE</t>
    <phoneticPr fontId="1"/>
  </si>
  <si>
    <t>UNKB0020_H</t>
    <phoneticPr fontId="1"/>
  </si>
  <si>
    <t>メーカー取得SQL</t>
    <rPh sb="4" eb="6">
      <t>シュトク</t>
    </rPh>
    <phoneticPr fontId="1"/>
  </si>
  <si>
    <t>UNKB_COMMON_SQL_MAKER_SEARCH</t>
    <phoneticPr fontId="1"/>
  </si>
  <si>
    <t>保管場所</t>
    <rPh sb="0" eb="2">
      <t>ホカン</t>
    </rPh>
    <rPh sb="2" eb="4">
      <t>バショ</t>
    </rPh>
    <phoneticPr fontId="1"/>
  </si>
  <si>
    <t>UNKB_COMMON_SQL_HOKAN_BASHO_SEARCH</t>
    <phoneticPr fontId="1"/>
  </si>
  <si>
    <t>共通ORDER句</t>
    <rPh sb="0" eb="2">
      <t>キョウツウ</t>
    </rPh>
    <rPh sb="7" eb="8">
      <t>ク</t>
    </rPh>
    <phoneticPr fontId="1"/>
  </si>
  <si>
    <t xml:space="preserve"> ORDER BY SHOHIN_CD ASC</t>
    <phoneticPr fontId="1"/>
  </si>
  <si>
    <t>仕入単価展開位置</t>
    <rPh sb="2" eb="4">
      <t>タンカ</t>
    </rPh>
    <rPh sb="4" eb="6">
      <t>テンカイ</t>
    </rPh>
    <rPh sb="6" eb="8">
      <t>イチ</t>
    </rPh>
    <phoneticPr fontId="1"/>
  </si>
  <si>
    <t>UNKB0020_B_SHIIRE_TANKA_TENKAI</t>
    <phoneticPr fontId="1"/>
  </si>
  <si>
    <t>UNKB0020_B_NOKI_TENKAI</t>
    <phoneticPr fontId="1"/>
  </si>
  <si>
    <t>参照作成フラグ</t>
    <rPh sb="0" eb="2">
      <t>サンショウ</t>
    </rPh>
    <rPh sb="2" eb="4">
      <t>サクセイ</t>
    </rPh>
    <phoneticPr fontId="1"/>
  </si>
  <si>
    <t>1:ON / 1以外:OFF</t>
    <rPh sb="8" eb="10">
      <t>イガイ</t>
    </rPh>
    <phoneticPr fontId="1"/>
  </si>
  <si>
    <t>UNKB0020_IF_SANSHO_FLG</t>
    <phoneticPr fontId="1"/>
  </si>
  <si>
    <t>UNKB0020_B_MULTI_SELECT_COPY_SAKI</t>
    <phoneticPr fontId="1"/>
  </si>
  <si>
    <t>UNKB0020_SQL_DATA_H</t>
    <phoneticPr fontId="1"/>
  </si>
  <si>
    <t>UNKB0020_SQL_DATA_B</t>
    <phoneticPr fontId="1"/>
  </si>
  <si>
    <t>コピー先範囲</t>
    <rPh sb="3" eb="4">
      <t>サキ</t>
    </rPh>
    <rPh sb="4" eb="6">
      <t>ハンイ</t>
    </rPh>
    <phoneticPr fontId="1"/>
  </si>
  <si>
    <t>UNKB0020_B_COPY_SAKI_AREA</t>
    <phoneticPr fontId="1"/>
  </si>
  <si>
    <t>UNKB0020_B_COPY_SOSU_SUSHIKI</t>
    <phoneticPr fontId="1"/>
  </si>
  <si>
    <t>UNKB0020_B_COPY_TOTAL_KINGAKU_SUSHIKI</t>
    <phoneticPr fontId="1"/>
  </si>
  <si>
    <t>UNKB0020_B_COPY_SHIIRE_MEI_SUSHIKI</t>
    <phoneticPr fontId="1"/>
  </si>
  <si>
    <t>UNKB0020_B_COPY_MAKER_MEI_SUSHIKI</t>
    <phoneticPr fontId="1"/>
  </si>
  <si>
    <t>合計金額数式コピー先</t>
    <rPh sb="0" eb="2">
      <t>ゴウケイ</t>
    </rPh>
    <rPh sb="2" eb="4">
      <t>キンガク</t>
    </rPh>
    <rPh sb="4" eb="6">
      <t>スウシキ</t>
    </rPh>
    <rPh sb="9" eb="10">
      <t>サキ</t>
    </rPh>
    <phoneticPr fontId="1"/>
  </si>
  <si>
    <t>仕入先名数式コピー先</t>
    <rPh sb="0" eb="2">
      <t>シイレ</t>
    </rPh>
    <rPh sb="2" eb="3">
      <t>サキ</t>
    </rPh>
    <rPh sb="3" eb="4">
      <t>メイ</t>
    </rPh>
    <rPh sb="4" eb="6">
      <t>スウシキ</t>
    </rPh>
    <rPh sb="9" eb="10">
      <t>サキ</t>
    </rPh>
    <phoneticPr fontId="1"/>
  </si>
  <si>
    <t>メーカー名数式コピー先</t>
    <rPh sb="4" eb="5">
      <t>メイ</t>
    </rPh>
    <rPh sb="5" eb="7">
      <t>スウシキ</t>
    </rPh>
    <rPh sb="10" eb="11">
      <t>サキ</t>
    </rPh>
    <phoneticPr fontId="1"/>
  </si>
  <si>
    <t>UNKB0020_B_LIST_CLEAR_AREA</t>
    <phoneticPr fontId="1"/>
  </si>
  <si>
    <t>UNKB0020_B_LIST_INSERT_AREA</t>
    <phoneticPr fontId="1"/>
  </si>
  <si>
    <t>初期値</t>
    <rPh sb="0" eb="3">
      <t>ショキチ</t>
    </rPh>
    <phoneticPr fontId="1"/>
  </si>
  <si>
    <t>申請者</t>
    <rPh sb="0" eb="3">
      <t>シンセイシャ</t>
    </rPh>
    <phoneticPr fontId="1"/>
  </si>
  <si>
    <t>UNKB0020_SQL_DEFAULT_SHINSEISHA</t>
    <phoneticPr fontId="1"/>
  </si>
  <si>
    <t>UNKB0020_SQL_DEFAULT_KOBAI_KBN</t>
    <phoneticPr fontId="1"/>
  </si>
  <si>
    <t>対象購買No.</t>
    <rPh sb="0" eb="2">
      <t>タイショウ</t>
    </rPh>
    <rPh sb="2" eb="4">
      <t>コウバイ</t>
    </rPh>
    <phoneticPr fontId="1"/>
  </si>
  <si>
    <t>複数選択行数式コピー先</t>
    <rPh sb="0" eb="2">
      <t>フクスウ</t>
    </rPh>
    <rPh sb="2" eb="4">
      <t>センタク</t>
    </rPh>
    <rPh sb="4" eb="6">
      <t>ギョウスウ</t>
    </rPh>
    <rPh sb="6" eb="7">
      <t>シキ</t>
    </rPh>
    <rPh sb="10" eb="11">
      <t>サキ</t>
    </rPh>
    <phoneticPr fontId="1"/>
  </si>
  <si>
    <t>UNKB0020_B_MULTI_SELECT_COPY_GYO_SUSHIKI</t>
    <phoneticPr fontId="1"/>
  </si>
  <si>
    <t>最小ステータス状態取得</t>
    <rPh sb="0" eb="2">
      <t>サイショウ</t>
    </rPh>
    <rPh sb="7" eb="9">
      <t>ジョウタイ</t>
    </rPh>
    <rPh sb="9" eb="11">
      <t>シュトク</t>
    </rPh>
    <phoneticPr fontId="1"/>
  </si>
  <si>
    <t xml:space="preserve">SELECT MIN(KOBAI_STS)
  FROM V_KOBAI_B
</t>
    <phoneticPr fontId="1"/>
  </si>
  <si>
    <t>UNKB0020_SQL_MIN_STS</t>
    <phoneticPr fontId="1"/>
  </si>
  <si>
    <t>【PDF保存】</t>
    <rPh sb="4" eb="6">
      <t>ホゾン</t>
    </rPh>
    <phoneticPr fontId="1"/>
  </si>
  <si>
    <t>PDF保存ファイル名</t>
    <rPh sb="3" eb="5">
      <t>ホゾン</t>
    </rPh>
    <rPh sb="9" eb="10">
      <t>メイ</t>
    </rPh>
    <phoneticPr fontId="1"/>
  </si>
  <si>
    <t>UNKB0020_IF_PDF_FILE_NAME</t>
    <phoneticPr fontId="1"/>
  </si>
  <si>
    <t>明細参照作成フラグ</t>
    <rPh sb="0" eb="2">
      <t>メイサイ</t>
    </rPh>
    <rPh sb="2" eb="4">
      <t>サンショウ</t>
    </rPh>
    <rPh sb="4" eb="6">
      <t>サクセイ</t>
    </rPh>
    <phoneticPr fontId="1"/>
  </si>
  <si>
    <t>UNKB0020_IF_MEISAI_SANSHO_FLG</t>
    <phoneticPr fontId="1"/>
  </si>
  <si>
    <t>UNKB0020_IF_BUTTON_14_ERROR</t>
    <phoneticPr fontId="1"/>
  </si>
  <si>
    <t>明細参照作成エラーメッセージ</t>
    <rPh sb="0" eb="2">
      <t>メイサイ</t>
    </rPh>
    <rPh sb="2" eb="4">
      <t>サンショウ</t>
    </rPh>
    <rPh sb="4" eb="6">
      <t>サクセイ</t>
    </rPh>
    <phoneticPr fontId="1"/>
  </si>
  <si>
    <t>UNKB0020_IF_BUTTON_14_ERROR_MSG</t>
    <phoneticPr fontId="1"/>
  </si>
  <si>
    <t>参照作成対象を選択してください</t>
    <rPh sb="0" eb="2">
      <t>サンショウ</t>
    </rPh>
    <rPh sb="2" eb="4">
      <t>サクセイ</t>
    </rPh>
    <rPh sb="4" eb="6">
      <t>タイショウ</t>
    </rPh>
    <rPh sb="7" eb="9">
      <t>センタク</t>
    </rPh>
    <phoneticPr fontId="1"/>
  </si>
  <si>
    <t>購買品履歴選択</t>
    <rPh sb="0" eb="3">
      <t>コウバイヒン</t>
    </rPh>
    <rPh sb="3" eb="5">
      <t>リレキ</t>
    </rPh>
    <rPh sb="5" eb="7">
      <t>センタク</t>
    </rPh>
    <phoneticPr fontId="1"/>
  </si>
  <si>
    <t>UNKB0020_SQL_MULTI_SELECT_RIREKI</t>
    <phoneticPr fontId="1"/>
  </si>
  <si>
    <t>ORDER</t>
    <phoneticPr fontId="1"/>
  </si>
  <si>
    <t xml:space="preserve"> ORDER BY
       T_KOBAI_B.KOBAI_NO  ASC
      ,T_KOBAI_B.KOBAI_SEQ ASC
</t>
    <phoneticPr fontId="1"/>
  </si>
  <si>
    <t>購買品履歴検索</t>
    <rPh sb="0" eb="3">
      <t>コウバイヒン</t>
    </rPh>
    <rPh sb="3" eb="5">
      <t>リレキ</t>
    </rPh>
    <rPh sb="5" eb="7">
      <t>ケンサク</t>
    </rPh>
    <phoneticPr fontId="1"/>
  </si>
  <si>
    <t>UNKB0020_IF_BUTTON_05_ERROR</t>
    <phoneticPr fontId="1"/>
  </si>
  <si>
    <t>購買品履歴検索エラーメッセージ</t>
    <rPh sb="0" eb="3">
      <t>コウバイヒン</t>
    </rPh>
    <rPh sb="3" eb="5">
      <t>リレキ</t>
    </rPh>
    <rPh sb="5" eb="7">
      <t>ケンサク</t>
    </rPh>
    <phoneticPr fontId="1"/>
  </si>
  <si>
    <t>UNKB0020_IF_BUTTON_05_ERROR_MSG</t>
    <phoneticPr fontId="1"/>
  </si>
  <si>
    <t>購買品履歴検索ボタン</t>
    <rPh sb="0" eb="3">
      <t>コウバイヒン</t>
    </rPh>
    <rPh sb="3" eb="5">
      <t>リレキ</t>
    </rPh>
    <rPh sb="5" eb="7">
      <t>ケンサク</t>
    </rPh>
    <phoneticPr fontId="1"/>
  </si>
  <si>
    <t>UNKB0020_IF_BUTTON_05_HYOJI</t>
    <phoneticPr fontId="1"/>
  </si>
  <si>
    <t>行挿入後セル位置</t>
    <rPh sb="0" eb="1">
      <t>ギョウ</t>
    </rPh>
    <rPh sb="1" eb="3">
      <t>ソウニュウ</t>
    </rPh>
    <rPh sb="3" eb="4">
      <t>ゴ</t>
    </rPh>
    <rPh sb="6" eb="8">
      <t>イチ</t>
    </rPh>
    <phoneticPr fontId="1"/>
  </si>
  <si>
    <t>UNKB0020_B_LIST_INSERT_SELECT_CELL</t>
    <phoneticPr fontId="1"/>
  </si>
  <si>
    <t>ストアド</t>
    <phoneticPr fontId="1"/>
  </si>
  <si>
    <t>ストアド実行</t>
    <rPh sb="4" eb="6">
      <t>ジッコウ</t>
    </rPh>
    <phoneticPr fontId="1"/>
  </si>
  <si>
    <t>UNKB0020_SQL_PROC</t>
    <phoneticPr fontId="1"/>
  </si>
  <si>
    <t>行数式コピー元</t>
    <rPh sb="0" eb="1">
      <t>ギョウ</t>
    </rPh>
    <rPh sb="1" eb="3">
      <t>スウシキ</t>
    </rPh>
    <rPh sb="6" eb="7">
      <t>モト</t>
    </rPh>
    <phoneticPr fontId="1"/>
  </si>
  <si>
    <t>UNKB0020_B_COPY_GYO_SUSHIKI_MOTO</t>
    <phoneticPr fontId="1"/>
  </si>
  <si>
    <t>UNKB0020_IF_COPY_B_GYO_SUSHIKI_SANSHO</t>
    <phoneticPr fontId="1"/>
  </si>
  <si>
    <t>参照用共通WHERE句</t>
    <rPh sb="0" eb="3">
      <t>サンショウヨウ</t>
    </rPh>
    <rPh sb="3" eb="5">
      <t>キョウツウ</t>
    </rPh>
    <rPh sb="10" eb="11">
      <t>ク</t>
    </rPh>
    <phoneticPr fontId="1"/>
  </si>
  <si>
    <t>UNKB0020_IF_COPY_B_CLEAR</t>
    <phoneticPr fontId="1"/>
  </si>
  <si>
    <t>保管場所</t>
  </si>
  <si>
    <t>仕入先名</t>
  </si>
  <si>
    <t>メーカー名</t>
  </si>
  <si>
    <t>ステータス</t>
  </si>
  <si>
    <t>依頼No.</t>
  </si>
  <si>
    <t>SELECT M_AITESAKI.AITE_CD                   AS  メーカーCD
      ,M_AITESAKI.AITE_MEI                  AS  メーカー名
      ,M_SHAIN.SHIMEI                       AS  営業担当者
      ,M_AITESAKI.TEL                       AS  TEL
      ,M_AITESAKI.BUSHO_MEI                 AS  相手先部署名
      ,M_AITESAKI.TANTO_MEI                 AS  相手先担当者名
  FROM M_AITESAKI
  LEFT JOIN
       M_SHAIN
    ON M_SHAIN.SHAIN_CD = M_AITESAKI.EIGYO_TANTO_CD
  WHERE M_AITESAKI.MAKER_FLG = 'True'_x000D_
   AND M_AITESAKI.MISHIYO_FLG = 'False'
  ORDER BY_x000D_
        M_AITESAKI.AITE_CD ASC</t>
    <phoneticPr fontId="1"/>
  </si>
  <si>
    <t>購買No.検索</t>
    <rPh sb="0" eb="2">
      <t>コウバイ</t>
    </rPh>
    <rPh sb="5" eb="7">
      <t>ケンサク</t>
    </rPh>
    <phoneticPr fontId="1"/>
  </si>
  <si>
    <t>依頼No.検索</t>
    <rPh sb="0" eb="2">
      <t>イライ</t>
    </rPh>
    <rPh sb="5" eb="7">
      <t>ケンサク</t>
    </rPh>
    <phoneticPr fontId="1"/>
  </si>
  <si>
    <t>UNKB_COMMON_SQL_KOBAI_NO_SEARCH</t>
    <phoneticPr fontId="1"/>
  </si>
  <si>
    <t>UNKB_COMMON_SQL_IRAI_NO_SEARCH</t>
    <phoneticPr fontId="1"/>
  </si>
  <si>
    <t>購買品検索用SQL</t>
    <rPh sb="0" eb="3">
      <t>コウバイヒン</t>
    </rPh>
    <phoneticPr fontId="1"/>
  </si>
  <si>
    <t>UNKB_COMMON_SQL_KOBAIHIN_SEARCH</t>
    <phoneticPr fontId="1"/>
  </si>
  <si>
    <t>UNKB0020_SQL_KOBAIHIN_SEARCH</t>
    <phoneticPr fontId="1"/>
  </si>
  <si>
    <t>入出庫No.検索(入庫)</t>
    <rPh sb="0" eb="1">
      <t>ニュウ</t>
    </rPh>
    <rPh sb="1" eb="3">
      <t>シュッコ</t>
    </rPh>
    <rPh sb="6" eb="8">
      <t>ケンサク</t>
    </rPh>
    <rPh sb="9" eb="11">
      <t>ニュウコ</t>
    </rPh>
    <phoneticPr fontId="1"/>
  </si>
  <si>
    <t>UNKB_COMMON_SQL_NYUSHUKKO_NO_SEARCH</t>
    <phoneticPr fontId="1"/>
  </si>
  <si>
    <t>検索(UNKB0010) / 承認(UNKB0040) / 確定(UNKB0050)</t>
    <rPh sb="0" eb="2">
      <t>ケンサク</t>
    </rPh>
    <rPh sb="15" eb="17">
      <t>ショウニン</t>
    </rPh>
    <rPh sb="30" eb="32">
      <t>カクテイ</t>
    </rPh>
    <phoneticPr fontId="1"/>
  </si>
  <si>
    <t>UNKB0020_IF_USER_AUTH</t>
    <phoneticPr fontId="1"/>
  </si>
  <si>
    <t>UNKB0020_SQL_STS_LIMIT</t>
    <phoneticPr fontId="1"/>
  </si>
  <si>
    <t>購買申請承認</t>
    <rPh sb="0" eb="2">
      <t>コウバイ</t>
    </rPh>
    <rPh sb="2" eb="4">
      <t>シンセイ</t>
    </rPh>
    <rPh sb="4" eb="6">
      <t>ショウニン</t>
    </rPh>
    <phoneticPr fontId="1"/>
  </si>
  <si>
    <t>ステータス：</t>
    <phoneticPr fontId="1"/>
  </si>
  <si>
    <t>～</t>
    <phoneticPr fontId="1"/>
  </si>
  <si>
    <t>申請者名▼</t>
    <phoneticPr fontId="1"/>
  </si>
  <si>
    <t>～</t>
    <phoneticPr fontId="1"/>
  </si>
  <si>
    <t>フリーワード：</t>
    <phoneticPr fontId="1"/>
  </si>
  <si>
    <t>メーカーCD</t>
    <phoneticPr fontId="1"/>
  </si>
  <si>
    <t>購買申請注文確定</t>
    <rPh sb="0" eb="2">
      <t>コウバイ</t>
    </rPh>
    <rPh sb="2" eb="4">
      <t>シンセイ</t>
    </rPh>
    <phoneticPr fontId="1"/>
  </si>
  <si>
    <t>ステータス：</t>
    <phoneticPr fontId="1"/>
  </si>
  <si>
    <t>～</t>
    <phoneticPr fontId="1"/>
  </si>
  <si>
    <t>申請者名▼</t>
    <phoneticPr fontId="1"/>
  </si>
  <si>
    <t>フリーワード：</t>
    <phoneticPr fontId="1"/>
  </si>
  <si>
    <t>ステータス</t>
    <phoneticPr fontId="1"/>
  </si>
  <si>
    <t>申請者名</t>
    <phoneticPr fontId="1"/>
  </si>
  <si>
    <t>メーカーCD</t>
    <phoneticPr fontId="1"/>
  </si>
  <si>
    <t>注文No.</t>
    <rPh sb="0" eb="2">
      <t>チュウモン</t>
    </rPh>
    <phoneticPr fontId="1"/>
  </si>
  <si>
    <t>依頼中</t>
    <rPh sb="0" eb="3">
      <t>イライチュウ</t>
    </rPh>
    <phoneticPr fontId="1"/>
  </si>
  <si>
    <t>入荷予定一覧表発行</t>
    <rPh sb="0" eb="2">
      <t>ニュウカ</t>
    </rPh>
    <rPh sb="2" eb="4">
      <t>ヨテイ</t>
    </rPh>
    <rPh sb="4" eb="6">
      <t>イチラン</t>
    </rPh>
    <rPh sb="6" eb="7">
      <t>ヒョウ</t>
    </rPh>
    <rPh sb="7" eb="9">
      <t>ハッコウ</t>
    </rPh>
    <phoneticPr fontId="1"/>
  </si>
  <si>
    <t>入荷予定一覧：</t>
    <rPh sb="0" eb="2">
      <t>ニュウカ</t>
    </rPh>
    <rPh sb="2" eb="4">
      <t>ヨテイ</t>
    </rPh>
    <rPh sb="4" eb="6">
      <t>イチラン</t>
    </rPh>
    <phoneticPr fontId="1"/>
  </si>
  <si>
    <t>未印刷</t>
    <rPh sb="0" eb="1">
      <t>ミ</t>
    </rPh>
    <rPh sb="1" eb="3">
      <t>インサツ</t>
    </rPh>
    <phoneticPr fontId="1"/>
  </si>
  <si>
    <t>印刷済</t>
    <rPh sb="0" eb="2">
      <t>インサツ</t>
    </rPh>
    <rPh sb="2" eb="3">
      <t>ズ</t>
    </rPh>
    <phoneticPr fontId="1"/>
  </si>
  <si>
    <t>印刷</t>
    <rPh sb="0" eb="2">
      <t>インサツ</t>
    </rPh>
    <phoneticPr fontId="1"/>
  </si>
  <si>
    <t>変更日時</t>
    <rPh sb="0" eb="2">
      <t>ヘンコウ</t>
    </rPh>
    <rPh sb="2" eb="4">
      <t>ニチジ</t>
    </rPh>
    <phoneticPr fontId="1"/>
  </si>
  <si>
    <t>変更者名</t>
    <rPh sb="0" eb="2">
      <t>ヘンコウ</t>
    </rPh>
    <rPh sb="2" eb="3">
      <t>シャ</t>
    </rPh>
    <rPh sb="3" eb="4">
      <t>メイ</t>
    </rPh>
    <phoneticPr fontId="1"/>
  </si>
  <si>
    <t>受入検収入力</t>
    <rPh sb="0" eb="2">
      <t>ウケイレ</t>
    </rPh>
    <rPh sb="2" eb="4">
      <t>ケンシュウ</t>
    </rPh>
    <rPh sb="4" eb="6">
      <t>ニュウリョク</t>
    </rPh>
    <phoneticPr fontId="1"/>
  </si>
  <si>
    <t>受入検収検索</t>
    <rPh sb="0" eb="2">
      <t>ウケイレ</t>
    </rPh>
    <rPh sb="2" eb="4">
      <t>ケンシュウ</t>
    </rPh>
    <rPh sb="4" eb="6">
      <t>ケンサク</t>
    </rPh>
    <phoneticPr fontId="1"/>
  </si>
  <si>
    <t>依頼No.▽</t>
    <rPh sb="0" eb="2">
      <t>イライ</t>
    </rPh>
    <phoneticPr fontId="1"/>
  </si>
  <si>
    <t>入出庫No.▽</t>
    <rPh sb="0" eb="3">
      <t>ニュウシュッコ</t>
    </rPh>
    <phoneticPr fontId="1"/>
  </si>
  <si>
    <t>未検収データのみ</t>
    <rPh sb="0" eb="3">
      <t>ミケンシュウ</t>
    </rPh>
    <phoneticPr fontId="1"/>
  </si>
  <si>
    <t>入庫数量</t>
    <rPh sb="0" eb="2">
      <t>ニュウコ</t>
    </rPh>
    <rPh sb="2" eb="4">
      <t>スウリョウ</t>
    </rPh>
    <phoneticPr fontId="1"/>
  </si>
  <si>
    <t>金額</t>
    <rPh sb="0" eb="2">
      <t>キンガク</t>
    </rPh>
    <phoneticPr fontId="1"/>
  </si>
  <si>
    <t>入出庫No.</t>
    <rPh sb="0" eb="3">
      <t>ニュウシュッコ</t>
    </rPh>
    <phoneticPr fontId="1"/>
  </si>
  <si>
    <t>検収確定</t>
    <rPh sb="0" eb="2">
      <t>ケンシュウ</t>
    </rPh>
    <rPh sb="2" eb="4">
      <t>カクテイ</t>
    </rPh>
    <phoneticPr fontId="1"/>
  </si>
  <si>
    <t>保管場所▼</t>
    <rPh sb="0" eb="2">
      <t>ホカン</t>
    </rPh>
    <rPh sb="2" eb="4">
      <t>バショ</t>
    </rPh>
    <phoneticPr fontId="1"/>
  </si>
  <si>
    <t>希望納期：</t>
    <rPh sb="0" eb="4">
      <t>キボウノウキ</t>
    </rPh>
    <phoneticPr fontId="1"/>
  </si>
  <si>
    <t>申請日：</t>
    <rPh sb="0" eb="2">
      <t>シンセイ</t>
    </rPh>
    <rPh sb="2" eb="3">
      <t>ビ</t>
    </rPh>
    <phoneticPr fontId="1"/>
  </si>
  <si>
    <t>購買品：</t>
    <rPh sb="0" eb="3">
      <t>コウバイヒン</t>
    </rPh>
    <phoneticPr fontId="1"/>
  </si>
  <si>
    <t>単価：</t>
    <rPh sb="0" eb="2">
      <t>タンカ</t>
    </rPh>
    <phoneticPr fontId="1"/>
  </si>
  <si>
    <t>入数：</t>
    <rPh sb="0" eb="2">
      <t>イリスウ</t>
    </rPh>
    <phoneticPr fontId="1"/>
  </si>
  <si>
    <t>注文総数：</t>
    <rPh sb="0" eb="2">
      <t>チュウモン</t>
    </rPh>
    <rPh sb="2" eb="4">
      <t>ソウスウ</t>
    </rPh>
    <phoneticPr fontId="1"/>
  </si>
  <si>
    <t>入庫数量：</t>
    <rPh sb="0" eb="2">
      <t>ニュウコ</t>
    </rPh>
    <rPh sb="2" eb="4">
      <t>スウリョウ</t>
    </rPh>
    <phoneticPr fontId="1"/>
  </si>
  <si>
    <t>入数単位：</t>
    <rPh sb="0" eb="2">
      <t>イリスウ</t>
    </rPh>
    <rPh sb="2" eb="4">
      <t>タンイ</t>
    </rPh>
    <phoneticPr fontId="1"/>
  </si>
  <si>
    <t>金額：</t>
    <rPh sb="0" eb="2">
      <t>キンガク</t>
    </rPh>
    <phoneticPr fontId="1"/>
  </si>
  <si>
    <t>バラ単位：</t>
    <rPh sb="2" eb="4">
      <t>タンイ</t>
    </rPh>
    <phoneticPr fontId="1"/>
  </si>
  <si>
    <t>仕入先：</t>
    <rPh sb="0" eb="2">
      <t>シイレ</t>
    </rPh>
    <rPh sb="2" eb="3">
      <t>サキ</t>
    </rPh>
    <phoneticPr fontId="1"/>
  </si>
  <si>
    <t>備考：</t>
    <rPh sb="0" eb="2">
      <t>ビコウ</t>
    </rPh>
    <phoneticPr fontId="1"/>
  </si>
  <si>
    <t>検索条件</t>
    <rPh sb="0" eb="4">
      <t>ケンサクジョウケン</t>
    </rPh>
    <phoneticPr fontId="1"/>
  </si>
  <si>
    <t>保存値</t>
    <rPh sb="0" eb="2">
      <t>ホゾン</t>
    </rPh>
    <rPh sb="2" eb="3">
      <t>チ</t>
    </rPh>
    <phoneticPr fontId="1"/>
  </si>
  <si>
    <t>保存値セルのセル名</t>
    <rPh sb="0" eb="2">
      <t>ホゾン</t>
    </rPh>
    <rPh sb="2" eb="3">
      <t>チ</t>
    </rPh>
    <rPh sb="8" eb="9">
      <t>メイ</t>
    </rPh>
    <phoneticPr fontId="1"/>
  </si>
  <si>
    <t>フリーワード３</t>
  </si>
  <si>
    <t>非表示行指定</t>
    <rPh sb="0" eb="3">
      <t>ヒヒョウジ</t>
    </rPh>
    <rPh sb="3" eb="4">
      <t>ギョウ</t>
    </rPh>
    <rPh sb="4" eb="6">
      <t>シテイ</t>
    </rPh>
    <phoneticPr fontId="1"/>
  </si>
  <si>
    <t>非表示列指定</t>
    <rPh sb="0" eb="3">
      <t>ヒヒョウジ</t>
    </rPh>
    <rPh sb="3" eb="4">
      <t>レツ</t>
    </rPh>
    <rPh sb="4" eb="6">
      <t>シテイ</t>
    </rPh>
    <phoneticPr fontId="1"/>
  </si>
  <si>
    <t>その他設定項目</t>
    <rPh sb="2" eb="3">
      <t>タ</t>
    </rPh>
    <rPh sb="3" eb="7">
      <t>セッテイコウモク</t>
    </rPh>
    <phoneticPr fontId="1"/>
  </si>
  <si>
    <t>設定値</t>
    <rPh sb="0" eb="3">
      <t>セッテイチ</t>
    </rPh>
    <phoneticPr fontId="1"/>
  </si>
  <si>
    <t>セル名</t>
    <phoneticPr fontId="1"/>
  </si>
  <si>
    <t>フリーワード区分</t>
    <rPh sb="6" eb="8">
      <t>クブン</t>
    </rPh>
    <phoneticPr fontId="1"/>
  </si>
  <si>
    <t>UNKB0010_H_JURI_NO_S</t>
  </si>
  <si>
    <t>UNKB0010_H_FREEWD_KBN</t>
  </si>
  <si>
    <t>外注手配</t>
    <rPh sb="0" eb="2">
      <t>ガイチュウ</t>
    </rPh>
    <rPh sb="2" eb="4">
      <t>テハイ</t>
    </rPh>
    <phoneticPr fontId="1"/>
  </si>
  <si>
    <t>修繕定期点検</t>
    <rPh sb="0" eb="2">
      <t>シュウゼン</t>
    </rPh>
    <rPh sb="2" eb="4">
      <t>テイキ</t>
    </rPh>
    <rPh sb="4" eb="6">
      <t>テンケン</t>
    </rPh>
    <phoneticPr fontId="1"/>
  </si>
  <si>
    <t>購買品</t>
    <rPh sb="0" eb="3">
      <t>コウバイヒン</t>
    </rPh>
    <phoneticPr fontId="1"/>
  </si>
  <si>
    <t>投資</t>
    <rPh sb="0" eb="2">
      <t>トウシ</t>
    </rPh>
    <phoneticPr fontId="1"/>
  </si>
  <si>
    <t>販売商品</t>
    <rPh sb="0" eb="2">
      <t>ハンバイ</t>
    </rPh>
    <rPh sb="2" eb="4">
      <t>ショウヒン</t>
    </rPh>
    <phoneticPr fontId="1"/>
  </si>
  <si>
    <t>グループ</t>
    <phoneticPr fontId="1"/>
  </si>
  <si>
    <t>購買区分</t>
    <rPh sb="0" eb="2">
      <t>コウバイ</t>
    </rPh>
    <rPh sb="2" eb="4">
      <t>クブン</t>
    </rPh>
    <phoneticPr fontId="1"/>
  </si>
  <si>
    <t>未承認</t>
    <rPh sb="0" eb="3">
      <t>ミショウニン</t>
    </rPh>
    <phoneticPr fontId="1"/>
  </si>
  <si>
    <t>依頼中</t>
    <rPh sb="0" eb="3">
      <t>イライチュウ</t>
    </rPh>
    <phoneticPr fontId="1"/>
  </si>
  <si>
    <t>注文書発行済</t>
    <rPh sb="0" eb="3">
      <t>チュウモンショ</t>
    </rPh>
    <rPh sb="3" eb="5">
      <t>ハッコウ</t>
    </rPh>
    <rPh sb="5" eb="6">
      <t>ス</t>
    </rPh>
    <phoneticPr fontId="1"/>
  </si>
  <si>
    <t>一部入荷済</t>
    <rPh sb="0" eb="2">
      <t>イチブ</t>
    </rPh>
    <rPh sb="2" eb="4">
      <t>ニュウカ</t>
    </rPh>
    <rPh sb="4" eb="5">
      <t>ス</t>
    </rPh>
    <phoneticPr fontId="1"/>
  </si>
  <si>
    <t>入荷完了</t>
    <rPh sb="0" eb="2">
      <t>ニュウカ</t>
    </rPh>
    <rPh sb="2" eb="4">
      <t>カンリョウ</t>
    </rPh>
    <phoneticPr fontId="1"/>
  </si>
  <si>
    <t>検収済</t>
    <rPh sb="0" eb="2">
      <t>ケンシュウ</t>
    </rPh>
    <rPh sb="2" eb="3">
      <t>ズ</t>
    </rPh>
    <phoneticPr fontId="1"/>
  </si>
  <si>
    <t>ステータス</t>
    <phoneticPr fontId="1"/>
  </si>
  <si>
    <t>-</t>
    <phoneticPr fontId="1"/>
  </si>
  <si>
    <t>UNKB0010_H_KOBAIHIN_KBN</t>
  </si>
  <si>
    <t>UNKB0010_H_GAICHU_KBN</t>
  </si>
  <si>
    <t>UNKB0010_H_SHUZEN_KBN</t>
  </si>
  <si>
    <t>UNKB0010_H_TOSHI_KBN</t>
  </si>
  <si>
    <t>UNKB0010_H_HANBAI_KBN</t>
  </si>
  <si>
    <t>UNKB0010_H_MISHONIN_STS</t>
  </si>
  <si>
    <t>UNKB0010_H_IRAICHU_STS</t>
  </si>
  <si>
    <t>UNKB0010_H_CHUMONSHO_STS</t>
  </si>
  <si>
    <t>UNKB0010_H_ICHIBU_STS</t>
  </si>
  <si>
    <t>UNKB0010_H_NYUKA_STS</t>
  </si>
  <si>
    <t>UNKB0010_H_KENSHU_STS</t>
  </si>
  <si>
    <t>UNKB0010_H_SHINSEISHA_CD</t>
    <phoneticPr fontId="1"/>
  </si>
  <si>
    <t>UNKB0010_H_KOBAIHIN_MEI</t>
    <phoneticPr fontId="1"/>
  </si>
  <si>
    <t>UNKB0010_H_SHIIRE_MEI</t>
    <phoneticPr fontId="1"/>
  </si>
  <si>
    <t>UNKB0010_H_MAKER_MEI</t>
    <phoneticPr fontId="1"/>
  </si>
  <si>
    <t>UNKB0010_H_HIDE_ROW</t>
    <phoneticPr fontId="1"/>
  </si>
  <si>
    <t>UNKB0010_H_HIDE_COLUMN</t>
    <phoneticPr fontId="1"/>
  </si>
  <si>
    <t>※検索ボタン押すと条件が保持される</t>
    <rPh sb="1" eb="3">
      <t>ケンサク</t>
    </rPh>
    <rPh sb="6" eb="7">
      <t>オ</t>
    </rPh>
    <rPh sb="9" eb="11">
      <t>ジョウケン</t>
    </rPh>
    <rPh sb="12" eb="14">
      <t>ホジ</t>
    </rPh>
    <phoneticPr fontId="1"/>
  </si>
  <si>
    <t>申請日・スタート</t>
  </si>
  <si>
    <t>申請日・スタート</t>
    <phoneticPr fontId="1"/>
  </si>
  <si>
    <t>申請日・エンド</t>
  </si>
  <si>
    <t>申請日・エンド</t>
    <phoneticPr fontId="1"/>
  </si>
  <si>
    <t>希望納期・スタート</t>
    <rPh sb="0" eb="2">
      <t>キボウ</t>
    </rPh>
    <rPh sb="2" eb="4">
      <t>ノウキ</t>
    </rPh>
    <phoneticPr fontId="1"/>
  </si>
  <si>
    <t>希望納期・エンド</t>
    <rPh sb="0" eb="2">
      <t>キボウ</t>
    </rPh>
    <rPh sb="2" eb="4">
      <t>ノウキ</t>
    </rPh>
    <phoneticPr fontId="1"/>
  </si>
  <si>
    <t>受入日・スタート</t>
    <rPh sb="0" eb="3">
      <t>ウケイレビ</t>
    </rPh>
    <phoneticPr fontId="1"/>
  </si>
  <si>
    <t>受入日・エンド</t>
    <rPh sb="0" eb="3">
      <t>ウケイレビ</t>
    </rPh>
    <phoneticPr fontId="1"/>
  </si>
  <si>
    <t>検収日・スタート</t>
    <rPh sb="0" eb="2">
      <t>ケンシュウ</t>
    </rPh>
    <rPh sb="2" eb="3">
      <t>ビ</t>
    </rPh>
    <phoneticPr fontId="1"/>
  </si>
  <si>
    <t>検収日・エンド</t>
    <rPh sb="0" eb="2">
      <t>ケンシュウ</t>
    </rPh>
    <rPh sb="2" eb="3">
      <t>ビ</t>
    </rPh>
    <phoneticPr fontId="1"/>
  </si>
  <si>
    <t>購買品No.</t>
    <rPh sb="0" eb="3">
      <t>コウバイヒン</t>
    </rPh>
    <phoneticPr fontId="1"/>
  </si>
  <si>
    <t>申請者名</t>
    <rPh sb="0" eb="2">
      <t>シンセイ</t>
    </rPh>
    <rPh sb="2" eb="3">
      <t>シャ</t>
    </rPh>
    <rPh sb="3" eb="4">
      <t>メイ</t>
    </rPh>
    <phoneticPr fontId="1"/>
  </si>
  <si>
    <t>受理No.</t>
    <rPh sb="0" eb="2">
      <t>ジュリ</t>
    </rPh>
    <phoneticPr fontId="1"/>
  </si>
  <si>
    <t>予算コード</t>
    <rPh sb="0" eb="2">
      <t>ヨサン</t>
    </rPh>
    <phoneticPr fontId="1"/>
  </si>
  <si>
    <t>UNKB0010_H_YOSAN_MEI</t>
    <phoneticPr fontId="1"/>
  </si>
  <si>
    <t>予算名</t>
    <rPh sb="0" eb="2">
      <t>ヨサン</t>
    </rPh>
    <rPh sb="2" eb="3">
      <t>メイ</t>
    </rPh>
    <phoneticPr fontId="1"/>
  </si>
  <si>
    <t>購買品CD</t>
    <rPh sb="0" eb="2">
      <t>コウバイ</t>
    </rPh>
    <rPh sb="2" eb="3">
      <t>シナ</t>
    </rPh>
    <phoneticPr fontId="1"/>
  </si>
  <si>
    <t>UNKB0010_H_KOBAIHIN_KBN_S</t>
  </si>
  <si>
    <t>UNKB0010_H_SHUZEN_KBN_S</t>
  </si>
  <si>
    <t>UNKB0010_H_TOSHI_KBN_S</t>
  </si>
  <si>
    <t>UNKB0010_H_HANBAI_KBN_S</t>
  </si>
  <si>
    <t>UNKB0010_H_MISHONIN_STS_S</t>
  </si>
  <si>
    <t>UNKB0010_H_IRAICHU_STS_S</t>
  </si>
  <si>
    <t>UNKB0010_H_CHUMONSHO_STS_S</t>
  </si>
  <si>
    <t>UNKB0010_H_ICHIBU_STS_S</t>
  </si>
  <si>
    <t>UNKB0010_H_NYUKA_STS_S</t>
  </si>
  <si>
    <t>UNKB0010_H_KENSHU_STS_S</t>
  </si>
  <si>
    <t>UNKB0010_H_SHINSEI_DATE_START_S</t>
  </si>
  <si>
    <t>UNKB0010_H_SHINSEI_DATE_END_S</t>
  </si>
  <si>
    <t>UNKB0010_H_NOKI_START_S</t>
  </si>
  <si>
    <t>UNKB0010_H_NOKI_END_S</t>
  </si>
  <si>
    <t>UNKB0010_H_UKEIRE_DATE_START_S</t>
  </si>
  <si>
    <t>UNKB0010_H_UKEIRE_DATE_END_S</t>
  </si>
  <si>
    <t>UNKB0010_H_KENSHU_DATE_START_S</t>
  </si>
  <si>
    <t>UNKB0010_H_KENSHU_DATE_END_S</t>
  </si>
  <si>
    <t>UNKB0010_H_KOBAI_NO_S</t>
  </si>
  <si>
    <t>UNKB0010_H_SHINSEISHA_CD_S</t>
  </si>
  <si>
    <t>UNKB0010_H_SHINSEISHA_MEI_S</t>
  </si>
  <si>
    <t>UNKB0010_H_YOSAN_CD_S</t>
  </si>
  <si>
    <t>UNKB0010_H_YOSAN_MEI_S</t>
  </si>
  <si>
    <t>UNKB0010_H_KOBAIHIN_CD_S</t>
  </si>
  <si>
    <t>UNKB0010_H_KOBAIHIN_MEI_S</t>
  </si>
  <si>
    <t>UNKB0010_H_SHIIRE_CD_S</t>
  </si>
  <si>
    <t>UNKB0010_H_SHIIRE_MEI_S</t>
  </si>
  <si>
    <t>UNKB0010_H_MAKER_CD_S</t>
  </si>
  <si>
    <t>UNKB0010_H_MAKER_MEI_S</t>
  </si>
  <si>
    <t>フリーワード１</t>
    <phoneticPr fontId="1"/>
  </si>
  <si>
    <t>フリーワード２</t>
  </si>
  <si>
    <t>UNKB0010_H_FREEWD_1_S</t>
    <phoneticPr fontId="1"/>
  </si>
  <si>
    <t>UNKB0010_H_FREEWD_2_S</t>
    <phoneticPr fontId="1"/>
  </si>
  <si>
    <t>UNKB0010_H_FREEWD_3_S</t>
    <phoneticPr fontId="1"/>
  </si>
  <si>
    <t>UNKB0010_H_FREEWD_KBN_S</t>
    <phoneticPr fontId="1"/>
  </si>
  <si>
    <t>WHERE</t>
    <phoneticPr fontId="1"/>
  </si>
  <si>
    <t>フリーワード１</t>
  </si>
  <si>
    <t>フリーワード</t>
    <phoneticPr fontId="1"/>
  </si>
  <si>
    <t>UNKB0010_H_GAICHU_KBN_S</t>
    <phoneticPr fontId="1"/>
  </si>
  <si>
    <t>削除済フラグ</t>
    <rPh sb="0" eb="2">
      <t>サクジョ</t>
    </rPh>
    <rPh sb="2" eb="3">
      <t>ス</t>
    </rPh>
    <phoneticPr fontId="1"/>
  </si>
  <si>
    <t>UNKB0010_H_DEL_FLG</t>
    <phoneticPr fontId="1"/>
  </si>
  <si>
    <t>削除済も表示</t>
  </si>
  <si>
    <t>UNKB0010_H_DEL_FLG_S</t>
    <phoneticPr fontId="1"/>
  </si>
  <si>
    <t>削除済フラグ</t>
    <rPh sb="0" eb="2">
      <t>サクジョ</t>
    </rPh>
    <rPh sb="2" eb="3">
      <t>ス</t>
    </rPh>
    <phoneticPr fontId="1"/>
  </si>
  <si>
    <t>UNKB0010_B_HIDE_ROW</t>
    <phoneticPr fontId="1"/>
  </si>
  <si>
    <t>UNKB0010_B_HIDE_COLUMN</t>
    <phoneticPr fontId="1"/>
  </si>
  <si>
    <t>申請者名</t>
  </si>
  <si>
    <t>FROM</t>
    <phoneticPr fontId="1"/>
  </si>
  <si>
    <t>SELECT</t>
    <phoneticPr fontId="1"/>
  </si>
  <si>
    <t>ORDER BY</t>
    <phoneticPr fontId="1"/>
  </si>
  <si>
    <t>PAGE</t>
    <phoneticPr fontId="1"/>
  </si>
  <si>
    <t>検索結果取得SQL</t>
    <rPh sb="0" eb="2">
      <t>ケンサク</t>
    </rPh>
    <rPh sb="2" eb="4">
      <t>ケッカ</t>
    </rPh>
    <rPh sb="4" eb="6">
      <t>シュトク</t>
    </rPh>
    <phoneticPr fontId="1"/>
  </si>
  <si>
    <t>UNKB0010_SQL_SEARCH_LIST</t>
    <phoneticPr fontId="1"/>
  </si>
  <si>
    <t>UNKB0010_SQL_SORT</t>
    <phoneticPr fontId="1"/>
  </si>
  <si>
    <t>Excel用データ取得SQL</t>
    <rPh sb="5" eb="6">
      <t>ヨウ</t>
    </rPh>
    <rPh sb="9" eb="11">
      <t>シュトク</t>
    </rPh>
    <phoneticPr fontId="1"/>
  </si>
  <si>
    <t>UNKB0010_SQL_EXCEL_LIST</t>
    <phoneticPr fontId="1"/>
  </si>
  <si>
    <t>共通項目</t>
    <rPh sb="0" eb="2">
      <t>キョウツウ</t>
    </rPh>
    <rPh sb="2" eb="4">
      <t>コウモク</t>
    </rPh>
    <phoneticPr fontId="1"/>
  </si>
  <si>
    <t>UNKB0010_SQL_DEFAULT_SORT</t>
    <phoneticPr fontId="1"/>
  </si>
  <si>
    <t>購買区分</t>
    <rPh sb="0" eb="2">
      <t>コウバイ</t>
    </rPh>
    <rPh sb="2" eb="4">
      <t>クブン</t>
    </rPh>
    <phoneticPr fontId="1"/>
  </si>
  <si>
    <t>購買ステータスCD</t>
    <rPh sb="0" eb="2">
      <t>コウバイ</t>
    </rPh>
    <phoneticPr fontId="1"/>
  </si>
  <si>
    <t>申請者CD</t>
    <rPh sb="0" eb="2">
      <t>シンセイ</t>
    </rPh>
    <rPh sb="2" eb="3">
      <t>シャ</t>
    </rPh>
    <phoneticPr fontId="1"/>
  </si>
  <si>
    <t>削除フラグ</t>
    <rPh sb="0" eb="2">
      <t>サクジョ</t>
    </rPh>
    <phoneticPr fontId="1"/>
  </si>
  <si>
    <t>フリーワード</t>
    <phoneticPr fontId="1"/>
  </si>
  <si>
    <t>購買申請SEQ</t>
    <rPh sb="0" eb="2">
      <t>コウバイ</t>
    </rPh>
    <rPh sb="2" eb="4">
      <t>シンセイ</t>
    </rPh>
    <phoneticPr fontId="1"/>
  </si>
  <si>
    <t>申請日時</t>
    <rPh sb="0" eb="2">
      <t>シンセイ</t>
    </rPh>
    <rPh sb="2" eb="3">
      <t>ビ</t>
    </rPh>
    <rPh sb="3" eb="4">
      <t>ジ</t>
    </rPh>
    <phoneticPr fontId="1"/>
  </si>
  <si>
    <t>全件数</t>
    <rPh sb="0" eb="2">
      <t>ゼンケン</t>
    </rPh>
    <rPh sb="2" eb="3">
      <t>スウ</t>
    </rPh>
    <phoneticPr fontId="1"/>
  </si>
  <si>
    <t>ページ番号</t>
    <rPh sb="3" eb="5">
      <t>バンゴウ</t>
    </rPh>
    <phoneticPr fontId="1"/>
  </si>
  <si>
    <t>総ページ数</t>
    <rPh sb="0" eb="1">
      <t>ソウ</t>
    </rPh>
    <rPh sb="4" eb="5">
      <t>スウ</t>
    </rPh>
    <phoneticPr fontId="1"/>
  </si>
  <si>
    <t>表示件数</t>
    <rPh sb="0" eb="2">
      <t>ヒョウジ</t>
    </rPh>
    <rPh sb="2" eb="4">
      <t>ケンスウ</t>
    </rPh>
    <phoneticPr fontId="1"/>
  </si>
  <si>
    <t>表示行数定義</t>
    <rPh sb="0" eb="2">
      <t>ヒョウジ</t>
    </rPh>
    <rPh sb="2" eb="4">
      <t>ギョウスウ</t>
    </rPh>
    <rPh sb="4" eb="6">
      <t>テイギ</t>
    </rPh>
    <phoneticPr fontId="1"/>
  </si>
  <si>
    <t>リスト展開終了位置</t>
    <rPh sb="3" eb="5">
      <t>テンカイ</t>
    </rPh>
    <rPh sb="5" eb="7">
      <t>シュウリョウ</t>
    </rPh>
    <rPh sb="7" eb="9">
      <t>イチ</t>
    </rPh>
    <phoneticPr fontId="1"/>
  </si>
  <si>
    <t>リスト書式コピー先</t>
    <rPh sb="3" eb="5">
      <t>ショシキ</t>
    </rPh>
    <rPh sb="8" eb="9">
      <t>サキ</t>
    </rPh>
    <phoneticPr fontId="1"/>
  </si>
  <si>
    <t>リストクリア範囲</t>
    <rPh sb="6" eb="8">
      <t>ハンイ</t>
    </rPh>
    <phoneticPr fontId="1"/>
  </si>
  <si>
    <t>次ページ番号</t>
    <rPh sb="0" eb="1">
      <t>ツギ</t>
    </rPh>
    <rPh sb="4" eb="6">
      <t>バンゴウ</t>
    </rPh>
    <phoneticPr fontId="1"/>
  </si>
  <si>
    <t>前ページ番号</t>
    <rPh sb="0" eb="1">
      <t>マエ</t>
    </rPh>
    <rPh sb="4" eb="6">
      <t>バンゴウ</t>
    </rPh>
    <phoneticPr fontId="1"/>
  </si>
  <si>
    <t>前ページ判断</t>
    <rPh sb="0" eb="1">
      <t>マエ</t>
    </rPh>
    <rPh sb="4" eb="6">
      <t>ハンダン</t>
    </rPh>
    <phoneticPr fontId="1"/>
  </si>
  <si>
    <t>次ページ判断</t>
    <rPh sb="0" eb="1">
      <t>ツギ</t>
    </rPh>
    <rPh sb="4" eb="6">
      <t>ハンダン</t>
    </rPh>
    <phoneticPr fontId="1"/>
  </si>
  <si>
    <t>UNKB0010_B_ALL_KENSU</t>
    <phoneticPr fontId="1"/>
  </si>
  <si>
    <t>UNKB0010_B_PAGE_NO</t>
    <phoneticPr fontId="1"/>
  </si>
  <si>
    <t>UNKB0010_B_LIST_START</t>
    <phoneticPr fontId="1"/>
  </si>
  <si>
    <t>UNKB0010_B_LIST_END</t>
    <phoneticPr fontId="1"/>
  </si>
  <si>
    <t>リスト書式コピーフラグ</t>
    <phoneticPr fontId="1"/>
  </si>
  <si>
    <t>UNKB0010_B_LIST_COPY_FLAG</t>
    <phoneticPr fontId="1"/>
  </si>
  <si>
    <t>UNKB0010_B_LIST_COPY_SAKI</t>
    <phoneticPr fontId="1"/>
  </si>
  <si>
    <t>UNKB0010_B_LIST_CLEAR</t>
    <phoneticPr fontId="1"/>
  </si>
  <si>
    <t>UNKB0010_B_ALL_PAGE_SU</t>
    <phoneticPr fontId="1"/>
  </si>
  <si>
    <t>UNKB0010_B_HYOJI_KENSU</t>
    <phoneticPr fontId="1"/>
  </si>
  <si>
    <t>UNKB0010_B_HYOJI_GYO_SU</t>
    <phoneticPr fontId="1"/>
  </si>
  <si>
    <t>UNKB0010_B_NEXT_PAGE_NO</t>
    <phoneticPr fontId="1"/>
  </si>
  <si>
    <t>UNKB0010_B_BACK_PAGE_NO</t>
    <phoneticPr fontId="1"/>
  </si>
  <si>
    <t>UNKB0010_B_BACK_PAGE</t>
    <phoneticPr fontId="1"/>
  </si>
  <si>
    <t>UNKB0010_B_NEXT_PAGE</t>
    <phoneticPr fontId="1"/>
  </si>
  <si>
    <t>【処理用判定】</t>
    <rPh sb="1" eb="3">
      <t>ショリ</t>
    </rPh>
    <rPh sb="3" eb="4">
      <t>ヨウ</t>
    </rPh>
    <rPh sb="4" eb="6">
      <t>ハンテイ</t>
    </rPh>
    <phoneticPr fontId="1"/>
  </si>
  <si>
    <t>【初期化用】</t>
    <rPh sb="1" eb="4">
      <t>ショキカ</t>
    </rPh>
    <rPh sb="4" eb="5">
      <t>ヨウ</t>
    </rPh>
    <phoneticPr fontId="1"/>
  </si>
  <si>
    <t>フリーワード</t>
  </si>
  <si>
    <t>リスト初期書式コピー元範囲</t>
    <rPh sb="3" eb="5">
      <t>ショキ</t>
    </rPh>
    <rPh sb="5" eb="7">
      <t>ショシキ</t>
    </rPh>
    <rPh sb="10" eb="11">
      <t>モト</t>
    </rPh>
    <rPh sb="11" eb="13">
      <t>ハンイ</t>
    </rPh>
    <phoneticPr fontId="1"/>
  </si>
  <si>
    <t>リスト書式コピー元範囲</t>
    <rPh sb="3" eb="5">
      <t>ショシキ</t>
    </rPh>
    <rPh sb="8" eb="9">
      <t>モト</t>
    </rPh>
    <rPh sb="9" eb="11">
      <t>ハンイ</t>
    </rPh>
    <phoneticPr fontId="1"/>
  </si>
  <si>
    <t>＞</t>
  </si>
  <si>
    <t>モード</t>
  </si>
  <si>
    <t>UNKB0010_IF_LIST_COPY_MOTO</t>
  </si>
  <si>
    <t>UNKB0010_IF_LIST_DEFAULT</t>
    <phoneticPr fontId="1"/>
  </si>
  <si>
    <t>UNKB0010_IF_W_USER_ID</t>
    <phoneticPr fontId="1"/>
  </si>
  <si>
    <t>UNKB0010_IF_W_SERIAL</t>
    <phoneticPr fontId="1"/>
  </si>
  <si>
    <t>UNKB0010_IF_W_SERIAL_CREATE</t>
    <phoneticPr fontId="1"/>
  </si>
  <si>
    <t>UNKB0010_IF_ACTIVE_SHEET</t>
    <phoneticPr fontId="1"/>
  </si>
  <si>
    <t>UNKB0010_IF_ACTIVE_ROW</t>
    <phoneticPr fontId="1"/>
  </si>
  <si>
    <t>UNKB0010_IF_ACTIVE_COLUMN</t>
    <phoneticPr fontId="1"/>
  </si>
  <si>
    <t>【コピー元書式】</t>
    <rPh sb="4" eb="5">
      <t>モト</t>
    </rPh>
    <rPh sb="5" eb="7">
      <t>ショシキ</t>
    </rPh>
    <phoneticPr fontId="1"/>
  </si>
  <si>
    <t>削除済も表示</t>
    <phoneticPr fontId="1"/>
  </si>
  <si>
    <t>UNKB0010_IF_INIT_HEADER_COPY_MOTO</t>
    <phoneticPr fontId="1"/>
  </si>
  <si>
    <t>フリーワード検索条件</t>
    <rPh sb="6" eb="8">
      <t>ケンサク</t>
    </rPh>
    <rPh sb="8" eb="10">
      <t>ジョウケン</t>
    </rPh>
    <phoneticPr fontId="1"/>
  </si>
  <si>
    <t>【フラグデータ初期化用】</t>
    <rPh sb="7" eb="10">
      <t>ショキカ</t>
    </rPh>
    <rPh sb="10" eb="11">
      <t>ヨウ</t>
    </rPh>
    <phoneticPr fontId="1"/>
  </si>
  <si>
    <t>UNKB0010_IF_INIT_HEADER_FLG_COPY_MOTO</t>
    <phoneticPr fontId="1"/>
  </si>
  <si>
    <t>UNKB0010_IF_DATA_SEARCH_FLG</t>
    <phoneticPr fontId="1"/>
  </si>
  <si>
    <t>UNKB0010_IF_MODE</t>
    <phoneticPr fontId="1"/>
  </si>
  <si>
    <t>申請者名▼</t>
    <phoneticPr fontId="1"/>
  </si>
  <si>
    <t>カウントSQL</t>
    <phoneticPr fontId="1"/>
  </si>
  <si>
    <t>UNKB0010_SQL_SEARCH_LIST_CNT</t>
    <phoneticPr fontId="1"/>
  </si>
  <si>
    <t>並び替えSQL</t>
    <rPh sb="0" eb="1">
      <t>ナラ</t>
    </rPh>
    <rPh sb="2" eb="3">
      <t>カ</t>
    </rPh>
    <phoneticPr fontId="1"/>
  </si>
  <si>
    <t>UNKB0010_SQL_SORT_BY</t>
    <phoneticPr fontId="1"/>
  </si>
  <si>
    <t>UNKB0010_B_SCROLL_LOCK</t>
    <phoneticPr fontId="1"/>
  </si>
  <si>
    <t>UNKB0010_IF_ACTIVE_CELL_NAME</t>
    <phoneticPr fontId="1"/>
  </si>
  <si>
    <t>【Excel保存用】</t>
    <rPh sb="6" eb="8">
      <t>ホゾン</t>
    </rPh>
    <rPh sb="8" eb="9">
      <t>ヨウ</t>
    </rPh>
    <phoneticPr fontId="1"/>
  </si>
  <si>
    <t>Excel出力用書式コピー元</t>
    <rPh sb="5" eb="7">
      <t>シュツリョク</t>
    </rPh>
    <rPh sb="7" eb="8">
      <t>ヨウ</t>
    </rPh>
    <rPh sb="8" eb="10">
      <t>ショシキ</t>
    </rPh>
    <rPh sb="13" eb="14">
      <t>モト</t>
    </rPh>
    <phoneticPr fontId="1"/>
  </si>
  <si>
    <t>検索件数</t>
    <rPh sb="0" eb="2">
      <t>ケンサク</t>
    </rPh>
    <rPh sb="2" eb="4">
      <t>ケンスウ</t>
    </rPh>
    <phoneticPr fontId="1"/>
  </si>
  <si>
    <t>保存ファイル名</t>
    <rPh sb="0" eb="2">
      <t>ホゾン</t>
    </rPh>
    <rPh sb="6" eb="7">
      <t>メイ</t>
    </rPh>
    <phoneticPr fontId="1"/>
  </si>
  <si>
    <t>UNKB0010_IF_EXCEL_FILE_NAME</t>
    <phoneticPr fontId="1"/>
  </si>
  <si>
    <t>UNKB0010_IF_PRINT_SHOSHIKI_COPY_SAKI</t>
    <phoneticPr fontId="1"/>
  </si>
  <si>
    <t>UNKB0010_IF_PRINT_COUNT</t>
    <phoneticPr fontId="1"/>
  </si>
  <si>
    <t>申請者CD</t>
    <rPh sb="0" eb="3">
      <t>シンセイシャ</t>
    </rPh>
    <phoneticPr fontId="1"/>
  </si>
  <si>
    <t>購買区分</t>
    <phoneticPr fontId="1"/>
  </si>
  <si>
    <t>UNKB0010_IF_PRINT_SHOSHIKI_COPY_MOTO</t>
    <phoneticPr fontId="1"/>
  </si>
  <si>
    <t>購買ステータス</t>
    <rPh sb="0" eb="2">
      <t>コウバイ</t>
    </rPh>
    <phoneticPr fontId="1"/>
  </si>
  <si>
    <t xml:space="preserve">SELECT *
</t>
    <phoneticPr fontId="1"/>
  </si>
  <si>
    <t xml:space="preserve">SELECT COUNT(*) AS CNT
</t>
    <phoneticPr fontId="1"/>
  </si>
  <si>
    <t xml:space="preserve"> FROM V_KOBAI_KENSAKU_LIST
</t>
    <phoneticPr fontId="1"/>
  </si>
  <si>
    <t xml:space="preserve"> ORDER BY V_KOBAI_KENSAKU_LIST.JURI_NO ASC
</t>
    <phoneticPr fontId="1"/>
  </si>
  <si>
    <t>書式コピーフラグ</t>
    <rPh sb="0" eb="2">
      <t>ショシキ</t>
    </rPh>
    <phoneticPr fontId="1"/>
  </si>
  <si>
    <t>UNKB0010_IF_PRINT_SHOSHIKI_COPY_FLAG</t>
    <phoneticPr fontId="1"/>
  </si>
  <si>
    <t>UNKB0040_H_KOBAIHIN_KBN</t>
    <phoneticPr fontId="1"/>
  </si>
  <si>
    <t>UNKB0040_H_GAICHU_KBN</t>
    <phoneticPr fontId="1"/>
  </si>
  <si>
    <t>UNKB0040_H_SHUZEN_KBN</t>
    <phoneticPr fontId="1"/>
  </si>
  <si>
    <t>UNKB0040_H_TOSHI_KBN</t>
    <phoneticPr fontId="1"/>
  </si>
  <si>
    <t>UNKB0040_H_HANBAI_KBN</t>
    <phoneticPr fontId="1"/>
  </si>
  <si>
    <t>UNKB0040_H_IRAICHU_STS</t>
    <phoneticPr fontId="1"/>
  </si>
  <si>
    <t>UNKB0040_H_CHUMONSHO_STS</t>
    <phoneticPr fontId="1"/>
  </si>
  <si>
    <t>UNKB0040_H_ICHIBU_STS</t>
    <phoneticPr fontId="1"/>
  </si>
  <si>
    <t>UNKB0040_H_NYUKA_STS</t>
    <phoneticPr fontId="1"/>
  </si>
  <si>
    <t>UNKB0040_H_KENSHU_STS</t>
    <phoneticPr fontId="1"/>
  </si>
  <si>
    <t>UNKB0040_H_SHINSEISHA_CD</t>
    <phoneticPr fontId="1"/>
  </si>
  <si>
    <t>UNKB0040_H_YOSAN_MEI</t>
    <phoneticPr fontId="1"/>
  </si>
  <si>
    <t>UNKB0040_H_KOBAIHIN_MEI</t>
    <phoneticPr fontId="1"/>
  </si>
  <si>
    <t>UNKB0040_H_SHIIRE_MEI</t>
    <phoneticPr fontId="1"/>
  </si>
  <si>
    <t>UNKB0040_H_MAKER_MEI</t>
    <phoneticPr fontId="1"/>
  </si>
  <si>
    <t>UNKB0040_H_FREEWD_KBN</t>
    <phoneticPr fontId="1"/>
  </si>
  <si>
    <t>UNKB0040_H_KOBAIHIN_KBN_S</t>
    <phoneticPr fontId="1"/>
  </si>
  <si>
    <t>UNKB0040_H_GAICHU_KBN_S</t>
    <phoneticPr fontId="1"/>
  </si>
  <si>
    <t>UNKB0040_H_SHUZEN_KBN_S</t>
    <phoneticPr fontId="1"/>
  </si>
  <si>
    <t>UNKB0040_H_TOSHI_KBN_S</t>
    <phoneticPr fontId="1"/>
  </si>
  <si>
    <t>UNKB0040_H_HANBAI_KBN_S</t>
    <phoneticPr fontId="1"/>
  </si>
  <si>
    <t>UNKB0040_H_MISHONIN_STS_S</t>
    <phoneticPr fontId="1"/>
  </si>
  <si>
    <t>UNKB0040_H_IRAICHU_STS_S</t>
    <phoneticPr fontId="1"/>
  </si>
  <si>
    <t>UNKB0040_H_CHUMONSHO_STS_S</t>
    <phoneticPr fontId="1"/>
  </si>
  <si>
    <t>UNKB0040_H_ICHIBU_STS_S</t>
    <phoneticPr fontId="1"/>
  </si>
  <si>
    <t>UNKB0040_H_NYUKA_STS_S</t>
    <phoneticPr fontId="1"/>
  </si>
  <si>
    <t>UNKB0040_H_KENSHU_STS_S</t>
    <phoneticPr fontId="1"/>
  </si>
  <si>
    <t>UNKB0040_H_SHINSEI_DATE_START_S</t>
    <phoneticPr fontId="1"/>
  </si>
  <si>
    <t>UNKB0040_H_SHINSEI_DATE_END_S</t>
    <phoneticPr fontId="1"/>
  </si>
  <si>
    <t>UNKB0040_H_NOKI_START_S</t>
    <phoneticPr fontId="1"/>
  </si>
  <si>
    <t>UNKB0040_H_NOKI_END_S</t>
    <phoneticPr fontId="1"/>
  </si>
  <si>
    <t>UNKB0040_H_UKEIRE_DATE_START_S</t>
    <phoneticPr fontId="1"/>
  </si>
  <si>
    <t>UNKB0040_H_UKEIRE_DATE_END_S</t>
    <phoneticPr fontId="1"/>
  </si>
  <si>
    <t>UNKB0040_H_KENSHU_DATE_START_S</t>
    <phoneticPr fontId="1"/>
  </si>
  <si>
    <t>UNKB0040_H_KENSHU_DATE_END_S</t>
    <phoneticPr fontId="1"/>
  </si>
  <si>
    <t>UNKB0040_H_KOBAI_NO_S</t>
    <phoneticPr fontId="1"/>
  </si>
  <si>
    <t>UNKB0040_H_SHINSEISHA_CD_S</t>
    <phoneticPr fontId="1"/>
  </si>
  <si>
    <t>UNKB0040_H_SHINSEISHA_MEI_S</t>
    <phoneticPr fontId="1"/>
  </si>
  <si>
    <t>UNKB0040_H_JURI_NO_S</t>
    <phoneticPr fontId="1"/>
  </si>
  <si>
    <t>UNKB0040_H_YOSAN_CD_S</t>
    <phoneticPr fontId="1"/>
  </si>
  <si>
    <t>UNKB0040_H_YOSAN_MEI_S</t>
    <phoneticPr fontId="1"/>
  </si>
  <si>
    <t>UNKB0040_H_KOBAIHIN_CD_S</t>
    <phoneticPr fontId="1"/>
  </si>
  <si>
    <t>UNKB0040_H_KOBAIHIN_MEI_S</t>
    <phoneticPr fontId="1"/>
  </si>
  <si>
    <t>UNKB0040_H_SHIIRE_CD_S</t>
    <phoneticPr fontId="1"/>
  </si>
  <si>
    <t>UNKB0040_H_SHIIRE_MEI_S</t>
    <phoneticPr fontId="1"/>
  </si>
  <si>
    <t>UNKB0040_H_MAKER_CD_S</t>
    <phoneticPr fontId="1"/>
  </si>
  <si>
    <t>UNKB0040_H_MAKER_MEI_S</t>
    <phoneticPr fontId="1"/>
  </si>
  <si>
    <t>UNKB0040_H_FREEWD_1_S</t>
    <phoneticPr fontId="1"/>
  </si>
  <si>
    <t>UNKB0040_H_FREEWD_2_S</t>
    <phoneticPr fontId="1"/>
  </si>
  <si>
    <t>UNKB0040_H_FREEWD_3_S</t>
    <phoneticPr fontId="1"/>
  </si>
  <si>
    <t>UNKB0040_H_FREEWD_KBN_S</t>
    <phoneticPr fontId="1"/>
  </si>
  <si>
    <t>UNKB0040_H_HIDE_COLUMN</t>
    <phoneticPr fontId="1"/>
  </si>
  <si>
    <t>UNKB0040_H_HIDE_ROW</t>
    <phoneticPr fontId="1"/>
  </si>
  <si>
    <t>UNKB0040_B_HIDE_ROW</t>
    <phoneticPr fontId="1"/>
  </si>
  <si>
    <t>UNKB0040_B_HIDE_COLUMN</t>
    <phoneticPr fontId="1"/>
  </si>
  <si>
    <t>UNKB0040_B_SCROLL_LOCK</t>
    <phoneticPr fontId="1"/>
  </si>
  <si>
    <t>UNKB0040_B_ALL_KENSU</t>
    <phoneticPr fontId="1"/>
  </si>
  <si>
    <t>UNKB0040_B_PAGE_NO</t>
    <phoneticPr fontId="1"/>
  </si>
  <si>
    <t>UNKB0040_B_ALL_PAGE_SU</t>
    <phoneticPr fontId="1"/>
  </si>
  <si>
    <t>UNKB0040_B_HYOJI_KENSU</t>
    <phoneticPr fontId="1"/>
  </si>
  <si>
    <t>UNKB0040_B_HYOJI_GYO_SU</t>
    <phoneticPr fontId="1"/>
  </si>
  <si>
    <t>UNKB0040_B_LIST_START</t>
    <phoneticPr fontId="1"/>
  </si>
  <si>
    <t>UNKB0040_B_LIST_END</t>
    <phoneticPr fontId="1"/>
  </si>
  <si>
    <t>UNKB0040_B_LIST_CLEAR</t>
    <phoneticPr fontId="1"/>
  </si>
  <si>
    <t>UNKB0040_B_NEXT_PAGE_NO</t>
    <phoneticPr fontId="1"/>
  </si>
  <si>
    <t>UNKB0040_B_BACK_PAGE_NO</t>
    <phoneticPr fontId="1"/>
  </si>
  <si>
    <t>UNKB0040_B_BACK_PAGE</t>
    <phoneticPr fontId="1"/>
  </si>
  <si>
    <t>UNKB0040_B_NEXT_PAGE</t>
    <phoneticPr fontId="1"/>
  </si>
  <si>
    <t>UNKB0040_IF_PRINT_COUNT</t>
  </si>
  <si>
    <t>UNKB0040_IF_LIST_DEFAULT</t>
    <phoneticPr fontId="1"/>
  </si>
  <si>
    <t>UNKB0040_IF_LIST_COPY_MOTO</t>
    <phoneticPr fontId="1"/>
  </si>
  <si>
    <t>UNKB0040_IF_DATA_SEARCH_FLG</t>
    <phoneticPr fontId="1"/>
  </si>
  <si>
    <t>UNKB0040_IF_W_USER_ID</t>
    <phoneticPr fontId="1"/>
  </si>
  <si>
    <t>UNKB0040_IF_W_SERIAL</t>
    <phoneticPr fontId="1"/>
  </si>
  <si>
    <t>UNKB0040_IF_W_SERIAL_CREATE</t>
    <phoneticPr fontId="1"/>
  </si>
  <si>
    <t>UNKB0040_IF_MODE</t>
    <phoneticPr fontId="1"/>
  </si>
  <si>
    <t>UNKB0040_IF_ACTIVE_SHEET</t>
    <phoneticPr fontId="1"/>
  </si>
  <si>
    <t>UNKB0040_IF_ACTIVE_ROW</t>
    <phoneticPr fontId="1"/>
  </si>
  <si>
    <t>UNKB0040_IF_ACTIVE_COLUMN</t>
    <phoneticPr fontId="1"/>
  </si>
  <si>
    <t>UNKB0040_IF_ACTIVE_CELL_NAME</t>
    <phoneticPr fontId="1"/>
  </si>
  <si>
    <t>UNKB0040_IF_INIT_HEADER_FLG_COPY_MOTO</t>
    <phoneticPr fontId="1"/>
  </si>
  <si>
    <t>UNKB0010_H_INIT_HEADER_FLG_COPY_SAKI</t>
    <phoneticPr fontId="1"/>
  </si>
  <si>
    <t>UNKB0040_H_INIT_HEADER_FLG_COPY_SAKI</t>
    <phoneticPr fontId="1"/>
  </si>
  <si>
    <t>UNKB0040_IF_INIT_HEADER_COPY_MOTO</t>
    <phoneticPr fontId="1"/>
  </si>
  <si>
    <t>フラグコピー元</t>
    <phoneticPr fontId="1"/>
  </si>
  <si>
    <t>UNKB0040_IF_B_FLG_COPY_MOTO</t>
    <phoneticPr fontId="1"/>
  </si>
  <si>
    <t>UNKB0040_SQL_SORT</t>
  </si>
  <si>
    <t>UNKB0040_SQL_SORT_BY</t>
  </si>
  <si>
    <t xml:space="preserve"> FROM V_KOBAI_SHONIN_LIST
</t>
  </si>
  <si>
    <t>ワークテーブル更新SQL</t>
    <rPh sb="7" eb="9">
      <t>コウシン</t>
    </rPh>
    <phoneticPr fontId="1"/>
  </si>
  <si>
    <t>UNKB0040_SQL_SHONIN_LIST</t>
    <phoneticPr fontId="1"/>
  </si>
  <si>
    <t>UNKB0040_SQL_W_SHONIN_LIST</t>
    <phoneticPr fontId="1"/>
  </si>
  <si>
    <t>UNKB0040_SQL_SHONIN_LIST_CNT</t>
    <phoneticPr fontId="1"/>
  </si>
  <si>
    <t xml:space="preserve">FROM W_KOBAI_SHONIN_LIST
</t>
    <phoneticPr fontId="1"/>
  </si>
  <si>
    <t>【保存IF】</t>
    <rPh sb="1" eb="3">
      <t>ホゾン</t>
    </rPh>
    <phoneticPr fontId="1"/>
  </si>
  <si>
    <t>シリアル値生成</t>
    <rPh sb="4" eb="5">
      <t>アタイ</t>
    </rPh>
    <rPh sb="5" eb="7">
      <t>セイセイ</t>
    </rPh>
    <phoneticPr fontId="1"/>
  </si>
  <si>
    <t>UNKB0040_IF_SAVE_W_USER_ID</t>
    <phoneticPr fontId="1"/>
  </si>
  <si>
    <t>UNKB0040_IF_CREATE_W_SERIAL</t>
    <phoneticPr fontId="1"/>
  </si>
  <si>
    <t>処理モード</t>
    <phoneticPr fontId="1"/>
  </si>
  <si>
    <t>UNKB0040_IF_SAVE_W_SERIAL</t>
    <phoneticPr fontId="1"/>
  </si>
  <si>
    <t>行番号</t>
    <rPh sb="0" eb="3">
      <t>ギョウバンゴウ</t>
    </rPh>
    <phoneticPr fontId="1"/>
  </si>
  <si>
    <t>シリアル値</t>
  </si>
  <si>
    <t>保存数式コピー元</t>
    <phoneticPr fontId="1"/>
  </si>
  <si>
    <t>UNKB0040_IF_SAVE_COPY_MOTO</t>
    <phoneticPr fontId="1"/>
  </si>
  <si>
    <t>選択フラグ</t>
    <phoneticPr fontId="1"/>
  </si>
  <si>
    <t>選択</t>
    <phoneticPr fontId="1"/>
  </si>
  <si>
    <t>購買区分名</t>
    <phoneticPr fontId="1"/>
  </si>
  <si>
    <t>購買ステータス名</t>
    <phoneticPr fontId="1"/>
  </si>
  <si>
    <t>購買品CD</t>
    <phoneticPr fontId="1"/>
  </si>
  <si>
    <t>入数</t>
    <rPh sb="0" eb="1">
      <t>ニュウ</t>
    </rPh>
    <rPh sb="1" eb="2">
      <t>スウ</t>
    </rPh>
    <phoneticPr fontId="1"/>
  </si>
  <si>
    <t>入数単位</t>
    <rPh sb="0" eb="1">
      <t>ニュウ</t>
    </rPh>
    <rPh sb="1" eb="2">
      <t>スウ</t>
    </rPh>
    <rPh sb="2" eb="4">
      <t>タンイ</t>
    </rPh>
    <phoneticPr fontId="1"/>
  </si>
  <si>
    <t>受入日</t>
    <rPh sb="0" eb="3">
      <t>ウケイレビ</t>
    </rPh>
    <phoneticPr fontId="1"/>
  </si>
  <si>
    <t>検収日</t>
    <rPh sb="0" eb="3">
      <t>ケンシュウビ</t>
    </rPh>
    <phoneticPr fontId="1"/>
  </si>
  <si>
    <t>保管場所区分名</t>
    <rPh sb="0" eb="2">
      <t>ホカン</t>
    </rPh>
    <rPh sb="2" eb="4">
      <t>バショ</t>
    </rPh>
    <rPh sb="4" eb="6">
      <t>クブン</t>
    </rPh>
    <rPh sb="6" eb="7">
      <t>メイ</t>
    </rPh>
    <phoneticPr fontId="1"/>
  </si>
  <si>
    <t>仕入先名</t>
    <phoneticPr fontId="1"/>
  </si>
  <si>
    <t>フリーワード検索用</t>
    <rPh sb="6" eb="8">
      <t>ケンサク</t>
    </rPh>
    <rPh sb="8" eb="9">
      <t>ヨウ</t>
    </rPh>
    <phoneticPr fontId="1"/>
  </si>
  <si>
    <t>承認フラグ</t>
    <phoneticPr fontId="1"/>
  </si>
  <si>
    <t>行番号</t>
    <phoneticPr fontId="1"/>
  </si>
  <si>
    <t>承認フラグ</t>
    <phoneticPr fontId="1"/>
  </si>
  <si>
    <t>表示データSQL</t>
    <phoneticPr fontId="1"/>
  </si>
  <si>
    <t>UNKB0040_SQL_EXCEL_LIST</t>
    <phoneticPr fontId="1"/>
  </si>
  <si>
    <t>UNKB0040_SQL_DEFAULT_SORT</t>
    <phoneticPr fontId="1"/>
  </si>
  <si>
    <t>ワークテーブル取得データSQL</t>
    <rPh sb="7" eb="9">
      <t>シュトク</t>
    </rPh>
    <phoneticPr fontId="1"/>
  </si>
  <si>
    <t>UNKB0040_SQL_W_SHONIN_LIST_UPDATE</t>
    <phoneticPr fontId="1"/>
  </si>
  <si>
    <t>【保存チェック】</t>
    <rPh sb="1" eb="3">
      <t>ホゾン</t>
    </rPh>
    <phoneticPr fontId="1"/>
  </si>
  <si>
    <t>UNKB0040_IF_SAVE_W_MODE</t>
    <phoneticPr fontId="1"/>
  </si>
  <si>
    <t>UNKB0040_IF_SAVE_COUNT</t>
    <phoneticPr fontId="1"/>
  </si>
  <si>
    <t>UNKB0040_IF_SAVE_COPY_SAKI</t>
    <phoneticPr fontId="1"/>
  </si>
  <si>
    <t>UNKB0040_IF_SAVE_KENSU</t>
    <phoneticPr fontId="1"/>
  </si>
  <si>
    <t>フラグコピー先</t>
    <phoneticPr fontId="1"/>
  </si>
  <si>
    <t>UNKB0040_B_LIST_COPY_SAKI</t>
    <phoneticPr fontId="1"/>
  </si>
  <si>
    <t>UNKB0040_IF_PRINT_SHOSHIKI_COPY_SAKI</t>
    <phoneticPr fontId="1"/>
  </si>
  <si>
    <t>UNKB0040_IF_PRINT_SHOSHIKI_COPY_FLAG</t>
    <phoneticPr fontId="1"/>
  </si>
  <si>
    <t>UNKB0040_IF_EXCEL_FILE_NAME</t>
    <phoneticPr fontId="1"/>
  </si>
  <si>
    <t>UNKB0040_IF_PRINT_SHOSHIKI_COPY_MOTO</t>
    <phoneticPr fontId="1"/>
  </si>
  <si>
    <t xml:space="preserve"> FROM W_KOBAI_SHONIN_LIST</t>
    <phoneticPr fontId="1"/>
  </si>
  <si>
    <t>購買区分名</t>
    <phoneticPr fontId="1"/>
  </si>
  <si>
    <t>申請日時</t>
    <phoneticPr fontId="1"/>
  </si>
  <si>
    <t>購買品名</t>
    <phoneticPr fontId="1"/>
  </si>
  <si>
    <t>合計金額</t>
    <phoneticPr fontId="1"/>
  </si>
  <si>
    <t>受入日</t>
    <phoneticPr fontId="1"/>
  </si>
  <si>
    <t>検収日</t>
    <phoneticPr fontId="1"/>
  </si>
  <si>
    <t>メーカー名</t>
    <phoneticPr fontId="1"/>
  </si>
  <si>
    <t>依頼No.</t>
    <phoneticPr fontId="1"/>
  </si>
  <si>
    <t>UNKB0050_H_INIT_HEADER_FLG_COPY_SAKI</t>
  </si>
  <si>
    <t>UNKB0050_H_HIDE_ROW</t>
    <phoneticPr fontId="1"/>
  </si>
  <si>
    <t>UNKB0050_H_HIDE_COLUMN</t>
    <phoneticPr fontId="1"/>
  </si>
  <si>
    <t>UNKB0050_H_KOBAIHIN_KBN</t>
    <phoneticPr fontId="1"/>
  </si>
  <si>
    <t>UNKB0050_H_GAICHU_KBN</t>
    <phoneticPr fontId="1"/>
  </si>
  <si>
    <t>UNKB0050_H_SHUZEN_KBN</t>
    <phoneticPr fontId="1"/>
  </si>
  <si>
    <t>UNKB0050_H_TOSHI_KBN</t>
    <phoneticPr fontId="1"/>
  </si>
  <si>
    <t>UNKB0050_H_HANBAI_KBN</t>
    <phoneticPr fontId="1"/>
  </si>
  <si>
    <t>UNKB0050_H_IRAICHU_STS</t>
    <phoneticPr fontId="1"/>
  </si>
  <si>
    <t>UNKB0050_H_CHUMONSHO_STS</t>
    <phoneticPr fontId="1"/>
  </si>
  <si>
    <t>UNKB0050_H_ICHIBU_STS</t>
    <phoneticPr fontId="1"/>
  </si>
  <si>
    <t>UNKB0050_H_NYUKA_STS</t>
    <phoneticPr fontId="1"/>
  </si>
  <si>
    <t>UNKB0050_H_KENSHU_STS</t>
    <phoneticPr fontId="1"/>
  </si>
  <si>
    <t>UNKB0050_H_SHINSEISHA_CD</t>
    <phoneticPr fontId="1"/>
  </si>
  <si>
    <t>UNKB0050_H_YOSAN_MEI</t>
    <phoneticPr fontId="1"/>
  </si>
  <si>
    <t>UNKB0050_H_KOBAIHIN_MEI</t>
    <phoneticPr fontId="1"/>
  </si>
  <si>
    <t>UNKB0050_H_SHIIRE_MEI</t>
    <phoneticPr fontId="1"/>
  </si>
  <si>
    <t>UNKB0050_H_MAKER_MEI</t>
    <phoneticPr fontId="1"/>
  </si>
  <si>
    <t>UNKB0050_H_FREEWD_KBN</t>
    <phoneticPr fontId="1"/>
  </si>
  <si>
    <t>UNKB0050_H_KOBAIHIN_KBN_S</t>
    <phoneticPr fontId="1"/>
  </si>
  <si>
    <t>UNKB0050_H_GAICHU_KBN_S</t>
    <phoneticPr fontId="1"/>
  </si>
  <si>
    <t>UNKB0050_H_SHUZEN_KBN_S</t>
    <phoneticPr fontId="1"/>
  </si>
  <si>
    <t>UNKB0050_H_TOSHI_KBN_S</t>
    <phoneticPr fontId="1"/>
  </si>
  <si>
    <t>UNKB0050_H_HANBAI_KBN_S</t>
    <phoneticPr fontId="1"/>
  </si>
  <si>
    <t>UNKB0050_H_IRAICHU_STS_S</t>
    <phoneticPr fontId="1"/>
  </si>
  <si>
    <t>UNKB0050_H_CHUMONSHO_STS_S</t>
    <phoneticPr fontId="1"/>
  </si>
  <si>
    <t>UNKB0050_H_ICHIBU_STS_S</t>
    <phoneticPr fontId="1"/>
  </si>
  <si>
    <t>UNKB0050_H_NYUKA_STS_S</t>
    <phoneticPr fontId="1"/>
  </si>
  <si>
    <t>UNKB0050_H_KENSHU_STS_S</t>
    <phoneticPr fontId="1"/>
  </si>
  <si>
    <t>UNKB0050_H_SHINSEI_DATE_START_S</t>
    <phoneticPr fontId="1"/>
  </si>
  <si>
    <t>UNKB0050_H_SHINSEI_DATE_END_S</t>
    <phoneticPr fontId="1"/>
  </si>
  <si>
    <t>UNKB0050_H_NOKI_START_S</t>
    <phoneticPr fontId="1"/>
  </si>
  <si>
    <t>UNKB0050_H_NOKI_END_S</t>
    <phoneticPr fontId="1"/>
  </si>
  <si>
    <t>UNKB0050_H_UKEIRE_DATE_START_S</t>
    <phoneticPr fontId="1"/>
  </si>
  <si>
    <t>UNKB0050_H_UKEIRE_DATE_END_S</t>
    <phoneticPr fontId="1"/>
  </si>
  <si>
    <t>UNKB0050_H_KENSHU_DATE_START_S</t>
    <phoneticPr fontId="1"/>
  </si>
  <si>
    <t>UNKB0050_H_KENSHU_DATE_END_S</t>
    <phoneticPr fontId="1"/>
  </si>
  <si>
    <t>UNKB0050_H_KOBAI_NO_S</t>
    <phoneticPr fontId="1"/>
  </si>
  <si>
    <t>UNKB0050_H_SHINSEISHA_CD_S</t>
    <phoneticPr fontId="1"/>
  </si>
  <si>
    <t>UNKB0050_H_SHINSEISHA_MEI_S</t>
    <phoneticPr fontId="1"/>
  </si>
  <si>
    <t>UNKB0050_H_JURI_NO_S</t>
    <phoneticPr fontId="1"/>
  </si>
  <si>
    <t>UNKB0050_H_YOSAN_CD_S</t>
    <phoneticPr fontId="1"/>
  </si>
  <si>
    <t>UNKB0050_H_YOSAN_MEI_S</t>
    <phoneticPr fontId="1"/>
  </si>
  <si>
    <t>UNKB0050_H_KOBAIHIN_CD_S</t>
    <phoneticPr fontId="1"/>
  </si>
  <si>
    <t>UNKB0050_H_KOBAIHIN_MEI_S</t>
    <phoneticPr fontId="1"/>
  </si>
  <si>
    <t>UNKB0050_H_SHIIRE_CD_S</t>
    <phoneticPr fontId="1"/>
  </si>
  <si>
    <t>UNKB0050_H_SHIIRE_MEI_S</t>
    <phoneticPr fontId="1"/>
  </si>
  <si>
    <t>UNKB0050_H_MAKER_CD_S</t>
    <phoneticPr fontId="1"/>
  </si>
  <si>
    <t>UNKB0050_H_MAKER_MEI_S</t>
    <phoneticPr fontId="1"/>
  </si>
  <si>
    <t>UNKB0050_H_FREEWD_1_S</t>
    <phoneticPr fontId="1"/>
  </si>
  <si>
    <t>UNKB0050_H_FREEWD_2_S</t>
    <phoneticPr fontId="1"/>
  </si>
  <si>
    <t>UNKB0050_H_FREEWD_3_S</t>
    <phoneticPr fontId="1"/>
  </si>
  <si>
    <t>UNKB0050_H_FREEWD_KBN_S</t>
    <phoneticPr fontId="1"/>
  </si>
  <si>
    <t>UNKB0050_B_HIDE_ROW</t>
    <phoneticPr fontId="1"/>
  </si>
  <si>
    <t>UNKB0050_B_HIDE_COLUMN</t>
    <phoneticPr fontId="1"/>
  </si>
  <si>
    <t>UNKB0050_B_SCROLL_LOCK</t>
    <phoneticPr fontId="1"/>
  </si>
  <si>
    <t>UNKB0050_B_ALL_KENSU</t>
    <phoneticPr fontId="1"/>
  </si>
  <si>
    <t>UNKB0050_B_PAGE_NO</t>
    <phoneticPr fontId="1"/>
  </si>
  <si>
    <t>UNKB0050_B_ALL_PAGE_SU</t>
    <phoneticPr fontId="1"/>
  </si>
  <si>
    <t>UNKB0050_B_HYOJI_KENSU</t>
    <phoneticPr fontId="1"/>
  </si>
  <si>
    <t>UNKB0050_B_HYOJI_GYO_SU</t>
    <phoneticPr fontId="1"/>
  </si>
  <si>
    <t>UNKB0050_B_LIST_START</t>
    <phoneticPr fontId="1"/>
  </si>
  <si>
    <t>UNKB0050_B_LIST_END</t>
    <phoneticPr fontId="1"/>
  </si>
  <si>
    <t>UNKB0050_B_LIST_COPY_SAKI</t>
    <phoneticPr fontId="1"/>
  </si>
  <si>
    <t>UNKB0050_B_SELECT_FLG_COPY_SAKI</t>
    <phoneticPr fontId="1"/>
  </si>
  <si>
    <t>UNKB0050_B_LIST_CLEAR</t>
    <phoneticPr fontId="1"/>
  </si>
  <si>
    <t>UNKB0050_B_NEXT_PAGE_NO</t>
    <phoneticPr fontId="1"/>
  </si>
  <si>
    <t>UNKB0050_B_BACK_PAGE_NO</t>
    <phoneticPr fontId="1"/>
  </si>
  <si>
    <t>UNKB0050_B_BACK_PAGE</t>
    <phoneticPr fontId="1"/>
  </si>
  <si>
    <t>UNKB0050_B_NEXT_PAGE</t>
    <phoneticPr fontId="1"/>
  </si>
  <si>
    <t>選択フラグ</t>
    <rPh sb="0" eb="2">
      <t>センタク</t>
    </rPh>
    <phoneticPr fontId="1"/>
  </si>
  <si>
    <t>行番号</t>
    <phoneticPr fontId="1"/>
  </si>
  <si>
    <t>行番号</t>
    <phoneticPr fontId="1"/>
  </si>
  <si>
    <t>UNKB0050_IF_LIST_COPY_MOTO</t>
    <phoneticPr fontId="1"/>
  </si>
  <si>
    <t>UNKB0050_IF_LIST_DEFAULT</t>
    <phoneticPr fontId="1"/>
  </si>
  <si>
    <t>UNKB0050_IF_B_FLG_COPY_MOTO</t>
    <phoneticPr fontId="1"/>
  </si>
  <si>
    <t>UNKB0050_IF_DATA_SEARCH_FLG</t>
    <phoneticPr fontId="1"/>
  </si>
  <si>
    <t>UNKB0050_IF_W_USER_ID</t>
    <phoneticPr fontId="1"/>
  </si>
  <si>
    <t>UNKB0050_IF_W_SERIAL</t>
    <phoneticPr fontId="1"/>
  </si>
  <si>
    <t>UNKB0050_IF_W_SERIAL_CREATE</t>
    <phoneticPr fontId="1"/>
  </si>
  <si>
    <t>UNKB0050_IF_MODE</t>
    <phoneticPr fontId="1"/>
  </si>
  <si>
    <t>UNKB0050_IF_ACTIVE_SHEET</t>
    <phoneticPr fontId="1"/>
  </si>
  <si>
    <t>UNKB0050_IF_ACTIVE_ROW</t>
    <phoneticPr fontId="1"/>
  </si>
  <si>
    <t>UNKB0050_IF_ACTIVE_COLUMN</t>
    <phoneticPr fontId="1"/>
  </si>
  <si>
    <t>UNKB0050_IF_ACTIVE_CELL_NAME</t>
    <phoneticPr fontId="1"/>
  </si>
  <si>
    <t>UNKB0050_IF_INIT_HEADER_COPY_MOTO</t>
    <phoneticPr fontId="1"/>
  </si>
  <si>
    <t>UNKB0050_IF_INIT_HEADER_FLG_COPY_MOTO</t>
    <phoneticPr fontId="1"/>
  </si>
  <si>
    <t>UNKB0050_IF_SAVE_W_USER_ID</t>
    <phoneticPr fontId="1"/>
  </si>
  <si>
    <t>UNKB0050_IF_SAVE_W_SERIAL</t>
    <phoneticPr fontId="1"/>
  </si>
  <si>
    <t>UNKB0050_IF_CREATE_W_SERIAL</t>
    <phoneticPr fontId="1"/>
  </si>
  <si>
    <t>UNKB0050_IF_SAVE_W_MODE</t>
    <phoneticPr fontId="1"/>
  </si>
  <si>
    <t>UNKB0050_IF_SAVE_COPY_SAKI</t>
    <phoneticPr fontId="1"/>
  </si>
  <si>
    <t>UNKB0050_IF_SAVE_KENSU</t>
    <phoneticPr fontId="1"/>
  </si>
  <si>
    <t>UNKB0050_IF_SAVE_COUNT</t>
    <phoneticPr fontId="1"/>
  </si>
  <si>
    <t>UNKB0040_B_SELECT_FLG_COPY_SAKI</t>
    <phoneticPr fontId="1"/>
  </si>
  <si>
    <t>UNKB0040_B_LIST_COPY_FLAG</t>
    <phoneticPr fontId="1"/>
  </si>
  <si>
    <t>対象購買SEQ</t>
    <rPh sb="0" eb="2">
      <t>タイショウ</t>
    </rPh>
    <rPh sb="2" eb="4">
      <t>コウバイ</t>
    </rPh>
    <phoneticPr fontId="1"/>
  </si>
  <si>
    <t>UNKB0010_B_SELECT_KOBAI_NO</t>
    <phoneticPr fontId="1"/>
  </si>
  <si>
    <t>UNKB0010_B_SELECT_KOBAI_SEQ</t>
    <phoneticPr fontId="1"/>
  </si>
  <si>
    <t>UNKB0010_B_SELECT_ROW_NO</t>
    <phoneticPr fontId="1"/>
  </si>
  <si>
    <t>注文No.</t>
    <rPh sb="0" eb="2">
      <t>チュウモン</t>
    </rPh>
    <phoneticPr fontId="1"/>
  </si>
  <si>
    <t>発注日</t>
    <rPh sb="0" eb="2">
      <t>ハッチュウ</t>
    </rPh>
    <rPh sb="2" eb="3">
      <t>ビ</t>
    </rPh>
    <phoneticPr fontId="1"/>
  </si>
  <si>
    <t>UNKB0050_IF_SAVE_COPY_MOTO</t>
    <phoneticPr fontId="1"/>
  </si>
  <si>
    <t>UNKB0050_SQL_SORT</t>
  </si>
  <si>
    <t xml:space="preserve"> FROM V_KOBAI_CHUMON_LIST
</t>
  </si>
  <si>
    <t xml:space="preserve"> FROM W_KOBAI_CHUMON_LIST</t>
  </si>
  <si>
    <t>UNKB0050_SQL_CHUMON_LIST</t>
    <phoneticPr fontId="1"/>
  </si>
  <si>
    <t>UNKB0050_SQL_EXCEL_LIST</t>
    <phoneticPr fontId="1"/>
  </si>
  <si>
    <t>UNKB0050_SQL_CHUMON_LIST_CNT</t>
    <phoneticPr fontId="1"/>
  </si>
  <si>
    <t>UNKB0050_SQL_W_CHUMON_LIST</t>
    <phoneticPr fontId="1"/>
  </si>
  <si>
    <t>UNKB0050_SQL_W_CHUMON_LIST_UPDATE</t>
    <phoneticPr fontId="1"/>
  </si>
  <si>
    <t>UNKB0050_SQL_SORT_BY</t>
    <phoneticPr fontId="1"/>
  </si>
  <si>
    <t>UNKB0050_SQL_DEFAULT_SORT</t>
    <phoneticPr fontId="1"/>
  </si>
  <si>
    <t xml:space="preserve">FROM W_KOBAI_CHUMON_LIST
</t>
    <phoneticPr fontId="1"/>
  </si>
  <si>
    <t>UNKB0050_B_LIST_COPY_FLG</t>
    <phoneticPr fontId="1"/>
  </si>
  <si>
    <t>SELECT M_MEISHO_B.DATA_1   AS 並べ替え
      ,M_MEISHO_B.DATA_2        AS ORDER句
  FROM M_MEISHO_B
 WHERE M_MEISHO_B.MEISHO_KBN='O402'
 ORDER BY
       M_MEISHO_B.SORT_NO ASC
      ,CAST(M_MEISHO_B.MEISHO_CD AS INT) ASC</t>
    <phoneticPr fontId="1"/>
  </si>
  <si>
    <t>UNKB0050_IF_PRINT_COUNT</t>
    <phoneticPr fontId="1"/>
  </si>
  <si>
    <t>未承認</t>
    <rPh sb="0" eb="3">
      <t>ミショウニン</t>
    </rPh>
    <phoneticPr fontId="1"/>
  </si>
  <si>
    <t>UNKB0050_H_MISHONIN_STS</t>
    <phoneticPr fontId="1"/>
  </si>
  <si>
    <t>未承認</t>
    <rPh sb="0" eb="3">
      <t>ミショウニン</t>
    </rPh>
    <phoneticPr fontId="1"/>
  </si>
  <si>
    <t>UNKB0050_H_MISHONIN_STS_S</t>
    <phoneticPr fontId="1"/>
  </si>
  <si>
    <t>UNKB0040_H_MISHONIN_STS</t>
    <phoneticPr fontId="1"/>
  </si>
  <si>
    <t>UNKB0050_IF_PRINT_SHOSHIKI_COPY_SAKI</t>
    <phoneticPr fontId="1"/>
  </si>
  <si>
    <t>UNKB0050_IF_PRINT_SHOSHIKI_COPY_FLAG</t>
    <phoneticPr fontId="1"/>
  </si>
  <si>
    <t>UNKB0050_IF_EXCEL_FILE_NAME</t>
    <phoneticPr fontId="1"/>
  </si>
  <si>
    <t>UNKB0050_IF_PRINT_SHOSHIKI_COPY_MOTO</t>
    <phoneticPr fontId="1"/>
  </si>
  <si>
    <t>入荷予定一覧</t>
    <phoneticPr fontId="1"/>
  </si>
  <si>
    <t>未印刷</t>
    <phoneticPr fontId="1"/>
  </si>
  <si>
    <t>印刷済</t>
  </si>
  <si>
    <t>印刷済</t>
    <phoneticPr fontId="1"/>
  </si>
  <si>
    <t>UNKB0080_H_INSATSU_MI_STS</t>
    <phoneticPr fontId="1"/>
  </si>
  <si>
    <t>UNKB0080_H_GAICHU_KBN</t>
    <phoneticPr fontId="1"/>
  </si>
  <si>
    <t>UNKB0080_H_SHUZEN_KBN</t>
    <phoneticPr fontId="1"/>
  </si>
  <si>
    <t>UNKB0080_H_IRAICHU_STS</t>
    <phoneticPr fontId="1"/>
  </si>
  <si>
    <t>UNKB0080_H_CHUMONSHO_STS</t>
    <phoneticPr fontId="1"/>
  </si>
  <si>
    <t>UNKB0080_H_ICHIBU_STS</t>
    <phoneticPr fontId="1"/>
  </si>
  <si>
    <t>UNKB0080_H_NYUKA_STS</t>
    <phoneticPr fontId="1"/>
  </si>
  <si>
    <t>UNKB0080_H_KENSHU_STS</t>
    <phoneticPr fontId="1"/>
  </si>
  <si>
    <t>UNKB0080_H_SHINSEISHA_CD</t>
    <phoneticPr fontId="1"/>
  </si>
  <si>
    <t>UNKB0080_H_INSATSU_SUMI_STS</t>
    <phoneticPr fontId="1"/>
  </si>
  <si>
    <t>UNKB0080_H_YOSAN_MEI</t>
    <phoneticPr fontId="1"/>
  </si>
  <si>
    <t>UNKB0080_H_KOBAIHIN_MEI</t>
    <phoneticPr fontId="1"/>
  </si>
  <si>
    <t>UNKB0080_H_SHIIRE_MEI</t>
    <phoneticPr fontId="1"/>
  </si>
  <si>
    <t>UNKB0080_H_MAKER_MEI</t>
    <phoneticPr fontId="1"/>
  </si>
  <si>
    <t>UNKB0080_H_FREEWD_KBN</t>
    <phoneticPr fontId="1"/>
  </si>
  <si>
    <t>UNKB0080_H_KOBAIHIN_KBN_S</t>
    <phoneticPr fontId="1"/>
  </si>
  <si>
    <t>UNKB0080_H_GAICHU_KBN_S</t>
    <phoneticPr fontId="1"/>
  </si>
  <si>
    <t>UNKB0080_H_SHUZEN_KBN_S</t>
    <phoneticPr fontId="1"/>
  </si>
  <si>
    <t>UNKB0080_H_HIDE_ROW</t>
    <phoneticPr fontId="1"/>
  </si>
  <si>
    <t>UNKB0080_H_HIDE_COLUMN</t>
    <phoneticPr fontId="1"/>
  </si>
  <si>
    <t>UNKB0080_B_HIDE_ROW</t>
    <phoneticPr fontId="1"/>
  </si>
  <si>
    <t>UNKB0080_B_HYOJI_KENSU</t>
    <phoneticPr fontId="1"/>
  </si>
  <si>
    <t>UNKB0080_B_HYOJI_GYO_SU</t>
    <phoneticPr fontId="1"/>
  </si>
  <si>
    <t>UNKB0080_B_LIST_START</t>
    <phoneticPr fontId="1"/>
  </si>
  <si>
    <t>UNKB0080_B_LIST_END</t>
    <phoneticPr fontId="1"/>
  </si>
  <si>
    <t>UNKB0080_B_LIST_COPY_FLG</t>
    <phoneticPr fontId="1"/>
  </si>
  <si>
    <t>UNKB0080_B_LIST_COPY_SAKI</t>
    <phoneticPr fontId="1"/>
  </si>
  <si>
    <t>UNKB0080_IF_PRINT_SHOSHIKI_COPY_MOTO</t>
  </si>
  <si>
    <t>UNKB0080_IF_PRINT_SHOSHIKI_COPY_SAKI</t>
  </si>
  <si>
    <t>UNKB0080_IF_PRINT_SHOSHIKI_COPY_FLAG</t>
  </si>
  <si>
    <t>UNKB0080_IF_EXCEL_FILE_NAME</t>
  </si>
  <si>
    <t>UNKB0080_IF_INIT_HEADER_COPY_MOTO</t>
    <phoneticPr fontId="1"/>
  </si>
  <si>
    <t>行</t>
    <rPh sb="0" eb="1">
      <t>ギョウ</t>
    </rPh>
    <phoneticPr fontId="3"/>
  </si>
  <si>
    <t>印刷</t>
    <rPh sb="0" eb="2">
      <t>インサツ</t>
    </rPh>
    <phoneticPr fontId="3"/>
  </si>
  <si>
    <t>警告</t>
    <rPh sb="0" eb="2">
      <t>ケイコク</t>
    </rPh>
    <phoneticPr fontId="3"/>
  </si>
  <si>
    <t>購買区分</t>
    <rPh sb="0" eb="2">
      <t>コウバイ</t>
    </rPh>
    <rPh sb="2" eb="4">
      <t>クブン</t>
    </rPh>
    <phoneticPr fontId="3"/>
  </si>
  <si>
    <t>申請日</t>
    <rPh sb="0" eb="2">
      <t>シンセイ</t>
    </rPh>
    <rPh sb="2" eb="3">
      <t>ビ</t>
    </rPh>
    <phoneticPr fontId="3"/>
  </si>
  <si>
    <t>購買品CD</t>
    <rPh sb="0" eb="2">
      <t>コウバイ</t>
    </rPh>
    <rPh sb="2" eb="3">
      <t>ヒン</t>
    </rPh>
    <phoneticPr fontId="3"/>
  </si>
  <si>
    <t>購買品名</t>
    <rPh sb="0" eb="2">
      <t>コウバイ</t>
    </rPh>
    <rPh sb="2" eb="3">
      <t>ヒン</t>
    </rPh>
    <rPh sb="3" eb="4">
      <t>メイ</t>
    </rPh>
    <phoneticPr fontId="3"/>
  </si>
  <si>
    <t>単価</t>
    <rPh sb="0" eb="2">
      <t>タンカ</t>
    </rPh>
    <phoneticPr fontId="3"/>
  </si>
  <si>
    <t>入数</t>
    <rPh sb="0" eb="1">
      <t>イ</t>
    </rPh>
    <rPh sb="1" eb="2">
      <t>スウ</t>
    </rPh>
    <phoneticPr fontId="3"/>
  </si>
  <si>
    <t>入数単位</t>
    <rPh sb="0" eb="1">
      <t>イ</t>
    </rPh>
    <rPh sb="1" eb="2">
      <t>スウ</t>
    </rPh>
    <rPh sb="2" eb="4">
      <t>タンイ</t>
    </rPh>
    <phoneticPr fontId="3"/>
  </si>
  <si>
    <t>数量</t>
    <rPh sb="0" eb="2">
      <t>スウリョウ</t>
    </rPh>
    <phoneticPr fontId="3"/>
  </si>
  <si>
    <t>バラ単位</t>
    <rPh sb="2" eb="4">
      <t>タンイ</t>
    </rPh>
    <phoneticPr fontId="3"/>
  </si>
  <si>
    <t>注文総数</t>
    <rPh sb="0" eb="2">
      <t>チュウモン</t>
    </rPh>
    <rPh sb="2" eb="4">
      <t>ソウスウ</t>
    </rPh>
    <phoneticPr fontId="3"/>
  </si>
  <si>
    <t>合計金額</t>
    <rPh sb="0" eb="2">
      <t>ゴウケイ</t>
    </rPh>
    <rPh sb="2" eb="4">
      <t>キンガク</t>
    </rPh>
    <phoneticPr fontId="3"/>
  </si>
  <si>
    <t>注文書発行日</t>
    <rPh sb="0" eb="3">
      <t>チュウモンショ</t>
    </rPh>
    <rPh sb="3" eb="6">
      <t>ハッコウビ</t>
    </rPh>
    <phoneticPr fontId="3"/>
  </si>
  <si>
    <t>発注日</t>
    <rPh sb="0" eb="2">
      <t>ハッチュウ</t>
    </rPh>
    <rPh sb="2" eb="3">
      <t>ビ</t>
    </rPh>
    <phoneticPr fontId="3"/>
  </si>
  <si>
    <t>希望納期</t>
    <rPh sb="0" eb="4">
      <t>キボウノウキ</t>
    </rPh>
    <phoneticPr fontId="3"/>
  </si>
  <si>
    <t>受入日</t>
    <rPh sb="0" eb="2">
      <t>ウケイレ</t>
    </rPh>
    <rPh sb="2" eb="3">
      <t>ヒ</t>
    </rPh>
    <phoneticPr fontId="3"/>
  </si>
  <si>
    <t>検収日</t>
    <rPh sb="0" eb="2">
      <t>ケンシュウ</t>
    </rPh>
    <rPh sb="2" eb="3">
      <t>ビ</t>
    </rPh>
    <phoneticPr fontId="3"/>
  </si>
  <si>
    <t>保管場所</t>
    <rPh sb="0" eb="2">
      <t>ホカン</t>
    </rPh>
    <rPh sb="2" eb="4">
      <t>バショ</t>
    </rPh>
    <phoneticPr fontId="3"/>
  </si>
  <si>
    <t>仕入先CD</t>
    <rPh sb="0" eb="2">
      <t>シイレ</t>
    </rPh>
    <rPh sb="2" eb="3">
      <t>サキ</t>
    </rPh>
    <phoneticPr fontId="3"/>
  </si>
  <si>
    <t>仕入先名</t>
    <rPh sb="0" eb="2">
      <t>シイレ</t>
    </rPh>
    <rPh sb="2" eb="3">
      <t>サキ</t>
    </rPh>
    <rPh sb="3" eb="4">
      <t>メイ</t>
    </rPh>
    <phoneticPr fontId="3"/>
  </si>
  <si>
    <t>メーカー名</t>
    <rPh sb="4" eb="5">
      <t>メイ</t>
    </rPh>
    <phoneticPr fontId="3"/>
  </si>
  <si>
    <t>予算コード</t>
    <rPh sb="0" eb="2">
      <t>ヨサン</t>
    </rPh>
    <phoneticPr fontId="3"/>
  </si>
  <si>
    <t>受理No.</t>
    <rPh sb="0" eb="2">
      <t>ジュリ</t>
    </rPh>
    <phoneticPr fontId="3"/>
  </si>
  <si>
    <t>備考</t>
    <rPh sb="0" eb="2">
      <t>ビコウ</t>
    </rPh>
    <phoneticPr fontId="3"/>
  </si>
  <si>
    <t>購買申請No.</t>
    <rPh sb="0" eb="2">
      <t>コウバイ</t>
    </rPh>
    <rPh sb="2" eb="4">
      <t>シンセイ</t>
    </rPh>
    <phoneticPr fontId="3"/>
  </si>
  <si>
    <t>依頼No.</t>
    <rPh sb="0" eb="2">
      <t>イライ</t>
    </rPh>
    <phoneticPr fontId="3"/>
  </si>
  <si>
    <t>注文No.</t>
    <rPh sb="0" eb="2">
      <t>チュウモン</t>
    </rPh>
    <phoneticPr fontId="3"/>
  </si>
  <si>
    <t>UNKB0080_IF_PRINT_COUNT</t>
    <phoneticPr fontId="1"/>
  </si>
  <si>
    <t xml:space="preserve"> FROM V_KOBAI_NYUKA_LIST
</t>
  </si>
  <si>
    <t xml:space="preserve"> FROM V_KOBAI_NYUKA_LIST
</t>
    <phoneticPr fontId="1"/>
  </si>
  <si>
    <t>UNKB0080_SQL_SEARCH_LIST_CNT</t>
  </si>
  <si>
    <t>UNKB0080_SQL_DEFAULT_SORT</t>
  </si>
  <si>
    <t>UNKB0080_SQL_SORT</t>
    <phoneticPr fontId="1"/>
  </si>
  <si>
    <t>UNKB0080_SQL_EXCEL_LIST</t>
    <phoneticPr fontId="1"/>
  </si>
  <si>
    <t>UNKB0080_SQL_SEARCH_LIST</t>
    <phoneticPr fontId="1"/>
  </si>
  <si>
    <t>未印刷</t>
  </si>
  <si>
    <t>SELECT M_MEISHO_B.DATA_1   AS 並べ替え
      ,M_MEISHO_B.DATA_2        AS ORDER句
  FROM M_MEISHO_B
 WHERE M_MEISHO_B.MEISHO_KBN='O401'
 ORDER BY
       M_MEISHO_B.SORT_NO ASC
      ,CAST(M_MEISHO_B.MEISHO_CD AS INT) ASC</t>
    <phoneticPr fontId="1"/>
  </si>
  <si>
    <t>SELECT M_MEISHO_B.DATA_1   AS 並べ替え
      ,M_MEISHO_B.DATA_2        AS ORDER句
  FROM M_MEISHO_B
 WHERE M_MEISHO_B.MEISHO_KBN='O403'
 ORDER BY
       M_MEISHO_B.SORT_NO ASC
      ,CAST(M_MEISHO_B.MEISHO_CD AS INT) ASC</t>
    <phoneticPr fontId="1"/>
  </si>
  <si>
    <t>UNKB0010_IF_KOBAI_NO</t>
    <phoneticPr fontId="1"/>
  </si>
  <si>
    <t>購買申請SEQ</t>
    <phoneticPr fontId="1"/>
  </si>
  <si>
    <t>UNKB0010_IF_KOBAI_SEQ</t>
    <phoneticPr fontId="1"/>
  </si>
  <si>
    <t>UNKB0040_IF_KOBAI_NO</t>
    <phoneticPr fontId="1"/>
  </si>
  <si>
    <t>UNKB0040_IF_KOBAI_SEQ</t>
    <phoneticPr fontId="1"/>
  </si>
  <si>
    <t>UNKB0050_IF_KOBAI_NO</t>
    <phoneticPr fontId="1"/>
  </si>
  <si>
    <t>UNKB0050_IF_KOBAI_SEQ</t>
    <phoneticPr fontId="1"/>
  </si>
  <si>
    <t>購買申請ステータス履歴</t>
    <rPh sb="0" eb="2">
      <t>コウバイ</t>
    </rPh>
    <rPh sb="2" eb="4">
      <t>シンセイ</t>
    </rPh>
    <rPh sb="9" eb="11">
      <t>リレキ</t>
    </rPh>
    <phoneticPr fontId="1"/>
  </si>
  <si>
    <t>セル名</t>
    <phoneticPr fontId="1"/>
  </si>
  <si>
    <t>UNKB0090_HIDE_ROW</t>
    <phoneticPr fontId="1"/>
  </si>
  <si>
    <t>UNKB0090_HIDE_COLUMN</t>
    <phoneticPr fontId="1"/>
  </si>
  <si>
    <t>ステータス</t>
    <phoneticPr fontId="1"/>
  </si>
  <si>
    <t>変更前ステータス</t>
    <rPh sb="0" eb="2">
      <t>ヘンコウ</t>
    </rPh>
    <rPh sb="2" eb="3">
      <t>マエ</t>
    </rPh>
    <phoneticPr fontId="1"/>
  </si>
  <si>
    <t>変更後ステータスCD</t>
    <rPh sb="0" eb="2">
      <t>ヘンコウ</t>
    </rPh>
    <rPh sb="2" eb="3">
      <t>アト</t>
    </rPh>
    <phoneticPr fontId="1"/>
  </si>
  <si>
    <t>変更前ステータスCD</t>
    <rPh sb="0" eb="2">
      <t>ヘンコウ</t>
    </rPh>
    <rPh sb="2" eb="3">
      <t>マエ</t>
    </rPh>
    <phoneticPr fontId="1"/>
  </si>
  <si>
    <t>UNKB0090_PAGE_TOTAL</t>
    <phoneticPr fontId="1"/>
  </si>
  <si>
    <t>UNKB0090_PAGE_NO</t>
    <phoneticPr fontId="1"/>
  </si>
  <si>
    <t>表示可能行数</t>
    <rPh sb="0" eb="2">
      <t>ヒョウジ</t>
    </rPh>
    <rPh sb="2" eb="4">
      <t>カノウ</t>
    </rPh>
    <rPh sb="4" eb="6">
      <t>ギョウスウ</t>
    </rPh>
    <phoneticPr fontId="1"/>
  </si>
  <si>
    <t>UNKB0090_CTRL_HYOJI_GYO_SU</t>
    <phoneticPr fontId="1"/>
  </si>
  <si>
    <t>検索件数</t>
    <rPh sb="0" eb="2">
      <t>ケンサク</t>
    </rPh>
    <rPh sb="2" eb="4">
      <t>ケンスウ</t>
    </rPh>
    <phoneticPr fontId="2"/>
  </si>
  <si>
    <t>UNKB0090_KENSAKU_KENSU</t>
    <phoneticPr fontId="1"/>
  </si>
  <si>
    <t>表示件数</t>
    <rPh sb="0" eb="2">
      <t>ヒョウジ</t>
    </rPh>
    <rPh sb="2" eb="4">
      <t>ケンスウ</t>
    </rPh>
    <phoneticPr fontId="2"/>
  </si>
  <si>
    <t>UNKB0090_HYOJI_KENSU</t>
    <phoneticPr fontId="1"/>
  </si>
  <si>
    <t>リスト展開開始位置</t>
    <rPh sb="3" eb="5">
      <t>テンカイ</t>
    </rPh>
    <rPh sb="5" eb="7">
      <t>カイシ</t>
    </rPh>
    <rPh sb="7" eb="9">
      <t>イチ</t>
    </rPh>
    <phoneticPr fontId="2"/>
  </si>
  <si>
    <t>UNKB0090_LIST_START</t>
    <phoneticPr fontId="1"/>
  </si>
  <si>
    <t>リスト書式コピー先</t>
    <rPh sb="3" eb="5">
      <t>ショシキ</t>
    </rPh>
    <rPh sb="8" eb="9">
      <t>サキ</t>
    </rPh>
    <phoneticPr fontId="2"/>
  </si>
  <si>
    <t>UNKB0090_COPY_SAKI</t>
    <phoneticPr fontId="1"/>
  </si>
  <si>
    <t>リストクリア範囲</t>
    <rPh sb="6" eb="8">
      <t>ハンイ</t>
    </rPh>
    <phoneticPr fontId="2"/>
  </si>
  <si>
    <t>UNKB0090_LIST_CLEAR</t>
    <phoneticPr fontId="1"/>
  </si>
  <si>
    <t>■ページ移動用変数</t>
    <rPh sb="4" eb="6">
      <t>イドウ</t>
    </rPh>
    <rPh sb="6" eb="7">
      <t>ヨウ</t>
    </rPh>
    <rPh sb="7" eb="9">
      <t>ヘンスウ</t>
    </rPh>
    <phoneticPr fontId="2"/>
  </si>
  <si>
    <t>次ページ番号</t>
    <rPh sb="0" eb="1">
      <t>ツギ</t>
    </rPh>
    <rPh sb="4" eb="6">
      <t>バンゴウ</t>
    </rPh>
    <phoneticPr fontId="2"/>
  </si>
  <si>
    <t>UNKB0090_NEXT_PAGE_NO</t>
    <phoneticPr fontId="1"/>
  </si>
  <si>
    <t>前ページ番号</t>
    <rPh sb="0" eb="1">
      <t>マエ</t>
    </rPh>
    <rPh sb="4" eb="6">
      <t>バンゴウ</t>
    </rPh>
    <phoneticPr fontId="2"/>
  </si>
  <si>
    <t>UNKB0090_PREV_PAGE_NO</t>
    <phoneticPr fontId="1"/>
  </si>
  <si>
    <t>【表示用】</t>
    <rPh sb="1" eb="3">
      <t>ヒョウジ</t>
    </rPh>
    <rPh sb="3" eb="4">
      <t>ヨウ</t>
    </rPh>
    <phoneticPr fontId="1"/>
  </si>
  <si>
    <t>セル名</t>
    <phoneticPr fontId="1"/>
  </si>
  <si>
    <t>ステータス</t>
    <phoneticPr fontId="1"/>
  </si>
  <si>
    <t>対象購買申請No.</t>
    <rPh sb="0" eb="2">
      <t>タイショウ</t>
    </rPh>
    <rPh sb="2" eb="4">
      <t>コウバイ</t>
    </rPh>
    <rPh sb="4" eb="6">
      <t>シンセイ</t>
    </rPh>
    <phoneticPr fontId="1"/>
  </si>
  <si>
    <t>UNKB0090_IF_KOBAI_NO</t>
    <phoneticPr fontId="1"/>
  </si>
  <si>
    <t>コピー元</t>
    <rPh sb="3" eb="4">
      <t>モト</t>
    </rPh>
    <phoneticPr fontId="1"/>
  </si>
  <si>
    <t>UNKB0090_IF_LIST_COPY_MOTO</t>
    <phoneticPr fontId="1"/>
  </si>
  <si>
    <t>対象購買申請SEQ</t>
    <rPh sb="0" eb="2">
      <t>タイショウ</t>
    </rPh>
    <rPh sb="2" eb="4">
      <t>コウバイ</t>
    </rPh>
    <rPh sb="4" eb="6">
      <t>シンセイ</t>
    </rPh>
    <phoneticPr fontId="1"/>
  </si>
  <si>
    <t>UNKB0090_IF_KOBAI_SEQ</t>
    <phoneticPr fontId="1"/>
  </si>
  <si>
    <t>クリア用</t>
    <rPh sb="3" eb="4">
      <t>ヨウ</t>
    </rPh>
    <phoneticPr fontId="2"/>
  </si>
  <si>
    <t>UNKB0090_IF_LIST_DEFAULT</t>
    <phoneticPr fontId="1"/>
  </si>
  <si>
    <t>UNKB0090_IF_PREVIOUS_ID</t>
    <phoneticPr fontId="1"/>
  </si>
  <si>
    <t>前ページボタン</t>
    <rPh sb="0" eb="1">
      <t>マエ</t>
    </rPh>
    <phoneticPr fontId="1"/>
  </si>
  <si>
    <t>UNKB0090_IF_BUTTON_11_HYOJI</t>
    <phoneticPr fontId="1"/>
  </si>
  <si>
    <t>次ページボタン</t>
    <rPh sb="0" eb="1">
      <t>ツギ</t>
    </rPh>
    <phoneticPr fontId="1"/>
  </si>
  <si>
    <t>UNKB0090_IF_BUTTON_12_HYOJI</t>
    <phoneticPr fontId="1"/>
  </si>
  <si>
    <t>UNKB0090_SQL_DATA_H</t>
    <phoneticPr fontId="1"/>
  </si>
  <si>
    <t xml:space="preserve">SELECT KOBAI_NO
      ,KOBAIHIN_CD
      ,KOBAIHIN_MEI
  FROM V_C_KOBAI_B
</t>
    <phoneticPr fontId="1"/>
  </si>
  <si>
    <t>UNKB0090_SQL_DATA_B</t>
    <phoneticPr fontId="1"/>
  </si>
  <si>
    <t xml:space="preserve">SELECT AFTER_STS
      ,BEFORE_STS
      ,UPDATE_DATE
      ,UPDATE_USER
      ,KOBAI_NO
      ,KOBAI_SEQ
      ,AFTER_STS_CD
      ,BEFORE_STS_CD
  FROM V_KOBAI_STS_R
</t>
    <phoneticPr fontId="1"/>
  </si>
  <si>
    <t xml:space="preserve"> ORDER BY UPDATE_DATE DESC
</t>
    <phoneticPr fontId="1"/>
  </si>
  <si>
    <t>UNKB0090_SQL_DATA_ORDER</t>
    <phoneticPr fontId="1"/>
  </si>
  <si>
    <t>全件数取得SQL</t>
    <rPh sb="0" eb="1">
      <t>ゼン</t>
    </rPh>
    <rPh sb="1" eb="3">
      <t>ケンスウ</t>
    </rPh>
    <rPh sb="3" eb="5">
      <t>シュトク</t>
    </rPh>
    <phoneticPr fontId="1"/>
  </si>
  <si>
    <t>UNKB0090_SQL_DATA_CNT</t>
    <phoneticPr fontId="1"/>
  </si>
  <si>
    <t xml:space="preserve">SELECT COUNT(*) AS CNT
  FROM V_KOBAI_STS_R
</t>
    <phoneticPr fontId="1"/>
  </si>
  <si>
    <t>ORDER BY</t>
    <phoneticPr fontId="1"/>
  </si>
  <si>
    <t xml:space="preserve">SELECT M_MEISHO_B.DATA_2   AS ORDER句
   FROM M_MEISHO_B
 WHERE M_MEISHO_B.MEISHO_KBN = 'O405'
   AND M_MEISHO_B.MEISHO_CD='2'
</t>
    <phoneticPr fontId="1"/>
  </si>
  <si>
    <t>UNKB0090_SQL_DEFAULT_SORT</t>
    <phoneticPr fontId="1"/>
  </si>
  <si>
    <t>POPUP</t>
    <phoneticPr fontId="1"/>
  </si>
  <si>
    <t>並べ替え</t>
    <rPh sb="0" eb="1">
      <t>ナラ</t>
    </rPh>
    <rPh sb="2" eb="3">
      <t>カ</t>
    </rPh>
    <phoneticPr fontId="1"/>
  </si>
  <si>
    <t xml:space="preserve">SELECT M_MEISHO_B.DATA_1        AS 並べ替え
      ,M_MEISHO_B.DATA_2        AS ORDER句
   FROM M_MEISHO_B
 WHERE M_MEISHO_B.MEISHO_KBN = 'O405'
 ORDER BY M_MEISHO_B.SORT_NO ASC
      ,CAST(M_MEISHO_B.MEISHO_CD AS INT) ASC
</t>
    <phoneticPr fontId="1"/>
  </si>
  <si>
    <t>UNKB0090_SQL_POP_SORT</t>
    <phoneticPr fontId="1"/>
  </si>
  <si>
    <t>UNKB0040_B_SELECT_KOBAI_NO</t>
  </si>
  <si>
    <t>UNKB0040_B_SELECT_KOBAI_SEQ</t>
  </si>
  <si>
    <t>UNKB0040_B_SELECT_ROW_NO</t>
    <phoneticPr fontId="1"/>
  </si>
  <si>
    <t>UNKB0050_B_SELECT_ROW_NO</t>
  </si>
  <si>
    <t>UNKB0050_B_SELECT_KOBAI_NO</t>
  </si>
  <si>
    <t>UNKB0050_B_SELECT_KOBAI_SEQ</t>
  </si>
  <si>
    <t xml:space="preserve">SELECT DATA_1
  FROM M_MEISHO_B
 WHERE MEISHO_KBN = 'S005'
   AND MEISHO_CD  = 1
</t>
    <phoneticPr fontId="1"/>
  </si>
  <si>
    <t>UNKB0020_SQL_DEFAULT_STS_MEI</t>
    <phoneticPr fontId="1"/>
  </si>
  <si>
    <t>UNKB0020_IF_COPY_B_STS_MEI_1</t>
    <phoneticPr fontId="1"/>
  </si>
  <si>
    <t>UNKB0020_IF_COPY_B_STS_MEI_2</t>
    <phoneticPr fontId="1"/>
  </si>
  <si>
    <t>UNKB0020_IF_COPY_B_STS_MEI_3</t>
    <phoneticPr fontId="1"/>
  </si>
  <si>
    <t>UNKB0020_IF_COPY_B_STS_MEI_4</t>
    <phoneticPr fontId="1"/>
  </si>
  <si>
    <t>UNKB0020_IF_COPY_B_STS_MEI_5</t>
    <phoneticPr fontId="1"/>
  </si>
  <si>
    <t>注文</t>
    <rPh sb="0" eb="2">
      <t>チュウモン</t>
    </rPh>
    <phoneticPr fontId="1"/>
  </si>
  <si>
    <t>未承認</t>
    <rPh sb="0" eb="3">
      <t>ミショウニン</t>
    </rPh>
    <phoneticPr fontId="1"/>
  </si>
  <si>
    <t>メーカー</t>
  </si>
  <si>
    <t>品名</t>
  </si>
  <si>
    <t>【データ】</t>
    <phoneticPr fontId="1"/>
  </si>
  <si>
    <t>【処理用】</t>
    <rPh sb="1" eb="3">
      <t>ショリ</t>
    </rPh>
    <rPh sb="3" eb="4">
      <t>ヨウ</t>
    </rPh>
    <phoneticPr fontId="1"/>
  </si>
  <si>
    <t>【書式】</t>
    <rPh sb="1" eb="3">
      <t>ショシキ</t>
    </rPh>
    <phoneticPr fontId="1"/>
  </si>
  <si>
    <t>UNKB0050_REPORT_IF_KENSU</t>
    <phoneticPr fontId="1"/>
  </si>
  <si>
    <t>直送フラグ</t>
    <rPh sb="0" eb="2">
      <t>チョクソウ</t>
    </rPh>
    <phoneticPr fontId="1"/>
  </si>
  <si>
    <t>郵便番号</t>
    <rPh sb="0" eb="4">
      <t>ユウビンバンゴウ</t>
    </rPh>
    <phoneticPr fontId="1"/>
  </si>
  <si>
    <t>住所</t>
    <rPh sb="0" eb="2">
      <t>ジュウショ</t>
    </rPh>
    <phoneticPr fontId="1"/>
  </si>
  <si>
    <t>相手先名</t>
    <rPh sb="0" eb="3">
      <t>アイテサキ</t>
    </rPh>
    <rPh sb="3" eb="4">
      <t>メイ</t>
    </rPh>
    <phoneticPr fontId="1"/>
  </si>
  <si>
    <t>担当者名</t>
    <rPh sb="0" eb="2">
      <t>タントウ</t>
    </rPh>
    <rPh sb="2" eb="3">
      <t>シャ</t>
    </rPh>
    <rPh sb="3" eb="4">
      <t>メイ</t>
    </rPh>
    <phoneticPr fontId="1"/>
  </si>
  <si>
    <t>電話番号</t>
    <rPh sb="0" eb="2">
      <t>デンワ</t>
    </rPh>
    <rPh sb="2" eb="4">
      <t>バンゴウ</t>
    </rPh>
    <phoneticPr fontId="1"/>
  </si>
  <si>
    <t>購買申請CD</t>
    <rPh sb="0" eb="2">
      <t>コウバイ</t>
    </rPh>
    <rPh sb="2" eb="4">
      <t>シンセイ</t>
    </rPh>
    <phoneticPr fontId="1"/>
  </si>
  <si>
    <t>データ展開開始位置</t>
    <rPh sb="3" eb="5">
      <t>テンカイ</t>
    </rPh>
    <rPh sb="5" eb="7">
      <t>カイシ</t>
    </rPh>
    <rPh sb="7" eb="9">
      <t>イチ</t>
    </rPh>
    <phoneticPr fontId="1"/>
  </si>
  <si>
    <t>UNKB0050_REPORT_IF_CLEAR_AREA</t>
    <phoneticPr fontId="1"/>
  </si>
  <si>
    <t>UNKB0050_REPORT_IF_DATA_START</t>
    <phoneticPr fontId="1"/>
  </si>
  <si>
    <t>【帳票データ】</t>
    <rPh sb="1" eb="3">
      <t>チョウヒョウ</t>
    </rPh>
    <phoneticPr fontId="1"/>
  </si>
  <si>
    <t>【仕入先データ】</t>
    <rPh sb="1" eb="3">
      <t>シイレ</t>
    </rPh>
    <rPh sb="3" eb="4">
      <t>サキ</t>
    </rPh>
    <phoneticPr fontId="1"/>
  </si>
  <si>
    <t>仕入先件数</t>
    <rPh sb="0" eb="2">
      <t>シイレ</t>
    </rPh>
    <rPh sb="2" eb="3">
      <t>サキ</t>
    </rPh>
    <rPh sb="3" eb="5">
      <t>ケンスウ</t>
    </rPh>
    <phoneticPr fontId="1"/>
  </si>
  <si>
    <t>UNKB0050_REPORT_IF_SHIIRE_KENSU</t>
    <phoneticPr fontId="1"/>
  </si>
  <si>
    <t>仕入先CD展開開始位置</t>
    <rPh sb="0" eb="2">
      <t>シイレ</t>
    </rPh>
    <rPh sb="2" eb="3">
      <t>サキ</t>
    </rPh>
    <rPh sb="5" eb="7">
      <t>テンカイ</t>
    </rPh>
    <rPh sb="7" eb="9">
      <t>カイシ</t>
    </rPh>
    <rPh sb="9" eb="11">
      <t>イチ</t>
    </rPh>
    <phoneticPr fontId="1"/>
  </si>
  <si>
    <t>UNKB0050_REPORT_IF_SHIIRE_START</t>
    <phoneticPr fontId="1"/>
  </si>
  <si>
    <t>仕入先名</t>
    <rPh sb="0" eb="2">
      <t>シイレ</t>
    </rPh>
    <rPh sb="2" eb="3">
      <t>サキ</t>
    </rPh>
    <rPh sb="3" eb="4">
      <t>メイ</t>
    </rPh>
    <phoneticPr fontId="1"/>
  </si>
  <si>
    <t>仕入先TEL</t>
    <rPh sb="0" eb="2">
      <t>シイレ</t>
    </rPh>
    <rPh sb="2" eb="3">
      <t>サキ</t>
    </rPh>
    <phoneticPr fontId="1"/>
  </si>
  <si>
    <t>仕入先FAX</t>
    <rPh sb="0" eb="2">
      <t>シイレ</t>
    </rPh>
    <rPh sb="2" eb="3">
      <t>サキ</t>
    </rPh>
    <phoneticPr fontId="1"/>
  </si>
  <si>
    <t>担当者名</t>
    <rPh sb="0" eb="3">
      <t>タントウシャ</t>
    </rPh>
    <rPh sb="3" eb="4">
      <t>メイ</t>
    </rPh>
    <phoneticPr fontId="1"/>
  </si>
  <si>
    <t>UNKB0050_H_HATCHU_DATE</t>
    <phoneticPr fontId="1"/>
  </si>
  <si>
    <t>帳票用データSQL</t>
    <rPh sb="0" eb="2">
      <t>チョウヒョウ</t>
    </rPh>
    <rPh sb="2" eb="3">
      <t>ヨウ</t>
    </rPh>
    <phoneticPr fontId="1"/>
  </si>
  <si>
    <t>仕入先データ取得SQL(ループ用)</t>
    <rPh sb="0" eb="2">
      <t>シイレ</t>
    </rPh>
    <rPh sb="2" eb="3">
      <t>サキ</t>
    </rPh>
    <rPh sb="6" eb="8">
      <t>シュトク</t>
    </rPh>
    <rPh sb="15" eb="16">
      <t>ヨウ</t>
    </rPh>
    <phoneticPr fontId="1"/>
  </si>
  <si>
    <t>帳票データ取得SQL</t>
    <rPh sb="0" eb="2">
      <t>チョウヒョウ</t>
    </rPh>
    <rPh sb="5" eb="7">
      <t>シュトク</t>
    </rPh>
    <phoneticPr fontId="1"/>
  </si>
  <si>
    <t>ループ回数</t>
    <rPh sb="3" eb="5">
      <t>カイスウ</t>
    </rPh>
    <phoneticPr fontId="1"/>
  </si>
  <si>
    <t>UNKB0050_REPORT_IF_SHIIRE_LOOP</t>
    <phoneticPr fontId="1"/>
  </si>
  <si>
    <t>コピー先</t>
    <rPh sb="3" eb="4">
      <t>サキ</t>
    </rPh>
    <phoneticPr fontId="1"/>
  </si>
  <si>
    <t>UNKB0050_REPORT_IF_COPY_MOTO</t>
    <phoneticPr fontId="1"/>
  </si>
  <si>
    <t>UNKB0050_REPORT_IF_COPY_SAKI</t>
    <phoneticPr fontId="1"/>
  </si>
  <si>
    <t>FROM</t>
    <phoneticPr fontId="1"/>
  </si>
  <si>
    <t>WHERE</t>
    <phoneticPr fontId="1"/>
  </si>
  <si>
    <t xml:space="preserve">SELECT DISTINCT
       W_KOBAI_CHUMON_LIST.SHIIRE_CD
      ,M_AITESAKI.AITE_MEI
      ,M_AITESAKI.TANTO_MEI
      ,M_AITESAKI.TEL
      ,M_AITESAKI.FAX
</t>
    <phoneticPr fontId="1"/>
  </si>
  <si>
    <t xml:space="preserve">  FROM W_KOBAI_CHUMON_LIST
  LEFT JOIN
       M_AITESAKI
    ON M_AITESAKI.AITE_CD = W_KOBAI_CHUMON_LIST.SHIIRE_CD
</t>
    <phoneticPr fontId="1"/>
  </si>
  <si>
    <t xml:space="preserve">  FROM V_KOBAI_LIST
  LEFT JOIN
       T_CHUMON
    ON T_CHUMON.KOBAI_NO      =  V_KOBAI_LIST.KOBAI_NO
   AND T_CHUMON.KOBAI_SEQ     =  V_KOBAI_LIST.KOBAI_SEQ
  LEFT JOIN
       T_HAN_JUCHU_H
    ON T_HAN_JUCHU_H.JURI_NO  =  V_KOBAI_LIST.JURI_NO
  LEFT JOIN
       M_SHOHIN
    ON M_SHOHIN.SHOHIN_CD     =  V_KOBAI_LIST.KOBAIHIN_CD
  LEFT JOIN
       M_AITESAKI
    ON M_AITESAKI.AITE_CD     =  V_KOBAI_LIST.SHIIRE_CD
</t>
    <phoneticPr fontId="1"/>
  </si>
  <si>
    <t>UNKB0050_SQL_REPORT_SHIIRE</t>
    <phoneticPr fontId="1"/>
  </si>
  <si>
    <t>UNKB0050_SQL_REPORT_DATA</t>
    <phoneticPr fontId="1"/>
  </si>
  <si>
    <t>UNKB0050_REPORT_IF_SHIIRE_SHIIRE_CD</t>
    <phoneticPr fontId="1"/>
  </si>
  <si>
    <t>UNKB0050_REPORT_IF_SHIIRE_SHIIRE_MEI</t>
    <phoneticPr fontId="1"/>
  </si>
  <si>
    <t>UNKB0050_REPORT_IF_SHIIRE_TANTO_MEI</t>
    <phoneticPr fontId="1"/>
  </si>
  <si>
    <t>UNKB0050_REPORT_IF_SHIIRE_TEL</t>
    <phoneticPr fontId="1"/>
  </si>
  <si>
    <t>UNKB0050_REPORT_IF_SHIIRE_FAX</t>
    <phoneticPr fontId="1"/>
  </si>
  <si>
    <t>UNKB0050_REPORT_IF_DATA_SHIIRE_CD</t>
    <phoneticPr fontId="1"/>
  </si>
  <si>
    <t>UNKB0050_REPORT_IF_DATA_KOBAI_NO</t>
    <phoneticPr fontId="1"/>
  </si>
  <si>
    <t>UNKB0050_REPORT_IF_DATA_KOBAI_SEQ</t>
    <phoneticPr fontId="1"/>
  </si>
  <si>
    <t>UNKB0050_REPORT_IF_DATA_KOBAI_KBN</t>
    <phoneticPr fontId="1"/>
  </si>
  <si>
    <t>UNKB0050_REPORT_IF_DATA_JURI_NO</t>
    <phoneticPr fontId="1"/>
  </si>
  <si>
    <t>UNKB0050_REPORT_IF_DATA_CHUMON_NO</t>
    <phoneticPr fontId="1"/>
  </si>
  <si>
    <t>UNKB0050_REPORT_IF_DATA_CHUMON_SEQ</t>
    <phoneticPr fontId="1"/>
  </si>
  <si>
    <t>UNKB0050_REPORT_IF_DATA_MAKER_MEI</t>
    <phoneticPr fontId="1"/>
  </si>
  <si>
    <t>UNKB0050_REPORT_IF_DATA_HIMBAN</t>
    <phoneticPr fontId="1"/>
  </si>
  <si>
    <t>UNKB0050_REPORT_IF_DATA_KOBAIHIN_MEI</t>
    <phoneticPr fontId="1"/>
  </si>
  <si>
    <t>UNKB0050_REPORT_IF_DATA_SHIIRE_IRISU</t>
    <phoneticPr fontId="1"/>
  </si>
  <si>
    <t>UNKB0050_REPORT_IF_DATA_SHIIRE_IRISU_TANI</t>
    <phoneticPr fontId="1"/>
  </si>
  <si>
    <t>UNKB0050_REPORT_IF_DATA_SURYO</t>
    <phoneticPr fontId="1"/>
  </si>
  <si>
    <t>UNKB0050_REPORT_IF_DATA_BARA_TANI</t>
    <phoneticPr fontId="1"/>
  </si>
  <si>
    <t>UNKB0050_REPORT_IF_DATA_BIKO</t>
    <phoneticPr fontId="1"/>
  </si>
  <si>
    <t>UNKB0050_REPORT_IF_DATA_NOKI</t>
    <phoneticPr fontId="1"/>
  </si>
  <si>
    <t>UNKB0050_REPORT_IF_DATA_MAKER_FLG</t>
    <phoneticPr fontId="1"/>
  </si>
  <si>
    <t>UNKB0050_REPORT_IF_DATA_HASSO_MEI</t>
    <phoneticPr fontId="1"/>
  </si>
  <si>
    <t>UNKB0050_REPORT_IF_DATA_HASSO_YUBIN_NO</t>
    <phoneticPr fontId="1"/>
  </si>
  <si>
    <t>UNKB0050_REPORT_IF_DATA_HASSO_ADDRESS</t>
    <phoneticPr fontId="1"/>
  </si>
  <si>
    <t>UNKB0050_REPORT_IF_DATA_HASSO_TANTO_MEI</t>
    <phoneticPr fontId="1"/>
  </si>
  <si>
    <t>UNKB0050_REPORT_IF_DATA_HASSO_TEL</t>
    <phoneticPr fontId="1"/>
  </si>
  <si>
    <t>１ページ表示行数</t>
    <rPh sb="4" eb="6">
      <t>ヒョウジ</t>
    </rPh>
    <rPh sb="6" eb="8">
      <t>ギョウスウ</t>
    </rPh>
    <phoneticPr fontId="1"/>
  </si>
  <si>
    <t>UNKB0050_REPORT_IF_PAGE_GYO</t>
    <phoneticPr fontId="1"/>
  </si>
  <si>
    <t>ステータス：</t>
    <phoneticPr fontId="1"/>
  </si>
  <si>
    <t>UNKB0080_H_INIT_HEADER_FLG_COPY_SAKI</t>
    <phoneticPr fontId="1"/>
  </si>
  <si>
    <t>グループ</t>
    <phoneticPr fontId="1"/>
  </si>
  <si>
    <t>セル名</t>
    <phoneticPr fontId="1"/>
  </si>
  <si>
    <t>UNKB0080_H_KOBAIHIN_KBN</t>
    <phoneticPr fontId="1"/>
  </si>
  <si>
    <t>UNKB0080_H_TOSHI_KBN</t>
    <phoneticPr fontId="1"/>
  </si>
  <si>
    <t>UNKB0080_H_HANBAI_KBN</t>
    <phoneticPr fontId="1"/>
  </si>
  <si>
    <t>ステータス</t>
    <phoneticPr fontId="1"/>
  </si>
  <si>
    <t>UNKB0080_H_MISHONIN_STS</t>
    <phoneticPr fontId="1"/>
  </si>
  <si>
    <t>フリーワード：</t>
    <phoneticPr fontId="1"/>
  </si>
  <si>
    <t>-</t>
    <phoneticPr fontId="1"/>
  </si>
  <si>
    <t>UNKB0080_H_TOSHI_KBN_S</t>
    <phoneticPr fontId="1"/>
  </si>
  <si>
    <t>UNKB0080_H_HANBAI_KBN_S</t>
    <phoneticPr fontId="1"/>
  </si>
  <si>
    <t>UNKB0080_H_MISHONIN_STS_S</t>
    <phoneticPr fontId="1"/>
  </si>
  <si>
    <t>UNKB0080_H_IRAICHU_STS_S</t>
    <phoneticPr fontId="1"/>
  </si>
  <si>
    <t>UNKB0080_H_CHUMONSHO_STS_S</t>
    <phoneticPr fontId="1"/>
  </si>
  <si>
    <t>UNKB0080_H_ICHIBU_STS_S</t>
    <phoneticPr fontId="1"/>
  </si>
  <si>
    <t>UNKB0080_H_NYUKA_STS_S</t>
    <phoneticPr fontId="1"/>
  </si>
  <si>
    <t>UNKB0080_H_KENSHU_STS_S</t>
    <phoneticPr fontId="1"/>
  </si>
  <si>
    <t>UNKB0080_H_INSATSU_MI_STS_S</t>
    <phoneticPr fontId="1"/>
  </si>
  <si>
    <t>UNKB0080_H_INSATSU_SUMI_STS_S</t>
    <phoneticPr fontId="1"/>
  </si>
  <si>
    <t>申請日・スタート</t>
    <phoneticPr fontId="1"/>
  </si>
  <si>
    <t>UNKB0080_H_SHINSEI_DATE_START_S</t>
    <phoneticPr fontId="1"/>
  </si>
  <si>
    <t>申請日・エンド</t>
    <phoneticPr fontId="1"/>
  </si>
  <si>
    <t>UNKB0080_H_SHINSEI_DATE_END_S</t>
    <phoneticPr fontId="1"/>
  </si>
  <si>
    <t>UNKB0080_H_NOKI_START_S</t>
    <phoneticPr fontId="1"/>
  </si>
  <si>
    <t>UNKB0080_H_NOKI_END_S</t>
    <phoneticPr fontId="1"/>
  </si>
  <si>
    <t>UNKB0080_H_UKEIRE_DATE_START_S</t>
    <phoneticPr fontId="1"/>
  </si>
  <si>
    <t>UNKB0080_H_UKEIRE_DATE_END_S</t>
    <phoneticPr fontId="1"/>
  </si>
  <si>
    <t>UNKB0080_H_KENSHU_DATE_START_S</t>
    <phoneticPr fontId="1"/>
  </si>
  <si>
    <t>UNKB0080_H_KENSHU_DATE_END_S</t>
    <phoneticPr fontId="1"/>
  </si>
  <si>
    <t>UNKB0080_H_KOBAI_NO_S</t>
    <phoneticPr fontId="1"/>
  </si>
  <si>
    <t>UNKB0080_H_SHINSEISHA_CD_S</t>
    <phoneticPr fontId="1"/>
  </si>
  <si>
    <t>UNKB0080_H_SHINSEISHA_MEI_S</t>
    <phoneticPr fontId="1"/>
  </si>
  <si>
    <t>UNKB0080_H_JURI_NO_S</t>
    <phoneticPr fontId="1"/>
  </si>
  <si>
    <t>UNKB0080_H_YOSAN_CD_S</t>
    <phoneticPr fontId="1"/>
  </si>
  <si>
    <t>UNKB0080_H_YOSAN_MEI_S</t>
    <phoneticPr fontId="1"/>
  </si>
  <si>
    <t>UNKB0080_H_KOBAIHIN_CD_S</t>
    <phoneticPr fontId="1"/>
  </si>
  <si>
    <t>UNKB0080_H_KOBAIHIN_MEI_S</t>
    <phoneticPr fontId="1"/>
  </si>
  <si>
    <t>UNKB0080_H_SHIIRE_CD_S</t>
    <phoneticPr fontId="1"/>
  </si>
  <si>
    <t>UNKB0080_H_SHIIRE_MEI_S</t>
    <phoneticPr fontId="1"/>
  </si>
  <si>
    <t>メーカーCD</t>
    <phoneticPr fontId="1"/>
  </si>
  <si>
    <t>UNKB0080_H_MAKER_CD_S</t>
    <phoneticPr fontId="1"/>
  </si>
  <si>
    <t>UNKB0080_H_MAKER_MEI_S</t>
    <phoneticPr fontId="1"/>
  </si>
  <si>
    <t>フリーワード１</t>
    <phoneticPr fontId="1"/>
  </si>
  <si>
    <t>UNKB0080_H_FREEWD_1_S</t>
    <phoneticPr fontId="1"/>
  </si>
  <si>
    <t>UNKB0080_H_FREEWD_2_S</t>
    <phoneticPr fontId="1"/>
  </si>
  <si>
    <t>UNKB0080_H_FREEWD_3_S</t>
    <phoneticPr fontId="1"/>
  </si>
  <si>
    <t>UNKB0080_H_FREEWD_KBN_S</t>
    <phoneticPr fontId="1"/>
  </si>
  <si>
    <t>ステータス</t>
    <phoneticPr fontId="1"/>
  </si>
  <si>
    <t>申請者名</t>
    <phoneticPr fontId="1"/>
  </si>
  <si>
    <t>メーカーCD</t>
    <phoneticPr fontId="1"/>
  </si>
  <si>
    <t>UNKB0080_B_HIDE_COLUMN</t>
    <phoneticPr fontId="1"/>
  </si>
  <si>
    <t>UNKB0080_B_SCROLL_LOCK</t>
    <phoneticPr fontId="1"/>
  </si>
  <si>
    <t>UNKB0080_B_ALL_KENSU</t>
    <phoneticPr fontId="1"/>
  </si>
  <si>
    <t>UNKB0080_B_PAGE_NO</t>
    <phoneticPr fontId="1"/>
  </si>
  <si>
    <t>UNKB0080_B_ALL_PAGE_SU</t>
    <phoneticPr fontId="1"/>
  </si>
  <si>
    <t>リスト書式コピーフラグ</t>
    <phoneticPr fontId="1"/>
  </si>
  <si>
    <t>UNKB0080_B_LIST_CLEAR</t>
    <phoneticPr fontId="1"/>
  </si>
  <si>
    <t>UNKB0080_B_NEXT_PAGE_NO</t>
    <phoneticPr fontId="1"/>
  </si>
  <si>
    <t>UNKB0080_B_BACK_PAGE_NO</t>
    <phoneticPr fontId="1"/>
  </si>
  <si>
    <t>UNKB0080_B_BACK_PAGE</t>
    <phoneticPr fontId="1"/>
  </si>
  <si>
    <t>UNKB0080_B_NEXT_PAGE</t>
    <phoneticPr fontId="1"/>
  </si>
  <si>
    <t>～</t>
    <phoneticPr fontId="1"/>
  </si>
  <si>
    <t>UNKB0080_IF_LIST_DEFAULT</t>
    <phoneticPr fontId="1"/>
  </si>
  <si>
    <t>UNKB0080_IF_INIT_HEADER_FLG_COPY_MOTO</t>
    <phoneticPr fontId="1"/>
  </si>
  <si>
    <t>～</t>
    <phoneticPr fontId="1"/>
  </si>
  <si>
    <t>申請者名▼</t>
    <phoneticPr fontId="1"/>
  </si>
  <si>
    <t>UNKB0080_IF_LIST_COPY_MOTO</t>
    <phoneticPr fontId="1"/>
  </si>
  <si>
    <t>UNKB0080_IF_DATA_SEARCH_FLG</t>
    <phoneticPr fontId="1"/>
  </si>
  <si>
    <t>UNKB0080_IF_ACTIVE_SHEET</t>
    <phoneticPr fontId="1"/>
  </si>
  <si>
    <t>UNKB0080_IF_ACTIVE_ROW</t>
    <phoneticPr fontId="1"/>
  </si>
  <si>
    <t>UNKB0080_IF_ACTIVE_COLUMN</t>
    <phoneticPr fontId="1"/>
  </si>
  <si>
    <t>UNKB0080_IF_ACTIVE_CELL_NAME</t>
    <phoneticPr fontId="1"/>
  </si>
  <si>
    <t>発行ボタン</t>
    <rPh sb="0" eb="2">
      <t>ハッコウ</t>
    </rPh>
    <phoneticPr fontId="1"/>
  </si>
  <si>
    <t>UNKB0080_IF_BUTTON_16_HYOJI</t>
    <phoneticPr fontId="1"/>
  </si>
  <si>
    <t>件数が1件以上の場合有効</t>
    <rPh sb="0" eb="2">
      <t>ケンスウ</t>
    </rPh>
    <rPh sb="4" eb="5">
      <t>ケン</t>
    </rPh>
    <rPh sb="5" eb="7">
      <t>イジョウ</t>
    </rPh>
    <rPh sb="8" eb="10">
      <t>バアイ</t>
    </rPh>
    <rPh sb="10" eb="12">
      <t>ユウコウ</t>
    </rPh>
    <phoneticPr fontId="1"/>
  </si>
  <si>
    <t>FROM</t>
    <phoneticPr fontId="1"/>
  </si>
  <si>
    <t xml:space="preserve">  FROM V_KOBAI_NYUKA_LIST
</t>
    <phoneticPr fontId="1"/>
  </si>
  <si>
    <t>カウントSQL</t>
    <phoneticPr fontId="1"/>
  </si>
  <si>
    <t xml:space="preserve">SELECT COUNT(*) AS CNT
</t>
    <phoneticPr fontId="1"/>
  </si>
  <si>
    <t>印刷データ取得SQL</t>
    <rPh sb="0" eb="2">
      <t>インサツ</t>
    </rPh>
    <rPh sb="5" eb="7">
      <t>シュトク</t>
    </rPh>
    <phoneticPr fontId="1"/>
  </si>
  <si>
    <t>UNKB0080_SQL_REPORT_DATA</t>
    <phoneticPr fontId="1"/>
  </si>
  <si>
    <t>印刷済フラグセットSQL</t>
    <rPh sb="0" eb="2">
      <t>インサツ</t>
    </rPh>
    <rPh sb="2" eb="3">
      <t>ス</t>
    </rPh>
    <phoneticPr fontId="1"/>
  </si>
  <si>
    <t>UNKB0080_SQL_UPDATE_HAKKO_FLG</t>
    <phoneticPr fontId="1"/>
  </si>
  <si>
    <t>UPDATE</t>
    <phoneticPr fontId="1"/>
  </si>
  <si>
    <t>WHERE</t>
    <phoneticPr fontId="1"/>
  </si>
  <si>
    <t>フリーワード</t>
    <phoneticPr fontId="1"/>
  </si>
  <si>
    <t>PAGE</t>
    <phoneticPr fontId="1"/>
  </si>
  <si>
    <t>ORDER BY</t>
    <phoneticPr fontId="1"/>
  </si>
  <si>
    <t>SELECT M_MEISHO_B.DATA_1   AS 並べ替え
      ,M_MEISHO_B.DATA_2        AS ORDER句
  FROM M_MEISHO_B
 WHERE M_MEISHO_B.MEISHO_KBN='O404'
 ORDER BY
       M_MEISHO_B.SORT_NO ASC
      ,CAST(M_MEISHO_B.MEISHO_CD AS INT) ASC</t>
    <phoneticPr fontId="1"/>
  </si>
  <si>
    <t>UNKB0080_SQL_SORT_BY</t>
    <phoneticPr fontId="1"/>
  </si>
  <si>
    <t>包装</t>
    <rPh sb="0" eb="2">
      <t>ホウソウ</t>
    </rPh>
    <phoneticPr fontId="1"/>
  </si>
  <si>
    <t>注文数</t>
    <rPh sb="0" eb="2">
      <t>チュウモン</t>
    </rPh>
    <rPh sb="2" eb="3">
      <t>スウ</t>
    </rPh>
    <phoneticPr fontId="1"/>
  </si>
  <si>
    <t>注文総数</t>
    <rPh sb="0" eb="2">
      <t>チュウモン</t>
    </rPh>
    <rPh sb="2" eb="3">
      <t>ソウ</t>
    </rPh>
    <rPh sb="3" eb="4">
      <t>スウ</t>
    </rPh>
    <phoneticPr fontId="1"/>
  </si>
  <si>
    <t>【データ】</t>
    <phoneticPr fontId="1"/>
  </si>
  <si>
    <t>UNKB0080_REPORT_IF_KOBAI_NO</t>
  </si>
  <si>
    <t>UNKB0080_REPORT_IF_KOBAI_SEQ</t>
  </si>
  <si>
    <t>UNKB0080_REPORT_IF_IRAI_NO</t>
  </si>
  <si>
    <t>UNKB0080_REPORT_IF_CHUMON_NO</t>
  </si>
  <si>
    <t>UNKB0080_REPORT_IF_HATCHU_DATE</t>
  </si>
  <si>
    <t>UNKB0080_REPORT_IF_SHINSEISHA_MEI</t>
  </si>
  <si>
    <t>UNKB0080_REPORT_IF_SHIIRE_MEI</t>
  </si>
  <si>
    <t>UNKB0080_REPORT_IF_MAKER_MEI</t>
  </si>
  <si>
    <t>UNKB0080_REPORT_IF_KOBAIHIN_MEI</t>
  </si>
  <si>
    <t>UNKB0080_REPORT_IF_IRISU</t>
  </si>
  <si>
    <t>UNKB0080_REPORT_IF_IRISU_TANI</t>
  </si>
  <si>
    <t>UNKB0080_REPORT_IF_SURYO</t>
  </si>
  <si>
    <t>UNKB0080_REPORT_IF_SOSU</t>
  </si>
  <si>
    <t>UNKB0080_REPORT_IF_BARA_TANI</t>
  </si>
  <si>
    <t>UNKB0080_REPORT_IF_KENSU</t>
    <phoneticPr fontId="1"/>
  </si>
  <si>
    <t>データ開始位置</t>
    <rPh sb="3" eb="5">
      <t>カイシ</t>
    </rPh>
    <rPh sb="5" eb="7">
      <t>イチ</t>
    </rPh>
    <phoneticPr fontId="1"/>
  </si>
  <si>
    <t>UNKB0080_REPORT_IF_START</t>
    <phoneticPr fontId="1"/>
  </si>
  <si>
    <t>UNKB0080_REPORT_IF_COPY_MOTO</t>
    <phoneticPr fontId="1"/>
  </si>
  <si>
    <t>UNKB0080_REPORT_IF_COPY_SAKI</t>
    <phoneticPr fontId="1"/>
  </si>
  <si>
    <t>AND</t>
  </si>
  <si>
    <t xml:space="preserve">UPDATE T_CHUMON
   SET T_CHUMON.NYUKA_HAKKO_FLG = 'True'
  FROM T_CHUMON
 INNER JOIN
       V_KOBAI_NYUKA_LIST
    ON V_KOBAI_NYUKA_LIST.KOBAI_NO  = T_CHUMON.KOBAI_NO
   AND V_KOBAI_NYUKA_LIST.KOBAI_SEQ = T_CHUMON.KOBAI_SEQ
</t>
    <phoneticPr fontId="1"/>
  </si>
  <si>
    <t>【ハイパータスク】</t>
    <phoneticPr fontId="1"/>
  </si>
  <si>
    <t>情報取得</t>
    <rPh sb="0" eb="2">
      <t>ジョウホウ</t>
    </rPh>
    <rPh sb="2" eb="4">
      <t>シュトク</t>
    </rPh>
    <phoneticPr fontId="1"/>
  </si>
  <si>
    <t>UNKB0140_H_DBS_01</t>
    <phoneticPr fontId="1"/>
  </si>
  <si>
    <t>DBS#401403101</t>
    <phoneticPr fontId="1"/>
  </si>
  <si>
    <t>データ件数(データ有無判定)</t>
    <rPh sb="3" eb="5">
      <t>ケンスウ</t>
    </rPh>
    <rPh sb="9" eb="11">
      <t>ウム</t>
    </rPh>
    <rPh sb="11" eb="13">
      <t>ハンテイ</t>
    </rPh>
    <phoneticPr fontId="1"/>
  </si>
  <si>
    <t>UNKB0140_H_DATA_COUNT</t>
    <phoneticPr fontId="1"/>
  </si>
  <si>
    <t>UNKB0140_H_HIDE_ROW</t>
    <phoneticPr fontId="1"/>
  </si>
  <si>
    <t>UNKB0140_H_HIDE_COLUMN</t>
    <phoneticPr fontId="1"/>
  </si>
  <si>
    <t>セル名</t>
    <phoneticPr fontId="1"/>
  </si>
  <si>
    <t>UNKB0140_B_HIDE_ROW</t>
    <phoneticPr fontId="1"/>
  </si>
  <si>
    <t>入出庫No.：</t>
    <rPh sb="0" eb="3">
      <t>ニュウシュッコ</t>
    </rPh>
    <phoneticPr fontId="1"/>
  </si>
  <si>
    <t>在庫管理No.：</t>
    <rPh sb="0" eb="2">
      <t>ザイコ</t>
    </rPh>
    <rPh sb="2" eb="4">
      <t>カンリ</t>
    </rPh>
    <phoneticPr fontId="1"/>
  </si>
  <si>
    <t>UNKB0140_B_HIDE_COLUMN</t>
    <phoneticPr fontId="1"/>
  </si>
  <si>
    <t>入力者名▼</t>
    <phoneticPr fontId="1"/>
  </si>
  <si>
    <t>【コード関連】</t>
    <rPh sb="4" eb="6">
      <t>カンレン</t>
    </rPh>
    <phoneticPr fontId="1"/>
  </si>
  <si>
    <t>UNKB0140_B_CODE_AREA</t>
    <phoneticPr fontId="1"/>
  </si>
  <si>
    <t>入力者CD</t>
    <rPh sb="0" eb="2">
      <t>ニュウリョク</t>
    </rPh>
    <rPh sb="2" eb="3">
      <t>シャ</t>
    </rPh>
    <phoneticPr fontId="1"/>
  </si>
  <si>
    <t>UNKB0140_B_NYURYOKUSHA_CD</t>
    <phoneticPr fontId="1"/>
  </si>
  <si>
    <t>UNKB0140_B_KOBAI_SEQ</t>
    <phoneticPr fontId="1"/>
  </si>
  <si>
    <t>UNKB0140_B_HOKAN_BASHO_KBN</t>
    <phoneticPr fontId="1"/>
  </si>
  <si>
    <t>UNKB0140_B_YOSAN_MEI</t>
    <phoneticPr fontId="1"/>
  </si>
  <si>
    <t>申請者名：</t>
    <phoneticPr fontId="1"/>
  </si>
  <si>
    <t>試薬フラグ</t>
    <rPh sb="0" eb="2">
      <t>シヤク</t>
    </rPh>
    <phoneticPr fontId="1"/>
  </si>
  <si>
    <t>UNKB0140_B_SHIYAKU_FLG</t>
    <phoneticPr fontId="1"/>
  </si>
  <si>
    <t>UNKB0140_B_HATCHU_DATE</t>
    <phoneticPr fontId="1"/>
  </si>
  <si>
    <t>メーカー：</t>
    <phoneticPr fontId="1"/>
  </si>
  <si>
    <t>予算コード：</t>
    <phoneticPr fontId="1"/>
  </si>
  <si>
    <t>受理No.：</t>
    <phoneticPr fontId="1"/>
  </si>
  <si>
    <t>購買申請No.：</t>
    <phoneticPr fontId="1"/>
  </si>
  <si>
    <t>注文No.：</t>
    <rPh sb="0" eb="2">
      <t>チュウモン</t>
    </rPh>
    <phoneticPr fontId="1"/>
  </si>
  <si>
    <t>【ヘッダ】</t>
    <phoneticPr fontId="1"/>
  </si>
  <si>
    <t>【ボディ】</t>
    <phoneticPr fontId="1"/>
  </si>
  <si>
    <t>UNKB0140_IF_DATA_SEARCH_FLG</t>
  </si>
  <si>
    <t>NYUSHUKKO_NO</t>
  </si>
  <si>
    <t>ZAIKO_NO</t>
  </si>
  <si>
    <t>KOBAIHIN_CD</t>
  </si>
  <si>
    <t>IRAI_NO</t>
  </si>
  <si>
    <t>NYURYOKUSHA_CD</t>
  </si>
  <si>
    <t>HOKAN_BASHO_KBN</t>
  </si>
  <si>
    <t>UKEIRE_DATE</t>
  </si>
  <si>
    <t>KENSHU_DATE</t>
  </si>
  <si>
    <t>NYUKO_SURYO</t>
  </si>
  <si>
    <t>TANKA</t>
  </si>
  <si>
    <t>IRISU</t>
  </si>
  <si>
    <t>IRISU_TANI</t>
  </si>
  <si>
    <t>BARA_TANI</t>
  </si>
  <si>
    <t>対象依頼/入出庫No.</t>
    <rPh sb="0" eb="2">
      <t>タイショウ</t>
    </rPh>
    <rPh sb="2" eb="4">
      <t>イライ</t>
    </rPh>
    <rPh sb="5" eb="6">
      <t>イリ</t>
    </rPh>
    <rPh sb="6" eb="8">
      <t>シュッコ</t>
    </rPh>
    <phoneticPr fontId="1"/>
  </si>
  <si>
    <t>UNKB0140_IF_REF_NO</t>
  </si>
  <si>
    <t>ユーザーID</t>
    <phoneticPr fontId="1"/>
  </si>
  <si>
    <t>UNKB0140_IF_W_USER_ID</t>
  </si>
  <si>
    <t>入出庫No.</t>
  </si>
  <si>
    <t>在庫管理No.</t>
  </si>
  <si>
    <t>入力者CD</t>
  </si>
  <si>
    <t>受入日</t>
  </si>
  <si>
    <t>検収日</t>
  </si>
  <si>
    <t>入庫数量</t>
  </si>
  <si>
    <t>試薬用納品管理票印刷フラグ</t>
    <rPh sb="0" eb="2">
      <t>シヤク</t>
    </rPh>
    <rPh sb="2" eb="3">
      <t>ヨウ</t>
    </rPh>
    <rPh sb="3" eb="5">
      <t>ノウヒン</t>
    </rPh>
    <rPh sb="5" eb="7">
      <t>カンリ</t>
    </rPh>
    <rPh sb="7" eb="8">
      <t>ヒョウ</t>
    </rPh>
    <rPh sb="8" eb="10">
      <t>インサツ</t>
    </rPh>
    <phoneticPr fontId="1"/>
  </si>
  <si>
    <t>UNKB0140_IF_SHIYAKU_FLG</t>
    <phoneticPr fontId="1"/>
  </si>
  <si>
    <t>UNKB0140_IF_COPY_H_SHINKI</t>
    <phoneticPr fontId="1"/>
  </si>
  <si>
    <t>UNKB0140_IF_COPY_B_SHINKI</t>
    <phoneticPr fontId="1"/>
  </si>
  <si>
    <t>UNKB0140_IF_W_SERIAL</t>
  </si>
  <si>
    <t>UNKB0140_IF</t>
  </si>
  <si>
    <t>保存開始位置</t>
    <rPh sb="0" eb="2">
      <t>ホゾン</t>
    </rPh>
    <rPh sb="2" eb="4">
      <t>カイシ</t>
    </rPh>
    <rPh sb="4" eb="6">
      <t>イチ</t>
    </rPh>
    <phoneticPr fontId="1"/>
  </si>
  <si>
    <t>UNKB0140_IF_SAVE_START</t>
    <phoneticPr fontId="1"/>
  </si>
  <si>
    <t>UNKB0140_IF_W_SERIAL_CREATE</t>
  </si>
  <si>
    <t>UNKB0140_IF_SAVE_IRAI_NO</t>
  </si>
  <si>
    <t>UNKB0140_IF_SAVE_NYURYOKUSHA_CD</t>
    <phoneticPr fontId="1"/>
  </si>
  <si>
    <t>UNKB0140_IF_SAVE_HOKAN_BASHO_KBN</t>
    <phoneticPr fontId="1"/>
  </si>
  <si>
    <t>UNKB0140_IF_SAVE_UKEIRE_DATE</t>
  </si>
  <si>
    <t>UNKB0140_IF_SAVE_NYUKO_SURYO</t>
  </si>
  <si>
    <t>UNKB0140_IF_W_MODE</t>
  </si>
  <si>
    <t>UNKB0140_IF_MODE</t>
  </si>
  <si>
    <t>UNKB0140_IF</t>
    <phoneticPr fontId="1"/>
  </si>
  <si>
    <t>UNKB0140_IF_COPY_H_SHUSEI</t>
    <phoneticPr fontId="1"/>
  </si>
  <si>
    <t>UNKB0140_IF_SAVE_KENSU</t>
  </si>
  <si>
    <t>UNKB0140_IF_ACTIVE_SHEET</t>
  </si>
  <si>
    <t>UNKB0140_H</t>
    <phoneticPr fontId="1"/>
  </si>
  <si>
    <t>UNKB0140_IF_ACTIVE_ROW</t>
  </si>
  <si>
    <t>UNKB0140_IF_ACTIVE_COLUMN</t>
  </si>
  <si>
    <t>UNKB0140_IF_ACTIVE_CELL_NAME</t>
  </si>
  <si>
    <t>UNKB0140_H_COPY_SAKI</t>
  </si>
  <si>
    <t>UNKB0140_IF_COPY_H_SANSHO</t>
    <phoneticPr fontId="1"/>
  </si>
  <si>
    <t>対象入出庫No.</t>
    <rPh sb="0" eb="2">
      <t>タイショウ</t>
    </rPh>
    <rPh sb="2" eb="3">
      <t>イリ</t>
    </rPh>
    <rPh sb="3" eb="5">
      <t>シュッコ</t>
    </rPh>
    <phoneticPr fontId="1"/>
  </si>
  <si>
    <t>UNKB0140_IF_SAVE_RESULT_NYUSHUKKO_NO</t>
    <phoneticPr fontId="1"/>
  </si>
  <si>
    <t>UNKB0140_IF_SAVE_RESULT_CD</t>
  </si>
  <si>
    <t>UNKB0140_IF_BUTTON_06_NAME</t>
    <phoneticPr fontId="1"/>
  </si>
  <si>
    <t>-</t>
    <phoneticPr fontId="1"/>
  </si>
  <si>
    <t>UNKB0140_IF_SAVE_RESULT_MESSAGE</t>
  </si>
  <si>
    <t>UNKB0140_IF_BUTTON_10_NAME</t>
    <phoneticPr fontId="1"/>
  </si>
  <si>
    <t>変更保存</t>
    <rPh sb="0" eb="2">
      <t>ヘンコウ</t>
    </rPh>
    <rPh sb="2" eb="4">
      <t>ホゾン</t>
    </rPh>
    <phoneticPr fontId="1"/>
  </si>
  <si>
    <t>-</t>
    <phoneticPr fontId="1"/>
  </si>
  <si>
    <t>【初期状態(依頼No.入力前)】</t>
    <rPh sb="1" eb="3">
      <t>ショキ</t>
    </rPh>
    <rPh sb="3" eb="5">
      <t>ジョウタイ</t>
    </rPh>
    <rPh sb="6" eb="8">
      <t>イライ</t>
    </rPh>
    <rPh sb="11" eb="13">
      <t>ニュウリョク</t>
    </rPh>
    <rPh sb="13" eb="14">
      <t>マエ</t>
    </rPh>
    <phoneticPr fontId="1"/>
  </si>
  <si>
    <t>UNKB0140_IF_SAVE_ERROR_CHECK</t>
  </si>
  <si>
    <t>UNKB0140_IF_COPY_H_INIT</t>
    <phoneticPr fontId="1"/>
  </si>
  <si>
    <t>UNKB0140_IF_SAVE_ERROR_MESSAGE</t>
    <phoneticPr fontId="1"/>
  </si>
  <si>
    <t>UNKB0140_IF_BUTTON_06_HYOJI</t>
    <phoneticPr fontId="1"/>
  </si>
  <si>
    <t>UNKB0140_IF_BUTTON_07_HYOJI</t>
    <phoneticPr fontId="1"/>
  </si>
  <si>
    <t>UNKB0140_IF_BUTTON_10_HYOJI</t>
    <phoneticPr fontId="1"/>
  </si>
  <si>
    <t>納品管理票印刷ボタン</t>
    <rPh sb="0" eb="2">
      <t>ノウヒン</t>
    </rPh>
    <rPh sb="2" eb="4">
      <t>カンリ</t>
    </rPh>
    <rPh sb="4" eb="5">
      <t>ヒョウ</t>
    </rPh>
    <rPh sb="5" eb="7">
      <t>インサツ</t>
    </rPh>
    <phoneticPr fontId="1"/>
  </si>
  <si>
    <t>UNKB0140_IF_BUTTON_18_HYOJI</t>
    <phoneticPr fontId="1"/>
  </si>
  <si>
    <t>Excel出力ボタン</t>
    <phoneticPr fontId="1"/>
  </si>
  <si>
    <t>UNKB0140_IF_BUTTON_20_HYOJI</t>
    <phoneticPr fontId="1"/>
  </si>
  <si>
    <t>UNKB0140_IF_COPY_B_SHUSEI</t>
    <phoneticPr fontId="1"/>
  </si>
  <si>
    <t>UNKB0140_IF_INPUT_CHECK</t>
  </si>
  <si>
    <t>エラーメッセージ</t>
    <phoneticPr fontId="1"/>
  </si>
  <si>
    <t>UNKB0140_IF_INPUT_ERROR_MESSAGE</t>
  </si>
  <si>
    <t>UNKB0140_IF_EXCEL_FILE_NAME</t>
    <phoneticPr fontId="1"/>
  </si>
  <si>
    <t>UNKB0140_IF_SAVE_CHECK_RESULT</t>
    <phoneticPr fontId="1"/>
  </si>
  <si>
    <t>UNKB0140_IF_SAVE_CHECK_ERROR_KOMOKU</t>
    <phoneticPr fontId="1"/>
  </si>
  <si>
    <t>UNKB0140_IF_COPY_B_SANSHO</t>
    <phoneticPr fontId="1"/>
  </si>
  <si>
    <t>UNKB0140_IF_COPY_B_INIT</t>
    <phoneticPr fontId="1"/>
  </si>
  <si>
    <t>UNKB0140_SQL_DATA</t>
    <phoneticPr fontId="1"/>
  </si>
  <si>
    <t>データ取得SQL(新規)</t>
    <rPh sb="3" eb="5">
      <t>シュトク</t>
    </rPh>
    <rPh sb="9" eb="11">
      <t>シンキ</t>
    </rPh>
    <phoneticPr fontId="1"/>
  </si>
  <si>
    <t>SELECT</t>
    <phoneticPr fontId="1"/>
  </si>
  <si>
    <t xml:space="preserve">SELECT *
</t>
    <phoneticPr fontId="1"/>
  </si>
  <si>
    <t>FROM</t>
    <phoneticPr fontId="1"/>
  </si>
  <si>
    <t xml:space="preserve">  FROM V_UKEIRE_KENSHU_DATA_SHINKI
</t>
    <phoneticPr fontId="1"/>
  </si>
  <si>
    <t>WHERE</t>
    <phoneticPr fontId="1"/>
  </si>
  <si>
    <t>データ取得SQL(修正)</t>
    <rPh sb="3" eb="5">
      <t>シュトク</t>
    </rPh>
    <rPh sb="9" eb="11">
      <t>シュウセイ</t>
    </rPh>
    <phoneticPr fontId="1"/>
  </si>
  <si>
    <t>SELECT</t>
    <phoneticPr fontId="1"/>
  </si>
  <si>
    <t xml:space="preserve">SELECT *
</t>
    <phoneticPr fontId="1"/>
  </si>
  <si>
    <t>FROM</t>
    <phoneticPr fontId="1"/>
  </si>
  <si>
    <t xml:space="preserve">  FROM V_UKEIRE_KENSHU_DATA_SANSHO
</t>
    <phoneticPr fontId="1"/>
  </si>
  <si>
    <t>WHERE</t>
    <phoneticPr fontId="1"/>
  </si>
  <si>
    <t>UNKB0140_SQL_DATA_COUNT</t>
    <phoneticPr fontId="1"/>
  </si>
  <si>
    <t>SELECT</t>
    <phoneticPr fontId="1"/>
  </si>
  <si>
    <t xml:space="preserve">SELECT COUNT(*) AS CNT
  FROM V_UKEIRE_KENSHU_DATA_SHINKI
</t>
    <phoneticPr fontId="1"/>
  </si>
  <si>
    <t>WHERE</t>
    <phoneticPr fontId="1"/>
  </si>
  <si>
    <t>ストアド</t>
    <phoneticPr fontId="1"/>
  </si>
  <si>
    <t>UNKB0140_SQL_PROC</t>
  </si>
  <si>
    <t>UNKB0140_SQL_DEFAULT_NYURYOKUSHA</t>
    <phoneticPr fontId="1"/>
  </si>
  <si>
    <t>入出庫No.</t>
    <rPh sb="0" eb="1">
      <t>イリ</t>
    </rPh>
    <rPh sb="1" eb="3">
      <t>シュッコ</t>
    </rPh>
    <phoneticPr fontId="1"/>
  </si>
  <si>
    <t>UNKB0130_H_HIDE_ROW</t>
  </si>
  <si>
    <t>UNKB0130_H_INIT_HEADER_FLG_COPY_SAKI</t>
  </si>
  <si>
    <t>UNKB0130_H_KOBAIHIN_KBN</t>
  </si>
  <si>
    <t>UNKB0130_H_GAICHU_KBN</t>
  </si>
  <si>
    <t>UNKB0130_H_SHUZEN_KBN</t>
  </si>
  <si>
    <t>UNKB0130_H_TOSHI_KBN</t>
  </si>
  <si>
    <t>UNKB0130_H_HANBAI_KBN</t>
  </si>
  <si>
    <t>UNKB0130_H_SHINSEISHA_CD</t>
  </si>
  <si>
    <t>UNKB0130_H_YOSAN_MEI</t>
  </si>
  <si>
    <t>UNKB0130_H_KOBAIHIN_MEI</t>
  </si>
  <si>
    <t>UNKB0130_H_MAKER_MEI</t>
  </si>
  <si>
    <t>UNKB0130_H_FREEWD_KBN</t>
  </si>
  <si>
    <t>UNKB0130_H_KOBAIHIN_KBN_S</t>
  </si>
  <si>
    <t>UNKB0130_H_GAICHU_KBN_S</t>
  </si>
  <si>
    <t>UNKB0130_H_SHUZEN_KBN_S</t>
  </si>
  <si>
    <t>UNKB0130_H_TOSHI_KBN_S</t>
  </si>
  <si>
    <t>UNKB0130_H_HANBAI_KBN_S</t>
  </si>
  <si>
    <t>UNKB0130_H_SHINSEI_DATE_START_S</t>
  </si>
  <si>
    <t>UNKB0130_H_SHINSEI_DATE_END_S</t>
  </si>
  <si>
    <t>UNKB0130_H_NOKI_START_S</t>
  </si>
  <si>
    <t>UNKB0130_H_UKEIRE_DATE_START_S</t>
  </si>
  <si>
    <t>UNKB0130_H_UKEIRE_DATE_END_S</t>
  </si>
  <si>
    <t>UNKB0130_H_KENSHU_DATE_START_S</t>
  </si>
  <si>
    <t>UNKB0130_H_KENSHU_DATE_END_S</t>
  </si>
  <si>
    <t>UNKB0130_H_KOBAI_NO_S</t>
  </si>
  <si>
    <t>UNKB0130_H_SHINSEISHA_CD_S</t>
  </si>
  <si>
    <t>UNKB0130_H_SHINSEISHA_MEI_S</t>
  </si>
  <si>
    <t>UNKB0130_H_JURI_NO_S</t>
  </si>
  <si>
    <t>UNKB0130_H_YOSAN_CD_S</t>
  </si>
  <si>
    <t>UNKB0130_H_YOSAN_MEI_S</t>
  </si>
  <si>
    <t>UNKB0130_H_KOBAIHIN_CD_S</t>
  </si>
  <si>
    <t>UNKB0130_H_KOBAIHIN_MEI_S</t>
  </si>
  <si>
    <t>UNKB0130_H_SHIIRE_CD_S</t>
  </si>
  <si>
    <t>UNKB0130_H_SHIIRE_MEI_S</t>
  </si>
  <si>
    <t>UNKB0130_H_MAKER_CD_S</t>
  </si>
  <si>
    <t>UNKB0130_H_MAKER_MEI_S</t>
  </si>
  <si>
    <t>UNKB0130_H_FREEWD_1_S</t>
  </si>
  <si>
    <t>UNKB0130_H_FREEWD_2_S</t>
  </si>
  <si>
    <t>UNKB0130_H_FREEWD_3_S</t>
  </si>
  <si>
    <t>UNKB0130_H_FREEWD_KBN_S</t>
  </si>
  <si>
    <t>UNKB0130_B_ALL_KENSU</t>
  </si>
  <si>
    <t>UNKB0130_B_PAGE_NO</t>
  </si>
  <si>
    <t>UNKB0130_B_ALL_PAGE_SU</t>
  </si>
  <si>
    <t>UNKB0130_B_HYOJI_KENSU</t>
  </si>
  <si>
    <t>UNKB0130_B_HYOJI_GYO_SU</t>
  </si>
  <si>
    <t>UNKB0130_B_LIST_START</t>
  </si>
  <si>
    <t>UNKB0130_B_LIST_END</t>
  </si>
  <si>
    <t>UNKB0130_B_LIST_COPY_FLG</t>
  </si>
  <si>
    <t>UNKB0130_B_LIST_COPY_SAKI</t>
  </si>
  <si>
    <t>UNKB0130_B_LIST_CLEAR</t>
  </si>
  <si>
    <t>UNKB0130_B_NEXT_PAGE_NO</t>
  </si>
  <si>
    <t>UNKB0130_B_BACK_PAGE_NO</t>
  </si>
  <si>
    <t>UNKB0130_B_BACK_PAGE</t>
  </si>
  <si>
    <t>UNKB0130_B_NEXT_PAGE</t>
  </si>
  <si>
    <t>UNKB0130_IF_INIT_HEADER_COPY_MOTO</t>
  </si>
  <si>
    <t>UNKB0130_IF_LIST_DEFAULT</t>
  </si>
  <si>
    <t>UNKB0130_IF_INIT_HEADER_FLG_COPY_MOTO</t>
  </si>
  <si>
    <t>UNKB0130_IF_LIST_COPY_MOTO</t>
  </si>
  <si>
    <t>UNKB0130_IF_DATA_SEARCH_FLG</t>
  </si>
  <si>
    <t>UNKB0130_IF_ACTIVE_SHEET</t>
  </si>
  <si>
    <t>UNKB0130_IF_ACTIVE_ROW</t>
  </si>
  <si>
    <t>UNKB0130_IF_ACTIVE_COLUMN</t>
  </si>
  <si>
    <t>UNKB0130_IF_ACTIVE_CELL_NAME</t>
  </si>
  <si>
    <t>UNKB0130_SQL_SEARCH_LIST</t>
  </si>
  <si>
    <t>UNKB0130_SQL_EXCEL_LIST</t>
  </si>
  <si>
    <t>UNKB0130_SQL_SEARCH_LIST_CNT</t>
  </si>
  <si>
    <t>UNKB0130_SQL_SORT</t>
  </si>
  <si>
    <t>UNKB0130_SQL_DEFAULT_SORT</t>
  </si>
  <si>
    <t>UNKB0130_H_HIDE_COLUMN</t>
    <phoneticPr fontId="1"/>
  </si>
  <si>
    <t>未検収フラグ</t>
    <rPh sb="0" eb="3">
      <t>ミケンシュウ</t>
    </rPh>
    <phoneticPr fontId="1"/>
  </si>
  <si>
    <t>UNKB0130_H_MIKENSHU_FLG</t>
    <phoneticPr fontId="1"/>
  </si>
  <si>
    <t>UNKB0130_H_NOKI_END_S</t>
    <phoneticPr fontId="1"/>
  </si>
  <si>
    <t>購買区分</t>
    <rPh sb="0" eb="2">
      <t>コウバイ</t>
    </rPh>
    <rPh sb="2" eb="4">
      <t>クブン</t>
    </rPh>
    <phoneticPr fontId="1"/>
  </si>
  <si>
    <t>申請者CD</t>
    <rPh sb="0" eb="3">
      <t>シンセイシャ</t>
    </rPh>
    <phoneticPr fontId="1"/>
  </si>
  <si>
    <t>購買申請SEQ</t>
    <rPh sb="0" eb="2">
      <t>コウバイ</t>
    </rPh>
    <rPh sb="2" eb="4">
      <t>シンセイ</t>
    </rPh>
    <phoneticPr fontId="1"/>
  </si>
  <si>
    <t>保管場所区分</t>
    <rPh sb="0" eb="2">
      <t>ホカン</t>
    </rPh>
    <rPh sb="2" eb="4">
      <t>バショ</t>
    </rPh>
    <rPh sb="4" eb="6">
      <t>クブン</t>
    </rPh>
    <phoneticPr fontId="1"/>
  </si>
  <si>
    <t>フリーワード</t>
    <phoneticPr fontId="1"/>
  </si>
  <si>
    <t>UNKB0130_H_SHIIRESAKI_MEI</t>
    <phoneticPr fontId="1"/>
  </si>
  <si>
    <t>UNKB0130_B_HIDE_ROW</t>
    <phoneticPr fontId="1"/>
  </si>
  <si>
    <t>UNKB0130_B_HIDE_COLUMN</t>
    <phoneticPr fontId="1"/>
  </si>
  <si>
    <t>UNKB0130_B_SCROLL_LOCK</t>
    <phoneticPr fontId="1"/>
  </si>
  <si>
    <t>依頼No.</t>
    <rPh sb="0" eb="2">
      <t>イライ</t>
    </rPh>
    <phoneticPr fontId="1"/>
  </si>
  <si>
    <t>入出庫No.</t>
    <rPh sb="0" eb="1">
      <t>イリ</t>
    </rPh>
    <rPh sb="1" eb="3">
      <t>シュッコ</t>
    </rPh>
    <phoneticPr fontId="1"/>
  </si>
  <si>
    <t>UNKB0130_H_IRAI_NO_S</t>
    <phoneticPr fontId="1"/>
  </si>
  <si>
    <t>UNKB0130_H_NYUSHUKKO_NO_S</t>
    <phoneticPr fontId="1"/>
  </si>
  <si>
    <t>未検収フラグ</t>
    <rPh sb="0" eb="3">
      <t>ミケンシュウ</t>
    </rPh>
    <phoneticPr fontId="1"/>
  </si>
  <si>
    <t>UNKB0130_H_MIKENSHU_FLG_S</t>
    <phoneticPr fontId="1"/>
  </si>
  <si>
    <t>UNKB0130_IF_EXCEL_COUNT</t>
    <phoneticPr fontId="1"/>
  </si>
  <si>
    <t>UNKB0130_IF_EXCEL_SHOSHIKI_COPY_SAKI</t>
    <phoneticPr fontId="1"/>
  </si>
  <si>
    <t>UNKB0130_IF_EXCEL_SHOSHIKI_COPY_FLG</t>
    <phoneticPr fontId="1"/>
  </si>
  <si>
    <t>UNKB0130_IF_EXCEL_SHOSHIKI_COPY_MOTO</t>
    <phoneticPr fontId="1"/>
  </si>
  <si>
    <t>UNKB0130_IF_EXCEL_FILE_NAME</t>
    <phoneticPr fontId="1"/>
  </si>
  <si>
    <t xml:space="preserve"> FROM V_UKEIRE_KENSHU_LIST
</t>
  </si>
  <si>
    <t xml:space="preserve"> ORDER BY NYUSHUKKO_NO DESC</t>
    <phoneticPr fontId="1"/>
  </si>
  <si>
    <t>SELECT DATA_2   AS ORDER句
  FROM M_MEISHO_B
 WHERE MEISHO_KBN = 'O401'
   AND MEISHO_CD  = '2'</t>
    <phoneticPr fontId="1"/>
  </si>
  <si>
    <t>SELECT DATA_2   AS ORDER句
  FROM M_MEISHO_B
 WHERE MEISHO_KBN = 'O404'
   AND MEISHO_CD  = '2'</t>
    <phoneticPr fontId="1"/>
  </si>
  <si>
    <t>SELECT DATA_2   AS ORDER句
  FROM M_MEISHO_B
 WHERE MEISHO_KBN = 'O403'
   AND MEISHO_CD  = '2'</t>
    <phoneticPr fontId="1"/>
  </si>
  <si>
    <t>SELECT DATA_2   AS ORDER句
  FROM M_MEISHO_B
 WHERE MEISHO_KBN = 'O402'
   AND MEISHO_CD  = '2'</t>
    <phoneticPr fontId="1"/>
  </si>
  <si>
    <t>UNKB0130_SQL_SORT_POPUP</t>
    <phoneticPr fontId="1"/>
  </si>
  <si>
    <t>UNKB0130_B_SELECT_ROW_NO</t>
  </si>
  <si>
    <t>対象入出庫No.</t>
    <rPh sb="0" eb="2">
      <t>タイショウ</t>
    </rPh>
    <rPh sb="2" eb="3">
      <t>ニュウ</t>
    </rPh>
    <rPh sb="3" eb="5">
      <t>シュッコ</t>
    </rPh>
    <phoneticPr fontId="1"/>
  </si>
  <si>
    <t>UNKB0130_B_SELECT_NYUSHUKKO_NO</t>
    <phoneticPr fontId="1"/>
  </si>
  <si>
    <t xml:space="preserve">  FROM V_UKEIRE_KENSHU_LIST
</t>
    <phoneticPr fontId="1"/>
  </si>
  <si>
    <t>UNKB0140</t>
    <phoneticPr fontId="1"/>
  </si>
  <si>
    <t>UNKB0140_IF_MODE</t>
    <phoneticPr fontId="1"/>
  </si>
  <si>
    <t>未検収フラグ</t>
    <rPh sb="0" eb="3">
      <t>ミケンシュウ</t>
    </rPh>
    <phoneticPr fontId="1"/>
  </si>
  <si>
    <t>購買品CD：</t>
    <rPh sb="0" eb="3">
      <t>コウバイヒン</t>
    </rPh>
    <phoneticPr fontId="1"/>
  </si>
  <si>
    <t>購買品名：</t>
    <rPh sb="0" eb="2">
      <t>コウバイ</t>
    </rPh>
    <rPh sb="2" eb="4">
      <t>ヒンメイ</t>
    </rPh>
    <phoneticPr fontId="1"/>
  </si>
  <si>
    <t>A</t>
  </si>
  <si>
    <t>B</t>
  </si>
  <si>
    <t>C</t>
  </si>
  <si>
    <t>I16-123456</t>
    <phoneticPr fontId="1"/>
  </si>
  <si>
    <t>K16-123456</t>
    <phoneticPr fontId="1"/>
  </si>
  <si>
    <t>中川</t>
    <phoneticPr fontId="1"/>
  </si>
  <si>
    <t>J16-123456</t>
    <phoneticPr fontId="1"/>
  </si>
  <si>
    <t>N16-123456</t>
    <phoneticPr fontId="1"/>
  </si>
  <si>
    <t>AAA</t>
    <phoneticPr fontId="1"/>
  </si>
  <si>
    <t>BBB</t>
    <phoneticPr fontId="1"/>
  </si>
  <si>
    <t>CCC</t>
    <phoneticPr fontId="1"/>
  </si>
  <si>
    <t>受入検収検索</t>
  </si>
  <si>
    <t>購買区分：</t>
  </si>
  <si>
    <t>申請日▼</t>
  </si>
  <si>
    <t>依頼No.▽</t>
  </si>
  <si>
    <t>購買品▼</t>
  </si>
  <si>
    <t/>
  </si>
  <si>
    <t>希望納期▼</t>
  </si>
  <si>
    <t>購買申請No.▽</t>
  </si>
  <si>
    <t>仕入先▼</t>
  </si>
  <si>
    <t>受入日▼</t>
  </si>
  <si>
    <t>検収日▼</t>
  </si>
  <si>
    <t>受理No.▽</t>
  </si>
  <si>
    <t>予算コード▼</t>
  </si>
  <si>
    <t>入出庫No.▽</t>
  </si>
  <si>
    <t>未検収データのみ</t>
  </si>
  <si>
    <t>選択</t>
  </si>
  <si>
    <t>申請日</t>
  </si>
  <si>
    <t>金額</t>
  </si>
  <si>
    <t>SELECT M_MEISHO_B.DATA_1   AS 並べ替え
      ,M_MEISHO_B.DATA_2        AS ORDER句
  FROM M_MEISHO_B
 WHERE M_MEISHO_B.MEISHO_KBN='O406'
 ORDER BY
       M_MEISHO_B.SORT_NO ASC
      ,CAST(M_MEISHO_B.MEISHO_CD AS INT) ASC</t>
    <phoneticPr fontId="1"/>
  </si>
  <si>
    <t>SELECT DATA_2   AS ORDER句
  FROM M_MEISHO_B
 WHERE MEISHO_KBN = 'O406'
   AND MEISHO_CD  = '2'</t>
    <phoneticPr fontId="1"/>
  </si>
  <si>
    <t xml:space="preserve">SELECT KOBAI_NO         AS '購買申請No.'
      ,SHINSEISHA_MEI   AS 申請者名
      ,Convert(varchar(10),SHINSEI_DATETIME,111)
                        AS 申請日
      ,KOBAI_KBN_MEI    AS 購買区分
      ,SHINSEI_GAIYO    AS 申請概要
      ,NUKI_TOTAL       AS 税抜合計額
  FROM V_C_KOBAI_H
 WHERE DEL_FLG = 'False'
</t>
    <phoneticPr fontId="1"/>
  </si>
  <si>
    <t xml:space="preserve">SELECT IRAI_NO          AS '依頼No.'
      ,SHINSEISHA_MEI   AS 申請者名
      ,Convert(varchar(10),SHINSEI_DATETIME,111)
                        AS 申請日
      ,KOBAI_KBN_MEI    AS 購買区分
      ,KOBAIHIN_CD      AS 購買品CD
      ,KOBAIHIN_MEI     AS 購買品名
      ,TANKA            AS 単価
      ,IRISU            AS 入数
      ,IRISU_TANI       AS 入数単位
      ,SURYO            AS 数量
      ,SOSU             AS 注文総数
      ,BARA_TANI        AS バラ単位
      ,TOTAL            AS 金額
      ,SHIIRE_MEI       AS 仕入先名
      ,MAKER_MEI        AS メーカー名
      ,KOBAI_NO         AS '購買申請No.'
  FROM V_KOBAI_LIST
 WHERE ISNULL(IRAI_NO,'') &lt;&gt; ''
   AND DEL_FLG = 'False'
</t>
    <phoneticPr fontId="1"/>
  </si>
  <si>
    <t xml:space="preserve">SELECT V_C_NYUSHUKKO.NYUSHUKKO_NO         AS '入出庫No.'
      ,V_C_NYUSHUKKO.IRAI_NO              AS '依頼No.'
      ,V_C_NYUSHUKKO.JURI_NO              AS '受理No.'
      ,V_C_NYUSHUKKO.NYURYOKUSHA_MEI      AS 入力者
      ,V_KOBAI_LIST.KOBAIHIN_CD           AS 購買品CD
      ,V_KOBAI_LIST.KOBAIHIN_MEI          AS 購買品名
      ,V_C_NYUSHUKKO.HOKAN_BASHO_KBN_MEI  AS 保管場所
      ,V_C_NYUSHUKKO.UKEIRE_DATE          AS 受入日
      ,V_C_NYUSHUKKO.KENSHU_DATE          AS 検収日
      ,V_C_NYUSHUKKO.NYUKO_SURYO          AS 入庫数量
  FROM V_C_NYUSHUKKO
  LEFT JOIN
       V_KOBAI_LIST
    ON V_KOBAI_LIST.IRAI_NO = V_C_NYUSHUKKO.IRAI_NO
 WHERE NYUSHUKKO_KBN = 1
   AND DEL_FLG       = 'False'
</t>
    <phoneticPr fontId="1"/>
  </si>
  <si>
    <t xml:space="preserve">SELECT M_MEISHO_B.MEISHO_CD AS '部署CD'
      ,M_MEISHO_B.DATA_1    AS '部署名'
  FROM M_MEISHO_B
 WHERE M_MEISHO_B.MEISHO_KBN  =  'M001'
   AND M_MEISHO_B.MEISHO_CD   &gt;= 20
   AND M_MEISHO_B.MEISHO_CD   &lt;= 25
   AND M_MEISHO_B.MISHIYO_FLG =  'False'
 ORDER BY
       M_MEISHO_B.SORT_NO ASC
      ,CAST(M_MEISHO_B.MEISHO_CD AS INT) ASC
</t>
    <phoneticPr fontId="1"/>
  </si>
  <si>
    <t xml:space="preserve">SELECT M_MEISHO_B.MEISHO_CD AS ステータスCD
      ,M_MEISHO_B.DATA_1    AS ステータス
  FROM M_MEISHO_B
 WHERE M_MEISHO_B.MEISHO_KBN  = 'S005'
   AND M_MEISHO_B.MISHIYO_FLG = 'False'
 ORDER BY
       M_MEISHO_B.SORT_NO ASC
      ,CAST(M_MEISHO_B.MEISHO_CD AS INT) ASC
</t>
    <phoneticPr fontId="1"/>
  </si>
  <si>
    <t xml:space="preserve">SELECT M_MEISHO_B.MEISHO_CD AS 購買区分CD
      ,M_MEISHO_B.DATA_1 AS 購買区分
  FROM M_MEISHO_B
 WHERE M_MEISHO_B.MEISHO_KBN  = 'K021'
   AND M_MEISHO_B.MISHIYO_FLG = 'False'
 ORDER BY
       M_MEISHO_B.SORT_NO ASC
      ,CAST(M_MEISHO_B.MEISHO_CD AS INT) ASC
</t>
    <phoneticPr fontId="1"/>
  </si>
  <si>
    <t xml:space="preserve">SELECT M_MEISHO_B.MEISHO_CD AS 保管場所CD
      ,M_MEISHO_B.DATA_1 AS 保管場所
  FROM M_MEISHO_B
 WHERE M_MEISHO_B.MEISHO_KBN  = 'M002'
   AND M_MEISHO_B.MISHIYO_FLG = 'False'
 ORDER BY
       M_MEISHO_B.SORT_NO ASC
      ,CAST(M_MEISHO_B.MEISHO_CD AS INT) ASC
</t>
    <phoneticPr fontId="1"/>
  </si>
  <si>
    <t>SATO ﾚｽﾌﾟﾘT8-R8&lt;&lt;SATO_LAN_192.168.1.170_192.168.1.170&gt;&gt;</t>
    <phoneticPr fontId="1"/>
  </si>
  <si>
    <t>ラベル印刷プリンタ</t>
    <rPh sb="3" eb="5">
      <t>インサツ</t>
    </rPh>
    <phoneticPr fontId="1"/>
  </si>
  <si>
    <t>レシート印刷プリンタ</t>
    <rPh sb="4" eb="6">
      <t>インサツ</t>
    </rPh>
    <phoneticPr fontId="1"/>
  </si>
  <si>
    <t>UNKB0140_IF_LABEL_PRINTER</t>
    <phoneticPr fontId="1"/>
  </si>
  <si>
    <t>UNKB0140_IF_RECEIPT_PRINTER</t>
    <phoneticPr fontId="1"/>
  </si>
  <si>
    <t>EPSON TM-m30 Receipt&lt;&lt;ESDPRT001&gt;&gt;</t>
    <phoneticPr fontId="1"/>
  </si>
  <si>
    <t>【印刷制御】</t>
    <rPh sb="1" eb="3">
      <t>インサツ</t>
    </rPh>
    <rPh sb="3" eb="5">
      <t>セイギョ</t>
    </rPh>
    <phoneticPr fontId="1"/>
  </si>
  <si>
    <t>SELECT(ROW_NUMBER)</t>
    <phoneticPr fontId="1"/>
  </si>
  <si>
    <t>SELECT_2</t>
    <phoneticPr fontId="1"/>
  </si>
  <si>
    <t>注文数：</t>
    <rPh sb="0" eb="3">
      <t>チュウモンスウ</t>
    </rPh>
    <phoneticPr fontId="1"/>
  </si>
  <si>
    <t>試薬フラグ</t>
    <rPh sb="0" eb="2">
      <t>シヤク</t>
    </rPh>
    <phoneticPr fontId="1"/>
  </si>
  <si>
    <t xml:space="preserve">SELECT DATA_1
  FROM M_MEISHO_B
 WHERE MEISHO_KBN = 'K021'
   AND MEISHO_CD  = 1
</t>
    <phoneticPr fontId="1"/>
  </si>
  <si>
    <t>試薬フラグ展開位置</t>
    <rPh sb="0" eb="2">
      <t>シヤク</t>
    </rPh>
    <rPh sb="5" eb="7">
      <t>テンカイ</t>
    </rPh>
    <rPh sb="7" eb="9">
      <t>イチ</t>
    </rPh>
    <phoneticPr fontId="1"/>
  </si>
  <si>
    <t>UNKB0020_B_SHIYAKU_FLG_TENKAI</t>
    <phoneticPr fontId="1"/>
  </si>
  <si>
    <t>購買品名,単価,入数,入数単位,数量,バラ単位,注文総数,合計金額,希望納期,保管場所区分(試薬の場合のみ),仕入先CD,メーカーCD,予算コードまたは受理No.</t>
    <rPh sb="0" eb="2">
      <t>コウバイ</t>
    </rPh>
    <rPh sb="2" eb="4">
      <t>ヒンメイ</t>
    </rPh>
    <rPh sb="5" eb="7">
      <t>タンカ</t>
    </rPh>
    <rPh sb="8" eb="9">
      <t>イリ</t>
    </rPh>
    <rPh sb="9" eb="10">
      <t>カズ</t>
    </rPh>
    <rPh sb="11" eb="12">
      <t>イリ</t>
    </rPh>
    <rPh sb="12" eb="15">
      <t>スウタンイ</t>
    </rPh>
    <rPh sb="16" eb="18">
      <t>スウリョウ</t>
    </rPh>
    <rPh sb="21" eb="23">
      <t>タンイ</t>
    </rPh>
    <rPh sb="24" eb="26">
      <t>チュウモン</t>
    </rPh>
    <rPh sb="26" eb="28">
      <t>ソウスウ</t>
    </rPh>
    <rPh sb="29" eb="31">
      <t>ゴウケイ</t>
    </rPh>
    <rPh sb="31" eb="33">
      <t>キンガク</t>
    </rPh>
    <rPh sb="34" eb="36">
      <t>キボウ</t>
    </rPh>
    <rPh sb="36" eb="38">
      <t>ノウキ</t>
    </rPh>
    <rPh sb="39" eb="41">
      <t>ホカン</t>
    </rPh>
    <rPh sb="41" eb="43">
      <t>バショ</t>
    </rPh>
    <rPh sb="43" eb="45">
      <t>クブン</t>
    </rPh>
    <rPh sb="46" eb="48">
      <t>シヤク</t>
    </rPh>
    <rPh sb="49" eb="51">
      <t>バアイ</t>
    </rPh>
    <rPh sb="55" eb="57">
      <t>シイレ</t>
    </rPh>
    <rPh sb="57" eb="58">
      <t>サキ</t>
    </rPh>
    <rPh sb="68" eb="70">
      <t>ヨサン</t>
    </rPh>
    <rPh sb="76" eb="78">
      <t>ジュリ</t>
    </rPh>
    <phoneticPr fontId="1"/>
  </si>
  <si>
    <t xml:space="preserve">SELECT KOBAI_NO
      ,KOBAIHIN_CD
      ,KOBAIHIN_MEI
      ,TANKA
      ,IRISU
      ,BARA_TANI
      ,SURYO
      ,IRISU_TANI
      ,SOSU
      ,TOTAL
      ,NOKI
      ,HOKAN_BASHO_KBN_MEI
      ,SHIIRE_CD
      ,SHIIRE_MEI
      ,MAKER_CD
      ,MAKER_MEI
      ,YOSAN_CD
      ,YOSAN_MEI
      ,JURI_NO
      ,BIKO
  FROM V_C_KOBAI_B
</t>
    <phoneticPr fontId="1"/>
  </si>
  <si>
    <t>数量</t>
    <rPh sb="0" eb="2">
      <t>スウリョウ</t>
    </rPh>
    <phoneticPr fontId="1"/>
  </si>
  <si>
    <t xml:space="preserve">SELECT 
   W_KOBAI_SHONIN_LIST.GYO_MOJI
  ,W_KOBAI_SHONIN_LIST.W_ROW
  ,W_KOBAI_SHONIN_LIST.WARNING
  ,NULL
  ,W_KOBAI_SHONIN_LIST.SELECT_FLG
  ,W_KOBAI_SHONIN_LIST.KOBAI_KBN_MEI
  ,W_KOBAI_SHONIN_LIST.KOBAI_STS_MEI
  ,W_KOBAI_SHONIN_LIST.SHINSEISHA_MEI
  ,W_KOBAI_SHONIN_LIST.SHINSEI_DATETIME
  ,W_KOBAI_SHONIN_LIST.KOBAIHIN_CD
  ,W_KOBAI_SHONIN_LIST.KOBAIHIN_MEI
  ,W_KOBAI_SHONIN_LIST.TANKA
  ,W_KOBAI_SHONIN_LIST.IRISU
  ,W_KOBAI_SHONIN_LIST.BARA_TANI
  ,W_KOBAI_SHONIN_LIST.SURYO
  ,W_KOBAI_SHONIN_LIST.IRISU_TANI
  ,W_KOBAI_SHONIN_LIST.SOSU
  ,W_KOBAI_SHONIN_LIST.TOTAL
  ,W_KOBAI_SHONIN_LIST.NOKI
  ,W_KOBAI_SHONIN_LIST.UKEIRE_DATE
  ,W_KOBAI_SHONIN_LIST.KENSHU_DATE
  ,W_KOBAI_SHONIN_LIST.HOKAN_BASHO_KBN_MEI
  ,W_KOBAI_SHONIN_LIST.SHIIRE_CD
  ,W_KOBAI_SHONIN_LIST.SHIIRE_MEI
  ,W_KOBAI_SHONIN_LIST.MAKER_CD
  ,W_KOBAI_SHONIN_LIST.MAKER_MEI
  ,W_KOBAI_SHONIN_LIST.YOSAN_CD
  ,W_KOBAI_SHONIN_LIST.JURI_NO
  ,W_KOBAI_SHONIN_LIST.BIKO
  ,W_KOBAI_SHONIN_LIST.KOBAI_NO
  ,W_KOBAI_SHONIN_LIST.IRAI_NO
  ,W_KOBAI_SHONIN_LIST.KOBAI_KBN
  ,W_KOBAI_SHONIN_LIST.KOBAI_STS
  ,W_KOBAI_SHONIN_LIST.SHINSEISHA_CD
  ,W_KOBAI_SHONIN_LIST.FREEWD
  ,W_KOBAI_SHONIN_LIST.KOBAI_SEQ
</t>
    <phoneticPr fontId="1"/>
  </si>
  <si>
    <t xml:space="preserve">SELECT
   W_KOBAI_SHONIN_LIST.KOBAI_NO
  ,W_KOBAI_SHONIN_LIST.SELECT_FLG
  ,W_KOBAI_SHONIN_LIST.WARNING
  ,W_KOBAI_SHONIN_LIST.KOBAI_KBN_MEI
  ,W_KOBAI_SHONIN_LIST.KOBAI_STS_MEI
  ,W_KOBAI_SHONIN_LIST.SHINSEISHA_MEI
  ,W_KOBAI_SHONIN_LIST.SHINSEI_DATETIME
  ,W_KOBAI_SHONIN_LIST.KOBAIHIN_CD
  ,W_KOBAI_SHONIN_LIST.KOBAIHIN_MEI
  ,W_KOBAI_SHONIN_LIST.TANKA
  ,W_KOBAI_SHONIN_LIST.IRISU
  ,W_KOBAI_SHONIN_LIST.BARA_TANI
  ,W_KOBAI_SHONIN_LIST.SURYO
  ,W_KOBAI_SHONIN_LIST.IRISU_TANI
  ,W_KOBAI_SHONIN_LIST.SOSU
  ,W_KOBAI_SHONIN_LIST.TOTAL
  ,W_KOBAI_SHONIN_LIST.NOKI
  ,W_KOBAI_SHONIN_LIST.UKEIRE_DATE
  ,W_KOBAI_SHONIN_LIST.KENSHU_DATE
  ,W_KOBAI_SHONIN_LIST.HOKAN_BASHO_KBN_MEI
  ,W_KOBAI_SHONIN_LIST.SHIIRE_CD
  ,W_KOBAI_SHONIN_LIST.SHIIRE_MEI
  ,W_KOBAI_SHONIN_LIST.MAKER_CD
  ,W_KOBAI_SHONIN_LIST.MAKER_MEI
  ,W_KOBAI_SHONIN_LIST.YOSAN_CD
  ,W_KOBAI_SHONIN_LIST.JURI_NO
  ,W_KOBAI_SHONIN_LIST.BIKO
  ,W_KOBAI_SHONIN_LIST.IRAI_NO
</t>
    <phoneticPr fontId="1"/>
  </si>
  <si>
    <t xml:space="preserve">SELECT
   W_KOBAI_CHUMON_LIST.CHUMON_NO
  ,W_KOBAI_CHUMON_LIST.WARNING
  ,W_KOBAI_CHUMON_LIST.SELECT_FLG
  ,W_KOBAI_CHUMON_LIST.KOBAI_KBN_MEI
  ,W_KOBAI_CHUMON_LIST.KOBAI_STS_MEI
  ,W_KOBAI_CHUMON_LIST.SHINSEISHA_MEI
  ,W_KOBAI_CHUMON_LIST.SHINSEI_DATETIME
  ,W_KOBAI_CHUMON_LIST.KOBAIHIN_CD
  ,W_KOBAI_CHUMON_LIST.KOBAIHIN_MEI
  ,W_KOBAI_CHUMON_LIST.TANKA
  ,W_KOBAI_CHUMON_LIST.IRISU
  ,W_KOBAI_CHUMON_LIST.BARA_TANI
  ,W_KOBAI_CHUMON_LIST.SURYO
  ,W_KOBAI_CHUMON_LIST.IRISU_TANI
  ,W_KOBAI_CHUMON_LIST.SOSU
  ,W_KOBAI_CHUMON_LIST.TOTAL
  ,W_KOBAI_CHUMON_LIST.HATCHU_DATE
  ,W_KOBAI_CHUMON_LIST.NOKI
  ,W_KOBAI_CHUMON_LIST.UKEIRE_DATE
  ,W_KOBAI_CHUMON_LIST.KENSHU_DATE
  ,W_KOBAI_CHUMON_LIST.HOKAN_BASHO_KBN_MEI
  ,W_KOBAI_CHUMON_LIST.SHIIRE_CD
  ,W_KOBAI_CHUMON_LIST.SHIIRE_MEI
  ,W_KOBAI_CHUMON_LIST.MAKER_CD
  ,W_KOBAI_CHUMON_LIST.MAKER_MEI
  ,W_KOBAI_CHUMON_LIST.YOSAN_CD
  ,W_KOBAI_CHUMON_LIST.JURI_NO
  ,W_KOBAI_CHUMON_LIST.BIKO
  ,W_KOBAI_CHUMON_LIST.KOBAI_NO
  ,W_KOBAI_CHUMON_LIST.IRAI_NO
</t>
    <phoneticPr fontId="1"/>
  </si>
  <si>
    <t xml:space="preserve">SELECT 
   W_KOBAI_CHUMON_LIST.GYO_MOJI
  ,W_KOBAI_CHUMON_LIST.W_ROW
  ,W_KOBAI_CHUMON_LIST.WARNING
  ,NULL
  ,W_KOBAI_CHUMON_LIST.SELECT_FLG
  ,W_KOBAI_CHUMON_LIST.KOBAI_KBN_MEI
  ,W_KOBAI_CHUMON_LIST.KOBAI_STS_MEI
  ,W_KOBAI_CHUMON_LIST.SHINSEISHA_MEI
  ,W_KOBAI_CHUMON_LIST.SHINSEI_DATETIME
  ,W_KOBAI_CHUMON_LIST.KOBAIHIN_CD
  ,W_KOBAI_CHUMON_LIST.KOBAIHIN_MEI
  ,W_KOBAI_CHUMON_LIST.TANKA
  ,W_KOBAI_CHUMON_LIST.IRISU
  ,W_KOBAI_CHUMON_LIST.BARA_TANI
  ,W_KOBAI_CHUMON_LIST.SURYO
  ,W_KOBAI_CHUMON_LIST.IRISU_TANI
  ,W_KOBAI_CHUMON_LIST.SOSU
  ,W_KOBAI_CHUMON_LIST.TOTAL
  ,W_KOBAI_CHUMON_LIST.HATCHU_DATE
  ,W_KOBAI_CHUMON_LIST.NOKI
  ,W_KOBAI_CHUMON_LIST.UKEIRE_DATE
  ,W_KOBAI_CHUMON_LIST.KENSHU_DATE
  ,W_KOBAI_CHUMON_LIST.HOKAN_BASHO_KBN_MEI
  ,W_KOBAI_CHUMON_LIST.SHIIRE_CD
  ,W_KOBAI_CHUMON_LIST.SHIIRE_MEI
  ,W_KOBAI_CHUMON_LIST.MAKER_CD
  ,W_KOBAI_CHUMON_LIST.MAKER_MEI
  ,W_KOBAI_CHUMON_LIST.YOSAN_CD
  ,W_KOBAI_CHUMON_LIST.JURI_NO
  ,W_KOBAI_CHUMON_LIST.BIKO
  ,W_KOBAI_CHUMON_LIST.KOBAI_NO
  ,W_KOBAI_CHUMON_LIST.IRAI_NO
  ,W_KOBAI_CHUMON_LIST.CHUMON_NO
  ,W_KOBAI_CHUMON_LIST.KOBAI_KBN
  ,W_KOBAI_CHUMON_LIST.KOBAI_STS
  ,W_KOBAI_CHUMON_LIST.SHINSEISHA_CD
  ,W_KOBAI_CHUMON_LIST.FREEWD
  ,W_KOBAI_CHUMON_LIST.KOBAI_SEQ
</t>
    <phoneticPr fontId="1"/>
  </si>
  <si>
    <t xml:space="preserve">      ,V_KOBAI_NYUKA_LIST.NYUKA_HAKKO_DISP
      ,V_KOBAI_NYUKA_LIST.WARNING
      ,V_KOBAI_NYUKA_LIST.KOBAI_KBN_MEI
      ,V_KOBAI_NYUKA_LIST.KOBAI_STS_MEI
      ,V_KOBAI_NYUKA_LIST.SHINSEISHA_MEI
      ,V_KOBAI_NYUKA_LIST.SHINSEI_DATETIME
      ,V_KOBAI_NYUKA_LIST.KOBAIHIN_CD
      ,V_KOBAI_NYUKA_LIST.KOBAIHIN_MEI
      ,V_KOBAI_NYUKA_LIST.TANKA
      ,V_KOBAI_NYUKA_LIST.IRISU
      ,V_KOBAI_NYUKA_LIST.BARA_TANI
      ,V_KOBAI_NYUKA_LIST.SURYO
      ,V_KOBAI_NYUKA_LIST.IRISU_TANI
      ,V_KOBAI_NYUKA_LIST.SOSU
      ,V_KOBAI_NYUKA_LIST.TOTAL
      ,V_KOBAI_NYUKA_LIST.HATCHU_DATE
      ,V_KOBAI_NYUKA_LIST.NOKI
      ,V_KOBAI_NYUKA_LIST.UKEIRE_DATE
      ,V_KOBAI_NYUKA_LIST.KENSHU_DATE
      ,V_KOBAI_NYUKA_LIST.HOKAN_BASHO_KBN_MEI
      ,V_KOBAI_NYUKA_LIST.SHIIRE_CD
      ,V_KOBAI_NYUKA_LIST.SHIIRE_MEI
      ,V_KOBAI_NYUKA_LIST.MAKER_CD
      ,V_KOBAI_NYUKA_LIST.MAKER_MEI
      ,V_KOBAI_NYUKA_LIST.YOSAN_CD
      ,V_KOBAI_NYUKA_LIST.JURI_NO
      ,V_KOBAI_NYUKA_LIST.BIKO
      ,V_KOBAI_NYUKA_LIST.KOBAI_NO
      ,V_KOBAI_NYUKA_LIST.IRAI_NO
      ,V_KOBAI_NYUKA_LIST.CHUMON_NO
</t>
    <phoneticPr fontId="1"/>
  </si>
  <si>
    <t xml:space="preserve">SELECT 
       V_KOBAI_NYUKA_LIST.NYUKA_HAKKO_DISP
      ,V_KOBAI_NYUKA_LIST.NYUKA_HAKKO_FLG
      ,V_KOBAI_NYUKA_LIST.WARNING
      ,V_KOBAI_NYUKA_LIST.KOBAI_KBN_MEI
      ,V_KOBAI_NYUKA_LIST.KOBAI_STS_MEI
      ,V_KOBAI_NYUKA_LIST.SHINSEISHA_MEI
      ,V_KOBAI_NYUKA_LIST.SHINSEI_DATETIME
      ,V_KOBAI_NYUKA_LIST.KOBAIHIN_CD
      ,V_KOBAI_NYUKA_LIST.KOBAIHIN_MEI
      ,V_KOBAI_NYUKA_LIST.TANKA
      ,V_KOBAI_NYUKA_LIST.IRISU
      ,V_KOBAI_NYUKA_LIST.BARA_TANI
      ,V_KOBAI_NYUKA_LIST.SURYO
      ,V_KOBAI_NYUKA_LIST.IRISU_TANI
      ,V_KOBAI_NYUKA_LIST.SOSU
      ,V_KOBAI_NYUKA_LIST.TOTAL
      ,V_KOBAI_NYUKA_LIST.HATCHU_DATE
      ,V_KOBAI_NYUKA_LIST.NOKI
      ,V_KOBAI_NYUKA_LIST.UKEIRE_DATE
      ,V_KOBAI_NYUKA_LIST.KENSHU_DATE
      ,V_KOBAI_NYUKA_LIST.HOKAN_BASHO_KBN_MEI
      ,V_KOBAI_NYUKA_LIST.SHIIRE_CD
      ,V_KOBAI_NYUKA_LIST.SHIIRE_MEI
      ,V_KOBAI_NYUKA_LIST.MAKER_CD
      ,V_KOBAI_NYUKA_LIST.MAKER_MEI
      ,V_KOBAI_NYUKA_LIST.YOSAN_CD
      ,V_KOBAI_NYUKA_LIST.JURI_NO
      ,V_KOBAI_NYUKA_LIST.BIKO
      ,V_KOBAI_NYUKA_LIST.KOBAI_NO
      ,V_KOBAI_NYUKA_LIST.IRAI_NO
      ,V_KOBAI_NYUKA_LIST.CHUMON_NO
</t>
    <phoneticPr fontId="1"/>
  </si>
  <si>
    <t xml:space="preserve">SELECT GYO_MOJI
      ,NYUSHUKKO_NO
      ,KOBAI_KBN_MEI
      ,SHINSEISHA_MEI
      ,SHINSEI_DATE
      ,KOBAIHIN_CD
      ,KOBAIHIN_MEI
      ,TANKA
      ,IRISU
      ,BARA_TANI
      ,NYUKO_SURYO
      ,IRISU_TANI
      ,SOSU
      ,TOTAL
      ,NOKI
      ,UKEIRE_DATE
      ,KENSHU_DATE
      ,HOKAN_BASHO_KBN_MEI
      ,SHIIRE_CD
      ,SHIIRE_MEI
      ,MAKER_CD
      ,MAKER_MEI
      ,YOSAN_CD
      ,JURI_NO
      ,BIKO
      ,KOBAI_NO
      ,IRAI_NO
</t>
    <phoneticPr fontId="1"/>
  </si>
  <si>
    <t>UNKB0020_IF_BUTTON_07_ERROR</t>
    <phoneticPr fontId="1"/>
  </si>
  <si>
    <t>削除エラーメッセージ</t>
    <rPh sb="0" eb="2">
      <t>サクジョ</t>
    </rPh>
    <phoneticPr fontId="1"/>
  </si>
  <si>
    <t>UNKB0020_IF_BUTTON_07_ERROR_MSG</t>
    <phoneticPr fontId="1"/>
  </si>
  <si>
    <t>この購買申請データは削除できません</t>
    <rPh sb="2" eb="4">
      <t>コウバイ</t>
    </rPh>
    <rPh sb="4" eb="6">
      <t>シンセイ</t>
    </rPh>
    <rPh sb="10" eb="12">
      <t>サクジョ</t>
    </rPh>
    <phoneticPr fontId="1"/>
  </si>
  <si>
    <t xml:space="preserve">SELECT KOBAI_GYO_NO
      ,ALERT
      ,JOGAI_CHECK
      ,JOGAI_FLG
      ,KOBAI_SEQ
      ,KOBAI_STS
      ,HOKAN_BASHO_KBN
      ,YOSAN_MEI
      ,SHIIRE_MEI
      ,MAKER_MEI
      ,SHIIRE_HASU_KBN
      ,SHIKIICHI
      ,HYOJUN_NOKI
      ,LAST_SHINSEI_DATE
      ,SHOHIN_BUNRUI_CD
      ,SHIYAKU_FLG
      ,KOBAIHIN_KBN
      ,KOBAIHIN_CD
      ,KOBAIHIN_MEI
      ,TANKA
      ,IRISU
      ,BARA_TANI
      ,SURYO
      ,IRISU_TANI
      ,SOSU
      ,TOTAL
      ,NOKI
      ,HOKAN_BASHO_KBN_MEI
      ,SHIIRE_CD
      ,SHIIRE_MEI_DISP
      ,MAKER_CD
      ,MAKER_MEI_DISP
      ,YOSAN_CD
      ,JURI_NO
      ,BIKO
      ,KOBAI_STS_MEI
      ,IRAI_NO
  FROM V_KOBAI_B
</t>
    <phoneticPr fontId="1"/>
  </si>
  <si>
    <t xml:space="preserve">SELECT KOBAI_GYO_NO
      ,ALERT
      ,JOGAI_CHECK
      ,JOGAI_FLG
      ,KOBAI_SEQ
      ,KOBAI_STS
      ,HOKAN_BASHO_KBN
      ,YOSAN_MEI
      ,SHIIRE_MEI
      ,MAKER_MEI
      ,SHIIRE_HASU_KBN
      ,SHIKIICHI
      ,HYOJUN_NOKI
      ,LAST_SHINSEI_DATE
      ,SHOHIN_BUNRUI_CD
      ,SHIYAKU_FLG
      ,KOBAIHIN_KBN
      ,KOBAIHIN_CD
      ,KOBAIHIN_MEI
      ,TANKA
      ,IRISU
      ,BARA_TANI
      ,SURYO
      ,IRISU_TANI
      ,SOSU
      ,TOTAL
      ,NOKI
      ,HOKAN_BASHO_KBN_MEI
      ,SHIIRE_CD
      ,SHIIRE_MEI_DISP
      ,MAKER_CD
      ,MAKER_MEI_DISP
      ,YOSAN_CD
      ,JURI_NO
      ,BIKO
      ,KOBAI_STS_MEI
      ,IRAI_NO
  FROM V_KOBAI_B_SANSHO
</t>
    <phoneticPr fontId="1"/>
  </si>
  <si>
    <t>印刷関連SQL</t>
    <rPh sb="0" eb="2">
      <t>インサツ</t>
    </rPh>
    <rPh sb="2" eb="4">
      <t>カンレン</t>
    </rPh>
    <phoneticPr fontId="1"/>
  </si>
  <si>
    <t>対象仕入先取得SQL</t>
    <rPh sb="0" eb="2">
      <t>タイショウ</t>
    </rPh>
    <rPh sb="2" eb="4">
      <t>シイ</t>
    </rPh>
    <rPh sb="4" eb="5">
      <t>サキ</t>
    </rPh>
    <rPh sb="5" eb="7">
      <t>シュトク</t>
    </rPh>
    <phoneticPr fontId="1"/>
  </si>
  <si>
    <t>UNKB0080_SQL_REPORT_SHIIRE_DATA</t>
    <phoneticPr fontId="1"/>
  </si>
  <si>
    <t>SELECT DISTINCT
       SHIIRE_CD</t>
    <phoneticPr fontId="1"/>
  </si>
  <si>
    <t>【ループ処理用】</t>
    <rPh sb="4" eb="6">
      <t>ショリ</t>
    </rPh>
    <rPh sb="6" eb="7">
      <t>ヨウ</t>
    </rPh>
    <phoneticPr fontId="1"/>
  </si>
  <si>
    <t>仕入先展開</t>
    <rPh sb="0" eb="2">
      <t>シイレ</t>
    </rPh>
    <rPh sb="2" eb="3">
      <t>サキ</t>
    </rPh>
    <rPh sb="3" eb="5">
      <t>テンカイ</t>
    </rPh>
    <phoneticPr fontId="1"/>
  </si>
  <si>
    <t>UNKB0080_REPORT_IF_LOOP_SHIIRE_CD</t>
    <phoneticPr fontId="1"/>
  </si>
  <si>
    <t>仕入先データ件数</t>
    <rPh sb="0" eb="2">
      <t>シイレ</t>
    </rPh>
    <rPh sb="2" eb="3">
      <t>サキ</t>
    </rPh>
    <rPh sb="6" eb="8">
      <t>ケンスウ</t>
    </rPh>
    <phoneticPr fontId="1"/>
  </si>
  <si>
    <t>UNKB0080_REPORT_IF_LOOP_KENSU</t>
    <phoneticPr fontId="1"/>
  </si>
  <si>
    <t>対象仕入先CD</t>
    <rPh sb="0" eb="2">
      <t>タイショウ</t>
    </rPh>
    <rPh sb="2" eb="4">
      <t>シイレ</t>
    </rPh>
    <rPh sb="4" eb="5">
      <t>サキ</t>
    </rPh>
    <phoneticPr fontId="1"/>
  </si>
  <si>
    <t>UNKB0080_REPORT_IF_LOOP_COUNT</t>
    <phoneticPr fontId="1"/>
  </si>
  <si>
    <t>UNKB0080_REPORT_IF_SHIIRE_CD</t>
    <phoneticPr fontId="1"/>
  </si>
  <si>
    <t>UNKB0080_SQL_COMMON_WHERE</t>
    <phoneticPr fontId="1"/>
  </si>
  <si>
    <t>UNKB0080_SQL_PAGE</t>
    <phoneticPr fontId="1"/>
  </si>
  <si>
    <t>I16-123456</t>
    <phoneticPr fontId="1"/>
  </si>
  <si>
    <t>依頼No.</t>
    <rPh sb="0" eb="2">
      <t>イライ</t>
    </rPh>
    <phoneticPr fontId="1"/>
  </si>
  <si>
    <t xml:space="preserve">SELECT DISTINCT
       V_KOBAI_LIST.SHIIRE_CD           --仕入先CD
      ,V_KOBAI_LIST.KOBAI_NO            --購買申請No.
      ,V_KOBAI_LIST.KOBAI_SEQ           --購買申請SEQ
      ,V_KOBAI_LIST.KOBAI_KBN           --購買区分
      ,V_KOBAI_LIST.JURI_NO             --受理No.
      ,T_CHUMON.CHUMON_NO               --注文No.
      ,T_CHUMON.SEQ                     --注文SEQ
      ,V_KOBAI_LIST.IRAI_NO             --依頼No.
      ,V_KOBAI_LIST.MAKER_MEI           --メーカー名
      ,M_SHOHIN.HIMBAN                  --品番
      ,V_KOBAI_LIST.KOBAIHIN_MEI        --品名
      ,V_KOBAI_LIST.IRISU               --入数
      ,V_KOBAI_LIST.IRISU_TANI          --入数単位
      ,V_KOBAI_LIST.SURYO               --数量
      ,V_KOBAI_LIST.BARA_TANI           --バラ単位
      ,V_KOBAI_LIST.BIKO                --備考
      ,V_KOBAI_LIST.NOKI                --希望納期
      ,T_HAN_JUCHU_H.MAKER_FLG          --直送フラグ
      ,T_HAN_JUCHU_H.HASSO_MEI          --発送先名
      ,T_HAN_JUCHU_H.HASSO_YUBIN_NO     --発送先郵便番号
      ,T_HAN_JUCHU_H.HASSO_ADDRESS_1 +
       T_HAN_JUCHU_H.HASSO_ADDRESS_2    --発送先住所
      ,T_HAN_JUCHU_H.HASSO_TANTO_MEI    --担当者名
      ,T_HAN_JUCHU_H.HASSO_TEL          --電話番号
</t>
    <phoneticPr fontId="1"/>
  </si>
  <si>
    <t>印刷判定</t>
    <rPh sb="0" eb="2">
      <t>インサツ</t>
    </rPh>
    <rPh sb="2" eb="4">
      <t>ハンテイ</t>
    </rPh>
    <phoneticPr fontId="1"/>
  </si>
  <si>
    <t>UNKB0050_REPORT_IF_PRINT_CHECK</t>
    <phoneticPr fontId="1"/>
  </si>
  <si>
    <t>【ボタンエラー制御】</t>
    <rPh sb="7" eb="9">
      <t>セイギョ</t>
    </rPh>
    <phoneticPr fontId="1"/>
  </si>
  <si>
    <t>UNKB0140_IF_BUTTON_10_ERROR</t>
    <phoneticPr fontId="1"/>
  </si>
  <si>
    <t>保存ボタンエラー判定</t>
    <rPh sb="0" eb="2">
      <t>ホゾン</t>
    </rPh>
    <rPh sb="8" eb="10">
      <t>ハンテイ</t>
    </rPh>
    <phoneticPr fontId="1"/>
  </si>
  <si>
    <t>保存ボタンエラーメッセージ</t>
    <rPh sb="0" eb="2">
      <t>ホゾン</t>
    </rPh>
    <phoneticPr fontId="1"/>
  </si>
  <si>
    <t>UNKB0140_IF_BUTTON_10_ERROR_MSG</t>
    <phoneticPr fontId="1"/>
  </si>
  <si>
    <t>UNKB0140_B_SUMI_SURYO</t>
    <phoneticPr fontId="1"/>
  </si>
  <si>
    <t>入庫済数量</t>
    <phoneticPr fontId="1"/>
  </si>
  <si>
    <t>入庫合計：</t>
    <rPh sb="0" eb="2">
      <t>ニュウコ</t>
    </rPh>
    <rPh sb="2" eb="4">
      <t>ゴウケイ</t>
    </rPh>
    <phoneticPr fontId="1"/>
  </si>
  <si>
    <t>試薬管理対象品</t>
    <rPh sb="0" eb="2">
      <t>シヤク</t>
    </rPh>
    <rPh sb="2" eb="4">
      <t>カンリ</t>
    </rPh>
    <rPh sb="4" eb="6">
      <t>タイショウ</t>
    </rPh>
    <rPh sb="6" eb="7">
      <t>ヒン</t>
    </rPh>
    <phoneticPr fontId="1"/>
  </si>
  <si>
    <t>受入日</t>
    <rPh sb="0" eb="3">
      <t>ウケイレビ</t>
    </rPh>
    <phoneticPr fontId="1"/>
  </si>
  <si>
    <t>毒劇物</t>
    <rPh sb="0" eb="1">
      <t>ドク</t>
    </rPh>
    <rPh sb="1" eb="3">
      <t>ゲキブツ</t>
    </rPh>
    <phoneticPr fontId="1"/>
  </si>
  <si>
    <t>毒劇物フラグ</t>
    <rPh sb="0" eb="1">
      <t>ドク</t>
    </rPh>
    <rPh sb="1" eb="3">
      <t>ゲキブツ</t>
    </rPh>
    <phoneticPr fontId="1"/>
  </si>
  <si>
    <t>UNKB0140_B_DOKU_FLG</t>
    <phoneticPr fontId="1"/>
  </si>
  <si>
    <t>マスタ
登録要否</t>
    <rPh sb="4" eb="6">
      <t>トウロク</t>
    </rPh>
    <rPh sb="6" eb="8">
      <t>ヨウヒ</t>
    </rPh>
    <phoneticPr fontId="1"/>
  </si>
  <si>
    <t>毒劇物
該当</t>
    <rPh sb="0" eb="1">
      <t>ドク</t>
    </rPh>
    <rPh sb="1" eb="3">
      <t>ゲキブツ</t>
    </rPh>
    <rPh sb="4" eb="6">
      <t>ガイトウ</t>
    </rPh>
    <phoneticPr fontId="1"/>
  </si>
  <si>
    <t>要
・
否</t>
    <rPh sb="0" eb="1">
      <t>ヨウ</t>
    </rPh>
    <rPh sb="4" eb="5">
      <t>ヒ</t>
    </rPh>
    <phoneticPr fontId="1"/>
  </si>
  <si>
    <t>該当
・
非該当</t>
    <rPh sb="0" eb="2">
      <t>ガイトウ</t>
    </rPh>
    <rPh sb="5" eb="6">
      <t>ヒ</t>
    </rPh>
    <rPh sb="6" eb="8">
      <t>ガイトウ</t>
    </rPh>
    <phoneticPr fontId="1"/>
  </si>
  <si>
    <t>新規申請</t>
    <rPh sb="0" eb="2">
      <t>シンキ</t>
    </rPh>
    <rPh sb="2" eb="4">
      <t>シンセイ</t>
    </rPh>
    <phoneticPr fontId="1"/>
  </si>
  <si>
    <t>「=OFFSET(UNKB0020_IF_LIST_KOBAI_KBN_START,,,IF(UNKB0020_IF_LIST_KOBAI_KBN_KENSU=0,1,UNKB0020_IF_LIST_KOBAI_KBN_KENSU-1),1)」</t>
    <phoneticPr fontId="1"/>
  </si>
  <si>
    <t>UNKB0140_IF_SAVE_PRINT_CHECK</t>
    <phoneticPr fontId="1"/>
  </si>
  <si>
    <t>保存時印刷判定</t>
    <rPh sb="0" eb="2">
      <t>ホゾン</t>
    </rPh>
    <rPh sb="2" eb="3">
      <t>ジ</t>
    </rPh>
    <rPh sb="3" eb="5">
      <t>インサツ</t>
    </rPh>
    <rPh sb="5" eb="7">
      <t>ハンテイ</t>
    </rPh>
    <phoneticPr fontId="1"/>
  </si>
  <si>
    <t>UNKB0140_B_KOBAI_KBN_CD</t>
    <phoneticPr fontId="1"/>
  </si>
  <si>
    <t>UNKB0080_REPORT_IF_NOKI</t>
    <phoneticPr fontId="1"/>
  </si>
  <si>
    <t>PRTR
該当</t>
    <phoneticPr fontId="1"/>
  </si>
  <si>
    <t xml:space="preserve">  AND M_SHOHIN.SHOHIN_BUNRUI IN ('2000')
   AND M_SHOHIN.KOBAIHIN_FLG  = 'True'</t>
    <phoneticPr fontId="1"/>
  </si>
  <si>
    <t xml:space="preserve">  AND M_SHOHIN.SHOHIN_BUNRUI IN ('50','51')
   AND M_SHOHIN.KOBAIHIN_FLG  = 'True'</t>
    <phoneticPr fontId="1"/>
  </si>
  <si>
    <t xml:space="preserve">  AND M_SHOHIN.SHOHIN_BUNRUI &lt; '50'
   AND M_SHOHIN.KOBAIHIN_FLG  = 'True'</t>
    <phoneticPr fontId="1"/>
  </si>
  <si>
    <t xml:space="preserve">SELECT NULL                         AS 行
      ,NULL                         AS 警告
      ,NULL                         AS 除外チェックボックス
      ,'False'                      AS 除外フラグ
      ,NULL                         AS SEQ
      ,1                            AS ステータスCD
      ,M_SHOHIN.HOKANBASHO_KBN      AS 保管場所区分
      ,NULL                         AS 予算コード
      ,J_SHIIRE.AITE_MEI            AS 仕入先名
      ,J_MAKER.AITE_MEI             AS メーカー名
      ,J_SHIIRE.SHIIRE_HASU_KBN     AS 仕入先端数処理区分
      ,M_SHOHIN.SHIKIICHI           AS 閾値
      ,M_SHOHIN.HYOJUN_NOKI         AS 標準納期
      ,( SELECT DISTINCT
                CONVERT(VARCHAR(10), MAX(TBL_H.SHINSEI_DATETIME), 111)
           FROM T_KOBAI_H AS TBL_H
           LEFT JOIN
                T_KOBAI_B AS TBL_B
             ON TBL_B.KOBAI_NO    = TBL_H.KOBAI_NO
          WHERE TBL_B.KOBAIHIN_CD = M_SHOHIN.SHOHIN_CD
       )                            AS 最終申請日
      ,M_SHOHIN.SHOHIN_BUNRUI       AS 商品分類区分
      ,M_SHOHIN.SHIYAKU_FLG         AS 試薬フラグ
      ,J_KOBAIHIN_KBN.DATA_2        AS 購買品区分
      ,M_SHOHIN.SHOHIN_CD           AS 購買品CD
      ,M_SHOHIN.SHOHIN_MEI          AS 購買品名
      ,M_SHOHIN.SHIIRE_TANKA        AS 単価
      ,M_SHOHIN.SHIIRE_IRISU        AS 入数
--       ,CASE ISNULL(M_SHOHIN.SHIIRE_IRISU,0)
--        WHEN 0 THEN NULL
--        ELSE M_SHOHIN.BARA_TANI
--        END                              AS バラ単位
      ,M_SHOHIN.BARA_TANI           AS バラ単位
      ,NULL                         AS 数量
--       ,CASE ISNULL(M_SHOHIN.SHIIRE_IRISU,0)
--        WHEN 0 THEN M_SHOHIN.BARA_TANI
--        ELSE M_SHOHIN.SHIIRE_IRISU_TANI
--        END                              AS 入数単位
      ,M_SHOHIN.SHIIRE_IRISU_TANI   AS 入数単位
      ,NULL                         AS 注文総数
      ,NULL                         AS 合計金額
      ,NULL                         AS 希望納期
      ,J_HOKAN_BASHO.DATA_1         AS 保管場所
      ,M_SHOHIN.SHIIRE_CD           AS 仕入先CD
      ,NULL                         AS 仕入先名表示用
      ,M_SHOHIN.MAKER_CD            AS メーカーCD
      ,NULL                         AS メーカー名表示用
      ,NULL                         AS 予算コード名
      ,NULL                         AS '受理No.'
      ,NULL                         AS 備考
      ,( SELECT DATA_1
           FROM M_MEISHO_B
          WHERE MEISHO_KBN = 'S005'
            AND MEISHO_CD  = 1 )    AS ステータス名
      ,NULL                         AS '依頼No.'
      ,T_KOBAI_B.KOBAI_NO           AS '購買申請No.'
      ,CONVERT(VARCHAR(10), T_KOBAI_H.SHINSEI_DATETIME, 111)
                                    AS 申請日
      ,T_KOBAI_B.BIKO               AS 購買申請備考
      ,M_SHOHIN.HIMBAN                  AS 品番
  FROM T_KOBAI_B
  LEFT JOIN
       T_KOBAI_H
    ON T_KOBAI_B.KOBAI_NO = T_KOBAI_H.KOBAI_NO
  LEFT JOIN
       M_SHOHIN
    ON M_SHOHIN.SHOHIN_CD = T_KOBAI_B.KOBAIHIN_CD
  LEFT JOIN
       M_AITESAKI AS J_SHIIRE
    ON J_SHIIRE.AITE_CD = M_SHOHIN.SHIIRE_CD
  LEFT JOIN
       M_AITESAKI AS J_MAKER
    ON J_MAKER.AITE_CD = M_SHOHIN.MAKER_CD
  LEFT JOIN
       M_MEISHO_B AS J_KOBAIHIN_KBN
    ON J_KOBAIHIN_KBN.MEISHO_KBN = 'K025'
   AND J_KOBAIHIN_KBN.MEISHO_CD  = M_SHOHIN.SHOHIN_BUNRUI
  LEFT JOIN
       M_MEISHO_B AS J_HOKAN_BASHO
    ON J_KOBAIHIN_KBN.MEISHO_KBN = 'M002'
   AND J_KOBAIHIN_KBN.MEISHO_CD  = M_SHOHIN.HOKANBASHO_KBN
 WHERE M_SHOHIN.SHOHIN_STS    = '1'
   AND M_SHOHIN.MISHIYO_FLG   = 'False'
   AND T_KOBAI_B.DEL_FLG      = 'False'
   AND T_KOBAI_B.JOGAI_FLG    = 'False'
</t>
    <phoneticPr fontId="1"/>
  </si>
  <si>
    <t xml:space="preserve">SELECT NULL                         AS 行
      ,NULL                         AS 警告
      ,NULL                         AS 除外チェックボックス
      ,'False'                      AS 除外フラグ
      ,NULL                         AS SEQ
      ,1                            AS ステータスCD
      ,M_SHOHIN.HOKANBASHO_KBN      AS 保管場所区分
      ,NULL                         AS 予算コード
      ,J_SHIIRE.AITE_MEI            AS 仕入先名
      ,J_MAKER.AITE_MEI             AS メーカー名
      ,J_SHIIRE.SHIIRE_HASU_KBN     AS 仕入先端数処理区分
      ,M_SHOHIN.SHIKIICHI           AS 閾値
      ,M_SHOHIN.HYOJUN_NOKI         AS 標準納期
      ,( SELECT DISTINCT
                CONVERT(VARCHAR(10), MAX(T_KOBAI_H.SHINSEI_DATETIME), 111)
           FROM T_KOBAI_H
           LEFT JOIN
                T_KOBAI_B
             ON T_KOBAI_B.KOBAI_NO = T_KOBAI_H.KOBAI_NO
          WHERE T_KOBAI_B.KOBAIHIN_CD = M_SHOHIN.SHOHIN_CD
       )                            AS 最終申請日
      ,M_SHOHIN.SHOHIN_BUNRUI       AS 商品分類区分
      ,M_SHOHIN.SHIYAKU_FLG         AS 試薬フラグ
      ,J_KOBAIHIN_KBN.DATA_2        AS 購買品区分
      ,M_SHOHIN.SHOHIN_CD           AS 購買品CD
      ,M_SHOHIN.SHOHIN_MEI          AS 購買品名
      ,M_SHOHIN.SHIIRE_TANKA        AS 単価
      ,M_SHOHIN.SHIIRE_IRISU        AS 入数
--       ,CASE ISNULL(M_SHOHIN.SHIIRE_IRISU,0)
--        WHEN 0 THEN NULL
--        ELSE M_SHOHIN.BARA_TANI
--        END                              AS バラ単位
      ,M_SHOHIN.BARA_TANI           AS バラ単位
      ,NULL                         AS 数量
--       ,CASE ISNULL(M_SHOHIN.SHIIRE_IRISU,0)
--        WHEN 0 THEN M_SHOHIN.BARA_TANI
--        ELSE M_SHOHIN.SHIIRE_IRISU_TANI
--        END                              AS 入数単位
      ,M_SHOHIN.SHIIRE_IRISU_TANI   AS 入数単位
      ,NULL                         AS 注文総数
      ,NULL                         AS 合計金額
      ,NULL                         AS 希望納期
      ,J_HOKAN_BASHO.DATA_1         AS 保管場所
      ,M_SHOHIN.SHIIRE_CD           AS 仕入先CD
      ,NULL                         AS 仕入先名表示用
      ,M_SHOHIN.MAKER_CD            AS メーカーCD
      ,NULL                         AS メーカー名表示用
      ,NULL                         AS 予算コード名
      ,NULL                         AS '受理No.'
      ,NULL                         AS 備考
      ,( SELECT DATA_1
           FROM M_MEISHO_B
          WHERE MEISHO_KBN = 'S005'
            AND MEISHO_CD  = 1 )    AS ステータス名
      ,NULL                         AS '依頼No.'
      ,M_SHOHIN.HIMBAN                  AS 品番
  FROM M_SHOHIN
  LEFT JOIN
       M_AITESAKI AS J_SHIIRE
    ON J_SHIIRE.AITE_CD = M_SHOHIN.SHIIRE_CD
  LEFT JOIN
       M_AITESAKI AS J_MAKER
    ON J_MAKER.AITE_CD = M_SHOHIN.MAKER_CD
  LEFT JOIN
       M_MEISHO_B AS J_KOBAIHIN_KBN
    ON J_KOBAIHIN_KBN.MEISHO_KBN = 'K025'
   AND J_KOBAIHIN_KBN.MEISHO_CD  = M_SHOHIN.SHOHIN_BUNRUI
  LEFT JOIN
       M_MEISHO_B AS J_HOKAN_BASHO
    ON J_KOBAIHIN_KBN.MEISHO_KBN = 'M002'
   AND J_KOBAIHIN_KBN.MEISHO_CD  = M_SHOHIN.HOKANBASHO_KBN
 WHERE M_SHOHIN.SHOHIN_STS = '1'
  AND M_SHOHIN.MISHIYO_FLG  = 'False'
</t>
    <phoneticPr fontId="1"/>
  </si>
  <si>
    <t>資産</t>
    <rPh sb="0" eb="2">
      <t>シサン</t>
    </rPh>
    <phoneticPr fontId="1"/>
  </si>
  <si>
    <t>資産（旧投資）</t>
    <rPh sb="0" eb="2">
      <t>シサン</t>
    </rPh>
    <rPh sb="3" eb="4">
      <t>キュウ</t>
    </rPh>
    <rPh sb="4" eb="6">
      <t>トウシ</t>
    </rPh>
    <phoneticPr fontId="1"/>
  </si>
  <si>
    <t>資産</t>
    <rPh sb="0" eb="2">
      <t>シサン</t>
    </rPh>
    <phoneticPr fontId="1"/>
  </si>
  <si>
    <t xml:space="preserve">  AND (    M_SHOHIN.SHOHIN_BUNRUI IN ('50','51','52','53')
        OR M_SHOHIN.BUNSEKI_FLG = 'True'
      )</t>
    <phoneticPr fontId="1"/>
  </si>
  <si>
    <t>0</t>
    <phoneticPr fontId="1"/>
  </si>
  <si>
    <t>新規保存時かつ購買区分=購買品(1)の場合のみ印刷</t>
    <rPh sb="0" eb="2">
      <t>シンキ</t>
    </rPh>
    <rPh sb="2" eb="4">
      <t>ホゾン</t>
    </rPh>
    <rPh sb="4" eb="5">
      <t>ジ</t>
    </rPh>
    <rPh sb="7" eb="9">
      <t>コウバイ</t>
    </rPh>
    <rPh sb="9" eb="11">
      <t>クブン</t>
    </rPh>
    <rPh sb="12" eb="15">
      <t>コウバイヒン</t>
    </rPh>
    <rPh sb="19" eb="21">
      <t>バアイ</t>
    </rPh>
    <rPh sb="23" eb="25">
      <t>インサツ</t>
    </rPh>
    <phoneticPr fontId="1"/>
  </si>
  <si>
    <t>ORDER BY</t>
    <phoneticPr fontId="1"/>
  </si>
  <si>
    <t xml:space="preserve">
 ORDER BY V_KOBAI_NYUKA_LIST.IRAI_NO ASC</t>
    <phoneticPr fontId="1"/>
  </si>
  <si>
    <t>入庫数量+入庫済数量&gt;注文数 or 修正&amp;試薬&amp;数量&gt;1</t>
    <rPh sb="0" eb="2">
      <t>ニュウコ</t>
    </rPh>
    <rPh sb="2" eb="4">
      <t>スウリョウ</t>
    </rPh>
    <rPh sb="5" eb="7">
      <t>ニュウコ</t>
    </rPh>
    <rPh sb="7" eb="8">
      <t>ス</t>
    </rPh>
    <rPh sb="8" eb="10">
      <t>スウリョウ</t>
    </rPh>
    <rPh sb="11" eb="14">
      <t>チュウモンスウ</t>
    </rPh>
    <rPh sb="18" eb="20">
      <t>シュウセイ</t>
    </rPh>
    <rPh sb="21" eb="23">
      <t>シヤク</t>
    </rPh>
    <rPh sb="24" eb="26">
      <t>スウリョウ</t>
    </rPh>
    <phoneticPr fontId="1"/>
  </si>
  <si>
    <t>試薬新規保存判定</t>
    <rPh sb="0" eb="2">
      <t>シヤク</t>
    </rPh>
    <rPh sb="2" eb="4">
      <t>シンキ</t>
    </rPh>
    <rPh sb="4" eb="6">
      <t>ホゾン</t>
    </rPh>
    <rPh sb="6" eb="8">
      <t>ハンテイ</t>
    </rPh>
    <phoneticPr fontId="1"/>
  </si>
  <si>
    <t>新規モード&amp;試薬フラグONの場合1</t>
    <rPh sb="0" eb="2">
      <t>シンキ</t>
    </rPh>
    <rPh sb="6" eb="8">
      <t>シヤク</t>
    </rPh>
    <rPh sb="14" eb="16">
      <t>バアイ</t>
    </rPh>
    <phoneticPr fontId="1"/>
  </si>
  <si>
    <t>【試薬新規保存】</t>
    <rPh sb="1" eb="3">
      <t>シヤク</t>
    </rPh>
    <rPh sb="3" eb="5">
      <t>シンキ</t>
    </rPh>
    <rPh sb="5" eb="7">
      <t>ホゾン</t>
    </rPh>
    <phoneticPr fontId="1"/>
  </si>
  <si>
    <t>ループ回数</t>
    <rPh sb="3" eb="5">
      <t>カイスウ</t>
    </rPh>
    <phoneticPr fontId="1"/>
  </si>
  <si>
    <t>UNKB0140_IF_SAVE_SHIYAKU_CHECK</t>
    <phoneticPr fontId="1"/>
  </si>
  <si>
    <t>UNKB0140_IF_SAVE_SHIYAKU_LOOP_CNT</t>
    <phoneticPr fontId="1"/>
  </si>
  <si>
    <t xml:space="preserve">SELECT
       V_KOBAI_EXCEL.*
</t>
    <phoneticPr fontId="1"/>
  </si>
  <si>
    <t xml:space="preserve">  FROM V_KOBAI_KENSAKU_LIST
  LEFT JOIN 
       V_KOBAI_EXCEL
    ON V_KOBAI_EXCEL.KOBAI_NO = V_KOBAI_KENSAKU_LIST.KOBAI_NO
   AND V_KOBAI_EXCEL.IRAI_NO = V_KOBAI_KENSAKU_LIST.IRAI_NO
</t>
    <phoneticPr fontId="1"/>
  </si>
  <si>
    <t>購買区分CD</t>
  </si>
  <si>
    <t>購買区分名</t>
  </si>
  <si>
    <t>行No.</t>
  </si>
  <si>
    <t>購買ステータスCD</t>
  </si>
  <si>
    <t>購買ステータス名</t>
  </si>
  <si>
    <t>保管場所区分CD</t>
  </si>
  <si>
    <t>保管場所区分名</t>
  </si>
  <si>
    <t>注文No.</t>
  </si>
  <si>
    <t>入荷予定表発行フラグ</t>
  </si>
  <si>
    <t>メーカー名/受理No.</t>
    <rPh sb="4" eb="5">
      <t>メイ</t>
    </rPh>
    <rPh sb="6" eb="8">
      <t>ジュリ</t>
    </rPh>
    <phoneticPr fontId="1"/>
  </si>
  <si>
    <t>メーカー名/受理No.</t>
    <phoneticPr fontId="1"/>
  </si>
  <si>
    <t>ステータス：</t>
    <phoneticPr fontId="1"/>
  </si>
  <si>
    <t>PRTR</t>
    <phoneticPr fontId="1"/>
  </si>
  <si>
    <t>事後申請</t>
    <rPh sb="0" eb="2">
      <t>ジゴ</t>
    </rPh>
    <rPh sb="2" eb="4">
      <t>シンセイ</t>
    </rPh>
    <phoneticPr fontId="1"/>
  </si>
  <si>
    <t>事後申請</t>
    <rPh sb="0" eb="2">
      <t>ジゴ</t>
    </rPh>
    <rPh sb="2" eb="4">
      <t>シンセイ</t>
    </rPh>
    <phoneticPr fontId="1"/>
  </si>
  <si>
    <t>UNKB0010_H_JIGO_STS</t>
    <phoneticPr fontId="1"/>
  </si>
  <si>
    <t>UNKB0010_H_JIGO_STS_S</t>
    <phoneticPr fontId="1"/>
  </si>
  <si>
    <t>事後申請</t>
    <rPh sb="0" eb="2">
      <t>ジゴ</t>
    </rPh>
    <rPh sb="2" eb="4">
      <t>シンセイ</t>
    </rPh>
    <phoneticPr fontId="1"/>
  </si>
  <si>
    <t>商品分類CD</t>
    <phoneticPr fontId="1"/>
  </si>
  <si>
    <t>商品分類名</t>
    <phoneticPr fontId="1"/>
  </si>
  <si>
    <t>試薬フラグ</t>
    <phoneticPr fontId="1"/>
  </si>
  <si>
    <t>調製試薬フラグ</t>
    <phoneticPr fontId="1"/>
  </si>
  <si>
    <t>毒劇物フラグ</t>
    <phoneticPr fontId="1"/>
  </si>
  <si>
    <t xml:space="preserve">SELECT M_SHOHIN.SHOHIN_CD               AS 購買品CD
      ,M_SHOHIN.SHOHIN_MEI              AS 購買品名
      ,M_SHOHIN.AITE_SHOHIN_MEI         AS 相手先購買品名
      ,M_SHOHIN.IRISU                   AS 入数
      ,M_SHOHIN.IRISU_TANI              AS 入数単位
      ,M_SHOHIN.SHIIRE_TANKA            AS 仕入単価
      ,M_SHOHIN.GENKA                   AS 原価
      ,M_SHOHIN.BAIKA                   AS 売価
      ,CASE M_SHOHIN.DOKU_FLG
       WHEN 'True' THEN '×'
       ELSE NULL
       END                              AS 毒
      ,CASE M_SHOHIN.CHOSEI_SHIYAKU_FLG
       WHEN 'True' THEN '×'
       ELSE NULL
       END                              AS 試薬
      ,R_STATUS.DATA_1                  AS ステータス
      ,M_SHOHIN.BIKO                    AS 備考
      ,M_SHOHIN.TEIKA                   AS 定価
      ,M_SHOHIN.SHIIRE_IRISU            AS 仕入入数
--       ,CASE ISNULL(M_SHOHIN.SHIIRE_IRISU,0)
--        WHEN 0 THEN M_SHOHIN.BARA_TANI
--        ELSE M_SHOHIN.SHIIRE_IRISU_TANI
--        END                              AS 仕入入数単位
      ,M_SHOHIN.SHIIRE_IRISU_TANI       AS 仕入入数単位
--       ,CASE ISNULL(M_SHOHIN.SHIIRE_IRISU,0)
--        WHEN 0 THEN NULL
--        ELSE M_SHOHIN.BARA_TANI
--        END                              AS バラ単位
      ,M_SHOHIN.BARA_TANI               AS バラ単位
      ,M_SHOHIN.SHIIRE_CD               AS 仕入先CD
      ,R_SHIIRE_SAKI.AITE_MEI           AS 仕入先名
      ,M_SHOHIN.MAKER_CD                AS メーカーCD
      ,R_MAKER.AITE_MEI                 AS メーカー名
      ,CASE M_SHOHIN.AITE_SHOHIN_MEI
       WHEN '' THEN
            M_SHOHIN.SHOHIN_MEI
       ELSE
            M_SHOHIN.AITE_SHOHIN_MEI
       END                              AS 展開購買品名
      ,M_SHOHIN.SHIKIICHI               AS 閾値
      ,M_SHOHIN.HYOJUN_NOKI             AS 標準納期
      ,( SELECT DISTINCT
                CONVERT(VARCHAR(10), MAX(T_KOBAI_H.SHINSEI_DATETIME), 111)
           FROM T_KOBAI_H
           LEFT JOIN
                T_KOBAI_B
             ON T_KOBAI_B.KOBAI_NO = T_KOBAI_H.KOBAI_NO
          WHERE T_KOBAI_B.KOBAIHIN_CD = M_SHOHIN.SHOHIN_CD
       )                                AS 最終申請日
      ,M_SHOHIN.HIMBAN                  AS 品番
  FROM M_SHOHIN
  LEFT JOIN M_AITESAKI        AS R_SHIIRE_SAKI
    ON M_SHOHIN.SHIIRE_CD = R_SHIIRE_SAKI.AITE_CD
  LEFT JOIN M_AITESAKI        AS R_MAKER
    ON M_SHOHIN.MAKER_CD  = R_MAKER.AITE_CD
  LEFT JOIN M_MEISHO_B          AS R_STATUS
    ON M_SHOHIN.SHOHIN_STS = R_STATUS.MEISHO_CD
   AND R_STATUS.MEISHO_KBN = 'S001'
 WHERE M_SHOHIN.SHOHIN_STS = '1'
  AND M_SHOHIN.MISHIYO_FLG  = 'False'
--  AND M_SHOHIN.KOBAIHIN_FLG = 'True'
 ORDER BY SHOHIN_CD ASC
</t>
    <phoneticPr fontId="1"/>
  </si>
  <si>
    <t xml:space="preserve">SELECT M_SHOHIN.SHOHIN_CD               AS 購買品CD
      ,M_SHOHIN.SHOHIN_MEI              AS 購買品名
      ,M_SHOHIN.AITE_SHOHIN_MEI         AS 相手先購買品名
      ,M_SHOHIN.SHIIRE_IRISU            AS 仕入入数
--       ,CASE ISNULL(M_SHOHIN.SHIIRE_IRISU,0)
--        WHEN 0 THEN M_SHOHIN.BARA_TANI
--        ELSE M_SHOHIN.SHIIRE_IRISU_TANI
--        END                              AS 仕入入数単位
      ,M_SHOHIN.SHIIRE_IRISU_TANI       AS 仕入入数単位
      ,M_SHOHIN.SHIIRE_TANKA            AS 仕入単価
      ,M_SHOHIN.BAIKA                   AS 売価
      ,CASE M_SHOHIN.DOKU_FLG
       WHEN 'True' THEN '×'
       ELSE NULL
       END                              AS 毒
      ,CASE M_SHOHIN.CHOSEI_SHIYAKU_FLG
       WHEN 'True' THEN '×'
       ELSE NULL
       END                              AS 試薬
      ,R_STATUS.DATA_1                  AS ステータス
      ,M_SHOHIN.BIKO                    AS 備考
      ,M_SHOHIN.TEIKA                   AS 定価
--       ,CASE ISNULL(M_SHOHIN.SHIIRE_IRISU,0)
--        WHEN 0 THEN NULL
--        ELSE M_SHOHIN.BARA_TANI
--        END                              AS バラ単位
      ,M_SHOHIN.BARA_TANI               AS バラ単位
      ,M_SHOHIN.SHIIRE_CD               AS 仕入先CD
      ,R_SHIIRE_SAKI.AITE_MEI           AS 仕入先名
      ,M_SHOHIN.MAKER_CD                AS メーカーCD
      ,R_MAKER.AITE_MEI                 AS メーカー名
      ,M_SHOHIN.SHIKIICHI               AS 閾値
      ,M_SHOHIN.HYOJUN_NOKI             AS 標準納期
      ,( SELECT DISTINCT
                CONVERT(VARCHAR(10), MAX(T_KOBAI_H.SHINSEI_DATETIME), 111)
           FROM T_KOBAI_H
           LEFT JOIN
                T_KOBAI_B
             ON T_KOBAI_B.KOBAI_NO = T_KOBAI_H.KOBAI_NO
          WHERE T_KOBAI_B.KOBAIHIN_CD = M_SHOHIN.SHOHIN_CD
       )                                AS 最終申請日
      ,M_SHOHIN.HOKANBASHO_KBN          AS 保管場所区分
      ,R_HOKAN_BASHO.DATA_1             AS 保管場所名
      ,M_SHOHIN.SHIYAKU_FLG             AS 試薬フラグ
      ,R_SHIIRE_SAKI.SHIIRE_HASU_KBN    AS 仕入先端数処理区分
      ,M_SHOHIN.HIMBAN                  AS 品番
  FROM M_SHOHIN
  LEFT JOIN M_AITESAKI        AS R_SHIIRE_SAKI
    ON M_SHOHIN.SHIIRE_CD = R_SHIIRE_SAKI.AITE_CD
  LEFT JOIN M_AITESAKI        AS R_MAKER
    ON M_SHOHIN.MAKER_CD  = R_MAKER.AITE_CD
  LEFT JOIN M_MEISHO_B          AS R_STATUS
    ON M_SHOHIN.SHOHIN_STS = R_STATUS.MEISHO_CD
   AND R_STATUS.MEISHO_KBN = 'S001'
  LEFT JOIN M_MEISHO_B          AS R_HOKAN_BASHO
    ON M_SHOHIN.SHOHIN_STS = R_HOKAN_BASHO.MEISHO_CD
   AND R_STATUS.MEISHO_KBN = 'M002'
 WHERE M_SHOHIN.SHOHIN_STS = '1'
  AND M_SHOHIN.MISHIYO_FLG  = 'False'
</t>
    <phoneticPr fontId="1"/>
  </si>
  <si>
    <t>申請日▽</t>
    <rPh sb="0" eb="2">
      <t>シンセイ</t>
    </rPh>
    <phoneticPr fontId="1"/>
  </si>
  <si>
    <t>希望納期▽</t>
    <rPh sb="0" eb="4">
      <t>キボウノウキ</t>
    </rPh>
    <phoneticPr fontId="1"/>
  </si>
  <si>
    <t>受入日▽</t>
    <rPh sb="0" eb="2">
      <t>ウケイレ</t>
    </rPh>
    <phoneticPr fontId="1"/>
  </si>
  <si>
    <t>検収日▽</t>
    <rPh sb="0" eb="2">
      <t>ケンシュウ</t>
    </rPh>
    <phoneticPr fontId="1"/>
  </si>
  <si>
    <t>予算コード▽</t>
    <rPh sb="0" eb="2">
      <t>ヨサン</t>
    </rPh>
    <phoneticPr fontId="1"/>
  </si>
  <si>
    <t>予算コード</t>
    <rPh sb="0" eb="2">
      <t>ヨサン</t>
    </rPh>
    <phoneticPr fontId="1"/>
  </si>
  <si>
    <t xml:space="preserve">SELECT 
       V_KOBAI_NYUKA_LIST.KOBAI_NO
      ,V_KOBAI_NYUKA_LIST.KOBAI_SEQ
      ,V_KOBAI_NYUKA_LIST.IRAI_NO
      ,V_KOBAI_NYUKA_LIST.CHUMON_NO
      ,V_KOBAI_NYUKA_LIST.HATCHU_DATE
      ,V_KOBAI_NYUKA_LIST.NOKI
      ,V_KOBAI_NYUKA_LIST.SHINSEISHA_MEI
      ,V_KOBAI_NYUKA_LIST.SHIIRE_MEI
      ,CASE WHEN V_KOBAI_NYUKA_LIST.KOBAI_KBN = 2
            THEN V_KOBAI_NYUKA_LIST.JURI_NO
            ELSE V_KOBAI_NYUKA_LIST.MAKER_MEI
       END AS MAKER_MEI
      ,V_KOBAI_NYUKA_LIST.KOBAIHIN_MEI
      ,V_KOBAI_NYUKA_LIST.IRISU
      ,V_KOBAI_NYUKA_LIST.BARA_TANI
      ,V_KOBAI_NYUKA_LIST.SURYO
      ,V_KOBAI_NYUKA_LIST.IRISU_TANI
      ,V_KOBAI_NYUKA_LIST.SOSU
      ,V_KOBAI_NYUKA_LIST.YOSAN_CD
</t>
    <phoneticPr fontId="1"/>
  </si>
  <si>
    <t>UNKB_YOSAN_CD_IF_LIST</t>
    <phoneticPr fontId="1"/>
  </si>
  <si>
    <t>「=OFFSET(UNKB_YOSAN_CD_IF_START,,,IF(UNKB_YOSAN_CD_IF_KENSU=0,1,UNKB_YOSAN_CD_IF_KENSU),1)」</t>
    <phoneticPr fontId="1"/>
  </si>
  <si>
    <t>コード</t>
    <phoneticPr fontId="1"/>
  </si>
  <si>
    <t>0001-00</t>
    <phoneticPr fontId="1"/>
  </si>
  <si>
    <t>特定依頼（受理No.無/先行手配)</t>
    <phoneticPr fontId="1"/>
  </si>
  <si>
    <t>0100-00</t>
    <phoneticPr fontId="1"/>
  </si>
  <si>
    <t>技術消耗品・備品・経費</t>
    <phoneticPr fontId="1"/>
  </si>
  <si>
    <t>0105-01</t>
    <phoneticPr fontId="1"/>
  </si>
  <si>
    <t>MLAP/DXNs</t>
    <phoneticPr fontId="1"/>
  </si>
  <si>
    <t>0105-02</t>
    <phoneticPr fontId="1"/>
  </si>
  <si>
    <t>ISO/IEC17025</t>
    <phoneticPr fontId="1"/>
  </si>
  <si>
    <t>0115-01</t>
    <phoneticPr fontId="1"/>
  </si>
  <si>
    <t>技術ﾚﾝﾀｶｰ・ﾘｰｽ</t>
    <phoneticPr fontId="1"/>
  </si>
  <si>
    <t>UNKB_JURI_NO_IF_LIST</t>
    <phoneticPr fontId="1"/>
  </si>
  <si>
    <t>「=OFFSET(UNKB_JURI_NO_IF_START,,,IF(UNKB_JURI_NO_IF_KENSU=0,1,UNKB_JURI_NO_IF_KENSU),1)」</t>
    <phoneticPr fontId="1"/>
  </si>
  <si>
    <t>J16-080012</t>
    <phoneticPr fontId="1"/>
  </si>
  <si>
    <t>J16-080013</t>
    <phoneticPr fontId="1"/>
  </si>
  <si>
    <t>J16-080014</t>
    <phoneticPr fontId="1"/>
  </si>
  <si>
    <t>J16-080009</t>
    <phoneticPr fontId="1"/>
  </si>
  <si>
    <t>J16-080015</t>
    <phoneticPr fontId="1"/>
  </si>
  <si>
    <t>受理No.</t>
    <phoneticPr fontId="1"/>
  </si>
  <si>
    <t>【入力時チェック】</t>
    <rPh sb="1" eb="3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</si>
</sst>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5" formatCode="&quot;¥&quot;#,##0;&quot;¥&quot;\-#,##0"/>
    <numFmt numFmtId="176" formatCode="#,##0_ "/>
    <numFmt numFmtId="177" formatCode="yyyy/mm/dd"/>
    <numFmt numFmtId="178" formatCode="yyyy/mm/dd\ hh:mm:ss"/>
    <numFmt numFmtId="179" formatCode="0.000_ "/>
    <numFmt numFmtId="180" formatCode="gggyy&quot;年&quot;mm&quot;月&quot;dd&quot;日&quot;"/>
    <numFmt numFmtId="181" formatCode="#"/>
    <numFmt numFmtId="182" formatCode="#,##0.00_ ;[Red]\-#,##0.00\ "/>
    <numFmt numFmtId="183" formatCode="0_);[Red]\(0\)"/>
    <numFmt numFmtId="184" formatCode="gggyy&quot;年&quot;m&quot;月&quot;d&quot;日&quot;"/>
    <numFmt numFmtId="185" formatCode="#,##0.00_ "/>
    <numFmt numFmtId="186" formatCode="0.0000000000_ "/>
    <numFmt numFmtId="187" formatCode="yyyy/mm/dd\ h:mm:ss.000"/>
  </numFmts>
  <fonts count="5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2"/>
      <color theme="0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name val="メイリオ"/>
      <family val="3"/>
      <charset val="128"/>
    </font>
    <font>
      <sz val="10"/>
      <color theme="3" tint="-0.499984740745262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2"/>
      <color theme="1"/>
      <name val="HGP明朝E"/>
      <family val="1"/>
      <charset val="128"/>
    </font>
    <font>
      <sz val="6"/>
      <color theme="1"/>
      <name val="ＭＳ Ｐ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20"/>
      <color theme="1"/>
      <name val="ＭＳ Ｐゴシック"/>
      <family val="3"/>
      <charset val="128"/>
    </font>
    <font>
      <u/>
      <sz val="20"/>
      <color theme="1"/>
      <name val="ＭＳ Ｐゴシック"/>
      <family val="3"/>
      <charset val="128"/>
    </font>
    <font>
      <u/>
      <sz val="16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6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26"/>
      <color theme="1"/>
      <name val="CODE39"/>
      <family val="2"/>
    </font>
    <font>
      <b/>
      <sz val="10"/>
      <color theme="0"/>
      <name val="メイリオ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24"/>
      <color theme="1"/>
      <name val="CODE39"/>
      <family val="2"/>
    </font>
    <font>
      <sz val="6"/>
      <color theme="1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b/>
      <sz val="9"/>
      <color theme="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name val="ＭＳ Ｐゴシック"/>
      <family val="2"/>
      <charset val="128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DF7F9"/>
        <bgColor indexed="64"/>
      </patternFill>
    </fill>
    <fill>
      <patternFill patternType="solid">
        <fgColor rgb="FF68B8CE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5DB3CB"/>
        <bgColor indexed="64"/>
      </patternFill>
    </fill>
    <fill>
      <patternFill patternType="solid">
        <fgColor rgb="FFFFC000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4">
    <xf numFmtId="0" fontId="0" fillId="0" borderId="0">
      <alignment vertical="center"/>
    </xf>
    <xf numFmtId="0" fontId="6" fillId="0" borderId="0"/>
    <xf numFmtId="0" fontId="15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38" applyNumberFormat="0" applyFill="0" applyAlignment="0" applyProtection="0">
      <alignment vertical="center"/>
    </xf>
    <xf numFmtId="0" fontId="24" fillId="0" borderId="39" applyNumberFormat="0" applyFill="0" applyAlignment="0" applyProtection="0">
      <alignment vertical="center"/>
    </xf>
    <xf numFmtId="0" fontId="25" fillId="0" borderId="40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41" applyNumberFormat="0" applyAlignment="0" applyProtection="0">
      <alignment vertical="center"/>
    </xf>
    <xf numFmtId="0" fontId="30" fillId="19" borderId="42" applyNumberFormat="0" applyAlignment="0" applyProtection="0">
      <alignment vertical="center"/>
    </xf>
    <xf numFmtId="0" fontId="31" fillId="19" borderId="41" applyNumberFormat="0" applyAlignment="0" applyProtection="0">
      <alignment vertical="center"/>
    </xf>
    <xf numFmtId="0" fontId="32" fillId="0" borderId="43" applyNumberFormat="0" applyFill="0" applyAlignment="0" applyProtection="0">
      <alignment vertical="center"/>
    </xf>
    <xf numFmtId="0" fontId="33" fillId="20" borderId="44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21" fillId="21" borderId="45" applyNumberFormat="0" applyFon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46" applyNumberFormat="0" applyFill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21" fillId="39" borderId="0" applyNumberFormat="0" applyBorder="0" applyAlignment="0" applyProtection="0">
      <alignment vertical="center"/>
    </xf>
    <xf numFmtId="0" fontId="21" fillId="40" borderId="0" applyNumberFormat="0" applyBorder="0" applyAlignment="0" applyProtection="0">
      <alignment vertical="center"/>
    </xf>
    <xf numFmtId="0" fontId="37" fillId="41" borderId="0" applyNumberFormat="0" applyBorder="0" applyAlignment="0" applyProtection="0">
      <alignment vertical="center"/>
    </xf>
    <xf numFmtId="0" fontId="37" fillId="42" borderId="0" applyNumberFormat="0" applyBorder="0" applyAlignment="0" applyProtection="0">
      <alignment vertical="center"/>
    </xf>
    <xf numFmtId="0" fontId="21" fillId="43" borderId="0" applyNumberFormat="0" applyBorder="0" applyAlignment="0" applyProtection="0">
      <alignment vertical="center"/>
    </xf>
    <xf numFmtId="0" fontId="21" fillId="44" borderId="0" applyNumberFormat="0" applyBorder="0" applyAlignment="0" applyProtection="0">
      <alignment vertical="center"/>
    </xf>
    <xf numFmtId="0" fontId="37" fillId="45" borderId="0" applyNumberFormat="0" applyBorder="0" applyAlignment="0" applyProtection="0">
      <alignment vertical="center"/>
    </xf>
  </cellStyleXfs>
  <cellXfs count="64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 shrinkToFit="1"/>
    </xf>
    <xf numFmtId="0" fontId="3" fillId="2" borderId="0" xfId="0" applyFont="1" applyFill="1" applyAlignment="1">
      <alignment vertical="center" wrapText="1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Font="1">
      <alignment vertical="center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 shrinkToFit="1"/>
    </xf>
    <xf numFmtId="0" fontId="0" fillId="2" borderId="0" xfId="0" applyFill="1" applyAlignment="1">
      <alignment vertical="center" shrinkToFit="1"/>
    </xf>
    <xf numFmtId="0" fontId="0" fillId="0" borderId="0" xfId="0">
      <alignment vertical="center"/>
    </xf>
    <xf numFmtId="0" fontId="8" fillId="4" borderId="0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horizontal="center" vertical="center" shrinkToFit="1"/>
    </xf>
    <xf numFmtId="0" fontId="8" fillId="6" borderId="4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vertical="center"/>
    </xf>
    <xf numFmtId="0" fontId="8" fillId="6" borderId="2" xfId="0" applyFont="1" applyFill="1" applyBorder="1" applyAlignment="1">
      <alignment horizontal="right" vertical="center"/>
    </xf>
    <xf numFmtId="0" fontId="8" fillId="6" borderId="3" xfId="0" applyFont="1" applyFill="1" applyBorder="1" applyAlignment="1">
      <alignment horizontal="right" vertical="center"/>
    </xf>
    <xf numFmtId="0" fontId="8" fillId="6" borderId="3" xfId="0" applyFont="1" applyFill="1" applyBorder="1" applyAlignment="1">
      <alignment horizontal="left" vertical="center"/>
    </xf>
    <xf numFmtId="0" fontId="8" fillId="6" borderId="3" xfId="0" applyFont="1" applyFill="1" applyBorder="1" applyAlignment="1">
      <alignment horizontal="left" vertical="center" shrinkToFit="1"/>
    </xf>
    <xf numFmtId="0" fontId="8" fillId="4" borderId="5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 shrinkToFit="1"/>
    </xf>
    <xf numFmtId="0" fontId="8" fillId="4" borderId="1" xfId="0" applyFont="1" applyFill="1" applyBorder="1" applyAlignment="1">
      <alignment horizontal="left" vertical="center" shrinkToFit="1"/>
    </xf>
    <xf numFmtId="0" fontId="8" fillId="4" borderId="1" xfId="0" applyFont="1" applyFill="1" applyBorder="1" applyAlignment="1">
      <alignment vertical="center" shrinkToFit="1"/>
    </xf>
    <xf numFmtId="0" fontId="8" fillId="4" borderId="6" xfId="0" applyFont="1" applyFill="1" applyBorder="1" applyAlignment="1">
      <alignment horizontal="center" vertical="center" shrinkToFit="1"/>
    </xf>
    <xf numFmtId="0" fontId="8" fillId="4" borderId="1" xfId="0" applyFont="1" applyFill="1" applyBorder="1" applyAlignment="1" applyProtection="1">
      <alignment horizontal="center" vertical="center" shrinkToFit="1"/>
    </xf>
    <xf numFmtId="0" fontId="8" fillId="4" borderId="1" xfId="0" applyFont="1" applyFill="1" applyBorder="1" applyAlignment="1" applyProtection="1">
      <alignment vertical="center" shrinkToFit="1"/>
    </xf>
    <xf numFmtId="0" fontId="8" fillId="0" borderId="0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right" vertical="center"/>
    </xf>
    <xf numFmtId="0" fontId="8" fillId="8" borderId="1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vertical="center"/>
    </xf>
    <xf numFmtId="0" fontId="8" fillId="8" borderId="1" xfId="0" applyFont="1" applyFill="1" applyBorder="1" applyAlignment="1">
      <alignment horizontal="center" vertical="center" shrinkToFit="1"/>
    </xf>
    <xf numFmtId="0" fontId="11" fillId="8" borderId="13" xfId="0" applyFont="1" applyFill="1" applyBorder="1" applyAlignment="1">
      <alignment horizontal="center" vertical="center" shrinkToFit="1"/>
    </xf>
    <xf numFmtId="0" fontId="11" fillId="8" borderId="1" xfId="0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vertical="center" shrinkToFit="1"/>
    </xf>
    <xf numFmtId="0" fontId="12" fillId="0" borderId="0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176" fontId="8" fillId="4" borderId="0" xfId="0" applyNumberFormat="1" applyFont="1" applyFill="1" applyBorder="1" applyAlignment="1">
      <alignment vertical="center"/>
    </xf>
    <xf numFmtId="0" fontId="8" fillId="0" borderId="1" xfId="0" applyFont="1" applyFill="1" applyBorder="1" applyAlignment="1">
      <alignment horizontal="center" vertical="center" shrinkToFit="1"/>
    </xf>
    <xf numFmtId="9" fontId="8" fillId="4" borderId="1" xfId="0" applyNumberFormat="1" applyFont="1" applyFill="1" applyBorder="1" applyAlignment="1">
      <alignment horizontal="center" vertical="center"/>
    </xf>
    <xf numFmtId="176" fontId="8" fillId="4" borderId="1" xfId="0" applyNumberFormat="1" applyFont="1" applyFill="1" applyBorder="1" applyAlignment="1">
      <alignment horizontal="center" vertical="center" shrinkToFit="1"/>
    </xf>
    <xf numFmtId="0" fontId="8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vertical="center" shrinkToFit="1"/>
      <protection locked="0"/>
    </xf>
    <xf numFmtId="0" fontId="8" fillId="2" borderId="0" xfId="0" applyFont="1" applyFill="1" applyBorder="1" applyAlignment="1" applyProtection="1">
      <alignment vertical="center"/>
      <protection locked="0"/>
    </xf>
    <xf numFmtId="0" fontId="8" fillId="2" borderId="15" xfId="0" applyFont="1" applyFill="1" applyBorder="1" applyAlignment="1" applyProtection="1">
      <alignment vertical="center"/>
      <protection locked="0"/>
    </xf>
    <xf numFmtId="0" fontId="13" fillId="9" borderId="1" xfId="0" applyFont="1" applyFill="1" applyBorder="1" applyAlignment="1">
      <alignment vertical="center" wrapText="1"/>
    </xf>
    <xf numFmtId="0" fontId="13" fillId="9" borderId="1" xfId="0" applyFont="1" applyFill="1" applyBorder="1">
      <alignment vertical="center"/>
    </xf>
    <xf numFmtId="0" fontId="13" fillId="9" borderId="33" xfId="0" applyFont="1" applyFill="1" applyBorder="1">
      <alignment vertical="center"/>
    </xf>
    <xf numFmtId="0" fontId="14" fillId="10" borderId="14" xfId="0" applyFont="1" applyFill="1" applyBorder="1" applyAlignment="1">
      <alignment horizontal="left" vertical="center"/>
    </xf>
    <xf numFmtId="0" fontId="13" fillId="10" borderId="1" xfId="0" applyFont="1" applyFill="1" applyBorder="1" applyAlignment="1">
      <alignment vertical="center" wrapText="1"/>
    </xf>
    <xf numFmtId="0" fontId="13" fillId="10" borderId="1" xfId="0" applyFont="1" applyFill="1" applyBorder="1">
      <alignment vertical="center"/>
    </xf>
    <xf numFmtId="0" fontId="13" fillId="10" borderId="33" xfId="0" applyFont="1" applyFill="1" applyBorder="1" applyAlignment="1">
      <alignment horizontal="left" vertical="center"/>
    </xf>
    <xf numFmtId="0" fontId="13" fillId="10" borderId="1" xfId="0" applyFont="1" applyFill="1" applyBorder="1" applyAlignment="1">
      <alignment vertical="center"/>
    </xf>
    <xf numFmtId="0" fontId="5" fillId="0" borderId="0" xfId="0" applyFont="1" applyAlignment="1">
      <alignment vertical="center" shrinkToFit="1"/>
    </xf>
    <xf numFmtId="0" fontId="0" fillId="2" borderId="0" xfId="0" applyFill="1">
      <alignment vertical="center"/>
    </xf>
    <xf numFmtId="0" fontId="0" fillId="0" borderId="1" xfId="0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0" fillId="2" borderId="0" xfId="0" applyFill="1" applyBorder="1" applyAlignment="1">
      <alignment horizontal="right" vertical="center" shrinkToFit="1"/>
    </xf>
    <xf numFmtId="0" fontId="0" fillId="0" borderId="0" xfId="0" applyFill="1" applyBorder="1" applyAlignment="1">
      <alignment vertical="center" shrinkToFit="1"/>
    </xf>
    <xf numFmtId="0" fontId="8" fillId="0" borderId="1" xfId="0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horizontal="left" vertical="center" shrinkToFi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8" fillId="0" borderId="1" xfId="0" applyFont="1" applyBorder="1" applyAlignment="1" applyProtection="1">
      <alignment vertical="center" shrinkToFit="1"/>
      <protection locked="0"/>
    </xf>
    <xf numFmtId="0" fontId="8" fillId="0" borderId="1" xfId="0" applyFont="1" applyFill="1" applyBorder="1" applyAlignment="1" applyProtection="1">
      <alignment horizontal="center" vertical="center" shrinkToFit="1"/>
      <protection locked="0"/>
    </xf>
    <xf numFmtId="177" fontId="8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Fill="1">
      <alignment vertical="center"/>
    </xf>
    <xf numFmtId="0" fontId="14" fillId="10" borderId="14" xfId="0" applyFont="1" applyFill="1" applyBorder="1" applyAlignment="1">
      <alignment horizontal="left" vertical="center"/>
    </xf>
    <xf numFmtId="177" fontId="8" fillId="4" borderId="1" xfId="0" applyNumberFormat="1" applyFont="1" applyFill="1" applyBorder="1" applyAlignment="1" applyProtection="1">
      <alignment horizontal="center" vertical="center" shrinkToFit="1"/>
    </xf>
    <xf numFmtId="0" fontId="0" fillId="4" borderId="0" xfId="0" applyFill="1" applyAlignment="1">
      <alignment vertical="center" shrinkToFit="1"/>
    </xf>
    <xf numFmtId="0" fontId="8" fillId="2" borderId="6" xfId="0" applyFont="1" applyFill="1" applyBorder="1" applyAlignment="1" applyProtection="1">
      <alignment vertical="center"/>
      <protection locked="0"/>
    </xf>
    <xf numFmtId="0" fontId="8" fillId="8" borderId="1" xfId="0" applyFont="1" applyFill="1" applyBorder="1" applyAlignment="1">
      <alignment vertical="center"/>
    </xf>
    <xf numFmtId="0" fontId="0" fillId="2" borderId="0" xfId="0" applyNumberFormat="1" applyFill="1" applyAlignment="1">
      <alignment vertical="center" shrinkToFit="1"/>
    </xf>
    <xf numFmtId="0" fontId="8" fillId="0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vertical="center" shrinkToFit="1"/>
    </xf>
    <xf numFmtId="0" fontId="8" fillId="0" borderId="0" xfId="0" applyFont="1" applyFill="1" applyBorder="1" applyAlignment="1">
      <alignment vertical="center" shrinkToFit="1"/>
    </xf>
    <xf numFmtId="14" fontId="8" fillId="0" borderId="0" xfId="0" applyNumberFormat="1" applyFont="1" applyFill="1" applyBorder="1" applyAlignment="1">
      <alignment vertical="center"/>
    </xf>
    <xf numFmtId="14" fontId="8" fillId="0" borderId="0" xfId="0" applyNumberFormat="1" applyFont="1" applyFill="1" applyBorder="1" applyAlignment="1">
      <alignment vertical="center" shrinkToFit="1"/>
    </xf>
    <xf numFmtId="0" fontId="16" fillId="10" borderId="1" xfId="2" applyFont="1" applyFill="1" applyBorder="1">
      <alignment vertical="center"/>
    </xf>
    <xf numFmtId="0" fontId="17" fillId="11" borderId="1" xfId="2" applyFont="1" applyFill="1" applyBorder="1">
      <alignment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0" fontId="0" fillId="2" borderId="0" xfId="0" applyNumberFormat="1" applyFill="1">
      <alignment vertical="center"/>
    </xf>
    <xf numFmtId="178" fontId="8" fillId="2" borderId="33" xfId="0" applyNumberFormat="1" applyFont="1" applyFill="1" applyBorder="1" applyAlignment="1">
      <alignment vertical="center"/>
    </xf>
    <xf numFmtId="0" fontId="16" fillId="11" borderId="1" xfId="2" applyFont="1" applyFill="1" applyBorder="1">
      <alignment vertical="center"/>
    </xf>
    <xf numFmtId="177" fontId="0" fillId="2" borderId="0" xfId="0" applyNumberFormat="1" applyFill="1">
      <alignment vertical="center"/>
    </xf>
    <xf numFmtId="0" fontId="13" fillId="10" borderId="1" xfId="0" quotePrefix="1" applyFont="1" applyFill="1" applyBorder="1" applyAlignment="1">
      <alignment vertical="center"/>
    </xf>
    <xf numFmtId="0" fontId="8" fillId="4" borderId="0" xfId="0" applyFont="1" applyFill="1" applyBorder="1" applyAlignment="1">
      <alignment vertical="center" shrinkToFit="1"/>
    </xf>
    <xf numFmtId="0" fontId="7" fillId="0" borderId="0" xfId="0" applyFont="1" applyFill="1" applyBorder="1" applyAlignment="1" applyProtection="1">
      <alignment vertical="center"/>
      <protection locked="0"/>
    </xf>
    <xf numFmtId="179" fontId="8" fillId="2" borderId="0" xfId="0" applyNumberFormat="1" applyFont="1" applyFill="1" applyBorder="1" applyAlignment="1" applyProtection="1">
      <alignment horizontal="center" vertical="center" shrinkToFit="1"/>
      <protection locked="0"/>
    </xf>
    <xf numFmtId="178" fontId="8" fillId="2" borderId="33" xfId="0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14" fillId="10" borderId="14" xfId="0" applyFont="1" applyFill="1" applyBorder="1" applyAlignment="1">
      <alignment horizontal="left" vertical="center"/>
    </xf>
    <xf numFmtId="0" fontId="13" fillId="10" borderId="10" xfId="0" applyFont="1" applyFill="1" applyBorder="1" applyAlignment="1">
      <alignment horizontal="left" vertical="center"/>
    </xf>
    <xf numFmtId="0" fontId="13" fillId="9" borderId="6" xfId="0" applyFont="1" applyFill="1" applyBorder="1">
      <alignment vertical="center"/>
    </xf>
    <xf numFmtId="0" fontId="14" fillId="10" borderId="4" xfId="0" applyFont="1" applyFill="1" applyBorder="1" applyAlignment="1">
      <alignment horizontal="left" vertical="center"/>
    </xf>
    <xf numFmtId="0" fontId="13" fillId="10" borderId="6" xfId="0" applyFont="1" applyFill="1" applyBorder="1" applyAlignment="1">
      <alignment horizontal="left" vertical="center"/>
    </xf>
    <xf numFmtId="0" fontId="14" fillId="10" borderId="14" xfId="0" applyFont="1" applyFill="1" applyBorder="1" applyAlignment="1">
      <alignment horizontal="left" vertical="center"/>
    </xf>
    <xf numFmtId="0" fontId="13" fillId="9" borderId="33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vertical="top" wrapText="1"/>
    </xf>
    <xf numFmtId="0" fontId="0" fillId="0" borderId="34" xfId="0" applyBorder="1">
      <alignment vertical="center"/>
    </xf>
    <xf numFmtId="0" fontId="0" fillId="2" borderId="34" xfId="0" applyFill="1" applyBorder="1">
      <alignment vertical="center"/>
    </xf>
    <xf numFmtId="0" fontId="14" fillId="10" borderId="14" xfId="0" applyFont="1" applyFill="1" applyBorder="1" applyAlignment="1">
      <alignment horizontal="left" vertical="center"/>
    </xf>
    <xf numFmtId="0" fontId="13" fillId="9" borderId="1" xfId="0" applyFont="1" applyFill="1" applyBorder="1" applyAlignment="1">
      <alignment vertical="top" wrapText="1"/>
    </xf>
    <xf numFmtId="0" fontId="14" fillId="10" borderId="4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vertical="center"/>
    </xf>
    <xf numFmtId="0" fontId="18" fillId="4" borderId="1" xfId="0" applyFont="1" applyFill="1" applyBorder="1" applyAlignment="1">
      <alignment horizontal="center" vertical="center" shrinkToFit="1"/>
    </xf>
    <xf numFmtId="0" fontId="8" fillId="7" borderId="1" xfId="0" applyFont="1" applyFill="1" applyBorder="1" applyAlignment="1" applyProtection="1">
      <alignment horizontal="center" vertical="center" shrinkToFit="1"/>
      <protection locked="0"/>
    </xf>
    <xf numFmtId="0" fontId="8" fillId="0" borderId="6" xfId="0" applyFont="1" applyFill="1" applyBorder="1" applyAlignment="1" applyProtection="1">
      <alignment horizontal="center" vertical="center" shrinkToFit="1"/>
      <protection locked="0"/>
    </xf>
    <xf numFmtId="0" fontId="8" fillId="0" borderId="1" xfId="0" applyFont="1" applyBorder="1" applyAlignment="1" applyProtection="1">
      <alignment horizontal="center" vertical="center" shrinkToFit="1"/>
      <protection locked="0"/>
    </xf>
    <xf numFmtId="182" fontId="8" fillId="0" borderId="1" xfId="0" applyNumberFormat="1" applyFont="1" applyFill="1" applyBorder="1" applyAlignment="1" applyProtection="1">
      <alignment horizontal="right" vertical="center" shrinkToFit="1"/>
      <protection locked="0"/>
    </xf>
    <xf numFmtId="182" fontId="8" fillId="4" borderId="1" xfId="0" applyNumberFormat="1" applyFont="1" applyFill="1" applyBorder="1" applyAlignment="1" applyProtection="1">
      <alignment horizontal="right" vertical="center" shrinkToFit="1"/>
    </xf>
    <xf numFmtId="182" fontId="8" fillId="0" borderId="1" xfId="0" quotePrefix="1" applyNumberFormat="1" applyFont="1" applyFill="1" applyBorder="1" applyAlignment="1" applyProtection="1">
      <alignment horizontal="right" vertical="center" shrinkToFit="1"/>
      <protection locked="0"/>
    </xf>
    <xf numFmtId="182" fontId="8" fillId="4" borderId="1" xfId="0" quotePrefix="1" applyNumberFormat="1" applyFont="1" applyFill="1" applyBorder="1" applyAlignment="1" applyProtection="1">
      <alignment horizontal="right" vertical="center" shrinkToFit="1"/>
    </xf>
    <xf numFmtId="182" fontId="8" fillId="0" borderId="1" xfId="0" applyNumberFormat="1" applyFont="1" applyBorder="1" applyAlignment="1" applyProtection="1">
      <alignment horizontal="right" vertical="center" shrinkToFit="1"/>
      <protection locked="0"/>
    </xf>
    <xf numFmtId="182" fontId="8" fillId="4" borderId="1" xfId="0" applyNumberFormat="1" applyFont="1" applyFill="1" applyBorder="1" applyAlignment="1">
      <alignment horizontal="right" vertical="center" shrinkToFit="1"/>
    </xf>
    <xf numFmtId="182" fontId="8" fillId="4" borderId="1" xfId="0" quotePrefix="1" applyNumberFormat="1" applyFont="1" applyFill="1" applyBorder="1" applyAlignment="1">
      <alignment vertical="center" shrinkToFit="1"/>
    </xf>
    <xf numFmtId="0" fontId="13" fillId="10" borderId="14" xfId="0" applyFont="1" applyFill="1" applyBorder="1" applyAlignment="1">
      <alignment vertical="center"/>
    </xf>
    <xf numFmtId="0" fontId="8" fillId="6" borderId="3" xfId="0" applyFont="1" applyFill="1" applyBorder="1" applyAlignment="1">
      <alignment horizontal="left" vertical="center"/>
    </xf>
    <xf numFmtId="0" fontId="8" fillId="6" borderId="3" xfId="0" applyFont="1" applyFill="1" applyBorder="1" applyAlignment="1">
      <alignment horizontal="left" vertical="center" shrinkToFit="1"/>
    </xf>
    <xf numFmtId="0" fontId="19" fillId="0" borderId="0" xfId="0" applyFont="1" applyAlignment="1">
      <alignment vertical="center"/>
    </xf>
    <xf numFmtId="0" fontId="8" fillId="12" borderId="1" xfId="0" applyFont="1" applyFill="1" applyBorder="1" applyAlignment="1">
      <alignment horizontal="center" vertical="center" shrinkToFit="1"/>
    </xf>
    <xf numFmtId="0" fontId="8" fillId="4" borderId="0" xfId="0" applyFont="1" applyFill="1" applyBorder="1" applyAlignment="1">
      <alignment horizontal="left" vertical="center"/>
    </xf>
    <xf numFmtId="0" fontId="8" fillId="12" borderId="0" xfId="0" applyFont="1" applyFill="1" applyBorder="1" applyAlignment="1">
      <alignment horizontal="right" vertical="center"/>
    </xf>
    <xf numFmtId="0" fontId="8" fillId="12" borderId="0" xfId="0" applyFont="1" applyFill="1" applyBorder="1" applyAlignment="1">
      <alignment vertical="center"/>
    </xf>
    <xf numFmtId="0" fontId="8" fillId="12" borderId="1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vertical="center" shrinkToFit="1"/>
    </xf>
    <xf numFmtId="0" fontId="8" fillId="9" borderId="1" xfId="0" applyFont="1" applyFill="1" applyBorder="1" applyAlignment="1">
      <alignment vertical="center" wrapText="1"/>
    </xf>
    <xf numFmtId="0" fontId="8" fillId="9" borderId="1" xfId="0" applyFont="1" applyFill="1" applyBorder="1">
      <alignment vertical="center"/>
    </xf>
    <xf numFmtId="0" fontId="8" fillId="9" borderId="10" xfId="0" applyFont="1" applyFill="1" applyBorder="1">
      <alignment vertical="center"/>
    </xf>
    <xf numFmtId="0" fontId="8" fillId="10" borderId="4" xfId="0" applyFont="1" applyFill="1" applyBorder="1" applyAlignment="1">
      <alignment vertical="center" wrapText="1"/>
    </xf>
    <xf numFmtId="0" fontId="8" fillId="10" borderId="4" xfId="0" applyFont="1" applyFill="1" applyBorder="1">
      <alignment vertical="center"/>
    </xf>
    <xf numFmtId="0" fontId="8" fillId="10" borderId="1" xfId="0" applyFont="1" applyFill="1" applyBorder="1">
      <alignment vertical="center"/>
    </xf>
    <xf numFmtId="0" fontId="8" fillId="10" borderId="10" xfId="0" applyFont="1" applyFill="1" applyBorder="1" applyAlignment="1">
      <alignment horizontal="left" vertical="center"/>
    </xf>
    <xf numFmtId="0" fontId="8" fillId="10" borderId="10" xfId="0" applyFont="1" applyFill="1" applyBorder="1" applyAlignment="1">
      <alignment vertical="center"/>
    </xf>
    <xf numFmtId="0" fontId="8" fillId="13" borderId="1" xfId="0" applyFont="1" applyFill="1" applyBorder="1" applyAlignment="1">
      <alignment vertical="center"/>
    </xf>
    <xf numFmtId="0" fontId="8" fillId="13" borderId="4" xfId="0" applyFont="1" applyFill="1" applyBorder="1">
      <alignment vertical="center"/>
    </xf>
    <xf numFmtId="0" fontId="8" fillId="13" borderId="1" xfId="0" applyFont="1" applyFill="1" applyBorder="1">
      <alignment vertical="center"/>
    </xf>
    <xf numFmtId="0" fontId="8" fillId="10" borderId="4" xfId="0" applyNumberFormat="1" applyFont="1" applyFill="1" applyBorder="1">
      <alignment vertical="center"/>
    </xf>
    <xf numFmtId="0" fontId="11" fillId="10" borderId="1" xfId="0" applyFont="1" applyFill="1" applyBorder="1">
      <alignment vertical="center"/>
    </xf>
    <xf numFmtId="0" fontId="11" fillId="14" borderId="1" xfId="0" applyFont="1" applyFill="1" applyBorder="1" applyAlignment="1">
      <alignment vertical="center" wrapText="1"/>
    </xf>
    <xf numFmtId="0" fontId="11" fillId="14" borderId="1" xfId="0" applyFont="1" applyFill="1" applyBorder="1">
      <alignment vertical="center"/>
    </xf>
    <xf numFmtId="0" fontId="8" fillId="0" borderId="36" xfId="0" applyFont="1" applyFill="1" applyBorder="1" applyAlignment="1" applyProtection="1">
      <alignment horizontal="right" vertical="center"/>
      <protection locked="0"/>
    </xf>
    <xf numFmtId="0" fontId="8" fillId="4" borderId="36" xfId="0" applyFont="1" applyFill="1" applyBorder="1" applyAlignment="1" applyProtection="1">
      <alignment horizontal="right" vertical="center"/>
      <protection locked="0"/>
    </xf>
    <xf numFmtId="0" fontId="8" fillId="0" borderId="36" xfId="0" applyFont="1" applyFill="1" applyBorder="1" applyAlignment="1" applyProtection="1">
      <alignment horizontal="left" vertical="center" shrinkToFit="1"/>
      <protection locked="0"/>
    </xf>
    <xf numFmtId="0" fontId="8" fillId="0" borderId="37" xfId="0" applyFont="1" applyFill="1" applyBorder="1" applyAlignment="1" applyProtection="1">
      <alignment horizontal="right" vertical="center"/>
      <protection locked="0"/>
    </xf>
    <xf numFmtId="0" fontId="0" fillId="0" borderId="0" xfId="0">
      <alignment vertical="center"/>
    </xf>
    <xf numFmtId="0" fontId="8" fillId="4" borderId="0" xfId="0" applyFont="1" applyFill="1" applyBorder="1" applyAlignment="1">
      <alignment horizontal="center" vertical="center"/>
    </xf>
    <xf numFmtId="0" fontId="0" fillId="2" borderId="0" xfId="0" applyFill="1" applyAlignment="1">
      <alignment vertical="center" shrinkToFit="1"/>
    </xf>
    <xf numFmtId="0" fontId="0" fillId="2" borderId="0" xfId="0" applyNumberFormat="1" applyFill="1" applyAlignment="1">
      <alignment vertical="center" shrinkToFit="1"/>
    </xf>
    <xf numFmtId="0" fontId="5" fillId="0" borderId="0" xfId="0" applyFont="1">
      <alignment vertical="center"/>
    </xf>
    <xf numFmtId="0" fontId="0" fillId="0" borderId="0" xfId="0" applyAlignment="1">
      <alignment vertical="center" shrinkToFit="1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4" borderId="0" xfId="0" applyFont="1" applyFill="1" applyBorder="1" applyAlignment="1">
      <alignment vertical="center"/>
    </xf>
    <xf numFmtId="22" fontId="0" fillId="2" borderId="0" xfId="0" applyNumberFormat="1" applyFill="1" applyAlignment="1">
      <alignment vertical="center" shrinkToFit="1"/>
    </xf>
    <xf numFmtId="0" fontId="8" fillId="4" borderId="6" xfId="0" applyFont="1" applyFill="1" applyBorder="1" applyAlignment="1" applyProtection="1">
      <alignment horizontal="center" vertical="center" shrinkToFit="1"/>
    </xf>
    <xf numFmtId="0" fontId="8" fillId="4" borderId="6" xfId="0" applyFont="1" applyFill="1" applyBorder="1" applyAlignment="1">
      <alignment horizontal="center" vertical="center" shrinkToFit="1"/>
    </xf>
    <xf numFmtId="177" fontId="8" fillId="4" borderId="6" xfId="0" applyNumberFormat="1" applyFont="1" applyFill="1" applyBorder="1" applyAlignment="1">
      <alignment horizontal="center" vertical="center" shrinkToFit="1"/>
    </xf>
    <xf numFmtId="0" fontId="8" fillId="4" borderId="0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horizontal="center" vertical="center" shrinkToFit="1"/>
    </xf>
    <xf numFmtId="0" fontId="8" fillId="0" borderId="6" xfId="0" applyFont="1" applyFill="1" applyBorder="1" applyAlignment="1" applyProtection="1">
      <alignment horizontal="center" vertical="center" shrinkToFit="1"/>
      <protection locked="0"/>
    </xf>
    <xf numFmtId="0" fontId="8" fillId="4" borderId="1" xfId="0" applyNumberFormat="1" applyFont="1" applyFill="1" applyBorder="1" applyAlignment="1" applyProtection="1">
      <alignment horizontal="center" vertical="center" shrinkToFit="1"/>
    </xf>
    <xf numFmtId="0" fontId="8" fillId="4" borderId="6" xfId="0" applyFont="1" applyFill="1" applyBorder="1" applyAlignment="1" applyProtection="1">
      <alignment horizontal="left" vertical="center" shrinkToFit="1"/>
    </xf>
    <xf numFmtId="0" fontId="8" fillId="4" borderId="6" xfId="0" applyFont="1" applyFill="1" applyBorder="1" applyAlignment="1">
      <alignment horizontal="left" vertical="center" shrinkToFit="1"/>
    </xf>
    <xf numFmtId="0" fontId="8" fillId="4" borderId="0" xfId="0" applyNumberFormat="1" applyFont="1" applyFill="1" applyBorder="1" applyAlignment="1">
      <alignment vertical="center"/>
    </xf>
    <xf numFmtId="0" fontId="8" fillId="8" borderId="1" xfId="0" applyNumberFormat="1" applyFont="1" applyFill="1" applyBorder="1" applyAlignment="1" applyProtection="1">
      <alignment horizontal="center" vertical="center" shrinkToFit="1"/>
    </xf>
    <xf numFmtId="0" fontId="8" fillId="8" borderId="2" xfId="0" applyNumberFormat="1" applyFont="1" applyFill="1" applyBorder="1" applyAlignment="1" applyProtection="1">
      <alignment horizontal="center" vertical="center" shrinkToFit="1"/>
    </xf>
    <xf numFmtId="0" fontId="8" fillId="8" borderId="4" xfId="0" applyNumberFormat="1" applyFont="1" applyFill="1" applyBorder="1" applyAlignment="1" applyProtection="1">
      <alignment horizontal="center" vertical="center" shrinkToFit="1"/>
    </xf>
    <xf numFmtId="0" fontId="8" fillId="4" borderId="6" xfId="0" applyNumberFormat="1" applyFont="1" applyFill="1" applyBorder="1" applyAlignment="1">
      <alignment horizontal="center" vertical="center" shrinkToFit="1"/>
    </xf>
    <xf numFmtId="178" fontId="8" fillId="4" borderId="6" xfId="0" applyNumberFormat="1" applyFont="1" applyFill="1" applyBorder="1" applyAlignment="1" applyProtection="1">
      <alignment horizontal="left" vertical="center" shrinkToFit="1"/>
    </xf>
    <xf numFmtId="0" fontId="5" fillId="0" borderId="0" xfId="0" applyFont="1" applyAlignment="1">
      <alignment horizontal="center" vertical="center" shrinkToFit="1"/>
    </xf>
    <xf numFmtId="0" fontId="10" fillId="0" borderId="0" xfId="1" applyFont="1" applyBorder="1" applyAlignment="1">
      <alignment vertical="center"/>
    </xf>
    <xf numFmtId="183" fontId="8" fillId="2" borderId="47" xfId="0" applyNumberFormat="1" applyFont="1" applyFill="1" applyBorder="1" applyAlignment="1" applyProtection="1">
      <alignment vertical="center"/>
      <protection locked="0"/>
    </xf>
    <xf numFmtId="183" fontId="8" fillId="2" borderId="48" xfId="0" applyNumberFormat="1" applyFont="1" applyFill="1" applyBorder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vertical="center" shrinkToFit="1"/>
    </xf>
    <xf numFmtId="183" fontId="8" fillId="2" borderId="49" xfId="0" applyNumberFormat="1" applyFont="1" applyFill="1" applyBorder="1" applyAlignment="1" applyProtection="1">
      <alignment vertical="center"/>
      <protection locked="0"/>
    </xf>
    <xf numFmtId="0" fontId="8" fillId="9" borderId="33" xfId="0" applyFont="1" applyFill="1" applyBorder="1">
      <alignment vertical="center"/>
    </xf>
    <xf numFmtId="0" fontId="8" fillId="9" borderId="11" xfId="0" applyFont="1" applyFill="1" applyBorder="1">
      <alignment vertical="center"/>
    </xf>
    <xf numFmtId="0" fontId="8" fillId="10" borderId="1" xfId="0" applyFont="1" applyFill="1" applyBorder="1" applyAlignment="1">
      <alignment vertical="top" wrapText="1"/>
    </xf>
    <xf numFmtId="0" fontId="6" fillId="0" borderId="1" xfId="2" applyNumberFormat="1" applyFont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vertical="center" shrinkToFit="1"/>
    </xf>
    <xf numFmtId="0" fontId="8" fillId="8" borderId="1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177" fontId="6" fillId="0" borderId="1" xfId="2" applyNumberFormat="1" applyFont="1" applyBorder="1">
      <alignment vertical="center"/>
    </xf>
    <xf numFmtId="0" fontId="8" fillId="10" borderId="4" xfId="0" applyFont="1" applyFill="1" applyBorder="1" applyAlignment="1">
      <alignment vertical="center"/>
    </xf>
    <xf numFmtId="0" fontId="0" fillId="4" borderId="1" xfId="0" applyFill="1" applyBorder="1">
      <alignment vertical="center"/>
    </xf>
    <xf numFmtId="0" fontId="8" fillId="4" borderId="2" xfId="0" applyNumberFormat="1" applyFont="1" applyFill="1" applyBorder="1" applyAlignment="1" applyProtection="1">
      <alignment horizontal="center" vertical="center" shrinkToFit="1"/>
    </xf>
    <xf numFmtId="0" fontId="0" fillId="0" borderId="0" xfId="0">
      <alignment vertical="center"/>
    </xf>
    <xf numFmtId="0" fontId="8" fillId="8" borderId="1" xfId="0" applyFont="1" applyFill="1" applyBorder="1" applyAlignment="1">
      <alignment horizontal="center" vertical="center" shrinkToFit="1"/>
    </xf>
    <xf numFmtId="49" fontId="8" fillId="6" borderId="1" xfId="0" applyNumberFormat="1" applyFont="1" applyFill="1" applyBorder="1" applyAlignment="1" applyProtection="1">
      <alignment horizontal="center" vertical="center" shrinkToFit="1"/>
      <protection locked="0"/>
    </xf>
    <xf numFmtId="0" fontId="8" fillId="8" borderId="2" xfId="0" applyFont="1" applyFill="1" applyBorder="1" applyAlignment="1">
      <alignment horizontal="center" vertical="center" shrinkToFit="1"/>
    </xf>
    <xf numFmtId="0" fontId="0" fillId="0" borderId="50" xfId="0" applyBorder="1" applyAlignment="1" applyProtection="1">
      <alignment vertical="center"/>
      <protection locked="0"/>
    </xf>
    <xf numFmtId="0" fontId="0" fillId="0" borderId="51" xfId="0" applyBorder="1" applyAlignment="1">
      <alignment vertical="center"/>
    </xf>
    <xf numFmtId="0" fontId="0" fillId="0" borderId="52" xfId="0" applyBorder="1" applyAlignment="1">
      <alignment vertical="center"/>
    </xf>
    <xf numFmtId="0" fontId="13" fillId="9" borderId="1" xfId="0" applyFont="1" applyFill="1" applyBorder="1" applyAlignment="1">
      <alignment vertical="center" wrapText="1"/>
    </xf>
    <xf numFmtId="0" fontId="13" fillId="9" borderId="33" xfId="0" applyFont="1" applyFill="1" applyBorder="1">
      <alignment vertical="center"/>
    </xf>
    <xf numFmtId="0" fontId="13" fillId="10" borderId="1" xfId="0" applyFont="1" applyFill="1" applyBorder="1" applyAlignment="1">
      <alignment vertical="center" wrapText="1"/>
    </xf>
    <xf numFmtId="0" fontId="13" fillId="10" borderId="1" xfId="0" applyFont="1" applyFill="1" applyBorder="1">
      <alignment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2" borderId="0" xfId="0" applyNumberFormat="1" applyFill="1">
      <alignment vertical="center"/>
    </xf>
    <xf numFmtId="49" fontId="0" fillId="2" borderId="0" xfId="0" applyNumberFormat="1" applyFill="1">
      <alignment vertical="center"/>
    </xf>
    <xf numFmtId="0" fontId="0" fillId="0" borderId="0" xfId="0">
      <alignment vertical="center"/>
    </xf>
    <xf numFmtId="0" fontId="8" fillId="4" borderId="1" xfId="0" applyFont="1" applyFill="1" applyBorder="1" applyAlignment="1">
      <alignment horizontal="center" vertical="center" shrinkToFit="1"/>
    </xf>
    <xf numFmtId="0" fontId="0" fillId="2" borderId="0" xfId="0" applyFill="1">
      <alignment vertical="center"/>
    </xf>
    <xf numFmtId="0" fontId="0" fillId="0" borderId="0" xfId="0" applyAlignment="1">
      <alignment vertical="center" shrinkToFit="1"/>
    </xf>
    <xf numFmtId="0" fontId="8" fillId="4" borderId="0" xfId="0" applyFont="1" applyFill="1" applyBorder="1" applyAlignment="1">
      <alignment vertical="center"/>
    </xf>
    <xf numFmtId="0" fontId="8" fillId="0" borderId="6" xfId="0" applyFont="1" applyFill="1" applyBorder="1" applyAlignment="1" applyProtection="1">
      <alignment horizontal="center" vertical="center" shrinkToFit="1"/>
      <protection locked="0"/>
    </xf>
    <xf numFmtId="0" fontId="8" fillId="8" borderId="1" xfId="0" applyFont="1" applyFill="1" applyBorder="1" applyAlignment="1">
      <alignment horizontal="center" vertical="center" shrinkToFit="1"/>
    </xf>
    <xf numFmtId="0" fontId="8" fillId="4" borderId="1" xfId="0" applyNumberFormat="1" applyFont="1" applyFill="1" applyBorder="1" applyAlignment="1" applyProtection="1">
      <alignment horizontal="center" vertical="center" shrinkToFit="1"/>
    </xf>
    <xf numFmtId="0" fontId="0" fillId="0" borderId="51" xfId="0" applyBorder="1" applyAlignment="1" applyProtection="1">
      <alignment vertical="center"/>
      <protection locked="0"/>
    </xf>
    <xf numFmtId="0" fontId="0" fillId="4" borderId="53" xfId="0" applyFill="1" applyBorder="1">
      <alignment vertical="center"/>
    </xf>
    <xf numFmtId="0" fontId="0" fillId="2" borderId="54" xfId="0" applyFill="1" applyBorder="1">
      <alignment vertical="center"/>
    </xf>
    <xf numFmtId="0" fontId="0" fillId="0" borderId="54" xfId="0" applyBorder="1">
      <alignment vertical="center"/>
    </xf>
    <xf numFmtId="0" fontId="8" fillId="4" borderId="0" xfId="0" applyNumberFormat="1" applyFont="1" applyFill="1" applyBorder="1" applyAlignment="1">
      <alignment vertical="center"/>
    </xf>
    <xf numFmtId="0" fontId="8" fillId="4" borderId="1" xfId="0" applyFont="1" applyFill="1" applyBorder="1" applyAlignment="1">
      <alignment horizontal="left" vertical="center" shrinkToFit="1"/>
    </xf>
    <xf numFmtId="0" fontId="8" fillId="9" borderId="6" xfId="0" applyFont="1" applyFill="1" applyBorder="1">
      <alignment vertical="center"/>
    </xf>
    <xf numFmtId="0" fontId="8" fillId="10" borderId="6" xfId="0" applyFont="1" applyFill="1" applyBorder="1" applyAlignment="1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2" borderId="0" xfId="0" applyNumberFormat="1" applyFill="1">
      <alignment vertical="center"/>
    </xf>
    <xf numFmtId="0" fontId="8" fillId="4" borderId="6" xfId="0" applyFont="1" applyFill="1" applyBorder="1" applyAlignment="1" applyProtection="1">
      <alignment horizontal="center" vertical="center" shrinkToFit="1"/>
      <protection locked="0"/>
    </xf>
    <xf numFmtId="178" fontId="6" fillId="0" borderId="1" xfId="2" applyNumberFormat="1" applyFont="1" applyBorder="1">
      <alignment vertical="center"/>
    </xf>
    <xf numFmtId="0" fontId="8" fillId="4" borderId="6" xfId="0" applyNumberFormat="1" applyFont="1" applyFill="1" applyBorder="1" applyAlignment="1" applyProtection="1">
      <alignment horizontal="center" vertical="center" shrinkToFit="1"/>
      <protection locked="0"/>
    </xf>
    <xf numFmtId="0" fontId="8" fillId="4" borderId="6" xfId="0" applyNumberFormat="1" applyFont="1" applyFill="1" applyBorder="1" applyAlignment="1" applyProtection="1">
      <alignment horizontal="center" vertical="center" shrinkToFit="1"/>
    </xf>
    <xf numFmtId="0" fontId="8" fillId="4" borderId="6" xfId="0" applyNumberFormat="1" applyFont="1" applyFill="1" applyBorder="1" applyAlignment="1">
      <alignment horizontal="left" vertical="center" shrinkToFit="1"/>
    </xf>
    <xf numFmtId="0" fontId="6" fillId="0" borderId="1" xfId="2" applyNumberFormat="1" applyFont="1" applyBorder="1" applyProtection="1">
      <alignment vertical="center"/>
    </xf>
    <xf numFmtId="177" fontId="6" fillId="0" borderId="1" xfId="2" applyNumberFormat="1" applyFont="1" applyBorder="1" applyProtection="1">
      <alignment vertical="center"/>
    </xf>
    <xf numFmtId="178" fontId="6" fillId="0" borderId="1" xfId="2" applyNumberFormat="1" applyFont="1" applyBorder="1" applyProtection="1">
      <alignment vertical="center"/>
    </xf>
    <xf numFmtId="0" fontId="14" fillId="10" borderId="14" xfId="0" applyFont="1" applyFill="1" applyBorder="1" applyAlignment="1">
      <alignment horizontal="left" vertical="center"/>
    </xf>
    <xf numFmtId="0" fontId="13" fillId="9" borderId="15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vertical="center"/>
    </xf>
    <xf numFmtId="0" fontId="8" fillId="8" borderId="1" xfId="0" applyFont="1" applyFill="1" applyBorder="1">
      <alignment vertical="center"/>
    </xf>
    <xf numFmtId="0" fontId="8" fillId="0" borderId="1" xfId="0" applyFont="1" applyBorder="1">
      <alignment vertical="center"/>
    </xf>
    <xf numFmtId="178" fontId="8" fillId="4" borderId="1" xfId="0" applyNumberFormat="1" applyFont="1" applyFill="1" applyBorder="1" applyAlignment="1">
      <alignment horizontal="center" vertical="center" shrinkToFit="1"/>
    </xf>
    <xf numFmtId="0" fontId="14" fillId="10" borderId="4" xfId="0" applyFont="1" applyFill="1" applyBorder="1" applyAlignment="1">
      <alignment vertical="center"/>
    </xf>
    <xf numFmtId="0" fontId="8" fillId="6" borderId="3" xfId="0" applyFont="1" applyFill="1" applyBorder="1" applyAlignment="1">
      <alignment horizontal="left" vertical="center" shrinkToFit="1"/>
    </xf>
    <xf numFmtId="0" fontId="14" fillId="10" borderId="14" xfId="0" applyFont="1" applyFill="1" applyBorder="1" applyAlignment="1">
      <alignment horizontal="left" vertical="center"/>
    </xf>
    <xf numFmtId="0" fontId="8" fillId="6" borderId="3" xfId="0" applyFont="1" applyFill="1" applyBorder="1" applyAlignment="1">
      <alignment horizontal="left" vertical="center"/>
    </xf>
    <xf numFmtId="14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Border="1" applyAlignment="1">
      <alignment horizontal="center" vertical="center" shrinkToFit="1"/>
    </xf>
    <xf numFmtId="0" fontId="38" fillId="0" borderId="0" xfId="0" applyFont="1" applyBorder="1" applyAlignment="1">
      <alignment vertical="center"/>
    </xf>
    <xf numFmtId="0" fontId="38" fillId="0" borderId="0" xfId="0" applyFont="1" applyFill="1" applyBorder="1" applyAlignment="1">
      <alignment vertical="center"/>
    </xf>
    <xf numFmtId="0" fontId="39" fillId="0" borderId="0" xfId="0" applyFont="1" applyBorder="1" applyAlignment="1">
      <alignment horizontal="center" vertical="center"/>
    </xf>
    <xf numFmtId="0" fontId="40" fillId="0" borderId="0" xfId="0" applyFont="1" applyBorder="1" applyAlignment="1">
      <alignment horizontal="left" vertical="center"/>
    </xf>
    <xf numFmtId="0" fontId="39" fillId="0" borderId="0" xfId="0" applyFont="1" applyBorder="1" applyAlignment="1">
      <alignment vertical="center"/>
    </xf>
    <xf numFmtId="0" fontId="41" fillId="0" borderId="0" xfId="0" applyFont="1" applyBorder="1" applyAlignment="1">
      <alignment horizontal="left" vertical="center"/>
    </xf>
    <xf numFmtId="0" fontId="38" fillId="0" borderId="1" xfId="0" applyFon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12" fillId="0" borderId="1" xfId="0" applyFont="1" applyBorder="1">
      <alignment vertical="center"/>
    </xf>
    <xf numFmtId="0" fontId="8" fillId="6" borderId="3" xfId="0" applyFont="1" applyFill="1" applyBorder="1" applyAlignment="1">
      <alignment horizontal="left" vertical="center" shrinkToFit="1"/>
    </xf>
    <xf numFmtId="0" fontId="8" fillId="6" borderId="3" xfId="0" applyFont="1" applyFill="1" applyBorder="1" applyAlignment="1">
      <alignment horizontal="left" vertical="center"/>
    </xf>
    <xf numFmtId="49" fontId="0" fillId="0" borderId="0" xfId="0" applyNumberFormat="1">
      <alignment vertical="center"/>
    </xf>
    <xf numFmtId="49" fontId="0" fillId="0" borderId="3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8" fillId="9" borderId="1" xfId="0" applyFont="1" applyFill="1" applyBorder="1" applyAlignment="1">
      <alignment vertical="top" wrapText="1"/>
    </xf>
    <xf numFmtId="0" fontId="8" fillId="10" borderId="4" xfId="0" applyFont="1" applyFill="1" applyBorder="1" applyAlignment="1">
      <alignment vertical="top" wrapText="1"/>
    </xf>
    <xf numFmtId="0" fontId="8" fillId="10" borderId="4" xfId="0" applyFont="1" applyFill="1" applyBorder="1" applyAlignment="1">
      <alignment vertical="top"/>
    </xf>
    <xf numFmtId="0" fontId="40" fillId="0" borderId="0" xfId="0" applyFont="1" applyBorder="1" applyAlignment="1">
      <alignment horizontal="left"/>
    </xf>
    <xf numFmtId="0" fontId="44" fillId="0" borderId="0" xfId="0" applyFont="1" applyAlignment="1">
      <alignment vertical="center"/>
    </xf>
    <xf numFmtId="0" fontId="38" fillId="0" borderId="0" xfId="0" applyFont="1" applyFill="1" applyBorder="1" applyAlignment="1">
      <alignment horizontal="center" vertical="center" shrinkToFit="1"/>
    </xf>
    <xf numFmtId="0" fontId="38" fillId="0" borderId="1" xfId="0" applyFont="1" applyFill="1" applyBorder="1" applyAlignmen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38" fillId="0" borderId="0" xfId="0" applyFont="1" applyBorder="1" applyAlignment="1">
      <alignment horizontal="center" vertical="center" shrinkToFit="1"/>
    </xf>
    <xf numFmtId="0" fontId="13" fillId="9" borderId="15" xfId="0" applyFont="1" applyFill="1" applyBorder="1" applyAlignment="1">
      <alignment horizontal="center" vertical="center"/>
    </xf>
    <xf numFmtId="0" fontId="14" fillId="10" borderId="14" xfId="0" applyFont="1" applyFill="1" applyBorder="1" applyAlignment="1">
      <alignment horizontal="left" vertical="center"/>
    </xf>
    <xf numFmtId="0" fontId="14" fillId="10" borderId="4" xfId="0" applyFont="1" applyFill="1" applyBorder="1" applyAlignment="1">
      <alignment horizontal="left" vertical="center"/>
    </xf>
    <xf numFmtId="0" fontId="8" fillId="7" borderId="1" xfId="0" applyFont="1" applyFill="1" applyBorder="1" applyAlignment="1" applyProtection="1">
      <alignment horizontal="center" vertical="center" shrinkToFit="1"/>
      <protection locked="0"/>
    </xf>
    <xf numFmtId="0" fontId="13" fillId="9" borderId="8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 shrinkToFit="1"/>
    </xf>
    <xf numFmtId="0" fontId="46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8" fillId="0" borderId="1" xfId="0" applyFont="1" applyFill="1" applyBorder="1">
      <alignment vertical="center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77" fontId="8" fillId="7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>
      <alignment horizontal="right" vertical="center"/>
    </xf>
    <xf numFmtId="0" fontId="8" fillId="0" borderId="2" xfId="0" applyFont="1" applyBorder="1">
      <alignment vertical="center"/>
    </xf>
    <xf numFmtId="0" fontId="8" fillId="0" borderId="35" xfId="0" applyFont="1" applyBorder="1">
      <alignment vertical="center"/>
    </xf>
    <xf numFmtId="177" fontId="8" fillId="12" borderId="1" xfId="0" applyNumberFormat="1" applyFont="1" applyFill="1" applyBorder="1" applyAlignment="1">
      <alignment horizontal="center" vertical="center"/>
    </xf>
    <xf numFmtId="0" fontId="8" fillId="0" borderId="36" xfId="0" applyFont="1" applyBorder="1">
      <alignment vertical="center"/>
    </xf>
    <xf numFmtId="0" fontId="8" fillId="4" borderId="15" xfId="0" applyFont="1" applyFill="1" applyBorder="1" applyAlignment="1">
      <alignment horizontal="center" vertical="center" shrinkToFit="1"/>
    </xf>
    <xf numFmtId="0" fontId="8" fillId="0" borderId="56" xfId="0" applyFont="1" applyBorder="1">
      <alignment vertical="center"/>
    </xf>
    <xf numFmtId="0" fontId="8" fillId="12" borderId="2" xfId="0" applyFont="1" applyFill="1" applyBorder="1" applyAlignment="1">
      <alignment horizontal="center" vertical="center"/>
    </xf>
    <xf numFmtId="0" fontId="47" fillId="0" borderId="0" xfId="0" applyFont="1" applyAlignment="1">
      <alignment vertical="center" shrinkToFit="1"/>
    </xf>
    <xf numFmtId="0" fontId="8" fillId="4" borderId="1" xfId="0" applyFont="1" applyFill="1" applyBorder="1" applyAlignment="1" applyProtection="1">
      <alignment horizontal="center" vertical="center"/>
    </xf>
    <xf numFmtId="0" fontId="48" fillId="0" borderId="0" xfId="0" applyFont="1" applyAlignment="1">
      <alignment vertical="center" shrinkToFit="1"/>
    </xf>
    <xf numFmtId="0" fontId="13" fillId="9" borderId="3" xfId="0" applyFont="1" applyFill="1" applyBorder="1" applyAlignment="1">
      <alignment vertical="center" wrapText="1"/>
    </xf>
    <xf numFmtId="0" fontId="13" fillId="9" borderId="1" xfId="0" applyFont="1" applyFill="1" applyBorder="1" applyAlignment="1">
      <alignment horizontal="center" vertical="center"/>
    </xf>
    <xf numFmtId="0" fontId="13" fillId="9" borderId="4" xfId="0" applyFont="1" applyFill="1" applyBorder="1">
      <alignment vertical="center"/>
    </xf>
    <xf numFmtId="0" fontId="8" fillId="7" borderId="1" xfId="0" applyFont="1" applyFill="1" applyBorder="1" applyAlignment="1" applyProtection="1">
      <alignment horizontal="center" vertical="center"/>
      <protection locked="0"/>
    </xf>
    <xf numFmtId="0" fontId="8" fillId="6" borderId="3" xfId="0" applyFont="1" applyFill="1" applyBorder="1" applyAlignment="1">
      <alignment horizontal="left" vertical="center"/>
    </xf>
    <xf numFmtId="0" fontId="8" fillId="12" borderId="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8" fillId="4" borderId="0" xfId="0" applyNumberFormat="1" applyFont="1" applyFill="1" applyBorder="1" applyAlignment="1">
      <alignment vertical="center" shrinkToFit="1"/>
    </xf>
    <xf numFmtId="0" fontId="6" fillId="0" borderId="1" xfId="2" applyNumberFormat="1" applyFont="1" applyBorder="1" applyAlignment="1">
      <alignment vertical="center" shrinkToFit="1"/>
    </xf>
    <xf numFmtId="177" fontId="6" fillId="0" borderId="1" xfId="2" applyNumberFormat="1" applyFont="1" applyBorder="1" applyAlignment="1">
      <alignment vertical="center" shrinkToFit="1"/>
    </xf>
    <xf numFmtId="177" fontId="8" fillId="4" borderId="6" xfId="0" applyNumberFormat="1" applyFont="1" applyFill="1" applyBorder="1" applyAlignment="1" applyProtection="1">
      <alignment horizontal="center" vertical="center" shrinkToFit="1"/>
    </xf>
    <xf numFmtId="0" fontId="8" fillId="13" borderId="4" xfId="0" applyFont="1" applyFill="1" applyBorder="1" applyAlignment="1">
      <alignment vertical="top"/>
    </xf>
    <xf numFmtId="0" fontId="8" fillId="10" borderId="4" xfId="0" applyNumberFormat="1" applyFont="1" applyFill="1" applyBorder="1" applyAlignment="1">
      <alignment vertical="top"/>
    </xf>
    <xf numFmtId="0" fontId="8" fillId="13" borderId="1" xfId="0" applyFont="1" applyFill="1" applyBorder="1" applyAlignment="1">
      <alignment vertical="top"/>
    </xf>
    <xf numFmtId="0" fontId="0" fillId="0" borderId="0" xfId="0" applyAlignment="1">
      <alignment vertical="top"/>
    </xf>
    <xf numFmtId="0" fontId="8" fillId="6" borderId="3" xfId="0" applyFont="1" applyFill="1" applyBorder="1" applyAlignment="1">
      <alignment horizontal="left" vertical="center"/>
    </xf>
    <xf numFmtId="0" fontId="0" fillId="2" borderId="57" xfId="0" applyFill="1" applyBorder="1" applyAlignment="1">
      <alignment vertical="center" shrinkToFit="1"/>
    </xf>
    <xf numFmtId="0" fontId="0" fillId="2" borderId="58" xfId="0" applyFill="1" applyBorder="1" applyAlignment="1">
      <alignment vertical="center" shrinkToFit="1"/>
    </xf>
    <xf numFmtId="0" fontId="0" fillId="2" borderId="59" xfId="0" applyFill="1" applyBorder="1" applyAlignment="1">
      <alignment vertical="center" shrinkToFit="1"/>
    </xf>
    <xf numFmtId="0" fontId="0" fillId="2" borderId="60" xfId="0" applyFill="1" applyBorder="1" applyAlignment="1">
      <alignment vertical="center" shrinkToFit="1"/>
    </xf>
    <xf numFmtId="0" fontId="0" fillId="2" borderId="0" xfId="0" applyFill="1" applyBorder="1" applyAlignment="1">
      <alignment vertical="center" shrinkToFit="1"/>
    </xf>
    <xf numFmtId="0" fontId="0" fillId="2" borderId="61" xfId="0" applyFill="1" applyBorder="1" applyAlignment="1">
      <alignment vertical="center" shrinkToFit="1"/>
    </xf>
    <xf numFmtId="0" fontId="0" fillId="2" borderId="62" xfId="0" applyFill="1" applyBorder="1" applyAlignment="1">
      <alignment vertical="center" shrinkToFit="1"/>
    </xf>
    <xf numFmtId="0" fontId="0" fillId="2" borderId="63" xfId="0" applyFill="1" applyBorder="1" applyAlignment="1">
      <alignment vertical="center" shrinkToFit="1"/>
    </xf>
    <xf numFmtId="0" fontId="0" fillId="2" borderId="64" xfId="0" applyFill="1" applyBorder="1" applyAlignment="1">
      <alignment vertical="center" shrinkToFit="1"/>
    </xf>
    <xf numFmtId="0" fontId="8" fillId="0" borderId="36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horizontal="center" vertical="center" shrinkToFit="1"/>
    </xf>
    <xf numFmtId="0" fontId="8" fillId="4" borderId="0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 shrinkToFit="1"/>
    </xf>
    <xf numFmtId="0" fontId="8" fillId="4" borderId="1" xfId="0" applyFont="1" applyFill="1" applyBorder="1" applyAlignment="1">
      <alignment vertical="center" shrinkToFit="1"/>
    </xf>
    <xf numFmtId="0" fontId="8" fillId="4" borderId="1" xfId="0" applyFont="1" applyFill="1" applyBorder="1" applyAlignment="1" applyProtection="1">
      <alignment horizontal="center" vertical="center" shrinkToFit="1"/>
    </xf>
    <xf numFmtId="0" fontId="11" fillId="4" borderId="0" xfId="0" applyFont="1" applyFill="1" applyBorder="1" applyAlignment="1">
      <alignment horizontal="right" vertical="center"/>
    </xf>
    <xf numFmtId="177" fontId="8" fillId="7" borderId="1" xfId="0" applyNumberFormat="1" applyFont="1" applyFill="1" applyBorder="1" applyAlignment="1" applyProtection="1">
      <alignment horizontal="center" vertical="center" shrinkToFit="1"/>
      <protection locked="0"/>
    </xf>
    <xf numFmtId="0" fontId="8" fillId="7" borderId="1" xfId="0" applyFont="1" applyFill="1" applyBorder="1" applyAlignment="1" applyProtection="1">
      <alignment horizontal="center" vertical="center" shrinkToFit="1"/>
      <protection locked="0"/>
    </xf>
    <xf numFmtId="182" fontId="8" fillId="0" borderId="1" xfId="0" quotePrefix="1" applyNumberFormat="1" applyFont="1" applyFill="1" applyBorder="1" applyAlignment="1" applyProtection="1">
      <alignment horizontal="right" vertical="center" shrinkToFit="1"/>
      <protection locked="0"/>
    </xf>
    <xf numFmtId="182" fontId="8" fillId="4" borderId="1" xfId="0" quotePrefix="1" applyNumberFormat="1" applyFont="1" applyFill="1" applyBorder="1" applyAlignment="1" applyProtection="1">
      <alignment horizontal="right" vertical="center" shrinkToFit="1"/>
    </xf>
    <xf numFmtId="0" fontId="8" fillId="12" borderId="1" xfId="0" applyFont="1" applyFill="1" applyBorder="1" applyAlignment="1">
      <alignment horizontal="center" vertical="center" shrinkToFit="1"/>
    </xf>
    <xf numFmtId="0" fontId="8" fillId="12" borderId="0" xfId="0" applyFont="1" applyFill="1" applyBorder="1" applyAlignment="1">
      <alignment horizontal="right" vertical="center"/>
    </xf>
    <xf numFmtId="0" fontId="8" fillId="12" borderId="0" xfId="0" applyFont="1" applyFill="1" applyBorder="1" applyAlignment="1">
      <alignment vertical="center"/>
    </xf>
    <xf numFmtId="0" fontId="8" fillId="12" borderId="1" xfId="0" applyFont="1" applyFill="1" applyBorder="1" applyAlignment="1">
      <alignment horizontal="center" vertical="center"/>
    </xf>
    <xf numFmtId="0" fontId="8" fillId="0" borderId="36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177" fontId="8" fillId="7" borderId="1" xfId="0" applyNumberFormat="1" applyFont="1" applyFill="1" applyBorder="1" applyAlignment="1" applyProtection="1">
      <alignment horizontal="center" vertical="center"/>
      <protection locked="0"/>
    </xf>
    <xf numFmtId="177" fontId="8" fillId="12" borderId="1" xfId="0" applyNumberFormat="1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 shrinkToFit="1"/>
    </xf>
    <xf numFmtId="0" fontId="8" fillId="12" borderId="2" xfId="0" applyFont="1" applyFill="1" applyBorder="1" applyAlignment="1">
      <alignment horizontal="center" vertical="center"/>
    </xf>
    <xf numFmtId="0" fontId="8" fillId="7" borderId="1" xfId="0" applyFont="1" applyFill="1" applyBorder="1" applyAlignment="1" applyProtection="1">
      <alignment horizontal="center" vertical="center"/>
      <protection locked="0"/>
    </xf>
    <xf numFmtId="0" fontId="8" fillId="12" borderId="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85" fontId="8" fillId="4" borderId="6" xfId="0" applyNumberFormat="1" applyFont="1" applyFill="1" applyBorder="1" applyAlignment="1">
      <alignment horizontal="right" vertical="center" shrinkToFit="1"/>
    </xf>
    <xf numFmtId="178" fontId="8" fillId="4" borderId="6" xfId="0" applyNumberFormat="1" applyFont="1" applyFill="1" applyBorder="1" applyAlignment="1" applyProtection="1">
      <alignment horizontal="center" vertical="center" shrinkToFit="1"/>
    </xf>
    <xf numFmtId="185" fontId="8" fillId="4" borderId="6" xfId="0" applyNumberFormat="1" applyFont="1" applyFill="1" applyBorder="1" applyAlignment="1" applyProtection="1">
      <alignment horizontal="right" vertical="center" shrinkToFit="1"/>
    </xf>
    <xf numFmtId="0" fontId="52" fillId="0" borderId="0" xfId="0" applyFont="1" applyBorder="1" applyAlignment="1">
      <alignment horizontal="left" vertical="center" shrinkToFit="1"/>
    </xf>
    <xf numFmtId="0" fontId="52" fillId="0" borderId="0" xfId="0" applyNumberFormat="1" applyFont="1" applyBorder="1" applyAlignment="1">
      <alignment horizontal="left" vertical="center" shrinkToFit="1"/>
    </xf>
    <xf numFmtId="0" fontId="53" fillId="0" borderId="0" xfId="0" applyFont="1">
      <alignment vertical="center"/>
    </xf>
    <xf numFmtId="0" fontId="8" fillId="0" borderId="0" xfId="0" applyFont="1" applyAlignment="1">
      <alignment vertical="center"/>
    </xf>
    <xf numFmtId="0" fontId="53" fillId="0" borderId="0" xfId="0" applyFont="1" applyAlignment="1">
      <alignment vertical="center" shrinkToFit="1"/>
    </xf>
    <xf numFmtId="0" fontId="8" fillId="8" borderId="15" xfId="0" applyFont="1" applyFill="1" applyBorder="1">
      <alignment vertical="center"/>
    </xf>
    <xf numFmtId="0" fontId="8" fillId="0" borderId="2" xfId="0" applyFont="1" applyFill="1" applyBorder="1">
      <alignment vertical="center"/>
    </xf>
    <xf numFmtId="0" fontId="8" fillId="0" borderId="35" xfId="0" applyFont="1" applyFill="1" applyBorder="1" applyProtection="1">
      <alignment vertical="center"/>
      <protection locked="0"/>
    </xf>
    <xf numFmtId="0" fontId="8" fillId="0" borderId="36" xfId="0" applyFont="1" applyFill="1" applyBorder="1" applyProtection="1">
      <alignment vertical="center"/>
      <protection locked="0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vertical="center"/>
    </xf>
    <xf numFmtId="0" fontId="8" fillId="4" borderId="2" xfId="0" applyFont="1" applyFill="1" applyBorder="1" applyAlignment="1">
      <alignment vertical="center"/>
    </xf>
    <xf numFmtId="0" fontId="47" fillId="0" borderId="0" xfId="0" applyFont="1" applyProtection="1">
      <alignment vertical="center"/>
    </xf>
    <xf numFmtId="0" fontId="47" fillId="0" borderId="0" xfId="0" applyFont="1" applyAlignment="1" applyProtection="1">
      <alignment vertical="center" shrinkToFit="1"/>
    </xf>
    <xf numFmtId="0" fontId="8" fillId="4" borderId="1" xfId="0" applyFont="1" applyFill="1" applyBorder="1">
      <alignment vertical="center"/>
    </xf>
    <xf numFmtId="0" fontId="8" fillId="4" borderId="2" xfId="0" applyFont="1" applyFill="1" applyBorder="1">
      <alignment vertical="center"/>
    </xf>
    <xf numFmtId="0" fontId="8" fillId="4" borderId="36" xfId="0" applyFont="1" applyFill="1" applyBorder="1" applyProtection="1">
      <alignment vertical="center"/>
      <protection locked="0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12" fillId="0" borderId="15" xfId="0" applyFont="1" applyBorder="1">
      <alignment vertical="center"/>
    </xf>
    <xf numFmtId="0" fontId="12" fillId="0" borderId="6" xfId="0" applyFont="1" applyBorder="1">
      <alignment vertical="center"/>
    </xf>
    <xf numFmtId="177" fontId="8" fillId="0" borderId="1" xfId="0" applyNumberFormat="1" applyFont="1" applyFill="1" applyBorder="1" applyAlignment="1">
      <alignment horizontal="center" vertical="center"/>
    </xf>
    <xf numFmtId="0" fontId="8" fillId="0" borderId="1" xfId="0" applyNumberFormat="1" applyFont="1" applyFill="1" applyBorder="1" applyAlignment="1">
      <alignment horizontal="center" vertical="center"/>
    </xf>
    <xf numFmtId="177" fontId="8" fillId="0" borderId="1" xfId="0" applyNumberFormat="1" applyFont="1" applyBorder="1">
      <alignment vertical="center"/>
    </xf>
    <xf numFmtId="0" fontId="53" fillId="0" borderId="0" xfId="0" applyFont="1" applyAlignment="1">
      <alignment horizontal="right" vertical="center"/>
    </xf>
    <xf numFmtId="14" fontId="8" fillId="0" borderId="1" xfId="0" applyNumberFormat="1" applyFont="1" applyFill="1" applyBorder="1" applyAlignment="1">
      <alignment horizontal="center" vertical="center"/>
    </xf>
    <xf numFmtId="0" fontId="47" fillId="0" borderId="0" xfId="0" applyFont="1">
      <alignment vertical="center"/>
    </xf>
    <xf numFmtId="0" fontId="12" fillId="0" borderId="0" xfId="0" applyFont="1" applyAlignment="1">
      <alignment vertical="center"/>
    </xf>
    <xf numFmtId="0" fontId="12" fillId="8" borderId="1" xfId="0" applyFont="1" applyFill="1" applyBorder="1">
      <alignment vertical="center"/>
    </xf>
    <xf numFmtId="0" fontId="12" fillId="8" borderId="15" xfId="0" applyFont="1" applyFill="1" applyBorder="1">
      <alignment vertical="center"/>
    </xf>
    <xf numFmtId="0" fontId="12" fillId="0" borderId="1" xfId="0" applyFont="1" applyFill="1" applyBorder="1">
      <alignment vertical="center"/>
    </xf>
    <xf numFmtId="0" fontId="12" fillId="0" borderId="2" xfId="0" applyFont="1" applyFill="1" applyBorder="1">
      <alignment vertical="center"/>
    </xf>
    <xf numFmtId="0" fontId="12" fillId="0" borderId="35" xfId="0" applyFont="1" applyFill="1" applyBorder="1" applyProtection="1">
      <alignment vertical="center"/>
      <protection locked="0"/>
    </xf>
    <xf numFmtId="0" fontId="12" fillId="0" borderId="36" xfId="0" applyFont="1" applyFill="1" applyBorder="1" applyProtection="1">
      <alignment vertical="center"/>
      <protection locked="0"/>
    </xf>
    <xf numFmtId="0" fontId="12" fillId="4" borderId="1" xfId="0" applyFont="1" applyFill="1" applyBorder="1">
      <alignment vertical="center"/>
    </xf>
    <xf numFmtId="0" fontId="12" fillId="4" borderId="2" xfId="0" applyFont="1" applyFill="1" applyBorder="1">
      <alignment vertical="center"/>
    </xf>
    <xf numFmtId="0" fontId="12" fillId="4" borderId="36" xfId="0" applyFont="1" applyFill="1" applyBorder="1" applyProtection="1">
      <alignment vertical="center"/>
      <protection locked="0"/>
    </xf>
    <xf numFmtId="0" fontId="12" fillId="0" borderId="1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36" xfId="0" applyFont="1" applyFill="1" applyBorder="1" applyAlignment="1" applyProtection="1">
      <alignment horizontal="right" vertical="center"/>
      <protection locked="0"/>
    </xf>
    <xf numFmtId="0" fontId="12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vertical="center"/>
    </xf>
    <xf numFmtId="0" fontId="12" fillId="4" borderId="2" xfId="0" applyFont="1" applyFill="1" applyBorder="1" applyAlignment="1">
      <alignment vertical="center"/>
    </xf>
    <xf numFmtId="0" fontId="12" fillId="4" borderId="36" xfId="0" applyFont="1" applyFill="1" applyBorder="1" applyAlignment="1" applyProtection="1">
      <alignment horizontal="right"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horizontal="left" vertical="center" shrinkToFit="1"/>
      <protection locked="0"/>
    </xf>
    <xf numFmtId="0" fontId="12" fillId="0" borderId="37" xfId="0" applyFont="1" applyFill="1" applyBorder="1" applyAlignment="1" applyProtection="1">
      <alignment horizontal="right" vertical="center"/>
      <protection locked="0"/>
    </xf>
    <xf numFmtId="0" fontId="12" fillId="8" borderId="1" xfId="0" applyFont="1" applyFill="1" applyBorder="1" applyAlignment="1">
      <alignment vertical="center"/>
    </xf>
    <xf numFmtId="0" fontId="8" fillId="0" borderId="1" xfId="0" applyFont="1" applyFill="1" applyBorder="1" applyAlignment="1" applyProtection="1">
      <alignment horizontal="center" vertical="center"/>
      <protection locked="0"/>
    </xf>
    <xf numFmtId="182" fontId="8" fillId="4" borderId="1" xfId="0" applyNumberFormat="1" applyFont="1" applyFill="1" applyBorder="1" applyAlignment="1">
      <alignment horizontal="center" vertical="center" shrinkToFit="1"/>
    </xf>
    <xf numFmtId="0" fontId="8" fillId="0" borderId="0" xfId="0" applyFont="1" applyFill="1" applyBorder="1" applyAlignment="1" applyProtection="1">
      <alignment horizontal="right" vertical="center"/>
      <protection locked="0"/>
    </xf>
    <xf numFmtId="0" fontId="38" fillId="0" borderId="19" xfId="0" applyFont="1" applyBorder="1" applyAlignment="1">
      <alignment vertical="center" shrinkToFit="1"/>
    </xf>
    <xf numFmtId="0" fontId="38" fillId="0" borderId="21" xfId="0" applyFont="1" applyBorder="1" applyAlignment="1">
      <alignment vertical="center" shrinkToFit="1"/>
    </xf>
    <xf numFmtId="0" fontId="38" fillId="0" borderId="2" xfId="0" applyFont="1" applyBorder="1" applyAlignment="1">
      <alignment vertical="center" shrinkToFit="1"/>
    </xf>
    <xf numFmtId="0" fontId="38" fillId="0" borderId="3" xfId="0" applyFont="1" applyBorder="1" applyAlignment="1">
      <alignment vertical="center" shrinkToFit="1"/>
    </xf>
    <xf numFmtId="0" fontId="38" fillId="0" borderId="2" xfId="0" quotePrefix="1" applyFont="1" applyBorder="1" applyAlignment="1">
      <alignment vertical="center" shrinkToFit="1"/>
    </xf>
    <xf numFmtId="0" fontId="38" fillId="0" borderId="23" xfId="0" quotePrefix="1" applyFont="1" applyBorder="1" applyAlignment="1">
      <alignment vertical="center" shrinkToFit="1"/>
    </xf>
    <xf numFmtId="0" fontId="38" fillId="0" borderId="23" xfId="0" applyFont="1" applyBorder="1" applyAlignment="1">
      <alignment vertical="center" shrinkToFit="1"/>
    </xf>
    <xf numFmtId="0" fontId="38" fillId="0" borderId="5" xfId="0" applyFont="1" applyFill="1" applyBorder="1" applyAlignment="1">
      <alignment vertical="center"/>
    </xf>
    <xf numFmtId="0" fontId="38" fillId="0" borderId="5" xfId="0" applyFont="1" applyBorder="1" applyAlignment="1">
      <alignment vertical="center"/>
    </xf>
    <xf numFmtId="0" fontId="38" fillId="0" borderId="3" xfId="0" applyFont="1" applyBorder="1" applyAlignment="1">
      <alignment vertical="center"/>
    </xf>
    <xf numFmtId="0" fontId="38" fillId="0" borderId="3" xfId="0" applyFont="1" applyFill="1" applyBorder="1" applyAlignment="1">
      <alignment vertical="center"/>
    </xf>
    <xf numFmtId="0" fontId="8" fillId="4" borderId="0" xfId="0" applyFont="1" applyFill="1" applyBorder="1" applyAlignment="1" applyProtection="1">
      <alignment vertical="center"/>
    </xf>
    <xf numFmtId="0" fontId="8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right" vertical="center"/>
    </xf>
    <xf numFmtId="177" fontId="8" fillId="4" borderId="1" xfId="0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 applyAlignment="1" applyProtection="1">
      <alignment horizontal="center" vertical="center" shrinkToFit="1"/>
    </xf>
    <xf numFmtId="0" fontId="8" fillId="4" borderId="2" xfId="0" applyFont="1" applyFill="1" applyBorder="1" applyAlignment="1" applyProtection="1">
      <alignment horizontal="center" vertical="center"/>
    </xf>
    <xf numFmtId="0" fontId="14" fillId="10" borderId="14" xfId="0" applyFont="1" applyFill="1" applyBorder="1" applyAlignment="1">
      <alignment horizontal="left" vertical="center"/>
    </xf>
    <xf numFmtId="0" fontId="14" fillId="10" borderId="4" xfId="0" applyFont="1" applyFill="1" applyBorder="1" applyAlignment="1">
      <alignment horizontal="left" vertical="center"/>
    </xf>
    <xf numFmtId="49" fontId="8" fillId="0" borderId="1" xfId="0" applyNumberFormat="1" applyFont="1" applyFill="1" applyBorder="1" applyAlignment="1" applyProtection="1">
      <alignment vertical="center" shrinkToFit="1"/>
      <protection locked="0"/>
    </xf>
    <xf numFmtId="49" fontId="8" fillId="4" borderId="1" xfId="0" applyNumberFormat="1" applyFont="1" applyFill="1" applyBorder="1" applyAlignment="1" applyProtection="1">
      <alignment vertical="center" shrinkToFit="1"/>
    </xf>
    <xf numFmtId="49" fontId="0" fillId="4" borderId="0" xfId="0" applyNumberFormat="1" applyFill="1" applyAlignment="1">
      <alignment vertical="center" shrinkToFit="1"/>
    </xf>
    <xf numFmtId="49" fontId="8" fillId="4" borderId="0" xfId="0" applyNumberFormat="1" applyFont="1" applyFill="1" applyBorder="1" applyAlignment="1">
      <alignment vertical="center" shrinkToFit="1"/>
    </xf>
    <xf numFmtId="49" fontId="11" fillId="8" borderId="13" xfId="0" applyNumberFormat="1" applyFont="1" applyFill="1" applyBorder="1" applyAlignment="1">
      <alignment horizontal="center" vertical="center" shrinkToFit="1"/>
    </xf>
    <xf numFmtId="49" fontId="8" fillId="4" borderId="0" xfId="0" applyNumberFormat="1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center" vertical="center" shrinkToFit="1"/>
    </xf>
    <xf numFmtId="49" fontId="8" fillId="4" borderId="6" xfId="0" applyNumberFormat="1" applyFont="1" applyFill="1" applyBorder="1" applyAlignment="1">
      <alignment horizontal="left" vertical="center" shrinkToFit="1"/>
    </xf>
    <xf numFmtId="0" fontId="13" fillId="10" borderId="9" xfId="0" applyFont="1" applyFill="1" applyBorder="1" applyAlignment="1">
      <alignment vertical="center"/>
    </xf>
    <xf numFmtId="0" fontId="13" fillId="10" borderId="6" xfId="0" applyFont="1" applyFill="1" applyBorder="1" applyAlignment="1">
      <alignment vertical="center" wrapText="1"/>
    </xf>
    <xf numFmtId="0" fontId="13" fillId="46" borderId="15" xfId="0" applyFont="1" applyFill="1" applyBorder="1" applyAlignment="1">
      <alignment horizontal="center" vertical="center"/>
    </xf>
    <xf numFmtId="0" fontId="13" fillId="46" borderId="1" xfId="0" applyFont="1" applyFill="1" applyBorder="1" applyAlignment="1">
      <alignment vertical="center" wrapText="1"/>
    </xf>
    <xf numFmtId="0" fontId="13" fillId="46" borderId="1" xfId="0" applyFont="1" applyFill="1" applyBorder="1">
      <alignment vertical="center"/>
    </xf>
    <xf numFmtId="0" fontId="13" fillId="46" borderId="33" xfId="0" applyFont="1" applyFill="1" applyBorder="1" applyAlignment="1">
      <alignment horizontal="center" vertical="center"/>
    </xf>
    <xf numFmtId="0" fontId="13" fillId="46" borderId="33" xfId="0" applyFont="1" applyFill="1" applyBorder="1">
      <alignment vertical="center"/>
    </xf>
    <xf numFmtId="0" fontId="13" fillId="46" borderId="6" xfId="0" applyFont="1" applyFill="1" applyBorder="1">
      <alignment vertical="center"/>
    </xf>
    <xf numFmtId="0" fontId="8" fillId="7" borderId="1" xfId="0" applyFont="1" applyFill="1" applyBorder="1" applyAlignment="1" applyProtection="1">
      <alignment horizontal="center" vertical="center" shrinkToFit="1"/>
      <protection locked="0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52" fillId="0" borderId="0" xfId="0" applyFont="1" applyBorder="1" applyAlignment="1">
      <alignment horizontal="left" vertical="center" shrinkToFit="1"/>
    </xf>
    <xf numFmtId="0" fontId="42" fillId="0" borderId="1" xfId="0" applyFont="1" applyBorder="1" applyAlignment="1">
      <alignment horizontal="center" vertical="center" shrinkToFit="1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 wrapText="1"/>
    </xf>
    <xf numFmtId="0" fontId="42" fillId="0" borderId="1" xfId="0" quotePrefix="1" applyFont="1" applyBorder="1" applyAlignment="1">
      <alignment horizontal="center" vertical="center"/>
    </xf>
    <xf numFmtId="176" fontId="42" fillId="0" borderId="1" xfId="0" quotePrefix="1" applyNumberFormat="1" applyFont="1" applyBorder="1" applyAlignment="1">
      <alignment horizontal="right" vertical="center"/>
    </xf>
    <xf numFmtId="0" fontId="42" fillId="0" borderId="1" xfId="0" quotePrefix="1" applyFont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8" fillId="0" borderId="15" xfId="0" applyFont="1" applyBorder="1">
      <alignment vertical="center"/>
    </xf>
    <xf numFmtId="0" fontId="8" fillId="0" borderId="7" xfId="0" applyFont="1" applyBorder="1">
      <alignment vertical="center"/>
    </xf>
    <xf numFmtId="177" fontId="8" fillId="0" borderId="56" xfId="0" applyNumberFormat="1" applyFont="1" applyBorder="1">
      <alignment vertical="center"/>
    </xf>
    <xf numFmtId="182" fontId="8" fillId="0" borderId="37" xfId="0" quotePrefix="1" applyNumberFormat="1" applyFont="1" applyFill="1" applyBorder="1" applyAlignment="1" applyProtection="1">
      <alignment horizontal="right" vertical="center" shrinkToFit="1"/>
    </xf>
    <xf numFmtId="0" fontId="49" fillId="0" borderId="0" xfId="0" applyFont="1" applyBorder="1" applyAlignment="1">
      <alignment horizontal="left" vertical="center" shrinkToFit="1"/>
    </xf>
    <xf numFmtId="186" fontId="0" fillId="2" borderId="0" xfId="0" applyNumberFormat="1" applyFill="1" applyAlignment="1">
      <alignment vertical="center" shrinkToFit="1"/>
    </xf>
    <xf numFmtId="186" fontId="0" fillId="2" borderId="0" xfId="0" applyNumberFormat="1" applyFill="1">
      <alignment vertical="center"/>
    </xf>
    <xf numFmtId="49" fontId="58" fillId="0" borderId="65" xfId="0" applyNumberFormat="1" applyFont="1" applyBorder="1">
      <alignment vertical="center"/>
    </xf>
    <xf numFmtId="187" fontId="58" fillId="0" borderId="65" xfId="0" applyNumberFormat="1" applyFont="1" applyBorder="1" applyAlignment="1">
      <alignment horizontal="right" vertical="center"/>
    </xf>
    <xf numFmtId="0" fontId="58" fillId="0" borderId="65" xfId="0" applyFont="1" applyBorder="1" applyAlignment="1">
      <alignment horizontal="right" vertical="center"/>
    </xf>
    <xf numFmtId="1" fontId="58" fillId="0" borderId="65" xfId="0" applyNumberFormat="1" applyFont="1" applyBorder="1" applyAlignment="1">
      <alignment horizontal="right" vertical="center"/>
    </xf>
    <xf numFmtId="0" fontId="58" fillId="0" borderId="65" xfId="0" applyFont="1" applyBorder="1">
      <alignment vertical="center"/>
    </xf>
    <xf numFmtId="0" fontId="8" fillId="47" borderId="1" xfId="0" applyFont="1" applyFill="1" applyBorder="1" applyAlignment="1">
      <alignment horizontal="center" vertical="center" shrinkToFit="1"/>
    </xf>
    <xf numFmtId="177" fontId="8" fillId="5" borderId="1" xfId="0" applyNumberFormat="1" applyFont="1" applyFill="1" applyBorder="1" applyAlignment="1" applyProtection="1">
      <alignment horizontal="center" vertical="center" shrinkToFit="1"/>
      <protection locked="0"/>
    </xf>
    <xf numFmtId="177" fontId="8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5" borderId="1" xfId="0" applyNumberFormat="1" applyFont="1" applyFill="1" applyBorder="1" applyAlignment="1" applyProtection="1">
      <alignment horizontal="center" vertical="center" shrinkToFit="1"/>
      <protection locked="0"/>
    </xf>
    <xf numFmtId="0" fontId="8" fillId="4" borderId="1" xfId="0" applyFont="1" applyFill="1" applyBorder="1" applyAlignment="1">
      <alignment vertical="center" shrinkToFit="1"/>
    </xf>
    <xf numFmtId="0" fontId="8" fillId="7" borderId="2" xfId="0" applyFont="1" applyFill="1" applyBorder="1" applyAlignment="1" applyProtection="1">
      <alignment horizontal="center" vertical="center"/>
      <protection locked="0"/>
    </xf>
    <xf numFmtId="0" fontId="8" fillId="7" borderId="4" xfId="0" applyFont="1" applyFill="1" applyBorder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shrinkToFit="1"/>
    </xf>
    <xf numFmtId="0" fontId="8" fillId="0" borderId="5" xfId="0" applyFont="1" applyFill="1" applyBorder="1" applyAlignment="1">
      <alignment horizontal="left" vertical="center"/>
    </xf>
    <xf numFmtId="0" fontId="8" fillId="5" borderId="2" xfId="0" applyFont="1" applyFill="1" applyBorder="1" applyAlignment="1" applyProtection="1">
      <alignment horizontal="center" vertical="center"/>
      <protection locked="0"/>
    </xf>
    <xf numFmtId="0" fontId="8" fillId="5" borderId="4" xfId="0" applyFont="1" applyFill="1" applyBorder="1" applyAlignment="1" applyProtection="1">
      <alignment horizontal="center" vertical="center"/>
      <protection locked="0"/>
    </xf>
    <xf numFmtId="0" fontId="8" fillId="7" borderId="2" xfId="0" applyFont="1" applyFill="1" applyBorder="1" applyAlignment="1" applyProtection="1">
      <alignment horizontal="center" vertical="center" shrinkToFit="1"/>
      <protection locked="0"/>
    </xf>
    <xf numFmtId="0" fontId="8" fillId="7" borderId="4" xfId="0" applyFont="1" applyFill="1" applyBorder="1" applyAlignment="1" applyProtection="1">
      <alignment horizontal="center" vertical="center" shrinkToFit="1"/>
      <protection locked="0"/>
    </xf>
    <xf numFmtId="49" fontId="8" fillId="5" borderId="2" xfId="0" applyNumberFormat="1" applyFont="1" applyFill="1" applyBorder="1" applyAlignment="1" applyProtection="1">
      <alignment horizontal="center" vertical="center" shrinkToFit="1"/>
      <protection locked="0"/>
    </xf>
    <xf numFmtId="49" fontId="8" fillId="5" borderId="4" xfId="0" applyNumberFormat="1" applyFont="1" applyFill="1" applyBorder="1" applyAlignment="1" applyProtection="1">
      <alignment horizontal="center" vertical="center" shrinkToFit="1"/>
      <protection locked="0"/>
    </xf>
    <xf numFmtId="177" fontId="8" fillId="5" borderId="1" xfId="0" applyNumberFormat="1" applyFont="1" applyFill="1" applyBorder="1" applyAlignment="1" applyProtection="1">
      <alignment horizontal="center" vertical="center" shrinkToFit="1"/>
      <protection locked="0"/>
    </xf>
    <xf numFmtId="0" fontId="8" fillId="6" borderId="3" xfId="0" applyFont="1" applyFill="1" applyBorder="1" applyAlignment="1">
      <alignment horizontal="left" vertical="center" shrinkToFit="1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8" fillId="10" borderId="1" xfId="0" applyFont="1" applyFill="1" applyBorder="1" applyAlignment="1">
      <alignment horizontal="left" vertical="center"/>
    </xf>
    <xf numFmtId="0" fontId="8" fillId="10" borderId="7" xfId="0" applyFont="1" applyFill="1" applyBorder="1" applyAlignment="1">
      <alignment horizontal="left" vertical="center"/>
    </xf>
    <xf numFmtId="0" fontId="8" fillId="10" borderId="4" xfId="0" applyFont="1" applyFill="1" applyBorder="1" applyAlignment="1">
      <alignment horizontal="left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11" fillId="10" borderId="3" xfId="0" applyFont="1" applyFill="1" applyBorder="1" applyAlignment="1">
      <alignment horizontal="center" vertical="center"/>
    </xf>
    <xf numFmtId="0" fontId="11" fillId="10" borderId="4" xfId="0" applyFont="1" applyFill="1" applyBorder="1" applyAlignment="1">
      <alignment horizontal="center" vertical="center"/>
    </xf>
    <xf numFmtId="0" fontId="8" fillId="9" borderId="7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10" borderId="15" xfId="0" applyFont="1" applyFill="1" applyBorder="1" applyAlignment="1">
      <alignment horizontal="left" vertical="center"/>
    </xf>
    <xf numFmtId="0" fontId="11" fillId="14" borderId="7" xfId="0" applyFont="1" applyFill="1" applyBorder="1" applyAlignment="1">
      <alignment horizontal="center" vertical="center"/>
    </xf>
    <xf numFmtId="0" fontId="11" fillId="14" borderId="8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horizontal="center" vertical="center"/>
    </xf>
    <xf numFmtId="0" fontId="8" fillId="0" borderId="2" xfId="0" applyFont="1" applyFill="1" applyBorder="1" applyAlignment="1" applyProtection="1">
      <alignment horizontal="left" vertical="center"/>
      <protection locked="0"/>
    </xf>
    <xf numFmtId="0" fontId="8" fillId="0" borderId="3" xfId="0" applyFont="1" applyFill="1" applyBorder="1" applyAlignment="1" applyProtection="1">
      <alignment horizontal="left" vertical="center"/>
      <protection locked="0"/>
    </xf>
    <xf numFmtId="0" fontId="8" fillId="0" borderId="4" xfId="0" applyFont="1" applyFill="1" applyBorder="1" applyAlignment="1" applyProtection="1">
      <alignment horizontal="left" vertical="center"/>
      <protection locked="0"/>
    </xf>
    <xf numFmtId="0" fontId="8" fillId="4" borderId="2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/>
    </xf>
    <xf numFmtId="0" fontId="8" fillId="4" borderId="4" xfId="0" applyFont="1" applyFill="1" applyBorder="1" applyAlignment="1">
      <alignment horizontal="left" vertical="center"/>
    </xf>
    <xf numFmtId="0" fontId="8" fillId="8" borderId="1" xfId="0" applyFont="1" applyFill="1" applyBorder="1" applyAlignment="1">
      <alignment horizontal="left" vertical="center" shrinkToFit="1"/>
    </xf>
    <xf numFmtId="0" fontId="13" fillId="46" borderId="15" xfId="0" applyFont="1" applyFill="1" applyBorder="1" applyAlignment="1">
      <alignment horizontal="center" vertical="center"/>
    </xf>
    <xf numFmtId="0" fontId="13" fillId="10" borderId="7" xfId="0" applyFont="1" applyFill="1" applyBorder="1" applyAlignment="1">
      <alignment horizontal="left" vertical="center"/>
    </xf>
    <xf numFmtId="0" fontId="13" fillId="10" borderId="14" xfId="0" applyFont="1" applyFill="1" applyBorder="1" applyAlignment="1">
      <alignment horizontal="left" vertical="center"/>
    </xf>
    <xf numFmtId="0" fontId="14" fillId="10" borderId="7" xfId="0" applyFont="1" applyFill="1" applyBorder="1" applyAlignment="1">
      <alignment horizontal="left" vertical="center"/>
    </xf>
    <xf numFmtId="0" fontId="14" fillId="10" borderId="14" xfId="0" applyFont="1" applyFill="1" applyBorder="1" applyAlignment="1">
      <alignment horizontal="left" vertical="center"/>
    </xf>
    <xf numFmtId="0" fontId="14" fillId="10" borderId="2" xfId="0" applyFont="1" applyFill="1" applyBorder="1" applyAlignment="1">
      <alignment horizontal="left" vertical="center"/>
    </xf>
    <xf numFmtId="0" fontId="14" fillId="10" borderId="4" xfId="0" applyFont="1" applyFill="1" applyBorder="1" applyAlignment="1">
      <alignment horizontal="left" vertical="center"/>
    </xf>
    <xf numFmtId="0" fontId="14" fillId="9" borderId="2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left" vertical="center"/>
    </xf>
    <xf numFmtId="0" fontId="13" fillId="10" borderId="12" xfId="0" applyFont="1" applyFill="1" applyBorder="1" applyAlignment="1">
      <alignment horizontal="left" vertical="center"/>
    </xf>
    <xf numFmtId="0" fontId="50" fillId="0" borderId="0" xfId="0" applyFont="1" applyFill="1" applyBorder="1" applyAlignment="1">
      <alignment horizontal="right" vertical="center" shrinkToFit="1"/>
    </xf>
    <xf numFmtId="0" fontId="40" fillId="0" borderId="0" xfId="0" applyFont="1" applyBorder="1" applyAlignment="1">
      <alignment horizontal="center" vertical="center"/>
    </xf>
    <xf numFmtId="180" fontId="38" fillId="0" borderId="0" xfId="0" applyNumberFormat="1" applyFont="1" applyBorder="1" applyAlignment="1">
      <alignment horizontal="right" vertical="center"/>
    </xf>
    <xf numFmtId="0" fontId="49" fillId="0" borderId="0" xfId="0" applyFont="1" applyBorder="1" applyAlignment="1">
      <alignment horizontal="right" vertical="center"/>
    </xf>
    <xf numFmtId="0" fontId="38" fillId="0" borderId="0" xfId="0" applyFont="1" applyBorder="1" applyAlignment="1">
      <alignment horizontal="left" vertical="center"/>
    </xf>
    <xf numFmtId="0" fontId="38" fillId="0" borderId="2" xfId="0" applyFont="1" applyBorder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4" xfId="0" applyFont="1" applyBorder="1" applyAlignment="1">
      <alignment horizontal="center" vertical="center"/>
    </xf>
    <xf numFmtId="0" fontId="38" fillId="0" borderId="25" xfId="0" applyFont="1" applyBorder="1" applyAlignment="1">
      <alignment horizontal="center" vertical="center"/>
    </xf>
    <xf numFmtId="0" fontId="38" fillId="0" borderId="26" xfId="0" applyFont="1" applyBorder="1" applyAlignment="1">
      <alignment horizontal="center" vertical="center"/>
    </xf>
    <xf numFmtId="0" fontId="38" fillId="0" borderId="27" xfId="0" applyFont="1" applyBorder="1" applyAlignment="1">
      <alignment horizontal="center" vertical="center"/>
    </xf>
    <xf numFmtId="0" fontId="44" fillId="0" borderId="4" xfId="0" applyFont="1" applyBorder="1" applyAlignment="1">
      <alignment horizontal="center" vertical="center"/>
    </xf>
    <xf numFmtId="0" fontId="38" fillId="0" borderId="32" xfId="0" applyFont="1" applyBorder="1" applyAlignment="1">
      <alignment horizontal="left" vertical="top" wrapText="1"/>
    </xf>
    <xf numFmtId="0" fontId="38" fillId="0" borderId="26" xfId="0" applyFont="1" applyBorder="1" applyAlignment="1">
      <alignment horizontal="left" vertical="top" wrapText="1"/>
    </xf>
    <xf numFmtId="0" fontId="38" fillId="0" borderId="28" xfId="0" applyFont="1" applyBorder="1" applyAlignment="1">
      <alignment horizontal="left" vertical="top" wrapText="1"/>
    </xf>
    <xf numFmtId="0" fontId="38" fillId="0" borderId="22" xfId="0" applyFont="1" applyBorder="1" applyAlignment="1">
      <alignment horizontal="center" vertical="center" shrinkToFit="1"/>
    </xf>
    <xf numFmtId="0" fontId="38" fillId="0" borderId="3" xfId="0" applyFont="1" applyBorder="1" applyAlignment="1">
      <alignment horizontal="center" vertical="center" shrinkToFit="1"/>
    </xf>
    <xf numFmtId="0" fontId="38" fillId="0" borderId="4" xfId="0" applyFont="1" applyBorder="1" applyAlignment="1">
      <alignment horizontal="center" vertical="center" shrinkToFit="1"/>
    </xf>
    <xf numFmtId="181" fontId="38" fillId="0" borderId="3" xfId="0" applyNumberFormat="1" applyFont="1" applyBorder="1" applyAlignment="1">
      <alignment horizontal="center" vertical="center" shrinkToFit="1"/>
    </xf>
    <xf numFmtId="181" fontId="38" fillId="0" borderId="23" xfId="0" applyNumberFormat="1" applyFont="1" applyBorder="1" applyAlignment="1">
      <alignment horizontal="center" vertical="center" shrinkToFit="1"/>
    </xf>
    <xf numFmtId="0" fontId="38" fillId="0" borderId="24" xfId="0" applyFont="1" applyBorder="1" applyAlignment="1">
      <alignment horizontal="center" vertical="center" shrinkToFit="1"/>
    </xf>
    <xf numFmtId="0" fontId="38" fillId="0" borderId="8" xfId="0" applyFont="1" applyBorder="1" applyAlignment="1">
      <alignment horizontal="center" vertical="center" shrinkToFit="1"/>
    </xf>
    <xf numFmtId="0" fontId="38" fillId="0" borderId="14" xfId="0" applyFont="1" applyBorder="1" applyAlignment="1">
      <alignment horizontal="center" vertical="center" shrinkToFit="1"/>
    </xf>
    <xf numFmtId="181" fontId="38" fillId="0" borderId="3" xfId="0" applyNumberFormat="1" applyFont="1" applyBorder="1" applyAlignment="1">
      <alignment horizontal="left" vertical="center" wrapText="1" shrinkToFit="1"/>
    </xf>
    <xf numFmtId="0" fontId="38" fillId="0" borderId="3" xfId="0" applyFont="1" applyBorder="1" applyAlignment="1">
      <alignment horizontal="left" vertical="center" shrinkToFit="1"/>
    </xf>
    <xf numFmtId="181" fontId="38" fillId="0" borderId="3" xfId="0" applyNumberFormat="1" applyFont="1" applyBorder="1" applyAlignment="1">
      <alignment horizontal="left" vertical="center" shrinkToFit="1"/>
    </xf>
    <xf numFmtId="5" fontId="38" fillId="0" borderId="3" xfId="0" quotePrefix="1" applyNumberFormat="1" applyFont="1" applyBorder="1" applyAlignment="1">
      <alignment horizontal="left" vertical="center" shrinkToFit="1"/>
    </xf>
    <xf numFmtId="177" fontId="38" fillId="0" borderId="3" xfId="0" applyNumberFormat="1" applyFont="1" applyBorder="1" applyAlignment="1">
      <alignment horizontal="left" vertical="center" shrinkToFit="1"/>
    </xf>
    <xf numFmtId="0" fontId="38" fillId="0" borderId="16" xfId="0" applyFont="1" applyBorder="1" applyAlignment="1">
      <alignment horizontal="center" vertical="center" shrinkToFit="1"/>
    </xf>
    <xf numFmtId="0" fontId="38" fillId="0" borderId="17" xfId="0" applyFont="1" applyBorder="1" applyAlignment="1">
      <alignment horizontal="center" vertical="center" shrinkToFit="1"/>
    </xf>
    <xf numFmtId="0" fontId="38" fillId="0" borderId="18" xfId="0" applyFont="1" applyBorder="1" applyAlignment="1">
      <alignment horizontal="center" vertical="center" shrinkToFit="1"/>
    </xf>
    <xf numFmtId="181" fontId="38" fillId="0" borderId="20" xfId="0" applyNumberFormat="1" applyFont="1" applyBorder="1" applyAlignment="1">
      <alignment horizontal="left" vertical="center" shrinkToFit="1"/>
    </xf>
    <xf numFmtId="0" fontId="57" fillId="0" borderId="35" xfId="0" applyFont="1" applyFill="1" applyBorder="1" applyAlignment="1">
      <alignment horizontal="center" vertical="center" wrapText="1"/>
    </xf>
    <xf numFmtId="0" fontId="57" fillId="0" borderId="36" xfId="0" applyFont="1" applyFill="1" applyBorder="1" applyAlignment="1">
      <alignment horizontal="center" vertical="center" wrapText="1"/>
    </xf>
    <xf numFmtId="0" fontId="55" fillId="0" borderId="36" xfId="0" applyFont="1" applyFill="1" applyBorder="1" applyAlignment="1">
      <alignment horizontal="center" vertical="center" wrapText="1"/>
    </xf>
    <xf numFmtId="0" fontId="55" fillId="0" borderId="36" xfId="0" applyFont="1" applyFill="1" applyBorder="1" applyAlignment="1">
      <alignment horizontal="center" vertical="center"/>
    </xf>
    <xf numFmtId="0" fontId="55" fillId="0" borderId="37" xfId="0" applyFont="1" applyFill="1" applyBorder="1" applyAlignment="1">
      <alignment horizontal="center" vertical="center"/>
    </xf>
    <xf numFmtId="0" fontId="56" fillId="0" borderId="35" xfId="0" applyFont="1" applyFill="1" applyBorder="1" applyAlignment="1">
      <alignment horizontal="center" vertical="center" wrapText="1" shrinkToFit="1"/>
    </xf>
    <xf numFmtId="0" fontId="56" fillId="0" borderId="36" xfId="0" applyFont="1" applyFill="1" applyBorder="1" applyAlignment="1">
      <alignment horizontal="center" vertical="center" wrapText="1" shrinkToFit="1"/>
    </xf>
    <xf numFmtId="0" fontId="8" fillId="5" borderId="1" xfId="0" applyFont="1" applyFill="1" applyBorder="1" applyAlignment="1" applyProtection="1">
      <alignment horizontal="center" vertical="center" shrinkToFit="1"/>
      <protection locked="0"/>
    </xf>
    <xf numFmtId="0" fontId="8" fillId="7" borderId="1" xfId="0" applyFont="1" applyFill="1" applyBorder="1" applyAlignment="1" applyProtection="1">
      <alignment horizontal="center" vertical="center" shrinkToFit="1"/>
      <protection locked="0"/>
    </xf>
    <xf numFmtId="0" fontId="8" fillId="7" borderId="1" xfId="0" applyFont="1" applyFill="1" applyBorder="1" applyAlignment="1" applyProtection="1">
      <alignment horizontal="center" vertical="center"/>
      <protection locked="0"/>
    </xf>
    <xf numFmtId="0" fontId="8" fillId="0" borderId="15" xfId="0" applyFont="1" applyFill="1" applyBorder="1" applyAlignment="1">
      <alignment horizontal="center" vertical="center" shrinkToFit="1"/>
    </xf>
    <xf numFmtId="0" fontId="8" fillId="0" borderId="33" xfId="0" applyFont="1" applyFill="1" applyBorder="1" applyAlignment="1">
      <alignment horizontal="center" vertical="center" shrinkToFit="1"/>
    </xf>
    <xf numFmtId="0" fontId="8" fillId="4" borderId="2" xfId="0" applyFont="1" applyFill="1" applyBorder="1" applyAlignment="1">
      <alignment horizontal="left" vertical="center" shrinkToFit="1"/>
    </xf>
    <xf numFmtId="0" fontId="8" fillId="4" borderId="3" xfId="0" applyFont="1" applyFill="1" applyBorder="1" applyAlignment="1">
      <alignment horizontal="left" vertical="center" shrinkToFit="1"/>
    </xf>
    <xf numFmtId="0" fontId="8" fillId="4" borderId="4" xfId="0" applyFont="1" applyFill="1" applyBorder="1" applyAlignment="1">
      <alignment horizontal="left" vertical="center" shrinkToFit="1"/>
    </xf>
    <xf numFmtId="0" fontId="8" fillId="10" borderId="33" xfId="0" applyFont="1" applyFill="1" applyBorder="1" applyAlignment="1">
      <alignment horizontal="center" vertical="center"/>
    </xf>
    <xf numFmtId="184" fontId="42" fillId="0" borderId="5" xfId="0" applyNumberFormat="1" applyFont="1" applyBorder="1" applyAlignment="1">
      <alignment horizontal="right" vertical="center"/>
    </xf>
    <xf numFmtId="0" fontId="43" fillId="0" borderId="0" xfId="0" applyFont="1" applyBorder="1" applyAlignment="1">
      <alignment horizontal="left" shrinkToFit="1"/>
    </xf>
    <xf numFmtId="0" fontId="43" fillId="0" borderId="0" xfId="0" applyFont="1" applyBorder="1" applyAlignment="1">
      <alignment horizontal="left" vertical="top" shrinkToFit="1"/>
    </xf>
    <xf numFmtId="0" fontId="42" fillId="0" borderId="1" xfId="0" applyFont="1" applyBorder="1" applyAlignment="1">
      <alignment horizontal="center" vertical="center" shrinkToFit="1"/>
    </xf>
    <xf numFmtId="0" fontId="38" fillId="0" borderId="1" xfId="0" applyFont="1" applyBorder="1" applyAlignment="1">
      <alignment horizontal="center" vertical="center"/>
    </xf>
    <xf numFmtId="0" fontId="42" fillId="0" borderId="0" xfId="0" applyFont="1" applyBorder="1" applyAlignment="1">
      <alignment horizontal="left"/>
    </xf>
    <xf numFmtId="0" fontId="42" fillId="0" borderId="1" xfId="0" applyFont="1" applyBorder="1" applyAlignment="1">
      <alignment horizontal="left" vertical="center" wrapText="1"/>
    </xf>
    <xf numFmtId="0" fontId="38" fillId="0" borderId="1" xfId="0" applyFont="1" applyBorder="1" applyAlignment="1">
      <alignment horizontal="center" vertical="center" shrinkToFit="1"/>
    </xf>
    <xf numFmtId="0" fontId="12" fillId="0" borderId="5" xfId="0" applyFont="1" applyFill="1" applyBorder="1" applyAlignment="1">
      <alignment horizontal="left" vertical="center"/>
    </xf>
    <xf numFmtId="0" fontId="12" fillId="0" borderId="15" xfId="0" applyFont="1" applyFill="1" applyBorder="1" applyAlignment="1">
      <alignment horizontal="center" vertical="center" shrinkToFit="1"/>
    </xf>
    <xf numFmtId="0" fontId="12" fillId="0" borderId="33" xfId="0" applyFont="1" applyFill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/>
    </xf>
    <xf numFmtId="0" fontId="8" fillId="10" borderId="2" xfId="0" applyFont="1" applyFill="1" applyBorder="1" applyAlignment="1">
      <alignment horizontal="left" vertical="center"/>
    </xf>
    <xf numFmtId="0" fontId="8" fillId="10" borderId="3" xfId="0" applyFont="1" applyFill="1" applyBorder="1" applyAlignment="1">
      <alignment horizontal="left" vertical="center"/>
    </xf>
    <xf numFmtId="0" fontId="44" fillId="0" borderId="3" xfId="0" applyFont="1" applyFill="1" applyBorder="1" applyAlignment="1">
      <alignment horizontal="center" vertical="center" shrinkToFit="1"/>
    </xf>
    <xf numFmtId="0" fontId="44" fillId="0" borderId="4" xfId="0" applyFont="1" applyFill="1" applyBorder="1" applyAlignment="1">
      <alignment horizontal="center" vertical="center" shrinkToFit="1"/>
    </xf>
    <xf numFmtId="0" fontId="39" fillId="0" borderId="0" xfId="0" applyFont="1" applyBorder="1" applyAlignment="1">
      <alignment horizontal="center" vertical="center"/>
    </xf>
    <xf numFmtId="0" fontId="44" fillId="0" borderId="1" xfId="0" applyFont="1" applyFill="1" applyBorder="1" applyAlignment="1">
      <alignment horizontal="center" vertical="center" shrinkToFit="1"/>
    </xf>
    <xf numFmtId="0" fontId="44" fillId="0" borderId="1" xfId="0" applyFont="1" applyFill="1" applyBorder="1" applyAlignment="1">
      <alignment horizontal="center" vertical="center"/>
    </xf>
    <xf numFmtId="0" fontId="44" fillId="0" borderId="2" xfId="0" applyFont="1" applyFill="1" applyBorder="1" applyAlignment="1">
      <alignment horizontal="center" vertical="center"/>
    </xf>
    <xf numFmtId="0" fontId="44" fillId="0" borderId="3" xfId="0" applyFont="1" applyFill="1" applyBorder="1" applyAlignment="1">
      <alignment horizontal="center" vertical="center"/>
    </xf>
    <xf numFmtId="0" fontId="44" fillId="0" borderId="2" xfId="0" applyFont="1" applyFill="1" applyBorder="1" applyAlignment="1">
      <alignment horizontal="center" vertical="center" shrinkToFit="1"/>
    </xf>
    <xf numFmtId="0" fontId="50" fillId="0" borderId="1" xfId="0" applyFont="1" applyFill="1" applyBorder="1" applyAlignment="1">
      <alignment horizontal="left" vertical="center" wrapText="1" shrinkToFit="1"/>
    </xf>
    <xf numFmtId="0" fontId="38" fillId="0" borderId="1" xfId="0" applyFont="1" applyFill="1" applyBorder="1" applyAlignment="1">
      <alignment horizontal="center" vertical="center" shrinkToFit="1"/>
    </xf>
    <xf numFmtId="177" fontId="38" fillId="0" borderId="1" xfId="0" applyNumberFormat="1" applyFont="1" applyFill="1" applyBorder="1" applyAlignment="1">
      <alignment horizontal="center" vertical="center" shrinkToFit="1"/>
    </xf>
    <xf numFmtId="0" fontId="38" fillId="0" borderId="2" xfId="0" applyFont="1" applyFill="1" applyBorder="1" applyAlignment="1">
      <alignment horizontal="center" vertical="center" shrinkToFit="1"/>
    </xf>
    <xf numFmtId="0" fontId="38" fillId="0" borderId="3" xfId="0" applyFont="1" applyFill="1" applyBorder="1" applyAlignment="1">
      <alignment horizontal="center" vertical="center" shrinkToFit="1"/>
    </xf>
    <xf numFmtId="0" fontId="38" fillId="0" borderId="4" xfId="0" applyFont="1" applyFill="1" applyBorder="1" applyAlignment="1">
      <alignment horizontal="center" vertical="center" shrinkToFit="1"/>
    </xf>
    <xf numFmtId="0" fontId="45" fillId="0" borderId="2" xfId="0" applyFont="1" applyFill="1" applyBorder="1" applyAlignment="1">
      <alignment horizontal="center" vertical="center" shrinkToFit="1"/>
    </xf>
    <xf numFmtId="0" fontId="45" fillId="0" borderId="3" xfId="0" applyFont="1" applyFill="1" applyBorder="1" applyAlignment="1">
      <alignment horizontal="center" vertical="center" shrinkToFit="1"/>
    </xf>
    <xf numFmtId="0" fontId="45" fillId="0" borderId="4" xfId="0" applyFont="1" applyFill="1" applyBorder="1" applyAlignment="1">
      <alignment horizontal="center" vertical="center" shrinkToFit="1"/>
    </xf>
    <xf numFmtId="0" fontId="14" fillId="10" borderId="2" xfId="0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9" borderId="7" xfId="0" applyFont="1" applyFill="1" applyBorder="1" applyAlignment="1">
      <alignment horizontal="center" vertical="center"/>
    </xf>
    <xf numFmtId="0" fontId="13" fillId="9" borderId="8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8" fillId="12" borderId="2" xfId="0" applyFont="1" applyFill="1" applyBorder="1" applyAlignment="1">
      <alignment vertical="center" shrinkToFit="1"/>
    </xf>
    <xf numFmtId="0" fontId="8" fillId="12" borderId="3" xfId="0" applyFont="1" applyFill="1" applyBorder="1" applyAlignment="1">
      <alignment vertical="center" shrinkToFit="1"/>
    </xf>
    <xf numFmtId="0" fontId="8" fillId="12" borderId="4" xfId="0" applyFont="1" applyFill="1" applyBorder="1" applyAlignment="1">
      <alignment vertical="center" shrinkToFit="1"/>
    </xf>
    <xf numFmtId="0" fontId="8" fillId="12" borderId="2" xfId="0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8" fillId="4" borderId="2" xfId="0" applyFont="1" applyFill="1" applyBorder="1" applyAlignment="1" applyProtection="1">
      <alignment vertical="center"/>
    </xf>
    <xf numFmtId="0" fontId="0" fillId="4" borderId="3" xfId="0" applyFill="1" applyBorder="1" applyAlignment="1" applyProtection="1">
      <alignment vertical="center"/>
    </xf>
    <xf numFmtId="0" fontId="0" fillId="4" borderId="4" xfId="0" applyFill="1" applyBorder="1" applyAlignment="1" applyProtection="1">
      <alignment vertical="center"/>
    </xf>
    <xf numFmtId="0" fontId="8" fillId="4" borderId="2" xfId="0" applyFont="1" applyFill="1" applyBorder="1" applyAlignment="1" applyProtection="1">
      <alignment vertical="center" shrinkToFit="1"/>
    </xf>
    <xf numFmtId="0" fontId="8" fillId="4" borderId="3" xfId="0" applyFont="1" applyFill="1" applyBorder="1" applyAlignment="1" applyProtection="1">
      <alignment vertical="center" shrinkToFit="1"/>
    </xf>
    <xf numFmtId="0" fontId="8" fillId="4" borderId="4" xfId="0" applyFont="1" applyFill="1" applyBorder="1" applyAlignment="1" applyProtection="1">
      <alignment vertical="center" shrinkToFit="1"/>
    </xf>
    <xf numFmtId="0" fontId="14" fillId="9" borderId="3" xfId="0" applyFont="1" applyFill="1" applyBorder="1" applyAlignment="1">
      <alignment horizontal="center" vertical="center"/>
    </xf>
    <xf numFmtId="0" fontId="51" fillId="0" borderId="0" xfId="0" applyFont="1" applyBorder="1" applyAlignment="1">
      <alignment horizontal="center" vertical="center" shrinkToFit="1"/>
    </xf>
    <xf numFmtId="0" fontId="50" fillId="0" borderId="0" xfId="0" applyNumberFormat="1" applyFont="1" applyBorder="1" applyAlignment="1">
      <alignment horizontal="left" vertical="center" shrinkToFit="1"/>
    </xf>
    <xf numFmtId="0" fontId="50" fillId="0" borderId="0" xfId="0" applyNumberFormat="1" applyFont="1" applyFill="1" applyBorder="1" applyAlignment="1">
      <alignment horizontal="left" vertical="center" shrinkToFit="1"/>
    </xf>
    <xf numFmtId="0" fontId="50" fillId="0" borderId="9" xfId="0" applyNumberFormat="1" applyFont="1" applyFill="1" applyBorder="1" applyAlignment="1">
      <alignment horizontal="left" vertical="center" shrinkToFit="1"/>
    </xf>
    <xf numFmtId="0" fontId="54" fillId="0" borderId="2" xfId="0" applyNumberFormat="1" applyFont="1" applyFill="1" applyBorder="1" applyAlignment="1">
      <alignment horizontal="center" vertical="center" shrinkToFit="1"/>
    </xf>
    <xf numFmtId="0" fontId="54" fillId="0" borderId="3" xfId="0" applyNumberFormat="1" applyFont="1" applyFill="1" applyBorder="1" applyAlignment="1">
      <alignment horizontal="center" vertical="center" shrinkToFit="1"/>
    </xf>
    <xf numFmtId="0" fontId="54" fillId="0" borderId="4" xfId="0" applyNumberFormat="1" applyFont="1" applyFill="1" applyBorder="1" applyAlignment="1">
      <alignment horizontal="center" vertical="center" shrinkToFit="1"/>
    </xf>
    <xf numFmtId="177" fontId="50" fillId="0" borderId="0" xfId="0" applyNumberFormat="1" applyFont="1" applyFill="1" applyBorder="1" applyAlignment="1">
      <alignment horizontal="left" vertical="center" shrinkToFit="1"/>
    </xf>
    <xf numFmtId="177" fontId="49" fillId="0" borderId="0" xfId="0" applyNumberFormat="1" applyFont="1" applyFill="1" applyBorder="1" applyAlignment="1">
      <alignment horizontal="left" vertical="center" shrinkToFit="1"/>
    </xf>
    <xf numFmtId="0" fontId="49" fillId="0" borderId="0" xfId="0" applyNumberFormat="1" applyFont="1" applyBorder="1" applyAlignment="1">
      <alignment horizontal="center" vertical="center" shrinkToFit="1"/>
    </xf>
    <xf numFmtId="0" fontId="50" fillId="0" borderId="0" xfId="0" applyNumberFormat="1" applyFont="1" applyBorder="1" applyAlignment="1">
      <alignment horizontal="center" vertical="center" shrinkToFit="1"/>
    </xf>
    <xf numFmtId="176" fontId="50" fillId="0" borderId="0" xfId="0" applyNumberFormat="1" applyFont="1" applyBorder="1" applyAlignment="1">
      <alignment horizontal="left" vertical="center" shrinkToFit="1"/>
    </xf>
    <xf numFmtId="0" fontId="49" fillId="0" borderId="0" xfId="0" applyFont="1" applyBorder="1" applyAlignment="1">
      <alignment horizontal="left" vertical="center" shrinkToFit="1"/>
    </xf>
    <xf numFmtId="0" fontId="49" fillId="0" borderId="0" xfId="0" applyNumberFormat="1" applyFont="1" applyBorder="1" applyAlignment="1">
      <alignment horizontal="left" vertical="center" shrinkToFit="1"/>
    </xf>
    <xf numFmtId="0" fontId="49" fillId="0" borderId="0" xfId="0" applyNumberFormat="1" applyFont="1" applyFill="1" applyBorder="1" applyAlignment="1">
      <alignment horizontal="left" vertical="center" shrinkToFit="1"/>
    </xf>
    <xf numFmtId="0" fontId="49" fillId="0" borderId="0" xfId="0" applyNumberFormat="1" applyFont="1" applyBorder="1" applyAlignment="1">
      <alignment horizontal="left" vertical="center" wrapText="1" shrinkToFit="1"/>
    </xf>
    <xf numFmtId="0" fontId="52" fillId="0" borderId="0" xfId="0" applyFont="1" applyBorder="1" applyAlignment="1">
      <alignment horizontal="left" vertical="center" shrinkToFit="1"/>
    </xf>
    <xf numFmtId="0" fontId="51" fillId="0" borderId="0" xfId="0" applyFont="1" applyBorder="1" applyAlignment="1">
      <alignment horizontal="left" vertical="center" shrinkToFit="1"/>
    </xf>
    <xf numFmtId="176" fontId="49" fillId="0" borderId="0" xfId="0" applyNumberFormat="1" applyFont="1" applyBorder="1" applyAlignment="1">
      <alignment horizontal="left" vertical="center" shrinkToFit="1"/>
    </xf>
    <xf numFmtId="177" fontId="8" fillId="7" borderId="1" xfId="0" applyNumberFormat="1" applyFont="1" applyFill="1" applyBorder="1" applyAlignment="1" applyProtection="1">
      <alignment horizontal="center" vertical="center" shrinkToFit="1"/>
      <protection locked="0"/>
    </xf>
  </cellXfs>
  <cellStyles count="44">
    <cellStyle name="20% - アクセント 1" xfId="21" builtinId="30" customBuiltin="1"/>
    <cellStyle name="20% - アクセント 2" xfId="25" builtinId="34" customBuiltin="1"/>
    <cellStyle name="20% - アクセント 3" xfId="29" builtinId="38" customBuiltin="1"/>
    <cellStyle name="20% - アクセント 4" xfId="33" builtinId="42" customBuiltin="1"/>
    <cellStyle name="20% - アクセント 5" xfId="37" builtinId="46" customBuiltin="1"/>
    <cellStyle name="20% - アクセント 6" xfId="41" builtinId="50" customBuiltin="1"/>
    <cellStyle name="40% - アクセント 1" xfId="22" builtinId="31" customBuiltin="1"/>
    <cellStyle name="40% - アクセント 2" xfId="26" builtinId="35" customBuiltin="1"/>
    <cellStyle name="40% - アクセント 3" xfId="30" builtinId="39" customBuiltin="1"/>
    <cellStyle name="40% - アクセント 4" xfId="34" builtinId="43" customBuiltin="1"/>
    <cellStyle name="40% - アクセント 5" xfId="38" builtinId="47" customBuiltin="1"/>
    <cellStyle name="40% - アクセント 6" xfId="42" builtinId="51" customBuiltin="1"/>
    <cellStyle name="60% - アクセント 1" xfId="23" builtinId="32" customBuiltin="1"/>
    <cellStyle name="60% - アクセント 2" xfId="27" builtinId="36" customBuiltin="1"/>
    <cellStyle name="60% - アクセント 3" xfId="31" builtinId="40" customBuiltin="1"/>
    <cellStyle name="60% - アクセント 4" xfId="35" builtinId="44" customBuiltin="1"/>
    <cellStyle name="60% - アクセント 5" xfId="39" builtinId="48" customBuiltin="1"/>
    <cellStyle name="60% - アクセント 6" xfId="43" builtinId="52" customBuiltin="1"/>
    <cellStyle name="アクセント 1" xfId="20" builtinId="29" customBuiltin="1"/>
    <cellStyle name="アクセント 2" xfId="24" builtinId="33" customBuiltin="1"/>
    <cellStyle name="アクセント 3" xfId="28" builtinId="37" customBuiltin="1"/>
    <cellStyle name="アクセント 4" xfId="32" builtinId="41" customBuiltin="1"/>
    <cellStyle name="アクセント 5" xfId="36" builtinId="45" customBuiltin="1"/>
    <cellStyle name="アクセント 6" xfId="40" builtinId="49" customBuiltin="1"/>
    <cellStyle name="タイトル" xfId="3" builtinId="15" customBuiltin="1"/>
    <cellStyle name="チェック セル" xfId="15" builtinId="23" customBuiltin="1"/>
    <cellStyle name="どちらでもない" xfId="10" builtinId="28" customBuiltin="1"/>
    <cellStyle name="メモ" xfId="17" builtinId="10" customBuiltin="1"/>
    <cellStyle name="リンク セル" xfId="14" builtinId="24" customBuiltin="1"/>
    <cellStyle name="悪い" xfId="9" builtinId="27" customBuiltin="1"/>
    <cellStyle name="計算" xfId="13" builtinId="22" customBuiltin="1"/>
    <cellStyle name="警告文" xfId="16" builtinId="11" customBuiltin="1"/>
    <cellStyle name="見出し 1" xfId="4" builtinId="16" customBuiltin="1"/>
    <cellStyle name="見出し 2" xfId="5" builtinId="17" customBuiltin="1"/>
    <cellStyle name="見出し 3" xfId="6" builtinId="18" customBuiltin="1"/>
    <cellStyle name="見出し 4" xfId="7" builtinId="19" customBuiltin="1"/>
    <cellStyle name="集計" xfId="19" builtinId="25" customBuiltin="1"/>
    <cellStyle name="出力" xfId="12" builtinId="21" customBuiltin="1"/>
    <cellStyle name="説明文" xfId="18" builtinId="53" customBuiltin="1"/>
    <cellStyle name="入力" xfId="11" builtinId="20" customBuiltin="1"/>
    <cellStyle name="標準" xfId="0" builtinId="0"/>
    <cellStyle name="標準 2" xfId="2"/>
    <cellStyle name="標準_外部一覧" xfId="1"/>
    <cellStyle name="良い" xfId="8" builtinId="26" customBuiltin="1"/>
  </cellStyles>
  <dxfs count="174"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font>
        <b/>
        <i val="0"/>
        <color rgb="FFFF0000"/>
      </font>
    </dxf>
    <dxf>
      <numFmt numFmtId="188" formatCode="#,##0_ ;[Red]\-#,##0\ "/>
    </dxf>
    <dxf>
      <font>
        <b/>
        <i val="0"/>
        <color rgb="FFFF0000"/>
      </font>
    </dxf>
    <dxf>
      <numFmt numFmtId="188" formatCode="#,##0_ ;[Red]\-#,##0\ "/>
    </dxf>
    <dxf>
      <font>
        <b/>
        <i val="0"/>
        <color rgb="FFFF0000"/>
      </font>
    </dxf>
    <dxf>
      <numFmt numFmtId="188" formatCode="#,##0_ ;[Red]\-#,##0\ "/>
    </dxf>
    <dxf>
      <font>
        <b/>
        <i val="0"/>
        <color rgb="FFFF0000"/>
      </font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font>
        <b/>
        <i val="0"/>
        <color rgb="FFFF0000"/>
      </font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font>
        <b/>
        <i val="0"/>
      </font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font>
        <color rgb="FFFF0000"/>
      </font>
      <fill>
        <patternFill>
          <bgColor rgb="FFFFFF00"/>
        </patternFill>
      </fill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fill>
        <patternFill>
          <bgColor rgb="FFFFFF66"/>
        </patternFill>
      </fill>
    </dxf>
    <dxf>
      <numFmt numFmtId="176" formatCode="#,##0_ "/>
    </dxf>
    <dxf>
      <numFmt numFmtId="176" formatCode="#,##0_ "/>
    </dxf>
    <dxf>
      <fill>
        <patternFill>
          <bgColor theme="9"/>
        </patternFill>
      </fill>
    </dxf>
    <dxf>
      <fill>
        <patternFill>
          <bgColor theme="9" tint="-0.24994659260841701"/>
        </patternFill>
      </fill>
    </dxf>
    <dxf>
      <numFmt numFmtId="176" formatCode="#,##0_ "/>
    </dxf>
    <dxf>
      <fill>
        <patternFill>
          <bgColor rgb="FFFFFF66"/>
        </patternFill>
      </fill>
    </dxf>
    <dxf>
      <numFmt numFmtId="176" formatCode="#,##0_ "/>
    </dxf>
    <dxf>
      <fill>
        <patternFill>
          <bgColor rgb="FFFFFF66"/>
        </patternFill>
      </fill>
    </dxf>
    <dxf>
      <numFmt numFmtId="176" formatCode="#,##0_ "/>
    </dxf>
    <dxf>
      <fill>
        <patternFill>
          <bgColor rgb="FFFFFF66"/>
        </patternFill>
      </fill>
    </dxf>
    <dxf>
      <numFmt numFmtId="176" formatCode="#,##0_ "/>
    </dxf>
    <dxf>
      <fill>
        <patternFill>
          <bgColor rgb="FFFFFF66"/>
        </patternFill>
      </fill>
    </dxf>
    <dxf>
      <fill>
        <patternFill>
          <bgColor theme="0" tint="-0.14996795556505021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/>
        </patternFill>
      </fill>
    </dxf>
    <dxf>
      <fill>
        <patternFill>
          <bgColor rgb="FFFFFF66"/>
        </patternFill>
      </fill>
    </dxf>
    <dxf>
      <fill>
        <patternFill>
          <bgColor theme="9" tint="-0.24994659260841701"/>
        </patternFill>
      </fill>
    </dxf>
    <dxf>
      <numFmt numFmtId="176" formatCode="#,##0_ "/>
    </dxf>
    <dxf>
      <fill>
        <patternFill>
          <bgColor rgb="FFFFFF66"/>
        </patternFill>
      </fill>
    </dxf>
    <dxf>
      <numFmt numFmtId="176" formatCode="#,##0_ "/>
    </dxf>
    <dxf>
      <fill>
        <patternFill>
          <bgColor rgb="FFFFFF66"/>
        </patternFill>
      </fill>
    </dxf>
    <dxf>
      <numFmt numFmtId="176" formatCode="#,##0_ "/>
    </dxf>
    <dxf>
      <fill>
        <patternFill>
          <bgColor rgb="FFFFFF66"/>
        </patternFill>
      </fill>
    </dxf>
    <dxf>
      <numFmt numFmtId="176" formatCode="#,##0_ "/>
    </dxf>
    <dxf>
      <fill>
        <patternFill>
          <bgColor rgb="FFFFFF66"/>
        </patternFill>
      </fill>
    </dxf>
    <dxf>
      <fill>
        <patternFill>
          <bgColor theme="0" tint="-0.14996795556505021"/>
        </patternFill>
      </fill>
    </dxf>
    <dxf>
      <fill>
        <patternFill>
          <bgColor rgb="FFFFFF66"/>
        </patternFill>
      </fill>
    </dxf>
    <dxf>
      <fill>
        <patternFill>
          <bgColor theme="9"/>
        </patternFill>
      </fill>
    </dxf>
    <dxf>
      <fill>
        <patternFill>
          <bgColor rgb="FFFFFF66"/>
        </patternFill>
      </fill>
    </dxf>
    <dxf>
      <fill>
        <patternFill>
          <bgColor theme="9" tint="-0.24994659260841701"/>
        </patternFill>
      </fill>
    </dxf>
    <dxf>
      <font>
        <b val="0"/>
        <i val="0"/>
        <color theme="0"/>
      </font>
      <border>
        <left/>
        <right/>
        <top/>
        <vertical/>
        <horizontal/>
      </border>
    </dxf>
    <dxf>
      <font>
        <b val="0"/>
        <i val="0"/>
        <color theme="0"/>
      </font>
      <border>
        <left/>
        <right/>
        <top/>
        <bottom/>
        <vertical/>
        <horizontal/>
      </border>
    </dxf>
    <dxf>
      <font>
        <b val="0"/>
        <i val="0"/>
        <color theme="0"/>
      </font>
      <border>
        <left/>
        <right/>
        <top/>
        <vertical/>
        <horizontal/>
      </border>
    </dxf>
    <dxf>
      <font>
        <color theme="0"/>
      </font>
      <border>
        <left/>
        <right/>
        <top/>
        <vertical/>
        <horizontal/>
      </border>
    </dxf>
    <dxf>
      <font>
        <b val="0"/>
        <i val="0"/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 val="0"/>
        <color theme="0"/>
      </font>
      <border>
        <left/>
        <right/>
        <top/>
        <vertical/>
        <horizontal/>
      </border>
    </dxf>
    <dxf>
      <font>
        <b val="0"/>
        <i val="0"/>
        <color theme="0"/>
      </font>
      <border>
        <left/>
        <right/>
        <top/>
        <bottom/>
        <vertical/>
        <horizontal/>
      </border>
    </dxf>
    <dxf>
      <font>
        <b val="0"/>
        <i val="0"/>
        <color theme="0"/>
      </font>
      <border>
        <left/>
        <right/>
        <top/>
        <vertical/>
        <horizontal/>
      </border>
    </dxf>
    <dxf>
      <font>
        <color theme="0"/>
      </font>
      <border>
        <left/>
        <right/>
        <top/>
        <vertical/>
        <horizontal/>
      </border>
    </dxf>
    <dxf>
      <font>
        <b val="0"/>
        <i val="0"/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0" formatCode="General"/>
      <fill>
        <patternFill>
          <bgColor theme="9"/>
        </patternFill>
      </fill>
    </dxf>
    <dxf>
      <numFmt numFmtId="0" formatCode="General"/>
      <fill>
        <patternFill>
          <bgColor theme="9"/>
        </patternFill>
      </fill>
    </dxf>
    <dxf>
      <numFmt numFmtId="0" formatCode="General"/>
      <fill>
        <patternFill>
          <bgColor theme="9"/>
        </patternFill>
      </fill>
    </dxf>
    <dxf>
      <numFmt numFmtId="0" formatCode="General"/>
      <fill>
        <patternFill>
          <bgColor theme="9"/>
        </patternFill>
      </fill>
    </dxf>
    <dxf>
      <numFmt numFmtId="0" formatCode="General"/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numFmt numFmtId="188" formatCode="#,##0_ ;[Red]\-#,##0\ 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88" formatCode="#,##0_ ;[Red]\-#,##0\ 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88" formatCode="#,##0_ ;[Red]\-#,##0\ 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88" formatCode="#,##0_ ;[Red]\-#,##0\ 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88" formatCode="#,##0_ ;[Red]\-#,##0\ "/>
    </dxf>
    <dxf>
      <fill>
        <patternFill>
          <bgColor theme="0" tint="-0.14996795556505021"/>
        </patternFill>
      </fill>
    </dxf>
    <dxf>
      <numFmt numFmtId="188" formatCode="#,##0_ ;[Red]\-#,##0\ "/>
    </dxf>
    <dxf>
      <fill>
        <patternFill>
          <bgColor theme="0" tint="-0.14996795556505021"/>
        </patternFill>
      </fill>
    </dxf>
    <dxf>
      <numFmt numFmtId="188" formatCode="#,##0_ ;[Red]\-#,##0\ "/>
    </dxf>
    <dxf>
      <fill>
        <patternFill>
          <bgColor theme="0" tint="-0.14996795556505021"/>
        </patternFill>
      </fill>
    </dxf>
    <dxf>
      <numFmt numFmtId="188" formatCode="#,##0_ ;[Red]\-#,##0\ 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88" formatCode="#,##0_ ;[Red]\-#,##0\ "/>
    </dxf>
    <dxf>
      <fill>
        <patternFill>
          <bgColor theme="0" tint="-0.14996795556505021"/>
        </patternFill>
      </fill>
    </dxf>
    <dxf>
      <numFmt numFmtId="188" formatCode="#,##0_ ;[Red]\-#,##0\ "/>
    </dxf>
    <dxf>
      <fill>
        <patternFill>
          <bgColor theme="0" tint="-0.14996795556505021"/>
        </patternFill>
      </fill>
    </dxf>
    <dxf>
      <numFmt numFmtId="188" formatCode="#,##0_ ;[Red]\-#,##0\ "/>
    </dxf>
    <dxf>
      <fill>
        <patternFill>
          <bgColor theme="0" tint="-0.14996795556505021"/>
        </patternFill>
      </fill>
    </dxf>
    <dxf>
      <numFmt numFmtId="188" formatCode="#,##0_ ;[Red]\-#,##0\ "/>
    </dxf>
    <dxf>
      <fill>
        <patternFill>
          <bgColor theme="0" tint="-0.14996795556505021"/>
        </patternFill>
      </fill>
    </dxf>
    <dxf>
      <numFmt numFmtId="188" formatCode="#,##0_ ;[Red]\-#,##0\ 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numFmt numFmtId="188" formatCode="#,##0_ ;[Red]\-#,##0\ 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0" formatCode="General"/>
      <fill>
        <patternFill>
          <bgColor theme="9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fill>
        <patternFill>
          <bgColor theme="9"/>
        </patternFill>
      </fill>
    </dxf>
    <dxf>
      <fill>
        <patternFill>
          <bgColor rgb="FFFFFF66"/>
        </patternFill>
      </fill>
    </dxf>
  </dxfs>
  <tableStyles count="0" defaultTableStyle="TableStyleMedium2" defaultPivotStyle="PivotStyleLight16"/>
  <colors>
    <mruColors>
      <color rgb="FFCCFFCC"/>
      <color rgb="FF5DB3CB"/>
      <color rgb="FFFFCCFF"/>
      <color rgb="FF00FF00"/>
      <color rgb="FFFFFF66"/>
      <color rgb="FF68B8CE"/>
      <color rgb="FFADD9E5"/>
      <color rgb="FFA0D2E0"/>
      <color rgb="FFEDF7F9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UNKB0010_H_FREEWD_KBN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CheckBox" checked="Checked" fmlaLink="UNKB0010_H_KOBAIHIN_KBN" lockText="1" noThreeD="1"/>
</file>

<file path=xl/ctrlProps/ctrlProp6.xml><?xml version="1.0" encoding="utf-8"?>
<formControlPr xmlns="http://schemas.microsoft.com/office/spreadsheetml/2009/9/main" objectType="CheckBox" checked="Checked" fmlaLink="UNKB0010_H_GAICHU_KBN" lockText="1" noThreeD="1"/>
</file>

<file path=xl/ctrlProps/ctrlProp7.xml><?xml version="1.0" encoding="utf-8"?>
<formControlPr xmlns="http://schemas.microsoft.com/office/spreadsheetml/2009/9/main" objectType="CheckBox" checked="Checked" fmlaLink="UNKB0010_H_SHUZEN_KBN" lockText="1" noThreeD="1"/>
</file>

<file path=xl/ctrlProps/ctrlProp8.xml><?xml version="1.0" encoding="utf-8"?>
<formControlPr xmlns="http://schemas.microsoft.com/office/spreadsheetml/2009/9/main" objectType="CheckBox" checked="Checked" fmlaLink="UNKB0010_H_TOSHI_KBN" lockText="1" noThreeD="1"/>
</file>

<file path=xl/ctrlProps/ctrlProp9.xml><?xml version="1.0" encoding="utf-8"?>
<formControlPr xmlns="http://schemas.microsoft.com/office/spreadsheetml/2009/9/main" objectType="CheckBox" fmlaLink="UNKB0010_H_HANBAI_KBN" lockText="1" noThreeD="1"/>
</file>

<file path=xl/ctrlProps/ctrlProp10.xml><?xml version="1.0" encoding="utf-8"?>
<formControlPr xmlns="http://schemas.microsoft.com/office/spreadsheetml/2009/9/main" objectType="CheckBox" checked="Checked" fmlaLink="UNKB0010_H_MISHONIN_STS" lockText="1" noThreeD="1"/>
</file>

<file path=xl/ctrlProps/ctrlProp11.xml><?xml version="1.0" encoding="utf-8"?>
<formControlPr xmlns="http://schemas.microsoft.com/office/spreadsheetml/2009/9/main" objectType="CheckBox" checked="Checked" fmlaLink="UNKB0010_H_IRAICHU_STS" lockText="1" noThreeD="1"/>
</file>

<file path=xl/ctrlProps/ctrlProp12.xml><?xml version="1.0" encoding="utf-8"?>
<formControlPr xmlns="http://schemas.microsoft.com/office/spreadsheetml/2009/9/main" objectType="CheckBox" checked="Checked" fmlaLink="UNKB0010_H_CHUMONSHO_STS" lockText="1" noThreeD="1"/>
</file>

<file path=xl/ctrlProps/ctrlProp13.xml><?xml version="1.0" encoding="utf-8"?>
<formControlPr xmlns="http://schemas.microsoft.com/office/spreadsheetml/2009/9/main" objectType="CheckBox" checked="Checked" fmlaLink="UNKB0010_H_ICHIBU_STS" lockText="1" noThreeD="1"/>
</file>

<file path=xl/ctrlProps/ctrlProp14.xml><?xml version="1.0" encoding="utf-8"?>
<formControlPr xmlns="http://schemas.microsoft.com/office/spreadsheetml/2009/9/main" objectType="CheckBox" checked="Checked" fmlaLink="UNKB0010_H_NYUKA_STS" lockText="1" noThreeD="1"/>
</file>

<file path=xl/ctrlProps/ctrlProp15.xml><?xml version="1.0" encoding="utf-8"?>
<formControlPr xmlns="http://schemas.microsoft.com/office/spreadsheetml/2009/9/main" objectType="CheckBox" checked="Checked" fmlaLink="UNKB0010_H_KENSHU_STS" lockText="1" noThreeD="1"/>
</file>

<file path=xl/ctrlProps/ctrlProp16.xml><?xml version="1.0" encoding="utf-8"?>
<formControlPr xmlns="http://schemas.microsoft.com/office/spreadsheetml/2009/9/main" objectType="CheckBox" fmlaLink="UNKB0010_H_DEL_FLG" lockText="1" noThreeD="1"/>
</file>

<file path=xl/ctrlProps/ctrlProp17.xml><?xml version="1.0" encoding="utf-8"?>
<formControlPr xmlns="http://schemas.microsoft.com/office/spreadsheetml/2009/9/main" objectType="CheckBox" fmlaLink="UNKB0010_H_JIGO_STS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CheckBox" checked="Checked" fmlaLink="UNKB0040_H_KOBAIHIN_KBN" lockText="1" noThreeD="1"/>
</file>

<file path=xl/ctrlProps/ctrlProp25.xml><?xml version="1.0" encoding="utf-8"?>
<formControlPr xmlns="http://schemas.microsoft.com/office/spreadsheetml/2009/9/main" objectType="CheckBox" checked="Checked" fmlaLink="UNKB0040_H_GAICHU_KBN" lockText="1" noThreeD="1"/>
</file>

<file path=xl/ctrlProps/ctrlProp26.xml><?xml version="1.0" encoding="utf-8"?>
<formControlPr xmlns="http://schemas.microsoft.com/office/spreadsheetml/2009/9/main" objectType="CheckBox" checked="Checked" fmlaLink="UNKB0040_H_SHUZEN_KBN" lockText="1" noThreeD="1"/>
</file>

<file path=xl/ctrlProps/ctrlProp27.xml><?xml version="1.0" encoding="utf-8"?>
<formControlPr xmlns="http://schemas.microsoft.com/office/spreadsheetml/2009/9/main" objectType="CheckBox" checked="Checked" fmlaLink="UNKB0040_H_TOSHI_KBN" lockText="1" noThreeD="1"/>
</file>

<file path=xl/ctrlProps/ctrlProp28.xml><?xml version="1.0" encoding="utf-8"?>
<formControlPr xmlns="http://schemas.microsoft.com/office/spreadsheetml/2009/9/main" objectType="CheckBox" checked="Checked" fmlaLink="UNKB0040_H_HANBAI_KBN" lockText="1" noThreeD="1"/>
</file>

<file path=xl/ctrlProps/ctrlProp29.xml><?xml version="1.0" encoding="utf-8"?>
<formControlPr xmlns="http://schemas.microsoft.com/office/spreadsheetml/2009/9/main" objectType="CheckBox" checked="Checked" fmlaLink="UNKB0040_H_MISHONIN_STS" lockText="1" noThreeD="1"/>
</file>

<file path=xl/ctrlProps/ctrlProp30.xml><?xml version="1.0" encoding="utf-8"?>
<formControlPr xmlns="http://schemas.microsoft.com/office/spreadsheetml/2009/9/main" objectType="CheckBox" fmlaLink="UNKB0040_H_IRAICHU_STS" lockText="1" noThreeD="1"/>
</file>

<file path=xl/ctrlProps/ctrlProp31.xml><?xml version="1.0" encoding="utf-8"?>
<formControlPr xmlns="http://schemas.microsoft.com/office/spreadsheetml/2009/9/main" objectType="Radio" checked="Checked" firstButton="1" fmlaLink="UNKB0040_H_FREEWD_KBN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CheckBox" fmlaLink="UNKB0040_H_CHUMONSHO_STS" lockText="1" noThreeD="1"/>
</file>

<file path=xl/ctrlProps/ctrlProp35.xml><?xml version="1.0" encoding="utf-8"?>
<formControlPr xmlns="http://schemas.microsoft.com/office/spreadsheetml/2009/9/main" objectType="CheckBox" fmlaLink="UNKB0040_H_ICHIBU_STS" lockText="1" noThreeD="1"/>
</file>

<file path=xl/ctrlProps/ctrlProp36.xml><?xml version="1.0" encoding="utf-8"?>
<formControlPr xmlns="http://schemas.microsoft.com/office/spreadsheetml/2009/9/main" objectType="CheckBox" fmlaLink="UNKB0040_H_NYUKA_STS" lockText="1" noThreeD="1"/>
</file>

<file path=xl/ctrlProps/ctrlProp37.xml><?xml version="1.0" encoding="utf-8"?>
<formControlPr xmlns="http://schemas.microsoft.com/office/spreadsheetml/2009/9/main" objectType="CheckBox" fmlaLink="UNKB0040_H_KENSHU_STS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CheckBox" checked="Checked" fmlaLink="UNKB0050_H_KOBAIHIN_KBN" lockText="1" noThreeD="1"/>
</file>

<file path=xl/ctrlProps/ctrlProp41.xml><?xml version="1.0" encoding="utf-8"?>
<formControlPr xmlns="http://schemas.microsoft.com/office/spreadsheetml/2009/9/main" objectType="CheckBox" checked="Checked" fmlaLink="UNKB0050_H_GAICHU_KBN" lockText="1" noThreeD="1"/>
</file>

<file path=xl/ctrlProps/ctrlProp42.xml><?xml version="1.0" encoding="utf-8"?>
<formControlPr xmlns="http://schemas.microsoft.com/office/spreadsheetml/2009/9/main" objectType="CheckBox" checked="Checked" fmlaLink="UNKB0050_H_SHUZEN_KBN" lockText="1" noThreeD="1"/>
</file>

<file path=xl/ctrlProps/ctrlProp43.xml><?xml version="1.0" encoding="utf-8"?>
<formControlPr xmlns="http://schemas.microsoft.com/office/spreadsheetml/2009/9/main" objectType="CheckBox" checked="Checked" fmlaLink="UNKB0050_H_TOSHI_KBN" lockText="1" noThreeD="1"/>
</file>

<file path=xl/ctrlProps/ctrlProp44.xml><?xml version="1.0" encoding="utf-8"?>
<formControlPr xmlns="http://schemas.microsoft.com/office/spreadsheetml/2009/9/main" objectType="CheckBox" fmlaLink="UNKB0050_H_HANBAI_KBN" lockText="1" noThreeD="1"/>
</file>

<file path=xl/ctrlProps/ctrlProp45.xml><?xml version="1.0" encoding="utf-8"?>
<formControlPr xmlns="http://schemas.microsoft.com/office/spreadsheetml/2009/9/main" objectType="CheckBox" checked="Checked" fmlaLink="UNKB0050_H_IRAICHU_STS" lockText="1" noThreeD="1"/>
</file>

<file path=xl/ctrlProps/ctrlProp46.xml><?xml version="1.0" encoding="utf-8"?>
<formControlPr xmlns="http://schemas.microsoft.com/office/spreadsheetml/2009/9/main" objectType="CheckBox" fmlaLink="UNKB0050_H_CHUMONSHO_STS" lockText="1" noThreeD="1"/>
</file>

<file path=xl/ctrlProps/ctrlProp47.xml><?xml version="1.0" encoding="utf-8"?>
<formControlPr xmlns="http://schemas.microsoft.com/office/spreadsheetml/2009/9/main" objectType="CheckBox" fmlaLink="UNKB0050_H_ICHIBU_STS" lockText="1" noThreeD="1"/>
</file>

<file path=xl/ctrlProps/ctrlProp48.xml><?xml version="1.0" encoding="utf-8"?>
<formControlPr xmlns="http://schemas.microsoft.com/office/spreadsheetml/2009/9/main" objectType="CheckBox" fmlaLink="UNKB0050_H_NYUKA_STS" lockText="1" noThreeD="1"/>
</file>

<file path=xl/ctrlProps/ctrlProp49.xml><?xml version="1.0" encoding="utf-8"?>
<formControlPr xmlns="http://schemas.microsoft.com/office/spreadsheetml/2009/9/main" objectType="CheckBox" fmlaLink="UNKB0050_H_KENSHU_STS" lockText="1" noThreeD="1"/>
</file>

<file path=xl/ctrlProps/ctrlProp50.xml><?xml version="1.0" encoding="utf-8"?>
<formControlPr xmlns="http://schemas.microsoft.com/office/spreadsheetml/2009/9/main" objectType="Radio" checked="Checked" firstButton="1" fmlaLink="UNKB0050_H_FREEWD_KBN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CheckBox" fmlaLink="UNKB0050_H_MISHONIN_STS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fmlaLink="UNKB0080_H_KOBAIHIN_KBN" lockText="1" noThreeD="1"/>
</file>

<file path=xl/ctrlProps/ctrlProp57.xml><?xml version="1.0" encoding="utf-8"?>
<formControlPr xmlns="http://schemas.microsoft.com/office/spreadsheetml/2009/9/main" objectType="CheckBox" checked="Checked" fmlaLink="UNKB0080_H_GAICHU_KBN" lockText="1" noThreeD="1"/>
</file>

<file path=xl/ctrlProps/ctrlProp58.xml><?xml version="1.0" encoding="utf-8"?>
<formControlPr xmlns="http://schemas.microsoft.com/office/spreadsheetml/2009/9/main" objectType="CheckBox" checked="Checked" fmlaLink="UNKB0080_H_SHUZEN_KBN" lockText="1" noThreeD="1"/>
</file>

<file path=xl/ctrlProps/ctrlProp59.xml><?xml version="1.0" encoding="utf-8"?>
<formControlPr xmlns="http://schemas.microsoft.com/office/spreadsheetml/2009/9/main" objectType="CheckBox" checked="Checked" fmlaLink="UNKB0080_H_TOSHI_KBN" lockText="1" noThreeD="1"/>
</file>

<file path=xl/ctrlProps/ctrlProp60.xml><?xml version="1.0" encoding="utf-8"?>
<formControlPr xmlns="http://schemas.microsoft.com/office/spreadsheetml/2009/9/main" objectType="CheckBox" fmlaLink="UNKB0080_H_HANBAI_KBN" lockText="1" noThreeD="1"/>
</file>

<file path=xl/ctrlProps/ctrlProp61.xml><?xml version="1.0" encoding="utf-8"?>
<formControlPr xmlns="http://schemas.microsoft.com/office/spreadsheetml/2009/9/main" objectType="CheckBox" fmlaLink="UNKB0080_H_NYUKA_STS" lockText="1" noThreeD="1"/>
</file>

<file path=xl/ctrlProps/ctrlProp62.xml><?xml version="1.0" encoding="utf-8"?>
<formControlPr xmlns="http://schemas.microsoft.com/office/spreadsheetml/2009/9/main" objectType="CheckBox" fmlaLink="UNKB0080_H_KENSHU_STS" lockText="1" noThreeD="1"/>
</file>

<file path=xl/ctrlProps/ctrlProp63.xml><?xml version="1.0" encoding="utf-8"?>
<formControlPr xmlns="http://schemas.microsoft.com/office/spreadsheetml/2009/9/main" objectType="CheckBox" fmlaLink="UNKB0080_H_ICHIBU_STS" lockText="1" noThreeD="1"/>
</file>

<file path=xl/ctrlProps/ctrlProp64.xml><?xml version="1.0" encoding="utf-8"?>
<formControlPr xmlns="http://schemas.microsoft.com/office/spreadsheetml/2009/9/main" objectType="CheckBox" checked="Checked" fmlaLink="UNKB0080_H_CHUMONSHO_STS" lockText="1" noThreeD="1"/>
</file>

<file path=xl/ctrlProps/ctrlProp65.xml><?xml version="1.0" encoding="utf-8"?>
<formControlPr xmlns="http://schemas.microsoft.com/office/spreadsheetml/2009/9/main" objectType="CheckBox" fmlaLink="UNKB0080_H_INSATSU_SUMI_STS" lockText="1" noThreeD="1"/>
</file>

<file path=xl/ctrlProps/ctrlProp66.xml><?xml version="1.0" encoding="utf-8"?>
<formControlPr xmlns="http://schemas.microsoft.com/office/spreadsheetml/2009/9/main" objectType="CheckBox" fmlaLink="UNKB0080_H_IRAICHU_STS" lockText="1" noThreeD="1"/>
</file>

<file path=xl/ctrlProps/ctrlProp67.xml><?xml version="1.0" encoding="utf-8"?>
<formControlPr xmlns="http://schemas.microsoft.com/office/spreadsheetml/2009/9/main" objectType="CheckBox" checked="Checked" fmlaLink="UNKB0080_H_INSATSU_MI_STS" lockText="1" noThreeD="1"/>
</file>

<file path=xl/ctrlProps/ctrlProp68.xml><?xml version="1.0" encoding="utf-8"?>
<formControlPr xmlns="http://schemas.microsoft.com/office/spreadsheetml/2009/9/main" objectType="CheckBox" fmlaLink="UNKB0080_H_MISHONIN_STS" lockText="1" noThreeD="1"/>
</file>

<file path=xl/ctrlProps/ctrlProp69.xml><?xml version="1.0" encoding="utf-8"?>
<formControlPr xmlns="http://schemas.microsoft.com/office/spreadsheetml/2009/9/main" objectType="Radio" checked="Checked" firstButton="1" fmlaLink="UNKB0080_H_FREEWD_KBN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checked="Checked" fmlaLink="UNKB0130_H_KOBAIHIN_KBN" lockText="1" noThreeD="1"/>
</file>

<file path=xl/ctrlProps/ctrlProp74.xml><?xml version="1.0" encoding="utf-8"?>
<formControlPr xmlns="http://schemas.microsoft.com/office/spreadsheetml/2009/9/main" objectType="CheckBox" checked="Checked" fmlaLink="UNKB0130_H_GAICHU_KBN" lockText="1" noThreeD="1"/>
</file>

<file path=xl/ctrlProps/ctrlProp75.xml><?xml version="1.0" encoding="utf-8"?>
<formControlPr xmlns="http://schemas.microsoft.com/office/spreadsheetml/2009/9/main" objectType="CheckBox" checked="Checked" fmlaLink="UNKB0130_H_SHUZEN_KBN" lockText="1" noThreeD="1"/>
</file>

<file path=xl/ctrlProps/ctrlProp76.xml><?xml version="1.0" encoding="utf-8"?>
<formControlPr xmlns="http://schemas.microsoft.com/office/spreadsheetml/2009/9/main" objectType="CheckBox" checked="Checked" fmlaLink="UNKB0130_H_TOSHI_KBN" lockText="1" noThreeD="1"/>
</file>

<file path=xl/ctrlProps/ctrlProp77.xml><?xml version="1.0" encoding="utf-8"?>
<formControlPr xmlns="http://schemas.microsoft.com/office/spreadsheetml/2009/9/main" objectType="CheckBox" fmlaLink="UNKB0130_H_HANBAI_KBN" lockText="1" noThreeD="1"/>
</file>

<file path=xl/ctrlProps/ctrlProp78.xml><?xml version="1.0" encoding="utf-8"?>
<formControlPr xmlns="http://schemas.microsoft.com/office/spreadsheetml/2009/9/main" objectType="CheckBox" fmlaLink="UNKB0130_H_MIKENSHU_FLG" lockText="1" noThreeD="1"/>
</file>

<file path=xl/ctrlProps/ctrlProp79.xml><?xml version="1.0" encoding="utf-8"?>
<formControlPr xmlns="http://schemas.microsoft.com/office/spreadsheetml/2009/9/main" objectType="Radio" checked="Checked" firstButton="1" fmlaLink="UNKB0130_H_FREEWD_KBN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26</xdr:row>
          <xdr:rowOff>47625</xdr:rowOff>
        </xdr:from>
        <xdr:to>
          <xdr:col>3</xdr:col>
          <xdr:colOff>1619250</xdr:colOff>
          <xdr:row>27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9</xdr:row>
          <xdr:rowOff>180975</xdr:rowOff>
        </xdr:from>
        <xdr:to>
          <xdr:col>16</xdr:col>
          <xdr:colOff>619125</xdr:colOff>
          <xdr:row>11</xdr:row>
          <xdr:rowOff>28575</xdr:rowOff>
        </xdr:to>
        <xdr:sp macro="" textlink="">
          <xdr:nvSpPr>
            <xdr:cNvPr id="14344" name="Option Button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600075</xdr:colOff>
          <xdr:row>9</xdr:row>
          <xdr:rowOff>180975</xdr:rowOff>
        </xdr:from>
        <xdr:to>
          <xdr:col>18</xdr:col>
          <xdr:colOff>104775</xdr:colOff>
          <xdr:row>11</xdr:row>
          <xdr:rowOff>9525</xdr:rowOff>
        </xdr:to>
        <xdr:sp macro="" textlink="">
          <xdr:nvSpPr>
            <xdr:cNvPr id="14345" name="Option Button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9</xdr:row>
          <xdr:rowOff>180975</xdr:rowOff>
        </xdr:from>
        <xdr:to>
          <xdr:col>19</xdr:col>
          <xdr:colOff>9525</xdr:colOff>
          <xdr:row>11</xdr:row>
          <xdr:rowOff>19050</xdr:rowOff>
        </xdr:to>
        <xdr:sp macro="" textlink="">
          <xdr:nvSpPr>
            <xdr:cNvPr id="14346" name="Option Button 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28575</xdr:rowOff>
        </xdr:from>
        <xdr:to>
          <xdr:col>9</xdr:col>
          <xdr:colOff>428625</xdr:colOff>
          <xdr:row>2</xdr:row>
          <xdr:rowOff>200025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28575</xdr:rowOff>
        </xdr:from>
        <xdr:to>
          <xdr:col>11</xdr:col>
          <xdr:colOff>428625</xdr:colOff>
          <xdr:row>2</xdr:row>
          <xdr:rowOff>200025</xdr:rowOff>
        </xdr:to>
        <xdr:sp macro="" textlink="">
          <xdr:nvSpPr>
            <xdr:cNvPr id="14348" name="Check Box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28575</xdr:rowOff>
        </xdr:from>
        <xdr:to>
          <xdr:col>14</xdr:col>
          <xdr:colOff>190500</xdr:colOff>
          <xdr:row>2</xdr:row>
          <xdr:rowOff>200025</xdr:rowOff>
        </xdr:to>
        <xdr:sp macro="" textlink="">
          <xdr:nvSpPr>
            <xdr:cNvPr id="14349" name="Check Box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</xdr:row>
          <xdr:rowOff>28575</xdr:rowOff>
        </xdr:from>
        <xdr:to>
          <xdr:col>16</xdr:col>
          <xdr:colOff>428625</xdr:colOff>
          <xdr:row>2</xdr:row>
          <xdr:rowOff>200025</xdr:rowOff>
        </xdr:to>
        <xdr:sp macro="" textlink="">
          <xdr:nvSpPr>
            <xdr:cNvPr id="14350" name="Check Box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2</xdr:row>
          <xdr:rowOff>28575</xdr:rowOff>
        </xdr:from>
        <xdr:to>
          <xdr:col>18</xdr:col>
          <xdr:colOff>428625</xdr:colOff>
          <xdr:row>2</xdr:row>
          <xdr:rowOff>200025</xdr:rowOff>
        </xdr:to>
        <xdr:sp macro="" textlink="">
          <xdr:nvSpPr>
            <xdr:cNvPr id="14351" name="Check Box 15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19050</xdr:rowOff>
        </xdr:from>
        <xdr:to>
          <xdr:col>9</xdr:col>
          <xdr:colOff>428625</xdr:colOff>
          <xdr:row>3</xdr:row>
          <xdr:rowOff>190500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</xdr:row>
          <xdr:rowOff>19050</xdr:rowOff>
        </xdr:from>
        <xdr:to>
          <xdr:col>11</xdr:col>
          <xdr:colOff>428625</xdr:colOff>
          <xdr:row>3</xdr:row>
          <xdr:rowOff>190500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19050</xdr:rowOff>
        </xdr:from>
        <xdr:to>
          <xdr:col>14</xdr:col>
          <xdr:colOff>190500</xdr:colOff>
          <xdr:row>3</xdr:row>
          <xdr:rowOff>190500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3</xdr:row>
          <xdr:rowOff>19050</xdr:rowOff>
        </xdr:from>
        <xdr:to>
          <xdr:col>16</xdr:col>
          <xdr:colOff>428625</xdr:colOff>
          <xdr:row>3</xdr:row>
          <xdr:rowOff>190500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3</xdr:row>
          <xdr:rowOff>19050</xdr:rowOff>
        </xdr:from>
        <xdr:to>
          <xdr:col>18</xdr:col>
          <xdr:colOff>428625</xdr:colOff>
          <xdr:row>3</xdr:row>
          <xdr:rowOff>190500</xdr:rowOff>
        </xdr:to>
        <xdr:sp macro="" textlink="">
          <xdr:nvSpPr>
            <xdr:cNvPr id="14356" name="Check Box 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3</xdr:row>
          <xdr:rowOff>19050</xdr:rowOff>
        </xdr:from>
        <xdr:to>
          <xdr:col>20</xdr:col>
          <xdr:colOff>428625</xdr:colOff>
          <xdr:row>3</xdr:row>
          <xdr:rowOff>190500</xdr:rowOff>
        </xdr:to>
        <xdr:sp macro="" textlink="">
          <xdr:nvSpPr>
            <xdr:cNvPr id="14357" name="Check Box 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10</xdr:row>
          <xdr:rowOff>19050</xdr:rowOff>
        </xdr:from>
        <xdr:to>
          <xdr:col>20</xdr:col>
          <xdr:colOff>457200</xdr:colOff>
          <xdr:row>10</xdr:row>
          <xdr:rowOff>190500</xdr:rowOff>
        </xdr:to>
        <xdr:sp macro="" textlink="">
          <xdr:nvSpPr>
            <xdr:cNvPr id="14358" name="Check Box 22" hidden="1">
              <a:extLst>
                <a:ext uri="{63B3BB69-23CF-44E3-9099-C40C66FF867C}">
                  <a14:compatExt spid="_x0000_s1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3</xdr:row>
          <xdr:rowOff>19050</xdr:rowOff>
        </xdr:from>
        <xdr:to>
          <xdr:col>22</xdr:col>
          <xdr:colOff>552450</xdr:colOff>
          <xdr:row>3</xdr:row>
          <xdr:rowOff>180975</xdr:rowOff>
        </xdr:to>
        <xdr:sp macro="" textlink="">
          <xdr:nvSpPr>
            <xdr:cNvPr id="14359" name="Check Box 23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85725</xdr:colOff>
          <xdr:row>4</xdr:row>
          <xdr:rowOff>19050</xdr:rowOff>
        </xdr:from>
        <xdr:to>
          <xdr:col>32</xdr:col>
          <xdr:colOff>266700</xdr:colOff>
          <xdr:row>4</xdr:row>
          <xdr:rowOff>180975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85725</xdr:colOff>
          <xdr:row>8</xdr:row>
          <xdr:rowOff>19050</xdr:rowOff>
        </xdr:from>
        <xdr:to>
          <xdr:col>32</xdr:col>
          <xdr:colOff>266700</xdr:colOff>
          <xdr:row>8</xdr:row>
          <xdr:rowOff>180975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85725</xdr:colOff>
          <xdr:row>12</xdr:row>
          <xdr:rowOff>19050</xdr:rowOff>
        </xdr:from>
        <xdr:to>
          <xdr:col>32</xdr:col>
          <xdr:colOff>266700</xdr:colOff>
          <xdr:row>12</xdr:row>
          <xdr:rowOff>180975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85725</xdr:colOff>
          <xdr:row>16</xdr:row>
          <xdr:rowOff>19050</xdr:rowOff>
        </xdr:from>
        <xdr:to>
          <xdr:col>32</xdr:col>
          <xdr:colOff>266700</xdr:colOff>
          <xdr:row>16</xdr:row>
          <xdr:rowOff>180975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85725</xdr:colOff>
          <xdr:row>20</xdr:row>
          <xdr:rowOff>19050</xdr:rowOff>
        </xdr:from>
        <xdr:to>
          <xdr:col>32</xdr:col>
          <xdr:colOff>266700</xdr:colOff>
          <xdr:row>20</xdr:row>
          <xdr:rowOff>180975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24</xdr:row>
          <xdr:rowOff>47625</xdr:rowOff>
        </xdr:from>
        <xdr:to>
          <xdr:col>3</xdr:col>
          <xdr:colOff>1619250</xdr:colOff>
          <xdr:row>25</xdr:row>
          <xdr:rowOff>142875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190500</xdr:rowOff>
        </xdr:to>
        <xdr:sp macro="" textlink="">
          <xdr:nvSpPr>
            <xdr:cNvPr id="29703" name="Check Box 7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19050</xdr:rowOff>
        </xdr:from>
        <xdr:to>
          <xdr:col>11</xdr:col>
          <xdr:colOff>542925</xdr:colOff>
          <xdr:row>2</xdr:row>
          <xdr:rowOff>200025</xdr:rowOff>
        </xdr:to>
        <xdr:sp macro="" textlink="">
          <xdr:nvSpPr>
            <xdr:cNvPr id="29704" name="Check Box 8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</xdr:row>
          <xdr:rowOff>19050</xdr:rowOff>
        </xdr:from>
        <xdr:to>
          <xdr:col>13</xdr:col>
          <xdr:colOff>914400</xdr:colOff>
          <xdr:row>2</xdr:row>
          <xdr:rowOff>171450</xdr:rowOff>
        </xdr:to>
        <xdr:sp macro="" textlink="">
          <xdr:nvSpPr>
            <xdr:cNvPr id="29705" name="Check Box 9" hidden="1">
              <a:extLst>
                <a:ext uri="{63B3BB69-23CF-44E3-9099-C40C66FF867C}">
                  <a14:compatExt spid="_x0000_s29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</xdr:row>
          <xdr:rowOff>19050</xdr:rowOff>
        </xdr:from>
        <xdr:to>
          <xdr:col>15</xdr:col>
          <xdr:colOff>342900</xdr:colOff>
          <xdr:row>2</xdr:row>
          <xdr:rowOff>180975</xdr:rowOff>
        </xdr:to>
        <xdr:sp macro="" textlink="">
          <xdr:nvSpPr>
            <xdr:cNvPr id="29706" name="Check Box 10" hidden="1">
              <a:extLst>
                <a:ext uri="{63B3BB69-23CF-44E3-9099-C40C66FF867C}">
                  <a14:compatExt spid="_x0000_s29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</xdr:row>
          <xdr:rowOff>19050</xdr:rowOff>
        </xdr:from>
        <xdr:to>
          <xdr:col>17</xdr:col>
          <xdr:colOff>552450</xdr:colOff>
          <xdr:row>2</xdr:row>
          <xdr:rowOff>200025</xdr:rowOff>
        </xdr:to>
        <xdr:sp macro="" textlink="">
          <xdr:nvSpPr>
            <xdr:cNvPr id="29707" name="Check Box 11" hidden="1">
              <a:extLst>
                <a:ext uri="{63B3BB69-23CF-44E3-9099-C40C66FF867C}">
                  <a14:compatExt spid="_x0000_s29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3</xdr:row>
          <xdr:rowOff>19050</xdr:rowOff>
        </xdr:from>
        <xdr:to>
          <xdr:col>9</xdr:col>
          <xdr:colOff>457200</xdr:colOff>
          <xdr:row>3</xdr:row>
          <xdr:rowOff>190500</xdr:rowOff>
        </xdr:to>
        <xdr:sp macro="" textlink="">
          <xdr:nvSpPr>
            <xdr:cNvPr id="29708" name="Check Box 12" hidden="1">
              <a:extLst>
                <a:ext uri="{63B3BB69-23CF-44E3-9099-C40C66FF867C}">
                  <a14:compatExt spid="_x0000_s29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3</xdr:row>
          <xdr:rowOff>19050</xdr:rowOff>
        </xdr:from>
        <xdr:to>
          <xdr:col>11</xdr:col>
          <xdr:colOff>457200</xdr:colOff>
          <xdr:row>3</xdr:row>
          <xdr:rowOff>190500</xdr:rowOff>
        </xdr:to>
        <xdr:sp macro="" textlink="">
          <xdr:nvSpPr>
            <xdr:cNvPr id="29709" name="Check Box 13" hidden="1">
              <a:extLst>
                <a:ext uri="{63B3BB69-23CF-44E3-9099-C40C66FF867C}">
                  <a14:compatExt spid="_x0000_s29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10</xdr:row>
          <xdr:rowOff>9525</xdr:rowOff>
        </xdr:from>
        <xdr:to>
          <xdr:col>15</xdr:col>
          <xdr:colOff>495300</xdr:colOff>
          <xdr:row>11</xdr:row>
          <xdr:rowOff>66675</xdr:rowOff>
        </xdr:to>
        <xdr:sp macro="" textlink="">
          <xdr:nvSpPr>
            <xdr:cNvPr id="29714" name="Option Button 18" hidden="1">
              <a:extLst>
                <a:ext uri="{63B3BB69-23CF-44E3-9099-C40C66FF867C}">
                  <a14:compatExt spid="_x0000_s29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10</xdr:row>
          <xdr:rowOff>19050</xdr:rowOff>
        </xdr:from>
        <xdr:to>
          <xdr:col>15</xdr:col>
          <xdr:colOff>981075</xdr:colOff>
          <xdr:row>11</xdr:row>
          <xdr:rowOff>57150</xdr:rowOff>
        </xdr:to>
        <xdr:sp macro="" textlink="">
          <xdr:nvSpPr>
            <xdr:cNvPr id="29715" name="Option Button 19" hidden="1">
              <a:extLst>
                <a:ext uri="{63B3BB69-23CF-44E3-9099-C40C66FF867C}">
                  <a14:compatExt spid="_x0000_s29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10</xdr:row>
          <xdr:rowOff>9525</xdr:rowOff>
        </xdr:from>
        <xdr:to>
          <xdr:col>17</xdr:col>
          <xdr:colOff>400050</xdr:colOff>
          <xdr:row>11</xdr:row>
          <xdr:rowOff>57150</xdr:rowOff>
        </xdr:to>
        <xdr:sp macro="" textlink="">
          <xdr:nvSpPr>
            <xdr:cNvPr id="29716" name="Option Button 20" hidden="1">
              <a:extLst>
                <a:ext uri="{63B3BB69-23CF-44E3-9099-C40C66FF867C}">
                  <a14:compatExt spid="_x0000_s29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64</xdr:row>
          <xdr:rowOff>19050</xdr:rowOff>
        </xdr:from>
        <xdr:to>
          <xdr:col>2</xdr:col>
          <xdr:colOff>1171575</xdr:colOff>
          <xdr:row>64</xdr:row>
          <xdr:rowOff>180975</xdr:rowOff>
        </xdr:to>
        <xdr:sp macro="" textlink="">
          <xdr:nvSpPr>
            <xdr:cNvPr id="29717" name="Check Box 21" hidden="1">
              <a:extLst>
                <a:ext uri="{63B3BB69-23CF-44E3-9099-C40C66FF867C}">
                  <a14:compatExt spid="_x0000_s29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1438275</xdr:colOff>
          <xdr:row>64</xdr:row>
          <xdr:rowOff>19050</xdr:rowOff>
        </xdr:from>
        <xdr:to>
          <xdr:col>3</xdr:col>
          <xdr:colOff>266700</xdr:colOff>
          <xdr:row>64</xdr:row>
          <xdr:rowOff>200025</xdr:rowOff>
        </xdr:to>
        <xdr:sp macro="" textlink="">
          <xdr:nvSpPr>
            <xdr:cNvPr id="29718" name="Check Box 22" hidden="1">
              <a:extLst>
                <a:ext uri="{63B3BB69-23CF-44E3-9099-C40C66FF867C}">
                  <a14:compatExt spid="_x0000_s29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64</xdr:row>
          <xdr:rowOff>19050</xdr:rowOff>
        </xdr:from>
        <xdr:to>
          <xdr:col>3</xdr:col>
          <xdr:colOff>1362075</xdr:colOff>
          <xdr:row>64</xdr:row>
          <xdr:rowOff>180975</xdr:rowOff>
        </xdr:to>
        <xdr:sp macro="" textlink="">
          <xdr:nvSpPr>
            <xdr:cNvPr id="29719" name="Check Box 23" hidden="1">
              <a:extLst>
                <a:ext uri="{63B3BB69-23CF-44E3-9099-C40C66FF867C}">
                  <a14:compatExt spid="_x0000_s29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1885950</xdr:colOff>
          <xdr:row>64</xdr:row>
          <xdr:rowOff>19050</xdr:rowOff>
        </xdr:from>
        <xdr:to>
          <xdr:col>3</xdr:col>
          <xdr:colOff>2505075</xdr:colOff>
          <xdr:row>64</xdr:row>
          <xdr:rowOff>190500</xdr:rowOff>
        </xdr:to>
        <xdr:sp macro="" textlink="">
          <xdr:nvSpPr>
            <xdr:cNvPr id="29720" name="Check Box 24" hidden="1">
              <a:extLst>
                <a:ext uri="{63B3BB69-23CF-44E3-9099-C40C66FF867C}">
                  <a14:compatExt spid="_x0000_s29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5</xdr:row>
          <xdr:rowOff>28575</xdr:rowOff>
        </xdr:from>
        <xdr:to>
          <xdr:col>6</xdr:col>
          <xdr:colOff>257175</xdr:colOff>
          <xdr:row>5</xdr:row>
          <xdr:rowOff>180975</xdr:rowOff>
        </xdr:to>
        <xdr:sp macro="" textlink="">
          <xdr:nvSpPr>
            <xdr:cNvPr id="75778" name="Check Box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8080" mc:Ignorable="a14" a14:legacySpreadsheetColorIndex="2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26</xdr:row>
          <xdr:rowOff>47625</xdr:rowOff>
        </xdr:from>
        <xdr:to>
          <xdr:col>3</xdr:col>
          <xdr:colOff>1619250</xdr:colOff>
          <xdr:row>27</xdr:row>
          <xdr:rowOff>142875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28575</xdr:rowOff>
        </xdr:from>
        <xdr:to>
          <xdr:col>9</xdr:col>
          <xdr:colOff>428625</xdr:colOff>
          <xdr:row>2</xdr:row>
          <xdr:rowOff>190500</xdr:rowOff>
        </xdr:to>
        <xdr:sp macro="" textlink="">
          <xdr:nvSpPr>
            <xdr:cNvPr id="81922" name="Check Box 2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</xdr:row>
          <xdr:rowOff>28575</xdr:rowOff>
        </xdr:from>
        <xdr:to>
          <xdr:col>11</xdr:col>
          <xdr:colOff>533400</xdr:colOff>
          <xdr:row>2</xdr:row>
          <xdr:rowOff>200025</xdr:rowOff>
        </xdr:to>
        <xdr:sp macro="" textlink="">
          <xdr:nvSpPr>
            <xdr:cNvPr id="81923" name="Check Box 3" hidden="1">
              <a:extLst>
                <a:ext uri="{63B3BB69-23CF-44E3-9099-C40C66FF867C}">
                  <a14:compatExt spid="_x0000_s8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</xdr:row>
          <xdr:rowOff>28575</xdr:rowOff>
        </xdr:from>
        <xdr:to>
          <xdr:col>13</xdr:col>
          <xdr:colOff>914400</xdr:colOff>
          <xdr:row>2</xdr:row>
          <xdr:rowOff>190500</xdr:rowOff>
        </xdr:to>
        <xdr:sp macro="" textlink="">
          <xdr:nvSpPr>
            <xdr:cNvPr id="81924" name="Check Box 4" hidden="1">
              <a:extLst>
                <a:ext uri="{63B3BB69-23CF-44E3-9099-C40C66FF867C}">
                  <a14:compatExt spid="_x0000_s8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</xdr:row>
          <xdr:rowOff>28575</xdr:rowOff>
        </xdr:from>
        <xdr:to>
          <xdr:col>15</xdr:col>
          <xdr:colOff>323850</xdr:colOff>
          <xdr:row>2</xdr:row>
          <xdr:rowOff>180975</xdr:rowOff>
        </xdr:to>
        <xdr:sp macro="" textlink="">
          <xdr:nvSpPr>
            <xdr:cNvPr id="81925" name="Check Box 5" hidden="1">
              <a:extLst>
                <a:ext uri="{63B3BB69-23CF-44E3-9099-C40C66FF867C}">
                  <a14:compatExt spid="_x0000_s8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28575</xdr:rowOff>
        </xdr:from>
        <xdr:to>
          <xdr:col>17</xdr:col>
          <xdr:colOff>552450</xdr:colOff>
          <xdr:row>2</xdr:row>
          <xdr:rowOff>200025</xdr:rowOff>
        </xdr:to>
        <xdr:sp macro="" textlink="">
          <xdr:nvSpPr>
            <xdr:cNvPr id="81926" name="Check Box 6" hidden="1">
              <a:extLst>
                <a:ext uri="{63B3BB69-23CF-44E3-9099-C40C66FF867C}">
                  <a14:compatExt spid="_x0000_s8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</xdr:row>
          <xdr:rowOff>19050</xdr:rowOff>
        </xdr:from>
        <xdr:to>
          <xdr:col>11</xdr:col>
          <xdr:colOff>428625</xdr:colOff>
          <xdr:row>3</xdr:row>
          <xdr:rowOff>180975</xdr:rowOff>
        </xdr:to>
        <xdr:sp macro="" textlink="">
          <xdr:nvSpPr>
            <xdr:cNvPr id="81928" name="Check Box 8" hidden="1">
              <a:extLst>
                <a:ext uri="{63B3BB69-23CF-44E3-9099-C40C66FF867C}">
                  <a14:compatExt spid="_x0000_s8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</xdr:row>
          <xdr:rowOff>19050</xdr:rowOff>
        </xdr:from>
        <xdr:to>
          <xdr:col>13</xdr:col>
          <xdr:colOff>781050</xdr:colOff>
          <xdr:row>3</xdr:row>
          <xdr:rowOff>180975</xdr:rowOff>
        </xdr:to>
        <xdr:sp macro="" textlink="">
          <xdr:nvSpPr>
            <xdr:cNvPr id="81929" name="Check Box 9" hidden="1">
              <a:extLst>
                <a:ext uri="{63B3BB69-23CF-44E3-9099-C40C66FF867C}">
                  <a14:compatExt spid="_x0000_s8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3</xdr:row>
          <xdr:rowOff>19050</xdr:rowOff>
        </xdr:from>
        <xdr:to>
          <xdr:col>15</xdr:col>
          <xdr:colOff>676275</xdr:colOff>
          <xdr:row>3</xdr:row>
          <xdr:rowOff>180975</xdr:rowOff>
        </xdr:to>
        <xdr:sp macro="" textlink="">
          <xdr:nvSpPr>
            <xdr:cNvPr id="81930" name="Check Box 10" hidden="1">
              <a:extLst>
                <a:ext uri="{63B3BB69-23CF-44E3-9099-C40C66FF867C}">
                  <a14:compatExt spid="_x0000_s8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19050</xdr:rowOff>
        </xdr:from>
        <xdr:to>
          <xdr:col>17</xdr:col>
          <xdr:colOff>533400</xdr:colOff>
          <xdr:row>3</xdr:row>
          <xdr:rowOff>171450</xdr:rowOff>
        </xdr:to>
        <xdr:sp macro="" textlink="">
          <xdr:nvSpPr>
            <xdr:cNvPr id="81931" name="Check Box 11" hidden="1">
              <a:extLst>
                <a:ext uri="{63B3BB69-23CF-44E3-9099-C40C66FF867C}">
                  <a14:compatExt spid="_x0000_s8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3</xdr:row>
          <xdr:rowOff>19050</xdr:rowOff>
        </xdr:from>
        <xdr:to>
          <xdr:col>19</xdr:col>
          <xdr:colOff>447675</xdr:colOff>
          <xdr:row>3</xdr:row>
          <xdr:rowOff>171450</xdr:rowOff>
        </xdr:to>
        <xdr:sp macro="" textlink="">
          <xdr:nvSpPr>
            <xdr:cNvPr id="81932" name="Check Box 12" hidden="1">
              <a:extLst>
                <a:ext uri="{63B3BB69-23CF-44E3-9099-C40C66FF867C}">
                  <a14:compatExt spid="_x0000_s8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10</xdr:row>
          <xdr:rowOff>9525</xdr:rowOff>
        </xdr:from>
        <xdr:to>
          <xdr:col>15</xdr:col>
          <xdr:colOff>495300</xdr:colOff>
          <xdr:row>11</xdr:row>
          <xdr:rowOff>66675</xdr:rowOff>
        </xdr:to>
        <xdr:sp macro="" textlink="">
          <xdr:nvSpPr>
            <xdr:cNvPr id="81933" name="Option Button 13" hidden="1">
              <a:extLst>
                <a:ext uri="{63B3BB69-23CF-44E3-9099-C40C66FF867C}">
                  <a14:compatExt spid="_x0000_s8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10</xdr:row>
          <xdr:rowOff>19050</xdr:rowOff>
        </xdr:from>
        <xdr:to>
          <xdr:col>16</xdr:col>
          <xdr:colOff>0</xdr:colOff>
          <xdr:row>11</xdr:row>
          <xdr:rowOff>66675</xdr:rowOff>
        </xdr:to>
        <xdr:sp macro="" textlink="">
          <xdr:nvSpPr>
            <xdr:cNvPr id="81934" name="Option Button 14" hidden="1">
              <a:extLst>
                <a:ext uri="{63B3BB69-23CF-44E3-9099-C40C66FF867C}">
                  <a14:compatExt spid="_x0000_s8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10</xdr:row>
          <xdr:rowOff>9525</xdr:rowOff>
        </xdr:from>
        <xdr:to>
          <xdr:col>17</xdr:col>
          <xdr:colOff>400050</xdr:colOff>
          <xdr:row>11</xdr:row>
          <xdr:rowOff>66675</xdr:rowOff>
        </xdr:to>
        <xdr:sp macro="" textlink="">
          <xdr:nvSpPr>
            <xdr:cNvPr id="81935" name="Option Button 15" hidden="1">
              <a:extLst>
                <a:ext uri="{63B3BB69-23CF-44E3-9099-C40C66FF867C}">
                  <a14:compatExt spid="_x0000_s8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</xdr:row>
          <xdr:rowOff>19050</xdr:rowOff>
        </xdr:from>
        <xdr:to>
          <xdr:col>9</xdr:col>
          <xdr:colOff>428625</xdr:colOff>
          <xdr:row>3</xdr:row>
          <xdr:rowOff>180975</xdr:rowOff>
        </xdr:to>
        <xdr:sp macro="" textlink="">
          <xdr:nvSpPr>
            <xdr:cNvPr id="81936" name="Check Box 16" hidden="1">
              <a:extLst>
                <a:ext uri="{63B3BB69-23CF-44E3-9099-C40C66FF867C}">
                  <a14:compatExt spid="_x0000_s8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5</xdr:row>
          <xdr:rowOff>38100</xdr:rowOff>
        </xdr:from>
        <xdr:to>
          <xdr:col>6</xdr:col>
          <xdr:colOff>266700</xdr:colOff>
          <xdr:row>5</xdr:row>
          <xdr:rowOff>171450</xdr:rowOff>
        </xdr:to>
        <xdr:sp macro="" textlink="">
          <xdr:nvSpPr>
            <xdr:cNvPr id="137217" name="Check Box 1" hidden="1">
              <a:extLst>
                <a:ext uri="{63B3BB69-23CF-44E3-9099-C40C66FF867C}">
                  <a14:compatExt spid="_x0000_s13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180975</xdr:colOff>
      <xdr:row>2</xdr:row>
      <xdr:rowOff>19050</xdr:rowOff>
    </xdr:from>
    <xdr:to>
      <xdr:col>14</xdr:col>
      <xdr:colOff>962025</xdr:colOff>
      <xdr:row>4</xdr:row>
      <xdr:rowOff>190500</xdr:rowOff>
    </xdr:to>
    <xdr:sp macro="" textlink="">
      <xdr:nvSpPr>
        <xdr:cNvPr id="7" name="正方形/長方形 6"/>
        <xdr:cNvSpPr/>
      </xdr:nvSpPr>
      <xdr:spPr>
        <a:xfrm>
          <a:off x="7915275" y="695325"/>
          <a:ext cx="3028950" cy="93345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overflow" horzOverflow="overflow" rtlCol="0" anchor="ctr"/>
        <a:lstStyle/>
        <a:p>
          <a:pPr algn="l"/>
          <a:r>
            <a:rPr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rPr>
            <a:t>〒</a:t>
          </a:r>
          <a:r>
            <a:rPr lang="en-US" altLang="ja-JP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rPr>
            <a:t>456-0034</a:t>
          </a:r>
        </a:p>
        <a:p>
          <a:pPr algn="l"/>
          <a:r>
            <a:rPr lang="ja-JP" altLang="en-US" sz="1200">
              <a:latin typeface="+mj-ea"/>
              <a:ea typeface="+mj-ea"/>
              <a:cs typeface="メイリオ" panose="020B0604030504040204" pitchFamily="50" charset="-128"/>
            </a:rPr>
            <a:t>名古屋市熱田区伝馬一丁目１１番１号</a:t>
          </a:r>
          <a:endParaRPr lang="en-US" altLang="ja-JP" sz="1200">
            <a:latin typeface="+mj-ea"/>
            <a:ea typeface="+mj-ea"/>
            <a:cs typeface="メイリオ" panose="020B0604030504040204" pitchFamily="50" charset="-128"/>
          </a:endParaRPr>
        </a:p>
        <a:p>
          <a:pPr algn="l"/>
          <a:r>
            <a:rPr lang="en-US" altLang="ja-JP" sz="1200">
              <a:latin typeface="+mj-ea"/>
              <a:ea typeface="+mj-ea"/>
              <a:cs typeface="メイリオ" panose="020B0604030504040204" pitchFamily="50" charset="-128"/>
            </a:rPr>
            <a:t>TEL</a:t>
          </a:r>
          <a:r>
            <a:rPr lang="ja-JP" altLang="en-US" sz="1200">
              <a:latin typeface="+mj-ea"/>
              <a:ea typeface="+mj-ea"/>
              <a:cs typeface="メイリオ" panose="020B0604030504040204" pitchFamily="50" charset="-128"/>
            </a:rPr>
            <a:t>：</a:t>
          </a:r>
          <a:r>
            <a:rPr lang="en-US" altLang="ja-JP" sz="1200">
              <a:latin typeface="+mj-ea"/>
              <a:ea typeface="+mj-ea"/>
              <a:cs typeface="メイリオ" panose="020B0604030504040204" pitchFamily="50" charset="-128"/>
            </a:rPr>
            <a:t>052-682-5069</a:t>
          </a:r>
        </a:p>
        <a:p>
          <a:pPr algn="l"/>
          <a:r>
            <a:rPr lang="en-US" altLang="ja-JP" sz="1200">
              <a:latin typeface="+mj-ea"/>
              <a:ea typeface="+mj-ea"/>
              <a:cs typeface="メイリオ" panose="020B0604030504040204" pitchFamily="50" charset="-128"/>
            </a:rPr>
            <a:t>FAX</a:t>
          </a:r>
          <a:r>
            <a:rPr lang="ja-JP" altLang="en-US" sz="1200">
              <a:latin typeface="+mj-ea"/>
              <a:ea typeface="+mj-ea"/>
              <a:cs typeface="メイリオ" panose="020B0604030504040204" pitchFamily="50" charset="-128"/>
            </a:rPr>
            <a:t>：</a:t>
          </a:r>
          <a:r>
            <a:rPr lang="en-US" altLang="ja-JP" sz="1200">
              <a:latin typeface="+mj-ea"/>
              <a:ea typeface="+mj-ea"/>
              <a:cs typeface="メイリオ" panose="020B0604030504040204" pitchFamily="50" charset="-128"/>
            </a:rPr>
            <a:t>052-682-5574</a:t>
          </a:r>
          <a:endParaRPr kumimoji="1" lang="ja-JP" altLang="en-US" sz="1200">
            <a:solidFill>
              <a:schemeClr val="dk1"/>
            </a:solidFill>
            <a:effectLst/>
            <a:latin typeface="+mj-ea"/>
            <a:ea typeface="+mj-ea"/>
            <a:cs typeface="メイリオ" panose="020B0604030504040204" pitchFamily="50" charset="-128"/>
          </a:endParaRPr>
        </a:p>
      </xdr:txBody>
    </xdr:sp>
    <xdr:clientData/>
  </xdr:twoCellAnchor>
  <xdr:twoCellAnchor editAs="oneCell">
    <xdr:from>
      <xdr:col>12</xdr:col>
      <xdr:colOff>369794</xdr:colOff>
      <xdr:row>0</xdr:row>
      <xdr:rowOff>246529</xdr:rowOff>
    </xdr:from>
    <xdr:to>
      <xdr:col>14</xdr:col>
      <xdr:colOff>324970</xdr:colOff>
      <xdr:row>1</xdr:row>
      <xdr:rowOff>242453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265" y="246529"/>
          <a:ext cx="2196352" cy="39933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26</xdr:row>
          <xdr:rowOff>47625</xdr:rowOff>
        </xdr:from>
        <xdr:to>
          <xdr:col>3</xdr:col>
          <xdr:colOff>1619250</xdr:colOff>
          <xdr:row>27</xdr:row>
          <xdr:rowOff>142875</xdr:rowOff>
        </xdr:to>
        <xdr:sp macro="" textlink="">
          <xdr:nvSpPr>
            <xdr:cNvPr id="161793" name="Button 1" hidden="1">
              <a:extLst>
                <a:ext uri="{63B3BB69-23CF-44E3-9099-C40C66FF867C}">
                  <a14:compatExt spid="_x0000_s16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19050</xdr:rowOff>
        </xdr:from>
        <xdr:to>
          <xdr:col>9</xdr:col>
          <xdr:colOff>447675</xdr:colOff>
          <xdr:row>2</xdr:row>
          <xdr:rowOff>171450</xdr:rowOff>
        </xdr:to>
        <xdr:sp macro="" textlink="">
          <xdr:nvSpPr>
            <xdr:cNvPr id="161794" name="Check Box 2" hidden="1">
              <a:extLst>
                <a:ext uri="{63B3BB69-23CF-44E3-9099-C40C66FF867C}">
                  <a14:compatExt spid="_x0000_s16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</xdr:row>
          <xdr:rowOff>19050</xdr:rowOff>
        </xdr:from>
        <xdr:to>
          <xdr:col>11</xdr:col>
          <xdr:colOff>561975</xdr:colOff>
          <xdr:row>2</xdr:row>
          <xdr:rowOff>180975</xdr:rowOff>
        </xdr:to>
        <xdr:sp macro="" textlink="">
          <xdr:nvSpPr>
            <xdr:cNvPr id="161795" name="Check Box 3" hidden="1">
              <a:extLst>
                <a:ext uri="{63B3BB69-23CF-44E3-9099-C40C66FF867C}">
                  <a14:compatExt spid="_x0000_s16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</xdr:row>
          <xdr:rowOff>19050</xdr:rowOff>
        </xdr:from>
        <xdr:to>
          <xdr:col>13</xdr:col>
          <xdr:colOff>942975</xdr:colOff>
          <xdr:row>2</xdr:row>
          <xdr:rowOff>180975</xdr:rowOff>
        </xdr:to>
        <xdr:sp macro="" textlink="">
          <xdr:nvSpPr>
            <xdr:cNvPr id="161796" name="Check Box 4" hidden="1">
              <a:extLst>
                <a:ext uri="{63B3BB69-23CF-44E3-9099-C40C66FF867C}">
                  <a14:compatExt spid="_x0000_s16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</xdr:row>
          <xdr:rowOff>19050</xdr:rowOff>
        </xdr:from>
        <xdr:to>
          <xdr:col>15</xdr:col>
          <xdr:colOff>323850</xdr:colOff>
          <xdr:row>2</xdr:row>
          <xdr:rowOff>180975</xdr:rowOff>
        </xdr:to>
        <xdr:sp macro="" textlink="">
          <xdr:nvSpPr>
            <xdr:cNvPr id="161797" name="Check Box 5" hidden="1">
              <a:extLst>
                <a:ext uri="{63B3BB69-23CF-44E3-9099-C40C66FF867C}">
                  <a14:compatExt spid="_x0000_s16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19050</xdr:rowOff>
        </xdr:from>
        <xdr:to>
          <xdr:col>17</xdr:col>
          <xdr:colOff>438150</xdr:colOff>
          <xdr:row>2</xdr:row>
          <xdr:rowOff>180975</xdr:rowOff>
        </xdr:to>
        <xdr:sp macro="" textlink="">
          <xdr:nvSpPr>
            <xdr:cNvPr id="161798" name="Check Box 6" hidden="1">
              <a:extLst>
                <a:ext uri="{63B3BB69-23CF-44E3-9099-C40C66FF867C}">
                  <a14:compatExt spid="_x0000_s16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</xdr:row>
          <xdr:rowOff>19050</xdr:rowOff>
        </xdr:from>
        <xdr:to>
          <xdr:col>13</xdr:col>
          <xdr:colOff>542925</xdr:colOff>
          <xdr:row>3</xdr:row>
          <xdr:rowOff>180975</xdr:rowOff>
        </xdr:to>
        <xdr:sp macro="" textlink="">
          <xdr:nvSpPr>
            <xdr:cNvPr id="161799" name="Check Box 7" hidden="1">
              <a:extLst>
                <a:ext uri="{63B3BB69-23CF-44E3-9099-C40C66FF867C}">
                  <a14:compatExt spid="_x0000_s16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</xdr:row>
          <xdr:rowOff>19050</xdr:rowOff>
        </xdr:from>
        <xdr:to>
          <xdr:col>15</xdr:col>
          <xdr:colOff>438150</xdr:colOff>
          <xdr:row>3</xdr:row>
          <xdr:rowOff>180975</xdr:rowOff>
        </xdr:to>
        <xdr:sp macro="" textlink="">
          <xdr:nvSpPr>
            <xdr:cNvPr id="161800" name="Check Box 8" hidden="1">
              <a:extLst>
                <a:ext uri="{63B3BB69-23CF-44E3-9099-C40C66FF867C}">
                  <a14:compatExt spid="_x0000_s16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</xdr:row>
          <xdr:rowOff>19050</xdr:rowOff>
        </xdr:from>
        <xdr:to>
          <xdr:col>11</xdr:col>
          <xdr:colOff>695325</xdr:colOff>
          <xdr:row>3</xdr:row>
          <xdr:rowOff>180975</xdr:rowOff>
        </xdr:to>
        <xdr:sp macro="" textlink="">
          <xdr:nvSpPr>
            <xdr:cNvPr id="161801" name="Check Box 9" hidden="1">
              <a:extLst>
                <a:ext uri="{63B3BB69-23CF-44E3-9099-C40C66FF867C}">
                  <a14:compatExt spid="_x0000_s16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</xdr:row>
          <xdr:rowOff>19050</xdr:rowOff>
        </xdr:from>
        <xdr:to>
          <xdr:col>10</xdr:col>
          <xdr:colOff>85725</xdr:colOff>
          <xdr:row>3</xdr:row>
          <xdr:rowOff>180975</xdr:rowOff>
        </xdr:to>
        <xdr:sp macro="" textlink="">
          <xdr:nvSpPr>
            <xdr:cNvPr id="161802" name="Check Box 10" hidden="1">
              <a:extLst>
                <a:ext uri="{63B3BB69-23CF-44E3-9099-C40C66FF867C}">
                  <a14:compatExt spid="_x0000_s16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28575</xdr:rowOff>
        </xdr:from>
        <xdr:to>
          <xdr:col>11</xdr:col>
          <xdr:colOff>438150</xdr:colOff>
          <xdr:row>4</xdr:row>
          <xdr:rowOff>190500</xdr:rowOff>
        </xdr:to>
        <xdr:sp macro="" textlink="">
          <xdr:nvSpPr>
            <xdr:cNvPr id="161803" name="Check Box 11" hidden="1">
              <a:extLst>
                <a:ext uri="{63B3BB69-23CF-44E3-9099-C40C66FF867C}">
                  <a14:compatExt spid="_x0000_s16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67</xdr:row>
          <xdr:rowOff>0</xdr:rowOff>
        </xdr:from>
        <xdr:to>
          <xdr:col>3</xdr:col>
          <xdr:colOff>933450</xdr:colOff>
          <xdr:row>67</xdr:row>
          <xdr:rowOff>161925</xdr:rowOff>
        </xdr:to>
        <xdr:sp macro="" textlink="">
          <xdr:nvSpPr>
            <xdr:cNvPr id="161804" name="Check Box 12" hidden="1">
              <a:extLst>
                <a:ext uri="{63B3BB69-23CF-44E3-9099-C40C66FF867C}">
                  <a14:compatExt spid="_x0000_s16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</xdr:row>
          <xdr:rowOff>28575</xdr:rowOff>
        </xdr:from>
        <xdr:to>
          <xdr:col>9</xdr:col>
          <xdr:colOff>447675</xdr:colOff>
          <xdr:row>4</xdr:row>
          <xdr:rowOff>190500</xdr:rowOff>
        </xdr:to>
        <xdr:sp macro="" textlink="">
          <xdr:nvSpPr>
            <xdr:cNvPr id="161805" name="Check Box 13" hidden="1">
              <a:extLst>
                <a:ext uri="{63B3BB69-23CF-44E3-9099-C40C66FF867C}">
                  <a14:compatExt spid="_x0000_s16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1333500</xdr:colOff>
          <xdr:row>67</xdr:row>
          <xdr:rowOff>0</xdr:rowOff>
        </xdr:from>
        <xdr:to>
          <xdr:col>2</xdr:col>
          <xdr:colOff>1981200</xdr:colOff>
          <xdr:row>67</xdr:row>
          <xdr:rowOff>161925</xdr:rowOff>
        </xdr:to>
        <xdr:sp macro="" textlink="">
          <xdr:nvSpPr>
            <xdr:cNvPr id="161806" name="Check Box 14" hidden="1">
              <a:extLst>
                <a:ext uri="{63B3BB69-23CF-44E3-9099-C40C66FF867C}">
                  <a14:compatExt spid="_x0000_s16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11</xdr:row>
          <xdr:rowOff>9525</xdr:rowOff>
        </xdr:from>
        <xdr:to>
          <xdr:col>15</xdr:col>
          <xdr:colOff>495300</xdr:colOff>
          <xdr:row>12</xdr:row>
          <xdr:rowOff>66675</xdr:rowOff>
        </xdr:to>
        <xdr:sp macro="" textlink="">
          <xdr:nvSpPr>
            <xdr:cNvPr id="161807" name="Option Button 15" hidden="1">
              <a:extLst>
                <a:ext uri="{63B3BB69-23CF-44E3-9099-C40C66FF867C}">
                  <a14:compatExt spid="_x0000_s16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11</xdr:row>
          <xdr:rowOff>19050</xdr:rowOff>
        </xdr:from>
        <xdr:to>
          <xdr:col>16</xdr:col>
          <xdr:colOff>0</xdr:colOff>
          <xdr:row>12</xdr:row>
          <xdr:rowOff>66675</xdr:rowOff>
        </xdr:to>
        <xdr:sp macro="" textlink="">
          <xdr:nvSpPr>
            <xdr:cNvPr id="161808" name="Option Button 16" hidden="1">
              <a:extLst>
                <a:ext uri="{63B3BB69-23CF-44E3-9099-C40C66FF867C}">
                  <a14:compatExt spid="_x0000_s16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11</xdr:row>
          <xdr:rowOff>9525</xdr:rowOff>
        </xdr:from>
        <xdr:to>
          <xdr:col>17</xdr:col>
          <xdr:colOff>400050</xdr:colOff>
          <xdr:row>12</xdr:row>
          <xdr:rowOff>66675</xdr:rowOff>
        </xdr:to>
        <xdr:sp macro="" textlink="">
          <xdr:nvSpPr>
            <xdr:cNvPr id="161809" name="Option Button 17" hidden="1">
              <a:extLst>
                <a:ext uri="{63B3BB69-23CF-44E3-9099-C40C66FF867C}">
                  <a14:compatExt spid="_x0000_s16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NAND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47625</xdr:rowOff>
        </xdr:from>
        <xdr:to>
          <xdr:col>3</xdr:col>
          <xdr:colOff>1619250</xdr:colOff>
          <xdr:row>20</xdr:row>
          <xdr:rowOff>142875</xdr:rowOff>
        </xdr:to>
        <xdr:sp macro="" textlink="">
          <xdr:nvSpPr>
            <xdr:cNvPr id="167938" name="Button 2" hidden="1">
              <a:extLst>
                <a:ext uri="{63B3BB69-23CF-44E3-9099-C40C66FF867C}">
                  <a14:compatExt spid="_x0000_s16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19050</xdr:rowOff>
        </xdr:from>
        <xdr:to>
          <xdr:col>9</xdr:col>
          <xdr:colOff>438150</xdr:colOff>
          <xdr:row>2</xdr:row>
          <xdr:rowOff>171450</xdr:rowOff>
        </xdr:to>
        <xdr:sp macro="" textlink="">
          <xdr:nvSpPr>
            <xdr:cNvPr id="167939" name="Check Box 3" hidden="1">
              <a:extLst>
                <a:ext uri="{63B3BB69-23CF-44E3-9099-C40C66FF867C}">
                  <a14:compatExt spid="_x0000_s16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</xdr:row>
          <xdr:rowOff>19050</xdr:rowOff>
        </xdr:from>
        <xdr:to>
          <xdr:col>11</xdr:col>
          <xdr:colOff>561975</xdr:colOff>
          <xdr:row>2</xdr:row>
          <xdr:rowOff>180975</xdr:rowOff>
        </xdr:to>
        <xdr:sp macro="" textlink="">
          <xdr:nvSpPr>
            <xdr:cNvPr id="167940" name="Check Box 4" hidden="1">
              <a:extLst>
                <a:ext uri="{63B3BB69-23CF-44E3-9099-C40C66FF867C}">
                  <a14:compatExt spid="_x0000_s16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</xdr:row>
          <xdr:rowOff>19050</xdr:rowOff>
        </xdr:from>
        <xdr:to>
          <xdr:col>13</xdr:col>
          <xdr:colOff>942975</xdr:colOff>
          <xdr:row>2</xdr:row>
          <xdr:rowOff>180975</xdr:rowOff>
        </xdr:to>
        <xdr:sp macro="" textlink="">
          <xdr:nvSpPr>
            <xdr:cNvPr id="167941" name="Check Box 5" hidden="1">
              <a:extLst>
                <a:ext uri="{63B3BB69-23CF-44E3-9099-C40C66FF867C}">
                  <a14:compatExt spid="_x0000_s16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2</xdr:row>
          <xdr:rowOff>19050</xdr:rowOff>
        </xdr:from>
        <xdr:to>
          <xdr:col>15</xdr:col>
          <xdr:colOff>333375</xdr:colOff>
          <xdr:row>2</xdr:row>
          <xdr:rowOff>180975</xdr:rowOff>
        </xdr:to>
        <xdr:sp macro="" textlink="">
          <xdr:nvSpPr>
            <xdr:cNvPr id="167942" name="Check Box 6" hidden="1">
              <a:extLst>
                <a:ext uri="{63B3BB69-23CF-44E3-9099-C40C66FF867C}">
                  <a14:compatExt spid="_x0000_s16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19050</xdr:rowOff>
        </xdr:from>
        <xdr:to>
          <xdr:col>17</xdr:col>
          <xdr:colOff>438150</xdr:colOff>
          <xdr:row>2</xdr:row>
          <xdr:rowOff>180975</xdr:rowOff>
        </xdr:to>
        <xdr:sp macro="" textlink="">
          <xdr:nvSpPr>
            <xdr:cNvPr id="167943" name="Check Box 7" hidden="1">
              <a:extLst>
                <a:ext uri="{63B3BB69-23CF-44E3-9099-C40C66FF867C}">
                  <a14:compatExt spid="_x0000_s16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752475</xdr:colOff>
          <xdr:row>10</xdr:row>
          <xdr:rowOff>19050</xdr:rowOff>
        </xdr:from>
        <xdr:to>
          <xdr:col>18</xdr:col>
          <xdr:colOff>447675</xdr:colOff>
          <xdr:row>10</xdr:row>
          <xdr:rowOff>180975</xdr:rowOff>
        </xdr:to>
        <xdr:sp macro="" textlink="">
          <xdr:nvSpPr>
            <xdr:cNvPr id="167944" name="Check Box 8" hidden="1">
              <a:extLst>
                <a:ext uri="{63B3BB69-23CF-44E3-9099-C40C66FF867C}">
                  <a14:compatExt spid="_x0000_s16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9</xdr:row>
          <xdr:rowOff>228600</xdr:rowOff>
        </xdr:from>
        <xdr:to>
          <xdr:col>15</xdr:col>
          <xdr:colOff>495300</xdr:colOff>
          <xdr:row>11</xdr:row>
          <xdr:rowOff>57150</xdr:rowOff>
        </xdr:to>
        <xdr:sp macro="" textlink="">
          <xdr:nvSpPr>
            <xdr:cNvPr id="167945" name="Option Button 9" hidden="1">
              <a:extLst>
                <a:ext uri="{63B3BB69-23CF-44E3-9099-C40C66FF867C}">
                  <a14:compatExt spid="_x0000_s167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9</xdr:row>
          <xdr:rowOff>228600</xdr:rowOff>
        </xdr:from>
        <xdr:to>
          <xdr:col>16</xdr:col>
          <xdr:colOff>38100</xdr:colOff>
          <xdr:row>11</xdr:row>
          <xdr:rowOff>47625</xdr:rowOff>
        </xdr:to>
        <xdr:sp macro="" textlink="">
          <xdr:nvSpPr>
            <xdr:cNvPr id="167946" name="Option Button 10" hidden="1">
              <a:extLst>
                <a:ext uri="{63B3BB69-23CF-44E3-9099-C40C66FF867C}">
                  <a14:compatExt spid="_x0000_s167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9</xdr:row>
          <xdr:rowOff>219075</xdr:rowOff>
        </xdr:from>
        <xdr:to>
          <xdr:col>17</xdr:col>
          <xdr:colOff>400050</xdr:colOff>
          <xdr:row>11</xdr:row>
          <xdr:rowOff>57150</xdr:rowOff>
        </xdr:to>
        <xdr:sp macro="" textlink="">
          <xdr:nvSpPr>
            <xdr:cNvPr id="167947" name="Option Button 11" hidden="1">
              <a:extLst>
                <a:ext uri="{63B3BB69-23CF-44E3-9099-C40C66FF867C}">
                  <a14:compatExt spid="_x0000_s167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NAND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</xdr:row>
          <xdr:rowOff>19050</xdr:rowOff>
        </xdr:from>
        <xdr:to>
          <xdr:col>6</xdr:col>
          <xdr:colOff>228600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</xdr:row>
          <xdr:rowOff>19050</xdr:rowOff>
        </xdr:from>
        <xdr:to>
          <xdr:col>7</xdr:col>
          <xdr:colOff>447675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保護解除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trlProp" Target="../ctrlProps/ctrlProp32.xml"/><Relationship Id="rId18" Type="http://schemas.openxmlformats.org/officeDocument/2006/relationships/ctrlProp" Target="../ctrlProps/ctrlProp3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17" Type="http://schemas.openxmlformats.org/officeDocument/2006/relationships/ctrlProp" Target="../ctrlProps/ctrlProp3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5" Type="http://schemas.openxmlformats.org/officeDocument/2006/relationships/ctrlProp" Target="../ctrlProps/ctrlProp3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openxmlformats.org/officeDocument/2006/relationships/ctrlProp" Target="../ctrlProps/ctrlProp3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13" Type="http://schemas.openxmlformats.org/officeDocument/2006/relationships/ctrlProp" Target="../ctrlProps/ctrlProp48.xml"/><Relationship Id="rId18" Type="http://schemas.openxmlformats.org/officeDocument/2006/relationships/ctrlProp" Target="../ctrlProps/ctrlProp5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2.xml"/><Relationship Id="rId12" Type="http://schemas.openxmlformats.org/officeDocument/2006/relationships/ctrlProp" Target="../ctrlProps/ctrlProp47.xml"/><Relationship Id="rId17" Type="http://schemas.openxmlformats.org/officeDocument/2006/relationships/ctrlProp" Target="../ctrlProps/ctrlProp52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5" Type="http://schemas.openxmlformats.org/officeDocument/2006/relationships/ctrlProp" Target="../ctrlProps/ctrlProp40.xml"/><Relationship Id="rId15" Type="http://schemas.openxmlformats.org/officeDocument/2006/relationships/ctrlProp" Target="../ctrlProps/ctrlProp50.xml"/><Relationship Id="rId10" Type="http://schemas.openxmlformats.org/officeDocument/2006/relationships/ctrlProp" Target="../ctrlProps/ctrlProp45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Relationship Id="rId1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5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13" Type="http://schemas.openxmlformats.org/officeDocument/2006/relationships/ctrlProp" Target="../ctrlProps/ctrlProp64.xml"/><Relationship Id="rId18" Type="http://schemas.openxmlformats.org/officeDocument/2006/relationships/ctrlProp" Target="../ctrlProps/ctrlProp69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58.xml"/><Relationship Id="rId12" Type="http://schemas.openxmlformats.org/officeDocument/2006/relationships/ctrlProp" Target="../ctrlProps/ctrlProp63.xml"/><Relationship Id="rId17" Type="http://schemas.openxmlformats.org/officeDocument/2006/relationships/ctrlProp" Target="../ctrlProps/ctrlProp68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67.xml"/><Relationship Id="rId20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7.xml"/><Relationship Id="rId11" Type="http://schemas.openxmlformats.org/officeDocument/2006/relationships/ctrlProp" Target="../ctrlProps/ctrlProp62.xml"/><Relationship Id="rId5" Type="http://schemas.openxmlformats.org/officeDocument/2006/relationships/ctrlProp" Target="../ctrlProps/ctrlProp56.xml"/><Relationship Id="rId15" Type="http://schemas.openxmlformats.org/officeDocument/2006/relationships/ctrlProp" Target="../ctrlProps/ctrlProp66.xml"/><Relationship Id="rId10" Type="http://schemas.openxmlformats.org/officeDocument/2006/relationships/ctrlProp" Target="../ctrlProps/ctrlProp61.xml"/><Relationship Id="rId19" Type="http://schemas.openxmlformats.org/officeDocument/2006/relationships/ctrlProp" Target="../ctrlProps/ctrlProp70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Relationship Id="rId14" Type="http://schemas.openxmlformats.org/officeDocument/2006/relationships/ctrlProp" Target="../ctrlProps/ctrlProp6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6.xml"/><Relationship Id="rId13" Type="http://schemas.openxmlformats.org/officeDocument/2006/relationships/ctrlProp" Target="../ctrlProps/ctrlProp8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75.xml"/><Relationship Id="rId12" Type="http://schemas.openxmlformats.org/officeDocument/2006/relationships/ctrlProp" Target="../ctrlProps/ctrlProp8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74.xml"/><Relationship Id="rId11" Type="http://schemas.openxmlformats.org/officeDocument/2006/relationships/ctrlProp" Target="../ctrlProps/ctrlProp79.xml"/><Relationship Id="rId5" Type="http://schemas.openxmlformats.org/officeDocument/2006/relationships/ctrlProp" Target="../ctrlProps/ctrlProp73.xml"/><Relationship Id="rId10" Type="http://schemas.openxmlformats.org/officeDocument/2006/relationships/ctrlProp" Target="../ctrlProps/ctrlProp78.xml"/><Relationship Id="rId4" Type="http://schemas.openxmlformats.org/officeDocument/2006/relationships/ctrlProp" Target="../ctrlProps/ctrlProp72.xml"/><Relationship Id="rId9" Type="http://schemas.openxmlformats.org/officeDocument/2006/relationships/ctrlProp" Target="../ctrlProps/ctrlProp7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Y68"/>
  <sheetViews>
    <sheetView showGridLines="0" showRowColHeaders="0" tabSelected="1" topLeftCell="G1" zoomScaleNormal="100" workbookViewId="0">
      <selection activeCell="I6" sqref="I6:J6"/>
    </sheetView>
  </sheetViews>
  <sheetFormatPr defaultRowHeight="13.5"/>
  <cols>
    <col min="1" max="1" width="4.25" style="364" hidden="1" customWidth="1"/>
    <col min="2" max="2" width="9.25" style="364" hidden="1" customWidth="1"/>
    <col min="3" max="3" width="26.625" style="364" hidden="1" customWidth="1"/>
    <col min="4" max="4" width="38.375" style="364" hidden="1" customWidth="1"/>
    <col min="5" max="5" width="12.25" style="364" hidden="1" customWidth="1"/>
    <col min="6" max="6" width="8.875" style="364" hidden="1" customWidth="1"/>
    <col min="7" max="7" width="4.25" style="39" customWidth="1"/>
    <col min="8" max="8" width="8.75" style="39" customWidth="1"/>
    <col min="9" max="9" width="3.125" style="39" bestFit="1" customWidth="1"/>
    <col min="10" max="10" width="9" style="39" customWidth="1"/>
    <col min="11" max="11" width="3.125" style="39" bestFit="1" customWidth="1"/>
    <col min="12" max="12" width="9" style="39" customWidth="1"/>
    <col min="13" max="13" width="3.125" style="39" bestFit="1" customWidth="1"/>
    <col min="14" max="14" width="3.125" style="39" customWidth="1"/>
    <col min="15" max="15" width="8.375" style="39" customWidth="1"/>
    <col min="16" max="16" width="3.125" style="39" bestFit="1" customWidth="1"/>
    <col min="17" max="17" width="9" style="39" customWidth="1"/>
    <col min="18" max="18" width="3.125" style="39" bestFit="1" customWidth="1"/>
    <col min="19" max="19" width="9" style="39" customWidth="1"/>
    <col min="20" max="20" width="3.125" style="39" bestFit="1" customWidth="1"/>
    <col min="21" max="21" width="9" style="39" customWidth="1"/>
    <col min="22" max="22" width="3.125" style="39" customWidth="1"/>
    <col min="23" max="23" width="9" style="39" customWidth="1"/>
    <col min="24" max="24" width="28.125" style="39" customWidth="1"/>
    <col min="25" max="25" width="3.5" style="39" customWidth="1"/>
    <col min="26" max="16384" width="9" style="39"/>
  </cols>
  <sheetData>
    <row r="1" spans="1:25" s="40" customFormat="1" ht="19.5">
      <c r="A1" s="364"/>
      <c r="B1" s="364"/>
      <c r="C1" s="364"/>
      <c r="D1" s="364"/>
      <c r="E1" s="364"/>
      <c r="F1" s="364"/>
      <c r="G1" s="12" t="s">
        <v>17</v>
      </c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</row>
    <row r="2" spans="1:25" ht="16.5">
      <c r="C2" s="245" t="s">
        <v>690</v>
      </c>
      <c r="D2" s="245" t="s">
        <v>728</v>
      </c>
      <c r="E2" s="245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330"/>
      <c r="W2" s="330"/>
      <c r="X2" s="11"/>
      <c r="Y2" s="11"/>
    </row>
    <row r="3" spans="1:25" ht="16.5">
      <c r="C3" s="245" t="s">
        <v>691</v>
      </c>
      <c r="D3" s="245" t="s">
        <v>729</v>
      </c>
      <c r="E3" s="245" t="str">
        <f>ADDRESS(ROW(A1),COLUMN(A1))&amp;":"&amp;ADDRESS(ROW(F1),COLUMN(F1))</f>
        <v>$A$1:$F$1</v>
      </c>
      <c r="G3" s="11"/>
      <c r="H3" s="13" t="s">
        <v>18</v>
      </c>
      <c r="I3" s="18"/>
      <c r="J3" s="20" t="s">
        <v>19</v>
      </c>
      <c r="K3" s="19"/>
      <c r="L3" s="20" t="s">
        <v>20</v>
      </c>
      <c r="M3" s="19"/>
      <c r="N3" s="490" t="s">
        <v>21</v>
      </c>
      <c r="O3" s="490"/>
      <c r="P3" s="19"/>
      <c r="Q3" s="20" t="s">
        <v>1858</v>
      </c>
      <c r="R3" s="19"/>
      <c r="S3" s="20" t="s">
        <v>23</v>
      </c>
      <c r="T3" s="19"/>
      <c r="U3" s="17"/>
      <c r="V3" s="19"/>
      <c r="W3" s="15"/>
      <c r="X3" s="11"/>
      <c r="Y3" s="11"/>
    </row>
    <row r="4" spans="1:25" ht="16.5">
      <c r="G4" s="11"/>
      <c r="H4" s="13" t="s">
        <v>1886</v>
      </c>
      <c r="I4" s="18"/>
      <c r="J4" s="20" t="s">
        <v>24</v>
      </c>
      <c r="K4" s="19"/>
      <c r="L4" s="21" t="s">
        <v>25</v>
      </c>
      <c r="M4" s="19"/>
      <c r="N4" s="490" t="s">
        <v>26</v>
      </c>
      <c r="O4" s="490"/>
      <c r="P4" s="19"/>
      <c r="Q4" s="20" t="s">
        <v>27</v>
      </c>
      <c r="R4" s="19"/>
      <c r="S4" s="17" t="s">
        <v>28</v>
      </c>
      <c r="T4" s="19"/>
      <c r="U4" s="17" t="s">
        <v>29</v>
      </c>
      <c r="V4" s="19"/>
      <c r="W4" s="15" t="s">
        <v>1888</v>
      </c>
      <c r="X4" s="11"/>
      <c r="Y4" s="11"/>
    </row>
    <row r="5" spans="1:25" ht="16.5">
      <c r="C5" s="365" t="s">
        <v>692</v>
      </c>
      <c r="E5" s="366" t="s">
        <v>968</v>
      </c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330"/>
      <c r="W5" s="330"/>
      <c r="X5" s="11"/>
      <c r="Y5" s="11"/>
    </row>
    <row r="6" spans="1:25" ht="17.25" thickBot="1">
      <c r="B6" s="244" t="s">
        <v>703</v>
      </c>
      <c r="C6" s="244" t="s">
        <v>271</v>
      </c>
      <c r="D6" s="244" t="s">
        <v>694</v>
      </c>
      <c r="E6" s="367" t="s">
        <v>693</v>
      </c>
      <c r="G6" s="11"/>
      <c r="H6" s="13" t="s">
        <v>1900</v>
      </c>
      <c r="I6" s="489"/>
      <c r="J6" s="489"/>
      <c r="K6" s="16" t="s">
        <v>30</v>
      </c>
      <c r="L6" s="489"/>
      <c r="M6" s="489"/>
      <c r="N6" s="11"/>
      <c r="O6" s="11"/>
      <c r="P6" s="13" t="s">
        <v>31</v>
      </c>
      <c r="Q6" s="483"/>
      <c r="R6" s="484"/>
      <c r="S6" s="11"/>
      <c r="T6" s="13" t="s">
        <v>32</v>
      </c>
      <c r="U6" s="478"/>
      <c r="V6" s="479"/>
      <c r="W6" s="477" t="str">
        <f>IF(UNKB0010_H_KOBAIHIN_CD="","",UNKB0010_H_KOBAIHIN_MEI)</f>
        <v/>
      </c>
      <c r="X6" s="477"/>
      <c r="Y6" s="11"/>
    </row>
    <row r="7" spans="1:25" ht="16.5">
      <c r="B7" s="480" t="s">
        <v>704</v>
      </c>
      <c r="C7" s="290" t="s">
        <v>700</v>
      </c>
      <c r="D7" s="368" t="s">
        <v>713</v>
      </c>
      <c r="E7" s="369" t="b">
        <v>1</v>
      </c>
      <c r="G7" s="11"/>
      <c r="H7" s="13" t="s">
        <v>1901</v>
      </c>
      <c r="I7" s="489"/>
      <c r="J7" s="489"/>
      <c r="K7" s="16" t="s">
        <v>30</v>
      </c>
      <c r="L7" s="489"/>
      <c r="M7" s="489"/>
      <c r="N7" s="11"/>
      <c r="O7" s="11"/>
      <c r="P7" s="13" t="s">
        <v>863</v>
      </c>
      <c r="Q7" s="485"/>
      <c r="R7" s="486"/>
      <c r="S7" s="11"/>
      <c r="T7" s="13" t="s">
        <v>34</v>
      </c>
      <c r="U7" s="478"/>
      <c r="V7" s="479"/>
      <c r="W7" s="477" t="str">
        <f>IF(UNKB0010_H_SHIIRE_CD="","",UNKB0010_H_SHIIRE_MEI)</f>
        <v/>
      </c>
      <c r="X7" s="477"/>
      <c r="Y7" s="11"/>
    </row>
    <row r="8" spans="1:25" ht="16.5">
      <c r="B8" s="480"/>
      <c r="C8" s="290" t="s">
        <v>698</v>
      </c>
      <c r="D8" s="368" t="s">
        <v>714</v>
      </c>
      <c r="E8" s="370" t="b">
        <v>1</v>
      </c>
      <c r="G8" s="11"/>
      <c r="H8" s="13" t="s">
        <v>1902</v>
      </c>
      <c r="I8" s="489"/>
      <c r="J8" s="489"/>
      <c r="K8" s="16" t="s">
        <v>30</v>
      </c>
      <c r="L8" s="489"/>
      <c r="M8" s="489"/>
      <c r="N8" s="11"/>
      <c r="O8" s="11"/>
      <c r="P8" s="13" t="s">
        <v>36</v>
      </c>
      <c r="Q8" s="483"/>
      <c r="R8" s="484"/>
      <c r="S8" s="11"/>
      <c r="T8" s="13" t="s">
        <v>37</v>
      </c>
      <c r="U8" s="478"/>
      <c r="V8" s="479"/>
      <c r="W8" s="477" t="str">
        <f>IF(UNKB0010_H_MAKER_CD="","",UNKB0010_H_MAKER_MEI)</f>
        <v/>
      </c>
      <c r="X8" s="477"/>
      <c r="Y8" s="11"/>
    </row>
    <row r="9" spans="1:25" ht="16.5">
      <c r="B9" s="480"/>
      <c r="C9" s="290" t="s">
        <v>699</v>
      </c>
      <c r="D9" s="368" t="s">
        <v>715</v>
      </c>
      <c r="E9" s="370" t="b">
        <v>1</v>
      </c>
      <c r="G9" s="11"/>
      <c r="H9" s="13" t="s">
        <v>1903</v>
      </c>
      <c r="I9" s="489"/>
      <c r="J9" s="489"/>
      <c r="K9" s="16" t="s">
        <v>30</v>
      </c>
      <c r="L9" s="489"/>
      <c r="M9" s="489"/>
      <c r="N9" s="11"/>
      <c r="O9" s="11"/>
      <c r="P9" s="13" t="s">
        <v>1904</v>
      </c>
      <c r="Q9" s="487"/>
      <c r="R9" s="488"/>
      <c r="S9" s="11"/>
      <c r="T9" s="11"/>
      <c r="U9" s="11"/>
      <c r="V9" s="330"/>
      <c r="W9" s="330"/>
      <c r="X9" s="11"/>
      <c r="Y9" s="11"/>
    </row>
    <row r="10" spans="1:25" ht="16.5">
      <c r="B10" s="480"/>
      <c r="C10" s="290" t="s">
        <v>1859</v>
      </c>
      <c r="D10" s="368" t="s">
        <v>716</v>
      </c>
      <c r="E10" s="370" t="b">
        <v>1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X10" s="11"/>
      <c r="Y10" s="11"/>
    </row>
    <row r="11" spans="1:25" ht="16.5">
      <c r="B11" s="480"/>
      <c r="C11" s="290" t="s">
        <v>702</v>
      </c>
      <c r="D11" s="368" t="s">
        <v>717</v>
      </c>
      <c r="E11" s="370" t="b">
        <v>0</v>
      </c>
      <c r="G11" s="11"/>
      <c r="H11" s="13" t="s">
        <v>38</v>
      </c>
      <c r="I11" s="491"/>
      <c r="J11" s="491"/>
      <c r="K11" s="14" t="str">
        <f>IF(UNKB0010_H_FREEWD_KBN=1,"AND",IF(UNKB0010_H_FREEWD_KBN=2,"OR","NAND"))</f>
        <v>AND</v>
      </c>
      <c r="L11" s="491"/>
      <c r="M11" s="491"/>
      <c r="N11" s="14" t="str">
        <f>UNKB0010_H_FREEWD_KBN_DISP</f>
        <v>AND</v>
      </c>
      <c r="O11" s="491"/>
      <c r="P11" s="491"/>
      <c r="Q11" s="11"/>
      <c r="R11" s="11"/>
      <c r="T11" s="11"/>
      <c r="U11" s="129" t="s">
        <v>789</v>
      </c>
      <c r="V11" s="129"/>
      <c r="W11" s="129"/>
      <c r="X11" s="11"/>
      <c r="Y11" s="11"/>
    </row>
    <row r="12" spans="1:25" ht="16.5">
      <c r="B12" s="481" t="s">
        <v>711</v>
      </c>
      <c r="C12" s="290" t="s">
        <v>705</v>
      </c>
      <c r="D12" s="368" t="s">
        <v>718</v>
      </c>
      <c r="E12" s="370" t="b">
        <v>1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330"/>
      <c r="W12" s="330"/>
      <c r="X12" s="11"/>
      <c r="Y12" s="11"/>
    </row>
    <row r="13" spans="1:25" ht="16.5">
      <c r="B13" s="481"/>
      <c r="C13" s="290" t="s">
        <v>706</v>
      </c>
      <c r="D13" s="368" t="s">
        <v>719</v>
      </c>
      <c r="E13" s="370" t="b">
        <v>1</v>
      </c>
    </row>
    <row r="14" spans="1:25" ht="16.5">
      <c r="B14" s="481"/>
      <c r="C14" s="290" t="s">
        <v>707</v>
      </c>
      <c r="D14" s="368" t="s">
        <v>720</v>
      </c>
      <c r="E14" s="370" t="b">
        <v>1</v>
      </c>
    </row>
    <row r="15" spans="1:25" ht="16.5">
      <c r="B15" s="481"/>
      <c r="C15" s="290" t="s">
        <v>708</v>
      </c>
      <c r="D15" s="368" t="s">
        <v>721</v>
      </c>
      <c r="E15" s="370" t="b">
        <v>1</v>
      </c>
    </row>
    <row r="16" spans="1:25" ht="16.5">
      <c r="B16" s="481"/>
      <c r="C16" s="290" t="s">
        <v>709</v>
      </c>
      <c r="D16" s="368" t="s">
        <v>722</v>
      </c>
      <c r="E16" s="370" t="b">
        <v>1</v>
      </c>
    </row>
    <row r="17" spans="2:5" ht="16.5">
      <c r="B17" s="481"/>
      <c r="C17" s="290" t="s">
        <v>710</v>
      </c>
      <c r="D17" s="368" t="s">
        <v>723</v>
      </c>
      <c r="E17" s="370" t="b">
        <v>1</v>
      </c>
    </row>
    <row r="18" spans="2:5" ht="16.5">
      <c r="B18" s="481"/>
      <c r="C18" s="290" t="s">
        <v>1889</v>
      </c>
      <c r="D18" s="368" t="s">
        <v>1890</v>
      </c>
      <c r="E18" s="370" t="b">
        <v>0</v>
      </c>
    </row>
    <row r="19" spans="2:5" ht="16.5">
      <c r="B19" s="381" t="s">
        <v>712</v>
      </c>
      <c r="C19" s="79" t="s">
        <v>787</v>
      </c>
      <c r="D19" s="371" t="s">
        <v>788</v>
      </c>
      <c r="E19" s="329" t="b">
        <v>0</v>
      </c>
    </row>
    <row r="20" spans="2:5" ht="16.5">
      <c r="B20" s="381" t="s">
        <v>712</v>
      </c>
      <c r="C20" s="79" t="s">
        <v>114</v>
      </c>
      <c r="D20" s="371" t="s">
        <v>724</v>
      </c>
      <c r="E20" s="149"/>
    </row>
    <row r="21" spans="2:5" ht="16.5">
      <c r="B21" s="372" t="s">
        <v>712</v>
      </c>
      <c r="C21" s="373" t="s">
        <v>452</v>
      </c>
      <c r="D21" s="374" t="s">
        <v>745</v>
      </c>
      <c r="E21" s="150"/>
    </row>
    <row r="22" spans="2:5" ht="16.5">
      <c r="B22" s="381" t="s">
        <v>712</v>
      </c>
      <c r="C22" s="79" t="s">
        <v>90</v>
      </c>
      <c r="D22" s="371" t="s">
        <v>725</v>
      </c>
      <c r="E22" s="346"/>
    </row>
    <row r="23" spans="2:5" ht="16.5">
      <c r="B23" s="381" t="s">
        <v>712</v>
      </c>
      <c r="C23" s="79" t="s">
        <v>59</v>
      </c>
      <c r="D23" s="371" t="s">
        <v>726</v>
      </c>
      <c r="E23" s="149"/>
    </row>
    <row r="24" spans="2:5" ht="16.5">
      <c r="B24" s="381" t="s">
        <v>712</v>
      </c>
      <c r="C24" s="79" t="s">
        <v>61</v>
      </c>
      <c r="D24" s="371" t="s">
        <v>727</v>
      </c>
      <c r="E24" s="151"/>
    </row>
    <row r="25" spans="2:5" ht="17.25" thickBot="1">
      <c r="B25" s="381" t="s">
        <v>712</v>
      </c>
      <c r="C25" s="79" t="s">
        <v>695</v>
      </c>
      <c r="D25" s="371" t="s">
        <v>697</v>
      </c>
      <c r="E25" s="152">
        <v>1</v>
      </c>
    </row>
    <row r="28" spans="2:5" ht="16.5">
      <c r="C28" s="482" t="s">
        <v>730</v>
      </c>
      <c r="D28" s="482"/>
    </row>
    <row r="29" spans="2:5" ht="16.5">
      <c r="C29" s="77" t="s">
        <v>686</v>
      </c>
      <c r="D29" s="77" t="s">
        <v>688</v>
      </c>
      <c r="E29" s="77" t="s">
        <v>687</v>
      </c>
    </row>
    <row r="30" spans="2:5" ht="16.5">
      <c r="C30" s="290" t="s">
        <v>700</v>
      </c>
      <c r="D30" s="290" t="s">
        <v>748</v>
      </c>
      <c r="E30" s="381" t="b">
        <v>1</v>
      </c>
    </row>
    <row r="31" spans="2:5" ht="16.5">
      <c r="C31" s="290" t="s">
        <v>698</v>
      </c>
      <c r="D31" s="290" t="s">
        <v>786</v>
      </c>
      <c r="E31" s="381" t="b">
        <v>1</v>
      </c>
    </row>
    <row r="32" spans="2:5" ht="16.5">
      <c r="C32" s="290" t="s">
        <v>699</v>
      </c>
      <c r="D32" s="290" t="s">
        <v>749</v>
      </c>
      <c r="E32" s="381" t="b">
        <v>1</v>
      </c>
    </row>
    <row r="33" spans="3:5" ht="16.5">
      <c r="C33" s="290" t="s">
        <v>701</v>
      </c>
      <c r="D33" s="290" t="s">
        <v>750</v>
      </c>
      <c r="E33" s="381" t="b">
        <v>1</v>
      </c>
    </row>
    <row r="34" spans="3:5" ht="16.5">
      <c r="C34" s="290" t="s">
        <v>702</v>
      </c>
      <c r="D34" s="290" t="s">
        <v>751</v>
      </c>
      <c r="E34" s="381" t="b">
        <v>0</v>
      </c>
    </row>
    <row r="35" spans="3:5" ht="16.5">
      <c r="C35" s="290" t="s">
        <v>705</v>
      </c>
      <c r="D35" s="290" t="s">
        <v>752</v>
      </c>
      <c r="E35" s="381" t="b">
        <v>1</v>
      </c>
    </row>
    <row r="36" spans="3:5" ht="16.5">
      <c r="C36" s="290" t="s">
        <v>706</v>
      </c>
      <c r="D36" s="290" t="s">
        <v>753</v>
      </c>
      <c r="E36" s="381" t="b">
        <v>1</v>
      </c>
    </row>
    <row r="37" spans="3:5" ht="16.5">
      <c r="C37" s="290" t="s">
        <v>707</v>
      </c>
      <c r="D37" s="290" t="s">
        <v>754</v>
      </c>
      <c r="E37" s="381" t="b">
        <v>1</v>
      </c>
    </row>
    <row r="38" spans="3:5" ht="16.5">
      <c r="C38" s="290" t="s">
        <v>708</v>
      </c>
      <c r="D38" s="290" t="s">
        <v>755</v>
      </c>
      <c r="E38" s="381" t="b">
        <v>1</v>
      </c>
    </row>
    <row r="39" spans="3:5" ht="16.5">
      <c r="C39" s="290" t="s">
        <v>709</v>
      </c>
      <c r="D39" s="290" t="s">
        <v>756</v>
      </c>
      <c r="E39" s="381" t="b">
        <v>1</v>
      </c>
    </row>
    <row r="40" spans="3:5" ht="16.5">
      <c r="C40" s="290" t="s">
        <v>710</v>
      </c>
      <c r="D40" s="290" t="s">
        <v>757</v>
      </c>
      <c r="E40" s="381" t="b">
        <v>1</v>
      </c>
    </row>
    <row r="41" spans="3:5" ht="16.5">
      <c r="C41" s="290" t="s">
        <v>1889</v>
      </c>
      <c r="D41" s="290" t="s">
        <v>1891</v>
      </c>
      <c r="E41" s="381" t="b">
        <v>0</v>
      </c>
    </row>
    <row r="42" spans="3:5" ht="16.5">
      <c r="C42" s="79" t="s">
        <v>787</v>
      </c>
      <c r="D42" s="79" t="s">
        <v>790</v>
      </c>
      <c r="E42" s="412" t="b">
        <v>0</v>
      </c>
    </row>
    <row r="43" spans="3:5" ht="16.5">
      <c r="C43" s="79" t="s">
        <v>732</v>
      </c>
      <c r="D43" s="79" t="s">
        <v>758</v>
      </c>
      <c r="E43" s="384"/>
    </row>
    <row r="44" spans="3:5" ht="16.5">
      <c r="C44" s="79" t="s">
        <v>734</v>
      </c>
      <c r="D44" s="79" t="s">
        <v>759</v>
      </c>
      <c r="E44" s="384"/>
    </row>
    <row r="45" spans="3:5" ht="16.5">
      <c r="C45" s="79" t="s">
        <v>735</v>
      </c>
      <c r="D45" s="79" t="s">
        <v>760</v>
      </c>
      <c r="E45" s="384"/>
    </row>
    <row r="46" spans="3:5" ht="16.5">
      <c r="C46" s="79" t="s">
        <v>736</v>
      </c>
      <c r="D46" s="79" t="s">
        <v>761</v>
      </c>
      <c r="E46" s="384"/>
    </row>
    <row r="47" spans="3:5" ht="16.5">
      <c r="C47" s="79" t="s">
        <v>737</v>
      </c>
      <c r="D47" s="79" t="s">
        <v>762</v>
      </c>
      <c r="E47" s="384"/>
    </row>
    <row r="48" spans="3:5" ht="16.5">
      <c r="C48" s="79" t="s">
        <v>738</v>
      </c>
      <c r="D48" s="79" t="s">
        <v>763</v>
      </c>
      <c r="E48" s="384"/>
    </row>
    <row r="49" spans="3:5" ht="16.5">
      <c r="C49" s="79" t="s">
        <v>739</v>
      </c>
      <c r="D49" s="79" t="s">
        <v>764</v>
      </c>
      <c r="E49" s="384"/>
    </row>
    <row r="50" spans="3:5" ht="16.5">
      <c r="C50" s="79" t="s">
        <v>740</v>
      </c>
      <c r="D50" s="79" t="s">
        <v>765</v>
      </c>
      <c r="E50" s="384"/>
    </row>
    <row r="51" spans="3:5" ht="16.5">
      <c r="C51" s="79" t="s">
        <v>741</v>
      </c>
      <c r="D51" s="79" t="s">
        <v>766</v>
      </c>
      <c r="E51" s="381"/>
    </row>
    <row r="52" spans="3:5" ht="16.5">
      <c r="C52" s="79" t="s">
        <v>114</v>
      </c>
      <c r="D52" s="79" t="s">
        <v>767</v>
      </c>
      <c r="E52" s="381"/>
    </row>
    <row r="53" spans="3:5" ht="16.5">
      <c r="C53" s="79" t="s">
        <v>742</v>
      </c>
      <c r="D53" s="79" t="s">
        <v>768</v>
      </c>
      <c r="E53" s="381"/>
    </row>
    <row r="54" spans="3:5" ht="16.5">
      <c r="C54" s="79" t="s">
        <v>743</v>
      </c>
      <c r="D54" s="79" t="s">
        <v>696</v>
      </c>
      <c r="E54" s="381"/>
    </row>
    <row r="55" spans="3:5" ht="16.5">
      <c r="C55" s="79" t="s">
        <v>744</v>
      </c>
      <c r="D55" s="79" t="s">
        <v>769</v>
      </c>
      <c r="E55" s="381"/>
    </row>
    <row r="56" spans="3:5" ht="16.5">
      <c r="C56" s="373" t="s">
        <v>746</v>
      </c>
      <c r="D56" s="373" t="s">
        <v>770</v>
      </c>
      <c r="E56" s="372"/>
    </row>
    <row r="57" spans="3:5" ht="16.5">
      <c r="C57" s="79" t="s">
        <v>747</v>
      </c>
      <c r="D57" s="79" t="s">
        <v>771</v>
      </c>
      <c r="E57" s="381"/>
    </row>
    <row r="58" spans="3:5" ht="16.5">
      <c r="C58" s="79" t="s">
        <v>90</v>
      </c>
      <c r="D58" s="79" t="s">
        <v>772</v>
      </c>
      <c r="E58" s="381"/>
    </row>
    <row r="59" spans="3:5" ht="16.5">
      <c r="C59" s="79" t="s">
        <v>58</v>
      </c>
      <c r="D59" s="79" t="s">
        <v>773</v>
      </c>
      <c r="E59" s="381"/>
    </row>
    <row r="60" spans="3:5" ht="16.5">
      <c r="C60" s="79" t="s">
        <v>59</v>
      </c>
      <c r="D60" s="79" t="s">
        <v>774</v>
      </c>
      <c r="E60" s="381"/>
    </row>
    <row r="61" spans="3:5" ht="16.5">
      <c r="C61" s="79" t="s">
        <v>60</v>
      </c>
      <c r="D61" s="79" t="s">
        <v>775</v>
      </c>
      <c r="E61" s="381"/>
    </row>
    <row r="62" spans="3:5" ht="16.5">
      <c r="C62" s="79" t="s">
        <v>61</v>
      </c>
      <c r="D62" s="79" t="s">
        <v>776</v>
      </c>
      <c r="E62" s="381"/>
    </row>
    <row r="63" spans="3:5" ht="16.5">
      <c r="C63" s="245" t="s">
        <v>777</v>
      </c>
      <c r="D63" s="245" t="s">
        <v>779</v>
      </c>
      <c r="E63" s="380"/>
    </row>
    <row r="64" spans="3:5" ht="16.5">
      <c r="C64" s="245" t="s">
        <v>778</v>
      </c>
      <c r="D64" s="245" t="s">
        <v>780</v>
      </c>
      <c r="E64" s="380"/>
    </row>
    <row r="65" spans="3:5" ht="16.5">
      <c r="C65" s="245" t="s">
        <v>689</v>
      </c>
      <c r="D65" s="245" t="s">
        <v>781</v>
      </c>
      <c r="E65" s="380"/>
    </row>
    <row r="66" spans="3:5" ht="16.5">
      <c r="C66" s="79" t="s">
        <v>695</v>
      </c>
      <c r="D66" s="79" t="s">
        <v>782</v>
      </c>
      <c r="E66" s="385">
        <v>1</v>
      </c>
    </row>
    <row r="68" spans="3:5" ht="16.5">
      <c r="C68" s="30"/>
      <c r="D68" s="30"/>
      <c r="E68" s="30"/>
    </row>
  </sheetData>
  <sheetProtection sheet="1" objects="1" scenarios="1" selectLockedCells="1"/>
  <mergeCells count="26">
    <mergeCell ref="N4:O4"/>
    <mergeCell ref="N3:O3"/>
    <mergeCell ref="I6:J6"/>
    <mergeCell ref="L6:M6"/>
    <mergeCell ref="I11:J11"/>
    <mergeCell ref="L11:M11"/>
    <mergeCell ref="O11:P11"/>
    <mergeCell ref="B7:B11"/>
    <mergeCell ref="B12:B18"/>
    <mergeCell ref="C28:D28"/>
    <mergeCell ref="Q6:R6"/>
    <mergeCell ref="Q8:R8"/>
    <mergeCell ref="Q7:R7"/>
    <mergeCell ref="Q9:R9"/>
    <mergeCell ref="I7:J7"/>
    <mergeCell ref="L7:M7"/>
    <mergeCell ref="I8:J8"/>
    <mergeCell ref="L8:M8"/>
    <mergeCell ref="I9:J9"/>
    <mergeCell ref="L9:M9"/>
    <mergeCell ref="W8:X8"/>
    <mergeCell ref="W7:X7"/>
    <mergeCell ref="W6:X6"/>
    <mergeCell ref="U8:V8"/>
    <mergeCell ref="U7:V7"/>
    <mergeCell ref="U6:V6"/>
  </mergeCells>
  <phoneticPr fontId="1"/>
  <dataValidations count="3">
    <dataValidation type="custom" allowBlank="1" showInputMessage="1" showErrorMessage="1" sqref="Q8:R8 Q6:R6">
      <formula1>AND(LEN(Q6)=LENB(Q6),LEN(Q6)=10)</formula1>
    </dataValidation>
    <dataValidation type="date" allowBlank="1" showInputMessage="1" showErrorMessage="1" sqref="I6:J6 I7:J7 I8:J8 I9:J9 L9:M9 L8:M8 L7:M7 L6:M6">
      <formula1>36526</formula1>
      <formula2>73415</formula2>
    </dataValidation>
    <dataValidation type="custom" allowBlank="1" showInputMessage="1" showErrorMessage="1" sqref="Q9:R9">
      <formula1>AND(LEN(Q9)=LENB(Q9),LEN(Q9)&lt;=10)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NKB0010_SearchDataCopy">
                <anchor moveWithCells="1" sizeWithCells="1">
                  <from>
                    <xdr:col>3</xdr:col>
                    <xdr:colOff>676275</xdr:colOff>
                    <xdr:row>26</xdr:row>
                    <xdr:rowOff>47625</xdr:rowOff>
                  </from>
                  <to>
                    <xdr:col>3</xdr:col>
                    <xdr:colOff>1619250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5" name="Option Button 8">
              <controlPr defaultSize="0" autoFill="0" autoLine="0" autoPict="0">
                <anchor moveWithCells="1">
                  <from>
                    <xdr:col>16</xdr:col>
                    <xdr:colOff>104775</xdr:colOff>
                    <xdr:row>9</xdr:row>
                    <xdr:rowOff>180975</xdr:rowOff>
                  </from>
                  <to>
                    <xdr:col>16</xdr:col>
                    <xdr:colOff>619125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6" name="Option Button 9">
              <controlPr defaultSize="0" autoFill="0" autoLine="0" autoPict="0">
                <anchor moveWithCells="1">
                  <from>
                    <xdr:col>16</xdr:col>
                    <xdr:colOff>600075</xdr:colOff>
                    <xdr:row>9</xdr:row>
                    <xdr:rowOff>180975</xdr:rowOff>
                  </from>
                  <to>
                    <xdr:col>18</xdr:col>
                    <xdr:colOff>104775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" name="Option Button 10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180975</xdr:rowOff>
                  </from>
                  <to>
                    <xdr:col>19</xdr:col>
                    <xdr:colOff>9525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8" name="Check Box 11">
              <controlPr defaultSize="0" autoFill="0" autoLine="0" autoPict="0">
                <anchor moveWithCells="1">
                  <from>
                    <xdr:col>8</xdr:col>
                    <xdr:colOff>28575</xdr:colOff>
                    <xdr:row>2</xdr:row>
                    <xdr:rowOff>28575</xdr:rowOff>
                  </from>
                  <to>
                    <xdr:col>9</xdr:col>
                    <xdr:colOff>428625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9" name="Check Box 12">
              <controlPr defaultSize="0" autoFill="0" autoLine="0" autoPict="0">
                <anchor moveWithCells="1">
                  <from>
                    <xdr:col>10</xdr:col>
                    <xdr:colOff>28575</xdr:colOff>
                    <xdr:row>2</xdr:row>
                    <xdr:rowOff>28575</xdr:rowOff>
                  </from>
                  <to>
                    <xdr:col>11</xdr:col>
                    <xdr:colOff>428625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0" name="Check Box 13">
              <controlPr defaultSize="0" autoFill="0" autoLine="0" autoPict="0">
                <anchor moveWithCells="1">
                  <from>
                    <xdr:col>12</xdr:col>
                    <xdr:colOff>28575</xdr:colOff>
                    <xdr:row>2</xdr:row>
                    <xdr:rowOff>28575</xdr:rowOff>
                  </from>
                  <to>
                    <xdr:col>14</xdr:col>
                    <xdr:colOff>190500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1" name="Check Box 14">
              <controlPr defaultSize="0" autoFill="0" autoLine="0" autoPict="0">
                <anchor moveWithCells="1">
                  <from>
                    <xdr:col>15</xdr:col>
                    <xdr:colOff>28575</xdr:colOff>
                    <xdr:row>2</xdr:row>
                    <xdr:rowOff>28575</xdr:rowOff>
                  </from>
                  <to>
                    <xdr:col>16</xdr:col>
                    <xdr:colOff>428625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2" name="Check Box 15">
              <controlPr defaultSize="0" autoFill="0" autoLine="0" autoPict="0">
                <anchor moveWithCells="1">
                  <from>
                    <xdr:col>17</xdr:col>
                    <xdr:colOff>28575</xdr:colOff>
                    <xdr:row>2</xdr:row>
                    <xdr:rowOff>28575</xdr:rowOff>
                  </from>
                  <to>
                    <xdr:col>18</xdr:col>
                    <xdr:colOff>428625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3" name="Check Box 16">
              <controlPr defaultSize="0" autoFill="0" autoLine="0" autoPict="0">
                <anchor moveWithCells="1">
                  <from>
                    <xdr:col>8</xdr:col>
                    <xdr:colOff>28575</xdr:colOff>
                    <xdr:row>3</xdr:row>
                    <xdr:rowOff>19050</xdr:rowOff>
                  </from>
                  <to>
                    <xdr:col>9</xdr:col>
                    <xdr:colOff>428625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14" name="Check Box 17">
              <controlPr defaultSize="0" autoFill="0" autoLine="0" autoPict="0">
                <anchor moveWithCells="1">
                  <from>
                    <xdr:col>10</xdr:col>
                    <xdr:colOff>28575</xdr:colOff>
                    <xdr:row>3</xdr:row>
                    <xdr:rowOff>19050</xdr:rowOff>
                  </from>
                  <to>
                    <xdr:col>11</xdr:col>
                    <xdr:colOff>428625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15" name="Check Box 18">
              <controlPr defaultSize="0" autoFill="0" autoLine="0" autoPict="0">
                <anchor moveWithCells="1">
                  <from>
                    <xdr:col>12</xdr:col>
                    <xdr:colOff>28575</xdr:colOff>
                    <xdr:row>3</xdr:row>
                    <xdr:rowOff>19050</xdr:rowOff>
                  </from>
                  <to>
                    <xdr:col>14</xdr:col>
                    <xdr:colOff>190500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16" name="Check Box 19">
              <controlPr defaultSize="0" autoFill="0" autoLine="0" autoPict="0">
                <anchor moveWithCells="1">
                  <from>
                    <xdr:col>15</xdr:col>
                    <xdr:colOff>28575</xdr:colOff>
                    <xdr:row>3</xdr:row>
                    <xdr:rowOff>19050</xdr:rowOff>
                  </from>
                  <to>
                    <xdr:col>16</xdr:col>
                    <xdr:colOff>428625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17" name="Check Box 20">
              <controlPr defaultSize="0" autoFill="0" autoLine="0" autoPict="0">
                <anchor moveWithCells="1">
                  <from>
                    <xdr:col>17</xdr:col>
                    <xdr:colOff>28575</xdr:colOff>
                    <xdr:row>3</xdr:row>
                    <xdr:rowOff>19050</xdr:rowOff>
                  </from>
                  <to>
                    <xdr:col>18</xdr:col>
                    <xdr:colOff>428625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18" name="Check Box 21">
              <controlPr defaultSize="0" autoFill="0" autoLine="0" autoPict="0">
                <anchor moveWithCells="1">
                  <from>
                    <xdr:col>19</xdr:col>
                    <xdr:colOff>28575</xdr:colOff>
                    <xdr:row>3</xdr:row>
                    <xdr:rowOff>19050</xdr:rowOff>
                  </from>
                  <to>
                    <xdr:col>20</xdr:col>
                    <xdr:colOff>428625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19" name="Check Box 22">
              <controlPr defaultSize="0" autoFill="0" autoLine="0" autoPict="0">
                <anchor moveWithCells="1">
                  <from>
                    <xdr:col>19</xdr:col>
                    <xdr:colOff>57150</xdr:colOff>
                    <xdr:row>10</xdr:row>
                    <xdr:rowOff>19050</xdr:rowOff>
                  </from>
                  <to>
                    <xdr:col>20</xdr:col>
                    <xdr:colOff>457200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20" name="Check Box 23">
              <controlPr defaultSize="0" autoFill="0" autoLine="0" autoPict="0">
                <anchor moveWithCells="1">
                  <from>
                    <xdr:col>21</xdr:col>
                    <xdr:colOff>28575</xdr:colOff>
                    <xdr:row>3</xdr:row>
                    <xdr:rowOff>19050</xdr:rowOff>
                  </from>
                  <to>
                    <xdr:col>22</xdr:col>
                    <xdr:colOff>552450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AO39"/>
  <sheetViews>
    <sheetView showGridLines="0" showRowColHeaders="0" topLeftCell="F15" zoomScaleNormal="100" workbookViewId="0">
      <selection sqref="A1:E1 AJ1:AO1"/>
    </sheetView>
  </sheetViews>
  <sheetFormatPr defaultRowHeight="16.5"/>
  <cols>
    <col min="1" max="1" width="9" style="38" hidden="1" customWidth="1"/>
    <col min="2" max="2" width="13.25" style="38" hidden="1" customWidth="1"/>
    <col min="3" max="3" width="30.625" style="38" hidden="1" customWidth="1"/>
    <col min="4" max="4" width="13.375" style="38" hidden="1" customWidth="1"/>
    <col min="5" max="5" width="9" style="38" hidden="1" customWidth="1"/>
    <col min="6" max="6" width="3.375" style="11" customWidth="1"/>
    <col min="7" max="7" width="5" style="11" bestFit="1" customWidth="1"/>
    <col min="8" max="8" width="11.875" style="11" bestFit="1" customWidth="1"/>
    <col min="9" max="9" width="31.875" style="439" customWidth="1"/>
    <col min="10" max="10" width="10" style="11" bestFit="1" customWidth="1"/>
    <col min="11" max="11" width="12.25" style="11" customWidth="1"/>
    <col min="12" max="12" width="21.875" style="11" bestFit="1" customWidth="1"/>
    <col min="13" max="13" width="11.75" style="11" customWidth="1"/>
    <col min="14" max="14" width="11" style="11" customWidth="1"/>
    <col min="15" max="15" width="8.25" style="11" bestFit="1" customWidth="1"/>
    <col min="16" max="16" width="6.375" style="11" customWidth="1"/>
    <col min="17" max="17" width="7.125" style="11" customWidth="1"/>
    <col min="18" max="18" width="7.5" style="11" customWidth="1"/>
    <col min="19" max="19" width="8.125" style="11" customWidth="1"/>
    <col min="20" max="21" width="9" style="11" customWidth="1"/>
    <col min="22" max="22" width="10" style="11" bestFit="1" customWidth="1"/>
    <col min="23" max="24" width="10" style="11" customWidth="1"/>
    <col min="25" max="25" width="8.5" style="11" bestFit="1" customWidth="1"/>
    <col min="26" max="26" width="9" style="11" bestFit="1" customWidth="1"/>
    <col min="27" max="27" width="14.125" style="11" customWidth="1"/>
    <col min="28" max="28" width="10.125" style="11" customWidth="1"/>
    <col min="29" max="29" width="14.5" style="11" customWidth="1"/>
    <col min="30" max="31" width="10.375" style="11" customWidth="1"/>
    <col min="32" max="32" width="17.125" style="11" customWidth="1"/>
    <col min="33" max="33" width="12.25" style="11" customWidth="1"/>
    <col min="34" max="34" width="12.375" style="11" bestFit="1" customWidth="1"/>
    <col min="35" max="35" width="4.75" style="11" bestFit="1" customWidth="1"/>
    <col min="36" max="41" width="4.75" style="11" hidden="1" customWidth="1"/>
    <col min="42" max="42" width="4" style="11" customWidth="1"/>
    <col min="43" max="16384" width="9" style="11"/>
  </cols>
  <sheetData>
    <row r="1" spans="2:41" ht="1.5" hidden="1" customHeight="1"/>
    <row r="2" spans="2:41" ht="1.5" hidden="1" customHeight="1"/>
    <row r="3" spans="2:41" ht="1.5" hidden="1" customHeight="1"/>
    <row r="4" spans="2:41" ht="1.5" hidden="1" customHeight="1"/>
    <row r="5" spans="2:41" ht="1.5" hidden="1" customHeight="1"/>
    <row r="6" spans="2:41" ht="1.5" hidden="1" customHeight="1"/>
    <row r="7" spans="2:41" ht="1.5" hidden="1" customHeight="1"/>
    <row r="8" spans="2:41" ht="1.5" hidden="1" customHeight="1"/>
    <row r="9" spans="2:41" ht="1.5" hidden="1" customHeight="1"/>
    <row r="10" spans="2:41" ht="1.5" hidden="1" customHeight="1"/>
    <row r="11" spans="2:41" ht="1.5" hidden="1" customHeight="1"/>
    <row r="12" spans="2:41" ht="1.5" hidden="1" customHeight="1"/>
    <row r="13" spans="2:41" ht="1.5" hidden="1" customHeight="1"/>
    <row r="14" spans="2:41" ht="11.25" hidden="1" customHeight="1"/>
    <row r="15" spans="2:41">
      <c r="F15" s="11" t="str">
        <f>"("&amp;UNKB0010_B_PAGE_NO&amp;"/"&amp;UNKB0010_B_ALL_PAGE_SU&amp;")"</f>
        <v>(1/1)</v>
      </c>
      <c r="G15" s="22"/>
    </row>
    <row r="16" spans="2:41">
      <c r="B16" s="265" t="s">
        <v>690</v>
      </c>
      <c r="C16" s="265" t="s">
        <v>792</v>
      </c>
      <c r="D16" s="265" t="str">
        <f>ROW(A1)&amp;":"&amp;ROW(A14)</f>
        <v>1:14</v>
      </c>
      <c r="F16" s="33"/>
      <c r="G16" s="34" t="s">
        <v>39</v>
      </c>
      <c r="H16" s="34" t="s">
        <v>45</v>
      </c>
      <c r="I16" s="440" t="s">
        <v>46</v>
      </c>
      <c r="J16" s="34" t="s">
        <v>40</v>
      </c>
      <c r="K16" s="34" t="s">
        <v>43</v>
      </c>
      <c r="L16" s="34" t="s">
        <v>812</v>
      </c>
      <c r="M16" s="34" t="s">
        <v>41</v>
      </c>
      <c r="N16" s="34" t="s">
        <v>42</v>
      </c>
      <c r="O16" s="34" t="s">
        <v>47</v>
      </c>
      <c r="P16" s="34" t="s">
        <v>48</v>
      </c>
      <c r="Q16" s="34" t="s">
        <v>51</v>
      </c>
      <c r="R16" s="34" t="s">
        <v>50</v>
      </c>
      <c r="S16" s="34" t="s">
        <v>49</v>
      </c>
      <c r="T16" s="34" t="s">
        <v>52</v>
      </c>
      <c r="U16" s="34" t="s">
        <v>53</v>
      </c>
      <c r="V16" s="34" t="s">
        <v>54</v>
      </c>
      <c r="W16" s="34" t="s">
        <v>55</v>
      </c>
      <c r="X16" s="34" t="s">
        <v>56</v>
      </c>
      <c r="Y16" s="34" t="s">
        <v>57</v>
      </c>
      <c r="Z16" s="34" t="s">
        <v>58</v>
      </c>
      <c r="AA16" s="34" t="s">
        <v>59</v>
      </c>
      <c r="AB16" s="34" t="s">
        <v>60</v>
      </c>
      <c r="AC16" s="34" t="s">
        <v>61</v>
      </c>
      <c r="AD16" s="34" t="s">
        <v>62</v>
      </c>
      <c r="AE16" s="34" t="s">
        <v>63</v>
      </c>
      <c r="AF16" s="34" t="s">
        <v>64</v>
      </c>
      <c r="AG16" s="34" t="s">
        <v>65</v>
      </c>
      <c r="AH16" s="34" t="s">
        <v>66</v>
      </c>
      <c r="AI16" s="34" t="s">
        <v>67</v>
      </c>
      <c r="AJ16" s="23" t="s">
        <v>806</v>
      </c>
      <c r="AK16" s="23" t="s">
        <v>807</v>
      </c>
      <c r="AL16" s="23" t="s">
        <v>808</v>
      </c>
      <c r="AM16" s="23" t="s">
        <v>809</v>
      </c>
      <c r="AN16" s="23" t="s">
        <v>810</v>
      </c>
      <c r="AO16" s="23" t="s">
        <v>811</v>
      </c>
    </row>
    <row r="17" spans="2:7">
      <c r="B17" s="265" t="s">
        <v>691</v>
      </c>
      <c r="C17" s="265" t="s">
        <v>793</v>
      </c>
      <c r="D17" s="265" t="str">
        <f>ADDRESS(ROW(A1),COLUMN(A1))&amp;":"&amp;ADDRESS(ROW(E1),COLUMN(E1))&amp;","&amp;ADDRESS(ROW(AJ1),COLUMN(AJ1))&amp;":"&amp;ADDRESS(ROW(AO1),COLUMN(AO1))</f>
        <v>$A$1:$E$1,$AJ$1:$AO$1</v>
      </c>
      <c r="G17" s="161"/>
    </row>
    <row r="18" spans="2:7">
      <c r="B18" s="265" t="s">
        <v>157</v>
      </c>
      <c r="C18" s="265" t="s">
        <v>868</v>
      </c>
      <c r="D18" s="265" t="str">
        <f>ADDRESS(ROW(UNKB0010_B_ALERT)+1,COLUMN(UNKB0010_B_ALERT))</f>
        <v>$J$17</v>
      </c>
      <c r="G18" s="161"/>
    </row>
    <row r="19" spans="2:7">
      <c r="G19" s="161"/>
    </row>
    <row r="20" spans="2:7">
      <c r="B20" s="265" t="s">
        <v>813</v>
      </c>
      <c r="C20" s="265" t="s">
        <v>825</v>
      </c>
      <c r="D20" s="265"/>
      <c r="G20" s="161"/>
    </row>
    <row r="21" spans="2:7">
      <c r="B21" s="265" t="s">
        <v>814</v>
      </c>
      <c r="C21" s="265" t="s">
        <v>826</v>
      </c>
      <c r="D21" s="265">
        <v>1</v>
      </c>
      <c r="G21" s="161"/>
    </row>
    <row r="22" spans="2:7">
      <c r="B22" s="265" t="s">
        <v>815</v>
      </c>
      <c r="C22" s="265" t="s">
        <v>833</v>
      </c>
      <c r="D22" s="265">
        <f>IF(OR(UNKB0010_B_ALL_KENSU=0,UNKB0010_B_HYOJI_GYO_SU=0),1,ROUNDUP(UNKB0010_B_ALL_KENSU/UNKB0010_B_HYOJI_GYO_SU,0))</f>
        <v>1</v>
      </c>
      <c r="G22" s="161"/>
    </row>
    <row r="23" spans="2:7">
      <c r="B23" s="265" t="s">
        <v>816</v>
      </c>
      <c r="C23" s="265" t="s">
        <v>834</v>
      </c>
      <c r="D23" s="265">
        <v>10</v>
      </c>
      <c r="G23" s="161"/>
    </row>
    <row r="24" spans="2:7">
      <c r="B24" s="265" t="s">
        <v>817</v>
      </c>
      <c r="C24" s="265" t="s">
        <v>835</v>
      </c>
      <c r="D24" s="265">
        <v>50</v>
      </c>
      <c r="G24" s="161"/>
    </row>
    <row r="25" spans="2:7">
      <c r="B25" s="375"/>
      <c r="C25" s="376"/>
      <c r="D25" s="375"/>
      <c r="G25" s="161"/>
    </row>
    <row r="26" spans="2:7">
      <c r="B26" s="265" t="s">
        <v>158</v>
      </c>
      <c r="C26" s="265" t="s">
        <v>827</v>
      </c>
      <c r="D26" s="265" t="str">
        <f>ADDRESS(ROW(UNKB0010_B_SENTAKU)+1,COLUMN(UNKB0010_B_SENTAKU))</f>
        <v>$G$17</v>
      </c>
      <c r="G26" s="161"/>
    </row>
    <row r="27" spans="2:7">
      <c r="B27" s="265" t="s">
        <v>818</v>
      </c>
      <c r="C27" s="265" t="s">
        <v>828</v>
      </c>
      <c r="D27" s="265" t="str">
        <f>ADDRESS(ROW(UNKB0010_B_SENTAKU)+1+UNKB0010_B_HYOJI_KENSU-1,COLUMN(UNKB0010_B_SENTAKU)+COLUMNS(UNKB0010_IF_LIST_COPY_MOTO)-1)</f>
        <v>$AO$26</v>
      </c>
    </row>
    <row r="28" spans="2:7">
      <c r="B28" s="265" t="s">
        <v>829</v>
      </c>
      <c r="C28" s="265" t="s">
        <v>830</v>
      </c>
      <c r="D28" s="265" t="b">
        <f>IF(UNKB0010_B_HYOJI_KENSU&lt;&gt;0,TRUE,FALSE)</f>
        <v>1</v>
      </c>
    </row>
    <row r="29" spans="2:7">
      <c r="B29" s="265" t="s">
        <v>819</v>
      </c>
      <c r="C29" s="265" t="s">
        <v>831</v>
      </c>
      <c r="D29" s="265" t="str">
        <f>IF(UNKB0010_B_HYOJI_KENSU=0,"",UNKB0010_B_LIST_START&amp;":"&amp;
ADDRESS(ROW(UNKB0010_B_SENTAKU)+1+UNKB0010_B_HYOJI_KENSU-1,COLUMN(UNKB0010_B_SENTAKU)+COLUMNS(UNKB0010_IF_LIST_COPY_MOTO)-1))</f>
        <v>$G$17:$AO$26</v>
      </c>
    </row>
    <row r="30" spans="2:7">
      <c r="B30" s="265" t="s">
        <v>820</v>
      </c>
      <c r="C30" s="265" t="s">
        <v>832</v>
      </c>
      <c r="D30" s="265" t="str">
        <f>ADDRESS(ROW(UNKB0010_B_SENTAKU)+1,COLUMN(UNKB0010_B_SENTAKU))&amp;":"&amp;
ADDRESS(ROW(UNKB0010_B_SENTAKU)+1+UNKB0010_B_HYOJI_GYO_SU-1,COLUMN(UNKB0010_B_SENTAKU)+COLUMNS(UNKB0010_IF_LIST_COPY_MOTO)-1)</f>
        <v>$G$17:$AO$66</v>
      </c>
    </row>
    <row r="31" spans="2:7">
      <c r="B31" s="375"/>
      <c r="C31" s="376"/>
      <c r="D31" s="375"/>
    </row>
    <row r="32" spans="2:7">
      <c r="B32" s="265" t="s">
        <v>821</v>
      </c>
      <c r="C32" s="265" t="s">
        <v>836</v>
      </c>
      <c r="D32" s="265">
        <f>UNKB0010_B_PAGE_NO+1</f>
        <v>2</v>
      </c>
    </row>
    <row r="33" spans="2:4">
      <c r="B33" s="265" t="s">
        <v>822</v>
      </c>
      <c r="C33" s="265" t="s">
        <v>837</v>
      </c>
      <c r="D33" s="265">
        <f>UNKB0010_B_PAGE_NO-1</f>
        <v>0</v>
      </c>
    </row>
    <row r="34" spans="2:4">
      <c r="B34" s="265" t="s">
        <v>823</v>
      </c>
      <c r="C34" s="265" t="s">
        <v>838</v>
      </c>
      <c r="D34" s="265">
        <f>IF(1&lt;UNKB0010_B_PAGE_NO,1,2)</f>
        <v>2</v>
      </c>
    </row>
    <row r="35" spans="2:4">
      <c r="B35" s="265" t="s">
        <v>824</v>
      </c>
      <c r="C35" s="265" t="s">
        <v>839</v>
      </c>
      <c r="D35" s="265">
        <f>IF(UNKB0010_B_PAGE_NO&lt;UNKB0010_B_ALL_PAGE_SU,1,2)</f>
        <v>2</v>
      </c>
    </row>
    <row r="37" spans="2:4">
      <c r="B37" s="265" t="s">
        <v>182</v>
      </c>
      <c r="C37" s="265" t="s">
        <v>1130</v>
      </c>
      <c r="D37" s="265"/>
    </row>
    <row r="38" spans="2:4">
      <c r="B38" s="265" t="s">
        <v>587</v>
      </c>
      <c r="C38" s="265" t="s">
        <v>1128</v>
      </c>
      <c r="D38" s="265">
        <f ca="1">IF(UNKB0010_B_SELECT_ROW_NO=0,0,INDIRECT(ADDRESS(UNKB0010_B_SELECT_ROW_NO,COLUMN(UNKB0010_B_KOBAI_NO))))</f>
        <v>0</v>
      </c>
    </row>
    <row r="39" spans="2:4">
      <c r="B39" s="265" t="s">
        <v>1127</v>
      </c>
      <c r="C39" s="265" t="s">
        <v>1129</v>
      </c>
      <c r="D39" s="265">
        <f ca="1">IF(UNKB0010_B_SELECT_ROW_NO=0,0,INDIRECT(ADDRESS(UNKB0010_B_SELECT_ROW_NO,COLUMN(UNKB0010_B_KOBAI_SEQ))))</f>
        <v>0</v>
      </c>
    </row>
  </sheetData>
  <sheetProtection sheet="1" objects="1" scenarios="1" selectLockedCells="1"/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M31"/>
  <sheetViews>
    <sheetView topLeftCell="AM1" workbookViewId="0">
      <selection activeCell="AY10" sqref="AY10"/>
    </sheetView>
  </sheetViews>
  <sheetFormatPr defaultRowHeight="13.5"/>
  <cols>
    <col min="1" max="1" width="13.375" style="10" customWidth="1"/>
    <col min="2" max="2" width="11.375" style="10" customWidth="1"/>
    <col min="3" max="3" width="18" style="10" customWidth="1"/>
    <col min="4" max="25" width="9" style="10"/>
    <col min="26" max="38" width="9" style="153"/>
    <col min="39" max="39" width="9" style="10"/>
    <col min="40" max="40" width="13.625" style="153" customWidth="1"/>
    <col min="41" max="41" width="14.25" style="153" customWidth="1"/>
    <col min="42" max="42" width="9" style="153"/>
    <col min="43" max="43" width="9" style="10"/>
    <col min="44" max="56" width="6.625" style="10" customWidth="1"/>
    <col min="57" max="58" width="6.625" style="230" customWidth="1"/>
    <col min="59" max="59" width="6.625" style="10" customWidth="1"/>
    <col min="60" max="65" width="9" style="10"/>
    <col min="66" max="68" width="9" style="268"/>
    <col min="69" max="69" width="9" style="189"/>
    <col min="70" max="72" width="9" style="268"/>
    <col min="73" max="73" width="9" style="189"/>
    <col min="74" max="77" width="9" style="10"/>
    <col min="78" max="87" width="9" style="268"/>
    <col min="88" max="90" width="9" style="10"/>
    <col min="91" max="91" width="9" style="268"/>
    <col min="92" max="92" width="9" style="10"/>
    <col min="93" max="93" width="9" style="268"/>
    <col min="94" max="95" width="9" style="10"/>
    <col min="96" max="109" width="9" style="268"/>
    <col min="110" max="16384" width="9" style="10"/>
  </cols>
  <sheetData>
    <row r="1" spans="1:117">
      <c r="BN1" s="189"/>
      <c r="BO1" s="189"/>
      <c r="BP1" s="189"/>
      <c r="BR1" s="189"/>
      <c r="BS1" s="189"/>
      <c r="BT1" s="189"/>
      <c r="BZ1" s="230"/>
      <c r="CA1" s="10"/>
      <c r="CB1" s="10"/>
      <c r="CC1" s="10"/>
      <c r="CD1" s="10"/>
      <c r="CE1" s="230"/>
      <c r="CF1" s="230"/>
      <c r="CG1" s="230"/>
      <c r="CH1" s="230"/>
      <c r="CI1" s="230"/>
      <c r="CM1" s="10"/>
      <c r="CO1" s="10"/>
      <c r="CR1" s="10"/>
      <c r="CS1" s="10"/>
      <c r="CT1" s="230"/>
      <c r="CU1" s="230"/>
      <c r="CV1" s="230"/>
      <c r="CW1" s="230"/>
      <c r="CX1" s="230"/>
      <c r="CY1" s="230"/>
      <c r="CZ1" s="230"/>
      <c r="DA1" s="230"/>
      <c r="DB1" s="230"/>
      <c r="DC1" s="230"/>
      <c r="DD1" s="230"/>
      <c r="DE1" s="230"/>
    </row>
    <row r="2" spans="1:117">
      <c r="A2" s="157" t="s">
        <v>855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57" t="s">
        <v>841</v>
      </c>
      <c r="AR2" s="354" t="s">
        <v>857</v>
      </c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I2" s="153"/>
      <c r="BJ2" s="153"/>
      <c r="BK2" s="153"/>
      <c r="BL2" s="153"/>
      <c r="BM2" s="153"/>
      <c r="BN2" s="189"/>
      <c r="BO2" s="189"/>
      <c r="BP2" s="189"/>
      <c r="BR2" s="189"/>
      <c r="BS2" s="189"/>
      <c r="BT2" s="189"/>
      <c r="BV2" s="153"/>
      <c r="BW2" s="153"/>
      <c r="BX2" s="153"/>
      <c r="BY2" s="153"/>
      <c r="BZ2" s="230"/>
      <c r="CA2" s="153"/>
      <c r="CB2" s="153"/>
      <c r="CC2" s="153"/>
      <c r="CD2" s="153"/>
      <c r="CE2" s="230"/>
      <c r="CF2" s="230"/>
      <c r="CG2" s="230"/>
      <c r="CH2" s="230"/>
      <c r="CI2" s="230"/>
      <c r="CJ2" s="153"/>
      <c r="CK2" s="153"/>
      <c r="CL2" s="153"/>
      <c r="CM2" s="153"/>
      <c r="CN2" s="153"/>
      <c r="CO2" s="153"/>
      <c r="CP2" s="153"/>
      <c r="CQ2" s="153"/>
      <c r="CR2" s="153"/>
      <c r="CS2" s="153"/>
      <c r="CT2" s="230"/>
      <c r="CU2" s="230"/>
      <c r="CV2" s="230"/>
      <c r="CW2" s="230"/>
      <c r="CX2" s="230"/>
      <c r="CY2" s="230"/>
      <c r="CZ2" s="230"/>
      <c r="DA2" s="230"/>
      <c r="DB2" s="230"/>
      <c r="DC2" s="230"/>
      <c r="DD2" s="230"/>
      <c r="DE2" s="230"/>
      <c r="DF2" s="153"/>
      <c r="DG2" s="153"/>
      <c r="DH2" s="153"/>
      <c r="DI2" s="153"/>
      <c r="DJ2" s="153"/>
      <c r="DK2" s="153"/>
      <c r="DL2" s="153"/>
      <c r="DM2" s="153"/>
    </row>
    <row r="3" spans="1:117" ht="16.5">
      <c r="A3" s="153"/>
      <c r="B3" s="153"/>
      <c r="C3" s="153"/>
      <c r="D3" s="173" t="s">
        <v>39</v>
      </c>
      <c r="E3" s="173" t="s">
        <v>45</v>
      </c>
      <c r="F3" s="173" t="s">
        <v>46</v>
      </c>
      <c r="G3" s="173" t="s">
        <v>40</v>
      </c>
      <c r="H3" s="173" t="s">
        <v>794</v>
      </c>
      <c r="I3" s="175" t="s">
        <v>812</v>
      </c>
      <c r="J3" s="174" t="s">
        <v>41</v>
      </c>
      <c r="K3" s="173" t="s">
        <v>625</v>
      </c>
      <c r="L3" s="173" t="s">
        <v>47</v>
      </c>
      <c r="M3" s="173" t="s">
        <v>48</v>
      </c>
      <c r="N3" s="173" t="s">
        <v>51</v>
      </c>
      <c r="O3" s="173" t="s">
        <v>50</v>
      </c>
      <c r="P3" s="173" t="s">
        <v>49</v>
      </c>
      <c r="Q3" s="173" t="s">
        <v>52</v>
      </c>
      <c r="R3" s="173" t="s">
        <v>53</v>
      </c>
      <c r="S3" s="173" t="s">
        <v>54</v>
      </c>
      <c r="T3" s="173" t="s">
        <v>55</v>
      </c>
      <c r="U3" s="173" t="s">
        <v>56</v>
      </c>
      <c r="V3" s="173" t="s">
        <v>57</v>
      </c>
      <c r="W3" s="173" t="s">
        <v>58</v>
      </c>
      <c r="X3" s="173" t="s">
        <v>59</v>
      </c>
      <c r="Y3" s="173" t="s">
        <v>60</v>
      </c>
      <c r="Z3" s="173" t="s">
        <v>61</v>
      </c>
      <c r="AA3" s="173" t="s">
        <v>62</v>
      </c>
      <c r="AB3" s="173" t="s">
        <v>63</v>
      </c>
      <c r="AC3" s="173" t="s">
        <v>64</v>
      </c>
      <c r="AD3" s="173" t="s">
        <v>65</v>
      </c>
      <c r="AE3" s="173" t="s">
        <v>66</v>
      </c>
      <c r="AF3" s="173" t="s">
        <v>67</v>
      </c>
      <c r="AG3" s="169" t="s">
        <v>41</v>
      </c>
      <c r="AH3" s="169" t="s">
        <v>807</v>
      </c>
      <c r="AI3" s="169" t="s">
        <v>114</v>
      </c>
      <c r="AJ3" s="169" t="s">
        <v>809</v>
      </c>
      <c r="AK3" s="169" t="s">
        <v>842</v>
      </c>
      <c r="AL3" s="169" t="s">
        <v>811</v>
      </c>
      <c r="AM3" s="153"/>
      <c r="AN3" s="157" t="s">
        <v>859</v>
      </c>
      <c r="AQ3" s="153"/>
      <c r="AR3" s="489"/>
      <c r="AS3" s="489"/>
      <c r="AT3" s="333" t="s">
        <v>30</v>
      </c>
      <c r="AU3" s="489"/>
      <c r="AV3" s="489"/>
      <c r="AW3" s="161"/>
      <c r="AX3" s="161"/>
      <c r="AY3" s="166" t="s">
        <v>31</v>
      </c>
      <c r="AZ3" s="483"/>
      <c r="BA3" s="484"/>
      <c r="BB3" s="161"/>
      <c r="BC3" s="166" t="s">
        <v>32</v>
      </c>
      <c r="BD3" s="478"/>
      <c r="BE3" s="479"/>
      <c r="BF3" s="477" t="str">
        <f>IF(UNKB0010_H_KOBAIHIN_CD="","",UNKB0010_H_KOBAIHIN_MEI)</f>
        <v/>
      </c>
      <c r="BG3" s="477"/>
      <c r="BI3" s="191" t="s">
        <v>870</v>
      </c>
      <c r="BJ3" s="189"/>
      <c r="BK3" s="189" t="s">
        <v>871</v>
      </c>
      <c r="BL3" s="189" t="s">
        <v>879</v>
      </c>
      <c r="BN3" s="468"/>
      <c r="BO3" s="468"/>
      <c r="BP3" s="468"/>
      <c r="BQ3" s="469"/>
      <c r="BR3" s="468"/>
      <c r="BS3" s="468"/>
      <c r="BT3" s="468"/>
      <c r="BU3" s="470"/>
      <c r="BV3" s="470"/>
      <c r="BW3" s="470"/>
      <c r="BX3" s="470"/>
      <c r="BY3" s="471"/>
      <c r="BZ3" s="468"/>
      <c r="CA3" s="468"/>
      <c r="CB3" s="468"/>
      <c r="CC3" s="468"/>
      <c r="CD3" s="468"/>
      <c r="CE3" s="468"/>
      <c r="CF3" s="468"/>
      <c r="CG3" s="468"/>
      <c r="CH3" s="468"/>
      <c r="CI3" s="468"/>
      <c r="CJ3" s="472"/>
      <c r="CK3" s="470"/>
      <c r="CL3" s="472"/>
      <c r="CM3" s="468"/>
      <c r="CN3" s="470"/>
      <c r="CO3" s="468"/>
      <c r="CP3" s="470"/>
      <c r="CQ3" s="470"/>
      <c r="CR3" s="468"/>
      <c r="CS3" s="468"/>
      <c r="CT3" s="468"/>
      <c r="CU3" s="468"/>
      <c r="CV3" s="468"/>
      <c r="CW3" s="468"/>
      <c r="CX3" s="468"/>
      <c r="CY3" s="468"/>
      <c r="CZ3" s="468"/>
      <c r="DA3" s="468"/>
      <c r="DB3" s="468"/>
      <c r="DC3" s="468"/>
      <c r="DD3" s="468"/>
      <c r="DE3" s="468"/>
      <c r="DI3" s="189"/>
      <c r="DJ3" s="189"/>
    </row>
    <row r="4" spans="1:117" ht="16.5">
      <c r="A4" s="153"/>
      <c r="B4" s="153" t="s">
        <v>843</v>
      </c>
      <c r="C4" s="158" t="s">
        <v>848</v>
      </c>
      <c r="D4" s="172"/>
      <c r="E4" s="172"/>
      <c r="F4" s="439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  <c r="AL4" s="172"/>
      <c r="AM4" s="153"/>
      <c r="AO4" s="158" t="s">
        <v>860</v>
      </c>
      <c r="AQ4" s="153"/>
      <c r="AR4" s="489"/>
      <c r="AS4" s="489"/>
      <c r="AT4" s="154" t="s">
        <v>30</v>
      </c>
      <c r="AU4" s="489"/>
      <c r="AV4" s="489"/>
      <c r="AW4" s="161"/>
      <c r="AX4" s="161"/>
      <c r="AY4" s="166" t="s">
        <v>33</v>
      </c>
      <c r="AZ4" s="485"/>
      <c r="BA4" s="486"/>
      <c r="BB4" s="161"/>
      <c r="BC4" s="166" t="s">
        <v>34</v>
      </c>
      <c r="BD4" s="478"/>
      <c r="BE4" s="479"/>
      <c r="BF4" s="477" t="str">
        <f>IF(UNKB0010_H_SHIIRE_CD="","",UNKB0010_H_SHIIRE_MEI)</f>
        <v/>
      </c>
      <c r="BG4" s="477"/>
      <c r="BI4" s="189"/>
      <c r="BJ4" s="189"/>
      <c r="BK4" s="189"/>
      <c r="BL4" s="189"/>
      <c r="BM4" s="189"/>
      <c r="BN4" s="193" t="s">
        <v>343</v>
      </c>
      <c r="BO4" s="193" t="s">
        <v>344</v>
      </c>
      <c r="BP4" s="193" t="s">
        <v>794</v>
      </c>
      <c r="BQ4" s="193" t="s">
        <v>345</v>
      </c>
      <c r="BR4" s="193" t="s">
        <v>346</v>
      </c>
      <c r="BS4" s="193" t="s">
        <v>1875</v>
      </c>
      <c r="BT4" s="193" t="s">
        <v>1876</v>
      </c>
      <c r="BU4" s="193" t="s">
        <v>348</v>
      </c>
      <c r="BV4" s="193" t="s">
        <v>349</v>
      </c>
      <c r="BW4" s="193" t="s">
        <v>350</v>
      </c>
      <c r="BX4" s="193" t="s">
        <v>351</v>
      </c>
      <c r="BY4" s="473" t="s">
        <v>1877</v>
      </c>
      <c r="BZ4" s="473" t="s">
        <v>1878</v>
      </c>
      <c r="CA4" s="473" t="s">
        <v>1879</v>
      </c>
      <c r="CB4" s="473" t="s">
        <v>355</v>
      </c>
      <c r="CC4" s="473" t="s">
        <v>356</v>
      </c>
      <c r="CD4" s="473" t="s">
        <v>357</v>
      </c>
      <c r="CE4" s="473" t="s">
        <v>1893</v>
      </c>
      <c r="CF4" s="473" t="s">
        <v>1894</v>
      </c>
      <c r="CG4" s="473" t="s">
        <v>1895</v>
      </c>
      <c r="CH4" s="473" t="s">
        <v>1896</v>
      </c>
      <c r="CI4" s="473" t="s">
        <v>1897</v>
      </c>
      <c r="CJ4" s="473" t="s">
        <v>1887</v>
      </c>
      <c r="CK4" s="473" t="s">
        <v>358</v>
      </c>
      <c r="CL4" s="473" t="s">
        <v>359</v>
      </c>
      <c r="CM4" s="473" t="s">
        <v>360</v>
      </c>
      <c r="CN4" s="473" t="s">
        <v>361</v>
      </c>
      <c r="CO4" s="473" t="s">
        <v>363</v>
      </c>
      <c r="CP4" s="473" t="s">
        <v>362</v>
      </c>
      <c r="CQ4" s="473" t="s">
        <v>364</v>
      </c>
      <c r="CR4" s="473" t="s">
        <v>365</v>
      </c>
      <c r="CS4" s="473" t="s">
        <v>1880</v>
      </c>
      <c r="CT4" s="473" t="s">
        <v>1881</v>
      </c>
      <c r="CU4" s="473" t="s">
        <v>367</v>
      </c>
      <c r="CV4" s="473" t="s">
        <v>623</v>
      </c>
      <c r="CW4" s="473" t="s">
        <v>75</v>
      </c>
      <c r="CX4" s="473" t="s">
        <v>624</v>
      </c>
      <c r="CY4" s="473" t="s">
        <v>368</v>
      </c>
      <c r="CZ4" s="473" t="s">
        <v>369</v>
      </c>
      <c r="DA4" s="473" t="s">
        <v>370</v>
      </c>
      <c r="DB4" s="473" t="s">
        <v>626</v>
      </c>
      <c r="DC4" s="473" t="s">
        <v>1882</v>
      </c>
      <c r="DD4" s="473" t="s">
        <v>1883</v>
      </c>
      <c r="DE4" s="473" t="s">
        <v>371</v>
      </c>
      <c r="DI4" s="188"/>
      <c r="DJ4" s="189"/>
    </row>
    <row r="5" spans="1:117" ht="16.5">
      <c r="A5" s="153"/>
      <c r="B5" s="153" t="s">
        <v>844</v>
      </c>
      <c r="C5" s="158" t="s">
        <v>847</v>
      </c>
      <c r="D5" s="168" t="s">
        <v>845</v>
      </c>
      <c r="E5" s="165"/>
      <c r="F5" s="441"/>
      <c r="G5" s="164"/>
      <c r="H5" s="163"/>
      <c r="I5" s="177"/>
      <c r="J5" s="163"/>
      <c r="K5" s="164"/>
      <c r="L5" s="359"/>
      <c r="M5" s="359"/>
      <c r="N5" s="176"/>
      <c r="O5" s="359"/>
      <c r="P5" s="164"/>
      <c r="Q5" s="359"/>
      <c r="R5" s="359"/>
      <c r="S5" s="165"/>
      <c r="T5" s="165"/>
      <c r="U5" s="165"/>
      <c r="V5" s="164"/>
      <c r="W5" s="164"/>
      <c r="X5" s="171"/>
      <c r="Y5" s="164"/>
      <c r="Z5" s="171"/>
      <c r="AA5" s="164"/>
      <c r="AB5" s="164"/>
      <c r="AC5" s="171"/>
      <c r="AD5" s="164"/>
      <c r="AE5" s="164"/>
      <c r="AF5" s="164"/>
      <c r="AG5" s="164"/>
      <c r="AH5" s="164"/>
      <c r="AI5" s="164"/>
      <c r="AJ5" s="164"/>
      <c r="AK5" s="164"/>
      <c r="AL5" s="164"/>
      <c r="AM5" s="153"/>
      <c r="AN5" s="179" t="s">
        <v>69</v>
      </c>
      <c r="AO5" s="180" t="b">
        <v>1</v>
      </c>
      <c r="AQ5" s="153"/>
      <c r="AR5" s="489"/>
      <c r="AS5" s="489"/>
      <c r="AT5" s="154" t="s">
        <v>30</v>
      </c>
      <c r="AU5" s="489"/>
      <c r="AV5" s="489"/>
      <c r="AW5" s="161"/>
      <c r="AX5" s="161"/>
      <c r="AY5" s="166" t="s">
        <v>36</v>
      </c>
      <c r="AZ5" s="483"/>
      <c r="BA5" s="484"/>
      <c r="BB5" s="161"/>
      <c r="BC5" s="166" t="s">
        <v>37</v>
      </c>
      <c r="BD5" s="478"/>
      <c r="BE5" s="479"/>
      <c r="BF5" s="477" t="str">
        <f>IF(UNKB0010_H_MAKER_CD="","",UNKB0010_H_MAKER_MEI)</f>
        <v/>
      </c>
      <c r="BG5" s="477"/>
      <c r="BI5" s="189"/>
      <c r="BJ5" s="189"/>
      <c r="BK5" s="189"/>
      <c r="BL5" s="189"/>
      <c r="BM5" s="189"/>
      <c r="BN5" s="213"/>
      <c r="BV5" s="189"/>
      <c r="BW5" s="189"/>
      <c r="BX5" s="189"/>
      <c r="BY5" s="189"/>
      <c r="CJ5" s="189"/>
      <c r="CK5" s="189"/>
      <c r="CL5" s="189"/>
      <c r="CN5" s="189"/>
      <c r="CP5" s="189"/>
      <c r="CQ5" s="189"/>
      <c r="DF5" s="189"/>
      <c r="DG5" s="189"/>
      <c r="DH5" s="189"/>
      <c r="DI5" s="189"/>
      <c r="DJ5" s="189"/>
      <c r="DK5" s="189"/>
      <c r="DL5" s="189"/>
      <c r="DM5" s="189"/>
    </row>
    <row r="6" spans="1:117" ht="16.5">
      <c r="A6" s="153"/>
      <c r="B6" s="153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AM6" s="153"/>
      <c r="AN6" s="179" t="s">
        <v>20</v>
      </c>
      <c r="AO6" s="181" t="b">
        <v>1</v>
      </c>
      <c r="AQ6" s="153"/>
      <c r="AR6" s="489"/>
      <c r="AS6" s="489"/>
      <c r="AT6" s="154" t="s">
        <v>30</v>
      </c>
      <c r="AU6" s="489"/>
      <c r="AV6" s="489"/>
      <c r="AW6" s="161"/>
      <c r="AX6" s="161"/>
      <c r="AY6" s="166" t="s">
        <v>1904</v>
      </c>
      <c r="AZ6" s="487"/>
      <c r="BA6" s="488"/>
      <c r="BB6" s="161"/>
      <c r="BC6" s="161"/>
      <c r="BD6" s="161"/>
      <c r="BE6" s="330"/>
      <c r="BF6" s="330"/>
      <c r="BG6" s="161"/>
      <c r="BI6" s="189"/>
      <c r="BJ6" s="189" t="s">
        <v>872</v>
      </c>
      <c r="BK6" s="192" t="s">
        <v>876</v>
      </c>
      <c r="BL6" s="190">
        <v>1</v>
      </c>
      <c r="BM6" s="189"/>
      <c r="BQ6" s="194"/>
      <c r="BU6" s="194"/>
      <c r="BV6" s="194"/>
      <c r="BW6" s="194"/>
      <c r="BX6" s="194"/>
      <c r="BY6" s="194"/>
      <c r="CJ6" s="194"/>
      <c r="CK6" s="194"/>
      <c r="CL6" s="194"/>
      <c r="CN6" s="194"/>
      <c r="CP6" s="194"/>
      <c r="CQ6" s="194"/>
      <c r="DF6" s="189"/>
      <c r="DG6" s="188"/>
      <c r="DH6" s="188"/>
      <c r="DI6" s="189"/>
      <c r="DJ6" s="189"/>
      <c r="DK6" s="189"/>
      <c r="DL6" s="188"/>
      <c r="DM6" s="189"/>
    </row>
    <row r="7" spans="1:117" ht="16.5">
      <c r="A7" s="153"/>
      <c r="B7" s="153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AM7" s="153"/>
      <c r="AN7" s="30" t="s">
        <v>699</v>
      </c>
      <c r="AO7" s="181" t="b">
        <v>1</v>
      </c>
      <c r="AQ7" s="153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39"/>
      <c r="BD7" s="39"/>
      <c r="BE7" s="39"/>
      <c r="BF7" s="39"/>
      <c r="BG7" s="161"/>
      <c r="BI7" s="189"/>
      <c r="BJ7" s="189" t="s">
        <v>391</v>
      </c>
      <c r="BK7" s="189" t="s">
        <v>875</v>
      </c>
      <c r="BL7" s="190" t="str">
        <f>IF(UNKB0010_IF_PRINT_COUNT=0,"",
"UNKB0010_IF!"&amp;ADDRESS(ROW(UNKB0010_IF_PRINT_START),COLUMN(UNKB0010_IF_PRINT_START))&amp;":" &amp; ADDRESS(ROW(UNKB0010_IF_PRINT_START)+UNKB0010_IF_PRINT_COUNT-1,COLUMN(UNKB0010_IF_PRINT_START)+COLUMNS(UNKB0010_IF_PRINT_SHOSHIKI_COPY_MOTO)-1))</f>
        <v>UNKB0010_IF!$BN$5:$DE$5</v>
      </c>
      <c r="BM7" s="189"/>
      <c r="BV7" s="189"/>
      <c r="BW7" s="189"/>
      <c r="BX7" s="189"/>
      <c r="BY7" s="189"/>
      <c r="CJ7" s="188"/>
      <c r="CK7" s="189"/>
      <c r="CL7" s="189"/>
      <c r="CN7" s="189"/>
      <c r="CP7" s="189"/>
      <c r="CQ7" s="189"/>
      <c r="DF7" s="189"/>
      <c r="DG7" s="189"/>
      <c r="DH7" s="189"/>
      <c r="DI7" s="189"/>
      <c r="DJ7" s="189"/>
      <c r="DK7" s="189"/>
      <c r="DL7" s="189"/>
      <c r="DM7" s="189"/>
    </row>
    <row r="8" spans="1:117" ht="16.5">
      <c r="A8" s="57" t="s">
        <v>840</v>
      </c>
      <c r="B8" s="158"/>
      <c r="C8" s="158"/>
      <c r="D8" s="158"/>
      <c r="E8" s="153"/>
      <c r="F8" s="153"/>
      <c r="G8" s="158"/>
      <c r="H8" s="153"/>
      <c r="I8" s="153"/>
      <c r="J8" s="158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AM8" s="153"/>
      <c r="AN8" s="179" t="s">
        <v>22</v>
      </c>
      <c r="AO8" s="181" t="b">
        <v>1</v>
      </c>
      <c r="AQ8" s="153"/>
      <c r="AR8" s="491"/>
      <c r="AS8" s="491"/>
      <c r="AT8" s="167" t="str">
        <f>IF(UNKB0010_H_FREEWD_KBN=1,"AND",IF(UNKB0010_H_FREEWD_KBN=2,"OR","NAND"))</f>
        <v>AND</v>
      </c>
      <c r="AU8" s="491"/>
      <c r="AV8" s="491"/>
      <c r="AW8" s="167" t="str">
        <f>UNKB0010_H_FREEWD_KBN_DISP</f>
        <v>AND</v>
      </c>
      <c r="AX8" s="491"/>
      <c r="AY8" s="491"/>
      <c r="AZ8" s="161"/>
      <c r="BA8" s="161"/>
      <c r="BB8" s="39"/>
      <c r="BC8" s="161"/>
      <c r="BD8" s="129" t="s">
        <v>856</v>
      </c>
      <c r="BE8" s="129"/>
      <c r="BF8" s="129"/>
      <c r="BG8" s="161"/>
      <c r="BI8" s="189"/>
      <c r="BJ8" s="194" t="s">
        <v>885</v>
      </c>
      <c r="BK8" s="194" t="s">
        <v>886</v>
      </c>
      <c r="BL8" s="190" t="b">
        <f>IF(UNKB0010_IF_PRINT_COUNT=0,FALSE,TRUE)</f>
        <v>1</v>
      </c>
      <c r="BM8" s="189"/>
      <c r="BV8" s="189"/>
      <c r="BW8" s="189"/>
      <c r="BX8" s="189"/>
      <c r="BY8" s="189"/>
      <c r="CJ8" s="189"/>
      <c r="CK8" s="189"/>
      <c r="CL8" s="189"/>
      <c r="CN8" s="189"/>
      <c r="CP8" s="189"/>
      <c r="CQ8" s="189"/>
      <c r="DF8" s="189"/>
      <c r="DG8" s="189"/>
      <c r="DH8" s="189"/>
      <c r="DK8" s="189"/>
      <c r="DL8" s="189"/>
      <c r="DM8" s="189"/>
    </row>
    <row r="9" spans="1:117" ht="16.5">
      <c r="A9" s="158"/>
      <c r="B9" s="158" t="s">
        <v>127</v>
      </c>
      <c r="C9" s="158" t="s">
        <v>861</v>
      </c>
      <c r="D9" s="155"/>
      <c r="E9" s="158" t="s">
        <v>128</v>
      </c>
      <c r="F9" s="158" t="s">
        <v>129</v>
      </c>
      <c r="H9" s="153"/>
      <c r="I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AM9" s="153"/>
      <c r="AN9" s="179" t="s">
        <v>23</v>
      </c>
      <c r="AO9" s="181" t="b">
        <v>0</v>
      </c>
      <c r="AQ9" s="153"/>
      <c r="AR9" s="153"/>
      <c r="BI9" s="189"/>
      <c r="BM9" s="189"/>
      <c r="BV9" s="189"/>
      <c r="BW9" s="189"/>
      <c r="BX9" s="189"/>
      <c r="BY9" s="189"/>
      <c r="CJ9" s="189"/>
      <c r="CK9" s="189"/>
      <c r="CL9" s="189"/>
      <c r="CN9" s="189"/>
      <c r="CP9" s="189"/>
      <c r="CQ9" s="189"/>
      <c r="DF9" s="189"/>
      <c r="DG9" s="189"/>
      <c r="DH9" s="189"/>
      <c r="DK9" s="189"/>
      <c r="DL9" s="189"/>
      <c r="DM9" s="189"/>
    </row>
    <row r="10" spans="1:117" ht="16.5">
      <c r="A10" s="158"/>
      <c r="B10" s="231" t="s">
        <v>95</v>
      </c>
      <c r="C10" s="231" t="s">
        <v>1233</v>
      </c>
      <c r="D10" s="155"/>
      <c r="E10" s="153"/>
      <c r="F10" s="153"/>
      <c r="G10" s="158"/>
      <c r="H10" s="153"/>
      <c r="I10" s="153"/>
      <c r="J10" s="158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AM10" s="153"/>
      <c r="AN10" s="179" t="s">
        <v>68</v>
      </c>
      <c r="AO10" s="181" t="b">
        <v>1</v>
      </c>
      <c r="AQ10" s="153"/>
      <c r="AR10" s="153"/>
      <c r="BJ10" s="189" t="s">
        <v>873</v>
      </c>
      <c r="BK10" s="192" t="s">
        <v>874</v>
      </c>
      <c r="BL10" s="58" t="str">
        <f ca="1">"購買申請検索_"&amp;TEXT(NOW(),"YYYYMMDD")&amp;"_"&amp;TEXT(NOW(),"hhmmss")</f>
        <v>購買申請検索_20170714_180439</v>
      </c>
    </row>
    <row r="11" spans="1:117" ht="16.5">
      <c r="A11" s="158"/>
      <c r="B11" s="231" t="s">
        <v>1234</v>
      </c>
      <c r="C11" s="231" t="s">
        <v>1235</v>
      </c>
      <c r="D11" s="155"/>
      <c r="E11" s="153"/>
      <c r="F11" s="153"/>
      <c r="G11" s="158"/>
      <c r="H11" s="153"/>
      <c r="I11" s="153"/>
      <c r="J11" s="158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AM11" s="153"/>
      <c r="AN11" s="179" t="s">
        <v>656</v>
      </c>
      <c r="AO11" s="181" t="b">
        <v>1</v>
      </c>
      <c r="AQ11" s="153"/>
      <c r="AR11" s="153"/>
    </row>
    <row r="12" spans="1:117" ht="16.5">
      <c r="A12" s="231"/>
      <c r="B12" s="231"/>
      <c r="C12" s="231"/>
      <c r="D12" s="231"/>
      <c r="E12" s="153"/>
      <c r="F12" s="153"/>
      <c r="G12" s="231"/>
      <c r="H12" s="153"/>
      <c r="I12" s="153"/>
      <c r="J12" s="231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AM12" s="153"/>
      <c r="AN12" s="179" t="s">
        <v>707</v>
      </c>
      <c r="AO12" s="181" t="b">
        <v>1</v>
      </c>
      <c r="AQ12" s="153"/>
      <c r="AR12" s="153"/>
    </row>
    <row r="13" spans="1:117" ht="16.5">
      <c r="A13" s="178" t="s">
        <v>261</v>
      </c>
      <c r="B13" s="158"/>
      <c r="C13" s="158"/>
      <c r="D13" s="158"/>
      <c r="E13" s="153"/>
      <c r="F13" s="153"/>
      <c r="G13" s="158"/>
      <c r="H13" s="153"/>
      <c r="I13" s="153"/>
      <c r="J13" s="158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AM13" s="153"/>
      <c r="AN13" s="179" t="s">
        <v>27</v>
      </c>
      <c r="AO13" s="181" t="b">
        <v>1</v>
      </c>
      <c r="AQ13" s="153"/>
      <c r="AR13" s="153"/>
    </row>
    <row r="14" spans="1:117" ht="16.5">
      <c r="A14" s="158"/>
      <c r="B14" s="158" t="s">
        <v>339</v>
      </c>
      <c r="C14" s="158" t="s">
        <v>849</v>
      </c>
      <c r="D14" s="155"/>
      <c r="E14" s="153"/>
      <c r="F14" s="153"/>
      <c r="G14" s="158"/>
      <c r="H14" s="153"/>
      <c r="I14" s="153"/>
      <c r="J14" s="158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AM14" s="153"/>
      <c r="AN14" s="179" t="s">
        <v>28</v>
      </c>
      <c r="AO14" s="181" t="b">
        <v>1</v>
      </c>
      <c r="AQ14" s="153"/>
      <c r="AR14" s="153"/>
      <c r="AS14" s="153"/>
      <c r="AT14" s="153"/>
      <c r="AU14" s="153"/>
      <c r="AV14" s="153"/>
      <c r="AW14" s="153"/>
      <c r="AX14" s="153"/>
      <c r="AY14" s="153"/>
      <c r="AZ14" s="153"/>
      <c r="BA14" s="153"/>
      <c r="BB14" s="153"/>
      <c r="BC14" s="153"/>
      <c r="BD14" s="153"/>
    </row>
    <row r="15" spans="1:117" ht="16.5">
      <c r="A15" s="158"/>
      <c r="B15" s="158" t="s">
        <v>265</v>
      </c>
      <c r="C15" s="158" t="s">
        <v>850</v>
      </c>
      <c r="D15" s="156"/>
      <c r="E15" s="153"/>
      <c r="F15" s="153"/>
      <c r="G15" s="158"/>
      <c r="H15" s="153"/>
      <c r="I15" s="153"/>
      <c r="J15" s="158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AM15" s="153"/>
      <c r="AN15" s="179" t="s">
        <v>710</v>
      </c>
      <c r="AO15" s="181" t="b">
        <v>1</v>
      </c>
      <c r="AQ15" s="153"/>
      <c r="AR15" s="158"/>
      <c r="AS15" s="153"/>
      <c r="AT15" s="153"/>
      <c r="AU15" s="153"/>
      <c r="AV15" s="153"/>
      <c r="AW15" s="153"/>
      <c r="AX15" s="153"/>
      <c r="AY15" s="153"/>
      <c r="AZ15" s="153"/>
      <c r="BA15" s="153"/>
      <c r="BB15" s="153"/>
      <c r="BC15" s="153"/>
      <c r="BD15" s="153"/>
    </row>
    <row r="16" spans="1:117" ht="16.5">
      <c r="A16" s="158"/>
      <c r="B16" s="158" t="s">
        <v>267</v>
      </c>
      <c r="C16" s="158" t="s">
        <v>851</v>
      </c>
      <c r="D16" s="162"/>
      <c r="E16" s="153"/>
      <c r="F16" s="153"/>
      <c r="G16" s="158"/>
      <c r="H16" s="153"/>
      <c r="I16" s="153"/>
      <c r="J16" s="158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AM16" s="230"/>
      <c r="AN16" s="179" t="s">
        <v>1892</v>
      </c>
      <c r="AO16" s="181" t="b">
        <v>0</v>
      </c>
      <c r="AP16" s="230"/>
      <c r="AQ16" s="153"/>
      <c r="AR16" s="153"/>
      <c r="AS16" s="153"/>
      <c r="AT16" s="153"/>
      <c r="AU16" s="153"/>
      <c r="AV16" s="153"/>
      <c r="AW16" s="153"/>
      <c r="AX16" s="153"/>
      <c r="AY16" s="153"/>
      <c r="AZ16" s="153"/>
      <c r="BA16" s="153"/>
      <c r="BB16" s="153"/>
      <c r="BC16" s="153"/>
      <c r="BD16" s="153"/>
    </row>
    <row r="17" spans="1:114" ht="16.5">
      <c r="A17" s="57" t="s">
        <v>132</v>
      </c>
      <c r="B17" s="158"/>
      <c r="C17" s="158"/>
      <c r="D17" s="158"/>
      <c r="E17" s="153"/>
      <c r="F17" s="153"/>
      <c r="G17" s="158"/>
      <c r="H17" s="153"/>
      <c r="I17" s="153"/>
      <c r="J17" s="158"/>
      <c r="K17" s="153"/>
      <c r="L17" s="153"/>
      <c r="M17" s="153"/>
      <c r="N17" s="153"/>
      <c r="O17" s="153"/>
      <c r="P17" s="153"/>
      <c r="Q17" s="153"/>
      <c r="R17" s="153"/>
      <c r="S17" s="153"/>
      <c r="T17" s="153"/>
      <c r="U17" s="153"/>
      <c r="V17" s="153"/>
      <c r="W17" s="153"/>
      <c r="X17" s="153"/>
      <c r="Y17" s="153"/>
      <c r="AM17" s="153"/>
      <c r="AN17" s="179" t="s">
        <v>787</v>
      </c>
      <c r="AO17" s="181" t="b">
        <v>0</v>
      </c>
      <c r="AQ17" s="153"/>
      <c r="AR17" s="153"/>
    </row>
    <row r="18" spans="1:114" ht="16.5">
      <c r="A18" s="158"/>
      <c r="B18" s="158" t="s">
        <v>846</v>
      </c>
      <c r="C18" s="158" t="s">
        <v>862</v>
      </c>
      <c r="D18" s="155"/>
      <c r="E18" s="158" t="s">
        <v>134</v>
      </c>
      <c r="F18" s="153"/>
      <c r="H18" s="153"/>
      <c r="I18" s="153"/>
      <c r="J18" s="158"/>
      <c r="K18" s="153"/>
      <c r="L18" s="153"/>
      <c r="M18" s="153"/>
      <c r="N18" s="153"/>
      <c r="O18" s="153"/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AM18" s="153"/>
      <c r="AN18" s="179" t="s">
        <v>114</v>
      </c>
      <c r="AO18" s="181"/>
      <c r="AQ18" s="153"/>
      <c r="AR18" s="153"/>
    </row>
    <row r="19" spans="1:114" ht="16.5">
      <c r="A19" s="158"/>
      <c r="B19" s="158"/>
      <c r="C19" s="158"/>
      <c r="D19" s="158"/>
      <c r="E19" s="153"/>
      <c r="F19" s="153"/>
      <c r="G19" s="158"/>
      <c r="H19" s="153"/>
      <c r="I19" s="153"/>
      <c r="J19" s="15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  <c r="W19" s="153"/>
      <c r="X19" s="153"/>
      <c r="Y19" s="153"/>
      <c r="AM19" s="153"/>
      <c r="AN19" s="179" t="s">
        <v>452</v>
      </c>
      <c r="AO19" s="181"/>
      <c r="AQ19" s="153"/>
      <c r="AR19" s="153"/>
    </row>
    <row r="20" spans="1:114" ht="16.5">
      <c r="A20" s="157" t="s">
        <v>180</v>
      </c>
      <c r="B20" s="158"/>
      <c r="C20" s="160"/>
      <c r="D20" s="153"/>
      <c r="E20" s="153"/>
      <c r="F20" s="153"/>
      <c r="G20" s="153"/>
      <c r="H20" s="153"/>
      <c r="I20" s="153"/>
      <c r="J20" s="15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AM20" s="153"/>
      <c r="AN20" s="179" t="s">
        <v>90</v>
      </c>
      <c r="AO20" s="181"/>
      <c r="AQ20" s="153"/>
      <c r="AR20" s="153"/>
    </row>
    <row r="21" spans="1:114" ht="16.5">
      <c r="A21" s="153"/>
      <c r="B21" s="153" t="s">
        <v>181</v>
      </c>
      <c r="C21" s="158" t="s">
        <v>852</v>
      </c>
      <c r="D21" s="159"/>
      <c r="E21" s="153"/>
      <c r="F21" s="153"/>
      <c r="G21" s="153"/>
      <c r="H21" s="153"/>
      <c r="I21" s="153"/>
      <c r="J21" s="15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3"/>
      <c r="Y21" s="153"/>
      <c r="AM21" s="153"/>
      <c r="AN21" s="179" t="s">
        <v>59</v>
      </c>
      <c r="AO21" s="181"/>
      <c r="AQ21" s="153"/>
      <c r="AR21" s="153"/>
    </row>
    <row r="22" spans="1:114" ht="16.5">
      <c r="A22" s="153"/>
      <c r="B22" s="153" t="s">
        <v>182</v>
      </c>
      <c r="C22" s="158" t="s">
        <v>853</v>
      </c>
      <c r="D22" s="159"/>
      <c r="E22" s="153"/>
      <c r="F22" s="153"/>
      <c r="G22" s="153"/>
      <c r="H22" s="153"/>
      <c r="I22" s="153"/>
      <c r="J22" s="15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AM22" s="153"/>
      <c r="AN22" s="179" t="s">
        <v>61</v>
      </c>
      <c r="AO22" s="181"/>
      <c r="AQ22" s="153"/>
      <c r="AR22" s="153"/>
    </row>
    <row r="23" spans="1:114" ht="16.5">
      <c r="A23" s="153"/>
      <c r="B23" s="153" t="s">
        <v>183</v>
      </c>
      <c r="C23" s="158" t="s">
        <v>854</v>
      </c>
      <c r="D23" s="159"/>
      <c r="E23" s="153"/>
      <c r="F23" s="153"/>
      <c r="G23" s="153"/>
      <c r="H23" s="153"/>
      <c r="I23" s="153"/>
      <c r="J23" s="158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AM23" s="153"/>
      <c r="AN23" s="182" t="s">
        <v>858</v>
      </c>
      <c r="AO23" s="183">
        <v>1</v>
      </c>
      <c r="AQ23" s="153"/>
      <c r="AR23" s="153"/>
    </row>
    <row r="24" spans="1:114">
      <c r="A24" s="153"/>
      <c r="B24" s="153"/>
      <c r="C24" s="158"/>
      <c r="D24" s="153"/>
      <c r="E24" s="153"/>
      <c r="F24" s="153"/>
      <c r="G24" s="153"/>
      <c r="H24" s="153"/>
      <c r="I24" s="153"/>
      <c r="J24" s="158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AM24" s="153"/>
      <c r="AQ24" s="153"/>
      <c r="AR24" s="153"/>
      <c r="DI24" s="153"/>
      <c r="DJ24" s="153"/>
    </row>
    <row r="25" spans="1:114">
      <c r="A25" s="153"/>
      <c r="B25" s="153" t="s">
        <v>184</v>
      </c>
      <c r="C25" s="158" t="s">
        <v>869</v>
      </c>
      <c r="D25" s="159"/>
      <c r="E25" s="153"/>
      <c r="F25" s="153"/>
      <c r="G25" s="153"/>
      <c r="H25" s="153"/>
      <c r="I25" s="153"/>
      <c r="J25" s="158"/>
      <c r="K25" s="153"/>
      <c r="L25" s="153"/>
      <c r="M25" s="153"/>
      <c r="N25" s="153"/>
      <c r="O25" s="153"/>
      <c r="P25" s="153"/>
      <c r="Q25" s="153"/>
      <c r="R25" s="153"/>
      <c r="S25" s="153"/>
      <c r="T25" s="153"/>
      <c r="U25" s="153"/>
      <c r="V25" s="153"/>
      <c r="W25" s="153"/>
      <c r="X25" s="153"/>
      <c r="Y25" s="153"/>
      <c r="AM25" s="153"/>
      <c r="AQ25" s="153"/>
      <c r="AR25" s="153"/>
      <c r="DI25" s="153"/>
      <c r="DJ25" s="153"/>
    </row>
    <row r="26" spans="1:114" s="153" customFormat="1" ht="16.5" customHeight="1">
      <c r="BE26" s="230"/>
      <c r="BF26" s="230"/>
      <c r="BN26" s="268"/>
      <c r="BO26" s="268"/>
      <c r="BP26" s="268"/>
      <c r="BQ26" s="189"/>
      <c r="BR26" s="268"/>
      <c r="BS26" s="268"/>
      <c r="BT26" s="268"/>
      <c r="BU26" s="189"/>
      <c r="BZ26" s="268"/>
      <c r="CA26" s="268"/>
      <c r="CB26" s="268"/>
      <c r="CC26" s="268"/>
      <c r="CD26" s="268"/>
      <c r="CE26" s="268"/>
      <c r="CF26" s="268"/>
      <c r="CG26" s="268"/>
      <c r="CH26" s="268"/>
      <c r="CI26" s="268"/>
      <c r="CM26" s="268"/>
      <c r="CO26" s="268"/>
      <c r="CR26" s="268"/>
      <c r="CS26" s="268"/>
      <c r="CT26" s="268"/>
      <c r="CU26" s="268"/>
      <c r="CV26" s="268"/>
      <c r="CW26" s="268"/>
      <c r="CX26" s="268"/>
      <c r="CY26" s="268"/>
      <c r="CZ26" s="268"/>
      <c r="DA26" s="268"/>
      <c r="DB26" s="268"/>
      <c r="DC26" s="268"/>
      <c r="DD26" s="268"/>
      <c r="DE26" s="268"/>
      <c r="DI26" s="10"/>
      <c r="DJ26" s="10"/>
    </row>
    <row r="27" spans="1:114" s="153" customFormat="1" ht="16.5" customHeight="1">
      <c r="A27" s="157"/>
      <c r="BE27" s="230"/>
      <c r="BF27" s="230"/>
      <c r="BN27" s="268"/>
      <c r="BO27" s="268"/>
      <c r="BP27" s="268"/>
      <c r="BQ27" s="189"/>
      <c r="BR27" s="268"/>
      <c r="BS27" s="268"/>
      <c r="BT27" s="268"/>
      <c r="BU27" s="189"/>
      <c r="BZ27" s="268"/>
      <c r="CA27" s="268"/>
      <c r="CB27" s="268"/>
      <c r="CC27" s="268"/>
      <c r="CD27" s="268"/>
      <c r="CE27" s="268"/>
      <c r="CF27" s="268"/>
      <c r="CG27" s="268"/>
      <c r="CH27" s="268"/>
      <c r="CI27" s="268"/>
      <c r="CM27" s="268"/>
      <c r="CO27" s="268"/>
      <c r="CR27" s="268"/>
      <c r="CS27" s="268"/>
      <c r="CT27" s="268"/>
      <c r="CU27" s="268"/>
      <c r="CV27" s="268"/>
      <c r="CW27" s="268"/>
      <c r="CX27" s="268"/>
      <c r="CY27" s="268"/>
      <c r="CZ27" s="268"/>
      <c r="DA27" s="268"/>
      <c r="DB27" s="268"/>
      <c r="DC27" s="268"/>
      <c r="DD27" s="268"/>
      <c r="DE27" s="268"/>
      <c r="DI27" s="10"/>
      <c r="DJ27" s="10"/>
    </row>
    <row r="28" spans="1:114">
      <c r="A28" s="153"/>
      <c r="B28" s="153"/>
      <c r="C28" s="158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AM28" s="153"/>
      <c r="AQ28" s="153"/>
      <c r="AR28" s="153"/>
    </row>
    <row r="29" spans="1:114">
      <c r="A29" s="153"/>
      <c r="B29" s="153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Q29" s="153"/>
      <c r="R29" s="153"/>
      <c r="S29" s="153"/>
      <c r="T29" s="153"/>
      <c r="U29" s="153"/>
      <c r="V29" s="153"/>
      <c r="W29" s="153"/>
      <c r="X29" s="153"/>
      <c r="Y29" s="153"/>
      <c r="AM29" s="153"/>
      <c r="AQ29" s="153"/>
      <c r="AR29" s="153"/>
    </row>
    <row r="30" spans="1:114">
      <c r="A30" s="153"/>
      <c r="B30" s="153"/>
      <c r="C30" s="153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153"/>
      <c r="U30" s="153"/>
      <c r="V30" s="153"/>
      <c r="W30" s="153"/>
      <c r="X30" s="153"/>
      <c r="Y30" s="153"/>
      <c r="AM30" s="153"/>
      <c r="AQ30" s="153"/>
      <c r="AR30" s="153"/>
    </row>
    <row r="31" spans="1:114">
      <c r="A31" s="153"/>
      <c r="B31" s="153"/>
      <c r="C31" s="153"/>
      <c r="D31" s="153"/>
      <c r="G31" s="153"/>
      <c r="J31" s="153"/>
      <c r="AM31" s="153"/>
    </row>
  </sheetData>
  <mergeCells count="21">
    <mergeCell ref="AR8:AS8"/>
    <mergeCell ref="AU8:AV8"/>
    <mergeCell ref="AX8:AY8"/>
    <mergeCell ref="AR3:AS3"/>
    <mergeCell ref="AU3:AV3"/>
    <mergeCell ref="AR6:AS6"/>
    <mergeCell ref="AU6:AV6"/>
    <mergeCell ref="AZ6:BA6"/>
    <mergeCell ref="AZ3:BA3"/>
    <mergeCell ref="AR4:AS4"/>
    <mergeCell ref="AU4:AV4"/>
    <mergeCell ref="AZ4:BA4"/>
    <mergeCell ref="AR5:AS5"/>
    <mergeCell ref="AU5:AV5"/>
    <mergeCell ref="AZ5:BA5"/>
    <mergeCell ref="BD3:BE3"/>
    <mergeCell ref="BF3:BG3"/>
    <mergeCell ref="BD4:BE4"/>
    <mergeCell ref="BF4:BG4"/>
    <mergeCell ref="BD5:BE5"/>
    <mergeCell ref="BF5:BG5"/>
  </mergeCells>
  <phoneticPr fontId="1"/>
  <conditionalFormatting sqref="D5:AL5">
    <cfRule type="expression" dxfId="173" priority="4">
      <formula>CELL("row")=ROW()</formula>
    </cfRule>
  </conditionalFormatting>
  <conditionalFormatting sqref="G5">
    <cfRule type="expression" dxfId="172" priority="5">
      <formula>G5&lt;&gt;""</formula>
    </cfRule>
  </conditionalFormatting>
  <conditionalFormatting sqref="L5">
    <cfRule type="expression" dxfId="171" priority="6">
      <formula>INDIRECT(ADDRESS(ROW(),COLUMN()))=TRUNC(INDIRECT(ADDRESS(ROW(),COLUMN())))</formula>
    </cfRule>
  </conditionalFormatting>
  <conditionalFormatting sqref="M5">
    <cfRule type="expression" dxfId="170" priority="3">
      <formula>INDIRECT(ADDRESS(ROW(),COLUMN()))=TRUNC(INDIRECT(ADDRESS(ROW(),COLUMN())))</formula>
    </cfRule>
  </conditionalFormatting>
  <conditionalFormatting sqref="O5">
    <cfRule type="expression" dxfId="169" priority="2">
      <formula>INDIRECT(ADDRESS(ROW(),COLUMN()))=TRUNC(INDIRECT(ADDRESS(ROW(),COLUMN())))</formula>
    </cfRule>
  </conditionalFormatting>
  <conditionalFormatting sqref="Q5:R5">
    <cfRule type="expression" dxfId="168" priority="1">
      <formula>INDIRECT(ADDRESS(ROW(),COLUMN()))=TRUNC(INDIRECT(ADDRESS(ROW(),COLUMN())))</formula>
    </cfRule>
  </conditionalFormatting>
  <dataValidations count="3">
    <dataValidation type="custom" allowBlank="1" showInputMessage="1" showErrorMessage="1" sqref="AZ3:BA3 AZ5:BA5">
      <formula1>AND(LEN(AZ3)=LENB(AZ3),LEN(AZ3)=10)</formula1>
    </dataValidation>
    <dataValidation type="date" allowBlank="1" showInputMessage="1" showErrorMessage="1" sqref="AR3:AS6 AU3:AV6">
      <formula1>36526</formula1>
      <formula2>73415</formula2>
    </dataValidation>
    <dataValidation type="custom" allowBlank="1" showInputMessage="1" showErrorMessage="1" sqref="AZ6:BA6">
      <formula1>AND(LEN(AZ6)=LENB(AZ6),LEN(AZ6)&lt;=10)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61"/>
  <sheetViews>
    <sheetView zoomScaleNormal="100" workbookViewId="0">
      <selection activeCell="F28" sqref="F28"/>
    </sheetView>
  </sheetViews>
  <sheetFormatPr defaultRowHeight="16.5" customHeight="1"/>
  <cols>
    <col min="1" max="1" width="9" style="10"/>
    <col min="2" max="2" width="3.5" style="10" customWidth="1"/>
    <col min="3" max="3" width="3.125" style="10" customWidth="1"/>
    <col min="4" max="4" width="3.25" style="97" customWidth="1"/>
    <col min="5" max="5" width="25.125" style="10" bestFit="1" customWidth="1"/>
    <col min="6" max="6" width="82.625" style="10" bestFit="1" customWidth="1"/>
    <col min="7" max="7" width="7.5" style="10" bestFit="1" customWidth="1"/>
    <col min="8" max="8" width="40.375" style="10" bestFit="1" customWidth="1"/>
    <col min="9" max="16384" width="9" style="10"/>
  </cols>
  <sheetData>
    <row r="5" spans="2:8" ht="16.5" customHeight="1">
      <c r="B5" s="504" t="s">
        <v>516</v>
      </c>
      <c r="C5" s="505"/>
      <c r="D5" s="505"/>
      <c r="E5" s="506"/>
      <c r="F5" s="147"/>
      <c r="G5" s="147"/>
      <c r="H5" s="148" t="s">
        <v>123</v>
      </c>
    </row>
    <row r="6" spans="2:8" ht="16.5" customHeight="1">
      <c r="B6" s="500" t="s">
        <v>799</v>
      </c>
      <c r="C6" s="501"/>
      <c r="D6" s="501"/>
      <c r="E6" s="502"/>
      <c r="F6" s="134" t="str">
        <f>F7&amp;F8&amp;F16&amp;UNKB0010_SQL_SORT&amp;F53</f>
        <v>SELECT *
 FROM V_KOBAI_KENSAKU_LIST
 WHERE 1=1 AND (1!=1 
 OR V_KOBAI_KENSAKU_LIST.KOBAI_KBN = 1
 OR V_KOBAI_KENSAKU_LIST.KOBAI_KBN = 2
 OR V_KOBAI_KENSAKU_LIST.KOBAI_KBN = 3
 OR V_KOBAI_KENSAKU_LIST.KOBAI_KBN = 4) AND (1!=1 
 OR V_KOBAI_KENSAKU_LIST.KOBAI_STS = 1
 OR V_KOBAI_KENSAKU_LIST.KOBAI_STS = 2
 OR V_KOBAI_KENSAKU_LIST.KOBAI_STS = 3
 OR V_KOBAI_KENSAKU_LIST.KOBAI_STS = 4
 OR V_KOBAI_KENSAKU_LIST.KOBAI_STS = 5
 OR V_KOBAI_KENSAKU_LIST.KOBAI_STS = 6)
  AND V_KOBAI_KENSAKU_LIST.DEL_FLG = 'FALSE'  ORDER BY V_KOBAI_KENSAKU_LIST.JURI_NO ASC
 OFFSET 0*50 ROWS
 FETCH NEXT 50 ROWS ONLY</v>
      </c>
      <c r="G6" s="134"/>
      <c r="H6" s="135" t="s">
        <v>800</v>
      </c>
    </row>
    <row r="7" spans="2:8" s="97" customFormat="1" ht="16.5" customHeight="1">
      <c r="B7" s="136"/>
      <c r="C7" s="503" t="s">
        <v>796</v>
      </c>
      <c r="D7" s="503"/>
      <c r="E7" s="503"/>
      <c r="F7" s="196" t="s">
        <v>881</v>
      </c>
      <c r="G7" s="138"/>
      <c r="H7" s="139"/>
    </row>
    <row r="8" spans="2:8" s="97" customFormat="1" ht="16.5" customHeight="1">
      <c r="B8" s="136"/>
      <c r="C8" s="503" t="s">
        <v>795</v>
      </c>
      <c r="D8" s="503"/>
      <c r="E8" s="503"/>
      <c r="F8" s="196" t="s">
        <v>883</v>
      </c>
      <c r="G8" s="138"/>
      <c r="H8" s="139"/>
    </row>
    <row r="9" spans="2:8" s="97" customFormat="1" ht="16.5" customHeight="1">
      <c r="B9" s="500" t="s">
        <v>802</v>
      </c>
      <c r="C9" s="501"/>
      <c r="D9" s="501"/>
      <c r="E9" s="502"/>
      <c r="F9" s="134" t="str">
        <f>F10&amp;F11&amp;F16</f>
        <v xml:space="preserve">SELECT
       V_KOBAI_EXCEL.*
  FROM V_KOBAI_KENSAKU_LIST
  LEFT JOIN 
       V_KOBAI_EXCEL
    ON V_KOBAI_EXCEL.KOBAI_NO = V_KOBAI_KENSAKU_LIST.KOBAI_NO
   AND V_KOBAI_EXCEL.IRAI_NO = V_KOBAI_KENSAKU_LIST.IRAI_NO
 WHERE 1=1 AND (1!=1 
 OR V_KOBAI_KENSAKU_LIST.KOBAI_KBN = 1
 OR V_KOBAI_KENSAKU_LIST.KOBAI_KBN = 2
 OR V_KOBAI_KENSAKU_LIST.KOBAI_KBN = 3
 OR V_KOBAI_KENSAKU_LIST.KOBAI_KBN = 4) AND (1!=1 
 OR V_KOBAI_KENSAKU_LIST.KOBAI_STS = 1
 OR V_KOBAI_KENSAKU_LIST.KOBAI_STS = 2
 OR V_KOBAI_KENSAKU_LIST.KOBAI_STS = 3
 OR V_KOBAI_KENSAKU_LIST.KOBAI_STS = 4
 OR V_KOBAI_KENSAKU_LIST.KOBAI_STS = 5
 OR V_KOBAI_KENSAKU_LIST.KOBAI_STS = 6)
  AND V_KOBAI_KENSAKU_LIST.DEL_FLG = 'FALSE' </v>
      </c>
      <c r="G9" s="134"/>
      <c r="H9" s="135" t="s">
        <v>803</v>
      </c>
    </row>
    <row r="10" spans="2:8" ht="16.5" customHeight="1">
      <c r="B10" s="136"/>
      <c r="C10" s="503" t="s">
        <v>796</v>
      </c>
      <c r="D10" s="503"/>
      <c r="E10" s="503"/>
      <c r="F10" s="137" t="s">
        <v>1873</v>
      </c>
      <c r="G10" s="138"/>
      <c r="H10" s="139"/>
    </row>
    <row r="11" spans="2:8" ht="16.5" customHeight="1">
      <c r="B11" s="136"/>
      <c r="C11" s="503" t="s">
        <v>795</v>
      </c>
      <c r="D11" s="503"/>
      <c r="E11" s="503"/>
      <c r="F11" s="137" t="s">
        <v>1874</v>
      </c>
      <c r="G11" s="138"/>
      <c r="H11" s="139"/>
    </row>
    <row r="12" spans="2:8" s="153" customFormat="1" ht="16.5" customHeight="1">
      <c r="B12" s="500" t="s">
        <v>864</v>
      </c>
      <c r="C12" s="501"/>
      <c r="D12" s="501"/>
      <c r="E12" s="502"/>
      <c r="F12" s="134" t="str">
        <f>F13&amp;F14&amp;F16</f>
        <v xml:space="preserve">SELECT COUNT(*) AS CNT
 FROM V_KOBAI_KENSAKU_LIST
 WHERE 1=1 AND (1!=1 
 OR V_KOBAI_KENSAKU_LIST.KOBAI_KBN = 1
 OR V_KOBAI_KENSAKU_LIST.KOBAI_KBN = 2
 OR V_KOBAI_KENSAKU_LIST.KOBAI_KBN = 3
 OR V_KOBAI_KENSAKU_LIST.KOBAI_KBN = 4) AND (1!=1 
 OR V_KOBAI_KENSAKU_LIST.KOBAI_STS = 1
 OR V_KOBAI_KENSAKU_LIST.KOBAI_STS = 2
 OR V_KOBAI_KENSAKU_LIST.KOBAI_STS = 3
 OR V_KOBAI_KENSAKU_LIST.KOBAI_STS = 4
 OR V_KOBAI_KENSAKU_LIST.KOBAI_STS = 5
 OR V_KOBAI_KENSAKU_LIST.KOBAI_STS = 6)
  AND V_KOBAI_KENSAKU_LIST.DEL_FLG = 'FALSE' </v>
      </c>
      <c r="G12" s="134"/>
      <c r="H12" s="135" t="s">
        <v>865</v>
      </c>
    </row>
    <row r="13" spans="2:8" s="153" customFormat="1" ht="16.5" customHeight="1">
      <c r="B13" s="136"/>
      <c r="C13" s="503" t="s">
        <v>124</v>
      </c>
      <c r="D13" s="503"/>
      <c r="E13" s="503"/>
      <c r="F13" s="196" t="s">
        <v>882</v>
      </c>
      <c r="G13" s="138"/>
      <c r="H13" s="139"/>
    </row>
    <row r="14" spans="2:8" s="153" customFormat="1" ht="16.5" customHeight="1">
      <c r="B14" s="136"/>
      <c r="C14" s="503" t="s">
        <v>795</v>
      </c>
      <c r="D14" s="503"/>
      <c r="E14" s="503"/>
      <c r="F14" s="196" t="s">
        <v>883</v>
      </c>
      <c r="G14" s="138"/>
      <c r="H14" s="139"/>
    </row>
    <row r="15" spans="2:8" s="97" customFormat="1" ht="16.5" customHeight="1">
      <c r="B15" s="500" t="s">
        <v>804</v>
      </c>
      <c r="C15" s="501"/>
      <c r="D15" s="501"/>
      <c r="E15" s="502"/>
      <c r="F15" s="134"/>
      <c r="G15" s="134"/>
      <c r="H15" s="135"/>
    </row>
    <row r="16" spans="2:8" ht="16.5" customHeight="1">
      <c r="B16" s="136"/>
      <c r="C16" s="503" t="s">
        <v>783</v>
      </c>
      <c r="D16" s="503"/>
      <c r="E16" s="503"/>
      <c r="F16" s="137" t="str">
        <f>" WHERE 1=1" &amp;F17 &amp; F23 &amp; F31 &amp; F32 &amp; F33 &amp; F34 &amp; F35 &amp; F36 &amp; F37 &amp; F38 &amp; F39 &amp; F40 &amp; F41 &amp; F42 &amp;F43 &amp; F44 &amp; F45 &amp; F46 &amp; F51</f>
        <v xml:space="preserve"> WHERE 1=1 AND (1!=1 
 OR V_KOBAI_KENSAKU_LIST.KOBAI_KBN = 1
 OR V_KOBAI_KENSAKU_LIST.KOBAI_KBN = 2
 OR V_KOBAI_KENSAKU_LIST.KOBAI_KBN = 3
 OR V_KOBAI_KENSAKU_LIST.KOBAI_KBN = 4) AND (1!=1 
 OR V_KOBAI_KENSAKU_LIST.KOBAI_STS = 1
 OR V_KOBAI_KENSAKU_LIST.KOBAI_STS = 2
 OR V_KOBAI_KENSAKU_LIST.KOBAI_STS = 3
 OR V_KOBAI_KENSAKU_LIST.KOBAI_STS = 4
 OR V_KOBAI_KENSAKU_LIST.KOBAI_STS = 5
 OR V_KOBAI_KENSAKU_LIST.KOBAI_STS = 6)
  AND V_KOBAI_KENSAKU_LIST.DEL_FLG = 'FALSE' </v>
      </c>
      <c r="G16" s="138"/>
      <c r="H16" s="139"/>
    </row>
    <row r="17" spans="2:8" s="97" customFormat="1" ht="16.5" customHeight="1">
      <c r="B17" s="136"/>
      <c r="C17" s="140"/>
      <c r="D17" s="493" t="s">
        <v>704</v>
      </c>
      <c r="E17" s="494"/>
      <c r="F17" s="137" t="str">
        <f>" AND (1!=1 "&amp; F18 &amp; F19 &amp; F20 &amp; F21 &amp; F22 &amp;")"</f>
        <v xml:space="preserve"> AND (1!=1 
 OR V_KOBAI_KENSAKU_LIST.KOBAI_KBN = 1
 OR V_KOBAI_KENSAKU_LIST.KOBAI_KBN = 2
 OR V_KOBAI_KENSAKU_LIST.KOBAI_KBN = 3
 OR V_KOBAI_KENSAKU_LIST.KOBAI_KBN = 4)</v>
      </c>
      <c r="G17" s="138"/>
      <c r="H17" s="139"/>
    </row>
    <row r="18" spans="2:8" ht="16.5" customHeight="1">
      <c r="B18" s="136"/>
      <c r="C18" s="141"/>
      <c r="D18" s="495"/>
      <c r="E18" s="142" t="s">
        <v>700</v>
      </c>
      <c r="F18" s="143" t="str">
        <f>IF(G18,"
 OR V_KOBAI_KENSAKU_LIST.KOBAI_KBN = 1","")</f>
        <v xml:space="preserve">
 OR V_KOBAI_KENSAKU_LIST.KOBAI_KBN = 1</v>
      </c>
      <c r="G18" s="143" t="b">
        <f>UNKB0010_H_KOBAIHIN_KBN_S</f>
        <v>1</v>
      </c>
      <c r="H18" s="144"/>
    </row>
    <row r="19" spans="2:8" ht="16.5" customHeight="1">
      <c r="B19" s="136"/>
      <c r="C19" s="141"/>
      <c r="D19" s="496"/>
      <c r="E19" s="142" t="s">
        <v>698</v>
      </c>
      <c r="F19" s="143" t="str">
        <f>IF(G19,"
 OR V_KOBAI_KENSAKU_LIST.KOBAI_KBN = 2","")</f>
        <v xml:space="preserve">
 OR V_KOBAI_KENSAKU_LIST.KOBAI_KBN = 2</v>
      </c>
      <c r="G19" s="143" t="b">
        <f>UNKB0010_H_GAICHU_KBN_S</f>
        <v>1</v>
      </c>
      <c r="H19" s="144"/>
    </row>
    <row r="20" spans="2:8" ht="16.5" customHeight="1">
      <c r="B20" s="136"/>
      <c r="C20" s="141"/>
      <c r="D20" s="496"/>
      <c r="E20" s="142" t="s">
        <v>699</v>
      </c>
      <c r="F20" s="143" t="str">
        <f>IF(G20,"
 OR V_KOBAI_KENSAKU_LIST.KOBAI_KBN = 3","")</f>
        <v xml:space="preserve">
 OR V_KOBAI_KENSAKU_LIST.KOBAI_KBN = 3</v>
      </c>
      <c r="G20" s="143" t="b">
        <f>UNKB0010_H_SHUZEN_KBN_S</f>
        <v>1</v>
      </c>
      <c r="H20" s="144"/>
    </row>
    <row r="21" spans="2:8" ht="16.5" customHeight="1">
      <c r="B21" s="136"/>
      <c r="C21" s="141"/>
      <c r="D21" s="496"/>
      <c r="E21" s="142" t="s">
        <v>701</v>
      </c>
      <c r="F21" s="143" t="str">
        <f>IF(G21,"
 OR V_KOBAI_KENSAKU_LIST.KOBAI_KBN = 4","")</f>
        <v xml:space="preserve">
 OR V_KOBAI_KENSAKU_LIST.KOBAI_KBN = 4</v>
      </c>
      <c r="G21" s="143" t="b">
        <f>UNKB0010_H_TOSHI_KBN_S</f>
        <v>1</v>
      </c>
      <c r="H21" s="144"/>
    </row>
    <row r="22" spans="2:8" ht="16.5" customHeight="1">
      <c r="B22" s="136"/>
      <c r="C22" s="141"/>
      <c r="D22" s="496"/>
      <c r="E22" s="142" t="s">
        <v>702</v>
      </c>
      <c r="F22" s="143" t="str">
        <f>IF(G22,"
 OR V_KOBAI_KENSAKU_LIST.KOBAI_KBN = 5","")</f>
        <v/>
      </c>
      <c r="G22" s="143" t="b">
        <f>UNKB0010_H_HANBAI_KBN_S</f>
        <v>0</v>
      </c>
      <c r="H22" s="144"/>
    </row>
    <row r="23" spans="2:8" s="97" customFormat="1" ht="16.5" customHeight="1">
      <c r="B23" s="136"/>
      <c r="C23" s="141"/>
      <c r="D23" s="493" t="s">
        <v>711</v>
      </c>
      <c r="E23" s="494"/>
      <c r="F23" s="137" t="str">
        <f>" AND (1!=1 "&amp; F24 &amp; F25 &amp; F26 &amp; F27 &amp; F28 &amp; F29 &amp; F30 &amp; ")"</f>
        <v xml:space="preserve"> AND (1!=1 
 OR V_KOBAI_KENSAKU_LIST.KOBAI_STS = 1
 OR V_KOBAI_KENSAKU_LIST.KOBAI_STS = 2
 OR V_KOBAI_KENSAKU_LIST.KOBAI_STS = 3
 OR V_KOBAI_KENSAKU_LIST.KOBAI_STS = 4
 OR V_KOBAI_KENSAKU_LIST.KOBAI_STS = 5
 OR V_KOBAI_KENSAKU_LIST.KOBAI_STS = 6)</v>
      </c>
      <c r="G23" s="138"/>
      <c r="H23" s="139"/>
    </row>
    <row r="24" spans="2:8" ht="16.5" customHeight="1">
      <c r="B24" s="136"/>
      <c r="C24" s="141"/>
      <c r="D24" s="495"/>
      <c r="E24" s="142" t="s">
        <v>705</v>
      </c>
      <c r="F24" s="143" t="str">
        <f>IF(G24,"
 OR V_KOBAI_KENSAKU_LIST.KOBAI_STS = 1","")</f>
        <v xml:space="preserve">
 OR V_KOBAI_KENSAKU_LIST.KOBAI_STS = 1</v>
      </c>
      <c r="G24" s="143" t="b">
        <f>UNKB0010_H_MISHONIN_STS_S</f>
        <v>1</v>
      </c>
      <c r="H24" s="144"/>
    </row>
    <row r="25" spans="2:8" ht="16.5" customHeight="1">
      <c r="B25" s="136"/>
      <c r="C25" s="141"/>
      <c r="D25" s="496"/>
      <c r="E25" s="142" t="s">
        <v>706</v>
      </c>
      <c r="F25" s="143" t="str">
        <f>IF(G25,"
 OR V_KOBAI_KENSAKU_LIST.KOBAI_STS = 2","")</f>
        <v xml:space="preserve">
 OR V_KOBAI_KENSAKU_LIST.KOBAI_STS = 2</v>
      </c>
      <c r="G25" s="143" t="b">
        <f>UNKB0010_H_IRAICHU_STS_S</f>
        <v>1</v>
      </c>
      <c r="H25" s="144"/>
    </row>
    <row r="26" spans="2:8" ht="16.5" customHeight="1">
      <c r="B26" s="136"/>
      <c r="C26" s="141"/>
      <c r="D26" s="496"/>
      <c r="E26" s="142" t="s">
        <v>707</v>
      </c>
      <c r="F26" s="143" t="str">
        <f>IF(G26,"
 OR V_KOBAI_KENSAKU_LIST.KOBAI_STS = 3","")</f>
        <v xml:space="preserve">
 OR V_KOBAI_KENSAKU_LIST.KOBAI_STS = 3</v>
      </c>
      <c r="G26" s="143" t="b">
        <f>UNKB0010_H_CHUMONSHO_STS_S</f>
        <v>1</v>
      </c>
      <c r="H26" s="144"/>
    </row>
    <row r="27" spans="2:8" ht="16.5" customHeight="1">
      <c r="B27" s="136"/>
      <c r="C27" s="141"/>
      <c r="D27" s="496"/>
      <c r="E27" s="142" t="s">
        <v>708</v>
      </c>
      <c r="F27" s="143" t="str">
        <f>IF(G27,"
 OR V_KOBAI_KENSAKU_LIST.KOBAI_STS = 4","")</f>
        <v xml:space="preserve">
 OR V_KOBAI_KENSAKU_LIST.KOBAI_STS = 4</v>
      </c>
      <c r="G27" s="143" t="b">
        <f>UNKB0010_H_ICHIBU_STS_S</f>
        <v>1</v>
      </c>
      <c r="H27" s="144"/>
    </row>
    <row r="28" spans="2:8" ht="16.5" customHeight="1">
      <c r="B28" s="136"/>
      <c r="C28" s="141"/>
      <c r="D28" s="496"/>
      <c r="E28" s="142" t="s">
        <v>709</v>
      </c>
      <c r="F28" s="143" t="str">
        <f>IF(G28,"
 OR V_KOBAI_KENSAKU_LIST.KOBAI_STS = 5","")</f>
        <v xml:space="preserve">
 OR V_KOBAI_KENSAKU_LIST.KOBAI_STS = 5</v>
      </c>
      <c r="G28" s="143" t="b">
        <f>UNKB0010_H_NYUKA_STS_S</f>
        <v>1</v>
      </c>
      <c r="H28" s="144"/>
    </row>
    <row r="29" spans="2:8" s="230" customFormat="1" ht="16.5" customHeight="1">
      <c r="B29" s="136"/>
      <c r="C29" s="141"/>
      <c r="D29" s="496"/>
      <c r="E29" s="142" t="s">
        <v>710</v>
      </c>
      <c r="F29" s="143" t="str">
        <f>IF(G29,"
 OR V_KOBAI_KENSAKU_LIST.KOBAI_STS = 6","")</f>
        <v xml:space="preserve">
 OR V_KOBAI_KENSAKU_LIST.KOBAI_STS = 6</v>
      </c>
      <c r="G29" s="143" t="b">
        <f>UNKB0010_H_KENSHU_STS_S</f>
        <v>1</v>
      </c>
      <c r="H29" s="144"/>
    </row>
    <row r="30" spans="2:8" ht="16.5" customHeight="1">
      <c r="B30" s="136"/>
      <c r="C30" s="141"/>
      <c r="D30" s="496"/>
      <c r="E30" s="142" t="s">
        <v>710</v>
      </c>
      <c r="F30" s="143" t="str">
        <f>IF(G30,"
 OR V_KOBAI_KENSAKU_LIST.KOBAI_STS = -1","")</f>
        <v/>
      </c>
      <c r="G30" s="143" t="b">
        <f>UNKB0010_H_JIGO_STS_S</f>
        <v>0</v>
      </c>
      <c r="H30" s="144"/>
    </row>
    <row r="31" spans="2:8" ht="16.5" customHeight="1">
      <c r="B31" s="136"/>
      <c r="C31" s="141"/>
      <c r="D31" s="492" t="s">
        <v>731</v>
      </c>
      <c r="E31" s="492"/>
      <c r="F31" s="145" t="str">
        <f>IF(G31," AND CONVERT(VARCHAR,V_KOBAI_KENSAKU_LIST.SHINSEI_DATETIME,111) &gt;= '"&amp;TEXT(UNKB0010_H_SHINSEI_DATE_START_S,"YYYY/MM/DD")&amp;"'","")</f>
        <v/>
      </c>
      <c r="G31" s="138" t="b">
        <f>NOT(ISBLANK(UNKB0010_H_SHINSEI_DATE_START_S))</f>
        <v>0</v>
      </c>
      <c r="H31" s="139"/>
    </row>
    <row r="32" spans="2:8" ht="16.5" customHeight="1">
      <c r="B32" s="136"/>
      <c r="C32" s="141"/>
      <c r="D32" s="492" t="s">
        <v>733</v>
      </c>
      <c r="E32" s="492"/>
      <c r="F32" s="145" t="str">
        <f>IF(G32," AND CONVERT(VARCHAR,V_KOBAI_KENSAKU_LIST.SHINSEI_DATETIME,111) &lt;= '"&amp;TEXT(UNKB0010_H_SHINSEI_DATE_END_S,"YYYY/MM/DD")&amp;"'","")</f>
        <v/>
      </c>
      <c r="G32" s="138" t="b">
        <f>NOT(ISBLANK(UNKB0010_H_SHINSEI_DATE_END_S))</f>
        <v>0</v>
      </c>
      <c r="H32" s="139"/>
    </row>
    <row r="33" spans="2:8" ht="16.5" customHeight="1">
      <c r="B33" s="136"/>
      <c r="C33" s="141"/>
      <c r="D33" s="492" t="s">
        <v>735</v>
      </c>
      <c r="E33" s="492" t="s">
        <v>735</v>
      </c>
      <c r="F33" s="145" t="str">
        <f>IF(G33," AND V_KOBAI_KENSAKU_LIST.NOKI &gt;=  '"&amp;TEXT(UNKB0010_H_NOKI_START_S,"YYYY/MM/DD")&amp;"'","")</f>
        <v/>
      </c>
      <c r="G33" s="138" t="b">
        <f>NOT(ISBLANK(UNKB0010_H_NOKI_START_S))</f>
        <v>0</v>
      </c>
      <c r="H33" s="139"/>
    </row>
    <row r="34" spans="2:8" ht="16.5" customHeight="1">
      <c r="B34" s="136"/>
      <c r="C34" s="141"/>
      <c r="D34" s="492" t="s">
        <v>736</v>
      </c>
      <c r="E34" s="492" t="s">
        <v>736</v>
      </c>
      <c r="F34" s="145" t="str">
        <f>IF(G34," AND V_KOBAI_KENSAKU_LIST.NOKI &lt;=  '"&amp;TEXT(UNKB0010_H_NOKI_END_S,"YYYY/MM/DD")&amp;"'","")</f>
        <v/>
      </c>
      <c r="G34" s="138" t="b">
        <f>NOT(ISBLANK(UNKB0010_H_NOKI_END_S))</f>
        <v>0</v>
      </c>
      <c r="H34" s="139"/>
    </row>
    <row r="35" spans="2:8" ht="16.5" customHeight="1">
      <c r="B35" s="136"/>
      <c r="C35" s="141"/>
      <c r="D35" s="492" t="s">
        <v>737</v>
      </c>
      <c r="E35" s="492" t="s">
        <v>737</v>
      </c>
      <c r="F35" s="145" t="str">
        <f>IF(G35," AND V_KOBAI_KENSAKU_LIST.UKEIRE_DATE &gt;=  '"&amp;TEXT(UNKB0010_H_UKEIRE_DATE_START_S,"YYYY/MM/DD")&amp;"'","")</f>
        <v/>
      </c>
      <c r="G35" s="138" t="b">
        <f>NOT(ISBLANK(UNKB0010_H_UKEIRE_DATE_START_S))</f>
        <v>0</v>
      </c>
      <c r="H35" s="139"/>
    </row>
    <row r="36" spans="2:8" ht="16.5" customHeight="1">
      <c r="B36" s="136"/>
      <c r="C36" s="141"/>
      <c r="D36" s="492" t="s">
        <v>738</v>
      </c>
      <c r="E36" s="492" t="s">
        <v>738</v>
      </c>
      <c r="F36" s="145" t="str">
        <f>IF(G36," AND V_KOBAI_KENSAKU_LIST.UKEIRE_DATE &lt;=  '"&amp;TEXT(UNKB0010_H_UKEIRE_DATE_END_S,"YYYY/MM/DD")&amp;"'","")</f>
        <v/>
      </c>
      <c r="G36" s="138" t="b">
        <f>NOT(ISBLANK(UNKB0010_H_UKEIRE_DATE_END_S))</f>
        <v>0</v>
      </c>
      <c r="H36" s="139"/>
    </row>
    <row r="37" spans="2:8" ht="16.5" customHeight="1">
      <c r="B37" s="136"/>
      <c r="C37" s="141"/>
      <c r="D37" s="492" t="s">
        <v>739</v>
      </c>
      <c r="E37" s="492" t="s">
        <v>739</v>
      </c>
      <c r="F37" s="145" t="str">
        <f>IF(G37," AND V_KOBAI_KENSAKU_LIST.KENSHU_DATE &gt;=  '"&amp;TEXT(UNKB0010_H_KENSHU_DATE_START_S,"YYYY/MM/DD")&amp;"'","")</f>
        <v/>
      </c>
      <c r="G37" s="138" t="b">
        <f>NOT(ISBLANK(UNKB0010_H_KENSHU_DATE_START_S))</f>
        <v>0</v>
      </c>
      <c r="H37" s="139"/>
    </row>
    <row r="38" spans="2:8" ht="16.5" customHeight="1">
      <c r="B38" s="136"/>
      <c r="C38" s="141"/>
      <c r="D38" s="492" t="s">
        <v>740</v>
      </c>
      <c r="E38" s="492" t="s">
        <v>740</v>
      </c>
      <c r="F38" s="145" t="str">
        <f>IF(G38," AND V_KOBAI_KENSAKU_LIST.KENSHU_DATE &lt;=  '"&amp;TEXT(UNKB0010_H_KENSHU_DATE_END_S,"YYYY/MM/DD")&amp;"'","")</f>
        <v/>
      </c>
      <c r="G38" s="138" t="b">
        <f>NOT(ISBLANK(UNKB0010_H_KENSHU_DATE_END_S))</f>
        <v>0</v>
      </c>
      <c r="H38" s="139"/>
    </row>
    <row r="39" spans="2:8" ht="16.5" customHeight="1">
      <c r="B39" s="136"/>
      <c r="C39" s="141"/>
      <c r="D39" s="492" t="s">
        <v>741</v>
      </c>
      <c r="E39" s="492" t="s">
        <v>741</v>
      </c>
      <c r="F39" s="145" t="str">
        <f>IF(G39," AND V_KOBAI_KENSAKU_LIST.KOBAI_NO = " &amp; "'" &amp; UNKB0010_H_KOBAI_NO_S &amp; "'","")</f>
        <v/>
      </c>
      <c r="G39" s="138" t="b">
        <f>NOT(ISBLANK(UNKB0010_H_KOBAI_NO_S))</f>
        <v>0</v>
      </c>
      <c r="H39" s="139"/>
    </row>
    <row r="40" spans="2:8" ht="16.5" customHeight="1">
      <c r="B40" s="136"/>
      <c r="C40" s="141"/>
      <c r="D40" s="492" t="s">
        <v>114</v>
      </c>
      <c r="E40" s="492" t="s">
        <v>114</v>
      </c>
      <c r="F40" s="145" t="str">
        <f>IF(G40," AND V_KOBAI_KENSAKU_LIST.SHINSEISHA_CD= " &amp; "'" &amp; UNKB0010_H_SHINSEISHA_CD_S &amp; "'","")</f>
        <v/>
      </c>
      <c r="G40" s="138" t="b">
        <f>NOT(ISBLANK(UNKB0010_H_SHINSEISHA_MEI_S))</f>
        <v>0</v>
      </c>
      <c r="H40" s="139"/>
    </row>
    <row r="41" spans="2:8" s="97" customFormat="1" ht="16.5" customHeight="1">
      <c r="B41" s="136"/>
      <c r="C41" s="141"/>
      <c r="D41" s="492" t="s">
        <v>743</v>
      </c>
      <c r="E41" s="492" t="s">
        <v>743</v>
      </c>
      <c r="F41" s="145" t="str">
        <f>IF(G41," AND V_KOBAI_KENSAKU_LIST.JURI_NO = " &amp; "'" &amp; UNKB0010_H_JURI_NO_S &amp; "'","")</f>
        <v/>
      </c>
      <c r="G41" s="138" t="b">
        <f>NOT(ISBLANK(UNKB0010_H_JURI_NO_S))</f>
        <v>0</v>
      </c>
      <c r="H41" s="139"/>
    </row>
    <row r="42" spans="2:8" s="97" customFormat="1" ht="16.5" customHeight="1">
      <c r="B42" s="136"/>
      <c r="C42" s="141"/>
      <c r="D42" s="492" t="s">
        <v>744</v>
      </c>
      <c r="E42" s="492" t="s">
        <v>744</v>
      </c>
      <c r="F42" s="145" t="str">
        <f>IF(G42," AND V_KOBAI_KENSAKU_LIST.YOSAN_CD = " &amp; "'" &amp; UNKB0010_H_YOSAN_CD_S &amp; "'","")</f>
        <v/>
      </c>
      <c r="G42" s="138" t="b">
        <f>NOT(ISBLANK(UNKB0010_H_YOSAN_CD_S))</f>
        <v>0</v>
      </c>
      <c r="H42" s="139"/>
    </row>
    <row r="43" spans="2:8" s="97" customFormat="1" ht="16.5" customHeight="1">
      <c r="B43" s="136"/>
      <c r="C43" s="141"/>
      <c r="D43" s="492" t="s">
        <v>747</v>
      </c>
      <c r="E43" s="492" t="s">
        <v>747</v>
      </c>
      <c r="F43" s="145" t="str">
        <f>IF(G43," AND V_KOBAI_KENSAKU_LIST.KOBAIHIN_CD = " &amp; "'" &amp; UNKB0010_H_KOBAIHIN_CD_S &amp; "'","")</f>
        <v/>
      </c>
      <c r="G43" s="138" t="b">
        <f>NOT(ISBLANK(UNKB0010_H_KOBAIHIN_CD_S))</f>
        <v>0</v>
      </c>
      <c r="H43" s="139"/>
    </row>
    <row r="44" spans="2:8" s="97" customFormat="1" ht="16.5" customHeight="1">
      <c r="B44" s="136"/>
      <c r="C44" s="141"/>
      <c r="D44" s="492" t="s">
        <v>58</v>
      </c>
      <c r="E44" s="492" t="s">
        <v>59</v>
      </c>
      <c r="F44" s="145" t="str">
        <f>IF(G44," AND V_KOBAI_KENSAKU_LIST.SHIIRE_CD = " &amp; "'" &amp; UNKB0010_H_SHIIRE_CD_S &amp; "'","")</f>
        <v/>
      </c>
      <c r="G44" s="138" t="b">
        <f>NOT(ISBLANK(UNKB0010_H_SHIIRE_CD_S))</f>
        <v>0</v>
      </c>
      <c r="H44" s="139"/>
    </row>
    <row r="45" spans="2:8" s="97" customFormat="1" ht="16.5" customHeight="1">
      <c r="B45" s="136"/>
      <c r="C45" s="141"/>
      <c r="D45" s="492" t="s">
        <v>75</v>
      </c>
      <c r="E45" s="492" t="s">
        <v>75</v>
      </c>
      <c r="F45" s="145" t="str">
        <f>IF(G45," AND V_KOBAI_KENSAKU_LIST.MAKER_CD = " &amp; "'" &amp; UNKB0010_H_MAKER_CD_S &amp; "'","")</f>
        <v/>
      </c>
      <c r="G45" s="138" t="b">
        <f>NOT(ISBLANK(UNKB0010_H_MAKER_CD_S))</f>
        <v>0</v>
      </c>
      <c r="H45" s="139"/>
    </row>
    <row r="46" spans="2:8" s="97" customFormat="1" ht="16.5" customHeight="1">
      <c r="B46" s="136"/>
      <c r="C46" s="141"/>
      <c r="D46" s="493" t="s">
        <v>785</v>
      </c>
      <c r="E46" s="494"/>
      <c r="F46" s="138" t="str">
        <f>IF(G46," AND "&amp; IF(UNKB0010_H_FREEWD_KBN_S=3,"NOT","") &amp;"("&amp; IF(G47,F47,"") &amp; IF(G48,F48,"") &amp;IF(G49,F49,"") &amp;" )","")</f>
        <v/>
      </c>
      <c r="G46" s="138" t="b">
        <f>OR(G47,G48,G49)</f>
        <v>0</v>
      </c>
      <c r="H46" s="139"/>
    </row>
    <row r="47" spans="2:8" s="97" customFormat="1" ht="16.5" customHeight="1">
      <c r="B47" s="136"/>
      <c r="C47" s="141"/>
      <c r="D47" s="495"/>
      <c r="E47" s="142" t="s">
        <v>784</v>
      </c>
      <c r="F47" s="144" t="str">
        <f>IF(G47," V_KOBAI_KENSAKU_LIST.FREEWD LIKE '%"&amp; UNKB0010_H_FREEWD_1_S &amp; "%'","")</f>
        <v/>
      </c>
      <c r="G47" s="143" t="b">
        <f>NOT(ISBLANK(UNKB0010_H_FREEWD_1_S))</f>
        <v>0</v>
      </c>
      <c r="H47" s="144"/>
    </row>
    <row r="48" spans="2:8" s="97" customFormat="1" ht="16.5" customHeight="1">
      <c r="B48" s="136"/>
      <c r="C48" s="141"/>
      <c r="D48" s="496"/>
      <c r="E48" s="142" t="s">
        <v>778</v>
      </c>
      <c r="F48" s="144" t="str">
        <f>IF(G48," "&amp;IF(G47, F50, "") &amp;" V_KOBAI_KENSAKU_LIST.FREEWD LIKE '%"&amp; UNKB0010_H_FREEWD_2_S &amp; "%'","")</f>
        <v/>
      </c>
      <c r="G48" s="143" t="b">
        <f>NOT(ISBLANK(UNKB0010_H_FREEWD_2_S))</f>
        <v>0</v>
      </c>
      <c r="H48" s="144"/>
    </row>
    <row r="49" spans="2:10" s="97" customFormat="1" ht="16.5" customHeight="1">
      <c r="B49" s="136"/>
      <c r="C49" s="141"/>
      <c r="D49" s="496"/>
      <c r="E49" s="142" t="s">
        <v>689</v>
      </c>
      <c r="F49" s="144" t="str">
        <f>IF(G49," "&amp;IF(OR(G47,G48),F50,"") &amp; " V_KOBAI_KENSAKU_LIST.FREEWD LIKE '%"&amp; UNKB0010_H_FREEWD_3_S &amp; "%'","")</f>
        <v/>
      </c>
      <c r="G49" s="143" t="b">
        <f>NOT(ISBLANK(UNKB0010_H_FREEWD_3_S))</f>
        <v>0</v>
      </c>
      <c r="H49" s="144"/>
    </row>
    <row r="50" spans="2:10" ht="16.5" customHeight="1">
      <c r="B50" s="136"/>
      <c r="C50" s="141"/>
      <c r="D50" s="496"/>
      <c r="E50" s="142" t="s">
        <v>695</v>
      </c>
      <c r="F50" s="144" t="str">
        <f>IF(UNKB0010_H_FREEWD_KBN_S=1, "AND",IF(UNKB0010_H_FREEWD_KBN_S=2,"OR","AND"))</f>
        <v>AND</v>
      </c>
      <c r="G50" s="143"/>
      <c r="H50" s="144"/>
      <c r="J50" s="97"/>
    </row>
    <row r="51" spans="2:10" s="97" customFormat="1" ht="16.5" customHeight="1">
      <c r="B51" s="136"/>
      <c r="C51" s="141"/>
      <c r="D51" s="493" t="s">
        <v>791</v>
      </c>
      <c r="E51" s="494"/>
      <c r="F51" s="138" t="str">
        <f>IF(G51,"","
  AND V_KOBAI_KENSAKU_LIST.DEL_FLG = "&amp;"'"&amp;G51&amp;"' ")</f>
        <v xml:space="preserve">
  AND V_KOBAI_KENSAKU_LIST.DEL_FLG = 'FALSE' </v>
      </c>
      <c r="G51" s="138" t="b">
        <f>UNKB0010_H_DEL_FLG_S</f>
        <v>0</v>
      </c>
      <c r="H51" s="139"/>
    </row>
    <row r="52" spans="2:10" ht="16.5" customHeight="1">
      <c r="B52" s="136"/>
      <c r="C52" s="503" t="s">
        <v>797</v>
      </c>
      <c r="D52" s="503"/>
      <c r="E52" s="503"/>
      <c r="F52" s="196" t="s">
        <v>884</v>
      </c>
      <c r="G52" s="138"/>
      <c r="H52" s="146" t="s">
        <v>801</v>
      </c>
    </row>
    <row r="53" spans="2:10" ht="16.5" customHeight="1">
      <c r="B53" s="184"/>
      <c r="C53" s="492" t="s">
        <v>798</v>
      </c>
      <c r="D53" s="492"/>
      <c r="E53" s="492"/>
      <c r="F53" s="137" t="str">
        <f xml:space="preserve"> " OFFSET "&amp;(UNKB0010_B_PAGE_NO-1)&amp;"*"&amp;UNKB0010_B_HYOJI_GYO_SU&amp;" ROWS
 FETCH NEXT "&amp;UNKB0010_B_HYOJI_GYO_SU&amp;" ROWS ONLY"</f>
        <v xml:space="preserve"> OFFSET 0*50 ROWS
 FETCH NEXT 50 ROWS ONLY</v>
      </c>
      <c r="G53" s="138"/>
      <c r="H53" s="139"/>
    </row>
    <row r="54" spans="2:10" s="153" customFormat="1" ht="16.5" customHeight="1"/>
    <row r="55" spans="2:10" s="153" customFormat="1" ht="16.5" customHeight="1"/>
    <row r="56" spans="2:10" s="153" customFormat="1" ht="16.5" customHeight="1">
      <c r="B56" s="500" t="s">
        <v>866</v>
      </c>
      <c r="C56" s="501"/>
      <c r="D56" s="501"/>
      <c r="E56" s="502"/>
      <c r="F56" s="134"/>
      <c r="G56" s="134"/>
      <c r="H56" s="135"/>
    </row>
    <row r="57" spans="2:10" s="153" customFormat="1" ht="16.5" customHeight="1">
      <c r="B57" s="185"/>
      <c r="C57" s="497" t="s">
        <v>797</v>
      </c>
      <c r="D57" s="498"/>
      <c r="E57" s="499"/>
      <c r="F57" s="137" t="s">
        <v>1231</v>
      </c>
      <c r="G57" s="138"/>
      <c r="H57" s="139" t="s">
        <v>867</v>
      </c>
    </row>
    <row r="58" spans="2:10" s="153" customFormat="1" ht="16.5" customHeight="1"/>
    <row r="59" spans="2:10" s="153" customFormat="1" ht="16.5" customHeight="1"/>
    <row r="60" spans="2:10" ht="16.5" customHeight="1">
      <c r="B60" s="500" t="s">
        <v>583</v>
      </c>
      <c r="C60" s="501"/>
      <c r="D60" s="501"/>
      <c r="E60" s="502"/>
      <c r="F60" s="49"/>
      <c r="G60" s="49"/>
      <c r="H60" s="135" t="s">
        <v>123</v>
      </c>
    </row>
    <row r="61" spans="2:10" ht="16.5" customHeight="1">
      <c r="B61" s="51"/>
      <c r="C61" s="497" t="s">
        <v>797</v>
      </c>
      <c r="D61" s="498"/>
      <c r="E61" s="499"/>
      <c r="F61" s="186" t="s">
        <v>1728</v>
      </c>
      <c r="G61" s="53"/>
      <c r="H61" s="54" t="s">
        <v>805</v>
      </c>
    </row>
  </sheetData>
  <mergeCells count="40">
    <mergeCell ref="B12:E12"/>
    <mergeCell ref="C13:E13"/>
    <mergeCell ref="C14:E14"/>
    <mergeCell ref="B56:E56"/>
    <mergeCell ref="C57:E57"/>
    <mergeCell ref="D18:D22"/>
    <mergeCell ref="D24:D30"/>
    <mergeCell ref="D32:E32"/>
    <mergeCell ref="D31:E31"/>
    <mergeCell ref="D40:E40"/>
    <mergeCell ref="D41:E41"/>
    <mergeCell ref="D42:E42"/>
    <mergeCell ref="D43:E43"/>
    <mergeCell ref="D34:E34"/>
    <mergeCell ref="D35:E35"/>
    <mergeCell ref="D36:E36"/>
    <mergeCell ref="C61:E61"/>
    <mergeCell ref="B60:E60"/>
    <mergeCell ref="C52:E52"/>
    <mergeCell ref="C53:E53"/>
    <mergeCell ref="B5:E5"/>
    <mergeCell ref="B6:E6"/>
    <mergeCell ref="B9:E9"/>
    <mergeCell ref="C7:E7"/>
    <mergeCell ref="C8:E8"/>
    <mergeCell ref="B15:E15"/>
    <mergeCell ref="D33:E33"/>
    <mergeCell ref="D17:E17"/>
    <mergeCell ref="D23:E23"/>
    <mergeCell ref="C11:E11"/>
    <mergeCell ref="C10:E10"/>
    <mergeCell ref="C16:E16"/>
    <mergeCell ref="D37:E37"/>
    <mergeCell ref="D38:E38"/>
    <mergeCell ref="D39:E39"/>
    <mergeCell ref="D51:E51"/>
    <mergeCell ref="D44:E44"/>
    <mergeCell ref="D45:E45"/>
    <mergeCell ref="D47:D50"/>
    <mergeCell ref="D46:E46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P10"/>
  <sheetViews>
    <sheetView showGridLines="0" showRowColHeaders="0" topLeftCell="F1" zoomScaleNormal="100" workbookViewId="0">
      <selection sqref="A1:E1"/>
    </sheetView>
  </sheetViews>
  <sheetFormatPr defaultRowHeight="16.5"/>
  <cols>
    <col min="1" max="1" width="9" style="45" hidden="1" customWidth="1"/>
    <col min="2" max="2" width="10.875" style="45" hidden="1" customWidth="1"/>
    <col min="3" max="3" width="31.625" style="45" hidden="1" customWidth="1"/>
    <col min="4" max="4" width="20.625" style="45" hidden="1" customWidth="1"/>
    <col min="5" max="5" width="9" style="45" hidden="1" customWidth="1"/>
    <col min="6" max="6" width="3.375" style="11" customWidth="1"/>
    <col min="7" max="16" width="11.75" style="11" customWidth="1"/>
    <col min="17" max="17" width="3.625" style="11" customWidth="1"/>
    <col min="18" max="16384" width="9" style="11"/>
  </cols>
  <sheetData>
    <row r="1" spans="1:16" s="12" customFormat="1" ht="19.5">
      <c r="A1" s="94"/>
      <c r="B1" s="94"/>
      <c r="C1" s="94"/>
      <c r="D1" s="94"/>
      <c r="E1" s="94"/>
      <c r="F1" s="12" t="s">
        <v>77</v>
      </c>
      <c r="H1" s="12" t="str">
        <f>"【"&amp;
IF(UNKB0020_IF_MODE=1,"新規作成",
IF(UNKB0020_IF_MODE=2,"修正","参照"))
&amp;"モード】"</f>
        <v>【参照モード】</v>
      </c>
    </row>
    <row r="2" spans="1:16">
      <c r="B2" s="45" t="s">
        <v>112</v>
      </c>
      <c r="C2" s="46" t="s">
        <v>118</v>
      </c>
      <c r="D2" s="47"/>
    </row>
    <row r="3" spans="1:16">
      <c r="B3" s="45" t="s">
        <v>113</v>
      </c>
      <c r="C3" s="46" t="s">
        <v>119</v>
      </c>
      <c r="D3" s="47" t="str">
        <f>ADDRESS(ROW(A1),COLUMN(A1))&amp;":"&amp;ADDRESS(ROW(E1),COLUMN(E1))</f>
        <v>$A$1:$E$1</v>
      </c>
      <c r="G3" s="31" t="s">
        <v>317</v>
      </c>
      <c r="H3" s="114"/>
      <c r="J3" s="13" t="s">
        <v>78</v>
      </c>
      <c r="K3" s="507"/>
      <c r="L3" s="508"/>
      <c r="M3" s="508"/>
      <c r="N3" s="508"/>
      <c r="O3" s="508"/>
      <c r="P3" s="509"/>
    </row>
    <row r="4" spans="1:16">
      <c r="G4" s="13" t="s">
        <v>79</v>
      </c>
      <c r="H4" s="23"/>
      <c r="J4" s="31" t="s">
        <v>80</v>
      </c>
      <c r="K4" s="115" t="s">
        <v>144</v>
      </c>
      <c r="L4" s="13"/>
    </row>
    <row r="5" spans="1:16">
      <c r="B5" s="45" t="s">
        <v>81</v>
      </c>
      <c r="C5" s="45" t="s">
        <v>120</v>
      </c>
      <c r="D5" s="95"/>
    </row>
    <row r="6" spans="1:16">
      <c r="H6" s="32" t="s">
        <v>81</v>
      </c>
      <c r="I6" s="32" t="s">
        <v>82</v>
      </c>
      <c r="J6" s="32" t="s">
        <v>83</v>
      </c>
      <c r="K6" s="32" t="s">
        <v>84</v>
      </c>
    </row>
    <row r="7" spans="1:16">
      <c r="D7" s="414" t="s">
        <v>259</v>
      </c>
      <c r="H7" s="43">
        <f>UNKB0020_H_TAX_RATE</f>
        <v>0</v>
      </c>
      <c r="I7" s="44">
        <f ca="1">IF(UNKB0020_B_GYO_COUNT=0,0,
ROUNDDOWN(SUM(OFFSET(UNKB0020_B_TOTAL_KINGAKU,1,0,UNKB0020_B_GYO_COUNT)),0))</f>
        <v>0</v>
      </c>
      <c r="J7" s="44">
        <f>IF(UNKB0020_B_GYO_COUNT=0,0,ROUNDDOWN(UNKB0020_H_NUKI_TOTAL*UNKB0020_H_TAX_RATE,0))</f>
        <v>0</v>
      </c>
      <c r="K7" s="44">
        <f>IF(UNKB0020_B_GYO_COUNT=0,0,UNKB0020_H_NUKI_TOTAL+UNKB0020_H_TAX)</f>
        <v>0</v>
      </c>
    </row>
    <row r="8" spans="1:16">
      <c r="B8" s="45" t="s">
        <v>114</v>
      </c>
      <c r="C8" s="45" t="s">
        <v>121</v>
      </c>
      <c r="D8" s="48"/>
    </row>
    <row r="9" spans="1:16">
      <c r="B9" s="45" t="s">
        <v>116</v>
      </c>
      <c r="C9" s="45" t="s">
        <v>117</v>
      </c>
      <c r="D9" s="96"/>
      <c r="K9" s="41"/>
    </row>
    <row r="10" spans="1:16">
      <c r="B10" s="45" t="s">
        <v>115</v>
      </c>
      <c r="C10" s="45" t="s">
        <v>122</v>
      </c>
      <c r="D10" s="76">
        <f ca="1">IF(OR(UNKB0020_H_KOBAI_KBN="",ISERROR(VLOOKUP(UNKB0020_H_KOBAI_KBN,OFFSET(UNKB0020_IF_LIST_KOBAI_KBN_START,0,0,UNKB0020_IF_LIST_KOBAI_KBN_KENSU,2),2,0))=TRUE),1,
VLOOKUP(UNKB0020_H_KOBAI_KBN,OFFSET(UNKB0020_IF_LIST_KOBAI_KBN_START,0,0,UNKB0020_IF_LIST_KOBAI_KBN_KENSU,2),2,0))</f>
        <v>1</v>
      </c>
    </row>
  </sheetData>
  <sheetProtection sheet="1" objects="1" scenarios="1" selectLockedCells="1"/>
  <mergeCells count="1">
    <mergeCell ref="K3:P3"/>
  </mergeCells>
  <phoneticPr fontId="1"/>
  <conditionalFormatting sqref="K4">
    <cfRule type="expression" dxfId="167" priority="2">
      <formula>UNKB0020_B_GYO_COUNT&gt;=1</formula>
    </cfRule>
  </conditionalFormatting>
  <conditionalFormatting sqref="F1:XFD1">
    <cfRule type="expression" dxfId="166" priority="1">
      <formula>UNKB0020_IF_MODE=2</formula>
    </cfRule>
  </conditionalFormatting>
  <dataValidations count="2">
    <dataValidation type="custom" allowBlank="1" showInputMessage="1" showErrorMessage="1" sqref="K3:P3">
      <formula1>LENB(K3)&lt;=80</formula1>
    </dataValidation>
    <dataValidation type="list" allowBlank="1" showInputMessage="1" showErrorMessage="1" sqref="K4">
      <formula1>UNKB0020_IF_LIST_KOBAI_KBN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AQ74"/>
  <sheetViews>
    <sheetView showGridLines="0" showRowColHeaders="0" topLeftCell="F26" zoomScaleNormal="100" zoomScaleSheetLayoutView="85" workbookViewId="0">
      <selection activeCell="A25" sqref="A25:E25 J26:W26"/>
    </sheetView>
  </sheetViews>
  <sheetFormatPr defaultRowHeight="16.5" customHeight="1"/>
  <cols>
    <col min="1" max="1" width="9" style="45" hidden="1" customWidth="1"/>
    <col min="2" max="2" width="19.25" style="45" hidden="1" customWidth="1"/>
    <col min="3" max="3" width="40.625" style="45" hidden="1" customWidth="1"/>
    <col min="4" max="5" width="9" style="45" hidden="1" customWidth="1"/>
    <col min="6" max="6" width="3.375" style="11" customWidth="1"/>
    <col min="7" max="7" width="3.375" style="93" customWidth="1"/>
    <col min="8" max="8" width="10.25" style="93" customWidth="1"/>
    <col min="9" max="9" width="5" style="93" customWidth="1"/>
    <col min="10" max="23" width="5" style="93" hidden="1" customWidth="1"/>
    <col min="24" max="24" width="9.125" style="93" bestFit="1" customWidth="1"/>
    <col min="25" max="25" width="28.25" style="437" customWidth="1"/>
    <col min="26" max="32" width="8" style="93" customWidth="1"/>
    <col min="33" max="33" width="10" style="93" bestFit="1" customWidth="1"/>
    <col min="34" max="34" width="12.5" style="93" customWidth="1"/>
    <col min="35" max="35" width="10" style="93" bestFit="1" customWidth="1"/>
    <col min="36" max="36" width="22.5" style="93" customWidth="1"/>
    <col min="37" max="37" width="10.125" style="93" customWidth="1"/>
    <col min="38" max="38" width="22.5" style="93" customWidth="1"/>
    <col min="39" max="40" width="11.875" style="93" bestFit="1" customWidth="1"/>
    <col min="41" max="41" width="25" style="93" customWidth="1"/>
    <col min="42" max="42" width="9.75" style="93" bestFit="1" customWidth="1"/>
    <col min="43" max="43" width="12.875" style="93" customWidth="1"/>
    <col min="44" max="44" width="3.75" style="93" customWidth="1"/>
    <col min="45" max="16384" width="9" style="93"/>
  </cols>
  <sheetData>
    <row r="1" ht="3" hidden="1" customHeight="1"/>
    <row r="2" ht="3" hidden="1" customHeight="1"/>
    <row r="3" ht="3" hidden="1" customHeight="1"/>
    <row r="4" ht="3" hidden="1" customHeight="1"/>
    <row r="5" ht="3" hidden="1" customHeight="1"/>
    <row r="6" ht="3" hidden="1" customHeight="1"/>
    <row r="7" ht="3" hidden="1" customHeight="1"/>
    <row r="8" ht="3" hidden="1" customHeight="1"/>
    <row r="9" ht="3" hidden="1" customHeight="1"/>
    <row r="10" ht="3" hidden="1" customHeight="1"/>
    <row r="11" ht="3" hidden="1" customHeight="1"/>
    <row r="12" ht="3" hidden="1" customHeight="1"/>
    <row r="13" ht="3" hidden="1" customHeight="1"/>
    <row r="14" ht="3" hidden="1" customHeight="1"/>
    <row r="15" ht="3" hidden="1" customHeight="1"/>
    <row r="16" ht="3" hidden="1" customHeight="1"/>
    <row r="17" spans="2:43" ht="3" hidden="1" customHeight="1"/>
    <row r="18" spans="2:43" ht="3" hidden="1" customHeight="1"/>
    <row r="19" spans="2:43" ht="3" hidden="1" customHeight="1"/>
    <row r="20" spans="2:43" ht="3" hidden="1" customHeight="1"/>
    <row r="21" spans="2:43" ht="3" hidden="1" customHeight="1"/>
    <row r="22" spans="2:43" ht="3" hidden="1" customHeight="1"/>
    <row r="23" spans="2:43" ht="3" hidden="1" customHeight="1"/>
    <row r="24" spans="2:43" ht="3" hidden="1" customHeight="1"/>
    <row r="25" spans="2:43" ht="16.5" hidden="1" customHeight="1"/>
    <row r="26" spans="2:43">
      <c r="B26" s="45" t="s">
        <v>112</v>
      </c>
      <c r="C26" s="45" t="s">
        <v>177</v>
      </c>
      <c r="D26" s="47" t="str">
        <f>ROW(A1)&amp;":"&amp;ROW(A25)</f>
        <v>1:25</v>
      </c>
      <c r="F26" s="33"/>
      <c r="G26" s="34" t="s">
        <v>85</v>
      </c>
      <c r="H26" s="34" t="s">
        <v>40</v>
      </c>
      <c r="I26" s="34" t="s">
        <v>86</v>
      </c>
      <c r="J26" s="23" t="s">
        <v>149</v>
      </c>
      <c r="K26" s="23" t="s">
        <v>150</v>
      </c>
      <c r="L26" s="23" t="s">
        <v>151</v>
      </c>
      <c r="M26" s="23" t="s">
        <v>152</v>
      </c>
      <c r="N26" s="23" t="s">
        <v>62</v>
      </c>
      <c r="O26" s="23" t="s">
        <v>59</v>
      </c>
      <c r="P26" s="23" t="s">
        <v>61</v>
      </c>
      <c r="Q26" s="23" t="s">
        <v>496</v>
      </c>
      <c r="R26" s="23" t="s">
        <v>153</v>
      </c>
      <c r="S26" s="23" t="s">
        <v>154</v>
      </c>
      <c r="T26" s="23" t="s">
        <v>155</v>
      </c>
      <c r="U26" s="23" t="s">
        <v>156</v>
      </c>
      <c r="V26" s="334" t="s">
        <v>1790</v>
      </c>
      <c r="W26" s="23" t="s">
        <v>241</v>
      </c>
      <c r="X26" s="34" t="s">
        <v>45</v>
      </c>
      <c r="Y26" s="438" t="s">
        <v>46</v>
      </c>
      <c r="Z26" s="36" t="s">
        <v>47</v>
      </c>
      <c r="AA26" s="34" t="s">
        <v>48</v>
      </c>
      <c r="AB26" s="34" t="s">
        <v>51</v>
      </c>
      <c r="AC26" s="36" t="s">
        <v>50</v>
      </c>
      <c r="AD26" s="34" t="s">
        <v>49</v>
      </c>
      <c r="AE26" s="34" t="s">
        <v>52</v>
      </c>
      <c r="AF26" s="34" t="s">
        <v>53</v>
      </c>
      <c r="AG26" s="34" t="s">
        <v>54</v>
      </c>
      <c r="AH26" s="34" t="s">
        <v>57</v>
      </c>
      <c r="AI26" s="36" t="s">
        <v>58</v>
      </c>
      <c r="AJ26" s="34" t="s">
        <v>59</v>
      </c>
      <c r="AK26" s="34" t="s">
        <v>60</v>
      </c>
      <c r="AL26" s="34" t="s">
        <v>61</v>
      </c>
      <c r="AM26" s="34" t="s">
        <v>62</v>
      </c>
      <c r="AN26" s="34" t="s">
        <v>63</v>
      </c>
      <c r="AO26" s="34" t="s">
        <v>64</v>
      </c>
      <c r="AP26" s="34" t="s">
        <v>42</v>
      </c>
      <c r="AQ26" s="34" t="s">
        <v>66</v>
      </c>
    </row>
    <row r="27" spans="2:43" ht="16.5" customHeight="1">
      <c r="B27" s="45" t="s">
        <v>113</v>
      </c>
      <c r="C27" s="45" t="s">
        <v>178</v>
      </c>
      <c r="D27" s="47" t="str">
        <f>ADDRESS(ROW(A25),COLUMN(A25))&amp;":"&amp;ADDRESS(ROW(E25),COLUMN(E25))&amp;","&amp;
ADDRESS(ROW(UNKB0020_B_JOGAI_FLG),COLUMN(UNKB0020_B_JOGAI_FLG))&amp;":"&amp;ADDRESS(ROW(UNKB0020_B_KOBAIHIN_KBN),COLUMN(UNKB0020_B_KOBAIHIN_KBN))</f>
        <v>$A$25:$E$25,$J$26:$W$26</v>
      </c>
    </row>
    <row r="28" spans="2:43" ht="16.5" customHeight="1">
      <c r="B28" s="45" t="s">
        <v>157</v>
      </c>
      <c r="C28" s="45" t="s">
        <v>179</v>
      </c>
      <c r="D28" s="47" t="str">
        <f ca="1">ADDRESS(ROW(INDIRECT(UNKB0020_B_LIST_START)),COLUMN(UNKB0020_B_TANKA))</f>
        <v>$Z$27</v>
      </c>
    </row>
    <row r="31" spans="2:43" ht="16.5" customHeight="1">
      <c r="B31" s="45" t="s">
        <v>158</v>
      </c>
      <c r="C31" s="45" t="s">
        <v>176</v>
      </c>
      <c r="D31" s="47" t="str">
        <f>ADDRESS(ROW(UNKB0020_B_GYO)+1,COLUMN(UNKB0020_B_GYO))</f>
        <v>$G$27</v>
      </c>
    </row>
    <row r="33" spans="2:4" ht="16.5" customHeight="1">
      <c r="B33" s="45" t="s">
        <v>159</v>
      </c>
      <c r="C33" s="45" t="s">
        <v>170</v>
      </c>
      <c r="D33" s="47"/>
    </row>
    <row r="34" spans="2:4" ht="16.5" customHeight="1">
      <c r="B34" s="45" t="s">
        <v>160</v>
      </c>
      <c r="C34" s="45" t="s">
        <v>171</v>
      </c>
      <c r="D34" s="47">
        <f>UNKB0020_B_GYO_COUNT+1</f>
        <v>1</v>
      </c>
    </row>
    <row r="35" spans="2:4" ht="16.5" customHeight="1">
      <c r="B35" s="45" t="s">
        <v>161</v>
      </c>
      <c r="C35" s="45" t="s">
        <v>172</v>
      </c>
      <c r="D35" s="47">
        <f>UNKB0020_B_GYO_COUNT-1</f>
        <v>-1</v>
      </c>
    </row>
    <row r="37" spans="2:4" ht="16.5" customHeight="1">
      <c r="B37" s="45" t="s">
        <v>471</v>
      </c>
      <c r="C37" s="45" t="s">
        <v>468</v>
      </c>
      <c r="D37" s="47" t="str">
        <f>IF(UNKB0020_IF_ACTIVE_ROW="","","UNKB0020_B!"&amp;ADDRESS(UNKB0020_IF_ACTIVE_ROW,COLUMN(UNKB0020_B_KOBAIHIN_CD)))</f>
        <v>UNKB0020_B!$X$4</v>
      </c>
    </row>
    <row r="38" spans="2:4" ht="16.5" customHeight="1">
      <c r="B38" s="45" t="s">
        <v>472</v>
      </c>
      <c r="C38" s="45" t="s">
        <v>469</v>
      </c>
      <c r="D38" s="47" t="str">
        <f>IF(UNKB0020_IF_ACTIVE_ROW="","","UNKB0020_B!"&amp;ADDRESS(UNKB0020_IF_ACTIVE_ROW,COLUMN(UNKB0020_B_KOBAIHIN_MEI)))</f>
        <v>UNKB0020_B!$Y$4</v>
      </c>
    </row>
    <row r="39" spans="2:4" ht="16.5" customHeight="1">
      <c r="B39" s="45" t="s">
        <v>1792</v>
      </c>
      <c r="C39" s="45" t="s">
        <v>1793</v>
      </c>
      <c r="D39" s="47" t="str">
        <f>IF(UNKB0020_IF_ACTIVE_ROW="","","UNKB0020_B!"&amp;ADDRESS(UNKB0020_IF_ACTIVE_ROW,COLUMN(UNKB0020_B_SHIYAKU_FLG)))</f>
        <v>UNKB0020_B!$V$4</v>
      </c>
    </row>
    <row r="40" spans="2:4" ht="16.5" customHeight="1">
      <c r="B40" s="45" t="s">
        <v>563</v>
      </c>
      <c r="C40" s="45" t="s">
        <v>564</v>
      </c>
      <c r="D40" s="47" t="str">
        <f>IF(UNKB0020_IF_ACTIVE_ROW="","","UNKB0020_B!"&amp;ADDRESS(UNKB0020_IF_ACTIVE_ROW,COLUMN(UNKB0020_B_TANKA)))</f>
        <v>UNKB0020_B!$Z$4</v>
      </c>
    </row>
    <row r="41" spans="2:4" ht="16.5" customHeight="1">
      <c r="B41" s="45" t="s">
        <v>162</v>
      </c>
      <c r="C41" s="45" t="s">
        <v>173</v>
      </c>
      <c r="D41" s="47" t="str">
        <f>IF(UNKB0020_IF_ACTIVE_ROW="","","UNKB0020_B!"&amp;ADDRESS(UNKB0020_IF_ACTIVE_ROW,COLUMN(UNKB0020_B_IRISU)))</f>
        <v>UNKB0020_B!$AA$4</v>
      </c>
    </row>
    <row r="42" spans="2:4" ht="16.5" customHeight="1">
      <c r="B42" s="45" t="s">
        <v>163</v>
      </c>
      <c r="C42" s="45" t="s">
        <v>470</v>
      </c>
      <c r="D42" s="47" t="str">
        <f>IF(UNKB0020_IF_ACTIVE_ROW="","","UNKB0020_B!"&amp;ADDRESS(UNKB0020_IF_ACTIVE_ROW,COLUMN(UNKB0020_B_IRISU_TANI)))</f>
        <v>UNKB0020_B!$AD$4</v>
      </c>
    </row>
    <row r="43" spans="2:4" ht="16.5" customHeight="1">
      <c r="B43" s="45" t="s">
        <v>164</v>
      </c>
      <c r="C43" s="45" t="s">
        <v>174</v>
      </c>
      <c r="D43" s="47" t="str">
        <f>IF(UNKB0020_IF_ACTIVE_ROW="","","UNKB0020_B!"&amp;ADDRESS(UNKB0020_IF_ACTIVE_ROW,COLUMN(UNKB0020_B_BARA_TANI)))</f>
        <v>UNKB0020_B!$AB$4</v>
      </c>
    </row>
    <row r="44" spans="2:4" ht="16.5" customHeight="1">
      <c r="B44" s="45" t="s">
        <v>456</v>
      </c>
      <c r="C44" s="45" t="s">
        <v>457</v>
      </c>
      <c r="D44" s="47" t="str">
        <f>IF(UNKB0020_IF_ACTIVE_ROW="","","UNKB0020_B!"&amp;ADDRESS(UNKB0020_IF_ACTIVE_ROW,COLUMN(UNKB0020_B_HOKAN_BASHO_KBN)))</f>
        <v>UNKB0020_B!$M$4</v>
      </c>
    </row>
    <row r="45" spans="2:4" ht="16.5" customHeight="1">
      <c r="B45" s="45" t="s">
        <v>446</v>
      </c>
      <c r="C45" s="45" t="s">
        <v>458</v>
      </c>
      <c r="D45" s="47" t="str">
        <f>IF(UNKB0020_IF_ACTIVE_ROW="","","UNKB0020_B!"&amp;ADDRESS(UNKB0020_IF_ACTIVE_ROW,COLUMN(UNKB0020_B_HOKAN_BASHO)))</f>
        <v>UNKB0020_B!$AH$4</v>
      </c>
    </row>
    <row r="46" spans="2:4" ht="16.5" customHeight="1">
      <c r="B46" s="45" t="s">
        <v>447</v>
      </c>
      <c r="C46" s="45" t="s">
        <v>459</v>
      </c>
      <c r="D46" s="47" t="str">
        <f>IF(UNKB0020_IF_ACTIVE_ROW="","","UNKB0020_B!"&amp;ADDRESS(UNKB0020_IF_ACTIVE_ROW,COLUMN(UNKB0020_B_SHIIRE_CD)))</f>
        <v>UNKB0020_B!$AI$4</v>
      </c>
    </row>
    <row r="47" spans="2:4" ht="16.5" customHeight="1">
      <c r="B47" s="45" t="s">
        <v>448</v>
      </c>
      <c r="C47" s="45" t="s">
        <v>460</v>
      </c>
      <c r="D47" s="47" t="str">
        <f>IF(UNKB0020_IF_ACTIVE_ROW="","","UNKB0020_B!"&amp;ADDRESS(UNKB0020_IF_ACTIVE_ROW,COLUMN(UNKB0020_B_SHIIRE_MEI)))</f>
        <v>UNKB0020_B!$O$4</v>
      </c>
    </row>
    <row r="48" spans="2:4" ht="16.5" customHeight="1">
      <c r="B48" s="45" t="s">
        <v>497</v>
      </c>
      <c r="C48" s="45" t="s">
        <v>551</v>
      </c>
      <c r="D48" s="47" t="str">
        <f>IF(UNKB0020_IF_ACTIVE_ROW="","","UNKB0020_B!"&amp;ADDRESS(UNKB0020_IF_ACTIVE_ROW,COLUMN(UNKB0020_B_SHIIRE_HASU_KBN)))</f>
        <v>UNKB0020_B!$Q$4</v>
      </c>
    </row>
    <row r="49" spans="2:4" ht="16.5" customHeight="1">
      <c r="B49" s="45" t="s">
        <v>449</v>
      </c>
      <c r="C49" s="45" t="s">
        <v>461</v>
      </c>
      <c r="D49" s="47" t="str">
        <f>IF(UNKB0020_IF_ACTIVE_ROW="","","UNKB0020_B!"&amp;ADDRESS(UNKB0020_IF_ACTIVE_ROW,COLUMN(UNKB0020_B_MAKER_CD)))</f>
        <v>UNKB0020_B!$AK$4</v>
      </c>
    </row>
    <row r="50" spans="2:4" ht="16.5" customHeight="1">
      <c r="B50" s="45" t="s">
        <v>450</v>
      </c>
      <c r="C50" s="45" t="s">
        <v>462</v>
      </c>
      <c r="D50" s="47" t="str">
        <f>IF(UNKB0020_IF_ACTIVE_ROW="","","UNKB0020_B!"&amp;ADDRESS(UNKB0020_IF_ACTIVE_ROW,COLUMN(UNKB0020_B_MAKER_MEI)))</f>
        <v>UNKB0020_B!$P$4</v>
      </c>
    </row>
    <row r="51" spans="2:4" ht="16.5" customHeight="1">
      <c r="B51" s="45" t="s">
        <v>451</v>
      </c>
      <c r="C51" s="45" t="s">
        <v>463</v>
      </c>
      <c r="D51" s="47" t="str">
        <f>IF(UNKB0020_IF_ACTIVE_ROW="","","UNKB0020_B!"&amp;ADDRESS(UNKB0020_IF_ACTIVE_ROW,COLUMN(UNKB0020_B_YOSAN_CD)))</f>
        <v>UNKB0020_B!$AM$4</v>
      </c>
    </row>
    <row r="52" spans="2:4" ht="16.5" customHeight="1">
      <c r="B52" s="45" t="s">
        <v>452</v>
      </c>
      <c r="C52" s="45" t="s">
        <v>464</v>
      </c>
      <c r="D52" s="47" t="str">
        <f>IF(UNKB0020_IF_ACTIVE_ROW="","","UNKB0020_B!"&amp;ADDRESS(UNKB0020_IF_ACTIVE_ROW,COLUMN(UNKB0020_B_YOSAN_CD_MEI)))</f>
        <v>UNKB0020_B!$N$4</v>
      </c>
    </row>
    <row r="53" spans="2:4" ht="16.5" customHeight="1">
      <c r="B53" s="45" t="s">
        <v>453</v>
      </c>
      <c r="C53" s="45" t="s">
        <v>465</v>
      </c>
      <c r="D53" s="47" t="str">
        <f>IF(UNKB0020_IF_ACTIVE_ROW="","","UNKB0020_B!"&amp;ADDRESS(UNKB0020_IF_ACTIVE_ROW,COLUMN(UNKB0020_B_JURI_NO)))</f>
        <v>UNKB0020_B!$AN$4</v>
      </c>
    </row>
    <row r="54" spans="2:4" ht="16.5" customHeight="1">
      <c r="B54" s="45" t="s">
        <v>454</v>
      </c>
      <c r="C54" s="45" t="s">
        <v>466</v>
      </c>
      <c r="D54" s="47" t="str">
        <f>IF(UNKB0020_IF_ACTIVE_ROW="","","UNKB0020_B!"&amp;ADDRESS(UNKB0020_IF_ACTIVE_ROW,COLUMN(UNKB0020_B_STS_CD)))</f>
        <v>UNKB0020_B!$L$4</v>
      </c>
    </row>
    <row r="55" spans="2:4" ht="16.5" customHeight="1">
      <c r="B55" s="45" t="s">
        <v>455</v>
      </c>
      <c r="C55" s="45" t="s">
        <v>467</v>
      </c>
      <c r="D55" s="47" t="str">
        <f>IF(UNKB0020_IF_ACTIVE_ROW="","","UNKB0020_B!"&amp;ADDRESS(UNKB0020_IF_ACTIVE_ROW,COLUMN(UNKB0020_B_STS)))</f>
        <v>UNKB0020_B!$AP$4</v>
      </c>
    </row>
    <row r="56" spans="2:4" ht="16.5" customHeight="1">
      <c r="B56" s="45" t="s">
        <v>107</v>
      </c>
      <c r="C56" s="45" t="s">
        <v>565</v>
      </c>
      <c r="D56" s="47" t="str">
        <f>IF(UNKB0020_IF_ACTIVE_ROW="","","UNKB0020_B!"&amp;ADDRESS(UNKB0020_IF_ACTIVE_ROW,COLUMN(UNKB0020_B_NOKI)))</f>
        <v>UNKB0020_B!$AG$4</v>
      </c>
    </row>
    <row r="58" spans="2:4" ht="16.5" customHeight="1">
      <c r="B58" s="45" t="s">
        <v>405</v>
      </c>
      <c r="C58" s="45" t="s">
        <v>406</v>
      </c>
      <c r="D58" s="47" t="str">
        <f>IF(UNKB0020_IF_MODE=0,"UNKB0020_IF_COPY_B_SANSHO","UNKB0020_IF_COPY_B_"&amp;UNKB0020_H_KOBAI_KBN_CD)</f>
        <v>UNKB0020_IF_COPY_B_SANSHO</v>
      </c>
    </row>
    <row r="59" spans="2:4" ht="16.5" customHeight="1">
      <c r="B59" s="45" t="s">
        <v>413</v>
      </c>
      <c r="C59" s="45" t="s">
        <v>414</v>
      </c>
      <c r="D59" s="47" t="str">
        <f ca="1">IF(UNKB0020_IF_MEISAI_SANSHO_FLG=1,
"UNKB0020_B!"&amp;ADDRESS(UNKB0020_IF_ACTIVE_ROW,COLUMN(INDIRECT(UNKB0020_B_LIST_START)))&amp;":"&amp;
ADDRESS(UNKB0020_IF_ACTIVE_ROW,COLUMN(INDIRECT(UNKB0020_B_LIST_START))+COLUMNS(INDIRECT(UNKB0020_B_COPY_MOTO_NAME))-1),
"UNKB0020_IF!"&amp;ADDRESS(ROW(INDIRECT(UNKB0020_B_COPY_MOTO_NAME)),COLUMN(INDIRECT(UNKB0020_B_COPY_MOTO_NAME)))&amp;":"&amp;
ADDRESS(ROW(INDIRECT(UNKB0020_B_COPY_MOTO_NAME)),COLUMN(INDIRECT(UNKB0020_B_COPY_MOTO_NAME))+COLUMNS(INDIRECT(UNKB0020_B_COPY_MOTO_NAME))-1))</f>
        <v>UNKB0020_IF!$AE$25:$BO$25</v>
      </c>
    </row>
    <row r="60" spans="2:4" ht="16.5" customHeight="1">
      <c r="B60" s="45" t="s">
        <v>572</v>
      </c>
      <c r="C60" s="45" t="s">
        <v>573</v>
      </c>
      <c r="D60" s="47" t="str">
        <f ca="1">IF(UNKB0020_B_GYO_COUNT=0,"",
"UNKB0020_B!"&amp;ADDRESS(ROW(INDIRECT(UNKB0020_B_LIST_START)),COLUMN(INDIRECT(UNKB0020_B_LIST_START)))&amp;":"&amp;
ADDRESS(ROW(INDIRECT(UNKB0020_B_LIST_START))+UNKB0020_B_GYO_COUNT-1,COLUMN(INDIRECT(UNKB0020_B_LIST_START))+COLUMNS(INDIRECT(UNKB0020_B_COPY_MOTO_NAME))-1))</f>
        <v/>
      </c>
    </row>
    <row r="61" spans="2:4" ht="16.5" customHeight="1">
      <c r="B61" s="45" t="s">
        <v>617</v>
      </c>
      <c r="C61" s="45" t="s">
        <v>618</v>
      </c>
      <c r="D61" s="47" t="str">
        <f>IF(UNKB0020_IF_MODE=0,
"UNKB0020_IF!"&amp;ADDRESS(ROW(UNKB0020_IF_COPY_B_GYO_SUSHIKI_SANSHO),COLUMN(UNKB0020_IF_COPY_B_GYO_SUSHIKI_SANSHO))&amp;":"&amp;
ADDRESS(ROW(UNKB0020_IF_COPY_B_GYO_SUSHIKI_SANSHO),COLUMN(UNKB0020_IF_COPY_B_GYO_SUSHIKI_SANSHO)+COLUMNS(UNKB0020_IF_COPY_B_GYO_SUSHIKI_SANSHO)-1),
"UNKB0020_IF!"&amp;ADDRESS(ROW(UNKB0020_IF_COPY_B_GYO_SUSHIKI),COLUMN(UNKB0020_IF_COPY_B_GYO_SUSHIKI))&amp;":"&amp;
ADDRESS(ROW(UNKB0020_IF_COPY_B_GYO_SUSHIKI),COLUMN(UNKB0020_IF_COPY_B_GYO_SUSHIKI)+COLUMNS(UNKB0020_IF_COPY_B_GYO_SUSHIKI)-1,
))</f>
        <v>UNKB0020_IF!$AE$25:$AG$25</v>
      </c>
    </row>
    <row r="62" spans="2:4" ht="16.5" customHeight="1">
      <c r="B62" s="45" t="s">
        <v>165</v>
      </c>
      <c r="C62" s="45" t="s">
        <v>445</v>
      </c>
      <c r="D62" s="47" t="str">
        <f ca="1">IF(UNKB0020_B_GYO_COUNT=0,"",
"UNKB0020_B!"&amp;ADDRESS(ROW(INDIRECT(UNKB0020_B_LIST_START)),COLUMN(INDIRECT(UNKB0020_B_LIST_START)))&amp;":"&amp;
ADDRESS(ROW(INDIRECT(UNKB0020_B_LIST_START))+UNKB0020_B_GYO_COUNT-1,COLUMN(INDIRECT(UNKB0020_B_LIST_START))+COLUMNS(UNKB0020_IF_COPY_B_GYO_SUSHIKI)-1))</f>
        <v/>
      </c>
    </row>
    <row r="63" spans="2:4" ht="16.5" customHeight="1">
      <c r="B63" s="45" t="s">
        <v>394</v>
      </c>
      <c r="C63" s="45" t="s">
        <v>574</v>
      </c>
      <c r="D63" s="47" t="str">
        <f ca="1">IF(UNKB0020_B_GYO_COUNT=0,"",
"UNKB0020_B!"&amp;ADDRESS(ROW(INDIRECT(UNKB0020_B_LIST_START)),COLUMN(UNKB0020_B_SOSU))&amp;":"&amp;
ADDRESS(ROW(INDIRECT(UNKB0020_B_LIST_START))+UNKB0020_B_GYO_COUNT-1,COLUMN(UNKB0020_B_SOSU)))</f>
        <v/>
      </c>
    </row>
    <row r="64" spans="2:4" ht="16.5" customHeight="1">
      <c r="B64" s="45" t="s">
        <v>578</v>
      </c>
      <c r="C64" s="45" t="s">
        <v>575</v>
      </c>
      <c r="D64" s="47" t="str">
        <f ca="1">IF(UNKB0020_B_GYO_COUNT=0,"",
"UNKB0020_B!"&amp;ADDRESS(ROW(INDIRECT(UNKB0020_B_LIST_START)),COLUMN(UNKB0020_B_TOTAL_KINGAKU))&amp;":"&amp;
ADDRESS(ROW(INDIRECT(UNKB0020_B_LIST_START))+UNKB0020_B_GYO_COUNT-1,COLUMN(UNKB0020_B_TOTAL_KINGAKU)))</f>
        <v/>
      </c>
    </row>
    <row r="65" spans="2:4" ht="16.5" customHeight="1">
      <c r="B65" s="45" t="s">
        <v>579</v>
      </c>
      <c r="C65" s="45" t="s">
        <v>576</v>
      </c>
      <c r="D65" s="47" t="str">
        <f ca="1">IF(UNKB0020_B_GYO_COUNT=0,"",
"UNKB0020_B!"&amp;ADDRESS(ROW(INDIRECT(UNKB0020_B_LIST_START)),COLUMN(UNKB0020_B_SHIIRE_MEI_DISP))&amp;":"&amp;
ADDRESS(ROW(INDIRECT(UNKB0020_B_LIST_START))+UNKB0020_B_GYO_COUNT-1,COLUMN(UNKB0020_B_SHIIRE_MEI_DISP)))</f>
        <v/>
      </c>
    </row>
    <row r="66" spans="2:4" ht="16.5" customHeight="1">
      <c r="B66" s="45" t="s">
        <v>580</v>
      </c>
      <c r="C66" s="45" t="s">
        <v>577</v>
      </c>
      <c r="D66" s="47" t="str">
        <f ca="1">IF(UNKB0020_B_GYO_COUNT=0,"",
"UNKB0020_B!"&amp;ADDRESS(ROW(INDIRECT(UNKB0020_B_LIST_START)),COLUMN(UNKB0020_B_MAKER_MEI_DISP))&amp;":"&amp;
ADDRESS(ROW(INDIRECT(UNKB0020_B_LIST_START))+UNKB0020_B_GYO_COUNT-1,COLUMN(UNKB0020_B_MAKER_MEI_DISP)))</f>
        <v/>
      </c>
    </row>
    <row r="67" spans="2:4" ht="16.5" customHeight="1">
      <c r="B67" s="45" t="s">
        <v>166</v>
      </c>
      <c r="C67" s="45" t="s">
        <v>581</v>
      </c>
      <c r="D67" s="47" t="str">
        <f ca="1">"UNKB0020_B!"&amp;ADDRESS(ROW(INDIRECT(UNKB0020_B_LIST_START)),COLUMN(INDIRECT(UNKB0020_B_LIST_START)))&amp;":"&amp;
ADDRESS(ROW(INDIRECT(UNKB0020_B_LIST_START))+99,COLUMN(INDIRECT(UNKB0020_B_LIST_START))+COLUMNS(INDIRECT(UNKB0020_B_COPY_MOTO_NAME))-1)</f>
        <v>UNKB0020_B!$G$27:$AQ$126</v>
      </c>
    </row>
    <row r="69" spans="2:4" ht="16.5" customHeight="1">
      <c r="B69" s="45" t="s">
        <v>167</v>
      </c>
      <c r="C69" s="45" t="s">
        <v>582</v>
      </c>
      <c r="D69" s="47" t="str">
        <f ca="1">IF(OR(UNKB0020_B_GYO_COUNT=0,UNKB0020_IF_ACTIVE_ROW&lt;ROW(INDIRECT(UNKB0020_B_LIST_START))),
"UNKB0020_B!"&amp;ADDRESS(ROW(INDIRECT(UNKB0020_B_LIST_START)),COLUMN(INDIRECT(UNKB0020_B_LIST_START)))&amp;":"&amp;ADDRESS(ROW(INDIRECT(UNKB0020_B_LIST_START)),COLUMN(INDIRECT(UNKB0020_B_LIST_START))+COLUMNS(UNKB0020_IF_COPY_B_CLEAR)-1),
"UNKB0020_B!"&amp;ADDRESS(UNKB0020_IF_ACTIVE_ROW+1,COLUMN(INDIRECT(UNKB0020_B_LIST_START)))&amp;":"&amp;ADDRESS(UNKB0020_IF_ACTIVE_ROW+1,COLUMN(INDIRECT(UNKB0020_B_LIST_START))+COLUMNS(UNKB0020_IF_COPY_B_CLEAR)-1))</f>
        <v>UNKB0020_B!$G$27:$AQ$27</v>
      </c>
    </row>
    <row r="70" spans="2:4" ht="16.5" customHeight="1">
      <c r="B70" s="45" t="s">
        <v>168</v>
      </c>
      <c r="C70" s="45" t="s">
        <v>175</v>
      </c>
      <c r="D70" s="47" t="str">
        <f ca="1">IF(OR(UNKB0020_B_GYO_COUNT=0,UNKB0020_IF_ACTIVE_ROW&lt;ROW(INDIRECT(UNKB0020_B_LIST_START))),
"",
"UNKB0020_B!"&amp;ADDRESS(UNKB0020_IF_ACTIVE_ROW,COLUMN(INDIRECT(UNKB0020_B_LIST_START)))&amp;":"&amp;ADDRESS(UNKB0020_IF_ACTIVE_ROW,COLUMN(INDIRECT(UNKB0020_B_LIST_START))+COLUMNS(UNKB0020_IF_COPY_B_CLEAR)-1))</f>
        <v/>
      </c>
    </row>
    <row r="71" spans="2:4" ht="16.5" customHeight="1">
      <c r="B71" s="30" t="s">
        <v>612</v>
      </c>
      <c r="C71" s="46" t="s">
        <v>613</v>
      </c>
      <c r="D71" s="112" t="str">
        <f ca="1">"UNKB0020_B!"&amp;ADDRESS(ROW(INDIRECT(UNKB0020_B_LIST_INSERT_AREA)),COLUMN(UNKB0020_B_KOBAIHIN_CD))</f>
        <v>UNKB0020_B!$X$27</v>
      </c>
    </row>
    <row r="73" spans="2:4" ht="16.5" customHeight="1">
      <c r="B73" s="45" t="s">
        <v>169</v>
      </c>
      <c r="C73" s="45" t="s">
        <v>569</v>
      </c>
      <c r="D73" s="47" t="str">
        <f ca="1">"UNKB0020_B!"&amp;
ADDRESS(ROW(INDIRECT(UNKB0020_B_LIST_START))+UNKB0020_B_GYO_COUNT,COLUMN(UNKB0020_B_GYO))
&amp;":"&amp;ADDRESS(ROW(INDIRECT(UNKB0020_B_LIST_START))+UNKB0020_B_GYO_COUNT+UNKB0020_IF_MULTI_SELECT_TENKAI_KENSU-1,COLUMN(UNKB0020_B_GYO)+COLUMNS(UNKB0020_IF_COPY_B_CLEAR)-1)</f>
        <v>UNKB0020_B!$G$27:$AQ$26</v>
      </c>
    </row>
    <row r="74" spans="2:4" ht="16.5" customHeight="1">
      <c r="B74" s="45" t="s">
        <v>588</v>
      </c>
      <c r="C74" s="45" t="s">
        <v>589</v>
      </c>
      <c r="D74" s="47" t="str">
        <f ca="1">"UNKB0020_B!"&amp;
ADDRESS(ROW(INDIRECT(UNKB0020_B_LIST_START))+UNKB0020_B_GYO_COUNT,COLUMN(UNKB0020_B_GYO))
&amp;":"&amp;ADDRESS(ROW(INDIRECT(UNKB0020_B_LIST_START))+UNKB0020_B_GYO_COUNT+UNKB0020_IF_MULTI_SELECT_TENKAI_KENSU-1,COLUMN(UNKB0020_B_GYO)+COLUMNS(UNKB0020_IF_COPY_B_GYO_SUSHIKI)-1)</f>
        <v>UNKB0020_B!$G$27:$I$26</v>
      </c>
    </row>
  </sheetData>
  <sheetProtection sheet="1" objects="1" scenarios="1" selectLockedCells="1"/>
  <phoneticPr fontId="1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K63"/>
  <sheetViews>
    <sheetView zoomScaleNormal="100" workbookViewId="0">
      <selection activeCell="BL21" sqref="BL21"/>
    </sheetView>
  </sheetViews>
  <sheetFormatPr defaultRowHeight="16.5" customHeight="1"/>
  <cols>
    <col min="2" max="2" width="22.375" bestFit="1" customWidth="1"/>
    <col min="3" max="3" width="31.625" bestFit="1" customWidth="1"/>
    <col min="4" max="4" width="9.375" customWidth="1"/>
    <col min="13" max="13" width="7.375" customWidth="1"/>
    <col min="15" max="23" width="4.875" customWidth="1"/>
    <col min="25" max="26" width="9" style="10"/>
    <col min="27" max="27" width="9.5" style="10" bestFit="1" customWidth="1"/>
    <col min="28" max="28" width="9" style="10"/>
    <col min="30" max="30" width="9" style="10"/>
    <col min="31" max="31" width="3.375" customWidth="1"/>
    <col min="32" max="32" width="10.25" customWidth="1"/>
    <col min="33" max="33" width="5" customWidth="1"/>
    <col min="34" max="40" width="5" hidden="1" customWidth="1"/>
    <col min="41" max="41" width="5" style="10" hidden="1" customWidth="1"/>
    <col min="42" max="45" width="5" hidden="1" customWidth="1"/>
    <col min="46" max="46" width="4.75" style="230" hidden="1" customWidth="1"/>
    <col min="47" max="47" width="5" hidden="1" customWidth="1"/>
    <col min="48" max="48" width="9.125" bestFit="1" customWidth="1"/>
    <col min="49" max="49" width="28.25" style="268" customWidth="1"/>
    <col min="50" max="56" width="8" customWidth="1"/>
    <col min="57" max="57" width="10" bestFit="1" customWidth="1"/>
    <col min="58" max="58" width="12.5" customWidth="1"/>
    <col min="59" max="59" width="10" bestFit="1" customWidth="1"/>
    <col min="60" max="60" width="22.5" customWidth="1"/>
    <col min="61" max="61" width="10.125" customWidth="1"/>
    <col min="62" max="62" width="22.5" customWidth="1"/>
    <col min="63" max="64" width="11.875" bestFit="1" customWidth="1"/>
    <col min="65" max="65" width="25" customWidth="1"/>
    <col min="66" max="66" width="9.75" bestFit="1" customWidth="1"/>
    <col min="67" max="67" width="12.875" customWidth="1"/>
    <col min="73" max="73" width="21" customWidth="1"/>
    <col min="77" max="77" width="18.25" customWidth="1"/>
    <col min="80" max="80" width="9" customWidth="1"/>
    <col min="81" max="82" width="9" style="10" customWidth="1"/>
    <col min="83" max="83" width="9" style="230" customWidth="1"/>
    <col min="90" max="90" width="19.875" bestFit="1" customWidth="1"/>
    <col min="131" max="140" width="3.875" customWidth="1"/>
    <col min="141" max="141" width="3.875" style="10" customWidth="1"/>
    <col min="142" max="145" width="3.875" customWidth="1"/>
    <col min="146" max="146" width="3.875" style="230" customWidth="1"/>
    <col min="147" max="167" width="3.875" customWidth="1"/>
  </cols>
  <sheetData>
    <row r="1" spans="1:167" ht="16.5" customHeight="1">
      <c r="A1" s="57" t="s">
        <v>126</v>
      </c>
      <c r="B1" s="10"/>
      <c r="C1" s="10"/>
      <c r="D1" s="10"/>
      <c r="E1" s="10"/>
      <c r="F1" s="10"/>
      <c r="G1" s="10"/>
      <c r="I1" s="5" t="s">
        <v>136</v>
      </c>
      <c r="J1" s="10"/>
      <c r="K1" s="10"/>
      <c r="L1" s="10"/>
      <c r="M1" s="68" t="s">
        <v>231</v>
      </c>
      <c r="N1" s="10"/>
      <c r="BR1" s="57" t="s">
        <v>260</v>
      </c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231"/>
      <c r="DT1" s="5" t="s">
        <v>384</v>
      </c>
      <c r="DU1" s="10"/>
      <c r="DV1" s="10"/>
      <c r="DW1" s="10"/>
      <c r="DX1" s="10"/>
      <c r="DY1" s="10"/>
    </row>
    <row r="2" spans="1:167" ht="16.5" customHeight="1">
      <c r="A2" s="57"/>
      <c r="B2" s="8"/>
      <c r="C2" s="8"/>
      <c r="D2" s="8"/>
      <c r="E2" s="8"/>
      <c r="F2" s="8"/>
      <c r="G2" s="10"/>
      <c r="I2" s="10"/>
      <c r="J2" s="10"/>
      <c r="K2" s="10"/>
      <c r="L2" s="10"/>
      <c r="M2" s="10"/>
      <c r="N2" s="57" t="s">
        <v>232</v>
      </c>
      <c r="AC2" t="s">
        <v>236</v>
      </c>
      <c r="AE2" s="34" t="s">
        <v>85</v>
      </c>
      <c r="AF2" s="34" t="s">
        <v>40</v>
      </c>
      <c r="AG2" s="34" t="s">
        <v>86</v>
      </c>
      <c r="AH2" s="23" t="s">
        <v>149</v>
      </c>
      <c r="AI2" s="23" t="s">
        <v>150</v>
      </c>
      <c r="AJ2" s="23" t="s">
        <v>151</v>
      </c>
      <c r="AK2" s="23" t="s">
        <v>152</v>
      </c>
      <c r="AL2" s="23" t="s">
        <v>62</v>
      </c>
      <c r="AM2" s="23" t="s">
        <v>59</v>
      </c>
      <c r="AN2" s="23" t="s">
        <v>61</v>
      </c>
      <c r="AO2" s="23" t="s">
        <v>496</v>
      </c>
      <c r="AP2" s="23" t="s">
        <v>153</v>
      </c>
      <c r="AQ2" s="23" t="s">
        <v>154</v>
      </c>
      <c r="AR2" s="23" t="s">
        <v>155</v>
      </c>
      <c r="AS2" s="23" t="s">
        <v>156</v>
      </c>
      <c r="AT2" s="334" t="s">
        <v>1790</v>
      </c>
      <c r="AU2" s="23" t="s">
        <v>241</v>
      </c>
      <c r="AV2" s="34" t="s">
        <v>45</v>
      </c>
      <c r="AW2" s="438" t="s">
        <v>46</v>
      </c>
      <c r="AX2" s="36" t="s">
        <v>47</v>
      </c>
      <c r="AY2" s="34" t="s">
        <v>48</v>
      </c>
      <c r="AZ2" s="34" t="s">
        <v>49</v>
      </c>
      <c r="BA2" s="36" t="s">
        <v>50</v>
      </c>
      <c r="BB2" s="34" t="s">
        <v>51</v>
      </c>
      <c r="BC2" s="34" t="s">
        <v>52</v>
      </c>
      <c r="BD2" s="34" t="s">
        <v>53</v>
      </c>
      <c r="BE2" s="34" t="s">
        <v>54</v>
      </c>
      <c r="BF2" s="34" t="s">
        <v>57</v>
      </c>
      <c r="BG2" s="36" t="s">
        <v>58</v>
      </c>
      <c r="BH2" s="34" t="s">
        <v>59</v>
      </c>
      <c r="BI2" s="34" t="s">
        <v>60</v>
      </c>
      <c r="BJ2" s="34" t="s">
        <v>61</v>
      </c>
      <c r="BK2" s="34" t="s">
        <v>62</v>
      </c>
      <c r="BL2" s="34" t="s">
        <v>63</v>
      </c>
      <c r="BM2" s="34" t="s">
        <v>64</v>
      </c>
      <c r="BN2" s="34" t="s">
        <v>42</v>
      </c>
      <c r="BO2" s="34" t="s">
        <v>66</v>
      </c>
      <c r="BR2" s="8"/>
      <c r="BS2" s="8"/>
      <c r="BT2" s="8"/>
      <c r="BU2" s="8"/>
      <c r="BV2" s="8"/>
      <c r="BW2" s="8"/>
      <c r="BX2" s="8"/>
      <c r="BY2" s="8"/>
      <c r="BZ2" s="8"/>
      <c r="CA2" s="8"/>
      <c r="CB2" s="10" t="s">
        <v>377</v>
      </c>
      <c r="CC2" s="8" t="s">
        <v>381</v>
      </c>
      <c r="CD2" s="88" t="str">
        <f ca="1">IF(DK2&lt;&gt;"",ADDRESS(ROW(),COLUMN(UNKB0020_IF_SAVE_YOSAN_CD),4),"")&amp;
IF(CE2&lt;&gt;TRUE,
IF(DK2&lt;&gt;"",",","")&amp;
ADDRESS(ROW(),COLUMN(UNKB0020_IF_SAVE_HOKAN_BASHO),4),"")</f>
        <v>DG2</v>
      </c>
      <c r="CE2" s="232" t="b">
        <f ca="1">IF(OFFSET(UNKB0020_B_SHIYAKU_FLG,1+ROW()-ROW(UNKB0020_IF_SAVE_START),0)=TRUE,TRUE,FALSE)</f>
        <v>0</v>
      </c>
      <c r="CF2" s="88">
        <f>UNKB0020_IF_W_USER_ID</f>
        <v>0</v>
      </c>
      <c r="CG2" s="88">
        <f>UNKB0020_IF_W_SERIAL</f>
        <v>0</v>
      </c>
      <c r="CH2" s="88">
        <f>1+ROW()-ROW(UNKB0020_IF_SAVE_START)</f>
        <v>-2</v>
      </c>
      <c r="CI2" s="88">
        <f>UNKB0020_IF_W_MODE</f>
        <v>1</v>
      </c>
      <c r="CJ2" s="88" t="str">
        <f>IF(UNKB0020_H_KOBAI_NO="","",UNKB0020_H_KOBAI_NO)</f>
        <v/>
      </c>
      <c r="CK2" s="88" t="str">
        <f>IF(UNKB0020_H_SHINSEISHA_MEI="","",UNKB0020_H_SHINSEISHA_CD)</f>
        <v/>
      </c>
      <c r="CL2" s="86">
        <f ca="1">IF(UNKB0020_H_SHINSEI_DATETIME="",NOW(),UNKB0020_H_SHINSEI_DATETIME)</f>
        <v>42930.7532244213</v>
      </c>
      <c r="CM2" s="88" t="str">
        <f>IF(UNKB0020_H_SHINSEI_GAIYO="","",UNKB0020_H_SHINSEI_GAIYO)</f>
        <v/>
      </c>
      <c r="CN2" s="88">
        <f ca="1">IF(UNKB0020_H_KOBAI_KBN="","",UNKB0020_H_KOBAI_KBN_CD)</f>
        <v>1</v>
      </c>
      <c r="CO2" s="87">
        <f>IF(UNKB0020_H_TAX_RATE="",0,UNKB0020_H_TAX_RATE)</f>
        <v>0</v>
      </c>
      <c r="CP2" s="88">
        <f ca="1">IF(UNKB0020_H_NUKI_TOTAL="",0,UNKB0020_H_NUKI_TOTAL)</f>
        <v>0</v>
      </c>
      <c r="CQ2" s="88">
        <f>IF(UNKB0020_H_TAX="",0,UNKB0020_H_TAX)</f>
        <v>0</v>
      </c>
      <c r="CR2" s="88">
        <f>IF(UNKB0020_H_KOMI_TOTAL="",0,UNKB0020_H_KOMI_TOTAL)</f>
        <v>0</v>
      </c>
      <c r="CS2" s="88" t="str">
        <f ca="1">IF(OFFSET(UNKB0020_B_SEQ,1+ROW()-ROW(UNKB0020_IF_SAVE_START),0)=0,"",
OFFSET(UNKB0020_B_SEQ,1+ROW()-ROW(UNKB0020_IF_SAVE_START),0))</f>
        <v/>
      </c>
      <c r="CT2" s="88">
        <f>1+ROW()-ROW(UNKB0020_IF_SAVE_START)</f>
        <v>-2</v>
      </c>
      <c r="CU2" s="88">
        <f ca="1">IF(OFFSET(UNKB0020_B_STS,1+ROW()-ROW(UNKB0020_IF_SAVE_START),0)="",1,
OFFSET(UNKB0020_B_STS_CD,1+ROW()-ROW(UNKB0020_IF_SAVE_START),0))</f>
        <v>1</v>
      </c>
      <c r="CV2" s="88" t="b">
        <f ca="1">IF(OFFSET(UNKB0020_B_JOGAI_FLG,1+ROW()-ROW(UNKB0020_IF_SAVE_START),0)=TRUE,TRUE,
FALSE)</f>
        <v>0</v>
      </c>
      <c r="CW2" s="88" t="str">
        <f ca="1">IF(OFFSET(UNKB0020_B_KOBAIHIN_CD,1+ROW()-ROW(UNKB0020_IF_SAVE_START),0)="","",
OFFSET(UNKB0020_B_KOBAIHIN_CD,1+ROW()-ROW(UNKB0020_IF_SAVE_START),0))</f>
        <v/>
      </c>
      <c r="CX2" s="88" t="str">
        <f ca="1">IF(OFFSET(UNKB0020_B_KOBAIHIN_MEI,1+ROW()-ROW(UNKB0020_IF_SAVE_START),0)="","",
OFFSET(UNKB0020_B_KOBAIHIN_MEI,1+ROW()-ROW(UNKB0020_IF_SAVE_START),0))</f>
        <v/>
      </c>
      <c r="CY2" s="88" t="str">
        <f ca="1">IF(OFFSET(UNKB0020_B_TANKA,1+ROW()-ROW(UNKB0020_IF_SAVE_START),0)="","",
OFFSET(UNKB0020_B_TANKA,1+ROW()-ROW(UNKB0020_IF_SAVE_START),0))</f>
        <v/>
      </c>
      <c r="CZ2" s="88" t="str">
        <f ca="1">IF(OFFSET(UNKB0020_B_IRISU,1+ROW()-ROW(UNKB0020_IF_SAVE_START),0)="","",
OFFSET(UNKB0020_B_IRISU,1+ROW()-ROW(UNKB0020_IF_SAVE_START),0))</f>
        <v/>
      </c>
      <c r="DA2" s="88" t="str">
        <f ca="1">IF(OFFSET(UNKB0020_B_IRISU_TANI,1+ROW()-ROW(UNKB0020_IF_SAVE_START),0)="","",
OFFSET(UNKB0020_B_IRISU_TANI,1+ROW()-ROW(UNKB0020_IF_SAVE_START),0))</f>
        <v/>
      </c>
      <c r="DB2" s="88" t="str">
        <f ca="1">IF(OFFSET(UNKB0020_B_SURYO,1+ROW()-ROW(UNKB0020_IF_SAVE_START),0)=0,"",
OFFSET(UNKB0020_B_SURYO,1+ROW()-ROW(UNKB0020_IF_SAVE_START),0))</f>
        <v/>
      </c>
      <c r="DC2" s="88" t="str">
        <f ca="1">IF(OFFSET(UNKB0020_B_BARA_TANI,1+ROW()-ROW(UNKB0020_IF_SAVE_START),0)="","",
OFFSET(UNKB0020_B_BARA_TANI,1+ROW()-ROW(UNKB0020_IF_SAVE_START),0))</f>
        <v/>
      </c>
      <c r="DD2" s="88" t="str">
        <f ca="1">IF(OFFSET(UNKB0020_B_SOSU,1+ROW()-ROW(UNKB0020_IF_SAVE_START),0)=0,"",
OFFSET(UNKB0020_B_SOSU,1+ROW()-ROW(UNKB0020_IF_SAVE_START),0))</f>
        <v/>
      </c>
      <c r="DE2" s="88" t="str">
        <f ca="1">IF(OFFSET(UNKB0020_B_TOTAL_KINGAKU,1+ROW()-ROW(UNKB0020_IF_SAVE_START),0)="","",
OFFSET(UNKB0020_B_TOTAL_KINGAKU,1+ROW()-ROW(UNKB0020_IF_SAVE_START),0))</f>
        <v/>
      </c>
      <c r="DF2" s="91" t="str">
        <f ca="1">IF(OFFSET(UNKB0020_B_NOKI,1+ROW()-ROW(UNKB0020_IF_SAVE_START),0)="","",
OFFSET(UNKB0020_B_NOKI,1+ROW()-ROW(UNKB0020_IF_SAVE_START),0))</f>
        <v/>
      </c>
      <c r="DG2" s="88" t="str">
        <f ca="1">IF(OFFSET(UNKB0020_B_HOKAN_BASHO,1+ROW()-ROW(UNKB0020_IF_SAVE_START),0)="","",
OFFSET(UNKB0020_B_HOKAN_BASHO_KBN,1+ROW()-ROW(UNKB0020_IF_SAVE_START),0))</f>
        <v/>
      </c>
      <c r="DH2" s="88" t="str">
        <f ca="1">IF(OFFSET(UNKB0020_B_SHIIRE_CD,1+ROW()-ROW(UNKB0020_IF_SAVE_START),0)="","",
OFFSET(UNKB0020_B_SHIIRE_CD,1+ROW()-ROW(UNKB0020_IF_SAVE_START),0))</f>
        <v/>
      </c>
      <c r="DI2" s="88" t="str">
        <f ca="1">IF(OFFSET(UNKB0020_B_MAKER_CD,1+ROW()-ROW(UNKB0020_IF_SAVE_START),0)="","",
OFFSET(UNKB0020_B_MAKER_CD,1+ROW()-ROW(UNKB0020_IF_SAVE_START),0))</f>
        <v/>
      </c>
      <c r="DJ2" s="88" t="str">
        <f ca="1">IF(OFFSET(UNKB0020_B_YOSAN_CD,1+ROW()-ROW(UNKB0020_IF_SAVE_START),0)="","",
OFFSET(UNKB0020_B_YOSAN_CD,1+ROW()-ROW(UNKB0020_IF_SAVE_START),0))</f>
        <v/>
      </c>
      <c r="DK2" s="88" t="str">
        <f ca="1">IF(OFFSET(UNKB0020_B_JURI_NO,1+ROW()-ROW(UNKB0020_IF_SAVE_START),0)="","",
OFFSET(UNKB0020_B_JURI_NO,1+ROW()-ROW(UNKB0020_IF_SAVE_START),0))</f>
        <v/>
      </c>
      <c r="DL2" s="88" t="str">
        <f ca="1">IF(OFFSET(UNKB0020_B_BIKO,1+ROW()-ROW(UNKB0020_IF_SAVE_START),0)="","",
OFFSET(UNKB0020_B_BIKO,1+ROW()-ROW(UNKB0020_IF_SAVE_START),0))</f>
        <v/>
      </c>
      <c r="DM2" s="88" t="b">
        <v>0</v>
      </c>
      <c r="DN2" s="88"/>
      <c r="DO2" s="88"/>
      <c r="DP2" s="88"/>
      <c r="DQ2" s="88"/>
      <c r="DR2" s="88"/>
      <c r="DT2" s="10"/>
      <c r="DU2" s="10"/>
      <c r="DV2" s="10"/>
      <c r="DW2" s="10"/>
      <c r="DX2" s="10"/>
      <c r="DY2" s="10"/>
      <c r="EA2" s="58" t="s">
        <v>400</v>
      </c>
      <c r="ER2" s="10"/>
      <c r="ES2" s="10"/>
      <c r="ET2" s="10"/>
      <c r="EU2" s="10"/>
      <c r="EV2" s="10"/>
      <c r="EW2" s="10"/>
      <c r="EX2" s="10"/>
      <c r="EY2" s="58" t="s">
        <v>401</v>
      </c>
      <c r="EZ2" s="58" t="s">
        <v>402</v>
      </c>
      <c r="FA2" s="10"/>
      <c r="FB2" s="10"/>
      <c r="FC2" s="10"/>
      <c r="FD2" s="58" t="s">
        <v>403</v>
      </c>
      <c r="FE2" s="10"/>
      <c r="FF2" s="58" t="s">
        <v>404</v>
      </c>
      <c r="FG2" s="10"/>
      <c r="FH2" s="10"/>
      <c r="FI2" s="10"/>
      <c r="FJ2" s="10"/>
      <c r="FK2" s="10"/>
    </row>
    <row r="3" spans="1:167" ht="16.5" customHeight="1">
      <c r="A3" s="8"/>
      <c r="B3" s="8" t="s">
        <v>127</v>
      </c>
      <c r="C3" s="8" t="s">
        <v>223</v>
      </c>
      <c r="D3" s="9"/>
      <c r="E3" s="8" t="s">
        <v>128</v>
      </c>
      <c r="F3" s="8" t="s">
        <v>129</v>
      </c>
      <c r="G3" s="10"/>
      <c r="I3" s="10"/>
      <c r="J3" s="59" t="s">
        <v>137</v>
      </c>
      <c r="K3" s="59" t="s">
        <v>141</v>
      </c>
      <c r="L3" s="10"/>
      <c r="M3" s="10"/>
      <c r="N3" s="10"/>
      <c r="AA3" s="10" t="s">
        <v>258</v>
      </c>
      <c r="BR3" s="8"/>
      <c r="BS3" s="57" t="s">
        <v>261</v>
      </c>
      <c r="BT3" s="8"/>
      <c r="BU3" s="8"/>
      <c r="BV3" s="8"/>
      <c r="BW3" s="8"/>
      <c r="BX3" s="30" t="s">
        <v>262</v>
      </c>
      <c r="BY3" s="30"/>
      <c r="BZ3" s="8"/>
      <c r="CA3" s="8"/>
      <c r="CB3" s="10"/>
      <c r="CC3" s="10" t="s">
        <v>378</v>
      </c>
      <c r="CD3" s="10" t="s">
        <v>382</v>
      </c>
      <c r="CF3" s="84" t="s">
        <v>320</v>
      </c>
      <c r="CG3" s="84" t="s">
        <v>321</v>
      </c>
      <c r="CH3" s="84" t="s">
        <v>322</v>
      </c>
      <c r="CI3" s="84" t="s">
        <v>323</v>
      </c>
      <c r="CJ3" s="84" t="s">
        <v>324</v>
      </c>
      <c r="CK3" s="84" t="s">
        <v>325</v>
      </c>
      <c r="CL3" s="84" t="s">
        <v>326</v>
      </c>
      <c r="CM3" s="84" t="s">
        <v>425</v>
      </c>
      <c r="CN3" s="84" t="s">
        <v>426</v>
      </c>
      <c r="CO3" s="84" t="s">
        <v>427</v>
      </c>
      <c r="CP3" s="84" t="s">
        <v>428</v>
      </c>
      <c r="CQ3" s="84" t="s">
        <v>429</v>
      </c>
      <c r="CR3" s="84" t="s">
        <v>430</v>
      </c>
      <c r="CS3" s="84" t="s">
        <v>431</v>
      </c>
      <c r="CT3" s="84" t="s">
        <v>432</v>
      </c>
      <c r="CU3" s="84" t="s">
        <v>327</v>
      </c>
      <c r="CV3" s="84" t="s">
        <v>433</v>
      </c>
      <c r="CW3" s="84" t="s">
        <v>434</v>
      </c>
      <c r="CX3" s="84" t="s">
        <v>435</v>
      </c>
      <c r="CY3" s="84" t="s">
        <v>436</v>
      </c>
      <c r="CZ3" s="84" t="s">
        <v>437</v>
      </c>
      <c r="DA3" s="84" t="s">
        <v>438</v>
      </c>
      <c r="DB3" s="84" t="s">
        <v>439</v>
      </c>
      <c r="DC3" s="84" t="s">
        <v>441</v>
      </c>
      <c r="DD3" s="84" t="s">
        <v>440</v>
      </c>
      <c r="DE3" s="84" t="s">
        <v>442</v>
      </c>
      <c r="DF3" s="84" t="s">
        <v>443</v>
      </c>
      <c r="DG3" s="84" t="s">
        <v>444</v>
      </c>
      <c r="DH3" s="84" t="s">
        <v>328</v>
      </c>
      <c r="DI3" s="84" t="s">
        <v>329</v>
      </c>
      <c r="DJ3" s="84" t="s">
        <v>330</v>
      </c>
      <c r="DK3" s="84" t="s">
        <v>331</v>
      </c>
      <c r="DL3" s="84" t="s">
        <v>332</v>
      </c>
      <c r="DM3" s="84" t="s">
        <v>333</v>
      </c>
      <c r="DN3" s="84" t="s">
        <v>334</v>
      </c>
      <c r="DO3" s="84" t="s">
        <v>335</v>
      </c>
      <c r="DP3" s="84" t="s">
        <v>336</v>
      </c>
      <c r="DQ3" s="84" t="s">
        <v>337</v>
      </c>
      <c r="DR3" s="84" t="s">
        <v>338</v>
      </c>
      <c r="DT3" s="10"/>
      <c r="DU3" s="10" t="s">
        <v>385</v>
      </c>
      <c r="DV3" s="10" t="s">
        <v>395</v>
      </c>
      <c r="DW3" s="58"/>
      <c r="DX3" s="10"/>
      <c r="DY3" s="10"/>
      <c r="EA3" s="34" t="s">
        <v>85</v>
      </c>
      <c r="EB3" s="34" t="s">
        <v>40</v>
      </c>
      <c r="EC3" s="34" t="s">
        <v>86</v>
      </c>
      <c r="ED3" s="23" t="s">
        <v>149</v>
      </c>
      <c r="EE3" s="23" t="s">
        <v>150</v>
      </c>
      <c r="EF3" s="23" t="s">
        <v>151</v>
      </c>
      <c r="EG3" s="23" t="s">
        <v>152</v>
      </c>
      <c r="EH3" s="23" t="s">
        <v>62</v>
      </c>
      <c r="EI3" s="23" t="s">
        <v>59</v>
      </c>
      <c r="EJ3" s="23" t="s">
        <v>61</v>
      </c>
      <c r="EK3" s="23" t="s">
        <v>496</v>
      </c>
      <c r="EL3" s="23" t="s">
        <v>153</v>
      </c>
      <c r="EM3" s="23" t="s">
        <v>154</v>
      </c>
      <c r="EN3" s="23" t="s">
        <v>155</v>
      </c>
      <c r="EO3" s="23" t="s">
        <v>156</v>
      </c>
      <c r="EP3" s="334" t="s">
        <v>1790</v>
      </c>
      <c r="EQ3" s="23" t="s">
        <v>241</v>
      </c>
      <c r="ER3" s="34" t="s">
        <v>45</v>
      </c>
      <c r="ES3" s="35" t="s">
        <v>46</v>
      </c>
      <c r="ET3" s="36" t="s">
        <v>47</v>
      </c>
      <c r="EU3" s="34" t="s">
        <v>48</v>
      </c>
      <c r="EV3" s="34" t="s">
        <v>51</v>
      </c>
      <c r="EW3" s="36" t="s">
        <v>50</v>
      </c>
      <c r="EX3" s="34" t="s">
        <v>49</v>
      </c>
      <c r="EY3" s="34" t="s">
        <v>52</v>
      </c>
      <c r="EZ3" s="34" t="s">
        <v>53</v>
      </c>
      <c r="FA3" s="34" t="s">
        <v>54</v>
      </c>
      <c r="FB3" s="34" t="s">
        <v>57</v>
      </c>
      <c r="FC3" s="36" t="s">
        <v>58</v>
      </c>
      <c r="FD3" s="34" t="s">
        <v>59</v>
      </c>
      <c r="FE3" s="34" t="s">
        <v>60</v>
      </c>
      <c r="FF3" s="34" t="s">
        <v>61</v>
      </c>
      <c r="FG3" s="34" t="s">
        <v>62</v>
      </c>
      <c r="FH3" s="34" t="s">
        <v>63</v>
      </c>
      <c r="FI3" s="34" t="s">
        <v>64</v>
      </c>
      <c r="FJ3" s="34" t="s">
        <v>42</v>
      </c>
      <c r="FK3" s="34" t="s">
        <v>66</v>
      </c>
    </row>
    <row r="4" spans="1:167" ht="16.5" customHeight="1">
      <c r="A4" s="8"/>
      <c r="B4" s="8" t="s">
        <v>587</v>
      </c>
      <c r="C4" s="8" t="s">
        <v>224</v>
      </c>
      <c r="D4" s="9"/>
      <c r="E4" s="8"/>
      <c r="F4" s="8"/>
      <c r="G4" s="10"/>
      <c r="I4" s="10"/>
      <c r="J4" s="59" t="s">
        <v>138</v>
      </c>
      <c r="K4" s="60">
        <v>5</v>
      </c>
      <c r="L4" s="10"/>
      <c r="M4" s="10"/>
      <c r="N4" s="10" t="s">
        <v>233</v>
      </c>
      <c r="O4" s="114"/>
      <c r="P4" s="11"/>
      <c r="Q4" s="13" t="s">
        <v>78</v>
      </c>
      <c r="R4" s="507"/>
      <c r="S4" s="508"/>
      <c r="T4" s="508"/>
      <c r="U4" s="508"/>
      <c r="V4" s="508"/>
      <c r="W4" s="509"/>
      <c r="Y4" s="30" t="s">
        <v>114</v>
      </c>
      <c r="Z4" s="30" t="s">
        <v>121</v>
      </c>
      <c r="AA4" s="48"/>
      <c r="AD4" s="10" t="s">
        <v>243</v>
      </c>
      <c r="AE4" s="58" t="s">
        <v>248</v>
      </c>
      <c r="AF4" s="58"/>
      <c r="AG4" s="58"/>
      <c r="BC4" s="58" t="s">
        <v>247</v>
      </c>
      <c r="BD4" s="58" t="s">
        <v>246</v>
      </c>
      <c r="BH4" s="58" t="s">
        <v>244</v>
      </c>
      <c r="BJ4" s="58" t="s">
        <v>245</v>
      </c>
      <c r="BN4" s="216" t="s">
        <v>1307</v>
      </c>
      <c r="BR4" s="8"/>
      <c r="BS4" s="8" t="s">
        <v>263</v>
      </c>
      <c r="BT4" s="8" t="s">
        <v>301</v>
      </c>
      <c r="BU4" s="9"/>
      <c r="BV4" s="8"/>
      <c r="BW4" s="8"/>
      <c r="BX4" s="77" t="s">
        <v>264</v>
      </c>
      <c r="BY4" s="77"/>
      <c r="BZ4" s="8"/>
      <c r="CA4" s="8"/>
      <c r="CB4" s="10"/>
      <c r="CD4" s="58" t="s">
        <v>379</v>
      </c>
      <c r="CE4" s="85" t="s">
        <v>1790</v>
      </c>
      <c r="CF4" s="85" t="s">
        <v>339</v>
      </c>
      <c r="CG4" s="85" t="s">
        <v>340</v>
      </c>
      <c r="CH4" s="85" t="s">
        <v>341</v>
      </c>
      <c r="CI4" s="90" t="s">
        <v>342</v>
      </c>
      <c r="CJ4" s="90" t="s">
        <v>343</v>
      </c>
      <c r="CK4" s="85" t="s">
        <v>344</v>
      </c>
      <c r="CL4" s="90" t="s">
        <v>345</v>
      </c>
      <c r="CM4" s="90" t="s">
        <v>346</v>
      </c>
      <c r="CN4" s="85" t="s">
        <v>347</v>
      </c>
      <c r="CO4" s="90" t="s">
        <v>348</v>
      </c>
      <c r="CP4" s="90" t="s">
        <v>349</v>
      </c>
      <c r="CQ4" s="90" t="s">
        <v>350</v>
      </c>
      <c r="CR4" s="90" t="s">
        <v>351</v>
      </c>
      <c r="CS4" s="90" t="s">
        <v>352</v>
      </c>
      <c r="CT4" s="90" t="s">
        <v>353</v>
      </c>
      <c r="CU4" s="90" t="s">
        <v>354</v>
      </c>
      <c r="CV4" s="90" t="s">
        <v>355</v>
      </c>
      <c r="CW4" s="90" t="s">
        <v>356</v>
      </c>
      <c r="CX4" s="85" t="s">
        <v>357</v>
      </c>
      <c r="CY4" s="85" t="s">
        <v>358</v>
      </c>
      <c r="CZ4" s="90" t="s">
        <v>359</v>
      </c>
      <c r="DA4" s="90" t="s">
        <v>360</v>
      </c>
      <c r="DB4" s="85" t="s">
        <v>361</v>
      </c>
      <c r="DC4" s="90" t="s">
        <v>363</v>
      </c>
      <c r="DD4" s="90" t="s">
        <v>362</v>
      </c>
      <c r="DE4" s="90" t="s">
        <v>364</v>
      </c>
      <c r="DF4" s="90" t="s">
        <v>365</v>
      </c>
      <c r="DG4" s="85" t="s">
        <v>366</v>
      </c>
      <c r="DH4" s="85" t="s">
        <v>367</v>
      </c>
      <c r="DI4" s="90" t="s">
        <v>75</v>
      </c>
      <c r="DJ4" s="85" t="s">
        <v>368</v>
      </c>
      <c r="DK4" s="85" t="s">
        <v>369</v>
      </c>
      <c r="DL4" s="90" t="s">
        <v>370</v>
      </c>
      <c r="DM4" s="90" t="s">
        <v>371</v>
      </c>
      <c r="DN4" s="90" t="s">
        <v>372</v>
      </c>
      <c r="DO4" s="90" t="s">
        <v>373</v>
      </c>
      <c r="DP4" s="90" t="s">
        <v>374</v>
      </c>
      <c r="DQ4" s="90" t="s">
        <v>375</v>
      </c>
      <c r="DR4" s="90" t="s">
        <v>376</v>
      </c>
      <c r="DT4" s="10"/>
      <c r="DU4" s="10"/>
      <c r="DV4" s="10"/>
      <c r="DW4" s="10"/>
      <c r="DX4" s="10"/>
      <c r="DY4" s="10" t="s">
        <v>386</v>
      </c>
      <c r="DZ4" s="10" t="s">
        <v>399</v>
      </c>
      <c r="EA4" s="58"/>
    </row>
    <row r="5" spans="1:167" ht="16.5" customHeight="1">
      <c r="A5" s="8"/>
      <c r="I5" s="10"/>
      <c r="J5" s="59" t="s">
        <v>207</v>
      </c>
      <c r="K5" s="59" t="s">
        <v>1847</v>
      </c>
      <c r="L5" s="10"/>
      <c r="M5" s="10"/>
      <c r="N5" s="10" t="s">
        <v>254</v>
      </c>
      <c r="O5" s="23"/>
      <c r="P5" s="11"/>
      <c r="Q5" s="31" t="s">
        <v>80</v>
      </c>
      <c r="R5" s="115"/>
      <c r="S5" s="13"/>
      <c r="T5" s="11"/>
      <c r="U5" s="11"/>
      <c r="V5" s="11"/>
      <c r="W5" s="11"/>
      <c r="Y5" s="30" t="s">
        <v>116</v>
      </c>
      <c r="Z5" s="30" t="s">
        <v>117</v>
      </c>
      <c r="AA5" s="89"/>
      <c r="AD5" s="10" t="s">
        <v>249</v>
      </c>
      <c r="AE5" s="25">
        <f>ROW()-ROW(UNKB0020_B_GYO)</f>
        <v>-21</v>
      </c>
      <c r="AF5" s="413" t="str">
        <f ca="1">IF(AV5="","",
IF(AND(AP5&gt;0,AP5&lt;BA5),"注文数要確認",
IF(AND(AQ5&gt;0,BE5&lt;&gt;"",UNKB0020_H_SHINSEI_DATETIME&lt;&gt;"",_xlfn.DAYS(BE5,UNKB0020_H_SHINSEI_DATETIME)&lt;AQ5),"標準納期外",
IF(AND(AQ5&gt;0,BE5&lt;&gt;"",UNKB0020_H_SHINSEI_DATETIME="",_xlfn.DAYS(BE5,TODAY())&lt;AQ5),"標準納期外",
IF(AND(AR5&lt;&gt;"",UNKB0020_H_SHINSEI_DATETIME&lt;&gt;"",_xlfn.DAYS(UNKB0020_H_SHINSEI_DATETIME,AR5)&lt;=7),"直近注文済",
IF(AND(AR5&lt;&gt;"",UNKB0020_H_SHINSEI_DATETIME="",_xlfn.DAYS(TODAY(),AR5)&lt;=7),"直近注文済",""))))))</f>
        <v/>
      </c>
      <c r="AG5" s="42"/>
      <c r="AH5" s="70" t="b">
        <v>0</v>
      </c>
      <c r="AI5" s="70"/>
      <c r="AJ5" s="70">
        <v>1</v>
      </c>
      <c r="AK5" s="70"/>
      <c r="AL5" s="70"/>
      <c r="AM5" s="70"/>
      <c r="AN5" s="70"/>
      <c r="AO5" s="70"/>
      <c r="AP5" s="70"/>
      <c r="AQ5" s="70"/>
      <c r="AR5" s="71"/>
      <c r="AS5" s="70"/>
      <c r="AT5" s="70"/>
      <c r="AU5" s="70"/>
      <c r="AV5" s="114"/>
      <c r="AW5" s="434"/>
      <c r="AX5" s="119"/>
      <c r="AY5" s="117"/>
      <c r="AZ5" s="116"/>
      <c r="BA5" s="121"/>
      <c r="BB5" s="116"/>
      <c r="BC5" s="122">
        <f>IF(AY5=0,1,AY5)*BA5</f>
        <v>0</v>
      </c>
      <c r="BD5" s="123">
        <f>IF(AO5=1,ROUNDDOWN(AX5*BA5,0),IF(AO5=2,ROUNDUP(AX5*BA5,0),ROUND(AX5*BA5,0)))</f>
        <v>0</v>
      </c>
      <c r="BE5" s="474"/>
      <c r="BF5" s="114"/>
      <c r="BG5" s="114"/>
      <c r="BH5" s="25" t="str">
        <f>IF(BG5="","",AM5)</f>
        <v/>
      </c>
      <c r="BI5" s="114"/>
      <c r="BJ5" s="25" t="str">
        <f>IF(BI5="","",AN5)</f>
        <v/>
      </c>
      <c r="BK5" s="476"/>
      <c r="BL5" s="476"/>
      <c r="BM5" s="69"/>
      <c r="BN5" s="114"/>
      <c r="BO5" s="27"/>
      <c r="BR5" s="8"/>
      <c r="BS5" s="8" t="s">
        <v>265</v>
      </c>
      <c r="BT5" s="8" t="s">
        <v>302</v>
      </c>
      <c r="BU5" s="78"/>
      <c r="BV5" s="8"/>
      <c r="BW5" s="8"/>
      <c r="BX5" s="79" t="s">
        <v>266</v>
      </c>
      <c r="BY5" s="79" t="s">
        <v>303</v>
      </c>
      <c r="BZ5" s="8"/>
      <c r="CA5" s="8"/>
      <c r="CB5" s="10" t="s">
        <v>380</v>
      </c>
      <c r="CC5" s="8" t="s">
        <v>383</v>
      </c>
      <c r="CD5" s="232"/>
      <c r="CE5" s="216"/>
      <c r="CF5" s="58"/>
      <c r="CX5" s="58"/>
      <c r="DT5" s="10"/>
      <c r="DU5" s="10" t="s">
        <v>387</v>
      </c>
      <c r="DV5" s="10" t="s">
        <v>396</v>
      </c>
      <c r="DW5" s="58">
        <f>IF(UNKB0020_IF_MULTI_SELECT_KENSU+UNKB0020_B_GYO_COUNT&gt;99,99-UNKB0020_B_GYO_COUNT,UNKB0020_IF_MULTI_SELECT_KENSU)</f>
        <v>0</v>
      </c>
      <c r="DX5" s="10"/>
      <c r="DY5" s="10"/>
    </row>
    <row r="6" spans="1:167" ht="16.5" customHeight="1">
      <c r="A6" s="8"/>
      <c r="B6" s="8" t="s">
        <v>130</v>
      </c>
      <c r="C6" s="8" t="s">
        <v>225</v>
      </c>
      <c r="D6" s="9"/>
      <c r="E6" s="8" t="s">
        <v>128</v>
      </c>
      <c r="F6" s="8" t="s">
        <v>131</v>
      </c>
      <c r="G6" s="10"/>
      <c r="I6" s="10"/>
      <c r="J6" s="59" t="s">
        <v>139</v>
      </c>
      <c r="K6" s="59" t="s">
        <v>140</v>
      </c>
      <c r="L6" s="10"/>
      <c r="M6" s="10"/>
      <c r="N6" s="10"/>
      <c r="P6" s="10"/>
      <c r="Q6" s="10"/>
      <c r="R6" s="10"/>
      <c r="S6" s="10"/>
      <c r="T6" s="10"/>
      <c r="U6" s="10"/>
      <c r="Y6" s="30" t="s">
        <v>115</v>
      </c>
      <c r="Z6" s="30" t="s">
        <v>122</v>
      </c>
      <c r="AA6" s="76">
        <f ca="1">IF(OR(UNKB0020_H_KOBAI_KBN="",ISERROR(VLOOKUP(UNKB0020_H_KOBAI_KBN,OFFSET(UNKB0020_IF_LIST_KOBAI_KBN_START,0,0,UNKB0020_IF_LIST_KOBAI_KBN_KENSU,2),2,0))=TRUE),"1",
VLOOKUP(UNKB0020_H_KOBAI_KBN,OFFSET(UNKB0020_IF_LIST_KOBAI_KBN_START,0,0,UNKB0020_IF_LIST_KOBAI_KBN_KENSU,2),2,0))</f>
        <v>1</v>
      </c>
      <c r="BR6" s="8"/>
      <c r="BS6" s="8" t="s">
        <v>267</v>
      </c>
      <c r="BT6" s="8" t="s">
        <v>304</v>
      </c>
      <c r="BU6" s="78">
        <v>0</v>
      </c>
      <c r="BV6" s="8"/>
      <c r="BW6" s="8"/>
      <c r="BX6" s="79" t="s">
        <v>268</v>
      </c>
      <c r="BY6" s="79" t="str">
        <f>ADDRESS(ROW(UNKB0020_IF_SAVE_CHECK_RESULT),COLUMN(UNKB0020_IF_SAVE_CHECK_RESULT))</f>
        <v>$BY$30</v>
      </c>
      <c r="BZ6" s="8"/>
      <c r="CA6" s="8"/>
      <c r="CB6" s="10"/>
      <c r="DT6" s="10"/>
      <c r="DU6" s="10" t="s">
        <v>388</v>
      </c>
      <c r="DV6" s="10" t="s">
        <v>397</v>
      </c>
      <c r="DW6" s="58">
        <f>IF(UNKB0020_IF_MULTI_SELECT_KENSU&gt;0,1,2)</f>
        <v>2</v>
      </c>
      <c r="DX6" s="10" t="s">
        <v>389</v>
      </c>
      <c r="DY6" s="10"/>
    </row>
    <row r="7" spans="1:167" ht="16.5" customHeight="1">
      <c r="A7" s="10"/>
      <c r="B7" s="45" t="s">
        <v>540</v>
      </c>
      <c r="C7" s="45" t="s">
        <v>638</v>
      </c>
      <c r="D7" s="47">
        <v>1</v>
      </c>
      <c r="G7" s="10"/>
      <c r="I7" s="10"/>
      <c r="J7" s="61" t="s">
        <v>144</v>
      </c>
      <c r="K7" s="62">
        <v>1</v>
      </c>
      <c r="L7" s="10"/>
      <c r="M7" s="10"/>
      <c r="N7" s="10"/>
      <c r="P7" s="10"/>
      <c r="Q7" s="10"/>
      <c r="R7" s="10"/>
      <c r="S7" s="10"/>
      <c r="T7" s="10"/>
      <c r="BR7" s="8"/>
      <c r="BS7" s="8" t="s">
        <v>269</v>
      </c>
      <c r="BT7" s="8" t="s">
        <v>305</v>
      </c>
      <c r="BU7" s="9">
        <v>1</v>
      </c>
      <c r="BV7" s="8" t="s">
        <v>270</v>
      </c>
      <c r="BW7" s="8"/>
      <c r="BX7" s="77" t="s">
        <v>271</v>
      </c>
      <c r="BY7" s="77" t="s">
        <v>272</v>
      </c>
      <c r="BZ7" s="8"/>
      <c r="CA7" s="8"/>
      <c r="CB7" s="10"/>
      <c r="DT7" s="10"/>
      <c r="DU7" s="10" t="s">
        <v>390</v>
      </c>
      <c r="DV7" s="10" t="s">
        <v>398</v>
      </c>
      <c r="DW7" s="58">
        <f>UNKB0020_B_GYO_COUNT+UNKB0020_IF_MULTI_SELECT_TENKAI_KENSU</f>
        <v>0</v>
      </c>
      <c r="DX7" s="10"/>
      <c r="DY7" s="10"/>
    </row>
    <row r="8" spans="1:167" ht="16.5" customHeight="1">
      <c r="A8" s="10"/>
      <c r="B8" s="45" t="s">
        <v>538</v>
      </c>
      <c r="C8" s="45" t="s">
        <v>539</v>
      </c>
      <c r="D8" s="47"/>
      <c r="E8" s="10"/>
      <c r="F8" s="10"/>
      <c r="G8" s="10"/>
      <c r="I8" s="10"/>
      <c r="J8" s="62" t="s">
        <v>145</v>
      </c>
      <c r="K8" s="10">
        <v>2</v>
      </c>
      <c r="L8" s="10"/>
      <c r="M8" s="10"/>
      <c r="N8" s="10"/>
      <c r="P8" s="10"/>
      <c r="Q8" s="10"/>
      <c r="R8" s="10"/>
      <c r="S8" s="10"/>
      <c r="AD8" s="10" t="s">
        <v>237</v>
      </c>
      <c r="BN8" s="216" t="s">
        <v>1308</v>
      </c>
      <c r="BR8" s="8"/>
      <c r="BS8" s="8"/>
      <c r="BT8" s="8"/>
      <c r="BU8" s="8"/>
      <c r="BV8" s="8"/>
      <c r="BW8" s="8"/>
      <c r="BX8" s="79" t="s">
        <v>13</v>
      </c>
      <c r="BY8" s="79" t="s">
        <v>306</v>
      </c>
      <c r="BZ8" s="8"/>
      <c r="CA8" s="8"/>
      <c r="CB8" s="10"/>
      <c r="DT8" s="10"/>
      <c r="DU8" s="10"/>
      <c r="DV8" s="10"/>
      <c r="DW8" s="10"/>
      <c r="DX8" s="10"/>
      <c r="DY8" s="10"/>
    </row>
    <row r="9" spans="1:167" ht="16.5" customHeight="1">
      <c r="A9" s="10"/>
      <c r="C9" s="45"/>
      <c r="E9" s="10"/>
      <c r="F9" s="10"/>
      <c r="G9" s="10"/>
      <c r="I9" s="10"/>
      <c r="J9" s="62" t="s">
        <v>146</v>
      </c>
      <c r="K9" s="62">
        <v>3</v>
      </c>
      <c r="L9" s="10"/>
      <c r="M9" s="10"/>
      <c r="N9" s="10" t="s">
        <v>234</v>
      </c>
      <c r="O9" s="114"/>
      <c r="P9" s="11"/>
      <c r="Q9" s="13" t="s">
        <v>78</v>
      </c>
      <c r="R9" s="507"/>
      <c r="S9" s="508"/>
      <c r="T9" s="508"/>
      <c r="U9" s="508"/>
      <c r="V9" s="508"/>
      <c r="W9" s="509"/>
      <c r="AA9" s="251"/>
      <c r="AB9" s="252"/>
      <c r="AD9" s="10" t="s">
        <v>250</v>
      </c>
      <c r="AE9" s="25">
        <f>ROW()-ROW(UNKB0020_B_GYO)</f>
        <v>-17</v>
      </c>
      <c r="AF9" s="413" t="str">
        <f ca="1">IF(AV9="","",
IF(AND(AP9&gt;0,AP9&lt;BA9),"注文数要確認",
IF(AND(AQ9&gt;0,BE9&lt;&gt;"",UNKB0020_H_SHINSEI_DATETIME&lt;&gt;"",_xlfn.DAYS(BE9,UNKB0020_H_SHINSEI_DATETIME)&lt;AQ9),"標準納期外",
IF(AND(AQ9&gt;0,BE9&lt;&gt;"",UNKB0020_H_SHINSEI_DATETIME="",_xlfn.DAYS(BE9,TODAY())&lt;AQ9),"標準納期外",
IF(AND(AR9&lt;&gt;"",UNKB0020_H_SHINSEI_DATETIME&lt;&gt;"",_xlfn.DAYS(UNKB0020_H_SHINSEI_DATETIME,AR9)&lt;=7),"直近注文済",
IF(AND(AR9&lt;&gt;"",UNKB0020_H_SHINSEI_DATETIME="",_xlfn.DAYS(TODAY(),AR9)&lt;=7),"直近注文済",""))))))</f>
        <v/>
      </c>
      <c r="AG9" s="63"/>
      <c r="AH9" s="70" t="b">
        <v>0</v>
      </c>
      <c r="AI9" s="70"/>
      <c r="AJ9" s="70">
        <v>1</v>
      </c>
      <c r="AK9" s="70"/>
      <c r="AL9" s="70"/>
      <c r="AM9" s="70"/>
      <c r="AN9" s="70"/>
      <c r="AO9" s="70"/>
      <c r="AP9" s="70"/>
      <c r="AQ9" s="70"/>
      <c r="AR9" s="71"/>
      <c r="AS9" s="70"/>
      <c r="AT9" s="70"/>
      <c r="AU9" s="70"/>
      <c r="AV9" s="114"/>
      <c r="AW9" s="434"/>
      <c r="AX9" s="340"/>
      <c r="AY9" s="117"/>
      <c r="AZ9" s="116"/>
      <c r="BA9" s="121"/>
      <c r="BB9" s="116"/>
      <c r="BC9" s="122">
        <f>IF(AY9=0,1,AY9)*BA9</f>
        <v>0</v>
      </c>
      <c r="BD9" s="123">
        <f>IF(AO9=1,ROUNDDOWN(AX9*BA9,0),IF(AO9=2,ROUNDUP(AX9*BA9,0),ROUND(AX9*BA9,0)))</f>
        <v>0</v>
      </c>
      <c r="BE9" s="474"/>
      <c r="BF9" s="114"/>
      <c r="BG9" s="114"/>
      <c r="BH9" s="25" t="str">
        <f>IF(BG9="","",AM9)</f>
        <v/>
      </c>
      <c r="BI9" s="114"/>
      <c r="BJ9" s="25" t="str">
        <f>IF(BI9="","",AN9)</f>
        <v/>
      </c>
      <c r="BK9" s="476"/>
      <c r="BL9" s="476"/>
      <c r="BM9" s="69"/>
      <c r="BN9" s="114"/>
      <c r="BO9" s="27"/>
      <c r="BR9" s="8"/>
      <c r="BS9" s="8"/>
      <c r="BT9" s="8"/>
      <c r="BU9" s="8"/>
      <c r="BV9" s="8"/>
      <c r="BW9" s="8"/>
      <c r="BX9" s="79" t="s">
        <v>273</v>
      </c>
      <c r="BY9" s="80" t="s">
        <v>318</v>
      </c>
      <c r="BZ9" s="8"/>
      <c r="CA9" s="8"/>
      <c r="CB9" s="8"/>
      <c r="CC9" s="8"/>
      <c r="CD9" s="8"/>
      <c r="CE9" s="231"/>
      <c r="DT9" s="10"/>
      <c r="DU9" s="10" t="s">
        <v>391</v>
      </c>
      <c r="DV9" s="10" t="s">
        <v>409</v>
      </c>
      <c r="DW9" s="58" t="str">
        <f>"UNKB0020_IF!"&amp;
ADDRESS(ROW(UNKB0020_IF_MULTI_SELECT_TENKAI_START),COLUMN(UNKB0020_IF_MULTI_SELECT_LIST_GYO))
&amp;":"&amp;ADDRESS(ROW(UNKB0020_IF_MULTI_SELECT_TENKAI_START)+UNKB0020_IF_MULTI_SELECT_TENKAI_KENSU-1,COLUMN(UNKB0020_IF_MULTI_SELECT_LIST_GYO)+COLUMNS(UNKB0020_IF_COPY_B_CLEAR)-1)</f>
        <v>UNKB0020_IF!$EA$4:$FK$3</v>
      </c>
      <c r="DX9" s="10"/>
      <c r="DY9" s="10"/>
    </row>
    <row r="10" spans="1:167" ht="16.5" customHeight="1">
      <c r="A10" s="10"/>
      <c r="B10" s="10"/>
      <c r="C10" s="10"/>
      <c r="D10" s="10"/>
      <c r="E10" s="10"/>
      <c r="F10" s="10"/>
      <c r="G10" s="10"/>
      <c r="I10" s="10"/>
      <c r="J10" s="62" t="s">
        <v>1860</v>
      </c>
      <c r="K10" s="62">
        <v>4</v>
      </c>
      <c r="L10" s="10"/>
      <c r="M10" s="10"/>
      <c r="N10" s="10" t="s">
        <v>255</v>
      </c>
      <c r="O10" s="23"/>
      <c r="P10" s="11"/>
      <c r="Q10" s="31" t="s">
        <v>80</v>
      </c>
      <c r="R10" s="115"/>
      <c r="S10" s="13"/>
      <c r="T10" s="11"/>
      <c r="U10" s="11"/>
      <c r="V10" s="11"/>
      <c r="W10" s="11"/>
      <c r="BR10" s="8"/>
      <c r="BS10" s="57" t="s">
        <v>275</v>
      </c>
      <c r="BT10" s="8"/>
      <c r="BU10" s="8"/>
      <c r="BV10" s="8"/>
      <c r="BW10" s="8"/>
      <c r="BX10" s="79" t="s">
        <v>274</v>
      </c>
      <c r="BY10" s="80" t="s">
        <v>319</v>
      </c>
      <c r="BZ10" s="8"/>
      <c r="CA10" s="8"/>
      <c r="CB10" s="10"/>
      <c r="DT10" s="10"/>
      <c r="DU10" s="107" t="s">
        <v>392</v>
      </c>
      <c r="DV10" s="107" t="s">
        <v>410</v>
      </c>
      <c r="DW10" s="108" t="str">
        <f>"UNKB0020_IF!"&amp;
ADDRESS(ROW(UNKB0020_IF_MULTI_SELECT_TENKAI_START),COLUMN(UNKB0020_IF_MULTI_SELECT_LIST_GYO))
&amp;":"&amp;ADDRESS(ROW(UNKB0020_IF_MULTI_SELECT_TENKAI_START)+UNKB0020_IF_MULTI_SELECT_TENKAI_KENSU-1,COLUMN(UNKB0020_IF_MULTI_SELECT_LIST_GYO)+COLUMNS(UNKB0020_IF_COPY_B_GYO_SUSHIKI)-1)</f>
        <v>UNKB0020_IF!$EA$4:$EC$3</v>
      </c>
      <c r="DX10" s="10"/>
      <c r="DY10" s="10"/>
    </row>
    <row r="11" spans="1:167" ht="16.5" customHeight="1">
      <c r="A11" s="68" t="s">
        <v>132</v>
      </c>
      <c r="B11" s="8"/>
      <c r="C11" s="8"/>
      <c r="D11" s="8"/>
      <c r="E11" s="8"/>
      <c r="F11" s="10"/>
      <c r="G11" s="10"/>
      <c r="I11" s="10"/>
      <c r="J11" s="62" t="s">
        <v>148</v>
      </c>
      <c r="K11" s="62">
        <v>5</v>
      </c>
      <c r="L11" s="10"/>
      <c r="M11" s="10"/>
      <c r="N11" s="10"/>
      <c r="BR11" s="8"/>
      <c r="BS11" s="10" t="s">
        <v>277</v>
      </c>
      <c r="BT11" s="8" t="s">
        <v>307</v>
      </c>
      <c r="BU11" s="9" t="str">
        <f>"UNKB0020_IF!"&amp;ADDRESS(ROW(UNKB0020_IF_SAVE_COPY_START),COLUMN(UNKB0020_IF_SAVE_COPY_START))&amp;":"&amp;ADDRESS(ROW(UNKB0020_IF_SAVE_COPY_START)+IF(UNKB0020_IF_SAVE_KENSU=0,0,UNKB0020_IF_SAVE_KENSU-1),COLUMN(UNKB0020_IF_SAVE_COPY_START)+COLUMNS(UNKB0020_IF_SAVE_COPY_MOTO)-1)</f>
        <v>UNKB0020_IF!$CD$5:$DR$5</v>
      </c>
      <c r="BV11" s="8"/>
      <c r="BW11" s="8"/>
      <c r="BX11" s="513" t="s">
        <v>276</v>
      </c>
      <c r="BY11" s="513"/>
      <c r="BZ11" s="8"/>
      <c r="CA11" s="8"/>
      <c r="CB11" s="10"/>
      <c r="DT11" s="10"/>
      <c r="DU11" s="10" t="s">
        <v>394</v>
      </c>
      <c r="DV11" s="10" t="s">
        <v>411</v>
      </c>
      <c r="DW11" s="58" t="str">
        <f>"UNKB0020_IF!"&amp;
ADDRESS(ROW(UNKB0020_IF_MULTI_SELECT_TENKAI_START),COLUMN(UNKB0020_IF_MULTI_SELECT_LIST_SOSU))
&amp;":"&amp;ADDRESS(ROW(UNKB0020_IF_MULTI_SELECT_TENKAI_START)+UNKB0020_IF_MULTI_SELECT_TENKAI_KENSU-1,COLUMN(UNKB0020_IF_MULTI_SELECT_LIST_SOSU))</f>
        <v>UNKB0020_IF!$EY$4:$EY$3</v>
      </c>
      <c r="DX11" s="10"/>
      <c r="DY11" s="10"/>
    </row>
    <row r="12" spans="1:167" ht="16.5" customHeight="1">
      <c r="A12" s="8"/>
      <c r="B12" s="8" t="s">
        <v>133</v>
      </c>
      <c r="C12" s="8" t="s">
        <v>226</v>
      </c>
      <c r="D12" s="9">
        <v>0</v>
      </c>
      <c r="E12" s="8" t="s">
        <v>134</v>
      </c>
      <c r="F12" s="10"/>
      <c r="G12" s="10"/>
      <c r="H12" s="10"/>
      <c r="I12" s="10"/>
      <c r="M12" s="10"/>
      <c r="N12" s="10"/>
      <c r="AD12" s="10" t="s">
        <v>238</v>
      </c>
      <c r="BN12" s="216" t="s">
        <v>1309</v>
      </c>
      <c r="BR12" s="8"/>
      <c r="BS12" s="10" t="s">
        <v>278</v>
      </c>
      <c r="BT12" s="8" t="s">
        <v>308</v>
      </c>
      <c r="BU12" s="9">
        <f>IF(UNKB0020_B_GYO_COUNT=0,1,UNKB0020_B_GYO_COUNT)</f>
        <v>1</v>
      </c>
      <c r="BV12" s="8"/>
      <c r="BW12" s="8"/>
      <c r="BX12" s="64" t="s">
        <v>13</v>
      </c>
      <c r="BY12" s="64" t="s">
        <v>303</v>
      </c>
      <c r="BZ12" s="8"/>
      <c r="CA12" s="8"/>
      <c r="CB12" s="10"/>
      <c r="DT12" s="10"/>
      <c r="DU12" s="10" t="s">
        <v>393</v>
      </c>
      <c r="DV12" s="10" t="s">
        <v>412</v>
      </c>
      <c r="DW12" s="58" t="str">
        <f>"UNKB0020_IF!"&amp;
ADDRESS(ROW(UNKB0020_IF_MULTI_SELECT_TENKAI_START),COLUMN(UNKB0020_IF_MULTI_SELECT_LIST_TOTAL_KINGAKU))
&amp;":"&amp;ADDRESS(ROW(UNKB0020_IF_MULTI_SELECT_TENKAI_START)+UNKB0020_IF_MULTI_SELECT_TENKAI_KENSU-1,COLUMN(UNKB0020_IF_MULTI_SELECT_LIST_TOTAL_KINGAKU))</f>
        <v>UNKB0020_IF!$EZ$4:$EZ$3</v>
      </c>
      <c r="DX12" s="10"/>
      <c r="DY12" s="10"/>
    </row>
    <row r="13" spans="1:167" ht="16.5" customHeight="1">
      <c r="A13" s="8"/>
      <c r="B13" s="8" t="s">
        <v>135</v>
      </c>
      <c r="C13" s="8" t="s">
        <v>208</v>
      </c>
      <c r="D13" s="58"/>
      <c r="E13" s="127" t="s">
        <v>637</v>
      </c>
      <c r="G13" s="10"/>
      <c r="H13" s="10"/>
      <c r="I13" s="10"/>
      <c r="M13" s="10"/>
      <c r="N13" s="10"/>
      <c r="AD13" s="10" t="s">
        <v>251</v>
      </c>
      <c r="AE13" s="25">
        <f>ROW()-ROW(UNKB0020_B_GYO)</f>
        <v>-13</v>
      </c>
      <c r="AF13" s="413" t="str">
        <f ca="1">IF(AV13="","",
IF(AND(AP13&gt;0,AP13&lt;BA13),"注文数要確認",
IF(AND(AQ13&gt;0,BE13&lt;&gt;"",UNKB0020_H_SHINSEI_DATETIME&lt;&gt;"",_xlfn.DAYS(BE13,UNKB0020_H_SHINSEI_DATETIME)&lt;AQ13),"標準納期外",
IF(AND(AQ13&gt;0,BE13&lt;&gt;"",UNKB0020_H_SHINSEI_DATETIME="",_xlfn.DAYS(BE13,TODAY())&lt;AQ13),"標準納期外",
IF(AND(AR13&lt;&gt;"",UNKB0020_H_SHINSEI_DATETIME&lt;&gt;"",_xlfn.DAYS(UNKB0020_H_SHINSEI_DATETIME,AR13)&lt;=7),"直近注文済",
IF(AND(AR13&lt;&gt;"",UNKB0020_H_SHINSEI_DATETIME="",_xlfn.DAYS(TODAY(),AR13)&lt;=7),"直近注文済",""))))))</f>
        <v/>
      </c>
      <c r="AG13" s="63"/>
      <c r="AH13" s="70" t="b">
        <v>0</v>
      </c>
      <c r="AI13" s="70"/>
      <c r="AJ13" s="70">
        <v>1</v>
      </c>
      <c r="AK13" s="70"/>
      <c r="AL13" s="70"/>
      <c r="AM13" s="70"/>
      <c r="AN13" s="70"/>
      <c r="AO13" s="70"/>
      <c r="AP13" s="70"/>
      <c r="AQ13" s="70"/>
      <c r="AR13" s="71"/>
      <c r="AS13" s="70"/>
      <c r="AT13" s="70"/>
      <c r="AU13" s="70"/>
      <c r="AV13" s="114"/>
      <c r="AW13" s="434"/>
      <c r="AX13" s="340"/>
      <c r="AY13" s="117"/>
      <c r="AZ13" s="116"/>
      <c r="BA13" s="121"/>
      <c r="BB13" s="116"/>
      <c r="BC13" s="122">
        <f>IF(AY13=0,1,AY13)*BA13</f>
        <v>0</v>
      </c>
      <c r="BD13" s="123">
        <f>IF(AO13=1,ROUNDDOWN(AX13*BA13,0),IF(AO13=2,ROUNDUP(AX13*BA13,0),ROUND(AX13*BA13,0)))</f>
        <v>0</v>
      </c>
      <c r="BE13" s="474"/>
      <c r="BF13" s="114"/>
      <c r="BG13" s="114"/>
      <c r="BH13" s="25" t="str">
        <f>IF(BG13="","",AM13)</f>
        <v/>
      </c>
      <c r="BI13" s="114"/>
      <c r="BJ13" s="25" t="str">
        <f>IF(BI13="","",AN13)</f>
        <v/>
      </c>
      <c r="BK13" s="476"/>
      <c r="BL13" s="476"/>
      <c r="BM13" s="69"/>
      <c r="BN13" s="114"/>
      <c r="BO13" s="27"/>
      <c r="BR13" s="8"/>
      <c r="BV13" s="8"/>
      <c r="BW13" s="8"/>
      <c r="BX13" s="37" t="s">
        <v>279</v>
      </c>
      <c r="BY13" s="79" t="str">
        <f>ADDRESS(ROW(UNKB0020_IF_SAVE_CHECK_START),COLUMN(UNKB0020_IF_SAVE_CHECK_START))</f>
        <v>$CX$5</v>
      </c>
      <c r="BZ13" s="8"/>
      <c r="CA13" s="8"/>
      <c r="CB13" s="10"/>
      <c r="DT13" s="10"/>
      <c r="DU13" s="10" t="s">
        <v>59</v>
      </c>
      <c r="DV13" s="10" t="s">
        <v>407</v>
      </c>
      <c r="DW13" s="58" t="str">
        <f>"UNKB0020_IF!"&amp;
ADDRESS(ROW(UNKB0020_IF_MULTI_SELECT_TENKAI_START),COLUMN(UNKB0020_IF_MULTI_SELECT_LIST_SHIIRE_MEI))
&amp;":"&amp;ADDRESS(ROW(UNKB0020_IF_MULTI_SELECT_TENKAI_START)+UNKB0020_IF_MULTI_SELECT_TENKAI_KENSU-1,COLUMN(UNKB0020_IF_MULTI_SELECT_LIST_SHIIRE_MEI))</f>
        <v>UNKB0020_IF!$FD$4:$FD$3</v>
      </c>
      <c r="DX13" s="10"/>
      <c r="DY13" s="10"/>
    </row>
    <row r="14" spans="1:167" ht="16.5" customHeight="1">
      <c r="A14" s="10"/>
      <c r="B14" s="8" t="s">
        <v>566</v>
      </c>
      <c r="C14" s="8" t="s">
        <v>568</v>
      </c>
      <c r="D14" s="9"/>
      <c r="E14" s="8" t="s">
        <v>567</v>
      </c>
      <c r="F14" s="10"/>
      <c r="G14" s="10"/>
      <c r="H14" s="10"/>
      <c r="J14" s="72"/>
      <c r="M14" s="10"/>
      <c r="N14" s="10" t="s">
        <v>235</v>
      </c>
      <c r="O14" s="23"/>
      <c r="P14" s="11"/>
      <c r="Q14" s="13" t="s">
        <v>78</v>
      </c>
      <c r="R14" s="510"/>
      <c r="S14" s="511"/>
      <c r="T14" s="511"/>
      <c r="U14" s="511"/>
      <c r="V14" s="511"/>
      <c r="W14" s="512"/>
      <c r="BR14" s="8"/>
      <c r="BS14" s="8"/>
      <c r="BT14" s="8"/>
      <c r="BU14" s="8"/>
      <c r="BV14" s="8"/>
      <c r="BW14" s="8"/>
      <c r="BX14" s="37" t="s">
        <v>280</v>
      </c>
      <c r="BY14" s="37">
        <v>13</v>
      </c>
      <c r="BZ14" s="8"/>
      <c r="CA14" s="8"/>
      <c r="CB14" s="10"/>
      <c r="DT14" s="10"/>
      <c r="DU14" s="10" t="s">
        <v>61</v>
      </c>
      <c r="DV14" s="10" t="s">
        <v>408</v>
      </c>
      <c r="DW14" s="58" t="str">
        <f>"UNKB0020_IF!"&amp;
ADDRESS(ROW(UNKB0020_IF_MULTI_SELECT_TENKAI_START),COLUMN(UNKB0020_IF_MULTI_SELECT_LIST_MAKER_MEI))
&amp;":"&amp;ADDRESS(ROW(UNKB0020_IF_MULTI_SELECT_TENKAI_START)+UNKB0020_IF_MULTI_SELECT_TENKAI_KENSU-1,COLUMN(UNKB0020_IF_MULTI_SELECT_LIST_MAKER_MEI))</f>
        <v>UNKB0020_IF!$FF$4:$FF$3</v>
      </c>
      <c r="DX14" s="10"/>
      <c r="DY14" s="10"/>
    </row>
    <row r="15" spans="1:167" ht="16.5" customHeight="1">
      <c r="A15" s="10"/>
      <c r="B15" s="8" t="s">
        <v>596</v>
      </c>
      <c r="C15" s="8" t="s">
        <v>597</v>
      </c>
      <c r="D15" s="9"/>
      <c r="E15" s="8" t="s">
        <v>567</v>
      </c>
      <c r="F15" s="10"/>
      <c r="G15" s="10"/>
      <c r="H15" s="10"/>
      <c r="K15" s="10"/>
      <c r="L15" s="10"/>
      <c r="M15" s="10"/>
      <c r="N15" s="10" t="s">
        <v>256</v>
      </c>
      <c r="O15" s="23"/>
      <c r="P15" s="11"/>
      <c r="Q15" s="31" t="s">
        <v>80</v>
      </c>
      <c r="R15" s="26"/>
      <c r="S15" s="13"/>
      <c r="T15" s="11"/>
      <c r="U15" s="11"/>
      <c r="V15" s="11"/>
      <c r="W15" s="11"/>
      <c r="BR15" s="8"/>
      <c r="BS15" s="5" t="s">
        <v>295</v>
      </c>
      <c r="BT15" s="10"/>
      <c r="BU15" s="8"/>
      <c r="BV15" s="8"/>
      <c r="BW15" s="8"/>
      <c r="BX15" s="37" t="s">
        <v>281</v>
      </c>
      <c r="BY15" s="37">
        <f>UNKB0020_IF_SAVE_KENSU</f>
        <v>1</v>
      </c>
      <c r="BZ15" s="8"/>
      <c r="CA15" s="8"/>
      <c r="CB15" s="10"/>
      <c r="DT15" s="10"/>
      <c r="DU15" s="10"/>
      <c r="DV15" s="10"/>
      <c r="DW15" s="10"/>
      <c r="DX15" s="10"/>
      <c r="DY15" s="10"/>
    </row>
    <row r="16" spans="1:167" ht="16.5" customHeight="1">
      <c r="A16" s="10"/>
      <c r="B16" s="10"/>
      <c r="C16" s="10"/>
      <c r="D16" s="10"/>
      <c r="E16" s="10"/>
      <c r="F16" s="10"/>
      <c r="G16" s="10"/>
      <c r="H16" s="10"/>
      <c r="M16" s="10"/>
      <c r="N16" s="10"/>
      <c r="AD16" s="10" t="s">
        <v>239</v>
      </c>
      <c r="BN16" s="216" t="s">
        <v>1310</v>
      </c>
      <c r="BR16" s="8"/>
      <c r="BS16" s="8" t="s">
        <v>278</v>
      </c>
      <c r="BT16" s="8" t="s">
        <v>311</v>
      </c>
      <c r="BU16" s="58"/>
      <c r="BV16" s="10"/>
      <c r="BW16" s="8"/>
      <c r="BX16" s="37" t="s">
        <v>282</v>
      </c>
      <c r="BY16" s="37" t="s">
        <v>1794</v>
      </c>
      <c r="BZ16" s="8"/>
      <c r="CA16" s="8"/>
      <c r="CB16" s="8"/>
      <c r="CC16" s="8"/>
      <c r="CD16" s="8"/>
      <c r="CE16" s="231"/>
      <c r="DU16" s="10"/>
      <c r="DV16" s="10"/>
      <c r="DW16" s="10"/>
    </row>
    <row r="17" spans="1:83" ht="16.5" customHeight="1">
      <c r="A17" s="5" t="s">
        <v>180</v>
      </c>
      <c r="B17" s="8"/>
      <c r="C17" s="65"/>
      <c r="D17" s="10"/>
      <c r="E17" s="10"/>
      <c r="F17" s="10"/>
      <c r="G17" s="10"/>
      <c r="H17" s="10"/>
      <c r="M17" s="10"/>
      <c r="N17" s="10"/>
      <c r="AD17" s="10" t="s">
        <v>252</v>
      </c>
      <c r="AE17" s="25">
        <f>ROW()-ROW(UNKB0020_B_GYO)</f>
        <v>-9</v>
      </c>
      <c r="AF17" s="413" t="str">
        <f ca="1">IF(AV17="","",
IF(AND(AP17&gt;0,AP17&lt;BA17),"注文数要確認",
IF(AND(AQ17&gt;0,BE17&lt;&gt;"",UNKB0020_H_SHINSEI_DATETIME&lt;&gt;"",_xlfn.DAYS(BE17,UNKB0020_H_SHINSEI_DATETIME)&lt;AQ17),"標準納期外",
IF(AND(AQ17&gt;0,BE17&lt;&gt;"",UNKB0020_H_SHINSEI_DATETIME="",_xlfn.DAYS(BE17,TODAY())&lt;AQ17),"標準納期外",
IF(AND(AR17&lt;&gt;"",UNKB0020_H_SHINSEI_DATETIME&lt;&gt;"",_xlfn.DAYS(UNKB0020_H_SHINSEI_DATETIME,AR17)&lt;=7),"直近注文済",
IF(AND(AR17&lt;&gt;"",UNKB0020_H_SHINSEI_DATETIME="",_xlfn.DAYS(TODAY(),AR17)&lt;=7),"直近注文済",""))))))</f>
        <v/>
      </c>
      <c r="AG17" s="63"/>
      <c r="AH17" s="70" t="b">
        <v>0</v>
      </c>
      <c r="AI17" s="70"/>
      <c r="AJ17" s="70">
        <v>1</v>
      </c>
      <c r="AK17" s="70"/>
      <c r="AL17" s="70"/>
      <c r="AM17" s="70"/>
      <c r="AN17" s="70"/>
      <c r="AO17" s="70"/>
      <c r="AP17" s="70"/>
      <c r="AQ17" s="70"/>
      <c r="AR17" s="71"/>
      <c r="AS17" s="70"/>
      <c r="AT17" s="70"/>
      <c r="AU17" s="70"/>
      <c r="AV17" s="114"/>
      <c r="AW17" s="434"/>
      <c r="AX17" s="340"/>
      <c r="AY17" s="117"/>
      <c r="AZ17" s="116"/>
      <c r="BA17" s="121"/>
      <c r="BB17" s="116"/>
      <c r="BC17" s="122">
        <f>IF(AY17=0,1,AY17)*BA17</f>
        <v>0</v>
      </c>
      <c r="BD17" s="123">
        <f>IF(AO17=1,ROUNDDOWN(AX17*BA17,0),IF(AO17=2,ROUNDUP(AX17*BA17,0),ROUND(AX17*BA17,0)))</f>
        <v>0</v>
      </c>
      <c r="BE17" s="474"/>
      <c r="BF17" s="114"/>
      <c r="BG17" s="114"/>
      <c r="BH17" s="25" t="str">
        <f>IF(BG17="","",AM17)</f>
        <v/>
      </c>
      <c r="BI17" s="114"/>
      <c r="BJ17" s="25" t="str">
        <f>IF(BI17="","",AN17)</f>
        <v/>
      </c>
      <c r="BK17" s="476"/>
      <c r="BL17" s="476"/>
      <c r="BM17" s="69"/>
      <c r="BN17" s="114"/>
      <c r="BO17" s="27"/>
      <c r="BR17" s="8"/>
      <c r="BS17" s="10"/>
      <c r="BT17" s="8"/>
      <c r="BU17" s="10"/>
      <c r="BV17" s="10"/>
      <c r="BW17" s="8"/>
      <c r="BX17" s="37" t="s">
        <v>283</v>
      </c>
      <c r="BY17" s="37" t="str">
        <f ca="1">func_文字列連結(OFFSET(UNKB0020_IF_SAVE_JOGAI_GYO,1,0,UNKB0020_IF_SAVE_KENSU),",")</f>
        <v/>
      </c>
      <c r="BZ17" s="8"/>
      <c r="CA17" s="8"/>
      <c r="CB17" s="8"/>
      <c r="CC17" s="8"/>
      <c r="CD17" s="8"/>
      <c r="CE17" s="231"/>
    </row>
    <row r="18" spans="1:83" ht="16.5" customHeight="1">
      <c r="A18" s="10"/>
      <c r="B18" s="10" t="s">
        <v>181</v>
      </c>
      <c r="C18" s="8" t="s">
        <v>209</v>
      </c>
      <c r="D18" s="66" t="s">
        <v>556</v>
      </c>
      <c r="E18" s="10"/>
      <c r="F18" s="10"/>
      <c r="G18" s="10"/>
      <c r="H18" s="10"/>
      <c r="M18" s="10"/>
      <c r="N18" s="10"/>
      <c r="BR18" s="8"/>
      <c r="BS18" s="8" t="s">
        <v>587</v>
      </c>
      <c r="BT18" s="8" t="s">
        <v>512</v>
      </c>
      <c r="BU18" s="9"/>
      <c r="BV18" s="8"/>
      <c r="BW18" s="8"/>
      <c r="BX18" s="37" t="s">
        <v>284</v>
      </c>
      <c r="BY18" s="37" t="str">
        <f>COLUMN(UNKB0020_IF_SAVE_IRISU)&amp;","&amp;COLUMN(UNKB0020_IF_SAVE_IRISU_TANI)&amp;","&amp;COLUMN(UNKB0020_IF_SAVE_BARA_TANI)&amp;","&amp;COLUMN(UNKB0020_IF_SAVE_SOSU)&amp;","&amp;COLUMN(UNKB0020_IF_SAVE_TOTAL)&amp;","&amp;COLUMN(UNKB0020_IF_SAVE_NOKI)&amp;","&amp;COLUMN(UNKB0020_IF_SAVE_MAKER_CD)</f>
        <v>104,105,107,108,109,110,113</v>
      </c>
      <c r="BZ18" s="8"/>
      <c r="CA18" s="8"/>
      <c r="CB18" s="8"/>
      <c r="CC18" s="8"/>
      <c r="CD18" s="8"/>
      <c r="CE18" s="231"/>
    </row>
    <row r="19" spans="1:83" ht="16.5" customHeight="1">
      <c r="A19" s="10"/>
      <c r="B19" s="10" t="s">
        <v>182</v>
      </c>
      <c r="C19" s="8" t="s">
        <v>210</v>
      </c>
      <c r="D19" s="66">
        <v>4</v>
      </c>
      <c r="E19" s="10"/>
      <c r="F19" s="10"/>
      <c r="G19" s="10"/>
      <c r="H19" s="10"/>
      <c r="M19" s="10"/>
      <c r="N19" s="10"/>
      <c r="BR19" s="8"/>
      <c r="BS19" s="10" t="s">
        <v>296</v>
      </c>
      <c r="BT19" s="8" t="s">
        <v>312</v>
      </c>
      <c r="BU19" s="9"/>
      <c r="BV19" s="8"/>
      <c r="BW19" s="8"/>
      <c r="BX19" s="37" t="s">
        <v>285</v>
      </c>
      <c r="BY19" s="37"/>
      <c r="BZ19" s="8"/>
      <c r="CA19" s="8"/>
      <c r="CB19" s="8"/>
      <c r="CC19" s="8"/>
      <c r="CD19" s="8"/>
      <c r="CE19" s="231"/>
    </row>
    <row r="20" spans="1:83" ht="16.5" customHeight="1">
      <c r="A20" s="10"/>
      <c r="B20" s="10" t="s">
        <v>183</v>
      </c>
      <c r="C20" s="8" t="s">
        <v>211</v>
      </c>
      <c r="D20" s="66">
        <v>8</v>
      </c>
      <c r="E20" s="10"/>
      <c r="F20" s="10"/>
      <c r="G20" s="10"/>
      <c r="H20" s="10"/>
      <c r="M20" s="10"/>
      <c r="N20" s="10"/>
      <c r="AD20" s="10" t="s">
        <v>240</v>
      </c>
      <c r="BN20" s="216" t="s">
        <v>1311</v>
      </c>
      <c r="BR20" s="8"/>
      <c r="BS20" s="10" t="s">
        <v>297</v>
      </c>
      <c r="BT20" s="8" t="s">
        <v>313</v>
      </c>
      <c r="BU20" s="9"/>
      <c r="BV20" s="8"/>
      <c r="BW20" s="10"/>
      <c r="BX20" s="30" t="s">
        <v>286</v>
      </c>
      <c r="BY20" s="81"/>
      <c r="BZ20" s="10"/>
      <c r="CA20" s="10"/>
      <c r="CB20" s="10"/>
    </row>
    <row r="21" spans="1:83" ht="16.5" customHeight="1">
      <c r="A21" s="10"/>
      <c r="B21" s="10" t="s">
        <v>184</v>
      </c>
      <c r="C21" s="8" t="s">
        <v>212</v>
      </c>
      <c r="D21" s="66"/>
      <c r="E21" s="10"/>
      <c r="F21" s="10"/>
      <c r="G21" s="10"/>
      <c r="H21" s="10"/>
      <c r="M21" s="10"/>
      <c r="N21" s="10"/>
      <c r="AD21" s="10" t="s">
        <v>253</v>
      </c>
      <c r="AE21" s="25">
        <f>ROW()-ROW(UNKB0020_B_GYO)</f>
        <v>-5</v>
      </c>
      <c r="AF21" s="413" t="str">
        <f ca="1">IF(AV21="","",
IF(AND(AP21&gt;0,AP21&lt;BA21),"注文数要確認",
IF(AND(AQ21&gt;0,BE21&lt;&gt;"",UNKB0020_H_SHINSEI_DATETIME&lt;&gt;"",_xlfn.DAYS(BE21,UNKB0020_H_SHINSEI_DATETIME)&lt;AQ21),"標準納期外",
IF(AND(AQ21&gt;0,BE21&lt;&gt;"",UNKB0020_H_SHINSEI_DATETIME="",_xlfn.DAYS(BE21,TODAY())&lt;AQ21),"標準納期外",
IF(AND(AR21&lt;&gt;"",UNKB0020_H_SHINSEI_DATETIME&lt;&gt;"",_xlfn.DAYS(UNKB0020_H_SHINSEI_DATETIME,AR21)&lt;=7),"直近注文済",
IF(AND(AR21&lt;&gt;"",UNKB0020_H_SHINSEI_DATETIME="",_xlfn.DAYS(TODAY(),AR21)&lt;=7),"直近注文済",""))))))</f>
        <v/>
      </c>
      <c r="AG21" s="63"/>
      <c r="AH21" s="70" t="b">
        <v>0</v>
      </c>
      <c r="AI21" s="70"/>
      <c r="AJ21" s="70">
        <v>1</v>
      </c>
      <c r="AK21" s="70"/>
      <c r="AL21" s="70"/>
      <c r="AM21" s="70"/>
      <c r="AN21" s="70"/>
      <c r="AO21" s="70"/>
      <c r="AP21" s="70"/>
      <c r="AQ21" s="70"/>
      <c r="AR21" s="71"/>
      <c r="AS21" s="70"/>
      <c r="AT21" s="70"/>
      <c r="AU21" s="70"/>
      <c r="AV21" s="114"/>
      <c r="AW21" s="434"/>
      <c r="AX21" s="340"/>
      <c r="AY21" s="117"/>
      <c r="AZ21" s="116"/>
      <c r="BA21" s="121"/>
      <c r="BB21" s="116"/>
      <c r="BC21" s="122">
        <f>IF(AY21=0,1,AY21)*BA21</f>
        <v>0</v>
      </c>
      <c r="BD21" s="123">
        <f>IF(AO21=1,ROUNDDOWN(AX21*BA21,0),IF(AO21=2,ROUNDUP(AX21*BA21,0),ROUND(AX21*BA21,0)))</f>
        <v>0</v>
      </c>
      <c r="BE21" s="474"/>
      <c r="BF21" s="114"/>
      <c r="BG21" s="114"/>
      <c r="BH21" s="25" t="str">
        <f>IF(BG21="","",AM21)</f>
        <v/>
      </c>
      <c r="BI21" s="114"/>
      <c r="BJ21" s="25" t="str">
        <f>IF(BI21="","",AN21)</f>
        <v/>
      </c>
      <c r="BK21" s="476"/>
      <c r="BL21" s="476"/>
      <c r="BM21" s="69"/>
      <c r="BN21" s="114"/>
      <c r="BO21" s="27"/>
      <c r="BR21" s="8"/>
      <c r="BS21" s="10" t="s">
        <v>298</v>
      </c>
      <c r="BT21" s="8" t="s">
        <v>314</v>
      </c>
      <c r="BU21" s="9">
        <f>IF(UNKB0020_IF_SAVE_RESULT_CD=0,2,1)</f>
        <v>2</v>
      </c>
      <c r="BV21" s="10" t="s">
        <v>292</v>
      </c>
      <c r="BW21" s="8"/>
      <c r="BX21" s="82" t="s">
        <v>287</v>
      </c>
      <c r="BY21" s="83"/>
      <c r="BZ21" s="8"/>
      <c r="CA21" s="8"/>
      <c r="CB21" s="8"/>
      <c r="CC21" s="8"/>
      <c r="CD21" s="8"/>
      <c r="CE21" s="231"/>
    </row>
    <row r="22" spans="1:83" ht="16.5" customHeight="1">
      <c r="A22" s="97"/>
      <c r="B22" s="97" t="s">
        <v>542</v>
      </c>
      <c r="C22" s="8" t="s">
        <v>543</v>
      </c>
      <c r="D22" s="66">
        <f ca="1">IF(UNKB0020_IF_ACTIVE_ROW="",0,INDIRECT("UNKB0020_B!"&amp;ADDRESS(UNKB0020_IF_ACTIVE_ROW,COLUMN(UNKB0020_B_STS_CD))))</f>
        <v>0</v>
      </c>
      <c r="E22" s="97" t="s">
        <v>541</v>
      </c>
      <c r="F22" s="97"/>
      <c r="G22" s="97"/>
      <c r="H22" s="97"/>
      <c r="I22" s="97"/>
      <c r="J22" s="97"/>
      <c r="K22" s="97"/>
      <c r="M22" s="10"/>
      <c r="BR22" s="8"/>
      <c r="BS22" s="10" t="s">
        <v>299</v>
      </c>
      <c r="BT22" s="8" t="s">
        <v>513</v>
      </c>
      <c r="BU22" s="9" t="s">
        <v>300</v>
      </c>
      <c r="BV22" s="8"/>
      <c r="BW22" s="8"/>
      <c r="BX22" s="82" t="s">
        <v>288</v>
      </c>
      <c r="BY22" s="83"/>
      <c r="BZ22" s="8"/>
      <c r="CA22" s="8"/>
      <c r="CB22" s="8"/>
      <c r="CC22" s="8"/>
      <c r="CD22" s="8"/>
      <c r="CE22" s="231"/>
    </row>
    <row r="23" spans="1:83" ht="16.5" customHeight="1">
      <c r="A23" s="10"/>
      <c r="F23" s="10"/>
      <c r="G23" s="10"/>
      <c r="H23" s="10"/>
      <c r="M23" s="10"/>
      <c r="BR23" s="8"/>
      <c r="BW23" s="8"/>
      <c r="BX23" s="30" t="s">
        <v>289</v>
      </c>
      <c r="BY23" s="81"/>
      <c r="BZ23" s="8"/>
      <c r="CA23" s="8"/>
      <c r="CB23" s="8"/>
      <c r="CC23" s="8"/>
      <c r="CD23" s="8"/>
      <c r="CE23" s="231"/>
    </row>
    <row r="24" spans="1:83" ht="16.5" customHeight="1">
      <c r="A24" s="5" t="s">
        <v>185</v>
      </c>
      <c r="B24" s="10"/>
      <c r="C24" s="8"/>
      <c r="D24" s="65"/>
      <c r="E24" s="5" t="s">
        <v>186</v>
      </c>
      <c r="F24" s="5" t="s">
        <v>76</v>
      </c>
      <c r="G24" s="5" t="s">
        <v>125</v>
      </c>
      <c r="H24" s="10"/>
      <c r="M24" s="10"/>
      <c r="N24" s="10"/>
      <c r="AD24" s="10" t="s">
        <v>235</v>
      </c>
      <c r="AE24" s="58" t="s">
        <v>619</v>
      </c>
      <c r="AF24" s="58"/>
      <c r="AG24" s="58"/>
      <c r="BR24" s="8"/>
      <c r="BW24" s="8"/>
      <c r="BX24" s="8"/>
      <c r="BY24" s="8"/>
      <c r="BZ24" s="8"/>
      <c r="CA24" s="8"/>
      <c r="CB24" s="8"/>
      <c r="CC24" s="8"/>
      <c r="CD24" s="8"/>
      <c r="CE24" s="231"/>
    </row>
    <row r="25" spans="1:83" ht="16.5" customHeight="1">
      <c r="A25" s="10"/>
      <c r="B25" s="10" t="s">
        <v>187</v>
      </c>
      <c r="C25" s="8" t="s">
        <v>227</v>
      </c>
      <c r="D25" s="66" t="str">
        <f>IF(UNKB0020_IF_MODE=1,"-",IF(UNKB0020_IF_MODE=2,"修正キャンセル","修正"))</f>
        <v>修正</v>
      </c>
      <c r="E25" s="8" t="s">
        <v>188</v>
      </c>
      <c r="F25" s="10" t="s">
        <v>125</v>
      </c>
      <c r="G25" s="10" t="s">
        <v>76</v>
      </c>
      <c r="H25" s="10"/>
      <c r="M25" s="10"/>
      <c r="N25" s="10"/>
      <c r="AD25" s="10" t="s">
        <v>257</v>
      </c>
      <c r="AE25" s="28">
        <f>ROW()-ROW(UNKB0020_B_GYO)</f>
        <v>-1</v>
      </c>
      <c r="AF25" s="413" t="str">
        <f ca="1">IF(AV25="","",
IF(AND(AP25&gt;0,AP25&lt;BA25),"注文数要確認",
IF(AND(AQ25&gt;0,BE25&lt;&gt;"",UNKB0020_H_SHINSEI_DATETIME&lt;&gt;"",_xlfn.DAYS(BE25,UNKB0020_H_SHINSEI_DATETIME)&lt;AQ25),"標準納期外",
IF(AND(AQ25&gt;0,BE25&lt;&gt;"",UNKB0020_H_SHINSEI_DATETIME="",_xlfn.DAYS(BE25,TODAY())&lt;AQ25),"標準納期外",
IF(AND(AR25&lt;&gt;"",UNKB0020_H_SHINSEI_DATETIME&lt;&gt;"",_xlfn.DAYS(UNKB0020_H_SHINSEI_DATETIME,AR25)&lt;=7),"直近注文済",
IF(AND(AR25&lt;&gt;"",UNKB0020_H_SHINSEI_DATETIME="",_xlfn.DAYS(TODAY(),AR25)&lt;=7),"直近注文済",""))))))</f>
        <v/>
      </c>
      <c r="AG25" s="113" t="str">
        <f>IF(AH25=TRUE,"☑","□")</f>
        <v>□</v>
      </c>
      <c r="AH25" s="27" t="b">
        <v>0</v>
      </c>
      <c r="AI25" s="27"/>
      <c r="AJ25" s="27">
        <v>1</v>
      </c>
      <c r="AK25" s="27"/>
      <c r="AL25" s="27"/>
      <c r="AM25" s="27"/>
      <c r="AN25" s="27"/>
      <c r="AO25" s="27"/>
      <c r="AP25" s="27"/>
      <c r="AQ25" s="27"/>
      <c r="AR25" s="74"/>
      <c r="AS25" s="27"/>
      <c r="AT25" s="336"/>
      <c r="AU25" s="27"/>
      <c r="AV25" s="27"/>
      <c r="AW25" s="435"/>
      <c r="AX25" s="341"/>
      <c r="AY25" s="118"/>
      <c r="AZ25" s="27"/>
      <c r="BA25" s="118"/>
      <c r="BB25" s="27"/>
      <c r="BC25" s="118">
        <f>IF(AY25=0,1,AY25)*BA25</f>
        <v>0</v>
      </c>
      <c r="BD25" s="123">
        <f>IF(AO25=1,ROUNDDOWN(AX25*BA25,0),IF(AO25=2,ROUNDUP(AX25*BA25,0),ROUND(AX25*BA25,0)))</f>
        <v>0</v>
      </c>
      <c r="BE25" s="74"/>
      <c r="BF25" s="27"/>
      <c r="BG25" s="27"/>
      <c r="BH25" s="28" t="str">
        <f>IF(BG25="","",AM25)</f>
        <v/>
      </c>
      <c r="BI25" s="27"/>
      <c r="BJ25" s="28" t="str">
        <f>IF(BI25="","",AN25)</f>
        <v/>
      </c>
      <c r="BK25" s="27"/>
      <c r="BL25" s="27"/>
      <c r="BM25" s="28"/>
      <c r="BN25" s="27"/>
      <c r="BO25" s="27"/>
      <c r="BR25" s="8"/>
      <c r="BS25" s="8"/>
      <c r="BT25" s="8"/>
      <c r="BU25" s="8"/>
      <c r="BV25" s="8"/>
      <c r="BW25" s="8"/>
      <c r="BX25" s="5" t="s">
        <v>290</v>
      </c>
      <c r="BY25" s="10"/>
      <c r="BZ25" s="10"/>
      <c r="CA25" s="8"/>
      <c r="CB25" s="8"/>
      <c r="CC25" s="8"/>
      <c r="CD25" s="8"/>
      <c r="CE25" s="231"/>
    </row>
    <row r="26" spans="1:83" ht="16.5" customHeight="1">
      <c r="A26" s="8"/>
      <c r="B26" s="8" t="s">
        <v>189</v>
      </c>
      <c r="C26" s="8" t="s">
        <v>228</v>
      </c>
      <c r="D26" s="66" t="str">
        <f>IF(UNKB0020_IF_MODE=1,"新規申請",IF(UNKB0020_IF_MODE=2,"保存","-"))</f>
        <v>-</v>
      </c>
      <c r="E26" s="8" t="s">
        <v>1846</v>
      </c>
      <c r="F26" s="8" t="s">
        <v>190</v>
      </c>
      <c r="G26" s="8" t="s">
        <v>191</v>
      </c>
      <c r="H26" s="10"/>
      <c r="M26" s="10"/>
      <c r="N26" s="10"/>
      <c r="BR26" s="8"/>
      <c r="BS26" s="8"/>
      <c r="BT26" s="8"/>
      <c r="BU26" s="8"/>
      <c r="BV26" s="8"/>
      <c r="BW26" s="8"/>
      <c r="BX26" s="8" t="s">
        <v>291</v>
      </c>
      <c r="BY26" s="8" t="s">
        <v>309</v>
      </c>
      <c r="BZ26" s="58">
        <f>IF(ISBLANK(UNKB0020_IF_SAVE_CHECK_RESULT)=TRUE,2,1)</f>
        <v>2</v>
      </c>
      <c r="CA26" s="10" t="s">
        <v>292</v>
      </c>
      <c r="CB26" s="10"/>
    </row>
    <row r="27" spans="1:83" ht="16.5" customHeight="1">
      <c r="A27" s="8"/>
      <c r="B27" s="8"/>
      <c r="C27" s="8"/>
      <c r="D27" s="8"/>
      <c r="E27" s="8"/>
      <c r="F27" s="8"/>
      <c r="G27" s="8"/>
      <c r="H27" s="10"/>
      <c r="M27" s="10"/>
      <c r="N27" s="10"/>
      <c r="BR27" s="8"/>
      <c r="BS27" s="8"/>
      <c r="BT27" s="8"/>
      <c r="BU27" s="8"/>
      <c r="BV27" s="8"/>
      <c r="BW27" s="8"/>
      <c r="BX27" s="10" t="s">
        <v>293</v>
      </c>
      <c r="BY27" s="8" t="s">
        <v>310</v>
      </c>
      <c r="BZ27" s="58" t="str">
        <f>"以下の項目が入力されていません。"&amp;
IF(UNKB0020_IF_SAVE_CHECK_RESULT&gt;=1,"
行番号："&amp;UNKB0020_IF_SAVE_CHECK_RESULT-ROW(UNKB0020_IF_SAVE_CHECK_START)+1,"")&amp;
"
項目名："&amp;UNKB0020_IF_SAVE_CHECK_ERROR_KOMOKU</f>
        <v>以下の項目が入力されていません。
項目名：</v>
      </c>
      <c r="CA27" s="8"/>
      <c r="CB27" s="8"/>
      <c r="CC27" s="8"/>
      <c r="CD27" s="8"/>
      <c r="CE27" s="231"/>
    </row>
    <row r="28" spans="1:83" ht="16.5" customHeight="1">
      <c r="A28" s="5"/>
      <c r="B28" s="8"/>
      <c r="C28" s="8"/>
      <c r="D28" s="8"/>
      <c r="E28" s="5"/>
      <c r="F28" s="5"/>
      <c r="G28" s="5"/>
      <c r="H28" s="10"/>
      <c r="M28" s="10"/>
      <c r="N28" s="10"/>
      <c r="AD28" s="10" t="s">
        <v>242</v>
      </c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231"/>
    </row>
    <row r="29" spans="1:83" ht="16.5" customHeight="1">
      <c r="A29" s="68" t="s">
        <v>192</v>
      </c>
      <c r="B29" s="8"/>
      <c r="C29" s="8"/>
      <c r="D29" s="8"/>
      <c r="E29" s="5" t="s">
        <v>186</v>
      </c>
      <c r="F29" s="5" t="s">
        <v>76</v>
      </c>
      <c r="G29" s="5" t="s">
        <v>125</v>
      </c>
      <c r="H29" s="10"/>
      <c r="M29" s="10"/>
      <c r="N29" s="10"/>
      <c r="AD29" s="10" t="s">
        <v>621</v>
      </c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436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R29" s="10"/>
      <c r="BS29" s="8"/>
      <c r="BT29" s="8"/>
      <c r="BU29" s="10"/>
      <c r="BV29" s="10"/>
      <c r="BW29" s="10"/>
      <c r="BX29" s="8"/>
      <c r="BY29" s="8" t="s">
        <v>315</v>
      </c>
      <c r="BZ29" s="8" t="s">
        <v>316</v>
      </c>
      <c r="CA29" s="10"/>
      <c r="CB29" s="10"/>
    </row>
    <row r="30" spans="1:83" ht="16.5" customHeight="1">
      <c r="A30" s="57"/>
      <c r="B30" s="8" t="s">
        <v>193</v>
      </c>
      <c r="C30" s="8" t="s">
        <v>213</v>
      </c>
      <c r="D30" s="9">
        <f>IF(UNKB0020_IF_MODE=1,2,IF(UNKB0020_IF_MODE=2,2,1))</f>
        <v>1</v>
      </c>
      <c r="E30" s="10" t="s">
        <v>194</v>
      </c>
      <c r="F30" s="10" t="s">
        <v>194</v>
      </c>
      <c r="G30" s="10" t="s">
        <v>195</v>
      </c>
      <c r="H30" s="10"/>
      <c r="M30" s="10"/>
      <c r="N30" s="10"/>
      <c r="BR30" s="10"/>
      <c r="BS30" s="8"/>
      <c r="BT30" s="8"/>
      <c r="BU30" s="10"/>
      <c r="BV30" s="10"/>
      <c r="BW30" s="10"/>
      <c r="BX30" s="10" t="s">
        <v>294</v>
      </c>
      <c r="BY30" s="58"/>
      <c r="BZ30" s="9"/>
      <c r="CA30" s="10"/>
      <c r="CB30" s="10"/>
    </row>
    <row r="31" spans="1:83" ht="16.5" customHeight="1">
      <c r="A31" s="57"/>
      <c r="B31" s="8" t="s">
        <v>610</v>
      </c>
      <c r="C31" s="8" t="s">
        <v>611</v>
      </c>
      <c r="D31" s="9">
        <f>IF(UNKB0020_IF_MODE=1,1,IF(UNKB0020_IF_MODE=2,1,2))</f>
        <v>2</v>
      </c>
      <c r="E31" s="97" t="s">
        <v>195</v>
      </c>
      <c r="F31" s="97" t="s">
        <v>195</v>
      </c>
      <c r="G31" s="97" t="s">
        <v>194</v>
      </c>
      <c r="H31" s="97"/>
      <c r="I31" s="97"/>
      <c r="J31" s="97"/>
      <c r="K31" s="97"/>
      <c r="M31" s="10"/>
      <c r="N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</row>
    <row r="32" spans="1:83" ht="16.5" customHeight="1">
      <c r="A32" s="8"/>
      <c r="B32" s="10" t="s">
        <v>187</v>
      </c>
      <c r="C32" s="8" t="s">
        <v>214</v>
      </c>
      <c r="D32" s="9">
        <f>IF(UNKB0020_IF_MODE=1,2,IF(UNKB0020_IF_MODE=2,1,1))</f>
        <v>1</v>
      </c>
      <c r="E32" s="10" t="s">
        <v>194</v>
      </c>
      <c r="F32" s="10" t="s">
        <v>195</v>
      </c>
      <c r="G32" s="10" t="s">
        <v>195</v>
      </c>
      <c r="H32" s="10"/>
      <c r="M32" s="10"/>
      <c r="N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</row>
    <row r="33" spans="1:146" ht="16.5" customHeight="1">
      <c r="A33" s="8"/>
      <c r="B33" s="8" t="s">
        <v>196</v>
      </c>
      <c r="C33" s="8" t="s">
        <v>215</v>
      </c>
      <c r="D33" s="9">
        <f>IF(UNKB0020_IF_MODE=1,2,IF(UNKB0020_IF_MODE=2,1,2))</f>
        <v>2</v>
      </c>
      <c r="E33" s="10" t="s">
        <v>194</v>
      </c>
      <c r="F33" s="10" t="s">
        <v>195</v>
      </c>
      <c r="G33" s="10" t="s">
        <v>194</v>
      </c>
      <c r="H33" s="10"/>
      <c r="M33" s="10"/>
      <c r="N33" s="10"/>
      <c r="BR33" s="10"/>
      <c r="BW33" s="10"/>
      <c r="BX33" s="10"/>
      <c r="BY33" s="10"/>
      <c r="BZ33" s="10"/>
      <c r="CA33" s="10"/>
      <c r="CB33" s="10"/>
    </row>
    <row r="34" spans="1:146" ht="16.5" customHeight="1">
      <c r="A34" s="8"/>
      <c r="B34" s="8" t="s">
        <v>197</v>
      </c>
      <c r="C34" s="8" t="s">
        <v>216</v>
      </c>
      <c r="D34" s="9">
        <f>IF(UNKB0020_IF_MODE=1,1,IF(UNKB0020_IF_MODE=2,1,2))</f>
        <v>2</v>
      </c>
      <c r="E34" s="10" t="s">
        <v>195</v>
      </c>
      <c r="F34" s="10" t="s">
        <v>195</v>
      </c>
      <c r="G34" s="10" t="s">
        <v>194</v>
      </c>
      <c r="H34" s="10"/>
      <c r="M34" s="10"/>
      <c r="N34" s="10"/>
      <c r="BR34" s="10"/>
      <c r="BW34" s="10"/>
      <c r="BX34" s="10"/>
      <c r="BY34" s="10"/>
      <c r="BZ34" s="10"/>
      <c r="CA34" s="10"/>
      <c r="CB34" s="10"/>
    </row>
    <row r="35" spans="1:146" ht="16.5" customHeight="1">
      <c r="A35" s="8"/>
      <c r="B35" s="8" t="s">
        <v>189</v>
      </c>
      <c r="C35" s="8" t="s">
        <v>217</v>
      </c>
      <c r="D35" s="9">
        <f>IF(UNKB0020_IF_MODE=1,1,IF(UNKB0020_IF_MODE=2,1,2))</f>
        <v>2</v>
      </c>
      <c r="E35" s="10" t="s">
        <v>195</v>
      </c>
      <c r="F35" s="10" t="s">
        <v>195</v>
      </c>
      <c r="G35" s="10" t="s">
        <v>194</v>
      </c>
      <c r="H35" s="10"/>
      <c r="M35" s="10"/>
      <c r="N35" s="10"/>
      <c r="BR35" s="10"/>
      <c r="BW35" s="10"/>
      <c r="BX35" s="10"/>
      <c r="BY35" s="10"/>
      <c r="BZ35" s="10"/>
      <c r="CA35" s="10"/>
      <c r="CB35" s="10"/>
    </row>
    <row r="36" spans="1:146" ht="16.5" customHeight="1">
      <c r="A36" s="8"/>
      <c r="B36" s="8" t="s">
        <v>198</v>
      </c>
      <c r="C36" s="8" t="s">
        <v>218</v>
      </c>
      <c r="D36" s="9">
        <f>IF(UNKB0020_IF_MODE=1,1,IF(UNKB0020_IF_MODE=2,1,2))</f>
        <v>2</v>
      </c>
      <c r="E36" s="10" t="s">
        <v>195</v>
      </c>
      <c r="F36" s="10" t="s">
        <v>195</v>
      </c>
      <c r="G36" s="10" t="s">
        <v>194</v>
      </c>
      <c r="H36" s="10"/>
      <c r="M36" s="10"/>
      <c r="N36" s="10"/>
      <c r="BR36" s="10"/>
      <c r="BW36" s="10"/>
      <c r="BX36" s="10"/>
      <c r="BY36" s="10"/>
      <c r="BZ36" s="10"/>
      <c r="CA36" s="10"/>
      <c r="CB36" s="10"/>
    </row>
    <row r="37" spans="1:146" ht="16.5" customHeight="1">
      <c r="A37" s="8"/>
      <c r="B37" s="8" t="s">
        <v>199</v>
      </c>
      <c r="C37" s="8" t="s">
        <v>219</v>
      </c>
      <c r="D37" s="9">
        <f>IF(UNKB0020_IF_MODE=1,1,IF(UNKB0020_IF_MODE=2,1,2))</f>
        <v>2</v>
      </c>
      <c r="E37" s="10" t="s">
        <v>195</v>
      </c>
      <c r="F37" s="10" t="s">
        <v>195</v>
      </c>
      <c r="G37" s="10" t="s">
        <v>194</v>
      </c>
      <c r="H37" s="10"/>
      <c r="M37" s="10"/>
      <c r="N37" s="10"/>
      <c r="BR37" s="10"/>
      <c r="BW37" s="10"/>
      <c r="BX37" s="10"/>
      <c r="BY37" s="10"/>
      <c r="BZ37" s="10"/>
      <c r="CA37" s="10"/>
      <c r="CB37" s="10"/>
    </row>
    <row r="38" spans="1:146" ht="16.5" customHeight="1">
      <c r="A38" s="8"/>
      <c r="B38" s="8" t="s">
        <v>73</v>
      </c>
      <c r="C38" s="8" t="s">
        <v>220</v>
      </c>
      <c r="D38" s="9">
        <f>IF(UNKB0020_IF_MODE=1,1,IF(UNKB0020_IF_MODE=2,1,2))</f>
        <v>2</v>
      </c>
      <c r="E38" s="10" t="s">
        <v>195</v>
      </c>
      <c r="F38" s="10" t="s">
        <v>195</v>
      </c>
      <c r="G38" s="10" t="s">
        <v>194</v>
      </c>
      <c r="H38" s="10"/>
      <c r="M38" s="10"/>
      <c r="N38" s="10"/>
      <c r="BR38" s="10"/>
      <c r="BW38" s="10"/>
      <c r="BX38" s="10"/>
      <c r="BY38" s="10"/>
      <c r="BZ38" s="10"/>
      <c r="CA38" s="10"/>
      <c r="CB38" s="10"/>
    </row>
    <row r="39" spans="1:146" ht="16.5" customHeight="1">
      <c r="A39" s="8"/>
      <c r="B39" s="8" t="s">
        <v>229</v>
      </c>
      <c r="C39" s="8" t="s">
        <v>221</v>
      </c>
      <c r="D39" s="9">
        <f>IF(UNKB0020_IF_MODE=1,2,IF(UNKB0020_IF_MODE=2,2,1))</f>
        <v>1</v>
      </c>
      <c r="E39" s="10" t="s">
        <v>194</v>
      </c>
      <c r="F39" s="10" t="s">
        <v>194</v>
      </c>
      <c r="G39" s="10" t="s">
        <v>195</v>
      </c>
      <c r="H39" s="10"/>
      <c r="M39" s="10"/>
      <c r="N39" s="10"/>
      <c r="BR39" s="10"/>
      <c r="BW39" s="10"/>
      <c r="BX39" s="10"/>
      <c r="BY39" s="10"/>
      <c r="BZ39" s="10"/>
      <c r="CA39" s="10"/>
      <c r="CB39" s="10"/>
    </row>
    <row r="40" spans="1:146" ht="16.5" customHeight="1">
      <c r="A40" s="8"/>
      <c r="B40" s="8" t="s">
        <v>200</v>
      </c>
      <c r="C40" s="8" t="s">
        <v>222</v>
      </c>
      <c r="D40" s="9">
        <f>IF(UNKB0020_IF_MODE=1,2,IF(UNKB0020_IF_MODE=2,2,1))</f>
        <v>1</v>
      </c>
      <c r="E40" s="10" t="s">
        <v>194</v>
      </c>
      <c r="F40" s="10" t="s">
        <v>194</v>
      </c>
      <c r="G40" s="10" t="s">
        <v>195</v>
      </c>
      <c r="H40" s="10"/>
      <c r="M40" s="10"/>
      <c r="BR40" s="10"/>
      <c r="BW40" s="10"/>
      <c r="BX40" s="10"/>
      <c r="BY40" s="10"/>
      <c r="BZ40" s="10"/>
      <c r="CA40" s="10"/>
      <c r="CB40" s="10"/>
    </row>
    <row r="41" spans="1:146" ht="16.5" customHeight="1">
      <c r="A41" s="8"/>
      <c r="H41" s="10"/>
      <c r="M41" s="10"/>
    </row>
    <row r="42" spans="1:146" ht="16.5" customHeight="1">
      <c r="A42" s="5" t="s">
        <v>201</v>
      </c>
      <c r="B42" s="10"/>
      <c r="C42" s="10"/>
      <c r="D42" s="10"/>
      <c r="E42" s="10"/>
      <c r="F42" s="10"/>
      <c r="G42" s="10"/>
      <c r="H42" s="10"/>
      <c r="M42" s="10"/>
      <c r="N42" s="10"/>
    </row>
    <row r="43" spans="1:146" ht="16.5" customHeight="1">
      <c r="A43" s="10"/>
      <c r="B43" s="8" t="s">
        <v>544</v>
      </c>
      <c r="C43" s="8" t="s">
        <v>545</v>
      </c>
      <c r="D43" s="58">
        <f>IF(OR(UNKB0020_IF_ACTIVE_ROW&gt;=99,UNKB0020_H_KOBAI_KBN=""),1,0)</f>
        <v>0</v>
      </c>
      <c r="E43" s="67" t="s">
        <v>203</v>
      </c>
      <c r="F43" s="67" t="s">
        <v>204</v>
      </c>
      <c r="G43" s="10"/>
      <c r="H43" s="10"/>
      <c r="L43" s="97"/>
      <c r="M43" s="10"/>
      <c r="N43" s="10"/>
    </row>
    <row r="44" spans="1:146" s="97" customFormat="1" ht="16.5" customHeight="1">
      <c r="A44" s="10"/>
      <c r="B44" s="10" t="s">
        <v>202</v>
      </c>
      <c r="C44" s="8" t="s">
        <v>230</v>
      </c>
      <c r="D44" s="58">
        <f ca="1">IF(OR(UNKB0020_IF_STS_LIMIT&lt;UNKB0020_IF_SELECT_STS_CD,UNKB0020_IF_ACTIVE_ROW&lt;=ROW(UNKB0020_B_GYO)),1,0)</f>
        <v>1</v>
      </c>
      <c r="E44" s="67" t="s">
        <v>203</v>
      </c>
      <c r="F44" s="67" t="s">
        <v>204</v>
      </c>
      <c r="G44" s="10"/>
      <c r="H44" s="10"/>
      <c r="I44"/>
      <c r="J44"/>
      <c r="K44"/>
      <c r="AT44" s="230"/>
      <c r="AW44" s="268"/>
      <c r="CE44" s="230"/>
      <c r="EP44" s="230"/>
    </row>
    <row r="45" spans="1:146" s="97" customFormat="1" ht="16.5" customHeight="1">
      <c r="B45" s="97" t="s">
        <v>73</v>
      </c>
      <c r="C45" s="8" t="s">
        <v>598</v>
      </c>
      <c r="D45" s="58">
        <f>IF(AND(UNKB0020_IF_MEISAI_SANSHO_FLG=1,UNKB0020_IF_ACTIVE_ROW&lt;=ROW(UNKB0020_B_GYO)),1,0)</f>
        <v>0</v>
      </c>
      <c r="E45" s="67" t="s">
        <v>203</v>
      </c>
      <c r="F45" s="67" t="s">
        <v>204</v>
      </c>
      <c r="AT45" s="230"/>
      <c r="AW45" s="268"/>
      <c r="CE45" s="230"/>
      <c r="EP45" s="230"/>
    </row>
    <row r="46" spans="1:146" s="97" customFormat="1" ht="16.5" customHeight="1">
      <c r="B46" s="97" t="s">
        <v>606</v>
      </c>
      <c r="C46" s="8" t="s">
        <v>607</v>
      </c>
      <c r="D46" s="58">
        <f>IF(OR(UNKB0020_IF_ACTIVE_ROW&gt;=99,UNKB0020_H_KOBAI_KBN=""),1,0)</f>
        <v>0</v>
      </c>
      <c r="E46" s="67" t="s">
        <v>203</v>
      </c>
      <c r="F46" s="67" t="s">
        <v>204</v>
      </c>
      <c r="AT46" s="230"/>
      <c r="AW46" s="268"/>
      <c r="CE46" s="230"/>
      <c r="EP46" s="230"/>
    </row>
    <row r="47" spans="1:146" s="97" customFormat="1" ht="16.5" customHeight="1">
      <c r="B47" s="230" t="s">
        <v>67</v>
      </c>
      <c r="C47" s="231" t="s">
        <v>1804</v>
      </c>
      <c r="D47" s="216">
        <f ca="1">IF(UNKB0020_B_GYO_COUNT=0,0,
IF(UNKB0020_IF_STS_LIMIT&lt;MAX(OFFSET(UNKB0020_B_STS_CD,1,0,UNKB0020_B_GYO_COUNT)),1,0))</f>
        <v>0</v>
      </c>
      <c r="E47" s="67" t="s">
        <v>203</v>
      </c>
      <c r="F47" s="67" t="s">
        <v>204</v>
      </c>
      <c r="AT47" s="230"/>
      <c r="AW47" s="268"/>
      <c r="CE47" s="230"/>
      <c r="EP47" s="230"/>
    </row>
    <row r="48" spans="1:146" s="97" customFormat="1" ht="16.5" customHeight="1">
      <c r="B48" s="8" t="s">
        <v>547</v>
      </c>
      <c r="C48" s="8" t="s">
        <v>549</v>
      </c>
      <c r="D48" s="58" t="str">
        <f>IF(UNKB0020_IF_ACTIVE_ROW&gt;=99,"これ以上行を追加できません",IF(UNKB0020_H_KOBAI_KBN="","購買区分を選択してください","行追加エラー"))</f>
        <v>行追加エラー</v>
      </c>
      <c r="E48" s="67"/>
      <c r="F48" s="67"/>
      <c r="AT48" s="230"/>
      <c r="AW48" s="268"/>
      <c r="CE48" s="230"/>
      <c r="EP48" s="230"/>
    </row>
    <row r="49" spans="1:146" s="97" customFormat="1" ht="16.5" customHeight="1">
      <c r="B49" s="97" t="s">
        <v>548</v>
      </c>
      <c r="C49" s="8" t="s">
        <v>550</v>
      </c>
      <c r="D49" s="58" t="str">
        <f ca="1">IF(UNKB0020_IF_STS_LIMIT&lt;UNKB0020_IF_SELECT_STS_CD,"選択した行は削除できません",IF(UNKB0020_IF_ACTIVE_ROW&lt;=ROW(UNKB0020_B_GYO),"削除対象を選択してください","行削除エラー"))</f>
        <v>削除対象を選択してください</v>
      </c>
      <c r="E49" s="67"/>
      <c r="F49" s="67"/>
      <c r="AT49" s="230"/>
      <c r="AW49" s="268"/>
      <c r="CE49" s="230"/>
      <c r="EP49" s="230"/>
    </row>
    <row r="50" spans="1:146" s="97" customFormat="1" ht="16.5" customHeight="1">
      <c r="B50" s="97" t="s">
        <v>599</v>
      </c>
      <c r="C50" s="8" t="s">
        <v>600</v>
      </c>
      <c r="D50" s="58" t="s">
        <v>601</v>
      </c>
      <c r="E50" s="67"/>
      <c r="F50" s="67"/>
      <c r="L50"/>
      <c r="AT50" s="230"/>
      <c r="AW50" s="268"/>
      <c r="CE50" s="230"/>
      <c r="EP50" s="230"/>
    </row>
    <row r="51" spans="1:146" ht="16.5" customHeight="1">
      <c r="A51" s="97"/>
      <c r="B51" s="8" t="s">
        <v>608</v>
      </c>
      <c r="C51" s="8" t="s">
        <v>609</v>
      </c>
      <c r="D51" s="58" t="str">
        <f>IF(UNKB0020_IF_ACTIVE_ROW&gt;=99,"これ以上行を追加できません",IF(UNKB0020_H_KOBAI_KBN="","購買区分を選択してください","行追加エラー"))</f>
        <v>行追加エラー</v>
      </c>
      <c r="E51" s="67"/>
      <c r="F51" s="67"/>
      <c r="I51" s="97"/>
      <c r="J51" s="97"/>
      <c r="K51" s="97"/>
      <c r="M51" s="10"/>
      <c r="N51" s="10"/>
    </row>
    <row r="52" spans="1:146" ht="16.5" customHeight="1">
      <c r="A52" s="230"/>
      <c r="B52" s="231" t="s">
        <v>1805</v>
      </c>
      <c r="C52" s="231" t="s">
        <v>1806</v>
      </c>
      <c r="D52" s="216" t="s">
        <v>1807</v>
      </c>
      <c r="E52" s="230"/>
      <c r="F52" s="230"/>
      <c r="G52" s="230"/>
      <c r="H52" s="230"/>
      <c r="M52" s="10"/>
      <c r="N52" s="10"/>
    </row>
    <row r="53" spans="1:146" ht="16.5" customHeight="1">
      <c r="A53" s="230"/>
      <c r="B53" s="230"/>
      <c r="C53" s="230"/>
      <c r="D53" s="230"/>
      <c r="E53" s="230"/>
      <c r="F53" s="230"/>
      <c r="G53" s="230"/>
      <c r="H53" s="230"/>
      <c r="M53" s="10"/>
      <c r="N53" s="10"/>
    </row>
    <row r="54" spans="1:146" ht="16.5" customHeight="1">
      <c r="A54" s="230"/>
      <c r="B54" s="230"/>
      <c r="C54" s="230"/>
      <c r="D54" s="230"/>
      <c r="E54" s="230"/>
      <c r="F54" s="230"/>
      <c r="G54" s="230"/>
      <c r="H54" s="230"/>
      <c r="M54" s="10"/>
      <c r="N54" s="10"/>
    </row>
    <row r="55" spans="1:146" ht="16.5" customHeight="1">
      <c r="A55" s="5" t="s">
        <v>205</v>
      </c>
      <c r="B55" s="10"/>
      <c r="C55" s="10"/>
      <c r="D55" s="10"/>
      <c r="E55" s="10"/>
      <c r="F55" s="10"/>
      <c r="G55" s="10"/>
      <c r="H55" s="10"/>
      <c r="M55" s="10"/>
      <c r="N55" s="10"/>
    </row>
    <row r="56" spans="1:146" ht="16.5" customHeight="1">
      <c r="A56" s="10"/>
      <c r="B56" s="10" t="s">
        <v>206</v>
      </c>
      <c r="C56" s="8" t="s">
        <v>546</v>
      </c>
      <c r="D56" s="58" t="str">
        <f ca="1">"購買申請入力_"&amp;UNKB0020_IF_REF_NO&amp;"_"&amp;TEXT(NOW(),"YYYYMMDD")&amp;"_"&amp;TEXT(NOW(),"hhmmss")</f>
        <v>購買申請入力__20170714_180439</v>
      </c>
      <c r="E56" s="10"/>
      <c r="G56" s="10"/>
      <c r="H56" s="10"/>
      <c r="M56" s="10"/>
      <c r="N56" s="10"/>
    </row>
    <row r="57" spans="1:146" ht="16.5" customHeight="1">
      <c r="A57" s="5" t="s">
        <v>593</v>
      </c>
      <c r="M57" s="10"/>
      <c r="N57" s="10"/>
    </row>
    <row r="58" spans="1:146" ht="16.5" customHeight="1">
      <c r="B58" s="97" t="s">
        <v>594</v>
      </c>
      <c r="C58" s="8" t="s">
        <v>595</v>
      </c>
      <c r="D58" s="58" t="str">
        <f ca="1">"購買申請書_"&amp;UNKB0020_IF_REF_NO&amp;"_"&amp;TEXT(NOW(),"YYYYMMDD")&amp;"_"&amp;TEXT(NOW(),"hhmmss")</f>
        <v>購買申請書__20170714_180439</v>
      </c>
      <c r="M58" s="10"/>
      <c r="N58" s="10"/>
    </row>
    <row r="59" spans="1:146" ht="16.5" customHeight="1">
      <c r="M59" s="10"/>
      <c r="N59" s="10"/>
    </row>
    <row r="60" spans="1:146" ht="16.5" customHeight="1">
      <c r="M60" s="10"/>
      <c r="N60" s="10"/>
    </row>
    <row r="61" spans="1:146" ht="16.5" customHeight="1">
      <c r="M61" s="10"/>
      <c r="N61" s="10"/>
    </row>
    <row r="62" spans="1:146" ht="16.5" customHeight="1">
      <c r="M62" s="10"/>
      <c r="N62" s="10"/>
    </row>
    <row r="63" spans="1:146" ht="16.5" customHeight="1">
      <c r="M63" s="10"/>
      <c r="N63" s="10"/>
    </row>
  </sheetData>
  <mergeCells count="4">
    <mergeCell ref="R4:W4"/>
    <mergeCell ref="R9:W9"/>
    <mergeCell ref="R14:W14"/>
    <mergeCell ref="BX11:BY11"/>
  </mergeCells>
  <phoneticPr fontId="1"/>
  <conditionalFormatting sqref="AF5">
    <cfRule type="expression" dxfId="165" priority="134">
      <formula>AF5&lt;&gt;""</formula>
    </cfRule>
  </conditionalFormatting>
  <conditionalFormatting sqref="AW5">
    <cfRule type="expression" dxfId="164" priority="133">
      <formula>AV5&lt;&gt;""</formula>
    </cfRule>
  </conditionalFormatting>
  <conditionalFormatting sqref="BG5">
    <cfRule type="expression" dxfId="163" priority="132">
      <formula>AV5&lt;&gt;""</formula>
    </cfRule>
  </conditionalFormatting>
  <conditionalFormatting sqref="BI5">
    <cfRule type="expression" dxfId="162" priority="131">
      <formula>AV5&lt;&gt;""</formula>
    </cfRule>
  </conditionalFormatting>
  <conditionalFormatting sqref="AY5">
    <cfRule type="expression" dxfId="161" priority="129">
      <formula>AV5&lt;&gt;""</formula>
    </cfRule>
  </conditionalFormatting>
  <conditionalFormatting sqref="AX5">
    <cfRule type="expression" dxfId="160" priority="102">
      <formula>AV5&lt;&gt;""</formula>
    </cfRule>
  </conditionalFormatting>
  <conditionalFormatting sqref="BK5">
    <cfRule type="expression" dxfId="159" priority="128">
      <formula>BL5&lt;&gt;""</formula>
    </cfRule>
  </conditionalFormatting>
  <conditionalFormatting sqref="BL5">
    <cfRule type="expression" dxfId="158" priority="127">
      <formula>BK5&lt;&gt;""</formula>
    </cfRule>
  </conditionalFormatting>
  <conditionalFormatting sqref="BK9">
    <cfRule type="expression" dxfId="157" priority="113">
      <formula>BL9&lt;&gt;""</formula>
    </cfRule>
  </conditionalFormatting>
  <conditionalFormatting sqref="BL9">
    <cfRule type="expression" dxfId="156" priority="112">
      <formula>BK9&lt;&gt;""</formula>
    </cfRule>
  </conditionalFormatting>
  <conditionalFormatting sqref="BK13">
    <cfRule type="expression" dxfId="155" priority="111">
      <formula>BL13&lt;&gt;""</formula>
    </cfRule>
  </conditionalFormatting>
  <conditionalFormatting sqref="BL13">
    <cfRule type="expression" dxfId="154" priority="110">
      <formula>BK13&lt;&gt;""</formula>
    </cfRule>
  </conditionalFormatting>
  <conditionalFormatting sqref="BK17">
    <cfRule type="expression" dxfId="153" priority="109">
      <formula>BL17&lt;&gt;""</formula>
    </cfRule>
  </conditionalFormatting>
  <conditionalFormatting sqref="BL17">
    <cfRule type="expression" dxfId="152" priority="108">
      <formula>BK17&lt;&gt;""</formula>
    </cfRule>
  </conditionalFormatting>
  <conditionalFormatting sqref="BK21">
    <cfRule type="expression" dxfId="151" priority="107">
      <formula>BL21&lt;&gt;""</formula>
    </cfRule>
  </conditionalFormatting>
  <conditionalFormatting sqref="BL21">
    <cfRule type="expression" dxfId="150" priority="106">
      <formula>BK21&lt;&gt;""</formula>
    </cfRule>
  </conditionalFormatting>
  <conditionalFormatting sqref="AX5:AY5 BA5 BC5:BD5">
    <cfRule type="expression" dxfId="149" priority="130">
      <formula>INDIRECT(ADDRESS(ROW(),COLUMN()))=TRUNC(INDIRECT(ADDRESS(ROW(),COLUMN())))</formula>
    </cfRule>
  </conditionalFormatting>
  <conditionalFormatting sqref="BC9">
    <cfRule type="expression" dxfId="148" priority="101">
      <formula>INDIRECT(ADDRESS(ROW(),COLUMN()))=TRUNC(INDIRECT(ADDRESS(ROW(),COLUMN())))</formula>
    </cfRule>
  </conditionalFormatting>
  <conditionalFormatting sqref="BC13">
    <cfRule type="expression" dxfId="147" priority="100">
      <formula>INDIRECT(ADDRESS(ROW(),COLUMN()))=TRUNC(INDIRECT(ADDRESS(ROW(),COLUMN())))</formula>
    </cfRule>
  </conditionalFormatting>
  <conditionalFormatting sqref="BC17">
    <cfRule type="expression" dxfId="146" priority="99">
      <formula>INDIRECT(ADDRESS(ROW(),COLUMN()))=TRUNC(INDIRECT(ADDRESS(ROW(),COLUMN())))</formula>
    </cfRule>
  </conditionalFormatting>
  <conditionalFormatting sqref="BC21">
    <cfRule type="expression" dxfId="145" priority="98">
      <formula>INDIRECT(ADDRESS(ROW(),COLUMN()))=TRUNC(INDIRECT(ADDRESS(ROW(),COLUMN())))</formula>
    </cfRule>
  </conditionalFormatting>
  <conditionalFormatting sqref="AY25 BA25 BC25">
    <cfRule type="expression" dxfId="144" priority="97">
      <formula>INDIRECT(ADDRESS(ROW(),COLUMN()))=TRUNC(INDIRECT(ADDRESS(ROW(),COLUMN())))</formula>
    </cfRule>
  </conditionalFormatting>
  <conditionalFormatting sqref="BD9">
    <cfRule type="expression" dxfId="143" priority="96">
      <formula>INDIRECT(ADDRESS(ROW(),COLUMN()))=TRUNC(INDIRECT(ADDRESS(ROW(),COLUMN())))</formula>
    </cfRule>
  </conditionalFormatting>
  <conditionalFormatting sqref="BD13">
    <cfRule type="expression" dxfId="142" priority="95">
      <formula>INDIRECT(ADDRESS(ROW(),COLUMN()))=TRUNC(INDIRECT(ADDRESS(ROW(),COLUMN())))</formula>
    </cfRule>
  </conditionalFormatting>
  <conditionalFormatting sqref="BD17">
    <cfRule type="expression" dxfId="141" priority="94">
      <formula>INDIRECT(ADDRESS(ROW(),COLUMN()))=TRUNC(INDIRECT(ADDRESS(ROW(),COLUMN())))</formula>
    </cfRule>
  </conditionalFormatting>
  <conditionalFormatting sqref="BD21">
    <cfRule type="expression" dxfId="140" priority="93">
      <formula>INDIRECT(ADDRESS(ROW(),COLUMN()))=TRUNC(INDIRECT(ADDRESS(ROW(),COLUMN())))</formula>
    </cfRule>
  </conditionalFormatting>
  <conditionalFormatting sqref="BD25">
    <cfRule type="expression" dxfId="139" priority="92">
      <formula>INDIRECT(ADDRESS(ROW(),COLUMN()))=TRUNC(INDIRECT(ADDRESS(ROW(),COLUMN())))</formula>
    </cfRule>
  </conditionalFormatting>
  <conditionalFormatting sqref="R5">
    <cfRule type="expression" dxfId="138" priority="91">
      <formula>UNKB0020_B_GYO_COUNT&gt;=1</formula>
    </cfRule>
  </conditionalFormatting>
  <conditionalFormatting sqref="R10">
    <cfRule type="expression" dxfId="137" priority="90">
      <formula>UNKB0020_B_GYO_COUNT&gt;=1</formula>
    </cfRule>
  </conditionalFormatting>
  <conditionalFormatting sqref="BN5">
    <cfRule type="expression" dxfId="136" priority="89">
      <formula>UNKB0020_IF_STS_LIMIT&lt;2</formula>
    </cfRule>
  </conditionalFormatting>
  <conditionalFormatting sqref="BN9">
    <cfRule type="expression" dxfId="135" priority="88">
      <formula>UNKB0020_IF_STS_LIMIT&lt;2</formula>
    </cfRule>
  </conditionalFormatting>
  <conditionalFormatting sqref="BN13">
    <cfRule type="expression" dxfId="134" priority="87">
      <formula>UNKB0020_IF_STS_LIMIT&lt;2</formula>
    </cfRule>
  </conditionalFormatting>
  <conditionalFormatting sqref="BN17">
    <cfRule type="expression" dxfId="133" priority="86">
      <formula>UNKB0020_IF_STS_LIMIT&lt;2</formula>
    </cfRule>
  </conditionalFormatting>
  <conditionalFormatting sqref="BN21">
    <cfRule type="expression" dxfId="132" priority="85">
      <formula>UNKB0020_IF_STS_LIMIT&lt;2</formula>
    </cfRule>
  </conditionalFormatting>
  <conditionalFormatting sqref="AV5:BO5 BB9:BO9 BB13:BO13 BB17:BO17 BB21:BO21">
    <cfRule type="expression" dxfId="131" priority="80">
      <formula>INDIRECT(ADDRESS(ROW(),COLUMN(UNKB0020_B_STS_CD)))&gt;UNKB0020_IF_STS_LIMIT</formula>
    </cfRule>
  </conditionalFormatting>
  <conditionalFormatting sqref="AV9:AW9 AV13:AW13 AV17:AW17 AV21:AW21 AZ9 AZ13 AZ17 AZ21">
    <cfRule type="expression" dxfId="130" priority="79">
      <formula>INDIRECT(ADDRESS(ROW(),COLUMN(UNKB0020_B_STS_CD)))&gt;UNKB0020_IF_STS_LIMIT</formula>
    </cfRule>
  </conditionalFormatting>
  <conditionalFormatting sqref="BA9">
    <cfRule type="expression" dxfId="129" priority="73">
      <formula>INDIRECT(ADDRESS(ROW(),COLUMN()))=TRUNC(INDIRECT(ADDRESS(ROW(),COLUMN())))</formula>
    </cfRule>
  </conditionalFormatting>
  <conditionalFormatting sqref="BA9">
    <cfRule type="expression" dxfId="128" priority="72">
      <formula>INDIRECT(ADDRESS(ROW(),COLUMN(UNKB0020_B_STS_CD)))&gt;UNKB0020_IF_STS_LIMIT</formula>
    </cfRule>
  </conditionalFormatting>
  <conditionalFormatting sqref="BA13">
    <cfRule type="expression" dxfId="127" priority="71">
      <formula>INDIRECT(ADDRESS(ROW(),COLUMN()))=TRUNC(INDIRECT(ADDRESS(ROW(),COLUMN())))</formula>
    </cfRule>
  </conditionalFormatting>
  <conditionalFormatting sqref="BA13">
    <cfRule type="expression" dxfId="126" priority="70">
      <formula>INDIRECT(ADDRESS(ROW(),COLUMN(UNKB0020_B_STS_CD)))&gt;UNKB0020_IF_STS_LIMIT</formula>
    </cfRule>
  </conditionalFormatting>
  <conditionalFormatting sqref="BA17">
    <cfRule type="expression" dxfId="125" priority="69">
      <formula>INDIRECT(ADDRESS(ROW(),COLUMN()))=TRUNC(INDIRECT(ADDRESS(ROW(),COLUMN())))</formula>
    </cfRule>
  </conditionalFormatting>
  <conditionalFormatting sqref="BA17">
    <cfRule type="expression" dxfId="124" priority="68">
      <formula>INDIRECT(ADDRESS(ROW(),COLUMN(UNKB0020_B_STS_CD)))&gt;UNKB0020_IF_STS_LIMIT</formula>
    </cfRule>
  </conditionalFormatting>
  <conditionalFormatting sqref="BA21">
    <cfRule type="expression" dxfId="123" priority="67">
      <formula>INDIRECT(ADDRESS(ROW(),COLUMN()))=TRUNC(INDIRECT(ADDRESS(ROW(),COLUMN())))</formula>
    </cfRule>
  </conditionalFormatting>
  <conditionalFormatting sqref="BA21">
    <cfRule type="expression" dxfId="122" priority="66">
      <formula>INDIRECT(ADDRESS(ROW(),COLUMN(UNKB0020_B_STS_CD)))&gt;UNKB0020_IF_STS_LIMIT</formula>
    </cfRule>
  </conditionalFormatting>
  <conditionalFormatting sqref="AX9">
    <cfRule type="expression" dxfId="121" priority="45">
      <formula>INDIRECT(ADDRESS(ROW(),COLUMN()))=TRUNC(INDIRECT(ADDRESS(ROW(),COLUMN())))</formula>
    </cfRule>
  </conditionalFormatting>
  <conditionalFormatting sqref="AX9">
    <cfRule type="expression" dxfId="120" priority="43">
      <formula>INDIRECT(ADDRESS(ROW(),COLUMN(UNKB0020_B_STS_CD)))&gt;UNKB0020_IF_STS_LIMIT</formula>
    </cfRule>
  </conditionalFormatting>
  <conditionalFormatting sqref="AX25">
    <cfRule type="expression" dxfId="119" priority="32">
      <formula>AV25&lt;&gt;""</formula>
    </cfRule>
  </conditionalFormatting>
  <conditionalFormatting sqref="AX25">
    <cfRule type="expression" dxfId="118" priority="33">
      <formula>INDIRECT(ADDRESS(ROW(),COLUMN()))=TRUNC(INDIRECT(ADDRESS(ROW(),COLUMN())))</formula>
    </cfRule>
  </conditionalFormatting>
  <conditionalFormatting sqref="AX25">
    <cfRule type="expression" dxfId="117" priority="31">
      <formula>INDIRECT(ADDRESS(ROW(),COLUMN(UNKB0020_B_STS_CD)))&gt;UNKB0020_IF_STS_LIMIT</formula>
    </cfRule>
  </conditionalFormatting>
  <conditionalFormatting sqref="AX13">
    <cfRule type="expression" dxfId="116" priority="25">
      <formula>INDIRECT(ADDRESS(ROW(),COLUMN()))=TRUNC(INDIRECT(ADDRESS(ROW(),COLUMN())))</formula>
    </cfRule>
  </conditionalFormatting>
  <conditionalFormatting sqref="AX13">
    <cfRule type="expression" dxfId="115" priority="24">
      <formula>INDIRECT(ADDRESS(ROW(),COLUMN(UNKB0020_B_STS_CD)))&gt;UNKB0020_IF_STS_LIMIT</formula>
    </cfRule>
  </conditionalFormatting>
  <conditionalFormatting sqref="AX17">
    <cfRule type="expression" dxfId="114" priority="23">
      <formula>INDIRECT(ADDRESS(ROW(),COLUMN()))=TRUNC(INDIRECT(ADDRESS(ROW(),COLUMN())))</formula>
    </cfRule>
  </conditionalFormatting>
  <conditionalFormatting sqref="AX17">
    <cfRule type="expression" dxfId="113" priority="22">
      <formula>INDIRECT(ADDRESS(ROW(),COLUMN(UNKB0020_B_STS_CD)))&gt;UNKB0020_IF_STS_LIMIT</formula>
    </cfRule>
  </conditionalFormatting>
  <conditionalFormatting sqref="AX21">
    <cfRule type="expression" dxfId="112" priority="21">
      <formula>INDIRECT(ADDRESS(ROW(),COLUMN()))=TRUNC(INDIRECT(ADDRESS(ROW(),COLUMN())))</formula>
    </cfRule>
  </conditionalFormatting>
  <conditionalFormatting sqref="AX21">
    <cfRule type="expression" dxfId="111" priority="20">
      <formula>INDIRECT(ADDRESS(ROW(),COLUMN(UNKB0020_B_STS_CD)))&gt;UNKB0020_IF_STS_LIMIT</formula>
    </cfRule>
  </conditionalFormatting>
  <conditionalFormatting sqref="AY9">
    <cfRule type="expression" dxfId="110" priority="18">
      <formula>AV9&lt;&gt;""</formula>
    </cfRule>
  </conditionalFormatting>
  <conditionalFormatting sqref="AY9">
    <cfRule type="expression" dxfId="109" priority="19">
      <formula>INDIRECT(ADDRESS(ROW(),COLUMN()))=TRUNC(INDIRECT(ADDRESS(ROW(),COLUMN())))</formula>
    </cfRule>
  </conditionalFormatting>
  <conditionalFormatting sqref="AY9">
    <cfRule type="expression" dxfId="108" priority="17">
      <formula>INDIRECT(ADDRESS(ROW(),COLUMN(UNKB0020_B_STS_CD)))&gt;UNKB0020_IF_STS_LIMIT</formula>
    </cfRule>
  </conditionalFormatting>
  <conditionalFormatting sqref="AY13">
    <cfRule type="expression" dxfId="107" priority="15">
      <formula>AV13&lt;&gt;""</formula>
    </cfRule>
  </conditionalFormatting>
  <conditionalFormatting sqref="AY13">
    <cfRule type="expression" dxfId="106" priority="16">
      <formula>INDIRECT(ADDRESS(ROW(),COLUMN()))=TRUNC(INDIRECT(ADDRESS(ROW(),COLUMN())))</formula>
    </cfRule>
  </conditionalFormatting>
  <conditionalFormatting sqref="AY13">
    <cfRule type="expression" dxfId="105" priority="14">
      <formula>INDIRECT(ADDRESS(ROW(),COLUMN(UNKB0020_B_STS_CD)))&gt;UNKB0020_IF_STS_LIMIT</formula>
    </cfRule>
  </conditionalFormatting>
  <conditionalFormatting sqref="AY17">
    <cfRule type="expression" dxfId="104" priority="12">
      <formula>AV17&lt;&gt;""</formula>
    </cfRule>
  </conditionalFormatting>
  <conditionalFormatting sqref="AY17">
    <cfRule type="expression" dxfId="103" priority="13">
      <formula>INDIRECT(ADDRESS(ROW(),COLUMN()))=TRUNC(INDIRECT(ADDRESS(ROW(),COLUMN())))</formula>
    </cfRule>
  </conditionalFormatting>
  <conditionalFormatting sqref="AY17">
    <cfRule type="expression" dxfId="102" priority="11">
      <formula>INDIRECT(ADDRESS(ROW(),COLUMN(UNKB0020_B_STS_CD)))&gt;UNKB0020_IF_STS_LIMIT</formula>
    </cfRule>
  </conditionalFormatting>
  <conditionalFormatting sqref="AY21">
    <cfRule type="expression" dxfId="101" priority="9">
      <formula>AV21&lt;&gt;""</formula>
    </cfRule>
  </conditionalFormatting>
  <conditionalFormatting sqref="AY21">
    <cfRule type="expression" dxfId="100" priority="10">
      <formula>INDIRECT(ADDRESS(ROW(),COLUMN()))=TRUNC(INDIRECT(ADDRESS(ROW(),COLUMN())))</formula>
    </cfRule>
  </conditionalFormatting>
  <conditionalFormatting sqref="AY21">
    <cfRule type="expression" dxfId="99" priority="8">
      <formula>INDIRECT(ADDRESS(ROW(),COLUMN(UNKB0020_B_STS_CD)))&gt;UNKB0020_IF_STS_LIMIT</formula>
    </cfRule>
  </conditionalFormatting>
  <conditionalFormatting sqref="AF9">
    <cfRule type="expression" dxfId="98" priority="7">
      <formula>AF9&lt;&gt;""</formula>
    </cfRule>
  </conditionalFormatting>
  <conditionalFormatting sqref="AF13">
    <cfRule type="expression" dxfId="97" priority="6">
      <formula>AF13&lt;&gt;""</formula>
    </cfRule>
  </conditionalFormatting>
  <conditionalFormatting sqref="AF17">
    <cfRule type="expression" dxfId="96" priority="5">
      <formula>AF17&lt;&gt;""</formula>
    </cfRule>
  </conditionalFormatting>
  <conditionalFormatting sqref="AF21">
    <cfRule type="expression" dxfId="95" priority="4">
      <formula>AF21&lt;&gt;""</formula>
    </cfRule>
  </conditionalFormatting>
  <conditionalFormatting sqref="AF25">
    <cfRule type="expression" dxfId="94" priority="3">
      <formula>AF25&lt;&gt;""</formula>
    </cfRule>
  </conditionalFormatting>
  <conditionalFormatting sqref="BK21 BK17 BK13 BK9">
    <cfRule type="expression" dxfId="93" priority="2">
      <formula>BL9&lt;&gt;""</formula>
    </cfRule>
  </conditionalFormatting>
  <conditionalFormatting sqref="BL21 BL17 BL13 BL9">
    <cfRule type="expression" dxfId="92" priority="1">
      <formula>BK9&lt;&gt;""</formula>
    </cfRule>
  </conditionalFormatting>
  <dataValidations count="11">
    <dataValidation type="list" allowBlank="1" showInputMessage="1" showErrorMessage="1" sqref="R15 R5 R10">
      <formula1>UNKB0020_IF_LIST_KOBAI_KBN</formula1>
    </dataValidation>
    <dataValidation type="custom" allowBlank="1" showInputMessage="1" showErrorMessage="1" sqref="R14:W14 R4:W4 R9:W9">
      <formula1>LENB(R4)&lt;=80</formula1>
    </dataValidation>
    <dataValidation type="custom" allowBlank="1" showInputMessage="1" showErrorMessage="1" sqref="BM5 BM9 BM13 BM17 BM21 BM25">
      <formula1>LENB(BM5)&lt;=50</formula1>
    </dataValidation>
    <dataValidation type="custom" allowBlank="1" showInputMessage="1" showErrorMessage="1" sqref="BA5 BA9 BA13 BA17 BA21 AY17 BA25 AY5 AY13 AY25 AY9 AY21">
      <formula1>AND(NOT(ISERROR(INT(AY5))),ROUND(AY5,2)=AY5,AND(AY5&lt;100000,AY5&gt;-100000))</formula1>
    </dataValidation>
    <dataValidation type="custom" allowBlank="1" showInputMessage="1" showErrorMessage="1" sqref="AZ5 BB5 AZ9 BB9 AZ21 BB21 AZ13 BB13 AZ17 BB17 AZ25 BB25">
      <formula1>LENB(AZ5)&lt;=10</formula1>
    </dataValidation>
    <dataValidation type="custom" allowBlank="1" showInputMessage="1" showErrorMessage="1" sqref="AW5 AW9 AW13 AW17 AW21 AW25">
      <formula1>LEN(AW5)&lt;=50</formula1>
    </dataValidation>
    <dataValidation type="custom" allowBlank="1" showInputMessage="1" showErrorMessage="1" sqref="AX5 AX9 AX25 AX13 AX17 AX21">
      <formula1>AND(NOT(ISERROR(INT(AX5))),ROUND(AX5,2)=AX5,AND(AX5&lt;1000000000,AX5&gt;-1000000000))</formula1>
    </dataValidation>
    <dataValidation type="date" allowBlank="1" showInputMessage="1" showErrorMessage="1" sqref="BE21 BE9 BE13 BE17">
      <formula1>36526</formula1>
      <formula2>73415</formula2>
    </dataValidation>
    <dataValidation type="date" allowBlank="1" showDropDown="1" showInputMessage="1" showErrorMessage="1" sqref="BE5">
      <formula1>36526</formula1>
      <formula2>73415</formula2>
    </dataValidation>
    <dataValidation type="list" allowBlank="1" showDropDown="1" showInputMessage="1" showErrorMessage="1" sqref="BK5 BK9 BK13 BK17 BK21">
      <formula1>UNKB_YOSAN_CD_IF_LIST</formula1>
    </dataValidation>
    <dataValidation type="list" allowBlank="1" showDropDown="1" showInputMessage="1" showErrorMessage="1" sqref="BL5 BL9 BL13 BL17 BL21">
      <formula1>UNKB_JURI_NO_IF_LIST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Check Box 1">
              <controlPr defaultSize="0" autoFill="0" autoLine="0" autoPict="0" macro="[0]!M_UNKB0020_CLICK_CHECKBOX">
                <anchor moveWithCells="1" sizeWithCells="1">
                  <from>
                    <xdr:col>32</xdr:col>
                    <xdr:colOff>85725</xdr:colOff>
                    <xdr:row>4</xdr:row>
                    <xdr:rowOff>19050</xdr:rowOff>
                  </from>
                  <to>
                    <xdr:col>32</xdr:col>
                    <xdr:colOff>266700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Check Box 2">
              <controlPr defaultSize="0" autoFill="0" autoLine="0" autoPict="0" macro="[0]!M_UNKB0020_CLICK_CHECKBOX">
                <anchor moveWithCells="1" sizeWithCells="1">
                  <from>
                    <xdr:col>32</xdr:col>
                    <xdr:colOff>85725</xdr:colOff>
                    <xdr:row>8</xdr:row>
                    <xdr:rowOff>19050</xdr:rowOff>
                  </from>
                  <to>
                    <xdr:col>32</xdr:col>
                    <xdr:colOff>266700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Check Box 3">
              <controlPr defaultSize="0" autoFill="0" autoLine="0" autoPict="0" macro="[0]!M_UNKB0020_CLICK_CHECKBOX">
                <anchor moveWithCells="1" sizeWithCells="1">
                  <from>
                    <xdr:col>32</xdr:col>
                    <xdr:colOff>85725</xdr:colOff>
                    <xdr:row>12</xdr:row>
                    <xdr:rowOff>19050</xdr:rowOff>
                  </from>
                  <to>
                    <xdr:col>32</xdr:col>
                    <xdr:colOff>266700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Check Box 4">
              <controlPr defaultSize="0" autoFill="0" autoLine="0" autoPict="0" macro="[0]!M_UNKB0020_CLICK_CHECKBOX">
                <anchor moveWithCells="1" sizeWithCells="1">
                  <from>
                    <xdr:col>32</xdr:col>
                    <xdr:colOff>85725</xdr:colOff>
                    <xdr:row>16</xdr:row>
                    <xdr:rowOff>19050</xdr:rowOff>
                  </from>
                  <to>
                    <xdr:col>32</xdr:col>
                    <xdr:colOff>266700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Check Box 5">
              <controlPr defaultSize="0" autoFill="0" autoLine="0" autoPict="0" macro="[0]!M_UNKB0020_CLICK_CHECKBOX">
                <anchor moveWithCells="1" sizeWithCells="1">
                  <from>
                    <xdr:col>32</xdr:col>
                    <xdr:colOff>85725</xdr:colOff>
                    <xdr:row>20</xdr:row>
                    <xdr:rowOff>19050</xdr:rowOff>
                  </from>
                  <to>
                    <xdr:col>32</xdr:col>
                    <xdr:colOff>266700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I57"/>
  <sheetViews>
    <sheetView zoomScale="70" zoomScaleNormal="70" workbookViewId="0">
      <selection activeCell="L27" sqref="L27"/>
    </sheetView>
  </sheetViews>
  <sheetFormatPr defaultRowHeight="13.5"/>
  <cols>
    <col min="1" max="1" width="9" style="10"/>
    <col min="2" max="2" width="3.5" style="10" customWidth="1"/>
    <col min="3" max="3" width="3.125" style="10" customWidth="1"/>
    <col min="4" max="4" width="25.125" style="10" bestFit="1" customWidth="1"/>
    <col min="5" max="5" width="4.375" style="10" customWidth="1"/>
    <col min="6" max="6" width="82.5" style="10" bestFit="1" customWidth="1"/>
    <col min="7" max="7" width="4" style="10" customWidth="1"/>
    <col min="8" max="8" width="40.375" style="10" bestFit="1" customWidth="1"/>
    <col min="9" max="9" width="9" style="10"/>
  </cols>
  <sheetData>
    <row r="3" spans="2:8" ht="18.75">
      <c r="B3" s="514" t="s">
        <v>516</v>
      </c>
      <c r="C3" s="514"/>
      <c r="D3" s="514"/>
      <c r="E3" s="444"/>
      <c r="F3" s="445"/>
      <c r="G3" s="445"/>
      <c r="H3" s="446" t="s">
        <v>123</v>
      </c>
    </row>
    <row r="4" spans="2:8" s="97" customFormat="1" ht="21.75" customHeight="1">
      <c r="B4" s="447"/>
      <c r="C4" s="521" t="s">
        <v>526</v>
      </c>
      <c r="D4" s="522"/>
      <c r="E4" s="105"/>
      <c r="F4" s="110" t="str">
        <f>IF(AND(UNKB0020_IF_MODE=1,UNKB0020_IF_SANSHO_FLG=1),$F$10,$F$6)</f>
        <v>SELECT KOBAI_NO
      ,SHINSEISHA_CD
      ,SHINSEISHA_MEI
      ,SHINSEI_DATETIME
      ,SHINSEI_GAIYO
      ,KOBAI_KBN_CD
      ,KOBAI_KBN_MEI
      ,TAX_RATE
      ,NUKI_TOTAL
      ,TAX
      ,KOMI_TOTAL
  FROM V_KOBAI_H
 WHERE KOBAI_NO = ''</v>
      </c>
      <c r="G4" s="49"/>
      <c r="H4" s="50" t="s">
        <v>570</v>
      </c>
    </row>
    <row r="5" spans="2:8" s="97" customFormat="1" ht="21.75" customHeight="1">
      <c r="B5" s="447"/>
      <c r="C5" s="521" t="s">
        <v>529</v>
      </c>
      <c r="D5" s="522"/>
      <c r="E5" s="105"/>
      <c r="F5" s="110" t="str">
        <f>IF(AND(UNKB0020_IF_MODE=1,UNKB0020_IF_SANSHO_FLG=1),$F$12,$F$8)</f>
        <v>SELECT KOBAI_GYO_NO
      ,ALERT
      ,JOGAI_CHECK
      ,JOGAI_FLG
      ,KOBAI_SEQ
      ,KOBAI_STS
      ,HOKAN_BASHO_KBN
      ,YOSAN_MEI
      ,SHIIRE_MEI
      ,MAKER_MEI
      ,SHIIRE_HASU_KBN
      ,SHIKIICHI
      ,HYOJUN_NOKI
      ,LAST_SHINSEI_DATE
      ,SHOHIN_BUNRUI_CD
      ,SHIYAKU_FLG
      ,KOBAIHIN_KBN
      ,KOBAIHIN_CD
      ,KOBAIHIN_MEI
      ,TANKA
      ,IRISU
      ,BARA_TANI
      ,SURYO
      ,IRISU_TANI
      ,SOSU
      ,TOTAL
      ,NOKI
      ,HOKAN_BASHO_KBN_MEI
      ,SHIIRE_CD
      ,SHIIRE_MEI_DISP
      ,MAKER_CD
      ,MAKER_MEI_DISP
      ,YOSAN_CD
      ,JURI_NO
      ,BIKO
      ,KOBAI_STS_MEI
      ,IRAI_NO
  FROM V_KOBAI_B
 WHERE KOBAI_NO = ''</v>
      </c>
      <c r="G5" s="49"/>
      <c r="H5" s="50" t="s">
        <v>571</v>
      </c>
    </row>
    <row r="6" spans="2:8" ht="18.75" customHeight="1">
      <c r="B6" s="448"/>
      <c r="C6" s="515" t="s">
        <v>526</v>
      </c>
      <c r="D6" s="516"/>
      <c r="E6" s="52"/>
      <c r="F6" s="53" t="str">
        <f>F7&amp;$F$24</f>
        <v>SELECT KOBAI_NO
      ,SHINSEISHA_CD
      ,SHINSEISHA_MEI
      ,SHINSEI_DATETIME
      ,SHINSEI_GAIYO
      ,KOBAI_KBN_CD
      ,KOBAI_KBN_MEI
      ,TAX_RATE
      ,NUKI_TOTAL
      ,TAX
      ,KOMI_TOTAL
  FROM V_KOBAI_H
 WHERE KOBAI_NO = ''</v>
      </c>
      <c r="G6" s="53"/>
      <c r="H6" s="54" t="s">
        <v>125</v>
      </c>
    </row>
    <row r="7" spans="2:8" ht="18.75" customHeight="1">
      <c r="B7" s="448"/>
      <c r="C7" s="55"/>
      <c r="D7" s="56" t="s">
        <v>124</v>
      </c>
      <c r="E7" s="56"/>
      <c r="F7" s="53" t="s">
        <v>530</v>
      </c>
      <c r="G7" s="53"/>
      <c r="H7" s="54" t="s">
        <v>125</v>
      </c>
    </row>
    <row r="8" spans="2:8" s="97" customFormat="1" ht="18.75" customHeight="1">
      <c r="B8" s="448"/>
      <c r="C8" s="515" t="s">
        <v>529</v>
      </c>
      <c r="D8" s="516"/>
      <c r="E8" s="73"/>
      <c r="F8" s="53" t="str">
        <f>F9&amp;$F$24</f>
        <v>SELECT KOBAI_GYO_NO
      ,ALERT
      ,JOGAI_CHECK
      ,JOGAI_FLG
      ,KOBAI_SEQ
      ,KOBAI_STS
      ,HOKAN_BASHO_KBN
      ,YOSAN_MEI
      ,SHIIRE_MEI
      ,MAKER_MEI
      ,SHIIRE_HASU_KBN
      ,SHIKIICHI
      ,HYOJUN_NOKI
      ,LAST_SHINSEI_DATE
      ,SHOHIN_BUNRUI_CD
      ,SHIYAKU_FLG
      ,KOBAIHIN_KBN
      ,KOBAIHIN_CD
      ,KOBAIHIN_MEI
      ,TANKA
      ,IRISU
      ,BARA_TANI
      ,SURYO
      ,IRISU_TANI
      ,SOSU
      ,TOTAL
      ,NOKI
      ,HOKAN_BASHO_KBN_MEI
      ,SHIIRE_CD
      ,SHIIRE_MEI_DISP
      ,MAKER_CD
      ,MAKER_MEI_DISP
      ,YOSAN_CD
      ,JURI_NO
      ,BIKO
      ,KOBAI_STS_MEI
      ,IRAI_NO
  FROM V_KOBAI_B
 WHERE KOBAI_NO = ''</v>
      </c>
      <c r="G8" s="53"/>
      <c r="H8" s="54" t="s">
        <v>125</v>
      </c>
    </row>
    <row r="9" spans="2:8" s="97" customFormat="1" ht="18.75" customHeight="1">
      <c r="B9" s="448"/>
      <c r="C9" s="55"/>
      <c r="D9" s="56" t="s">
        <v>124</v>
      </c>
      <c r="E9" s="56"/>
      <c r="F9" s="53" t="s">
        <v>1808</v>
      </c>
      <c r="G9" s="53"/>
      <c r="H9" s="54" t="s">
        <v>125</v>
      </c>
    </row>
    <row r="10" spans="2:8" s="97" customFormat="1" ht="18.75" customHeight="1">
      <c r="B10" s="448"/>
      <c r="C10" s="515" t="s">
        <v>527</v>
      </c>
      <c r="D10" s="516"/>
      <c r="E10" s="73"/>
      <c r="F10" s="53" t="str">
        <f>F11&amp;$F$14</f>
        <v>SELECT KOBAI_NO
      ,SHINSEISHA_CD
      ,SHINSEISHA_MEI
      ,SHINSEI_DATETIME
      ,SHINSEI_GAIYO
      ,KOBAI_KBN_CD
      ,KOBAI_KBN_MEI
      ,TAX_RATE
      ,NUKI_TOTAL
      ,TAX
      ,KOMI_TOTAL
  FROM V_KOBAI_H_SANSHO
 WHERE REF_KOBAI_NO = ''</v>
      </c>
      <c r="G10" s="53"/>
      <c r="H10" s="54" t="s">
        <v>125</v>
      </c>
    </row>
    <row r="11" spans="2:8" s="97" customFormat="1" ht="18.75" customHeight="1">
      <c r="B11" s="448"/>
      <c r="C11" s="55"/>
      <c r="D11" s="56" t="s">
        <v>124</v>
      </c>
      <c r="E11" s="56"/>
      <c r="F11" s="53" t="s">
        <v>531</v>
      </c>
      <c r="G11" s="53"/>
      <c r="H11" s="54" t="s">
        <v>125</v>
      </c>
    </row>
    <row r="12" spans="2:8" s="97" customFormat="1" ht="18.75" customHeight="1">
      <c r="B12" s="448"/>
      <c r="C12" s="515" t="s">
        <v>528</v>
      </c>
      <c r="D12" s="516"/>
      <c r="E12" s="432"/>
      <c r="F12" s="208" t="str">
        <f>F13&amp;$F$14</f>
        <v>SELECT KOBAI_GYO_NO
      ,ALERT
      ,JOGAI_CHECK
      ,JOGAI_FLG
      ,KOBAI_SEQ
      ,KOBAI_STS
      ,HOKAN_BASHO_KBN
      ,YOSAN_MEI
      ,SHIIRE_MEI
      ,MAKER_MEI
      ,SHIIRE_HASU_KBN
      ,SHIKIICHI
      ,HYOJUN_NOKI
      ,LAST_SHINSEI_DATE
      ,SHOHIN_BUNRUI_CD
      ,SHIYAKU_FLG
      ,KOBAIHIN_KBN
      ,KOBAIHIN_CD
      ,KOBAIHIN_MEI
      ,TANKA
      ,IRISU
      ,BARA_TANI
      ,SURYO
      ,IRISU_TANI
      ,SOSU
      ,TOTAL
      ,NOKI
      ,HOKAN_BASHO_KBN_MEI
      ,SHIIRE_CD
      ,SHIIRE_MEI_DISP
      ,MAKER_CD
      ,MAKER_MEI_DISP
      ,YOSAN_CD
      ,JURI_NO
      ,BIKO
      ,KOBAI_STS_MEI
      ,IRAI_NO
  FROM V_KOBAI_B_SANSHO
 WHERE REF_KOBAI_NO = ''</v>
      </c>
      <c r="G12" s="208"/>
      <c r="H12" s="209" t="s">
        <v>125</v>
      </c>
    </row>
    <row r="13" spans="2:8" s="97" customFormat="1" ht="18.75" customHeight="1">
      <c r="B13" s="448"/>
      <c r="C13" s="102"/>
      <c r="D13" s="56" t="s">
        <v>124</v>
      </c>
      <c r="E13" s="56"/>
      <c r="F13" s="208" t="s">
        <v>1809</v>
      </c>
      <c r="G13" s="208"/>
      <c r="H13" s="209" t="s">
        <v>125</v>
      </c>
    </row>
    <row r="14" spans="2:8" s="97" customFormat="1" ht="18.75" customHeight="1">
      <c r="B14" s="448"/>
      <c r="C14" s="523" t="s">
        <v>620</v>
      </c>
      <c r="D14" s="524"/>
      <c r="E14" s="442"/>
      <c r="F14" s="443" t="str">
        <f>" WHERE REF_KOBAI_NO = '"&amp;UNKB0020_IF_REF_NO&amp;"'"</f>
        <v xml:space="preserve"> WHERE REF_KOBAI_NO = ''</v>
      </c>
      <c r="G14" s="443"/>
      <c r="H14" s="209" t="s">
        <v>125</v>
      </c>
    </row>
    <row r="15" spans="2:8" ht="18.75" customHeight="1">
      <c r="B15" s="448"/>
      <c r="C15" s="517" t="s">
        <v>517</v>
      </c>
      <c r="D15" s="518"/>
      <c r="E15" s="52"/>
      <c r="F15" s="53" t="str">
        <f ca="1">$F$17&amp;
IF(ISERROR(VLOOKUP(UNKB0020_H_KOBAI_KBN_CD,UNKB0020_SQL!$E$18:$F$20,2,FALSE))=TRUE,
$F$18,
VLOOKUP(UNKB0020_H_KOBAI_KBN_CD,UNKB0020_SQL!$E$18:$F$20,2,FALSE))</f>
        <v>SELECT KOBAI_NO
      ,KOBAIHIN_CD
      ,KOBAIHIN_MEI
      ,TANKA
      ,IRISU
      ,BARA_TANI
      ,SURYO
      ,IRISU_TANI
      ,SOSU
      ,TOTAL
      ,NOKI
      ,HOKAN_BASHO_KBN_MEI
      ,SHIIRE_CD
      ,SHIIRE_MEI
      ,MAKER_CD
      ,MAKER_MEI
      ,YOSAN_CD
      ,YOSAN_MEI
      ,JURI_NO
      ,BIKO
  FROM V_C_KOBAI_B
 WHERE KOBAI_NO = ''
   AND ISNULL(KOBAIHIN_CD,'') = ''</v>
      </c>
      <c r="G15" s="53"/>
      <c r="H15" s="54" t="s">
        <v>518</v>
      </c>
    </row>
    <row r="16" spans="2:8" s="97" customFormat="1" ht="18.75" customHeight="1">
      <c r="B16" s="448"/>
      <c r="C16" s="517" t="s">
        <v>554</v>
      </c>
      <c r="D16" s="518"/>
      <c r="E16" s="98"/>
      <c r="F16" s="53" t="str">
        <f ca="1">$F$17&amp;
IF(ISERROR(VLOOKUP(UNKB0020_H_KOBAI_KBN_CD,UNKB0020_SQL!$E$18:$F$20,2,FALSE))=TRUE,
$F$18,
VLOOKUP(UNKB0020_H_KOBAI_KBN_CD,UNKB0020_SQL!$E$18:$F$20,2,FALSE))&amp;
$F$21</f>
        <v>SELECT KOBAI_NO
      ,KOBAIHIN_CD
      ,KOBAIHIN_MEI
      ,TANKA
      ,IRISU
      ,BARA_TANI
      ,SURYO
      ,IRISU_TANI
      ,SOSU
      ,TOTAL
      ,NOKI
      ,HOKAN_BASHO_KBN_MEI
      ,SHIIRE_CD
      ,SHIIRE_MEI
      ,MAKER_CD
      ,MAKER_MEI
      ,YOSAN_CD
      ,YOSAN_MEI
      ,JURI_NO
      ,BIKO
  FROM V_C_KOBAI_B
 WHERE KOBAI_NO = ''
   AND ISNULL(KOBAIHIN_CD,'') = ''   AND DBS_CREATE_DATE = DBS_UPDATE_DATE</v>
      </c>
      <c r="G16" s="53"/>
      <c r="H16" s="54" t="s">
        <v>553</v>
      </c>
    </row>
    <row r="17" spans="2:8" ht="18.75" customHeight="1">
      <c r="B17" s="448"/>
      <c r="C17" s="99"/>
      <c r="D17" s="56" t="s">
        <v>124</v>
      </c>
      <c r="E17" s="56"/>
      <c r="F17" s="53" t="s">
        <v>1795</v>
      </c>
      <c r="G17" s="53"/>
      <c r="H17" s="54" t="s">
        <v>125</v>
      </c>
    </row>
    <row r="18" spans="2:8" s="97" customFormat="1" ht="18.75" customHeight="1">
      <c r="B18" s="448"/>
      <c r="C18" s="99"/>
      <c r="D18" s="56" t="s">
        <v>520</v>
      </c>
      <c r="E18" s="92" t="s">
        <v>523</v>
      </c>
      <c r="F18" s="53" t="str">
        <f>$F$24&amp;"
   AND ISNULL(KOBAIHIN_CD,'') = ''"</f>
        <v xml:space="preserve"> WHERE KOBAI_NO = ''
   AND ISNULL(KOBAIHIN_CD,'') = ''</v>
      </c>
      <c r="G18" s="53"/>
      <c r="H18" s="54" t="s">
        <v>125</v>
      </c>
    </row>
    <row r="19" spans="2:8" s="97" customFormat="1" ht="18.75" customHeight="1">
      <c r="B19" s="448"/>
      <c r="C19" s="99"/>
      <c r="D19" s="56" t="s">
        <v>521</v>
      </c>
      <c r="E19" s="92" t="s">
        <v>524</v>
      </c>
      <c r="F19" s="53" t="str">
        <f>$F$24</f>
        <v xml:space="preserve"> WHERE KOBAI_NO = ''</v>
      </c>
      <c r="G19" s="53"/>
      <c r="H19" s="54" t="s">
        <v>125</v>
      </c>
    </row>
    <row r="20" spans="2:8" s="97" customFormat="1" ht="18.75" customHeight="1">
      <c r="B20" s="448"/>
      <c r="C20" s="99"/>
      <c r="D20" s="56" t="s">
        <v>522</v>
      </c>
      <c r="E20" s="92" t="s">
        <v>525</v>
      </c>
      <c r="F20" s="53" t="str">
        <f>$F$24</f>
        <v xml:space="preserve"> WHERE KOBAI_NO = ''</v>
      </c>
      <c r="G20" s="53"/>
      <c r="H20" s="54" t="s">
        <v>125</v>
      </c>
    </row>
    <row r="21" spans="2:8" s="97" customFormat="1" ht="18.75" customHeight="1">
      <c r="B21" s="448"/>
      <c r="C21" s="99"/>
      <c r="D21" s="56" t="s">
        <v>552</v>
      </c>
      <c r="E21" s="92"/>
      <c r="F21" s="53" t="s">
        <v>555</v>
      </c>
      <c r="G21" s="53"/>
      <c r="H21" s="54" t="s">
        <v>125</v>
      </c>
    </row>
    <row r="22" spans="2:8" s="97" customFormat="1" ht="18.75" customHeight="1">
      <c r="B22" s="448"/>
      <c r="C22" s="517" t="s">
        <v>590</v>
      </c>
      <c r="D22" s="518"/>
      <c r="E22" s="109"/>
      <c r="F22" s="53" t="str">
        <f>F23&amp;$F$24</f>
        <v>SELECT MIN(KOBAI_STS)
  FROM V_KOBAI_B
 WHERE KOBAI_NO = ''</v>
      </c>
      <c r="G22" s="53"/>
      <c r="H22" s="54" t="s">
        <v>592</v>
      </c>
    </row>
    <row r="23" spans="2:8" s="97" customFormat="1" ht="18.75" customHeight="1">
      <c r="B23" s="448"/>
      <c r="C23" s="55"/>
      <c r="D23" s="56" t="s">
        <v>124</v>
      </c>
      <c r="E23" s="56"/>
      <c r="F23" s="53" t="s">
        <v>591</v>
      </c>
      <c r="G23" s="53"/>
      <c r="H23" s="54" t="s">
        <v>125</v>
      </c>
    </row>
    <row r="24" spans="2:8" ht="18.75" customHeight="1">
      <c r="B24" s="449"/>
      <c r="C24" s="519" t="s">
        <v>519</v>
      </c>
      <c r="D24" s="520"/>
      <c r="E24" s="56"/>
      <c r="F24" s="53" t="str">
        <f>" WHERE KOBAI_NO = '"&amp;UNKB0020_IF_REF_NO&amp;"'"</f>
        <v xml:space="preserve"> WHERE KOBAI_NO = ''</v>
      </c>
      <c r="G24" s="53"/>
      <c r="H24" s="54" t="s">
        <v>125</v>
      </c>
    </row>
    <row r="26" spans="2:8" s="97" customFormat="1"/>
    <row r="27" spans="2:8" s="97" customFormat="1" ht="18.75">
      <c r="B27" s="514" t="s">
        <v>614</v>
      </c>
      <c r="C27" s="514"/>
      <c r="D27" s="514"/>
      <c r="E27" s="444"/>
      <c r="F27" s="445"/>
      <c r="G27" s="445"/>
      <c r="H27" s="446" t="s">
        <v>123</v>
      </c>
    </row>
    <row r="28" spans="2:8" s="97" customFormat="1" ht="19.5" customHeight="1">
      <c r="B28" s="449"/>
      <c r="C28" s="519" t="s">
        <v>615</v>
      </c>
      <c r="D28" s="520"/>
      <c r="E28" s="111"/>
      <c r="F28" s="53" t="str">
        <f>"EXEC SP_SAVE_T_KOBAI '"&amp;UNKB0020_IF_W_USER_ID&amp;"','"&amp;UNKB0020_IF_W_SERIAL&amp;"',"&amp;UNKB0020_IF_W_MODE&amp;",'"&amp;UNKB0020_IF_REF_NO&amp;"'"</f>
        <v>EXEC SP_SAVE_T_KOBAI '','',1,''</v>
      </c>
      <c r="G28" s="53"/>
      <c r="H28" s="54" t="s">
        <v>616</v>
      </c>
    </row>
    <row r="29" spans="2:8" s="97" customFormat="1"/>
    <row r="30" spans="2:8" s="97" customFormat="1"/>
    <row r="32" spans="2:8" ht="18.75">
      <c r="B32" s="514" t="s">
        <v>143</v>
      </c>
      <c r="C32" s="514"/>
      <c r="D32" s="514"/>
      <c r="E32" s="444"/>
      <c r="F32" s="445"/>
      <c r="G32" s="445"/>
      <c r="H32" s="446" t="s">
        <v>123</v>
      </c>
    </row>
    <row r="33" spans="2:8" ht="19.5" customHeight="1">
      <c r="B33" s="449"/>
      <c r="C33" s="519" t="s">
        <v>141</v>
      </c>
      <c r="D33" s="520"/>
      <c r="E33" s="101"/>
      <c r="F33" s="53" t="s">
        <v>142</v>
      </c>
      <c r="G33" s="53"/>
      <c r="H33" s="54" t="s">
        <v>424</v>
      </c>
    </row>
    <row r="36" spans="2:8" ht="18.75">
      <c r="B36" s="514" t="s">
        <v>415</v>
      </c>
      <c r="C36" s="514"/>
      <c r="D36" s="514"/>
      <c r="E36" s="444"/>
      <c r="F36" s="445"/>
      <c r="G36" s="445"/>
      <c r="H36" s="446" t="s">
        <v>123</v>
      </c>
    </row>
    <row r="37" spans="2:8" ht="15" customHeight="1">
      <c r="B37" s="448"/>
      <c r="C37" s="517" t="s">
        <v>416</v>
      </c>
      <c r="D37" s="518"/>
      <c r="E37" s="98"/>
      <c r="F37" s="53" t="str">
        <f ca="1">F38&amp;$F$44&amp;$F$50</f>
        <v>SELECT M_SHOHIN.SHOHIN_CD               AS 購買品CD
      ,M_SHOHIN.SHOHIN_MEI              AS 購買品名
      ,M_SHOHIN.AITE_SHOHIN_MEI         AS 相手先購買品名
      ,M_SHOHIN.SHIIRE_IRISU            AS 仕入入数
--       ,CASE ISNULL(M_SHOHIN.SHIIRE_IRISU,0)
--        WHEN 0 THEN M_SHOHIN.BARA_TANI
--        ELSE M_SHOHIN.SHIIRE_IRISU_TANI
--        END                              AS 仕入入数単位
      ,M_SHOHIN.SHIIRE_IRISU_TANI       AS 仕入入数単位
      ,M_SHOHIN.SHIIRE_TANKA            AS 仕入単価
      ,M_SHOHIN.BAIKA                   AS 売価
      ,CASE M_SHOHIN.DOKU_FLG
       WHEN 'True' THEN '×'
       ELSE NULL
       END                              AS 毒
      ,CASE M_SHOHIN.CHOSEI_SHIYAKU_FLG
       WHEN 'True' THEN '×'
       ELSE NULL
       END                              AS 試薬
      ,R_STATUS.DATA_1                  AS ステータス
      ,M_SHOHIN.BIKO                    AS 備考
      ,M_SHOHIN.TEIKA                   AS 定価
--       ,CASE ISNULL(M_SHOHIN.SHIIRE_IRISU,0)
--        WHEN 0 THEN NULL
--        ELSE M_SHOHIN.BARA_TANI
--        END                              AS バラ単位
      ,M_SHOHIN.BARA_TANI               AS バラ単位
      ,M_SHOHIN.SHIIRE_CD               AS 仕入先CD
      ,R_SHIIRE_SAKI.AITE_MEI           AS 仕入先名
      ,M_SHOHIN.MAKER_CD                AS メーカーCD
      ,R_MAKER.AITE_MEI                 AS メーカー名
      ,M_SHOHIN.SHIKIICHI               AS 閾値
      ,M_SHOHIN.HYOJUN_NOKI             AS 標準納期
      ,( SELECT DISTINCT
                CONVERT(VARCHAR(10), MAX(T_KOBAI_H.SHINSEI_DATETIME), 111)
           FROM T_KOBAI_H
           LEFT JOIN
                T_KOBAI_B
             ON T_KOBAI_B.KOBAI_NO = T_KOBAI_H.KOBAI_NO
          WHERE T_KOBAI_B.KOBAIHIN_CD = M_SHOHIN.SHOHIN_CD
       )                                AS 最終申請日
      ,M_SHOHIN.HOKANBASHO_KBN          AS 保管場所区分
      ,R_HOKAN_BASHO.DATA_1             AS 保管場所名
      ,M_SHOHIN.SHIYAKU_FLG             AS 試薬フラグ
      ,R_SHIIRE_SAKI.SHIIRE_HASU_KBN    AS 仕入先端数処理区分
      ,M_SHOHIN.HIMBAN                  AS 品番
  FROM M_SHOHIN
  LEFT JOIN M_AITESAKI        AS R_SHIIRE_SAKI
    ON M_SHOHIN.SHIIRE_CD = R_SHIIRE_SAKI.AITE_CD
  LEFT JOIN M_AITESAKI        AS R_MAKER
    ON M_SHOHIN.MAKER_CD  = R_MAKER.AITE_CD
  LEFT JOIN M_MEISHO_B          AS R_STATUS
    ON M_SHOHIN.SHOHIN_STS = R_STATUS.MEISHO_CD
   AND R_STATUS.MEISHO_KBN = 'S001'
  LEFT JOIN M_MEISHO_B          AS R_HOKAN_BASHO
    ON M_SHOHIN.SHOHIN_STS = R_HOKAN_BASHO.MEISHO_CD
   AND R_STATUS.MEISHO_KBN = 'M002'
 WHERE M_SHOHIN.SHOHIN_STS = '1'
  AND M_SHOHIN.MISHIYO_FLG  = 'False'
  AND M_SHOHIN.SHOHIN_BUNRUI IN ('2000')
   AND M_SHOHIN.KOBAIHIN_FLG  = 'True' ORDER BY SHOHIN_CD ASC</v>
      </c>
      <c r="G37" s="53"/>
      <c r="H37" s="54" t="s">
        <v>634</v>
      </c>
    </row>
    <row r="38" spans="2:8" s="97" customFormat="1" ht="18.75" customHeight="1">
      <c r="B38" s="448"/>
      <c r="C38" s="55"/>
      <c r="D38" s="56" t="s">
        <v>124</v>
      </c>
      <c r="E38" s="56"/>
      <c r="F38" s="53" t="s">
        <v>1899</v>
      </c>
      <c r="G38" s="53"/>
      <c r="H38" s="54" t="s">
        <v>125</v>
      </c>
    </row>
    <row r="39" spans="2:8" ht="17.25" customHeight="1">
      <c r="B39" s="448"/>
      <c r="C39" s="517" t="s">
        <v>417</v>
      </c>
      <c r="D39" s="518"/>
      <c r="E39" s="56"/>
      <c r="F39" s="53" t="str">
        <f ca="1">F40&amp;$F$44&amp;$F$50</f>
        <v>SELECT NULL                         AS 行
      ,NULL                         AS 警告
      ,NULL                         AS 除外チェックボックス
      ,'False'                      AS 除外フラグ
      ,NULL                         AS SEQ
      ,1                            AS ステータスCD
      ,M_SHOHIN.HOKANBASHO_KBN      AS 保管場所区分
      ,NULL                         AS 予算コード
      ,J_SHIIRE.AITE_MEI            AS 仕入先名
      ,J_MAKER.AITE_MEI             AS メーカー名
      ,J_SHIIRE.SHIIRE_HASU_KBN     AS 仕入先端数処理区分
      ,M_SHOHIN.SHIKIICHI           AS 閾値
      ,M_SHOHIN.HYOJUN_NOKI         AS 標準納期
      ,( SELECT DISTINCT
                CONVERT(VARCHAR(10), MAX(T_KOBAI_H.SHINSEI_DATETIME), 111)
           FROM T_KOBAI_H
           LEFT JOIN
                T_KOBAI_B
             ON T_KOBAI_B.KOBAI_NO = T_KOBAI_H.KOBAI_NO
          WHERE T_KOBAI_B.KOBAIHIN_CD = M_SHOHIN.SHOHIN_CD
       )                            AS 最終申請日
      ,M_SHOHIN.SHOHIN_BUNRUI       AS 商品分類区分
      ,M_SHOHIN.SHIYAKU_FLG         AS 試薬フラグ
      ,J_KOBAIHIN_KBN.DATA_2        AS 購買品区分
      ,M_SHOHIN.SHOHIN_CD           AS 購買品CD
      ,M_SHOHIN.SHOHIN_MEI          AS 購買品名
      ,M_SHOHIN.SHIIRE_TANKA        AS 単価
      ,M_SHOHIN.SHIIRE_IRISU        AS 入数
--       ,CASE ISNULL(M_SHOHIN.SHIIRE_IRISU,0)
--        WHEN 0 THEN NULL
--        ELSE M_SHOHIN.BARA_TANI
--        END                              AS バラ単位
      ,M_SHOHIN.BARA_TANI           AS バラ単位
      ,NULL                         AS 数量
--       ,CASE ISNULL(M_SHOHIN.SHIIRE_IRISU,0)
--        WHEN 0 THEN M_SHOHIN.BARA_TANI
--        ELSE M_SHOHIN.SHIIRE_IRISU_TANI
--        END                              AS 入数単位
      ,M_SHOHIN.SHIIRE_IRISU_TANI   AS 入数単位
      ,NULL                         AS 注文総数
      ,NULL                         AS 合計金額
      ,NULL                         AS 希望納期
      ,J_HOKAN_BASHO.DATA_1         AS 保管場所
      ,M_SHOHIN.SHIIRE_CD           AS 仕入先CD
      ,NULL                         AS 仕入先名表示用
      ,M_SHOHIN.MAKER_CD            AS メーカーCD
      ,NULL                         AS メーカー名表示用
      ,NULL                         AS 予算コード名
      ,NULL                         AS '受理No.'
      ,NULL                         AS 備考
      ,( SELECT DATA_1
           FROM M_MEISHO_B
          WHERE MEISHO_KBN = 'S005'
            AND MEISHO_CD  = 1 )    AS ステータス名
      ,NULL                         AS '依頼No.'
      ,M_SHOHIN.HIMBAN                  AS 品番
  FROM M_SHOHIN
  LEFT JOIN
       M_AITESAKI AS J_SHIIRE
    ON J_SHIIRE.AITE_CD = M_SHOHIN.SHIIRE_CD
  LEFT JOIN
       M_AITESAKI AS J_MAKER
    ON J_MAKER.AITE_CD = M_SHOHIN.MAKER_CD
  LEFT JOIN
       M_MEISHO_B AS J_KOBAIHIN_KBN
    ON J_KOBAIHIN_KBN.MEISHO_KBN = 'K025'
   AND J_KOBAIHIN_KBN.MEISHO_CD  = M_SHOHIN.SHOHIN_BUNRUI
  LEFT JOIN
       M_MEISHO_B AS J_HOKAN_BASHO
    ON J_KOBAIHIN_KBN.MEISHO_KBN = 'M002'
   AND J_KOBAIHIN_KBN.MEISHO_CD  = M_SHOHIN.HOKANBASHO_KBN
 WHERE M_SHOHIN.SHOHIN_STS = '1'
  AND M_SHOHIN.MISHIYO_FLG  = 'False'
  AND M_SHOHIN.SHOHIN_BUNRUI IN ('2000')
   AND M_SHOHIN.KOBAIHIN_FLG  = 'True' ORDER BY SHOHIN_CD ASC</v>
      </c>
      <c r="G39" s="53"/>
      <c r="H39" s="54" t="s">
        <v>423</v>
      </c>
    </row>
    <row r="40" spans="2:8" s="97" customFormat="1" ht="18.75" customHeight="1">
      <c r="B40" s="448"/>
      <c r="C40" s="55"/>
      <c r="D40" s="56" t="s">
        <v>124</v>
      </c>
      <c r="E40" s="56"/>
      <c r="F40" s="53" t="s">
        <v>1857</v>
      </c>
      <c r="G40" s="53"/>
      <c r="H40" s="54" t="s">
        <v>125</v>
      </c>
    </row>
    <row r="41" spans="2:8" s="97" customFormat="1" ht="17.25" customHeight="1">
      <c r="B41" s="448"/>
      <c r="C41" s="517" t="s">
        <v>602</v>
      </c>
      <c r="D41" s="518"/>
      <c r="E41" s="56"/>
      <c r="F41" s="53" t="str">
        <f ca="1">F42&amp;$F$44&amp;F43</f>
        <v xml:space="preserve">SELECT NULL                         AS 行
      ,NULL                         AS 警告
      ,NULL                         AS 除外チェックボックス
      ,'False'                      AS 除外フラグ
      ,NULL                         AS SEQ
      ,1                            AS ステータスCD
      ,M_SHOHIN.HOKANBASHO_KBN      AS 保管場所区分
      ,NULL                         AS 予算コード
      ,J_SHIIRE.AITE_MEI            AS 仕入先名
      ,J_MAKER.AITE_MEI             AS メーカー名
      ,J_SHIIRE.SHIIRE_HASU_KBN     AS 仕入先端数処理区分
      ,M_SHOHIN.SHIKIICHI           AS 閾値
      ,M_SHOHIN.HYOJUN_NOKI         AS 標準納期
      ,( SELECT DISTINCT
                CONVERT(VARCHAR(10), MAX(TBL_H.SHINSEI_DATETIME), 111)
           FROM T_KOBAI_H AS TBL_H
           LEFT JOIN
                T_KOBAI_B AS TBL_B
             ON TBL_B.KOBAI_NO    = TBL_H.KOBAI_NO
          WHERE TBL_B.KOBAIHIN_CD = M_SHOHIN.SHOHIN_CD
       )                            AS 最終申請日
      ,M_SHOHIN.SHOHIN_BUNRUI       AS 商品分類区分
      ,M_SHOHIN.SHIYAKU_FLG         AS 試薬フラグ
      ,J_KOBAIHIN_KBN.DATA_2        AS 購買品区分
      ,M_SHOHIN.SHOHIN_CD           AS 購買品CD
      ,M_SHOHIN.SHOHIN_MEI          AS 購買品名
      ,M_SHOHIN.SHIIRE_TANKA        AS 単価
      ,M_SHOHIN.SHIIRE_IRISU        AS 入数
--       ,CASE ISNULL(M_SHOHIN.SHIIRE_IRISU,0)
--        WHEN 0 THEN NULL
--        ELSE M_SHOHIN.BARA_TANI
--        END                              AS バラ単位
      ,M_SHOHIN.BARA_TANI           AS バラ単位
      ,NULL                         AS 数量
--       ,CASE ISNULL(M_SHOHIN.SHIIRE_IRISU,0)
--        WHEN 0 THEN M_SHOHIN.BARA_TANI
--        ELSE M_SHOHIN.SHIIRE_IRISU_TANI
--        END                              AS 入数単位
      ,M_SHOHIN.SHIIRE_IRISU_TANI   AS 入数単位
      ,NULL                         AS 注文総数
      ,NULL                         AS 合計金額
      ,NULL                         AS 希望納期
      ,J_HOKAN_BASHO.DATA_1         AS 保管場所
      ,M_SHOHIN.SHIIRE_CD           AS 仕入先CD
      ,NULL                         AS 仕入先名表示用
      ,M_SHOHIN.MAKER_CD            AS メーカーCD
      ,NULL                         AS メーカー名表示用
      ,NULL                         AS 予算コード名
      ,NULL                         AS '受理No.'
      ,NULL                         AS 備考
      ,( SELECT DATA_1
           FROM M_MEISHO_B
          WHERE MEISHO_KBN = 'S005'
            AND MEISHO_CD  = 1 )    AS ステータス名
      ,NULL                         AS '依頼No.'
      ,T_KOBAI_B.KOBAI_NO           AS '購買申請No.'
      ,CONVERT(VARCHAR(10), T_KOBAI_H.SHINSEI_DATETIME, 111)
                                    AS 申請日
      ,T_KOBAI_B.BIKO               AS 購買申請備考
      ,M_SHOHIN.HIMBAN                  AS 品番
  FROM T_KOBAI_B
  LEFT JOIN
       T_KOBAI_H
    ON T_KOBAI_B.KOBAI_NO = T_KOBAI_H.KOBAI_NO
  LEFT JOIN
       M_SHOHIN
    ON M_SHOHIN.SHOHIN_CD = T_KOBAI_B.KOBAIHIN_CD
  LEFT JOIN
       M_AITESAKI AS J_SHIIRE
    ON J_SHIIRE.AITE_CD = M_SHOHIN.SHIIRE_CD
  LEFT JOIN
       M_AITESAKI AS J_MAKER
    ON J_MAKER.AITE_CD = M_SHOHIN.MAKER_CD
  LEFT JOIN
       M_MEISHO_B AS J_KOBAIHIN_KBN
    ON J_KOBAIHIN_KBN.MEISHO_KBN = 'K025'
   AND J_KOBAIHIN_KBN.MEISHO_CD  = M_SHOHIN.SHOHIN_BUNRUI
  LEFT JOIN
       M_MEISHO_B AS J_HOKAN_BASHO
    ON J_KOBAIHIN_KBN.MEISHO_KBN = 'M002'
   AND J_KOBAIHIN_KBN.MEISHO_CD  = M_SHOHIN.HOKANBASHO_KBN
 WHERE M_SHOHIN.SHOHIN_STS    = '1'
   AND M_SHOHIN.MISHIYO_FLG   = 'False'
   AND T_KOBAI_B.DEL_FLG      = 'False'
   AND T_KOBAI_B.JOGAI_FLG    = 'False'
  AND M_SHOHIN.SHOHIN_BUNRUI IN ('2000')
   AND M_SHOHIN.KOBAIHIN_FLG  = 'True' ORDER BY
       T_KOBAI_B.KOBAI_NO  ASC
      ,T_KOBAI_B.KOBAI_SEQ ASC
</v>
      </c>
      <c r="G41" s="53"/>
      <c r="H41" s="54" t="s">
        <v>603</v>
      </c>
    </row>
    <row r="42" spans="2:8" s="97" customFormat="1" ht="18.75" customHeight="1">
      <c r="B42" s="448"/>
      <c r="C42" s="55"/>
      <c r="D42" s="56" t="s">
        <v>124</v>
      </c>
      <c r="E42" s="56"/>
      <c r="F42" s="53" t="s">
        <v>1856</v>
      </c>
      <c r="G42" s="53"/>
      <c r="H42" s="54" t="s">
        <v>125</v>
      </c>
    </row>
    <row r="43" spans="2:8" s="97" customFormat="1" ht="18.75" customHeight="1">
      <c r="B43" s="448"/>
      <c r="C43" s="55"/>
      <c r="D43" s="56" t="s">
        <v>604</v>
      </c>
      <c r="E43" s="56"/>
      <c r="F43" s="53" t="s">
        <v>605</v>
      </c>
      <c r="G43" s="53"/>
      <c r="H43" s="54" t="s">
        <v>125</v>
      </c>
    </row>
    <row r="44" spans="2:8" s="97" customFormat="1" ht="18.75" customHeight="1">
      <c r="B44" s="448"/>
      <c r="C44" s="517" t="s">
        <v>519</v>
      </c>
      <c r="D44" s="518"/>
      <c r="E44" s="56"/>
      <c r="F44" s="53" t="str">
        <f ca="1">VLOOKUP(UNKB0020_H_KOBAI_KBN_CD,UNKB0020_SQL_KOBAIHIN_SEARCH_VLOOKUP_AREA,2,FALSE)</f>
        <v xml:space="preserve">  AND M_SHOHIN.SHOHIN_BUNRUI IN ('2000')
   AND M_SHOHIN.KOBAIHIN_FLG  = 'True'</v>
      </c>
      <c r="G44" s="53"/>
      <c r="H44" s="54" t="s">
        <v>125</v>
      </c>
    </row>
    <row r="45" spans="2:8" ht="19.5" customHeight="1">
      <c r="B45" s="448"/>
      <c r="C45" s="55"/>
      <c r="D45" s="56" t="s">
        <v>418</v>
      </c>
      <c r="E45" s="92">
        <v>1</v>
      </c>
      <c r="F45" s="53" t="s">
        <v>1853</v>
      </c>
      <c r="G45" s="53"/>
      <c r="H45" s="54" t="s">
        <v>125</v>
      </c>
    </row>
    <row r="46" spans="2:8" ht="19.5" customHeight="1">
      <c r="B46" s="448"/>
      <c r="C46" s="55"/>
      <c r="D46" s="56" t="s">
        <v>419</v>
      </c>
      <c r="E46" s="92">
        <v>2</v>
      </c>
      <c r="F46" s="53" t="s">
        <v>1861</v>
      </c>
      <c r="G46" s="53"/>
      <c r="H46" s="54" t="s">
        <v>125</v>
      </c>
    </row>
    <row r="47" spans="2:8" ht="19.5" customHeight="1">
      <c r="B47" s="448"/>
      <c r="C47" s="55"/>
      <c r="D47" s="56" t="s">
        <v>420</v>
      </c>
      <c r="E47" s="92">
        <v>3</v>
      </c>
      <c r="F47" s="53" t="s">
        <v>1854</v>
      </c>
      <c r="G47" s="53"/>
      <c r="H47" s="54" t="s">
        <v>125</v>
      </c>
    </row>
    <row r="48" spans="2:8" ht="19.5" customHeight="1">
      <c r="B48" s="448"/>
      <c r="C48" s="55"/>
      <c r="D48" s="56" t="s">
        <v>421</v>
      </c>
      <c r="E48" s="92">
        <v>4</v>
      </c>
      <c r="F48" s="53" t="s">
        <v>1854</v>
      </c>
      <c r="G48" s="53"/>
      <c r="H48" s="54" t="s">
        <v>125</v>
      </c>
    </row>
    <row r="49" spans="2:8" ht="19.5" customHeight="1">
      <c r="B49" s="448"/>
      <c r="C49" s="102"/>
      <c r="D49" s="56" t="s">
        <v>422</v>
      </c>
      <c r="E49" s="92">
        <v>5</v>
      </c>
      <c r="F49" s="53" t="s">
        <v>1855</v>
      </c>
      <c r="G49" s="53"/>
      <c r="H49" s="54" t="s">
        <v>125</v>
      </c>
    </row>
    <row r="50" spans="2:8" s="97" customFormat="1" ht="18.75" customHeight="1">
      <c r="B50" s="449"/>
      <c r="C50" s="519" t="s">
        <v>561</v>
      </c>
      <c r="D50" s="520"/>
      <c r="E50" s="56"/>
      <c r="F50" s="53" t="s">
        <v>562</v>
      </c>
      <c r="G50" s="53"/>
      <c r="H50" s="54" t="s">
        <v>125</v>
      </c>
    </row>
    <row r="53" spans="2:8" ht="18.75">
      <c r="B53" s="514" t="s">
        <v>583</v>
      </c>
      <c r="C53" s="514"/>
      <c r="D53" s="514"/>
      <c r="E53" s="444"/>
      <c r="F53" s="445"/>
      <c r="G53" s="445"/>
      <c r="H53" s="446" t="s">
        <v>123</v>
      </c>
    </row>
    <row r="54" spans="2:8" ht="20.25" customHeight="1">
      <c r="B54" s="448"/>
      <c r="C54" s="517" t="s">
        <v>584</v>
      </c>
      <c r="D54" s="518"/>
      <c r="E54" s="103"/>
      <c r="F54" s="106" t="str">
        <f>"SELECT SHAIN_CD
      ,SHIMEI
  FROM M_SHAIN
 WHERE SHAIN_CD = '"&amp;UNKB0020_IF_W_USER_ID&amp;"'"</f>
        <v>SELECT SHAIN_CD
      ,SHIMEI
  FROM M_SHAIN
 WHERE SHAIN_CD = ''</v>
      </c>
      <c r="G54" s="53"/>
      <c r="H54" s="54" t="s">
        <v>585</v>
      </c>
    </row>
    <row r="55" spans="2:8" s="97" customFormat="1" ht="20.25" customHeight="1">
      <c r="B55" s="448"/>
      <c r="C55" s="517" t="s">
        <v>41</v>
      </c>
      <c r="D55" s="518"/>
      <c r="E55" s="103"/>
      <c r="F55" s="106" t="s">
        <v>1791</v>
      </c>
      <c r="G55" s="53"/>
      <c r="H55" s="54" t="s">
        <v>586</v>
      </c>
    </row>
    <row r="56" spans="2:8" s="230" customFormat="1" ht="20.25" customHeight="1">
      <c r="B56" s="448"/>
      <c r="C56" s="517" t="s">
        <v>880</v>
      </c>
      <c r="D56" s="518"/>
      <c r="E56" s="249"/>
      <c r="F56" s="106" t="s">
        <v>1305</v>
      </c>
      <c r="G56" s="208"/>
      <c r="H56" s="209" t="s">
        <v>1306</v>
      </c>
    </row>
    <row r="57" spans="2:8" ht="21" customHeight="1">
      <c r="B57" s="449"/>
      <c r="C57" s="519" t="s">
        <v>538</v>
      </c>
      <c r="D57" s="520"/>
      <c r="E57" s="433"/>
      <c r="F57" s="106" t="str">
        <f>"SELECT MAX(DATA_1)
  FROM M_MEISHO_B
 WHERE MEISHO_KBN = 'K031'
   AND MEISHO_CD IN ("&amp;UNKB0020_IF_USER_AUTH&amp;")"</f>
        <v>SELECT MAX(DATA_1)
  FROM M_MEISHO_B
 WHERE MEISHO_KBN = 'K031'
   AND MEISHO_CD IN (1)</v>
      </c>
      <c r="G57" s="208"/>
      <c r="H57" s="209" t="s">
        <v>639</v>
      </c>
    </row>
  </sheetData>
  <mergeCells count="27">
    <mergeCell ref="C57:D57"/>
    <mergeCell ref="B53:D53"/>
    <mergeCell ref="C54:D54"/>
    <mergeCell ref="C55:D55"/>
    <mergeCell ref="C22:D22"/>
    <mergeCell ref="C44:D44"/>
    <mergeCell ref="C50:D50"/>
    <mergeCell ref="B36:D36"/>
    <mergeCell ref="C37:D37"/>
    <mergeCell ref="C39:D39"/>
    <mergeCell ref="C41:D41"/>
    <mergeCell ref="C56:D56"/>
    <mergeCell ref="B3:D3"/>
    <mergeCell ref="C6:D6"/>
    <mergeCell ref="C15:D15"/>
    <mergeCell ref="B32:D32"/>
    <mergeCell ref="C33:D33"/>
    <mergeCell ref="C10:D10"/>
    <mergeCell ref="C24:D24"/>
    <mergeCell ref="C8:D8"/>
    <mergeCell ref="C12:D12"/>
    <mergeCell ref="C16:D16"/>
    <mergeCell ref="C4:D4"/>
    <mergeCell ref="C5:D5"/>
    <mergeCell ref="B27:D27"/>
    <mergeCell ref="C28:D28"/>
    <mergeCell ref="C14:D1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59999389629810485"/>
  </sheetPr>
  <dimension ref="A1:AI29"/>
  <sheetViews>
    <sheetView view="pageBreakPreview" zoomScaleNormal="100" zoomScaleSheetLayoutView="100" workbookViewId="0">
      <selection activeCell="AO10" sqref="AO10"/>
    </sheetView>
  </sheetViews>
  <sheetFormatPr defaultRowHeight="16.5"/>
  <cols>
    <col min="1" max="35" width="2.5" style="254" customWidth="1"/>
    <col min="36" max="73" width="2.5" style="30" customWidth="1"/>
    <col min="74" max="16384" width="9" style="30"/>
  </cols>
  <sheetData>
    <row r="1" spans="1:35" ht="11.25" customHeight="1"/>
    <row r="2" spans="1:35" ht="24">
      <c r="A2" s="526" t="str">
        <f ca="1">IF(UNKB0020_H_KOBAI_KBN_CD=3,"修繕・定期点検 ",IF(UNKB0020_H_KOBAI_KBN_CD=4,"資産物品 購入","未登録購買品 購入"))&amp;"申請書"</f>
        <v>未登録購買品 購入申請書</v>
      </c>
      <c r="B2" s="526"/>
      <c r="C2" s="526"/>
      <c r="D2" s="526"/>
      <c r="E2" s="526"/>
      <c r="F2" s="526"/>
      <c r="G2" s="526"/>
      <c r="H2" s="526"/>
      <c r="I2" s="526"/>
      <c r="J2" s="526"/>
      <c r="K2" s="526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526"/>
      <c r="X2" s="526"/>
      <c r="Y2" s="526"/>
      <c r="Z2" s="526"/>
      <c r="AA2" s="526"/>
      <c r="AB2" s="526"/>
      <c r="AC2" s="526"/>
      <c r="AD2" s="526"/>
      <c r="AE2" s="526"/>
      <c r="AF2" s="526"/>
      <c r="AG2" s="526"/>
      <c r="AH2" s="526"/>
      <c r="AI2" s="526"/>
    </row>
    <row r="3" spans="1:35" ht="18" customHeight="1" thickBot="1">
      <c r="I3" s="258"/>
      <c r="Z3" s="527">
        <f ca="1">TODAY()</f>
        <v>42930</v>
      </c>
      <c r="AA3" s="527"/>
      <c r="AB3" s="527"/>
      <c r="AC3" s="527"/>
      <c r="AD3" s="527"/>
      <c r="AE3" s="527"/>
      <c r="AF3" s="527"/>
      <c r="AG3" s="527"/>
      <c r="AH3" s="527"/>
      <c r="AI3" s="527"/>
    </row>
    <row r="4" spans="1:35" ht="11.25" customHeight="1">
      <c r="A4" s="562" t="s">
        <v>1842</v>
      </c>
      <c r="B4" s="562"/>
      <c r="C4" s="562"/>
      <c r="D4" s="562"/>
      <c r="E4" s="557" t="s">
        <v>1843</v>
      </c>
      <c r="F4" s="557"/>
      <c r="G4" s="557"/>
      <c r="H4" s="557"/>
      <c r="I4" s="557" t="s">
        <v>1852</v>
      </c>
      <c r="J4" s="557"/>
      <c r="K4" s="557"/>
      <c r="L4" s="557"/>
    </row>
    <row r="5" spans="1:35">
      <c r="A5" s="563"/>
      <c r="B5" s="563"/>
      <c r="C5" s="563"/>
      <c r="D5" s="563"/>
      <c r="E5" s="558"/>
      <c r="F5" s="558"/>
      <c r="G5" s="558"/>
      <c r="H5" s="558"/>
      <c r="I5" s="558"/>
      <c r="J5" s="558"/>
      <c r="K5" s="558"/>
      <c r="L5" s="558"/>
      <c r="AD5" s="530" t="s">
        <v>88</v>
      </c>
      <c r="AE5" s="531"/>
      <c r="AF5" s="532"/>
      <c r="AG5" s="530" t="s">
        <v>94</v>
      </c>
      <c r="AH5" s="531"/>
      <c r="AI5" s="532"/>
    </row>
    <row r="6" spans="1:35" ht="45" customHeight="1">
      <c r="A6" s="559" t="s">
        <v>1844</v>
      </c>
      <c r="B6" s="560"/>
      <c r="C6" s="560"/>
      <c r="D6" s="560"/>
      <c r="E6" s="559" t="s">
        <v>1845</v>
      </c>
      <c r="F6" s="560"/>
      <c r="G6" s="560"/>
      <c r="H6" s="560"/>
      <c r="I6" s="559" t="s">
        <v>1845</v>
      </c>
      <c r="J6" s="560"/>
      <c r="K6" s="560"/>
      <c r="L6" s="560"/>
      <c r="M6" s="255"/>
      <c r="N6" s="255"/>
      <c r="O6" s="255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D6" s="530"/>
      <c r="AE6" s="531"/>
      <c r="AF6" s="532"/>
      <c r="AG6" s="530"/>
      <c r="AH6" s="531"/>
      <c r="AI6" s="532"/>
    </row>
    <row r="7" spans="1:35" ht="11.25" customHeight="1" thickBot="1">
      <c r="A7" s="561"/>
      <c r="B7" s="561"/>
      <c r="C7" s="561"/>
      <c r="D7" s="561"/>
      <c r="E7" s="561"/>
      <c r="F7" s="561"/>
      <c r="G7" s="561"/>
      <c r="H7" s="561"/>
      <c r="I7" s="561"/>
      <c r="J7" s="561"/>
      <c r="K7" s="561"/>
      <c r="L7" s="561"/>
    </row>
    <row r="8" spans="1:35" ht="31.5" customHeight="1">
      <c r="A8" s="553" t="s">
        <v>95</v>
      </c>
      <c r="B8" s="554"/>
      <c r="C8" s="554"/>
      <c r="D8" s="554"/>
      <c r="E8" s="554"/>
      <c r="F8" s="554"/>
      <c r="G8" s="554"/>
      <c r="H8" s="555"/>
      <c r="I8" s="415"/>
      <c r="J8" s="556">
        <f ca="1">OFFSET(UNKB0020_REPORT_IF_KOBAI_NO,1+ROUNDDOWN(ROW()/ROWS(UNKB0020_REPORT_IF_COPY_MOTO),0),0)</f>
        <v>0</v>
      </c>
      <c r="K8" s="556"/>
      <c r="L8" s="556"/>
      <c r="M8" s="556"/>
      <c r="N8" s="556"/>
      <c r="O8" s="556"/>
      <c r="P8" s="556"/>
      <c r="Q8" s="556"/>
      <c r="R8" s="556"/>
      <c r="S8" s="556"/>
      <c r="T8" s="556"/>
      <c r="U8" s="556"/>
      <c r="V8" s="556"/>
      <c r="W8" s="556"/>
      <c r="X8" s="556"/>
      <c r="Y8" s="556"/>
      <c r="Z8" s="556"/>
      <c r="AA8" s="556"/>
      <c r="AB8" s="556"/>
      <c r="AC8" s="556"/>
      <c r="AD8" s="556"/>
      <c r="AE8" s="556"/>
      <c r="AF8" s="556"/>
      <c r="AG8" s="556"/>
      <c r="AH8" s="556"/>
      <c r="AI8" s="416"/>
    </row>
    <row r="9" spans="1:35" ht="31.5" customHeight="1">
      <c r="A9" s="540" t="s">
        <v>90</v>
      </c>
      <c r="B9" s="541"/>
      <c r="C9" s="541"/>
      <c r="D9" s="541"/>
      <c r="E9" s="541"/>
      <c r="F9" s="541"/>
      <c r="G9" s="541"/>
      <c r="H9" s="542"/>
      <c r="I9" s="417"/>
      <c r="J9" s="550">
        <f ca="1">OFFSET(UNKB0020_REPORT_IF_KOBAIHIN_MEI,1+ROUNDDOWN(ROW()/ROWS(UNKB0020_REPORT_IF_COPY_MOTO),0),0)</f>
        <v>0</v>
      </c>
      <c r="K9" s="550"/>
      <c r="L9" s="550"/>
      <c r="M9" s="550"/>
      <c r="N9" s="550"/>
      <c r="O9" s="550"/>
      <c r="P9" s="550"/>
      <c r="Q9" s="550"/>
      <c r="R9" s="550"/>
      <c r="S9" s="550"/>
      <c r="T9" s="550"/>
      <c r="U9" s="550"/>
      <c r="V9" s="550"/>
      <c r="W9" s="550"/>
      <c r="X9" s="550"/>
      <c r="Y9" s="550"/>
      <c r="Z9" s="550"/>
      <c r="AA9" s="550"/>
      <c r="AB9" s="550"/>
      <c r="AC9" s="418"/>
      <c r="AD9" s="543">
        <f ca="1">OFFSET(UNKB0020_REPORT_IF_KOBAIHIN_CD,1+ROUNDDOWN(ROW()/ROWS(UNKB0020_REPORT_IF_COPY_MOTO),0),0)</f>
        <v>0</v>
      </c>
      <c r="AE9" s="543"/>
      <c r="AF9" s="543"/>
      <c r="AG9" s="543"/>
      <c r="AH9" s="543"/>
      <c r="AI9" s="544"/>
    </row>
    <row r="10" spans="1:35" ht="31.5" customHeight="1">
      <c r="A10" s="540" t="str">
        <f ca="1">IF(UNKB0020_H_KOBAI_KBN_CD=1,"単価","")</f>
        <v>単価</v>
      </c>
      <c r="B10" s="541"/>
      <c r="C10" s="541"/>
      <c r="D10" s="541"/>
      <c r="E10" s="541"/>
      <c r="F10" s="541"/>
      <c r="G10" s="541"/>
      <c r="H10" s="542"/>
      <c r="I10" s="419"/>
      <c r="J10" s="551">
        <f ca="1">IF(UNKB0020_H_KOBAI_KBN_CD=1,OFFSET(UNKB0020_REPORT_IF_TANKA,1+ROUNDDOWN(ROW()/ROWS(UNKB0020_REPORT_IF_COPY_MOTO),0),0),"")</f>
        <v>0</v>
      </c>
      <c r="K10" s="551"/>
      <c r="L10" s="551"/>
      <c r="M10" s="551"/>
      <c r="N10" s="551"/>
      <c r="O10" s="551"/>
      <c r="P10" s="551"/>
      <c r="Q10" s="551"/>
      <c r="R10" s="551"/>
      <c r="S10" s="551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1"/>
      <c r="AG10" s="551"/>
      <c r="AH10" s="551"/>
      <c r="AI10" s="420"/>
    </row>
    <row r="11" spans="1:35" ht="31.5" customHeight="1">
      <c r="A11" s="540" t="str">
        <f ca="1">IF(UNKB0020_H_KOBAI_KBN_CD=1,"入数","")</f>
        <v>入数</v>
      </c>
      <c r="B11" s="541"/>
      <c r="C11" s="541"/>
      <c r="D11" s="541"/>
      <c r="E11" s="541"/>
      <c r="F11" s="541"/>
      <c r="G11" s="541"/>
      <c r="H11" s="542"/>
      <c r="I11" s="417"/>
      <c r="J11" s="549" t="str">
        <f ca="1">IF(UNKB0020_H_KOBAI_KBN_CD=1,OFFSET(UNKB0020_REPORT_IF_IRISU,1+ROUNDDOWN(ROW()/ROWS(UNKB0020_REPORT_IF_COPY_MOTO),0),0)&amp;" "&amp;
OFFSET(UNKB0020_REPORT_IF_BARA_TANI,1+ROUNDDOWN(ROW()/ROWS(UNKB0020_REPORT_IF_COPY_MOTO),0),0),"")</f>
        <v xml:space="preserve"> </v>
      </c>
      <c r="K11" s="549"/>
      <c r="L11" s="549"/>
      <c r="M11" s="549"/>
      <c r="N11" s="549"/>
      <c r="O11" s="549"/>
      <c r="P11" s="549"/>
      <c r="Q11" s="549"/>
      <c r="R11" s="549"/>
      <c r="S11" s="549"/>
      <c r="T11" s="549"/>
      <c r="U11" s="549"/>
      <c r="V11" s="549"/>
      <c r="W11" s="549"/>
      <c r="X11" s="549"/>
      <c r="Y11" s="549"/>
      <c r="Z11" s="549"/>
      <c r="AA11" s="549"/>
      <c r="AB11" s="549"/>
      <c r="AC11" s="549"/>
      <c r="AD11" s="549"/>
      <c r="AE11" s="549"/>
      <c r="AF11" s="549"/>
      <c r="AG11" s="549"/>
      <c r="AH11" s="549"/>
      <c r="AI11" s="421"/>
    </row>
    <row r="12" spans="1:35" ht="31.5" customHeight="1">
      <c r="A12" s="540" t="str">
        <f ca="1">IF(UNKB0020_H_KOBAI_KBN_CD=1,"数量","")</f>
        <v>数量</v>
      </c>
      <c r="B12" s="541"/>
      <c r="C12" s="541"/>
      <c r="D12" s="541"/>
      <c r="E12" s="541"/>
      <c r="F12" s="541"/>
      <c r="G12" s="541"/>
      <c r="H12" s="542"/>
      <c r="I12" s="417"/>
      <c r="J12" s="549" t="str">
        <f ca="1">IF(UNKB0020_H_KOBAI_KBN_CD=1,OFFSET(UNKB0020_REPORT_IF_SURYO,1+ROUNDDOWN(ROW()/ROWS(UNKB0020_REPORT_IF_COPY_MOTO),0),0)&amp;" "&amp;
OFFSET(UNKB0020_REPORT_IF_IRISU_TANI,1+ROUNDDOWN(ROW()/ROWS(UNKB0020_REPORT_IF_COPY_MOTO),0),0),"")</f>
        <v xml:space="preserve"> </v>
      </c>
      <c r="K12" s="549"/>
      <c r="L12" s="549"/>
      <c r="M12" s="549"/>
      <c r="N12" s="549"/>
      <c r="O12" s="549"/>
      <c r="P12" s="549"/>
      <c r="Q12" s="549"/>
      <c r="R12" s="549"/>
      <c r="S12" s="549"/>
      <c r="T12" s="549"/>
      <c r="U12" s="549"/>
      <c r="V12" s="549"/>
      <c r="W12" s="549"/>
      <c r="X12" s="549"/>
      <c r="Y12" s="549"/>
      <c r="Z12" s="549"/>
      <c r="AA12" s="549"/>
      <c r="AB12" s="549"/>
      <c r="AC12" s="549"/>
      <c r="AD12" s="549"/>
      <c r="AE12" s="549"/>
      <c r="AF12" s="549"/>
      <c r="AG12" s="549"/>
      <c r="AH12" s="549"/>
      <c r="AI12" s="421"/>
    </row>
    <row r="13" spans="1:35" ht="31.5" customHeight="1">
      <c r="A13" s="540" t="s">
        <v>92</v>
      </c>
      <c r="B13" s="541"/>
      <c r="C13" s="541"/>
      <c r="D13" s="541"/>
      <c r="E13" s="541"/>
      <c r="F13" s="541"/>
      <c r="G13" s="541"/>
      <c r="H13" s="542"/>
      <c r="I13" s="419"/>
      <c r="J13" s="551">
        <f ca="1">OFFSET(UNKB0020_REPORT_IF_TOTAL,1+ROUNDDOWN(ROW()/ROWS(UNKB0020_REPORT_IF_COPY_MOTO),0),0)</f>
        <v>0</v>
      </c>
      <c r="K13" s="551"/>
      <c r="L13" s="551"/>
      <c r="M13" s="551"/>
      <c r="N13" s="551"/>
      <c r="O13" s="551"/>
      <c r="P13" s="551"/>
      <c r="Q13" s="551"/>
      <c r="R13" s="551"/>
      <c r="S13" s="551"/>
      <c r="T13" s="551"/>
      <c r="U13" s="551"/>
      <c r="V13" s="551"/>
      <c r="W13" s="551"/>
      <c r="X13" s="551"/>
      <c r="Y13" s="551"/>
      <c r="Z13" s="551"/>
      <c r="AA13" s="551"/>
      <c r="AB13" s="551"/>
      <c r="AC13" s="551"/>
      <c r="AD13" s="551"/>
      <c r="AE13" s="551"/>
      <c r="AF13" s="551"/>
      <c r="AG13" s="551"/>
      <c r="AH13" s="551"/>
      <c r="AI13" s="420"/>
    </row>
    <row r="14" spans="1:35" ht="31.5" customHeight="1">
      <c r="A14" s="540" t="s">
        <v>54</v>
      </c>
      <c r="B14" s="541"/>
      <c r="C14" s="541"/>
      <c r="D14" s="541"/>
      <c r="E14" s="541"/>
      <c r="F14" s="541"/>
      <c r="G14" s="541"/>
      <c r="H14" s="542"/>
      <c r="I14" s="417"/>
      <c r="J14" s="552" t="str">
        <f ca="1">IF(OFFSET(UNKB0020_REPORT_IF_NOKI,1+ROUNDDOWN(ROW()/ROWS(UNKB0020_REPORT_IF_COPY_MOTO),0),0)="","",OFFSET(UNKB0020_REPORT_IF_NOKI,1+ROUNDDOWN(ROW()/ROWS(UNKB0020_REPORT_IF_COPY_MOTO),0),0))</f>
        <v/>
      </c>
      <c r="K14" s="552"/>
      <c r="L14" s="552"/>
      <c r="M14" s="552"/>
      <c r="N14" s="552"/>
      <c r="O14" s="552"/>
      <c r="P14" s="552"/>
      <c r="Q14" s="552"/>
      <c r="R14" s="552"/>
      <c r="S14" s="552"/>
      <c r="T14" s="552"/>
      <c r="U14" s="552"/>
      <c r="V14" s="552"/>
      <c r="W14" s="552"/>
      <c r="X14" s="552"/>
      <c r="Y14" s="552"/>
      <c r="Z14" s="552"/>
      <c r="AA14" s="552"/>
      <c r="AB14" s="552"/>
      <c r="AC14" s="552"/>
      <c r="AD14" s="552"/>
      <c r="AE14" s="552"/>
      <c r="AF14" s="552"/>
      <c r="AG14" s="552"/>
      <c r="AH14" s="552"/>
      <c r="AI14" s="421"/>
    </row>
    <row r="15" spans="1:35" ht="31.5" customHeight="1">
      <c r="A15" s="540" t="s">
        <v>57</v>
      </c>
      <c r="B15" s="541"/>
      <c r="C15" s="541"/>
      <c r="D15" s="541"/>
      <c r="E15" s="541"/>
      <c r="F15" s="541"/>
      <c r="G15" s="541"/>
      <c r="H15" s="542"/>
      <c r="I15" s="417"/>
      <c r="J15" s="550">
        <f ca="1">OFFSET(UNKB0020_REPORT_IF_HOKAN_BASHO,1+ROUNDDOWN(ROW()/ROWS(UNKB0020_REPORT_IF_COPY_MOTO),0),0)</f>
        <v>0</v>
      </c>
      <c r="K15" s="550"/>
      <c r="L15" s="550"/>
      <c r="M15" s="550"/>
      <c r="N15" s="550"/>
      <c r="O15" s="550"/>
      <c r="P15" s="550"/>
      <c r="Q15" s="550"/>
      <c r="R15" s="550"/>
      <c r="S15" s="550"/>
      <c r="T15" s="550"/>
      <c r="U15" s="550"/>
      <c r="V15" s="550"/>
      <c r="W15" s="550"/>
      <c r="X15" s="550"/>
      <c r="Y15" s="550"/>
      <c r="Z15" s="550"/>
      <c r="AA15" s="550"/>
      <c r="AB15" s="550"/>
      <c r="AC15" s="550"/>
      <c r="AD15" s="550"/>
      <c r="AE15" s="550"/>
      <c r="AF15" s="550"/>
      <c r="AG15" s="550"/>
      <c r="AH15" s="550"/>
      <c r="AI15" s="421"/>
    </row>
    <row r="16" spans="1:35" ht="48" customHeight="1">
      <c r="A16" s="540" t="s">
        <v>59</v>
      </c>
      <c r="B16" s="541"/>
      <c r="C16" s="541"/>
      <c r="D16" s="541"/>
      <c r="E16" s="541"/>
      <c r="F16" s="541"/>
      <c r="G16" s="541"/>
      <c r="H16" s="542"/>
      <c r="I16" s="417"/>
      <c r="J16" s="548">
        <f ca="1">OFFSET(UNKB0020_REPORT_IF_SHIIRE_MEI,1+ROUNDDOWN(ROW()/ROWS(UNKB0020_REPORT_IF_COPY_MOTO),0),0)</f>
        <v>0</v>
      </c>
      <c r="K16" s="548"/>
      <c r="L16" s="548"/>
      <c r="M16" s="548"/>
      <c r="N16" s="548"/>
      <c r="O16" s="548"/>
      <c r="P16" s="548"/>
      <c r="Q16" s="548"/>
      <c r="R16" s="548"/>
      <c r="S16" s="548"/>
      <c r="T16" s="548"/>
      <c r="U16" s="548"/>
      <c r="V16" s="548"/>
      <c r="W16" s="548"/>
      <c r="X16" s="548"/>
      <c r="Y16" s="548"/>
      <c r="Z16" s="548"/>
      <c r="AA16" s="548"/>
      <c r="AB16" s="548"/>
      <c r="AC16" s="418"/>
      <c r="AD16" s="543">
        <f ca="1">OFFSET(UNKB0020_REPORT_IF_SHIIRE_CD,1+ROUNDDOWN(ROW()/ROWS(UNKB0020_REPORT_IF_COPY_MOTO),0),0)</f>
        <v>0</v>
      </c>
      <c r="AE16" s="543"/>
      <c r="AF16" s="543"/>
      <c r="AG16" s="543"/>
      <c r="AH16" s="543"/>
      <c r="AI16" s="544"/>
    </row>
    <row r="17" spans="1:35" ht="48" customHeight="1">
      <c r="A17" s="540" t="s">
        <v>61</v>
      </c>
      <c r="B17" s="541"/>
      <c r="C17" s="541"/>
      <c r="D17" s="541"/>
      <c r="E17" s="541"/>
      <c r="F17" s="541"/>
      <c r="G17" s="541"/>
      <c r="H17" s="542"/>
      <c r="I17" s="417"/>
      <c r="J17" s="548">
        <f ca="1">OFFSET(UNKB0020_REPORT_IF_MAKER_MEI,1+ROUNDDOWN(ROW()/ROWS(UNKB0020_REPORT_IF_COPY_MOTO),0),0)</f>
        <v>0</v>
      </c>
      <c r="K17" s="548"/>
      <c r="L17" s="548"/>
      <c r="M17" s="548"/>
      <c r="N17" s="548"/>
      <c r="O17" s="548"/>
      <c r="P17" s="548"/>
      <c r="Q17" s="548"/>
      <c r="R17" s="548"/>
      <c r="S17" s="548"/>
      <c r="T17" s="548"/>
      <c r="U17" s="548"/>
      <c r="V17" s="548"/>
      <c r="W17" s="548"/>
      <c r="X17" s="548"/>
      <c r="Y17" s="548"/>
      <c r="Z17" s="548"/>
      <c r="AA17" s="548"/>
      <c r="AB17" s="548"/>
      <c r="AC17" s="418"/>
      <c r="AD17" s="543">
        <f ca="1">OFFSET(UNKB0020_REPORT_IF_MAKER_CD,1+ROUNDDOWN(ROW()/ROWS(UNKB0020_REPORT_IF_COPY_MOTO),0),0)</f>
        <v>0</v>
      </c>
      <c r="AE17" s="543"/>
      <c r="AF17" s="543"/>
      <c r="AG17" s="543"/>
      <c r="AH17" s="543"/>
      <c r="AI17" s="544"/>
    </row>
    <row r="18" spans="1:35" ht="31.5" customHeight="1">
      <c r="A18" s="540" t="s">
        <v>96</v>
      </c>
      <c r="B18" s="541"/>
      <c r="C18" s="541"/>
      <c r="D18" s="541"/>
      <c r="E18" s="541"/>
      <c r="F18" s="541"/>
      <c r="G18" s="541"/>
      <c r="H18" s="542"/>
      <c r="I18" s="417"/>
      <c r="J18" s="549" t="str">
        <f ca="1">IF(OFFSET(UNKB0020_REPORT_IF_YOSAN_MEI,1+ROUNDDOWN(ROW()/ROWS(UNKB0020_REPORT_IF_COPY_MOTO),0),0)&lt;&gt;"",
OFFSET(UNKB0020_REPORT_IF_YOSAN_MEI,1+ROUNDDOWN(ROW()/ROWS(UNKB0020_REPORT_IF_COPY_MOTO),0),0),
IF(OFFSET(UNKB0020_REPORT_IF_JURI_NO,1+ROUNDDOWN(ROW()/ROWS(UNKB0020_REPORT_IF_COPY_MOTO),0),0)&lt;&gt;"",
OFFSET(UNKB0020_REPORT_IF_JURI_NO,1+ROUNDDOWN(ROW()/ROWS(UNKB0020_REPORT_IF_COPY_MOTO),0),0),
""))</f>
        <v/>
      </c>
      <c r="K18" s="549"/>
      <c r="L18" s="549"/>
      <c r="M18" s="549"/>
      <c r="N18" s="549"/>
      <c r="O18" s="549"/>
      <c r="P18" s="549"/>
      <c r="Q18" s="549"/>
      <c r="R18" s="549"/>
      <c r="S18" s="549"/>
      <c r="T18" s="549"/>
      <c r="U18" s="549"/>
      <c r="V18" s="549"/>
      <c r="W18" s="549"/>
      <c r="X18" s="549"/>
      <c r="Y18" s="549"/>
      <c r="Z18" s="549"/>
      <c r="AA18" s="549"/>
      <c r="AB18" s="549"/>
      <c r="AC18" s="549"/>
      <c r="AD18" s="549"/>
      <c r="AE18" s="549"/>
      <c r="AF18" s="549"/>
      <c r="AG18" s="549"/>
      <c r="AH18" s="549"/>
      <c r="AI18" s="421"/>
    </row>
    <row r="19" spans="1:35" ht="31.5" customHeight="1">
      <c r="A19" s="545" t="s">
        <v>64</v>
      </c>
      <c r="B19" s="546"/>
      <c r="C19" s="546"/>
      <c r="D19" s="546"/>
      <c r="E19" s="546"/>
      <c r="F19" s="546"/>
      <c r="G19" s="546"/>
      <c r="H19" s="547"/>
      <c r="I19" s="417"/>
      <c r="J19" s="550">
        <f ca="1">OFFSET(UNKB0020_REPORT_IF_BIKO,1+ROUNDDOWN(ROW()/ROWS(UNKB0020_REPORT_IF_COPY_MOTO),0),0)</f>
        <v>0</v>
      </c>
      <c r="K19" s="550"/>
      <c r="L19" s="550"/>
      <c r="M19" s="550"/>
      <c r="N19" s="550"/>
      <c r="O19" s="550"/>
      <c r="P19" s="550"/>
      <c r="Q19" s="550"/>
      <c r="R19" s="550"/>
      <c r="S19" s="550"/>
      <c r="T19" s="550"/>
      <c r="U19" s="550"/>
      <c r="V19" s="550"/>
      <c r="W19" s="550"/>
      <c r="X19" s="550"/>
      <c r="Y19" s="550"/>
      <c r="Z19" s="550"/>
      <c r="AA19" s="550"/>
      <c r="AB19" s="550"/>
      <c r="AC19" s="550"/>
      <c r="AD19" s="550"/>
      <c r="AE19" s="550"/>
      <c r="AF19" s="550"/>
      <c r="AG19" s="550"/>
      <c r="AH19" s="550"/>
      <c r="AI19" s="421"/>
    </row>
    <row r="20" spans="1:35" ht="75" customHeight="1" thickBot="1">
      <c r="A20" s="533" t="s">
        <v>93</v>
      </c>
      <c r="B20" s="534"/>
      <c r="C20" s="534"/>
      <c r="D20" s="534"/>
      <c r="E20" s="534"/>
      <c r="F20" s="534"/>
      <c r="G20" s="534"/>
      <c r="H20" s="535"/>
      <c r="I20" s="537"/>
      <c r="J20" s="538"/>
      <c r="K20" s="538"/>
      <c r="L20" s="538"/>
      <c r="M20" s="538"/>
      <c r="N20" s="538"/>
      <c r="O20" s="538"/>
      <c r="P20" s="538"/>
      <c r="Q20" s="538"/>
      <c r="R20" s="538"/>
      <c r="S20" s="538"/>
      <c r="T20" s="538"/>
      <c r="U20" s="538"/>
      <c r="V20" s="538"/>
      <c r="W20" s="538"/>
      <c r="X20" s="538"/>
      <c r="Y20" s="538"/>
      <c r="Z20" s="538"/>
      <c r="AA20" s="538"/>
      <c r="AB20" s="538"/>
      <c r="AC20" s="538"/>
      <c r="AD20" s="538"/>
      <c r="AE20" s="538"/>
      <c r="AF20" s="538"/>
      <c r="AG20" s="538"/>
      <c r="AH20" s="538"/>
      <c r="AI20" s="539"/>
    </row>
    <row r="21" spans="1:35" ht="11.25" customHeight="1"/>
    <row r="22" spans="1:35">
      <c r="A22" s="529" t="s">
        <v>499</v>
      </c>
      <c r="B22" s="529"/>
      <c r="C22" s="529"/>
      <c r="D22" s="529"/>
      <c r="E22" s="529"/>
      <c r="F22" s="529"/>
      <c r="G22" s="529"/>
      <c r="H22" s="529"/>
    </row>
    <row r="23" spans="1:35">
      <c r="Z23" s="528" t="s">
        <v>97</v>
      </c>
      <c r="AA23" s="528"/>
      <c r="AB23" s="528"/>
      <c r="AC23" s="528"/>
      <c r="AD23" s="528"/>
      <c r="AE23" s="528"/>
      <c r="AF23" s="528"/>
      <c r="AG23" s="528"/>
      <c r="AH23" s="528"/>
      <c r="AI23" s="528"/>
    </row>
    <row r="24" spans="1:35" ht="16.5" customHeight="1">
      <c r="AD24" s="530" t="s">
        <v>98</v>
      </c>
      <c r="AE24" s="531"/>
      <c r="AF24" s="531"/>
      <c r="AG24" s="531"/>
      <c r="AH24" s="531"/>
      <c r="AI24" s="536"/>
    </row>
    <row r="25" spans="1:35">
      <c r="AD25" s="530" t="s">
        <v>88</v>
      </c>
      <c r="AE25" s="531"/>
      <c r="AF25" s="532"/>
      <c r="AG25" s="530" t="s">
        <v>94</v>
      </c>
      <c r="AH25" s="531"/>
      <c r="AI25" s="532"/>
    </row>
    <row r="26" spans="1:35" ht="45" customHeight="1">
      <c r="J26" s="255"/>
      <c r="K26" s="255"/>
      <c r="L26" s="255"/>
      <c r="M26" s="255"/>
      <c r="N26" s="255"/>
      <c r="O26" s="255"/>
      <c r="P26" s="255"/>
      <c r="Q26" s="255"/>
      <c r="R26" s="255"/>
      <c r="S26" s="255"/>
      <c r="T26" s="255"/>
      <c r="AD26" s="530"/>
      <c r="AE26" s="531"/>
      <c r="AF26" s="532"/>
      <c r="AG26" s="530"/>
      <c r="AH26" s="531"/>
      <c r="AI26" s="532"/>
    </row>
    <row r="27" spans="1:35">
      <c r="A27" s="529" t="s">
        <v>99</v>
      </c>
      <c r="B27" s="529"/>
      <c r="C27" s="529"/>
      <c r="D27" s="529"/>
      <c r="E27" s="529"/>
      <c r="F27" s="529"/>
      <c r="G27" s="529"/>
    </row>
    <row r="28" spans="1:35">
      <c r="A28" s="255"/>
      <c r="B28" s="525" t="s">
        <v>498</v>
      </c>
      <c r="C28" s="525"/>
      <c r="D28" s="525"/>
      <c r="E28" s="525"/>
      <c r="F28" s="525"/>
      <c r="G28" s="525"/>
      <c r="H28" s="422"/>
      <c r="I28" s="422"/>
      <c r="J28" s="423"/>
      <c r="K28" s="422"/>
      <c r="L28" s="422"/>
      <c r="M28" s="255"/>
      <c r="N28" s="255"/>
      <c r="O28" s="255"/>
      <c r="P28" s="255"/>
      <c r="Q28" s="255"/>
      <c r="R28" s="255"/>
      <c r="S28" s="255"/>
      <c r="T28" s="255"/>
      <c r="U28" s="255"/>
      <c r="V28" s="255"/>
      <c r="W28" s="255"/>
      <c r="X28" s="255"/>
      <c r="Y28" s="255"/>
      <c r="Z28" s="255"/>
      <c r="AA28" s="255"/>
      <c r="AB28" s="255"/>
      <c r="AC28" s="255"/>
      <c r="AD28" s="255"/>
      <c r="AE28" s="255"/>
      <c r="AF28" s="255"/>
      <c r="AG28" s="255"/>
      <c r="AH28" s="255"/>
      <c r="AI28" s="255"/>
    </row>
    <row r="29" spans="1:35">
      <c r="A29" s="255"/>
      <c r="B29" s="525" t="s">
        <v>100</v>
      </c>
      <c r="C29" s="525"/>
      <c r="D29" s="525"/>
      <c r="E29" s="525"/>
      <c r="F29" s="525"/>
      <c r="G29" s="525"/>
      <c r="H29" s="424"/>
      <c r="I29" s="424"/>
      <c r="J29" s="424"/>
      <c r="K29" s="425"/>
      <c r="L29" s="425"/>
      <c r="M29" s="255"/>
      <c r="N29" s="255"/>
      <c r="O29" s="255"/>
      <c r="P29" s="255"/>
      <c r="Q29" s="255"/>
      <c r="R29" s="255"/>
      <c r="S29" s="255"/>
      <c r="T29" s="255"/>
      <c r="U29" s="255"/>
      <c r="V29" s="255"/>
      <c r="W29" s="255"/>
      <c r="X29" s="255"/>
      <c r="Y29" s="255"/>
      <c r="Z29" s="255"/>
      <c r="AA29" s="255"/>
      <c r="AB29" s="255"/>
      <c r="AC29" s="255"/>
      <c r="AD29" s="255"/>
      <c r="AE29" s="255"/>
      <c r="AF29" s="255"/>
      <c r="AG29" s="255"/>
      <c r="AH29" s="255"/>
      <c r="AI29" s="255"/>
    </row>
  </sheetData>
  <mergeCells count="51">
    <mergeCell ref="I4:L5"/>
    <mergeCell ref="I6:L7"/>
    <mergeCell ref="A6:D7"/>
    <mergeCell ref="E6:H7"/>
    <mergeCell ref="A4:D5"/>
    <mergeCell ref="E4:H5"/>
    <mergeCell ref="A8:H8"/>
    <mergeCell ref="A9:H9"/>
    <mergeCell ref="AD9:AI9"/>
    <mergeCell ref="A10:H10"/>
    <mergeCell ref="J8:AH8"/>
    <mergeCell ref="J9:AB9"/>
    <mergeCell ref="J10:AH10"/>
    <mergeCell ref="A14:H14"/>
    <mergeCell ref="A15:H15"/>
    <mergeCell ref="A16:H16"/>
    <mergeCell ref="AD16:AI16"/>
    <mergeCell ref="A11:H11"/>
    <mergeCell ref="A12:H12"/>
    <mergeCell ref="A13:H13"/>
    <mergeCell ref="J15:AH15"/>
    <mergeCell ref="J16:AB16"/>
    <mergeCell ref="J11:AH11"/>
    <mergeCell ref="J12:AH12"/>
    <mergeCell ref="J13:AH13"/>
    <mergeCell ref="J14:AH14"/>
    <mergeCell ref="AD24:AI24"/>
    <mergeCell ref="I20:AI20"/>
    <mergeCell ref="A17:H17"/>
    <mergeCell ref="AD17:AI17"/>
    <mergeCell ref="A18:H18"/>
    <mergeCell ref="A19:H19"/>
    <mergeCell ref="J17:AB17"/>
    <mergeCell ref="J18:AH18"/>
    <mergeCell ref="J19:AH19"/>
    <mergeCell ref="B29:G29"/>
    <mergeCell ref="B28:G28"/>
    <mergeCell ref="A2:AI2"/>
    <mergeCell ref="Z3:AI3"/>
    <mergeCell ref="Z23:AI23"/>
    <mergeCell ref="A22:H22"/>
    <mergeCell ref="A27:G27"/>
    <mergeCell ref="AD6:AF6"/>
    <mergeCell ref="AD5:AF5"/>
    <mergeCell ref="AG6:AI6"/>
    <mergeCell ref="AG5:AI5"/>
    <mergeCell ref="AD26:AF26"/>
    <mergeCell ref="AG26:AI26"/>
    <mergeCell ref="AG25:AI25"/>
    <mergeCell ref="AD25:AF25"/>
    <mergeCell ref="A20:H20"/>
  </mergeCells>
  <phoneticPr fontId="1"/>
  <conditionalFormatting sqref="A4:D5">
    <cfRule type="expression" dxfId="91" priority="6">
      <formula>OR(UNKB0020_H_KOBAI_KBN_CD=3,UNKB0020_H_KOBAI_KBN_CD=4)</formula>
    </cfRule>
  </conditionalFormatting>
  <conditionalFormatting sqref="E4:H5">
    <cfRule type="expression" dxfId="90" priority="5">
      <formula>OR(UNKB0020_H_KOBAI_KBN_CD=3,UNKB0020_H_KOBAI_KBN_CD=4)</formula>
    </cfRule>
  </conditionalFormatting>
  <conditionalFormatting sqref="A6:D7">
    <cfRule type="expression" dxfId="89" priority="4">
      <formula>OR(UNKB0020_H_KOBAI_KBN_CD=3,UNKB0020_H_KOBAI_KBN_CD=4)</formula>
    </cfRule>
  </conditionalFormatting>
  <conditionalFormatting sqref="E6:H7">
    <cfRule type="expression" dxfId="88" priority="3">
      <formula>OR(UNKB0020_H_KOBAI_KBN_CD=3,UNKB0020_H_KOBAI_KBN_CD=4)</formula>
    </cfRule>
  </conditionalFormatting>
  <conditionalFormatting sqref="I4:L5">
    <cfRule type="expression" dxfId="87" priority="2">
      <formula>OR(UNKB0020_H_KOBAI_KBN_CD=3,UNKB0020_H_KOBAI_KBN_CD=4)</formula>
    </cfRule>
  </conditionalFormatting>
  <conditionalFormatting sqref="I6:L7">
    <cfRule type="expression" dxfId="86" priority="1">
      <formula>OR(UNKB0020_H_KOBAI_KBN_CD=3,UNKB0020_H_KOBAI_KBN_CD=4)</formula>
    </cfRule>
  </conditionalFormatting>
  <pageMargins left="0.9055118110236221" right="0.51181102362204722" top="0.74803149606299213" bottom="0.74803149606299213" header="0.31496062992125984" footer="0.31496062992125984"/>
  <pageSetup paperSize="9" orientation="portrait" horizontalDpi="4294967293" verticalDpi="4294967293" r:id="rId1"/>
  <headerFooter>
    <oddHeader>&amp;R&amp;P/&amp;N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H36"/>
  <sheetViews>
    <sheetView topLeftCell="A22" workbookViewId="0">
      <selection activeCell="AL36" sqref="AL36"/>
    </sheetView>
  </sheetViews>
  <sheetFormatPr defaultRowHeight="13.5"/>
  <cols>
    <col min="1" max="35" width="1.875" customWidth="1"/>
    <col min="37" max="37" width="14.25" style="97" bestFit="1" customWidth="1"/>
    <col min="38" max="38" width="21.375" style="97" customWidth="1"/>
    <col min="39" max="40" width="9" style="97"/>
    <col min="46" max="46" width="9" style="10"/>
    <col min="47" max="47" width="9" style="230"/>
    <col min="48" max="48" width="9" style="10"/>
  </cols>
  <sheetData>
    <row r="1" spans="1:35" s="30" customFormat="1" ht="11.25" customHeight="1">
      <c r="A1" s="254"/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</row>
    <row r="2" spans="1:35" s="30" customFormat="1" ht="24">
      <c r="A2" s="526" t="str">
        <f ca="1">IF(UNKB0020_H_KOBAI_KBN_CD=3,"修繕・定期点検 ",IF(UNKB0020_H_KOBAI_KBN_CD=4,"資産物品 購入","未登録購買品 購入"))&amp;"申請書"</f>
        <v>未登録購買品 購入申請書</v>
      </c>
      <c r="B2" s="526"/>
      <c r="C2" s="526"/>
      <c r="D2" s="526"/>
      <c r="E2" s="526"/>
      <c r="F2" s="526"/>
      <c r="G2" s="526"/>
      <c r="H2" s="526"/>
      <c r="I2" s="526"/>
      <c r="J2" s="526"/>
      <c r="K2" s="526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526"/>
      <c r="X2" s="526"/>
      <c r="Y2" s="526"/>
      <c r="Z2" s="526"/>
      <c r="AA2" s="526"/>
      <c r="AB2" s="526"/>
      <c r="AC2" s="526"/>
      <c r="AD2" s="526"/>
      <c r="AE2" s="526"/>
      <c r="AF2" s="526"/>
      <c r="AG2" s="526"/>
      <c r="AH2" s="526"/>
      <c r="AI2" s="526"/>
    </row>
    <row r="3" spans="1:35" s="30" customFormat="1" ht="18" customHeight="1" thickBot="1">
      <c r="A3" s="254"/>
      <c r="B3" s="254"/>
      <c r="C3" s="254"/>
      <c r="D3" s="254"/>
      <c r="E3" s="254"/>
      <c r="F3" s="254"/>
      <c r="G3" s="254"/>
      <c r="H3" s="254"/>
      <c r="I3" s="258"/>
      <c r="J3" s="254"/>
      <c r="K3" s="254"/>
      <c r="L3" s="254"/>
      <c r="M3" s="254"/>
      <c r="N3" s="254"/>
      <c r="O3" s="254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527">
        <f ca="1">TODAY()</f>
        <v>42930</v>
      </c>
      <c r="AA3" s="527"/>
      <c r="AB3" s="527"/>
      <c r="AC3" s="527"/>
      <c r="AD3" s="527"/>
      <c r="AE3" s="527"/>
      <c r="AF3" s="527"/>
      <c r="AG3" s="527"/>
      <c r="AH3" s="527"/>
      <c r="AI3" s="527"/>
    </row>
    <row r="4" spans="1:35" s="30" customFormat="1" ht="11.25" customHeight="1">
      <c r="A4" s="562" t="s">
        <v>1842</v>
      </c>
      <c r="B4" s="562"/>
      <c r="C4" s="562"/>
      <c r="D4" s="562"/>
      <c r="E4" s="557" t="s">
        <v>1843</v>
      </c>
      <c r="F4" s="557"/>
      <c r="G4" s="557"/>
      <c r="H4" s="557"/>
      <c r="I4" s="557" t="s">
        <v>1852</v>
      </c>
      <c r="J4" s="557"/>
      <c r="K4" s="557"/>
      <c r="L4" s="557"/>
      <c r="M4" s="254"/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254"/>
      <c r="Y4" s="254"/>
      <c r="Z4" s="254"/>
      <c r="AA4" s="254"/>
      <c r="AB4" s="254"/>
      <c r="AC4" s="254"/>
      <c r="AD4" s="254"/>
      <c r="AE4" s="254"/>
      <c r="AF4" s="254"/>
      <c r="AG4" s="254"/>
      <c r="AH4" s="254"/>
      <c r="AI4" s="254"/>
    </row>
    <row r="5" spans="1:35" s="30" customFormat="1" ht="16.5">
      <c r="A5" s="563"/>
      <c r="B5" s="563"/>
      <c r="C5" s="563"/>
      <c r="D5" s="563"/>
      <c r="E5" s="558"/>
      <c r="F5" s="558"/>
      <c r="G5" s="558"/>
      <c r="H5" s="558"/>
      <c r="I5" s="558"/>
      <c r="J5" s="558"/>
      <c r="K5" s="558"/>
      <c r="L5" s="558"/>
      <c r="M5" s="254"/>
      <c r="N5" s="254"/>
      <c r="O5" s="254"/>
      <c r="P5" s="254"/>
      <c r="Q5" s="254"/>
      <c r="R5" s="254"/>
      <c r="S5" s="254"/>
      <c r="T5" s="254"/>
      <c r="U5" s="254"/>
      <c r="V5" s="254"/>
      <c r="W5" s="254"/>
      <c r="X5" s="254"/>
      <c r="Y5" s="254"/>
      <c r="Z5" s="254"/>
      <c r="AA5" s="254"/>
      <c r="AB5" s="254"/>
      <c r="AC5" s="254"/>
      <c r="AD5" s="530" t="s">
        <v>88</v>
      </c>
      <c r="AE5" s="531"/>
      <c r="AF5" s="532"/>
      <c r="AG5" s="530" t="s">
        <v>94</v>
      </c>
      <c r="AH5" s="531"/>
      <c r="AI5" s="532"/>
    </row>
    <row r="6" spans="1:35" s="30" customFormat="1" ht="45" customHeight="1">
      <c r="A6" s="559" t="s">
        <v>1844</v>
      </c>
      <c r="B6" s="560"/>
      <c r="C6" s="560"/>
      <c r="D6" s="560"/>
      <c r="E6" s="559" t="s">
        <v>1845</v>
      </c>
      <c r="F6" s="560"/>
      <c r="G6" s="560"/>
      <c r="H6" s="560"/>
      <c r="I6" s="559" t="s">
        <v>1845</v>
      </c>
      <c r="J6" s="560"/>
      <c r="K6" s="560"/>
      <c r="L6" s="560"/>
      <c r="M6" s="255"/>
      <c r="N6" s="255"/>
      <c r="O6" s="255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4"/>
      <c r="AD6" s="530"/>
      <c r="AE6" s="531"/>
      <c r="AF6" s="532"/>
      <c r="AG6" s="530"/>
      <c r="AH6" s="531"/>
      <c r="AI6" s="532"/>
    </row>
    <row r="7" spans="1:35" s="30" customFormat="1" ht="11.25" customHeight="1" thickBot="1">
      <c r="A7" s="561"/>
      <c r="B7" s="561"/>
      <c r="C7" s="561"/>
      <c r="D7" s="561"/>
      <c r="E7" s="561"/>
      <c r="F7" s="561"/>
      <c r="G7" s="561"/>
      <c r="H7" s="561"/>
      <c r="I7" s="561"/>
      <c r="J7" s="561"/>
      <c r="K7" s="561"/>
      <c r="L7" s="561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  <c r="AB7" s="254"/>
      <c r="AC7" s="254"/>
      <c r="AD7" s="254"/>
      <c r="AE7" s="254"/>
      <c r="AF7" s="254"/>
      <c r="AG7" s="254"/>
      <c r="AH7" s="254"/>
      <c r="AI7" s="254"/>
    </row>
    <row r="8" spans="1:35" s="30" customFormat="1" ht="31.5" customHeight="1">
      <c r="A8" s="553" t="s">
        <v>95</v>
      </c>
      <c r="B8" s="554"/>
      <c r="C8" s="554"/>
      <c r="D8" s="554"/>
      <c r="E8" s="554"/>
      <c r="F8" s="554"/>
      <c r="G8" s="554"/>
      <c r="H8" s="555"/>
      <c r="I8" s="415"/>
      <c r="J8" s="556">
        <f ca="1">OFFSET(UNKB0020_REPORT_IF_KOBAI_NO,1+ROUNDDOWN(ROW()/ROWS(UNKB0020_REPORT_IF_COPY_MOTO),0),0)</f>
        <v>0</v>
      </c>
      <c r="K8" s="556"/>
      <c r="L8" s="556"/>
      <c r="M8" s="556"/>
      <c r="N8" s="556"/>
      <c r="O8" s="556"/>
      <c r="P8" s="556"/>
      <c r="Q8" s="556"/>
      <c r="R8" s="556"/>
      <c r="S8" s="556"/>
      <c r="T8" s="556"/>
      <c r="U8" s="556"/>
      <c r="V8" s="556"/>
      <c r="W8" s="556"/>
      <c r="X8" s="556"/>
      <c r="Y8" s="556"/>
      <c r="Z8" s="556"/>
      <c r="AA8" s="556"/>
      <c r="AB8" s="556"/>
      <c r="AC8" s="556"/>
      <c r="AD8" s="556"/>
      <c r="AE8" s="556"/>
      <c r="AF8" s="556"/>
      <c r="AG8" s="556"/>
      <c r="AH8" s="556"/>
      <c r="AI8" s="416"/>
    </row>
    <row r="9" spans="1:35" s="30" customFormat="1" ht="31.5" customHeight="1">
      <c r="A9" s="540" t="s">
        <v>90</v>
      </c>
      <c r="B9" s="541"/>
      <c r="C9" s="541"/>
      <c r="D9" s="541"/>
      <c r="E9" s="541"/>
      <c r="F9" s="541"/>
      <c r="G9" s="541"/>
      <c r="H9" s="542"/>
      <c r="I9" s="417"/>
      <c r="J9" s="550">
        <f ca="1">OFFSET(UNKB0020_REPORT_IF_KOBAIHIN_MEI,1+ROUNDDOWN(ROW()/ROWS(UNKB0020_REPORT_IF_COPY_MOTO),0),0)</f>
        <v>0</v>
      </c>
      <c r="K9" s="550"/>
      <c r="L9" s="550"/>
      <c r="M9" s="550"/>
      <c r="N9" s="550"/>
      <c r="O9" s="550"/>
      <c r="P9" s="550"/>
      <c r="Q9" s="550"/>
      <c r="R9" s="550"/>
      <c r="S9" s="550"/>
      <c r="T9" s="550"/>
      <c r="U9" s="550"/>
      <c r="V9" s="550"/>
      <c r="W9" s="550"/>
      <c r="X9" s="550"/>
      <c r="Y9" s="550"/>
      <c r="Z9" s="550"/>
      <c r="AA9" s="550"/>
      <c r="AB9" s="550"/>
      <c r="AC9" s="418"/>
      <c r="AD9" s="543">
        <f ca="1">OFFSET(UNKB0020_REPORT_IF_KOBAIHIN_CD,1+ROUNDDOWN(ROW()/ROWS(UNKB0020_REPORT_IF_COPY_MOTO),0),0)</f>
        <v>0</v>
      </c>
      <c r="AE9" s="543"/>
      <c r="AF9" s="543"/>
      <c r="AG9" s="543"/>
      <c r="AH9" s="543"/>
      <c r="AI9" s="544"/>
    </row>
    <row r="10" spans="1:35" s="30" customFormat="1" ht="31.5" customHeight="1">
      <c r="A10" s="540" t="str">
        <f ca="1">IF(UNKB0020_H_KOBAI_KBN_CD=1,"単価","")</f>
        <v>単価</v>
      </c>
      <c r="B10" s="541"/>
      <c r="C10" s="541"/>
      <c r="D10" s="541"/>
      <c r="E10" s="541"/>
      <c r="F10" s="541"/>
      <c r="G10" s="541"/>
      <c r="H10" s="542"/>
      <c r="I10" s="419"/>
      <c r="J10" s="551">
        <f ca="1">IF(UNKB0020_H_KOBAI_KBN_CD=1,OFFSET(UNKB0020_REPORT_IF_TANKA,1+ROUNDDOWN(ROW()/ROWS(UNKB0020_REPORT_IF_COPY_MOTO),0),0),"")</f>
        <v>0</v>
      </c>
      <c r="K10" s="551"/>
      <c r="L10" s="551"/>
      <c r="M10" s="551"/>
      <c r="N10" s="551"/>
      <c r="O10" s="551"/>
      <c r="P10" s="551"/>
      <c r="Q10" s="551"/>
      <c r="R10" s="551"/>
      <c r="S10" s="551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1"/>
      <c r="AG10" s="551"/>
      <c r="AH10" s="551"/>
      <c r="AI10" s="420"/>
    </row>
    <row r="11" spans="1:35" s="30" customFormat="1" ht="31.5" customHeight="1">
      <c r="A11" s="540" t="str">
        <f ca="1">IF(UNKB0020_H_KOBAI_KBN_CD=1,"入数","")</f>
        <v>入数</v>
      </c>
      <c r="B11" s="541"/>
      <c r="C11" s="541"/>
      <c r="D11" s="541"/>
      <c r="E11" s="541"/>
      <c r="F11" s="541"/>
      <c r="G11" s="541"/>
      <c r="H11" s="542"/>
      <c r="I11" s="417"/>
      <c r="J11" s="549" t="str">
        <f ca="1">IF(UNKB0020_H_KOBAI_KBN_CD=1,OFFSET(UNKB0020_REPORT_IF_IRISU,1+ROUNDDOWN(ROW()/ROWS(UNKB0020_REPORT_IF_COPY_MOTO),0),0)&amp;" "&amp;
OFFSET(UNKB0020_REPORT_IF_BARA_TANI,1+ROUNDDOWN(ROW()/ROWS(UNKB0020_REPORT_IF_COPY_MOTO),0),0),"")</f>
        <v xml:space="preserve"> </v>
      </c>
      <c r="K11" s="549"/>
      <c r="L11" s="549"/>
      <c r="M11" s="549"/>
      <c r="N11" s="549"/>
      <c r="O11" s="549"/>
      <c r="P11" s="549"/>
      <c r="Q11" s="549"/>
      <c r="R11" s="549"/>
      <c r="S11" s="549"/>
      <c r="T11" s="549"/>
      <c r="U11" s="549"/>
      <c r="V11" s="549"/>
      <c r="W11" s="549"/>
      <c r="X11" s="549"/>
      <c r="Y11" s="549"/>
      <c r="Z11" s="549"/>
      <c r="AA11" s="549"/>
      <c r="AB11" s="549"/>
      <c r="AC11" s="549"/>
      <c r="AD11" s="549"/>
      <c r="AE11" s="549"/>
      <c r="AF11" s="549"/>
      <c r="AG11" s="549"/>
      <c r="AH11" s="549"/>
      <c r="AI11" s="421"/>
    </row>
    <row r="12" spans="1:35" s="30" customFormat="1" ht="31.5" customHeight="1">
      <c r="A12" s="540" t="str">
        <f ca="1">IF(UNKB0020_H_KOBAI_KBN_CD=1,"数量","")</f>
        <v>数量</v>
      </c>
      <c r="B12" s="541"/>
      <c r="C12" s="541"/>
      <c r="D12" s="541"/>
      <c r="E12" s="541"/>
      <c r="F12" s="541"/>
      <c r="G12" s="541"/>
      <c r="H12" s="542"/>
      <c r="I12" s="417"/>
      <c r="J12" s="549" t="str">
        <f ca="1">IF(UNKB0020_H_KOBAI_KBN_CD=1,OFFSET(UNKB0020_REPORT_IF_SURYO,1+ROUNDDOWN(ROW()/ROWS(UNKB0020_REPORT_IF_COPY_MOTO),0),0)&amp;" "&amp;
OFFSET(UNKB0020_REPORT_IF_IRISU_TANI,1+ROUNDDOWN(ROW()/ROWS(UNKB0020_REPORT_IF_COPY_MOTO),0),0),"")</f>
        <v xml:space="preserve"> </v>
      </c>
      <c r="K12" s="549"/>
      <c r="L12" s="549"/>
      <c r="M12" s="549"/>
      <c r="N12" s="549"/>
      <c r="O12" s="549"/>
      <c r="P12" s="549"/>
      <c r="Q12" s="549"/>
      <c r="R12" s="549"/>
      <c r="S12" s="549"/>
      <c r="T12" s="549"/>
      <c r="U12" s="549"/>
      <c r="V12" s="549"/>
      <c r="W12" s="549"/>
      <c r="X12" s="549"/>
      <c r="Y12" s="549"/>
      <c r="Z12" s="549"/>
      <c r="AA12" s="549"/>
      <c r="AB12" s="549"/>
      <c r="AC12" s="549"/>
      <c r="AD12" s="549"/>
      <c r="AE12" s="549"/>
      <c r="AF12" s="549"/>
      <c r="AG12" s="549"/>
      <c r="AH12" s="549"/>
      <c r="AI12" s="421"/>
    </row>
    <row r="13" spans="1:35" s="30" customFormat="1" ht="31.5" customHeight="1">
      <c r="A13" s="540" t="s">
        <v>92</v>
      </c>
      <c r="B13" s="541"/>
      <c r="C13" s="541"/>
      <c r="D13" s="541"/>
      <c r="E13" s="541"/>
      <c r="F13" s="541"/>
      <c r="G13" s="541"/>
      <c r="H13" s="542"/>
      <c r="I13" s="419"/>
      <c r="J13" s="551">
        <f ca="1">OFFSET(UNKB0020_REPORT_IF_TOTAL,1+ROUNDDOWN(ROW()/ROWS(UNKB0020_REPORT_IF_COPY_MOTO),0),0)</f>
        <v>0</v>
      </c>
      <c r="K13" s="551"/>
      <c r="L13" s="551"/>
      <c r="M13" s="551"/>
      <c r="N13" s="551"/>
      <c r="O13" s="551"/>
      <c r="P13" s="551"/>
      <c r="Q13" s="551"/>
      <c r="R13" s="551"/>
      <c r="S13" s="551"/>
      <c r="T13" s="551"/>
      <c r="U13" s="551"/>
      <c r="V13" s="551"/>
      <c r="W13" s="551"/>
      <c r="X13" s="551"/>
      <c r="Y13" s="551"/>
      <c r="Z13" s="551"/>
      <c r="AA13" s="551"/>
      <c r="AB13" s="551"/>
      <c r="AC13" s="551"/>
      <c r="AD13" s="551"/>
      <c r="AE13" s="551"/>
      <c r="AF13" s="551"/>
      <c r="AG13" s="551"/>
      <c r="AH13" s="551"/>
      <c r="AI13" s="420"/>
    </row>
    <row r="14" spans="1:35" s="30" customFormat="1" ht="31.5" customHeight="1">
      <c r="A14" s="540" t="s">
        <v>54</v>
      </c>
      <c r="B14" s="541"/>
      <c r="C14" s="541"/>
      <c r="D14" s="541"/>
      <c r="E14" s="541"/>
      <c r="F14" s="541"/>
      <c r="G14" s="541"/>
      <c r="H14" s="542"/>
      <c r="I14" s="417"/>
      <c r="J14" s="552" t="str">
        <f ca="1">IF(OFFSET(UNKB0020_REPORT_IF_NOKI,1+ROUNDDOWN(ROW()/ROWS(UNKB0020_REPORT_IF_COPY_MOTO),0),0)="","",OFFSET(UNKB0020_REPORT_IF_NOKI,1+ROUNDDOWN(ROW()/ROWS(UNKB0020_REPORT_IF_COPY_MOTO),0),0))</f>
        <v/>
      </c>
      <c r="K14" s="552"/>
      <c r="L14" s="552"/>
      <c r="M14" s="552"/>
      <c r="N14" s="552"/>
      <c r="O14" s="552"/>
      <c r="P14" s="552"/>
      <c r="Q14" s="552"/>
      <c r="R14" s="552"/>
      <c r="S14" s="552"/>
      <c r="T14" s="552"/>
      <c r="U14" s="552"/>
      <c r="V14" s="552"/>
      <c r="W14" s="552"/>
      <c r="X14" s="552"/>
      <c r="Y14" s="552"/>
      <c r="Z14" s="552"/>
      <c r="AA14" s="552"/>
      <c r="AB14" s="552"/>
      <c r="AC14" s="552"/>
      <c r="AD14" s="552"/>
      <c r="AE14" s="552"/>
      <c r="AF14" s="552"/>
      <c r="AG14" s="552"/>
      <c r="AH14" s="552"/>
      <c r="AI14" s="421"/>
    </row>
    <row r="15" spans="1:35" s="30" customFormat="1" ht="31.5" customHeight="1">
      <c r="A15" s="540" t="s">
        <v>57</v>
      </c>
      <c r="B15" s="541"/>
      <c r="C15" s="541"/>
      <c r="D15" s="541"/>
      <c r="E15" s="541"/>
      <c r="F15" s="541"/>
      <c r="G15" s="541"/>
      <c r="H15" s="542"/>
      <c r="I15" s="417"/>
      <c r="J15" s="550">
        <f ca="1">OFFSET(UNKB0020_REPORT_IF_HOKAN_BASHO,1+ROUNDDOWN(ROW()/ROWS(UNKB0020_REPORT_IF_COPY_MOTO),0),0)</f>
        <v>0</v>
      </c>
      <c r="K15" s="550"/>
      <c r="L15" s="550"/>
      <c r="M15" s="550"/>
      <c r="N15" s="550"/>
      <c r="O15" s="550"/>
      <c r="P15" s="550"/>
      <c r="Q15" s="550"/>
      <c r="R15" s="550"/>
      <c r="S15" s="550"/>
      <c r="T15" s="550"/>
      <c r="U15" s="550"/>
      <c r="V15" s="550"/>
      <c r="W15" s="550"/>
      <c r="X15" s="550"/>
      <c r="Y15" s="550"/>
      <c r="Z15" s="550"/>
      <c r="AA15" s="550"/>
      <c r="AB15" s="550"/>
      <c r="AC15" s="550"/>
      <c r="AD15" s="550"/>
      <c r="AE15" s="550"/>
      <c r="AF15" s="550"/>
      <c r="AG15" s="550"/>
      <c r="AH15" s="550"/>
      <c r="AI15" s="421"/>
    </row>
    <row r="16" spans="1:35" s="30" customFormat="1" ht="48" customHeight="1">
      <c r="A16" s="540" t="s">
        <v>59</v>
      </c>
      <c r="B16" s="541"/>
      <c r="C16" s="541"/>
      <c r="D16" s="541"/>
      <c r="E16" s="541"/>
      <c r="F16" s="541"/>
      <c r="G16" s="541"/>
      <c r="H16" s="542"/>
      <c r="I16" s="417"/>
      <c r="J16" s="548">
        <f ca="1">OFFSET(UNKB0020_REPORT_IF_SHIIRE_MEI,1+ROUNDDOWN(ROW()/ROWS(UNKB0020_REPORT_IF_COPY_MOTO),0),0)</f>
        <v>0</v>
      </c>
      <c r="K16" s="548"/>
      <c r="L16" s="548"/>
      <c r="M16" s="548"/>
      <c r="N16" s="548"/>
      <c r="O16" s="548"/>
      <c r="P16" s="548"/>
      <c r="Q16" s="548"/>
      <c r="R16" s="548"/>
      <c r="S16" s="548"/>
      <c r="T16" s="548"/>
      <c r="U16" s="548"/>
      <c r="V16" s="548"/>
      <c r="W16" s="548"/>
      <c r="X16" s="548"/>
      <c r="Y16" s="548"/>
      <c r="Z16" s="548"/>
      <c r="AA16" s="548"/>
      <c r="AB16" s="548"/>
      <c r="AC16" s="418"/>
      <c r="AD16" s="543">
        <f ca="1">OFFSET(UNKB0020_REPORT_IF_SHIIRE_CD,1+ROUNDDOWN(ROW()/ROWS(UNKB0020_REPORT_IF_COPY_MOTO),0),0)</f>
        <v>0</v>
      </c>
      <c r="AE16" s="543"/>
      <c r="AF16" s="543"/>
      <c r="AG16" s="543"/>
      <c r="AH16" s="543"/>
      <c r="AI16" s="544"/>
    </row>
    <row r="17" spans="1:35" s="30" customFormat="1" ht="48" customHeight="1">
      <c r="A17" s="540" t="s">
        <v>61</v>
      </c>
      <c r="B17" s="541"/>
      <c r="C17" s="541"/>
      <c r="D17" s="541"/>
      <c r="E17" s="541"/>
      <c r="F17" s="541"/>
      <c r="G17" s="541"/>
      <c r="H17" s="542"/>
      <c r="I17" s="417"/>
      <c r="J17" s="548">
        <f ca="1">OFFSET(UNKB0020_REPORT_IF_MAKER_MEI,1+ROUNDDOWN(ROW()/ROWS(UNKB0020_REPORT_IF_COPY_MOTO),0),0)</f>
        <v>0</v>
      </c>
      <c r="K17" s="548"/>
      <c r="L17" s="548"/>
      <c r="M17" s="548"/>
      <c r="N17" s="548"/>
      <c r="O17" s="548"/>
      <c r="P17" s="548"/>
      <c r="Q17" s="548"/>
      <c r="R17" s="548"/>
      <c r="S17" s="548"/>
      <c r="T17" s="548"/>
      <c r="U17" s="548"/>
      <c r="V17" s="548"/>
      <c r="W17" s="548"/>
      <c r="X17" s="548"/>
      <c r="Y17" s="548"/>
      <c r="Z17" s="548"/>
      <c r="AA17" s="548"/>
      <c r="AB17" s="548"/>
      <c r="AC17" s="418"/>
      <c r="AD17" s="543">
        <f ca="1">OFFSET(UNKB0020_REPORT_IF_MAKER_CD,1+ROUNDDOWN(ROW()/ROWS(UNKB0020_REPORT_IF_COPY_MOTO),0),0)</f>
        <v>0</v>
      </c>
      <c r="AE17" s="543"/>
      <c r="AF17" s="543"/>
      <c r="AG17" s="543"/>
      <c r="AH17" s="543"/>
      <c r="AI17" s="544"/>
    </row>
    <row r="18" spans="1:35" s="30" customFormat="1" ht="31.5" customHeight="1">
      <c r="A18" s="540" t="s">
        <v>96</v>
      </c>
      <c r="B18" s="541"/>
      <c r="C18" s="541"/>
      <c r="D18" s="541"/>
      <c r="E18" s="541"/>
      <c r="F18" s="541"/>
      <c r="G18" s="541"/>
      <c r="H18" s="542"/>
      <c r="I18" s="417"/>
      <c r="J18" s="549" t="str">
        <f ca="1">IF(OFFSET(UNKB0020_REPORT_IF_YOSAN_MEI,1+ROUNDDOWN(ROW()/ROWS(UNKB0020_REPORT_IF_COPY_MOTO),0),0)&lt;&gt;"",
OFFSET(UNKB0020_REPORT_IF_YOSAN_MEI,1+ROUNDDOWN(ROW()/ROWS(UNKB0020_REPORT_IF_COPY_MOTO),0),0),
IF(OFFSET(UNKB0020_REPORT_IF_JURI_NO,1+ROUNDDOWN(ROW()/ROWS(UNKB0020_REPORT_IF_COPY_MOTO),0),0)&lt;&gt;"",
OFFSET(UNKB0020_REPORT_IF_JURI_NO,1+ROUNDDOWN(ROW()/ROWS(UNKB0020_REPORT_IF_COPY_MOTO),0),0),
""))</f>
        <v/>
      </c>
      <c r="K18" s="549"/>
      <c r="L18" s="549"/>
      <c r="M18" s="549"/>
      <c r="N18" s="549"/>
      <c r="O18" s="549"/>
      <c r="P18" s="549"/>
      <c r="Q18" s="549"/>
      <c r="R18" s="549"/>
      <c r="S18" s="549"/>
      <c r="T18" s="549"/>
      <c r="U18" s="549"/>
      <c r="V18" s="549"/>
      <c r="W18" s="549"/>
      <c r="X18" s="549"/>
      <c r="Y18" s="549"/>
      <c r="Z18" s="549"/>
      <c r="AA18" s="549"/>
      <c r="AB18" s="549"/>
      <c r="AC18" s="549"/>
      <c r="AD18" s="549"/>
      <c r="AE18" s="549"/>
      <c r="AF18" s="549"/>
      <c r="AG18" s="549"/>
      <c r="AH18" s="549"/>
      <c r="AI18" s="421"/>
    </row>
    <row r="19" spans="1:35" s="30" customFormat="1" ht="31.5" customHeight="1">
      <c r="A19" s="545" t="s">
        <v>64</v>
      </c>
      <c r="B19" s="546"/>
      <c r="C19" s="546"/>
      <c r="D19" s="546"/>
      <c r="E19" s="546"/>
      <c r="F19" s="546"/>
      <c r="G19" s="546"/>
      <c r="H19" s="547"/>
      <c r="I19" s="417"/>
      <c r="J19" s="550">
        <f ca="1">OFFSET(UNKB0020_REPORT_IF_BIKO,1+ROUNDDOWN(ROW()/ROWS(UNKB0020_REPORT_IF_COPY_MOTO),0),0)</f>
        <v>0</v>
      </c>
      <c r="K19" s="550"/>
      <c r="L19" s="550"/>
      <c r="M19" s="550"/>
      <c r="N19" s="550"/>
      <c r="O19" s="550"/>
      <c r="P19" s="550"/>
      <c r="Q19" s="550"/>
      <c r="R19" s="550"/>
      <c r="S19" s="550"/>
      <c r="T19" s="550"/>
      <c r="U19" s="550"/>
      <c r="V19" s="550"/>
      <c r="W19" s="550"/>
      <c r="X19" s="550"/>
      <c r="Y19" s="550"/>
      <c r="Z19" s="550"/>
      <c r="AA19" s="550"/>
      <c r="AB19" s="550"/>
      <c r="AC19" s="550"/>
      <c r="AD19" s="550"/>
      <c r="AE19" s="550"/>
      <c r="AF19" s="550"/>
      <c r="AG19" s="550"/>
      <c r="AH19" s="550"/>
      <c r="AI19" s="421"/>
    </row>
    <row r="20" spans="1:35" s="30" customFormat="1" ht="75" customHeight="1" thickBot="1">
      <c r="A20" s="533" t="s">
        <v>93</v>
      </c>
      <c r="B20" s="534"/>
      <c r="C20" s="534"/>
      <c r="D20" s="534"/>
      <c r="E20" s="534"/>
      <c r="F20" s="534"/>
      <c r="G20" s="534"/>
      <c r="H20" s="535"/>
      <c r="I20" s="537"/>
      <c r="J20" s="538"/>
      <c r="K20" s="538"/>
      <c r="L20" s="538"/>
      <c r="M20" s="538"/>
      <c r="N20" s="538"/>
      <c r="O20" s="538"/>
      <c r="P20" s="538"/>
      <c r="Q20" s="538"/>
      <c r="R20" s="538"/>
      <c r="S20" s="538"/>
      <c r="T20" s="538"/>
      <c r="U20" s="538"/>
      <c r="V20" s="538"/>
      <c r="W20" s="538"/>
      <c r="X20" s="538"/>
      <c r="Y20" s="538"/>
      <c r="Z20" s="538"/>
      <c r="AA20" s="538"/>
      <c r="AB20" s="538"/>
      <c r="AC20" s="538"/>
      <c r="AD20" s="538"/>
      <c r="AE20" s="538"/>
      <c r="AF20" s="538"/>
      <c r="AG20" s="538"/>
      <c r="AH20" s="538"/>
      <c r="AI20" s="539"/>
    </row>
    <row r="21" spans="1:35" s="30" customFormat="1" ht="11.25" customHeight="1">
      <c r="A21" s="254"/>
      <c r="B21" s="254"/>
      <c r="C21" s="254"/>
      <c r="D21" s="254"/>
      <c r="E21" s="254"/>
      <c r="F21" s="254"/>
      <c r="G21" s="254"/>
      <c r="H21" s="254"/>
      <c r="I21" s="254"/>
      <c r="J21" s="254"/>
      <c r="K21" s="254"/>
      <c r="L21" s="254"/>
      <c r="M21" s="254"/>
      <c r="N21" s="254"/>
      <c r="O21" s="254"/>
      <c r="P21" s="254"/>
      <c r="Q21" s="254"/>
      <c r="R21" s="254"/>
      <c r="S21" s="254"/>
      <c r="T21" s="254"/>
      <c r="U21" s="254"/>
      <c r="V21" s="254"/>
      <c r="W21" s="254"/>
      <c r="X21" s="254"/>
      <c r="Y21" s="254"/>
      <c r="Z21" s="254"/>
      <c r="AA21" s="254"/>
      <c r="AB21" s="254"/>
      <c r="AC21" s="254"/>
      <c r="AD21" s="254"/>
      <c r="AE21" s="254"/>
      <c r="AF21" s="254"/>
      <c r="AG21" s="254"/>
      <c r="AH21" s="254"/>
      <c r="AI21" s="254"/>
    </row>
    <row r="22" spans="1:35" s="30" customFormat="1" ht="16.5">
      <c r="A22" s="529" t="s">
        <v>499</v>
      </c>
      <c r="B22" s="529"/>
      <c r="C22" s="529"/>
      <c r="D22" s="529"/>
      <c r="E22" s="529"/>
      <c r="F22" s="529"/>
      <c r="G22" s="529"/>
      <c r="H22" s="529"/>
      <c r="I22" s="254"/>
      <c r="J22" s="254"/>
      <c r="K22" s="254"/>
      <c r="L22" s="254"/>
      <c r="M22" s="254"/>
      <c r="N22" s="254"/>
      <c r="O22" s="254"/>
      <c r="P22" s="254"/>
      <c r="Q22" s="254"/>
      <c r="R22" s="254"/>
      <c r="S22" s="254"/>
      <c r="T22" s="254"/>
      <c r="U22" s="254"/>
      <c r="V22" s="254"/>
      <c r="W22" s="254"/>
      <c r="X22" s="254"/>
      <c r="Y22" s="254"/>
      <c r="Z22" s="254"/>
      <c r="AA22" s="254"/>
      <c r="AB22" s="254"/>
      <c r="AC22" s="254"/>
      <c r="AD22" s="254"/>
      <c r="AE22" s="254"/>
      <c r="AF22" s="254"/>
      <c r="AG22" s="254"/>
      <c r="AH22" s="254"/>
      <c r="AI22" s="254"/>
    </row>
    <row r="23" spans="1:35" s="30" customFormat="1" ht="16.5">
      <c r="A23" s="254"/>
      <c r="B23" s="254"/>
      <c r="C23" s="254"/>
      <c r="D23" s="254"/>
      <c r="E23" s="254"/>
      <c r="F23" s="254"/>
      <c r="G23" s="254"/>
      <c r="H23" s="254"/>
      <c r="I23" s="254"/>
      <c r="J23" s="254"/>
      <c r="K23" s="254"/>
      <c r="L23" s="254"/>
      <c r="M23" s="254"/>
      <c r="N23" s="254"/>
      <c r="O23" s="254"/>
      <c r="P23" s="254"/>
      <c r="Q23" s="254"/>
      <c r="R23" s="254"/>
      <c r="S23" s="254"/>
      <c r="T23" s="254"/>
      <c r="U23" s="254"/>
      <c r="V23" s="254"/>
      <c r="W23" s="254"/>
      <c r="X23" s="254"/>
      <c r="Y23" s="254"/>
      <c r="Z23" s="528" t="s">
        <v>97</v>
      </c>
      <c r="AA23" s="528"/>
      <c r="AB23" s="528"/>
      <c r="AC23" s="528"/>
      <c r="AD23" s="528"/>
      <c r="AE23" s="528"/>
      <c r="AF23" s="528"/>
      <c r="AG23" s="528"/>
      <c r="AH23" s="528"/>
      <c r="AI23" s="528"/>
    </row>
    <row r="24" spans="1:35" s="30" customFormat="1" ht="16.5" customHeight="1">
      <c r="A24" s="254"/>
      <c r="B24" s="254"/>
      <c r="C24" s="254"/>
      <c r="D24" s="254"/>
      <c r="E24" s="254"/>
      <c r="F24" s="254"/>
      <c r="G24" s="254"/>
      <c r="H24" s="254"/>
      <c r="I24" s="254"/>
      <c r="J24" s="254"/>
      <c r="K24" s="254"/>
      <c r="L24" s="254"/>
      <c r="M24" s="254"/>
      <c r="N24" s="254"/>
      <c r="O24" s="254"/>
      <c r="P24" s="254"/>
      <c r="Q24" s="254"/>
      <c r="R24" s="254"/>
      <c r="S24" s="254"/>
      <c r="T24" s="254"/>
      <c r="U24" s="254"/>
      <c r="V24" s="254"/>
      <c r="W24" s="254"/>
      <c r="X24" s="254"/>
      <c r="Y24" s="254"/>
      <c r="Z24" s="254"/>
      <c r="AA24" s="254"/>
      <c r="AB24" s="254"/>
      <c r="AC24" s="254"/>
      <c r="AD24" s="530" t="s">
        <v>98</v>
      </c>
      <c r="AE24" s="531"/>
      <c r="AF24" s="531"/>
      <c r="AG24" s="531"/>
      <c r="AH24" s="531"/>
      <c r="AI24" s="536"/>
    </row>
    <row r="25" spans="1:35" s="30" customFormat="1" ht="16.5">
      <c r="A25" s="254"/>
      <c r="B25" s="254"/>
      <c r="C25" s="254"/>
      <c r="D25" s="254"/>
      <c r="E25" s="254"/>
      <c r="F25" s="254"/>
      <c r="G25" s="254"/>
      <c r="H25" s="254"/>
      <c r="I25" s="254"/>
      <c r="J25" s="254"/>
      <c r="K25" s="254"/>
      <c r="L25" s="254"/>
      <c r="M25" s="254"/>
      <c r="N25" s="254"/>
      <c r="O25" s="254"/>
      <c r="P25" s="254"/>
      <c r="Q25" s="254"/>
      <c r="R25" s="254"/>
      <c r="S25" s="254"/>
      <c r="T25" s="254"/>
      <c r="U25" s="254"/>
      <c r="V25" s="254"/>
      <c r="W25" s="254"/>
      <c r="X25" s="254"/>
      <c r="Y25" s="254"/>
      <c r="Z25" s="254"/>
      <c r="AA25" s="254"/>
      <c r="AB25" s="254"/>
      <c r="AC25" s="254"/>
      <c r="AD25" s="530" t="s">
        <v>88</v>
      </c>
      <c r="AE25" s="531"/>
      <c r="AF25" s="532"/>
      <c r="AG25" s="530" t="s">
        <v>94</v>
      </c>
      <c r="AH25" s="531"/>
      <c r="AI25" s="532"/>
    </row>
    <row r="26" spans="1:35" s="30" customFormat="1" ht="45" customHeight="1">
      <c r="A26" s="254"/>
      <c r="B26" s="254"/>
      <c r="C26" s="254"/>
      <c r="D26" s="254"/>
      <c r="E26" s="254"/>
      <c r="F26" s="254"/>
      <c r="G26" s="254"/>
      <c r="H26" s="254"/>
      <c r="I26" s="254"/>
      <c r="J26" s="255"/>
      <c r="K26" s="255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4"/>
      <c r="Y26" s="254"/>
      <c r="Z26" s="254"/>
      <c r="AA26" s="254"/>
      <c r="AB26" s="254"/>
      <c r="AC26" s="254"/>
      <c r="AD26" s="530"/>
      <c r="AE26" s="531"/>
      <c r="AF26" s="532"/>
      <c r="AG26" s="530"/>
      <c r="AH26" s="531"/>
      <c r="AI26" s="532"/>
    </row>
    <row r="27" spans="1:35" s="30" customFormat="1" ht="16.5">
      <c r="A27" s="529" t="s">
        <v>99</v>
      </c>
      <c r="B27" s="529"/>
      <c r="C27" s="529"/>
      <c r="D27" s="529"/>
      <c r="E27" s="529"/>
      <c r="F27" s="529"/>
      <c r="G27" s="529"/>
      <c r="H27" s="254"/>
      <c r="I27" s="254"/>
      <c r="J27" s="254"/>
      <c r="K27" s="254"/>
      <c r="L27" s="254"/>
      <c r="M27" s="254"/>
      <c r="N27" s="254"/>
      <c r="O27" s="254"/>
      <c r="P27" s="254"/>
      <c r="Q27" s="254"/>
      <c r="R27" s="254"/>
      <c r="S27" s="254"/>
      <c r="T27" s="254"/>
      <c r="U27" s="254"/>
      <c r="V27" s="254"/>
      <c r="W27" s="254"/>
      <c r="X27" s="254"/>
      <c r="Y27" s="254"/>
      <c r="Z27" s="254"/>
      <c r="AA27" s="254"/>
      <c r="AB27" s="254"/>
      <c r="AC27" s="254"/>
      <c r="AD27" s="254"/>
      <c r="AE27" s="254"/>
      <c r="AF27" s="254"/>
      <c r="AG27" s="254"/>
      <c r="AH27" s="254"/>
      <c r="AI27" s="254"/>
    </row>
    <row r="28" spans="1:35" s="30" customFormat="1" ht="16.5">
      <c r="A28" s="255"/>
      <c r="B28" s="525" t="s">
        <v>498</v>
      </c>
      <c r="C28" s="525"/>
      <c r="D28" s="525"/>
      <c r="E28" s="525"/>
      <c r="F28" s="525"/>
      <c r="G28" s="525"/>
      <c r="H28" s="422"/>
      <c r="I28" s="422"/>
      <c r="J28" s="423"/>
      <c r="K28" s="422"/>
      <c r="L28" s="422"/>
      <c r="M28" s="255"/>
      <c r="N28" s="255"/>
      <c r="O28" s="255"/>
      <c r="P28" s="255"/>
      <c r="Q28" s="255"/>
      <c r="R28" s="255"/>
      <c r="S28" s="255"/>
      <c r="T28" s="255"/>
      <c r="U28" s="255"/>
      <c r="V28" s="255"/>
      <c r="W28" s="255"/>
      <c r="X28" s="255"/>
      <c r="Y28" s="255"/>
      <c r="Z28" s="255"/>
      <c r="AA28" s="255"/>
      <c r="AB28" s="255"/>
      <c r="AC28" s="255"/>
      <c r="AD28" s="255"/>
      <c r="AE28" s="255"/>
      <c r="AF28" s="255"/>
      <c r="AG28" s="255"/>
      <c r="AH28" s="255"/>
      <c r="AI28" s="255"/>
    </row>
    <row r="29" spans="1:35" s="30" customFormat="1" ht="16.5">
      <c r="A29" s="255"/>
      <c r="B29" s="525" t="s">
        <v>100</v>
      </c>
      <c r="C29" s="525"/>
      <c r="D29" s="525"/>
      <c r="E29" s="525"/>
      <c r="F29" s="525"/>
      <c r="G29" s="525"/>
      <c r="H29" s="424"/>
      <c r="I29" s="424"/>
      <c r="J29" s="424"/>
      <c r="K29" s="425"/>
      <c r="L29" s="425"/>
      <c r="M29" s="255"/>
      <c r="N29" s="255"/>
      <c r="O29" s="255"/>
      <c r="P29" s="255"/>
      <c r="Q29" s="255"/>
      <c r="R29" s="255"/>
      <c r="S29" s="255"/>
      <c r="T29" s="255"/>
      <c r="U29" s="255"/>
      <c r="V29" s="255"/>
      <c r="W29" s="255"/>
      <c r="X29" s="255"/>
      <c r="Y29" s="255"/>
      <c r="Z29" s="255"/>
      <c r="AA29" s="255"/>
      <c r="AB29" s="255"/>
      <c r="AC29" s="255"/>
      <c r="AD29" s="255"/>
      <c r="AE29" s="255"/>
      <c r="AF29" s="255"/>
      <c r="AG29" s="255"/>
      <c r="AH29" s="255"/>
      <c r="AI29" s="255"/>
    </row>
    <row r="30" spans="1:35" s="39" customFormat="1">
      <c r="A30" s="39" t="s">
        <v>508</v>
      </c>
    </row>
    <row r="33" spans="37:60" ht="16.5">
      <c r="AK33" s="97" t="s">
        <v>533</v>
      </c>
      <c r="AL33" s="8" t="s">
        <v>514</v>
      </c>
      <c r="AM33" s="58"/>
      <c r="AO33" s="79" t="s">
        <v>500</v>
      </c>
      <c r="AP33" s="79" t="s">
        <v>502</v>
      </c>
      <c r="AQ33" s="79" t="s">
        <v>501</v>
      </c>
      <c r="AR33" s="79" t="s">
        <v>503</v>
      </c>
      <c r="AS33" s="79" t="s">
        <v>504</v>
      </c>
      <c r="AT33" s="79" t="s">
        <v>510</v>
      </c>
      <c r="AU33" s="79" t="s">
        <v>1796</v>
      </c>
      <c r="AV33" s="79" t="s">
        <v>509</v>
      </c>
      <c r="AW33" s="79" t="s">
        <v>511</v>
      </c>
      <c r="AX33" s="79" t="s">
        <v>515</v>
      </c>
      <c r="AY33" s="79" t="s">
        <v>505</v>
      </c>
      <c r="AZ33" s="79" t="s">
        <v>446</v>
      </c>
      <c r="BA33" s="79" t="s">
        <v>447</v>
      </c>
      <c r="BB33" s="79" t="s">
        <v>448</v>
      </c>
      <c r="BC33" s="79" t="s">
        <v>449</v>
      </c>
      <c r="BD33" s="79" t="s">
        <v>450</v>
      </c>
      <c r="BE33" s="79" t="s">
        <v>451</v>
      </c>
      <c r="BF33" s="79" t="s">
        <v>506</v>
      </c>
      <c r="BG33" s="79" t="s">
        <v>453</v>
      </c>
      <c r="BH33" s="79" t="s">
        <v>507</v>
      </c>
    </row>
    <row r="34" spans="37:60">
      <c r="AO34" s="58"/>
    </row>
    <row r="35" spans="37:60">
      <c r="AK35" s="97" t="s">
        <v>532</v>
      </c>
      <c r="AL35" s="8" t="s">
        <v>535</v>
      </c>
      <c r="AM35" s="58" t="str">
        <f>"UNKB0020_REPORT_IF!"&amp;ROW(UNKB0020_REPORT_IF_COPY_MOTO)&amp;":"&amp;ROW(UNKB0020_REPORT_IF_COPY_MOTO)+ROWS(UNKB0020_REPORT_IF_COPY_MOTO)-1</f>
        <v>UNKB0020_REPORT_IF!1:29</v>
      </c>
    </row>
    <row r="36" spans="37:60">
      <c r="AK36" s="97" t="s">
        <v>534</v>
      </c>
      <c r="AL36" s="8" t="s">
        <v>536</v>
      </c>
      <c r="AM36" s="58">
        <f ca="1">IF(UNKB0020_H_KOBAI_KBN_CD=2,2,
IF(UNKB0020_REPORT_IF_DATA_KENSU&gt;=1,1,2))</f>
        <v>2</v>
      </c>
      <c r="AN36" s="97" t="s">
        <v>537</v>
      </c>
    </row>
  </sheetData>
  <mergeCells count="51">
    <mergeCell ref="A2:AI2"/>
    <mergeCell ref="Z3:AI3"/>
    <mergeCell ref="AD5:AF5"/>
    <mergeCell ref="AG5:AI5"/>
    <mergeCell ref="AD6:AF6"/>
    <mergeCell ref="AG6:AI6"/>
    <mergeCell ref="A4:D5"/>
    <mergeCell ref="E4:H5"/>
    <mergeCell ref="A6:D7"/>
    <mergeCell ref="E6:H7"/>
    <mergeCell ref="I4:L5"/>
    <mergeCell ref="I6:L7"/>
    <mergeCell ref="J8:AH8"/>
    <mergeCell ref="A11:H11"/>
    <mergeCell ref="A12:H12"/>
    <mergeCell ref="A13:H13"/>
    <mergeCell ref="J13:AH13"/>
    <mergeCell ref="J12:AH12"/>
    <mergeCell ref="J11:AH11"/>
    <mergeCell ref="A8:H8"/>
    <mergeCell ref="A9:H9"/>
    <mergeCell ref="AD9:AI9"/>
    <mergeCell ref="A10:H10"/>
    <mergeCell ref="J9:AB9"/>
    <mergeCell ref="J10:AH10"/>
    <mergeCell ref="A14:H14"/>
    <mergeCell ref="A15:H15"/>
    <mergeCell ref="A16:H16"/>
    <mergeCell ref="AD16:AI16"/>
    <mergeCell ref="J16:AB16"/>
    <mergeCell ref="J15:AH15"/>
    <mergeCell ref="J14:AH14"/>
    <mergeCell ref="AD25:AF25"/>
    <mergeCell ref="AG25:AI25"/>
    <mergeCell ref="A17:H17"/>
    <mergeCell ref="AD17:AI17"/>
    <mergeCell ref="A18:H18"/>
    <mergeCell ref="A19:H19"/>
    <mergeCell ref="J19:AH19"/>
    <mergeCell ref="J18:AH18"/>
    <mergeCell ref="J17:AB17"/>
    <mergeCell ref="A22:H22"/>
    <mergeCell ref="A20:H20"/>
    <mergeCell ref="I20:AI20"/>
    <mergeCell ref="Z23:AI23"/>
    <mergeCell ref="AD24:AI24"/>
    <mergeCell ref="AD26:AF26"/>
    <mergeCell ref="AG26:AI26"/>
    <mergeCell ref="B28:G28"/>
    <mergeCell ref="B29:G29"/>
    <mergeCell ref="A27:G27"/>
  </mergeCells>
  <phoneticPr fontId="1"/>
  <conditionalFormatting sqref="A4:D5">
    <cfRule type="expression" dxfId="85" priority="6">
      <formula>OR(UNKB0020_H_KOBAI_KBN_CD=3,UNKB0020_H_KOBAI_KBN_CD=4)</formula>
    </cfRule>
  </conditionalFormatting>
  <conditionalFormatting sqref="E4:H5">
    <cfRule type="expression" dxfId="84" priority="5">
      <formula>OR(UNKB0020_H_KOBAI_KBN_CD=3,UNKB0020_H_KOBAI_KBN_CD=4)</formula>
    </cfRule>
  </conditionalFormatting>
  <conditionalFormatting sqref="A6:D7">
    <cfRule type="expression" dxfId="83" priority="4">
      <formula>OR(UNKB0020_H_KOBAI_KBN_CD=3,UNKB0020_H_KOBAI_KBN_CD=4)</formula>
    </cfRule>
  </conditionalFormatting>
  <conditionalFormatting sqref="E6:H7">
    <cfRule type="expression" dxfId="82" priority="3">
      <formula>OR(UNKB0020_H_KOBAI_KBN_CD=3,UNKB0020_H_KOBAI_KBN_CD=4)</formula>
    </cfRule>
  </conditionalFormatting>
  <conditionalFormatting sqref="I4:L5">
    <cfRule type="expression" dxfId="81" priority="2">
      <formula>OR(UNKB0020_H_KOBAI_KBN_CD=3,UNKB0020_H_KOBAI_KBN_CD=4)</formula>
    </cfRule>
  </conditionalFormatting>
  <conditionalFormatting sqref="I6:L7">
    <cfRule type="expression" dxfId="80" priority="1">
      <formula>OR(UNKB0020_H_KOBAI_KBN_CD=3,UNKB0020_H_KOBAI_KBN_CD=4)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FFC000"/>
  </sheetPr>
  <dimension ref="A1:U64"/>
  <sheetViews>
    <sheetView showGridLines="0" showRowColHeaders="0" topLeftCell="G1" zoomScaleNormal="100" workbookViewId="0">
      <selection activeCell="I6" sqref="I6:J6"/>
    </sheetView>
  </sheetViews>
  <sheetFormatPr defaultRowHeight="16.5" customHeight="1"/>
  <cols>
    <col min="1" max="1" width="4.25" style="364" hidden="1" customWidth="1"/>
    <col min="2" max="2" width="9.25" style="364" hidden="1" customWidth="1"/>
    <col min="3" max="3" width="26.625" style="364" hidden="1" customWidth="1"/>
    <col min="4" max="4" width="38.375" style="364" hidden="1" customWidth="1"/>
    <col min="5" max="5" width="12.25" style="364" hidden="1" customWidth="1"/>
    <col min="6" max="6" width="8.875" style="364" hidden="1" customWidth="1"/>
    <col min="7" max="7" width="3.25" style="11" customWidth="1"/>
    <col min="8" max="8" width="10.75" style="11" customWidth="1"/>
    <col min="9" max="9" width="3.25" style="11" customWidth="1"/>
    <col min="10" max="10" width="9.75" style="11" customWidth="1"/>
    <col min="11" max="11" width="3.25" style="11" customWidth="1"/>
    <col min="12" max="12" width="13" style="11" customWidth="1"/>
    <col min="13" max="13" width="3.25" style="11" customWidth="1"/>
    <col min="14" max="14" width="13" style="11" customWidth="1"/>
    <col min="15" max="15" width="3.25" style="11" customWidth="1"/>
    <col min="16" max="16" width="13" style="11" customWidth="1"/>
    <col min="17" max="17" width="3.25" style="11" customWidth="1"/>
    <col min="18" max="18" width="13" style="11" customWidth="1"/>
    <col min="19" max="19" width="3.25" style="11" customWidth="1"/>
    <col min="20" max="20" width="13" style="11" customWidth="1"/>
    <col min="21" max="21" width="37.5" style="11" customWidth="1"/>
    <col min="22" max="33" width="3.375" style="11" customWidth="1"/>
    <col min="34" max="16384" width="9" style="11"/>
  </cols>
  <sheetData>
    <row r="1" spans="1:21" s="12" customFormat="1" ht="19.5">
      <c r="A1" s="364"/>
      <c r="B1" s="364"/>
      <c r="C1" s="364"/>
      <c r="D1" s="364"/>
      <c r="E1" s="364"/>
      <c r="F1" s="364"/>
      <c r="G1" s="12" t="s">
        <v>640</v>
      </c>
    </row>
    <row r="2" spans="1:21" ht="16.5" customHeight="1">
      <c r="C2" s="245" t="s">
        <v>690</v>
      </c>
      <c r="D2" s="245" t="s">
        <v>939</v>
      </c>
      <c r="E2" s="245"/>
    </row>
    <row r="3" spans="1:21" ht="16.5" customHeight="1">
      <c r="C3" s="245" t="s">
        <v>691</v>
      </c>
      <c r="D3" s="245" t="s">
        <v>938</v>
      </c>
      <c r="E3" s="245" t="str">
        <f>ADDRESS(ROW(A1),COLUMN(A1))&amp;":"&amp;ADDRESS(ROW(F1),COLUMN(F1))</f>
        <v>$A$1:$F$1</v>
      </c>
      <c r="H3" s="13" t="s">
        <v>18</v>
      </c>
      <c r="I3" s="18"/>
      <c r="J3" s="125" t="s">
        <v>19</v>
      </c>
      <c r="K3" s="19"/>
      <c r="L3" s="125" t="s">
        <v>20</v>
      </c>
      <c r="M3" s="19"/>
      <c r="N3" s="126" t="s">
        <v>21</v>
      </c>
      <c r="O3" s="19"/>
      <c r="P3" s="17" t="s">
        <v>1858</v>
      </c>
      <c r="Q3" s="19"/>
      <c r="R3" s="17" t="s">
        <v>23</v>
      </c>
      <c r="S3" s="19"/>
      <c r="T3" s="15"/>
    </row>
    <row r="4" spans="1:21" ht="16.5" customHeight="1">
      <c r="H4" s="13" t="s">
        <v>641</v>
      </c>
      <c r="I4" s="18"/>
      <c r="J4" s="125" t="s">
        <v>24</v>
      </c>
      <c r="K4" s="19"/>
      <c r="L4" s="126" t="s">
        <v>25</v>
      </c>
      <c r="M4" s="19"/>
      <c r="N4" s="126"/>
      <c r="O4" s="19"/>
      <c r="P4" s="17"/>
      <c r="Q4" s="19"/>
      <c r="R4" s="17"/>
      <c r="S4" s="19"/>
      <c r="T4" s="15"/>
    </row>
    <row r="5" spans="1:21" ht="16.5" customHeight="1">
      <c r="C5" s="365" t="s">
        <v>692</v>
      </c>
      <c r="E5" s="366" t="s">
        <v>969</v>
      </c>
    </row>
    <row r="6" spans="1:21" ht="16.5" customHeight="1" thickBot="1">
      <c r="B6" s="244" t="s">
        <v>703</v>
      </c>
      <c r="C6" s="244" t="s">
        <v>271</v>
      </c>
      <c r="D6" s="244" t="s">
        <v>694</v>
      </c>
      <c r="E6" s="367" t="s">
        <v>693</v>
      </c>
      <c r="H6" s="13" t="s">
        <v>1900</v>
      </c>
      <c r="I6" s="489"/>
      <c r="J6" s="489"/>
      <c r="K6" s="16" t="s">
        <v>642</v>
      </c>
      <c r="L6" s="474"/>
      <c r="N6" s="13" t="s">
        <v>31</v>
      </c>
      <c r="O6" s="564"/>
      <c r="P6" s="564"/>
      <c r="R6" s="13" t="s">
        <v>32</v>
      </c>
      <c r="S6" s="478"/>
      <c r="T6" s="479"/>
      <c r="U6" s="24" t="str">
        <f>IF(UNKB0040_H_KOBAIHIN_CD="","",UNKB0040_H_KOBAIHIN_MEI)</f>
        <v/>
      </c>
    </row>
    <row r="7" spans="1:21" ht="16.5" customHeight="1">
      <c r="B7" s="480" t="s">
        <v>41</v>
      </c>
      <c r="C7" s="290" t="s">
        <v>69</v>
      </c>
      <c r="D7" s="368" t="s">
        <v>887</v>
      </c>
      <c r="E7" s="369" t="b">
        <v>1</v>
      </c>
      <c r="H7" s="13" t="s">
        <v>1901</v>
      </c>
      <c r="I7" s="489"/>
      <c r="J7" s="489"/>
      <c r="K7" s="16" t="s">
        <v>642</v>
      </c>
      <c r="L7" s="474"/>
      <c r="N7" s="13" t="s">
        <v>643</v>
      </c>
      <c r="O7" s="565"/>
      <c r="P7" s="565"/>
      <c r="R7" s="13" t="s">
        <v>34</v>
      </c>
      <c r="S7" s="478"/>
      <c r="T7" s="479"/>
      <c r="U7" s="24" t="str">
        <f>IF(UNKB0040_H_SHIIRESAKI_CD="","",UNKB0040_H_SHIIRE_MEI)</f>
        <v/>
      </c>
    </row>
    <row r="8" spans="1:21" ht="16.5" customHeight="1">
      <c r="B8" s="480"/>
      <c r="C8" s="290" t="s">
        <v>20</v>
      </c>
      <c r="D8" s="368" t="s">
        <v>888</v>
      </c>
      <c r="E8" s="370" t="b">
        <v>1</v>
      </c>
      <c r="H8" s="13" t="s">
        <v>1902</v>
      </c>
      <c r="I8" s="489"/>
      <c r="J8" s="489"/>
      <c r="K8" s="16" t="s">
        <v>642</v>
      </c>
      <c r="L8" s="474"/>
      <c r="N8" s="13" t="s">
        <v>36</v>
      </c>
      <c r="O8" s="564"/>
      <c r="P8" s="564"/>
      <c r="R8" s="13" t="s">
        <v>37</v>
      </c>
      <c r="S8" s="478"/>
      <c r="T8" s="479"/>
      <c r="U8" s="24" t="str">
        <f>IF(UNKB0040_H_MAKER_CD="","",UNKB0040_H_MAKER_MEI)</f>
        <v/>
      </c>
    </row>
    <row r="9" spans="1:21" ht="16.5" customHeight="1">
      <c r="B9" s="480"/>
      <c r="C9" s="290" t="s">
        <v>699</v>
      </c>
      <c r="D9" s="368" t="s">
        <v>889</v>
      </c>
      <c r="E9" s="370" t="b">
        <v>1</v>
      </c>
      <c r="H9" s="13" t="s">
        <v>1903</v>
      </c>
      <c r="I9" s="489"/>
      <c r="J9" s="489"/>
      <c r="K9" s="16" t="s">
        <v>644</v>
      </c>
      <c r="L9" s="474"/>
      <c r="N9" s="13" t="s">
        <v>1904</v>
      </c>
      <c r="O9" s="487"/>
      <c r="P9" s="488"/>
    </row>
    <row r="10" spans="1:21" ht="16.5" customHeight="1">
      <c r="B10" s="480"/>
      <c r="C10" s="290" t="s">
        <v>1859</v>
      </c>
      <c r="D10" s="368" t="s">
        <v>890</v>
      </c>
      <c r="E10" s="370" t="b">
        <v>1</v>
      </c>
    </row>
    <row r="11" spans="1:21" ht="16.5" customHeight="1">
      <c r="B11" s="480"/>
      <c r="C11" s="290" t="s">
        <v>23</v>
      </c>
      <c r="D11" s="368" t="s">
        <v>891</v>
      </c>
      <c r="E11" s="370" t="b">
        <v>1</v>
      </c>
      <c r="H11" s="13" t="s">
        <v>645</v>
      </c>
      <c r="I11" s="491"/>
      <c r="J11" s="491"/>
      <c r="K11" s="14" t="str">
        <f>IF(UNKB0040_H_FREEWD_KBN=1,"AND",IF(UNKB0040_H_FREEWD_KBN=2,"OR","NAND"))</f>
        <v>AND</v>
      </c>
      <c r="L11" s="355"/>
      <c r="M11" s="14" t="str">
        <f>UNKB0040_H_FREEWD_KBN_DISP</f>
        <v>AND</v>
      </c>
      <c r="N11" s="355"/>
    </row>
    <row r="12" spans="1:21" ht="16.5" customHeight="1">
      <c r="B12" s="481" t="s">
        <v>711</v>
      </c>
      <c r="C12" s="290" t="s">
        <v>68</v>
      </c>
      <c r="D12" s="368" t="s">
        <v>1152</v>
      </c>
      <c r="E12" s="370" t="b">
        <v>1</v>
      </c>
    </row>
    <row r="13" spans="1:21" ht="16.5" customHeight="1">
      <c r="B13" s="481"/>
      <c r="C13" s="290" t="s">
        <v>656</v>
      </c>
      <c r="D13" s="368" t="s">
        <v>892</v>
      </c>
      <c r="E13" s="370" t="b">
        <v>0</v>
      </c>
    </row>
    <row r="14" spans="1:21" ht="16.5" customHeight="1">
      <c r="B14" s="481"/>
      <c r="C14" s="377" t="s">
        <v>707</v>
      </c>
      <c r="D14" s="378" t="s">
        <v>893</v>
      </c>
      <c r="E14" s="379" t="b">
        <v>0</v>
      </c>
    </row>
    <row r="15" spans="1:21" ht="16.5" customHeight="1">
      <c r="B15" s="481"/>
      <c r="C15" s="377" t="s">
        <v>27</v>
      </c>
      <c r="D15" s="378" t="s">
        <v>894</v>
      </c>
      <c r="E15" s="379" t="b">
        <v>0</v>
      </c>
    </row>
    <row r="16" spans="1:21" ht="16.5" customHeight="1">
      <c r="B16" s="481"/>
      <c r="C16" s="377" t="s">
        <v>28</v>
      </c>
      <c r="D16" s="378" t="s">
        <v>895</v>
      </c>
      <c r="E16" s="379" t="b">
        <v>0</v>
      </c>
    </row>
    <row r="17" spans="2:5" ht="16.5" customHeight="1">
      <c r="B17" s="481"/>
      <c r="C17" s="377" t="s">
        <v>710</v>
      </c>
      <c r="D17" s="378" t="s">
        <v>896</v>
      </c>
      <c r="E17" s="379" t="b">
        <v>0</v>
      </c>
    </row>
    <row r="18" spans="2:5" ht="16.5" customHeight="1">
      <c r="B18" s="381" t="s">
        <v>712</v>
      </c>
      <c r="C18" s="79" t="s">
        <v>114</v>
      </c>
      <c r="D18" s="371" t="s">
        <v>897</v>
      </c>
      <c r="E18" s="149"/>
    </row>
    <row r="19" spans="2:5" ht="16.5" customHeight="1">
      <c r="B19" s="372" t="s">
        <v>712</v>
      </c>
      <c r="C19" s="373" t="s">
        <v>452</v>
      </c>
      <c r="D19" s="374" t="s">
        <v>898</v>
      </c>
      <c r="E19" s="150"/>
    </row>
    <row r="20" spans="2:5" ht="16.5" customHeight="1">
      <c r="B20" s="381" t="s">
        <v>712</v>
      </c>
      <c r="C20" s="79" t="s">
        <v>90</v>
      </c>
      <c r="D20" s="371" t="s">
        <v>899</v>
      </c>
      <c r="E20" s="346"/>
    </row>
    <row r="21" spans="2:5" ht="16.5" customHeight="1">
      <c r="B21" s="381" t="s">
        <v>712</v>
      </c>
      <c r="C21" s="79" t="s">
        <v>59</v>
      </c>
      <c r="D21" s="371" t="s">
        <v>900</v>
      </c>
      <c r="E21" s="149"/>
    </row>
    <row r="22" spans="2:5" ht="16.5" customHeight="1">
      <c r="B22" s="381" t="s">
        <v>712</v>
      </c>
      <c r="C22" s="79" t="s">
        <v>61</v>
      </c>
      <c r="D22" s="371" t="s">
        <v>901</v>
      </c>
      <c r="E22" s="151"/>
    </row>
    <row r="23" spans="2:5" ht="16.5" customHeight="1" thickBot="1">
      <c r="B23" s="381" t="s">
        <v>712</v>
      </c>
      <c r="C23" s="79" t="s">
        <v>695</v>
      </c>
      <c r="D23" s="371" t="s">
        <v>902</v>
      </c>
      <c r="E23" s="152">
        <v>1</v>
      </c>
    </row>
    <row r="26" spans="2:5" ht="16.5" customHeight="1">
      <c r="C26" s="482" t="s">
        <v>730</v>
      </c>
      <c r="D26" s="482"/>
    </row>
    <row r="27" spans="2:5" ht="16.5" customHeight="1">
      <c r="C27" s="77" t="s">
        <v>686</v>
      </c>
      <c r="D27" s="77" t="s">
        <v>688</v>
      </c>
      <c r="E27" s="77" t="s">
        <v>687</v>
      </c>
    </row>
    <row r="28" spans="2:5" ht="16.5" customHeight="1">
      <c r="C28" s="290" t="s">
        <v>69</v>
      </c>
      <c r="D28" s="290" t="s">
        <v>903</v>
      </c>
      <c r="E28" s="381" t="b">
        <v>1</v>
      </c>
    </row>
    <row r="29" spans="2:5" ht="16.5" customHeight="1">
      <c r="C29" s="290" t="s">
        <v>20</v>
      </c>
      <c r="D29" s="290" t="s">
        <v>904</v>
      </c>
      <c r="E29" s="381" t="b">
        <v>1</v>
      </c>
    </row>
    <row r="30" spans="2:5" ht="16.5" customHeight="1">
      <c r="C30" s="290" t="s">
        <v>699</v>
      </c>
      <c r="D30" s="290" t="s">
        <v>905</v>
      </c>
      <c r="E30" s="381" t="b">
        <v>1</v>
      </c>
    </row>
    <row r="31" spans="2:5" ht="16.5" customHeight="1">
      <c r="C31" s="290" t="s">
        <v>22</v>
      </c>
      <c r="D31" s="290" t="s">
        <v>906</v>
      </c>
      <c r="E31" s="381" t="b">
        <v>1</v>
      </c>
    </row>
    <row r="32" spans="2:5" ht="16.5" customHeight="1">
      <c r="C32" s="290" t="s">
        <v>23</v>
      </c>
      <c r="D32" s="290" t="s">
        <v>907</v>
      </c>
      <c r="E32" s="381" t="b">
        <v>1</v>
      </c>
    </row>
    <row r="33" spans="3:5" ht="16.5" customHeight="1">
      <c r="C33" s="290" t="s">
        <v>68</v>
      </c>
      <c r="D33" s="290" t="s">
        <v>908</v>
      </c>
      <c r="E33" s="381" t="b">
        <v>1</v>
      </c>
    </row>
    <row r="34" spans="3:5" ht="16.5" customHeight="1">
      <c r="C34" s="290" t="s">
        <v>656</v>
      </c>
      <c r="D34" s="290" t="s">
        <v>909</v>
      </c>
      <c r="E34" s="381" t="b">
        <v>0</v>
      </c>
    </row>
    <row r="35" spans="3:5" ht="16.5" customHeight="1">
      <c r="C35" s="377" t="s">
        <v>707</v>
      </c>
      <c r="D35" s="377" t="s">
        <v>910</v>
      </c>
      <c r="E35" s="372" t="b">
        <v>0</v>
      </c>
    </row>
    <row r="36" spans="3:5" ht="16.5" customHeight="1">
      <c r="C36" s="377" t="s">
        <v>27</v>
      </c>
      <c r="D36" s="377" t="s">
        <v>911</v>
      </c>
      <c r="E36" s="372" t="b">
        <v>0</v>
      </c>
    </row>
    <row r="37" spans="3:5" ht="16.5" customHeight="1">
      <c r="C37" s="377" t="s">
        <v>28</v>
      </c>
      <c r="D37" s="377" t="s">
        <v>912</v>
      </c>
      <c r="E37" s="372" t="b">
        <v>0</v>
      </c>
    </row>
    <row r="38" spans="3:5" ht="16.5" customHeight="1">
      <c r="C38" s="377" t="s">
        <v>710</v>
      </c>
      <c r="D38" s="377" t="s">
        <v>913</v>
      </c>
      <c r="E38" s="372" t="b">
        <v>0</v>
      </c>
    </row>
    <row r="39" spans="3:5" ht="16.5" customHeight="1">
      <c r="C39" s="79" t="s">
        <v>732</v>
      </c>
      <c r="D39" s="79" t="s">
        <v>914</v>
      </c>
      <c r="E39" s="384"/>
    </row>
    <row r="40" spans="3:5" ht="16.5" customHeight="1">
      <c r="C40" s="79" t="s">
        <v>734</v>
      </c>
      <c r="D40" s="79" t="s">
        <v>915</v>
      </c>
      <c r="E40" s="384"/>
    </row>
    <row r="41" spans="3:5" ht="16.5" customHeight="1">
      <c r="C41" s="79" t="s">
        <v>735</v>
      </c>
      <c r="D41" s="79" t="s">
        <v>916</v>
      </c>
      <c r="E41" s="384"/>
    </row>
    <row r="42" spans="3:5" ht="16.5" customHeight="1">
      <c r="C42" s="79" t="s">
        <v>736</v>
      </c>
      <c r="D42" s="79" t="s">
        <v>917</v>
      </c>
      <c r="E42" s="384"/>
    </row>
    <row r="43" spans="3:5" ht="16.5" customHeight="1">
      <c r="C43" s="79" t="s">
        <v>737</v>
      </c>
      <c r="D43" s="79" t="s">
        <v>918</v>
      </c>
      <c r="E43" s="384"/>
    </row>
    <row r="44" spans="3:5" ht="16.5" customHeight="1">
      <c r="C44" s="79" t="s">
        <v>738</v>
      </c>
      <c r="D44" s="79" t="s">
        <v>919</v>
      </c>
      <c r="E44" s="384"/>
    </row>
    <row r="45" spans="3:5" ht="16.5" customHeight="1">
      <c r="C45" s="79" t="s">
        <v>739</v>
      </c>
      <c r="D45" s="79" t="s">
        <v>920</v>
      </c>
      <c r="E45" s="384"/>
    </row>
    <row r="46" spans="3:5" ht="16.5" customHeight="1">
      <c r="C46" s="79" t="s">
        <v>740</v>
      </c>
      <c r="D46" s="79" t="s">
        <v>921</v>
      </c>
      <c r="E46" s="384"/>
    </row>
    <row r="47" spans="3:5" ht="16.5" customHeight="1">
      <c r="C47" s="79" t="s">
        <v>741</v>
      </c>
      <c r="D47" s="79" t="s">
        <v>922</v>
      </c>
      <c r="E47" s="381"/>
    </row>
    <row r="48" spans="3:5" ht="16.5" customHeight="1">
      <c r="C48" s="79" t="s">
        <v>114</v>
      </c>
      <c r="D48" s="79" t="s">
        <v>923</v>
      </c>
      <c r="E48" s="381"/>
    </row>
    <row r="49" spans="3:5" ht="16.5" customHeight="1">
      <c r="C49" s="79" t="s">
        <v>742</v>
      </c>
      <c r="D49" s="79" t="s">
        <v>924</v>
      </c>
      <c r="E49" s="381"/>
    </row>
    <row r="50" spans="3:5" ht="16.5" customHeight="1">
      <c r="C50" s="79" t="s">
        <v>63</v>
      </c>
      <c r="D50" s="79" t="s">
        <v>925</v>
      </c>
      <c r="E50" s="381"/>
    </row>
    <row r="51" spans="3:5" ht="16.5" customHeight="1">
      <c r="C51" s="79" t="s">
        <v>62</v>
      </c>
      <c r="D51" s="79" t="s">
        <v>926</v>
      </c>
      <c r="E51" s="381"/>
    </row>
    <row r="52" spans="3:5" ht="16.5" customHeight="1">
      <c r="C52" s="373" t="s">
        <v>452</v>
      </c>
      <c r="D52" s="373" t="s">
        <v>927</v>
      </c>
      <c r="E52" s="372"/>
    </row>
    <row r="53" spans="3:5" ht="16.5" customHeight="1">
      <c r="C53" s="79" t="s">
        <v>747</v>
      </c>
      <c r="D53" s="79" t="s">
        <v>928</v>
      </c>
      <c r="E53" s="381"/>
    </row>
    <row r="54" spans="3:5" ht="16.5" customHeight="1">
      <c r="C54" s="79" t="s">
        <v>90</v>
      </c>
      <c r="D54" s="79" t="s">
        <v>929</v>
      </c>
      <c r="E54" s="381"/>
    </row>
    <row r="55" spans="3:5" ht="16.5" customHeight="1">
      <c r="C55" s="79" t="s">
        <v>58</v>
      </c>
      <c r="D55" s="79" t="s">
        <v>930</v>
      </c>
      <c r="E55" s="381"/>
    </row>
    <row r="56" spans="3:5" ht="16.5" customHeight="1">
      <c r="C56" s="79" t="s">
        <v>59</v>
      </c>
      <c r="D56" s="79" t="s">
        <v>931</v>
      </c>
      <c r="E56" s="381"/>
    </row>
    <row r="57" spans="3:5" ht="16.5" customHeight="1">
      <c r="C57" s="79" t="s">
        <v>60</v>
      </c>
      <c r="D57" s="79" t="s">
        <v>932</v>
      </c>
      <c r="E57" s="381"/>
    </row>
    <row r="58" spans="3:5" ht="16.5" customHeight="1">
      <c r="C58" s="79" t="s">
        <v>61</v>
      </c>
      <c r="D58" s="79" t="s">
        <v>933</v>
      </c>
      <c r="E58" s="381"/>
    </row>
    <row r="59" spans="3:5" ht="16.5" customHeight="1">
      <c r="C59" s="245" t="s">
        <v>777</v>
      </c>
      <c r="D59" s="245" t="s">
        <v>934</v>
      </c>
      <c r="E59" s="380"/>
    </row>
    <row r="60" spans="3:5" ht="16.5" customHeight="1">
      <c r="C60" s="245" t="s">
        <v>778</v>
      </c>
      <c r="D60" s="245" t="s">
        <v>935</v>
      </c>
      <c r="E60" s="380"/>
    </row>
    <row r="61" spans="3:5" ht="16.5" customHeight="1">
      <c r="C61" s="245" t="s">
        <v>689</v>
      </c>
      <c r="D61" s="245" t="s">
        <v>936</v>
      </c>
      <c r="E61" s="380"/>
    </row>
    <row r="62" spans="3:5" ht="16.5" customHeight="1">
      <c r="C62" s="79" t="s">
        <v>695</v>
      </c>
      <c r="D62" s="79" t="s">
        <v>937</v>
      </c>
      <c r="E62" s="385">
        <v>1</v>
      </c>
    </row>
    <row r="64" spans="3:5" ht="16.5" customHeight="1">
      <c r="C64" s="30"/>
      <c r="D64" s="30"/>
      <c r="E64" s="30"/>
    </row>
  </sheetData>
  <sheetProtection sheet="1" objects="1" scenarios="1" selectLockedCells="1"/>
  <mergeCells count="15">
    <mergeCell ref="B7:B11"/>
    <mergeCell ref="B12:B17"/>
    <mergeCell ref="C26:D26"/>
    <mergeCell ref="O6:P6"/>
    <mergeCell ref="S8:T8"/>
    <mergeCell ref="S7:T7"/>
    <mergeCell ref="S6:T6"/>
    <mergeCell ref="I11:J11"/>
    <mergeCell ref="O9:P9"/>
    <mergeCell ref="O8:P8"/>
    <mergeCell ref="O7:P7"/>
    <mergeCell ref="I8:J8"/>
    <mergeCell ref="I9:J9"/>
    <mergeCell ref="I6:J6"/>
    <mergeCell ref="I7:J7"/>
  </mergeCells>
  <phoneticPr fontId="1"/>
  <dataValidations count="3">
    <dataValidation type="custom" allowBlank="1" showInputMessage="1" showErrorMessage="1" sqref="O6:P6 O8:P8">
      <formula1>AND(LEN(O6)=LENB(O6),LEN(O6)=10)</formula1>
    </dataValidation>
    <dataValidation type="date" allowBlank="1" showInputMessage="1" showErrorMessage="1" sqref="L6:L9 I6:J9">
      <formula1>36526</formula1>
      <formula2>73415</formula2>
    </dataValidation>
    <dataValidation type="custom" allowBlank="1" showInputMessage="1" showErrorMessage="1" sqref="O9:P9">
      <formula1>AND(LEN(O9)=LENB(O9),LEN(O9)&lt;=10)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2" r:id="rId4" name="Button 6">
              <controlPr defaultSize="0" print="0" autoFill="0" autoPict="0" macro="[0]!UNKB0040_SearchDataCopy">
                <anchor moveWithCells="1" sizeWithCells="1">
                  <from>
                    <xdr:col>3</xdr:col>
                    <xdr:colOff>676275</xdr:colOff>
                    <xdr:row>24</xdr:row>
                    <xdr:rowOff>47625</xdr:rowOff>
                  </from>
                  <to>
                    <xdr:col>3</xdr:col>
                    <xdr:colOff>1619250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5" name="Check Box 7">
              <controlPr defaultSize="0" autoFill="0" autoLine="0" autoPict="0">
                <anchor moveWithCells="1">
                  <from>
                    <xdr:col>8</xdr:col>
                    <xdr:colOff>57150</xdr:colOff>
                    <xdr:row>2</xdr:row>
                    <xdr:rowOff>19050</xdr:rowOff>
                  </from>
                  <to>
                    <xdr:col>9</xdr:col>
                    <xdr:colOff>457200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6" name="Check Box 8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19050</xdr:rowOff>
                  </from>
                  <to>
                    <xdr:col>11</xdr:col>
                    <xdr:colOff>542925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7" name="Check Box 9">
              <controlPr defaultSize="0" autoFill="0" autoLine="0" autoPict="0">
                <anchor moveWithCells="1">
                  <from>
                    <xdr:col>12</xdr:col>
                    <xdr:colOff>57150</xdr:colOff>
                    <xdr:row>2</xdr:row>
                    <xdr:rowOff>19050</xdr:rowOff>
                  </from>
                  <to>
                    <xdr:col>13</xdr:col>
                    <xdr:colOff>914400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8" name="Check Box 10">
              <controlPr defaultSize="0" autoFill="0" autoLine="0" autoPict="0">
                <anchor moveWithCells="1">
                  <from>
                    <xdr:col>14</xdr:col>
                    <xdr:colOff>57150</xdr:colOff>
                    <xdr:row>2</xdr:row>
                    <xdr:rowOff>19050</xdr:rowOff>
                  </from>
                  <to>
                    <xdr:col>15</xdr:col>
                    <xdr:colOff>342900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9" name="Check Box 11">
              <controlPr defaultSize="0" autoFill="0" autoLine="0" autoPict="0">
                <anchor moveWithCells="1">
                  <from>
                    <xdr:col>16</xdr:col>
                    <xdr:colOff>57150</xdr:colOff>
                    <xdr:row>2</xdr:row>
                    <xdr:rowOff>19050</xdr:rowOff>
                  </from>
                  <to>
                    <xdr:col>17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0" name="Check Box 12">
              <controlPr defaultSize="0" autoFill="0" autoLine="0" autoPict="0">
                <anchor moveWithCells="1">
                  <from>
                    <xdr:col>8</xdr:col>
                    <xdr:colOff>57150</xdr:colOff>
                    <xdr:row>3</xdr:row>
                    <xdr:rowOff>19050</xdr:rowOff>
                  </from>
                  <to>
                    <xdr:col>9</xdr:col>
                    <xdr:colOff>457200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1" name="Check Box 13">
              <controlPr defaultSize="0" autoFill="0" autoLine="0" autoPict="0">
                <anchor moveWithCells="1">
                  <from>
                    <xdr:col>10</xdr:col>
                    <xdr:colOff>57150</xdr:colOff>
                    <xdr:row>3</xdr:row>
                    <xdr:rowOff>19050</xdr:rowOff>
                  </from>
                  <to>
                    <xdr:col>11</xdr:col>
                    <xdr:colOff>457200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12" name="Option Button 18">
              <controlPr defaultSize="0" autoFill="0" autoLine="0" autoPict="0">
                <anchor moveWithCells="1">
                  <from>
                    <xdr:col>14</xdr:col>
                    <xdr:colOff>228600</xdr:colOff>
                    <xdr:row>10</xdr:row>
                    <xdr:rowOff>9525</xdr:rowOff>
                  </from>
                  <to>
                    <xdr:col>15</xdr:col>
                    <xdr:colOff>495300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13" name="Option Button 19">
              <controlPr defaultSize="0" autoFill="0" autoLine="0" autoPict="0">
                <anchor moveWithCells="1">
                  <from>
                    <xdr:col>15</xdr:col>
                    <xdr:colOff>552450</xdr:colOff>
                    <xdr:row>10</xdr:row>
                    <xdr:rowOff>19050</xdr:rowOff>
                  </from>
                  <to>
                    <xdr:col>15</xdr:col>
                    <xdr:colOff>981075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14" name="Option Button 20">
              <controlPr defaultSize="0" autoFill="0" autoLine="0" autoPict="0">
                <anchor moveWithCells="1">
                  <from>
                    <xdr:col>16</xdr:col>
                    <xdr:colOff>28575</xdr:colOff>
                    <xdr:row>10</xdr:row>
                    <xdr:rowOff>9525</xdr:rowOff>
                  </from>
                  <to>
                    <xdr:col>17</xdr:col>
                    <xdr:colOff>400050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15" name="Check Box 21">
              <controlPr defaultSize="0" autoFill="0" autoLine="0" autoPict="0">
                <anchor moveWithCells="1" sizeWithCells="1">
                  <from>
                    <xdr:col>2</xdr:col>
                    <xdr:colOff>200025</xdr:colOff>
                    <xdr:row>64</xdr:row>
                    <xdr:rowOff>19050</xdr:rowOff>
                  </from>
                  <to>
                    <xdr:col>2</xdr:col>
                    <xdr:colOff>1171575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16" name="Check Box 22">
              <controlPr defaultSize="0" autoFill="0" autoLine="0" autoPict="0">
                <anchor moveWithCells="1" sizeWithCells="1">
                  <from>
                    <xdr:col>2</xdr:col>
                    <xdr:colOff>1438275</xdr:colOff>
                    <xdr:row>64</xdr:row>
                    <xdr:rowOff>19050</xdr:rowOff>
                  </from>
                  <to>
                    <xdr:col>3</xdr:col>
                    <xdr:colOff>266700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17" name="Check Box 23">
              <controlPr defaultSize="0" autoFill="0" autoLine="0" autoPict="0">
                <anchor moveWithCells="1" sizeWithCells="1">
                  <from>
                    <xdr:col>3</xdr:col>
                    <xdr:colOff>647700</xdr:colOff>
                    <xdr:row>64</xdr:row>
                    <xdr:rowOff>19050</xdr:rowOff>
                  </from>
                  <to>
                    <xdr:col>3</xdr:col>
                    <xdr:colOff>1362075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18" name="Check Box 24">
              <controlPr defaultSize="0" autoFill="0" autoLine="0" autoPict="0">
                <anchor moveWithCells="1" sizeWithCells="1">
                  <from>
                    <xdr:col>3</xdr:col>
                    <xdr:colOff>1885950</xdr:colOff>
                    <xdr:row>64</xdr:row>
                    <xdr:rowOff>19050</xdr:rowOff>
                  </from>
                  <to>
                    <xdr:col>3</xdr:col>
                    <xdr:colOff>2505075</xdr:colOff>
                    <xdr:row>64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C000"/>
  </sheetPr>
  <dimension ref="A1:AP40"/>
  <sheetViews>
    <sheetView showGridLines="0" showRowColHeaders="0" topLeftCell="F15" zoomScaleNormal="100" workbookViewId="0">
      <selection sqref="A1:E1 H1 K1 AL1:AP1"/>
    </sheetView>
  </sheetViews>
  <sheetFormatPr defaultRowHeight="16.5"/>
  <cols>
    <col min="1" max="1" width="9" style="38" hidden="1" customWidth="1"/>
    <col min="2" max="2" width="13.25" style="38" hidden="1" customWidth="1"/>
    <col min="3" max="3" width="30.625" style="38" hidden="1" customWidth="1"/>
    <col min="4" max="4" width="13.375" style="38" hidden="1" customWidth="1"/>
    <col min="5" max="5" width="9" style="38" hidden="1" customWidth="1"/>
    <col min="6" max="6" width="3.375" style="11" customWidth="1"/>
    <col min="7" max="7" width="5" style="11" bestFit="1" customWidth="1"/>
    <col min="8" max="8" width="6.625" style="218" hidden="1" customWidth="1"/>
    <col min="9" max="9" width="10" style="11" bestFit="1" customWidth="1"/>
    <col min="10" max="10" width="5" style="11" bestFit="1" customWidth="1"/>
    <col min="11" max="11" width="5" style="218" hidden="1" customWidth="1"/>
    <col min="12" max="12" width="8.25" style="11" bestFit="1" customWidth="1"/>
    <col min="13" max="13" width="8" style="11" customWidth="1"/>
    <col min="14" max="14" width="10" style="11" customWidth="1"/>
    <col min="15" max="15" width="10" style="11" bestFit="1" customWidth="1"/>
    <col min="16" max="16" width="9.125" style="11" bestFit="1" customWidth="1"/>
    <col min="17" max="17" width="31.875" style="11" customWidth="1"/>
    <col min="18" max="18" width="8.25" style="11" customWidth="1"/>
    <col min="19" max="19" width="6.875" style="11" customWidth="1"/>
    <col min="20" max="20" width="7.125" style="11" customWidth="1"/>
    <col min="21" max="22" width="8.125" style="11" customWidth="1"/>
    <col min="23" max="23" width="9" style="11" customWidth="1"/>
    <col min="24" max="24" width="8.25" style="11" customWidth="1"/>
    <col min="25" max="27" width="10" style="11" customWidth="1"/>
    <col min="28" max="28" width="8.5" style="11" customWidth="1"/>
    <col min="29" max="29" width="9" style="11" customWidth="1"/>
    <col min="30" max="30" width="14.125" style="11" customWidth="1"/>
    <col min="31" max="31" width="10.125" style="11" customWidth="1"/>
    <col min="32" max="32" width="14.5" style="11" customWidth="1"/>
    <col min="33" max="34" width="10.5" style="11" customWidth="1"/>
    <col min="35" max="35" width="17.125" style="11" customWidth="1"/>
    <col min="36" max="36" width="12.25" style="11" customWidth="1"/>
    <col min="37" max="37" width="14.25" style="11" customWidth="1"/>
    <col min="38" max="38" width="9" style="11" hidden="1" customWidth="1"/>
    <col min="39" max="39" width="13.875" style="11" hidden="1" customWidth="1"/>
    <col min="40" max="40" width="9" style="11" hidden="1" customWidth="1"/>
    <col min="41" max="41" width="17.375" style="11" hidden="1" customWidth="1"/>
    <col min="42" max="42" width="12.75" style="11" hidden="1" customWidth="1"/>
    <col min="43" max="16384" width="9" style="11"/>
  </cols>
  <sheetData>
    <row r="1" spans="1:42" s="161" customFormat="1" ht="1.5" hidden="1" customHeight="1">
      <c r="A1" s="38"/>
      <c r="B1" s="38"/>
      <c r="C1" s="38"/>
      <c r="D1" s="38"/>
      <c r="E1" s="38"/>
      <c r="H1" s="218"/>
      <c r="K1" s="218"/>
    </row>
    <row r="2" spans="1:42" s="161" customFormat="1" ht="1.5" hidden="1" customHeight="1">
      <c r="A2" s="38"/>
      <c r="B2" s="38"/>
      <c r="C2" s="38"/>
      <c r="D2" s="38"/>
      <c r="E2" s="38"/>
      <c r="H2" s="218"/>
      <c r="K2" s="218"/>
    </row>
    <row r="3" spans="1:42" s="161" customFormat="1" ht="1.5" hidden="1" customHeight="1">
      <c r="A3" s="38"/>
      <c r="B3" s="38"/>
      <c r="C3" s="38"/>
      <c r="D3" s="38"/>
      <c r="E3" s="38"/>
      <c r="H3" s="218"/>
      <c r="K3" s="218"/>
    </row>
    <row r="4" spans="1:42" s="161" customFormat="1" ht="1.5" hidden="1" customHeight="1">
      <c r="A4" s="38"/>
      <c r="B4" s="38"/>
      <c r="C4" s="38"/>
      <c r="D4" s="38"/>
      <c r="E4" s="38"/>
      <c r="H4" s="218"/>
      <c r="K4" s="218"/>
    </row>
    <row r="5" spans="1:42" s="161" customFormat="1" ht="1.5" hidden="1" customHeight="1">
      <c r="A5" s="38"/>
      <c r="B5" s="38"/>
      <c r="C5" s="38"/>
      <c r="D5" s="38"/>
      <c r="E5" s="38"/>
      <c r="H5" s="218"/>
      <c r="K5" s="218"/>
    </row>
    <row r="6" spans="1:42" s="161" customFormat="1" ht="1.5" hidden="1" customHeight="1">
      <c r="A6" s="38"/>
      <c r="B6" s="38"/>
      <c r="C6" s="38"/>
      <c r="D6" s="38"/>
      <c r="E6" s="38"/>
      <c r="H6" s="218"/>
      <c r="K6" s="218"/>
    </row>
    <row r="7" spans="1:42" s="161" customFormat="1" ht="1.5" hidden="1" customHeight="1">
      <c r="A7" s="38"/>
      <c r="B7" s="38"/>
      <c r="C7" s="38"/>
      <c r="D7" s="38"/>
      <c r="E7" s="38"/>
      <c r="H7" s="218"/>
      <c r="K7" s="218"/>
    </row>
    <row r="8" spans="1:42" s="161" customFormat="1" ht="1.5" hidden="1" customHeight="1">
      <c r="A8" s="38"/>
      <c r="B8" s="38"/>
      <c r="C8" s="38"/>
      <c r="D8" s="38"/>
      <c r="E8" s="38"/>
      <c r="H8" s="218"/>
      <c r="K8" s="218"/>
    </row>
    <row r="9" spans="1:42" s="161" customFormat="1" ht="1.5" hidden="1" customHeight="1">
      <c r="A9" s="38"/>
      <c r="B9" s="38"/>
      <c r="C9" s="38"/>
      <c r="D9" s="38"/>
      <c r="E9" s="38"/>
      <c r="H9" s="218"/>
      <c r="K9" s="218"/>
    </row>
    <row r="10" spans="1:42" s="161" customFormat="1" ht="1.5" hidden="1" customHeight="1">
      <c r="A10" s="38"/>
      <c r="B10" s="38"/>
      <c r="C10" s="38"/>
      <c r="D10" s="38"/>
      <c r="E10" s="38"/>
      <c r="H10" s="218"/>
      <c r="K10" s="218"/>
    </row>
    <row r="11" spans="1:42" s="161" customFormat="1" ht="1.5" hidden="1" customHeight="1">
      <c r="A11" s="38"/>
      <c r="B11" s="38"/>
      <c r="C11" s="38"/>
      <c r="D11" s="38"/>
      <c r="E11" s="38"/>
      <c r="H11" s="218"/>
      <c r="K11" s="218"/>
    </row>
    <row r="12" spans="1:42" s="161" customFormat="1" ht="1.5" hidden="1" customHeight="1">
      <c r="A12" s="38"/>
      <c r="B12" s="38"/>
      <c r="C12" s="38"/>
      <c r="D12" s="38"/>
      <c r="E12" s="38"/>
      <c r="H12" s="218"/>
      <c r="K12" s="218"/>
    </row>
    <row r="13" spans="1:42" s="161" customFormat="1" ht="1.5" hidden="1" customHeight="1">
      <c r="A13" s="38"/>
      <c r="B13" s="38"/>
      <c r="C13" s="38"/>
      <c r="D13" s="38"/>
      <c r="E13" s="38"/>
      <c r="H13" s="218"/>
      <c r="K13" s="218"/>
    </row>
    <row r="14" spans="1:42" s="161" customFormat="1" ht="1.5" hidden="1" customHeight="1">
      <c r="A14" s="38"/>
      <c r="B14" s="38"/>
      <c r="C14" s="38"/>
      <c r="D14" s="38"/>
      <c r="E14" s="38"/>
      <c r="H14" s="218"/>
      <c r="K14" s="218"/>
    </row>
    <row r="15" spans="1:42">
      <c r="F15" s="11" t="str">
        <f>"("&amp;UNKB0040_B_PAGE_NO&amp;"/"&amp;UNKB0040_B_ALL_PAGE_SU&amp;")"</f>
        <v>(1/1)</v>
      </c>
      <c r="G15" s="22"/>
    </row>
    <row r="16" spans="1:42">
      <c r="B16" s="265" t="s">
        <v>690</v>
      </c>
      <c r="C16" s="265" t="s">
        <v>940</v>
      </c>
      <c r="D16" s="265" t="str">
        <f>ROW(A1)&amp;":"&amp;ROW(A14)</f>
        <v>1:14</v>
      </c>
      <c r="F16" s="33"/>
      <c r="G16" s="200" t="s">
        <v>39</v>
      </c>
      <c r="H16" s="215" t="s">
        <v>1102</v>
      </c>
      <c r="I16" s="200" t="s">
        <v>40</v>
      </c>
      <c r="J16" s="220" t="s">
        <v>88</v>
      </c>
      <c r="K16" s="215" t="s">
        <v>1003</v>
      </c>
      <c r="L16" s="200" t="s">
        <v>41</v>
      </c>
      <c r="M16" s="200" t="s">
        <v>42</v>
      </c>
      <c r="N16" s="200" t="s">
        <v>43</v>
      </c>
      <c r="O16" s="200" t="s">
        <v>44</v>
      </c>
      <c r="P16" s="200" t="s">
        <v>45</v>
      </c>
      <c r="Q16" s="202" t="s">
        <v>46</v>
      </c>
      <c r="R16" s="220" t="s">
        <v>47</v>
      </c>
      <c r="S16" s="200" t="s">
        <v>48</v>
      </c>
      <c r="T16" s="200" t="s">
        <v>51</v>
      </c>
      <c r="U16" s="200" t="s">
        <v>50</v>
      </c>
      <c r="V16" s="200" t="s">
        <v>49</v>
      </c>
      <c r="W16" s="200" t="s">
        <v>52</v>
      </c>
      <c r="X16" s="200" t="s">
        <v>53</v>
      </c>
      <c r="Y16" s="200" t="s">
        <v>54</v>
      </c>
      <c r="Z16" s="200" t="s">
        <v>55</v>
      </c>
      <c r="AA16" s="200" t="s">
        <v>56</v>
      </c>
      <c r="AB16" s="200" t="s">
        <v>57</v>
      </c>
      <c r="AC16" s="200" t="s">
        <v>58</v>
      </c>
      <c r="AD16" s="200" t="s">
        <v>59</v>
      </c>
      <c r="AE16" s="200" t="s">
        <v>646</v>
      </c>
      <c r="AF16" s="200" t="s">
        <v>61</v>
      </c>
      <c r="AG16" s="200" t="s">
        <v>62</v>
      </c>
      <c r="AH16" s="200" t="s">
        <v>63</v>
      </c>
      <c r="AI16" s="200" t="s">
        <v>64</v>
      </c>
      <c r="AJ16" s="200" t="s">
        <v>65</v>
      </c>
      <c r="AK16" s="200" t="s">
        <v>66</v>
      </c>
      <c r="AL16" s="197" t="s">
        <v>878</v>
      </c>
      <c r="AM16" s="197" t="s">
        <v>880</v>
      </c>
      <c r="AN16" s="197" t="s">
        <v>877</v>
      </c>
      <c r="AO16" s="197" t="s">
        <v>1002</v>
      </c>
      <c r="AP16" s="197" t="s">
        <v>811</v>
      </c>
    </row>
    <row r="17" spans="2:42">
      <c r="B17" s="265" t="s">
        <v>691</v>
      </c>
      <c r="C17" s="265" t="s">
        <v>941</v>
      </c>
      <c r="D17" s="265" t="str">
        <f>ADDRESS(ROW(A1),COLUMN(A1))&amp;":"&amp;ADDRESS(ROW(E1),COLUMN(E1))&amp;","&amp;ADDRESS(ROW(H1),COLUMN(H1))&amp;","&amp;ADDRESS(ROW(K1),COLUMN(K1))&amp;","&amp;ADDRESS(ROW(AL1),COLUMN(AL1))&amp;":"&amp;ADDRESS(ROW(AP1),COLUMN(AP1))</f>
        <v>$A$1:$E$1,$H$1,$K$1,$AL$1:$AP$1</v>
      </c>
      <c r="G17" s="330"/>
      <c r="H17" s="330"/>
      <c r="I17" s="330"/>
      <c r="J17" s="330"/>
      <c r="K17" s="330"/>
      <c r="L17" s="330"/>
      <c r="M17" s="330"/>
      <c r="N17" s="330"/>
      <c r="O17" s="330"/>
      <c r="P17" s="330"/>
      <c r="Q17" s="330"/>
      <c r="R17" s="330"/>
      <c r="S17" s="330"/>
      <c r="T17" s="330"/>
      <c r="U17" s="330"/>
      <c r="V17" s="330"/>
      <c r="W17" s="330"/>
      <c r="X17" s="330"/>
      <c r="Y17" s="330"/>
      <c r="Z17" s="330"/>
      <c r="AA17" s="330"/>
      <c r="AB17" s="330"/>
      <c r="AC17" s="330"/>
      <c r="AD17" s="330"/>
      <c r="AE17" s="330"/>
      <c r="AF17" s="330"/>
      <c r="AG17" s="330"/>
      <c r="AH17" s="330"/>
      <c r="AI17" s="330"/>
      <c r="AJ17" s="330"/>
      <c r="AK17" s="330"/>
      <c r="AL17" s="330"/>
      <c r="AM17" s="330"/>
      <c r="AN17" s="330"/>
      <c r="AO17" s="330"/>
      <c r="AP17" s="330"/>
    </row>
    <row r="18" spans="2:42">
      <c r="B18" s="265" t="s">
        <v>157</v>
      </c>
      <c r="C18" s="265" t="s">
        <v>942</v>
      </c>
      <c r="D18" s="265" t="str">
        <f>ADDRESS(ROW(UNKB0040_B_KOBAIHIN_MEI)+1,COLUMN(UNKB0040_B_KOBAIHIN_MEI))</f>
        <v>$Q$17</v>
      </c>
      <c r="G18" s="330"/>
      <c r="H18" s="330"/>
      <c r="I18" s="330"/>
      <c r="J18" s="330"/>
      <c r="K18" s="330"/>
      <c r="L18" s="330"/>
      <c r="M18" s="330"/>
      <c r="N18" s="330"/>
      <c r="O18" s="330"/>
      <c r="P18" s="330"/>
      <c r="Q18" s="330"/>
      <c r="R18" s="330"/>
      <c r="S18" s="330"/>
      <c r="T18" s="330"/>
      <c r="U18" s="330"/>
      <c r="V18" s="330"/>
      <c r="W18" s="330"/>
      <c r="X18" s="330"/>
      <c r="Y18" s="330"/>
      <c r="Z18" s="330"/>
      <c r="AA18" s="330"/>
      <c r="AB18" s="330"/>
      <c r="AC18" s="330"/>
      <c r="AD18" s="330"/>
      <c r="AE18" s="330"/>
      <c r="AF18" s="330"/>
      <c r="AG18" s="330"/>
      <c r="AH18" s="330"/>
      <c r="AI18" s="330"/>
      <c r="AJ18" s="330"/>
      <c r="AK18" s="330"/>
      <c r="AL18" s="330"/>
      <c r="AM18" s="330"/>
      <c r="AN18" s="330"/>
      <c r="AO18" s="330"/>
      <c r="AP18" s="330"/>
    </row>
    <row r="19" spans="2:42"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</row>
    <row r="20" spans="2:42">
      <c r="B20" s="265" t="s">
        <v>813</v>
      </c>
      <c r="C20" s="265" t="s">
        <v>943</v>
      </c>
      <c r="D20" s="265"/>
    </row>
    <row r="21" spans="2:42">
      <c r="B21" s="265" t="s">
        <v>814</v>
      </c>
      <c r="C21" s="265" t="s">
        <v>944</v>
      </c>
      <c r="D21" s="265">
        <v>1</v>
      </c>
    </row>
    <row r="22" spans="2:42">
      <c r="B22" s="265" t="s">
        <v>815</v>
      </c>
      <c r="C22" s="265" t="s">
        <v>945</v>
      </c>
      <c r="D22" s="265">
        <f>IF(OR(UNKB0040_B_ALL_KENSU=0,UNKB0040_B_HYOJI_GYO_SU=0),1,ROUNDUP(UNKB0040_B_ALL_KENSU/UNKB0040_B_HYOJI_GYO_SU,0))</f>
        <v>1</v>
      </c>
    </row>
    <row r="23" spans="2:42">
      <c r="B23" s="265" t="s">
        <v>816</v>
      </c>
      <c r="C23" s="265" t="s">
        <v>946</v>
      </c>
      <c r="D23" s="265">
        <v>10</v>
      </c>
    </row>
    <row r="24" spans="2:42">
      <c r="B24" s="265" t="s">
        <v>817</v>
      </c>
      <c r="C24" s="265" t="s">
        <v>947</v>
      </c>
      <c r="D24" s="265">
        <v>50</v>
      </c>
    </row>
    <row r="25" spans="2:42">
      <c r="B25" s="375"/>
      <c r="C25" s="376"/>
      <c r="D25" s="375"/>
    </row>
    <row r="26" spans="2:42">
      <c r="B26" s="265" t="s">
        <v>158</v>
      </c>
      <c r="C26" s="265" t="s">
        <v>948</v>
      </c>
      <c r="D26" s="265" t="str">
        <f>ADDRESS(ROW(UNKB0040_B_SENTAKU)+1,COLUMN(UNKB0040_B_SENTAKU))</f>
        <v>$G$17</v>
      </c>
    </row>
    <row r="27" spans="2:42">
      <c r="B27" s="265" t="s">
        <v>818</v>
      </c>
      <c r="C27" s="265" t="s">
        <v>949</v>
      </c>
      <c r="D27" s="265" t="str">
        <f>ADDRESS(ROW(UNKB0040_B_SENTAKU)+1+UNKB0040_B_HYOJI_KENSU-1,COLUMN(UNKB0040_B_SENTAKU)+COLUMNS(UNKB0040_IF_LIST_COPY_MOTO)-1)</f>
        <v>$AP$26</v>
      </c>
    </row>
    <row r="28" spans="2:42">
      <c r="B28" s="265" t="s">
        <v>829</v>
      </c>
      <c r="C28" s="265" t="s">
        <v>1126</v>
      </c>
      <c r="D28" s="265" t="b">
        <f>IF(UNKB0040_B_HYOJI_KENSU&lt;&gt;0,TRUE,FALSE)</f>
        <v>1</v>
      </c>
    </row>
    <row r="29" spans="2:42">
      <c r="B29" s="265" t="s">
        <v>819</v>
      </c>
      <c r="C29" s="265" t="s">
        <v>1017</v>
      </c>
      <c r="D29" s="265" t="str">
        <f>IF(UNKB0040_B_HYOJI_KENSU=0,"",UNKB0040_B_LIST_START&amp;":"&amp;
ADDRESS(ROW(UNKB0040_B_SENTAKU)+1+UNKB0040_B_HYOJI_KENSU-1,COLUMN(UNKB0040_B_SENTAKU)+COLUMNS(UNKB0040_IF_LIST_COPY_MOTO)-1))</f>
        <v>$G$17:$AP$26</v>
      </c>
    </row>
    <row r="30" spans="2:42">
      <c r="B30" s="265" t="s">
        <v>1016</v>
      </c>
      <c r="C30" s="265" t="s">
        <v>1125</v>
      </c>
      <c r="D30" s="265" t="str">
        <f>IF(UNKB0040_B_HYOJI_KENSU=0,"",ADDRESS(ROW(UNKB0040_B_JOGAI_CKH)+1,COLUMN(UNKB0040_B_JOGAI_CKH))&amp;":"&amp;ADDRESS(ROW(UNKB0040_B_JOGAI_CKH)+1+UNKB0040_B_HYOJI_KENSU-1,COLUMN(UNKB0040_B_JOGAI_CKH)))</f>
        <v>$J$17:$J$26</v>
      </c>
    </row>
    <row r="31" spans="2:42">
      <c r="B31" s="265" t="s">
        <v>820</v>
      </c>
      <c r="C31" s="265" t="s">
        <v>950</v>
      </c>
      <c r="D31" s="265" t="str">
        <f>ADDRESS(ROW(UNKB0040_B_SENTAKU)+1,COLUMN(UNKB0040_B_SENTAKU))&amp;":"&amp;
ADDRESS(ROW(UNKB0040_B_SENTAKU)+1+UNKB0040_B_HYOJI_GYO_SU-1,COLUMN(UNKB0040_B_SENTAKU)+COLUMNS(UNKB0040_IF_LIST_COPY_MOTO)-1)</f>
        <v>$G$17:$AP$66</v>
      </c>
    </row>
    <row r="32" spans="2:42">
      <c r="B32" s="375"/>
      <c r="C32" s="376"/>
      <c r="D32" s="375"/>
    </row>
    <row r="33" spans="2:4">
      <c r="B33" s="265" t="s">
        <v>821</v>
      </c>
      <c r="C33" s="265" t="s">
        <v>951</v>
      </c>
      <c r="D33" s="265">
        <f>UNKB0040_B_PAGE_NO+1</f>
        <v>2</v>
      </c>
    </row>
    <row r="34" spans="2:4">
      <c r="B34" s="265" t="s">
        <v>822</v>
      </c>
      <c r="C34" s="265" t="s">
        <v>952</v>
      </c>
      <c r="D34" s="265">
        <f>UNKB0040_B_PAGE_NO-1</f>
        <v>0</v>
      </c>
    </row>
    <row r="35" spans="2:4">
      <c r="B35" s="265" t="s">
        <v>823</v>
      </c>
      <c r="C35" s="265" t="s">
        <v>953</v>
      </c>
      <c r="D35" s="265">
        <f>IF(1&lt;UNKB0040_B_PAGE_NO,1,2)</f>
        <v>2</v>
      </c>
    </row>
    <row r="36" spans="2:4">
      <c r="B36" s="265" t="s">
        <v>824</v>
      </c>
      <c r="C36" s="265" t="s">
        <v>954</v>
      </c>
      <c r="D36" s="265">
        <f>IF(UNKB0040_B_PAGE_NO&lt;UNKB0040_B_ALL_PAGE_SU,1,2)</f>
        <v>2</v>
      </c>
    </row>
    <row r="38" spans="2:4">
      <c r="B38" s="265" t="s">
        <v>182</v>
      </c>
      <c r="C38" s="265" t="s">
        <v>1301</v>
      </c>
      <c r="D38" s="265"/>
    </row>
    <row r="39" spans="2:4">
      <c r="B39" s="265" t="s">
        <v>587</v>
      </c>
      <c r="C39" s="265" t="s">
        <v>1299</v>
      </c>
      <c r="D39" s="265">
        <f ca="1">IF(UNKB0040_B_SELECT_ROW_NO=0,0,INDIRECT(ADDRESS(UNKB0040_B_SELECT_ROW_NO,COLUMN(UNKB0040_B_KOBAISHINSEI_NO))))</f>
        <v>0</v>
      </c>
    </row>
    <row r="40" spans="2:4">
      <c r="B40" s="265" t="s">
        <v>1127</v>
      </c>
      <c r="C40" s="265" t="s">
        <v>1300</v>
      </c>
      <c r="D40" s="265">
        <f ca="1">IF(UNKB0040_B_SELECT_ROW_NO=0,0,INDIRECT(ADDRESS(UNKB0040_B_SELECT_ROW_NO,COLUMN(UNKB0040_B_KOBAI_SEQ))))</f>
        <v>0</v>
      </c>
    </row>
  </sheetData>
  <sheetProtection sheet="1" objects="1" scenarios="1" selectLockedCells="1"/>
  <phoneticPr fontId="1"/>
  <conditionalFormatting sqref="I1:I16 I20:I1048576">
    <cfRule type="containsText" dxfId="79" priority="30" operator="containsText" text="準備納期外">
      <formula>NOT(ISERROR(SEARCH("準備納期外",I1)))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EH27"/>
  <sheetViews>
    <sheetView topLeftCell="AB1" zoomScale="70" zoomScaleNormal="70" workbookViewId="0">
      <selection activeCell="AX19" sqref="AX19"/>
    </sheetView>
  </sheetViews>
  <sheetFormatPr defaultRowHeight="13.5"/>
  <cols>
    <col min="1" max="1" width="13.375" style="194" customWidth="1"/>
    <col min="2" max="2" width="11.375" style="194" customWidth="1"/>
    <col min="3" max="3" width="18" style="194" customWidth="1"/>
    <col min="4" max="4" width="7.5" style="194" customWidth="1"/>
    <col min="5" max="5" width="9" style="214"/>
    <col min="6" max="6" width="9.125" style="194" customWidth="1"/>
    <col min="7" max="7" width="5" style="194" bestFit="1" customWidth="1"/>
    <col min="8" max="8" width="7.625" style="214" customWidth="1"/>
    <col min="9" max="34" width="9" style="194"/>
    <col min="35" max="38" width="9" style="214"/>
    <col min="39" max="39" width="9" style="194"/>
    <col min="40" max="40" width="9" style="214"/>
    <col min="41" max="41" width="13.625" style="194" customWidth="1"/>
    <col min="42" max="42" width="14.25" style="194" customWidth="1"/>
    <col min="43" max="44" width="9" style="194"/>
    <col min="45" max="57" width="3.75" style="194" customWidth="1"/>
    <col min="58" max="58" width="9" style="194"/>
    <col min="59" max="59" width="9" style="199"/>
    <col min="60" max="60" width="17.875" style="199" bestFit="1" customWidth="1"/>
    <col min="61" max="61" width="26.125" style="199" customWidth="1"/>
    <col min="62" max="62" width="11" style="199" customWidth="1"/>
    <col min="63" max="64" width="11" style="214" customWidth="1"/>
    <col min="65" max="66" width="9" style="199"/>
    <col min="67" max="67" width="11.875" style="199" customWidth="1"/>
    <col min="68" max="68" width="23.625" style="199" customWidth="1"/>
    <col min="69" max="69" width="11.375" style="199" customWidth="1"/>
    <col min="70" max="104" width="11.375" style="214" customWidth="1"/>
    <col min="105" max="105" width="9" style="199"/>
    <col min="106" max="16384" width="9" style="194"/>
  </cols>
  <sheetData>
    <row r="1" spans="1:138">
      <c r="DB1" s="211" t="s">
        <v>870</v>
      </c>
    </row>
    <row r="2" spans="1:138">
      <c r="A2" s="191" t="s">
        <v>855</v>
      </c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217"/>
      <c r="AJ2" s="217"/>
      <c r="AK2" s="217"/>
      <c r="AL2" s="217"/>
      <c r="AM2" s="192"/>
      <c r="AN2" s="217"/>
      <c r="AO2" s="192"/>
      <c r="AP2" s="192"/>
      <c r="AQ2" s="192"/>
      <c r="AR2" s="57" t="s">
        <v>841</v>
      </c>
      <c r="AS2" s="354" t="s">
        <v>970</v>
      </c>
      <c r="BG2" s="211" t="s">
        <v>981</v>
      </c>
      <c r="BH2" s="210"/>
      <c r="BI2" s="210"/>
      <c r="BJ2" s="210"/>
      <c r="BL2" s="214" t="s">
        <v>989</v>
      </c>
      <c r="BM2" s="199" t="s">
        <v>990</v>
      </c>
      <c r="BN2" s="216">
        <f>1+ROW()-ROW(UNKB0040_IF_SAVE_START)</f>
        <v>-2</v>
      </c>
      <c r="BO2" s="216">
        <f>UNKB0040_IF_SAVE_W_USER_ID</f>
        <v>0</v>
      </c>
      <c r="BP2" s="216">
        <f>UNKB0040_IF_SAVE_W_SERIAL</f>
        <v>0</v>
      </c>
      <c r="BQ2" s="216">
        <f ca="1">OFFSET(UNKB0040_B_ROW,$BN2,0)</f>
        <v>0</v>
      </c>
      <c r="BR2" s="216">
        <f>UNKB0040_IF_SAVE_W_MODE</f>
        <v>0</v>
      </c>
      <c r="BS2" s="216" t="str">
        <f ca="1">IF(OFFSET(UNKB0040_B_JOGAI,$BN2,0)="","",OFFSET(UNKB0040_B_JOGAI,$BN2,0))</f>
        <v/>
      </c>
      <c r="BT2" s="216" t="str">
        <f ca="1">IF(OFFSET(UNKB0040_B_SENTAKU,$BN2,0)="","",OFFSET(UNKB0040_B_SENTAKU,$BN2,0))</f>
        <v/>
      </c>
      <c r="BU2" s="216" t="str">
        <f ca="1">IF(OFFSET(UNKB0040_B_ALERT,$BN2,0)="","",OFFSET(UNKB0040_B_ALERT,$BN2,0))</f>
        <v/>
      </c>
      <c r="BV2" s="216" t="str">
        <f ca="1">IF(OFFSET(UNKB0040_B_KOBAI_KBN_MEI,$BN2,0)="","",OFFSET(UNKB0040_B_KOBAI_KBN_MEI,$BN2,0))</f>
        <v/>
      </c>
      <c r="BW2" s="216" t="str">
        <f ca="1">IF(OFFSET(UNKB0040_B_KOBAI_STS_MEI,$BN2,0)="","",OFFSET(UNKB0040_B_KOBAI_STS_MEI,$BN2,0))</f>
        <v/>
      </c>
      <c r="BX2" s="216" t="str">
        <f ca="1">IF(OFFSET(UNKB0040_B_SHINSEISHA,$BN2,0)="","",OFFSET(UNKB0040_B_SHINSEISHA,$BN2,0))</f>
        <v/>
      </c>
      <c r="BY2" s="86" t="str">
        <f ca="1">IF(OFFSET(UNKB0040_B_SHINSEI_DATE,$BN2,0)="","",OFFSET(UNKB0040_B_SHINSEI_DATE,$BN2,0))</f>
        <v/>
      </c>
      <c r="BZ2" s="216" t="str">
        <f ca="1">IF(OFFSET(UNKB0040_B_KOBAIHIN_CD,$BN2,0)="","",OFFSET(UNKB0040_B_KOBAIHIN_CD,$BN2,0))</f>
        <v/>
      </c>
      <c r="CA2" s="216" t="str">
        <f ca="1">IF(OFFSET(UNKB0040_B_KOBAIHIN_MEI,$BN2,0)="","",OFFSET(UNKB0040_B_KOBAIHIN_MEI,$BN2,0))</f>
        <v/>
      </c>
      <c r="CB2" s="216" t="str">
        <f ca="1">IF(OFFSET(UNKB0040_B_TANKA,$BN2,0)="","",OFFSET(UNKB0040_B_TANKA,$BN2,0))</f>
        <v/>
      </c>
      <c r="CC2" s="216" t="str">
        <f ca="1">IF(OFFSET(UNKB0040_B_IRISU,$BN2,0)="","",OFFSET(UNKB0040_B_IRISU,$BN2,0))</f>
        <v/>
      </c>
      <c r="CD2" s="216" t="str">
        <f ca="1">IF(OFFSET(UNKB0040_B_IRISU_TANI,$BN2,0)="","",OFFSET(UNKB0040_B_IRISU_TANI,$BN2,0))</f>
        <v/>
      </c>
      <c r="CE2" s="216" t="str">
        <f ca="1">IF(OFFSET(UNKB0040_B_SURYO,$BN2,0)="","",OFFSET(UNKB0040_B_SURYO,$BN2,0))</f>
        <v/>
      </c>
      <c r="CF2" s="216" t="str">
        <f ca="1">IF(OFFSET(UNKB0040_B_TANI,$BN2,0)="","",OFFSET(UNKB0040_B_TANI,$BN2,0))</f>
        <v/>
      </c>
      <c r="CG2" s="216" t="str">
        <f ca="1">IF(OFFSET(UNKB0040_B_CHUMON_SOSU,$BN2,0)="","",OFFSET(UNKB0040_B_CHUMON_SOSU,$BN2,0))</f>
        <v/>
      </c>
      <c r="CH2" s="216" t="str">
        <f ca="1">IF(OFFSET(UNKB0040_B_GOKEI_KINGAKU,$BN2,0)="","",OFFSET(UNKB0040_B_GOKEI_KINGAKU,$BN2,0))</f>
        <v/>
      </c>
      <c r="CI2" s="91" t="str">
        <f ca="1">IF(OFFSET(UNKB0040_B_KIBO_NOKI,$BN2,0)="","",OFFSET(UNKB0040_B_KIBO_NOKI,$BN2,0))</f>
        <v/>
      </c>
      <c r="CJ2" s="91" t="str">
        <f ca="1">IF(OFFSET(UNKB0040_B_UKEIRE_DATE,$BN2,0)="","",OFFSET(UNKB0040_B_UKEIRE_DATE,$BN2,0))</f>
        <v/>
      </c>
      <c r="CK2" s="91" t="str">
        <f ca="1">IF(OFFSET(UNKB0040_B_KENSHU_DATE,$BN2,0)="","",OFFSET(UNKB0040_B_KENSHU_DATE,$BN2,0))</f>
        <v/>
      </c>
      <c r="CL2" s="216" t="str">
        <f ca="1">IF(OFFSET(UNKB0040_B_HOKAN_BASHO,$BN2,0)="","",OFFSET(UNKB0040_B_HOKAN_BASHO,$BN2,0))</f>
        <v/>
      </c>
      <c r="CM2" s="216" t="str">
        <f ca="1">IF(OFFSET(UNKB0040_B_SHIIRESAKI_CD,$BN2,0)="","",OFFSET(UNKB0040_B_SHIIRESAKI_CD,$BN2,0))</f>
        <v/>
      </c>
      <c r="CN2" s="216" t="str">
        <f ca="1">IF(OFFSET(UNKB0040_B_SHIIRESAKI_MEI,$BN2,0)="","",OFFSET(UNKB0040_B_SHIIRESAKI_MEI,$BN2,0))</f>
        <v/>
      </c>
      <c r="CO2" s="216" t="str">
        <f ca="1">IF(OFFSET(UNKB0040_B_MAKER_CD,$BN2,0)="","",OFFSET(UNKB0040_B_MAKER_CD,$BN2,0))</f>
        <v/>
      </c>
      <c r="CP2" s="216" t="str">
        <f ca="1">IF(OFFSET(UNKB0040_B_MAKER_MEI,$BN2,0)="","",OFFSET(UNKB0040_B_MAKER_MEI,$BN2,0))</f>
        <v/>
      </c>
      <c r="CQ2" s="216" t="str">
        <f ca="1">IF(OFFSET(UNKB0040_B_YOSAN_CD,$BN2,0)="","",OFFSET(UNKB0040_B_YOSAN_CD,$BN2,0))</f>
        <v/>
      </c>
      <c r="CR2" s="216" t="str">
        <f ca="1">IF(OFFSET(UNKB0040_B_JURI_NO,$BN2,0)="","",OFFSET(UNKB0040_B_JURI_NO,$BN2,0))</f>
        <v/>
      </c>
      <c r="CS2" s="216" t="str">
        <f ca="1">IF(OFFSET(UNKB0040_B_BIKO,$BN2,0)="","",OFFSET(UNKB0040_B_BIKO,$BN2,0))</f>
        <v/>
      </c>
      <c r="CT2" s="216" t="str">
        <f ca="1">IF(OFFSET(UNKB0040_B_KOBAISHINSEI_NO,$BN2,0)="","",OFFSET(UNKB0040_B_KOBAISHINSEI_NO,$BN2,0))</f>
        <v/>
      </c>
      <c r="CU2" s="216" t="str">
        <f ca="1">IF(OFFSET(UNKB0040_B_IRAI_NO,$BN2,0)="","",OFFSET(UNKB0040_B_IRAI_NO,$BN2,0))</f>
        <v/>
      </c>
      <c r="CV2" s="216" t="str">
        <f ca="1">IF(OFFSET(UNKB0040_B_KOBAI_KBN,$BN2,0)="","",OFFSET(UNKB0040_B_KOBAI_KBN,$BN2,0))</f>
        <v/>
      </c>
      <c r="CW2" s="216" t="str">
        <f ca="1">IF(OFFSET(UNKB0040_B_KOBAI_STS,$BN2,0)="","",OFFSET(UNKB0040_B_KOBAI_STS,$BN2,0))</f>
        <v/>
      </c>
      <c r="CX2" s="216" t="str">
        <f ca="1">IF(OFFSET(UNKB0040_B_SHINSEISHA_CD,$BN2,0)="","",OFFSET(UNKB0040_B_SHINSEISHA_CD,$BN2,0))</f>
        <v/>
      </c>
      <c r="CY2" s="216" t="str">
        <f ca="1">IF(OFFSET(UNKB0040_B_FREEWD,$BN2,0)="","",OFFSET(UNKB0040_B_FREEWD,$BN2,0))</f>
        <v/>
      </c>
      <c r="CZ2" s="216" t="str">
        <f ca="1">IF(OFFSET(UNKB0040_B_KOBAI_SEQ,$BN2,0)="","",OFFSET(UNKB0040_B_KOBAI_SEQ,$BN2,0))</f>
        <v/>
      </c>
    </row>
    <row r="3" spans="1:138" ht="16.5">
      <c r="D3" s="173" t="s">
        <v>39</v>
      </c>
      <c r="E3" s="221" t="s">
        <v>1004</v>
      </c>
      <c r="F3" s="173" t="s">
        <v>40</v>
      </c>
      <c r="G3" s="174" t="s">
        <v>88</v>
      </c>
      <c r="H3" s="198" t="s">
        <v>1005</v>
      </c>
      <c r="I3" s="173" t="s">
        <v>41</v>
      </c>
      <c r="J3" s="173" t="s">
        <v>625</v>
      </c>
      <c r="K3" s="175" t="s">
        <v>794</v>
      </c>
      <c r="L3" s="173" t="s">
        <v>44</v>
      </c>
      <c r="M3" s="173" t="s">
        <v>45</v>
      </c>
      <c r="N3" s="173" t="s">
        <v>46</v>
      </c>
      <c r="O3" s="173" t="s">
        <v>47</v>
      </c>
      <c r="P3" s="173" t="s">
        <v>48</v>
      </c>
      <c r="Q3" s="173" t="s">
        <v>51</v>
      </c>
      <c r="R3" s="173" t="s">
        <v>50</v>
      </c>
      <c r="S3" s="173" t="s">
        <v>49</v>
      </c>
      <c r="T3" s="173" t="s">
        <v>52</v>
      </c>
      <c r="U3" s="173" t="s">
        <v>53</v>
      </c>
      <c r="V3" s="173" t="s">
        <v>54</v>
      </c>
      <c r="W3" s="173" t="s">
        <v>55</v>
      </c>
      <c r="X3" s="173" t="s">
        <v>56</v>
      </c>
      <c r="Y3" s="173" t="s">
        <v>57</v>
      </c>
      <c r="Z3" s="173" t="s">
        <v>58</v>
      </c>
      <c r="AA3" s="173" t="s">
        <v>59</v>
      </c>
      <c r="AB3" s="173" t="s">
        <v>75</v>
      </c>
      <c r="AC3" s="173" t="s">
        <v>61</v>
      </c>
      <c r="AD3" s="173" t="s">
        <v>62</v>
      </c>
      <c r="AE3" s="173" t="s">
        <v>63</v>
      </c>
      <c r="AF3" s="173" t="s">
        <v>64</v>
      </c>
      <c r="AG3" s="173" t="s">
        <v>65</v>
      </c>
      <c r="AH3" s="173" t="s">
        <v>66</v>
      </c>
      <c r="AI3" s="197" t="s">
        <v>878</v>
      </c>
      <c r="AJ3" s="197" t="s">
        <v>880</v>
      </c>
      <c r="AK3" s="197" t="s">
        <v>877</v>
      </c>
      <c r="AL3" s="197" t="s">
        <v>1002</v>
      </c>
      <c r="AM3" s="197" t="s">
        <v>811</v>
      </c>
      <c r="AO3" s="191" t="s">
        <v>859</v>
      </c>
      <c r="AS3" s="489"/>
      <c r="AT3" s="489"/>
      <c r="AU3" s="333" t="s">
        <v>642</v>
      </c>
      <c r="AV3" s="474"/>
      <c r="AW3" s="218"/>
      <c r="AX3" s="166" t="s">
        <v>31</v>
      </c>
      <c r="AY3" s="564"/>
      <c r="AZ3" s="564"/>
      <c r="BA3" s="218"/>
      <c r="BB3" s="166" t="s">
        <v>32</v>
      </c>
      <c r="BC3" s="478"/>
      <c r="BD3" s="479"/>
      <c r="BE3" s="227" t="str">
        <f>IF(UNKB0040_H_KOBAIHIN_CD="","",UNKB0040_H_KOBAIHIN_MEI)</f>
        <v/>
      </c>
      <c r="BG3" s="210"/>
      <c r="BH3" s="211" t="s">
        <v>261</v>
      </c>
      <c r="BI3" s="210"/>
      <c r="BJ3" s="210"/>
      <c r="DB3" s="191"/>
      <c r="DD3" s="194" t="s">
        <v>871</v>
      </c>
      <c r="DE3" s="194" t="s">
        <v>1021</v>
      </c>
      <c r="DG3" s="187"/>
      <c r="DH3" s="187"/>
      <c r="DI3" s="187"/>
      <c r="DJ3" s="187"/>
      <c r="DK3" s="187"/>
      <c r="DL3" s="187"/>
      <c r="DM3" s="234"/>
      <c r="DN3" s="187"/>
      <c r="DO3" s="187"/>
      <c r="DP3" s="187"/>
      <c r="DQ3" s="187"/>
      <c r="DR3" s="187"/>
      <c r="DS3" s="187"/>
      <c r="DT3" s="187"/>
      <c r="DU3" s="187"/>
      <c r="DV3" s="187"/>
      <c r="DW3" s="195"/>
      <c r="DX3" s="195"/>
      <c r="DY3" s="195"/>
      <c r="DZ3" s="187"/>
      <c r="EA3" s="187"/>
      <c r="EB3" s="187"/>
      <c r="EC3" s="187"/>
      <c r="ED3" s="187"/>
      <c r="EE3" s="187"/>
      <c r="EF3" s="187"/>
      <c r="EG3" s="187"/>
      <c r="EH3" s="187"/>
    </row>
    <row r="4" spans="1:138" ht="18.75" customHeight="1" thickBot="1">
      <c r="B4" s="194" t="s">
        <v>843</v>
      </c>
      <c r="C4" s="192" t="s">
        <v>956</v>
      </c>
      <c r="D4" s="226"/>
      <c r="E4" s="226"/>
      <c r="F4" s="226"/>
      <c r="G4" s="226"/>
      <c r="H4" s="226"/>
      <c r="I4" s="226"/>
      <c r="J4" s="226"/>
      <c r="K4" s="226"/>
      <c r="L4" s="226"/>
      <c r="M4" s="226"/>
      <c r="N4" s="226"/>
      <c r="O4" s="226"/>
      <c r="P4" s="226"/>
      <c r="Q4" s="226"/>
      <c r="R4" s="226"/>
      <c r="S4" s="226"/>
      <c r="T4" s="226"/>
      <c r="U4" s="226"/>
      <c r="V4" s="226"/>
      <c r="W4" s="226"/>
      <c r="X4" s="226"/>
      <c r="Y4" s="226"/>
      <c r="Z4" s="226"/>
      <c r="AA4" s="226"/>
      <c r="AB4" s="226"/>
      <c r="AC4" s="226"/>
      <c r="AD4" s="226"/>
      <c r="AE4" s="226"/>
      <c r="AF4" s="226"/>
      <c r="AG4" s="226"/>
      <c r="AH4" s="226"/>
      <c r="AI4" s="226"/>
      <c r="AJ4" s="226"/>
      <c r="AK4" s="226"/>
      <c r="AL4" s="226"/>
      <c r="AM4" s="226"/>
      <c r="AP4" s="192" t="s">
        <v>967</v>
      </c>
      <c r="AS4" s="489"/>
      <c r="AT4" s="489"/>
      <c r="AU4" s="154" t="s">
        <v>71</v>
      </c>
      <c r="AV4" s="474"/>
      <c r="AW4" s="218"/>
      <c r="AX4" s="166" t="s">
        <v>317</v>
      </c>
      <c r="AY4" s="565"/>
      <c r="AZ4" s="565"/>
      <c r="BA4" s="218"/>
      <c r="BB4" s="166" t="s">
        <v>34</v>
      </c>
      <c r="BC4" s="478"/>
      <c r="BD4" s="479"/>
      <c r="BE4" s="227" t="str">
        <f>IF(UNKB0040_H_SHIIRESAKI_CD="","",UNKB0040_H_SHIIRE_MEI)</f>
        <v/>
      </c>
      <c r="BG4" s="210"/>
      <c r="BH4" s="210" t="s">
        <v>339</v>
      </c>
      <c r="BI4" s="210" t="s">
        <v>983</v>
      </c>
      <c r="BJ4" s="212"/>
      <c r="BN4" s="223" t="s">
        <v>987</v>
      </c>
      <c r="BO4" s="223" t="s">
        <v>339</v>
      </c>
      <c r="BP4" s="223" t="s">
        <v>988</v>
      </c>
      <c r="BQ4" s="223" t="s">
        <v>341</v>
      </c>
      <c r="BR4" s="223" t="s">
        <v>342</v>
      </c>
      <c r="BS4" s="223" t="s">
        <v>991</v>
      </c>
      <c r="BT4" s="223" t="s">
        <v>992</v>
      </c>
      <c r="BU4" s="223" t="s">
        <v>40</v>
      </c>
      <c r="BV4" s="223" t="s">
        <v>993</v>
      </c>
      <c r="BW4" s="223" t="s">
        <v>994</v>
      </c>
      <c r="BX4" s="223" t="s">
        <v>742</v>
      </c>
      <c r="BY4" s="223" t="s">
        <v>116</v>
      </c>
      <c r="BZ4" s="223" t="s">
        <v>995</v>
      </c>
      <c r="CA4" s="223" t="s">
        <v>90</v>
      </c>
      <c r="CB4" s="223" t="s">
        <v>47</v>
      </c>
      <c r="CC4" s="223" t="s">
        <v>996</v>
      </c>
      <c r="CD4" s="223" t="s">
        <v>997</v>
      </c>
      <c r="CE4" s="223" t="s">
        <v>50</v>
      </c>
      <c r="CF4" s="223" t="s">
        <v>51</v>
      </c>
      <c r="CG4" s="223" t="s">
        <v>52</v>
      </c>
      <c r="CH4" s="223" t="s">
        <v>53</v>
      </c>
      <c r="CI4" s="223" t="s">
        <v>54</v>
      </c>
      <c r="CJ4" s="223" t="s">
        <v>998</v>
      </c>
      <c r="CK4" s="223" t="s">
        <v>999</v>
      </c>
      <c r="CL4" s="223" t="s">
        <v>1000</v>
      </c>
      <c r="CM4" s="223" t="s">
        <v>58</v>
      </c>
      <c r="CN4" s="223" t="s">
        <v>1001</v>
      </c>
      <c r="CO4" s="223" t="s">
        <v>449</v>
      </c>
      <c r="CP4" s="223" t="s">
        <v>61</v>
      </c>
      <c r="CQ4" s="223" t="s">
        <v>62</v>
      </c>
      <c r="CR4" s="223" t="s">
        <v>63</v>
      </c>
      <c r="CS4" s="223" t="s">
        <v>64</v>
      </c>
      <c r="CT4" s="223" t="s">
        <v>65</v>
      </c>
      <c r="CU4" s="223" t="s">
        <v>66</v>
      </c>
      <c r="CV4" s="223" t="s">
        <v>878</v>
      </c>
      <c r="CW4" s="223" t="s">
        <v>880</v>
      </c>
      <c r="CX4" s="223" t="s">
        <v>877</v>
      </c>
      <c r="CY4" s="223" t="s">
        <v>1002</v>
      </c>
      <c r="CZ4" s="223" t="s">
        <v>811</v>
      </c>
      <c r="DG4" s="193" t="s">
        <v>65</v>
      </c>
      <c r="DH4" s="193" t="s">
        <v>88</v>
      </c>
      <c r="DI4" s="193" t="s">
        <v>40</v>
      </c>
      <c r="DJ4" s="193" t="s">
        <v>1023</v>
      </c>
      <c r="DK4" s="193" t="s">
        <v>994</v>
      </c>
      <c r="DL4" s="193" t="s">
        <v>742</v>
      </c>
      <c r="DM4" s="193" t="s">
        <v>1024</v>
      </c>
      <c r="DN4" s="193" t="s">
        <v>45</v>
      </c>
      <c r="DO4" s="193" t="s">
        <v>1025</v>
      </c>
      <c r="DP4" s="193" t="s">
        <v>47</v>
      </c>
      <c r="DQ4" s="193" t="s">
        <v>996</v>
      </c>
      <c r="DR4" s="193" t="s">
        <v>51</v>
      </c>
      <c r="DS4" s="193" t="s">
        <v>50</v>
      </c>
      <c r="DT4" s="193" t="s">
        <v>997</v>
      </c>
      <c r="DU4" s="193" t="s">
        <v>52</v>
      </c>
      <c r="DV4" s="193" t="s">
        <v>1026</v>
      </c>
      <c r="DW4" s="193" t="s">
        <v>107</v>
      </c>
      <c r="DX4" s="193" t="s">
        <v>1027</v>
      </c>
      <c r="DY4" s="193" t="s">
        <v>1028</v>
      </c>
      <c r="DZ4" s="193" t="s">
        <v>1000</v>
      </c>
      <c r="EA4" s="193" t="s">
        <v>58</v>
      </c>
      <c r="EB4" s="193" t="s">
        <v>59</v>
      </c>
      <c r="EC4" s="193" t="s">
        <v>449</v>
      </c>
      <c r="ED4" s="193" t="s">
        <v>1029</v>
      </c>
      <c r="EE4" s="193" t="s">
        <v>62</v>
      </c>
      <c r="EF4" s="193" t="s">
        <v>63</v>
      </c>
      <c r="EG4" s="193" t="s">
        <v>64</v>
      </c>
      <c r="EH4" s="220" t="s">
        <v>1030</v>
      </c>
    </row>
    <row r="5" spans="1:138" ht="18.75" customHeight="1" thickTop="1">
      <c r="B5" s="194" t="s">
        <v>844</v>
      </c>
      <c r="C5" s="192" t="s">
        <v>957</v>
      </c>
      <c r="D5" s="168" t="s">
        <v>845</v>
      </c>
      <c r="E5" s="233"/>
      <c r="F5" s="164"/>
      <c r="G5" s="163"/>
      <c r="H5" s="233"/>
      <c r="I5" s="164"/>
      <c r="J5" s="163"/>
      <c r="K5" s="360"/>
      <c r="L5" s="165"/>
      <c r="M5" s="165"/>
      <c r="N5" s="171"/>
      <c r="O5" s="359"/>
      <c r="P5" s="359"/>
      <c r="Q5" s="176"/>
      <c r="R5" s="359"/>
      <c r="S5" s="164"/>
      <c r="T5" s="359"/>
      <c r="U5" s="359"/>
      <c r="V5" s="165"/>
      <c r="W5" s="165"/>
      <c r="X5" s="165"/>
      <c r="Y5" s="164"/>
      <c r="Z5" s="164"/>
      <c r="AA5" s="171"/>
      <c r="AB5" s="164"/>
      <c r="AC5" s="171"/>
      <c r="AD5" s="164"/>
      <c r="AE5" s="164"/>
      <c r="AF5" s="171"/>
      <c r="AG5" s="164"/>
      <c r="AH5" s="164"/>
      <c r="AI5" s="164"/>
      <c r="AJ5" s="164"/>
      <c r="AK5" s="164"/>
      <c r="AL5" s="164"/>
      <c r="AM5" s="164"/>
      <c r="AO5" s="179" t="s">
        <v>69</v>
      </c>
      <c r="AP5" s="180" t="b">
        <v>1</v>
      </c>
      <c r="AS5" s="489"/>
      <c r="AT5" s="489"/>
      <c r="AU5" s="154" t="s">
        <v>71</v>
      </c>
      <c r="AV5" s="474"/>
      <c r="AW5" s="218"/>
      <c r="AX5" s="166" t="s">
        <v>36</v>
      </c>
      <c r="AY5" s="564"/>
      <c r="AZ5" s="564"/>
      <c r="BA5" s="218"/>
      <c r="BB5" s="166" t="s">
        <v>37</v>
      </c>
      <c r="BC5" s="478"/>
      <c r="BD5" s="479"/>
      <c r="BE5" s="227" t="str">
        <f>IF(UNKB0040_H_MAKER_CD="","",UNKB0040_H_MAKER_MEI)</f>
        <v/>
      </c>
      <c r="BG5" s="210"/>
      <c r="BH5" s="210" t="s">
        <v>265</v>
      </c>
      <c r="BI5" s="210" t="s">
        <v>986</v>
      </c>
      <c r="BJ5" s="212">
        <v>0</v>
      </c>
      <c r="BN5" s="224"/>
      <c r="BO5" s="224"/>
      <c r="BP5" s="225"/>
      <c r="BQ5" s="225"/>
      <c r="BR5" s="225"/>
      <c r="BS5" s="225"/>
      <c r="BT5" s="225"/>
      <c r="BU5" s="225"/>
      <c r="BV5" s="225"/>
      <c r="BW5" s="225"/>
      <c r="BX5" s="225"/>
      <c r="BY5" s="225"/>
      <c r="BZ5" s="225"/>
      <c r="CA5" s="225"/>
      <c r="CB5" s="225"/>
      <c r="CC5" s="225"/>
      <c r="CD5" s="225"/>
      <c r="CE5" s="225"/>
      <c r="CF5" s="225"/>
      <c r="CG5" s="225"/>
      <c r="CH5" s="225"/>
      <c r="CI5" s="225"/>
      <c r="CJ5" s="225"/>
      <c r="CK5" s="225"/>
      <c r="CL5" s="225"/>
      <c r="CM5" s="225"/>
      <c r="CN5" s="225"/>
      <c r="CO5" s="225"/>
      <c r="CP5" s="225"/>
      <c r="CQ5" s="225"/>
      <c r="CR5" s="225"/>
      <c r="CS5" s="225"/>
      <c r="CT5" s="225"/>
      <c r="CU5" s="225"/>
      <c r="CV5" s="225"/>
      <c r="CW5" s="225"/>
      <c r="CX5" s="225"/>
      <c r="CY5" s="225"/>
      <c r="CZ5" s="225"/>
      <c r="DG5" s="190"/>
    </row>
    <row r="6" spans="1:138" ht="16.5" customHeight="1">
      <c r="B6" s="194" t="s">
        <v>971</v>
      </c>
      <c r="C6" s="192" t="s">
        <v>972</v>
      </c>
      <c r="D6" s="203"/>
      <c r="E6" s="203"/>
      <c r="F6" s="203"/>
      <c r="G6" s="201"/>
      <c r="H6" s="222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  <c r="T6" s="204"/>
      <c r="U6" s="204"/>
      <c r="V6" s="204"/>
      <c r="W6" s="204"/>
      <c r="X6" s="204"/>
      <c r="Y6" s="204"/>
      <c r="Z6" s="205"/>
      <c r="AA6" s="204"/>
      <c r="AB6" s="205"/>
      <c r="AC6" s="204"/>
      <c r="AD6" s="204"/>
      <c r="AE6" s="204"/>
      <c r="AF6" s="205"/>
      <c r="AG6" s="204"/>
      <c r="AH6" s="205"/>
      <c r="AI6" s="204"/>
      <c r="AJ6" s="204"/>
      <c r="AK6" s="205"/>
      <c r="AL6" s="204"/>
      <c r="AM6" s="205"/>
      <c r="AO6" s="179" t="s">
        <v>20</v>
      </c>
      <c r="AP6" s="181" t="b">
        <v>1</v>
      </c>
      <c r="AS6" s="489"/>
      <c r="AT6" s="489"/>
      <c r="AU6" s="154" t="s">
        <v>71</v>
      </c>
      <c r="AV6" s="474"/>
      <c r="AW6" s="218"/>
      <c r="AX6" s="166" t="s">
        <v>1904</v>
      </c>
      <c r="AY6" s="487"/>
      <c r="AZ6" s="488"/>
      <c r="BA6" s="218"/>
      <c r="BB6" s="218"/>
      <c r="BC6" s="218"/>
      <c r="BD6" s="218"/>
      <c r="BE6" s="218"/>
      <c r="BG6" s="210"/>
      <c r="BH6" s="210" t="s">
        <v>982</v>
      </c>
      <c r="BI6" s="210" t="s">
        <v>984</v>
      </c>
      <c r="BJ6" s="213" t="s">
        <v>1862</v>
      </c>
      <c r="DC6" s="194" t="s">
        <v>872</v>
      </c>
      <c r="DD6" s="192" t="s">
        <v>955</v>
      </c>
      <c r="DE6" s="190">
        <v>1</v>
      </c>
    </row>
    <row r="7" spans="1:138" ht="16.5">
      <c r="AO7" s="30" t="s">
        <v>699</v>
      </c>
      <c r="AP7" s="181" t="b">
        <v>1</v>
      </c>
      <c r="AS7" s="218"/>
      <c r="AT7" s="218"/>
      <c r="AU7" s="218"/>
      <c r="AV7" s="218"/>
      <c r="AW7" s="218"/>
      <c r="AX7" s="218"/>
      <c r="AY7" s="218"/>
      <c r="AZ7" s="218"/>
      <c r="BA7" s="218"/>
      <c r="BB7" s="218"/>
      <c r="BC7" s="218"/>
      <c r="BD7" s="218"/>
      <c r="BE7" s="218"/>
      <c r="BH7" s="199" t="s">
        <v>985</v>
      </c>
      <c r="BI7" s="199" t="s">
        <v>1012</v>
      </c>
      <c r="BJ7" s="212"/>
      <c r="DC7" s="194" t="s">
        <v>391</v>
      </c>
      <c r="DD7" s="194" t="s">
        <v>1018</v>
      </c>
      <c r="DE7" s="190" t="str">
        <f>IF(UNKB0040_IF_PRINT_COUNT=0,"",
"UNKB0040_IF!"&amp;ADDRESS(ROW(UNKB0040_IF_PRINT_START),COLUMN(UNKB0040_IF_PRINT_START))&amp;":" &amp; ADDRESS(ROW(UNKB0040_IF_PRINT_START)+UNKB0040_IF_PRINT_COUNT-1,COLUMN(UNKB0040_IF_PRINT_START)+COLUMNS(UNKB0040_IF_PRINT_SHOSHIKI_COPY_MOTO)-1))</f>
        <v>UNKB0040_IF!$DG$5:$EH$5</v>
      </c>
    </row>
    <row r="8" spans="1:138" ht="16.5">
      <c r="A8" s="57" t="s">
        <v>840</v>
      </c>
      <c r="B8" s="192"/>
      <c r="C8" s="192"/>
      <c r="D8" s="192"/>
      <c r="E8" s="217"/>
      <c r="F8" s="192"/>
      <c r="G8" s="192"/>
      <c r="H8" s="217"/>
      <c r="AO8" s="179" t="s">
        <v>22</v>
      </c>
      <c r="AP8" s="181" t="b">
        <v>1</v>
      </c>
      <c r="AS8" s="491"/>
      <c r="AT8" s="491"/>
      <c r="AU8" s="167" t="str">
        <f>IF(UNKB0040_H_FREEWD_KBN=1,"AND",IF(UNKB0040_H_FREEWD_KBN=2,"OR","NAND"))</f>
        <v>AND</v>
      </c>
      <c r="AV8" s="355"/>
      <c r="AW8" s="167" t="str">
        <f>UNKB0040_H_FREEWD_KBN_DISP</f>
        <v>AND</v>
      </c>
      <c r="AX8" s="355"/>
      <c r="AY8" s="218"/>
      <c r="AZ8" s="218"/>
      <c r="BA8" s="218"/>
      <c r="BB8" s="218"/>
      <c r="BC8" s="218"/>
      <c r="BD8" s="218"/>
      <c r="BE8" s="218"/>
      <c r="DC8" s="194" t="s">
        <v>885</v>
      </c>
      <c r="DD8" s="194" t="s">
        <v>1019</v>
      </c>
      <c r="DE8" s="190" t="b">
        <f>IF(UNKB0040_IF_PRINT_COUNT=0,FALSE,TRUE)</f>
        <v>1</v>
      </c>
    </row>
    <row r="9" spans="1:138" ht="16.5">
      <c r="A9" s="192"/>
      <c r="B9" s="192" t="s">
        <v>127</v>
      </c>
      <c r="C9" s="192" t="s">
        <v>958</v>
      </c>
      <c r="D9" s="155"/>
      <c r="E9" s="217" t="s">
        <v>128</v>
      </c>
      <c r="F9" s="217" t="s">
        <v>129</v>
      </c>
      <c r="G9" s="192"/>
      <c r="H9" s="217"/>
      <c r="AO9" s="179" t="s">
        <v>23</v>
      </c>
      <c r="AP9" s="181" t="b">
        <v>0</v>
      </c>
      <c r="BG9" s="230" t="s">
        <v>275</v>
      </c>
      <c r="BH9" s="230"/>
    </row>
    <row r="10" spans="1:138" ht="16.5">
      <c r="A10" s="192"/>
      <c r="B10" s="231" t="s">
        <v>95</v>
      </c>
      <c r="C10" s="231" t="s">
        <v>1236</v>
      </c>
      <c r="D10" s="155"/>
      <c r="E10" s="217"/>
      <c r="F10" s="217"/>
      <c r="G10" s="192"/>
      <c r="H10" s="217"/>
      <c r="AO10" s="179" t="s">
        <v>68</v>
      </c>
      <c r="AP10" s="181" t="b">
        <v>1</v>
      </c>
      <c r="BH10" s="230" t="s">
        <v>277</v>
      </c>
      <c r="BI10" s="231" t="s">
        <v>1014</v>
      </c>
      <c r="BJ10" s="232" t="str">
        <f>IF(UNKB0040_B_HYOJI_KENSU=0,"",
"UNKB0040_IF!"&amp;ADDRESS(ROW(UNKB0040_IF_SAVE_COPY_START),COLUMN(UNKB0040_IF_SAVE_COPY_START))&amp;":"&amp;ADDRESS(ROW(UNKB0040_IF_SAVE_COPY_START)+UNKB0040_B_HYOJI_KENSU-1,COLUMN(UNKB0040_IF_SAVE_COPY_START)+COLUMNS(UNKB0040_IF_SAVE_COPY_MOTO)-1))</f>
        <v>UNKB0040_IF!$BN$5:$CZ$14</v>
      </c>
      <c r="DC10" s="194" t="s">
        <v>873</v>
      </c>
      <c r="DD10" s="192" t="s">
        <v>1020</v>
      </c>
      <c r="DE10" s="190" t="str">
        <f ca="1">"購買申請承認_"&amp;TEXT(NOW(),"YYYYMMDD")&amp;"_"&amp;TEXT(NOW(),"hhmmss")</f>
        <v>購買申請承認_20170714_180439</v>
      </c>
    </row>
    <row r="11" spans="1:138" ht="16.5">
      <c r="A11" s="192"/>
      <c r="B11" s="231" t="s">
        <v>1234</v>
      </c>
      <c r="C11" s="231" t="s">
        <v>1237</v>
      </c>
      <c r="D11" s="155"/>
      <c r="E11" s="217"/>
      <c r="F11" s="217"/>
      <c r="G11" s="192"/>
      <c r="H11" s="217"/>
      <c r="AO11" s="179" t="s">
        <v>656</v>
      </c>
      <c r="AP11" s="181" t="b">
        <v>0</v>
      </c>
      <c r="BH11" s="230" t="s">
        <v>278</v>
      </c>
      <c r="BI11" s="231" t="s">
        <v>1015</v>
      </c>
      <c r="BJ11" s="232">
        <f>UNKB0040_B_HYOJI_KENSU</f>
        <v>10</v>
      </c>
    </row>
    <row r="12" spans="1:138" ht="16.5">
      <c r="A12" s="178" t="s">
        <v>261</v>
      </c>
      <c r="B12" s="192"/>
      <c r="C12" s="192"/>
      <c r="D12" s="192"/>
      <c r="E12" s="217"/>
      <c r="F12" s="217"/>
      <c r="G12" s="192"/>
      <c r="H12" s="217"/>
      <c r="AO12" s="179" t="s">
        <v>707</v>
      </c>
      <c r="AP12" s="181" t="b">
        <v>0</v>
      </c>
      <c r="BG12" s="230"/>
      <c r="BH12" s="230"/>
    </row>
    <row r="13" spans="1:138" ht="16.5">
      <c r="A13" s="192"/>
      <c r="B13" s="192" t="s">
        <v>339</v>
      </c>
      <c r="C13" s="192" t="s">
        <v>959</v>
      </c>
      <c r="D13" s="155"/>
      <c r="E13" s="217"/>
      <c r="F13" s="217"/>
      <c r="G13" s="192"/>
      <c r="H13" s="217"/>
      <c r="AO13" s="179" t="s">
        <v>27</v>
      </c>
      <c r="AP13" s="181" t="b">
        <v>0</v>
      </c>
      <c r="BG13" s="230" t="s">
        <v>1011</v>
      </c>
      <c r="BH13" s="231"/>
    </row>
    <row r="14" spans="1:138" ht="16.5">
      <c r="A14" s="192"/>
      <c r="B14" s="192" t="s">
        <v>265</v>
      </c>
      <c r="C14" s="192" t="s">
        <v>960</v>
      </c>
      <c r="D14" s="156"/>
      <c r="E14" s="217"/>
      <c r="F14" s="217"/>
      <c r="G14" s="192"/>
      <c r="H14" s="217"/>
      <c r="AO14" s="179" t="s">
        <v>28</v>
      </c>
      <c r="AP14" s="181" t="b">
        <v>0</v>
      </c>
      <c r="BH14" s="230" t="s">
        <v>278</v>
      </c>
      <c r="BI14" s="231" t="s">
        <v>1013</v>
      </c>
      <c r="BJ14" s="232"/>
    </row>
    <row r="15" spans="1:138" ht="16.5">
      <c r="A15" s="192"/>
      <c r="B15" s="192" t="s">
        <v>267</v>
      </c>
      <c r="C15" s="192" t="s">
        <v>961</v>
      </c>
      <c r="D15" s="162"/>
      <c r="E15" s="217"/>
      <c r="F15" s="217"/>
      <c r="G15" s="192"/>
      <c r="H15" s="217"/>
      <c r="AO15" s="179" t="s">
        <v>710</v>
      </c>
      <c r="AP15" s="181" t="b">
        <v>0</v>
      </c>
      <c r="AS15" s="192"/>
    </row>
    <row r="16" spans="1:138" ht="16.5">
      <c r="A16" s="57" t="s">
        <v>132</v>
      </c>
      <c r="B16" s="192"/>
      <c r="C16" s="192"/>
      <c r="D16" s="192"/>
      <c r="E16" s="217"/>
      <c r="F16" s="217"/>
      <c r="G16" s="192"/>
      <c r="H16" s="217"/>
      <c r="AO16" s="179" t="s">
        <v>114</v>
      </c>
      <c r="AP16" s="181"/>
    </row>
    <row r="17" spans="1:42" ht="16.5">
      <c r="A17" s="192"/>
      <c r="B17" s="192" t="s">
        <v>846</v>
      </c>
      <c r="C17" s="192" t="s">
        <v>962</v>
      </c>
      <c r="D17" s="155"/>
      <c r="E17" s="217" t="s">
        <v>134</v>
      </c>
      <c r="F17" s="217"/>
      <c r="G17" s="192"/>
      <c r="H17" s="217"/>
      <c r="AO17" s="179" t="s">
        <v>452</v>
      </c>
      <c r="AP17" s="181"/>
    </row>
    <row r="18" spans="1:42" ht="16.5">
      <c r="A18" s="192"/>
      <c r="B18" s="192"/>
      <c r="C18" s="192"/>
      <c r="D18" s="192"/>
      <c r="E18" s="217"/>
      <c r="F18" s="217"/>
      <c r="G18" s="192"/>
      <c r="H18" s="217"/>
      <c r="AO18" s="179" t="s">
        <v>90</v>
      </c>
      <c r="AP18" s="181"/>
    </row>
    <row r="19" spans="1:42" ht="16.5">
      <c r="A19" s="191" t="s">
        <v>180</v>
      </c>
      <c r="B19" s="192"/>
      <c r="C19" s="160"/>
      <c r="F19" s="217"/>
      <c r="G19" s="192"/>
      <c r="H19" s="217"/>
      <c r="AO19" s="179" t="s">
        <v>59</v>
      </c>
      <c r="AP19" s="181"/>
    </row>
    <row r="20" spans="1:42" ht="16.5">
      <c r="B20" s="194" t="s">
        <v>181</v>
      </c>
      <c r="C20" s="192" t="s">
        <v>963</v>
      </c>
      <c r="D20" s="159"/>
      <c r="F20" s="217"/>
      <c r="G20" s="192"/>
      <c r="H20" s="217"/>
      <c r="AO20" s="179" t="s">
        <v>61</v>
      </c>
      <c r="AP20" s="181"/>
    </row>
    <row r="21" spans="1:42" ht="16.5">
      <c r="B21" s="194" t="s">
        <v>182</v>
      </c>
      <c r="C21" s="192" t="s">
        <v>964</v>
      </c>
      <c r="D21" s="159"/>
      <c r="F21" s="217"/>
      <c r="G21" s="192"/>
      <c r="H21" s="217"/>
      <c r="AO21" s="182" t="s">
        <v>858</v>
      </c>
      <c r="AP21" s="183">
        <v>1</v>
      </c>
    </row>
    <row r="22" spans="1:42">
      <c r="B22" s="194" t="s">
        <v>183</v>
      </c>
      <c r="C22" s="192" t="s">
        <v>965</v>
      </c>
      <c r="D22" s="159"/>
      <c r="F22" s="217"/>
      <c r="G22" s="192"/>
      <c r="H22" s="217"/>
    </row>
    <row r="23" spans="1:42">
      <c r="C23" s="192"/>
      <c r="F23" s="217"/>
      <c r="G23" s="192"/>
      <c r="H23" s="217"/>
    </row>
    <row r="24" spans="1:42">
      <c r="B24" s="194" t="s">
        <v>184</v>
      </c>
      <c r="C24" s="192" t="s">
        <v>966</v>
      </c>
      <c r="D24" s="159"/>
      <c r="F24" s="217"/>
      <c r="G24" s="192"/>
      <c r="H24" s="217"/>
    </row>
    <row r="26" spans="1:42" ht="16.5" customHeight="1">
      <c r="A26" s="191"/>
    </row>
    <row r="27" spans="1:42" ht="16.5" customHeight="1">
      <c r="C27" s="192"/>
    </row>
  </sheetData>
  <mergeCells count="12">
    <mergeCell ref="BC3:BD3"/>
    <mergeCell ref="AY4:AZ4"/>
    <mergeCell ref="BC4:BD4"/>
    <mergeCell ref="AY5:AZ5"/>
    <mergeCell ref="BC5:BD5"/>
    <mergeCell ref="AS8:AT8"/>
    <mergeCell ref="AS5:AT5"/>
    <mergeCell ref="AY6:AZ6"/>
    <mergeCell ref="AS6:AT6"/>
    <mergeCell ref="AS3:AT3"/>
    <mergeCell ref="AS4:AT4"/>
    <mergeCell ref="AY3:AZ3"/>
  </mergeCells>
  <phoneticPr fontId="1"/>
  <conditionalFormatting sqref="D5:N5 V5:AH5 S5 Q5">
    <cfRule type="expression" dxfId="78" priority="13">
      <formula>CELL("row")=ROW()</formula>
    </cfRule>
  </conditionalFormatting>
  <conditionalFormatting sqref="F5">
    <cfRule type="expression" dxfId="77" priority="12">
      <formula>F5&lt;&gt;""</formula>
    </cfRule>
  </conditionalFormatting>
  <conditionalFormatting sqref="AI5:AM5">
    <cfRule type="expression" dxfId="76" priority="10">
      <formula>CELL("row")=ROW()</formula>
    </cfRule>
  </conditionalFormatting>
  <conditionalFormatting sqref="G6">
    <cfRule type="expression" dxfId="75" priority="9">
      <formula>INDIRECT(ADDRESS(ROW(),COLUMN(UNKB0040_B_KOBAI_STS)))&gt;3</formula>
    </cfRule>
  </conditionalFormatting>
  <conditionalFormatting sqref="O5">
    <cfRule type="expression" dxfId="74" priority="7">
      <formula>CELL("row")=ROW()</formula>
    </cfRule>
  </conditionalFormatting>
  <conditionalFormatting sqref="O5">
    <cfRule type="expression" dxfId="73" priority="8">
      <formula>INDIRECT(ADDRESS(ROW(),COLUMN()))=TRUNC(INDIRECT(ADDRESS(ROW(),COLUMN())))</formula>
    </cfRule>
  </conditionalFormatting>
  <conditionalFormatting sqref="P5">
    <cfRule type="expression" dxfId="72" priority="5">
      <formula>CELL("row")=ROW()</formula>
    </cfRule>
  </conditionalFormatting>
  <conditionalFormatting sqref="P5">
    <cfRule type="expression" dxfId="71" priority="6">
      <formula>INDIRECT(ADDRESS(ROW(),COLUMN()))=TRUNC(INDIRECT(ADDRESS(ROW(),COLUMN())))</formula>
    </cfRule>
  </conditionalFormatting>
  <conditionalFormatting sqref="R5">
    <cfRule type="expression" dxfId="70" priority="3">
      <formula>CELL("row")=ROW()</formula>
    </cfRule>
  </conditionalFormatting>
  <conditionalFormatting sqref="R5">
    <cfRule type="expression" dxfId="69" priority="4">
      <formula>INDIRECT(ADDRESS(ROW(),COLUMN()))=TRUNC(INDIRECT(ADDRESS(ROW(),COLUMN())))</formula>
    </cfRule>
  </conditionalFormatting>
  <conditionalFormatting sqref="T5:U5">
    <cfRule type="expression" dxfId="68" priority="1">
      <formula>CELL("row")=ROW()</formula>
    </cfRule>
  </conditionalFormatting>
  <conditionalFormatting sqref="T5:U5">
    <cfRule type="expression" dxfId="67" priority="2">
      <formula>INDIRECT(ADDRESS(ROW(),COLUMN()))=TRUNC(INDIRECT(ADDRESS(ROW(),COLUMN())))</formula>
    </cfRule>
  </conditionalFormatting>
  <dataValidations count="3">
    <dataValidation type="custom" allowBlank="1" showInputMessage="1" showErrorMessage="1" sqref="AY3:AZ3 AY5:AZ5">
      <formula1>AND(LEN(AY3)=LENB(AY3),LEN(AY3)=10)</formula1>
    </dataValidation>
    <dataValidation type="date" allowBlank="1" showInputMessage="1" showErrorMessage="1" sqref="AS3:AT6 AV3:AV6">
      <formula1>36526</formula1>
      <formula2>73415</formula2>
    </dataValidation>
    <dataValidation type="custom" allowBlank="1" showInputMessage="1" showErrorMessage="1" sqref="AY6:AZ6">
      <formula1>AND(LEN(AY6)=LENB(AY6),LEN(AY6)&lt;=10)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8" r:id="rId4" name="Check Box 2">
              <controlPr defaultSize="0" autoFill="0" autoLine="0" autoPict="0" macro="[0]!UNKB0040_CLICK_CHECKBOX">
                <anchor moveWithCells="1">
                  <from>
                    <xdr:col>6</xdr:col>
                    <xdr:colOff>85725</xdr:colOff>
                    <xdr:row>5</xdr:row>
                    <xdr:rowOff>28575</xdr:rowOff>
                  </from>
                  <to>
                    <xdr:col>6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B5:H68"/>
  <sheetViews>
    <sheetView zoomScale="70" zoomScaleNormal="70" workbookViewId="0">
      <selection activeCell="F21" sqref="F21"/>
    </sheetView>
  </sheetViews>
  <sheetFormatPr defaultRowHeight="15" customHeight="1"/>
  <cols>
    <col min="1" max="1" width="9" style="199"/>
    <col min="2" max="2" width="3.5" style="199" customWidth="1"/>
    <col min="3" max="3" width="3.125" style="199" customWidth="1"/>
    <col min="4" max="4" width="3.25" style="199" customWidth="1"/>
    <col min="5" max="5" width="25.125" style="199" bestFit="1" customWidth="1"/>
    <col min="6" max="6" width="82.625" style="199" bestFit="1" customWidth="1"/>
    <col min="7" max="7" width="7.5" style="199" bestFit="1" customWidth="1"/>
    <col min="8" max="8" width="40.375" style="199" bestFit="1" customWidth="1"/>
    <col min="9" max="16384" width="9" style="199"/>
  </cols>
  <sheetData>
    <row r="5" spans="2:8" ht="15" customHeight="1">
      <c r="B5" s="504" t="s">
        <v>516</v>
      </c>
      <c r="C5" s="505"/>
      <c r="D5" s="505"/>
      <c r="E5" s="506"/>
      <c r="F5" s="147"/>
      <c r="G5" s="147"/>
      <c r="H5" s="148" t="s">
        <v>123</v>
      </c>
    </row>
    <row r="6" spans="2:8" ht="15" customHeight="1">
      <c r="B6" s="500" t="s">
        <v>799</v>
      </c>
      <c r="C6" s="501"/>
      <c r="D6" s="501"/>
      <c r="E6" s="502"/>
      <c r="F6" s="134" t="str">
        <f>F7 &amp; F8 &amp; F16</f>
        <v>SELECT *
 FROM V_KOBAI_SHONIN_LIST
 WHERE 1=1
 AND (1!=1  
 OR V_KOBAI_SHONIN_LIST.KOBAI_KBN = ''1'' 
 OR V_KOBAI_SHONIN_LIST.KOBAI_KBN = ''2'' 
 OR V_KOBAI_SHONIN_LIST.KOBAI_KBN = ''3'' 
 OR V_KOBAI_SHONIN_LIST.KOBAI_KBN = ''4'' 
 OR V_KOBAI_SHONIN_LIST.KOBAI_KBN = ''5'')
 AND (1!=1  
 OR V_KOBAI_SHONIN_LIST.KOBAI_STS = ''1'')</v>
      </c>
      <c r="G6" s="134"/>
      <c r="H6" s="135" t="s">
        <v>977</v>
      </c>
    </row>
    <row r="7" spans="2:8" ht="15" customHeight="1">
      <c r="B7" s="136"/>
      <c r="C7" s="503" t="s">
        <v>124</v>
      </c>
      <c r="D7" s="503"/>
      <c r="E7" s="503"/>
      <c r="F7" s="196" t="s">
        <v>881</v>
      </c>
      <c r="G7" s="138"/>
      <c r="H7" s="139"/>
    </row>
    <row r="8" spans="2:8" ht="15" customHeight="1">
      <c r="B8" s="136"/>
      <c r="C8" s="503" t="s">
        <v>795</v>
      </c>
      <c r="D8" s="503"/>
      <c r="E8" s="503"/>
      <c r="F8" s="196" t="s">
        <v>975</v>
      </c>
      <c r="G8" s="138"/>
      <c r="H8" s="139"/>
    </row>
    <row r="9" spans="2:8" ht="15" customHeight="1">
      <c r="B9" s="500" t="s">
        <v>802</v>
      </c>
      <c r="C9" s="501"/>
      <c r="D9" s="501"/>
      <c r="E9" s="502"/>
      <c r="F9" s="134" t="str">
        <f>F10&amp;F11&amp;F58</f>
        <v xml:space="preserve">SELECT
   W_KOBAI_SHONIN_LIST.KOBAI_NO
  ,W_KOBAI_SHONIN_LIST.SELECT_FLG
  ,W_KOBAI_SHONIN_LIST.WARNING
  ,W_KOBAI_SHONIN_LIST.KOBAI_KBN_MEI
  ,W_KOBAI_SHONIN_LIST.KOBAI_STS_MEI
  ,W_KOBAI_SHONIN_LIST.SHINSEISHA_MEI
  ,W_KOBAI_SHONIN_LIST.SHINSEI_DATETIME
  ,W_KOBAI_SHONIN_LIST.KOBAIHIN_CD
  ,W_KOBAI_SHONIN_LIST.KOBAIHIN_MEI
  ,W_KOBAI_SHONIN_LIST.TANKA
  ,W_KOBAI_SHONIN_LIST.IRISU
  ,W_KOBAI_SHONIN_LIST.BARA_TANI
  ,W_KOBAI_SHONIN_LIST.SURYO
  ,W_KOBAI_SHONIN_LIST.IRISU_TANI
  ,W_KOBAI_SHONIN_LIST.SOSU
  ,W_KOBAI_SHONIN_LIST.TOTAL
  ,W_KOBAI_SHONIN_LIST.NOKI
  ,W_KOBAI_SHONIN_LIST.UKEIRE_DATE
  ,W_KOBAI_SHONIN_LIST.KENSHU_DATE
  ,W_KOBAI_SHONIN_LIST.HOKAN_BASHO_KBN_MEI
  ,W_KOBAI_SHONIN_LIST.SHIIRE_CD
  ,W_KOBAI_SHONIN_LIST.SHIIRE_MEI
  ,W_KOBAI_SHONIN_LIST.MAKER_CD
  ,W_KOBAI_SHONIN_LIST.MAKER_MEI
  ,W_KOBAI_SHONIN_LIST.YOSAN_CD
  ,W_KOBAI_SHONIN_LIST.JURI_NO
  ,W_KOBAI_SHONIN_LIST.BIKO
  ,W_KOBAI_SHONIN_LIST.IRAI_NO
 FROM W_KOBAI_SHONIN_LIST WHERE (1=1)
 AND W_KOBAI_SHONIN_LIST.W_USER_ID = ''
 AND W_KOBAI_SHONIN_LIST.W_SERIAL = '0'
</v>
      </c>
      <c r="G9" s="134"/>
      <c r="H9" s="135" t="s">
        <v>1007</v>
      </c>
    </row>
    <row r="10" spans="2:8" ht="15" customHeight="1">
      <c r="B10" s="136"/>
      <c r="C10" s="503" t="s">
        <v>124</v>
      </c>
      <c r="D10" s="503"/>
      <c r="E10" s="503"/>
      <c r="F10" s="137" t="s">
        <v>1798</v>
      </c>
      <c r="G10" s="138"/>
      <c r="H10" s="139"/>
    </row>
    <row r="11" spans="2:8" ht="15" customHeight="1">
      <c r="B11" s="136"/>
      <c r="C11" s="503" t="s">
        <v>795</v>
      </c>
      <c r="D11" s="503"/>
      <c r="E11" s="503"/>
      <c r="F11" s="137" t="s">
        <v>1022</v>
      </c>
      <c r="G11" s="138"/>
      <c r="H11" s="139"/>
    </row>
    <row r="12" spans="2:8" ht="15" customHeight="1">
      <c r="B12" s="500" t="s">
        <v>864</v>
      </c>
      <c r="C12" s="501"/>
      <c r="D12" s="501"/>
      <c r="E12" s="502"/>
      <c r="F12" s="134" t="str">
        <f>F13 &amp; F14 &amp; F16</f>
        <v>SELECT COUNT(*) AS CNT
 FROM V_KOBAI_SHONIN_LIST
 WHERE 1=1
 AND (1!=1  
 OR V_KOBAI_SHONIN_LIST.KOBAI_KBN = ''1'' 
 OR V_KOBAI_SHONIN_LIST.KOBAI_KBN = ''2'' 
 OR V_KOBAI_SHONIN_LIST.KOBAI_KBN = ''3'' 
 OR V_KOBAI_SHONIN_LIST.KOBAI_KBN = ''4'' 
 OR V_KOBAI_SHONIN_LIST.KOBAI_KBN = ''5'')
 AND (1!=1  
 OR V_KOBAI_SHONIN_LIST.KOBAI_STS = ''1'')</v>
      </c>
      <c r="G12" s="134"/>
      <c r="H12" s="135" t="s">
        <v>979</v>
      </c>
    </row>
    <row r="13" spans="2:8" ht="15" customHeight="1">
      <c r="B13" s="136"/>
      <c r="C13" s="503" t="s">
        <v>124</v>
      </c>
      <c r="D13" s="503"/>
      <c r="E13" s="503"/>
      <c r="F13" s="196" t="s">
        <v>882</v>
      </c>
      <c r="G13" s="138"/>
      <c r="H13" s="139"/>
    </row>
    <row r="14" spans="2:8" ht="15" customHeight="1">
      <c r="B14" s="136"/>
      <c r="C14" s="503" t="s">
        <v>795</v>
      </c>
      <c r="D14" s="503"/>
      <c r="E14" s="503"/>
      <c r="F14" s="196" t="s">
        <v>975</v>
      </c>
      <c r="G14" s="138"/>
      <c r="H14" s="139"/>
    </row>
    <row r="15" spans="2:8" ht="15" customHeight="1">
      <c r="B15" s="500" t="s">
        <v>804</v>
      </c>
      <c r="C15" s="501"/>
      <c r="D15" s="501"/>
      <c r="E15" s="502"/>
      <c r="F15" s="134"/>
      <c r="G15" s="134"/>
      <c r="H15" s="135"/>
    </row>
    <row r="16" spans="2:8" ht="15" customHeight="1">
      <c r="B16" s="136"/>
      <c r="C16" s="503" t="s">
        <v>783</v>
      </c>
      <c r="D16" s="503"/>
      <c r="E16" s="503"/>
      <c r="F16" s="137" t="str">
        <f>" WHERE 1=1
" &amp;F17 &amp; F23 &amp; F30 &amp; F31 &amp; F32 &amp; F33 &amp; F34 &amp; F35 &amp; F36 &amp; F37 &amp; F38 &amp; F39 &amp; F40 &amp; F41 &amp;F42 &amp; F43 &amp; F44 &amp; F45</f>
        <v xml:space="preserve"> WHERE 1=1
 AND (1!=1  
 OR V_KOBAI_SHONIN_LIST.KOBAI_KBN = ''1'' 
 OR V_KOBAI_SHONIN_LIST.KOBAI_KBN = ''2'' 
 OR V_KOBAI_SHONIN_LIST.KOBAI_KBN = ''3'' 
 OR V_KOBAI_SHONIN_LIST.KOBAI_KBN = ''4'' 
 OR V_KOBAI_SHONIN_LIST.KOBAI_KBN = ''5'')
 AND (1!=1  
 OR V_KOBAI_SHONIN_LIST.KOBAI_STS = ''1'')</v>
      </c>
      <c r="G16" s="138"/>
      <c r="H16" s="139"/>
    </row>
    <row r="17" spans="2:8" ht="15" customHeight="1">
      <c r="B17" s="136"/>
      <c r="C17" s="140"/>
      <c r="D17" s="493" t="s">
        <v>41</v>
      </c>
      <c r="E17" s="494"/>
      <c r="F17" s="137" t="str">
        <f>" AND (1!=1 "&amp; F18 &amp; F19 &amp; F20 &amp; F21 &amp; F22 &amp;")
"</f>
        <v xml:space="preserve"> AND (1!=1  
 OR V_KOBAI_SHONIN_LIST.KOBAI_KBN = ''1'' 
 OR V_KOBAI_SHONIN_LIST.KOBAI_KBN = ''2'' 
 OR V_KOBAI_SHONIN_LIST.KOBAI_KBN = ''3'' 
 OR V_KOBAI_SHONIN_LIST.KOBAI_KBN = ''4'' 
 OR V_KOBAI_SHONIN_LIST.KOBAI_KBN = ''5'')
</v>
      </c>
      <c r="G17" s="138"/>
      <c r="H17" s="139"/>
    </row>
    <row r="18" spans="2:8" ht="15" customHeight="1">
      <c r="B18" s="136"/>
      <c r="C18" s="141"/>
      <c r="D18" s="495"/>
      <c r="E18" s="142" t="s">
        <v>69</v>
      </c>
      <c r="F18" s="143" t="str">
        <f>IF(G18," 
 OR V_KOBAI_SHONIN_LIST.KOBAI_KBN = ''1''","")</f>
        <v xml:space="preserve"> 
 OR V_KOBAI_SHONIN_LIST.KOBAI_KBN = ''1''</v>
      </c>
      <c r="G18" s="143" t="b">
        <f>UNKB0040_H_KOBAIHIN_KBN_S</f>
        <v>1</v>
      </c>
      <c r="H18" s="144"/>
    </row>
    <row r="19" spans="2:8" ht="15" customHeight="1">
      <c r="B19" s="136"/>
      <c r="C19" s="141"/>
      <c r="D19" s="496"/>
      <c r="E19" s="142" t="s">
        <v>20</v>
      </c>
      <c r="F19" s="143" t="str">
        <f>IF(G19," 
 OR V_KOBAI_SHONIN_LIST.KOBAI_KBN = ''2''","")</f>
        <v xml:space="preserve"> 
 OR V_KOBAI_SHONIN_LIST.KOBAI_KBN = ''2''</v>
      </c>
      <c r="G19" s="143" t="b">
        <f>UNKB0040_H_GAICHU_KBN_S</f>
        <v>1</v>
      </c>
      <c r="H19" s="144"/>
    </row>
    <row r="20" spans="2:8" ht="15" customHeight="1">
      <c r="B20" s="136"/>
      <c r="C20" s="141"/>
      <c r="D20" s="496"/>
      <c r="E20" s="142" t="s">
        <v>699</v>
      </c>
      <c r="F20" s="143" t="str">
        <f>IF(G20," 
 OR V_KOBAI_SHONIN_LIST.KOBAI_KBN = ''3''","")</f>
        <v xml:space="preserve"> 
 OR V_KOBAI_SHONIN_LIST.KOBAI_KBN = ''3''</v>
      </c>
      <c r="G20" s="143" t="b">
        <f>UNKB0040_H_SHUZEN_KBN_S</f>
        <v>1</v>
      </c>
      <c r="H20" s="144"/>
    </row>
    <row r="21" spans="2:8" ht="15" customHeight="1">
      <c r="B21" s="136"/>
      <c r="C21" s="141"/>
      <c r="D21" s="496"/>
      <c r="E21" s="142" t="s">
        <v>22</v>
      </c>
      <c r="F21" s="143" t="str">
        <f>IF(G21," 
 OR V_KOBAI_SHONIN_LIST.KOBAI_KBN = ''4''","")</f>
        <v xml:space="preserve"> 
 OR V_KOBAI_SHONIN_LIST.KOBAI_KBN = ''4''</v>
      </c>
      <c r="G21" s="143" t="b">
        <f>UNKB0040_H_TOSHI_KBN_S</f>
        <v>1</v>
      </c>
      <c r="H21" s="144"/>
    </row>
    <row r="22" spans="2:8" ht="15" customHeight="1">
      <c r="B22" s="136"/>
      <c r="C22" s="141"/>
      <c r="D22" s="496"/>
      <c r="E22" s="142" t="s">
        <v>23</v>
      </c>
      <c r="F22" s="143" t="str">
        <f>IF(G22," 
 OR V_KOBAI_SHONIN_LIST.KOBAI_KBN = ''5''","")</f>
        <v xml:space="preserve"> 
 OR V_KOBAI_SHONIN_LIST.KOBAI_KBN = ''5''</v>
      </c>
      <c r="G22" s="143" t="b">
        <f>UNKB0040_H_HANBAI_KBN_S</f>
        <v>1</v>
      </c>
      <c r="H22" s="144"/>
    </row>
    <row r="23" spans="2:8" ht="15" customHeight="1">
      <c r="B23" s="136"/>
      <c r="C23" s="141"/>
      <c r="D23" s="493" t="s">
        <v>711</v>
      </c>
      <c r="E23" s="494"/>
      <c r="F23" s="137" t="str">
        <f>" AND (1!=1 "&amp; F24 &amp; F25 &amp; F26 &amp; F27 &amp; F28 &amp; F29 &amp;")"</f>
        <v xml:space="preserve"> AND (1!=1  
 OR V_KOBAI_SHONIN_LIST.KOBAI_STS = ''1'')</v>
      </c>
      <c r="G23" s="138"/>
      <c r="H23" s="139"/>
    </row>
    <row r="24" spans="2:8" ht="15" customHeight="1">
      <c r="B24" s="136"/>
      <c r="C24" s="141"/>
      <c r="D24" s="495"/>
      <c r="E24" s="142" t="s">
        <v>68</v>
      </c>
      <c r="F24" s="143" t="str">
        <f>IF(G24," 
 OR V_KOBAI_SHONIN_LIST.KOBAI_STS = ''1''","")</f>
        <v xml:space="preserve"> 
 OR V_KOBAI_SHONIN_LIST.KOBAI_STS = ''1''</v>
      </c>
      <c r="G24" s="143" t="b">
        <f>UNKB0040_H_MISHONIN_STS_S</f>
        <v>1</v>
      </c>
      <c r="H24" s="144"/>
    </row>
    <row r="25" spans="2:8" ht="15" customHeight="1">
      <c r="B25" s="136"/>
      <c r="C25" s="141"/>
      <c r="D25" s="496"/>
      <c r="E25" s="142" t="s">
        <v>656</v>
      </c>
      <c r="F25" s="143" t="str">
        <f>IF(G25," 
 OR V_KOBAI_SHONIN_LIST.KOBAI_STS = ''2''","")</f>
        <v/>
      </c>
      <c r="G25" s="143" t="b">
        <f>UNKB0040_H_IRAICHU_STS_S</f>
        <v>0</v>
      </c>
      <c r="H25" s="144"/>
    </row>
    <row r="26" spans="2:8" ht="15" customHeight="1">
      <c r="B26" s="136"/>
      <c r="C26" s="141"/>
      <c r="D26" s="496"/>
      <c r="E26" s="142" t="s">
        <v>707</v>
      </c>
      <c r="F26" s="143" t="str">
        <f>IF(G26," 
 OR V_KOBAI_SHONIN_LIST.KOBAI_STS = ''3''","")</f>
        <v/>
      </c>
      <c r="G26" s="143" t="b">
        <f>UNKB0040_H_CHUMONSHO_STS_S</f>
        <v>0</v>
      </c>
      <c r="H26" s="144"/>
    </row>
    <row r="27" spans="2:8" ht="15" customHeight="1">
      <c r="B27" s="136"/>
      <c r="C27" s="141"/>
      <c r="D27" s="496"/>
      <c r="E27" s="142" t="s">
        <v>27</v>
      </c>
      <c r="F27" s="143" t="str">
        <f>IF(G27," 
 OR V_KOBAI_SHONIN_LIST.KOBAI_STS = ''4''","")</f>
        <v/>
      </c>
      <c r="G27" s="143" t="b">
        <f>UNKB0040_H_ICHIBU_STS_S</f>
        <v>0</v>
      </c>
      <c r="H27" s="144"/>
    </row>
    <row r="28" spans="2:8" ht="15" customHeight="1">
      <c r="B28" s="136"/>
      <c r="C28" s="141"/>
      <c r="D28" s="496"/>
      <c r="E28" s="142" t="s">
        <v>28</v>
      </c>
      <c r="F28" s="143" t="str">
        <f>IF(G28," 
 OR V_KOBAI_SHONIN_LIST.KOBAI_STS = ''5''","")</f>
        <v/>
      </c>
      <c r="G28" s="143" t="b">
        <f>UNKB0040_H_NYUKA_STS_S</f>
        <v>0</v>
      </c>
      <c r="H28" s="144"/>
    </row>
    <row r="29" spans="2:8" ht="15" customHeight="1">
      <c r="B29" s="136"/>
      <c r="C29" s="141"/>
      <c r="D29" s="496"/>
      <c r="E29" s="142" t="s">
        <v>710</v>
      </c>
      <c r="F29" s="143" t="str">
        <f>IF(G29," 
 OR V_KOBAI_SHONIN_LIST.KOBAI_STS = ''6''","")</f>
        <v/>
      </c>
      <c r="G29" s="143" t="b">
        <f>UNKB0040_H_KENSHU_STS_S</f>
        <v>0</v>
      </c>
      <c r="H29" s="144"/>
    </row>
    <row r="30" spans="2:8" ht="15" customHeight="1">
      <c r="B30" s="136"/>
      <c r="C30" s="141"/>
      <c r="D30" s="492" t="s">
        <v>731</v>
      </c>
      <c r="E30" s="492"/>
      <c r="F30" s="145" t="str">
        <f>IF(G30," 
 AND CONVERT(VARCHAR,V_KOBAI_SHONIN_LIST.SHINSEI_DATETIME,111) &gt;= ''"&amp;TEXT(UNKB0040_H_SHINSEI_DATE_START_S,"YYYY/MM/DD")&amp;"''","")</f>
        <v/>
      </c>
      <c r="G30" s="138" t="b">
        <f>NOT(ISBLANK(UNKB0040_H_SHINSEI_DATE_START_S))</f>
        <v>0</v>
      </c>
      <c r="H30" s="139"/>
    </row>
    <row r="31" spans="2:8" ht="15" customHeight="1">
      <c r="B31" s="136"/>
      <c r="C31" s="141"/>
      <c r="D31" s="492" t="s">
        <v>733</v>
      </c>
      <c r="E31" s="492"/>
      <c r="F31" s="145" t="str">
        <f>IF(G31,"
 AND CONVERT(VARCHAR,V_KOBAI_SHONIN_LIST.SHINSEI_DATETIME,111) &lt;= ''"&amp;TEXT(UNKB0040_H_SHINSEI_DATE_END_S,"YYYY/MM/DD")&amp;"''","")</f>
        <v/>
      </c>
      <c r="G31" s="138" t="b">
        <f>NOT(ISBLANK(UNKB0040_H_SHINSEI_DATE_END_S))</f>
        <v>0</v>
      </c>
      <c r="H31" s="139"/>
    </row>
    <row r="32" spans="2:8" ht="15" customHeight="1">
      <c r="B32" s="136"/>
      <c r="C32" s="141"/>
      <c r="D32" s="492" t="s">
        <v>735</v>
      </c>
      <c r="E32" s="492" t="s">
        <v>735</v>
      </c>
      <c r="F32" s="145" t="str">
        <f>IF(G32,"
 AND V_KOBAI_SHONIN_LIST.NOKI &gt;=  ''"&amp;TEXT(UNKB0040_H_NOKI_START_S,"YYYY/MM/DD")&amp;"''","")</f>
        <v/>
      </c>
      <c r="G32" s="138" t="b">
        <f>NOT(ISBLANK(UNKB0040_H_NOKI_START_S))</f>
        <v>0</v>
      </c>
      <c r="H32" s="139"/>
    </row>
    <row r="33" spans="2:8" ht="15" customHeight="1">
      <c r="B33" s="136"/>
      <c r="C33" s="141"/>
      <c r="D33" s="492" t="s">
        <v>736</v>
      </c>
      <c r="E33" s="492" t="s">
        <v>736</v>
      </c>
      <c r="F33" s="145" t="str">
        <f>IF(G33,"
 AND V_KOBAI_SHONIN_LIST.NOKI &lt;=  ''"&amp;TEXT(UNKB0040_H_NOKI_END_S,"YYYY/MM/DD")&amp;"''","")</f>
        <v/>
      </c>
      <c r="G33" s="138" t="b">
        <f>NOT(ISBLANK(UNKB0040_H_NOKI_END_S))</f>
        <v>0</v>
      </c>
      <c r="H33" s="139"/>
    </row>
    <row r="34" spans="2:8" ht="15" customHeight="1">
      <c r="B34" s="136"/>
      <c r="C34" s="141"/>
      <c r="D34" s="492" t="s">
        <v>737</v>
      </c>
      <c r="E34" s="492" t="s">
        <v>737</v>
      </c>
      <c r="F34" s="145" t="str">
        <f>IF(G34,"
 AND V_KOBAI_SHONIN_LIST.UKEIRE_DATE &gt;=  ''"&amp;TEXT(UNKB0040_H_UKEIRE_DATE_START_S,"YYYY/MM/DD")&amp;"''","")</f>
        <v/>
      </c>
      <c r="G34" s="138" t="b">
        <f>NOT(ISBLANK(UNKB0040_H_UKEIRE_DATE_START_S))</f>
        <v>0</v>
      </c>
      <c r="H34" s="139"/>
    </row>
    <row r="35" spans="2:8" ht="15" customHeight="1">
      <c r="B35" s="136"/>
      <c r="C35" s="141"/>
      <c r="D35" s="492" t="s">
        <v>738</v>
      </c>
      <c r="E35" s="492" t="s">
        <v>738</v>
      </c>
      <c r="F35" s="145" t="str">
        <f>IF(G35,"
 AND V_KOBAI_SHONIN_LIST.UKEIRE_DATE &lt;=  ''"&amp;TEXT(UNKB0040_H_UKEIRE_DATE_END_S,"YYYY/MM/DD")&amp;"''","")</f>
        <v/>
      </c>
      <c r="G35" s="138" t="b">
        <f>NOT(ISBLANK(UNKB0040_H_UKEIRE_DATE_END_S))</f>
        <v>0</v>
      </c>
      <c r="H35" s="139"/>
    </row>
    <row r="36" spans="2:8" ht="15" customHeight="1">
      <c r="B36" s="136"/>
      <c r="C36" s="141"/>
      <c r="D36" s="492" t="s">
        <v>739</v>
      </c>
      <c r="E36" s="492" t="s">
        <v>739</v>
      </c>
      <c r="F36" s="145" t="str">
        <f>IF(G36,"
 AND V_KOBAI_SHONIN_LIST.KENSHU_DATE &gt;=  ''"&amp;TEXT(UNKB0040_H_KENSHU_DATE_START_S,"YYYY/MM/DD")&amp;"''","")</f>
        <v/>
      </c>
      <c r="G36" s="138" t="b">
        <f>NOT(ISBLANK(UNKB0040_H_KENSHU_DATE_START_S))</f>
        <v>0</v>
      </c>
      <c r="H36" s="139"/>
    </row>
    <row r="37" spans="2:8" ht="15" customHeight="1">
      <c r="B37" s="136"/>
      <c r="C37" s="141"/>
      <c r="D37" s="492" t="s">
        <v>740</v>
      </c>
      <c r="E37" s="492" t="s">
        <v>740</v>
      </c>
      <c r="F37" s="145" t="str">
        <f>IF(G37,"
 AND V_KOBAI_SHONIN_LIST.KENSHU_DATE &lt;=  ''"&amp;TEXT(UNKB0040_H_KENSHU_DATE_END_S,"YYYY/MM/DD")&amp;"''","")</f>
        <v/>
      </c>
      <c r="G37" s="138" t="b">
        <f>NOT(ISBLANK(UNKB0040_H_KENSHU_DATE_END_S))</f>
        <v>0</v>
      </c>
      <c r="H37" s="139"/>
    </row>
    <row r="38" spans="2:8" ht="15" customHeight="1">
      <c r="B38" s="136"/>
      <c r="C38" s="141"/>
      <c r="D38" s="492" t="s">
        <v>741</v>
      </c>
      <c r="E38" s="492" t="s">
        <v>741</v>
      </c>
      <c r="F38" s="145" t="str">
        <f>IF(G38,"
 AND V_KOBAI_SHONIN_LIST.KOBAI_NO = " &amp; "''" &amp; UNKB0040_H_KOBAI_NO_S &amp; "''","")</f>
        <v/>
      </c>
      <c r="G38" s="138" t="b">
        <f>NOT(ISBLANK(UNKB0040_H_KOBAI_NO_S))</f>
        <v>0</v>
      </c>
      <c r="H38" s="139"/>
    </row>
    <row r="39" spans="2:8" ht="15" customHeight="1">
      <c r="B39" s="136"/>
      <c r="C39" s="141"/>
      <c r="D39" s="492" t="s">
        <v>114</v>
      </c>
      <c r="E39" s="492" t="s">
        <v>114</v>
      </c>
      <c r="F39" s="145" t="str">
        <f>IF(G39,"
 AND V_KOBAI_SHONIN_LIST.SHINSEISHA_CD= " &amp; "''" &amp; UNKB0040_H_SHINSEISHA_CD_S &amp; "''","")</f>
        <v/>
      </c>
      <c r="G39" s="138" t="b">
        <f>NOT(ISBLANK(UNKB0040_H_SHINSEISHA_MEI_S))</f>
        <v>0</v>
      </c>
      <c r="H39" s="139"/>
    </row>
    <row r="40" spans="2:8" ht="15" customHeight="1">
      <c r="B40" s="136"/>
      <c r="C40" s="141"/>
      <c r="D40" s="492" t="s">
        <v>63</v>
      </c>
      <c r="E40" s="492" t="s">
        <v>63</v>
      </c>
      <c r="F40" s="145" t="str">
        <f>IF(G40,"
 AND V_KOBAI_SHONIN_LIST.JURI_NO = " &amp; "''" &amp; UNKB0040_H_JURI_NO_S &amp; "''","")</f>
        <v/>
      </c>
      <c r="G40" s="138" t="b">
        <f>NOT(ISBLANK(UNKB0040_H_JURI_NO_S))</f>
        <v>0</v>
      </c>
      <c r="H40" s="139"/>
    </row>
    <row r="41" spans="2:8" ht="15" customHeight="1">
      <c r="B41" s="136"/>
      <c r="C41" s="141"/>
      <c r="D41" s="492" t="s">
        <v>62</v>
      </c>
      <c r="E41" s="492" t="s">
        <v>62</v>
      </c>
      <c r="F41" s="145" t="str">
        <f>IF(G41,"
 AND V_KOBAI_SHONIN_LIST.YOSAN_CD = " &amp; "''" &amp; UNKB0040_H_YOSAN_CD_S &amp; "''","")</f>
        <v/>
      </c>
      <c r="G41" s="138" t="b">
        <f>NOT(ISBLANK(UNKB0040_H_YOSAN_CD_S))</f>
        <v>0</v>
      </c>
      <c r="H41" s="139"/>
    </row>
    <row r="42" spans="2:8" ht="15" customHeight="1">
      <c r="B42" s="136"/>
      <c r="C42" s="141"/>
      <c r="D42" s="492" t="s">
        <v>747</v>
      </c>
      <c r="E42" s="492" t="s">
        <v>747</v>
      </c>
      <c r="F42" s="145" t="str">
        <f>IF(G42,"
 AND V_KOBAI_SHONIN_LIST.KOBAIHIN_CD = " &amp; "''" &amp; UNKB0040_H_KOBAIHIN_CD_S &amp; "''","")</f>
        <v/>
      </c>
      <c r="G42" s="138" t="b">
        <f>NOT(ISBLANK(UNKB0040_H_KOBAIHIN_CD_S))</f>
        <v>0</v>
      </c>
      <c r="H42" s="139"/>
    </row>
    <row r="43" spans="2:8" ht="15" customHeight="1">
      <c r="B43" s="136"/>
      <c r="C43" s="141"/>
      <c r="D43" s="492" t="s">
        <v>58</v>
      </c>
      <c r="E43" s="492" t="s">
        <v>59</v>
      </c>
      <c r="F43" s="145" t="str">
        <f>IF(G43,"
 AND V_KOBAI_SHONIN_LIST.SHIIRE_CD = " &amp; "''" &amp; UNKB0040_H_SHIIRE_CD_S &amp; "''","")</f>
        <v/>
      </c>
      <c r="G43" s="138" t="b">
        <f>NOT(ISBLANK(UNKB0040_H_SHIIRE_CD_S))</f>
        <v>0</v>
      </c>
      <c r="H43" s="139"/>
    </row>
    <row r="44" spans="2:8" ht="15" customHeight="1">
      <c r="B44" s="136"/>
      <c r="C44" s="141"/>
      <c r="D44" s="492" t="s">
        <v>75</v>
      </c>
      <c r="E44" s="492" t="s">
        <v>75</v>
      </c>
      <c r="F44" s="145" t="str">
        <f>IF(G44,"
 AND V_KOBAI_SHONIN_LIST.MAKER_CD = " &amp; "''" &amp; UNKB0040_H_MAKER_CD_S &amp; "''","")</f>
        <v/>
      </c>
      <c r="G44" s="138" t="b">
        <f>NOT(ISBLANK(UNKB0040_H_MAKER_CD_S))</f>
        <v>0</v>
      </c>
      <c r="H44" s="139"/>
    </row>
    <row r="45" spans="2:8" ht="15" customHeight="1">
      <c r="B45" s="136"/>
      <c r="C45" s="141"/>
      <c r="D45" s="493" t="s">
        <v>785</v>
      </c>
      <c r="E45" s="494"/>
      <c r="F45" s="138" t="str">
        <f>IF(G45," AND "&amp; IF(UNKB0040_H_FREEWD_KBN_S=3,"NOT","") &amp;"("&amp; IF(G46,F46,"") &amp; IF(G47,F47,"") &amp;IF(G48,F48,"") &amp;" )","")</f>
        <v/>
      </c>
      <c r="G45" s="138" t="b">
        <f>OR(G46,G47,G48)</f>
        <v>0</v>
      </c>
      <c r="H45" s="139"/>
    </row>
    <row r="46" spans="2:8" ht="15" customHeight="1">
      <c r="B46" s="136"/>
      <c r="C46" s="141"/>
      <c r="D46" s="495"/>
      <c r="E46" s="142" t="s">
        <v>784</v>
      </c>
      <c r="F46" s="144" t="str">
        <f>IF(G46,"
 V_KOBAI_SHONIN_LIST.FREEWD LIKE ''%"&amp; UNKB0040_H_FREEWD_1_S &amp; "%''","")</f>
        <v/>
      </c>
      <c r="G46" s="143" t="b">
        <f>NOT(ISBLANK(UNKB0040_H_FREEWD_1_S))</f>
        <v>0</v>
      </c>
      <c r="H46" s="144"/>
    </row>
    <row r="47" spans="2:8" ht="15" customHeight="1">
      <c r="B47" s="136"/>
      <c r="C47" s="141"/>
      <c r="D47" s="496"/>
      <c r="E47" s="142" t="s">
        <v>778</v>
      </c>
      <c r="F47" s="144" t="str">
        <f>IF(G47,"
 "&amp;IF(G46, F49, "") &amp;" V_KOBAI_SHONIN_LIST.FREEWD LIKE ''%"&amp; UNKB0040_H_FREEWD_2_S &amp; "%''","")</f>
        <v/>
      </c>
      <c r="G47" s="143" t="b">
        <f>NOT(ISBLANK(UNKB0040_H_FREEWD_2_S))</f>
        <v>0</v>
      </c>
      <c r="H47" s="144"/>
    </row>
    <row r="48" spans="2:8" ht="15" customHeight="1">
      <c r="B48" s="136"/>
      <c r="C48" s="141"/>
      <c r="D48" s="496"/>
      <c r="E48" s="142" t="s">
        <v>689</v>
      </c>
      <c r="F48" s="144" t="str">
        <f>IF(G48,"
 "&amp;IF(OR(G46,G47),F49,"") &amp; " V_KOBAI_SHONIN_LIST.FREEWD LIKE ''%"&amp; UNKB0040_H_FREEWD_3_S &amp; "%''","")</f>
        <v/>
      </c>
      <c r="G48" s="143" t="b">
        <f>NOT(ISBLANK(UNKB0040_H_FREEWD_3_S))</f>
        <v>0</v>
      </c>
      <c r="H48" s="144"/>
    </row>
    <row r="49" spans="2:8" ht="15" customHeight="1">
      <c r="B49" s="185"/>
      <c r="C49" s="229"/>
      <c r="D49" s="496"/>
      <c r="E49" s="142" t="s">
        <v>695</v>
      </c>
      <c r="F49" s="144" t="str">
        <f>IF(UNKB0040_H_FREEWD_KBN_S=1, "AND",IF(UNKB0040_H_FREEWD_KBN_S=2,"OR","AND"))</f>
        <v>AND</v>
      </c>
      <c r="G49" s="143"/>
      <c r="H49" s="144"/>
    </row>
    <row r="52" spans="2:8" s="214" customFormat="1" ht="15" customHeight="1">
      <c r="B52" s="504" t="s">
        <v>1006</v>
      </c>
      <c r="C52" s="505"/>
      <c r="D52" s="505"/>
      <c r="E52" s="506"/>
      <c r="F52" s="147"/>
      <c r="G52" s="147"/>
      <c r="H52" s="148" t="s">
        <v>123</v>
      </c>
    </row>
    <row r="53" spans="2:8" ht="15" customHeight="1">
      <c r="B53" s="500" t="s">
        <v>1009</v>
      </c>
      <c r="C53" s="501"/>
      <c r="D53" s="501"/>
      <c r="E53" s="502"/>
      <c r="F53" s="134" t="str">
        <f>F54 &amp; F57 &amp; F58 &amp; UNKB0040_SQL_SORT &amp; F60</f>
        <v>SELECT 
   W_KOBAI_SHONIN_LIST.GYO_MOJI
  ,W_KOBAI_SHONIN_LIST.W_ROW
  ,W_KOBAI_SHONIN_LIST.WARNING
  ,NULL
  ,W_KOBAI_SHONIN_LIST.SELECT_FLG
  ,W_KOBAI_SHONIN_LIST.KOBAI_KBN_MEI
  ,W_KOBAI_SHONIN_LIST.KOBAI_STS_MEI
  ,W_KOBAI_SHONIN_LIST.SHINSEISHA_MEI
  ,W_KOBAI_SHONIN_LIST.SHINSEI_DATETIME
  ,W_KOBAI_SHONIN_LIST.KOBAIHIN_CD
  ,W_KOBAI_SHONIN_LIST.KOBAIHIN_MEI
  ,W_KOBAI_SHONIN_LIST.TANKA
  ,W_KOBAI_SHONIN_LIST.IRISU
  ,W_KOBAI_SHONIN_LIST.BARA_TANI
  ,W_KOBAI_SHONIN_LIST.SURYO
  ,W_KOBAI_SHONIN_LIST.IRISU_TANI
  ,W_KOBAI_SHONIN_LIST.SOSU
  ,W_KOBAI_SHONIN_LIST.TOTAL
  ,W_KOBAI_SHONIN_LIST.NOKI
  ,W_KOBAI_SHONIN_LIST.UKEIRE_DATE
  ,W_KOBAI_SHONIN_LIST.KENSHU_DATE
  ,W_KOBAI_SHONIN_LIST.HOKAN_BASHO_KBN_MEI
  ,W_KOBAI_SHONIN_LIST.SHIIRE_CD
  ,W_KOBAI_SHONIN_LIST.SHIIRE_MEI
  ,W_KOBAI_SHONIN_LIST.MAKER_CD
  ,W_KOBAI_SHONIN_LIST.MAKER_MEI
  ,W_KOBAI_SHONIN_LIST.YOSAN_CD
  ,W_KOBAI_SHONIN_LIST.JURI_NO
  ,W_KOBAI_SHONIN_LIST.BIKO
  ,W_KOBAI_SHONIN_LIST.KOBAI_NO
  ,W_KOBAI_SHONIN_LIST.IRAI_NO
  ,W_KOBAI_SHONIN_LIST.KOBAI_KBN
  ,W_KOBAI_SHONIN_LIST.KOBAI_STS
  ,W_KOBAI_SHONIN_LIST.SHINSEISHA_CD
  ,W_KOBAI_SHONIN_LIST.FREEWD
  ,W_KOBAI_SHONIN_LIST.KOBAI_SEQ
FROM W_KOBAI_SHONIN_LIST
 WHERE (1=1)
 AND W_KOBAI_SHONIN_LIST.W_USER_ID = ''
 AND W_KOBAI_SHONIN_LIST.W_SERIAL = '0'
 OFFSET 0*50 ROWS
 FETCH NEXT 50 ROWS ONLY</v>
      </c>
      <c r="G53" s="134"/>
      <c r="H53" s="135" t="s">
        <v>978</v>
      </c>
    </row>
    <row r="54" spans="2:8" ht="15" customHeight="1">
      <c r="B54" s="136"/>
      <c r="C54" s="503" t="s">
        <v>124</v>
      </c>
      <c r="D54" s="503"/>
      <c r="E54" s="503"/>
      <c r="F54" s="137" t="s">
        <v>1797</v>
      </c>
      <c r="G54" s="138"/>
      <c r="H54" s="139"/>
    </row>
    <row r="55" spans="2:8" s="214" customFormat="1" ht="15" customHeight="1">
      <c r="B55" s="500" t="s">
        <v>976</v>
      </c>
      <c r="C55" s="501"/>
      <c r="D55" s="501"/>
      <c r="E55" s="502"/>
      <c r="F55" s="134" t="str">
        <f>F56 &amp; F57&amp; F58 &amp; UNKB0040_SQL_SORT &amp; F60</f>
        <v>SELECT *
FROM W_KOBAI_SHONIN_LIST
 WHERE (1=1)
 AND W_KOBAI_SHONIN_LIST.W_USER_ID = ''
 AND W_KOBAI_SHONIN_LIST.W_SERIAL = '0'
 OFFSET 0*50 ROWS
 FETCH NEXT 50 ROWS ONLY</v>
      </c>
      <c r="G55" s="134"/>
      <c r="H55" s="135" t="s">
        <v>1010</v>
      </c>
    </row>
    <row r="56" spans="2:8" s="214" customFormat="1" ht="15" customHeight="1">
      <c r="B56" s="136"/>
      <c r="C56" s="503" t="s">
        <v>124</v>
      </c>
      <c r="D56" s="503"/>
      <c r="E56" s="503"/>
      <c r="F56" s="196" t="s">
        <v>881</v>
      </c>
      <c r="G56" s="138"/>
      <c r="H56" s="139"/>
    </row>
    <row r="57" spans="2:8" ht="15" customHeight="1">
      <c r="B57" s="136"/>
      <c r="C57" s="503" t="s">
        <v>795</v>
      </c>
      <c r="D57" s="503"/>
      <c r="E57" s="503"/>
      <c r="F57" s="196" t="s">
        <v>980</v>
      </c>
      <c r="G57" s="138"/>
      <c r="H57" s="139"/>
    </row>
    <row r="58" spans="2:8" ht="15" customHeight="1">
      <c r="B58" s="136"/>
      <c r="C58" s="503" t="s">
        <v>783</v>
      </c>
      <c r="D58" s="503"/>
      <c r="E58" s="503"/>
      <c r="F58" s="137" t="str">
        <f>" WHERE (1=1)
 AND W_KOBAI_SHONIN_LIST.W_USER_ID = '"&amp;UNKB0040_IF_SAVE_W_USER_ID&amp;"'
 AND W_KOBAI_SHONIN_LIST.W_SERIAL = '"&amp;UNKB0040_IF_SAVE_W_SERIAL&amp;"'
"</f>
        <v xml:space="preserve"> WHERE (1=1)
 AND W_KOBAI_SHONIN_LIST.W_USER_ID = ''
 AND W_KOBAI_SHONIN_LIST.W_SERIAL = '0'
</v>
      </c>
      <c r="G58" s="138"/>
      <c r="H58" s="146"/>
    </row>
    <row r="59" spans="2:8" ht="15" customHeight="1">
      <c r="B59" s="136"/>
      <c r="C59" s="503" t="s">
        <v>797</v>
      </c>
      <c r="D59" s="503"/>
      <c r="E59" s="503"/>
      <c r="F59" s="137"/>
      <c r="G59" s="138"/>
      <c r="H59" s="139" t="s">
        <v>973</v>
      </c>
    </row>
    <row r="60" spans="2:8" ht="15" customHeight="1">
      <c r="B60" s="228"/>
      <c r="C60" s="492" t="s">
        <v>798</v>
      </c>
      <c r="D60" s="492"/>
      <c r="E60" s="492"/>
      <c r="F60" s="137" t="str">
        <f xml:space="preserve"> " OFFSET "&amp;(UNKB0040_B_PAGE_NO-1)&amp;"*"&amp;UNKB0040_B_HYOJI_GYO_SU&amp;" ROWS
 FETCH NEXT "&amp;UNKB0040_B_HYOJI_GYO_SU&amp;" ROWS ONLY"</f>
        <v xml:space="preserve"> OFFSET 0*50 ROWS
 FETCH NEXT 50 ROWS ONLY</v>
      </c>
      <c r="G60" s="138"/>
      <c r="H60" s="139"/>
    </row>
    <row r="61" spans="2:8" s="214" customFormat="1" ht="15" customHeight="1"/>
    <row r="63" spans="2:8" ht="15" customHeight="1">
      <c r="B63" s="500" t="s">
        <v>866</v>
      </c>
      <c r="C63" s="501"/>
      <c r="D63" s="501"/>
      <c r="E63" s="502"/>
      <c r="F63" s="134"/>
      <c r="G63" s="134"/>
      <c r="H63" s="135"/>
    </row>
    <row r="64" spans="2:8" ht="15" customHeight="1">
      <c r="B64" s="185"/>
      <c r="C64" s="497" t="s">
        <v>797</v>
      </c>
      <c r="D64" s="498"/>
      <c r="E64" s="499"/>
      <c r="F64" s="137" t="s">
        <v>1146</v>
      </c>
      <c r="G64" s="138"/>
      <c r="H64" s="139" t="s">
        <v>974</v>
      </c>
    </row>
    <row r="67" spans="2:8" ht="15" customHeight="1">
      <c r="B67" s="500" t="s">
        <v>583</v>
      </c>
      <c r="C67" s="501"/>
      <c r="D67" s="501"/>
      <c r="E67" s="502"/>
      <c r="F67" s="206"/>
      <c r="G67" s="206"/>
      <c r="H67" s="135" t="s">
        <v>123</v>
      </c>
    </row>
    <row r="68" spans="2:8" ht="15" customHeight="1">
      <c r="B68" s="207"/>
      <c r="C68" s="497" t="s">
        <v>797</v>
      </c>
      <c r="D68" s="498"/>
      <c r="E68" s="499"/>
      <c r="F68" s="186" t="s">
        <v>1731</v>
      </c>
      <c r="G68" s="208"/>
      <c r="H68" s="209" t="s">
        <v>1008</v>
      </c>
    </row>
  </sheetData>
  <mergeCells count="46">
    <mergeCell ref="D44:E44"/>
    <mergeCell ref="D45:E45"/>
    <mergeCell ref="D46:D49"/>
    <mergeCell ref="C59:E59"/>
    <mergeCell ref="C60:E60"/>
    <mergeCell ref="B63:E63"/>
    <mergeCell ref="C64:E64"/>
    <mergeCell ref="B67:E67"/>
    <mergeCell ref="C68:E68"/>
    <mergeCell ref="B53:E53"/>
    <mergeCell ref="C54:E54"/>
    <mergeCell ref="C57:E57"/>
    <mergeCell ref="C58:E58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17:E17"/>
    <mergeCell ref="D18:D22"/>
    <mergeCell ref="D23:E23"/>
    <mergeCell ref="D24:D29"/>
    <mergeCell ref="D30:E30"/>
    <mergeCell ref="C10:E10"/>
    <mergeCell ref="B52:E52"/>
    <mergeCell ref="B55:E55"/>
    <mergeCell ref="C56:E56"/>
    <mergeCell ref="B5:E5"/>
    <mergeCell ref="B6:E6"/>
    <mergeCell ref="C7:E7"/>
    <mergeCell ref="C8:E8"/>
    <mergeCell ref="B9:E9"/>
    <mergeCell ref="D31:E31"/>
    <mergeCell ref="C11:E11"/>
    <mergeCell ref="B12:E12"/>
    <mergeCell ref="C13:E13"/>
    <mergeCell ref="C14:E14"/>
    <mergeCell ref="B15:E15"/>
    <mergeCell ref="C16:E16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>
    <tabColor rgb="FFFFC000"/>
  </sheetPr>
  <dimension ref="A1:X66"/>
  <sheetViews>
    <sheetView showGridLines="0" showRowColHeaders="0" topLeftCell="G1" zoomScaleNormal="100" workbookViewId="0">
      <selection activeCell="I6" sqref="I6:J6"/>
    </sheetView>
  </sheetViews>
  <sheetFormatPr defaultRowHeight="16.5"/>
  <cols>
    <col min="1" max="1" width="4.25" style="364" hidden="1" customWidth="1"/>
    <col min="2" max="2" width="9.25" style="364" hidden="1" customWidth="1"/>
    <col min="3" max="3" width="26.625" style="364" hidden="1" customWidth="1"/>
    <col min="4" max="4" width="38.375" style="364" hidden="1" customWidth="1"/>
    <col min="5" max="5" width="12.25" style="364" hidden="1" customWidth="1"/>
    <col min="6" max="6" width="8.875" style="364" hidden="1" customWidth="1"/>
    <col min="7" max="7" width="3.25" style="11" customWidth="1"/>
    <col min="8" max="8" width="10.75" style="11" customWidth="1"/>
    <col min="9" max="9" width="3.25" style="11" customWidth="1"/>
    <col min="10" max="10" width="9.75" style="11" customWidth="1"/>
    <col min="11" max="11" width="3.25" style="11" customWidth="1"/>
    <col min="12" max="12" width="13" style="11" customWidth="1"/>
    <col min="13" max="13" width="3.25" style="11" customWidth="1"/>
    <col min="14" max="14" width="13" style="11" customWidth="1"/>
    <col min="15" max="15" width="3.25" style="11" customWidth="1"/>
    <col min="16" max="16" width="13" style="11" customWidth="1"/>
    <col min="17" max="17" width="3.25" style="11" customWidth="1"/>
    <col min="18" max="18" width="13" style="11" customWidth="1"/>
    <col min="19" max="19" width="3.25" style="11" customWidth="1"/>
    <col min="20" max="20" width="13" style="11" customWidth="1"/>
    <col min="21" max="21" width="3.25" style="11" customWidth="1"/>
    <col min="22" max="22" width="8.5" style="11" customWidth="1"/>
    <col min="23" max="23" width="11.25" style="11" customWidth="1"/>
    <col min="24" max="24" width="19.625" style="11" customWidth="1"/>
    <col min="25" max="47" width="3.375" style="11" customWidth="1"/>
    <col min="48" max="16384" width="9" style="11"/>
  </cols>
  <sheetData>
    <row r="1" spans="1:24" s="12" customFormat="1" ht="19.5">
      <c r="A1" s="364"/>
      <c r="B1" s="364"/>
      <c r="C1" s="364"/>
      <c r="D1" s="364"/>
      <c r="E1" s="364"/>
      <c r="F1" s="364"/>
      <c r="G1" s="12" t="s">
        <v>647</v>
      </c>
    </row>
    <row r="2" spans="1:24">
      <c r="C2" s="245" t="s">
        <v>690</v>
      </c>
      <c r="D2" s="245" t="s">
        <v>1032</v>
      </c>
      <c r="E2" s="245"/>
    </row>
    <row r="3" spans="1:24">
      <c r="C3" s="245" t="s">
        <v>691</v>
      </c>
      <c r="D3" s="245" t="s">
        <v>1033</v>
      </c>
      <c r="E3" s="245" t="str">
        <f>ADDRESS(ROW(A1),COLUMN(A1))&amp;":"&amp;ADDRESS(ROW(F1),COLUMN(F1))</f>
        <v>$A$1:$F$1</v>
      </c>
      <c r="H3" s="13" t="s">
        <v>18</v>
      </c>
      <c r="I3" s="18"/>
      <c r="J3" s="250" t="s">
        <v>19</v>
      </c>
      <c r="K3" s="19"/>
      <c r="L3" s="250" t="s">
        <v>20</v>
      </c>
      <c r="M3" s="19"/>
      <c r="N3" s="133" t="s">
        <v>21</v>
      </c>
      <c r="O3" s="19"/>
      <c r="P3" s="17" t="s">
        <v>1858</v>
      </c>
      <c r="Q3" s="19"/>
      <c r="R3" s="17" t="s">
        <v>23</v>
      </c>
      <c r="S3" s="19"/>
      <c r="T3" s="15"/>
    </row>
    <row r="4" spans="1:24">
      <c r="H4" s="13" t="s">
        <v>648</v>
      </c>
      <c r="I4" s="18"/>
      <c r="J4" s="248" t="s">
        <v>1313</v>
      </c>
      <c r="K4" s="19"/>
      <c r="L4" s="248" t="s">
        <v>25</v>
      </c>
      <c r="M4" s="19"/>
      <c r="N4" s="133" t="s">
        <v>26</v>
      </c>
      <c r="O4" s="19"/>
      <c r="P4" s="17" t="s">
        <v>27</v>
      </c>
      <c r="Q4" s="19"/>
      <c r="R4" s="17" t="s">
        <v>28</v>
      </c>
      <c r="S4" s="19"/>
      <c r="T4" s="15" t="s">
        <v>29</v>
      </c>
    </row>
    <row r="5" spans="1:24">
      <c r="C5" s="245" t="s">
        <v>89</v>
      </c>
      <c r="D5" s="245" t="s">
        <v>1340</v>
      </c>
      <c r="E5" s="386">
        <f ca="1">TODAY()</f>
        <v>42930</v>
      </c>
    </row>
    <row r="6" spans="1:24">
      <c r="H6" s="13" t="s">
        <v>1900</v>
      </c>
      <c r="I6" s="489"/>
      <c r="J6" s="489"/>
      <c r="K6" s="16" t="s">
        <v>649</v>
      </c>
      <c r="L6" s="474"/>
      <c r="N6" s="13" t="s">
        <v>31</v>
      </c>
      <c r="O6" s="564"/>
      <c r="P6" s="564"/>
      <c r="R6" s="13" t="s">
        <v>32</v>
      </c>
      <c r="S6" s="566"/>
      <c r="T6" s="566"/>
      <c r="U6" s="569" t="str">
        <f>IF(UNKB0050_H_KOBAIHIN_CD="","",UNKB0050_H_KOBAIHIN_MEI)</f>
        <v/>
      </c>
      <c r="V6" s="570" t="str">
        <f>IF(UNKB0040_H_KOBAIHIN_CD="","",UNKB0040_H_KOBAIHIN_MEI)</f>
        <v/>
      </c>
      <c r="W6" s="570" t="str">
        <f>IF(UNKB0040_H_KOBAIHIN_CD="","",UNKB0040_H_KOBAIHIN_MEI)</f>
        <v/>
      </c>
      <c r="X6" s="571" t="str">
        <f>IF(UNKB0040_H_KOBAIHIN_CD="","",UNKB0040_H_KOBAIHIN_MEI)</f>
        <v/>
      </c>
    </row>
    <row r="7" spans="1:24">
      <c r="C7" s="365" t="s">
        <v>692</v>
      </c>
      <c r="E7" s="387" t="s">
        <v>1031</v>
      </c>
      <c r="H7" s="13" t="s">
        <v>1901</v>
      </c>
      <c r="I7" s="489"/>
      <c r="J7" s="489"/>
      <c r="K7" s="16" t="s">
        <v>649</v>
      </c>
      <c r="L7" s="474"/>
      <c r="N7" s="13" t="s">
        <v>650</v>
      </c>
      <c r="O7" s="565"/>
      <c r="P7" s="565"/>
      <c r="R7" s="13" t="s">
        <v>34</v>
      </c>
      <c r="S7" s="566"/>
      <c r="T7" s="566"/>
      <c r="U7" s="569" t="str">
        <f>IF(UNKB0050_H_SHIIRESAKI_CD="","",UNKB0050_H_SHIIRE_MEI)</f>
        <v/>
      </c>
      <c r="V7" s="570" t="str">
        <f>IF(UNKB0040_H_SHIIRESAKI_CD="","",UNKB0040_H_SHIIRE_MEI)</f>
        <v/>
      </c>
      <c r="W7" s="570" t="str">
        <f>IF(UNKB0040_H_SHIIRESAKI_CD="","",UNKB0040_H_SHIIRE_MEI)</f>
        <v/>
      </c>
      <c r="X7" s="571" t="str">
        <f>IF(UNKB0040_H_SHIIRESAKI_CD="","",UNKB0040_H_SHIIRE_MEI)</f>
        <v/>
      </c>
    </row>
    <row r="8" spans="1:24" ht="17.25" thickBot="1">
      <c r="B8" s="244" t="s">
        <v>703</v>
      </c>
      <c r="C8" s="244" t="s">
        <v>271</v>
      </c>
      <c r="D8" s="244" t="s">
        <v>694</v>
      </c>
      <c r="E8" s="367" t="s">
        <v>693</v>
      </c>
      <c r="H8" s="13" t="s">
        <v>1902</v>
      </c>
      <c r="I8" s="489"/>
      <c r="J8" s="489"/>
      <c r="K8" s="16" t="s">
        <v>649</v>
      </c>
      <c r="L8" s="474"/>
      <c r="N8" s="13" t="s">
        <v>36</v>
      </c>
      <c r="O8" s="564"/>
      <c r="P8" s="564"/>
      <c r="R8" s="13" t="s">
        <v>37</v>
      </c>
      <c r="S8" s="566"/>
      <c r="T8" s="566"/>
      <c r="U8" s="569" t="str">
        <f>IF(UNKB0050_H_MAKER_CD="","",UNKB0050_H_MAKER_MEI)</f>
        <v/>
      </c>
      <c r="V8" s="570" t="str">
        <f>IF(UNKB0040_H_MAKER_CD="","",UNKB0040_H_MAKER_MEI)</f>
        <v/>
      </c>
      <c r="W8" s="570" t="str">
        <f>IF(UNKB0040_H_MAKER_CD="","",UNKB0040_H_MAKER_MEI)</f>
        <v/>
      </c>
      <c r="X8" s="571" t="str">
        <f>IF(UNKB0040_H_MAKER_CD="","",UNKB0040_H_MAKER_MEI)</f>
        <v/>
      </c>
    </row>
    <row r="9" spans="1:24">
      <c r="B9" s="480" t="s">
        <v>41</v>
      </c>
      <c r="C9" s="290" t="s">
        <v>69</v>
      </c>
      <c r="D9" s="368" t="s">
        <v>1034</v>
      </c>
      <c r="E9" s="369" t="b">
        <v>1</v>
      </c>
      <c r="H9" s="13" t="s">
        <v>1903</v>
      </c>
      <c r="I9" s="489"/>
      <c r="J9" s="489"/>
      <c r="K9" s="16" t="s">
        <v>649</v>
      </c>
      <c r="L9" s="474"/>
      <c r="N9" s="13" t="s">
        <v>1904</v>
      </c>
      <c r="O9" s="487"/>
      <c r="P9" s="488"/>
    </row>
    <row r="10" spans="1:24">
      <c r="B10" s="480"/>
      <c r="C10" s="290" t="s">
        <v>20</v>
      </c>
      <c r="D10" s="368" t="s">
        <v>1035</v>
      </c>
      <c r="E10" s="370" t="b">
        <v>1</v>
      </c>
    </row>
    <row r="11" spans="1:24">
      <c r="B11" s="480"/>
      <c r="C11" s="290" t="s">
        <v>699</v>
      </c>
      <c r="D11" s="368" t="s">
        <v>1036</v>
      </c>
      <c r="E11" s="370" t="b">
        <v>1</v>
      </c>
      <c r="H11" s="13" t="s">
        <v>651</v>
      </c>
      <c r="I11" s="491"/>
      <c r="J11" s="491"/>
      <c r="K11" s="14" t="str">
        <f>IF(UNKB0050_H_FREEWD_KBN=1,"AND",IF(UNKB0050_H_FREEWD_KBN=2,"OR","NAND"))</f>
        <v>AND</v>
      </c>
      <c r="L11" s="355"/>
      <c r="M11" s="14" t="str">
        <f>UNKB0050_H_FREEWD_KBN_DISP</f>
        <v>AND</v>
      </c>
      <c r="N11" s="355"/>
      <c r="P11" s="218"/>
      <c r="Q11" s="218"/>
      <c r="R11" s="218"/>
    </row>
    <row r="12" spans="1:24" s="218" customFormat="1">
      <c r="A12" s="364"/>
      <c r="B12" s="480"/>
      <c r="C12" s="290" t="s">
        <v>1859</v>
      </c>
      <c r="D12" s="368" t="s">
        <v>1037</v>
      </c>
      <c r="E12" s="370" t="b">
        <v>1</v>
      </c>
      <c r="F12" s="364"/>
    </row>
    <row r="13" spans="1:24">
      <c r="B13" s="480"/>
      <c r="C13" s="290" t="s">
        <v>23</v>
      </c>
      <c r="D13" s="368" t="s">
        <v>1038</v>
      </c>
      <c r="E13" s="370" t="b">
        <v>0</v>
      </c>
    </row>
    <row r="14" spans="1:24">
      <c r="B14" s="567" t="s">
        <v>42</v>
      </c>
      <c r="C14" s="290" t="s">
        <v>1148</v>
      </c>
      <c r="D14" s="368" t="s">
        <v>1149</v>
      </c>
      <c r="E14" s="370" t="b">
        <v>0</v>
      </c>
    </row>
    <row r="15" spans="1:24">
      <c r="B15" s="568"/>
      <c r="C15" s="290" t="s">
        <v>656</v>
      </c>
      <c r="D15" s="368" t="s">
        <v>1039</v>
      </c>
      <c r="E15" s="370" t="b">
        <v>1</v>
      </c>
    </row>
    <row r="16" spans="1:24">
      <c r="B16" s="568"/>
      <c r="C16" s="290" t="s">
        <v>707</v>
      </c>
      <c r="D16" s="368" t="s">
        <v>1040</v>
      </c>
      <c r="E16" s="370" t="b">
        <v>0</v>
      </c>
    </row>
    <row r="17" spans="2:5">
      <c r="B17" s="568"/>
      <c r="C17" s="290" t="s">
        <v>27</v>
      </c>
      <c r="D17" s="368" t="s">
        <v>1041</v>
      </c>
      <c r="E17" s="370" t="b">
        <v>0</v>
      </c>
    </row>
    <row r="18" spans="2:5">
      <c r="B18" s="568"/>
      <c r="C18" s="290" t="s">
        <v>28</v>
      </c>
      <c r="D18" s="368" t="s">
        <v>1042</v>
      </c>
      <c r="E18" s="370" t="b">
        <v>0</v>
      </c>
    </row>
    <row r="19" spans="2:5">
      <c r="B19" s="568"/>
      <c r="C19" s="290" t="s">
        <v>710</v>
      </c>
      <c r="D19" s="368" t="s">
        <v>1043</v>
      </c>
      <c r="E19" s="370" t="b">
        <v>0</v>
      </c>
    </row>
    <row r="20" spans="2:5">
      <c r="B20" s="358" t="s">
        <v>188</v>
      </c>
      <c r="C20" s="79" t="s">
        <v>114</v>
      </c>
      <c r="D20" s="371" t="s">
        <v>1044</v>
      </c>
      <c r="E20" s="149"/>
    </row>
    <row r="21" spans="2:5">
      <c r="B21" s="372" t="s">
        <v>188</v>
      </c>
      <c r="C21" s="373" t="s">
        <v>452</v>
      </c>
      <c r="D21" s="374" t="s">
        <v>1045</v>
      </c>
      <c r="E21" s="150"/>
    </row>
    <row r="22" spans="2:5">
      <c r="B22" s="358" t="s">
        <v>188</v>
      </c>
      <c r="C22" s="79" t="s">
        <v>90</v>
      </c>
      <c r="D22" s="371" t="s">
        <v>1046</v>
      </c>
      <c r="E22" s="346"/>
    </row>
    <row r="23" spans="2:5">
      <c r="B23" s="358" t="s">
        <v>188</v>
      </c>
      <c r="C23" s="79" t="s">
        <v>59</v>
      </c>
      <c r="D23" s="371" t="s">
        <v>1047</v>
      </c>
      <c r="E23" s="149"/>
    </row>
    <row r="24" spans="2:5">
      <c r="B24" s="358" t="s">
        <v>188</v>
      </c>
      <c r="C24" s="79" t="s">
        <v>61</v>
      </c>
      <c r="D24" s="371" t="s">
        <v>1048</v>
      </c>
      <c r="E24" s="151"/>
    </row>
    <row r="25" spans="2:5" ht="17.25" thickBot="1">
      <c r="B25" s="358" t="s">
        <v>188</v>
      </c>
      <c r="C25" s="79" t="s">
        <v>695</v>
      </c>
      <c r="D25" s="371" t="s">
        <v>1049</v>
      </c>
      <c r="E25" s="152">
        <v>1</v>
      </c>
    </row>
    <row r="28" spans="2:5">
      <c r="C28" s="482" t="s">
        <v>730</v>
      </c>
      <c r="D28" s="482"/>
    </row>
    <row r="29" spans="2:5">
      <c r="C29" s="77" t="s">
        <v>686</v>
      </c>
      <c r="D29" s="77" t="s">
        <v>688</v>
      </c>
      <c r="E29" s="77" t="s">
        <v>687</v>
      </c>
    </row>
    <row r="30" spans="2:5">
      <c r="C30" s="290" t="s">
        <v>69</v>
      </c>
      <c r="D30" s="290" t="s">
        <v>1050</v>
      </c>
      <c r="E30" s="358" t="b">
        <v>1</v>
      </c>
    </row>
    <row r="31" spans="2:5">
      <c r="C31" s="290" t="s">
        <v>20</v>
      </c>
      <c r="D31" s="290" t="s">
        <v>1051</v>
      </c>
      <c r="E31" s="358" t="b">
        <v>1</v>
      </c>
    </row>
    <row r="32" spans="2:5">
      <c r="C32" s="290" t="s">
        <v>699</v>
      </c>
      <c r="D32" s="290" t="s">
        <v>1052</v>
      </c>
      <c r="E32" s="358" t="b">
        <v>1</v>
      </c>
    </row>
    <row r="33" spans="1:6" s="218" customFormat="1">
      <c r="A33" s="364"/>
      <c r="B33" s="364"/>
      <c r="C33" s="290" t="s">
        <v>22</v>
      </c>
      <c r="D33" s="290" t="s">
        <v>1053</v>
      </c>
      <c r="E33" s="358" t="b">
        <v>1</v>
      </c>
      <c r="F33" s="364"/>
    </row>
    <row r="34" spans="1:6">
      <c r="C34" s="290" t="s">
        <v>23</v>
      </c>
      <c r="D34" s="290" t="s">
        <v>1054</v>
      </c>
      <c r="E34" s="358" t="b">
        <v>1</v>
      </c>
    </row>
    <row r="35" spans="1:6">
      <c r="C35" s="290" t="s">
        <v>1148</v>
      </c>
      <c r="D35" s="290" t="s">
        <v>1151</v>
      </c>
      <c r="E35" s="358" t="b">
        <v>0</v>
      </c>
    </row>
    <row r="36" spans="1:6">
      <c r="C36" s="290" t="s">
        <v>656</v>
      </c>
      <c r="D36" s="290" t="s">
        <v>1055</v>
      </c>
      <c r="E36" s="358" t="b">
        <v>1</v>
      </c>
    </row>
    <row r="37" spans="1:6">
      <c r="C37" s="290" t="s">
        <v>707</v>
      </c>
      <c r="D37" s="290" t="s">
        <v>1056</v>
      </c>
      <c r="E37" s="358" t="b">
        <v>0</v>
      </c>
    </row>
    <row r="38" spans="1:6">
      <c r="C38" s="290" t="s">
        <v>27</v>
      </c>
      <c r="D38" s="290" t="s">
        <v>1057</v>
      </c>
      <c r="E38" s="358" t="b">
        <v>0</v>
      </c>
    </row>
    <row r="39" spans="1:6">
      <c r="C39" s="290" t="s">
        <v>28</v>
      </c>
      <c r="D39" s="290" t="s">
        <v>1058</v>
      </c>
      <c r="E39" s="358" t="b">
        <v>0</v>
      </c>
    </row>
    <row r="40" spans="1:6">
      <c r="C40" s="290" t="s">
        <v>710</v>
      </c>
      <c r="D40" s="290" t="s">
        <v>1059</v>
      </c>
      <c r="E40" s="358" t="b">
        <v>0</v>
      </c>
    </row>
    <row r="41" spans="1:6">
      <c r="C41" s="79" t="s">
        <v>732</v>
      </c>
      <c r="D41" s="79" t="s">
        <v>1060</v>
      </c>
      <c r="E41" s="384"/>
    </row>
    <row r="42" spans="1:6">
      <c r="C42" s="79" t="s">
        <v>734</v>
      </c>
      <c r="D42" s="79" t="s">
        <v>1061</v>
      </c>
      <c r="E42" s="384"/>
    </row>
    <row r="43" spans="1:6">
      <c r="C43" s="79" t="s">
        <v>735</v>
      </c>
      <c r="D43" s="79" t="s">
        <v>1062</v>
      </c>
      <c r="E43" s="384"/>
    </row>
    <row r="44" spans="1:6">
      <c r="C44" s="79" t="s">
        <v>736</v>
      </c>
      <c r="D44" s="79" t="s">
        <v>1063</v>
      </c>
      <c r="E44" s="384"/>
    </row>
    <row r="45" spans="1:6">
      <c r="C45" s="79" t="s">
        <v>737</v>
      </c>
      <c r="D45" s="79" t="s">
        <v>1064</v>
      </c>
      <c r="E45" s="384"/>
    </row>
    <row r="46" spans="1:6">
      <c r="C46" s="79" t="s">
        <v>738</v>
      </c>
      <c r="D46" s="79" t="s">
        <v>1065</v>
      </c>
      <c r="E46" s="384"/>
    </row>
    <row r="47" spans="1:6">
      <c r="C47" s="79" t="s">
        <v>739</v>
      </c>
      <c r="D47" s="79" t="s">
        <v>1066</v>
      </c>
      <c r="E47" s="384"/>
    </row>
    <row r="48" spans="1:6">
      <c r="C48" s="79" t="s">
        <v>740</v>
      </c>
      <c r="D48" s="79" t="s">
        <v>1067</v>
      </c>
      <c r="E48" s="384"/>
    </row>
    <row r="49" spans="3:5">
      <c r="C49" s="79" t="s">
        <v>741</v>
      </c>
      <c r="D49" s="79" t="s">
        <v>1068</v>
      </c>
      <c r="E49" s="358"/>
    </row>
    <row r="50" spans="3:5">
      <c r="C50" s="79" t="s">
        <v>114</v>
      </c>
      <c r="D50" s="79" t="s">
        <v>1069</v>
      </c>
      <c r="E50" s="358"/>
    </row>
    <row r="51" spans="3:5">
      <c r="C51" s="79" t="s">
        <v>742</v>
      </c>
      <c r="D51" s="79" t="s">
        <v>1070</v>
      </c>
      <c r="E51" s="358"/>
    </row>
    <row r="52" spans="3:5">
      <c r="C52" s="79" t="s">
        <v>63</v>
      </c>
      <c r="D52" s="79" t="s">
        <v>1071</v>
      </c>
      <c r="E52" s="358"/>
    </row>
    <row r="53" spans="3:5">
      <c r="C53" s="79" t="s">
        <v>62</v>
      </c>
      <c r="D53" s="79" t="s">
        <v>1072</v>
      </c>
      <c r="E53" s="358"/>
    </row>
    <row r="54" spans="3:5">
      <c r="C54" s="373" t="s">
        <v>452</v>
      </c>
      <c r="D54" s="373" t="s">
        <v>1073</v>
      </c>
      <c r="E54" s="372"/>
    </row>
    <row r="55" spans="3:5">
      <c r="C55" s="79" t="s">
        <v>747</v>
      </c>
      <c r="D55" s="79" t="s">
        <v>1074</v>
      </c>
      <c r="E55" s="358"/>
    </row>
    <row r="56" spans="3:5">
      <c r="C56" s="79" t="s">
        <v>90</v>
      </c>
      <c r="D56" s="79" t="s">
        <v>1075</v>
      </c>
      <c r="E56" s="358"/>
    </row>
    <row r="57" spans="3:5">
      <c r="C57" s="79" t="s">
        <v>58</v>
      </c>
      <c r="D57" s="79" t="s">
        <v>1076</v>
      </c>
      <c r="E57" s="358"/>
    </row>
    <row r="58" spans="3:5">
      <c r="C58" s="79" t="s">
        <v>59</v>
      </c>
      <c r="D58" s="79" t="s">
        <v>1077</v>
      </c>
      <c r="E58" s="358"/>
    </row>
    <row r="59" spans="3:5">
      <c r="C59" s="79" t="s">
        <v>60</v>
      </c>
      <c r="D59" s="79" t="s">
        <v>1078</v>
      </c>
      <c r="E59" s="358"/>
    </row>
    <row r="60" spans="3:5">
      <c r="C60" s="79" t="s">
        <v>61</v>
      </c>
      <c r="D60" s="79" t="s">
        <v>1079</v>
      </c>
      <c r="E60" s="358"/>
    </row>
    <row r="61" spans="3:5">
      <c r="C61" s="245" t="s">
        <v>777</v>
      </c>
      <c r="D61" s="245" t="s">
        <v>1080</v>
      </c>
      <c r="E61" s="357"/>
    </row>
    <row r="62" spans="3:5">
      <c r="C62" s="245" t="s">
        <v>778</v>
      </c>
      <c r="D62" s="245" t="s">
        <v>1081</v>
      </c>
      <c r="E62" s="357"/>
    </row>
    <row r="63" spans="3:5">
      <c r="C63" s="245" t="s">
        <v>689</v>
      </c>
      <c r="D63" s="245" t="s">
        <v>1082</v>
      </c>
      <c r="E63" s="357"/>
    </row>
    <row r="64" spans="3:5">
      <c r="C64" s="79" t="s">
        <v>695</v>
      </c>
      <c r="D64" s="79" t="s">
        <v>1083</v>
      </c>
      <c r="E64" s="385">
        <v>1</v>
      </c>
    </row>
    <row r="66" spans="3:5">
      <c r="C66" s="30"/>
      <c r="D66" s="30"/>
      <c r="E66" s="30"/>
    </row>
  </sheetData>
  <sheetProtection sheet="1" objects="1" scenarios="1" selectLockedCells="1"/>
  <mergeCells count="18">
    <mergeCell ref="U6:X6"/>
    <mergeCell ref="U7:X7"/>
    <mergeCell ref="U8:X8"/>
    <mergeCell ref="I11:J11"/>
    <mergeCell ref="O8:P8"/>
    <mergeCell ref="O7:P7"/>
    <mergeCell ref="I8:J8"/>
    <mergeCell ref="I9:J9"/>
    <mergeCell ref="I7:J7"/>
    <mergeCell ref="O6:P6"/>
    <mergeCell ref="S6:T6"/>
    <mergeCell ref="S7:T7"/>
    <mergeCell ref="I6:J6"/>
    <mergeCell ref="B9:B13"/>
    <mergeCell ref="C28:D28"/>
    <mergeCell ref="S8:T8"/>
    <mergeCell ref="B14:B19"/>
    <mergeCell ref="O9:P9"/>
  </mergeCells>
  <phoneticPr fontId="1"/>
  <dataValidations count="3">
    <dataValidation type="custom" allowBlank="1" showInputMessage="1" showErrorMessage="1" sqref="O6:P6 O8:P8">
      <formula1>AND(LEN(O6)=LENB(O6),LEN(O6)=10)</formula1>
    </dataValidation>
    <dataValidation type="date" allowBlank="1" showInputMessage="1" showErrorMessage="1" sqref="I6:J9 L6:L9">
      <formula1>36526</formula1>
      <formula2>73415</formula2>
    </dataValidation>
    <dataValidation type="custom" allowBlank="1" showInputMessage="1" showErrorMessage="1" sqref="O9:P9">
      <formula1>AND(LEN(O9)=LENB(O9),LEN(O9)&lt;=10)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UNKB0050_SearchDataCopy">
                <anchor moveWithCells="1" sizeWithCells="1">
                  <from>
                    <xdr:col>3</xdr:col>
                    <xdr:colOff>676275</xdr:colOff>
                    <xdr:row>26</xdr:row>
                    <xdr:rowOff>47625</xdr:rowOff>
                  </from>
                  <to>
                    <xdr:col>3</xdr:col>
                    <xdr:colOff>1619250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Check Box 2">
              <controlPr defaultSize="0" autoFill="0" autoLine="0" autoPict="0">
                <anchor moveWithCells="1">
                  <from>
                    <xdr:col>8</xdr:col>
                    <xdr:colOff>38100</xdr:colOff>
                    <xdr:row>2</xdr:row>
                    <xdr:rowOff>28575</xdr:rowOff>
                  </from>
                  <to>
                    <xdr:col>9</xdr:col>
                    <xdr:colOff>428625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Check Box 3">
              <controlPr defaultSize="0" autoFill="0" autoLine="0" autoPict="0">
                <anchor moveWithCells="1">
                  <from>
                    <xdr:col>10</xdr:col>
                    <xdr:colOff>38100</xdr:colOff>
                    <xdr:row>2</xdr:row>
                    <xdr:rowOff>28575</xdr:rowOff>
                  </from>
                  <to>
                    <xdr:col>11</xdr:col>
                    <xdr:colOff>533400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7" name="Check Box 4">
              <controlPr defaultSize="0" autoFill="0" autoLine="0" autoPict="0">
                <anchor moveWithCells="1">
                  <from>
                    <xdr:col>12</xdr:col>
                    <xdr:colOff>38100</xdr:colOff>
                    <xdr:row>2</xdr:row>
                    <xdr:rowOff>28575</xdr:rowOff>
                  </from>
                  <to>
                    <xdr:col>13</xdr:col>
                    <xdr:colOff>914400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8" name="Check Box 5">
              <controlPr defaultSize="0" autoFill="0" autoLine="0" autoPict="0">
                <anchor moveWithCells="1">
                  <from>
                    <xdr:col>14</xdr:col>
                    <xdr:colOff>28575</xdr:colOff>
                    <xdr:row>2</xdr:row>
                    <xdr:rowOff>28575</xdr:rowOff>
                  </from>
                  <to>
                    <xdr:col>15</xdr:col>
                    <xdr:colOff>323850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9" name="Check Box 6">
              <controlPr defaultSize="0" autoFill="0" autoLine="0" autoPict="0">
                <anchor moveWithCells="1">
                  <from>
                    <xdr:col>16</xdr:col>
                    <xdr:colOff>38100</xdr:colOff>
                    <xdr:row>2</xdr:row>
                    <xdr:rowOff>28575</xdr:rowOff>
                  </from>
                  <to>
                    <xdr:col>17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Check Box 8">
              <controlPr defaultSize="0" autoFill="0" autoLine="0" autoPict="0">
                <anchor moveWithCells="1">
                  <from>
                    <xdr:col>10</xdr:col>
                    <xdr:colOff>38100</xdr:colOff>
                    <xdr:row>3</xdr:row>
                    <xdr:rowOff>19050</xdr:rowOff>
                  </from>
                  <to>
                    <xdr:col>11</xdr:col>
                    <xdr:colOff>428625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Check Box 9">
              <controlPr defaultSize="0" autoFill="0" autoLine="0" autoPict="0">
                <anchor moveWithCells="1">
                  <from>
                    <xdr:col>12</xdr:col>
                    <xdr:colOff>38100</xdr:colOff>
                    <xdr:row>3</xdr:row>
                    <xdr:rowOff>19050</xdr:rowOff>
                  </from>
                  <to>
                    <xdr:col>13</xdr:col>
                    <xdr:colOff>781050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Check Box 10">
              <controlPr defaultSize="0" autoFill="0" autoLine="0" autoPict="0">
                <anchor moveWithCells="1">
                  <from>
                    <xdr:col>14</xdr:col>
                    <xdr:colOff>38100</xdr:colOff>
                    <xdr:row>3</xdr:row>
                    <xdr:rowOff>19050</xdr:rowOff>
                  </from>
                  <to>
                    <xdr:col>15</xdr:col>
                    <xdr:colOff>676275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Check Box 11">
              <controlPr defaultSize="0" autoFill="0" autoLine="0" autoPict="0">
                <anchor moveWithCells="1">
                  <from>
                    <xdr:col>16</xdr:col>
                    <xdr:colOff>38100</xdr:colOff>
                    <xdr:row>3</xdr:row>
                    <xdr:rowOff>19050</xdr:rowOff>
                  </from>
                  <to>
                    <xdr:col>17</xdr:col>
                    <xdr:colOff>533400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Check Box 12">
              <controlPr defaultSize="0" autoFill="0" autoLine="0" autoPict="0">
                <anchor moveWithCells="1">
                  <from>
                    <xdr:col>18</xdr:col>
                    <xdr:colOff>38100</xdr:colOff>
                    <xdr:row>3</xdr:row>
                    <xdr:rowOff>19050</xdr:rowOff>
                  </from>
                  <to>
                    <xdr:col>19</xdr:col>
                    <xdr:colOff>447675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Option Button 13">
              <controlPr defaultSize="0" autoFill="0" autoLine="0" autoPict="0">
                <anchor moveWithCells="1">
                  <from>
                    <xdr:col>14</xdr:col>
                    <xdr:colOff>228600</xdr:colOff>
                    <xdr:row>10</xdr:row>
                    <xdr:rowOff>9525</xdr:rowOff>
                  </from>
                  <to>
                    <xdr:col>15</xdr:col>
                    <xdr:colOff>495300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Option Button 14">
              <controlPr defaultSize="0" autoFill="0" autoLine="0" autoPict="0">
                <anchor moveWithCells="1">
                  <from>
                    <xdr:col>15</xdr:col>
                    <xdr:colOff>552450</xdr:colOff>
                    <xdr:row>10</xdr:row>
                    <xdr:rowOff>19050</xdr:rowOff>
                  </from>
                  <to>
                    <xdr:col>16</xdr:col>
                    <xdr:colOff>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Option Button 15">
              <controlPr defaultSize="0" autoFill="0" autoLine="0" autoPict="0">
                <anchor moveWithCells="1">
                  <from>
                    <xdr:col>16</xdr:col>
                    <xdr:colOff>28575</xdr:colOff>
                    <xdr:row>10</xdr:row>
                    <xdr:rowOff>9525</xdr:rowOff>
                  </from>
                  <to>
                    <xdr:col>17</xdr:col>
                    <xdr:colOff>400050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Check Box 16">
              <controlPr defaultSize="0" autoFill="0" autoLine="0" autoPict="0">
                <anchor moveWithCells="1">
                  <from>
                    <xdr:col>8</xdr:col>
                    <xdr:colOff>38100</xdr:colOff>
                    <xdr:row>3</xdr:row>
                    <xdr:rowOff>19050</xdr:rowOff>
                  </from>
                  <to>
                    <xdr:col>9</xdr:col>
                    <xdr:colOff>428625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FFC000"/>
  </sheetPr>
  <dimension ref="A1:AR40"/>
  <sheetViews>
    <sheetView showGridLines="0" showRowColHeaders="0" topLeftCell="F15" zoomScaleNormal="100" workbookViewId="0">
      <selection sqref="A1:E1 H1 K1 AN1:AR1"/>
    </sheetView>
  </sheetViews>
  <sheetFormatPr defaultRowHeight="16.5"/>
  <cols>
    <col min="1" max="1" width="9" style="38" hidden="1" customWidth="1"/>
    <col min="2" max="2" width="13.25" style="38" hidden="1" customWidth="1"/>
    <col min="3" max="3" width="30.625" style="38" hidden="1" customWidth="1"/>
    <col min="4" max="4" width="13.375" style="38" hidden="1" customWidth="1"/>
    <col min="5" max="5" width="9" style="38" hidden="1" customWidth="1"/>
    <col min="6" max="6" width="3.375" style="11" customWidth="1"/>
    <col min="7" max="7" width="5" style="11" bestFit="1" customWidth="1"/>
    <col min="8" max="8" width="5" style="218" hidden="1" customWidth="1"/>
    <col min="9" max="9" width="10" style="11" bestFit="1" customWidth="1"/>
    <col min="10" max="10" width="5" style="11" bestFit="1" customWidth="1"/>
    <col min="11" max="11" width="5" style="218" hidden="1" customWidth="1"/>
    <col min="12" max="12" width="8.25" style="11" bestFit="1" customWidth="1"/>
    <col min="13" max="13" width="8" style="11" customWidth="1"/>
    <col min="14" max="14" width="10" style="11" customWidth="1"/>
    <col min="15" max="15" width="10" style="11" bestFit="1" customWidth="1"/>
    <col min="16" max="16" width="9.125" style="11" bestFit="1" customWidth="1"/>
    <col min="17" max="17" width="31.875" style="218" customWidth="1"/>
    <col min="18" max="18" width="8.25" style="11" bestFit="1" customWidth="1"/>
    <col min="19" max="19" width="6.375" style="11" customWidth="1"/>
    <col min="20" max="20" width="7.125" style="11" customWidth="1"/>
    <col min="21" max="21" width="6.875" style="11" customWidth="1"/>
    <col min="22" max="22" width="8.125" style="11" customWidth="1"/>
    <col min="23" max="23" width="9" style="11" customWidth="1"/>
    <col min="24" max="24" width="8.25" style="11" bestFit="1" customWidth="1"/>
    <col min="25" max="25" width="10" style="11" customWidth="1"/>
    <col min="26" max="26" width="10" style="11" bestFit="1" customWidth="1"/>
    <col min="27" max="28" width="10" style="11" customWidth="1"/>
    <col min="29" max="29" width="8.5" style="11" bestFit="1" customWidth="1"/>
    <col min="30" max="30" width="9" style="11" bestFit="1" customWidth="1"/>
    <col min="31" max="31" width="14.125" style="11" customWidth="1"/>
    <col min="32" max="32" width="10.125" style="11" customWidth="1"/>
    <col min="33" max="33" width="14.5" style="11" customWidth="1"/>
    <col min="34" max="35" width="10.5" style="11" customWidth="1"/>
    <col min="36" max="36" width="17.125" style="11" customWidth="1"/>
    <col min="37" max="37" width="12.25" style="11" customWidth="1"/>
    <col min="38" max="39" width="14.25" style="11" bestFit="1" customWidth="1"/>
    <col min="40" max="40" width="9" style="218" hidden="1" customWidth="1"/>
    <col min="41" max="41" width="13.875" style="218" hidden="1" customWidth="1"/>
    <col min="42" max="42" width="9" style="218" hidden="1" customWidth="1"/>
    <col min="43" max="43" width="17.375" style="218" hidden="1" customWidth="1"/>
    <col min="44" max="44" width="12.75" style="218" hidden="1" customWidth="1"/>
    <col min="45" max="16384" width="9" style="11"/>
  </cols>
  <sheetData>
    <row r="1" spans="1:44" s="218" customFormat="1" ht="1.5" hidden="1" customHeight="1">
      <c r="A1" s="38"/>
      <c r="B1" s="38"/>
      <c r="C1" s="38"/>
      <c r="D1" s="38"/>
      <c r="E1" s="38"/>
    </row>
    <row r="2" spans="1:44" s="218" customFormat="1" ht="1.5" hidden="1" customHeight="1">
      <c r="A2" s="38"/>
      <c r="B2" s="38"/>
      <c r="C2" s="38"/>
      <c r="D2" s="38"/>
      <c r="E2" s="38"/>
    </row>
    <row r="3" spans="1:44" s="218" customFormat="1" ht="1.5" hidden="1" customHeight="1">
      <c r="A3" s="38"/>
      <c r="B3" s="38"/>
      <c r="C3" s="38"/>
      <c r="D3" s="38"/>
      <c r="E3" s="38"/>
    </row>
    <row r="4" spans="1:44" s="218" customFormat="1" ht="1.5" hidden="1" customHeight="1">
      <c r="A4" s="38"/>
      <c r="B4" s="38"/>
      <c r="C4" s="38"/>
      <c r="D4" s="38"/>
      <c r="E4" s="38"/>
    </row>
    <row r="5" spans="1:44" s="218" customFormat="1" ht="1.5" hidden="1" customHeight="1">
      <c r="A5" s="38"/>
      <c r="B5" s="38"/>
      <c r="C5" s="38"/>
      <c r="D5" s="38"/>
      <c r="E5" s="38"/>
    </row>
    <row r="6" spans="1:44" s="218" customFormat="1" ht="1.5" hidden="1" customHeight="1">
      <c r="A6" s="38"/>
      <c r="B6" s="38"/>
      <c r="C6" s="38"/>
      <c r="D6" s="38"/>
      <c r="E6" s="38"/>
    </row>
    <row r="7" spans="1:44" s="218" customFormat="1" ht="1.5" hidden="1" customHeight="1">
      <c r="A7" s="38"/>
      <c r="B7" s="38"/>
      <c r="C7" s="38"/>
      <c r="D7" s="38"/>
      <c r="E7" s="38"/>
    </row>
    <row r="8" spans="1:44" s="218" customFormat="1" ht="1.5" hidden="1" customHeight="1">
      <c r="A8" s="38"/>
      <c r="B8" s="38"/>
      <c r="C8" s="38"/>
      <c r="D8" s="38"/>
      <c r="E8" s="38"/>
    </row>
    <row r="9" spans="1:44" s="218" customFormat="1" ht="1.5" hidden="1" customHeight="1">
      <c r="A9" s="38"/>
      <c r="B9" s="38"/>
      <c r="C9" s="38"/>
      <c r="D9" s="38"/>
      <c r="E9" s="38"/>
    </row>
    <row r="10" spans="1:44" s="218" customFormat="1" ht="1.5" hidden="1" customHeight="1">
      <c r="A10" s="38"/>
      <c r="B10" s="38"/>
      <c r="C10" s="38"/>
      <c r="D10" s="38"/>
      <c r="E10" s="38"/>
    </row>
    <row r="11" spans="1:44" s="218" customFormat="1" ht="1.5" hidden="1" customHeight="1">
      <c r="A11" s="38"/>
      <c r="B11" s="38"/>
      <c r="C11" s="38"/>
      <c r="D11" s="38"/>
      <c r="E11" s="38"/>
    </row>
    <row r="12" spans="1:44" s="218" customFormat="1" ht="1.5" hidden="1" customHeight="1">
      <c r="A12" s="38"/>
      <c r="B12" s="38"/>
      <c r="C12" s="38"/>
      <c r="D12" s="38"/>
      <c r="E12" s="38"/>
    </row>
    <row r="13" spans="1:44" s="218" customFormat="1" ht="1.5" hidden="1" customHeight="1">
      <c r="A13" s="38"/>
      <c r="B13" s="38"/>
      <c r="C13" s="38"/>
      <c r="D13" s="38"/>
      <c r="E13" s="38"/>
    </row>
    <row r="14" spans="1:44" s="218" customFormat="1" ht="1.5" hidden="1" customHeight="1">
      <c r="A14" s="38"/>
      <c r="B14" s="38"/>
      <c r="C14" s="38"/>
      <c r="D14" s="38"/>
      <c r="E14" s="38"/>
    </row>
    <row r="15" spans="1:44">
      <c r="F15" s="11" t="str">
        <f>"("&amp;UNKB0050_B_PAGE_NO&amp;"/"&amp;UNKB0050_B_ALL_PAGE_SU&amp;")"</f>
        <v>(1/1)</v>
      </c>
      <c r="G15" s="22"/>
    </row>
    <row r="16" spans="1:44" s="218" customFormat="1">
      <c r="A16" s="38"/>
      <c r="B16" s="382" t="s">
        <v>690</v>
      </c>
      <c r="C16" s="382" t="s">
        <v>1084</v>
      </c>
      <c r="D16" s="382" t="str">
        <f>ROW(A1)&amp;":"&amp;ROW(A14)</f>
        <v>1:14</v>
      </c>
      <c r="E16" s="38"/>
      <c r="F16" s="33"/>
      <c r="G16" s="220" t="s">
        <v>39</v>
      </c>
      <c r="H16" s="215" t="s">
        <v>1103</v>
      </c>
      <c r="I16" s="220" t="s">
        <v>40</v>
      </c>
      <c r="J16" s="220" t="s">
        <v>1312</v>
      </c>
      <c r="K16" s="215" t="s">
        <v>1101</v>
      </c>
      <c r="L16" s="220" t="s">
        <v>41</v>
      </c>
      <c r="M16" s="220" t="s">
        <v>652</v>
      </c>
      <c r="N16" s="220" t="s">
        <v>653</v>
      </c>
      <c r="O16" s="220" t="s">
        <v>44</v>
      </c>
      <c r="P16" s="220" t="s">
        <v>45</v>
      </c>
      <c r="Q16" s="220" t="s">
        <v>46</v>
      </c>
      <c r="R16" s="220" t="s">
        <v>47</v>
      </c>
      <c r="S16" s="220" t="s">
        <v>48</v>
      </c>
      <c r="T16" s="220" t="s">
        <v>51</v>
      </c>
      <c r="U16" s="220" t="s">
        <v>50</v>
      </c>
      <c r="V16" s="220" t="s">
        <v>49</v>
      </c>
      <c r="W16" s="220" t="s">
        <v>52</v>
      </c>
      <c r="X16" s="220" t="s">
        <v>53</v>
      </c>
      <c r="Y16" s="220" t="s">
        <v>89</v>
      </c>
      <c r="Z16" s="220" t="s">
        <v>54</v>
      </c>
      <c r="AA16" s="220" t="s">
        <v>55</v>
      </c>
      <c r="AB16" s="220" t="s">
        <v>56</v>
      </c>
      <c r="AC16" s="220" t="s">
        <v>57</v>
      </c>
      <c r="AD16" s="220" t="s">
        <v>58</v>
      </c>
      <c r="AE16" s="220" t="s">
        <v>59</v>
      </c>
      <c r="AF16" s="220" t="s">
        <v>654</v>
      </c>
      <c r="AG16" s="220" t="s">
        <v>61</v>
      </c>
      <c r="AH16" s="220" t="s">
        <v>62</v>
      </c>
      <c r="AI16" s="220" t="s">
        <v>63</v>
      </c>
      <c r="AJ16" s="220" t="s">
        <v>64</v>
      </c>
      <c r="AK16" s="220" t="s">
        <v>65</v>
      </c>
      <c r="AL16" s="220" t="s">
        <v>66</v>
      </c>
      <c r="AM16" s="220" t="s">
        <v>655</v>
      </c>
      <c r="AN16" s="197" t="s">
        <v>878</v>
      </c>
      <c r="AO16" s="197" t="s">
        <v>880</v>
      </c>
      <c r="AP16" s="197" t="s">
        <v>877</v>
      </c>
      <c r="AQ16" s="197" t="s">
        <v>1002</v>
      </c>
      <c r="AR16" s="197" t="s">
        <v>811</v>
      </c>
    </row>
    <row r="17" spans="1:44" s="218" customFormat="1">
      <c r="A17" s="38"/>
      <c r="B17" s="383" t="s">
        <v>691</v>
      </c>
      <c r="C17" s="383" t="s">
        <v>1085</v>
      </c>
      <c r="D17" s="383" t="str">
        <f>ADDRESS(ROW(A1),COLUMN(A1))&amp;":"&amp;ADDRESS(ROW(E1),COLUMN(E1))&amp;","&amp;ADDRESS(ROW(H1),COLUMN(H1))&amp;","&amp;ADDRESS(ROW(K1),COLUMN(K1))&amp;","&amp;ADDRESS(ROW(AN1),COLUMN(AN1))&amp;":"&amp;ADDRESS(ROW(AR1),COLUMN(AR1))</f>
        <v>$A$1:$E$1,$H$1,$K$1,$AN$1:$AR$1</v>
      </c>
      <c r="E17" s="38"/>
      <c r="G17" s="330"/>
      <c r="H17" s="330"/>
      <c r="I17" s="330"/>
      <c r="J17" s="330"/>
      <c r="K17" s="330"/>
      <c r="L17" s="330"/>
      <c r="M17" s="330"/>
      <c r="N17" s="330"/>
      <c r="O17" s="330"/>
      <c r="P17" s="330"/>
      <c r="Q17" s="330"/>
      <c r="R17" s="330"/>
      <c r="S17" s="330"/>
      <c r="T17" s="330"/>
      <c r="U17" s="330"/>
      <c r="V17" s="330"/>
      <c r="W17" s="330"/>
      <c r="X17" s="330"/>
      <c r="Y17" s="330"/>
      <c r="Z17" s="330"/>
      <c r="AA17" s="330"/>
      <c r="AB17" s="330"/>
      <c r="AC17" s="330"/>
      <c r="AD17" s="330"/>
      <c r="AE17" s="330"/>
      <c r="AF17" s="330"/>
      <c r="AG17" s="330"/>
      <c r="AH17" s="330"/>
      <c r="AI17" s="330"/>
      <c r="AJ17" s="330"/>
      <c r="AK17" s="330"/>
      <c r="AL17" s="330"/>
      <c r="AM17" s="330"/>
      <c r="AN17" s="330"/>
      <c r="AO17" s="330"/>
      <c r="AP17" s="330"/>
      <c r="AQ17" s="330"/>
      <c r="AR17" s="330"/>
    </row>
    <row r="18" spans="1:44">
      <c r="B18" s="265" t="s">
        <v>157</v>
      </c>
      <c r="C18" s="265" t="s">
        <v>1086</v>
      </c>
      <c r="D18" s="265" t="str">
        <f>ADDRESS(ROW(UNKB0050_B_KOBAIHIN_MEI)+1,COLUMN(UNKB0050_B_KOBAIHIN_MEI))</f>
        <v>$Q$17</v>
      </c>
      <c r="G18" s="330"/>
      <c r="H18" s="330"/>
      <c r="I18" s="330"/>
      <c r="J18" s="330"/>
      <c r="K18" s="330"/>
      <c r="L18" s="330"/>
      <c r="M18" s="330"/>
      <c r="N18" s="330"/>
      <c r="O18" s="330"/>
      <c r="P18" s="330"/>
      <c r="Q18" s="330"/>
      <c r="R18" s="330"/>
      <c r="S18" s="330"/>
      <c r="T18" s="330"/>
      <c r="U18" s="330"/>
      <c r="V18" s="330"/>
      <c r="W18" s="330"/>
      <c r="X18" s="330"/>
      <c r="Y18" s="330"/>
      <c r="Z18" s="330"/>
      <c r="AA18" s="330"/>
      <c r="AB18" s="330"/>
      <c r="AC18" s="330"/>
      <c r="AD18" s="330"/>
      <c r="AE18" s="330"/>
      <c r="AF18" s="330"/>
      <c r="AG18" s="330"/>
      <c r="AH18" s="330"/>
      <c r="AI18" s="330"/>
      <c r="AJ18" s="330"/>
      <c r="AK18" s="330"/>
      <c r="AL18" s="330"/>
      <c r="AM18" s="330"/>
      <c r="AN18" s="330"/>
      <c r="AO18" s="330"/>
      <c r="AP18" s="330"/>
      <c r="AQ18" s="330"/>
      <c r="AR18" s="330"/>
    </row>
    <row r="19" spans="1:44"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</row>
    <row r="20" spans="1:44">
      <c r="B20" s="265" t="s">
        <v>813</v>
      </c>
      <c r="C20" s="265" t="s">
        <v>1087</v>
      </c>
      <c r="D20" s="265"/>
    </row>
    <row r="21" spans="1:44">
      <c r="B21" s="265" t="s">
        <v>814</v>
      </c>
      <c r="C21" s="265" t="s">
        <v>1088</v>
      </c>
      <c r="D21" s="265">
        <v>1</v>
      </c>
    </row>
    <row r="22" spans="1:44">
      <c r="B22" s="265" t="s">
        <v>815</v>
      </c>
      <c r="C22" s="265" t="s">
        <v>1089</v>
      </c>
      <c r="D22" s="265">
        <f>IF(OR(UNKB0050_B_ALL_KENSU=0,UNKB0050_B_HYOJI_GYO_SU=0),1,ROUNDUP(UNKB0050_B_ALL_KENSU/UNKB0050_B_HYOJI_GYO_SU,0))</f>
        <v>1</v>
      </c>
    </row>
    <row r="23" spans="1:44">
      <c r="B23" s="265" t="s">
        <v>816</v>
      </c>
      <c r="C23" s="265" t="s">
        <v>1090</v>
      </c>
      <c r="D23" s="265">
        <v>10</v>
      </c>
    </row>
    <row r="24" spans="1:44">
      <c r="B24" s="265" t="s">
        <v>817</v>
      </c>
      <c r="C24" s="265" t="s">
        <v>1091</v>
      </c>
      <c r="D24" s="265">
        <v>50</v>
      </c>
    </row>
    <row r="25" spans="1:44">
      <c r="B25" s="375"/>
      <c r="C25" s="376"/>
      <c r="D25" s="375"/>
    </row>
    <row r="26" spans="1:44">
      <c r="B26" s="265" t="s">
        <v>158</v>
      </c>
      <c r="C26" s="265" t="s">
        <v>1092</v>
      </c>
      <c r="D26" s="265" t="str">
        <f>ADDRESS(ROW(UNKB0050_B_SENTAKU)+1,COLUMN(UNKB0050_B_SENTAKU))</f>
        <v>$G$17</v>
      </c>
    </row>
    <row r="27" spans="1:44">
      <c r="B27" s="265" t="s">
        <v>818</v>
      </c>
      <c r="C27" s="265" t="s">
        <v>1093</v>
      </c>
      <c r="D27" s="265" t="str">
        <f>ADDRESS(ROW(UNKB0050_B_SENTAKU)+1+UNKB0050_B_HYOJI_KENSU-1,COLUMN(UNKB0050_B_SENTAKU)+COLUMNS(UNKB0050_IF_LIST_COPY_MOTO)-1)</f>
        <v>$AR$26</v>
      </c>
    </row>
    <row r="28" spans="1:44">
      <c r="B28" s="265" t="s">
        <v>829</v>
      </c>
      <c r="C28" s="265" t="s">
        <v>1145</v>
      </c>
      <c r="D28" s="265" t="b">
        <f>IF(UNKB0050_B_HYOJI_KENSU&lt;&gt;0,TRUE,FALSE)</f>
        <v>1</v>
      </c>
    </row>
    <row r="29" spans="1:44">
      <c r="B29" s="265" t="s">
        <v>819</v>
      </c>
      <c r="C29" s="265" t="s">
        <v>1094</v>
      </c>
      <c r="D29" s="265" t="str">
        <f>IF(UNKB0050_B_HYOJI_KENSU=0,"",UNKB0050_B_LIST_START&amp;":"&amp;
ADDRESS(ROW(UNKB0050_B_SENTAKU)+1+UNKB0050_B_HYOJI_KENSU-1,COLUMN(UNKB0050_B_SENTAKU)+COLUMNS(UNKB0050_IF_LIST_COPY_MOTO)-1))</f>
        <v>$G$17:$AR$26</v>
      </c>
    </row>
    <row r="30" spans="1:44">
      <c r="B30" s="265" t="s">
        <v>1016</v>
      </c>
      <c r="C30" s="265" t="s">
        <v>1095</v>
      </c>
      <c r="D30" s="265" t="str">
        <f>IF(UNKB0050_B_HYOJI_KENSU=0,"",ADDRESS(ROW(UNKB0050_B_TAISHO_SENTAKU_CKH)+1,COLUMN(UNKB0050_B_TAISHO_SENTAKU_CKH))&amp;":"&amp;ADDRESS(ROW(UNKB0050_B_TAISHO_SENTAKU_CKH)+1+UNKB0050_B_HYOJI_KENSU-1,COLUMN(UNKB0050_B_TAISHO_SENTAKU_CKH)))</f>
        <v>$J$17:$J$26</v>
      </c>
    </row>
    <row r="31" spans="1:44">
      <c r="B31" s="265" t="s">
        <v>820</v>
      </c>
      <c r="C31" s="265" t="s">
        <v>1096</v>
      </c>
      <c r="D31" s="265" t="str">
        <f>ADDRESS(ROW(UNKB0050_B_SENTAKU)+1,COLUMN(UNKB0050_B_SENTAKU))&amp;":"&amp;
ADDRESS(ROW(UNKB0050_B_SENTAKU)+1+UNKB0050_B_HYOJI_GYO_SU-1,COLUMN(UNKB0050_B_SENTAKU)+COLUMNS(UNKB0050_IF_LIST_COPY_MOTO)-1)</f>
        <v>$G$17:$AR$66</v>
      </c>
    </row>
    <row r="32" spans="1:44">
      <c r="B32" s="375"/>
      <c r="C32" s="376"/>
      <c r="D32" s="375"/>
    </row>
    <row r="33" spans="2:4">
      <c r="B33" s="265" t="s">
        <v>821</v>
      </c>
      <c r="C33" s="265" t="s">
        <v>1097</v>
      </c>
      <c r="D33" s="265">
        <f>UNKB0050_B_PAGE_NO+1</f>
        <v>2</v>
      </c>
    </row>
    <row r="34" spans="2:4">
      <c r="B34" s="265" t="s">
        <v>822</v>
      </c>
      <c r="C34" s="265" t="s">
        <v>1098</v>
      </c>
      <c r="D34" s="265">
        <f>UNKB0050_B_PAGE_NO-1</f>
        <v>0</v>
      </c>
    </row>
    <row r="35" spans="2:4">
      <c r="B35" s="265" t="s">
        <v>823</v>
      </c>
      <c r="C35" s="265" t="s">
        <v>1099</v>
      </c>
      <c r="D35" s="265">
        <f>IF(1&lt;UNKB0050_B_PAGE_NO,1,2)</f>
        <v>2</v>
      </c>
    </row>
    <row r="36" spans="2:4">
      <c r="B36" s="265" t="s">
        <v>824</v>
      </c>
      <c r="C36" s="265" t="s">
        <v>1100</v>
      </c>
      <c r="D36" s="265">
        <f>IF(UNKB0050_B_PAGE_NO&lt;UNKB0050_B_ALL_PAGE_SU,1,2)</f>
        <v>2</v>
      </c>
    </row>
    <row r="38" spans="2:4">
      <c r="B38" s="265" t="s">
        <v>182</v>
      </c>
      <c r="C38" s="265" t="s">
        <v>1302</v>
      </c>
      <c r="D38" s="265"/>
    </row>
    <row r="39" spans="2:4">
      <c r="B39" s="265" t="s">
        <v>587</v>
      </c>
      <c r="C39" s="265" t="s">
        <v>1303</v>
      </c>
      <c r="D39" s="265">
        <f ca="1">IF(UNKB0050_B_SELECT_ROW_NO=0,0,INDIRECT(ADDRESS(UNKB0050_B_SELECT_ROW_NO,COLUMN(UNKB0050_B_KOBAISHINSEI_NO))))</f>
        <v>0</v>
      </c>
    </row>
    <row r="40" spans="2:4">
      <c r="B40" s="265" t="s">
        <v>1127</v>
      </c>
      <c r="C40" s="265" t="s">
        <v>1304</v>
      </c>
      <c r="D40" s="265">
        <f ca="1">IF(UNKB0050_B_SELECT_ROW_NO=0,0,INDIRECT(ADDRESS(UNKB0050_B_SELECT_ROW_NO,COLUMN(UNKB0050_B_KOBAI_SEQ))))</f>
        <v>0</v>
      </c>
    </row>
  </sheetData>
  <sheetProtection sheet="1" objects="1" scenarios="1" selectLockedCells="1"/>
  <phoneticPr fontId="1"/>
  <conditionalFormatting sqref="J1:K14">
    <cfRule type="containsText" dxfId="66" priority="59" operator="containsText" text="準備納期外">
      <formula>NOT(ISERROR(SEARCH("準備納期外",J1)))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EQ29"/>
  <sheetViews>
    <sheetView topLeftCell="AO1" zoomScale="85" zoomScaleNormal="85" workbookViewId="0">
      <selection activeCell="BA6" sqref="BA6:BB6"/>
    </sheetView>
  </sheetViews>
  <sheetFormatPr defaultRowHeight="13.5"/>
  <cols>
    <col min="1" max="1" width="13.375" style="230" customWidth="1"/>
    <col min="2" max="2" width="11.375" style="230" customWidth="1"/>
    <col min="3" max="3" width="18" style="230" customWidth="1"/>
    <col min="4" max="4" width="7.5" style="230" customWidth="1"/>
    <col min="5" max="5" width="9" style="230"/>
    <col min="6" max="6" width="9.125" style="230" customWidth="1"/>
    <col min="7" max="7" width="5" style="230" bestFit="1" customWidth="1"/>
    <col min="8" max="8" width="7.625" style="230" customWidth="1"/>
    <col min="9" max="42" width="9" style="230"/>
    <col min="43" max="43" width="13.625" style="230" customWidth="1"/>
    <col min="44" max="44" width="14.25" style="230" customWidth="1"/>
    <col min="45" max="46" width="9" style="230"/>
    <col min="47" max="62" width="2.875" style="230" customWidth="1"/>
    <col min="63" max="64" width="9" style="230"/>
    <col min="65" max="65" width="17.875" style="230" bestFit="1" customWidth="1"/>
    <col min="66" max="66" width="26.125" style="230" customWidth="1"/>
    <col min="67" max="69" width="11" style="230" customWidth="1"/>
    <col min="70" max="71" width="9" style="230"/>
    <col min="72" max="72" width="11.875" style="230" customWidth="1"/>
    <col min="73" max="73" width="23.625" style="230" customWidth="1"/>
    <col min="74" max="111" width="11.375" style="230" customWidth="1"/>
    <col min="112" max="16384" width="9" style="230"/>
  </cols>
  <sheetData>
    <row r="1" spans="1:147">
      <c r="DI1" s="211" t="s">
        <v>870</v>
      </c>
    </row>
    <row r="2" spans="1:147">
      <c r="A2" s="211" t="s">
        <v>855</v>
      </c>
      <c r="X2" s="231"/>
      <c r="Y2" s="231"/>
      <c r="Z2" s="231"/>
      <c r="AA2" s="231"/>
      <c r="AB2" s="231"/>
      <c r="AC2" s="231"/>
      <c r="AD2" s="231"/>
      <c r="AE2" s="231"/>
      <c r="AF2" s="231"/>
      <c r="AG2" s="231"/>
      <c r="AH2" s="231"/>
      <c r="AI2" s="231"/>
      <c r="AJ2" s="231"/>
      <c r="AK2" s="231"/>
      <c r="AL2" s="231"/>
      <c r="AM2" s="231"/>
      <c r="AN2" s="231"/>
      <c r="AO2" s="231"/>
      <c r="AP2" s="231"/>
      <c r="AQ2" s="231"/>
      <c r="AR2" s="231"/>
      <c r="AS2" s="231"/>
      <c r="AT2" s="57" t="s">
        <v>841</v>
      </c>
      <c r="AU2" s="354" t="s">
        <v>1116</v>
      </c>
      <c r="BL2" s="211" t="s">
        <v>981</v>
      </c>
      <c r="BQ2" s="230" t="s">
        <v>989</v>
      </c>
      <c r="BR2" s="230" t="s">
        <v>1133</v>
      </c>
      <c r="BS2" s="216">
        <f>1+ROW()-ROW(UNKB0050_IF_SAVE_START)</f>
        <v>-2</v>
      </c>
      <c r="BT2" s="216">
        <f>UNKB0050_IF_SAVE_W_USER_ID</f>
        <v>0</v>
      </c>
      <c r="BU2" s="216">
        <f>UNKB0050_IF_SAVE_W_SERIAL</f>
        <v>0</v>
      </c>
      <c r="BV2" s="216">
        <f ca="1">OFFSET(UNKB0050_B_ROW,$BS2,0)</f>
        <v>0</v>
      </c>
      <c r="BW2" s="216">
        <f>UNKB0050_IF_SAVE_W_MODE</f>
        <v>0</v>
      </c>
      <c r="BX2" s="216" t="str">
        <f ca="1">IF(OFFSET(UNKB0050_B_TAISHO_SENTAKU,$BS2,0)="","",OFFSET(UNKB0050_B_TAISHO_SENTAKU,$BS2,0))</f>
        <v/>
      </c>
      <c r="BY2" s="216" t="str">
        <f ca="1">IF(OFFSET(UNKB0050_B_SENTAKU,$BS2,0)="","",OFFSET(UNKB0050_B_SENTAKU,$BS2,0))</f>
        <v/>
      </c>
      <c r="BZ2" s="216" t="str">
        <f ca="1">IF(OFFSET(UNKB0050_B_ALERT,$BS2,0)="","",OFFSET(UNKB0050_B_ALERT,$BS2,0))</f>
        <v/>
      </c>
      <c r="CA2" s="216" t="str">
        <f ca="1">IF(OFFSET(UNKB0050_B_KOBAI_KBN_MEI,$BS2,0)="","",OFFSET(UNKB0050_B_KOBAI_KBN_MEI,$BS2,0))</f>
        <v/>
      </c>
      <c r="CB2" s="216" t="str">
        <f ca="1">IF(OFFSET(UNKB0050_B_KOBAI_STS_MEI,$BS2,0)="","",OFFSET(UNKB0050_B_KOBAI_STS_MEI,$BS2,0))</f>
        <v/>
      </c>
      <c r="CC2" s="216" t="str">
        <f ca="1">IF(OFFSET(UNKB0050_B_SHINSEISHA_MEI,$BS2,0)="","",OFFSET(UNKB0050_B_SHINSEISHA_MEI,$BS2,0))</f>
        <v/>
      </c>
      <c r="CD2" s="86" t="str">
        <f ca="1">IF(OFFSET(UNKB0050_B_SHINSEI_DATE,$BS2,0)="","",OFFSET(UNKB0050_B_SHINSEI_DATE,$BS2,0))</f>
        <v/>
      </c>
      <c r="CE2" s="216" t="str">
        <f ca="1">IF(OFFSET(UNKB0050_B_KOBAIHIN_CD,$BS2,0)="","",OFFSET(UNKB0050_B_KOBAIHIN_CD,$BS2,0))</f>
        <v/>
      </c>
      <c r="CF2" s="216" t="str">
        <f ca="1">IF(OFFSET(UNKB0050_B_KOBAIHIN_MEI,$BS2,0)="","",OFFSET(UNKB0050_B_KOBAIHIN_MEI,$BS2,0))</f>
        <v/>
      </c>
      <c r="CG2" s="216" t="str">
        <f ca="1">IF(OFFSET(UNKB0050_B_TANKA,$BS2,0)="","",OFFSET(UNKB0050_B_TANKA,$BS2,0))</f>
        <v/>
      </c>
      <c r="CH2" s="216" t="str">
        <f ca="1">IF(OFFSET(UNKB0050_B_IRISU,$BS2,0)="","",OFFSET(UNKB0050_B_IRISU,$BS2,0))</f>
        <v/>
      </c>
      <c r="CI2" s="216" t="str">
        <f ca="1">IF(OFFSET(UNKB0050_B_IRISU_TANI,$BS2,0)="","",OFFSET(UNKB0050_B_IRISU_TANI,$BS2,0))</f>
        <v/>
      </c>
      <c r="CJ2" s="216" t="str">
        <f ca="1">IF(OFFSET(UNKB0050_B_SURYO,$BS2,0)="","",OFFSET(UNKB0050_B_SURYO,$BS2,0))</f>
        <v/>
      </c>
      <c r="CK2" s="216" t="str">
        <f ca="1">IF(OFFSET(UNKB0050_B_BARA_TANI,$BS2,0)="","",OFFSET(UNKB0050_B_BARA_TANI,$BS2,0))</f>
        <v/>
      </c>
      <c r="CL2" s="216" t="str">
        <f ca="1">IF(OFFSET(UNKB0050_B_CHUMON_SOSU,$BS2,0)="","",OFFSET(UNKB0050_B_CHUMON_SOSU,$BS2,0))</f>
        <v/>
      </c>
      <c r="CM2" s="216" t="str">
        <f ca="1">IF(OFFSET(UNKB0050_B_GOKEI_KINGAKU,$BS2,0)="","",OFFSET(UNKB0050_B_GOKEI_KINGAKU,$BS2,0))</f>
        <v/>
      </c>
      <c r="CN2" s="91">
        <f ca="1">IF(OFFSET(UNKB0050_B_HATCHU_DATE,$BS2,0)="",IF(UNKB0050_H_HATCHU_DATE="",TODAY(),UNKB0050_H_HATCHU_DATE),OFFSET(UNKB0050_B_HATCHU_DATE,$BS2,0))</f>
        <v>42930</v>
      </c>
      <c r="CO2" s="91" t="str">
        <f ca="1">IF(OFFSET(UNKB0050_B_KIBO_NOKI,$BS2,0)="","",OFFSET(UNKB0050_B_KIBO_NOKI,$BS2,0))</f>
        <v/>
      </c>
      <c r="CP2" s="91" t="str">
        <f ca="1">IF(OFFSET(UNKB0050_B_UKEIRE_DATE,$BS2,0)="","",OFFSET(UNKB0050_B_UKEIRE_DATE,$BS2,0))</f>
        <v/>
      </c>
      <c r="CQ2" s="91" t="str">
        <f ca="1">IF(OFFSET(UNKB0050_B_KENSHU_DATE,$BS2,0)="","",OFFSET(UNKB0050_B_KENSHU_DATE,$BS2,0))</f>
        <v/>
      </c>
      <c r="CR2" s="216" t="str">
        <f ca="1">IF(OFFSET(UNKB0050_B_HOKAN_BASHO,$BS2,0)="","",OFFSET(UNKB0050_B_HOKAN_BASHO,$BS2,0))</f>
        <v/>
      </c>
      <c r="CS2" s="216" t="str">
        <f ca="1">IF(OFFSET(UNKB0050_B_SHIIRESAKI_CD,$BS2,0)="","",OFFSET(UNKB0050_B_SHIIRESAKI_CD,$BS2,0))</f>
        <v/>
      </c>
      <c r="CT2" s="216" t="str">
        <f ca="1">IF(OFFSET(UNKB0050_B_SHIIRESAKI_MEI,$BS2,0)="","",OFFSET(UNKB0050_B_SHIIRESAKI_MEI,$BS2,0))</f>
        <v/>
      </c>
      <c r="CU2" s="216" t="str">
        <f ca="1">IF(OFFSET(UNKB0050_B_MAKER_CD,$BS2,0)="","",OFFSET(UNKB0050_B_MAKER_CD,$BS2,0))</f>
        <v/>
      </c>
      <c r="CV2" s="216" t="str">
        <f ca="1">IF(OFFSET(UNKB0050_B_MAKER_MEI,$BS2,0)="","",OFFSET(UNKB0050_B_MAKER_MEI,$BS2,0))</f>
        <v/>
      </c>
      <c r="CW2" s="216" t="str">
        <f ca="1">IF(OFFSET(UNKB0050_B_YOSAN_CD,$BS2,0)="","",OFFSET(UNKB0050_B_YOSAN_CD,$BS2,0))</f>
        <v/>
      </c>
      <c r="CX2" s="216" t="str">
        <f ca="1">IF(OFFSET(UNKB0050_B_JURI_NO,$BS2,0)="","",OFFSET(UNKB0050_B_JURI_NO,$BS2,0))</f>
        <v/>
      </c>
      <c r="CY2" s="216" t="str">
        <f ca="1">IF(OFFSET(UNKB0050_B_BIKO,$BS2,0)="","",OFFSET(UNKB0050_B_BIKO,$BS2,0))</f>
        <v/>
      </c>
      <c r="CZ2" s="216" t="str">
        <f ca="1">IF(OFFSET(UNKB0050_B_KOBAISHINSEI_NO,$BS2,0)="","",OFFSET(UNKB0050_B_KOBAISHINSEI_NO,$BS2,0))</f>
        <v/>
      </c>
      <c r="DA2" s="216" t="str">
        <f ca="1">IF(OFFSET(UNKB0050_B_IRAI_NO,$BS2,0)="","",OFFSET(UNKB0050_B_IRAI_NO,$BS2,0))</f>
        <v/>
      </c>
      <c r="DB2" s="216" t="str">
        <f ca="1">IF(OFFSET(UNKB0050_B_CHUMON_NO,$BS2,0)="","",OFFSET(UNKB0050_B_CHUMON_NO,$BS2,0))</f>
        <v/>
      </c>
      <c r="DC2" s="216" t="str">
        <f ca="1">IF(OFFSET(UNKB0050_B_KOBAI_KBN,$BS2,0)="","",OFFSET(UNKB0050_B_KOBAI_KBN,$BS2,0))</f>
        <v/>
      </c>
      <c r="DD2" s="216" t="str">
        <f ca="1">IF(OFFSET(UNKB0050_B_KOBAI_STS,$BS2,0)="","",OFFSET(UNKB0050_B_KOBAI_STS,$BS2,0))</f>
        <v/>
      </c>
      <c r="DE2" s="216" t="str">
        <f ca="1">IF(OFFSET(UNKB0050_B_SHINSEISHA_CD,$BS2,0)="","",OFFSET(UNKB0050_B_SHINSEISHA_CD,$BS2,0))</f>
        <v/>
      </c>
      <c r="DF2" s="216" t="str">
        <f ca="1">IF(OFFSET(UNKB0050_B_FREEWD,$BS2,0)="","",OFFSET(UNKB0050_B_FREEWD,$BS2,0))</f>
        <v/>
      </c>
      <c r="DG2" s="216" t="str">
        <f ca="1">IF(OFFSET(UNKB0050_B_KOBAI_SEQ,$BS2,0)="","",OFFSET(UNKB0050_B_KOBAI_SEQ,$BS2,0))</f>
        <v/>
      </c>
    </row>
    <row r="3" spans="1:147" ht="16.5">
      <c r="D3" s="173" t="s">
        <v>39</v>
      </c>
      <c r="E3" s="221" t="s">
        <v>341</v>
      </c>
      <c r="F3" s="173" t="s">
        <v>40</v>
      </c>
      <c r="G3" s="174" t="s">
        <v>1312</v>
      </c>
      <c r="H3" s="198" t="s">
        <v>1101</v>
      </c>
      <c r="I3" s="173" t="s">
        <v>41</v>
      </c>
      <c r="J3" s="173" t="s">
        <v>625</v>
      </c>
      <c r="K3" s="175" t="s">
        <v>794</v>
      </c>
      <c r="L3" s="173" t="s">
        <v>44</v>
      </c>
      <c r="M3" s="173" t="s">
        <v>45</v>
      </c>
      <c r="N3" s="173" t="s">
        <v>46</v>
      </c>
      <c r="O3" s="173" t="s">
        <v>47</v>
      </c>
      <c r="P3" s="173" t="s">
        <v>48</v>
      </c>
      <c r="Q3" s="173" t="s">
        <v>51</v>
      </c>
      <c r="R3" s="173" t="s">
        <v>50</v>
      </c>
      <c r="S3" s="173" t="s">
        <v>49</v>
      </c>
      <c r="T3" s="173" t="s">
        <v>52</v>
      </c>
      <c r="U3" s="173" t="s">
        <v>53</v>
      </c>
      <c r="V3" s="173" t="s">
        <v>89</v>
      </c>
      <c r="W3" s="173" t="s">
        <v>54</v>
      </c>
      <c r="X3" s="173" t="s">
        <v>55</v>
      </c>
      <c r="Y3" s="173" t="s">
        <v>56</v>
      </c>
      <c r="Z3" s="173" t="s">
        <v>57</v>
      </c>
      <c r="AA3" s="173" t="s">
        <v>58</v>
      </c>
      <c r="AB3" s="173" t="s">
        <v>59</v>
      </c>
      <c r="AC3" s="173" t="s">
        <v>75</v>
      </c>
      <c r="AD3" s="173" t="s">
        <v>61</v>
      </c>
      <c r="AE3" s="173" t="s">
        <v>62</v>
      </c>
      <c r="AF3" s="173" t="s">
        <v>63</v>
      </c>
      <c r="AG3" s="173" t="s">
        <v>64</v>
      </c>
      <c r="AH3" s="173" t="s">
        <v>65</v>
      </c>
      <c r="AI3" s="197" t="s">
        <v>66</v>
      </c>
      <c r="AJ3" s="197" t="s">
        <v>655</v>
      </c>
      <c r="AK3" s="197" t="s">
        <v>347</v>
      </c>
      <c r="AL3" s="197" t="s">
        <v>880</v>
      </c>
      <c r="AM3" s="197" t="s">
        <v>877</v>
      </c>
      <c r="AN3" s="197" t="s">
        <v>1002</v>
      </c>
      <c r="AO3" s="197" t="s">
        <v>811</v>
      </c>
      <c r="AQ3" s="211" t="s">
        <v>859</v>
      </c>
      <c r="AU3" s="489"/>
      <c r="AV3" s="489"/>
      <c r="AW3" s="333" t="s">
        <v>642</v>
      </c>
      <c r="AX3" s="474"/>
      <c r="AY3" s="218"/>
      <c r="AZ3" s="166" t="s">
        <v>31</v>
      </c>
      <c r="BA3" s="564"/>
      <c r="BB3" s="564"/>
      <c r="BC3" s="218"/>
      <c r="BD3" s="166" t="s">
        <v>32</v>
      </c>
      <c r="BE3" s="566"/>
      <c r="BF3" s="566"/>
      <c r="BG3" s="569" t="str">
        <f>IF(UNKB0050_H_KOBAIHIN_CD="","",UNKB0050_H_KOBAIHIN_MEI)</f>
        <v/>
      </c>
      <c r="BH3" s="570" t="str">
        <f>IF(UNKB0040_H_KOBAIHIN_CD="","",UNKB0040_H_KOBAIHIN_MEI)</f>
        <v/>
      </c>
      <c r="BI3" s="570" t="str">
        <f>IF(UNKB0040_H_KOBAIHIN_CD="","",UNKB0040_H_KOBAIHIN_MEI)</f>
        <v/>
      </c>
      <c r="BJ3" s="571" t="str">
        <f>IF(UNKB0040_H_KOBAIHIN_CD="","",UNKB0040_H_KOBAIHIN_MEI)</f>
        <v/>
      </c>
      <c r="BM3" s="211" t="s">
        <v>261</v>
      </c>
      <c r="DI3" s="211"/>
      <c r="DK3" s="230" t="s">
        <v>871</v>
      </c>
      <c r="DL3" s="230" t="s">
        <v>1156</v>
      </c>
      <c r="DN3" s="238"/>
      <c r="DO3" s="238"/>
      <c r="DP3" s="238"/>
      <c r="DQ3" s="238"/>
      <c r="DR3" s="238"/>
      <c r="DS3" s="238"/>
      <c r="DT3" s="240"/>
      <c r="DU3" s="238"/>
      <c r="DV3" s="238"/>
      <c r="DW3" s="238"/>
      <c r="DX3" s="238"/>
      <c r="DY3" s="238"/>
      <c r="DZ3" s="238"/>
      <c r="EA3" s="238"/>
      <c r="EB3" s="238"/>
      <c r="EC3" s="238"/>
      <c r="ED3" s="239"/>
      <c r="EE3" s="239"/>
      <c r="EF3" s="239"/>
      <c r="EG3" s="239"/>
      <c r="EH3" s="238"/>
      <c r="EI3" s="238"/>
      <c r="EJ3" s="238"/>
      <c r="EK3" s="238"/>
      <c r="EL3" s="238"/>
      <c r="EM3" s="238"/>
      <c r="EN3" s="238"/>
      <c r="EO3" s="238"/>
      <c r="EP3" s="238"/>
      <c r="EQ3" s="238"/>
    </row>
    <row r="4" spans="1:147" ht="18.75" customHeight="1" thickBot="1">
      <c r="B4" s="230" t="s">
        <v>843</v>
      </c>
      <c r="C4" s="231" t="s">
        <v>1105</v>
      </c>
      <c r="D4" s="226"/>
      <c r="E4" s="226"/>
      <c r="F4" s="226"/>
      <c r="G4" s="226"/>
      <c r="H4" s="226"/>
      <c r="I4" s="226"/>
      <c r="J4" s="226"/>
      <c r="K4" s="226"/>
      <c r="L4" s="226"/>
      <c r="M4" s="226"/>
      <c r="N4" s="226"/>
      <c r="O4" s="226"/>
      <c r="P4" s="226"/>
      <c r="Q4" s="226"/>
      <c r="R4" s="226"/>
      <c r="S4" s="226"/>
      <c r="T4" s="226"/>
      <c r="U4" s="226"/>
      <c r="V4" s="226"/>
      <c r="W4" s="226"/>
      <c r="X4" s="226"/>
      <c r="Y4" s="226"/>
      <c r="Z4" s="226"/>
      <c r="AA4" s="226"/>
      <c r="AB4" s="226"/>
      <c r="AC4" s="226"/>
      <c r="AD4" s="226"/>
      <c r="AE4" s="226"/>
      <c r="AF4" s="226"/>
      <c r="AG4" s="226"/>
      <c r="AH4" s="226"/>
      <c r="AI4" s="226"/>
      <c r="AJ4" s="226"/>
      <c r="AK4" s="226"/>
      <c r="AL4" s="226"/>
      <c r="AM4" s="226"/>
      <c r="AN4" s="226"/>
      <c r="AO4" s="226"/>
      <c r="AR4" s="231" t="s">
        <v>1117</v>
      </c>
      <c r="AU4" s="489"/>
      <c r="AV4" s="489"/>
      <c r="AW4" s="154" t="s">
        <v>71</v>
      </c>
      <c r="AX4" s="474"/>
      <c r="AY4" s="218"/>
      <c r="AZ4" s="166" t="s">
        <v>72</v>
      </c>
      <c r="BA4" s="565"/>
      <c r="BB4" s="565"/>
      <c r="BC4" s="218"/>
      <c r="BD4" s="166" t="s">
        <v>34</v>
      </c>
      <c r="BE4" s="566"/>
      <c r="BF4" s="566"/>
      <c r="BG4" s="569" t="str">
        <f>IF(UNKB0050_H_SHIIRESAKI_CD="","",UNKB0050_H_SHIIRE_MEI)</f>
        <v/>
      </c>
      <c r="BH4" s="570" t="str">
        <f>IF(UNKB0040_H_SHIIRESAKI_CD="","",UNKB0040_H_SHIIRE_MEI)</f>
        <v/>
      </c>
      <c r="BI4" s="570" t="str">
        <f>IF(UNKB0040_H_SHIIRESAKI_CD="","",UNKB0040_H_SHIIRE_MEI)</f>
        <v/>
      </c>
      <c r="BJ4" s="571" t="str">
        <f>IF(UNKB0040_H_SHIIRESAKI_CD="","",UNKB0040_H_SHIIRE_MEI)</f>
        <v/>
      </c>
      <c r="BM4" s="230" t="s">
        <v>339</v>
      </c>
      <c r="BN4" s="230" t="s">
        <v>1118</v>
      </c>
      <c r="BO4" s="232"/>
      <c r="BS4" s="223" t="s">
        <v>987</v>
      </c>
      <c r="BT4" s="223" t="s">
        <v>339</v>
      </c>
      <c r="BU4" s="223" t="s">
        <v>988</v>
      </c>
      <c r="BV4" s="223" t="s">
        <v>341</v>
      </c>
      <c r="BW4" s="223" t="s">
        <v>342</v>
      </c>
      <c r="BX4" s="223" t="s">
        <v>991</v>
      </c>
      <c r="BY4" s="223" t="s">
        <v>992</v>
      </c>
      <c r="BZ4" s="223" t="s">
        <v>40</v>
      </c>
      <c r="CA4" s="223" t="s">
        <v>993</v>
      </c>
      <c r="CB4" s="223" t="s">
        <v>994</v>
      </c>
      <c r="CC4" s="223" t="s">
        <v>742</v>
      </c>
      <c r="CD4" s="223" t="s">
        <v>116</v>
      </c>
      <c r="CE4" s="223" t="s">
        <v>995</v>
      </c>
      <c r="CF4" s="223" t="s">
        <v>90</v>
      </c>
      <c r="CG4" s="223" t="s">
        <v>47</v>
      </c>
      <c r="CH4" s="223" t="s">
        <v>996</v>
      </c>
      <c r="CI4" s="223" t="s">
        <v>997</v>
      </c>
      <c r="CJ4" s="223" t="s">
        <v>50</v>
      </c>
      <c r="CK4" s="223" t="s">
        <v>51</v>
      </c>
      <c r="CL4" s="223" t="s">
        <v>52</v>
      </c>
      <c r="CM4" s="223" t="s">
        <v>53</v>
      </c>
      <c r="CN4" s="223" t="s">
        <v>1132</v>
      </c>
      <c r="CO4" s="223" t="s">
        <v>54</v>
      </c>
      <c r="CP4" s="223" t="s">
        <v>998</v>
      </c>
      <c r="CQ4" s="223" t="s">
        <v>999</v>
      </c>
      <c r="CR4" s="223" t="s">
        <v>1000</v>
      </c>
      <c r="CS4" s="223" t="s">
        <v>58</v>
      </c>
      <c r="CT4" s="223" t="s">
        <v>1001</v>
      </c>
      <c r="CU4" s="223" t="s">
        <v>60</v>
      </c>
      <c r="CV4" s="223" t="s">
        <v>61</v>
      </c>
      <c r="CW4" s="223" t="s">
        <v>62</v>
      </c>
      <c r="CX4" s="223" t="s">
        <v>63</v>
      </c>
      <c r="CY4" s="223" t="s">
        <v>64</v>
      </c>
      <c r="CZ4" s="223" t="s">
        <v>65</v>
      </c>
      <c r="DA4" s="223" t="s">
        <v>66</v>
      </c>
      <c r="DB4" s="223" t="s">
        <v>1131</v>
      </c>
      <c r="DC4" s="223" t="s">
        <v>878</v>
      </c>
      <c r="DD4" s="223" t="s">
        <v>880</v>
      </c>
      <c r="DE4" s="223" t="s">
        <v>877</v>
      </c>
      <c r="DF4" s="223" t="s">
        <v>1002</v>
      </c>
      <c r="DG4" s="223" t="s">
        <v>811</v>
      </c>
      <c r="DN4" s="220" t="s">
        <v>655</v>
      </c>
      <c r="DO4" s="220" t="s">
        <v>40</v>
      </c>
      <c r="DP4" s="220" t="s">
        <v>39</v>
      </c>
      <c r="DQ4" s="220" t="s">
        <v>41</v>
      </c>
      <c r="DR4" s="220" t="s">
        <v>625</v>
      </c>
      <c r="DS4" s="220" t="s">
        <v>794</v>
      </c>
      <c r="DT4" s="220" t="s">
        <v>44</v>
      </c>
      <c r="DU4" s="220" t="s">
        <v>45</v>
      </c>
      <c r="DV4" s="220" t="s">
        <v>46</v>
      </c>
      <c r="DW4" s="220" t="s">
        <v>47</v>
      </c>
      <c r="DX4" s="220" t="s">
        <v>48</v>
      </c>
      <c r="DY4" s="220" t="s">
        <v>51</v>
      </c>
      <c r="DZ4" s="220" t="s">
        <v>50</v>
      </c>
      <c r="EA4" s="220" t="s">
        <v>49</v>
      </c>
      <c r="EB4" s="220" t="s">
        <v>52</v>
      </c>
      <c r="EC4" s="220" t="s">
        <v>53</v>
      </c>
      <c r="ED4" s="220" t="s">
        <v>89</v>
      </c>
      <c r="EE4" s="220" t="s">
        <v>54</v>
      </c>
      <c r="EF4" s="220" t="s">
        <v>55</v>
      </c>
      <c r="EG4" s="220" t="s">
        <v>56</v>
      </c>
      <c r="EH4" s="220" t="s">
        <v>57</v>
      </c>
      <c r="EI4" s="220" t="s">
        <v>58</v>
      </c>
      <c r="EJ4" s="220" t="s">
        <v>59</v>
      </c>
      <c r="EK4" s="220" t="s">
        <v>75</v>
      </c>
      <c r="EL4" s="220" t="s">
        <v>61</v>
      </c>
      <c r="EM4" s="220" t="s">
        <v>62</v>
      </c>
      <c r="EN4" s="220" t="s">
        <v>63</v>
      </c>
      <c r="EO4" s="220" t="s">
        <v>64</v>
      </c>
      <c r="EP4" s="220" t="s">
        <v>65</v>
      </c>
      <c r="EQ4" s="220" t="s">
        <v>66</v>
      </c>
    </row>
    <row r="5" spans="1:147" ht="18.75" customHeight="1" thickTop="1">
      <c r="B5" s="230" t="s">
        <v>844</v>
      </c>
      <c r="C5" s="231" t="s">
        <v>1104</v>
      </c>
      <c r="D5" s="219" t="s">
        <v>845</v>
      </c>
      <c r="E5" s="235"/>
      <c r="F5" s="176"/>
      <c r="G5" s="236"/>
      <c r="H5" s="235"/>
      <c r="I5" s="176"/>
      <c r="J5" s="236"/>
      <c r="K5" s="236"/>
      <c r="L5" s="165"/>
      <c r="M5" s="176"/>
      <c r="N5" s="237"/>
      <c r="O5" s="359"/>
      <c r="P5" s="359"/>
      <c r="Q5" s="176"/>
      <c r="R5" s="359"/>
      <c r="S5" s="176"/>
      <c r="T5" s="359"/>
      <c r="U5" s="359"/>
      <c r="V5" s="165"/>
      <c r="W5" s="165"/>
      <c r="X5" s="165"/>
      <c r="Y5" s="165"/>
      <c r="Z5" s="176"/>
      <c r="AA5" s="176"/>
      <c r="AB5" s="237"/>
      <c r="AC5" s="176"/>
      <c r="AD5" s="237"/>
      <c r="AE5" s="176"/>
      <c r="AF5" s="176"/>
      <c r="AG5" s="237"/>
      <c r="AH5" s="176"/>
      <c r="AI5" s="176"/>
      <c r="AJ5" s="176"/>
      <c r="AK5" s="176"/>
      <c r="AL5" s="176"/>
      <c r="AM5" s="176"/>
      <c r="AN5" s="176"/>
      <c r="AO5" s="176"/>
      <c r="AQ5" s="179" t="s">
        <v>69</v>
      </c>
      <c r="AR5" s="180" t="b">
        <v>1</v>
      </c>
      <c r="AU5" s="489"/>
      <c r="AV5" s="489"/>
      <c r="AW5" s="154" t="s">
        <v>71</v>
      </c>
      <c r="AX5" s="474"/>
      <c r="AY5" s="218"/>
      <c r="AZ5" s="166" t="s">
        <v>36</v>
      </c>
      <c r="BA5" s="564"/>
      <c r="BB5" s="564"/>
      <c r="BC5" s="218"/>
      <c r="BD5" s="166" t="s">
        <v>37</v>
      </c>
      <c r="BE5" s="566"/>
      <c r="BF5" s="566"/>
      <c r="BG5" s="569" t="str">
        <f>IF(UNKB0050_H_MAKER_CD="","",UNKB0050_H_MAKER_MEI)</f>
        <v/>
      </c>
      <c r="BH5" s="570" t="str">
        <f>IF(UNKB0040_H_MAKER_CD="","",UNKB0040_H_MAKER_MEI)</f>
        <v/>
      </c>
      <c r="BI5" s="570" t="str">
        <f>IF(UNKB0040_H_MAKER_CD="","",UNKB0040_H_MAKER_MEI)</f>
        <v/>
      </c>
      <c r="BJ5" s="571" t="str">
        <f>IF(UNKB0040_H_MAKER_CD="","",UNKB0040_H_MAKER_MEI)</f>
        <v/>
      </c>
      <c r="BM5" s="230" t="s">
        <v>265</v>
      </c>
      <c r="BN5" s="230" t="s">
        <v>1119</v>
      </c>
      <c r="BO5" s="232"/>
      <c r="BS5" s="224"/>
      <c r="BT5" s="224"/>
      <c r="BU5" s="225"/>
      <c r="BV5" s="225"/>
      <c r="BW5" s="225"/>
      <c r="BX5" s="225"/>
      <c r="BY5" s="225"/>
      <c r="BZ5" s="225"/>
      <c r="CA5" s="225"/>
      <c r="CB5" s="225"/>
      <c r="CC5" s="225"/>
      <c r="CD5" s="225"/>
      <c r="CE5" s="225"/>
      <c r="CF5" s="225"/>
      <c r="CG5" s="225"/>
      <c r="CH5" s="225"/>
      <c r="CI5" s="225"/>
      <c r="CJ5" s="225"/>
      <c r="CK5" s="225"/>
      <c r="CL5" s="225"/>
      <c r="CM5" s="225"/>
      <c r="CN5" s="225"/>
      <c r="CO5" s="225"/>
      <c r="CP5" s="225"/>
      <c r="CQ5" s="225"/>
      <c r="CR5" s="225"/>
      <c r="CS5" s="225"/>
      <c r="CT5" s="225"/>
      <c r="CU5" s="225"/>
      <c r="CV5" s="225"/>
      <c r="CW5" s="225"/>
      <c r="CX5" s="225"/>
      <c r="CY5" s="225"/>
      <c r="CZ5" s="225"/>
      <c r="DA5" s="225"/>
      <c r="DB5" s="225"/>
      <c r="DC5" s="225"/>
      <c r="DD5" s="225"/>
      <c r="DE5" s="225"/>
      <c r="DF5" s="225"/>
      <c r="DG5" s="225"/>
      <c r="DN5" s="216"/>
    </row>
    <row r="6" spans="1:147" ht="16.5" customHeight="1">
      <c r="B6" s="230" t="s">
        <v>971</v>
      </c>
      <c r="C6" s="231" t="s">
        <v>1106</v>
      </c>
      <c r="D6" s="203"/>
      <c r="E6" s="203"/>
      <c r="F6" s="203"/>
      <c r="G6" s="201"/>
      <c r="H6" s="222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  <c r="T6" s="204"/>
      <c r="U6" s="204"/>
      <c r="V6" s="204"/>
      <c r="W6" s="204"/>
      <c r="X6" s="204"/>
      <c r="Y6" s="204"/>
      <c r="Z6" s="205"/>
      <c r="AA6" s="204"/>
      <c r="AB6" s="205"/>
      <c r="AC6" s="204"/>
      <c r="AD6" s="204"/>
      <c r="AE6" s="204"/>
      <c r="AF6" s="205"/>
      <c r="AG6" s="204"/>
      <c r="AH6" s="205"/>
      <c r="AI6" s="204"/>
      <c r="AJ6" s="204"/>
      <c r="AK6" s="205"/>
      <c r="AL6" s="204"/>
      <c r="AM6" s="205"/>
      <c r="AN6" s="205"/>
      <c r="AO6" s="205"/>
      <c r="AQ6" s="179" t="s">
        <v>20</v>
      </c>
      <c r="AR6" s="181" t="b">
        <v>1</v>
      </c>
      <c r="AU6" s="489"/>
      <c r="AV6" s="489"/>
      <c r="AW6" s="154" t="s">
        <v>71</v>
      </c>
      <c r="AX6" s="474"/>
      <c r="AY6" s="218"/>
      <c r="AZ6" s="166" t="s">
        <v>1904</v>
      </c>
      <c r="BA6" s="487"/>
      <c r="BB6" s="488"/>
      <c r="BC6" s="218"/>
      <c r="BD6" s="218"/>
      <c r="BE6" s="218"/>
      <c r="BF6" s="218"/>
      <c r="BG6" s="218"/>
      <c r="BH6" s="218"/>
      <c r="BI6" s="218"/>
      <c r="BJ6" s="218"/>
      <c r="BM6" s="230" t="s">
        <v>982</v>
      </c>
      <c r="BN6" s="230" t="s">
        <v>1120</v>
      </c>
      <c r="BO6" s="213" t="s">
        <v>1862</v>
      </c>
      <c r="DJ6" s="230" t="s">
        <v>872</v>
      </c>
      <c r="DK6" s="231" t="s">
        <v>1147</v>
      </c>
      <c r="DL6" s="216">
        <v>1</v>
      </c>
    </row>
    <row r="7" spans="1:147" ht="16.5">
      <c r="AQ7" s="30" t="s">
        <v>699</v>
      </c>
      <c r="AR7" s="181" t="b">
        <v>1</v>
      </c>
      <c r="AU7" s="218"/>
      <c r="AV7" s="218"/>
      <c r="AW7" s="218"/>
      <c r="AX7" s="218"/>
      <c r="AY7" s="218"/>
      <c r="AZ7" s="218"/>
      <c r="BA7" s="218"/>
      <c r="BB7" s="218"/>
      <c r="BC7" s="218"/>
      <c r="BD7" s="218"/>
      <c r="BE7" s="218"/>
      <c r="BF7" s="218"/>
      <c r="BG7" s="218"/>
      <c r="BH7" s="218"/>
      <c r="BI7" s="218"/>
      <c r="BJ7" s="218"/>
      <c r="BM7" s="230" t="s">
        <v>985</v>
      </c>
      <c r="BN7" s="230" t="s">
        <v>1121</v>
      </c>
      <c r="BO7" s="232"/>
      <c r="DJ7" s="230" t="s">
        <v>391</v>
      </c>
      <c r="DK7" s="230" t="s">
        <v>1153</v>
      </c>
      <c r="DL7" s="216" t="str">
        <f>IF(UNKB0050_IF_PRINT_COUNT=0,"",
"UNKB0050_IF!"&amp;ADDRESS(ROW(UNKB0050_IF_PRINT_START),COLUMN(UNKB0050_IF_PRINT_START))&amp;":" &amp; ADDRESS(ROW(UNKB0050_IF_PRINT_START)+UNKB0050_IF_PRINT_COUNT-1,COLUMN(UNKB0050_IF_PRINT_START)+COLUMNS(UNKB0050_IF_PRINT_SHOSHIKI_COPY_MOTO)-1))</f>
        <v>UNKB0050_IF!$DN$5:$EQ$5</v>
      </c>
    </row>
    <row r="8" spans="1:147" ht="16.5">
      <c r="A8" s="57" t="s">
        <v>840</v>
      </c>
      <c r="B8" s="231"/>
      <c r="C8" s="231"/>
      <c r="D8" s="231"/>
      <c r="E8" s="231"/>
      <c r="F8" s="231"/>
      <c r="G8" s="231"/>
      <c r="H8" s="231"/>
      <c r="AQ8" s="179" t="s">
        <v>22</v>
      </c>
      <c r="AR8" s="181" t="b">
        <v>1</v>
      </c>
      <c r="AU8" s="491"/>
      <c r="AV8" s="491"/>
      <c r="AW8" s="167" t="str">
        <f>IF(UNKB0050_H_FREEWD_KBN=1,"AND",IF(UNKB0050_H_FREEWD_KBN=2,"OR","NAND"))</f>
        <v>AND</v>
      </c>
      <c r="AX8" s="355"/>
      <c r="AY8" s="167" t="str">
        <f>UNKB0050_H_FREEWD_KBN_DISP</f>
        <v>AND</v>
      </c>
      <c r="AZ8" s="355"/>
      <c r="BA8" s="218"/>
      <c r="BB8" s="218"/>
      <c r="BC8" s="218"/>
      <c r="BD8" s="218"/>
      <c r="BE8" s="218"/>
      <c r="BF8" s="218"/>
      <c r="BG8" s="218"/>
      <c r="BH8" s="218"/>
      <c r="BI8" s="218"/>
      <c r="BJ8" s="218"/>
      <c r="DJ8" s="230" t="s">
        <v>885</v>
      </c>
      <c r="DK8" s="230" t="s">
        <v>1154</v>
      </c>
      <c r="DL8" s="216" t="b">
        <f>IF(UNKB0050_IF_PRINT_COUNT=0,FALSE,TRUE)</f>
        <v>1</v>
      </c>
    </row>
    <row r="9" spans="1:147" ht="16.5">
      <c r="A9" s="231"/>
      <c r="B9" s="231" t="s">
        <v>127</v>
      </c>
      <c r="C9" s="231" t="s">
        <v>1107</v>
      </c>
      <c r="D9" s="155"/>
      <c r="E9" s="231" t="s">
        <v>128</v>
      </c>
      <c r="F9" s="231" t="s">
        <v>129</v>
      </c>
      <c r="G9" s="231"/>
      <c r="H9" s="231"/>
      <c r="AQ9" s="179" t="s">
        <v>23</v>
      </c>
      <c r="AR9" s="181" t="b">
        <v>0</v>
      </c>
      <c r="BL9" s="230" t="s">
        <v>275</v>
      </c>
    </row>
    <row r="10" spans="1:147" ht="16.5">
      <c r="A10" s="231"/>
      <c r="B10" s="231" t="s">
        <v>95</v>
      </c>
      <c r="C10" s="231" t="s">
        <v>1238</v>
      </c>
      <c r="D10" s="155"/>
      <c r="E10" s="231"/>
      <c r="F10" s="231"/>
      <c r="G10" s="231"/>
      <c r="H10" s="231"/>
      <c r="AQ10" s="179" t="s">
        <v>1150</v>
      </c>
      <c r="AR10" s="181" t="b">
        <v>0</v>
      </c>
    </row>
    <row r="11" spans="1:147" ht="16.5">
      <c r="A11" s="231"/>
      <c r="B11" s="231" t="s">
        <v>1234</v>
      </c>
      <c r="C11" s="231" t="s">
        <v>1239</v>
      </c>
      <c r="D11" s="155"/>
      <c r="E11" s="231"/>
      <c r="F11" s="231"/>
      <c r="G11" s="231"/>
      <c r="H11" s="231"/>
      <c r="AQ11" s="179" t="s">
        <v>656</v>
      </c>
      <c r="AR11" s="181" t="b">
        <v>1</v>
      </c>
    </row>
    <row r="12" spans="1:147" ht="16.5">
      <c r="A12" s="231"/>
      <c r="B12" s="231"/>
      <c r="C12" s="231"/>
      <c r="D12" s="231"/>
      <c r="E12" s="231"/>
      <c r="F12" s="231"/>
      <c r="G12" s="231"/>
      <c r="H12" s="231"/>
      <c r="AQ12" s="179" t="s">
        <v>707</v>
      </c>
      <c r="AR12" s="181" t="b">
        <v>0</v>
      </c>
      <c r="BM12" s="230" t="s">
        <v>277</v>
      </c>
      <c r="BN12" s="231" t="s">
        <v>1122</v>
      </c>
      <c r="BO12" s="232" t="str">
        <f>IF(UNKB0050_B_HYOJI_KENSU=0,"",
"UNKB0050_IF!"&amp;ADDRESS(ROW(UNKB0050_IF_SAVE_COPY_START),COLUMN(UNKB0050_IF_SAVE_COPY_START))&amp;":"&amp;ADDRESS(ROW(UNKB0050_IF_SAVE_COPY_START)+UNKB0050_B_HYOJI_KENSU-1,COLUMN(UNKB0050_IF_SAVE_COPY_START)+COLUMNS(UNKB0050_IF_SAVE_COPY_MOTO)-1))</f>
        <v>UNKB0050_IF!$BS$5:$DG$14</v>
      </c>
      <c r="DJ12" s="230" t="s">
        <v>873</v>
      </c>
      <c r="DK12" s="231" t="s">
        <v>1155</v>
      </c>
      <c r="DL12" s="216" t="str">
        <f ca="1">"注文確定_"&amp;TEXT(NOW(),"YYYYMMDD")&amp;"_"&amp;TEXT(NOW(),"hhmmss")</f>
        <v>注文確定_20170714_180439</v>
      </c>
    </row>
    <row r="13" spans="1:147" ht="16.5">
      <c r="A13" s="178" t="s">
        <v>261</v>
      </c>
      <c r="B13" s="231"/>
      <c r="C13" s="231"/>
      <c r="D13" s="231"/>
      <c r="E13" s="231"/>
      <c r="F13" s="231"/>
      <c r="G13" s="231"/>
      <c r="H13" s="231"/>
      <c r="AQ13" s="179" t="s">
        <v>27</v>
      </c>
      <c r="AR13" s="181" t="b">
        <v>0</v>
      </c>
      <c r="BM13" s="230" t="s">
        <v>278</v>
      </c>
      <c r="BN13" s="231" t="s">
        <v>1123</v>
      </c>
      <c r="BO13" s="232">
        <f>UNKB0050_B_HYOJI_KENSU</f>
        <v>10</v>
      </c>
    </row>
    <row r="14" spans="1:147" ht="16.5">
      <c r="A14" s="231"/>
      <c r="B14" s="231" t="s">
        <v>339</v>
      </c>
      <c r="C14" s="231" t="s">
        <v>1108</v>
      </c>
      <c r="D14" s="155"/>
      <c r="E14" s="231"/>
      <c r="F14" s="231"/>
      <c r="G14" s="231"/>
      <c r="H14" s="231"/>
      <c r="AQ14" s="179" t="s">
        <v>28</v>
      </c>
      <c r="AR14" s="181" t="b">
        <v>0</v>
      </c>
    </row>
    <row r="15" spans="1:147" ht="16.5">
      <c r="A15" s="231"/>
      <c r="B15" s="231" t="s">
        <v>265</v>
      </c>
      <c r="C15" s="231" t="s">
        <v>1109</v>
      </c>
      <c r="D15" s="156"/>
      <c r="E15" s="231"/>
      <c r="F15" s="231"/>
      <c r="G15" s="231"/>
      <c r="H15" s="231"/>
      <c r="AQ15" s="179" t="s">
        <v>710</v>
      </c>
      <c r="AR15" s="181" t="b">
        <v>0</v>
      </c>
      <c r="BL15" s="230" t="s">
        <v>1011</v>
      </c>
      <c r="BM15" s="231"/>
    </row>
    <row r="16" spans="1:147" ht="16.5">
      <c r="A16" s="231"/>
      <c r="B16" s="231" t="s">
        <v>267</v>
      </c>
      <c r="C16" s="231" t="s">
        <v>1110</v>
      </c>
      <c r="D16" s="162"/>
      <c r="E16" s="231"/>
      <c r="F16" s="231"/>
      <c r="G16" s="231"/>
      <c r="H16" s="231"/>
      <c r="AQ16" s="179" t="s">
        <v>114</v>
      </c>
      <c r="AR16" s="181"/>
      <c r="BM16" s="230" t="s">
        <v>278</v>
      </c>
      <c r="BN16" s="231" t="s">
        <v>1124</v>
      </c>
      <c r="BO16" s="232"/>
    </row>
    <row r="17" spans="1:47" ht="16.5">
      <c r="A17" s="57" t="s">
        <v>132</v>
      </c>
      <c r="B17" s="231"/>
      <c r="C17" s="231"/>
      <c r="D17" s="231"/>
      <c r="E17" s="231"/>
      <c r="F17" s="231"/>
      <c r="G17" s="231"/>
      <c r="H17" s="231"/>
      <c r="AQ17" s="179" t="s">
        <v>452</v>
      </c>
      <c r="AR17" s="181"/>
      <c r="AU17" s="231"/>
    </row>
    <row r="18" spans="1:47" ht="16.5">
      <c r="A18" s="231"/>
      <c r="B18" s="231" t="s">
        <v>846</v>
      </c>
      <c r="C18" s="231" t="s">
        <v>1111</v>
      </c>
      <c r="D18" s="155"/>
      <c r="E18" s="231" t="s">
        <v>134</v>
      </c>
      <c r="F18" s="231"/>
      <c r="G18" s="231"/>
      <c r="H18" s="231"/>
      <c r="AQ18" s="179" t="s">
        <v>90</v>
      </c>
      <c r="AR18" s="181"/>
    </row>
    <row r="19" spans="1:47" ht="16.5">
      <c r="A19" s="231"/>
      <c r="B19" s="231"/>
      <c r="C19" s="231"/>
      <c r="D19" s="231"/>
      <c r="E19" s="231"/>
      <c r="F19" s="231"/>
      <c r="G19" s="231"/>
      <c r="H19" s="231"/>
      <c r="AQ19" s="179" t="s">
        <v>59</v>
      </c>
      <c r="AR19" s="181"/>
    </row>
    <row r="20" spans="1:47" ht="16.5">
      <c r="A20" s="211" t="s">
        <v>180</v>
      </c>
      <c r="B20" s="231"/>
      <c r="C20" s="160"/>
      <c r="F20" s="231"/>
      <c r="G20" s="231"/>
      <c r="H20" s="231"/>
      <c r="AQ20" s="179" t="s">
        <v>61</v>
      </c>
      <c r="AR20" s="181"/>
    </row>
    <row r="21" spans="1:47" ht="16.5">
      <c r="B21" s="230" t="s">
        <v>181</v>
      </c>
      <c r="C21" s="231" t="s">
        <v>1112</v>
      </c>
      <c r="D21" s="159"/>
      <c r="F21" s="231"/>
      <c r="G21" s="231"/>
      <c r="H21" s="231"/>
      <c r="AQ21" s="182" t="s">
        <v>858</v>
      </c>
      <c r="AR21" s="183">
        <v>1</v>
      </c>
    </row>
    <row r="22" spans="1:47">
      <c r="B22" s="230" t="s">
        <v>182</v>
      </c>
      <c r="C22" s="231" t="s">
        <v>1113</v>
      </c>
      <c r="D22" s="159"/>
      <c r="F22" s="231"/>
      <c r="G22" s="231"/>
      <c r="H22" s="231"/>
    </row>
    <row r="23" spans="1:47">
      <c r="B23" s="230" t="s">
        <v>183</v>
      </c>
      <c r="C23" s="231" t="s">
        <v>1114</v>
      </c>
      <c r="D23" s="159"/>
      <c r="F23" s="231"/>
      <c r="G23" s="231"/>
      <c r="H23" s="231"/>
    </row>
    <row r="24" spans="1:47">
      <c r="C24" s="231"/>
      <c r="F24" s="231"/>
      <c r="G24" s="231"/>
      <c r="H24" s="231"/>
    </row>
    <row r="25" spans="1:47">
      <c r="B25" s="230" t="s">
        <v>184</v>
      </c>
      <c r="C25" s="231" t="s">
        <v>1115</v>
      </c>
      <c r="D25" s="159"/>
      <c r="F25" s="231"/>
      <c r="G25" s="231"/>
      <c r="H25" s="231"/>
    </row>
    <row r="26" spans="1:47">
      <c r="H26" s="231"/>
    </row>
    <row r="27" spans="1:47">
      <c r="A27" s="211"/>
    </row>
    <row r="28" spans="1:47" ht="16.5" customHeight="1">
      <c r="C28" s="231"/>
    </row>
    <row r="29" spans="1:47" ht="16.5" customHeight="1"/>
  </sheetData>
  <mergeCells count="15">
    <mergeCell ref="BG3:BJ3"/>
    <mergeCell ref="BG4:BJ4"/>
    <mergeCell ref="BG5:BJ5"/>
    <mergeCell ref="AU5:AV5"/>
    <mergeCell ref="BA5:BB5"/>
    <mergeCell ref="BE5:BF5"/>
    <mergeCell ref="BE3:BF3"/>
    <mergeCell ref="BE4:BF4"/>
    <mergeCell ref="AU6:AV6"/>
    <mergeCell ref="BA6:BB6"/>
    <mergeCell ref="AU8:AV8"/>
    <mergeCell ref="AU3:AV3"/>
    <mergeCell ref="BA3:BB3"/>
    <mergeCell ref="AU4:AV4"/>
    <mergeCell ref="BA4:BB4"/>
  </mergeCells>
  <phoneticPr fontId="1"/>
  <conditionalFormatting sqref="D5:N5 V5:AH5 Q5 S5">
    <cfRule type="expression" dxfId="65" priority="13">
      <formula>CELL("row")=ROW()</formula>
    </cfRule>
  </conditionalFormatting>
  <conditionalFormatting sqref="F5">
    <cfRule type="expression" dxfId="64" priority="12">
      <formula>F5&lt;&gt;""</formula>
    </cfRule>
  </conditionalFormatting>
  <conditionalFormatting sqref="AI5:AM5">
    <cfRule type="expression" dxfId="63" priority="11">
      <formula>CELL("row")=ROW()</formula>
    </cfRule>
  </conditionalFormatting>
  <conditionalFormatting sqref="AN5:AO5">
    <cfRule type="expression" dxfId="62" priority="10">
      <formula>CELL("row")=ROW()</formula>
    </cfRule>
  </conditionalFormatting>
  <conditionalFormatting sqref="G6">
    <cfRule type="expression" dxfId="61" priority="9">
      <formula>INDIRECT(ADDRESS(ROW(),COLUMN(UNKB0050_B_KOBAI_STS)))&gt;3</formula>
    </cfRule>
  </conditionalFormatting>
  <conditionalFormatting sqref="O5">
    <cfRule type="expression" dxfId="60" priority="7">
      <formula>CELL("row")=ROW()</formula>
    </cfRule>
  </conditionalFormatting>
  <conditionalFormatting sqref="O5">
    <cfRule type="expression" dxfId="59" priority="8">
      <formula>INDIRECT(ADDRESS(ROW(),COLUMN()))=TRUNC(INDIRECT(ADDRESS(ROW(),COLUMN())))</formula>
    </cfRule>
  </conditionalFormatting>
  <conditionalFormatting sqref="P5">
    <cfRule type="expression" dxfId="58" priority="5">
      <formula>CELL("row")=ROW()</formula>
    </cfRule>
  </conditionalFormatting>
  <conditionalFormatting sqref="P5">
    <cfRule type="expression" dxfId="57" priority="6">
      <formula>INDIRECT(ADDRESS(ROW(),COLUMN()))=TRUNC(INDIRECT(ADDRESS(ROW(),COLUMN())))</formula>
    </cfRule>
  </conditionalFormatting>
  <conditionalFormatting sqref="R5">
    <cfRule type="expression" dxfId="56" priority="3">
      <formula>CELL("row")=ROW()</formula>
    </cfRule>
  </conditionalFormatting>
  <conditionalFormatting sqref="R5">
    <cfRule type="expression" dxfId="55" priority="4">
      <formula>INDIRECT(ADDRESS(ROW(),COLUMN()))=TRUNC(INDIRECT(ADDRESS(ROW(),COLUMN())))</formula>
    </cfRule>
  </conditionalFormatting>
  <conditionalFormatting sqref="T5:U5">
    <cfRule type="expression" dxfId="54" priority="1">
      <formula>CELL("row")=ROW()</formula>
    </cfRule>
  </conditionalFormatting>
  <conditionalFormatting sqref="T5:U5">
    <cfRule type="expression" dxfId="53" priority="2">
      <formula>INDIRECT(ADDRESS(ROW(),COLUMN()))=TRUNC(INDIRECT(ADDRESS(ROW(),COLUMN())))</formula>
    </cfRule>
  </conditionalFormatting>
  <dataValidations count="3">
    <dataValidation type="custom" allowBlank="1" showInputMessage="1" showErrorMessage="1" sqref="BA3:BB3 BA5:BB5">
      <formula1>AND(LEN(BA3)=LENB(BA3),LEN(BA3)=10)</formula1>
    </dataValidation>
    <dataValidation type="date" allowBlank="1" showInputMessage="1" showErrorMessage="1" sqref="AU3:AV6 AX3:AX6">
      <formula1>36526</formula1>
      <formula2>73415</formula2>
    </dataValidation>
    <dataValidation type="custom" allowBlank="1" showInputMessage="1" showErrorMessage="1" sqref="BA6:BB6">
      <formula1>AND(LEN(BA6)=LENB(BA6),LEN(BA6)&lt;=10)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Check Box 1">
              <controlPr defaultSize="0" autoFill="0" autoLine="0" autoPict="0" macro="[0]!UNKB0050_CLICK_CHECKBOX">
                <anchor moveWithCells="1">
                  <from>
                    <xdr:col>6</xdr:col>
                    <xdr:colOff>85725</xdr:colOff>
                    <xdr:row>5</xdr:row>
                    <xdr:rowOff>38100</xdr:rowOff>
                  </from>
                  <to>
                    <xdr:col>6</xdr:col>
                    <xdr:colOff>266700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B5:H81"/>
  <sheetViews>
    <sheetView zoomScale="85" zoomScaleNormal="85" workbookViewId="0">
      <selection activeCell="F25" sqref="F25"/>
    </sheetView>
  </sheetViews>
  <sheetFormatPr defaultRowHeight="15" customHeight="1"/>
  <cols>
    <col min="1" max="1" width="9" style="230"/>
    <col min="2" max="2" width="3.5" style="230" customWidth="1"/>
    <col min="3" max="3" width="3.125" style="230" customWidth="1"/>
    <col min="4" max="4" width="3.25" style="230" customWidth="1"/>
    <col min="5" max="5" width="25.125" style="230" bestFit="1" customWidth="1"/>
    <col min="6" max="6" width="82.625" style="230" bestFit="1" customWidth="1"/>
    <col min="7" max="7" width="7.5" style="230" bestFit="1" customWidth="1"/>
    <col min="8" max="8" width="40.375" style="230" bestFit="1" customWidth="1"/>
    <col min="9" max="16384" width="9" style="230"/>
  </cols>
  <sheetData>
    <row r="5" spans="2:8" ht="15" customHeight="1">
      <c r="B5" s="504" t="s">
        <v>516</v>
      </c>
      <c r="C5" s="505"/>
      <c r="D5" s="505"/>
      <c r="E5" s="506"/>
      <c r="F5" s="147"/>
      <c r="G5" s="147"/>
      <c r="H5" s="148" t="s">
        <v>123</v>
      </c>
    </row>
    <row r="6" spans="2:8" ht="15" customHeight="1">
      <c r="B6" s="500" t="s">
        <v>799</v>
      </c>
      <c r="C6" s="501"/>
      <c r="D6" s="501"/>
      <c r="E6" s="502"/>
      <c r="F6" s="134" t="str">
        <f>F7 &amp; F8 &amp; F16</f>
        <v xml:space="preserve">SELECT *
 FROM V_KOBAI_CHUMON_LIST
 WHERE 1=1
 AND (1!=1
 OR V_KOBAI_CHUMON_LIST.KOBAI_KBN = ''1''
 OR V_KOBAI_CHUMON_LIST.KOBAI_KBN = ''2''
 OR V_KOBAI_CHUMON_LIST.KOBAI_KBN = ''3''
 OR V_KOBAI_CHUMON_LIST.KOBAI_KBN = ''4''
 OR V_KOBAI_CHUMON_LIST.KOBAI_KBN = ''5''
)
 AND (1!=1
 OR V_KOBAI_CHUMON_LIST.KOBAI_STS = ''2'')
</v>
      </c>
      <c r="G6" s="134"/>
      <c r="H6" s="135" t="s">
        <v>1137</v>
      </c>
    </row>
    <row r="7" spans="2:8" ht="15" customHeight="1">
      <c r="B7" s="136"/>
      <c r="C7" s="503" t="s">
        <v>124</v>
      </c>
      <c r="D7" s="503"/>
      <c r="E7" s="503"/>
      <c r="F7" s="196" t="s">
        <v>881</v>
      </c>
      <c r="G7" s="138"/>
      <c r="H7" s="139"/>
    </row>
    <row r="8" spans="2:8" ht="15" customHeight="1">
      <c r="B8" s="136"/>
      <c r="C8" s="503" t="s">
        <v>795</v>
      </c>
      <c r="D8" s="503"/>
      <c r="E8" s="503"/>
      <c r="F8" s="196" t="s">
        <v>1135</v>
      </c>
      <c r="G8" s="138"/>
      <c r="H8" s="139"/>
    </row>
    <row r="9" spans="2:8" ht="15" customHeight="1">
      <c r="B9" s="500" t="s">
        <v>802</v>
      </c>
      <c r="C9" s="501"/>
      <c r="D9" s="501"/>
      <c r="E9" s="502"/>
      <c r="F9" s="134" t="str">
        <f>F10&amp;F11&amp;F58</f>
        <v xml:space="preserve">SELECT
   W_KOBAI_CHUMON_LIST.CHUMON_NO
  ,W_KOBAI_CHUMON_LIST.WARNING
  ,W_KOBAI_CHUMON_LIST.SELECT_FLG
  ,W_KOBAI_CHUMON_LIST.KOBAI_KBN_MEI
  ,W_KOBAI_CHUMON_LIST.KOBAI_STS_MEI
  ,W_KOBAI_CHUMON_LIST.SHINSEISHA_MEI
  ,W_KOBAI_CHUMON_LIST.SHINSEI_DATETIME
  ,W_KOBAI_CHUMON_LIST.KOBAIHIN_CD
  ,W_KOBAI_CHUMON_LIST.KOBAIHIN_MEI
  ,W_KOBAI_CHUMON_LIST.TANKA
  ,W_KOBAI_CHUMON_LIST.IRISU
  ,W_KOBAI_CHUMON_LIST.BARA_TANI
  ,W_KOBAI_CHUMON_LIST.SURYO
  ,W_KOBAI_CHUMON_LIST.IRISU_TANI
  ,W_KOBAI_CHUMON_LIST.SOSU
  ,W_KOBAI_CHUMON_LIST.TOTAL
  ,W_KOBAI_CHUMON_LIST.HATCHU_DATE
  ,W_KOBAI_CHUMON_LIST.NOKI
  ,W_KOBAI_CHUMON_LIST.UKEIRE_DATE
  ,W_KOBAI_CHUMON_LIST.KENSHU_DATE
  ,W_KOBAI_CHUMON_LIST.HOKAN_BASHO_KBN_MEI
  ,W_KOBAI_CHUMON_LIST.SHIIRE_CD
  ,W_KOBAI_CHUMON_LIST.SHIIRE_MEI
  ,W_KOBAI_CHUMON_LIST.MAKER_CD
  ,W_KOBAI_CHUMON_LIST.MAKER_MEI
  ,W_KOBAI_CHUMON_LIST.YOSAN_CD
  ,W_KOBAI_CHUMON_LIST.JURI_NO
  ,W_KOBAI_CHUMON_LIST.BIKO
  ,W_KOBAI_CHUMON_LIST.KOBAI_NO
  ,W_KOBAI_CHUMON_LIST.IRAI_NO
 FROM W_KOBAI_CHUMON_LIST WHERE (1=1)
 AND W_KOBAI_CHUMON_LIST.W_USER_ID = ''
 AND W_KOBAI_CHUMON_LIST.W_SERIAL = ''
</v>
      </c>
      <c r="G9" s="134"/>
      <c r="H9" s="135" t="s">
        <v>1138</v>
      </c>
    </row>
    <row r="10" spans="2:8" ht="15" customHeight="1">
      <c r="B10" s="136"/>
      <c r="C10" s="503" t="s">
        <v>124</v>
      </c>
      <c r="D10" s="503"/>
      <c r="E10" s="503"/>
      <c r="F10" s="137" t="s">
        <v>1799</v>
      </c>
      <c r="G10" s="138"/>
      <c r="H10" s="139"/>
    </row>
    <row r="11" spans="2:8" ht="15" customHeight="1">
      <c r="B11" s="136"/>
      <c r="C11" s="503" t="s">
        <v>795</v>
      </c>
      <c r="D11" s="503"/>
      <c r="E11" s="503"/>
      <c r="F11" s="137" t="s">
        <v>1136</v>
      </c>
      <c r="G11" s="138"/>
      <c r="H11" s="139"/>
    </row>
    <row r="12" spans="2:8" ht="15" customHeight="1">
      <c r="B12" s="500" t="s">
        <v>864</v>
      </c>
      <c r="C12" s="501"/>
      <c r="D12" s="501"/>
      <c r="E12" s="502"/>
      <c r="F12" s="134" t="str">
        <f>F13 &amp; F14 &amp; F16</f>
        <v xml:space="preserve">SELECT COUNT(*) AS CNT
 FROM V_KOBAI_CHUMON_LIST
 WHERE 1=1
 AND (1!=1
 OR V_KOBAI_CHUMON_LIST.KOBAI_KBN = ''1''
 OR V_KOBAI_CHUMON_LIST.KOBAI_KBN = ''2''
 OR V_KOBAI_CHUMON_LIST.KOBAI_KBN = ''3''
 OR V_KOBAI_CHUMON_LIST.KOBAI_KBN = ''4''
 OR V_KOBAI_CHUMON_LIST.KOBAI_KBN = ''5''
)
 AND (1!=1
 OR V_KOBAI_CHUMON_LIST.KOBAI_STS = ''2'')
</v>
      </c>
      <c r="G12" s="134"/>
      <c r="H12" s="135" t="s">
        <v>1139</v>
      </c>
    </row>
    <row r="13" spans="2:8" ht="15" customHeight="1">
      <c r="B13" s="136"/>
      <c r="C13" s="503" t="s">
        <v>124</v>
      </c>
      <c r="D13" s="503"/>
      <c r="E13" s="503"/>
      <c r="F13" s="196" t="s">
        <v>882</v>
      </c>
      <c r="G13" s="138"/>
      <c r="H13" s="139"/>
    </row>
    <row r="14" spans="2:8" ht="15" customHeight="1">
      <c r="B14" s="136"/>
      <c r="C14" s="503" t="s">
        <v>795</v>
      </c>
      <c r="D14" s="503"/>
      <c r="E14" s="503"/>
      <c r="F14" s="196" t="s">
        <v>1135</v>
      </c>
      <c r="G14" s="138"/>
      <c r="H14" s="139"/>
    </row>
    <row r="15" spans="2:8" ht="15" customHeight="1">
      <c r="B15" s="500" t="s">
        <v>804</v>
      </c>
      <c r="C15" s="501"/>
      <c r="D15" s="501"/>
      <c r="E15" s="502"/>
      <c r="F15" s="134"/>
      <c r="G15" s="134"/>
      <c r="H15" s="135"/>
    </row>
    <row r="16" spans="2:8" ht="15" customHeight="1">
      <c r="B16" s="136"/>
      <c r="C16" s="503" t="s">
        <v>783</v>
      </c>
      <c r="D16" s="503"/>
      <c r="E16" s="503"/>
      <c r="F16" s="137" t="str">
        <f>" WHERE 1=1
" &amp;F17 &amp; F23 &amp; F30 &amp; F31 &amp; F32 &amp; F33 &amp; F34 &amp; F35 &amp; F36 &amp; F37 &amp; F38 &amp; F39 &amp; F40 &amp; F41 &amp;F42 &amp; F43 &amp; F44 &amp; F45</f>
        <v xml:space="preserve"> WHERE 1=1
 AND (1!=1
 OR V_KOBAI_CHUMON_LIST.KOBAI_KBN = ''1''
 OR V_KOBAI_CHUMON_LIST.KOBAI_KBN = ''2''
 OR V_KOBAI_CHUMON_LIST.KOBAI_KBN = ''3''
 OR V_KOBAI_CHUMON_LIST.KOBAI_KBN = ''4''
 OR V_KOBAI_CHUMON_LIST.KOBAI_KBN = ''5''
)
 AND (1!=1
 OR V_KOBAI_CHUMON_LIST.KOBAI_STS = ''2'')
</v>
      </c>
      <c r="G16" s="138"/>
      <c r="H16" s="139"/>
    </row>
    <row r="17" spans="2:8" ht="15" customHeight="1">
      <c r="B17" s="136"/>
      <c r="C17" s="140"/>
      <c r="D17" s="493" t="s">
        <v>41</v>
      </c>
      <c r="E17" s="494"/>
      <c r="F17" s="137" t="str">
        <f>" AND (1!=1
 "&amp; F18 &amp; F19 &amp; F20 &amp; F21 &amp; F22 &amp;")
"</f>
        <v xml:space="preserve"> AND (1!=1
 OR V_KOBAI_CHUMON_LIST.KOBAI_KBN = ''1''
 OR V_KOBAI_CHUMON_LIST.KOBAI_KBN = ''2''
 OR V_KOBAI_CHUMON_LIST.KOBAI_KBN = ''3''
 OR V_KOBAI_CHUMON_LIST.KOBAI_KBN = ''4''
 OR V_KOBAI_CHUMON_LIST.KOBAI_KBN = ''5''
)
</v>
      </c>
      <c r="G17" s="138"/>
      <c r="H17" s="139"/>
    </row>
    <row r="18" spans="2:8" ht="15" customHeight="1">
      <c r="B18" s="136"/>
      <c r="C18" s="141"/>
      <c r="D18" s="495"/>
      <c r="E18" s="142" t="s">
        <v>69</v>
      </c>
      <c r="F18" s="143" t="str">
        <f>IF(G18," 
 OR V_KOBAI_CHUMON_LIST.KOBAI_KBN = ''1''
","")</f>
        <v xml:space="preserve"> 
 OR V_KOBAI_CHUMON_LIST.KOBAI_KBN = ''1''
</v>
      </c>
      <c r="G18" s="143" t="b">
        <f>UNKB0050_H_KOBAIHIN_KBN_S</f>
        <v>1</v>
      </c>
      <c r="H18" s="144"/>
    </row>
    <row r="19" spans="2:8" ht="15" customHeight="1">
      <c r="B19" s="136"/>
      <c r="C19" s="141"/>
      <c r="D19" s="496"/>
      <c r="E19" s="142" t="s">
        <v>20</v>
      </c>
      <c r="F19" s="143" t="str">
        <f>IF(G19," 
 OR V_KOBAI_CHUMON_LIST.KOBAI_KBN = ''2''
","")</f>
        <v xml:space="preserve"> 
 OR V_KOBAI_CHUMON_LIST.KOBAI_KBN = ''2''
</v>
      </c>
      <c r="G19" s="143" t="b">
        <f>UNKB0050_H_GAICHU_KBN_S</f>
        <v>1</v>
      </c>
      <c r="H19" s="144"/>
    </row>
    <row r="20" spans="2:8" ht="15" customHeight="1">
      <c r="B20" s="136"/>
      <c r="C20" s="141"/>
      <c r="D20" s="496"/>
      <c r="E20" s="142" t="s">
        <v>699</v>
      </c>
      <c r="F20" s="143" t="str">
        <f>IF(G20," 
 OR V_KOBAI_CHUMON_LIST.KOBAI_KBN = ''3''
","")</f>
        <v xml:space="preserve"> 
 OR V_KOBAI_CHUMON_LIST.KOBAI_KBN = ''3''
</v>
      </c>
      <c r="G20" s="143" t="b">
        <f>UNKB0050_H_SHUZEN_KBN_S</f>
        <v>1</v>
      </c>
      <c r="H20" s="144"/>
    </row>
    <row r="21" spans="2:8" ht="15" customHeight="1">
      <c r="B21" s="136"/>
      <c r="C21" s="141"/>
      <c r="D21" s="496"/>
      <c r="E21" s="142" t="s">
        <v>22</v>
      </c>
      <c r="F21" s="143" t="str">
        <f>IF(G21," 
 OR V_KOBAI_CHUMON_LIST.KOBAI_KBN = ''4''
","")</f>
        <v xml:space="preserve"> 
 OR V_KOBAI_CHUMON_LIST.KOBAI_KBN = ''4''
</v>
      </c>
      <c r="G21" s="143" t="b">
        <f>UNKB0050_H_TOSHI_KBN_S</f>
        <v>1</v>
      </c>
      <c r="H21" s="144"/>
    </row>
    <row r="22" spans="2:8" ht="15" customHeight="1">
      <c r="B22" s="136"/>
      <c r="C22" s="141"/>
      <c r="D22" s="496"/>
      <c r="E22" s="142" t="s">
        <v>23</v>
      </c>
      <c r="F22" s="143" t="str">
        <f>IF(G22," 
 OR V_KOBAI_CHUMON_LIST.KOBAI_KBN = ''5''
","")</f>
        <v xml:space="preserve"> 
 OR V_KOBAI_CHUMON_LIST.KOBAI_KBN = ''5''
</v>
      </c>
      <c r="G22" s="143" t="b">
        <f>UNKB0050_H_HANBAI_KBN_S</f>
        <v>1</v>
      </c>
      <c r="H22" s="144"/>
    </row>
    <row r="23" spans="2:8" ht="15" customHeight="1">
      <c r="B23" s="136"/>
      <c r="C23" s="141"/>
      <c r="D23" s="493" t="s">
        <v>42</v>
      </c>
      <c r="E23" s="494"/>
      <c r="F23" s="137" t="str">
        <f>" AND (1!=1
 " &amp; F24 &amp; F25 &amp; F26 &amp; F27 &amp; F28 &amp; F29 &amp;")
"</f>
        <v xml:space="preserve"> AND (1!=1
 OR V_KOBAI_CHUMON_LIST.KOBAI_STS = ''2'')
</v>
      </c>
      <c r="G23" s="138"/>
      <c r="H23" s="139"/>
    </row>
    <row r="24" spans="2:8" ht="15" customHeight="1">
      <c r="B24" s="136"/>
      <c r="C24" s="141"/>
      <c r="D24" s="572"/>
      <c r="E24" s="142" t="s">
        <v>68</v>
      </c>
      <c r="F24" s="143" t="str">
        <f>IF(G24," 
 OR V_KOBAI_CHUMON_LIST.KOBAI_STS = ''1''","")</f>
        <v/>
      </c>
      <c r="G24" s="143" t="b">
        <f>UNKB0050_H_MISHONIN_STS_S</f>
        <v>0</v>
      </c>
      <c r="H24" s="144"/>
    </row>
    <row r="25" spans="2:8" ht="15" customHeight="1">
      <c r="B25" s="136"/>
      <c r="C25" s="141"/>
      <c r="D25" s="572"/>
      <c r="E25" s="142" t="s">
        <v>656</v>
      </c>
      <c r="F25" s="143" t="str">
        <f>IF(G25," 
 OR V_KOBAI_CHUMON_LIST.KOBAI_STS = ''2''","")</f>
        <v xml:space="preserve"> 
 OR V_KOBAI_CHUMON_LIST.KOBAI_STS = ''2''</v>
      </c>
      <c r="G25" s="143" t="b">
        <f>UNKB0050_H_IRAICHU_STS_S</f>
        <v>1</v>
      </c>
      <c r="H25" s="144"/>
    </row>
    <row r="26" spans="2:8" ht="15" customHeight="1">
      <c r="B26" s="136"/>
      <c r="C26" s="141"/>
      <c r="D26" s="572"/>
      <c r="E26" s="142" t="s">
        <v>707</v>
      </c>
      <c r="F26" s="143" t="str">
        <f>IF(G26," 
 OR V_KOBAI_CHUMON_LIST.KOBAI_STS = ''3''","")</f>
        <v/>
      </c>
      <c r="G26" s="143" t="b">
        <f>UNKB0050_H_CHUMONSHO_STS_S</f>
        <v>0</v>
      </c>
      <c r="H26" s="144"/>
    </row>
    <row r="27" spans="2:8" ht="15" customHeight="1">
      <c r="B27" s="136"/>
      <c r="C27" s="141"/>
      <c r="D27" s="572"/>
      <c r="E27" s="142" t="s">
        <v>27</v>
      </c>
      <c r="F27" s="143" t="str">
        <f>IF(G27," 
 OR V_KOBAI_CHUMON_LIST.KOBAI_STS = ''4''","")</f>
        <v/>
      </c>
      <c r="G27" s="143" t="b">
        <f>UNKB0050_H_ICHIBU_STS_S</f>
        <v>0</v>
      </c>
      <c r="H27" s="144"/>
    </row>
    <row r="28" spans="2:8" ht="15" customHeight="1">
      <c r="B28" s="136"/>
      <c r="C28" s="141"/>
      <c r="D28" s="572"/>
      <c r="E28" s="142" t="s">
        <v>28</v>
      </c>
      <c r="F28" s="143" t="str">
        <f>IF(G28," 
 OR V_KOBAI_CHUMON_LIST.KOBAI_STS = ''5''","")</f>
        <v/>
      </c>
      <c r="G28" s="143" t="b">
        <f>UNKB0050_H_NYUKA_STS_S</f>
        <v>0</v>
      </c>
      <c r="H28" s="144"/>
    </row>
    <row r="29" spans="2:8" ht="15" customHeight="1">
      <c r="B29" s="136"/>
      <c r="C29" s="141"/>
      <c r="D29" s="495"/>
      <c r="E29" s="142" t="s">
        <v>710</v>
      </c>
      <c r="F29" s="143" t="str">
        <f>IF(G29," 
 OR V_KOBAI_CHUMON_LIST.KOBAI_STS = ''6''","")</f>
        <v/>
      </c>
      <c r="G29" s="143" t="b">
        <f>UNKB0050_H_KENSHU_STS_S</f>
        <v>0</v>
      </c>
      <c r="H29" s="144"/>
    </row>
    <row r="30" spans="2:8" ht="15" customHeight="1">
      <c r="B30" s="136"/>
      <c r="C30" s="141"/>
      <c r="D30" s="492" t="s">
        <v>731</v>
      </c>
      <c r="E30" s="492"/>
      <c r="F30" s="145" t="str">
        <f>IF(G30," 
 AND CONVERT(VARCHAR,V_KOBAI_CHUMON_LIST.SHINSEI_DATETIME,111) &gt;= ''"&amp;TEXT(UNKB0050_H_SHINSEI_DATE_START_S,"YYYY/MM/DD")&amp;"''","")</f>
        <v/>
      </c>
      <c r="G30" s="138" t="b">
        <f>NOT(ISBLANK(UNKB0050_H_SHINSEI_DATE_START_S))</f>
        <v>0</v>
      </c>
      <c r="H30" s="139"/>
    </row>
    <row r="31" spans="2:8" ht="15" customHeight="1">
      <c r="B31" s="136"/>
      <c r="C31" s="141"/>
      <c r="D31" s="492" t="s">
        <v>733</v>
      </c>
      <c r="E31" s="492"/>
      <c r="F31" s="145" t="str">
        <f>IF(G31,"
 AND CONVERT(VARCHAR,V_KOBAI_CHUMON_LIST.SHINSEI_DATETIME,111) &lt;=  ''"&amp;TEXT(UNKB0050_H_SHINSEI_DATE_END_S,"YYYY/MM/DD")&amp;"''","")</f>
        <v/>
      </c>
      <c r="G31" s="138" t="b">
        <f>NOT(ISBLANK(UNKB0050_H_SHINSEI_DATE_END_S))</f>
        <v>0</v>
      </c>
      <c r="H31" s="139"/>
    </row>
    <row r="32" spans="2:8" ht="15" customHeight="1">
      <c r="B32" s="136"/>
      <c r="C32" s="141"/>
      <c r="D32" s="492" t="s">
        <v>735</v>
      </c>
      <c r="E32" s="492" t="s">
        <v>735</v>
      </c>
      <c r="F32" s="145" t="str">
        <f>IF(G32,"
 AND V_KOBAI_CHUMON_LIST.NOKI &gt;=  ''"&amp;TEXT(UNKB0050_H_NOKI_START_S,"YYYY/MM/DD")&amp;"''","")</f>
        <v/>
      </c>
      <c r="G32" s="138" t="b">
        <f>NOT(ISBLANK(UNKB0050_H_NOKI_START_S))</f>
        <v>0</v>
      </c>
      <c r="H32" s="139"/>
    </row>
    <row r="33" spans="2:8" ht="15" customHeight="1">
      <c r="B33" s="136"/>
      <c r="C33" s="141"/>
      <c r="D33" s="492" t="s">
        <v>736</v>
      </c>
      <c r="E33" s="492" t="s">
        <v>736</v>
      </c>
      <c r="F33" s="145" t="str">
        <f>IF(G33,"
 AND V_KOBAI_CHUMON_LIST.NOKI &lt;=  ''"&amp;TEXT(UNKB0050_H_NOKI_END_S,"YYYY/MM/DD")&amp;"''","")</f>
        <v/>
      </c>
      <c r="G33" s="138" t="b">
        <f>NOT(ISBLANK(UNKB0050_H_NOKI_END_S))</f>
        <v>0</v>
      </c>
      <c r="H33" s="139"/>
    </row>
    <row r="34" spans="2:8" ht="15" customHeight="1">
      <c r="B34" s="136"/>
      <c r="C34" s="141"/>
      <c r="D34" s="492" t="s">
        <v>737</v>
      </c>
      <c r="E34" s="492" t="s">
        <v>737</v>
      </c>
      <c r="F34" s="145" t="str">
        <f>IF(G34,"
 AND V_KOBAI_CHUMON_LIST.UKEIRE_DATE &gt;=  ''"&amp;TEXT(UNKB0050_H_UKEIRE_DATE_START_S,"YYYY/MM/DD")&amp;"''","")</f>
        <v/>
      </c>
      <c r="G34" s="138" t="b">
        <f>NOT(ISBLANK(UNKB0050_H_UKEIRE_DATE_START_S))</f>
        <v>0</v>
      </c>
      <c r="H34" s="139"/>
    </row>
    <row r="35" spans="2:8" ht="15" customHeight="1">
      <c r="B35" s="136"/>
      <c r="C35" s="141"/>
      <c r="D35" s="492" t="s">
        <v>738</v>
      </c>
      <c r="E35" s="492" t="s">
        <v>738</v>
      </c>
      <c r="F35" s="145" t="str">
        <f>IF(G35,"
 AND V_KOBAI_CHUMON_LIST.UKEIRE_DATE &lt;=  ''"&amp;TEXT(UNKB0050_H_UKEIRE_DATE_END_S,"YYYY/MM/DD")&amp;"''","")</f>
        <v/>
      </c>
      <c r="G35" s="138" t="b">
        <f>NOT(ISBLANK(UNKB0050_H_UKEIRE_DATE_END_S))</f>
        <v>0</v>
      </c>
      <c r="H35" s="139"/>
    </row>
    <row r="36" spans="2:8" ht="15" customHeight="1">
      <c r="B36" s="136"/>
      <c r="C36" s="141"/>
      <c r="D36" s="492" t="s">
        <v>739</v>
      </c>
      <c r="E36" s="492" t="s">
        <v>739</v>
      </c>
      <c r="F36" s="145" t="str">
        <f>IF(G36,"
 AND V_KOBAI_CHUMON_LIST.KENSHU_DATE &gt;=  ''"&amp;TEXT(UNKB0050_H_KENSHU_DATE_START_S,"YYYY/MM/DD")&amp;"''","")</f>
        <v/>
      </c>
      <c r="G36" s="138" t="b">
        <f>NOT(ISBLANK(UNKB0050_H_KENSHU_DATE_START_S))</f>
        <v>0</v>
      </c>
      <c r="H36" s="139"/>
    </row>
    <row r="37" spans="2:8" ht="15" customHeight="1">
      <c r="B37" s="136"/>
      <c r="C37" s="141"/>
      <c r="D37" s="492" t="s">
        <v>740</v>
      </c>
      <c r="E37" s="492" t="s">
        <v>740</v>
      </c>
      <c r="F37" s="145" t="str">
        <f>IF(G37,"
 AND V_KOBAI_CHUMON_LIST.KENSHU_DATE &lt;=  ''"&amp;TEXT(UNKB0050_H_KENSHU_DATE_END_S,"YYYY/MM/DD")&amp;"''","")</f>
        <v/>
      </c>
      <c r="G37" s="138" t="b">
        <f>NOT(ISBLANK(UNKB0050_H_KENSHU_DATE_END_S))</f>
        <v>0</v>
      </c>
      <c r="H37" s="139"/>
    </row>
    <row r="38" spans="2:8" ht="15" customHeight="1">
      <c r="B38" s="136"/>
      <c r="C38" s="141"/>
      <c r="D38" s="492" t="s">
        <v>741</v>
      </c>
      <c r="E38" s="492" t="s">
        <v>741</v>
      </c>
      <c r="F38" s="145" t="str">
        <f>IF(G38,"
 AND V_KOBAI_CHUMON_LIST.KOBAI_NO = " &amp; "''" &amp; UNKB0050_H_KOBAI_NO_S &amp; "''","")</f>
        <v/>
      </c>
      <c r="G38" s="138" t="b">
        <f>NOT(ISBLANK(UNKB0050_H_KOBAI_NO_S))</f>
        <v>0</v>
      </c>
      <c r="H38" s="139"/>
    </row>
    <row r="39" spans="2:8" ht="15" customHeight="1">
      <c r="B39" s="136"/>
      <c r="C39" s="141"/>
      <c r="D39" s="492" t="s">
        <v>114</v>
      </c>
      <c r="E39" s="492" t="s">
        <v>114</v>
      </c>
      <c r="F39" s="145" t="str">
        <f>IF(G39,"
 AND V_KOBAI_CHUMON_LIST.SHINSEISHA_CD= " &amp; "''" &amp; UNKB0050_H_SHINSEISHA_CD_S &amp; "''","")</f>
        <v/>
      </c>
      <c r="G39" s="138" t="b">
        <f>NOT(ISBLANK(UNKB0050_H_SHINSEISHA_MEI_S))</f>
        <v>0</v>
      </c>
      <c r="H39" s="139"/>
    </row>
    <row r="40" spans="2:8" ht="15" customHeight="1">
      <c r="B40" s="136"/>
      <c r="C40" s="141"/>
      <c r="D40" s="492" t="s">
        <v>63</v>
      </c>
      <c r="E40" s="492" t="s">
        <v>63</v>
      </c>
      <c r="F40" s="145" t="str">
        <f>IF(G40,"
 AND V_KOBAI_CHUMON_LIST.JURI_NO = " &amp; "''" &amp; UNKB0050_H_JURI_NO_S &amp; "''","")</f>
        <v/>
      </c>
      <c r="G40" s="138" t="b">
        <f>NOT(ISBLANK(UNKB0050_H_JURI_NO_S))</f>
        <v>0</v>
      </c>
      <c r="H40" s="139"/>
    </row>
    <row r="41" spans="2:8" ht="15" customHeight="1">
      <c r="B41" s="136"/>
      <c r="C41" s="141"/>
      <c r="D41" s="492" t="s">
        <v>62</v>
      </c>
      <c r="E41" s="492" t="s">
        <v>62</v>
      </c>
      <c r="F41" s="145" t="str">
        <f>IF(G41,"
 AND V_KOBAI_CHUMON_LIST.YOSAN_CD = " &amp; "''" &amp; UNKB0050_H_YOSAN_CD_S &amp; "''","")</f>
        <v/>
      </c>
      <c r="G41" s="138" t="b">
        <f>NOT(ISBLANK(UNKB0050_H_YOSAN_CD_S))</f>
        <v>0</v>
      </c>
      <c r="H41" s="139"/>
    </row>
    <row r="42" spans="2:8" ht="15" customHeight="1">
      <c r="B42" s="136"/>
      <c r="C42" s="141"/>
      <c r="D42" s="492" t="s">
        <v>747</v>
      </c>
      <c r="E42" s="492" t="s">
        <v>747</v>
      </c>
      <c r="F42" s="145" t="str">
        <f>IF(G42,"
 AND V_KOBAI_CHUMON_LIST.KOBAIHIN_CD = " &amp; "''" &amp; UNKB0050_H_KOBAIHIN_CD_S &amp; "''","")</f>
        <v/>
      </c>
      <c r="G42" s="138" t="b">
        <f>NOT(ISBLANK(UNKB0050_H_KOBAIHIN_CD_S))</f>
        <v>0</v>
      </c>
      <c r="H42" s="139"/>
    </row>
    <row r="43" spans="2:8" ht="15" customHeight="1">
      <c r="B43" s="136"/>
      <c r="C43" s="141"/>
      <c r="D43" s="492" t="s">
        <v>58</v>
      </c>
      <c r="E43" s="492" t="s">
        <v>59</v>
      </c>
      <c r="F43" s="145" t="str">
        <f>IF(G43,"
 AND V_KOBAI_CHUMON_LIST.SHIIRE_CD = " &amp; "''" &amp; UNKB0050_H_SHIIRE_CD_S &amp; "''","")</f>
        <v/>
      </c>
      <c r="G43" s="138" t="b">
        <f>NOT(ISBLANK(UNKB0050_H_SHIIRE_CD_S))</f>
        <v>0</v>
      </c>
      <c r="H43" s="139"/>
    </row>
    <row r="44" spans="2:8" ht="15" customHeight="1">
      <c r="B44" s="136"/>
      <c r="C44" s="141"/>
      <c r="D44" s="492" t="s">
        <v>75</v>
      </c>
      <c r="E44" s="492" t="s">
        <v>75</v>
      </c>
      <c r="F44" s="145" t="str">
        <f>IF(G44,"
 AND V_KOBAI_CHUMON_LIST.MAKER_CD = " &amp; "''" &amp; UNKB0050_H_MAKER_CD_S &amp; "''","")</f>
        <v/>
      </c>
      <c r="G44" s="138" t="b">
        <f>NOT(ISBLANK(UNKB0050_H_MAKER_CD_S))</f>
        <v>0</v>
      </c>
      <c r="H44" s="139"/>
    </row>
    <row r="45" spans="2:8" ht="15" customHeight="1">
      <c r="B45" s="136"/>
      <c r="C45" s="141"/>
      <c r="D45" s="493" t="s">
        <v>785</v>
      </c>
      <c r="E45" s="494"/>
      <c r="F45" s="138" t="str">
        <f>IF(G45," AND "&amp; IF(UNKB0050_H_FREEWD_KBN_S=3,"NOT","") &amp;"("&amp; IF(G46,F46,"") &amp; IF(G47,F47,"") &amp;IF(G48,F48,"") &amp;" )","")</f>
        <v/>
      </c>
      <c r="G45" s="138" t="b">
        <f>OR(G46,G47,G48)</f>
        <v>0</v>
      </c>
      <c r="H45" s="139"/>
    </row>
    <row r="46" spans="2:8" ht="15" customHeight="1">
      <c r="B46" s="136"/>
      <c r="C46" s="141"/>
      <c r="D46" s="495"/>
      <c r="E46" s="142" t="s">
        <v>784</v>
      </c>
      <c r="F46" s="144" t="str">
        <f>IF(G46,"
 V_KOBAI_CHUMON_LIST.FREEWD LIKE ''%"&amp; UNKB0050_H_FREEWD_1_S &amp; "%''","")</f>
        <v/>
      </c>
      <c r="G46" s="143" t="b">
        <f>NOT(ISBLANK(UNKB0050_H_FREEWD_1_S))</f>
        <v>0</v>
      </c>
      <c r="H46" s="144"/>
    </row>
    <row r="47" spans="2:8" ht="15" customHeight="1">
      <c r="B47" s="136"/>
      <c r="C47" s="141"/>
      <c r="D47" s="496"/>
      <c r="E47" s="142" t="s">
        <v>778</v>
      </c>
      <c r="F47" s="144" t="str">
        <f>IF(G47,"
 "&amp;IF(G46, F49, "") &amp;" V_KOBAI_CHUMON_LIST.FREEWD LIKE ''%"&amp; UNKB0050_H_FREEWD_2_S &amp; "%''","")</f>
        <v/>
      </c>
      <c r="G47" s="143" t="b">
        <f>NOT(ISBLANK(UNKB0050_H_FREEWD_2_S))</f>
        <v>0</v>
      </c>
      <c r="H47" s="144"/>
    </row>
    <row r="48" spans="2:8" ht="15" customHeight="1">
      <c r="B48" s="136"/>
      <c r="C48" s="141"/>
      <c r="D48" s="496"/>
      <c r="E48" s="142" t="s">
        <v>689</v>
      </c>
      <c r="F48" s="144" t="str">
        <f>IF(G48,"
 "&amp;IF(OR(G46,G47),F49,"") &amp; " V_KOBAI_CHUMON_LIST.FREEWD LIKE ''%"&amp; UNKB0050_H_FREEWD_3_S &amp; "%''","")</f>
        <v/>
      </c>
      <c r="G48" s="143" t="b">
        <f>NOT(ISBLANK(UNKB0050_H_FREEWD_3_S))</f>
        <v>0</v>
      </c>
      <c r="H48" s="144"/>
    </row>
    <row r="49" spans="2:8" ht="15" customHeight="1">
      <c r="B49" s="185"/>
      <c r="C49" s="229"/>
      <c r="D49" s="496"/>
      <c r="E49" s="142" t="s">
        <v>695</v>
      </c>
      <c r="F49" s="144" t="str">
        <f>IF(UNKB0050_H_FREEWD_KBN_S=1, "AND",IF(UNKB0050_H_FREEWD_KBN_S=2,"OR","AND"))</f>
        <v>AND</v>
      </c>
      <c r="G49" s="143"/>
      <c r="H49" s="144"/>
    </row>
    <row r="52" spans="2:8" ht="15" customHeight="1">
      <c r="B52" s="504" t="s">
        <v>1006</v>
      </c>
      <c r="C52" s="505"/>
      <c r="D52" s="505"/>
      <c r="E52" s="506"/>
      <c r="F52" s="147"/>
      <c r="G52" s="147"/>
      <c r="H52" s="148" t="s">
        <v>123</v>
      </c>
    </row>
    <row r="53" spans="2:8" ht="15" customHeight="1">
      <c r="B53" s="500" t="s">
        <v>1009</v>
      </c>
      <c r="C53" s="501"/>
      <c r="D53" s="501"/>
      <c r="E53" s="502"/>
      <c r="F53" s="134" t="str">
        <f>F54 &amp; F57 &amp; F58 &amp; UNKB0050_SQL_SORT &amp; F60</f>
        <v>SELECT 
   W_KOBAI_CHUMON_LIST.GYO_MOJI
  ,W_KOBAI_CHUMON_LIST.W_ROW
  ,W_KOBAI_CHUMON_LIST.WARNING
  ,NULL
  ,W_KOBAI_CHUMON_LIST.SELECT_FLG
  ,W_KOBAI_CHUMON_LIST.KOBAI_KBN_MEI
  ,W_KOBAI_CHUMON_LIST.KOBAI_STS_MEI
  ,W_KOBAI_CHUMON_LIST.SHINSEISHA_MEI
  ,W_KOBAI_CHUMON_LIST.SHINSEI_DATETIME
  ,W_KOBAI_CHUMON_LIST.KOBAIHIN_CD
  ,W_KOBAI_CHUMON_LIST.KOBAIHIN_MEI
  ,W_KOBAI_CHUMON_LIST.TANKA
  ,W_KOBAI_CHUMON_LIST.IRISU
  ,W_KOBAI_CHUMON_LIST.BARA_TANI
  ,W_KOBAI_CHUMON_LIST.SURYO
  ,W_KOBAI_CHUMON_LIST.IRISU_TANI
  ,W_KOBAI_CHUMON_LIST.SOSU
  ,W_KOBAI_CHUMON_LIST.TOTAL
  ,W_KOBAI_CHUMON_LIST.HATCHU_DATE
  ,W_KOBAI_CHUMON_LIST.NOKI
  ,W_KOBAI_CHUMON_LIST.UKEIRE_DATE
  ,W_KOBAI_CHUMON_LIST.KENSHU_DATE
  ,W_KOBAI_CHUMON_LIST.HOKAN_BASHO_KBN_MEI
  ,W_KOBAI_CHUMON_LIST.SHIIRE_CD
  ,W_KOBAI_CHUMON_LIST.SHIIRE_MEI
  ,W_KOBAI_CHUMON_LIST.MAKER_CD
  ,W_KOBAI_CHUMON_LIST.MAKER_MEI
  ,W_KOBAI_CHUMON_LIST.YOSAN_CD
  ,W_KOBAI_CHUMON_LIST.JURI_NO
  ,W_KOBAI_CHUMON_LIST.BIKO
  ,W_KOBAI_CHUMON_LIST.KOBAI_NO
  ,W_KOBAI_CHUMON_LIST.IRAI_NO
  ,W_KOBAI_CHUMON_LIST.CHUMON_NO
  ,W_KOBAI_CHUMON_LIST.KOBAI_KBN
  ,W_KOBAI_CHUMON_LIST.KOBAI_STS
  ,W_KOBAI_CHUMON_LIST.SHINSEISHA_CD
  ,W_KOBAI_CHUMON_LIST.FREEWD
  ,W_KOBAI_CHUMON_LIST.KOBAI_SEQ
FROM W_KOBAI_CHUMON_LIST
 WHERE (1=1)
 AND W_KOBAI_CHUMON_LIST.W_USER_ID = ''
 AND W_KOBAI_CHUMON_LIST.W_SERIAL = ''
 OFFSET 0*50 ROWS
 FETCH NEXT 50 ROWS ONLY</v>
      </c>
      <c r="G53" s="134"/>
      <c r="H53" s="135" t="s">
        <v>1140</v>
      </c>
    </row>
    <row r="54" spans="2:8" ht="15" customHeight="1">
      <c r="B54" s="136"/>
      <c r="C54" s="503" t="s">
        <v>124</v>
      </c>
      <c r="D54" s="503"/>
      <c r="E54" s="503"/>
      <c r="F54" s="137" t="s">
        <v>1800</v>
      </c>
      <c r="G54" s="138"/>
      <c r="H54" s="139"/>
    </row>
    <row r="55" spans="2:8" ht="15" customHeight="1">
      <c r="B55" s="500" t="s">
        <v>976</v>
      </c>
      <c r="C55" s="501"/>
      <c r="D55" s="501"/>
      <c r="E55" s="502"/>
      <c r="F55" s="134" t="str">
        <f>F56 &amp; F57&amp; F58 &amp; UNKB0050_SQL_SORT &amp; F60</f>
        <v>SELECT *
FROM W_KOBAI_CHUMON_LIST
 WHERE (1=1)
 AND W_KOBAI_CHUMON_LIST.W_USER_ID = ''
 AND W_KOBAI_CHUMON_LIST.W_SERIAL = ''
 OFFSET 0*50 ROWS
 FETCH NEXT 50 ROWS ONLY</v>
      </c>
      <c r="G55" s="134"/>
      <c r="H55" s="135" t="s">
        <v>1141</v>
      </c>
    </row>
    <row r="56" spans="2:8" ht="15" customHeight="1">
      <c r="B56" s="136"/>
      <c r="C56" s="503" t="s">
        <v>124</v>
      </c>
      <c r="D56" s="503"/>
      <c r="E56" s="503"/>
      <c r="F56" s="196" t="s">
        <v>881</v>
      </c>
      <c r="G56" s="138"/>
      <c r="H56" s="139"/>
    </row>
    <row r="57" spans="2:8" ht="15" customHeight="1">
      <c r="B57" s="136"/>
      <c r="C57" s="503" t="s">
        <v>795</v>
      </c>
      <c r="D57" s="503"/>
      <c r="E57" s="503"/>
      <c r="F57" s="196" t="s">
        <v>1144</v>
      </c>
      <c r="G57" s="138"/>
      <c r="H57" s="139"/>
    </row>
    <row r="58" spans="2:8" ht="15" customHeight="1">
      <c r="B58" s="136"/>
      <c r="C58" s="503" t="s">
        <v>783</v>
      </c>
      <c r="D58" s="503"/>
      <c r="E58" s="503"/>
      <c r="F58" s="137" t="str">
        <f>" WHERE (1=1)
 AND W_KOBAI_CHUMON_LIST.W_USER_ID = '"&amp;UNKB0050_IF_SAVE_W_USER_ID&amp;"'
 AND W_KOBAI_CHUMON_LIST.W_SERIAL = '"&amp;UNKB0050_IF_SAVE_W_SERIAL&amp;"'
"</f>
        <v xml:space="preserve"> WHERE (1=1)
 AND W_KOBAI_CHUMON_LIST.W_USER_ID = ''
 AND W_KOBAI_CHUMON_LIST.W_SERIAL = ''
</v>
      </c>
      <c r="G58" s="138"/>
      <c r="H58" s="146"/>
    </row>
    <row r="59" spans="2:8" ht="15" customHeight="1">
      <c r="B59" s="136"/>
      <c r="C59" s="503" t="s">
        <v>797</v>
      </c>
      <c r="D59" s="503"/>
      <c r="E59" s="503"/>
      <c r="F59" s="137"/>
      <c r="G59" s="138"/>
      <c r="H59" s="139" t="s">
        <v>1134</v>
      </c>
    </row>
    <row r="60" spans="2:8" ht="15" customHeight="1">
      <c r="B60" s="228"/>
      <c r="C60" s="492" t="s">
        <v>798</v>
      </c>
      <c r="D60" s="492"/>
      <c r="E60" s="492"/>
      <c r="F60" s="137" t="str">
        <f xml:space="preserve"> " OFFSET "&amp;(UNKB0050_B_PAGE_NO-1)&amp;"*"&amp;UNKB0050_B_HYOJI_GYO_SU&amp;" ROWS
 FETCH NEXT "&amp;UNKB0050_B_HYOJI_GYO_SU&amp;" ROWS ONLY"</f>
        <v xml:space="preserve"> OFFSET 0*50 ROWS
 FETCH NEXT 50 ROWS ONLY</v>
      </c>
      <c r="G60" s="138"/>
      <c r="H60" s="139"/>
    </row>
    <row r="63" spans="2:8" ht="15" customHeight="1">
      <c r="B63" s="504" t="s">
        <v>1341</v>
      </c>
      <c r="C63" s="505"/>
      <c r="D63" s="505"/>
      <c r="E63" s="506"/>
      <c r="F63" s="147"/>
      <c r="G63" s="147"/>
      <c r="H63" s="148" t="s">
        <v>123</v>
      </c>
    </row>
    <row r="64" spans="2:8" ht="15" customHeight="1">
      <c r="B64" s="500" t="s">
        <v>1342</v>
      </c>
      <c r="C64" s="501"/>
      <c r="D64" s="501"/>
      <c r="E64" s="502"/>
      <c r="F64" s="134" t="str">
        <f>F65&amp;F66&amp;F67</f>
        <v>SELECT DISTINCT
       W_KOBAI_CHUMON_LIST.SHIIRE_CD
      ,M_AITESAKI.AITE_MEI
      ,M_AITESAKI.TANTO_MEI
      ,M_AITESAKI.TEL
      ,M_AITESAKI.FAX
  FROM W_KOBAI_CHUMON_LIST
  LEFT JOIN
       M_AITESAKI
    ON M_AITESAKI.AITE_CD = W_KOBAI_CHUMON_LIST.SHIIRE_CD
 WHERE W_USER_ID  = ''
   AND W_SERIAL   = ''
   AND SELECT_FLG = 'True'</v>
      </c>
      <c r="G64" s="134"/>
      <c r="H64" s="135" t="s">
        <v>1354</v>
      </c>
    </row>
    <row r="65" spans="2:8" ht="15" customHeight="1">
      <c r="B65" s="136"/>
      <c r="C65" s="503" t="s">
        <v>124</v>
      </c>
      <c r="D65" s="503"/>
      <c r="E65" s="503"/>
      <c r="F65" s="137" t="s">
        <v>1351</v>
      </c>
      <c r="G65" s="138"/>
      <c r="H65" s="139"/>
    </row>
    <row r="66" spans="2:8" ht="15" customHeight="1">
      <c r="B66" s="136"/>
      <c r="C66" s="503" t="s">
        <v>1349</v>
      </c>
      <c r="D66" s="503"/>
      <c r="E66" s="503"/>
      <c r="F66" s="137" t="s">
        <v>1352</v>
      </c>
      <c r="G66" s="138"/>
      <c r="H66" s="139"/>
    </row>
    <row r="67" spans="2:8" ht="15" customHeight="1">
      <c r="B67" s="136"/>
      <c r="C67" s="503" t="s">
        <v>1350</v>
      </c>
      <c r="D67" s="503"/>
      <c r="E67" s="503"/>
      <c r="F67" s="137" t="str">
        <f>" WHERE W_USER_ID  = '"&amp;UNKB0050_IF_SAVE_W_USER_ID&amp;"'
   AND W_SERIAL   = '"&amp;UNKB0050_IF_SAVE_W_SERIAL&amp;"'
   AND SELECT_FLG = 'True'"</f>
        <v xml:space="preserve"> WHERE W_USER_ID  = ''
   AND W_SERIAL   = ''
   AND SELECT_FLG = 'True'</v>
      </c>
      <c r="G67" s="138"/>
      <c r="H67" s="139"/>
    </row>
    <row r="68" spans="2:8" ht="15" customHeight="1">
      <c r="B68" s="500" t="s">
        <v>1343</v>
      </c>
      <c r="C68" s="501"/>
      <c r="D68" s="501"/>
      <c r="E68" s="502"/>
      <c r="F68" s="134" t="str">
        <f ca="1">F69&amp;F70&amp;F71</f>
        <v>SELECT DISTINCT
       V_KOBAI_LIST.SHIIRE_CD           --仕入先CD
      ,V_KOBAI_LIST.KOBAI_NO            --購買申請No.
      ,V_KOBAI_LIST.KOBAI_SEQ           --購買申請SEQ
      ,V_KOBAI_LIST.KOBAI_KBN           --購買区分
      ,V_KOBAI_LIST.JURI_NO             --受理No.
      ,T_CHUMON.CHUMON_NO               --注文No.
      ,T_CHUMON.SEQ                     --注文SEQ
      ,V_KOBAI_LIST.IRAI_NO             --依頼No.
      ,V_KOBAI_LIST.MAKER_MEI           --メーカー名
      ,M_SHOHIN.HIMBAN                  --品番
      ,V_KOBAI_LIST.KOBAIHIN_MEI        --品名
      ,V_KOBAI_LIST.IRISU               --入数
      ,V_KOBAI_LIST.IRISU_TANI          --入数単位
      ,V_KOBAI_LIST.SURYO               --数量
      ,V_KOBAI_LIST.BARA_TANI           --バラ単位
      ,V_KOBAI_LIST.BIKO                --備考
      ,V_KOBAI_LIST.NOKI                --希望納期
      ,T_HAN_JUCHU_H.MAKER_FLG          --直送フラグ
      ,T_HAN_JUCHU_H.HASSO_MEI          --発送先名
      ,T_HAN_JUCHU_H.HASSO_YUBIN_NO     --発送先郵便番号
      ,T_HAN_JUCHU_H.HASSO_ADDRESS_1 +
       T_HAN_JUCHU_H.HASSO_ADDRESS_2    --発送先住所
      ,T_HAN_JUCHU_H.HASSO_TANTO_MEI    --担当者名
      ,T_HAN_JUCHU_H.HASSO_TEL          --電話番号
  FROM V_KOBAI_LIST
  LEFT JOIN
       T_CHUMON
    ON T_CHUMON.KOBAI_NO      =  V_KOBAI_LIST.KOBAI_NO
   AND T_CHUMON.KOBAI_SEQ     =  V_KOBAI_LIST.KOBAI_SEQ
  LEFT JOIN
       T_HAN_JUCHU_H
    ON T_HAN_JUCHU_H.JURI_NO  =  V_KOBAI_LIST.JURI_NO
  LEFT JOIN
       M_SHOHIN
    ON M_SHOHIN.SHOHIN_CD     =  V_KOBAI_LIST.KOBAIHIN_CD
  LEFT JOIN
       M_AITESAKI
    ON M_AITESAKI.AITE_CD     =  V_KOBAI_LIST.SHIIRE_CD
 WHERE T_CHUMON.CHUMON_NO     IN
       (
       SELECT TBL_2.CHUMON_NO
         FROM W_KOBAI_CHUMON_LIST AS TBL_1
         LEFT JOIN
              T_CHUMON AS TBL_2
           ON TBL_2.KOBAI_NO   = TBL_1.KOBAI_NO
          AND TBL_2.KOBAI_SEQ  = TBL_1.KOBAI_SEQ
        WHERE TBL_1.W_USER_ID  = ''
          AND TBL_1.W_SERIAL   = ''
          AND TBL_1.SELECT_FLG = 'True'
        )
   AND V_KOBAI_LIST.SHIIRE_CD  = '仕入先CD'</v>
      </c>
      <c r="G68" s="134"/>
      <c r="H68" s="135" t="s">
        <v>1355</v>
      </c>
    </row>
    <row r="69" spans="2:8" ht="15" customHeight="1">
      <c r="B69" s="136"/>
      <c r="C69" s="503" t="s">
        <v>124</v>
      </c>
      <c r="D69" s="503"/>
      <c r="E69" s="503"/>
      <c r="F69" s="137" t="s">
        <v>1826</v>
      </c>
      <c r="G69" s="138"/>
      <c r="H69" s="139"/>
    </row>
    <row r="70" spans="2:8" ht="15" customHeight="1">
      <c r="B70" s="136"/>
      <c r="C70" s="503" t="s">
        <v>795</v>
      </c>
      <c r="D70" s="503"/>
      <c r="E70" s="503"/>
      <c r="F70" s="137" t="s">
        <v>1353</v>
      </c>
      <c r="G70" s="138"/>
      <c r="H70" s="139"/>
    </row>
    <row r="71" spans="2:8" ht="15" customHeight="1">
      <c r="B71" s="136"/>
      <c r="C71" s="503" t="s">
        <v>783</v>
      </c>
      <c r="D71" s="503"/>
      <c r="E71" s="503"/>
      <c r="F71" s="137" t="str">
        <f ca="1">" WHERE T_CHUMON.CHUMON_NO     IN
       (
       SELECT TBL_2.CHUMON_NO
         FROM W_KOBAI_CHUMON_LIST AS TBL_1"&amp;"
         LEFT JOIN
              T_CHUMON AS TBL_2
           ON TBL_2.KOBAI_NO   = TBL_1.KOBAI_NO
          AND TBL_2.KOBAI_SEQ  = TBL_1.KOBAI_SEQ
        WHERE TBL_1.W_USER_ID  = '"&amp;UNKB0050_IF_SAVE_W_USER_ID&amp;"'
          AND TBL_1.W_SERIAL   = '"&amp;UNKB0050_IF_SAVE_W_SERIAL&amp;"'
          AND TBL_1.SELECT_FLG = 'True'
        )
   AND V_KOBAI_LIST.SHIIRE_CD  = '"&amp;OFFSET(UNKB0050_REPORT_IF_SHIIRE_START,UNKB0050_REPORT_IF_SHIIRE_LOOP-1,0)&amp;"'"</f>
        <v xml:space="preserve"> WHERE T_CHUMON.CHUMON_NO     IN
       (
       SELECT TBL_2.CHUMON_NO
         FROM W_KOBAI_CHUMON_LIST AS TBL_1
         LEFT JOIN
              T_CHUMON AS TBL_2
           ON TBL_2.KOBAI_NO   = TBL_1.KOBAI_NO
          AND TBL_2.KOBAI_SEQ  = TBL_1.KOBAI_SEQ
        WHERE TBL_1.W_USER_ID  = ''
          AND TBL_1.W_SERIAL   = ''
          AND TBL_1.SELECT_FLG = 'True'
        )
   AND V_KOBAI_LIST.SHIIRE_CD  = '仕入先CD'</v>
      </c>
      <c r="G71" s="138"/>
      <c r="H71" s="146"/>
    </row>
    <row r="76" spans="2:8" ht="15" customHeight="1">
      <c r="B76" s="500" t="s">
        <v>866</v>
      </c>
      <c r="C76" s="501"/>
      <c r="D76" s="501"/>
      <c r="E76" s="502"/>
      <c r="F76" s="134"/>
      <c r="G76" s="134"/>
      <c r="H76" s="135"/>
    </row>
    <row r="77" spans="2:8" ht="15" customHeight="1">
      <c r="B77" s="185"/>
      <c r="C77" s="497" t="s">
        <v>797</v>
      </c>
      <c r="D77" s="498"/>
      <c r="E77" s="499"/>
      <c r="F77" s="137" t="s">
        <v>1232</v>
      </c>
      <c r="G77" s="138"/>
      <c r="H77" s="139" t="s">
        <v>1142</v>
      </c>
    </row>
    <row r="80" spans="2:8" ht="15" customHeight="1">
      <c r="B80" s="500" t="s">
        <v>583</v>
      </c>
      <c r="C80" s="501"/>
      <c r="D80" s="501"/>
      <c r="E80" s="502"/>
      <c r="F80" s="206"/>
      <c r="G80" s="206"/>
      <c r="H80" s="135" t="s">
        <v>123</v>
      </c>
    </row>
    <row r="81" spans="2:8" ht="15" customHeight="1">
      <c r="B81" s="207"/>
      <c r="C81" s="497" t="s">
        <v>797</v>
      </c>
      <c r="D81" s="498"/>
      <c r="E81" s="499"/>
      <c r="F81" s="186" t="s">
        <v>1730</v>
      </c>
      <c r="G81" s="208"/>
      <c r="H81" s="209" t="s">
        <v>1143</v>
      </c>
    </row>
  </sheetData>
  <mergeCells count="55">
    <mergeCell ref="C16:E16"/>
    <mergeCell ref="B5:E5"/>
    <mergeCell ref="B6:E6"/>
    <mergeCell ref="C7:E7"/>
    <mergeCell ref="C8:E8"/>
    <mergeCell ref="B9:E9"/>
    <mergeCell ref="C10:E10"/>
    <mergeCell ref="C11:E11"/>
    <mergeCell ref="B12:E12"/>
    <mergeCell ref="C13:E13"/>
    <mergeCell ref="C14:E14"/>
    <mergeCell ref="B15:E15"/>
    <mergeCell ref="D37:E37"/>
    <mergeCell ref="D17:E17"/>
    <mergeCell ref="D18:D22"/>
    <mergeCell ref="D23:E23"/>
    <mergeCell ref="D30:E30"/>
    <mergeCell ref="D31:E31"/>
    <mergeCell ref="D32:E32"/>
    <mergeCell ref="D33:E33"/>
    <mergeCell ref="D34:E34"/>
    <mergeCell ref="D35:E35"/>
    <mergeCell ref="D36:E36"/>
    <mergeCell ref="D24:D29"/>
    <mergeCell ref="C54:E54"/>
    <mergeCell ref="D38:E38"/>
    <mergeCell ref="D39:E39"/>
    <mergeCell ref="D40:E40"/>
    <mergeCell ref="D41:E41"/>
    <mergeCell ref="D42:E42"/>
    <mergeCell ref="D43:E43"/>
    <mergeCell ref="D44:E44"/>
    <mergeCell ref="D45:E45"/>
    <mergeCell ref="D46:D49"/>
    <mergeCell ref="B52:E52"/>
    <mergeCell ref="B53:E53"/>
    <mergeCell ref="C60:E60"/>
    <mergeCell ref="B63:E63"/>
    <mergeCell ref="B64:E64"/>
    <mergeCell ref="C65:E65"/>
    <mergeCell ref="B68:E68"/>
    <mergeCell ref="C66:E66"/>
    <mergeCell ref="C67:E67"/>
    <mergeCell ref="B55:E55"/>
    <mergeCell ref="C56:E56"/>
    <mergeCell ref="C57:E57"/>
    <mergeCell ref="C58:E58"/>
    <mergeCell ref="C59:E59"/>
    <mergeCell ref="B76:E76"/>
    <mergeCell ref="C77:E77"/>
    <mergeCell ref="B80:E80"/>
    <mergeCell ref="C81:E81"/>
    <mergeCell ref="C69:E69"/>
    <mergeCell ref="C70:E70"/>
    <mergeCell ref="C71:E71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>
    <tabColor rgb="FFFFCCFF"/>
    <pageSetUpPr fitToPage="1"/>
  </sheetPr>
  <dimension ref="A1:Q24"/>
  <sheetViews>
    <sheetView view="pageBreakPreview" zoomScale="85" zoomScaleNormal="100" zoomScaleSheetLayoutView="85" workbookViewId="0">
      <selection activeCell="N8" sqref="N8"/>
    </sheetView>
  </sheetViews>
  <sheetFormatPr defaultRowHeight="78.75" customHeight="1"/>
  <cols>
    <col min="1" max="1" width="2.625" style="254" customWidth="1"/>
    <col min="2" max="2" width="9" style="254"/>
    <col min="3" max="4" width="8.625" style="254" customWidth="1"/>
    <col min="5" max="5" width="20.625" style="254" customWidth="1"/>
    <col min="6" max="6" width="4.25" style="254" customWidth="1"/>
    <col min="7" max="7" width="7.75" style="254" customWidth="1"/>
    <col min="8" max="8" width="6.125" style="254" customWidth="1"/>
    <col min="9" max="9" width="11.25" style="254" customWidth="1"/>
    <col min="10" max="11" width="7.5" style="254" customWidth="1"/>
    <col min="12" max="12" width="7.625" style="254" customWidth="1"/>
    <col min="13" max="13" width="9.75" style="254" customWidth="1"/>
    <col min="14" max="14" width="19.75" style="254" customWidth="1"/>
    <col min="15" max="15" width="13.25" style="254" customWidth="1"/>
    <col min="16" max="17" width="10.5" style="254" customWidth="1"/>
    <col min="18" max="18" width="9" style="255" customWidth="1"/>
    <col min="19" max="16384" width="9" style="255"/>
  </cols>
  <sheetData>
    <row r="1" spans="1:17" ht="31.5" customHeight="1">
      <c r="D1" s="255"/>
      <c r="E1" s="256"/>
      <c r="F1" s="255"/>
      <c r="G1" s="257" t="s">
        <v>101</v>
      </c>
      <c r="I1" s="255"/>
      <c r="J1" s="255"/>
      <c r="P1" s="573">
        <f ca="1">IF(UNKB0050_H_HATCHU_DATE="",TODAY(),UNKB0050_H_HATCHU_DATE)</f>
        <v>42930</v>
      </c>
      <c r="Q1" s="573"/>
    </row>
    <row r="2" spans="1:17" ht="21.75" customHeight="1">
      <c r="D2" s="258"/>
      <c r="K2" s="255"/>
      <c r="L2" s="255"/>
      <c r="P2" s="455" t="s">
        <v>88</v>
      </c>
      <c r="Q2" s="455" t="s">
        <v>94</v>
      </c>
    </row>
    <row r="3" spans="1:17" ht="30" customHeight="1">
      <c r="A3" s="255"/>
      <c r="B3" s="574" t="str">
        <f ca="1">OFFSET(UNKB0050_REPORT_IF_SHIIRE_SHIIRE_MEI,UNKB0050_REPORT_IF_SHIIRE_LOOP,0)&amp;
IF(OFFSET(UNKB0050_REPORT_IF_SHIIRE_TANTO_MEI,UNKB0050_REPORT_IF_SHIIRE_LOOP,0)=""," 御中","")</f>
        <v>仕入先名</v>
      </c>
      <c r="C3" s="574"/>
      <c r="D3" s="574"/>
      <c r="E3" s="574"/>
      <c r="F3" s="574"/>
      <c r="G3" s="574"/>
      <c r="H3" s="574"/>
      <c r="I3" s="574"/>
      <c r="J3" s="574"/>
      <c r="K3" s="574"/>
      <c r="L3" s="259"/>
      <c r="P3" s="577"/>
      <c r="Q3" s="577"/>
    </row>
    <row r="4" spans="1:17" ht="30" customHeight="1">
      <c r="B4" s="575" t="str">
        <f ca="1">IF(OFFSET(UNKB0050_REPORT_IF_SHIIRE_TANTO_MEI,UNKB0050_REPORT_IF_SHIIRE_LOOP,0)="","",OFFSET(UNKB0050_REPORT_IF_SHIIRE_TANTO_MEI,UNKB0050_REPORT_IF_SHIIRE_LOOP,0)&amp;" 様")</f>
        <v>担当者名 様</v>
      </c>
      <c r="C4" s="575"/>
      <c r="D4" s="575"/>
      <c r="E4" s="575"/>
      <c r="F4" s="575"/>
      <c r="G4" s="575"/>
      <c r="H4" s="575"/>
      <c r="I4" s="575"/>
      <c r="J4" s="575"/>
      <c r="K4" s="575"/>
      <c r="L4" s="259"/>
      <c r="P4" s="577"/>
      <c r="Q4" s="577"/>
    </row>
    <row r="5" spans="1:17" ht="18.75" customHeight="1">
      <c r="A5" s="255"/>
      <c r="B5" s="578" t="str">
        <f ca="1">IF(OFFSET(UNKB0050_REPORT_IF_SHIIRE_TEL,UNKB0050_REPORT_IF_SHIIRE_LOOP,0)="","","TEL："&amp;OFFSET(UNKB0050_REPORT_IF_SHIIRE_TEL,UNKB0050_REPORT_IF_SHIIRE_LOOP,0)&amp;"　　")
&amp;IF(OFFSET(UNKB0050_REPORT_IF_SHIIRE_FAX,UNKB0050_REPORT_IF_SHIIRE_LOOP,0)="","","FAX："&amp;OFFSET(UNKB0050_REPORT_IF_SHIIRE_FAX,UNKB0050_REPORT_IF_SHIIRE_LOOP,0))</f>
        <v>TEL：仕入先TEL　　FAX：仕入先FAX</v>
      </c>
      <c r="C5" s="578"/>
      <c r="D5" s="578"/>
      <c r="E5" s="578"/>
      <c r="F5" s="578"/>
      <c r="G5" s="578"/>
      <c r="H5" s="578"/>
      <c r="I5" s="578"/>
      <c r="J5" s="578"/>
      <c r="K5" s="578"/>
    </row>
    <row r="6" spans="1:17" ht="11.25" customHeight="1">
      <c r="A6" s="255"/>
    </row>
    <row r="7" spans="1:17" ht="20.25" customHeight="1">
      <c r="A7" s="576" t="s">
        <v>66</v>
      </c>
      <c r="B7" s="576"/>
      <c r="C7" s="576" t="s">
        <v>70</v>
      </c>
      <c r="D7" s="576"/>
      <c r="E7" s="454" t="s">
        <v>102</v>
      </c>
      <c r="F7" s="576" t="s">
        <v>103</v>
      </c>
      <c r="G7" s="576"/>
      <c r="H7" s="576"/>
      <c r="I7" s="454" t="s">
        <v>104</v>
      </c>
      <c r="J7" s="454" t="s">
        <v>105</v>
      </c>
      <c r="K7" s="454" t="s">
        <v>87</v>
      </c>
      <c r="L7" s="576" t="s">
        <v>64</v>
      </c>
      <c r="M7" s="576"/>
      <c r="N7" s="576" t="s">
        <v>106</v>
      </c>
      <c r="O7" s="576"/>
      <c r="P7" s="576"/>
      <c r="Q7" s="454" t="s">
        <v>54</v>
      </c>
    </row>
    <row r="24" spans="1:17" ht="78.75" customHeight="1">
      <c r="A24" s="255"/>
      <c r="B24" s="255"/>
      <c r="C24" s="255"/>
      <c r="D24" s="255"/>
      <c r="E24" s="255"/>
      <c r="F24" s="255"/>
      <c r="G24" s="255"/>
      <c r="H24" s="255"/>
      <c r="I24" s="255"/>
      <c r="J24" s="255"/>
      <c r="K24" s="255"/>
      <c r="L24" s="255"/>
      <c r="M24" s="255"/>
      <c r="N24" s="255"/>
      <c r="O24" s="255"/>
      <c r="P24" s="255"/>
      <c r="Q24" s="255"/>
    </row>
  </sheetData>
  <mergeCells count="11">
    <mergeCell ref="P1:Q1"/>
    <mergeCell ref="B3:K3"/>
    <mergeCell ref="B4:K4"/>
    <mergeCell ref="L7:M7"/>
    <mergeCell ref="P3:P4"/>
    <mergeCell ref="Q3:Q4"/>
    <mergeCell ref="A7:B7"/>
    <mergeCell ref="C7:D7"/>
    <mergeCell ref="F7:H7"/>
    <mergeCell ref="N7:P7"/>
    <mergeCell ref="B5:K5"/>
  </mergeCells>
  <phoneticPr fontId="1"/>
  <pageMargins left="0.39370078740157483" right="0.39370078740157483" top="0.47244094488188981" bottom="0.39370078740157483" header="0.19685039370078741" footer="0.31496062992125984"/>
  <pageSetup paperSize="9" scale="85" fitToHeight="0" orientation="landscape" verticalDpi="0" r:id="rId1"/>
  <headerFooter>
    <oddHeader>&amp;R&amp;P/&amp;N</oddHead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BN10"/>
  <sheetViews>
    <sheetView zoomScaleNormal="100" workbookViewId="0">
      <selection activeCell="U17" sqref="A17:U31"/>
    </sheetView>
  </sheetViews>
  <sheetFormatPr defaultRowHeight="13.5"/>
  <cols>
    <col min="1" max="1" width="9" style="230"/>
    <col min="2" max="2" width="13.875" style="230" bestFit="1" customWidth="1"/>
    <col min="3" max="3" width="32.75" style="230" bestFit="1" customWidth="1"/>
    <col min="4" max="10" width="9" style="230"/>
    <col min="11" max="11" width="9" style="230" bestFit="1" customWidth="1"/>
    <col min="12" max="14" width="9" style="230"/>
    <col min="16" max="16" width="19.5" style="230" bestFit="1" customWidth="1"/>
    <col min="17" max="17" width="30.125" style="230" bestFit="1" customWidth="1"/>
    <col min="18" max="18" width="7.75" style="230" customWidth="1"/>
    <col min="19" max="22" width="9" style="230"/>
    <col min="23" max="23" width="10.125" style="230" customWidth="1"/>
    <col min="24" max="24" width="11.625" style="230" bestFit="1" customWidth="1"/>
    <col min="25" max="27" width="10.125" style="230" customWidth="1"/>
    <col min="28" max="28" width="10.125" customWidth="1"/>
    <col min="29" max="30" width="10.125" style="230" customWidth="1"/>
    <col min="31" max="33" width="10.125" customWidth="1"/>
    <col min="34" max="34" width="10.125" style="230" customWidth="1"/>
    <col min="35" max="39" width="10.125" customWidth="1"/>
    <col min="40" max="41" width="10.125" style="230" customWidth="1"/>
    <col min="42" max="42" width="10.125" style="268" customWidth="1"/>
    <col min="43" max="44" width="10.125" style="230" customWidth="1"/>
    <col min="45" max="45" width="10.125" style="268" customWidth="1"/>
    <col min="48" max="49" width="9" style="230"/>
    <col min="50" max="66" width="5.875" customWidth="1"/>
  </cols>
  <sheetData>
    <row r="1" spans="1:66" s="230" customFormat="1">
      <c r="A1" s="230" t="s">
        <v>1331</v>
      </c>
      <c r="O1" s="230" t="s">
        <v>1330</v>
      </c>
      <c r="AP1" s="268"/>
      <c r="AS1" s="268"/>
    </row>
    <row r="2" spans="1:66" ht="14.25" thickBot="1">
      <c r="A2" s="230" t="s">
        <v>1317</v>
      </c>
      <c r="F2" s="230" t="s">
        <v>1316</v>
      </c>
      <c r="I2" s="230" t="s">
        <v>1356</v>
      </c>
      <c r="J2" s="230" t="s">
        <v>1357</v>
      </c>
      <c r="K2" s="230" t="s">
        <v>1358</v>
      </c>
      <c r="L2" s="230" t="s">
        <v>1359</v>
      </c>
      <c r="M2" s="230" t="s">
        <v>1360</v>
      </c>
      <c r="O2" t="s">
        <v>1317</v>
      </c>
      <c r="T2" s="230" t="s">
        <v>1316</v>
      </c>
      <c r="W2" s="230" t="s">
        <v>1361</v>
      </c>
      <c r="X2" s="230" t="s">
        <v>1362</v>
      </c>
      <c r="Y2" s="230" t="s">
        <v>1363</v>
      </c>
      <c r="Z2" s="230" t="s">
        <v>1364</v>
      </c>
      <c r="AA2" s="230" t="s">
        <v>1365</v>
      </c>
      <c r="AB2" s="230" t="s">
        <v>1366</v>
      </c>
      <c r="AC2" s="230" t="s">
        <v>1367</v>
      </c>
      <c r="AE2" s="230" t="s">
        <v>1368</v>
      </c>
      <c r="AF2" s="230" t="s">
        <v>1369</v>
      </c>
      <c r="AG2" s="230" t="s">
        <v>1370</v>
      </c>
      <c r="AH2" s="230" t="s">
        <v>1371</v>
      </c>
      <c r="AI2" s="230" t="s">
        <v>1372</v>
      </c>
      <c r="AJ2" s="230" t="s">
        <v>1373</v>
      </c>
      <c r="AK2" s="230" t="s">
        <v>1374</v>
      </c>
      <c r="AL2" s="230" t="s">
        <v>1375</v>
      </c>
      <c r="AM2" s="230" t="s">
        <v>1376</v>
      </c>
      <c r="AN2" s="230" t="s">
        <v>1377</v>
      </c>
      <c r="AO2" s="230" t="s">
        <v>1378</v>
      </c>
      <c r="AP2" s="268" t="s">
        <v>1379</v>
      </c>
      <c r="AQ2" s="230" t="s">
        <v>1380</v>
      </c>
      <c r="AR2" s="230" t="s">
        <v>1381</v>
      </c>
      <c r="AS2" s="268" t="s">
        <v>1382</v>
      </c>
      <c r="AU2" t="s">
        <v>1318</v>
      </c>
    </row>
    <row r="3" spans="1:66" ht="15.75" thickBot="1">
      <c r="B3" s="265" t="s">
        <v>1332</v>
      </c>
      <c r="C3" s="265" t="s">
        <v>1333</v>
      </c>
      <c r="D3" s="265"/>
      <c r="I3" s="270" t="s">
        <v>58</v>
      </c>
      <c r="J3" s="270" t="s">
        <v>1336</v>
      </c>
      <c r="K3" s="270" t="s">
        <v>1339</v>
      </c>
      <c r="L3" s="270" t="s">
        <v>1337</v>
      </c>
      <c r="M3" s="270" t="s">
        <v>1338</v>
      </c>
      <c r="N3" s="253"/>
      <c r="P3" s="265" t="s">
        <v>533</v>
      </c>
      <c r="Q3" s="265" t="s">
        <v>1319</v>
      </c>
      <c r="R3" s="265">
        <v>1</v>
      </c>
      <c r="W3" s="261" t="s">
        <v>58</v>
      </c>
      <c r="X3" s="264" t="s">
        <v>1326</v>
      </c>
      <c r="Y3" s="264" t="s">
        <v>811</v>
      </c>
      <c r="Z3" s="264" t="s">
        <v>41</v>
      </c>
      <c r="AA3" s="264" t="s">
        <v>63</v>
      </c>
      <c r="AB3" s="261" t="s">
        <v>655</v>
      </c>
      <c r="AC3" s="262" t="s">
        <v>150</v>
      </c>
      <c r="AD3" s="262" t="s">
        <v>1825</v>
      </c>
      <c r="AE3" s="262" t="s">
        <v>1314</v>
      </c>
      <c r="AF3" s="262" t="s">
        <v>102</v>
      </c>
      <c r="AG3" s="262" t="s">
        <v>1315</v>
      </c>
      <c r="AH3" s="262" t="s">
        <v>48</v>
      </c>
      <c r="AI3" s="262" t="s">
        <v>49</v>
      </c>
      <c r="AJ3" s="262" t="s">
        <v>361</v>
      </c>
      <c r="AK3" s="262" t="s">
        <v>87</v>
      </c>
      <c r="AL3" s="262" t="s">
        <v>64</v>
      </c>
      <c r="AM3" s="263" t="s">
        <v>54</v>
      </c>
      <c r="AN3" s="261" t="s">
        <v>1320</v>
      </c>
      <c r="AO3" s="262" t="s">
        <v>1323</v>
      </c>
      <c r="AP3" s="269" t="s">
        <v>1321</v>
      </c>
      <c r="AQ3" s="262" t="s">
        <v>1322</v>
      </c>
      <c r="AR3" s="262" t="s">
        <v>1324</v>
      </c>
      <c r="AS3" s="269" t="s">
        <v>1325</v>
      </c>
      <c r="AX3" s="580" t="s">
        <v>66</v>
      </c>
      <c r="AY3" s="580"/>
      <c r="AZ3" s="580" t="s">
        <v>70</v>
      </c>
      <c r="BA3" s="580"/>
      <c r="BB3" s="260" t="s">
        <v>102</v>
      </c>
      <c r="BC3" s="580" t="s">
        <v>103</v>
      </c>
      <c r="BD3" s="580"/>
      <c r="BE3" s="580"/>
      <c r="BF3" s="260" t="s">
        <v>104</v>
      </c>
      <c r="BG3" s="260" t="s">
        <v>105</v>
      </c>
      <c r="BH3" s="260" t="s">
        <v>87</v>
      </c>
      <c r="BI3" s="580" t="s">
        <v>64</v>
      </c>
      <c r="BJ3" s="580"/>
      <c r="BK3" s="580" t="s">
        <v>106</v>
      </c>
      <c r="BL3" s="580"/>
      <c r="BM3" s="580"/>
      <c r="BN3" s="260" t="s">
        <v>54</v>
      </c>
    </row>
    <row r="4" spans="1:66" ht="22.5" customHeight="1">
      <c r="B4" s="265" t="s">
        <v>1344</v>
      </c>
      <c r="C4" s="265" t="s">
        <v>1345</v>
      </c>
      <c r="D4" s="265"/>
      <c r="G4" s="230" t="s">
        <v>1334</v>
      </c>
      <c r="H4" s="230" t="s">
        <v>1335</v>
      </c>
      <c r="I4" s="216"/>
      <c r="P4" s="265" t="s">
        <v>1346</v>
      </c>
      <c r="Q4" s="265" t="s">
        <v>1348</v>
      </c>
      <c r="R4" s="265" t="str">
        <f>"UNKB0050_REPORT!"&amp;ADDRESS(ROW(UNKB0050_REPORT_DATA_START),COLUMN(UNKB0050_REPORT_DATA_START))&amp;":"&amp;
ADDRESS(ROW(UNKB0050_REPORT_DATA_START)+UNKB0050_REPORT_IF_PAGE_GYO*ROUNDUP(UNKB0050_REPORT_IF_DATA_KENSU/UNKB0050_REPORT_IF_PAGE_GYO,0),COLUMN(UNKB0050_REPORT_DATA_START)+COLUMNS(UNKB0050_REPORT_HEADER)-1)</f>
        <v>UNKB0050_REPORT!$A$8:$Q$14</v>
      </c>
      <c r="U4" s="230" t="s">
        <v>1327</v>
      </c>
      <c r="V4" s="230" t="s">
        <v>1329</v>
      </c>
      <c r="W4" s="216"/>
      <c r="AV4" s="230" t="s">
        <v>1272</v>
      </c>
      <c r="AW4" s="230" t="s">
        <v>1347</v>
      </c>
      <c r="AX4" s="576" t="e">
        <f ca="1">IF(OFFSET(UNKB0050_REPORT_IF_DATA_IRAI_NO,1+ROW()-ROW(UNKB0050_REPORT_DATA_START),0)="","",
OFFSET(UNKB0050_REPORT_IF_DATA_IRAI_NO,1+ROW()-ROW(UNKB0050_REPORT_DATA_START),0))</f>
        <v>#REF!</v>
      </c>
      <c r="AY4" s="576"/>
      <c r="AZ4" s="579" t="e">
        <f ca="1">IF(OFFSET(UNKB0050_REPORT_IF_DATA_MAKER_MEI,1+ROW()-ROW(UNKB0050_REPORT_DATA_START),0)="","",
OFFSET(UNKB0050_REPORT_IF_DATA_MAKER_MEI,1+ROW()-ROW(UNKB0050_REPORT_DATA_START),0))</f>
        <v>#REF!</v>
      </c>
      <c r="BA4" s="579"/>
      <c r="BB4" s="456" t="e">
        <f ca="1">IF(OFFSET(UNKB0050_REPORT_IF_DATA_HIMBAN,1+ROW()-ROW(UNKB0050_REPORT_DATA_START),0)="","",
OFFSET(UNKB0050_REPORT_IF_DATA_HIMBAN,1+ROW()-ROW(UNKB0050_REPORT_DATA_START),0))</f>
        <v>#REF!</v>
      </c>
      <c r="BC4" s="579" t="e">
        <f ca="1">IF(OFFSET(UNKB0050_REPORT_IF_DATA_KOBAIHIN_MEI,1+ROW()-ROW(UNKB0050_REPORT_DATA_START),0)="","",
OFFSET(UNKB0050_REPORT_IF_DATA_KOBAIHIN_MEI,1+ROW()-ROW(UNKB0050_REPORT_DATA_START),0))</f>
        <v>#REF!</v>
      </c>
      <c r="BD4" s="579"/>
      <c r="BE4" s="579"/>
      <c r="BF4" s="457" t="e">
        <f ca="1">OFFSET(UNKB0050_REPORT_IF_DATA_SHIIRE_IRISU,1+ROW()-ROW(UNKB0050_REPORT_DATA_START),0)&amp;
OFFSET(UNKB0050_REPORT_IF_DATA_BARA_TANI,1+ROW()-ROW(UNKB0050_REPORT_DATA_START),0)</f>
        <v>#REF!</v>
      </c>
      <c r="BG4" s="458" t="e">
        <f ca="1">IF(OFFSET(UNKB0050_REPORT_IF_DATA_SURYO,1+ROW()-ROW(UNKB0050_REPORT_DATA_START),0)="","",
OFFSET(UNKB0050_REPORT_IF_DATA_SURYO,1+ROW()-ROW(UNKB0050_REPORT_DATA_START),0))</f>
        <v>#REF!</v>
      </c>
      <c r="BH4" s="459" t="e">
        <f ca="1">IF(OFFSET(UNKB0050_REPORT_IF_DATA_SHIIRE_IRISU_TANI,1+ROW()-ROW(UNKB0050_REPORT_DATA_START),0)="","",
OFFSET(UNKB0050_REPORT_IF_DATA_SHIIRE_IRISU_TANI,1+ROW()-ROW(UNKB0050_REPORT_DATA_START),0))</f>
        <v>#REF!</v>
      </c>
      <c r="BI4" s="579" t="e">
        <f ca="1">IF(OFFSET(UNKB0050_REPORT_IF_DATA_BIKO,1+ROW()-ROW(UNKB0050_REPORT_DATA_START),0)="","",
OFFSET(UNKB0050_REPORT_IF_DATA_BIKO,1+ROW()-ROW(UNKB0050_REPORT_DATA_START),0))</f>
        <v>#REF!</v>
      </c>
      <c r="BJ4" s="579"/>
      <c r="BK4" s="579" t="e">
        <f ca="1">IF(OFFSET(UNKB0050_REPORT_IF_DATA_CHUMON_NO,1+ROW()-ROW(UNKB0050_REPORT_DATA_START),0)="","",
IF(OFFSET(UNKB0050_REPORT_IF_DATA_MAKER_FLG,1+ROW()-ROW(UNKB0050_REPORT_DATA_START),0)&lt;&gt;TRUE,"弊社",
OFFSET(UNKB0050_REPORT_IF_DATA_HASSO_YUBIN_NO,1+ROW()-ROW(UNKB0050_REPORT_DATA_START),0)&amp;"
"&amp;OFFSET(UNKB0050_REPORT_IF_DATA_HASSO_ADDRESS,1+ROW()-ROW(UNKB0050_REPORT_DATA_START),0)&amp;"
"&amp;OFFSET(UNKB0050_REPORT_IF_DATA_HASSO_MEI,1+ROW()-ROW(UNKB0050_REPORT_DATA_START),0)&amp;" "&amp;
OFFSET(UNKB0050_REPORT_IF_DATA_HASSO_TANTO_MEI,1+ROW()-ROW(UNKB0050_REPORT_DATA_START),0)&amp;"
"&amp;OFFSET(UNKB0050_REPORT_IF_DATA_HASSO_TEL,1+ROW()-ROW(UNKB0050_REPORT_DATA_START),0)))</f>
        <v>#REF!</v>
      </c>
      <c r="BL4" s="579"/>
      <c r="BM4" s="579"/>
      <c r="BN4" s="460" t="e">
        <f ca="1">IF(OFFSET(UNKB0050_REPORT_IF_DATA_NOKI,1+ROW()-ROW(UNKB0050_REPORT_DATA_START),0)="","",
OFFSET(UNKB0050_REPORT_IF_DATA_NOKI,1+ROW()-ROW(UNKB0050_REPORT_DATA_START),0))</f>
        <v>#REF!</v>
      </c>
    </row>
    <row r="5" spans="1:66" ht="15">
      <c r="P5" s="265" t="s">
        <v>166</v>
      </c>
      <c r="Q5" s="265" t="s">
        <v>1328</v>
      </c>
      <c r="R5" s="265" t="str">
        <f>"UNKB0050_REPORT!"&amp;ADDRESS(ROW(UNKB0050_REPORT_DATA_START),COLUMN(UNKB0050_REPORT_DATA_START))&amp;":"&amp;
ADDRESS(ROW(UNKB0050_REPORT_DATA_START)+UNKB0050_REPORT_IF_PAGE_GYO*ROUNDUP(UNKB0050_REPORT_IF_DATA_KENSU/UNKB0050_REPORT_IF_PAGE_GYO,0),COLUMN(UNKB0050_REPORT_DATA_START)+COLUMNS(UNKB0050_REPORT_HEADER)-1)</f>
        <v>UNKB0050_REPORT!$A$8:$Q$14</v>
      </c>
    </row>
    <row r="6" spans="1:66" ht="15">
      <c r="B6" s="265" t="s">
        <v>1383</v>
      </c>
      <c r="C6" s="265" t="s">
        <v>1384</v>
      </c>
      <c r="D6" s="265">
        <v>6</v>
      </c>
      <c r="AB6" s="230"/>
      <c r="AE6" s="230"/>
      <c r="AF6" s="230"/>
      <c r="AG6" s="230"/>
      <c r="AI6" s="230"/>
      <c r="AJ6" s="230"/>
      <c r="AK6" s="230"/>
      <c r="AL6" s="230"/>
      <c r="AM6" s="230"/>
      <c r="AP6" s="230"/>
      <c r="AS6" s="230"/>
    </row>
    <row r="7" spans="1:66" ht="15">
      <c r="P7" s="265" t="s">
        <v>1827</v>
      </c>
      <c r="Q7" s="265" t="s">
        <v>1828</v>
      </c>
      <c r="R7" s="265">
        <f>IF(UNKB0050_REPORT_IF_DATA_KENSU=0,2,1)</f>
        <v>1</v>
      </c>
    </row>
    <row r="9" spans="1:66">
      <c r="AB9" s="230"/>
      <c r="AE9" s="230"/>
      <c r="AF9" s="230"/>
      <c r="AG9" s="230"/>
      <c r="AI9" s="230"/>
      <c r="AJ9" s="230"/>
      <c r="AK9" s="230"/>
      <c r="AL9" s="230"/>
      <c r="AM9" s="230"/>
    </row>
    <row r="10" spans="1:66">
      <c r="AB10" s="230"/>
      <c r="AE10" s="230"/>
      <c r="AF10" s="230"/>
      <c r="AG10" s="230"/>
      <c r="AI10" s="230"/>
      <c r="AJ10" s="230"/>
      <c r="AK10" s="230"/>
      <c r="AL10" s="230"/>
      <c r="AM10" s="230"/>
    </row>
  </sheetData>
  <mergeCells count="10">
    <mergeCell ref="AX3:AY3"/>
    <mergeCell ref="AZ3:BA3"/>
    <mergeCell ref="BC3:BE3"/>
    <mergeCell ref="BI3:BJ3"/>
    <mergeCell ref="BK3:BM3"/>
    <mergeCell ref="AX4:AY4"/>
    <mergeCell ref="AZ4:BA4"/>
    <mergeCell ref="BC4:BE4"/>
    <mergeCell ref="BI4:BJ4"/>
    <mergeCell ref="BK4:BM4"/>
  </mergeCells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>
    <tabColor rgb="FFFFC000"/>
  </sheetPr>
  <dimension ref="A1:U68"/>
  <sheetViews>
    <sheetView showGridLines="0" showRowColHeaders="0" topLeftCell="G1" zoomScaleNormal="100" workbookViewId="0">
      <selection activeCell="I7" sqref="I7:J7"/>
    </sheetView>
  </sheetViews>
  <sheetFormatPr defaultRowHeight="16.5" customHeight="1"/>
  <cols>
    <col min="1" max="1" width="4.25" style="389" hidden="1" customWidth="1"/>
    <col min="2" max="2" width="9.25" style="389" hidden="1" customWidth="1"/>
    <col min="3" max="3" width="26.625" style="389" hidden="1" customWidth="1"/>
    <col min="4" max="4" width="38.375" style="389" hidden="1" customWidth="1"/>
    <col min="5" max="5" width="12.25" style="389" hidden="1" customWidth="1"/>
    <col min="6" max="6" width="9.375" style="389" hidden="1" customWidth="1"/>
    <col min="7" max="7" width="3.25" style="218" customWidth="1"/>
    <col min="8" max="8" width="11.125" style="218" customWidth="1"/>
    <col min="9" max="9" width="3.125" style="218" customWidth="1"/>
    <col min="10" max="10" width="9.75" style="218" customWidth="1"/>
    <col min="11" max="11" width="3.25" style="218" customWidth="1"/>
    <col min="12" max="12" width="13" style="218" customWidth="1"/>
    <col min="13" max="13" width="3.25" style="218" customWidth="1"/>
    <col min="14" max="14" width="13" style="218" customWidth="1"/>
    <col min="15" max="15" width="3.25" style="218" customWidth="1"/>
    <col min="16" max="16" width="13" style="218" customWidth="1"/>
    <col min="17" max="17" width="3.25" style="218" customWidth="1"/>
    <col min="18" max="18" width="13" style="218" customWidth="1"/>
    <col min="19" max="19" width="3.25" style="218" customWidth="1"/>
    <col min="20" max="20" width="13" style="218" customWidth="1"/>
    <col min="21" max="21" width="37.5" style="218" customWidth="1"/>
    <col min="22" max="23" width="3.25" style="218" customWidth="1"/>
    <col min="24" max="47" width="3.375" style="218" customWidth="1"/>
    <col min="48" max="16384" width="9" style="218"/>
  </cols>
  <sheetData>
    <row r="1" spans="1:21" s="12" customFormat="1" ht="19.5">
      <c r="A1" s="389"/>
      <c r="B1" s="389"/>
      <c r="C1" s="389"/>
      <c r="D1" s="389"/>
      <c r="E1" s="389"/>
      <c r="F1" s="38"/>
      <c r="G1" s="12" t="s">
        <v>657</v>
      </c>
    </row>
    <row r="2" spans="1:21" ht="16.5" customHeight="1">
      <c r="C2" s="265" t="s">
        <v>690</v>
      </c>
      <c r="D2" s="265" t="s">
        <v>1179</v>
      </c>
      <c r="E2" s="265"/>
    </row>
    <row r="3" spans="1:21" ht="16.5" customHeight="1">
      <c r="C3" s="265" t="s">
        <v>691</v>
      </c>
      <c r="D3" s="265" t="s">
        <v>1180</v>
      </c>
      <c r="E3" s="265" t="str">
        <f>ADDRESS(ROW(A1),COLUMN(A1))&amp;":"&amp;ADDRESS(ROW(F1),COLUMN(F1))</f>
        <v>$A$1:$F$1</v>
      </c>
      <c r="H3" s="166" t="s">
        <v>18</v>
      </c>
      <c r="I3" s="18"/>
      <c r="J3" s="267" t="s">
        <v>19</v>
      </c>
      <c r="K3" s="19"/>
      <c r="L3" s="267" t="s">
        <v>20</v>
      </c>
      <c r="M3" s="19"/>
      <c r="N3" s="133" t="s">
        <v>21</v>
      </c>
      <c r="O3" s="19"/>
      <c r="P3" s="17" t="s">
        <v>1858</v>
      </c>
      <c r="Q3" s="19"/>
      <c r="R3" s="17" t="s">
        <v>23</v>
      </c>
      <c r="S3" s="17"/>
      <c r="T3" s="15"/>
    </row>
    <row r="4" spans="1:21" ht="16.5" customHeight="1">
      <c r="H4" s="166" t="s">
        <v>1385</v>
      </c>
      <c r="I4" s="18"/>
      <c r="J4" s="133" t="s">
        <v>26</v>
      </c>
      <c r="K4" s="19"/>
      <c r="L4" s="17" t="s">
        <v>27</v>
      </c>
      <c r="M4" s="19"/>
      <c r="N4" s="17" t="s">
        <v>28</v>
      </c>
      <c r="O4" s="19"/>
      <c r="P4" s="17" t="s">
        <v>29</v>
      </c>
      <c r="Q4" s="19"/>
      <c r="R4" s="17"/>
      <c r="S4" s="19"/>
      <c r="T4" s="15"/>
    </row>
    <row r="5" spans="1:21" ht="16.5" customHeight="1">
      <c r="C5" s="390" t="s">
        <v>692</v>
      </c>
      <c r="E5" s="301" t="s">
        <v>1386</v>
      </c>
      <c r="H5" s="166" t="s">
        <v>658</v>
      </c>
      <c r="I5" s="18"/>
      <c r="J5" s="267" t="s">
        <v>659</v>
      </c>
      <c r="K5" s="19"/>
      <c r="L5" s="266" t="s">
        <v>660</v>
      </c>
      <c r="M5" s="19"/>
      <c r="N5" s="133"/>
      <c r="O5" s="133"/>
      <c r="P5" s="133"/>
      <c r="Q5" s="19"/>
      <c r="R5" s="17"/>
      <c r="S5" s="17"/>
      <c r="T5" s="15"/>
    </row>
    <row r="6" spans="1:21" ht="16.5" customHeight="1" thickBot="1">
      <c r="B6" s="391" t="s">
        <v>1387</v>
      </c>
      <c r="C6" s="391" t="s">
        <v>271</v>
      </c>
      <c r="D6" s="391" t="s">
        <v>1388</v>
      </c>
      <c r="E6" s="392" t="s">
        <v>693</v>
      </c>
    </row>
    <row r="7" spans="1:21" ht="16.5" customHeight="1">
      <c r="B7" s="584" t="s">
        <v>41</v>
      </c>
      <c r="C7" s="393" t="s">
        <v>69</v>
      </c>
      <c r="D7" s="394" t="s">
        <v>1389</v>
      </c>
      <c r="E7" s="395" t="b">
        <v>1</v>
      </c>
      <c r="H7" s="166" t="s">
        <v>1900</v>
      </c>
      <c r="I7" s="489"/>
      <c r="J7" s="489"/>
      <c r="K7" s="333" t="s">
        <v>642</v>
      </c>
      <c r="L7" s="474"/>
      <c r="N7" s="166" t="s">
        <v>31</v>
      </c>
      <c r="O7" s="564"/>
      <c r="P7" s="564"/>
      <c r="R7" s="166" t="s">
        <v>32</v>
      </c>
      <c r="S7" s="566"/>
      <c r="T7" s="566"/>
      <c r="U7" s="25" t="str">
        <f>IF(UNKB0080_H_KOBAIHIN_CD="","",UNKB0080_H_KOBAIHIN_MEI)</f>
        <v/>
      </c>
    </row>
    <row r="8" spans="1:21" ht="16.5" customHeight="1">
      <c r="B8" s="584"/>
      <c r="C8" s="393" t="s">
        <v>20</v>
      </c>
      <c r="D8" s="394" t="s">
        <v>1162</v>
      </c>
      <c r="E8" s="396" t="b">
        <v>1</v>
      </c>
      <c r="H8" s="166" t="s">
        <v>1901</v>
      </c>
      <c r="I8" s="489"/>
      <c r="J8" s="489"/>
      <c r="K8" s="333" t="s">
        <v>642</v>
      </c>
      <c r="L8" s="474"/>
      <c r="N8" s="166" t="s">
        <v>72</v>
      </c>
      <c r="O8" s="565"/>
      <c r="P8" s="565"/>
      <c r="R8" s="166" t="s">
        <v>34</v>
      </c>
      <c r="S8" s="566"/>
      <c r="T8" s="566"/>
      <c r="U8" s="25" t="str">
        <f>IF(UNKB0080_H_SHIIRESAKI_CD="","",UNKB0080_H_SHIIRE_MEI)</f>
        <v/>
      </c>
    </row>
    <row r="9" spans="1:21" ht="16.5" customHeight="1">
      <c r="B9" s="584"/>
      <c r="C9" s="393" t="s">
        <v>699</v>
      </c>
      <c r="D9" s="394" t="s">
        <v>1163</v>
      </c>
      <c r="E9" s="396" t="b">
        <v>1</v>
      </c>
      <c r="H9" s="166" t="s">
        <v>1902</v>
      </c>
      <c r="I9" s="489"/>
      <c r="J9" s="489"/>
      <c r="K9" s="333" t="s">
        <v>642</v>
      </c>
      <c r="L9" s="474"/>
      <c r="N9" s="166" t="s">
        <v>36</v>
      </c>
      <c r="O9" s="564"/>
      <c r="P9" s="564"/>
      <c r="R9" s="166" t="s">
        <v>37</v>
      </c>
      <c r="S9" s="566"/>
      <c r="T9" s="566"/>
      <c r="U9" s="25" t="str">
        <f>IF(UNKB0080_H_MAKER_CD="","",UNKB0080_H_MAKER_MEI)</f>
        <v/>
      </c>
    </row>
    <row r="10" spans="1:21" ht="16.5" customHeight="1">
      <c r="B10" s="584"/>
      <c r="C10" s="393" t="s">
        <v>1859</v>
      </c>
      <c r="D10" s="394" t="s">
        <v>1390</v>
      </c>
      <c r="E10" s="396" t="b">
        <v>1</v>
      </c>
      <c r="H10" s="166" t="s">
        <v>1903</v>
      </c>
      <c r="I10" s="489"/>
      <c r="J10" s="489"/>
      <c r="K10" s="333" t="s">
        <v>71</v>
      </c>
      <c r="L10" s="474"/>
      <c r="N10" s="166" t="s">
        <v>1904</v>
      </c>
      <c r="O10" s="487"/>
      <c r="P10" s="488"/>
    </row>
    <row r="11" spans="1:21" ht="16.5" customHeight="1">
      <c r="B11" s="584"/>
      <c r="C11" s="393" t="s">
        <v>23</v>
      </c>
      <c r="D11" s="394" t="s">
        <v>1391</v>
      </c>
      <c r="E11" s="396" t="b">
        <v>0</v>
      </c>
    </row>
    <row r="12" spans="1:21" ht="16.5" customHeight="1">
      <c r="B12" s="582" t="s">
        <v>1392</v>
      </c>
      <c r="C12" s="397" t="s">
        <v>68</v>
      </c>
      <c r="D12" s="398" t="s">
        <v>1393</v>
      </c>
      <c r="E12" s="399" t="b">
        <v>0</v>
      </c>
      <c r="H12" s="166" t="s">
        <v>1394</v>
      </c>
      <c r="I12" s="491"/>
      <c r="J12" s="491"/>
      <c r="K12" s="167" t="str">
        <f>IF(UNKB0080_H_FREEWD_KBN=1,"AND",IF(UNKB0080_H_FREEWD_KBN=2,"OR","NAND"))</f>
        <v>AND</v>
      </c>
      <c r="L12" s="355"/>
      <c r="M12" s="167" t="str">
        <f>UNKB0080_H_FREEWD_KBN_DISP</f>
        <v>AND</v>
      </c>
      <c r="N12" s="355"/>
    </row>
    <row r="13" spans="1:21" ht="16.5" customHeight="1">
      <c r="B13" s="583"/>
      <c r="C13" s="397" t="s">
        <v>656</v>
      </c>
      <c r="D13" s="398" t="s">
        <v>1164</v>
      </c>
      <c r="E13" s="399" t="b">
        <v>0</v>
      </c>
    </row>
    <row r="14" spans="1:21" ht="16.5" customHeight="1">
      <c r="B14" s="583"/>
      <c r="C14" s="393" t="s">
        <v>707</v>
      </c>
      <c r="D14" s="394" t="s">
        <v>1165</v>
      </c>
      <c r="E14" s="396" t="b">
        <v>1</v>
      </c>
    </row>
    <row r="15" spans="1:21" ht="16.5" customHeight="1">
      <c r="B15" s="583"/>
      <c r="C15" s="393" t="s">
        <v>27</v>
      </c>
      <c r="D15" s="394" t="s">
        <v>1166</v>
      </c>
      <c r="E15" s="396" t="b">
        <v>0</v>
      </c>
    </row>
    <row r="16" spans="1:21" ht="16.5" customHeight="1">
      <c r="B16" s="583"/>
      <c r="C16" s="393" t="s">
        <v>28</v>
      </c>
      <c r="D16" s="394" t="s">
        <v>1167</v>
      </c>
      <c r="E16" s="396" t="b">
        <v>0</v>
      </c>
    </row>
    <row r="17" spans="2:5" ht="16.5" customHeight="1">
      <c r="B17" s="583"/>
      <c r="C17" s="393" t="s">
        <v>710</v>
      </c>
      <c r="D17" s="394" t="s">
        <v>1168</v>
      </c>
      <c r="E17" s="396" t="b">
        <v>0</v>
      </c>
    </row>
    <row r="18" spans="2:5" ht="16.5" customHeight="1">
      <c r="B18" s="582" t="s">
        <v>1157</v>
      </c>
      <c r="C18" s="400" t="s">
        <v>1158</v>
      </c>
      <c r="D18" s="401" t="s">
        <v>1161</v>
      </c>
      <c r="E18" s="396" t="b">
        <v>1</v>
      </c>
    </row>
    <row r="19" spans="2:5" ht="16.5" customHeight="1">
      <c r="B19" s="583"/>
      <c r="C19" s="400" t="s">
        <v>1160</v>
      </c>
      <c r="D19" s="401" t="s">
        <v>1170</v>
      </c>
      <c r="E19" s="396" t="b">
        <v>0</v>
      </c>
    </row>
    <row r="20" spans="2:5" ht="16.5" customHeight="1">
      <c r="B20" s="402" t="s">
        <v>1395</v>
      </c>
      <c r="C20" s="400" t="s">
        <v>114</v>
      </c>
      <c r="D20" s="401" t="s">
        <v>1169</v>
      </c>
      <c r="E20" s="403"/>
    </row>
    <row r="21" spans="2:5" ht="16.5" customHeight="1">
      <c r="B21" s="404" t="s">
        <v>1395</v>
      </c>
      <c r="C21" s="405" t="s">
        <v>452</v>
      </c>
      <c r="D21" s="406" t="s">
        <v>1171</v>
      </c>
      <c r="E21" s="407"/>
    </row>
    <row r="22" spans="2:5" ht="16.5" customHeight="1">
      <c r="B22" s="402" t="s">
        <v>1395</v>
      </c>
      <c r="C22" s="400" t="s">
        <v>90</v>
      </c>
      <c r="D22" s="401" t="s">
        <v>1172</v>
      </c>
      <c r="E22" s="408"/>
    </row>
    <row r="23" spans="2:5" ht="16.5" customHeight="1">
      <c r="B23" s="402" t="s">
        <v>1395</v>
      </c>
      <c r="C23" s="400" t="s">
        <v>59</v>
      </c>
      <c r="D23" s="401" t="s">
        <v>1173</v>
      </c>
      <c r="E23" s="403"/>
    </row>
    <row r="24" spans="2:5" ht="16.5" customHeight="1">
      <c r="B24" s="402" t="s">
        <v>1395</v>
      </c>
      <c r="C24" s="400" t="s">
        <v>61</v>
      </c>
      <c r="D24" s="401" t="s">
        <v>1174</v>
      </c>
      <c r="E24" s="409"/>
    </row>
    <row r="25" spans="2:5" ht="16.5" customHeight="1" thickBot="1">
      <c r="B25" s="402" t="s">
        <v>1395</v>
      </c>
      <c r="C25" s="400" t="s">
        <v>695</v>
      </c>
      <c r="D25" s="401" t="s">
        <v>1175</v>
      </c>
      <c r="E25" s="410">
        <v>1</v>
      </c>
    </row>
    <row r="28" spans="2:5" ht="16.5" customHeight="1">
      <c r="C28" s="581" t="s">
        <v>730</v>
      </c>
      <c r="D28" s="581"/>
    </row>
    <row r="29" spans="2:5" ht="16.5" customHeight="1">
      <c r="C29" s="411" t="s">
        <v>686</v>
      </c>
      <c r="D29" s="411" t="s">
        <v>688</v>
      </c>
      <c r="E29" s="411" t="s">
        <v>687</v>
      </c>
    </row>
    <row r="30" spans="2:5" ht="16.5" customHeight="1">
      <c r="C30" s="393" t="s">
        <v>69</v>
      </c>
      <c r="D30" s="393" t="s">
        <v>1176</v>
      </c>
      <c r="E30" s="402" t="b">
        <v>1</v>
      </c>
    </row>
    <row r="31" spans="2:5" ht="16.5" customHeight="1">
      <c r="C31" s="393" t="s">
        <v>20</v>
      </c>
      <c r="D31" s="393" t="s">
        <v>1177</v>
      </c>
      <c r="E31" s="402" t="b">
        <v>1</v>
      </c>
    </row>
    <row r="32" spans="2:5" ht="16.5" customHeight="1">
      <c r="C32" s="393" t="s">
        <v>699</v>
      </c>
      <c r="D32" s="393" t="s">
        <v>1178</v>
      </c>
      <c r="E32" s="402" t="b">
        <v>1</v>
      </c>
    </row>
    <row r="33" spans="3:5" ht="16.5" customHeight="1">
      <c r="C33" s="393" t="s">
        <v>22</v>
      </c>
      <c r="D33" s="393" t="s">
        <v>1396</v>
      </c>
      <c r="E33" s="402" t="b">
        <v>1</v>
      </c>
    </row>
    <row r="34" spans="3:5" ht="16.5" customHeight="1">
      <c r="C34" s="393" t="s">
        <v>23</v>
      </c>
      <c r="D34" s="393" t="s">
        <v>1397</v>
      </c>
      <c r="E34" s="402" t="b">
        <v>1</v>
      </c>
    </row>
    <row r="35" spans="3:5" ht="16.5" customHeight="1">
      <c r="C35" s="397" t="s">
        <v>68</v>
      </c>
      <c r="D35" s="398" t="s">
        <v>1398</v>
      </c>
      <c r="E35" s="404" t="b">
        <v>0</v>
      </c>
    </row>
    <row r="36" spans="3:5" ht="16.5" customHeight="1">
      <c r="C36" s="397" t="s">
        <v>656</v>
      </c>
      <c r="D36" s="397" t="s">
        <v>1399</v>
      </c>
      <c r="E36" s="404" t="b">
        <v>0</v>
      </c>
    </row>
    <row r="37" spans="3:5" ht="16.5" customHeight="1">
      <c r="C37" s="393" t="s">
        <v>707</v>
      </c>
      <c r="D37" s="393" t="s">
        <v>1400</v>
      </c>
      <c r="E37" s="402" t="b">
        <v>1</v>
      </c>
    </row>
    <row r="38" spans="3:5" ht="16.5" customHeight="1">
      <c r="C38" s="393" t="s">
        <v>27</v>
      </c>
      <c r="D38" s="393" t="s">
        <v>1401</v>
      </c>
      <c r="E38" s="402" t="b">
        <v>0</v>
      </c>
    </row>
    <row r="39" spans="3:5" ht="16.5" customHeight="1">
      <c r="C39" s="393" t="s">
        <v>28</v>
      </c>
      <c r="D39" s="393" t="s">
        <v>1402</v>
      </c>
      <c r="E39" s="402" t="b">
        <v>0</v>
      </c>
    </row>
    <row r="40" spans="3:5" ht="16.5" customHeight="1">
      <c r="C40" s="393" t="s">
        <v>710</v>
      </c>
      <c r="D40" s="393" t="s">
        <v>1403</v>
      </c>
      <c r="E40" s="402" t="b">
        <v>0</v>
      </c>
    </row>
    <row r="41" spans="3:5" ht="16.5" customHeight="1">
      <c r="C41" s="393" t="s">
        <v>1230</v>
      </c>
      <c r="D41" s="393" t="s">
        <v>1404</v>
      </c>
      <c r="E41" s="402" t="b">
        <v>1</v>
      </c>
    </row>
    <row r="42" spans="3:5" ht="16.5" customHeight="1">
      <c r="C42" s="393" t="s">
        <v>1159</v>
      </c>
      <c r="D42" s="393" t="s">
        <v>1405</v>
      </c>
      <c r="E42" s="402" t="b">
        <v>0</v>
      </c>
    </row>
    <row r="43" spans="3:5" ht="16.5" customHeight="1">
      <c r="C43" s="400" t="s">
        <v>1406</v>
      </c>
      <c r="D43" s="400" t="s">
        <v>1407</v>
      </c>
      <c r="E43" s="402"/>
    </row>
    <row r="44" spans="3:5" ht="16.5" customHeight="1">
      <c r="C44" s="400" t="s">
        <v>1408</v>
      </c>
      <c r="D44" s="400" t="s">
        <v>1409</v>
      </c>
      <c r="E44" s="402"/>
    </row>
    <row r="45" spans="3:5" ht="16.5" customHeight="1">
      <c r="C45" s="400" t="s">
        <v>735</v>
      </c>
      <c r="D45" s="400" t="s">
        <v>1410</v>
      </c>
      <c r="E45" s="402"/>
    </row>
    <row r="46" spans="3:5" ht="16.5" customHeight="1">
      <c r="C46" s="400" t="s">
        <v>736</v>
      </c>
      <c r="D46" s="400" t="s">
        <v>1411</v>
      </c>
      <c r="E46" s="402"/>
    </row>
    <row r="47" spans="3:5" ht="16.5" customHeight="1">
      <c r="C47" s="400" t="s">
        <v>737</v>
      </c>
      <c r="D47" s="400" t="s">
        <v>1412</v>
      </c>
      <c r="E47" s="402"/>
    </row>
    <row r="48" spans="3:5" ht="16.5" customHeight="1">
      <c r="C48" s="400" t="s">
        <v>738</v>
      </c>
      <c r="D48" s="400" t="s">
        <v>1413</v>
      </c>
      <c r="E48" s="402"/>
    </row>
    <row r="49" spans="3:5" ht="16.5" customHeight="1">
      <c r="C49" s="400" t="s">
        <v>739</v>
      </c>
      <c r="D49" s="400" t="s">
        <v>1414</v>
      </c>
      <c r="E49" s="402"/>
    </row>
    <row r="50" spans="3:5" ht="16.5" customHeight="1">
      <c r="C50" s="400" t="s">
        <v>740</v>
      </c>
      <c r="D50" s="400" t="s">
        <v>1415</v>
      </c>
      <c r="E50" s="402"/>
    </row>
    <row r="51" spans="3:5" ht="16.5" customHeight="1">
      <c r="C51" s="400" t="s">
        <v>741</v>
      </c>
      <c r="D51" s="400" t="s">
        <v>1416</v>
      </c>
      <c r="E51" s="402"/>
    </row>
    <row r="52" spans="3:5" ht="16.5" customHeight="1">
      <c r="C52" s="400" t="s">
        <v>114</v>
      </c>
      <c r="D52" s="400" t="s">
        <v>1417</v>
      </c>
      <c r="E52" s="402"/>
    </row>
    <row r="53" spans="3:5" ht="16.5" customHeight="1">
      <c r="C53" s="400" t="s">
        <v>742</v>
      </c>
      <c r="D53" s="400" t="s">
        <v>1418</v>
      </c>
      <c r="E53" s="402"/>
    </row>
    <row r="54" spans="3:5" ht="16.5" customHeight="1">
      <c r="C54" s="400" t="s">
        <v>63</v>
      </c>
      <c r="D54" s="400" t="s">
        <v>1419</v>
      </c>
      <c r="E54" s="402"/>
    </row>
    <row r="55" spans="3:5" ht="16.5" customHeight="1">
      <c r="C55" s="400" t="s">
        <v>62</v>
      </c>
      <c r="D55" s="400" t="s">
        <v>1420</v>
      </c>
      <c r="E55" s="402"/>
    </row>
    <row r="56" spans="3:5" ht="16.5" customHeight="1">
      <c r="C56" s="405" t="s">
        <v>452</v>
      </c>
      <c r="D56" s="405" t="s">
        <v>1421</v>
      </c>
      <c r="E56" s="404"/>
    </row>
    <row r="57" spans="3:5" ht="16.5" customHeight="1">
      <c r="C57" s="400" t="s">
        <v>747</v>
      </c>
      <c r="D57" s="400" t="s">
        <v>1422</v>
      </c>
      <c r="E57" s="402"/>
    </row>
    <row r="58" spans="3:5" ht="16.5" customHeight="1">
      <c r="C58" s="400" t="s">
        <v>90</v>
      </c>
      <c r="D58" s="400" t="s">
        <v>1423</v>
      </c>
      <c r="E58" s="402"/>
    </row>
    <row r="59" spans="3:5" ht="16.5" customHeight="1">
      <c r="C59" s="400" t="s">
        <v>58</v>
      </c>
      <c r="D59" s="400" t="s">
        <v>1424</v>
      </c>
      <c r="E59" s="402"/>
    </row>
    <row r="60" spans="3:5" ht="16.5" customHeight="1">
      <c r="C60" s="400" t="s">
        <v>59</v>
      </c>
      <c r="D60" s="400" t="s">
        <v>1425</v>
      </c>
      <c r="E60" s="402"/>
    </row>
    <row r="61" spans="3:5" ht="16.5" customHeight="1">
      <c r="C61" s="400" t="s">
        <v>1426</v>
      </c>
      <c r="D61" s="400" t="s">
        <v>1427</v>
      </c>
      <c r="E61" s="402"/>
    </row>
    <row r="62" spans="3:5" ht="16.5" customHeight="1">
      <c r="C62" s="400" t="s">
        <v>61</v>
      </c>
      <c r="D62" s="400" t="s">
        <v>1428</v>
      </c>
      <c r="E62" s="402"/>
    </row>
    <row r="63" spans="3:5" ht="16.5" customHeight="1">
      <c r="C63" s="265" t="s">
        <v>1429</v>
      </c>
      <c r="D63" s="265" t="s">
        <v>1430</v>
      </c>
      <c r="E63" s="402"/>
    </row>
    <row r="64" spans="3:5" ht="16.5" customHeight="1">
      <c r="C64" s="265" t="s">
        <v>778</v>
      </c>
      <c r="D64" s="265" t="s">
        <v>1431</v>
      </c>
      <c r="E64" s="402"/>
    </row>
    <row r="65" spans="3:5" ht="16.5" customHeight="1">
      <c r="C65" s="265" t="s">
        <v>689</v>
      </c>
      <c r="D65" s="265" t="s">
        <v>1432</v>
      </c>
      <c r="E65" s="402"/>
    </row>
    <row r="66" spans="3:5" ht="16.5" customHeight="1">
      <c r="C66" s="400" t="s">
        <v>695</v>
      </c>
      <c r="D66" s="400" t="s">
        <v>1433</v>
      </c>
      <c r="E66" s="402">
        <v>1</v>
      </c>
    </row>
    <row r="68" spans="3:5" ht="16.5" customHeight="1">
      <c r="C68" s="38"/>
      <c r="D68" s="38"/>
      <c r="E68" s="38"/>
    </row>
  </sheetData>
  <sheetProtection sheet="1" objects="1" scenarios="1" selectLockedCells="1"/>
  <mergeCells count="16">
    <mergeCell ref="C28:D28"/>
    <mergeCell ref="S9:T9"/>
    <mergeCell ref="I10:J10"/>
    <mergeCell ref="O10:P10"/>
    <mergeCell ref="B12:B17"/>
    <mergeCell ref="I12:J12"/>
    <mergeCell ref="B18:B19"/>
    <mergeCell ref="B7:B11"/>
    <mergeCell ref="I7:J7"/>
    <mergeCell ref="O7:P7"/>
    <mergeCell ref="S7:T7"/>
    <mergeCell ref="I8:J8"/>
    <mergeCell ref="O8:P8"/>
    <mergeCell ref="S8:T8"/>
    <mergeCell ref="I9:J9"/>
    <mergeCell ref="O9:P9"/>
  </mergeCells>
  <phoneticPr fontId="1"/>
  <dataValidations count="4">
    <dataValidation type="custom" allowBlank="1" showInputMessage="1" showErrorMessage="1" sqref="O8:P8">
      <formula1>AND(LEN(O8)=LENB(O8),LEN(O8)=20)</formula1>
    </dataValidation>
    <dataValidation type="custom" allowBlank="1" showInputMessage="1" showErrorMessage="1" sqref="O7:P7 S7:T9 O9:P9">
      <formula1>AND(LEN(O7)=LENB(O7),LEN(O7)=10)</formula1>
    </dataValidation>
    <dataValidation type="date" allowBlank="1" showInputMessage="1" showErrorMessage="1" sqref="I7:J10 L7:L10">
      <formula1>36526</formula1>
      <formula2>73415</formula2>
    </dataValidation>
    <dataValidation type="custom" allowBlank="1" showInputMessage="1" showErrorMessage="1" sqref="O10:P10">
      <formula1>AND(LEN(O10)=LENB(O10),LEN(O10)&lt;=10)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Button 1">
              <controlPr defaultSize="0" print="0" autoFill="0" autoPict="0" macro="[0]!UNKB0080_SearchDataCopy">
                <anchor moveWithCells="1" sizeWithCells="1">
                  <from>
                    <xdr:col>3</xdr:col>
                    <xdr:colOff>676275</xdr:colOff>
                    <xdr:row>26</xdr:row>
                    <xdr:rowOff>47625</xdr:rowOff>
                  </from>
                  <to>
                    <xdr:col>3</xdr:col>
                    <xdr:colOff>1619250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eck Box 2">
              <controlPr defaultSize="0" autoFill="0" autoLine="0" autoPict="0">
                <anchor moveWithCells="1">
                  <from>
                    <xdr:col>8</xdr:col>
                    <xdr:colOff>38100</xdr:colOff>
                    <xdr:row>2</xdr:row>
                    <xdr:rowOff>19050</xdr:rowOff>
                  </from>
                  <to>
                    <xdr:col>9</xdr:col>
                    <xdr:colOff>447675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6" name="Check Box 3">
              <controlPr defaultSize="0" autoFill="0" autoLine="0" autoPict="0">
                <anchor moveWithCells="1">
                  <from>
                    <xdr:col>10</xdr:col>
                    <xdr:colOff>38100</xdr:colOff>
                    <xdr:row>2</xdr:row>
                    <xdr:rowOff>19050</xdr:rowOff>
                  </from>
                  <to>
                    <xdr:col>11</xdr:col>
                    <xdr:colOff>561975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7" name="Check Box 4">
              <controlPr defaultSize="0" autoFill="0" autoLine="0" autoPict="0">
                <anchor moveWithCells="1">
                  <from>
                    <xdr:col>12</xdr:col>
                    <xdr:colOff>38100</xdr:colOff>
                    <xdr:row>2</xdr:row>
                    <xdr:rowOff>19050</xdr:rowOff>
                  </from>
                  <to>
                    <xdr:col>13</xdr:col>
                    <xdr:colOff>942975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8" name="Check Box 5">
              <controlPr defaultSize="0" autoFill="0" autoLine="0" autoPict="0">
                <anchor moveWithCells="1">
                  <from>
                    <xdr:col>14</xdr:col>
                    <xdr:colOff>28575</xdr:colOff>
                    <xdr:row>2</xdr:row>
                    <xdr:rowOff>19050</xdr:rowOff>
                  </from>
                  <to>
                    <xdr:col>15</xdr:col>
                    <xdr:colOff>323850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9" name="Check Box 6">
              <controlPr defaultSize="0" autoFill="0" autoLine="0" autoPict="0">
                <anchor moveWithCells="1">
                  <from>
                    <xdr:col>16</xdr:col>
                    <xdr:colOff>38100</xdr:colOff>
                    <xdr:row>2</xdr:row>
                    <xdr:rowOff>19050</xdr:rowOff>
                  </from>
                  <to>
                    <xdr:col>17</xdr:col>
                    <xdr:colOff>438150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10" name="Check Box 7">
              <controlPr defaultSize="0" autoFill="0" autoLine="0" autoPict="0">
                <anchor moveWithCells="1">
                  <from>
                    <xdr:col>12</xdr:col>
                    <xdr:colOff>38100</xdr:colOff>
                    <xdr:row>3</xdr:row>
                    <xdr:rowOff>19050</xdr:rowOff>
                  </from>
                  <to>
                    <xdr:col>13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1" name="Check Box 8">
              <controlPr defaultSize="0" autoFill="0" autoLine="0" autoPict="0">
                <anchor moveWithCells="1">
                  <from>
                    <xdr:col>14</xdr:col>
                    <xdr:colOff>28575</xdr:colOff>
                    <xdr:row>3</xdr:row>
                    <xdr:rowOff>19050</xdr:rowOff>
                  </from>
                  <to>
                    <xdr:col>15</xdr:col>
                    <xdr:colOff>438150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2" name="Check Box 9">
              <controlPr defaultSize="0" autoFill="0" autoLine="0" autoPict="0">
                <anchor moveWithCells="1">
                  <from>
                    <xdr:col>10</xdr:col>
                    <xdr:colOff>38100</xdr:colOff>
                    <xdr:row>3</xdr:row>
                    <xdr:rowOff>19050</xdr:rowOff>
                  </from>
                  <to>
                    <xdr:col>11</xdr:col>
                    <xdr:colOff>695325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3" name="Check Box 10">
              <controlPr defaultSize="0" autoFill="0" autoLine="0" autoPict="0">
                <anchor moveWithCells="1">
                  <from>
                    <xdr:col>8</xdr:col>
                    <xdr:colOff>38100</xdr:colOff>
                    <xdr:row>3</xdr:row>
                    <xdr:rowOff>19050</xdr:rowOff>
                  </from>
                  <to>
                    <xdr:col>10</xdr:col>
                    <xdr:colOff>85725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4" name="Check Box 11">
              <controlPr defaultSize="0" autoFill="0" autoLine="0" autoPict="0">
                <anchor moveWithCells="1">
                  <from>
                    <xdr:col>10</xdr:col>
                    <xdr:colOff>38100</xdr:colOff>
                    <xdr:row>4</xdr:row>
                    <xdr:rowOff>28575</xdr:rowOff>
                  </from>
                  <to>
                    <xdr:col>11</xdr:col>
                    <xdr:colOff>438150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5" name="Check Box 12">
              <controlPr defaultSize="0" autoFill="0" autoLine="0" autoPict="0">
                <anchor moveWithCells="1" sizeWithCells="1">
                  <from>
                    <xdr:col>3</xdr:col>
                    <xdr:colOff>285750</xdr:colOff>
                    <xdr:row>67</xdr:row>
                    <xdr:rowOff>0</xdr:rowOff>
                  </from>
                  <to>
                    <xdr:col>3</xdr:col>
                    <xdr:colOff>933450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6" name="Check Box 13">
              <controlPr defaultSize="0" autoFill="0" autoLine="0" autoPict="0">
                <anchor moveWithCells="1">
                  <from>
                    <xdr:col>8</xdr:col>
                    <xdr:colOff>38100</xdr:colOff>
                    <xdr:row>4</xdr:row>
                    <xdr:rowOff>28575</xdr:rowOff>
                  </from>
                  <to>
                    <xdr:col>9</xdr:col>
                    <xdr:colOff>447675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7" name="Check Box 14">
              <controlPr defaultSize="0" autoFill="0" autoLine="0" autoPict="0">
                <anchor moveWithCells="1" sizeWithCells="1">
                  <from>
                    <xdr:col>2</xdr:col>
                    <xdr:colOff>1333500</xdr:colOff>
                    <xdr:row>67</xdr:row>
                    <xdr:rowOff>0</xdr:rowOff>
                  </from>
                  <to>
                    <xdr:col>2</xdr:col>
                    <xdr:colOff>1981200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8" name="Option Button 15">
              <controlPr defaultSize="0" autoFill="0" autoLine="0" autoPict="0">
                <anchor moveWithCells="1">
                  <from>
                    <xdr:col>14</xdr:col>
                    <xdr:colOff>228600</xdr:colOff>
                    <xdr:row>11</xdr:row>
                    <xdr:rowOff>9525</xdr:rowOff>
                  </from>
                  <to>
                    <xdr:col>15</xdr:col>
                    <xdr:colOff>495300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9" name="Option Button 16">
              <controlPr defaultSize="0" autoFill="0" autoLine="0" autoPict="0">
                <anchor moveWithCells="1">
                  <from>
                    <xdr:col>15</xdr:col>
                    <xdr:colOff>552450</xdr:colOff>
                    <xdr:row>11</xdr:row>
                    <xdr:rowOff>19050</xdr:rowOff>
                  </from>
                  <to>
                    <xdr:col>16</xdr:col>
                    <xdr:colOff>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20" name="Option Button 17">
              <controlPr defaultSize="0" autoFill="0" autoLine="0" autoPict="0">
                <anchor moveWithCells="1">
                  <from>
                    <xdr:col>16</xdr:col>
                    <xdr:colOff>28575</xdr:colOff>
                    <xdr:row>11</xdr:row>
                    <xdr:rowOff>9525</xdr:rowOff>
                  </from>
                  <to>
                    <xdr:col>17</xdr:col>
                    <xdr:colOff>400050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>
    <tabColor rgb="FFFFC000"/>
  </sheetPr>
  <dimension ref="A1:AK35"/>
  <sheetViews>
    <sheetView showGridLines="0" showRowColHeaders="0" topLeftCell="F15" zoomScaleNormal="100" workbookViewId="0">
      <selection sqref="A1:E1"/>
    </sheetView>
  </sheetViews>
  <sheetFormatPr defaultRowHeight="16.5"/>
  <cols>
    <col min="1" max="1" width="9" style="38" hidden="1" customWidth="1"/>
    <col min="2" max="2" width="18" style="38" hidden="1" customWidth="1"/>
    <col min="3" max="3" width="30.625" style="38" hidden="1" customWidth="1"/>
    <col min="4" max="4" width="13.375" style="38" hidden="1" customWidth="1"/>
    <col min="5" max="5" width="9" style="38" hidden="1" customWidth="1"/>
    <col min="6" max="6" width="3.375" style="218" customWidth="1"/>
    <col min="7" max="7" width="3.75" style="218" customWidth="1"/>
    <col min="8" max="8" width="5" style="218" bestFit="1" customWidth="1"/>
    <col min="9" max="9" width="10" style="218" bestFit="1" customWidth="1"/>
    <col min="10" max="10" width="8.25" style="218" bestFit="1" customWidth="1"/>
    <col min="11" max="11" width="8" style="218" customWidth="1"/>
    <col min="12" max="12" width="10" style="218" customWidth="1"/>
    <col min="13" max="13" width="10" style="218" bestFit="1" customWidth="1"/>
    <col min="14" max="14" width="9.125" style="218" bestFit="1" customWidth="1"/>
    <col min="15" max="15" width="31.875" style="218" customWidth="1"/>
    <col min="16" max="16" width="8.25" style="218" bestFit="1" customWidth="1"/>
    <col min="17" max="17" width="5" style="218" bestFit="1" customWidth="1"/>
    <col min="18" max="18" width="7.125" style="218" customWidth="1"/>
    <col min="19" max="19" width="5" style="218" bestFit="1" customWidth="1"/>
    <col min="20" max="20" width="8.125" style="218" customWidth="1"/>
    <col min="21" max="21" width="9" style="218" customWidth="1"/>
    <col min="22" max="22" width="8.25" style="218" bestFit="1" customWidth="1"/>
    <col min="23" max="23" width="10" style="218" customWidth="1"/>
    <col min="24" max="24" width="10" style="218" bestFit="1" customWidth="1"/>
    <col min="25" max="26" width="10" style="218" customWidth="1"/>
    <col min="27" max="27" width="8.5" style="218" bestFit="1" customWidth="1"/>
    <col min="28" max="28" width="9" style="218" bestFit="1" customWidth="1"/>
    <col min="29" max="29" width="14.125" style="218" customWidth="1"/>
    <col min="30" max="30" width="10.125" style="218" customWidth="1"/>
    <col min="31" max="31" width="14.5" style="218" customWidth="1"/>
    <col min="32" max="33" width="10.5" style="218" customWidth="1"/>
    <col min="34" max="34" width="17.125" style="218" customWidth="1"/>
    <col min="35" max="35" width="12.25" style="218" customWidth="1"/>
    <col min="36" max="37" width="14.25" style="218" bestFit="1" customWidth="1"/>
    <col min="38" max="38" width="4" style="218" customWidth="1"/>
    <col min="39" max="16384" width="9" style="218"/>
  </cols>
  <sheetData>
    <row r="1" spans="2:37" ht="1.5" hidden="1" customHeight="1"/>
    <row r="2" spans="2:37" ht="1.5" hidden="1" customHeight="1"/>
    <row r="3" spans="2:37" ht="1.5" hidden="1" customHeight="1"/>
    <row r="4" spans="2:37" ht="1.5" hidden="1" customHeight="1"/>
    <row r="5" spans="2:37" ht="1.5" hidden="1" customHeight="1"/>
    <row r="6" spans="2:37" ht="1.5" hidden="1" customHeight="1"/>
    <row r="7" spans="2:37" ht="1.5" hidden="1" customHeight="1"/>
    <row r="8" spans="2:37" ht="1.5" hidden="1" customHeight="1"/>
    <row r="9" spans="2:37" ht="1.5" hidden="1" customHeight="1"/>
    <row r="10" spans="2:37" ht="1.5" hidden="1" customHeight="1"/>
    <row r="11" spans="2:37" ht="1.5" hidden="1" customHeight="1"/>
    <row r="12" spans="2:37" ht="1.5" hidden="1" customHeight="1"/>
    <row r="13" spans="2:37" ht="1.5" hidden="1" customHeight="1"/>
    <row r="14" spans="2:37" ht="1.5" hidden="1" customHeight="1"/>
    <row r="15" spans="2:37">
      <c r="F15" s="218" t="str">
        <f>"("&amp;UNKB0080_B_PAGE_NO&amp;"/"&amp;UNKB0080_B_ALL_PAGE_SU&amp;")"</f>
        <v>(1/1)</v>
      </c>
      <c r="H15" s="22"/>
    </row>
    <row r="16" spans="2:37">
      <c r="B16" s="265" t="s">
        <v>690</v>
      </c>
      <c r="C16" s="265" t="s">
        <v>1181</v>
      </c>
      <c r="D16" s="265" t="str">
        <f>ROW(A1)&amp;":"&amp;ROW(A14)</f>
        <v>1:14</v>
      </c>
      <c r="F16" s="33"/>
      <c r="G16" s="220" t="s">
        <v>85</v>
      </c>
      <c r="H16" s="220" t="s">
        <v>661</v>
      </c>
      <c r="I16" s="220" t="s">
        <v>40</v>
      </c>
      <c r="J16" s="220" t="s">
        <v>41</v>
      </c>
      <c r="K16" s="220" t="s">
        <v>1434</v>
      </c>
      <c r="L16" s="220" t="s">
        <v>1435</v>
      </c>
      <c r="M16" s="220" t="s">
        <v>44</v>
      </c>
      <c r="N16" s="220" t="s">
        <v>45</v>
      </c>
      <c r="O16" s="220" t="s">
        <v>46</v>
      </c>
      <c r="P16" s="220" t="s">
        <v>47</v>
      </c>
      <c r="Q16" s="220" t="s">
        <v>48</v>
      </c>
      <c r="R16" s="220" t="s">
        <v>51</v>
      </c>
      <c r="S16" s="220" t="s">
        <v>50</v>
      </c>
      <c r="T16" s="220" t="s">
        <v>49</v>
      </c>
      <c r="U16" s="220" t="s">
        <v>52</v>
      </c>
      <c r="V16" s="220" t="s">
        <v>53</v>
      </c>
      <c r="W16" s="220" t="s">
        <v>89</v>
      </c>
      <c r="X16" s="220" t="s">
        <v>54</v>
      </c>
      <c r="Y16" s="220" t="s">
        <v>55</v>
      </c>
      <c r="Z16" s="220" t="s">
        <v>56</v>
      </c>
      <c r="AA16" s="220" t="s">
        <v>57</v>
      </c>
      <c r="AB16" s="220" t="s">
        <v>58</v>
      </c>
      <c r="AC16" s="220" t="s">
        <v>59</v>
      </c>
      <c r="AD16" s="220" t="s">
        <v>1436</v>
      </c>
      <c r="AE16" s="220" t="s">
        <v>61</v>
      </c>
      <c r="AF16" s="220" t="s">
        <v>62</v>
      </c>
      <c r="AG16" s="220" t="s">
        <v>63</v>
      </c>
      <c r="AH16" s="220" t="s">
        <v>64</v>
      </c>
      <c r="AI16" s="220" t="s">
        <v>65</v>
      </c>
      <c r="AJ16" s="220" t="s">
        <v>66</v>
      </c>
      <c r="AK16" s="220" t="s">
        <v>655</v>
      </c>
    </row>
    <row r="17" spans="2:4">
      <c r="B17" s="265" t="s">
        <v>691</v>
      </c>
      <c r="C17" s="265" t="s">
        <v>1437</v>
      </c>
      <c r="D17" s="265" t="str">
        <f>ADDRESS(ROW(A1),COLUMN(A1))&amp;":"&amp;ADDRESS(ROW(E1),COLUMN(E1))</f>
        <v>$A$1:$E$1</v>
      </c>
    </row>
    <row r="18" spans="2:4">
      <c r="B18" s="265" t="s">
        <v>157</v>
      </c>
      <c r="C18" s="265" t="s">
        <v>1438</v>
      </c>
      <c r="D18" s="265" t="str">
        <f>ADDRESS(ROW(UNKB0080_B_KOBAIHIN_MEI)+1,COLUMN(UNKB0080_B_KOBAIHIN_MEI))</f>
        <v>$O$17</v>
      </c>
    </row>
    <row r="20" spans="2:4">
      <c r="B20" s="265" t="s">
        <v>813</v>
      </c>
      <c r="C20" s="265" t="s">
        <v>1439</v>
      </c>
      <c r="D20" s="265">
        <v>0</v>
      </c>
    </row>
    <row r="21" spans="2:4">
      <c r="B21" s="265" t="s">
        <v>814</v>
      </c>
      <c r="C21" s="265" t="s">
        <v>1440</v>
      </c>
      <c r="D21" s="265">
        <v>1</v>
      </c>
    </row>
    <row r="22" spans="2:4">
      <c r="B22" s="265" t="s">
        <v>815</v>
      </c>
      <c r="C22" s="265" t="s">
        <v>1441</v>
      </c>
      <c r="D22" s="265">
        <f>IF(OR(UNKB0080_B_ALL_KENSU=0,UNKB0080_B_HYOJI_GYO_SU=0),1,ROUNDUP(UNKB0080_B_ALL_KENSU/UNKB0080_B_HYOJI_GYO_SU,0))</f>
        <v>1</v>
      </c>
    </row>
    <row r="23" spans="2:4">
      <c r="B23" s="265" t="s">
        <v>816</v>
      </c>
      <c r="C23" s="265" t="s">
        <v>1182</v>
      </c>
      <c r="D23" s="265">
        <v>1</v>
      </c>
    </row>
    <row r="24" spans="2:4">
      <c r="B24" s="265" t="s">
        <v>817</v>
      </c>
      <c r="C24" s="265" t="s">
        <v>1183</v>
      </c>
      <c r="D24" s="265">
        <v>50</v>
      </c>
    </row>
    <row r="25" spans="2:4">
      <c r="B25" s="375"/>
      <c r="C25" s="376"/>
      <c r="D25" s="375"/>
    </row>
    <row r="26" spans="2:4">
      <c r="B26" s="265" t="s">
        <v>158</v>
      </c>
      <c r="C26" s="265" t="s">
        <v>1184</v>
      </c>
      <c r="D26" s="265" t="str">
        <f>ADDRESS(ROW(UNKB0080_B_KOBAIHIN_LIST)+1,COLUMN(UNKB0080_B_KOBAIHIN_LIST))</f>
        <v>$G$17</v>
      </c>
    </row>
    <row r="27" spans="2:4">
      <c r="B27" s="265" t="s">
        <v>818</v>
      </c>
      <c r="C27" s="265" t="s">
        <v>1185</v>
      </c>
      <c r="D27" s="265" t="str">
        <f>ADDRESS(ROW(UNKB0080_B_KOBAIHIN_LIST)+1+UNKB0080_B_HYOJI_KENSU-1,COLUMN(UNKB0080_B_KOBAIHIN_LIST)+COLUMNS(UNKB0080_IF_LIST_COPY_MOTO)-1)</f>
        <v>$AK$17</v>
      </c>
    </row>
    <row r="28" spans="2:4">
      <c r="B28" s="265" t="s">
        <v>1442</v>
      </c>
      <c r="C28" s="265" t="s">
        <v>1186</v>
      </c>
      <c r="D28" s="265" t="b">
        <f>IF(UNKB0080_B_HYOJI_KENSU&lt;&gt;0,TRUE,FALSE)</f>
        <v>1</v>
      </c>
    </row>
    <row r="29" spans="2:4">
      <c r="B29" s="265" t="s">
        <v>819</v>
      </c>
      <c r="C29" s="265" t="s">
        <v>1187</v>
      </c>
      <c r="D29" s="265" t="str">
        <f>IF(UNKB0080_B_HYOJI_KENSU=0,"",UNKB0080_B_LIST_START&amp;":"&amp;
ADDRESS(ROW(UNKB0080_B_KOBAIHIN_LIST)+1+UNKB0080_B_HYOJI_KENSU-1,COLUMN(UNKB0080_B_KOBAIHIN_LIST)+COLUMNS(UNKB0080_IF_LIST_COPY_MOTO)-1))</f>
        <v>$G$17:$AK$17</v>
      </c>
    </row>
    <row r="30" spans="2:4">
      <c r="B30" s="265" t="s">
        <v>820</v>
      </c>
      <c r="C30" s="265" t="s">
        <v>1443</v>
      </c>
      <c r="D30" s="265" t="str">
        <f>ADDRESS(ROW(UNKB0080_B_KOBAIHIN_LIST)+1,COLUMN(UNKB0080_B_KOBAIHIN_LIST))&amp;":"&amp;
ADDRESS(ROW(UNKB0080_B_KOBAIHIN_LIST)+1+UNKB0080_B_HYOJI_GYO_SU-1,COLUMN(UNKB0080_B_KOBAIHIN_LIST)+COLUMNS(UNKB0080_IF_LIST_COPY_MOTO)-1)</f>
        <v>$G$17:$AK$66</v>
      </c>
    </row>
    <row r="31" spans="2:4">
      <c r="B31" s="375"/>
      <c r="C31" s="376"/>
      <c r="D31" s="375"/>
    </row>
    <row r="32" spans="2:4">
      <c r="B32" s="265" t="s">
        <v>821</v>
      </c>
      <c r="C32" s="265" t="s">
        <v>1444</v>
      </c>
      <c r="D32" s="265">
        <f>UNKB0080_B_PAGE_NO+1</f>
        <v>2</v>
      </c>
    </row>
    <row r="33" spans="2:4">
      <c r="B33" s="265" t="s">
        <v>822</v>
      </c>
      <c r="C33" s="265" t="s">
        <v>1445</v>
      </c>
      <c r="D33" s="265">
        <f>UNKB0080_B_PAGE_NO-1</f>
        <v>0</v>
      </c>
    </row>
    <row r="34" spans="2:4">
      <c r="B34" s="265" t="s">
        <v>823</v>
      </c>
      <c r="C34" s="265" t="s">
        <v>1446</v>
      </c>
      <c r="D34" s="265">
        <f>IF(1&lt;UNKB0080_B_PAGE_NO,1,2)</f>
        <v>2</v>
      </c>
    </row>
    <row r="35" spans="2:4">
      <c r="B35" s="265" t="s">
        <v>824</v>
      </c>
      <c r="C35" s="265" t="s">
        <v>1447</v>
      </c>
      <c r="D35" s="265">
        <f>IF(UNKB0080_B_PAGE_NO&lt;UNKB0080_B_ALL_PAGE_SU,1,2)</f>
        <v>2</v>
      </c>
    </row>
  </sheetData>
  <sheetProtection sheet="1" objects="1" scenarios="1" selectLockedCells="1"/>
  <phoneticPr fontId="1"/>
  <conditionalFormatting sqref="J1:K14">
    <cfRule type="containsText" dxfId="52" priority="1" operator="containsText" text="準備納期外">
      <formula>NOT(ISERROR(SEARCH("準備納期外",J1)))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2:CL23"/>
  <sheetViews>
    <sheetView zoomScale="85" zoomScaleNormal="85" workbookViewId="0">
      <selection activeCell="AR11" sqref="AR11"/>
    </sheetView>
  </sheetViews>
  <sheetFormatPr defaultRowHeight="13.5"/>
  <cols>
    <col min="1" max="1" width="13.375" style="230" customWidth="1"/>
    <col min="2" max="2" width="11.375" style="230" customWidth="1"/>
    <col min="3" max="3" width="18" style="230" customWidth="1"/>
    <col min="4" max="35" width="9" style="230"/>
    <col min="36" max="36" width="13.625" style="230" customWidth="1"/>
    <col min="37" max="37" width="14.25" style="230" customWidth="1"/>
    <col min="38" max="39" width="9" style="230"/>
    <col min="40" max="40" width="5.875" style="230" customWidth="1"/>
    <col min="41" max="41" width="9" style="230" customWidth="1"/>
    <col min="42" max="42" width="5.125" style="230" customWidth="1"/>
    <col min="43" max="43" width="14.875" style="230" customWidth="1"/>
    <col min="44" max="44" width="9" style="230"/>
    <col min="45" max="45" width="13.875" style="230" customWidth="1"/>
    <col min="46" max="46" width="4.25" style="230" customWidth="1"/>
    <col min="47" max="47" width="9" style="230"/>
    <col min="48" max="48" width="5.25" style="230" customWidth="1"/>
    <col min="49" max="49" width="9.375" style="230" customWidth="1"/>
    <col min="50" max="50" width="5.375" style="230" customWidth="1"/>
    <col min="51" max="51" width="9" style="230"/>
    <col min="52" max="52" width="18.25" style="230" customWidth="1"/>
    <col min="53" max="16384" width="9" style="230"/>
  </cols>
  <sheetData>
    <row r="2" spans="1:90">
      <c r="A2" s="211" t="s">
        <v>855</v>
      </c>
      <c r="V2" s="231"/>
      <c r="W2" s="231"/>
      <c r="X2" s="231"/>
      <c r="Y2" s="231"/>
      <c r="Z2" s="231"/>
      <c r="AA2" s="231"/>
      <c r="AB2" s="231"/>
      <c r="AC2" s="231"/>
      <c r="AD2" s="231"/>
      <c r="AE2" s="231"/>
      <c r="AF2" s="231"/>
      <c r="AG2" s="231"/>
      <c r="AH2" s="231"/>
      <c r="AI2" s="231"/>
      <c r="AJ2" s="231"/>
      <c r="AK2" s="231"/>
      <c r="AL2" s="231"/>
      <c r="AM2" s="57" t="s">
        <v>841</v>
      </c>
      <c r="AN2" s="354" t="s">
        <v>1192</v>
      </c>
    </row>
    <row r="3" spans="1:90" ht="16.5">
      <c r="D3" s="173" t="s">
        <v>85</v>
      </c>
      <c r="E3" s="173" t="s">
        <v>661</v>
      </c>
      <c r="F3" s="174" t="s">
        <v>40</v>
      </c>
      <c r="G3" s="173" t="s">
        <v>41</v>
      </c>
      <c r="H3" s="173" t="s">
        <v>625</v>
      </c>
      <c r="I3" s="175" t="s">
        <v>794</v>
      </c>
      <c r="J3" s="173" t="s">
        <v>44</v>
      </c>
      <c r="K3" s="173" t="s">
        <v>45</v>
      </c>
      <c r="L3" s="173" t="s">
        <v>46</v>
      </c>
      <c r="M3" s="173" t="s">
        <v>47</v>
      </c>
      <c r="N3" s="173" t="s">
        <v>48</v>
      </c>
      <c r="O3" s="173" t="s">
        <v>51</v>
      </c>
      <c r="P3" s="173" t="s">
        <v>50</v>
      </c>
      <c r="Q3" s="173" t="s">
        <v>49</v>
      </c>
      <c r="R3" s="173" t="s">
        <v>52</v>
      </c>
      <c r="S3" s="173" t="s">
        <v>53</v>
      </c>
      <c r="T3" s="173" t="s">
        <v>89</v>
      </c>
      <c r="U3" s="173" t="s">
        <v>54</v>
      </c>
      <c r="V3" s="173" t="s">
        <v>55</v>
      </c>
      <c r="W3" s="173" t="s">
        <v>56</v>
      </c>
      <c r="X3" s="173" t="s">
        <v>57</v>
      </c>
      <c r="Y3" s="173" t="s">
        <v>58</v>
      </c>
      <c r="Z3" s="173" t="s">
        <v>59</v>
      </c>
      <c r="AA3" s="173" t="s">
        <v>75</v>
      </c>
      <c r="AB3" s="173" t="s">
        <v>61</v>
      </c>
      <c r="AC3" s="173" t="s">
        <v>62</v>
      </c>
      <c r="AD3" s="173" t="s">
        <v>63</v>
      </c>
      <c r="AE3" s="173" t="s">
        <v>64</v>
      </c>
      <c r="AF3" s="173" t="s">
        <v>65</v>
      </c>
      <c r="AG3" s="173" t="s">
        <v>66</v>
      </c>
      <c r="AH3" s="173" t="s">
        <v>655</v>
      </c>
      <c r="AJ3" s="211" t="s">
        <v>859</v>
      </c>
      <c r="AN3" s="489"/>
      <c r="AO3" s="489"/>
      <c r="AP3" s="333" t="s">
        <v>642</v>
      </c>
      <c r="AQ3" s="474"/>
      <c r="AR3" s="218"/>
      <c r="AS3" s="166" t="s">
        <v>31</v>
      </c>
      <c r="AT3" s="564"/>
      <c r="AU3" s="564"/>
      <c r="AV3" s="218"/>
      <c r="AW3" s="166" t="s">
        <v>32</v>
      </c>
      <c r="AX3" s="566"/>
      <c r="AY3" s="566"/>
      <c r="AZ3" s="25" t="str">
        <f>IF(UNKB0080_H_KOBAIHIN_CD="","",UNKB0080_H_KOBAIHIN_MEI)</f>
        <v/>
      </c>
      <c r="BB3" s="211" t="s">
        <v>870</v>
      </c>
      <c r="BD3" s="230" t="s">
        <v>871</v>
      </c>
      <c r="BE3" s="230" t="s">
        <v>1188</v>
      </c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95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</row>
    <row r="4" spans="1:90" ht="16.5">
      <c r="B4" s="230" t="s">
        <v>843</v>
      </c>
      <c r="C4" s="231" t="s">
        <v>1449</v>
      </c>
      <c r="D4" s="226"/>
      <c r="E4" s="226"/>
      <c r="F4" s="226"/>
      <c r="G4" s="226"/>
      <c r="H4" s="226"/>
      <c r="I4" s="226"/>
      <c r="J4" s="226"/>
      <c r="K4" s="226"/>
      <c r="L4" s="226"/>
      <c r="M4" s="226"/>
      <c r="N4" s="226"/>
      <c r="O4" s="226"/>
      <c r="P4" s="226"/>
      <c r="Q4" s="226"/>
      <c r="R4" s="226"/>
      <c r="S4" s="226"/>
      <c r="T4" s="226"/>
      <c r="U4" s="226"/>
      <c r="V4" s="226"/>
      <c r="W4" s="226"/>
      <c r="X4" s="226"/>
      <c r="Y4" s="226"/>
      <c r="Z4" s="226"/>
      <c r="AA4" s="226"/>
      <c r="AB4" s="226"/>
      <c r="AC4" s="226"/>
      <c r="AD4" s="226"/>
      <c r="AE4" s="226"/>
      <c r="AF4" s="226"/>
      <c r="AG4" s="226"/>
      <c r="AH4" s="226"/>
      <c r="AK4" s="231" t="s">
        <v>1450</v>
      </c>
      <c r="AN4" s="489"/>
      <c r="AO4" s="489"/>
      <c r="AP4" s="154" t="s">
        <v>1451</v>
      </c>
      <c r="AQ4" s="474"/>
      <c r="AR4" s="218"/>
      <c r="AS4" s="166" t="s">
        <v>1452</v>
      </c>
      <c r="AT4" s="565"/>
      <c r="AU4" s="565"/>
      <c r="AV4" s="218"/>
      <c r="AW4" s="166" t="s">
        <v>34</v>
      </c>
      <c r="AX4" s="566"/>
      <c r="AY4" s="566"/>
      <c r="AZ4" s="25" t="str">
        <f>IF(UNKB0080_H_SHIIRESAKI_CD="","",UNKB0080_H_SHIIRE_MEI)</f>
        <v/>
      </c>
      <c r="BG4" s="220" t="s">
        <v>1193</v>
      </c>
      <c r="BH4" s="220" t="s">
        <v>1194</v>
      </c>
      <c r="BI4" s="220" t="s">
        <v>1195</v>
      </c>
      <c r="BJ4" s="220" t="s">
        <v>1196</v>
      </c>
      <c r="BK4" s="220" t="s">
        <v>625</v>
      </c>
      <c r="BL4" s="220" t="s">
        <v>794</v>
      </c>
      <c r="BM4" s="220" t="s">
        <v>1197</v>
      </c>
      <c r="BN4" s="220" t="s">
        <v>1198</v>
      </c>
      <c r="BO4" s="220" t="s">
        <v>1199</v>
      </c>
      <c r="BP4" s="220" t="s">
        <v>1200</v>
      </c>
      <c r="BQ4" s="220" t="s">
        <v>1201</v>
      </c>
      <c r="BR4" s="220" t="s">
        <v>1204</v>
      </c>
      <c r="BS4" s="220" t="s">
        <v>1203</v>
      </c>
      <c r="BT4" s="220" t="s">
        <v>1202</v>
      </c>
      <c r="BU4" s="220" t="s">
        <v>1205</v>
      </c>
      <c r="BV4" s="220" t="s">
        <v>1206</v>
      </c>
      <c r="BW4" s="220" t="s">
        <v>1207</v>
      </c>
      <c r="BX4" s="220" t="s">
        <v>1208</v>
      </c>
      <c r="BY4" s="220" t="s">
        <v>1209</v>
      </c>
      <c r="BZ4" s="220" t="s">
        <v>1210</v>
      </c>
      <c r="CA4" s="220" t="s">
        <v>1211</v>
      </c>
      <c r="CB4" s="220" t="s">
        <v>1212</v>
      </c>
      <c r="CC4" s="220" t="s">
        <v>1213</v>
      </c>
      <c r="CD4" s="220" t="s">
        <v>1214</v>
      </c>
      <c r="CE4" s="220" t="s">
        <v>75</v>
      </c>
      <c r="CF4" s="220" t="s">
        <v>1215</v>
      </c>
      <c r="CG4" s="220" t="s">
        <v>1216</v>
      </c>
      <c r="CH4" s="220" t="s">
        <v>1217</v>
      </c>
      <c r="CI4" s="220" t="s">
        <v>1218</v>
      </c>
      <c r="CJ4" s="220" t="s">
        <v>1219</v>
      </c>
      <c r="CK4" s="220" t="s">
        <v>1220</v>
      </c>
      <c r="CL4" s="220" t="s">
        <v>1221</v>
      </c>
    </row>
    <row r="5" spans="1:90" ht="16.5">
      <c r="B5" s="230" t="s">
        <v>844</v>
      </c>
      <c r="C5" s="231" t="s">
        <v>1453</v>
      </c>
      <c r="D5" s="176"/>
      <c r="E5" s="176"/>
      <c r="F5" s="236"/>
      <c r="G5" s="176"/>
      <c r="H5" s="236"/>
      <c r="I5" s="236"/>
      <c r="J5" s="165"/>
      <c r="K5" s="176"/>
      <c r="L5" s="237"/>
      <c r="M5" s="359"/>
      <c r="N5" s="359"/>
      <c r="O5" s="176"/>
      <c r="P5" s="359"/>
      <c r="Q5" s="176"/>
      <c r="R5" s="359"/>
      <c r="S5" s="359"/>
      <c r="T5" s="165"/>
      <c r="U5" s="165"/>
      <c r="V5" s="165"/>
      <c r="W5" s="165"/>
      <c r="X5" s="176"/>
      <c r="Y5" s="176"/>
      <c r="Z5" s="237"/>
      <c r="AA5" s="176"/>
      <c r="AB5" s="237"/>
      <c r="AC5" s="176"/>
      <c r="AD5" s="176"/>
      <c r="AE5" s="237"/>
      <c r="AF5" s="176"/>
      <c r="AG5" s="176"/>
      <c r="AH5" s="176"/>
      <c r="AJ5" s="179" t="s">
        <v>69</v>
      </c>
      <c r="AK5" s="180" t="b">
        <v>1</v>
      </c>
      <c r="AN5" s="489"/>
      <c r="AO5" s="489"/>
      <c r="AP5" s="154" t="s">
        <v>1448</v>
      </c>
      <c r="AQ5" s="474"/>
      <c r="AR5" s="218"/>
      <c r="AS5" s="166" t="s">
        <v>36</v>
      </c>
      <c r="AT5" s="564"/>
      <c r="AU5" s="564"/>
      <c r="AV5" s="218"/>
      <c r="AW5" s="166" t="s">
        <v>37</v>
      </c>
      <c r="AX5" s="566"/>
      <c r="AY5" s="566"/>
      <c r="AZ5" s="25" t="str">
        <f>IF(UNKB0080_H_MAKER_CD="","",UNKB0080_H_MAKER_MEI)</f>
        <v/>
      </c>
      <c r="BG5" s="216"/>
    </row>
    <row r="6" spans="1:90" ht="16.5">
      <c r="AJ6" s="179" t="s">
        <v>20</v>
      </c>
      <c r="AK6" s="181" t="b">
        <v>1</v>
      </c>
      <c r="AN6" s="489"/>
      <c r="AO6" s="489"/>
      <c r="AP6" s="154" t="s">
        <v>71</v>
      </c>
      <c r="AQ6" s="474"/>
      <c r="AR6" s="218"/>
      <c r="AS6" s="166" t="s">
        <v>1904</v>
      </c>
      <c r="AT6" s="487"/>
      <c r="AU6" s="488"/>
      <c r="AV6" s="218"/>
      <c r="AW6" s="218"/>
      <c r="AX6" s="218"/>
      <c r="AY6" s="218"/>
      <c r="AZ6" s="218"/>
      <c r="BC6" s="230" t="s">
        <v>872</v>
      </c>
      <c r="BD6" s="231" t="s">
        <v>1222</v>
      </c>
      <c r="BE6" s="216">
        <v>1</v>
      </c>
    </row>
    <row r="7" spans="1:90" ht="16.5">
      <c r="AJ7" s="30" t="s">
        <v>699</v>
      </c>
      <c r="AK7" s="181" t="b">
        <v>1</v>
      </c>
      <c r="AN7" s="218"/>
      <c r="AO7" s="218"/>
      <c r="AP7" s="218"/>
      <c r="AQ7" s="218"/>
      <c r="AR7" s="218"/>
      <c r="AS7" s="218"/>
      <c r="AT7" s="218"/>
      <c r="AU7" s="218"/>
      <c r="AV7" s="218"/>
      <c r="AW7" s="218"/>
      <c r="AX7" s="218"/>
      <c r="AY7" s="218"/>
      <c r="AZ7" s="218"/>
      <c r="BC7" s="230" t="s">
        <v>391</v>
      </c>
      <c r="BD7" s="230" t="s">
        <v>1189</v>
      </c>
      <c r="BE7" s="216" t="str">
        <f>IF(UNKB0080_IF_PRINT_COUNT=0,"",
"UNKB0080_IF!"&amp;ADDRESS(ROW(UNKB0080_IF_PRINT_START),COLUMN(UNKB0080_IF_PRINT_START))&amp;":" &amp; ADDRESS(ROW(UNKB0080_IF_PRINT_START)+UNKB0080_IF_PRINT_COUNT-1,COLUMN(UNKB0080_IF_PRINT_START)+COLUMNS(UNKB0080_IF_PRINT_SHOSHIKI_COPY_MOTO)-1))</f>
        <v>UNKB0080_IF!$BG$5:$CL$5</v>
      </c>
    </row>
    <row r="8" spans="1:90" ht="16.5">
      <c r="A8" s="57" t="s">
        <v>840</v>
      </c>
      <c r="B8" s="231"/>
      <c r="C8" s="231"/>
      <c r="D8" s="231"/>
      <c r="E8" s="231"/>
      <c r="F8" s="231"/>
      <c r="AJ8" s="179" t="s">
        <v>22</v>
      </c>
      <c r="AK8" s="181" t="b">
        <v>1</v>
      </c>
      <c r="AN8" s="491"/>
      <c r="AO8" s="491"/>
      <c r="AP8" s="167" t="s">
        <v>1500</v>
      </c>
      <c r="AQ8" s="355"/>
      <c r="AR8" s="167" t="str">
        <f>UNKB0080_H_FREEWD_KBN_DISP</f>
        <v>AND</v>
      </c>
      <c r="AS8" s="355"/>
      <c r="AT8" s="218"/>
      <c r="AU8" s="218"/>
      <c r="AV8" s="218"/>
      <c r="AW8" s="218"/>
      <c r="AX8" s="218"/>
      <c r="AY8" s="218"/>
      <c r="AZ8" s="218"/>
      <c r="BC8" s="230" t="s">
        <v>885</v>
      </c>
      <c r="BD8" s="230" t="s">
        <v>1190</v>
      </c>
      <c r="BE8" s="216" t="b">
        <f>IF(UNKB0080_IF_PRINT_COUNT=0,FALSE,TRUE)</f>
        <v>1</v>
      </c>
    </row>
    <row r="9" spans="1:90" ht="16.5">
      <c r="A9" s="231"/>
      <c r="B9" s="231" t="s">
        <v>127</v>
      </c>
      <c r="C9" s="231" t="s">
        <v>1454</v>
      </c>
      <c r="D9" s="155"/>
      <c r="E9" s="231" t="s">
        <v>128</v>
      </c>
      <c r="F9" s="231" t="s">
        <v>129</v>
      </c>
      <c r="AJ9" s="179" t="s">
        <v>23</v>
      </c>
      <c r="AK9" s="181" t="b">
        <v>0</v>
      </c>
    </row>
    <row r="10" spans="1:90" ht="16.5">
      <c r="A10" s="231"/>
      <c r="E10" s="231"/>
      <c r="F10" s="231"/>
      <c r="AJ10" s="179" t="s">
        <v>68</v>
      </c>
      <c r="AK10" s="181" t="b">
        <v>0</v>
      </c>
      <c r="BC10" s="230" t="s">
        <v>873</v>
      </c>
      <c r="BD10" s="231" t="s">
        <v>1191</v>
      </c>
      <c r="BE10" s="216" t="str">
        <f ca="1">"入荷予定一覧_"&amp;TEXT(NOW(),"YYYYMMDD")&amp;"_"&amp;TEXT(NOW(),"hhmmss")</f>
        <v>入荷予定一覧_20170714_180439</v>
      </c>
    </row>
    <row r="11" spans="1:90" ht="16.5">
      <c r="A11" s="231"/>
      <c r="B11" s="231"/>
      <c r="C11" s="231"/>
      <c r="D11" s="231"/>
      <c r="E11" s="231"/>
      <c r="F11" s="231"/>
      <c r="AJ11" s="179" t="s">
        <v>656</v>
      </c>
      <c r="AK11" s="181" t="b">
        <v>0</v>
      </c>
    </row>
    <row r="12" spans="1:90" ht="16.5">
      <c r="A12" s="211" t="s">
        <v>180</v>
      </c>
      <c r="B12" s="231"/>
      <c r="C12" s="160"/>
      <c r="F12" s="231"/>
      <c r="AJ12" s="179" t="s">
        <v>707</v>
      </c>
      <c r="AK12" s="181" t="b">
        <v>1</v>
      </c>
    </row>
    <row r="13" spans="1:90" ht="16.5">
      <c r="B13" s="230" t="s">
        <v>181</v>
      </c>
      <c r="C13" s="231" t="s">
        <v>1455</v>
      </c>
      <c r="D13" s="159"/>
      <c r="F13" s="231"/>
      <c r="AJ13" s="179" t="s">
        <v>27</v>
      </c>
      <c r="AK13" s="181" t="b">
        <v>0</v>
      </c>
    </row>
    <row r="14" spans="1:90" ht="16.5">
      <c r="B14" s="230" t="s">
        <v>182</v>
      </c>
      <c r="C14" s="231" t="s">
        <v>1456</v>
      </c>
      <c r="D14" s="159"/>
      <c r="F14" s="231"/>
      <c r="AJ14" s="179" t="s">
        <v>28</v>
      </c>
      <c r="AK14" s="181" t="b">
        <v>0</v>
      </c>
    </row>
    <row r="15" spans="1:90" ht="16.5">
      <c r="B15" s="230" t="s">
        <v>183</v>
      </c>
      <c r="C15" s="231" t="s">
        <v>1457</v>
      </c>
      <c r="D15" s="159"/>
      <c r="F15" s="231"/>
      <c r="AJ15" s="179" t="s">
        <v>710</v>
      </c>
      <c r="AK15" s="181" t="b">
        <v>0</v>
      </c>
    </row>
    <row r="16" spans="1:90" ht="16.5">
      <c r="C16" s="231"/>
      <c r="F16" s="231"/>
      <c r="AJ16" s="182" t="s">
        <v>1230</v>
      </c>
      <c r="AK16" s="181" t="b">
        <v>1</v>
      </c>
    </row>
    <row r="17" spans="1:37" ht="16.5">
      <c r="B17" s="230" t="s">
        <v>184</v>
      </c>
      <c r="C17" s="231" t="s">
        <v>1458</v>
      </c>
      <c r="D17" s="159"/>
      <c r="F17" s="231"/>
      <c r="AJ17" s="182" t="s">
        <v>1159</v>
      </c>
      <c r="AK17" s="181" t="b">
        <v>0</v>
      </c>
    </row>
    <row r="18" spans="1:37" ht="16.5">
      <c r="F18" s="231"/>
      <c r="AJ18" s="182" t="s">
        <v>114</v>
      </c>
      <c r="AK18" s="181"/>
    </row>
    <row r="19" spans="1:37" ht="16.5">
      <c r="A19" s="211"/>
      <c r="F19" s="231"/>
      <c r="AJ19" s="230" t="s">
        <v>452</v>
      </c>
      <c r="AK19" s="181"/>
    </row>
    <row r="20" spans="1:37" ht="16.5" customHeight="1">
      <c r="A20" s="68" t="s">
        <v>192</v>
      </c>
      <c r="B20" s="231"/>
      <c r="C20" s="231"/>
      <c r="D20" s="231"/>
      <c r="E20" s="211"/>
      <c r="F20" s="211"/>
      <c r="G20" s="211"/>
      <c r="AJ20" s="230" t="s">
        <v>90</v>
      </c>
      <c r="AK20" s="181"/>
    </row>
    <row r="21" spans="1:37" ht="16.5" customHeight="1">
      <c r="A21" s="57"/>
      <c r="B21" s="231" t="s">
        <v>1459</v>
      </c>
      <c r="C21" s="231" t="s">
        <v>1460</v>
      </c>
      <c r="D21" s="155">
        <f>IF(UNKB0080_B_ALL_KENSU&gt;0,1,2)</f>
        <v>2</v>
      </c>
      <c r="E21" s="230" t="s">
        <v>1461</v>
      </c>
      <c r="AJ21" s="230" t="s">
        <v>59</v>
      </c>
      <c r="AK21" s="181"/>
    </row>
    <row r="22" spans="1:37" ht="16.5">
      <c r="AJ22" s="230" t="s">
        <v>61</v>
      </c>
      <c r="AK22" s="181"/>
    </row>
    <row r="23" spans="1:37" ht="16.5">
      <c r="AJ23" s="230" t="s">
        <v>695</v>
      </c>
      <c r="AK23" s="183">
        <v>1</v>
      </c>
    </row>
  </sheetData>
  <mergeCells count="12">
    <mergeCell ref="AN8:AO8"/>
    <mergeCell ref="AN3:AO3"/>
    <mergeCell ref="AT3:AU3"/>
    <mergeCell ref="AX3:AY3"/>
    <mergeCell ref="AN4:AO4"/>
    <mergeCell ref="AT4:AU4"/>
    <mergeCell ref="AX4:AY4"/>
    <mergeCell ref="AN5:AO5"/>
    <mergeCell ref="AT5:AU5"/>
    <mergeCell ref="AX5:AY5"/>
    <mergeCell ref="AN6:AO6"/>
    <mergeCell ref="AT6:AU6"/>
  </mergeCells>
  <phoneticPr fontId="1"/>
  <conditionalFormatting sqref="F5">
    <cfRule type="expression" dxfId="51" priority="4">
      <formula>F5&lt;&gt;""</formula>
    </cfRule>
  </conditionalFormatting>
  <conditionalFormatting sqref="E5">
    <cfRule type="expression" priority="5">
      <formula>#REF!</formula>
    </cfRule>
  </conditionalFormatting>
  <conditionalFormatting sqref="M5">
    <cfRule type="expression" dxfId="50" priority="3">
      <formula>INDIRECT(ADDRESS(ROW(),COLUMN()))=TRUNC(INDIRECT(ADDRESS(ROW(),COLUMN())))</formula>
    </cfRule>
  </conditionalFormatting>
  <conditionalFormatting sqref="N5 R5:S5 P5">
    <cfRule type="expression" dxfId="49" priority="1">
      <formula>INDIRECT(ADDRESS(ROW(),COLUMN()))=TRUNC(INDIRECT(ADDRESS(ROW(),COLUMN())))</formula>
    </cfRule>
  </conditionalFormatting>
  <dataValidations count="3">
    <dataValidation type="custom" allowBlank="1" showInputMessage="1" showErrorMessage="1" sqref="AT5:AU5 AT3:AU3">
      <formula1>AND(LEN(AT3)=LENB(AT3),LEN(AT3)=10)</formula1>
    </dataValidation>
    <dataValidation type="date" allowBlank="1" showInputMessage="1" showErrorMessage="1" sqref="AN3:AO6 AQ3:AQ6">
      <formula1>36526</formula1>
      <formula2>73415</formula2>
    </dataValidation>
    <dataValidation type="custom" allowBlank="1" showInputMessage="1" showErrorMessage="1" sqref="AT6:AU6">
      <formula1>AND(LEN(AT6)=LENB(AT6),LEN(AT6)&lt;=10)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B5:H74"/>
  <sheetViews>
    <sheetView topLeftCell="A7" zoomScale="85" zoomScaleNormal="85" workbookViewId="0">
      <selection activeCell="F32" sqref="F32"/>
    </sheetView>
  </sheetViews>
  <sheetFormatPr defaultRowHeight="15" customHeight="1"/>
  <cols>
    <col min="1" max="1" width="9" style="230"/>
    <col min="2" max="2" width="3.5" style="230" customWidth="1"/>
    <col min="3" max="3" width="3.125" style="230" customWidth="1"/>
    <col min="4" max="4" width="3.25" style="230" customWidth="1"/>
    <col min="5" max="5" width="25.125" style="230" bestFit="1" customWidth="1"/>
    <col min="6" max="6" width="82.625" style="230" bestFit="1" customWidth="1"/>
    <col min="7" max="7" width="8.625" style="230" bestFit="1" customWidth="1"/>
    <col min="8" max="8" width="40.375" style="230" bestFit="1" customWidth="1"/>
    <col min="9" max="16384" width="9" style="230"/>
  </cols>
  <sheetData>
    <row r="5" spans="2:8" ht="15" customHeight="1">
      <c r="B5" s="504" t="s">
        <v>516</v>
      </c>
      <c r="C5" s="505"/>
      <c r="D5" s="505"/>
      <c r="E5" s="506"/>
      <c r="F5" s="147"/>
      <c r="G5" s="147"/>
      <c r="H5" s="148" t="s">
        <v>123</v>
      </c>
    </row>
    <row r="6" spans="2:8" ht="15" customHeight="1">
      <c r="B6" s="500" t="s">
        <v>799</v>
      </c>
      <c r="C6" s="501"/>
      <c r="D6" s="501"/>
      <c r="E6" s="502"/>
      <c r="F6" s="271" t="str">
        <f>F7&amp;F8&amp;F9&amp;UNKB0080_SQL_COMMON_WHERE&amp;UNKB0080_SQL_SORT&amp;UNKB0080_SQL_PAGE</f>
        <v>SELECT 
       ROW_NUMBER() OVER ()
      ,V_KOBAI_NYUKA_LIST.NYUKA_HAKKO_DISP
      ,V_KOBAI_NYUKA_LIST.WARNING
      ,V_KOBAI_NYUKA_LIST.KOBAI_KBN_MEI
      ,V_KOBAI_NYUKA_LIST.KOBAI_STS_MEI
      ,V_KOBAI_NYUKA_LIST.SHINSEISHA_MEI
      ,V_KOBAI_NYUKA_LIST.SHINSEI_DATETIME
      ,V_KOBAI_NYUKA_LIST.KOBAIHIN_CD
      ,V_KOBAI_NYUKA_LIST.KOBAIHIN_MEI
      ,V_KOBAI_NYUKA_LIST.TANKA
      ,V_KOBAI_NYUKA_LIST.IRISU
      ,V_KOBAI_NYUKA_LIST.BARA_TANI
      ,V_KOBAI_NYUKA_LIST.SURYO
      ,V_KOBAI_NYUKA_LIST.IRISU_TANI
      ,V_KOBAI_NYUKA_LIST.SOSU
      ,V_KOBAI_NYUKA_LIST.TOTAL
      ,V_KOBAI_NYUKA_LIST.HATCHU_DATE
      ,V_KOBAI_NYUKA_LIST.NOKI
      ,V_KOBAI_NYUKA_LIST.UKEIRE_DATE
      ,V_KOBAI_NYUKA_LIST.KENSHU_DATE
      ,V_KOBAI_NYUKA_LIST.HOKAN_BASHO_KBN_MEI
      ,V_KOBAI_NYUKA_LIST.SHIIRE_CD
      ,V_KOBAI_NYUKA_LIST.SHIIRE_MEI
      ,V_KOBAI_NYUKA_LIST.MAKER_CD
      ,V_KOBAI_NYUKA_LIST.MAKER_MEI
      ,V_KOBAI_NYUKA_LIST.YOSAN_CD
      ,V_KOBAI_NYUKA_LIST.JURI_NO
      ,V_KOBAI_NYUKA_LIST.BIKO
      ,V_KOBAI_NYUKA_LIST.KOBAI_NO
      ,V_KOBAI_NYUKA_LIST.IRAI_NO
      ,V_KOBAI_NYUKA_LIST.CHUMON_NO
 FROM V_KOBAI_NYUKA_LIST
 WHERE 1=1 
 AND (1!=1
 OR V_KOBAI_NYUKA_LIST.KOBAI_KBN = 1
 OR V_KOBAI_NYUKA_LIST.KOBAI_KBN = 2
 OR V_KOBAI_NYUKA_LIST.KOBAI_KBN = 3
 OR V_KOBAI_NYUKA_LIST.KOBAI_KBN = 4
 OR V_KOBAI_NYUKA_LIST.KOBAI_KBN = 5)
 AND (1!=1
 OR V_KOBAI_NYUKA_LIST.KOBAI_STS = 3)
 AND (1!=1
 OR V_KOBAI_NYUKA_LIST.NYUKA_HAKKO_FLG = 'False')
 OFFSET 0*50 ROWS
 FETCH NEXT 50 ROWS ONLY</v>
      </c>
      <c r="G6" s="134"/>
      <c r="H6" s="135" t="s">
        <v>1229</v>
      </c>
    </row>
    <row r="7" spans="2:8" ht="15" customHeight="1">
      <c r="B7" s="136"/>
      <c r="C7" s="503" t="s">
        <v>1787</v>
      </c>
      <c r="D7" s="503"/>
      <c r="E7" s="503"/>
      <c r="F7" s="272" t="str">
        <f>"SELECT 
       ROW_NUMBER() OVER ("&amp;UNKB0080_SQL_SORT&amp;")
"</f>
        <v xml:space="preserve">SELECT 
       ROW_NUMBER() OVER ()
</v>
      </c>
      <c r="G7" s="138"/>
      <c r="H7" s="139"/>
    </row>
    <row r="8" spans="2:8" ht="15" customHeight="1">
      <c r="B8" s="136"/>
      <c r="C8" s="503" t="s">
        <v>1788</v>
      </c>
      <c r="D8" s="503"/>
      <c r="E8" s="503"/>
      <c r="F8" s="272" t="s">
        <v>1801</v>
      </c>
      <c r="G8" s="138"/>
      <c r="H8" s="139"/>
    </row>
    <row r="9" spans="2:8" ht="15" customHeight="1">
      <c r="B9" s="136"/>
      <c r="C9" s="503" t="s">
        <v>1462</v>
      </c>
      <c r="D9" s="503"/>
      <c r="E9" s="503"/>
      <c r="F9" s="273" t="s">
        <v>1224</v>
      </c>
      <c r="G9" s="138"/>
      <c r="H9" s="139"/>
    </row>
    <row r="10" spans="2:8" ht="15" customHeight="1">
      <c r="B10" s="500" t="s">
        <v>802</v>
      </c>
      <c r="C10" s="501"/>
      <c r="D10" s="501"/>
      <c r="E10" s="502"/>
      <c r="F10" s="271" t="str">
        <f>F11&amp;F12&amp;UNKB0080_SQL_COMMON_WHERE</f>
        <v xml:space="preserve">SELECT 
       V_KOBAI_NYUKA_LIST.NYUKA_HAKKO_DISP
      ,V_KOBAI_NYUKA_LIST.NYUKA_HAKKO_FLG
      ,V_KOBAI_NYUKA_LIST.WARNING
      ,V_KOBAI_NYUKA_LIST.KOBAI_KBN_MEI
      ,V_KOBAI_NYUKA_LIST.KOBAI_STS_MEI
      ,V_KOBAI_NYUKA_LIST.SHINSEISHA_MEI
      ,V_KOBAI_NYUKA_LIST.SHINSEI_DATETIME
      ,V_KOBAI_NYUKA_LIST.KOBAIHIN_CD
      ,V_KOBAI_NYUKA_LIST.KOBAIHIN_MEI
      ,V_KOBAI_NYUKA_LIST.TANKA
      ,V_KOBAI_NYUKA_LIST.IRISU
      ,V_KOBAI_NYUKA_LIST.BARA_TANI
      ,V_KOBAI_NYUKA_LIST.SURYO
      ,V_KOBAI_NYUKA_LIST.IRISU_TANI
      ,V_KOBAI_NYUKA_LIST.SOSU
      ,V_KOBAI_NYUKA_LIST.TOTAL
      ,V_KOBAI_NYUKA_LIST.HATCHU_DATE
      ,V_KOBAI_NYUKA_LIST.NOKI
      ,V_KOBAI_NYUKA_LIST.UKEIRE_DATE
      ,V_KOBAI_NYUKA_LIST.KENSHU_DATE
      ,V_KOBAI_NYUKA_LIST.HOKAN_BASHO_KBN_MEI
      ,V_KOBAI_NYUKA_LIST.SHIIRE_CD
      ,V_KOBAI_NYUKA_LIST.SHIIRE_MEI
      ,V_KOBAI_NYUKA_LIST.MAKER_CD
      ,V_KOBAI_NYUKA_LIST.MAKER_MEI
      ,V_KOBAI_NYUKA_LIST.YOSAN_CD
      ,V_KOBAI_NYUKA_LIST.JURI_NO
      ,V_KOBAI_NYUKA_LIST.BIKO
      ,V_KOBAI_NYUKA_LIST.KOBAI_NO
      ,V_KOBAI_NYUKA_LIST.IRAI_NO
      ,V_KOBAI_NYUKA_LIST.CHUMON_NO
  FROM V_KOBAI_NYUKA_LIST
 WHERE 1=1 
 AND (1!=1
 OR V_KOBAI_NYUKA_LIST.KOBAI_KBN = 1
 OR V_KOBAI_NYUKA_LIST.KOBAI_KBN = 2
 OR V_KOBAI_NYUKA_LIST.KOBAI_KBN = 3
 OR V_KOBAI_NYUKA_LIST.KOBAI_KBN = 4
 OR V_KOBAI_NYUKA_LIST.KOBAI_KBN = 5)
 AND (1!=1
 OR V_KOBAI_NYUKA_LIST.KOBAI_STS = 3)
 AND (1!=1
 OR V_KOBAI_NYUKA_LIST.NYUKA_HAKKO_FLG = 'False')
</v>
      </c>
      <c r="G10" s="134"/>
      <c r="H10" s="135" t="s">
        <v>1228</v>
      </c>
    </row>
    <row r="11" spans="2:8" ht="15" customHeight="1">
      <c r="B11" s="136"/>
      <c r="C11" s="503" t="s">
        <v>124</v>
      </c>
      <c r="D11" s="503"/>
      <c r="E11" s="503"/>
      <c r="F11" s="272" t="s">
        <v>1802</v>
      </c>
      <c r="G11" s="138"/>
      <c r="H11" s="139"/>
    </row>
    <row r="12" spans="2:8" ht="15" customHeight="1">
      <c r="B12" s="136"/>
      <c r="C12" s="503" t="s">
        <v>1462</v>
      </c>
      <c r="D12" s="503"/>
      <c r="E12" s="503"/>
      <c r="F12" s="273" t="s">
        <v>1463</v>
      </c>
      <c r="G12" s="138"/>
      <c r="H12" s="139"/>
    </row>
    <row r="13" spans="2:8" ht="15" customHeight="1">
      <c r="B13" s="500" t="s">
        <v>1464</v>
      </c>
      <c r="C13" s="501"/>
      <c r="D13" s="501"/>
      <c r="E13" s="502"/>
      <c r="F13" s="271" t="str">
        <f>F14&amp;F15&amp;UNKB0080_SQL_COMMON_WHERE</f>
        <v xml:space="preserve">SELECT COUNT(*) AS CNT
 FROM V_KOBAI_NYUKA_LIST
 WHERE 1=1 
 AND (1!=1
 OR V_KOBAI_NYUKA_LIST.KOBAI_KBN = 1
 OR V_KOBAI_NYUKA_LIST.KOBAI_KBN = 2
 OR V_KOBAI_NYUKA_LIST.KOBAI_KBN = 3
 OR V_KOBAI_NYUKA_LIST.KOBAI_KBN = 4
 OR V_KOBAI_NYUKA_LIST.KOBAI_KBN = 5)
 AND (1!=1
 OR V_KOBAI_NYUKA_LIST.KOBAI_STS = 3)
 AND (1!=1
 OR V_KOBAI_NYUKA_LIST.NYUKA_HAKKO_FLG = 'False')
</v>
      </c>
      <c r="G13" s="134"/>
      <c r="H13" s="135" t="s">
        <v>1225</v>
      </c>
    </row>
    <row r="14" spans="2:8" ht="15" customHeight="1">
      <c r="B14" s="136"/>
      <c r="C14" s="503" t="s">
        <v>124</v>
      </c>
      <c r="D14" s="503"/>
      <c r="E14" s="503"/>
      <c r="F14" s="273" t="s">
        <v>1465</v>
      </c>
      <c r="G14" s="138"/>
      <c r="H14" s="139"/>
    </row>
    <row r="15" spans="2:8" ht="15" customHeight="1">
      <c r="B15" s="136"/>
      <c r="C15" s="503" t="s">
        <v>1462</v>
      </c>
      <c r="D15" s="503"/>
      <c r="E15" s="503"/>
      <c r="F15" s="273" t="s">
        <v>1223</v>
      </c>
      <c r="G15" s="138"/>
      <c r="H15" s="139"/>
    </row>
    <row r="16" spans="2:8" ht="15" customHeight="1">
      <c r="B16" s="504" t="s">
        <v>1810</v>
      </c>
      <c r="C16" s="505"/>
      <c r="D16" s="505"/>
      <c r="E16" s="506"/>
      <c r="F16" s="147"/>
      <c r="G16" s="147"/>
      <c r="H16" s="148" t="s">
        <v>123</v>
      </c>
    </row>
    <row r="17" spans="2:8" ht="15" customHeight="1">
      <c r="B17" s="500" t="s">
        <v>1811</v>
      </c>
      <c r="C17" s="501"/>
      <c r="D17" s="501"/>
      <c r="E17" s="502"/>
      <c r="F17" s="271" t="str">
        <f>F18&amp;F19&amp;UNKB0080_SQL_COMMON_WHERE</f>
        <v xml:space="preserve">SELECT DISTINCT
       SHIIRE_CD FROM V_KOBAI_NYUKA_LIST
 WHERE 1=1 
 AND (1!=1
 OR V_KOBAI_NYUKA_LIST.KOBAI_KBN = 1
 OR V_KOBAI_NYUKA_LIST.KOBAI_KBN = 2
 OR V_KOBAI_NYUKA_LIST.KOBAI_KBN = 3
 OR V_KOBAI_NYUKA_LIST.KOBAI_KBN = 4
 OR V_KOBAI_NYUKA_LIST.KOBAI_KBN = 5)
 AND (1!=1
 OR V_KOBAI_NYUKA_LIST.KOBAI_STS = 3)
 AND (1!=1
 OR V_KOBAI_NYUKA_LIST.NYUKA_HAKKO_FLG = 'False')
</v>
      </c>
      <c r="G17" s="134"/>
      <c r="H17" s="135" t="s">
        <v>1812</v>
      </c>
    </row>
    <row r="18" spans="2:8" ht="15" customHeight="1">
      <c r="B18" s="136"/>
      <c r="C18" s="503" t="s">
        <v>124</v>
      </c>
      <c r="D18" s="503"/>
      <c r="E18" s="503"/>
      <c r="F18" s="272" t="s">
        <v>1813</v>
      </c>
      <c r="G18" s="138"/>
      <c r="H18" s="139"/>
    </row>
    <row r="19" spans="2:8" ht="15" customHeight="1">
      <c r="B19" s="136"/>
      <c r="C19" s="503" t="s">
        <v>1349</v>
      </c>
      <c r="D19" s="503"/>
      <c r="E19" s="503"/>
      <c r="F19" s="273" t="s">
        <v>1224</v>
      </c>
      <c r="G19" s="138"/>
      <c r="H19" s="139"/>
    </row>
    <row r="20" spans="2:8" ht="15" customHeight="1">
      <c r="B20" s="500" t="s">
        <v>1466</v>
      </c>
      <c r="C20" s="501"/>
      <c r="D20" s="501"/>
      <c r="E20" s="502"/>
      <c r="F20" s="271" t="str">
        <f ca="1">F21&amp;F22&amp;UNKB0080_SQL_COMMON_WHERE&amp;F23&amp;F24</f>
        <v>SELECT 
       V_KOBAI_NYUKA_LIST.KOBAI_NO
      ,V_KOBAI_NYUKA_LIST.KOBAI_SEQ
      ,V_KOBAI_NYUKA_LIST.IRAI_NO
      ,V_KOBAI_NYUKA_LIST.CHUMON_NO
      ,V_KOBAI_NYUKA_LIST.HATCHU_DATE
      ,V_KOBAI_NYUKA_LIST.NOKI
      ,V_KOBAI_NYUKA_LIST.SHINSEISHA_MEI
      ,V_KOBAI_NYUKA_LIST.SHIIRE_MEI
      ,CASE WHEN V_KOBAI_NYUKA_LIST.KOBAI_KBN = 2
            THEN V_KOBAI_NYUKA_LIST.JURI_NO
            ELSE V_KOBAI_NYUKA_LIST.MAKER_MEI
       END AS MAKER_MEI
      ,V_KOBAI_NYUKA_LIST.KOBAIHIN_MEI
      ,V_KOBAI_NYUKA_LIST.IRISU
      ,V_KOBAI_NYUKA_LIST.BARA_TANI
      ,V_KOBAI_NYUKA_LIST.SURYO
      ,V_KOBAI_NYUKA_LIST.IRISU_TANI
      ,V_KOBAI_NYUKA_LIST.SOSU
      ,V_KOBAI_NYUKA_LIST.YOSAN_CD
 FROM V_KOBAI_NYUKA_LIST
 WHERE 1=1 
 AND (1!=1
 OR V_KOBAI_NYUKA_LIST.KOBAI_KBN = 1
 OR V_KOBAI_NYUKA_LIST.KOBAI_KBN = 2
 OR V_KOBAI_NYUKA_LIST.KOBAI_KBN = 3
 OR V_KOBAI_NYUKA_LIST.KOBAI_KBN = 4
 OR V_KOBAI_NYUKA_LIST.KOBAI_KBN = 5)
 AND (1!=1
 OR V_KOBAI_NYUKA_LIST.KOBAI_STS = 3)
 AND (1!=1
 OR V_KOBAI_NYUKA_LIST.NYUKA_HAKKO_FLG = 'False')
 AND V_KOBAI_NYUKA_LIST.SHIIRE_CD = 'UNKB0080_REPORT_IF_LOOP_SHIIRE_CD'
 ORDER BY V_KOBAI_NYUKA_LIST.IRAI_NO ASC</v>
      </c>
      <c r="G20" s="134"/>
      <c r="H20" s="135" t="s">
        <v>1467</v>
      </c>
    </row>
    <row r="21" spans="2:8" ht="15" customHeight="1">
      <c r="B21" s="136"/>
      <c r="C21" s="503" t="s">
        <v>124</v>
      </c>
      <c r="D21" s="503"/>
      <c r="E21" s="503"/>
      <c r="F21" s="272" t="s">
        <v>1906</v>
      </c>
      <c r="G21" s="138"/>
      <c r="H21" s="139"/>
    </row>
    <row r="22" spans="2:8" ht="15" customHeight="1">
      <c r="B22" s="136"/>
      <c r="C22" s="503" t="s">
        <v>1462</v>
      </c>
      <c r="D22" s="503"/>
      <c r="E22" s="503"/>
      <c r="F22" s="273" t="s">
        <v>1224</v>
      </c>
      <c r="G22" s="138"/>
      <c r="H22" s="139"/>
    </row>
    <row r="23" spans="2:8" ht="15" customHeight="1">
      <c r="B23" s="136"/>
      <c r="C23" s="503" t="s">
        <v>1350</v>
      </c>
      <c r="D23" s="503"/>
      <c r="E23" s="503"/>
      <c r="F23" s="273" t="str">
        <f ca="1">"
 AND V_KOBAI_NYUKA_LIST.SHIIRE_CD = '"&amp;UNKB0080_REPORT_IF_SHIIRE_CD&amp;"'"</f>
        <v xml:space="preserve">
 AND V_KOBAI_NYUKA_LIST.SHIIRE_CD = 'UNKB0080_REPORT_IF_LOOP_SHIIRE_CD'</v>
      </c>
      <c r="G23" s="138"/>
      <c r="H23" s="139"/>
    </row>
    <row r="24" spans="2:8" ht="15" customHeight="1">
      <c r="B24" s="136"/>
      <c r="C24" s="503" t="s">
        <v>1864</v>
      </c>
      <c r="D24" s="503"/>
      <c r="E24" s="503"/>
      <c r="F24" s="272" t="s">
        <v>1865</v>
      </c>
      <c r="G24" s="138"/>
      <c r="H24" s="139"/>
    </row>
    <row r="25" spans="2:8" ht="15" customHeight="1">
      <c r="B25" s="500" t="s">
        <v>1468</v>
      </c>
      <c r="C25" s="501"/>
      <c r="D25" s="501"/>
      <c r="E25" s="502"/>
      <c r="F25" s="271" t="str">
        <f>F26&amp;UNKB0080_SQL_COMMON_WHERE</f>
        <v xml:space="preserve">UPDATE T_CHUMON
   SET T_CHUMON.NYUKA_HAKKO_FLG = 'True'
  FROM T_CHUMON
 INNER JOIN
       V_KOBAI_NYUKA_LIST
    ON V_KOBAI_NYUKA_LIST.KOBAI_NO  = T_CHUMON.KOBAI_NO
   AND V_KOBAI_NYUKA_LIST.KOBAI_SEQ = T_CHUMON.KOBAI_SEQ
 WHERE 1=1 
 AND (1!=1
 OR V_KOBAI_NYUKA_LIST.KOBAI_KBN = 1
 OR V_KOBAI_NYUKA_LIST.KOBAI_KBN = 2
 OR V_KOBAI_NYUKA_LIST.KOBAI_KBN = 3
 OR V_KOBAI_NYUKA_LIST.KOBAI_KBN = 4
 OR V_KOBAI_NYUKA_LIST.KOBAI_KBN = 5)
 AND (1!=1
 OR V_KOBAI_NYUKA_LIST.KOBAI_STS = 3)
 AND (1!=1
 OR V_KOBAI_NYUKA_LIST.NYUKA_HAKKO_FLG = 'False')
</v>
      </c>
      <c r="G25" s="134"/>
      <c r="H25" s="135" t="s">
        <v>1469</v>
      </c>
    </row>
    <row r="26" spans="2:8" ht="15" customHeight="1">
      <c r="B26" s="136"/>
      <c r="C26" s="585" t="s">
        <v>1470</v>
      </c>
      <c r="D26" s="586"/>
      <c r="E26" s="494"/>
      <c r="F26" s="272" t="s">
        <v>1501</v>
      </c>
      <c r="G26" s="138"/>
      <c r="H26" s="139"/>
    </row>
    <row r="27" spans="2:8" ht="15" customHeight="1">
      <c r="B27" s="500" t="s">
        <v>804</v>
      </c>
      <c r="C27" s="501"/>
      <c r="D27" s="501"/>
      <c r="E27" s="502"/>
      <c r="F27" s="271"/>
      <c r="G27" s="134"/>
      <c r="H27" s="135"/>
    </row>
    <row r="28" spans="2:8" ht="15" customHeight="1">
      <c r="B28" s="136"/>
      <c r="C28" s="503" t="s">
        <v>1471</v>
      </c>
      <c r="D28" s="503"/>
      <c r="E28" s="503"/>
      <c r="F28" s="272" t="str">
        <f>" WHERE 1=1 
" &amp;F29 &amp; F35 &amp; F42 &amp; F45 &amp; F46 &amp; F47 &amp; F48 &amp; F49 &amp; F50 &amp; F51 &amp; F52 &amp; F53 &amp; F54 &amp; F55 &amp; F56 &amp;F57 &amp; F58 &amp; F59 &amp; F60</f>
        <v xml:space="preserve"> WHERE 1=1 
 AND (1!=1
 OR V_KOBAI_NYUKA_LIST.KOBAI_KBN = 1
 OR V_KOBAI_NYUKA_LIST.KOBAI_KBN = 2
 OR V_KOBAI_NYUKA_LIST.KOBAI_KBN = 3
 OR V_KOBAI_NYUKA_LIST.KOBAI_KBN = 4
 OR V_KOBAI_NYUKA_LIST.KOBAI_KBN = 5)
 AND (1!=1
 OR V_KOBAI_NYUKA_LIST.KOBAI_STS = 3)
 AND (1!=1
 OR V_KOBAI_NYUKA_LIST.NYUKA_HAKKO_FLG = 'False')
</v>
      </c>
      <c r="G28" s="138"/>
      <c r="H28" s="139" t="s">
        <v>1822</v>
      </c>
    </row>
    <row r="29" spans="2:8" ht="15" customHeight="1">
      <c r="B29" s="136"/>
      <c r="C29" s="140"/>
      <c r="D29" s="493" t="s">
        <v>41</v>
      </c>
      <c r="E29" s="494"/>
      <c r="F29" s="272" t="str">
        <f>" AND (1!=1
 "&amp; F30 &amp; F31 &amp; F32 &amp; F33 &amp; F34 &amp;")
"</f>
        <v xml:space="preserve"> AND (1!=1
 OR V_KOBAI_NYUKA_LIST.KOBAI_KBN = 1
 OR V_KOBAI_NYUKA_LIST.KOBAI_KBN = 2
 OR V_KOBAI_NYUKA_LIST.KOBAI_KBN = 3
 OR V_KOBAI_NYUKA_LIST.KOBAI_KBN = 4
 OR V_KOBAI_NYUKA_LIST.KOBAI_KBN = 5)
</v>
      </c>
      <c r="G29" s="138"/>
      <c r="H29" s="139"/>
    </row>
    <row r="30" spans="2:8" ht="15" customHeight="1">
      <c r="B30" s="136"/>
      <c r="C30" s="141"/>
      <c r="D30" s="495"/>
      <c r="E30" s="142" t="s">
        <v>69</v>
      </c>
      <c r="F30" s="315" t="str">
        <f>IF(G30,"
 OR V_KOBAI_NYUKA_LIST.KOBAI_KBN = 1","")</f>
        <v xml:space="preserve">
 OR V_KOBAI_NYUKA_LIST.KOBAI_KBN = 1</v>
      </c>
      <c r="G30" s="143" t="b">
        <f>UNKB0080_H_KOBAIHIN_KBN_S</f>
        <v>1</v>
      </c>
      <c r="H30" s="144"/>
    </row>
    <row r="31" spans="2:8" ht="15" customHeight="1">
      <c r="B31" s="136"/>
      <c r="C31" s="141"/>
      <c r="D31" s="496"/>
      <c r="E31" s="142" t="s">
        <v>20</v>
      </c>
      <c r="F31" s="315" t="str">
        <f>IF(G31,"
 OR V_KOBAI_NYUKA_LIST.KOBAI_KBN = 2","")</f>
        <v xml:space="preserve">
 OR V_KOBAI_NYUKA_LIST.KOBAI_KBN = 2</v>
      </c>
      <c r="G31" s="143" t="b">
        <f>UNKB0080_H_GAICHU_KBN_S</f>
        <v>1</v>
      </c>
      <c r="H31" s="144"/>
    </row>
    <row r="32" spans="2:8" ht="15" customHeight="1">
      <c r="B32" s="136"/>
      <c r="C32" s="141"/>
      <c r="D32" s="496"/>
      <c r="E32" s="142" t="s">
        <v>699</v>
      </c>
      <c r="F32" s="315" t="str">
        <f>IF(G32,"
 OR V_KOBAI_NYUKA_LIST.KOBAI_KBN = 3","")</f>
        <v xml:space="preserve">
 OR V_KOBAI_NYUKA_LIST.KOBAI_KBN = 3</v>
      </c>
      <c r="G32" s="143" t="b">
        <f>UNKB0080_H_SHUZEN_KBN_S</f>
        <v>1</v>
      </c>
      <c r="H32" s="144"/>
    </row>
    <row r="33" spans="2:8" ht="15" customHeight="1">
      <c r="B33" s="136"/>
      <c r="C33" s="141"/>
      <c r="D33" s="496"/>
      <c r="E33" s="142" t="s">
        <v>22</v>
      </c>
      <c r="F33" s="315" t="str">
        <f>IF(G33,"
 OR V_KOBAI_NYUKA_LIST.KOBAI_KBN = 4","")</f>
        <v xml:space="preserve">
 OR V_KOBAI_NYUKA_LIST.KOBAI_KBN = 4</v>
      </c>
      <c r="G33" s="143" t="b">
        <f>UNKB0080_H_TOSHI_KBN_S</f>
        <v>1</v>
      </c>
      <c r="H33" s="144"/>
    </row>
    <row r="34" spans="2:8" ht="15" customHeight="1">
      <c r="B34" s="136"/>
      <c r="C34" s="141"/>
      <c r="D34" s="496"/>
      <c r="E34" s="142" t="s">
        <v>23</v>
      </c>
      <c r="F34" s="315" t="str">
        <f>IF(G34,"
 OR V_KOBAI_NYUKA_LIST.KOBAI_KBN = 5","")</f>
        <v xml:space="preserve">
 OR V_KOBAI_NYUKA_LIST.KOBAI_KBN = 5</v>
      </c>
      <c r="G34" s="143" t="b">
        <f>UNKB0080_H_HANBAI_KBN_S</f>
        <v>1</v>
      </c>
      <c r="H34" s="144"/>
    </row>
    <row r="35" spans="2:8" ht="15" customHeight="1">
      <c r="B35" s="136"/>
      <c r="C35" s="141"/>
      <c r="D35" s="493" t="s">
        <v>42</v>
      </c>
      <c r="E35" s="494"/>
      <c r="F35" s="272" t="str">
        <f>" AND (1!=1
 "&amp; F36 &amp; F37 &amp; F38 &amp; F39 &amp; F40 &amp; F41 &amp;")
"</f>
        <v xml:space="preserve"> AND (1!=1
 OR V_KOBAI_NYUKA_LIST.KOBAI_STS = 3)
</v>
      </c>
      <c r="G35" s="138"/>
      <c r="H35" s="139"/>
    </row>
    <row r="36" spans="2:8" ht="15" customHeight="1">
      <c r="B36" s="136"/>
      <c r="C36" s="141"/>
      <c r="D36" s="495"/>
      <c r="E36" s="142" t="s">
        <v>68</v>
      </c>
      <c r="F36" s="315" t="str">
        <f>IF(G36,"
 OR V_KOBAI_NYUKA_LIST.KOBAI_STS = 1","")</f>
        <v/>
      </c>
      <c r="G36" s="143" t="b">
        <f>UNKB0080_H_MISHONIN_STS_S</f>
        <v>0</v>
      </c>
      <c r="H36" s="144"/>
    </row>
    <row r="37" spans="2:8" ht="15" customHeight="1">
      <c r="B37" s="136"/>
      <c r="C37" s="141"/>
      <c r="D37" s="496"/>
      <c r="E37" s="142" t="s">
        <v>656</v>
      </c>
      <c r="F37" s="315" t="str">
        <f>IF(G37,"
 OR V_KOBAI_NYUKA_LIST.KOBAI_STS = 2","")</f>
        <v/>
      </c>
      <c r="G37" s="143" t="b">
        <f>UNKB0080_H_IRAICHU_STS_S</f>
        <v>0</v>
      </c>
      <c r="H37" s="144"/>
    </row>
    <row r="38" spans="2:8" ht="15" customHeight="1">
      <c r="B38" s="136"/>
      <c r="C38" s="141"/>
      <c r="D38" s="496"/>
      <c r="E38" s="142" t="s">
        <v>707</v>
      </c>
      <c r="F38" s="315" t="str">
        <f>IF(G38,"
 OR V_KOBAI_NYUKA_LIST.KOBAI_STS = 3","")</f>
        <v xml:space="preserve">
 OR V_KOBAI_NYUKA_LIST.KOBAI_STS = 3</v>
      </c>
      <c r="G38" s="143" t="b">
        <f>UNKB0080_H_CHUMONSHO_STS_S</f>
        <v>1</v>
      </c>
      <c r="H38" s="144"/>
    </row>
    <row r="39" spans="2:8" ht="15" customHeight="1">
      <c r="B39" s="136"/>
      <c r="C39" s="141"/>
      <c r="D39" s="496"/>
      <c r="E39" s="142" t="s">
        <v>27</v>
      </c>
      <c r="F39" s="315" t="str">
        <f>IF(G39,"
 OR V_KOBAI_NYUKA_LIST.KOBAI_STS = 4","")</f>
        <v/>
      </c>
      <c r="G39" s="143" t="b">
        <f>UNKB0080_H_ICHIBU_STS_S</f>
        <v>0</v>
      </c>
      <c r="H39" s="144"/>
    </row>
    <row r="40" spans="2:8" ht="15" customHeight="1">
      <c r="B40" s="136"/>
      <c r="C40" s="141"/>
      <c r="D40" s="496"/>
      <c r="E40" s="142" t="s">
        <v>28</v>
      </c>
      <c r="F40" s="315" t="str">
        <f>IF(G40,"
 OR V_KOBAI_NYUKA_LIST.KOBAI_STS = 5","")</f>
        <v/>
      </c>
      <c r="G40" s="143" t="b">
        <f>UNKB0080_H_NYUKA_STS_S</f>
        <v>0</v>
      </c>
      <c r="H40" s="144"/>
    </row>
    <row r="41" spans="2:8" ht="15" customHeight="1">
      <c r="B41" s="136"/>
      <c r="C41" s="141"/>
      <c r="D41" s="496"/>
      <c r="E41" s="142" t="s">
        <v>710</v>
      </c>
      <c r="F41" s="315" t="str">
        <f>IF(G41,"
 OR V_KOBAI_NYUKA_LIST.KOBAI_STS = 6","")</f>
        <v/>
      </c>
      <c r="G41" s="143" t="b">
        <f>UNKB0080_H_KENSHU_STS_S</f>
        <v>0</v>
      </c>
      <c r="H41" s="144"/>
    </row>
    <row r="42" spans="2:8" ht="15" customHeight="1">
      <c r="B42" s="136"/>
      <c r="C42" s="141"/>
      <c r="D42" s="493" t="s">
        <v>1157</v>
      </c>
      <c r="E42" s="494"/>
      <c r="F42" s="272" t="str">
        <f>" AND (1!=1
 "&amp; F43 &amp; F44&amp;")
"</f>
        <v xml:space="preserve"> AND (1!=1
 OR V_KOBAI_NYUKA_LIST.NYUKA_HAKKO_FLG = 'False')
</v>
      </c>
      <c r="G42" s="138"/>
      <c r="H42" s="139"/>
    </row>
    <row r="43" spans="2:8" ht="15" customHeight="1">
      <c r="B43" s="136"/>
      <c r="C43" s="141"/>
      <c r="D43" s="572"/>
      <c r="E43" s="142" t="s">
        <v>1230</v>
      </c>
      <c r="F43" s="315" t="str">
        <f>IF(G43,"
 OR V_KOBAI_NYUKA_LIST.NYUKA_HAKKO_FLG = 'False'","")</f>
        <v xml:space="preserve">
 OR V_KOBAI_NYUKA_LIST.NYUKA_HAKKO_FLG = 'False'</v>
      </c>
      <c r="G43" s="143" t="b">
        <f>UNKB0080_H_INSATSU_MI_STS_S</f>
        <v>1</v>
      </c>
      <c r="H43" s="144"/>
    </row>
    <row r="44" spans="2:8" ht="15" customHeight="1">
      <c r="B44" s="136"/>
      <c r="C44" s="141"/>
      <c r="D44" s="495"/>
      <c r="E44" s="142" t="s">
        <v>1159</v>
      </c>
      <c r="F44" s="315" t="str">
        <f>IF(G44,"
 OR V_KOBAI_NYUKA_LIST.NYUKA_HAKKO_FLG = 'True'","")</f>
        <v/>
      </c>
      <c r="G44" s="143" t="b">
        <f>UNKB0080_H_INSATSU_SUMI_STS_S</f>
        <v>0</v>
      </c>
      <c r="H44" s="144"/>
    </row>
    <row r="45" spans="2:8" ht="15" customHeight="1">
      <c r="B45" s="136"/>
      <c r="C45" s="141"/>
      <c r="D45" s="492" t="s">
        <v>731</v>
      </c>
      <c r="E45" s="492"/>
      <c r="F45" s="316" t="str">
        <f>IF(G45," AND CONVERT(VARCHAR,V_KOBAI_NYUKA_LIST.SHINSEI_DATETIME,111) &gt;= '"&amp;TEXT(UNKB0080_H_SHINSEI_DATE_START_S,"YYYY/MM/DD")&amp;"'","")</f>
        <v/>
      </c>
      <c r="G45" s="138" t="b">
        <f>NOT(ISBLANK(UNKB0080_H_SHINSEI_DATE_START_S))</f>
        <v>0</v>
      </c>
      <c r="H45" s="139"/>
    </row>
    <row r="46" spans="2:8" ht="15" customHeight="1">
      <c r="B46" s="136"/>
      <c r="C46" s="141"/>
      <c r="D46" s="492" t="s">
        <v>733</v>
      </c>
      <c r="E46" s="492"/>
      <c r="F46" s="316" t="str">
        <f>IF(G46," AND CONVERT(VARCHAR,V_KOBAI_NYUKA_LIST.SHINSEI_DATETIME,111) &lt;=  '"&amp;TEXT(UNKB0080_H_SHINSEI_DATE_END_S,"YYYY/MM/DD")&amp;"'","")</f>
        <v/>
      </c>
      <c r="G46" s="138" t="b">
        <f>NOT(ISBLANK(UNKB0080_H_SHINSEI_DATE_END_S))</f>
        <v>0</v>
      </c>
      <c r="H46" s="139"/>
    </row>
    <row r="47" spans="2:8" ht="15" customHeight="1">
      <c r="B47" s="136"/>
      <c r="C47" s="141"/>
      <c r="D47" s="492" t="s">
        <v>735</v>
      </c>
      <c r="E47" s="492" t="s">
        <v>735</v>
      </c>
      <c r="F47" s="316" t="str">
        <f>IF(G47," AND V_KOBAI_NYUKA_LIST.NOKI &gt;=  '"&amp;TEXT(UNKB0080_H_NOKI_START_S,"YYYY/MM/DD")&amp;"'","")</f>
        <v/>
      </c>
      <c r="G47" s="138" t="b">
        <f>NOT(ISBLANK(UNKB0080_H_NOKI_START_S))</f>
        <v>0</v>
      </c>
      <c r="H47" s="139"/>
    </row>
    <row r="48" spans="2:8" ht="15" customHeight="1">
      <c r="B48" s="136"/>
      <c r="C48" s="141"/>
      <c r="D48" s="492" t="s">
        <v>736</v>
      </c>
      <c r="E48" s="492" t="s">
        <v>736</v>
      </c>
      <c r="F48" s="316" t="str">
        <f>IF(G48," AND V_KOBAI_NYUKA_LIST.NOKI &lt;=  '"&amp;TEXT(UNKB0080_H_NOKI_END_S,"YYYY/MM/DD")&amp;"'","")</f>
        <v/>
      </c>
      <c r="G48" s="138" t="b">
        <f>NOT(ISBLANK(UNKB0080_H_NOKI_END_S))</f>
        <v>0</v>
      </c>
      <c r="H48" s="139"/>
    </row>
    <row r="49" spans="2:8" ht="15" customHeight="1">
      <c r="B49" s="136"/>
      <c r="C49" s="141"/>
      <c r="D49" s="492" t="s">
        <v>737</v>
      </c>
      <c r="E49" s="492" t="s">
        <v>737</v>
      </c>
      <c r="F49" s="316" t="str">
        <f>IF(G49," AND V_KOBAI_NYUKA_LIST.UKEIRE_DATE &gt;=  '"&amp;TEXT(UNKB0080_H_UKEIRE_DATE_START_S,"YYYY/MM/DD")&amp;"'","")</f>
        <v/>
      </c>
      <c r="G49" s="138" t="b">
        <f>NOT(ISBLANK(UNKB0080_H_UKEIRE_DATE_START_S))</f>
        <v>0</v>
      </c>
      <c r="H49" s="139"/>
    </row>
    <row r="50" spans="2:8" ht="15" customHeight="1">
      <c r="B50" s="136"/>
      <c r="C50" s="141"/>
      <c r="D50" s="492" t="s">
        <v>738</v>
      </c>
      <c r="E50" s="492" t="s">
        <v>738</v>
      </c>
      <c r="F50" s="316" t="str">
        <f>IF(G50," AND V_KOBAI_NYUKA_LIST.UKEIRE_DATE &lt;=  '"&amp;TEXT(UNKB0080_H_UKEIRE_DATE_END_S,"YYYY/MM/DD")&amp;"'","")</f>
        <v/>
      </c>
      <c r="G50" s="138" t="b">
        <f>NOT(ISBLANK(UNKB0080_H_UKEIRE_DATE_END_S))</f>
        <v>0</v>
      </c>
      <c r="H50" s="139"/>
    </row>
    <row r="51" spans="2:8" ht="15" customHeight="1">
      <c r="B51" s="136"/>
      <c r="C51" s="141"/>
      <c r="D51" s="492" t="s">
        <v>739</v>
      </c>
      <c r="E51" s="492" t="s">
        <v>739</v>
      </c>
      <c r="F51" s="316" t="str">
        <f>IF(G51," AND V_KOBAI_NYUKA_LIST.KENSHU_DATE &gt;=  '"&amp;TEXT(UNKB0080_H_KENSHU_DATE_START_S,"YYYY/MM/DD")&amp;"'","")</f>
        <v/>
      </c>
      <c r="G51" s="138" t="b">
        <f>NOT(ISBLANK(UNKB0080_H_KENSHU_DATE_START_S))</f>
        <v>0</v>
      </c>
      <c r="H51" s="139"/>
    </row>
    <row r="52" spans="2:8" ht="15" customHeight="1">
      <c r="B52" s="136"/>
      <c r="C52" s="141"/>
      <c r="D52" s="492" t="s">
        <v>740</v>
      </c>
      <c r="E52" s="492" t="s">
        <v>740</v>
      </c>
      <c r="F52" s="316" t="str">
        <f>IF(G52," AND V_KOBAI_NYUKA_LIST.KENSHU_DATE &lt;=  '"&amp;TEXT(UNKB0080_H_KENSHU_DATE_END_S,"YYYY/MM/DD")&amp;"'","")</f>
        <v/>
      </c>
      <c r="G52" s="138" t="b">
        <f>NOT(ISBLANK(UNKB0080_H_KENSHU_DATE_END_S))</f>
        <v>0</v>
      </c>
      <c r="H52" s="139"/>
    </row>
    <row r="53" spans="2:8" ht="15" customHeight="1">
      <c r="B53" s="136"/>
      <c r="C53" s="141"/>
      <c r="D53" s="492" t="s">
        <v>741</v>
      </c>
      <c r="E53" s="492" t="s">
        <v>741</v>
      </c>
      <c r="F53" s="316" t="str">
        <f>IF(G53," AND V_KOBAI_NYUKA_LIST.KOBAI_NO = " &amp; "'" &amp; UNKB0080_H_KOBAI_NO_S &amp; "'","")</f>
        <v/>
      </c>
      <c r="G53" s="138" t="b">
        <f>NOT(ISBLANK(UNKB0080_H_KOBAI_NO_S))</f>
        <v>0</v>
      </c>
      <c r="H53" s="139"/>
    </row>
    <row r="54" spans="2:8" ht="15" customHeight="1">
      <c r="B54" s="136"/>
      <c r="C54" s="141"/>
      <c r="D54" s="492" t="s">
        <v>114</v>
      </c>
      <c r="E54" s="492" t="s">
        <v>114</v>
      </c>
      <c r="F54" s="316" t="str">
        <f>IF(G54," AND V_KOBAI_NYUKA_LIST.SHINSEISHA_CD= " &amp; "'" &amp; UNKB0080_H_SHINSEISHA_CD_S &amp; "'","")</f>
        <v/>
      </c>
      <c r="G54" s="138" t="b">
        <f>NOT(ISBLANK(UNKB0080_H_SHINSEISHA_MEI_S))</f>
        <v>0</v>
      </c>
      <c r="H54" s="139"/>
    </row>
    <row r="55" spans="2:8" ht="15" customHeight="1">
      <c r="B55" s="136"/>
      <c r="C55" s="141"/>
      <c r="D55" s="492" t="s">
        <v>63</v>
      </c>
      <c r="E55" s="492" t="s">
        <v>63</v>
      </c>
      <c r="F55" s="316" t="str">
        <f>IF(G55," AND V_KOBAI_NYUKA_LIST.JURI_NO = " &amp; "'" &amp; UNKB0080_H_JURI_NO_S &amp; "'","")</f>
        <v/>
      </c>
      <c r="G55" s="138" t="b">
        <f>NOT(ISBLANK(UNKB0080_H_JURI_NO_S))</f>
        <v>0</v>
      </c>
      <c r="H55" s="139"/>
    </row>
    <row r="56" spans="2:8" ht="15" customHeight="1">
      <c r="B56" s="136"/>
      <c r="C56" s="141"/>
      <c r="D56" s="492" t="s">
        <v>62</v>
      </c>
      <c r="E56" s="492" t="s">
        <v>62</v>
      </c>
      <c r="F56" s="316" t="str">
        <f>IF(G56," AND V_KOBAI_NYUKA_LIST.YOSAN_CD = " &amp; "'" &amp; UNKB0080_H_YOSAN_CD_S &amp; "'","")</f>
        <v/>
      </c>
      <c r="G56" s="138" t="b">
        <f>NOT(ISBLANK(UNKB0080_H_YOSAN_CD_S))</f>
        <v>0</v>
      </c>
      <c r="H56" s="139"/>
    </row>
    <row r="57" spans="2:8" ht="15" customHeight="1">
      <c r="B57" s="136"/>
      <c r="C57" s="141"/>
      <c r="D57" s="492" t="s">
        <v>747</v>
      </c>
      <c r="E57" s="492" t="s">
        <v>747</v>
      </c>
      <c r="F57" s="316" t="str">
        <f>IF(G57," AND V_KOBAI_NYUKA_LIST.KOBAIHIN_CD = " &amp; "'" &amp; UNKB0080_H_KOBAIHIN_CD_S &amp; "'","")</f>
        <v/>
      </c>
      <c r="G57" s="138" t="b">
        <f>NOT(ISBLANK(UNKB0080_H_KOBAIHIN_CD_S))</f>
        <v>0</v>
      </c>
      <c r="H57" s="139"/>
    </row>
    <row r="58" spans="2:8" ht="15" customHeight="1">
      <c r="B58" s="136"/>
      <c r="C58" s="141"/>
      <c r="D58" s="492" t="s">
        <v>58</v>
      </c>
      <c r="E58" s="492" t="s">
        <v>59</v>
      </c>
      <c r="F58" s="316" t="str">
        <f>IF(G58," AND V_KOBAI_NYUKA_LIST.SHIIRE_CD = " &amp; "'" &amp; UNKB0080_H_SHIIRE_CD_S &amp; "'","")</f>
        <v/>
      </c>
      <c r="G58" s="138" t="b">
        <f>NOT(ISBLANK(UNKB0080_H_SHIIRE_CD_S))</f>
        <v>0</v>
      </c>
      <c r="H58" s="139"/>
    </row>
    <row r="59" spans="2:8" ht="15" customHeight="1">
      <c r="B59" s="136"/>
      <c r="C59" s="141"/>
      <c r="D59" s="492" t="s">
        <v>75</v>
      </c>
      <c r="E59" s="492" t="s">
        <v>75</v>
      </c>
      <c r="F59" s="316" t="str">
        <f>IF(G59," AND V_KOBAI_NYUKA_LIST.MAKER_CD = " &amp; "'" &amp; UNKB0080_H_MAKER_CD_S &amp; "'","")</f>
        <v/>
      </c>
      <c r="G59" s="138" t="b">
        <f>NOT(ISBLANK(UNKB0080_H_MAKER_CD_S))</f>
        <v>0</v>
      </c>
      <c r="H59" s="139"/>
    </row>
    <row r="60" spans="2:8" ht="15" customHeight="1">
      <c r="B60" s="136"/>
      <c r="C60" s="141"/>
      <c r="D60" s="493" t="s">
        <v>1472</v>
      </c>
      <c r="E60" s="494"/>
      <c r="F60" s="273" t="str">
        <f>IF(G60," AND "&amp; IF(UNKB0080_H_FREEWD_KBN_S=3,"NOT","") &amp;"("&amp; IF(G61,F61,"") &amp; IF(G62,F62,"") &amp;IF(G63,F63,"") &amp;" )","")</f>
        <v/>
      </c>
      <c r="G60" s="138" t="b">
        <f>OR(G61,G62,G63)</f>
        <v>0</v>
      </c>
      <c r="H60" s="139"/>
    </row>
    <row r="61" spans="2:8" ht="15" customHeight="1">
      <c r="B61" s="136"/>
      <c r="C61" s="141"/>
      <c r="D61" s="495"/>
      <c r="E61" s="142" t="s">
        <v>784</v>
      </c>
      <c r="F61" s="317" t="str">
        <f>IF(G61," V_KOBAI_NYUKA_LIST.FREEWD LIKE '%"&amp; UNKB0080_H_FREEWD_1_S &amp; "%'","")</f>
        <v/>
      </c>
      <c r="G61" s="143" t="b">
        <f>NOT(ISBLANK(UNKB0080_H_FREEWD_1_S))</f>
        <v>0</v>
      </c>
      <c r="H61" s="144"/>
    </row>
    <row r="62" spans="2:8" ht="15" customHeight="1">
      <c r="B62" s="136"/>
      <c r="C62" s="141"/>
      <c r="D62" s="496"/>
      <c r="E62" s="142" t="s">
        <v>778</v>
      </c>
      <c r="F62" s="317" t="str">
        <f>IF(G62," "&amp;IF(G61, F64, "") &amp;" V_KOBAI_NYUKA_LIST.FREEWD LIKE '%"&amp; UNKB0080_H_FREEWD_2_S &amp; "%'","")</f>
        <v/>
      </c>
      <c r="G62" s="143" t="b">
        <f>NOT(ISBLANK(UNKB0080_H_FREEWD_2_S))</f>
        <v>0</v>
      </c>
      <c r="H62" s="144"/>
    </row>
    <row r="63" spans="2:8" ht="15" customHeight="1">
      <c r="B63" s="136"/>
      <c r="C63" s="141"/>
      <c r="D63" s="496"/>
      <c r="E63" s="142" t="s">
        <v>689</v>
      </c>
      <c r="F63" s="317" t="str">
        <f>IF(G63," "&amp;IF(OR(G61,G62),F64,"") &amp; " V_KOBAI_NYUKA_LIST.FREEWD LIKE '%"&amp; UNKB0080_H_FREEWD_3_S &amp; "%'","")</f>
        <v/>
      </c>
      <c r="G63" s="143" t="b">
        <f>NOT(ISBLANK(UNKB0080_H_FREEWD_3_S))</f>
        <v>0</v>
      </c>
      <c r="H63" s="144"/>
    </row>
    <row r="64" spans="2:8" ht="15" customHeight="1">
      <c r="B64" s="136"/>
      <c r="C64" s="141"/>
      <c r="D64" s="496"/>
      <c r="E64" s="142" t="s">
        <v>695</v>
      </c>
      <c r="F64" s="317" t="str">
        <f>IF(UNKB0080_H_FREEWD_KBN_S=1, "AND",IF(UNKB0080_H_FREEWD_KBN_S=2,"OR","AND"))</f>
        <v>AND</v>
      </c>
      <c r="G64" s="143"/>
      <c r="H64" s="144"/>
    </row>
    <row r="65" spans="2:8" ht="15" customHeight="1">
      <c r="B65" s="136"/>
      <c r="C65" s="503" t="s">
        <v>1292</v>
      </c>
      <c r="D65" s="503"/>
      <c r="E65" s="503"/>
      <c r="F65" s="273"/>
      <c r="G65" s="138"/>
      <c r="H65" s="146" t="s">
        <v>1227</v>
      </c>
    </row>
    <row r="66" spans="2:8" ht="15" customHeight="1">
      <c r="B66" s="184"/>
      <c r="C66" s="492" t="s">
        <v>1473</v>
      </c>
      <c r="D66" s="492"/>
      <c r="E66" s="492"/>
      <c r="F66" s="272" t="str">
        <f xml:space="preserve"> " OFFSET "&amp;(UNKB0080_B_PAGE_NO-1)&amp;"*"&amp;UNKB0080_B_HYOJI_GYO_SU&amp;" ROWS
 FETCH NEXT "&amp;UNKB0080_B_HYOJI_GYO_SU&amp;" ROWS ONLY"</f>
        <v xml:space="preserve"> OFFSET 0*50 ROWS
 FETCH NEXT 50 ROWS ONLY</v>
      </c>
      <c r="G66" s="138"/>
      <c r="H66" s="146" t="s">
        <v>1823</v>
      </c>
    </row>
    <row r="67" spans="2:8" ht="15" customHeight="1">
      <c r="F67" s="318"/>
    </row>
    <row r="68" spans="2:8" ht="15" customHeight="1">
      <c r="F68" s="318"/>
    </row>
    <row r="69" spans="2:8" ht="15" customHeight="1">
      <c r="B69" s="500" t="s">
        <v>866</v>
      </c>
      <c r="C69" s="501"/>
      <c r="D69" s="501"/>
      <c r="E69" s="502"/>
      <c r="F69" s="271"/>
      <c r="G69" s="134"/>
      <c r="H69" s="135"/>
    </row>
    <row r="70" spans="2:8" ht="15" customHeight="1">
      <c r="B70" s="185"/>
      <c r="C70" s="497" t="s">
        <v>1474</v>
      </c>
      <c r="D70" s="498"/>
      <c r="E70" s="499"/>
      <c r="F70" s="272" t="s">
        <v>1475</v>
      </c>
      <c r="G70" s="138"/>
      <c r="H70" s="139" t="s">
        <v>1476</v>
      </c>
    </row>
    <row r="71" spans="2:8" ht="15" customHeight="1">
      <c r="F71" s="318"/>
    </row>
    <row r="72" spans="2:8" ht="15" customHeight="1">
      <c r="F72" s="318"/>
    </row>
    <row r="73" spans="2:8" ht="15" customHeight="1">
      <c r="B73" s="500" t="s">
        <v>583</v>
      </c>
      <c r="C73" s="501"/>
      <c r="D73" s="501"/>
      <c r="E73" s="502"/>
      <c r="F73" s="110"/>
      <c r="G73" s="206"/>
      <c r="H73" s="135" t="s">
        <v>123</v>
      </c>
    </row>
    <row r="74" spans="2:8" ht="15" customHeight="1">
      <c r="B74" s="207"/>
      <c r="C74" s="497" t="s">
        <v>1474</v>
      </c>
      <c r="D74" s="498"/>
      <c r="E74" s="499"/>
      <c r="F74" s="186" t="s">
        <v>1729</v>
      </c>
      <c r="G74" s="208"/>
      <c r="H74" s="209" t="s">
        <v>1226</v>
      </c>
    </row>
  </sheetData>
  <mergeCells count="53">
    <mergeCell ref="D45:E45"/>
    <mergeCell ref="D43:D44"/>
    <mergeCell ref="C74:E74"/>
    <mergeCell ref="D58:E58"/>
    <mergeCell ref="D59:E59"/>
    <mergeCell ref="D60:E60"/>
    <mergeCell ref="D61:D64"/>
    <mergeCell ref="C65:E65"/>
    <mergeCell ref="C66:E66"/>
    <mergeCell ref="B69:E69"/>
    <mergeCell ref="C70:E70"/>
    <mergeCell ref="B73:E73"/>
    <mergeCell ref="D57:E57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C18:E18"/>
    <mergeCell ref="D30:D34"/>
    <mergeCell ref="D35:E35"/>
    <mergeCell ref="D36:D41"/>
    <mergeCell ref="D42:E42"/>
    <mergeCell ref="C19:E19"/>
    <mergeCell ref="C23:E23"/>
    <mergeCell ref="C24:E24"/>
    <mergeCell ref="C21:E21"/>
    <mergeCell ref="B20:E20"/>
    <mergeCell ref="C22:E22"/>
    <mergeCell ref="B25:E25"/>
    <mergeCell ref="C26:E26"/>
    <mergeCell ref="B27:E27"/>
    <mergeCell ref="C28:E28"/>
    <mergeCell ref="D29:E29"/>
    <mergeCell ref="B5:E5"/>
    <mergeCell ref="B6:E6"/>
    <mergeCell ref="C7:E7"/>
    <mergeCell ref="C9:E9"/>
    <mergeCell ref="B10:E10"/>
    <mergeCell ref="C8:E8"/>
    <mergeCell ref="B16:E16"/>
    <mergeCell ref="B17:E17"/>
    <mergeCell ref="C11:E11"/>
    <mergeCell ref="C12:E12"/>
    <mergeCell ref="B13:E13"/>
    <mergeCell ref="C14:E14"/>
    <mergeCell ref="C15:E15"/>
  </mergeCells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>
    <tabColor rgb="FFFFCCFF"/>
    <pageSetUpPr fitToPage="1"/>
  </sheetPr>
  <dimension ref="A1:BQ21"/>
  <sheetViews>
    <sheetView view="pageBreakPreview" zoomScaleNormal="85" zoomScaleSheetLayoutView="100" workbookViewId="0">
      <selection activeCell="BR9" sqref="BR9"/>
    </sheetView>
  </sheetViews>
  <sheetFormatPr defaultRowHeight="45" customHeight="1"/>
  <cols>
    <col min="1" max="1" width="2.875" style="254" bestFit="1" customWidth="1"/>
    <col min="2" max="6" width="2.75" style="254" customWidth="1"/>
    <col min="7" max="64" width="2.75" style="255" customWidth="1"/>
    <col min="65" max="66" width="1.375" style="255" customWidth="1"/>
    <col min="67" max="69" width="2.75" style="255" customWidth="1"/>
    <col min="70" max="16384" width="9" style="255"/>
  </cols>
  <sheetData>
    <row r="1" spans="1:69" ht="16.5" customHeight="1">
      <c r="A1" s="589" t="s">
        <v>109</v>
      </c>
      <c r="B1" s="589"/>
      <c r="C1" s="589"/>
      <c r="D1" s="589"/>
      <c r="E1" s="589"/>
      <c r="F1" s="589"/>
      <c r="G1" s="589"/>
      <c r="H1" s="589"/>
      <c r="I1" s="589"/>
      <c r="J1" s="589"/>
      <c r="K1" s="589"/>
      <c r="L1" s="589"/>
      <c r="M1" s="589"/>
      <c r="N1" s="589"/>
      <c r="O1" s="589"/>
      <c r="P1" s="589"/>
      <c r="Q1" s="589"/>
      <c r="R1" s="589"/>
      <c r="S1" s="589"/>
      <c r="T1" s="589"/>
      <c r="U1" s="589"/>
      <c r="V1" s="589"/>
      <c r="W1" s="589"/>
      <c r="X1" s="589"/>
      <c r="Y1" s="589"/>
      <c r="Z1" s="589"/>
      <c r="AA1" s="589"/>
      <c r="AB1" s="589"/>
      <c r="AC1" s="589"/>
      <c r="AD1" s="589"/>
      <c r="AE1" s="589"/>
      <c r="AF1" s="589"/>
      <c r="AG1" s="589"/>
      <c r="AH1" s="589"/>
      <c r="AI1" s="589"/>
      <c r="AJ1" s="589"/>
      <c r="AK1" s="589"/>
      <c r="AL1" s="589"/>
      <c r="AM1" s="589"/>
      <c r="AN1" s="589"/>
      <c r="AO1" s="589"/>
      <c r="AP1" s="589"/>
      <c r="AQ1" s="589"/>
      <c r="AR1" s="589"/>
      <c r="AS1" s="589"/>
      <c r="AT1" s="589"/>
      <c r="AU1" s="589"/>
      <c r="AV1" s="589"/>
      <c r="AW1" s="589"/>
      <c r="AX1" s="589"/>
      <c r="AY1" s="589"/>
      <c r="AZ1" s="589"/>
      <c r="BA1" s="589"/>
      <c r="BB1" s="589"/>
      <c r="BC1" s="589"/>
      <c r="BD1" s="589"/>
      <c r="BE1" s="589"/>
      <c r="BF1" s="589"/>
      <c r="BG1" s="589"/>
      <c r="BH1" s="589"/>
      <c r="BI1" s="589"/>
      <c r="BJ1" s="589"/>
      <c r="BK1" s="589"/>
      <c r="BL1" s="589"/>
      <c r="BM1" s="589"/>
      <c r="BN1" s="589"/>
      <c r="BO1" s="589"/>
      <c r="BP1" s="589"/>
      <c r="BQ1" s="589"/>
    </row>
    <row r="2" spans="1:69" ht="16.5" customHeight="1">
      <c r="A2" s="589"/>
      <c r="B2" s="589"/>
      <c r="C2" s="589"/>
      <c r="D2" s="589"/>
      <c r="E2" s="589"/>
      <c r="F2" s="589"/>
      <c r="G2" s="589"/>
      <c r="H2" s="589"/>
      <c r="I2" s="589"/>
      <c r="J2" s="589"/>
      <c r="K2" s="589"/>
      <c r="L2" s="589"/>
      <c r="M2" s="589"/>
      <c r="N2" s="589"/>
      <c r="O2" s="589"/>
      <c r="P2" s="589"/>
      <c r="Q2" s="589"/>
      <c r="R2" s="589"/>
      <c r="S2" s="589"/>
      <c r="T2" s="589"/>
      <c r="U2" s="589"/>
      <c r="V2" s="589"/>
      <c r="W2" s="589"/>
      <c r="X2" s="589"/>
      <c r="Y2" s="589"/>
      <c r="Z2" s="589"/>
      <c r="AA2" s="589"/>
      <c r="AB2" s="589"/>
      <c r="AC2" s="589"/>
      <c r="AD2" s="589"/>
      <c r="AE2" s="589"/>
      <c r="AF2" s="589"/>
      <c r="AG2" s="589"/>
      <c r="AH2" s="589"/>
      <c r="AI2" s="589"/>
      <c r="AJ2" s="589"/>
      <c r="AK2" s="589"/>
      <c r="AL2" s="589"/>
      <c r="AM2" s="589"/>
      <c r="AN2" s="589"/>
      <c r="AO2" s="589"/>
      <c r="AP2" s="589"/>
      <c r="AQ2" s="589"/>
      <c r="AR2" s="589"/>
      <c r="AS2" s="589"/>
      <c r="AT2" s="589"/>
      <c r="AU2" s="589"/>
      <c r="AV2" s="589"/>
      <c r="AW2" s="589"/>
      <c r="AX2" s="589"/>
      <c r="AY2" s="589"/>
      <c r="AZ2" s="589"/>
      <c r="BA2" s="589"/>
      <c r="BB2" s="589"/>
      <c r="BC2" s="589"/>
      <c r="BD2" s="589"/>
      <c r="BE2" s="589"/>
      <c r="BF2" s="589"/>
      <c r="BG2" s="589"/>
      <c r="BH2" s="589"/>
      <c r="BI2" s="589"/>
      <c r="BJ2" s="589"/>
      <c r="BK2" s="589"/>
      <c r="BL2" s="589"/>
      <c r="BM2" s="589"/>
      <c r="BN2" s="589"/>
      <c r="BO2" s="589"/>
      <c r="BP2" s="589"/>
      <c r="BQ2" s="589"/>
    </row>
    <row r="3" spans="1:69" ht="12.75" customHeight="1">
      <c r="A3" s="274"/>
      <c r="B3" s="274"/>
      <c r="C3" s="274"/>
      <c r="D3" s="274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275"/>
      <c r="AA3" s="275"/>
      <c r="AB3" s="275"/>
      <c r="AC3" s="275"/>
      <c r="AD3" s="275"/>
      <c r="AE3" s="275"/>
      <c r="AF3" s="275"/>
      <c r="AG3" s="275"/>
      <c r="AH3" s="275"/>
      <c r="AI3" s="275"/>
    </row>
    <row r="4" spans="1:69" ht="18" customHeight="1">
      <c r="A4" s="276"/>
      <c r="B4" s="590" t="s">
        <v>65</v>
      </c>
      <c r="C4" s="590"/>
      <c r="D4" s="590"/>
      <c r="E4" s="590"/>
      <c r="F4" s="590" t="s">
        <v>89</v>
      </c>
      <c r="G4" s="591"/>
      <c r="H4" s="591"/>
      <c r="I4" s="591"/>
      <c r="J4" s="590" t="s">
        <v>107</v>
      </c>
      <c r="K4" s="591"/>
      <c r="L4" s="591"/>
      <c r="M4" s="591"/>
      <c r="N4" s="590" t="s">
        <v>584</v>
      </c>
      <c r="O4" s="591"/>
      <c r="P4" s="591"/>
      <c r="Q4" s="591"/>
      <c r="R4" s="591" t="s">
        <v>59</v>
      </c>
      <c r="S4" s="591"/>
      <c r="T4" s="591"/>
      <c r="U4" s="591"/>
      <c r="V4" s="591"/>
      <c r="W4" s="591"/>
      <c r="X4" s="591" t="s">
        <v>1884</v>
      </c>
      <c r="Y4" s="591"/>
      <c r="Z4" s="591"/>
      <c r="AA4" s="591"/>
      <c r="AB4" s="591"/>
      <c r="AC4" s="591"/>
      <c r="AD4" s="591" t="s">
        <v>90</v>
      </c>
      <c r="AE4" s="591"/>
      <c r="AF4" s="591"/>
      <c r="AG4" s="591"/>
      <c r="AH4" s="591"/>
      <c r="AI4" s="591"/>
      <c r="AJ4" s="591" t="s">
        <v>1477</v>
      </c>
      <c r="AK4" s="591"/>
      <c r="AL4" s="591"/>
      <c r="AM4" s="591" t="s">
        <v>1478</v>
      </c>
      <c r="AN4" s="591"/>
      <c r="AO4" s="591"/>
      <c r="AP4" s="591" t="s">
        <v>1479</v>
      </c>
      <c r="AQ4" s="591"/>
      <c r="AR4" s="591"/>
      <c r="AS4" s="592" t="s">
        <v>108</v>
      </c>
      <c r="AT4" s="593"/>
      <c r="AU4" s="593"/>
      <c r="AV4" s="593"/>
      <c r="AW4" s="593"/>
      <c r="AX4" s="593"/>
      <c r="AY4" s="593"/>
      <c r="AZ4" s="593"/>
      <c r="BA4" s="593"/>
      <c r="BB4" s="593"/>
      <c r="BC4" s="593"/>
      <c r="BD4" s="593"/>
      <c r="BE4" s="593"/>
      <c r="BF4" s="593"/>
      <c r="BG4" s="593"/>
      <c r="BH4" s="593"/>
      <c r="BI4" s="593"/>
      <c r="BJ4" s="594" t="s">
        <v>66</v>
      </c>
      <c r="BK4" s="587"/>
      <c r="BL4" s="587"/>
      <c r="BM4" s="588"/>
      <c r="BN4" s="587" t="s">
        <v>1905</v>
      </c>
      <c r="BO4" s="587"/>
      <c r="BP4" s="587"/>
      <c r="BQ4" s="588"/>
    </row>
    <row r="5" spans="1:69" ht="45" customHeight="1">
      <c r="A5" s="255"/>
      <c r="B5" s="255"/>
      <c r="C5" s="255"/>
      <c r="D5" s="255"/>
      <c r="E5" s="255"/>
      <c r="F5" s="255"/>
    </row>
    <row r="6" spans="1:69" ht="45" customHeight="1">
      <c r="A6" s="255"/>
      <c r="B6" s="255"/>
      <c r="C6" s="255"/>
      <c r="D6" s="255"/>
      <c r="E6" s="255"/>
      <c r="F6" s="255"/>
    </row>
    <row r="7" spans="1:69" ht="45" customHeight="1">
      <c r="A7" s="255"/>
      <c r="B7" s="255"/>
      <c r="C7" s="255"/>
      <c r="D7" s="255"/>
      <c r="E7" s="255"/>
      <c r="F7" s="255"/>
    </row>
    <row r="8" spans="1:69" ht="45" customHeight="1">
      <c r="A8" s="255"/>
      <c r="B8" s="255"/>
      <c r="C8" s="255"/>
      <c r="D8" s="255"/>
      <c r="E8" s="255"/>
      <c r="F8" s="255"/>
    </row>
    <row r="9" spans="1:69" ht="45" customHeight="1">
      <c r="A9" s="255"/>
      <c r="B9" s="255"/>
      <c r="C9" s="255"/>
      <c r="D9" s="255"/>
      <c r="E9" s="255"/>
      <c r="F9" s="255"/>
    </row>
    <row r="10" spans="1:69" ht="45" customHeight="1">
      <c r="A10" s="255"/>
      <c r="B10" s="255"/>
      <c r="C10" s="255"/>
      <c r="D10" s="255"/>
      <c r="E10" s="255"/>
      <c r="F10" s="255"/>
    </row>
    <row r="11" spans="1:69" ht="45" customHeight="1">
      <c r="A11" s="255"/>
      <c r="B11" s="255"/>
      <c r="C11" s="255"/>
      <c r="D11" s="255"/>
      <c r="E11" s="255"/>
      <c r="F11" s="255"/>
    </row>
    <row r="12" spans="1:69" ht="45" customHeight="1">
      <c r="A12" s="255"/>
      <c r="B12" s="255"/>
      <c r="C12" s="255"/>
      <c r="D12" s="255"/>
      <c r="E12" s="255"/>
      <c r="F12" s="255"/>
    </row>
    <row r="13" spans="1:69" ht="45" customHeight="1">
      <c r="A13" s="255"/>
      <c r="B13" s="255"/>
      <c r="C13" s="255"/>
      <c r="D13" s="255"/>
      <c r="E13" s="255"/>
      <c r="F13" s="255"/>
    </row>
    <row r="14" spans="1:69" ht="45" customHeight="1">
      <c r="A14" s="255"/>
      <c r="B14" s="255"/>
      <c r="C14" s="255"/>
      <c r="D14" s="255"/>
      <c r="E14" s="255"/>
      <c r="F14" s="255"/>
    </row>
    <row r="15" spans="1:69" ht="45" customHeight="1">
      <c r="A15" s="255"/>
      <c r="B15" s="255"/>
      <c r="C15" s="255"/>
      <c r="D15" s="255"/>
      <c r="E15" s="255"/>
      <c r="F15" s="255"/>
    </row>
    <row r="16" spans="1:69" ht="45" customHeight="1">
      <c r="A16" s="255"/>
      <c r="B16" s="255"/>
      <c r="C16" s="255"/>
      <c r="D16" s="255"/>
      <c r="E16" s="255"/>
      <c r="F16" s="255"/>
    </row>
    <row r="17" spans="1:6" ht="45" customHeight="1">
      <c r="A17" s="255"/>
      <c r="B17" s="255"/>
      <c r="C17" s="255"/>
      <c r="D17" s="255"/>
      <c r="E17" s="255"/>
      <c r="F17" s="255"/>
    </row>
    <row r="18" spans="1:6" ht="45" customHeight="1">
      <c r="A18" s="255"/>
      <c r="B18" s="255"/>
      <c r="C18" s="255"/>
      <c r="D18" s="255"/>
      <c r="E18" s="255"/>
      <c r="F18" s="255"/>
    </row>
    <row r="19" spans="1:6" ht="45" customHeight="1">
      <c r="A19" s="255"/>
      <c r="B19" s="255"/>
      <c r="C19" s="255"/>
      <c r="D19" s="255"/>
      <c r="E19" s="255"/>
      <c r="F19" s="255"/>
    </row>
    <row r="20" spans="1:6" ht="45" customHeight="1">
      <c r="A20" s="255"/>
      <c r="B20" s="255"/>
      <c r="C20" s="255"/>
      <c r="D20" s="255"/>
      <c r="E20" s="255"/>
      <c r="F20" s="255"/>
    </row>
    <row r="21" spans="1:6" ht="45" customHeight="1">
      <c r="A21" s="255"/>
      <c r="B21" s="255"/>
      <c r="C21" s="255"/>
      <c r="D21" s="255"/>
      <c r="E21" s="255"/>
      <c r="F21" s="255"/>
    </row>
  </sheetData>
  <mergeCells count="14">
    <mergeCell ref="BN4:BQ4"/>
    <mergeCell ref="A1:BQ2"/>
    <mergeCell ref="B4:E4"/>
    <mergeCell ref="F4:I4"/>
    <mergeCell ref="N4:Q4"/>
    <mergeCell ref="R4:W4"/>
    <mergeCell ref="X4:AC4"/>
    <mergeCell ref="AD4:AI4"/>
    <mergeCell ref="AJ4:AL4"/>
    <mergeCell ref="AM4:AO4"/>
    <mergeCell ref="AP4:AR4"/>
    <mergeCell ref="AS4:BI4"/>
    <mergeCell ref="J4:M4"/>
    <mergeCell ref="BJ4:BM4"/>
  </mergeCells>
  <phoneticPr fontId="1"/>
  <pageMargins left="0.19685039370078741" right="0.19685039370078741" top="0.59055118110236227" bottom="0.19685039370078741" header="0.39370078740157483" footer="0.31496062992125984"/>
  <pageSetup paperSize="9" scale="78" fitToHeight="0" orientation="landscape" verticalDpi="0" r:id="rId1"/>
  <headerFooter>
    <oddHeader xml:space="preserve">&amp;L発行日：&amp;D&amp;R&amp;P/&amp;N
</oddHead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CY15"/>
  <sheetViews>
    <sheetView workbookViewId="0">
      <selection activeCell="CV5" sqref="CV5"/>
    </sheetView>
  </sheetViews>
  <sheetFormatPr defaultRowHeight="13.5"/>
  <cols>
    <col min="1" max="1" width="9" style="230"/>
    <col min="2" max="2" width="34.875" style="230" bestFit="1" customWidth="1"/>
    <col min="3" max="3" width="31.375" style="230" bestFit="1" customWidth="1"/>
    <col min="4" max="7" width="9" style="230"/>
    <col min="8" max="8" width="11.25" style="230" bestFit="1" customWidth="1"/>
    <col min="9" max="9" width="30.75" style="230" bestFit="1" customWidth="1"/>
    <col min="10" max="14" width="9" style="230"/>
    <col min="15" max="29" width="4.625" style="230" customWidth="1"/>
    <col min="30" max="32" width="9" style="230"/>
    <col min="33" max="33" width="8.25" style="230" bestFit="1" customWidth="1"/>
    <col min="34" max="34" width="21.125" style="230" customWidth="1"/>
    <col min="35" max="103" width="1.875" style="230" customWidth="1"/>
    <col min="104" max="16384" width="9" style="230"/>
  </cols>
  <sheetData>
    <row r="1" spans="1:103">
      <c r="A1" s="230" t="s">
        <v>1814</v>
      </c>
      <c r="G1" s="230" t="s">
        <v>1317</v>
      </c>
      <c r="L1" s="230" t="s">
        <v>1480</v>
      </c>
    </row>
    <row r="2" spans="1:103">
      <c r="O2" s="230" t="s">
        <v>1481</v>
      </c>
      <c r="P2" s="230" t="s">
        <v>1482</v>
      </c>
      <c r="Q2" s="230" t="s">
        <v>1483</v>
      </c>
      <c r="R2" s="230" t="s">
        <v>1484</v>
      </c>
      <c r="S2" s="230" t="s">
        <v>1485</v>
      </c>
      <c r="T2" s="230" t="s">
        <v>1851</v>
      </c>
      <c r="U2" s="230" t="s">
        <v>1486</v>
      </c>
      <c r="V2" s="230" t="s">
        <v>1487</v>
      </c>
      <c r="W2" s="230" t="s">
        <v>1488</v>
      </c>
      <c r="X2" s="230" t="s">
        <v>1489</v>
      </c>
      <c r="Y2" s="230" t="s">
        <v>1490</v>
      </c>
      <c r="Z2" s="230" t="s">
        <v>1494</v>
      </c>
      <c r="AA2" s="230" t="s">
        <v>1492</v>
      </c>
      <c r="AB2" s="230" t="s">
        <v>1491</v>
      </c>
      <c r="AC2" s="230" t="s">
        <v>1493</v>
      </c>
    </row>
    <row r="3" spans="1:103">
      <c r="O3" s="277" t="s">
        <v>65</v>
      </c>
      <c r="P3" s="277" t="s">
        <v>811</v>
      </c>
      <c r="Q3" s="277" t="s">
        <v>66</v>
      </c>
      <c r="R3" s="277" t="s">
        <v>655</v>
      </c>
      <c r="S3" s="278" t="s">
        <v>89</v>
      </c>
      <c r="T3" s="278" t="s">
        <v>107</v>
      </c>
      <c r="U3" s="278" t="s">
        <v>584</v>
      </c>
      <c r="V3" s="278" t="s">
        <v>59</v>
      </c>
      <c r="W3" s="278" t="s">
        <v>1884</v>
      </c>
      <c r="X3" s="278" t="s">
        <v>90</v>
      </c>
      <c r="Y3" s="279" t="s">
        <v>48</v>
      </c>
      <c r="Z3" s="279" t="s">
        <v>51</v>
      </c>
      <c r="AA3" s="279" t="s">
        <v>50</v>
      </c>
      <c r="AB3" s="279" t="s">
        <v>49</v>
      </c>
      <c r="AC3" s="279" t="s">
        <v>511</v>
      </c>
      <c r="AD3" s="279" t="s">
        <v>62</v>
      </c>
      <c r="AI3" s="276"/>
      <c r="AJ3" s="590" t="s">
        <v>65</v>
      </c>
      <c r="AK3" s="590"/>
      <c r="AL3" s="590"/>
      <c r="AM3" s="590"/>
      <c r="AN3" s="590" t="s">
        <v>89</v>
      </c>
      <c r="AO3" s="591"/>
      <c r="AP3" s="591"/>
      <c r="AQ3" s="591"/>
      <c r="AR3" s="590" t="s">
        <v>107</v>
      </c>
      <c r="AS3" s="591"/>
      <c r="AT3" s="591"/>
      <c r="AU3" s="591"/>
      <c r="AV3" s="590" t="s">
        <v>584</v>
      </c>
      <c r="AW3" s="591"/>
      <c r="AX3" s="591"/>
      <c r="AY3" s="591"/>
      <c r="AZ3" s="591" t="s">
        <v>59</v>
      </c>
      <c r="BA3" s="591"/>
      <c r="BB3" s="591"/>
      <c r="BC3" s="591"/>
      <c r="BD3" s="591"/>
      <c r="BE3" s="591"/>
      <c r="BF3" s="591" t="s">
        <v>1885</v>
      </c>
      <c r="BG3" s="591"/>
      <c r="BH3" s="591"/>
      <c r="BI3" s="591"/>
      <c r="BJ3" s="591"/>
      <c r="BK3" s="591"/>
      <c r="BL3" s="591" t="s">
        <v>90</v>
      </c>
      <c r="BM3" s="591"/>
      <c r="BN3" s="591"/>
      <c r="BO3" s="591"/>
      <c r="BP3" s="591"/>
      <c r="BQ3" s="591"/>
      <c r="BR3" s="591" t="s">
        <v>1477</v>
      </c>
      <c r="BS3" s="591"/>
      <c r="BT3" s="591"/>
      <c r="BU3" s="591" t="s">
        <v>1478</v>
      </c>
      <c r="BV3" s="591"/>
      <c r="BW3" s="591"/>
      <c r="BX3" s="591" t="s">
        <v>1479</v>
      </c>
      <c r="BY3" s="591"/>
      <c r="BZ3" s="591"/>
      <c r="CA3" s="592" t="s">
        <v>108</v>
      </c>
      <c r="CB3" s="593"/>
      <c r="CC3" s="593"/>
      <c r="CD3" s="593"/>
      <c r="CE3" s="593"/>
      <c r="CF3" s="593"/>
      <c r="CG3" s="593"/>
      <c r="CH3" s="593"/>
      <c r="CI3" s="593"/>
      <c r="CJ3" s="593"/>
      <c r="CK3" s="593"/>
      <c r="CL3" s="593"/>
      <c r="CM3" s="593"/>
      <c r="CN3" s="593"/>
      <c r="CO3" s="593"/>
      <c r="CP3" s="593"/>
      <c r="CQ3" s="593"/>
      <c r="CR3" s="590" t="s">
        <v>66</v>
      </c>
      <c r="CS3" s="590"/>
      <c r="CT3" s="590"/>
      <c r="CU3" s="590"/>
      <c r="CV3" s="590" t="s">
        <v>62</v>
      </c>
      <c r="CW3" s="590"/>
      <c r="CX3" s="590"/>
      <c r="CY3" s="590"/>
    </row>
    <row r="4" spans="1:103" ht="28.5" customHeight="1">
      <c r="B4" s="265" t="s">
        <v>1817</v>
      </c>
      <c r="C4" s="265" t="s">
        <v>1818</v>
      </c>
      <c r="D4" s="265"/>
      <c r="H4" s="265" t="s">
        <v>1344</v>
      </c>
      <c r="I4" s="265" t="s">
        <v>1820</v>
      </c>
      <c r="J4" s="265"/>
      <c r="M4" s="230" t="s">
        <v>1496</v>
      </c>
      <c r="N4" s="230" t="s">
        <v>1497</v>
      </c>
      <c r="O4" s="216"/>
      <c r="Q4" s="230" t="s">
        <v>1824</v>
      </c>
      <c r="S4" s="251"/>
      <c r="T4" s="251"/>
      <c r="AG4" s="231" t="s">
        <v>1272</v>
      </c>
      <c r="AH4" s="231" t="s">
        <v>1498</v>
      </c>
      <c r="AI4" s="280">
        <f>ROW()-ROW(UNKB0080_REPORT_START)+1</f>
        <v>0</v>
      </c>
      <c r="AJ4" s="596" t="str">
        <f ca="1">OFFSET(UNKB0080_REPORT_IF_KOBAI_NO,AI4,0)</f>
        <v>購買申請No.</v>
      </c>
      <c r="AK4" s="596"/>
      <c r="AL4" s="596"/>
      <c r="AM4" s="596"/>
      <c r="AN4" s="597" t="str">
        <f ca="1">OFFSET(UNKB0080_REPORT_IF_HATCHU_DATE,AI4,0)</f>
        <v>発注日</v>
      </c>
      <c r="AO4" s="597"/>
      <c r="AP4" s="597"/>
      <c r="AQ4" s="597"/>
      <c r="AR4" s="597" t="str">
        <f ca="1">IF(OFFSET(UNKB0080_REPORT_IF_NOKI,AI4,0)="","",OFFSET(UNKB0080_REPORT_IF_NOKI,AI4,0))</f>
        <v>希望納期</v>
      </c>
      <c r="AS4" s="597"/>
      <c r="AT4" s="597"/>
      <c r="AU4" s="597"/>
      <c r="AV4" s="598" t="str">
        <f ca="1">OFFSET(UNKB0080_REPORT_IF_SHINSEISHA_MEI,AI4,0)</f>
        <v>申請者</v>
      </c>
      <c r="AW4" s="599"/>
      <c r="AX4" s="599"/>
      <c r="AY4" s="600"/>
      <c r="AZ4" s="595" t="str">
        <f ca="1">OFFSET(UNKB0080_REPORT_IF_SHIIRE_MEI,AI4,0)</f>
        <v>仕入先名</v>
      </c>
      <c r="BA4" s="595"/>
      <c r="BB4" s="595"/>
      <c r="BC4" s="595"/>
      <c r="BD4" s="595"/>
      <c r="BE4" s="595"/>
      <c r="BF4" s="595" t="str">
        <f ca="1">IF(OFFSET(UNKB0080_REPORT_IF_MAKER_MEI,AI4,0)="","",OFFSET(UNKB0080_REPORT_IF_MAKER_MEI,AI4,0))</f>
        <v>メーカー名/受理No.</v>
      </c>
      <c r="BG4" s="595"/>
      <c r="BH4" s="595"/>
      <c r="BI4" s="595"/>
      <c r="BJ4" s="595"/>
      <c r="BK4" s="595"/>
      <c r="BL4" s="595" t="str">
        <f ca="1">OFFSET(UNKB0080_REPORT_IF_KOBAIHIN_MEI,AI4,0)</f>
        <v>購買品名</v>
      </c>
      <c r="BM4" s="595"/>
      <c r="BN4" s="595"/>
      <c r="BO4" s="595"/>
      <c r="BP4" s="595"/>
      <c r="BQ4" s="595"/>
      <c r="BR4" s="598" t="str">
        <f ca="1">OFFSET(UNKB0080_REPORT_IF_IRISU,AI4,0)&amp;OFFSET(UNKB0080_REPORT_IF_BARA_TANI,AI4,0)</f>
        <v>入数バラ単位</v>
      </c>
      <c r="BS4" s="599"/>
      <c r="BT4" s="600"/>
      <c r="BU4" s="598" t="str">
        <f ca="1">OFFSET(UNKB0080_REPORT_IF_SURYO,AI4,0)&amp;OFFSET(UNKB0080_REPORT_IF_IRISU_TANI,AI4,0)</f>
        <v>数量入数単位</v>
      </c>
      <c r="BV4" s="599"/>
      <c r="BW4" s="600"/>
      <c r="BX4" s="598" t="str">
        <f ca="1">OFFSET(UNKB0080_REPORT_IF_SOSU,AI4,0)&amp;OFFSET(UNKB0080_REPORT_IF_BARA_TANI,AI4,0)</f>
        <v>総数バラ単位</v>
      </c>
      <c r="BY4" s="599"/>
      <c r="BZ4" s="600"/>
      <c r="CA4" s="601" t="str">
        <f ca="1">"*"&amp;OFFSET(UNKB0080_REPORT_IF_IRAI_NO,AI4,0)&amp;"*"</f>
        <v>*依頼No.*</v>
      </c>
      <c r="CB4" s="602"/>
      <c r="CC4" s="602"/>
      <c r="CD4" s="602"/>
      <c r="CE4" s="602"/>
      <c r="CF4" s="602"/>
      <c r="CG4" s="602"/>
      <c r="CH4" s="602"/>
      <c r="CI4" s="602"/>
      <c r="CJ4" s="602"/>
      <c r="CK4" s="602"/>
      <c r="CL4" s="602"/>
      <c r="CM4" s="602"/>
      <c r="CN4" s="602"/>
      <c r="CO4" s="602"/>
      <c r="CP4" s="602"/>
      <c r="CQ4" s="603"/>
      <c r="CR4" s="596" t="str">
        <f ca="1">OFFSET(UNKB0080_REPORT_IF_IRAI_NO,AI4,0)</f>
        <v>依頼No.</v>
      </c>
      <c r="CS4" s="596"/>
      <c r="CT4" s="596"/>
      <c r="CU4" s="596"/>
      <c r="CV4" s="596" t="str">
        <f ca="1">IF(OFFSET(UNKB0080_REPORT_IF_YOSAN_CD,AI4,0)="","",OFFSET(UNKB0080_REPORT_IF_YOSAN_CD,AI4,0))</f>
        <v>予算コード</v>
      </c>
      <c r="CW4" s="596"/>
      <c r="CX4" s="596"/>
      <c r="CY4" s="596"/>
    </row>
    <row r="5" spans="1:103" ht="15">
      <c r="H5" s="265" t="s">
        <v>1819</v>
      </c>
      <c r="I5" s="265" t="s">
        <v>1821</v>
      </c>
      <c r="J5" s="265" t="str">
        <f ca="1">OFFSET(UNKB0080_REPORT_IF_LOOP_SHIIRE_CD,UNKB0080_REPORT_IF_LOOP_COUNT-1,0)</f>
        <v>UNKB0080_REPORT_IF_LOOP_SHIIRE_CD</v>
      </c>
    </row>
    <row r="8" spans="1:103" ht="15">
      <c r="H8" s="265" t="s">
        <v>533</v>
      </c>
      <c r="I8" s="265" t="s">
        <v>1495</v>
      </c>
      <c r="J8" s="265"/>
    </row>
    <row r="9" spans="1:103" ht="15">
      <c r="B9" s="230" t="s">
        <v>1815</v>
      </c>
      <c r="H9" s="265" t="s">
        <v>1346</v>
      </c>
      <c r="I9" s="265" t="s">
        <v>1499</v>
      </c>
      <c r="J9" s="265" t="str">
        <f>"UNKB0080_REPORT!"&amp;ADDRESS(ROW(UNKB0080_REPORT_START),COLUMN(UNKB0080_REPORT_START))&amp;":"&amp;ADDRESS(ROW(UNKB0080_REPORT_START)+UNKB0080_REPORT_IF_KENSU-1,COLUMN(UNKB0080_REPORT_START)+COLUMNS(UNKB0080_REPORT_HEADER)-1)</f>
        <v>UNKB0080_REPORT!$A$5:$BQ$4</v>
      </c>
    </row>
    <row r="10" spans="1:103" ht="15">
      <c r="B10" s="265" t="s">
        <v>1816</v>
      </c>
    </row>
    <row r="11" spans="1:103">
      <c r="B11" s="451"/>
    </row>
    <row r="14" spans="1:103">
      <c r="B14" s="452"/>
    </row>
    <row r="15" spans="1:103">
      <c r="B15" s="452"/>
    </row>
  </sheetData>
  <mergeCells count="26">
    <mergeCell ref="CV3:CY3"/>
    <mergeCell ref="CV4:CY4"/>
    <mergeCell ref="CA3:CQ3"/>
    <mergeCell ref="CR3:CU3"/>
    <mergeCell ref="CA4:CQ4"/>
    <mergeCell ref="CR4:CU4"/>
    <mergeCell ref="BR4:BT4"/>
    <mergeCell ref="BU4:BW4"/>
    <mergeCell ref="BX4:BZ4"/>
    <mergeCell ref="BR3:BT3"/>
    <mergeCell ref="BU3:BW3"/>
    <mergeCell ref="BX3:BZ3"/>
    <mergeCell ref="BL4:BQ4"/>
    <mergeCell ref="AJ3:AM3"/>
    <mergeCell ref="AN3:AQ3"/>
    <mergeCell ref="AV3:AY3"/>
    <mergeCell ref="AZ3:BE3"/>
    <mergeCell ref="BF3:BK3"/>
    <mergeCell ref="BL3:BQ3"/>
    <mergeCell ref="AJ4:AM4"/>
    <mergeCell ref="AN4:AQ4"/>
    <mergeCell ref="AV4:AY4"/>
    <mergeCell ref="AZ4:BE4"/>
    <mergeCell ref="BF4:BK4"/>
    <mergeCell ref="AR3:AU3"/>
    <mergeCell ref="AR4:AU4"/>
  </mergeCells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FFC000"/>
  </sheetPr>
  <dimension ref="A1:O21"/>
  <sheetViews>
    <sheetView showGridLines="0" showRowColHeaders="0" zoomScaleNormal="100" workbookViewId="0">
      <pane ySplit="7" topLeftCell="A8" activePane="bottomLeft" state="frozen"/>
      <selection activeCell="C13" sqref="C13"/>
      <selection pane="bottomLeft" sqref="A1:E1 I7 L7:O7"/>
    </sheetView>
  </sheetViews>
  <sheetFormatPr defaultRowHeight="16.5"/>
  <cols>
    <col min="1" max="1" width="9" style="30" hidden="1" customWidth="1"/>
    <col min="2" max="2" width="16.75" style="30" hidden="1" customWidth="1"/>
    <col min="3" max="3" width="30.25" style="30" hidden="1" customWidth="1"/>
    <col min="4" max="4" width="14.375" style="30" hidden="1" customWidth="1"/>
    <col min="5" max="5" width="9" style="30" hidden="1" customWidth="1"/>
    <col min="6" max="6" width="2.625" style="218" customWidth="1"/>
    <col min="7" max="7" width="3.25" style="218" customWidth="1"/>
    <col min="8" max="8" width="12.375" style="218" customWidth="1"/>
    <col min="9" max="9" width="9.625" style="218" hidden="1" customWidth="1"/>
    <col min="10" max="10" width="20.25" style="218" customWidth="1"/>
    <col min="11" max="11" width="20.625" style="218" customWidth="1"/>
    <col min="12" max="15" width="13.25" style="218" hidden="1" customWidth="1"/>
    <col min="16" max="16" width="4" style="218" customWidth="1"/>
    <col min="17" max="16384" width="9" style="218"/>
  </cols>
  <sheetData>
    <row r="1" spans="1:15" s="243" customFormat="1" ht="19.5">
      <c r="A1" s="30"/>
      <c r="B1" s="30"/>
      <c r="C1" s="30"/>
      <c r="D1" s="30"/>
      <c r="E1" s="30"/>
      <c r="F1" s="12" t="s">
        <v>1240</v>
      </c>
      <c r="G1" s="12"/>
      <c r="H1" s="12"/>
      <c r="I1" s="12"/>
    </row>
    <row r="2" spans="1:15">
      <c r="J2" s="129"/>
    </row>
    <row r="3" spans="1:15">
      <c r="B3" s="244" t="s">
        <v>271</v>
      </c>
      <c r="C3" s="244" t="s">
        <v>1241</v>
      </c>
      <c r="D3" s="244" t="s">
        <v>693</v>
      </c>
      <c r="H3" s="331" t="s">
        <v>1530</v>
      </c>
      <c r="J3" s="129"/>
    </row>
    <row r="4" spans="1:15">
      <c r="B4" s="245" t="s">
        <v>690</v>
      </c>
      <c r="C4" s="245" t="s">
        <v>1242</v>
      </c>
      <c r="D4" s="245"/>
      <c r="H4" s="331" t="s">
        <v>1740</v>
      </c>
    </row>
    <row r="5" spans="1:15">
      <c r="B5" s="245" t="s">
        <v>691</v>
      </c>
      <c r="C5" s="245" t="s">
        <v>1243</v>
      </c>
      <c r="D5" s="245" t="str">
        <f>ADDRESS(ROW(A1),COLUMN(A1))&amp;":"&amp;ADDRESS(ROW(E1),COLUMN(E1))&amp;","&amp;ADDRESS(ROW(UNKB0090_LIST_STS_BEFORE),COLUMN(UNKB0090_LIST_STS_BEFORE))&amp;","&amp;ADDRESS(ROW(UNKB0090_LIST_KOBAI_NO),COLUMN(UNKB0090_LIST_KOBAI_NO))&amp;":"&amp;ADDRESS(ROW(UNKB0090_LIST_STS_CD_BEFORE),COLUMN(UNKB0090_LIST_STS_CD_BEFORE))</f>
        <v>$A$1:$E$1,$I$7,$L$7:$O$7</v>
      </c>
      <c r="H5" s="331" t="s">
        <v>1741</v>
      </c>
    </row>
    <row r="6" spans="1:15">
      <c r="G6" s="218" t="str">
        <f>"("&amp;UNKB0090_PAGE_NO&amp;"/"&amp;UNKB0090_PAGE_TOTAL&amp;")"</f>
        <v>(1/8)</v>
      </c>
    </row>
    <row r="7" spans="1:15">
      <c r="H7" s="220" t="s">
        <v>1244</v>
      </c>
      <c r="I7" s="215" t="s">
        <v>1245</v>
      </c>
      <c r="J7" s="220" t="s">
        <v>662</v>
      </c>
      <c r="K7" s="220" t="s">
        <v>663</v>
      </c>
      <c r="L7" s="215" t="s">
        <v>65</v>
      </c>
      <c r="M7" s="215" t="s">
        <v>811</v>
      </c>
      <c r="N7" s="215" t="s">
        <v>1246</v>
      </c>
      <c r="O7" s="215" t="s">
        <v>1247</v>
      </c>
    </row>
    <row r="9" spans="1:15">
      <c r="B9" s="245" t="s">
        <v>815</v>
      </c>
      <c r="C9" s="245" t="s">
        <v>1248</v>
      </c>
      <c r="D9" s="245">
        <f>IF(OR(UNKB0090_KENSAKU_KENSU=0,UNKB0090_CTRL_HYOJI_GYO_SU=0),1,ROUNDUP(UNKB0090_KENSAKU_KENSU/UNKB0090_CTRL_HYOJI_GYO_SU,0))</f>
        <v>8</v>
      </c>
    </row>
    <row r="10" spans="1:15">
      <c r="B10" s="245" t="s">
        <v>814</v>
      </c>
      <c r="C10" s="245" t="s">
        <v>1249</v>
      </c>
      <c r="D10" s="245">
        <v>1</v>
      </c>
    </row>
    <row r="11" spans="1:15">
      <c r="B11" s="245" t="s">
        <v>1250</v>
      </c>
      <c r="C11" s="245" t="s">
        <v>1251</v>
      </c>
      <c r="D11" s="245">
        <v>5</v>
      </c>
    </row>
    <row r="12" spans="1:15">
      <c r="B12" s="245" t="s">
        <v>1252</v>
      </c>
      <c r="C12" s="245" t="s">
        <v>1253</v>
      </c>
      <c r="D12" s="245">
        <v>40</v>
      </c>
    </row>
    <row r="13" spans="1:15">
      <c r="B13" s="79" t="s">
        <v>1254</v>
      </c>
      <c r="C13" s="79" t="s">
        <v>1255</v>
      </c>
      <c r="D13" s="79"/>
    </row>
    <row r="15" spans="1:15">
      <c r="B15" s="245" t="s">
        <v>1256</v>
      </c>
      <c r="C15" s="245" t="s">
        <v>1257</v>
      </c>
      <c r="D15" s="245" t="str">
        <f>ADDRESS(ROW(UNKB0090_LIST_STS_AFTER)+1, COLUMN(UNKB0090_LIST_STS_AFTER))</f>
        <v>$H$8</v>
      </c>
    </row>
    <row r="16" spans="1:15">
      <c r="B16" s="245" t="s">
        <v>1258</v>
      </c>
      <c r="C16" s="245" t="s">
        <v>1259</v>
      </c>
      <c r="D16" s="245" t="str">
        <f ca="1">IF(UNKB0090_HYOJI_KENSU=0,"",UNKB0090_LIST_START&amp;":"&amp;
ADDRESS(ROW(INDIRECT(UNKB0090_LIST_START))+UNKB0090_HYOJI_KENSU-1,COLUMN(INDIRECT(UNKB0090_LIST_START))+COLUMNS(UNKB0090_IF_LIST_COPY_MOTO)-1))</f>
        <v/>
      </c>
    </row>
    <row r="17" spans="1:4">
      <c r="B17" s="245" t="s">
        <v>1260</v>
      </c>
      <c r="C17" s="245" t="s">
        <v>1261</v>
      </c>
      <c r="D17" s="245" t="str">
        <f ca="1">ADDRESS(ROW(INDIRECT(UNKB0090_LIST_START)),COLUMN(INDIRECT(UNKB0090_LIST_START)))&amp;":"&amp;
ADDRESS(ROW(INDIRECT(UNKB0090_LIST_START))+UNKB0090_CTRL_HYOJI_GYO_SU-1,COLUMN(INDIRECT(UNKB0090_LIST_START))+COLUMNS(UNKB0090_IF_LIST_DEFAULT)-1)</f>
        <v>$H$8:$O$12</v>
      </c>
    </row>
    <row r="19" spans="1:4">
      <c r="A19" s="30" t="s">
        <v>1262</v>
      </c>
    </row>
    <row r="20" spans="1:4">
      <c r="B20" s="245" t="s">
        <v>1263</v>
      </c>
      <c r="C20" s="245" t="s">
        <v>1264</v>
      </c>
      <c r="D20" s="245">
        <f>UNKB0090_PAGE_NO+1</f>
        <v>2</v>
      </c>
    </row>
    <row r="21" spans="1:4">
      <c r="B21" s="245" t="s">
        <v>1265</v>
      </c>
      <c r="C21" s="245" t="s">
        <v>1266</v>
      </c>
      <c r="D21" s="245">
        <f>UNKB0090_PAGE_NO-1</f>
        <v>0</v>
      </c>
    </row>
  </sheetData>
  <sheetProtection sheet="1" objects="1" scenarios="1" selectLockedCells="1"/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P12"/>
  <sheetViews>
    <sheetView zoomScale="55" zoomScaleNormal="55" workbookViewId="0">
      <selection activeCell="I19" sqref="A19:I26"/>
    </sheetView>
  </sheetViews>
  <sheetFormatPr defaultRowHeight="13.5"/>
  <cols>
    <col min="1" max="1" width="9" style="230"/>
    <col min="2" max="2" width="17.125" style="230" bestFit="1" customWidth="1"/>
    <col min="3" max="3" width="31.25" style="230" bestFit="1" customWidth="1"/>
    <col min="4" max="5" width="9" style="230"/>
    <col min="6" max="6" width="10" style="230" bestFit="1" customWidth="1"/>
    <col min="7" max="7" width="8.25" style="230" bestFit="1" customWidth="1"/>
    <col min="8" max="8" width="30.25" style="230" bestFit="1" customWidth="1"/>
    <col min="9" max="16384" width="9" style="230"/>
  </cols>
  <sheetData>
    <row r="1" spans="1:16">
      <c r="A1" s="57" t="s">
        <v>126</v>
      </c>
      <c r="F1" s="57" t="s">
        <v>1267</v>
      </c>
      <c r="G1" s="57"/>
      <c r="H1" s="57"/>
    </row>
    <row r="2" spans="1:16">
      <c r="A2" s="57"/>
      <c r="B2" s="231"/>
      <c r="C2" s="231"/>
      <c r="D2" s="231"/>
      <c r="E2" s="231"/>
      <c r="F2" s="231"/>
      <c r="G2" s="231"/>
      <c r="H2" s="231"/>
    </row>
    <row r="3" spans="1:16" ht="16.5">
      <c r="A3" s="231"/>
      <c r="B3" s="244" t="s">
        <v>271</v>
      </c>
      <c r="C3" s="244" t="s">
        <v>1268</v>
      </c>
      <c r="D3" s="244" t="s">
        <v>693</v>
      </c>
      <c r="E3" s="231"/>
      <c r="F3" s="231"/>
      <c r="G3" s="231"/>
      <c r="H3" s="231"/>
      <c r="I3" s="220" t="s">
        <v>1269</v>
      </c>
      <c r="J3" s="215" t="s">
        <v>1245</v>
      </c>
      <c r="K3" s="220" t="s">
        <v>662</v>
      </c>
      <c r="L3" s="220" t="s">
        <v>663</v>
      </c>
      <c r="M3" s="215" t="s">
        <v>65</v>
      </c>
      <c r="N3" s="215" t="s">
        <v>811</v>
      </c>
      <c r="O3" s="215" t="s">
        <v>1246</v>
      </c>
      <c r="P3" s="215" t="s">
        <v>1247</v>
      </c>
    </row>
    <row r="4" spans="1:16" ht="16.5">
      <c r="A4" s="231"/>
      <c r="B4" s="245" t="s">
        <v>1270</v>
      </c>
      <c r="C4" s="245" t="s">
        <v>1271</v>
      </c>
      <c r="D4" s="245"/>
      <c r="E4" s="231"/>
      <c r="G4" s="231" t="s">
        <v>1272</v>
      </c>
      <c r="H4" s="231" t="s">
        <v>1273</v>
      </c>
      <c r="I4" s="215"/>
      <c r="J4" s="215"/>
      <c r="K4" s="246"/>
      <c r="L4" s="215"/>
      <c r="M4" s="215"/>
      <c r="N4" s="215"/>
      <c r="O4" s="215"/>
      <c r="P4" s="215"/>
    </row>
    <row r="5" spans="1:16" ht="16.5">
      <c r="B5" s="245" t="s">
        <v>1274</v>
      </c>
      <c r="C5" s="245" t="s">
        <v>1275</v>
      </c>
      <c r="D5" s="245"/>
      <c r="G5" s="230" t="s">
        <v>1276</v>
      </c>
      <c r="H5" s="230" t="s">
        <v>1277</v>
      </c>
      <c r="I5" s="218"/>
      <c r="J5" s="218"/>
      <c r="K5" s="218"/>
      <c r="L5" s="218"/>
      <c r="M5" s="218"/>
      <c r="N5" s="218"/>
      <c r="O5" s="218"/>
      <c r="P5" s="218"/>
    </row>
    <row r="7" spans="1:16" ht="16.5">
      <c r="B7" s="245" t="s">
        <v>135</v>
      </c>
      <c r="C7" s="245" t="s">
        <v>1278</v>
      </c>
      <c r="D7" s="245"/>
    </row>
    <row r="10" spans="1:16">
      <c r="A10" s="68" t="s">
        <v>192</v>
      </c>
      <c r="B10" s="231"/>
      <c r="C10" s="231"/>
      <c r="D10" s="231"/>
    </row>
    <row r="11" spans="1:16" ht="16.5">
      <c r="A11" s="57"/>
      <c r="B11" s="245" t="s">
        <v>1279</v>
      </c>
      <c r="C11" s="245" t="s">
        <v>1280</v>
      </c>
      <c r="D11" s="245">
        <f>IF(1&lt;UNKB0090_PAGE_NO,1,2)</f>
        <v>2</v>
      </c>
    </row>
    <row r="12" spans="1:16" ht="16.5">
      <c r="A12" s="57"/>
      <c r="B12" s="245" t="s">
        <v>1281</v>
      </c>
      <c r="C12" s="245" t="s">
        <v>1282</v>
      </c>
      <c r="D12" s="245">
        <f>IF(UNKB0090_PAGE_NO&lt;UNKB0090_PAGE_TOTAL,1,2)</f>
        <v>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B2:H19"/>
  <sheetViews>
    <sheetView zoomScale="70" zoomScaleNormal="70" workbookViewId="0">
      <selection activeCell="F8" sqref="F8"/>
    </sheetView>
  </sheetViews>
  <sheetFormatPr defaultRowHeight="19.5" customHeight="1"/>
  <cols>
    <col min="1" max="1" width="9" style="230"/>
    <col min="2" max="2" width="3.5" style="230" customWidth="1"/>
    <col min="3" max="3" width="3.125" style="230" customWidth="1"/>
    <col min="4" max="4" width="25.125" style="230" bestFit="1" customWidth="1"/>
    <col min="5" max="5" width="4.375" style="230" customWidth="1"/>
    <col min="6" max="6" width="82.5" style="230" bestFit="1" customWidth="1"/>
    <col min="7" max="7" width="4" style="230" customWidth="1"/>
    <col min="8" max="8" width="40.375" style="230" bestFit="1" customWidth="1"/>
    <col min="9" max="16384" width="9" style="230"/>
  </cols>
  <sheetData>
    <row r="2" spans="2:8" ht="19.5" customHeight="1">
      <c r="B2" s="609" t="s">
        <v>516</v>
      </c>
      <c r="C2" s="609"/>
      <c r="D2" s="609"/>
      <c r="E2" s="242"/>
      <c r="F2" s="206"/>
      <c r="G2" s="206"/>
      <c r="H2" s="50" t="s">
        <v>123</v>
      </c>
    </row>
    <row r="3" spans="2:8" ht="19.5" customHeight="1">
      <c r="B3" s="207"/>
      <c r="C3" s="515" t="s">
        <v>526</v>
      </c>
      <c r="D3" s="516"/>
      <c r="E3" s="241"/>
      <c r="F3" s="208" t="str">
        <f>F4&amp;$F$11</f>
        <v>SELECT KOBAI_NO
      ,KOBAIHIN_CD
      ,KOBAIHIN_MEI
  FROM V_C_KOBAI_B
 WHERE KOBAI_NO  = ''
   AND KOBAI_SEQ = ''</v>
      </c>
      <c r="G3" s="208"/>
      <c r="H3" s="209" t="s">
        <v>1283</v>
      </c>
    </row>
    <row r="4" spans="2:8" ht="19.5" customHeight="1">
      <c r="B4" s="207"/>
      <c r="C4" s="55"/>
      <c r="D4" s="56" t="s">
        <v>124</v>
      </c>
      <c r="E4" s="56"/>
      <c r="F4" s="208" t="s">
        <v>1284</v>
      </c>
      <c r="G4" s="208"/>
      <c r="H4" s="209" t="s">
        <v>125</v>
      </c>
    </row>
    <row r="5" spans="2:8" ht="19.5" customHeight="1">
      <c r="B5" s="207"/>
      <c r="C5" s="515" t="s">
        <v>529</v>
      </c>
      <c r="D5" s="516"/>
      <c r="E5" s="241"/>
      <c r="F5" s="208" t="str">
        <f>F6&amp;$F$11&amp;F7&amp;F8</f>
        <v xml:space="preserve">SELECT AFTER_STS
      ,BEFORE_STS
      ,UPDATE_DATE
      ,UPDATE_USER
      ,KOBAI_NO
      ,KOBAI_SEQ
      ,AFTER_STS_CD
      ,BEFORE_STS_CD
  FROM V_KOBAI_STS_R
 WHERE KOBAI_NO  = ''
   AND KOBAI_SEQ = '' ORDER BY UPDATE_DATE DESC
  OFFSET 0*5 ROWS
 FETCH NEXT 5 ROWS ONLY
</v>
      </c>
      <c r="G5" s="208"/>
      <c r="H5" s="209" t="s">
        <v>1285</v>
      </c>
    </row>
    <row r="6" spans="2:8" ht="19.5" customHeight="1">
      <c r="B6" s="207"/>
      <c r="C6" s="55"/>
      <c r="D6" s="56" t="s">
        <v>124</v>
      </c>
      <c r="E6" s="56"/>
      <c r="F6" s="208" t="s">
        <v>1286</v>
      </c>
      <c r="G6" s="208"/>
      <c r="H6" s="209" t="s">
        <v>125</v>
      </c>
    </row>
    <row r="7" spans="2:8" ht="19.5" customHeight="1">
      <c r="B7" s="207"/>
      <c r="C7" s="99"/>
      <c r="D7" s="56" t="s">
        <v>604</v>
      </c>
      <c r="E7" s="56"/>
      <c r="F7" s="106" t="s">
        <v>1287</v>
      </c>
      <c r="G7" s="208"/>
      <c r="H7" s="209" t="s">
        <v>1288</v>
      </c>
    </row>
    <row r="8" spans="2:8" ht="19.5" customHeight="1">
      <c r="B8" s="207"/>
      <c r="C8" s="99"/>
      <c r="D8" s="56" t="s">
        <v>798</v>
      </c>
      <c r="E8" s="56"/>
      <c r="F8" s="208" t="str">
        <f xml:space="preserve"> "  OFFSET "&amp;(UNKB0090_PAGE_NO-1)&amp;"*"&amp;UNKB0090_CTRL_HYOJI_GYO_SU&amp;" ROWS
 FETCH NEXT "&amp;UNKB0090_CTRL_HYOJI_GYO_SU&amp;" ROWS ONLY
"</f>
        <v xml:space="preserve">  OFFSET 0*5 ROWS
 FETCH NEXT 5 ROWS ONLY
</v>
      </c>
      <c r="G8" s="208"/>
      <c r="H8" s="209" t="s">
        <v>125</v>
      </c>
    </row>
    <row r="9" spans="2:8" ht="19.5" customHeight="1">
      <c r="B9" s="207"/>
      <c r="C9" s="515" t="s">
        <v>1289</v>
      </c>
      <c r="D9" s="516"/>
      <c r="E9" s="241"/>
      <c r="F9" s="208" t="str">
        <f>F10&amp;$F$11</f>
        <v>SELECT COUNT(*) AS CNT
  FROM V_KOBAI_STS_R
 WHERE KOBAI_NO  = ''
   AND KOBAI_SEQ = ''</v>
      </c>
      <c r="G9" s="208"/>
      <c r="H9" s="209" t="s">
        <v>1290</v>
      </c>
    </row>
    <row r="10" spans="2:8" ht="19.5" customHeight="1">
      <c r="B10" s="207"/>
      <c r="C10" s="55"/>
      <c r="D10" s="56" t="s">
        <v>124</v>
      </c>
      <c r="E10" s="56"/>
      <c r="F10" s="208" t="s">
        <v>1291</v>
      </c>
      <c r="G10" s="208"/>
      <c r="H10" s="209" t="s">
        <v>125</v>
      </c>
    </row>
    <row r="11" spans="2:8" ht="19.5" customHeight="1">
      <c r="B11" s="100"/>
      <c r="C11" s="519" t="s">
        <v>519</v>
      </c>
      <c r="D11" s="520"/>
      <c r="E11" s="56"/>
      <c r="F11" s="208" t="str">
        <f>" WHERE KOBAI_NO  = '"&amp;UNKB0090_IF_KOBAI_NO&amp;"'
   AND KOBAI_SEQ = '"&amp;UNKB0090_IF_KOBAI_SEQ&amp;"'"</f>
        <v xml:space="preserve"> WHERE KOBAI_NO  = ''
   AND KOBAI_SEQ = ''</v>
      </c>
      <c r="G11" s="208"/>
      <c r="H11" s="209" t="s">
        <v>125</v>
      </c>
    </row>
    <row r="14" spans="2:8" ht="19.5" customHeight="1">
      <c r="B14" s="606" t="s">
        <v>583</v>
      </c>
      <c r="C14" s="607"/>
      <c r="D14" s="607"/>
      <c r="E14" s="608"/>
      <c r="F14" s="206"/>
      <c r="G14" s="206"/>
      <c r="H14" s="50" t="s">
        <v>123</v>
      </c>
    </row>
    <row r="15" spans="2:8" ht="19.5" customHeight="1">
      <c r="B15" s="207"/>
      <c r="C15" s="604" t="s">
        <v>1292</v>
      </c>
      <c r="D15" s="605"/>
      <c r="E15" s="247"/>
      <c r="F15" s="106" t="s">
        <v>1293</v>
      </c>
      <c r="G15" s="208"/>
      <c r="H15" s="209" t="s">
        <v>1294</v>
      </c>
    </row>
    <row r="18" spans="2:8" ht="19.5" customHeight="1">
      <c r="B18" s="606" t="s">
        <v>1295</v>
      </c>
      <c r="C18" s="607"/>
      <c r="D18" s="607"/>
      <c r="E18" s="608"/>
      <c r="F18" s="206"/>
      <c r="G18" s="206"/>
      <c r="H18" s="50" t="s">
        <v>123</v>
      </c>
    </row>
    <row r="19" spans="2:8" ht="19.5" customHeight="1">
      <c r="B19" s="207"/>
      <c r="C19" s="604" t="s">
        <v>1296</v>
      </c>
      <c r="D19" s="605"/>
      <c r="E19" s="247"/>
      <c r="F19" s="106" t="s">
        <v>1297</v>
      </c>
      <c r="G19" s="208"/>
      <c r="H19" s="209" t="s">
        <v>1298</v>
      </c>
    </row>
  </sheetData>
  <mergeCells count="9">
    <mergeCell ref="C15:D15"/>
    <mergeCell ref="B18:E18"/>
    <mergeCell ref="C19:D19"/>
    <mergeCell ref="B2:D2"/>
    <mergeCell ref="C3:D3"/>
    <mergeCell ref="C5:D5"/>
    <mergeCell ref="C9:D9"/>
    <mergeCell ref="C11:D11"/>
    <mergeCell ref="B14:E14"/>
  </mergeCells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>
    <tabColor rgb="FFFFC000"/>
  </sheetPr>
  <dimension ref="A1:T54"/>
  <sheetViews>
    <sheetView showGridLines="0" showRowColHeaders="0" topLeftCell="G1" zoomScaleNormal="100" workbookViewId="0">
      <selection activeCell="I5" sqref="I5:J5"/>
    </sheetView>
  </sheetViews>
  <sheetFormatPr defaultRowHeight="16.5" customHeight="1"/>
  <cols>
    <col min="1" max="1" width="9" style="30" hidden="1" customWidth="1"/>
    <col min="2" max="2" width="13.25" style="30" hidden="1" customWidth="1"/>
    <col min="3" max="3" width="19.5" style="30" hidden="1" customWidth="1"/>
    <col min="4" max="4" width="42" style="30" hidden="1" customWidth="1"/>
    <col min="5" max="5" width="17.375" style="30" hidden="1" customWidth="1"/>
    <col min="6" max="6" width="9" style="30" hidden="1" customWidth="1"/>
    <col min="7" max="7" width="3.25" style="11" customWidth="1"/>
    <col min="8" max="8" width="10.625" style="11" customWidth="1"/>
    <col min="9" max="9" width="3.25" style="11" customWidth="1"/>
    <col min="10" max="10" width="9.75" style="11" customWidth="1"/>
    <col min="11" max="11" width="3.25" style="11" customWidth="1"/>
    <col min="12" max="12" width="13" style="11" customWidth="1"/>
    <col min="13" max="13" width="3.25" style="11" customWidth="1"/>
    <col min="14" max="14" width="13" style="11" customWidth="1"/>
    <col min="15" max="15" width="3.25" style="11" customWidth="1"/>
    <col min="16" max="16" width="12.5" style="11" customWidth="1"/>
    <col min="17" max="17" width="3.25" style="11" customWidth="1"/>
    <col min="18" max="18" width="12.5" style="11" customWidth="1"/>
    <col min="19" max="19" width="15.125" style="11" customWidth="1"/>
    <col min="20" max="20" width="37.5" style="11" customWidth="1"/>
    <col min="21" max="25" width="3.25" style="11" customWidth="1"/>
    <col min="26" max="49" width="3.375" style="11" customWidth="1"/>
    <col min="50" max="16384" width="9" style="11"/>
  </cols>
  <sheetData>
    <row r="1" spans="1:20" s="12" customFormat="1" ht="16.5" customHeight="1">
      <c r="A1" s="288"/>
      <c r="B1" s="288"/>
      <c r="C1" s="288"/>
      <c r="D1" s="288"/>
      <c r="E1" s="288"/>
      <c r="F1" s="288"/>
      <c r="G1" s="12" t="s">
        <v>665</v>
      </c>
    </row>
    <row r="2" spans="1:20" ht="16.5" customHeight="1">
      <c r="B2" s="364"/>
      <c r="C2" s="245" t="s">
        <v>690</v>
      </c>
      <c r="D2" s="245" t="s">
        <v>1634</v>
      </c>
      <c r="E2" s="245"/>
    </row>
    <row r="3" spans="1:20" ht="16.5" customHeight="1">
      <c r="B3" s="364"/>
      <c r="C3" s="245" t="s">
        <v>691</v>
      </c>
      <c r="D3" s="245" t="s">
        <v>1702</v>
      </c>
      <c r="E3" s="245" t="str">
        <f>ADDRESS(ROW(A1),COLUMN(A1))&amp;":"&amp;ADDRESS(ROW(F1),COLUMN(F1))</f>
        <v>$A$1:$F$1</v>
      </c>
      <c r="H3" s="13" t="s">
        <v>18</v>
      </c>
      <c r="I3" s="18"/>
      <c r="J3" s="308" t="s">
        <v>19</v>
      </c>
      <c r="K3" s="19"/>
      <c r="L3" s="308" t="s">
        <v>20</v>
      </c>
      <c r="M3" s="19"/>
      <c r="N3" s="133" t="s">
        <v>21</v>
      </c>
      <c r="O3" s="19"/>
      <c r="P3" s="17" t="s">
        <v>1858</v>
      </c>
      <c r="Q3" s="19"/>
      <c r="R3" s="15" t="s">
        <v>23</v>
      </c>
      <c r="S3" s="218"/>
      <c r="T3" s="218"/>
    </row>
    <row r="4" spans="1:20" ht="16.5" customHeight="1">
      <c r="B4" s="364"/>
      <c r="C4" s="364"/>
      <c r="D4" s="364"/>
      <c r="E4" s="364"/>
    </row>
    <row r="5" spans="1:20" ht="16.5" customHeight="1">
      <c r="B5" s="364"/>
      <c r="C5" s="365" t="s">
        <v>692</v>
      </c>
      <c r="D5" s="364"/>
      <c r="E5" s="366" t="s">
        <v>1635</v>
      </c>
      <c r="H5" s="13" t="s">
        <v>1900</v>
      </c>
      <c r="I5" s="489"/>
      <c r="J5" s="489"/>
      <c r="K5" s="333" t="s">
        <v>642</v>
      </c>
      <c r="L5" s="474"/>
      <c r="M5" s="330"/>
      <c r="N5" s="331" t="s">
        <v>666</v>
      </c>
      <c r="O5" s="564"/>
      <c r="P5" s="564"/>
      <c r="Q5" s="330"/>
      <c r="R5" s="331" t="s">
        <v>32</v>
      </c>
      <c r="S5" s="352"/>
      <c r="T5" s="335" t="str">
        <f>IF(UNKB0130_H_KOBAIHIN_CD="","",UNKB0130_H_KOBAIHIN_MEI)</f>
        <v/>
      </c>
    </row>
    <row r="6" spans="1:20" ht="16.5" customHeight="1" thickBot="1">
      <c r="B6" s="244" t="s">
        <v>1387</v>
      </c>
      <c r="C6" s="244" t="s">
        <v>271</v>
      </c>
      <c r="D6" s="244" t="s">
        <v>1241</v>
      </c>
      <c r="E6" s="367" t="s">
        <v>693</v>
      </c>
      <c r="H6" s="13" t="s">
        <v>1901</v>
      </c>
      <c r="I6" s="489"/>
      <c r="J6" s="489"/>
      <c r="K6" s="333" t="s">
        <v>642</v>
      </c>
      <c r="L6" s="474"/>
      <c r="M6" s="330"/>
      <c r="N6" s="331" t="s">
        <v>31</v>
      </c>
      <c r="O6" s="564"/>
      <c r="P6" s="564"/>
      <c r="Q6" s="330"/>
      <c r="R6" s="331" t="s">
        <v>34</v>
      </c>
      <c r="S6" s="352"/>
      <c r="T6" s="335" t="str">
        <f>IF(UNKB0130_H_SHIIRE_CD="","",UNKB0130_H_SHIIRE_MEI)</f>
        <v/>
      </c>
    </row>
    <row r="7" spans="1:20" ht="16.5" customHeight="1">
      <c r="B7" s="480" t="s">
        <v>41</v>
      </c>
      <c r="C7" s="290" t="s">
        <v>69</v>
      </c>
      <c r="D7" s="368" t="s">
        <v>1636</v>
      </c>
      <c r="E7" s="369" t="b">
        <v>1</v>
      </c>
      <c r="H7" s="13" t="s">
        <v>1902</v>
      </c>
      <c r="I7" s="489"/>
      <c r="J7" s="489"/>
      <c r="K7" s="333" t="s">
        <v>642</v>
      </c>
      <c r="L7" s="474"/>
      <c r="M7" s="330"/>
      <c r="N7" s="331" t="s">
        <v>72</v>
      </c>
      <c r="O7" s="565"/>
      <c r="P7" s="565"/>
      <c r="Q7" s="330"/>
      <c r="R7" s="331" t="s">
        <v>37</v>
      </c>
      <c r="S7" s="352"/>
      <c r="T7" s="335" t="str">
        <f>IF(UNKB0130_H_MAKER_CD="","",UNKB0130_H_MAKER_MEI)</f>
        <v/>
      </c>
    </row>
    <row r="8" spans="1:20" ht="16.5" customHeight="1">
      <c r="B8" s="480"/>
      <c r="C8" s="290" t="s">
        <v>20</v>
      </c>
      <c r="D8" s="368" t="s">
        <v>1637</v>
      </c>
      <c r="E8" s="370" t="b">
        <v>1</v>
      </c>
      <c r="H8" s="13" t="s">
        <v>1903</v>
      </c>
      <c r="I8" s="489"/>
      <c r="J8" s="489"/>
      <c r="K8" s="333" t="s">
        <v>642</v>
      </c>
      <c r="L8" s="474"/>
      <c r="M8" s="330"/>
      <c r="N8" s="331" t="s">
        <v>36</v>
      </c>
      <c r="O8" s="564"/>
      <c r="P8" s="564"/>
      <c r="Q8" s="330"/>
      <c r="R8" s="331" t="s">
        <v>1904</v>
      </c>
      <c r="S8" s="476"/>
      <c r="T8" s="330"/>
    </row>
    <row r="9" spans="1:20" ht="16.5" customHeight="1">
      <c r="B9" s="480"/>
      <c r="C9" s="290" t="s">
        <v>699</v>
      </c>
      <c r="D9" s="368" t="s">
        <v>1638</v>
      </c>
      <c r="E9" s="370" t="b">
        <v>1</v>
      </c>
      <c r="I9" s="330"/>
      <c r="J9" s="330"/>
      <c r="K9" s="330"/>
      <c r="L9" s="330"/>
      <c r="M9" s="330"/>
      <c r="N9" s="331" t="s">
        <v>667</v>
      </c>
      <c r="O9" s="564"/>
      <c r="P9" s="564"/>
      <c r="Q9" s="330"/>
      <c r="R9" s="330"/>
      <c r="S9" s="330"/>
      <c r="T9" s="330"/>
    </row>
    <row r="10" spans="1:20" ht="16.5" customHeight="1">
      <c r="B10" s="480"/>
      <c r="C10" s="290" t="s">
        <v>1859</v>
      </c>
      <c r="D10" s="368" t="s">
        <v>1639</v>
      </c>
      <c r="E10" s="370" t="b">
        <v>1</v>
      </c>
      <c r="I10" s="330"/>
      <c r="J10" s="330"/>
      <c r="K10" s="330"/>
      <c r="L10" s="330"/>
      <c r="M10" s="330"/>
      <c r="N10" s="330"/>
      <c r="O10" s="330"/>
      <c r="P10" s="330"/>
      <c r="Q10" s="330"/>
      <c r="R10" s="330"/>
      <c r="S10" s="330"/>
      <c r="T10" s="330"/>
    </row>
    <row r="11" spans="1:20" ht="16.5" customHeight="1">
      <c r="B11" s="480"/>
      <c r="C11" s="290" t="s">
        <v>23</v>
      </c>
      <c r="D11" s="368" t="s">
        <v>1640</v>
      </c>
      <c r="E11" s="370" t="b">
        <v>0</v>
      </c>
      <c r="H11" s="13" t="s">
        <v>651</v>
      </c>
      <c r="I11" s="491"/>
      <c r="J11" s="491"/>
      <c r="K11" s="332" t="str">
        <f>IF(UNKB0130_H_FREEWD_KBN=1,"AND",IF(UNKB0130_H_FREEWD_KBN=2,"OR","NAND"))</f>
        <v>AND</v>
      </c>
      <c r="L11" s="356"/>
      <c r="M11" s="332" t="str">
        <f>UNKB0130_H_FREEWD_KBN_DISP</f>
        <v>AND</v>
      </c>
      <c r="N11" s="356"/>
      <c r="O11" s="330"/>
      <c r="P11" s="330"/>
      <c r="Q11" s="330"/>
      <c r="R11" s="330"/>
      <c r="S11" s="353" t="s">
        <v>668</v>
      </c>
      <c r="T11" s="344"/>
    </row>
    <row r="12" spans="1:20" ht="16.5" customHeight="1">
      <c r="B12" s="381" t="s">
        <v>1395</v>
      </c>
      <c r="C12" s="79" t="s">
        <v>114</v>
      </c>
      <c r="D12" s="371" t="s">
        <v>1641</v>
      </c>
      <c r="E12" s="329"/>
    </row>
    <row r="13" spans="1:20" ht="16.5" customHeight="1">
      <c r="B13" s="372" t="s">
        <v>1395</v>
      </c>
      <c r="C13" s="373" t="s">
        <v>452</v>
      </c>
      <c r="D13" s="374" t="s">
        <v>1642</v>
      </c>
      <c r="E13" s="150"/>
    </row>
    <row r="14" spans="1:20" ht="16.5" customHeight="1">
      <c r="B14" s="381" t="s">
        <v>1395</v>
      </c>
      <c r="C14" s="79" t="s">
        <v>90</v>
      </c>
      <c r="D14" s="371" t="s">
        <v>1643</v>
      </c>
      <c r="E14" s="346"/>
    </row>
    <row r="15" spans="1:20" ht="16.5" customHeight="1">
      <c r="B15" s="381" t="s">
        <v>1395</v>
      </c>
      <c r="C15" s="79" t="s">
        <v>59</v>
      </c>
      <c r="D15" s="371" t="s">
        <v>1711</v>
      </c>
      <c r="E15" s="346"/>
    </row>
    <row r="16" spans="1:20" ht="16.5" customHeight="1">
      <c r="B16" s="381" t="s">
        <v>1395</v>
      </c>
      <c r="C16" s="79" t="s">
        <v>61</v>
      </c>
      <c r="D16" s="371" t="s">
        <v>1644</v>
      </c>
      <c r="E16" s="151"/>
    </row>
    <row r="17" spans="1:6" s="218" customFormat="1" ht="16.5" customHeight="1">
      <c r="A17" s="30"/>
      <c r="B17" s="381" t="s">
        <v>1395</v>
      </c>
      <c r="C17" s="79" t="s">
        <v>1703</v>
      </c>
      <c r="D17" s="371" t="s">
        <v>1704</v>
      </c>
      <c r="E17" s="370" t="b">
        <v>0</v>
      </c>
      <c r="F17" s="30"/>
    </row>
    <row r="18" spans="1:6" ht="16.5" customHeight="1" thickBot="1">
      <c r="B18" s="381" t="s">
        <v>1395</v>
      </c>
      <c r="C18" s="79" t="s">
        <v>695</v>
      </c>
      <c r="D18" s="371" t="s">
        <v>1645</v>
      </c>
      <c r="E18" s="152">
        <v>1</v>
      </c>
    </row>
    <row r="19" spans="1:6" ht="16.5" customHeight="1">
      <c r="B19" s="364"/>
      <c r="C19" s="364"/>
      <c r="D19" s="364"/>
      <c r="E19" s="364"/>
    </row>
    <row r="20" spans="1:6" ht="16.5" customHeight="1">
      <c r="B20" s="364"/>
      <c r="C20" s="364"/>
      <c r="D20" s="364"/>
      <c r="E20" s="364"/>
    </row>
    <row r="21" spans="1:6" ht="16.5" customHeight="1">
      <c r="B21" s="364"/>
      <c r="C21" s="482" t="s">
        <v>730</v>
      </c>
      <c r="D21" s="482"/>
      <c r="E21" s="364"/>
    </row>
    <row r="22" spans="1:6" ht="16.5" customHeight="1">
      <c r="B22" s="364"/>
      <c r="C22" s="77" t="s">
        <v>686</v>
      </c>
      <c r="D22" s="77" t="s">
        <v>688</v>
      </c>
      <c r="E22" s="77" t="s">
        <v>687</v>
      </c>
    </row>
    <row r="23" spans="1:6" ht="16.5" customHeight="1">
      <c r="B23" s="364"/>
      <c r="C23" s="290" t="s">
        <v>69</v>
      </c>
      <c r="D23" s="290" t="s">
        <v>1646</v>
      </c>
      <c r="E23" s="381" t="b">
        <v>1</v>
      </c>
    </row>
    <row r="24" spans="1:6" ht="16.5" customHeight="1">
      <c r="B24" s="364"/>
      <c r="C24" s="290" t="s">
        <v>20</v>
      </c>
      <c r="D24" s="290" t="s">
        <v>1647</v>
      </c>
      <c r="E24" s="381" t="b">
        <v>1</v>
      </c>
    </row>
    <row r="25" spans="1:6" ht="16.5" customHeight="1">
      <c r="B25" s="364"/>
      <c r="C25" s="290" t="s">
        <v>699</v>
      </c>
      <c r="D25" s="290" t="s">
        <v>1648</v>
      </c>
      <c r="E25" s="381" t="b">
        <v>1</v>
      </c>
    </row>
    <row r="26" spans="1:6" ht="16.5" customHeight="1">
      <c r="B26" s="364"/>
      <c r="C26" s="290" t="s">
        <v>22</v>
      </c>
      <c r="D26" s="290" t="s">
        <v>1649</v>
      </c>
      <c r="E26" s="381" t="b">
        <v>1</v>
      </c>
    </row>
    <row r="27" spans="1:6" ht="16.5" customHeight="1">
      <c r="B27" s="364"/>
      <c r="C27" s="290" t="s">
        <v>23</v>
      </c>
      <c r="D27" s="290" t="s">
        <v>1650</v>
      </c>
      <c r="E27" s="381" t="b">
        <v>1</v>
      </c>
    </row>
    <row r="28" spans="1:6" ht="16.5" customHeight="1">
      <c r="B28" s="364"/>
      <c r="C28" s="79" t="s">
        <v>1406</v>
      </c>
      <c r="D28" s="79" t="s">
        <v>1651</v>
      </c>
      <c r="E28" s="388">
        <v>42370</v>
      </c>
    </row>
    <row r="29" spans="1:6" ht="16.5" customHeight="1">
      <c r="B29" s="364"/>
      <c r="C29" s="79" t="s">
        <v>1408</v>
      </c>
      <c r="D29" s="79" t="s">
        <v>1652</v>
      </c>
      <c r="E29" s="388">
        <v>42371</v>
      </c>
    </row>
    <row r="30" spans="1:6" ht="16.5" customHeight="1">
      <c r="B30" s="364"/>
      <c r="C30" s="79" t="s">
        <v>735</v>
      </c>
      <c r="D30" s="79" t="s">
        <v>1653</v>
      </c>
      <c r="E30" s="388">
        <v>42401</v>
      </c>
    </row>
    <row r="31" spans="1:6" ht="16.5" customHeight="1">
      <c r="B31" s="364"/>
      <c r="C31" s="79" t="s">
        <v>736</v>
      </c>
      <c r="D31" s="79" t="s">
        <v>1705</v>
      </c>
      <c r="E31" s="388">
        <v>42402</v>
      </c>
    </row>
    <row r="32" spans="1:6" ht="16.5" customHeight="1">
      <c r="B32" s="364"/>
      <c r="C32" s="79" t="s">
        <v>737</v>
      </c>
      <c r="D32" s="79" t="s">
        <v>1654</v>
      </c>
      <c r="E32" s="388">
        <v>42430</v>
      </c>
    </row>
    <row r="33" spans="1:6" ht="16.5" customHeight="1">
      <c r="B33" s="364"/>
      <c r="C33" s="79" t="s">
        <v>738</v>
      </c>
      <c r="D33" s="79" t="s">
        <v>1655</v>
      </c>
      <c r="E33" s="388">
        <v>42431</v>
      </c>
    </row>
    <row r="34" spans="1:6" ht="16.5" customHeight="1">
      <c r="B34" s="364"/>
      <c r="C34" s="79" t="s">
        <v>739</v>
      </c>
      <c r="D34" s="79" t="s">
        <v>1656</v>
      </c>
      <c r="E34" s="388">
        <v>42461</v>
      </c>
    </row>
    <row r="35" spans="1:6" ht="16.5" customHeight="1">
      <c r="B35" s="364"/>
      <c r="C35" s="79" t="s">
        <v>740</v>
      </c>
      <c r="D35" s="79" t="s">
        <v>1657</v>
      </c>
      <c r="E35" s="388">
        <v>42462</v>
      </c>
    </row>
    <row r="36" spans="1:6" s="218" customFormat="1" ht="16.5" customHeight="1">
      <c r="A36" s="30"/>
      <c r="B36" s="364"/>
      <c r="C36" s="79" t="s">
        <v>1715</v>
      </c>
      <c r="D36" s="79" t="s">
        <v>1717</v>
      </c>
      <c r="E36" s="381" t="s">
        <v>1745</v>
      </c>
      <c r="F36" s="30"/>
    </row>
    <row r="37" spans="1:6" ht="16.5" customHeight="1">
      <c r="B37" s="364"/>
      <c r="C37" s="79" t="s">
        <v>741</v>
      </c>
      <c r="D37" s="79" t="s">
        <v>1658</v>
      </c>
      <c r="E37" s="381" t="s">
        <v>1746</v>
      </c>
    </row>
    <row r="38" spans="1:6" ht="16.5" customHeight="1">
      <c r="B38" s="364"/>
      <c r="C38" s="79" t="s">
        <v>114</v>
      </c>
      <c r="D38" s="79" t="s">
        <v>1659</v>
      </c>
      <c r="E38" s="381">
        <v>2010</v>
      </c>
    </row>
    <row r="39" spans="1:6" ht="16.5" customHeight="1">
      <c r="B39" s="364"/>
      <c r="C39" s="79" t="s">
        <v>742</v>
      </c>
      <c r="D39" s="79" t="s">
        <v>1660</v>
      </c>
      <c r="E39" s="381" t="s">
        <v>1747</v>
      </c>
    </row>
    <row r="40" spans="1:6" ht="16.5" customHeight="1">
      <c r="B40" s="364"/>
      <c r="C40" s="79" t="s">
        <v>63</v>
      </c>
      <c r="D40" s="79" t="s">
        <v>1661</v>
      </c>
      <c r="E40" s="381" t="s">
        <v>1748</v>
      </c>
    </row>
    <row r="41" spans="1:6" s="218" customFormat="1" ht="16.5" customHeight="1">
      <c r="A41" s="30"/>
      <c r="B41" s="364"/>
      <c r="C41" s="79" t="s">
        <v>1716</v>
      </c>
      <c r="D41" s="79" t="s">
        <v>1718</v>
      </c>
      <c r="E41" s="381" t="s">
        <v>1749</v>
      </c>
      <c r="F41" s="30"/>
    </row>
    <row r="42" spans="1:6" ht="16.5" customHeight="1">
      <c r="B42" s="364"/>
      <c r="C42" s="79" t="s">
        <v>62</v>
      </c>
      <c r="D42" s="79" t="s">
        <v>1662</v>
      </c>
      <c r="E42" s="381">
        <v>123456</v>
      </c>
    </row>
    <row r="43" spans="1:6" ht="16.5" customHeight="1">
      <c r="B43" s="364"/>
      <c r="C43" s="373" t="s">
        <v>452</v>
      </c>
      <c r="D43" s="373" t="s">
        <v>1663</v>
      </c>
      <c r="E43" s="372"/>
    </row>
    <row r="44" spans="1:6" ht="16.5" customHeight="1">
      <c r="B44" s="364"/>
      <c r="C44" s="79" t="s">
        <v>747</v>
      </c>
      <c r="D44" s="79" t="s">
        <v>1664</v>
      </c>
      <c r="E44" s="381">
        <v>111</v>
      </c>
    </row>
    <row r="45" spans="1:6" ht="16.5" customHeight="1">
      <c r="B45" s="364"/>
      <c r="C45" s="79" t="s">
        <v>90</v>
      </c>
      <c r="D45" s="79" t="s">
        <v>1665</v>
      </c>
      <c r="E45" s="381" t="s">
        <v>1750</v>
      </c>
    </row>
    <row r="46" spans="1:6" ht="16.5" customHeight="1">
      <c r="B46" s="364"/>
      <c r="C46" s="79" t="s">
        <v>58</v>
      </c>
      <c r="D46" s="79" t="s">
        <v>1666</v>
      </c>
      <c r="E46" s="381">
        <v>222</v>
      </c>
    </row>
    <row r="47" spans="1:6" ht="16.5" customHeight="1">
      <c r="B47" s="364"/>
      <c r="C47" s="79" t="s">
        <v>59</v>
      </c>
      <c r="D47" s="79" t="s">
        <v>1667</v>
      </c>
      <c r="E47" s="381" t="s">
        <v>1751</v>
      </c>
    </row>
    <row r="48" spans="1:6" ht="16.5" customHeight="1">
      <c r="B48" s="364"/>
      <c r="C48" s="79" t="s">
        <v>60</v>
      </c>
      <c r="D48" s="79" t="s">
        <v>1668</v>
      </c>
      <c r="E48" s="381">
        <v>333</v>
      </c>
    </row>
    <row r="49" spans="1:6" ht="16.5" customHeight="1">
      <c r="B49" s="364"/>
      <c r="C49" s="79" t="s">
        <v>61</v>
      </c>
      <c r="D49" s="79" t="s">
        <v>1669</v>
      </c>
      <c r="E49" s="381" t="s">
        <v>1752</v>
      </c>
    </row>
    <row r="50" spans="1:6" s="218" customFormat="1" ht="16.5" customHeight="1">
      <c r="A50" s="30"/>
      <c r="B50" s="364"/>
      <c r="C50" s="79" t="s">
        <v>1719</v>
      </c>
      <c r="D50" s="371" t="s">
        <v>1720</v>
      </c>
      <c r="E50" s="381" t="b">
        <v>1</v>
      </c>
      <c r="F50" s="30"/>
    </row>
    <row r="51" spans="1:6" ht="16.5" customHeight="1">
      <c r="B51" s="364"/>
      <c r="C51" s="245" t="s">
        <v>777</v>
      </c>
      <c r="D51" s="245" t="s">
        <v>1670</v>
      </c>
      <c r="E51" s="381" t="s">
        <v>1742</v>
      </c>
    </row>
    <row r="52" spans="1:6" ht="16.5" customHeight="1">
      <c r="B52" s="364"/>
      <c r="C52" s="245" t="s">
        <v>778</v>
      </c>
      <c r="D52" s="245" t="s">
        <v>1671</v>
      </c>
      <c r="E52" s="381" t="s">
        <v>1743</v>
      </c>
    </row>
    <row r="53" spans="1:6" ht="16.5" customHeight="1">
      <c r="B53" s="364"/>
      <c r="C53" s="245" t="s">
        <v>689</v>
      </c>
      <c r="D53" s="245" t="s">
        <v>1672</v>
      </c>
      <c r="E53" s="381" t="s">
        <v>1744</v>
      </c>
    </row>
    <row r="54" spans="1:6" ht="16.5" customHeight="1">
      <c r="B54" s="364"/>
      <c r="C54" s="79" t="s">
        <v>695</v>
      </c>
      <c r="D54" s="79" t="s">
        <v>1673</v>
      </c>
      <c r="E54" s="381">
        <v>1</v>
      </c>
    </row>
  </sheetData>
  <sheetProtection sheet="1" objects="1" scenarios="1" selectLockedCells="1"/>
  <mergeCells count="12">
    <mergeCell ref="O5:P5"/>
    <mergeCell ref="I11:J11"/>
    <mergeCell ref="O9:P9"/>
    <mergeCell ref="I7:J7"/>
    <mergeCell ref="I8:J8"/>
    <mergeCell ref="I6:J6"/>
    <mergeCell ref="I5:J5"/>
    <mergeCell ref="C21:D21"/>
    <mergeCell ref="B7:B11"/>
    <mergeCell ref="O8:P8"/>
    <mergeCell ref="O7:P7"/>
    <mergeCell ref="O6:P6"/>
  </mergeCells>
  <phoneticPr fontId="1"/>
  <dataValidations count="3">
    <dataValidation type="custom" allowBlank="1" showInputMessage="1" showErrorMessage="1" sqref="O5:P6 O8:P9">
      <formula1>AND(LEN(O5)=LENB(O5),LEN(O5)=10)</formula1>
    </dataValidation>
    <dataValidation type="date" allowBlank="1" showInputMessage="1" showErrorMessage="1" sqref="I5:J5 I6:J6 I7:J7 I8:J8 L8 L7 L6 L5">
      <formula1>36526</formula1>
      <formula2>73415</formula2>
    </dataValidation>
    <dataValidation type="custom" allowBlank="1" showInputMessage="1" showErrorMessage="1" sqref="S8">
      <formula1>AND(LEN(S8)=LENB(S8),LEN(S8)&lt;=10)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8" r:id="rId4" name="Button 2">
              <controlPr defaultSize="0" print="0" autoFill="0" autoPict="0" macro="[0]!UNKB0130_SearchDataCopy">
                <anchor moveWithCells="1" sizeWithCells="1">
                  <from>
                    <xdr:col>3</xdr:col>
                    <xdr:colOff>676275</xdr:colOff>
                    <xdr:row>19</xdr:row>
                    <xdr:rowOff>47625</xdr:rowOff>
                  </from>
                  <to>
                    <xdr:col>3</xdr:col>
                    <xdr:colOff>1619250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39" r:id="rId5" name="Check Box 3">
              <controlPr defaultSize="0" autoFill="0" autoLine="0" autoPict="0">
                <anchor moveWithCells="1">
                  <from>
                    <xdr:col>8</xdr:col>
                    <xdr:colOff>38100</xdr:colOff>
                    <xdr:row>2</xdr:row>
                    <xdr:rowOff>19050</xdr:rowOff>
                  </from>
                  <to>
                    <xdr:col>9</xdr:col>
                    <xdr:colOff>438150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0" r:id="rId6" name="Check Box 4">
              <controlPr defaultSize="0" autoFill="0" autoLine="0" autoPict="0">
                <anchor moveWithCells="1">
                  <from>
                    <xdr:col>10</xdr:col>
                    <xdr:colOff>38100</xdr:colOff>
                    <xdr:row>2</xdr:row>
                    <xdr:rowOff>19050</xdr:rowOff>
                  </from>
                  <to>
                    <xdr:col>11</xdr:col>
                    <xdr:colOff>561975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1" r:id="rId7" name="Check Box 5">
              <controlPr defaultSize="0" autoFill="0" autoLine="0" autoPict="0">
                <anchor moveWithCells="1">
                  <from>
                    <xdr:col>12</xdr:col>
                    <xdr:colOff>38100</xdr:colOff>
                    <xdr:row>2</xdr:row>
                    <xdr:rowOff>19050</xdr:rowOff>
                  </from>
                  <to>
                    <xdr:col>13</xdr:col>
                    <xdr:colOff>942975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2" r:id="rId8" name="Check Box 6">
              <controlPr defaultSize="0" autoFill="0" autoLine="0" autoPict="0">
                <anchor moveWithCells="1">
                  <from>
                    <xdr:col>14</xdr:col>
                    <xdr:colOff>38100</xdr:colOff>
                    <xdr:row>2</xdr:row>
                    <xdr:rowOff>19050</xdr:rowOff>
                  </from>
                  <to>
                    <xdr:col>15</xdr:col>
                    <xdr:colOff>333375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3" r:id="rId9" name="Check Box 7">
              <controlPr defaultSize="0" autoFill="0" autoLine="0" autoPict="0">
                <anchor moveWithCells="1">
                  <from>
                    <xdr:col>16</xdr:col>
                    <xdr:colOff>38100</xdr:colOff>
                    <xdr:row>2</xdr:row>
                    <xdr:rowOff>19050</xdr:rowOff>
                  </from>
                  <to>
                    <xdr:col>17</xdr:col>
                    <xdr:colOff>438150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4" r:id="rId10" name="Check Box 8">
              <controlPr defaultSize="0" autoFill="0" autoLine="0" autoPict="0">
                <anchor moveWithCells="1">
                  <from>
                    <xdr:col>17</xdr:col>
                    <xdr:colOff>752475</xdr:colOff>
                    <xdr:row>10</xdr:row>
                    <xdr:rowOff>19050</xdr:rowOff>
                  </from>
                  <to>
                    <xdr:col>18</xdr:col>
                    <xdr:colOff>447675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5" r:id="rId11" name="Option Button 9">
              <controlPr defaultSize="0" autoFill="0" autoLine="0" autoPict="0">
                <anchor moveWithCells="1">
                  <from>
                    <xdr:col>14</xdr:col>
                    <xdr:colOff>228600</xdr:colOff>
                    <xdr:row>9</xdr:row>
                    <xdr:rowOff>228600</xdr:rowOff>
                  </from>
                  <to>
                    <xdr:col>15</xdr:col>
                    <xdr:colOff>495300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6" r:id="rId12" name="Option Button 10">
              <controlPr defaultSize="0" autoFill="0" autoLine="0" autoPict="0">
                <anchor moveWithCells="1">
                  <from>
                    <xdr:col>15</xdr:col>
                    <xdr:colOff>552450</xdr:colOff>
                    <xdr:row>9</xdr:row>
                    <xdr:rowOff>228600</xdr:rowOff>
                  </from>
                  <to>
                    <xdr:col>16</xdr:col>
                    <xdr:colOff>38100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7" r:id="rId13" name="Option Button 11">
              <controlPr defaultSize="0" autoFill="0" autoLine="0" autoPict="0">
                <anchor moveWithCells="1">
                  <from>
                    <xdr:col>16</xdr:col>
                    <xdr:colOff>28575</xdr:colOff>
                    <xdr:row>9</xdr:row>
                    <xdr:rowOff>219075</xdr:rowOff>
                  </from>
                  <to>
                    <xdr:col>17</xdr:col>
                    <xdr:colOff>400050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tabColor rgb="FFFFC000"/>
  </sheetPr>
  <dimension ref="A1:AM39"/>
  <sheetViews>
    <sheetView showGridLines="0" showRowColHeaders="0" topLeftCell="F13" workbookViewId="0">
      <selection sqref="A1:E1 AH14:AM14"/>
    </sheetView>
  </sheetViews>
  <sheetFormatPr defaultRowHeight="16.5"/>
  <cols>
    <col min="1" max="1" width="9" style="38" hidden="1" customWidth="1"/>
    <col min="2" max="2" width="23.75" style="38" hidden="1" customWidth="1"/>
    <col min="3" max="3" width="41.875" style="38" hidden="1" customWidth="1"/>
    <col min="4" max="4" width="15.875" style="38" hidden="1" customWidth="1"/>
    <col min="5" max="5" width="9" style="38" hidden="1" customWidth="1"/>
    <col min="6" max="6" width="3.375" style="11" customWidth="1"/>
    <col min="7" max="7" width="5" style="11" bestFit="1" customWidth="1"/>
    <col min="8" max="8" width="11.75" style="11" bestFit="1" customWidth="1"/>
    <col min="9" max="9" width="8.25" style="11" bestFit="1" customWidth="1"/>
    <col min="10" max="10" width="10" style="11" customWidth="1"/>
    <col min="11" max="11" width="10" style="11" bestFit="1" customWidth="1"/>
    <col min="12" max="12" width="9.125" style="11" bestFit="1" customWidth="1"/>
    <col min="13" max="13" width="31.875" style="218" customWidth="1"/>
    <col min="14" max="14" width="8.25" style="218" bestFit="1" customWidth="1"/>
    <col min="15" max="15" width="5" style="11" bestFit="1" customWidth="1"/>
    <col min="16" max="16" width="7.125" style="11" customWidth="1"/>
    <col min="17" max="17" width="8" style="11" bestFit="1" customWidth="1"/>
    <col min="18" max="18" width="8.125" style="11" customWidth="1"/>
    <col min="19" max="19" width="9" style="11" customWidth="1"/>
    <col min="20" max="20" width="8.25" style="11" bestFit="1" customWidth="1"/>
    <col min="21" max="21" width="10" style="11" bestFit="1" customWidth="1"/>
    <col min="22" max="23" width="10" style="11" customWidth="1"/>
    <col min="24" max="24" width="8.5" style="11" bestFit="1" customWidth="1"/>
    <col min="25" max="25" width="9" style="11" bestFit="1" customWidth="1"/>
    <col min="26" max="26" width="14.125" style="11" customWidth="1"/>
    <col min="27" max="27" width="10.125" style="11" customWidth="1"/>
    <col min="28" max="28" width="14.5" style="11" customWidth="1"/>
    <col min="29" max="30" width="10.5" style="11" customWidth="1"/>
    <col min="31" max="31" width="17.125" style="11" customWidth="1"/>
    <col min="32" max="32" width="12.25" style="11" customWidth="1"/>
    <col min="33" max="33" width="12.375" style="11" bestFit="1" customWidth="1"/>
    <col min="34" max="39" width="9" style="218" hidden="1" customWidth="1"/>
    <col min="40" max="40" width="4" style="11" customWidth="1"/>
    <col min="41" max="16384" width="9" style="11"/>
  </cols>
  <sheetData>
    <row r="1" spans="1:39" s="218" customFormat="1" ht="5.25" hidden="1" customHeight="1">
      <c r="A1" s="38"/>
      <c r="B1" s="38"/>
      <c r="C1" s="38"/>
      <c r="D1" s="38"/>
      <c r="E1" s="38"/>
    </row>
    <row r="2" spans="1:39" s="218" customFormat="1" ht="5.25" hidden="1" customHeight="1">
      <c r="A2" s="38"/>
      <c r="B2" s="38"/>
      <c r="C2" s="38"/>
      <c r="D2" s="38"/>
      <c r="E2" s="38"/>
    </row>
    <row r="3" spans="1:39" s="218" customFormat="1" ht="5.25" hidden="1" customHeight="1">
      <c r="A3" s="38"/>
      <c r="B3" s="38"/>
      <c r="C3" s="38"/>
      <c r="D3" s="38"/>
      <c r="E3" s="38"/>
    </row>
    <row r="4" spans="1:39" s="218" customFormat="1" ht="5.25" hidden="1" customHeight="1">
      <c r="A4" s="38"/>
      <c r="B4" s="38"/>
      <c r="C4" s="38"/>
      <c r="D4" s="38"/>
      <c r="E4" s="38"/>
    </row>
    <row r="5" spans="1:39" s="218" customFormat="1" ht="5.25" hidden="1" customHeight="1">
      <c r="A5" s="38"/>
      <c r="B5" s="38"/>
      <c r="C5" s="38"/>
      <c r="D5" s="38"/>
      <c r="E5" s="38"/>
    </row>
    <row r="6" spans="1:39" s="218" customFormat="1" ht="5.25" hidden="1" customHeight="1">
      <c r="A6" s="38"/>
      <c r="B6" s="38"/>
      <c r="C6" s="38"/>
      <c r="D6" s="38"/>
      <c r="E6" s="38"/>
    </row>
    <row r="7" spans="1:39" s="218" customFormat="1" ht="5.25" hidden="1" customHeight="1">
      <c r="A7" s="38"/>
      <c r="B7" s="38"/>
      <c r="C7" s="38"/>
      <c r="D7" s="38"/>
      <c r="E7" s="38"/>
    </row>
    <row r="8" spans="1:39" s="218" customFormat="1" ht="5.25" hidden="1" customHeight="1">
      <c r="A8" s="38"/>
      <c r="B8" s="38"/>
      <c r="C8" s="38"/>
      <c r="D8" s="38"/>
      <c r="E8" s="38"/>
    </row>
    <row r="9" spans="1:39" s="218" customFormat="1" ht="5.25" hidden="1" customHeight="1">
      <c r="A9" s="38"/>
      <c r="B9" s="38"/>
      <c r="C9" s="38"/>
      <c r="D9" s="38"/>
      <c r="E9" s="38"/>
    </row>
    <row r="10" spans="1:39" s="218" customFormat="1" ht="5.25" hidden="1" customHeight="1">
      <c r="A10" s="38"/>
      <c r="B10" s="38"/>
      <c r="C10" s="38"/>
      <c r="D10" s="38"/>
      <c r="E10" s="38"/>
    </row>
    <row r="11" spans="1:39" s="218" customFormat="1" ht="5.25" hidden="1" customHeight="1">
      <c r="A11" s="38"/>
      <c r="B11" s="38"/>
      <c r="C11" s="38"/>
      <c r="D11" s="38"/>
      <c r="E11" s="38"/>
    </row>
    <row r="12" spans="1:39" s="218" customFormat="1" ht="5.25" hidden="1" customHeight="1">
      <c r="A12" s="38"/>
      <c r="B12" s="38"/>
      <c r="C12" s="38"/>
      <c r="D12" s="38"/>
      <c r="E12" s="38"/>
    </row>
    <row r="13" spans="1:39">
      <c r="F13" s="11" t="str">
        <f>"("&amp;UNKB0130_B_PAGE_NO&amp;"/"&amp;UNKB0130_B_ALL_PAGE_SU&amp;")"</f>
        <v>(1/1)</v>
      </c>
      <c r="G13" s="22"/>
    </row>
    <row r="14" spans="1:39" s="218" customFormat="1">
      <c r="A14" s="38"/>
      <c r="B14" s="265" t="s">
        <v>690</v>
      </c>
      <c r="C14" s="265" t="s">
        <v>1712</v>
      </c>
      <c r="D14" s="265" t="str">
        <f>ROW(A1)&amp;":"&amp;ROW(A12)</f>
        <v>1:12</v>
      </c>
      <c r="E14" s="38"/>
      <c r="F14" s="33"/>
      <c r="G14" s="220" t="s">
        <v>39</v>
      </c>
      <c r="H14" s="220" t="s">
        <v>671</v>
      </c>
      <c r="I14" s="220" t="s">
        <v>41</v>
      </c>
      <c r="J14" s="220" t="s">
        <v>43</v>
      </c>
      <c r="K14" s="220" t="s">
        <v>44</v>
      </c>
      <c r="L14" s="220" t="s">
        <v>45</v>
      </c>
      <c r="M14" s="220" t="s">
        <v>46</v>
      </c>
      <c r="N14" s="220" t="s">
        <v>47</v>
      </c>
      <c r="O14" s="220" t="s">
        <v>48</v>
      </c>
      <c r="P14" s="220" t="s">
        <v>51</v>
      </c>
      <c r="Q14" s="220" t="s">
        <v>669</v>
      </c>
      <c r="R14" s="220" t="s">
        <v>49</v>
      </c>
      <c r="S14" s="220" t="s">
        <v>52</v>
      </c>
      <c r="T14" s="220" t="s">
        <v>670</v>
      </c>
      <c r="U14" s="220" t="s">
        <v>54</v>
      </c>
      <c r="V14" s="220" t="s">
        <v>55</v>
      </c>
      <c r="W14" s="220" t="s">
        <v>56</v>
      </c>
      <c r="X14" s="220" t="s">
        <v>57</v>
      </c>
      <c r="Y14" s="220" t="s">
        <v>58</v>
      </c>
      <c r="Z14" s="220" t="s">
        <v>59</v>
      </c>
      <c r="AA14" s="220" t="s">
        <v>654</v>
      </c>
      <c r="AB14" s="220" t="s">
        <v>61</v>
      </c>
      <c r="AC14" s="220" t="s">
        <v>62</v>
      </c>
      <c r="AD14" s="220" t="s">
        <v>63</v>
      </c>
      <c r="AE14" s="220" t="s">
        <v>64</v>
      </c>
      <c r="AF14" s="220" t="s">
        <v>65</v>
      </c>
      <c r="AG14" s="220" t="s">
        <v>66</v>
      </c>
      <c r="AH14" s="215" t="s">
        <v>1706</v>
      </c>
      <c r="AI14" s="215" t="s">
        <v>1707</v>
      </c>
      <c r="AJ14" s="215" t="s">
        <v>1708</v>
      </c>
      <c r="AK14" s="215" t="s">
        <v>1709</v>
      </c>
      <c r="AL14" s="215" t="s">
        <v>1739</v>
      </c>
      <c r="AM14" s="215" t="s">
        <v>1710</v>
      </c>
    </row>
    <row r="15" spans="1:39" s="218" customFormat="1">
      <c r="A15" s="38"/>
      <c r="B15" s="265" t="s">
        <v>691</v>
      </c>
      <c r="C15" s="265" t="s">
        <v>1713</v>
      </c>
      <c r="D15" s="265" t="str">
        <f>ADDRESS(ROW(A1),COLUMN(A1))&amp;":"&amp;ADDRESS(ROW(E1),COLUMN(E1))&amp;","&amp;
ADDRESS(ROW(UNKB0130_B_KOBAI_KBN_CD),COLUMN(UNKB0130_B_KOBAI_KBN_CD))&amp;":"&amp;ADDRESS(ROW(UNKB0130_B_FREEWD),COLUMN(UNKB0130_B_FREEWD))</f>
        <v>$A$1:$E$1,$AH$14:$AM$14</v>
      </c>
      <c r="E15" s="38"/>
    </row>
    <row r="16" spans="1:39">
      <c r="B16" s="265" t="s">
        <v>157</v>
      </c>
      <c r="C16" s="265" t="s">
        <v>1714</v>
      </c>
      <c r="D16" s="265" t="str">
        <f>ADDRESS(ROW(UNKB0130_B_KOBAIHIN_MEI)+1,COLUMN(UNKB0130_B_KOBAIHIN_MEI))</f>
        <v>$M$15</v>
      </c>
      <c r="G16" s="218"/>
      <c r="H16" s="218"/>
      <c r="I16" s="218"/>
      <c r="J16" s="218"/>
      <c r="K16" s="218"/>
      <c r="L16" s="218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</row>
    <row r="17" spans="2:33">
      <c r="G17" s="218"/>
      <c r="H17" s="218"/>
      <c r="I17" s="218"/>
      <c r="J17" s="218"/>
      <c r="K17" s="218"/>
      <c r="L17" s="218"/>
      <c r="O17" s="218"/>
      <c r="P17" s="218"/>
      <c r="Q17" s="218"/>
      <c r="R17" s="218"/>
      <c r="S17" s="218"/>
      <c r="T17" s="218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</row>
    <row r="18" spans="2:33">
      <c r="B18" s="265" t="s">
        <v>813</v>
      </c>
      <c r="C18" s="265" t="s">
        <v>1674</v>
      </c>
      <c r="D18" s="265">
        <v>0</v>
      </c>
      <c r="G18" s="218"/>
      <c r="H18" s="218"/>
      <c r="I18" s="218"/>
      <c r="J18" s="218"/>
      <c r="K18" s="218"/>
      <c r="L18" s="218"/>
      <c r="O18" s="218"/>
      <c r="P18" s="218"/>
      <c r="Q18" s="218"/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</row>
    <row r="19" spans="2:33">
      <c r="B19" s="265" t="s">
        <v>814</v>
      </c>
      <c r="C19" s="265" t="s">
        <v>1675</v>
      </c>
      <c r="D19" s="265">
        <v>1</v>
      </c>
      <c r="G19" s="218"/>
      <c r="H19" s="218"/>
      <c r="I19" s="218"/>
      <c r="J19" s="218"/>
      <c r="K19" s="218"/>
      <c r="L19" s="218"/>
      <c r="O19" s="218"/>
      <c r="P19" s="218"/>
      <c r="Q19" s="218"/>
      <c r="R19" s="218"/>
      <c r="S19" s="218"/>
      <c r="T19" s="218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</row>
    <row r="20" spans="2:33">
      <c r="B20" s="265" t="s">
        <v>815</v>
      </c>
      <c r="C20" s="265" t="s">
        <v>1676</v>
      </c>
      <c r="D20" s="265">
        <f>IF(OR(UNKB0130_B_ALL_KENSU=0,UNKB0130_B_HYOJI_GYO_SU=0),1,ROUNDUP(UNKB0130_B_ALL_KENSU/UNKB0130_B_HYOJI_GYO_SU,0))</f>
        <v>1</v>
      </c>
      <c r="G20" s="218"/>
      <c r="H20" s="218"/>
      <c r="I20" s="218"/>
      <c r="J20" s="218"/>
      <c r="K20" s="218"/>
      <c r="L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</row>
    <row r="21" spans="2:33">
      <c r="B21" s="265" t="s">
        <v>816</v>
      </c>
      <c r="C21" s="265" t="s">
        <v>1677</v>
      </c>
      <c r="D21" s="265">
        <v>1</v>
      </c>
      <c r="G21" s="218"/>
      <c r="H21" s="218"/>
      <c r="I21" s="218"/>
      <c r="J21" s="218"/>
      <c r="K21" s="218"/>
      <c r="L21" s="218"/>
      <c r="O21" s="218"/>
      <c r="P21" s="218"/>
      <c r="Q21" s="218"/>
      <c r="R21" s="218"/>
      <c r="S21" s="218"/>
      <c r="T21" s="218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</row>
    <row r="22" spans="2:33">
      <c r="B22" s="265" t="s">
        <v>817</v>
      </c>
      <c r="C22" s="265" t="s">
        <v>1678</v>
      </c>
      <c r="D22" s="265">
        <v>50</v>
      </c>
      <c r="G22" s="218"/>
      <c r="H22" s="218"/>
      <c r="I22" s="218"/>
      <c r="J22" s="218"/>
      <c r="K22" s="218"/>
      <c r="L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</row>
    <row r="23" spans="2:33">
      <c r="B23" s="375"/>
      <c r="C23" s="376"/>
      <c r="D23" s="375"/>
      <c r="G23" s="218"/>
      <c r="H23" s="218"/>
      <c r="I23" s="218"/>
      <c r="J23" s="218"/>
      <c r="K23" s="218"/>
      <c r="L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</row>
    <row r="24" spans="2:33">
      <c r="B24" s="265" t="s">
        <v>822</v>
      </c>
      <c r="C24" s="265" t="s">
        <v>1685</v>
      </c>
      <c r="D24" s="265">
        <f>UNKB0130_B_PAGE_NO-1</f>
        <v>0</v>
      </c>
      <c r="G24" s="218"/>
      <c r="H24" s="218"/>
      <c r="I24" s="218"/>
      <c r="J24" s="218"/>
      <c r="K24" s="218"/>
      <c r="L24" s="218"/>
      <c r="O24" s="218"/>
      <c r="P24" s="218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</row>
    <row r="25" spans="2:33">
      <c r="B25" s="265" t="s">
        <v>821</v>
      </c>
      <c r="C25" s="265" t="s">
        <v>1684</v>
      </c>
      <c r="D25" s="265">
        <f>UNKB0130_B_PAGE_NO+1</f>
        <v>2</v>
      </c>
    </row>
    <row r="26" spans="2:33">
      <c r="B26" s="375"/>
      <c r="C26" s="376"/>
      <c r="D26" s="375"/>
    </row>
    <row r="27" spans="2:33">
      <c r="B27" s="265" t="s">
        <v>158</v>
      </c>
      <c r="C27" s="265" t="s">
        <v>1679</v>
      </c>
      <c r="D27" s="265" t="str">
        <f>ADDRESS(ROW(UNKB0130_B_SENTAKU)+1,COLUMN(UNKB0130_B_SENTAKU))</f>
        <v>$G$15</v>
      </c>
    </row>
    <row r="28" spans="2:33">
      <c r="B28" s="265" t="s">
        <v>818</v>
      </c>
      <c r="C28" s="265" t="s">
        <v>1680</v>
      </c>
      <c r="D28" s="265" t="str">
        <f>ADDRESS(ROW(UNKB0130_B_SENTAKU)+UNKB0130_B_HYOJI_KENSU,COLUMN(UNKB0130_B_SENTAKU)+COLUMNS(UNKB0130_IF_LIST_COPY_MOTO)-1)</f>
        <v>$AM$15</v>
      </c>
    </row>
    <row r="29" spans="2:33">
      <c r="B29" s="265" t="s">
        <v>829</v>
      </c>
      <c r="C29" s="265" t="s">
        <v>1681</v>
      </c>
      <c r="D29" s="265" t="b">
        <f>IF(UNKB0130_B_HYOJI_KENSU&lt;&gt;0,TRUE,FALSE)</f>
        <v>1</v>
      </c>
    </row>
    <row r="30" spans="2:33">
      <c r="B30" s="265" t="s">
        <v>819</v>
      </c>
      <c r="C30" s="265" t="s">
        <v>1682</v>
      </c>
      <c r="D30" s="265" t="str">
        <f>IF(UNKB0130_B_HYOJI_KENSU=0,"",UNKB0130_B_LIST_START&amp;":"&amp;UNKB0130_B_LIST_END)</f>
        <v>$G$15:$AM$15</v>
      </c>
    </row>
    <row r="31" spans="2:33">
      <c r="B31" s="265" t="s">
        <v>820</v>
      </c>
      <c r="C31" s="265" t="s">
        <v>1683</v>
      </c>
      <c r="D31" s="265" t="str">
        <f>ADDRESS(ROW(UNKB0130_B_SENTAKU)+1,COLUMN(UNKB0130_B_SENTAKU))&amp;":"&amp;
ADDRESS(ROW(UNKB0130_B_SENTAKU)+UNKB0130_B_HYOJI_GYO_SU,COLUMN(UNKB0130_B_SENTAKU)+COLUMNS(UNKB0130_IF_LIST_COPY_MOTO)-1)</f>
        <v>$G$15:$AM$64</v>
      </c>
    </row>
    <row r="32" spans="2:33">
      <c r="B32" s="375"/>
      <c r="C32" s="376"/>
      <c r="D32" s="375"/>
    </row>
    <row r="33" spans="2:4">
      <c r="B33" s="265" t="s">
        <v>823</v>
      </c>
      <c r="C33" s="265" t="s">
        <v>1686</v>
      </c>
      <c r="D33" s="265">
        <f>IF(1&lt;UNKB0130_B_PAGE_NO,1,2)</f>
        <v>2</v>
      </c>
    </row>
    <row r="34" spans="2:4">
      <c r="B34" s="265" t="s">
        <v>824</v>
      </c>
      <c r="C34" s="265" t="s">
        <v>1687</v>
      </c>
      <c r="D34" s="265">
        <f>IF(UNKB0130_B_PAGE_NO&lt;UNKB0130_B_ALL_PAGE_SU,1,2)</f>
        <v>2</v>
      </c>
    </row>
    <row r="38" spans="2:4">
      <c r="B38" s="265" t="s">
        <v>182</v>
      </c>
      <c r="C38" s="265" t="s">
        <v>1733</v>
      </c>
      <c r="D38" s="265"/>
    </row>
    <row r="39" spans="2:4">
      <c r="B39" s="265" t="s">
        <v>1734</v>
      </c>
      <c r="C39" s="265" t="s">
        <v>1735</v>
      </c>
      <c r="D39" s="265">
        <f ca="1">IF(UNKB0130_B_SELECT_ROW_NO=0,0,INDIRECT(ADDRESS(UNKB0130_B_SELECT_ROW_NO,COLUMN(UNKB0130_B_NYUSHUKKO_NO))))</f>
        <v>0</v>
      </c>
    </row>
  </sheetData>
  <sheetProtection sheet="1" objects="1" scenarios="1" selectLockedCells="1"/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CJ28"/>
  <sheetViews>
    <sheetView zoomScale="70" zoomScaleNormal="70" workbookViewId="0">
      <selection activeCell="BD9" sqref="BD9"/>
    </sheetView>
  </sheetViews>
  <sheetFormatPr defaultRowHeight="13.5"/>
  <cols>
    <col min="3" max="3" width="31.625" bestFit="1" customWidth="1"/>
    <col min="31" max="36" width="9" style="230"/>
    <col min="42" max="53" width="4.75" customWidth="1"/>
    <col min="61" max="87" width="11.25" customWidth="1"/>
  </cols>
  <sheetData>
    <row r="1" spans="1:88">
      <c r="A1" s="230"/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230"/>
      <c r="AD1" s="230"/>
      <c r="AK1" s="230"/>
      <c r="AL1" s="230"/>
      <c r="AM1" s="230"/>
      <c r="AN1" s="230"/>
      <c r="AO1" s="230"/>
      <c r="AP1" s="230"/>
      <c r="AQ1" s="230"/>
      <c r="AR1" s="230"/>
      <c r="AS1" s="230"/>
      <c r="AT1" s="230"/>
      <c r="AU1" s="230"/>
      <c r="AV1" s="230"/>
      <c r="AW1" s="230"/>
      <c r="AX1" s="230"/>
      <c r="AY1" s="230"/>
      <c r="AZ1" s="230"/>
      <c r="BA1" s="230"/>
      <c r="BB1" s="230"/>
      <c r="BC1" s="230"/>
      <c r="BD1" s="230"/>
      <c r="BE1" s="230"/>
      <c r="BF1" s="230"/>
      <c r="BG1" s="230"/>
      <c r="BH1" s="230"/>
      <c r="BI1" s="230"/>
      <c r="BJ1" s="230"/>
      <c r="BK1" s="230"/>
      <c r="BL1" s="230"/>
      <c r="BM1" s="230"/>
      <c r="BN1" s="230"/>
      <c r="BO1" s="230"/>
      <c r="BP1" s="230"/>
      <c r="BQ1" s="230"/>
      <c r="BR1" s="230"/>
      <c r="BS1" s="230"/>
      <c r="BT1" s="230"/>
      <c r="BU1" s="230"/>
      <c r="BV1" s="230"/>
      <c r="BW1" s="230"/>
      <c r="BX1" s="230"/>
      <c r="BY1" s="230"/>
      <c r="BZ1" s="230"/>
      <c r="CA1" s="230"/>
      <c r="CB1" s="230"/>
      <c r="CC1" s="230"/>
      <c r="CD1" s="230"/>
      <c r="CE1" s="230"/>
      <c r="CF1" s="230"/>
      <c r="CG1" s="230"/>
      <c r="CH1" s="230"/>
      <c r="CI1" s="230"/>
      <c r="CJ1" s="230"/>
    </row>
    <row r="2" spans="1:88">
      <c r="A2" s="211" t="s">
        <v>855</v>
      </c>
      <c r="B2" s="230"/>
      <c r="C2" s="230"/>
      <c r="D2" s="230"/>
      <c r="E2" s="231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  <c r="W2" s="231"/>
      <c r="X2" s="231"/>
      <c r="Y2" s="231"/>
      <c r="Z2" s="231"/>
      <c r="AA2" s="231"/>
      <c r="AB2" s="231"/>
      <c r="AC2" s="231"/>
      <c r="AD2" s="231"/>
      <c r="AE2" s="231"/>
      <c r="AF2" s="231"/>
      <c r="AG2" s="231"/>
      <c r="AH2" s="231"/>
      <c r="AI2" s="231"/>
      <c r="AJ2" s="231"/>
      <c r="AK2" s="231"/>
      <c r="AL2" s="231"/>
      <c r="AM2" s="231"/>
      <c r="AN2" s="231"/>
      <c r="AO2" s="57" t="s">
        <v>841</v>
      </c>
      <c r="AP2" s="310" t="s">
        <v>1688</v>
      </c>
      <c r="AQ2" s="230"/>
      <c r="AR2" s="230"/>
      <c r="AS2" s="230"/>
      <c r="AT2" s="230"/>
      <c r="AU2" s="230"/>
      <c r="AV2" s="230"/>
      <c r="AW2" s="230"/>
      <c r="AX2" s="230"/>
      <c r="AY2" s="230"/>
      <c r="AZ2" s="230"/>
      <c r="BA2" s="230"/>
      <c r="BB2" s="230"/>
      <c r="BC2" s="230"/>
      <c r="BD2" s="230"/>
      <c r="BE2" s="230"/>
      <c r="BF2" s="230"/>
      <c r="BG2" s="230"/>
      <c r="BH2" s="230"/>
      <c r="BI2" s="230"/>
      <c r="BJ2" s="230"/>
      <c r="BK2" s="230"/>
      <c r="BL2" s="230"/>
      <c r="BM2" s="230"/>
      <c r="BN2" s="230"/>
      <c r="BO2" s="230"/>
      <c r="BP2" s="230"/>
      <c r="BQ2" s="230"/>
      <c r="BR2" s="230"/>
      <c r="BS2" s="230"/>
      <c r="BT2" s="230"/>
      <c r="BU2" s="230"/>
      <c r="BV2" s="230"/>
      <c r="BW2" s="230"/>
      <c r="BX2" s="230"/>
      <c r="BY2" s="230"/>
      <c r="BZ2" s="230"/>
      <c r="CA2" s="230"/>
      <c r="CB2" s="230"/>
      <c r="CC2" s="230"/>
      <c r="CD2" s="230"/>
      <c r="CE2" s="230"/>
      <c r="CF2" s="230"/>
      <c r="CG2" s="230"/>
      <c r="CH2" s="230"/>
      <c r="CI2" s="230"/>
      <c r="CJ2" s="230"/>
    </row>
    <row r="3" spans="1:88" ht="16.5">
      <c r="A3" s="230"/>
      <c r="B3" s="230"/>
      <c r="C3" s="230"/>
      <c r="D3" s="220" t="s">
        <v>39</v>
      </c>
      <c r="E3" s="220" t="s">
        <v>671</v>
      </c>
      <c r="F3" s="220" t="s">
        <v>41</v>
      </c>
      <c r="G3" s="220" t="s">
        <v>43</v>
      </c>
      <c r="H3" s="220" t="s">
        <v>44</v>
      </c>
      <c r="I3" s="220" t="s">
        <v>45</v>
      </c>
      <c r="J3" s="220" t="s">
        <v>46</v>
      </c>
      <c r="K3" s="220" t="s">
        <v>47</v>
      </c>
      <c r="L3" s="220" t="s">
        <v>48</v>
      </c>
      <c r="M3" s="220" t="s">
        <v>51</v>
      </c>
      <c r="N3" s="220" t="s">
        <v>669</v>
      </c>
      <c r="O3" s="220" t="s">
        <v>49</v>
      </c>
      <c r="P3" s="220" t="s">
        <v>52</v>
      </c>
      <c r="Q3" s="220" t="s">
        <v>670</v>
      </c>
      <c r="R3" s="220" t="s">
        <v>54</v>
      </c>
      <c r="S3" s="220" t="s">
        <v>55</v>
      </c>
      <c r="T3" s="220" t="s">
        <v>56</v>
      </c>
      <c r="U3" s="220" t="s">
        <v>57</v>
      </c>
      <c r="V3" s="220" t="s">
        <v>58</v>
      </c>
      <c r="W3" s="220" t="s">
        <v>59</v>
      </c>
      <c r="X3" s="220" t="s">
        <v>60</v>
      </c>
      <c r="Y3" s="220" t="s">
        <v>61</v>
      </c>
      <c r="Z3" s="220" t="s">
        <v>62</v>
      </c>
      <c r="AA3" s="220" t="s">
        <v>63</v>
      </c>
      <c r="AB3" s="220" t="s">
        <v>64</v>
      </c>
      <c r="AC3" s="220" t="s">
        <v>65</v>
      </c>
      <c r="AD3" s="220" t="s">
        <v>66</v>
      </c>
      <c r="AE3" s="215" t="s">
        <v>1706</v>
      </c>
      <c r="AF3" s="215" t="s">
        <v>1707</v>
      </c>
      <c r="AG3" s="215" t="s">
        <v>1708</v>
      </c>
      <c r="AH3" s="215" t="s">
        <v>1709</v>
      </c>
      <c r="AI3" s="215" t="s">
        <v>1739</v>
      </c>
      <c r="AJ3" s="215" t="s">
        <v>1710</v>
      </c>
      <c r="AK3" s="230"/>
      <c r="AL3" s="211" t="s">
        <v>859</v>
      </c>
      <c r="AM3" s="230"/>
      <c r="AN3" s="230"/>
      <c r="AO3" s="230"/>
      <c r="AP3" s="489"/>
      <c r="AQ3" s="489"/>
      <c r="AR3" s="333" t="s">
        <v>642</v>
      </c>
      <c r="AS3" s="474"/>
      <c r="AT3" s="218"/>
      <c r="AU3" s="166" t="s">
        <v>666</v>
      </c>
      <c r="AV3" s="564"/>
      <c r="AW3" s="564"/>
      <c r="AX3" s="218"/>
      <c r="AY3" s="166" t="s">
        <v>32</v>
      </c>
      <c r="AZ3" s="307"/>
      <c r="BA3" s="25" t="str">
        <f>IF(UNKB0130_H_KOBAIHIN_CD="","",UNKB0130_H_KOBAIHIN_MEI)</f>
        <v/>
      </c>
      <c r="BB3" s="230"/>
      <c r="BC3" s="230"/>
      <c r="BD3" s="211" t="s">
        <v>870</v>
      </c>
      <c r="BE3" s="230"/>
      <c r="BG3" s="230" t="s">
        <v>871</v>
      </c>
      <c r="BH3" s="230" t="s">
        <v>1724</v>
      </c>
      <c r="BI3" s="312"/>
      <c r="BJ3" s="312"/>
      <c r="BK3" s="312"/>
      <c r="BL3" s="312"/>
      <c r="BM3" s="313"/>
      <c r="BN3" s="312"/>
      <c r="BO3" s="312"/>
      <c r="BP3" s="312"/>
      <c r="BQ3" s="312"/>
      <c r="BR3" s="312"/>
      <c r="BS3" s="312"/>
      <c r="BT3" s="312"/>
      <c r="BU3" s="312"/>
      <c r="BV3" s="312"/>
      <c r="BW3" s="313"/>
      <c r="BX3" s="313"/>
      <c r="BY3" s="313"/>
      <c r="BZ3" s="312"/>
      <c r="CA3" s="312"/>
      <c r="CB3" s="312"/>
      <c r="CC3" s="312"/>
      <c r="CD3" s="312"/>
      <c r="CE3" s="312"/>
      <c r="CF3" s="312"/>
      <c r="CG3" s="312"/>
      <c r="CH3" s="312"/>
      <c r="CI3" s="312"/>
      <c r="CJ3" s="230"/>
    </row>
    <row r="4" spans="1:88" ht="16.5">
      <c r="A4" s="230"/>
      <c r="B4" s="230" t="s">
        <v>843</v>
      </c>
      <c r="C4" s="231" t="s">
        <v>1689</v>
      </c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311"/>
      <c r="W4" s="311"/>
      <c r="X4" s="311"/>
      <c r="Y4" s="311"/>
      <c r="Z4" s="311"/>
      <c r="AA4" s="311"/>
      <c r="AB4" s="311"/>
      <c r="AC4" s="311"/>
      <c r="AD4" s="311"/>
      <c r="AE4" s="311"/>
      <c r="AF4" s="311"/>
      <c r="AG4" s="311"/>
      <c r="AH4" s="311"/>
      <c r="AI4" s="311"/>
      <c r="AJ4" s="311"/>
      <c r="AK4" s="230"/>
      <c r="AL4" s="230"/>
      <c r="AM4" s="231" t="s">
        <v>1690</v>
      </c>
      <c r="AN4" s="230"/>
      <c r="AO4" s="230"/>
      <c r="AP4" s="489"/>
      <c r="AQ4" s="489"/>
      <c r="AR4" s="333" t="s">
        <v>642</v>
      </c>
      <c r="AS4" s="474"/>
      <c r="AT4" s="218"/>
      <c r="AU4" s="166" t="s">
        <v>31</v>
      </c>
      <c r="AV4" s="564"/>
      <c r="AW4" s="564"/>
      <c r="AX4" s="218"/>
      <c r="AY4" s="166" t="s">
        <v>34</v>
      </c>
      <c r="AZ4" s="307"/>
      <c r="BA4" s="25" t="str">
        <f>IF(UNKB0130_H_SHIIRE_CD="","",UNKB0130_H_SHIIRE_MEI)</f>
        <v/>
      </c>
      <c r="BB4" s="230"/>
      <c r="BC4" s="230"/>
      <c r="BD4" s="230"/>
      <c r="BE4" s="230"/>
      <c r="BF4" s="230"/>
      <c r="BG4" s="230"/>
      <c r="BH4" s="230"/>
      <c r="BI4" s="220" t="s">
        <v>39</v>
      </c>
      <c r="BJ4" s="220" t="s">
        <v>671</v>
      </c>
      <c r="BK4" s="220" t="s">
        <v>41</v>
      </c>
      <c r="BL4" s="220" t="s">
        <v>43</v>
      </c>
      <c r="BM4" s="220" t="s">
        <v>44</v>
      </c>
      <c r="BN4" s="220" t="s">
        <v>45</v>
      </c>
      <c r="BO4" s="220" t="s">
        <v>46</v>
      </c>
      <c r="BP4" s="220" t="s">
        <v>47</v>
      </c>
      <c r="BQ4" s="220" t="s">
        <v>48</v>
      </c>
      <c r="BR4" s="220" t="s">
        <v>51</v>
      </c>
      <c r="BS4" s="220" t="s">
        <v>669</v>
      </c>
      <c r="BT4" s="220" t="s">
        <v>49</v>
      </c>
      <c r="BU4" s="220" t="s">
        <v>52</v>
      </c>
      <c r="BV4" s="220" t="s">
        <v>670</v>
      </c>
      <c r="BW4" s="220" t="s">
        <v>54</v>
      </c>
      <c r="BX4" s="220" t="s">
        <v>55</v>
      </c>
      <c r="BY4" s="220" t="s">
        <v>56</v>
      </c>
      <c r="BZ4" s="220" t="s">
        <v>57</v>
      </c>
      <c r="CA4" s="220" t="s">
        <v>58</v>
      </c>
      <c r="CB4" s="220" t="s">
        <v>59</v>
      </c>
      <c r="CC4" s="220" t="s">
        <v>60</v>
      </c>
      <c r="CD4" s="220" t="s">
        <v>61</v>
      </c>
      <c r="CE4" s="220" t="s">
        <v>62</v>
      </c>
      <c r="CF4" s="220" t="s">
        <v>63</v>
      </c>
      <c r="CG4" s="220" t="s">
        <v>64</v>
      </c>
      <c r="CH4" s="220" t="s">
        <v>65</v>
      </c>
      <c r="CI4" s="220" t="s">
        <v>66</v>
      </c>
      <c r="CJ4" s="230"/>
    </row>
    <row r="5" spans="1:88" ht="16.5">
      <c r="A5" s="230"/>
      <c r="B5" s="230" t="s">
        <v>844</v>
      </c>
      <c r="C5" s="231" t="s">
        <v>1691</v>
      </c>
      <c r="D5" s="219" t="s">
        <v>845</v>
      </c>
      <c r="E5" s="163"/>
      <c r="F5" s="163"/>
      <c r="G5" s="163"/>
      <c r="H5" s="314"/>
      <c r="I5" s="163"/>
      <c r="J5" s="170"/>
      <c r="K5" s="361"/>
      <c r="L5" s="361"/>
      <c r="M5" s="163"/>
      <c r="N5" s="361"/>
      <c r="O5" s="163"/>
      <c r="P5" s="361"/>
      <c r="Q5" s="361"/>
      <c r="R5" s="314"/>
      <c r="S5" s="314"/>
      <c r="T5" s="314"/>
      <c r="U5" s="163"/>
      <c r="V5" s="163"/>
      <c r="W5" s="170"/>
      <c r="X5" s="163"/>
      <c r="Y5" s="170"/>
      <c r="Z5" s="163"/>
      <c r="AA5" s="163"/>
      <c r="AB5" s="170"/>
      <c r="AC5" s="163"/>
      <c r="AD5" s="163"/>
      <c r="AE5" s="163"/>
      <c r="AF5" s="163"/>
      <c r="AG5" s="163"/>
      <c r="AH5" s="163"/>
      <c r="AI5" s="163"/>
      <c r="AJ5" s="170"/>
      <c r="AK5" s="230"/>
      <c r="AL5" s="179" t="s">
        <v>69</v>
      </c>
      <c r="AM5" s="180" t="b">
        <v>1</v>
      </c>
      <c r="AN5" s="230"/>
      <c r="AO5" s="230"/>
      <c r="AP5" s="489"/>
      <c r="AQ5" s="489"/>
      <c r="AR5" s="333" t="s">
        <v>642</v>
      </c>
      <c r="AS5" s="474"/>
      <c r="AT5" s="218"/>
      <c r="AU5" s="166" t="s">
        <v>72</v>
      </c>
      <c r="AV5" s="565"/>
      <c r="AW5" s="565"/>
      <c r="AX5" s="218"/>
      <c r="AY5" s="166" t="s">
        <v>37</v>
      </c>
      <c r="AZ5" s="307"/>
      <c r="BA5" s="25" t="str">
        <f>IF(UNKB0130_H_MAKER_CD="","",UNKB0130_H_MAKER_MEI)</f>
        <v/>
      </c>
      <c r="BB5" s="230"/>
      <c r="BC5" s="230"/>
      <c r="BD5" s="230"/>
      <c r="BE5" s="230"/>
      <c r="BF5" s="230"/>
      <c r="BG5" s="230"/>
      <c r="BH5" s="230"/>
      <c r="BI5" s="216"/>
      <c r="BJ5" s="230"/>
      <c r="BK5" s="230"/>
      <c r="BL5" s="230"/>
      <c r="BM5" s="230"/>
      <c r="BN5" s="230"/>
      <c r="BO5" s="230"/>
      <c r="BP5" s="230"/>
      <c r="BQ5" s="230"/>
      <c r="BR5" s="230"/>
      <c r="BS5" s="230"/>
      <c r="BT5" s="230"/>
      <c r="BU5" s="230"/>
      <c r="BV5" s="230"/>
      <c r="BW5" s="230"/>
      <c r="BX5" s="230"/>
      <c r="BY5" s="230"/>
      <c r="BZ5" s="230"/>
      <c r="CA5" s="230"/>
      <c r="CB5" s="230"/>
      <c r="CC5" s="230"/>
      <c r="CD5" s="230"/>
      <c r="CE5" s="230"/>
      <c r="CF5" s="230"/>
      <c r="CG5" s="230"/>
      <c r="CH5" s="230"/>
      <c r="CI5" s="230"/>
      <c r="CJ5" s="230"/>
    </row>
    <row r="6" spans="1:88" ht="16.5">
      <c r="A6" s="230"/>
      <c r="B6" s="230"/>
      <c r="C6" s="230"/>
      <c r="D6" s="230"/>
      <c r="E6" s="230"/>
      <c r="F6" s="230"/>
      <c r="G6" s="230"/>
      <c r="H6" s="230"/>
      <c r="I6" s="230"/>
      <c r="J6" s="230"/>
      <c r="K6" s="230"/>
      <c r="L6" s="230"/>
      <c r="M6" s="230"/>
      <c r="N6" s="230"/>
      <c r="O6" s="230"/>
      <c r="P6" s="230"/>
      <c r="Q6" s="230"/>
      <c r="R6" s="230"/>
      <c r="S6" s="230"/>
      <c r="T6" s="230"/>
      <c r="U6" s="230"/>
      <c r="V6" s="230"/>
      <c r="W6" s="230"/>
      <c r="X6" s="230"/>
      <c r="Y6" s="230"/>
      <c r="Z6" s="230"/>
      <c r="AA6" s="230"/>
      <c r="AB6" s="230"/>
      <c r="AC6" s="230"/>
      <c r="AD6" s="230"/>
      <c r="AK6" s="230"/>
      <c r="AL6" s="179" t="s">
        <v>20</v>
      </c>
      <c r="AM6" s="181" t="b">
        <v>1</v>
      </c>
      <c r="AN6" s="230"/>
      <c r="AO6" s="230"/>
      <c r="AP6" s="489"/>
      <c r="AQ6" s="489"/>
      <c r="AR6" s="333" t="s">
        <v>642</v>
      </c>
      <c r="AS6" s="474"/>
      <c r="AT6" s="218"/>
      <c r="AU6" s="166" t="s">
        <v>36</v>
      </c>
      <c r="AV6" s="564"/>
      <c r="AW6" s="564"/>
      <c r="AX6" s="218"/>
      <c r="AY6" s="166" t="s">
        <v>1904</v>
      </c>
      <c r="AZ6" s="476"/>
      <c r="BA6" s="218"/>
      <c r="BB6" s="230"/>
      <c r="BC6" s="230"/>
      <c r="BD6" s="230"/>
      <c r="BE6" s="230" t="s">
        <v>872</v>
      </c>
      <c r="BF6" s="231" t="s">
        <v>1721</v>
      </c>
      <c r="BG6" s="216">
        <v>1</v>
      </c>
      <c r="BH6" s="230"/>
      <c r="BI6" s="230"/>
      <c r="BJ6" s="230"/>
      <c r="BK6" s="230"/>
      <c r="BL6" s="230"/>
      <c r="BM6" s="230"/>
      <c r="BN6" s="230"/>
      <c r="BO6" s="230"/>
      <c r="BP6" s="230"/>
      <c r="BQ6" s="230"/>
      <c r="BR6" s="230"/>
      <c r="BS6" s="230"/>
      <c r="BT6" s="230"/>
      <c r="BU6" s="230"/>
      <c r="BV6" s="230"/>
      <c r="BW6" s="230"/>
      <c r="BX6" s="230"/>
      <c r="BY6" s="230"/>
      <c r="BZ6" s="230"/>
      <c r="CA6" s="230"/>
      <c r="CB6" s="230"/>
      <c r="CC6" s="230"/>
      <c r="CD6" s="230"/>
      <c r="CE6" s="230"/>
      <c r="CF6" s="230"/>
      <c r="CG6" s="230"/>
      <c r="CH6" s="230"/>
      <c r="CI6" s="230"/>
      <c r="CJ6" s="230"/>
    </row>
    <row r="7" spans="1:88" ht="16.5">
      <c r="A7" s="230"/>
      <c r="B7" s="230"/>
      <c r="C7" s="230"/>
      <c r="D7" s="230"/>
      <c r="E7" s="230"/>
      <c r="F7" s="230"/>
      <c r="G7" s="230"/>
      <c r="H7" s="230"/>
      <c r="I7" s="230"/>
      <c r="J7" s="230"/>
      <c r="K7" s="230"/>
      <c r="L7" s="230"/>
      <c r="M7" s="230"/>
      <c r="N7" s="230"/>
      <c r="O7" s="230"/>
      <c r="P7" s="230"/>
      <c r="Q7" s="230"/>
      <c r="R7" s="230"/>
      <c r="S7" s="230"/>
      <c r="T7" s="230"/>
      <c r="U7" s="230"/>
      <c r="V7" s="230"/>
      <c r="W7" s="230"/>
      <c r="X7" s="230"/>
      <c r="Y7" s="230"/>
      <c r="Z7" s="230"/>
      <c r="AA7" s="230"/>
      <c r="AB7" s="230"/>
      <c r="AC7" s="230"/>
      <c r="AD7" s="230"/>
      <c r="AK7" s="230"/>
      <c r="AL7" s="30" t="s">
        <v>699</v>
      </c>
      <c r="AM7" s="181" t="b">
        <v>1</v>
      </c>
      <c r="AN7" s="230"/>
      <c r="AO7" s="230"/>
      <c r="AP7" s="218"/>
      <c r="AQ7" s="218"/>
      <c r="AR7" s="218"/>
      <c r="AS7" s="218"/>
      <c r="AT7" s="218"/>
      <c r="AU7" s="166" t="s">
        <v>667</v>
      </c>
      <c r="AV7" s="564"/>
      <c r="AW7" s="564"/>
      <c r="AX7" s="218"/>
      <c r="AY7" s="218"/>
      <c r="AZ7" s="218"/>
      <c r="BA7" s="218"/>
      <c r="BB7" s="230"/>
      <c r="BC7" s="230"/>
      <c r="BD7" s="230"/>
      <c r="BE7" s="230" t="s">
        <v>391</v>
      </c>
      <c r="BF7" s="230" t="s">
        <v>1722</v>
      </c>
      <c r="BG7" s="216" t="str">
        <f>IF(UNKB0130_IF_EXCEL_COUNT=0,"",
"UNKB0130_IF!"&amp;ADDRESS(ROW(UNKB0130_IF_EXCEL_START),COLUMN(UNKB0130_IF_EXCEL_START))&amp;":" &amp; ADDRESS(ROW(UNKB0130_IF_EXCEL_START)+UNKB0130_IF_EXCEL_COUNT-1,COLUMN(UNKB0130_IF_EXCEL_START)+COLUMNS(UNKB0130_IF_EXCEL_SHOSHIKI_COPY_MOTO)-1))</f>
        <v>UNKB0130_IF!$BI$5:$CI$5</v>
      </c>
      <c r="BH7" s="230"/>
      <c r="BI7" s="230"/>
      <c r="BJ7" s="230"/>
      <c r="BK7" s="230"/>
      <c r="BL7" s="230"/>
      <c r="BM7" s="230"/>
      <c r="BN7" s="230"/>
      <c r="BO7" s="230"/>
      <c r="BP7" s="230"/>
      <c r="BQ7" s="230"/>
      <c r="BR7" s="230"/>
      <c r="BS7" s="230"/>
      <c r="BT7" s="230"/>
      <c r="BU7" s="230"/>
      <c r="BV7" s="230"/>
      <c r="BW7" s="230"/>
      <c r="BX7" s="230"/>
      <c r="BY7" s="230"/>
      <c r="BZ7" s="230"/>
      <c r="CA7" s="230"/>
      <c r="CB7" s="230"/>
      <c r="CC7" s="230"/>
      <c r="CD7" s="230"/>
      <c r="CE7" s="230"/>
      <c r="CF7" s="230"/>
      <c r="CG7" s="230"/>
      <c r="CH7" s="230"/>
      <c r="CI7" s="230"/>
      <c r="CJ7" s="230"/>
    </row>
    <row r="8" spans="1:88" ht="16.5">
      <c r="A8" s="57" t="s">
        <v>840</v>
      </c>
      <c r="B8" s="231"/>
      <c r="C8" s="231"/>
      <c r="D8" s="231"/>
      <c r="E8" s="230"/>
      <c r="F8" s="231"/>
      <c r="G8" s="231"/>
      <c r="H8" s="230"/>
      <c r="I8" s="230"/>
      <c r="J8" s="230"/>
      <c r="K8" s="230"/>
      <c r="L8" s="230"/>
      <c r="M8" s="230"/>
      <c r="N8" s="230"/>
      <c r="O8" s="230"/>
      <c r="P8" s="230"/>
      <c r="Q8" s="230"/>
      <c r="R8" s="230"/>
      <c r="S8" s="230"/>
      <c r="T8" s="230"/>
      <c r="U8" s="230"/>
      <c r="V8" s="230"/>
      <c r="W8" s="230"/>
      <c r="X8" s="230"/>
      <c r="Y8" s="230"/>
      <c r="Z8" s="230"/>
      <c r="AA8" s="230"/>
      <c r="AB8" s="230"/>
      <c r="AC8" s="230"/>
      <c r="AD8" s="230"/>
      <c r="AK8" s="230"/>
      <c r="AL8" s="179" t="s">
        <v>22</v>
      </c>
      <c r="AM8" s="181" t="b">
        <v>1</v>
      </c>
      <c r="AN8" s="230"/>
      <c r="AO8" s="230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8"/>
      <c r="BB8" s="230"/>
      <c r="BC8" s="230"/>
      <c r="BD8" s="230"/>
      <c r="BE8" s="230" t="s">
        <v>885</v>
      </c>
      <c r="BF8" s="230" t="s">
        <v>1723</v>
      </c>
      <c r="BG8" s="216" t="b">
        <f>IF(UNKB0130_IF_EXCEL_COUNT=0,FALSE,TRUE)</f>
        <v>1</v>
      </c>
      <c r="BH8" s="230"/>
      <c r="BI8" s="230"/>
      <c r="BJ8" s="230"/>
      <c r="BK8" s="230"/>
      <c r="BL8" s="230"/>
      <c r="BM8" s="230"/>
      <c r="BN8" s="230"/>
      <c r="BO8" s="230"/>
      <c r="BP8" s="230"/>
      <c r="BQ8" s="230"/>
      <c r="BR8" s="230"/>
      <c r="BS8" s="230"/>
      <c r="BT8" s="230"/>
      <c r="BU8" s="230"/>
      <c r="BV8" s="230"/>
      <c r="BW8" s="230"/>
      <c r="BX8" s="230"/>
      <c r="BY8" s="230"/>
      <c r="BZ8" s="230"/>
      <c r="CA8" s="230"/>
      <c r="CB8" s="230"/>
      <c r="CC8" s="230"/>
      <c r="CD8" s="230"/>
      <c r="CE8" s="230"/>
      <c r="CF8" s="230"/>
      <c r="CG8" s="230"/>
      <c r="CH8" s="230"/>
      <c r="CI8" s="230"/>
      <c r="CJ8" s="230"/>
    </row>
    <row r="9" spans="1:88" ht="16.5">
      <c r="A9" s="231"/>
      <c r="B9" s="231" t="s">
        <v>127</v>
      </c>
      <c r="C9" s="231" t="s">
        <v>1692</v>
      </c>
      <c r="D9" s="155"/>
      <c r="E9" s="231" t="s">
        <v>128</v>
      </c>
      <c r="F9" s="231" t="s">
        <v>129</v>
      </c>
      <c r="H9" s="230"/>
      <c r="I9" s="230"/>
      <c r="J9" s="230"/>
      <c r="K9" s="230"/>
      <c r="L9" s="230"/>
      <c r="M9" s="230"/>
      <c r="N9" s="230"/>
      <c r="O9" s="230"/>
      <c r="P9" s="230"/>
      <c r="Q9" s="230"/>
      <c r="R9" s="230"/>
      <c r="S9" s="230"/>
      <c r="T9" s="230"/>
      <c r="U9" s="230"/>
      <c r="V9" s="230"/>
      <c r="W9" s="230"/>
      <c r="X9" s="230"/>
      <c r="Y9" s="230"/>
      <c r="Z9" s="230"/>
      <c r="AA9" s="230"/>
      <c r="AB9" s="230"/>
      <c r="AC9" s="230"/>
      <c r="AD9" s="230"/>
      <c r="AK9" s="230"/>
      <c r="AL9" s="179" t="s">
        <v>23</v>
      </c>
      <c r="AM9" s="181" t="b">
        <v>0</v>
      </c>
      <c r="AN9" s="230"/>
      <c r="AO9" s="230"/>
      <c r="AP9" s="491"/>
      <c r="AQ9" s="491"/>
      <c r="AR9" s="167" t="str">
        <f>IF(UNKB0130_H_FREEWD_KBN=1,"AND",IF(UNKB0130_H_FREEWD_KBN=2,"OR","NAND"))</f>
        <v>AND</v>
      </c>
      <c r="AS9" s="356"/>
      <c r="AT9" s="167" t="str">
        <f>UNKB0130_H_FREEWD_KBN_DISP</f>
        <v>AND</v>
      </c>
      <c r="AU9" s="356"/>
      <c r="AV9" s="218"/>
      <c r="AW9" s="218"/>
      <c r="AX9" s="218"/>
      <c r="AY9" s="218"/>
      <c r="AZ9" s="309" t="s">
        <v>668</v>
      </c>
      <c r="BA9" s="131"/>
      <c r="BB9" s="230"/>
      <c r="BC9" s="230"/>
      <c r="BD9" s="230"/>
      <c r="BE9" s="230"/>
      <c r="BF9" s="230"/>
      <c r="BG9" s="230"/>
      <c r="BH9" s="230"/>
      <c r="BI9" s="230"/>
      <c r="BJ9" s="230"/>
      <c r="BK9" s="230"/>
      <c r="BL9" s="230"/>
      <c r="BM9" s="230"/>
      <c r="BN9" s="230"/>
      <c r="BO9" s="230"/>
      <c r="BP9" s="230"/>
      <c r="BQ9" s="230"/>
      <c r="BR9" s="230"/>
      <c r="BS9" s="230"/>
      <c r="BT9" s="230"/>
      <c r="BU9" s="230"/>
      <c r="BV9" s="230"/>
      <c r="BW9" s="230"/>
      <c r="BX9" s="230"/>
      <c r="BY9" s="230"/>
      <c r="BZ9" s="230"/>
      <c r="CA9" s="230"/>
      <c r="CB9" s="230"/>
      <c r="CC9" s="230"/>
      <c r="CD9" s="230"/>
      <c r="CE9" s="230"/>
      <c r="CF9" s="230"/>
      <c r="CG9" s="230"/>
      <c r="CH9" s="230"/>
      <c r="CI9" s="230"/>
      <c r="CJ9" s="230"/>
    </row>
    <row r="10" spans="1:88" ht="16.5">
      <c r="A10" s="231"/>
      <c r="B10" s="230"/>
      <c r="C10" s="230"/>
      <c r="D10" s="230"/>
      <c r="E10" s="230"/>
      <c r="F10" s="231"/>
      <c r="G10" s="231"/>
      <c r="H10" s="230"/>
      <c r="I10" s="230"/>
      <c r="J10" s="230"/>
      <c r="K10" s="230"/>
      <c r="L10" s="230"/>
      <c r="M10" s="230"/>
      <c r="N10" s="230"/>
      <c r="O10" s="230"/>
      <c r="P10" s="230"/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  <c r="AD10" s="230"/>
      <c r="AK10" s="230"/>
      <c r="AL10" s="179" t="s">
        <v>114</v>
      </c>
      <c r="AM10" s="181"/>
      <c r="AN10" s="230"/>
      <c r="AO10" s="230"/>
      <c r="AP10" s="230"/>
      <c r="AQ10" s="230"/>
      <c r="AR10" s="230"/>
      <c r="AS10" s="230"/>
      <c r="AT10" s="230"/>
      <c r="AU10" s="230"/>
      <c r="AV10" s="230"/>
      <c r="AW10" s="230"/>
      <c r="AX10" s="230"/>
      <c r="AY10" s="230"/>
      <c r="AZ10" s="230"/>
      <c r="BA10" s="230"/>
      <c r="BB10" s="230"/>
      <c r="BC10" s="230"/>
      <c r="BD10" s="230"/>
      <c r="BE10" s="230" t="s">
        <v>873</v>
      </c>
      <c r="BF10" s="231" t="s">
        <v>1725</v>
      </c>
      <c r="BG10" s="216" t="str">
        <f ca="1">"受入検収検索_"&amp;TEXT(NOW(),"YYYYMMDD")&amp;"_"&amp;TEXT(NOW(),"hhmmss")</f>
        <v>受入検収検索_20170714_180439</v>
      </c>
      <c r="BH10" s="230"/>
      <c r="BI10" s="230"/>
      <c r="BJ10" s="230"/>
      <c r="BK10" s="230"/>
      <c r="BL10" s="230"/>
      <c r="BM10" s="230"/>
      <c r="BN10" s="230"/>
      <c r="BO10" s="230"/>
      <c r="BP10" s="230"/>
      <c r="BQ10" s="230"/>
      <c r="BR10" s="230"/>
      <c r="BS10" s="230"/>
      <c r="BT10" s="230"/>
      <c r="BU10" s="230"/>
      <c r="BV10" s="230"/>
      <c r="BW10" s="230"/>
      <c r="BX10" s="230"/>
      <c r="BY10" s="230"/>
      <c r="BZ10" s="230"/>
      <c r="CA10" s="230"/>
      <c r="CB10" s="230"/>
      <c r="CC10" s="230"/>
      <c r="CD10" s="230"/>
      <c r="CE10" s="230"/>
      <c r="CF10" s="230"/>
      <c r="CG10" s="230"/>
      <c r="CH10" s="230"/>
      <c r="CI10" s="230"/>
      <c r="CJ10" s="230"/>
    </row>
    <row r="11" spans="1:88" ht="16.5">
      <c r="A11" s="211" t="s">
        <v>180</v>
      </c>
      <c r="B11" s="231"/>
      <c r="C11" s="160"/>
      <c r="D11" s="230"/>
      <c r="E11" s="230"/>
      <c r="F11" s="230"/>
      <c r="G11" s="231"/>
      <c r="H11" s="230"/>
      <c r="I11" s="230"/>
      <c r="J11" s="230"/>
      <c r="K11" s="230"/>
      <c r="L11" s="230"/>
      <c r="M11" s="230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K11" s="230"/>
      <c r="AL11" s="179" t="s">
        <v>452</v>
      </c>
      <c r="AM11" s="181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</row>
    <row r="12" spans="1:88" ht="16.5">
      <c r="A12" s="230"/>
      <c r="B12" s="230" t="s">
        <v>181</v>
      </c>
      <c r="C12" s="231" t="s">
        <v>1693</v>
      </c>
      <c r="D12" s="159"/>
      <c r="E12" s="230"/>
      <c r="F12" s="230"/>
      <c r="G12" s="231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K12" s="230"/>
      <c r="AL12" s="179" t="s">
        <v>90</v>
      </c>
      <c r="AM12" s="181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0"/>
      <c r="BC12" s="230"/>
      <c r="BD12" s="230"/>
      <c r="BE12" s="230"/>
      <c r="BF12" s="230"/>
      <c r="BG12" s="230"/>
      <c r="BH12" s="230"/>
      <c r="BI12" s="230"/>
      <c r="BJ12" s="230"/>
      <c r="BK12" s="230"/>
      <c r="BL12" s="230"/>
      <c r="BM12" s="230"/>
      <c r="BN12" s="230"/>
      <c r="BO12" s="230"/>
      <c r="BP12" s="230"/>
      <c r="BQ12" s="230"/>
      <c r="BR12" s="230"/>
      <c r="BS12" s="230"/>
      <c r="BT12" s="230"/>
      <c r="BU12" s="230"/>
      <c r="BV12" s="230"/>
      <c r="BW12" s="230"/>
      <c r="BX12" s="230"/>
      <c r="BY12" s="230"/>
      <c r="BZ12" s="230"/>
      <c r="CA12" s="230"/>
      <c r="CB12" s="230"/>
      <c r="CC12" s="230"/>
      <c r="CD12" s="230"/>
      <c r="CE12" s="230"/>
      <c r="CF12" s="230"/>
      <c r="CG12" s="230"/>
      <c r="CH12" s="230"/>
      <c r="CI12" s="230"/>
      <c r="CJ12" s="230"/>
    </row>
    <row r="13" spans="1:88" ht="16.5">
      <c r="A13" s="230"/>
      <c r="B13" s="230" t="s">
        <v>182</v>
      </c>
      <c r="C13" s="231" t="s">
        <v>1694</v>
      </c>
      <c r="D13" s="159"/>
      <c r="E13" s="230"/>
      <c r="F13" s="230"/>
      <c r="G13" s="231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0"/>
      <c r="AK13" s="230"/>
      <c r="AL13" s="179" t="s">
        <v>59</v>
      </c>
      <c r="AM13" s="181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</row>
    <row r="14" spans="1:88" ht="16.5">
      <c r="A14" s="230"/>
      <c r="B14" s="230" t="s">
        <v>183</v>
      </c>
      <c r="C14" s="231" t="s">
        <v>1695</v>
      </c>
      <c r="D14" s="159"/>
      <c r="E14" s="230"/>
      <c r="F14" s="230"/>
      <c r="G14" s="231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0"/>
      <c r="S14" s="230"/>
      <c r="U14" s="230"/>
      <c r="V14" s="230"/>
      <c r="W14" s="230"/>
      <c r="X14" s="230"/>
      <c r="Y14" s="230"/>
      <c r="Z14" s="230"/>
      <c r="AA14" s="230"/>
      <c r="AB14" s="230"/>
      <c r="AC14" s="230"/>
      <c r="AD14" s="230"/>
      <c r="AK14" s="230"/>
      <c r="AL14" s="179" t="s">
        <v>61</v>
      </c>
      <c r="AM14" s="181"/>
      <c r="AN14" s="230"/>
      <c r="AO14" s="230"/>
      <c r="AP14" s="230"/>
      <c r="AQ14" s="230"/>
      <c r="AR14" s="230"/>
      <c r="AS14" s="230"/>
      <c r="AT14" s="230"/>
      <c r="AU14" s="230"/>
      <c r="AV14" s="230"/>
      <c r="AW14" s="230"/>
      <c r="AX14" s="230"/>
      <c r="AY14" s="230"/>
      <c r="AZ14" s="230"/>
      <c r="BA14" s="230"/>
      <c r="BB14" s="230"/>
      <c r="BC14" s="230"/>
      <c r="BD14" s="230"/>
      <c r="BE14" s="230"/>
      <c r="BF14" s="230"/>
      <c r="BG14" s="230"/>
      <c r="BH14" s="230"/>
      <c r="BI14" s="230"/>
      <c r="BJ14" s="230"/>
      <c r="BK14" s="230"/>
      <c r="BL14" s="230"/>
      <c r="BM14" s="230"/>
      <c r="BN14" s="230"/>
      <c r="BO14" s="230"/>
      <c r="BP14" s="230"/>
      <c r="BQ14" s="230"/>
      <c r="BR14" s="230"/>
      <c r="BS14" s="230"/>
      <c r="BT14" s="230"/>
      <c r="BU14" s="230"/>
      <c r="BV14" s="230"/>
      <c r="BW14" s="230"/>
      <c r="BX14" s="230"/>
      <c r="BY14" s="230"/>
      <c r="BZ14" s="230"/>
      <c r="CA14" s="230"/>
      <c r="CB14" s="230"/>
      <c r="CC14" s="230"/>
      <c r="CD14" s="230"/>
      <c r="CE14" s="230"/>
      <c r="CF14" s="230"/>
      <c r="CG14" s="230"/>
      <c r="CH14" s="230"/>
      <c r="CI14" s="230"/>
      <c r="CJ14" s="230"/>
    </row>
    <row r="15" spans="1:88" ht="16.5">
      <c r="A15" s="230"/>
      <c r="B15" s="230"/>
      <c r="C15" s="231"/>
      <c r="D15" s="230"/>
      <c r="E15" s="230"/>
      <c r="F15" s="230"/>
      <c r="G15" s="230"/>
      <c r="H15" s="230"/>
      <c r="I15" s="230"/>
      <c r="J15" s="230"/>
      <c r="K15" s="230"/>
      <c r="L15" s="230"/>
      <c r="M15" s="230"/>
      <c r="N15" s="230"/>
      <c r="O15" s="230"/>
      <c r="P15" s="230"/>
      <c r="Q15" s="230"/>
      <c r="R15" s="230"/>
      <c r="S15" s="230"/>
      <c r="U15" s="230"/>
      <c r="V15" s="230"/>
      <c r="W15" s="230"/>
      <c r="X15" s="230"/>
      <c r="Y15" s="230"/>
      <c r="Z15" s="230"/>
      <c r="AA15" s="230"/>
      <c r="AB15" s="230"/>
      <c r="AC15" s="230"/>
      <c r="AD15" s="230"/>
      <c r="AK15" s="230"/>
      <c r="AL15" s="179" t="s">
        <v>1703</v>
      </c>
      <c r="AM15" s="181" t="b">
        <v>0</v>
      </c>
      <c r="AN15" s="230"/>
      <c r="AO15" s="230"/>
      <c r="AP15" s="230"/>
      <c r="AQ15" s="230"/>
      <c r="AR15" s="230"/>
      <c r="AS15" s="230"/>
      <c r="AT15" s="230"/>
      <c r="AU15" s="230"/>
      <c r="AV15" s="230"/>
      <c r="AW15" s="230"/>
      <c r="AX15" s="230"/>
      <c r="AY15" s="230"/>
      <c r="AZ15" s="230"/>
      <c r="BA15" s="230"/>
      <c r="BB15" s="230"/>
      <c r="BC15" s="230"/>
      <c r="BD15" s="230"/>
      <c r="BE15" s="230"/>
      <c r="BF15" s="230"/>
      <c r="BG15" s="230"/>
      <c r="BH15" s="230"/>
      <c r="BI15" s="230"/>
      <c r="BJ15" s="230"/>
      <c r="BK15" s="230"/>
      <c r="BL15" s="230"/>
      <c r="BM15" s="230"/>
      <c r="BN15" s="230"/>
      <c r="BO15" s="230"/>
      <c r="BP15" s="230"/>
      <c r="BQ15" s="230"/>
      <c r="BR15" s="230"/>
      <c r="BS15" s="230"/>
      <c r="BT15" s="230"/>
      <c r="BU15" s="230"/>
      <c r="BV15" s="230"/>
      <c r="BW15" s="230"/>
      <c r="BX15" s="230"/>
      <c r="BY15" s="230"/>
      <c r="BZ15" s="230"/>
      <c r="CA15" s="230"/>
      <c r="CB15" s="230"/>
      <c r="CC15" s="230"/>
      <c r="CD15" s="230"/>
      <c r="CE15" s="230"/>
      <c r="CF15" s="230"/>
      <c r="CG15" s="230"/>
      <c r="CH15" s="230"/>
      <c r="CI15" s="230"/>
      <c r="CJ15" s="230"/>
    </row>
    <row r="16" spans="1:88" ht="16.5">
      <c r="A16" s="230"/>
      <c r="B16" s="230" t="s">
        <v>184</v>
      </c>
      <c r="C16" s="231" t="s">
        <v>1696</v>
      </c>
      <c r="D16" s="159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O16" s="230"/>
      <c r="P16" s="230"/>
      <c r="Q16" s="230"/>
      <c r="R16" s="230"/>
      <c r="S16" s="230"/>
      <c r="U16" s="230"/>
      <c r="V16" s="230"/>
      <c r="W16" s="230"/>
      <c r="X16" s="230"/>
      <c r="Y16" s="230"/>
      <c r="Z16" s="230"/>
      <c r="AA16" s="230"/>
      <c r="AB16" s="230"/>
      <c r="AC16" s="230"/>
      <c r="AD16" s="230"/>
      <c r="AK16" s="230"/>
      <c r="AL16" s="182" t="s">
        <v>695</v>
      </c>
      <c r="AM16" s="183">
        <v>1</v>
      </c>
      <c r="AN16" s="230"/>
      <c r="AO16" s="230"/>
      <c r="AP16" s="230"/>
      <c r="AQ16" s="230"/>
      <c r="AR16" s="230"/>
      <c r="AS16" s="230"/>
      <c r="AT16" s="230"/>
      <c r="AU16" s="230"/>
      <c r="AV16" s="230"/>
      <c r="AW16" s="230"/>
      <c r="AX16" s="230"/>
      <c r="AY16" s="230"/>
      <c r="AZ16" s="230"/>
      <c r="BA16" s="230"/>
      <c r="BB16" s="230"/>
      <c r="BC16" s="230"/>
      <c r="BD16" s="230"/>
      <c r="BE16" s="230"/>
      <c r="BF16" s="230"/>
      <c r="BG16" s="230"/>
      <c r="BH16" s="230"/>
      <c r="BI16" s="230"/>
      <c r="BJ16" s="230"/>
      <c r="BK16" s="230"/>
      <c r="BL16" s="230"/>
      <c r="BM16" s="230"/>
      <c r="BN16" s="230"/>
      <c r="BO16" s="230"/>
      <c r="BP16" s="230"/>
      <c r="BQ16" s="230"/>
      <c r="BR16" s="230"/>
      <c r="BS16" s="230"/>
      <c r="BT16" s="230"/>
      <c r="BU16" s="230"/>
      <c r="BV16" s="230"/>
      <c r="BW16" s="230"/>
      <c r="BX16" s="230"/>
      <c r="BY16" s="230"/>
      <c r="BZ16" s="230"/>
      <c r="CA16" s="230"/>
      <c r="CB16" s="230"/>
      <c r="CC16" s="230"/>
      <c r="CD16" s="230"/>
      <c r="CE16" s="230"/>
      <c r="CF16" s="230"/>
      <c r="CG16" s="230"/>
      <c r="CH16" s="230"/>
      <c r="CI16" s="230"/>
      <c r="CJ16" s="230"/>
    </row>
    <row r="17" spans="1:88" ht="16.5">
      <c r="E17" s="230"/>
      <c r="F17" s="230"/>
      <c r="G17" s="230"/>
      <c r="H17" s="230"/>
      <c r="I17" s="230"/>
      <c r="J17" s="230"/>
      <c r="K17" s="230"/>
      <c r="L17" s="230"/>
      <c r="M17" s="230"/>
      <c r="N17" s="230"/>
      <c r="O17" s="230"/>
      <c r="P17" s="230"/>
      <c r="Q17" s="230"/>
      <c r="R17" s="230"/>
      <c r="S17" s="230"/>
      <c r="T17" s="230"/>
      <c r="U17" s="230"/>
      <c r="V17" s="230"/>
      <c r="W17" s="230"/>
      <c r="X17" s="230"/>
      <c r="Y17" s="230"/>
      <c r="Z17" s="230"/>
      <c r="AA17" s="230"/>
      <c r="AB17" s="230"/>
      <c r="AC17" s="230"/>
      <c r="AD17" s="230"/>
      <c r="AK17" s="230"/>
      <c r="AL17" s="182"/>
      <c r="AM17" s="230"/>
      <c r="AN17" s="230"/>
      <c r="AO17" s="230"/>
      <c r="AP17" s="230"/>
      <c r="AQ17" s="230"/>
      <c r="AR17" s="230"/>
      <c r="AS17" s="230"/>
      <c r="AT17" s="230"/>
      <c r="AU17" s="230"/>
      <c r="AV17" s="230"/>
      <c r="AW17" s="230"/>
      <c r="AX17" s="230"/>
      <c r="AY17" s="230"/>
      <c r="AZ17" s="230"/>
      <c r="BA17" s="230"/>
      <c r="BB17" s="230"/>
      <c r="BC17" s="230"/>
      <c r="BD17" s="230"/>
      <c r="BE17" s="230"/>
      <c r="BF17" s="230"/>
      <c r="BG17" s="230"/>
      <c r="BH17" s="230"/>
      <c r="BI17" s="230"/>
      <c r="BJ17" s="230"/>
      <c r="BK17" s="230"/>
      <c r="BL17" s="230"/>
      <c r="BM17" s="230"/>
      <c r="BN17" s="230"/>
      <c r="BO17" s="230"/>
      <c r="BP17" s="230"/>
      <c r="BQ17" s="230"/>
      <c r="BR17" s="230"/>
      <c r="BS17" s="230"/>
      <c r="BT17" s="230"/>
      <c r="BU17" s="230"/>
      <c r="BV17" s="230"/>
      <c r="BW17" s="230"/>
      <c r="BX17" s="230"/>
      <c r="BY17" s="230"/>
      <c r="BZ17" s="230"/>
      <c r="CA17" s="230"/>
      <c r="CB17" s="230"/>
      <c r="CC17" s="230"/>
      <c r="CD17" s="230"/>
      <c r="CE17" s="230"/>
      <c r="CF17" s="230"/>
      <c r="CG17" s="230"/>
      <c r="CH17" s="230"/>
      <c r="CI17" s="230"/>
      <c r="CJ17" s="230"/>
    </row>
    <row r="18" spans="1:88" ht="16.5">
      <c r="E18" s="230"/>
      <c r="F18" s="230"/>
      <c r="G18" s="230"/>
      <c r="H18" s="230"/>
      <c r="I18" s="230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230"/>
      <c r="AD18" s="230"/>
      <c r="AK18" s="230"/>
      <c r="AL18" s="182"/>
      <c r="AM18" s="230"/>
      <c r="AN18" s="230"/>
      <c r="AO18" s="230"/>
      <c r="AP18" s="230"/>
      <c r="AQ18" s="230"/>
      <c r="AR18" s="230"/>
      <c r="AS18" s="230"/>
      <c r="AT18" s="230"/>
      <c r="AU18" s="230"/>
      <c r="AV18" s="230"/>
      <c r="AW18" s="230"/>
      <c r="AX18" s="230"/>
      <c r="AY18" s="230"/>
      <c r="AZ18" s="230"/>
      <c r="BA18" s="230"/>
      <c r="BB18" s="230"/>
      <c r="BC18" s="230"/>
      <c r="BD18" s="230"/>
      <c r="BE18" s="230"/>
      <c r="BF18" s="230"/>
      <c r="BG18" s="230"/>
      <c r="BH18" s="230"/>
      <c r="BI18" s="230"/>
      <c r="BJ18" s="230"/>
      <c r="BK18" s="230"/>
      <c r="BL18" s="230"/>
      <c r="BM18" s="230"/>
      <c r="BN18" s="230"/>
      <c r="BO18" s="230"/>
      <c r="BP18" s="230"/>
      <c r="BQ18" s="230"/>
      <c r="BR18" s="230"/>
      <c r="BS18" s="230"/>
      <c r="BT18" s="230"/>
      <c r="BU18" s="230"/>
      <c r="BV18" s="230"/>
      <c r="BW18" s="230"/>
      <c r="BX18" s="230"/>
      <c r="BY18" s="230"/>
      <c r="BZ18" s="230"/>
      <c r="CA18" s="230"/>
      <c r="CB18" s="230"/>
      <c r="CC18" s="230"/>
      <c r="CD18" s="230"/>
      <c r="CE18" s="230"/>
      <c r="CF18" s="230"/>
      <c r="CG18" s="230"/>
      <c r="CH18" s="230"/>
      <c r="CI18" s="230"/>
      <c r="CJ18" s="230"/>
    </row>
    <row r="19" spans="1:88">
      <c r="E19" s="230"/>
      <c r="F19" s="230"/>
      <c r="G19" s="230"/>
      <c r="H19" s="230"/>
      <c r="I19" s="230"/>
      <c r="J19" s="230"/>
      <c r="K19" s="230"/>
      <c r="L19" s="230"/>
      <c r="M19" s="230"/>
      <c r="N19" s="230"/>
      <c r="O19" s="230"/>
      <c r="P19" s="230"/>
      <c r="Q19" s="230"/>
      <c r="R19" s="230"/>
      <c r="S19" s="230"/>
      <c r="T19" s="230"/>
      <c r="U19" s="230"/>
      <c r="V19" s="230"/>
      <c r="W19" s="230"/>
      <c r="X19" s="230"/>
      <c r="Y19" s="230"/>
      <c r="Z19" s="230"/>
      <c r="AA19" s="230"/>
      <c r="AB19" s="230"/>
      <c r="AC19" s="230"/>
      <c r="AD19" s="230"/>
      <c r="AK19" s="230"/>
      <c r="AL19" s="230"/>
      <c r="AM19" s="230"/>
      <c r="AN19" s="230"/>
      <c r="AO19" s="230"/>
      <c r="AP19" s="230"/>
      <c r="AQ19" s="230"/>
      <c r="AR19" s="230"/>
      <c r="AS19" s="230"/>
      <c r="AT19" s="230"/>
      <c r="AU19" s="230"/>
      <c r="AV19" s="230"/>
      <c r="AW19" s="230"/>
      <c r="AX19" s="230"/>
      <c r="AY19" s="230"/>
      <c r="AZ19" s="230"/>
      <c r="BA19" s="230"/>
      <c r="BB19" s="230"/>
      <c r="BC19" s="230"/>
      <c r="BD19" s="230"/>
      <c r="BE19" s="230"/>
      <c r="BF19" s="230"/>
      <c r="BG19" s="230"/>
      <c r="BH19" s="230"/>
      <c r="BI19" s="230"/>
      <c r="BJ19" s="230"/>
      <c r="BK19" s="230"/>
      <c r="BL19" s="230"/>
      <c r="BM19" s="230"/>
      <c r="BN19" s="230"/>
      <c r="BO19" s="230"/>
      <c r="BP19" s="230"/>
      <c r="BQ19" s="230"/>
      <c r="BR19" s="230"/>
      <c r="BS19" s="230"/>
      <c r="BT19" s="230"/>
      <c r="BU19" s="230"/>
      <c r="BV19" s="230"/>
      <c r="BW19" s="230"/>
      <c r="BX19" s="230"/>
      <c r="BY19" s="230"/>
      <c r="BZ19" s="230"/>
      <c r="CA19" s="230"/>
      <c r="CB19" s="230"/>
      <c r="CC19" s="230"/>
      <c r="CD19" s="230"/>
      <c r="CE19" s="230"/>
      <c r="CF19" s="230"/>
      <c r="CG19" s="230"/>
      <c r="CH19" s="230"/>
      <c r="CI19" s="230"/>
      <c r="CJ19" s="230"/>
    </row>
    <row r="20" spans="1:88"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0"/>
      <c r="S20" s="230"/>
      <c r="T20" s="230"/>
      <c r="U20" s="230"/>
      <c r="V20" s="230"/>
      <c r="W20" s="230"/>
      <c r="X20" s="230"/>
      <c r="Y20" s="230"/>
      <c r="Z20" s="230"/>
      <c r="AA20" s="230"/>
      <c r="AB20" s="230"/>
      <c r="AC20" s="230"/>
      <c r="AD20" s="230"/>
      <c r="AK20" s="230"/>
      <c r="AL20" s="230"/>
      <c r="AM20" s="230"/>
      <c r="AN20" s="230"/>
      <c r="AO20" s="230"/>
      <c r="AP20" s="230"/>
      <c r="AQ20" s="230"/>
      <c r="AR20" s="230"/>
      <c r="AS20" s="230"/>
      <c r="AT20" s="230"/>
      <c r="AU20" s="230"/>
      <c r="AV20" s="230"/>
      <c r="AW20" s="230"/>
      <c r="AX20" s="230"/>
      <c r="AY20" s="230"/>
      <c r="AZ20" s="230"/>
      <c r="BA20" s="230"/>
      <c r="BB20" s="230"/>
      <c r="BC20" s="230"/>
      <c r="BD20" s="230"/>
      <c r="BE20" s="230"/>
      <c r="BF20" s="230"/>
      <c r="BG20" s="230"/>
      <c r="BH20" s="230"/>
      <c r="BI20" s="230"/>
      <c r="BJ20" s="230"/>
      <c r="BK20" s="230"/>
      <c r="BL20" s="230"/>
      <c r="BM20" s="230"/>
      <c r="BN20" s="230"/>
      <c r="BO20" s="230"/>
      <c r="BP20" s="230"/>
      <c r="BQ20" s="230"/>
      <c r="BR20" s="230"/>
      <c r="BS20" s="230"/>
      <c r="BT20" s="230"/>
      <c r="BU20" s="230"/>
      <c r="BV20" s="230"/>
      <c r="BW20" s="230"/>
      <c r="BX20" s="230"/>
      <c r="BY20" s="230"/>
      <c r="BZ20" s="230"/>
      <c r="CA20" s="230"/>
      <c r="CB20" s="230"/>
      <c r="CC20" s="230"/>
      <c r="CD20" s="230"/>
      <c r="CE20" s="230"/>
      <c r="CF20" s="230"/>
      <c r="CG20" s="230"/>
      <c r="CH20" s="230"/>
      <c r="CI20" s="230"/>
      <c r="CJ20" s="230"/>
    </row>
    <row r="21" spans="1:88">
      <c r="E21" s="230"/>
      <c r="F21" s="230"/>
      <c r="G21" s="230"/>
      <c r="H21" s="230"/>
      <c r="I21" s="230"/>
      <c r="J21" s="230"/>
      <c r="K21" s="230"/>
      <c r="L21" s="230"/>
      <c r="M21" s="230"/>
      <c r="N21" s="230"/>
      <c r="O21" s="230"/>
      <c r="P21" s="230"/>
      <c r="Q21" s="230"/>
      <c r="R21" s="230"/>
      <c r="S21" s="230"/>
      <c r="T21" s="230"/>
      <c r="U21" s="230"/>
      <c r="V21" s="230"/>
      <c r="W21" s="230"/>
      <c r="X21" s="230"/>
      <c r="Y21" s="230"/>
      <c r="Z21" s="230"/>
      <c r="AA21" s="230"/>
      <c r="AB21" s="230"/>
      <c r="AC21" s="230"/>
      <c r="AD21" s="230"/>
      <c r="AK21" s="230"/>
      <c r="AL21" s="230"/>
      <c r="AM21" s="230"/>
      <c r="AN21" s="230"/>
      <c r="AO21" s="230"/>
      <c r="AP21" s="230"/>
      <c r="AQ21" s="230"/>
      <c r="AR21" s="230"/>
      <c r="AS21" s="230"/>
      <c r="AT21" s="230"/>
      <c r="AU21" s="230"/>
      <c r="AV21" s="230"/>
      <c r="AW21" s="230"/>
      <c r="AX21" s="230"/>
      <c r="AY21" s="230"/>
      <c r="AZ21" s="230"/>
      <c r="BA21" s="230"/>
      <c r="BB21" s="230"/>
      <c r="BC21" s="230"/>
      <c r="BD21" s="230"/>
      <c r="BE21" s="230"/>
      <c r="BF21" s="230"/>
      <c r="BG21" s="230"/>
      <c r="BH21" s="230"/>
      <c r="BI21" s="230"/>
      <c r="BJ21" s="230"/>
      <c r="BK21" s="230"/>
      <c r="BL21" s="230"/>
      <c r="BM21" s="230"/>
      <c r="BN21" s="230"/>
      <c r="BO21" s="230"/>
      <c r="BP21" s="230"/>
      <c r="BQ21" s="230"/>
      <c r="BR21" s="230"/>
      <c r="BS21" s="230"/>
      <c r="BT21" s="230"/>
      <c r="BU21" s="230"/>
      <c r="BV21" s="230"/>
      <c r="BW21" s="230"/>
      <c r="BX21" s="230"/>
      <c r="BY21" s="230"/>
      <c r="BZ21" s="230"/>
      <c r="CA21" s="230"/>
      <c r="CB21" s="230"/>
      <c r="CC21" s="230"/>
      <c r="CD21" s="230"/>
      <c r="CE21" s="230"/>
      <c r="CF21" s="230"/>
      <c r="CG21" s="230"/>
      <c r="CH21" s="230"/>
      <c r="CI21" s="230"/>
      <c r="CJ21" s="230"/>
    </row>
    <row r="22" spans="1:88">
      <c r="E22" s="230"/>
      <c r="F22" s="230"/>
      <c r="G22" s="230"/>
      <c r="H22" s="230"/>
      <c r="I22" s="230"/>
      <c r="J22" s="230"/>
      <c r="K22" s="230"/>
      <c r="L22" s="230"/>
      <c r="M22" s="230"/>
      <c r="N22" s="230"/>
      <c r="O22" s="230"/>
      <c r="P22" s="230"/>
      <c r="Q22" s="230"/>
      <c r="R22" s="230"/>
      <c r="S22" s="230"/>
      <c r="T22" s="230"/>
      <c r="U22" s="230"/>
      <c r="V22" s="230"/>
      <c r="W22" s="230"/>
      <c r="X22" s="230"/>
      <c r="Y22" s="230"/>
      <c r="Z22" s="230"/>
      <c r="AA22" s="230"/>
      <c r="AB22" s="230"/>
      <c r="AC22" s="230"/>
      <c r="AD22" s="230"/>
      <c r="AK22" s="230"/>
      <c r="AL22" s="230"/>
      <c r="AM22" s="230"/>
      <c r="AN22" s="230"/>
      <c r="AO22" s="230"/>
      <c r="AP22" s="230"/>
      <c r="AQ22" s="230"/>
      <c r="AR22" s="230"/>
      <c r="AS22" s="230"/>
      <c r="AT22" s="230"/>
      <c r="AU22" s="230"/>
      <c r="AV22" s="230"/>
      <c r="AW22" s="230"/>
      <c r="AX22" s="230"/>
      <c r="AY22" s="230"/>
      <c r="AZ22" s="230"/>
      <c r="BA22" s="230"/>
      <c r="BB22" s="230"/>
      <c r="BC22" s="230"/>
      <c r="BD22" s="230"/>
      <c r="BE22" s="230"/>
      <c r="BF22" s="230"/>
      <c r="BG22" s="230"/>
      <c r="BH22" s="230"/>
      <c r="BI22" s="230"/>
      <c r="BJ22" s="230"/>
      <c r="BK22" s="230"/>
      <c r="BL22" s="230"/>
      <c r="BM22" s="230"/>
      <c r="BN22" s="230"/>
      <c r="BO22" s="230"/>
      <c r="BP22" s="230"/>
      <c r="BQ22" s="230"/>
      <c r="BR22" s="230"/>
      <c r="BS22" s="230"/>
      <c r="BT22" s="230"/>
      <c r="BU22" s="230"/>
      <c r="BV22" s="230"/>
      <c r="BW22" s="230"/>
      <c r="BX22" s="230"/>
      <c r="BY22" s="230"/>
      <c r="BZ22" s="230"/>
      <c r="CA22" s="230"/>
      <c r="CB22" s="230"/>
      <c r="CC22" s="230"/>
      <c r="CD22" s="230"/>
      <c r="CE22" s="230"/>
      <c r="CF22" s="230"/>
      <c r="CG22" s="230"/>
      <c r="CH22" s="230"/>
      <c r="CI22" s="230"/>
      <c r="CJ22" s="230"/>
    </row>
    <row r="23" spans="1:88">
      <c r="E23" s="230"/>
      <c r="F23" s="230"/>
      <c r="G23" s="230"/>
      <c r="H23" s="230"/>
      <c r="I23" s="230"/>
      <c r="J23" s="230"/>
      <c r="K23" s="230"/>
      <c r="L23" s="230"/>
      <c r="M23" s="230"/>
      <c r="N23" s="230"/>
      <c r="O23" s="230"/>
      <c r="P23" s="230"/>
      <c r="Q23" s="230"/>
      <c r="R23" s="230"/>
      <c r="S23" s="230"/>
      <c r="T23" s="230"/>
      <c r="U23" s="230"/>
      <c r="V23" s="230"/>
      <c r="W23" s="230"/>
      <c r="X23" s="230"/>
      <c r="Y23" s="230"/>
      <c r="Z23" s="230"/>
      <c r="AA23" s="230"/>
      <c r="AB23" s="230"/>
      <c r="AC23" s="230"/>
      <c r="AD23" s="230"/>
      <c r="AK23" s="230"/>
      <c r="AL23" s="230"/>
      <c r="AM23" s="230"/>
      <c r="AN23" s="230"/>
      <c r="AO23" s="230"/>
      <c r="AP23" s="230"/>
      <c r="AQ23" s="230"/>
      <c r="AR23" s="230"/>
      <c r="AS23" s="230"/>
      <c r="AT23" s="230"/>
      <c r="AU23" s="230"/>
      <c r="AV23" s="230"/>
      <c r="AW23" s="230"/>
      <c r="AX23" s="230"/>
      <c r="AY23" s="230"/>
      <c r="AZ23" s="230"/>
      <c r="BA23" s="230"/>
      <c r="BB23" s="230"/>
      <c r="BC23" s="230"/>
      <c r="BD23" s="230"/>
      <c r="BE23" s="230"/>
      <c r="BF23" s="230"/>
      <c r="BG23" s="230"/>
      <c r="BH23" s="230"/>
      <c r="BI23" s="230"/>
      <c r="BJ23" s="230"/>
      <c r="BK23" s="230"/>
      <c r="BL23" s="230"/>
      <c r="BM23" s="230"/>
      <c r="BN23" s="230"/>
      <c r="BO23" s="230"/>
      <c r="BP23" s="230"/>
      <c r="BQ23" s="230"/>
      <c r="BR23" s="230"/>
      <c r="BS23" s="230"/>
      <c r="BT23" s="230"/>
      <c r="BU23" s="230"/>
      <c r="BV23" s="230"/>
      <c r="BW23" s="230"/>
      <c r="BX23" s="230"/>
      <c r="BY23" s="230"/>
      <c r="BZ23" s="230"/>
      <c r="CA23" s="230"/>
      <c r="CB23" s="230"/>
      <c r="CC23" s="230"/>
      <c r="CD23" s="230"/>
      <c r="CE23" s="230"/>
      <c r="CF23" s="230"/>
      <c r="CG23" s="230"/>
      <c r="CH23" s="230"/>
      <c r="CI23" s="230"/>
      <c r="CJ23" s="230"/>
    </row>
    <row r="24" spans="1:88">
      <c r="E24" s="230"/>
      <c r="I24" s="230"/>
      <c r="J24" s="230"/>
      <c r="K24" s="230"/>
      <c r="L24" s="230"/>
      <c r="M24" s="230"/>
      <c r="N24" s="230"/>
      <c r="O24" s="230"/>
      <c r="P24" s="230"/>
      <c r="Q24" s="230"/>
      <c r="R24" s="230"/>
      <c r="S24" s="230"/>
      <c r="T24" s="230"/>
      <c r="U24" s="230"/>
      <c r="V24" s="230"/>
      <c r="W24" s="230"/>
      <c r="X24" s="230"/>
      <c r="Y24" s="230"/>
      <c r="Z24" s="230"/>
      <c r="AA24" s="230"/>
      <c r="AB24" s="230"/>
      <c r="AC24" s="230"/>
      <c r="AD24" s="230"/>
      <c r="AK24" s="230"/>
      <c r="AL24" s="230"/>
      <c r="AM24" s="230"/>
      <c r="AN24" s="230"/>
      <c r="AO24" s="230"/>
      <c r="AP24" s="230"/>
      <c r="AQ24" s="230"/>
      <c r="AR24" s="230"/>
      <c r="AS24" s="230"/>
      <c r="AT24" s="230"/>
      <c r="AU24" s="230"/>
      <c r="AV24" s="230"/>
      <c r="AW24" s="230"/>
      <c r="AX24" s="230"/>
      <c r="AY24" s="230"/>
      <c r="AZ24" s="230"/>
      <c r="BA24" s="230"/>
      <c r="BB24" s="230"/>
      <c r="BC24" s="230"/>
      <c r="BD24" s="230"/>
      <c r="BE24" s="230"/>
      <c r="BF24" s="230"/>
      <c r="BG24" s="230"/>
      <c r="BH24" s="230"/>
      <c r="BI24" s="230"/>
      <c r="BJ24" s="230"/>
      <c r="BK24" s="230"/>
      <c r="BL24" s="230"/>
      <c r="BM24" s="230"/>
      <c r="BN24" s="230"/>
      <c r="BO24" s="230"/>
      <c r="BP24" s="230"/>
      <c r="BQ24" s="230"/>
      <c r="BR24" s="230"/>
      <c r="BS24" s="230"/>
      <c r="BT24" s="230"/>
      <c r="BU24" s="230"/>
      <c r="BV24" s="230"/>
      <c r="BW24" s="230"/>
      <c r="BX24" s="230"/>
      <c r="BY24" s="230"/>
      <c r="BZ24" s="230"/>
      <c r="CA24" s="230"/>
      <c r="CB24" s="230"/>
      <c r="CC24" s="230"/>
      <c r="CD24" s="230"/>
      <c r="CE24" s="230"/>
      <c r="CF24" s="230"/>
      <c r="CG24" s="230"/>
      <c r="CH24" s="230"/>
      <c r="CI24" s="230"/>
      <c r="CJ24" s="230"/>
    </row>
    <row r="25" spans="1:88">
      <c r="E25" s="230"/>
      <c r="I25" s="230"/>
      <c r="J25" s="230"/>
      <c r="K25" s="230"/>
      <c r="L25" s="230"/>
      <c r="M25" s="230"/>
      <c r="N25" s="230"/>
      <c r="O25" s="230"/>
      <c r="P25" s="230"/>
      <c r="Q25" s="230"/>
      <c r="R25" s="230"/>
      <c r="S25" s="230"/>
      <c r="T25" s="230"/>
      <c r="U25" s="230"/>
      <c r="V25" s="230"/>
      <c r="W25" s="230"/>
      <c r="X25" s="230"/>
      <c r="Y25" s="230"/>
      <c r="Z25" s="230"/>
      <c r="AA25" s="230"/>
      <c r="AB25" s="230"/>
      <c r="AC25" s="230"/>
      <c r="AD25" s="230"/>
      <c r="AK25" s="230"/>
      <c r="AL25" s="230"/>
      <c r="AM25" s="230"/>
      <c r="AN25" s="230"/>
      <c r="AO25" s="230"/>
      <c r="AP25" s="230"/>
      <c r="AQ25" s="230"/>
      <c r="AR25" s="230"/>
      <c r="AS25" s="230"/>
      <c r="AT25" s="230"/>
      <c r="AU25" s="230"/>
      <c r="AV25" s="230"/>
      <c r="AW25" s="230"/>
      <c r="AX25" s="230"/>
      <c r="AY25" s="230"/>
      <c r="AZ25" s="230"/>
      <c r="BA25" s="230"/>
      <c r="BB25" s="230"/>
      <c r="BC25" s="230"/>
      <c r="BD25" s="230"/>
      <c r="BE25" s="230"/>
      <c r="BF25" s="230"/>
      <c r="BG25" s="230"/>
      <c r="BH25" s="230"/>
      <c r="BI25" s="230"/>
      <c r="BJ25" s="230"/>
      <c r="BK25" s="230"/>
      <c r="BL25" s="230"/>
      <c r="BM25" s="230"/>
      <c r="BN25" s="230"/>
      <c r="BO25" s="230"/>
      <c r="BP25" s="230"/>
      <c r="BQ25" s="230"/>
      <c r="BR25" s="230"/>
      <c r="BS25" s="230"/>
      <c r="BT25" s="230"/>
      <c r="BU25" s="230"/>
      <c r="BV25" s="230"/>
      <c r="BW25" s="230"/>
      <c r="BX25" s="230"/>
      <c r="BY25" s="230"/>
      <c r="BZ25" s="230"/>
      <c r="CA25" s="230"/>
      <c r="CB25" s="230"/>
      <c r="CC25" s="230"/>
      <c r="CD25" s="230"/>
      <c r="CE25" s="230"/>
      <c r="CF25" s="230"/>
      <c r="CG25" s="230"/>
      <c r="CH25" s="230"/>
      <c r="CI25" s="230"/>
      <c r="CJ25" s="230"/>
    </row>
    <row r="26" spans="1:88">
      <c r="E26" s="230"/>
      <c r="I26" s="230"/>
      <c r="J26" s="230"/>
      <c r="K26" s="230"/>
      <c r="L26" s="230"/>
      <c r="M26" s="230"/>
      <c r="N26" s="230"/>
      <c r="O26" s="230"/>
      <c r="P26" s="230"/>
      <c r="Q26" s="230"/>
      <c r="R26" s="230"/>
      <c r="S26" s="230"/>
      <c r="T26" s="230"/>
      <c r="U26" s="230"/>
      <c r="V26" s="230"/>
      <c r="W26" s="230"/>
      <c r="X26" s="230"/>
      <c r="Y26" s="230"/>
      <c r="Z26" s="230"/>
      <c r="AA26" s="230"/>
      <c r="AB26" s="230"/>
      <c r="AC26" s="230"/>
      <c r="AD26" s="230"/>
      <c r="AK26" s="230"/>
      <c r="AL26" s="230"/>
      <c r="AM26" s="230"/>
      <c r="AN26" s="230"/>
      <c r="AO26" s="230"/>
      <c r="AP26" s="230"/>
      <c r="AQ26" s="230"/>
      <c r="AR26" s="230"/>
      <c r="AS26" s="230"/>
      <c r="AT26" s="230"/>
      <c r="AU26" s="230"/>
      <c r="AV26" s="230"/>
      <c r="AW26" s="230"/>
      <c r="AX26" s="230"/>
      <c r="AY26" s="230"/>
      <c r="AZ26" s="230"/>
      <c r="BA26" s="230"/>
      <c r="BB26" s="230"/>
      <c r="BC26" s="230"/>
      <c r="BD26" s="230"/>
      <c r="BE26" s="230"/>
      <c r="BF26" s="230"/>
      <c r="BG26" s="230"/>
      <c r="BH26" s="230"/>
      <c r="BI26" s="230"/>
      <c r="BJ26" s="230"/>
      <c r="BK26" s="230"/>
      <c r="BL26" s="230"/>
      <c r="BM26" s="230"/>
      <c r="BN26" s="230"/>
      <c r="BO26" s="230"/>
      <c r="BP26" s="230"/>
      <c r="BQ26" s="230"/>
      <c r="BR26" s="230"/>
      <c r="BS26" s="230"/>
      <c r="BT26" s="230"/>
      <c r="BU26" s="230"/>
      <c r="BV26" s="230"/>
      <c r="BW26" s="230"/>
      <c r="BX26" s="230"/>
      <c r="BY26" s="230"/>
      <c r="BZ26" s="230"/>
      <c r="CA26" s="230"/>
      <c r="CB26" s="230"/>
      <c r="CC26" s="230"/>
      <c r="CD26" s="230"/>
      <c r="CE26" s="230"/>
      <c r="CF26" s="230"/>
      <c r="CG26" s="230"/>
      <c r="CH26" s="230"/>
      <c r="CI26" s="230"/>
      <c r="CJ26" s="230"/>
    </row>
    <row r="27" spans="1:88">
      <c r="A27" s="230"/>
      <c r="B27" s="230"/>
      <c r="C27" s="230"/>
      <c r="D27" s="230"/>
      <c r="E27" s="230"/>
      <c r="I27" s="230"/>
      <c r="J27" s="230"/>
      <c r="K27" s="230"/>
      <c r="L27" s="230"/>
      <c r="M27" s="230"/>
      <c r="N27" s="230"/>
      <c r="O27" s="230"/>
      <c r="P27" s="230"/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AC27" s="230"/>
      <c r="AD27" s="230"/>
      <c r="AK27" s="230"/>
      <c r="AL27" s="230"/>
      <c r="AM27" s="230"/>
      <c r="AN27" s="230"/>
      <c r="AO27" s="230"/>
      <c r="AP27" s="230"/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  <c r="BH27" s="230"/>
      <c r="BI27" s="230"/>
      <c r="BJ27" s="230"/>
      <c r="BK27" s="230"/>
      <c r="BL27" s="230"/>
      <c r="BM27" s="230"/>
      <c r="BN27" s="230"/>
      <c r="BO27" s="230"/>
      <c r="BP27" s="230"/>
      <c r="BQ27" s="230"/>
      <c r="BR27" s="230"/>
      <c r="BS27" s="230"/>
      <c r="BT27" s="230"/>
      <c r="BU27" s="230"/>
      <c r="BV27" s="230"/>
      <c r="BW27" s="230"/>
      <c r="BX27" s="230"/>
      <c r="BY27" s="230"/>
      <c r="BZ27" s="230"/>
      <c r="CA27" s="230"/>
      <c r="CB27" s="230"/>
      <c r="CC27" s="230"/>
      <c r="CD27" s="230"/>
      <c r="CE27" s="230"/>
      <c r="CF27" s="230"/>
      <c r="CG27" s="230"/>
      <c r="CH27" s="230"/>
      <c r="CI27" s="230"/>
      <c r="CJ27" s="230"/>
    </row>
    <row r="28" spans="1:88">
      <c r="E28" s="230"/>
      <c r="I28" s="230"/>
      <c r="J28" s="230"/>
      <c r="K28" s="230"/>
      <c r="L28" s="230"/>
      <c r="M28" s="230"/>
      <c r="N28" s="230"/>
      <c r="O28" s="230"/>
      <c r="P28" s="230"/>
      <c r="Q28" s="230"/>
      <c r="R28" s="230"/>
      <c r="S28" s="230"/>
      <c r="T28" s="230"/>
      <c r="U28" s="230"/>
      <c r="V28" s="230"/>
      <c r="W28" s="230"/>
      <c r="X28" s="230"/>
      <c r="Y28" s="230"/>
      <c r="Z28" s="230"/>
      <c r="AA28" s="230"/>
      <c r="AB28" s="230"/>
      <c r="AC28" s="230"/>
      <c r="AD28" s="230"/>
      <c r="AK28" s="230"/>
      <c r="AL28" s="230"/>
      <c r="AM28" s="230"/>
      <c r="AN28" s="230"/>
      <c r="AO28" s="230"/>
      <c r="AP28" s="230"/>
      <c r="AQ28" s="230"/>
      <c r="AR28" s="230"/>
      <c r="AS28" s="230"/>
      <c r="AT28" s="230"/>
      <c r="AU28" s="230"/>
      <c r="AV28" s="230"/>
      <c r="AW28" s="230"/>
      <c r="AX28" s="230"/>
      <c r="AY28" s="230"/>
      <c r="AZ28" s="230"/>
      <c r="BA28" s="230"/>
      <c r="BB28" s="230"/>
      <c r="BC28" s="230"/>
      <c r="BD28" s="230"/>
      <c r="BE28" s="230"/>
      <c r="BF28" s="230"/>
      <c r="BG28" s="230"/>
      <c r="BH28" s="230"/>
      <c r="BI28" s="230"/>
      <c r="BJ28" s="230"/>
      <c r="BK28" s="230"/>
      <c r="BL28" s="230"/>
      <c r="BM28" s="230"/>
      <c r="BN28" s="230"/>
      <c r="BO28" s="230"/>
      <c r="BP28" s="230"/>
      <c r="BQ28" s="230"/>
      <c r="BR28" s="230"/>
      <c r="BS28" s="230"/>
      <c r="BT28" s="230"/>
      <c r="BU28" s="230"/>
      <c r="BV28" s="230"/>
      <c r="BW28" s="230"/>
      <c r="BX28" s="230"/>
      <c r="BY28" s="230"/>
      <c r="BZ28" s="230"/>
      <c r="CA28" s="230"/>
      <c r="CB28" s="230"/>
      <c r="CC28" s="230"/>
      <c r="CD28" s="230"/>
      <c r="CE28" s="230"/>
      <c r="CF28" s="230"/>
      <c r="CG28" s="230"/>
      <c r="CH28" s="230"/>
      <c r="CI28" s="230"/>
      <c r="CJ28" s="230"/>
    </row>
  </sheetData>
  <mergeCells count="10">
    <mergeCell ref="AP3:AQ3"/>
    <mergeCell ref="AV3:AW3"/>
    <mergeCell ref="AP4:AQ4"/>
    <mergeCell ref="AV4:AW4"/>
    <mergeCell ref="AP9:AQ9"/>
    <mergeCell ref="AP5:AQ5"/>
    <mergeCell ref="AV5:AW5"/>
    <mergeCell ref="AP6:AQ6"/>
    <mergeCell ref="AV6:AW6"/>
    <mergeCell ref="AV7:AW7"/>
  </mergeCells>
  <phoneticPr fontId="1"/>
  <conditionalFormatting sqref="D5:AJ5">
    <cfRule type="expression" dxfId="48" priority="5">
      <formula>CELL("row")=ROW()</formula>
    </cfRule>
  </conditionalFormatting>
  <conditionalFormatting sqref="K5">
    <cfRule type="expression" dxfId="47" priority="7">
      <formula>INDIRECT(ADDRESS(ROW(),COLUMN()))=TRUNC(INDIRECT(ADDRESS(ROW(),COLUMN())))</formula>
    </cfRule>
  </conditionalFormatting>
  <conditionalFormatting sqref="L5">
    <cfRule type="expression" dxfId="46" priority="4">
      <formula>INDIRECT(ADDRESS(ROW(),COLUMN()))=TRUNC(INDIRECT(ADDRESS(ROW(),COLUMN())))</formula>
    </cfRule>
  </conditionalFormatting>
  <conditionalFormatting sqref="N5">
    <cfRule type="expression" dxfId="45" priority="3">
      <formula>INDIRECT(ADDRESS(ROW(),COLUMN()))=TRUNC(INDIRECT(ADDRESS(ROW(),COLUMN())))</formula>
    </cfRule>
  </conditionalFormatting>
  <conditionalFormatting sqref="P5">
    <cfRule type="expression" dxfId="44" priority="2">
      <formula>INDIRECT(ADDRESS(ROW(),COLUMN()))=TRUNC(INDIRECT(ADDRESS(ROW(),COLUMN())))</formula>
    </cfRule>
  </conditionalFormatting>
  <conditionalFormatting sqref="Q5">
    <cfRule type="expression" dxfId="43" priority="1">
      <formula>INDIRECT(ADDRESS(ROW(),COLUMN()))=TRUNC(INDIRECT(ADDRESS(ROW(),COLUMN())))</formula>
    </cfRule>
  </conditionalFormatting>
  <dataValidations count="3">
    <dataValidation type="custom" allowBlank="1" showInputMessage="1" showErrorMessage="1" sqref="AV3:AW4 AV6:AW7">
      <formula1>AND(LEN(AV3)=LENB(AV3),LEN(AV3)=10)</formula1>
    </dataValidation>
    <dataValidation type="date" allowBlank="1" showInputMessage="1" showErrorMessage="1" sqref="AP3:AQ6 AS3:AS6">
      <formula1>36526</formula1>
      <formula2>73415</formula2>
    </dataValidation>
    <dataValidation type="custom" allowBlank="1" showInputMessage="1" showErrorMessage="1" sqref="AZ6">
      <formula1>AND(LEN(AZ6)=LENB(AZ6),LEN(AZ6)&lt;=10)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B2:H52"/>
  <sheetViews>
    <sheetView workbookViewId="0">
      <selection activeCell="E16" sqref="E16"/>
    </sheetView>
  </sheetViews>
  <sheetFormatPr defaultRowHeight="15" customHeight="1"/>
  <cols>
    <col min="2" max="2" width="3.5" customWidth="1"/>
    <col min="3" max="3" width="3.125" customWidth="1"/>
    <col min="4" max="4" width="3.25" customWidth="1"/>
    <col min="5" max="5" width="25.125" bestFit="1" customWidth="1"/>
    <col min="6" max="6" width="82.625" bestFit="1" customWidth="1"/>
    <col min="7" max="7" width="7.5" bestFit="1" customWidth="1"/>
    <col min="8" max="8" width="40.375" bestFit="1" customWidth="1"/>
  </cols>
  <sheetData>
    <row r="2" spans="2:8" ht="15" customHeight="1">
      <c r="B2" s="504" t="s">
        <v>516</v>
      </c>
      <c r="C2" s="505"/>
      <c r="D2" s="505"/>
      <c r="E2" s="506"/>
      <c r="F2" s="147"/>
      <c r="G2" s="147"/>
      <c r="H2" s="148" t="s">
        <v>123</v>
      </c>
    </row>
    <row r="3" spans="2:8" ht="15" customHeight="1">
      <c r="B3" s="500" t="s">
        <v>799</v>
      </c>
      <c r="C3" s="501"/>
      <c r="D3" s="501"/>
      <c r="E3" s="502"/>
      <c r="F3" s="271" t="str">
        <f>F4&amp;F5&amp;F13&amp;UNKB0130_SQL_SORT&amp;F44</f>
        <v>SELECT *
 FROM V_UKEIRE_KENSHU_LIST
 WHERE 1=1
 AND ( 1!=1 
 OR V_UKEIRE_KENSHU_LIST.KOBAI_KBN = 1
 OR V_UKEIRE_KENSHU_LIST.KOBAI_KBN = 2
 OR V_UKEIRE_KENSHU_LIST.KOBAI_KBN = 3
 OR V_UKEIRE_KENSHU_LIST.KOBAI_KBN = 4
 OR V_UKEIRE_KENSHU_LIST.KOBAI_KBN = 5)
 AND V_UKEIRE_KENSHU_LIST.SHINSEI_DATE &gt;= '2016/01/01'
 AND V_UKEIRE_KENSHU_LIST.SHINSEI_DATE &lt;=  '2016/01/02'
 AND V_UKEIRE_KENSHU_LIST.NOKI &gt;=  '2016/02/01'
 AND V_UKEIRE_KENSHU_LIST.NOKI &lt;=  '2016/02/02'
 AND V_UKEIRE_KENSHU_LIST.UKEIRE_DATE &gt;=  '2016/03/01'
 AND V_UKEIRE_KENSHU_LIST.UKEIRE_DATE &lt;=  '2016/03/02'
 AND V_UKEIRE_KENSHU_LIST.KENSHU_DATE &gt;=  '2016/04/01'
 AND V_UKEIRE_KENSHU_LIST.KENSHU_DATE &lt;=  '2016/04/02'
 AND V_UKEIRE_KENSHU_LIST.IRAI_NO = 'I16-123456'
 AND V_UKEIRE_KENSHU_LIST.KOBAI_NO = 'K16-123456'
 AND V_UKEIRE_KENSHU_LIST.SHINSEISHA_CD= '2010'
 AND V_UKEIRE_KENSHU_LIST.JURI_NO = 'J16-123456'
 AND V_UKEIRE_KENSHU_LIST.NYUSHUKKO_NO = 'N16-123456'
 AND V_UKEIRE_KENSHU_LIST.YOSAN_CD = '123456'
 AND V_UKEIRE_KENSHU_LIST.KOBAIHIN_CD = '111'
 AND V_UKEIRE_KENSHU_LIST.SHIIRE_CD = '222'
 AND V_UKEIRE_KENSHU_LIST.MAKER_CD = '333'
 AND V_UKEIRE_KENSHU_LIST.MIKENSHU_FLG = 'True'
 AND 
( V_UKEIRE_KENSHU_LIST.FREEWD LIKE '%A%'
 AND V_UKEIRE_KENSHU_LIST.FREEWD LIKE '%B%'
 AND V_UKEIRE_KENSHU_LIST.FREEWD LIKE '%C%'
 )
 ORDER BY NYUSHUKKO_NO DESC OFFSET 0*50 ROWS
 FETCH NEXT 50 ROWS ONLY</v>
      </c>
      <c r="G3" s="134"/>
      <c r="H3" s="135" t="s">
        <v>1697</v>
      </c>
    </row>
    <row r="4" spans="2:8" ht="15" customHeight="1">
      <c r="B4" s="136"/>
      <c r="C4" s="503" t="s">
        <v>124</v>
      </c>
      <c r="D4" s="503"/>
      <c r="E4" s="503"/>
      <c r="F4" s="273" t="s">
        <v>881</v>
      </c>
      <c r="G4" s="138"/>
      <c r="H4" s="139"/>
    </row>
    <row r="5" spans="2:8" ht="15" customHeight="1">
      <c r="B5" s="136"/>
      <c r="C5" s="503" t="s">
        <v>795</v>
      </c>
      <c r="D5" s="503"/>
      <c r="E5" s="503"/>
      <c r="F5" s="272" t="s">
        <v>1726</v>
      </c>
      <c r="G5" s="138"/>
      <c r="H5" s="139"/>
    </row>
    <row r="6" spans="2:8" ht="15" customHeight="1">
      <c r="B6" s="500" t="s">
        <v>802</v>
      </c>
      <c r="C6" s="501"/>
      <c r="D6" s="501"/>
      <c r="E6" s="502"/>
      <c r="F6" s="271" t="str">
        <f>F7&amp;F8&amp;F13</f>
        <v xml:space="preserve">SELECT GYO_MOJI
      ,NYUSHUKKO_NO
      ,KOBAI_KBN_MEI
      ,SHINSEISHA_MEI
      ,SHINSEI_DATE
      ,KOBAIHIN_CD
      ,KOBAIHIN_MEI
      ,TANKA
      ,IRISU
      ,BARA_TANI
      ,NYUKO_SURYO
      ,IRISU_TANI
      ,SOSU
      ,TOTAL
      ,NOKI
      ,UKEIRE_DATE
      ,KENSHU_DATE
      ,HOKAN_BASHO_KBN_MEI
      ,SHIIRE_CD
      ,SHIIRE_MEI
      ,MAKER_CD
      ,MAKER_MEI
      ,YOSAN_CD
      ,JURI_NO
      ,BIKO
      ,KOBAI_NO
      ,IRAI_NO
  FROM V_UKEIRE_KENSHU_LIST
 WHERE 1=1
 AND ( 1!=1 
 OR V_UKEIRE_KENSHU_LIST.KOBAI_KBN = 1
 OR V_UKEIRE_KENSHU_LIST.KOBAI_KBN = 2
 OR V_UKEIRE_KENSHU_LIST.KOBAI_KBN = 3
 OR V_UKEIRE_KENSHU_LIST.KOBAI_KBN = 4
 OR V_UKEIRE_KENSHU_LIST.KOBAI_KBN = 5)
 AND V_UKEIRE_KENSHU_LIST.SHINSEI_DATE &gt;= '2016/01/01'
 AND V_UKEIRE_KENSHU_LIST.SHINSEI_DATE &lt;=  '2016/01/02'
 AND V_UKEIRE_KENSHU_LIST.NOKI &gt;=  '2016/02/01'
 AND V_UKEIRE_KENSHU_LIST.NOKI &lt;=  '2016/02/02'
 AND V_UKEIRE_KENSHU_LIST.UKEIRE_DATE &gt;=  '2016/03/01'
 AND V_UKEIRE_KENSHU_LIST.UKEIRE_DATE &lt;=  '2016/03/02'
 AND V_UKEIRE_KENSHU_LIST.KENSHU_DATE &gt;=  '2016/04/01'
 AND V_UKEIRE_KENSHU_LIST.KENSHU_DATE &lt;=  '2016/04/02'
 AND V_UKEIRE_KENSHU_LIST.IRAI_NO = 'I16-123456'
 AND V_UKEIRE_KENSHU_LIST.KOBAI_NO = 'K16-123456'
 AND V_UKEIRE_KENSHU_LIST.SHINSEISHA_CD= '2010'
 AND V_UKEIRE_KENSHU_LIST.JURI_NO = 'J16-123456'
 AND V_UKEIRE_KENSHU_LIST.NYUSHUKKO_NO = 'N16-123456'
 AND V_UKEIRE_KENSHU_LIST.YOSAN_CD = '123456'
 AND V_UKEIRE_KENSHU_LIST.KOBAIHIN_CD = '111'
 AND V_UKEIRE_KENSHU_LIST.SHIIRE_CD = '222'
 AND V_UKEIRE_KENSHU_LIST.MAKER_CD = '333'
 AND V_UKEIRE_KENSHU_LIST.MIKENSHU_FLG = 'True'
 AND 
( V_UKEIRE_KENSHU_LIST.FREEWD LIKE '%A%'
 AND V_UKEIRE_KENSHU_LIST.FREEWD LIKE '%B%'
 AND V_UKEIRE_KENSHU_LIST.FREEWD LIKE '%C%'
 )
</v>
      </c>
      <c r="G6" s="134"/>
      <c r="H6" s="135" t="s">
        <v>1698</v>
      </c>
    </row>
    <row r="7" spans="2:8" ht="15" customHeight="1">
      <c r="B7" s="136"/>
      <c r="C7" s="503" t="s">
        <v>124</v>
      </c>
      <c r="D7" s="503"/>
      <c r="E7" s="503"/>
      <c r="F7" s="272" t="s">
        <v>1803</v>
      </c>
      <c r="G7" s="138"/>
      <c r="H7" s="139"/>
    </row>
    <row r="8" spans="2:8" ht="15" customHeight="1">
      <c r="B8" s="136"/>
      <c r="C8" s="503" t="s">
        <v>795</v>
      </c>
      <c r="D8" s="503"/>
      <c r="E8" s="503"/>
      <c r="F8" s="272" t="s">
        <v>1736</v>
      </c>
      <c r="G8" s="138"/>
      <c r="H8" s="139"/>
    </row>
    <row r="9" spans="2:8" ht="15" customHeight="1">
      <c r="B9" s="500" t="s">
        <v>864</v>
      </c>
      <c r="C9" s="501"/>
      <c r="D9" s="501"/>
      <c r="E9" s="502"/>
      <c r="F9" s="271" t="str">
        <f>F10&amp;F11&amp;F13</f>
        <v xml:space="preserve">SELECT COUNT(*) AS CNT
 FROM V_UKEIRE_KENSHU_LIST
 WHERE 1=1
 AND ( 1!=1 
 OR V_UKEIRE_KENSHU_LIST.KOBAI_KBN = 1
 OR V_UKEIRE_KENSHU_LIST.KOBAI_KBN = 2
 OR V_UKEIRE_KENSHU_LIST.KOBAI_KBN = 3
 OR V_UKEIRE_KENSHU_LIST.KOBAI_KBN = 4
 OR V_UKEIRE_KENSHU_LIST.KOBAI_KBN = 5)
 AND V_UKEIRE_KENSHU_LIST.SHINSEI_DATE &gt;= '2016/01/01'
 AND V_UKEIRE_KENSHU_LIST.SHINSEI_DATE &lt;=  '2016/01/02'
 AND V_UKEIRE_KENSHU_LIST.NOKI &gt;=  '2016/02/01'
 AND V_UKEIRE_KENSHU_LIST.NOKI &lt;=  '2016/02/02'
 AND V_UKEIRE_KENSHU_LIST.UKEIRE_DATE &gt;=  '2016/03/01'
 AND V_UKEIRE_KENSHU_LIST.UKEIRE_DATE &lt;=  '2016/03/02'
 AND V_UKEIRE_KENSHU_LIST.KENSHU_DATE &gt;=  '2016/04/01'
 AND V_UKEIRE_KENSHU_LIST.KENSHU_DATE &lt;=  '2016/04/02'
 AND V_UKEIRE_KENSHU_LIST.IRAI_NO = 'I16-123456'
 AND V_UKEIRE_KENSHU_LIST.KOBAI_NO = 'K16-123456'
 AND V_UKEIRE_KENSHU_LIST.SHINSEISHA_CD= '2010'
 AND V_UKEIRE_KENSHU_LIST.JURI_NO = 'J16-123456'
 AND V_UKEIRE_KENSHU_LIST.NYUSHUKKO_NO = 'N16-123456'
 AND V_UKEIRE_KENSHU_LIST.YOSAN_CD = '123456'
 AND V_UKEIRE_KENSHU_LIST.KOBAIHIN_CD = '111'
 AND V_UKEIRE_KENSHU_LIST.SHIIRE_CD = '222'
 AND V_UKEIRE_KENSHU_LIST.MAKER_CD = '333'
 AND V_UKEIRE_KENSHU_LIST.MIKENSHU_FLG = 'True'
 AND 
( V_UKEIRE_KENSHU_LIST.FREEWD LIKE '%A%'
 AND V_UKEIRE_KENSHU_LIST.FREEWD LIKE '%B%'
 AND V_UKEIRE_KENSHU_LIST.FREEWD LIKE '%C%'
 )
</v>
      </c>
      <c r="G9" s="134"/>
      <c r="H9" s="135" t="s">
        <v>1699</v>
      </c>
    </row>
    <row r="10" spans="2:8" ht="15" customHeight="1">
      <c r="B10" s="136"/>
      <c r="C10" s="503" t="s">
        <v>124</v>
      </c>
      <c r="D10" s="503"/>
      <c r="E10" s="503"/>
      <c r="F10" s="273" t="s">
        <v>882</v>
      </c>
      <c r="G10" s="138"/>
      <c r="H10" s="139"/>
    </row>
    <row r="11" spans="2:8" ht="15" customHeight="1">
      <c r="B11" s="136"/>
      <c r="C11" s="503" t="s">
        <v>795</v>
      </c>
      <c r="D11" s="503"/>
      <c r="E11" s="503"/>
      <c r="F11" s="272" t="s">
        <v>1726</v>
      </c>
      <c r="G11" s="138"/>
      <c r="H11" s="139"/>
    </row>
    <row r="12" spans="2:8" ht="15" customHeight="1">
      <c r="B12" s="500" t="s">
        <v>804</v>
      </c>
      <c r="C12" s="501"/>
      <c r="D12" s="501"/>
      <c r="E12" s="502"/>
      <c r="F12" s="271"/>
      <c r="G12" s="134"/>
      <c r="H12" s="135"/>
    </row>
    <row r="13" spans="2:8" ht="15" customHeight="1">
      <c r="B13" s="136"/>
      <c r="C13" s="503" t="s">
        <v>783</v>
      </c>
      <c r="D13" s="503"/>
      <c r="E13" s="503"/>
      <c r="F13" s="272" t="str">
        <f>" WHERE 1=1
" &amp;F14 &amp; F20 &amp; F21 &amp; F22 &amp; F23 &amp; F24 &amp; F25 &amp; F26 &amp; F27 &amp; F28 &amp; F29 &amp; F30 &amp; F31 &amp; F32 &amp; F33 &amp;F34 &amp; F35 &amp; F36 &amp; F37 &amp; F38</f>
        <v xml:space="preserve"> WHERE 1=1
 AND ( 1!=1 
 OR V_UKEIRE_KENSHU_LIST.KOBAI_KBN = 1
 OR V_UKEIRE_KENSHU_LIST.KOBAI_KBN = 2
 OR V_UKEIRE_KENSHU_LIST.KOBAI_KBN = 3
 OR V_UKEIRE_KENSHU_LIST.KOBAI_KBN = 4
 OR V_UKEIRE_KENSHU_LIST.KOBAI_KBN = 5)
 AND V_UKEIRE_KENSHU_LIST.SHINSEI_DATE &gt;= '2016/01/01'
 AND V_UKEIRE_KENSHU_LIST.SHINSEI_DATE &lt;=  '2016/01/02'
 AND V_UKEIRE_KENSHU_LIST.NOKI &gt;=  '2016/02/01'
 AND V_UKEIRE_KENSHU_LIST.NOKI &lt;=  '2016/02/02'
 AND V_UKEIRE_KENSHU_LIST.UKEIRE_DATE &gt;=  '2016/03/01'
 AND V_UKEIRE_KENSHU_LIST.UKEIRE_DATE &lt;=  '2016/03/02'
 AND V_UKEIRE_KENSHU_LIST.KENSHU_DATE &gt;=  '2016/04/01'
 AND V_UKEIRE_KENSHU_LIST.KENSHU_DATE &lt;=  '2016/04/02'
 AND V_UKEIRE_KENSHU_LIST.IRAI_NO = 'I16-123456'
 AND V_UKEIRE_KENSHU_LIST.KOBAI_NO = 'K16-123456'
 AND V_UKEIRE_KENSHU_LIST.SHINSEISHA_CD= '2010'
 AND V_UKEIRE_KENSHU_LIST.JURI_NO = 'J16-123456'
 AND V_UKEIRE_KENSHU_LIST.NYUSHUKKO_NO = 'N16-123456'
 AND V_UKEIRE_KENSHU_LIST.YOSAN_CD = '123456'
 AND V_UKEIRE_KENSHU_LIST.KOBAIHIN_CD = '111'
 AND V_UKEIRE_KENSHU_LIST.SHIIRE_CD = '222'
 AND V_UKEIRE_KENSHU_LIST.MAKER_CD = '333'
 AND V_UKEIRE_KENSHU_LIST.MIKENSHU_FLG = 'True'
 AND 
( V_UKEIRE_KENSHU_LIST.FREEWD LIKE '%A%'
 AND V_UKEIRE_KENSHU_LIST.FREEWD LIKE '%B%'
 AND V_UKEIRE_KENSHU_LIST.FREEWD LIKE '%C%'
 )
</v>
      </c>
      <c r="G13" s="138"/>
      <c r="H13" s="139"/>
    </row>
    <row r="14" spans="2:8" ht="15" customHeight="1">
      <c r="B14" s="136"/>
      <c r="C14" s="140"/>
      <c r="D14" s="493" t="s">
        <v>41</v>
      </c>
      <c r="E14" s="494"/>
      <c r="F14" s="272" t="str">
        <f>" AND ( 1!=1 
"&amp; F15 &amp; F16 &amp; F17 &amp; F18 &amp; F19 &amp;")
"</f>
        <v xml:space="preserve"> AND ( 1!=1 
 OR V_UKEIRE_KENSHU_LIST.KOBAI_KBN = 1
 OR V_UKEIRE_KENSHU_LIST.KOBAI_KBN = 2
 OR V_UKEIRE_KENSHU_LIST.KOBAI_KBN = 3
 OR V_UKEIRE_KENSHU_LIST.KOBAI_KBN = 4
 OR V_UKEIRE_KENSHU_LIST.KOBAI_KBN = 5)
</v>
      </c>
      <c r="G14" s="138"/>
      <c r="H14" s="139"/>
    </row>
    <row r="15" spans="2:8" ht="15" customHeight="1">
      <c r="B15" s="136"/>
      <c r="C15" s="141"/>
      <c r="D15" s="495"/>
      <c r="E15" s="142" t="s">
        <v>69</v>
      </c>
      <c r="F15" s="315" t="str">
        <f>IF(G15,"
 OR V_UKEIRE_KENSHU_LIST.KOBAI_KBN = 1","")</f>
        <v xml:space="preserve">
 OR V_UKEIRE_KENSHU_LIST.KOBAI_KBN = 1</v>
      </c>
      <c r="G15" s="143" t="b">
        <f>UNKB0130_H_KOBAIHIN_KBN_S</f>
        <v>1</v>
      </c>
      <c r="H15" s="144"/>
    </row>
    <row r="16" spans="2:8" ht="15" customHeight="1">
      <c r="B16" s="136"/>
      <c r="C16" s="141"/>
      <c r="D16" s="496"/>
      <c r="E16" s="142" t="s">
        <v>20</v>
      </c>
      <c r="F16" s="315" t="str">
        <f>IF(G16,"
 OR V_UKEIRE_KENSHU_LIST.KOBAI_KBN = 2","")</f>
        <v xml:space="preserve">
 OR V_UKEIRE_KENSHU_LIST.KOBAI_KBN = 2</v>
      </c>
      <c r="G16" s="143" t="b">
        <f>UNKB0130_H_GAICHU_KBN_S</f>
        <v>1</v>
      </c>
      <c r="H16" s="144"/>
    </row>
    <row r="17" spans="2:8" ht="15" customHeight="1">
      <c r="B17" s="136"/>
      <c r="C17" s="141"/>
      <c r="D17" s="496"/>
      <c r="E17" s="142" t="s">
        <v>699</v>
      </c>
      <c r="F17" s="315" t="str">
        <f>IF(G17,"
 OR V_UKEIRE_KENSHU_LIST.KOBAI_KBN = 3","")</f>
        <v xml:space="preserve">
 OR V_UKEIRE_KENSHU_LIST.KOBAI_KBN = 3</v>
      </c>
      <c r="G17" s="143" t="b">
        <f>UNKB0130_H_SHUZEN_KBN_S</f>
        <v>1</v>
      </c>
      <c r="H17" s="144"/>
    </row>
    <row r="18" spans="2:8" ht="15" customHeight="1">
      <c r="B18" s="136"/>
      <c r="C18" s="141"/>
      <c r="D18" s="496"/>
      <c r="E18" s="142" t="s">
        <v>22</v>
      </c>
      <c r="F18" s="315" t="str">
        <f>IF(G18,"
 OR V_UKEIRE_KENSHU_LIST.KOBAI_KBN = 4","")</f>
        <v xml:space="preserve">
 OR V_UKEIRE_KENSHU_LIST.KOBAI_KBN = 4</v>
      </c>
      <c r="G18" s="143" t="b">
        <f>UNKB0130_H_TOSHI_KBN_S</f>
        <v>1</v>
      </c>
      <c r="H18" s="144"/>
    </row>
    <row r="19" spans="2:8" ht="15" customHeight="1">
      <c r="B19" s="136"/>
      <c r="C19" s="141"/>
      <c r="D19" s="496"/>
      <c r="E19" s="142" t="s">
        <v>23</v>
      </c>
      <c r="F19" s="315" t="str">
        <f>IF(G19,"
 OR V_UKEIRE_KENSHU_LIST.KOBAI_KBN = 5","")</f>
        <v xml:space="preserve">
 OR V_UKEIRE_KENSHU_LIST.KOBAI_KBN = 5</v>
      </c>
      <c r="G19" s="143" t="b">
        <f>UNKB0130_H_HANBAI_KBN_S</f>
        <v>1</v>
      </c>
      <c r="H19" s="144"/>
    </row>
    <row r="20" spans="2:8" ht="15" customHeight="1">
      <c r="B20" s="136"/>
      <c r="C20" s="141"/>
      <c r="D20" s="492" t="s">
        <v>731</v>
      </c>
      <c r="E20" s="492"/>
      <c r="F20" s="316" t="str">
        <f>IF(G20," AND V_UKEIRE_KENSHU_LIST.SHINSEI_DATE &gt;= '"&amp;TEXT(UNKB0130_H_SHINSEI_DATE_START_S,"YYYY/MM/DD")&amp;"'
","")</f>
        <v xml:space="preserve"> AND V_UKEIRE_KENSHU_LIST.SHINSEI_DATE &gt;= '2016/01/01'
</v>
      </c>
      <c r="G20" s="138" t="b">
        <f>NOT(ISBLANK(UNKB0130_H_SHINSEI_DATE_START_S))</f>
        <v>1</v>
      </c>
      <c r="H20" s="139"/>
    </row>
    <row r="21" spans="2:8" ht="15" customHeight="1">
      <c r="B21" s="136"/>
      <c r="C21" s="141"/>
      <c r="D21" s="492" t="s">
        <v>733</v>
      </c>
      <c r="E21" s="492"/>
      <c r="F21" s="316" t="str">
        <f>IF(G21," AND V_UKEIRE_KENSHU_LIST.SHINSEI_DATE &lt;=  '"&amp;TEXT(UNKB0130_H_SHINSEI_DATE_END_S,"YYYY/MM/DD")&amp;"'
","")</f>
        <v xml:space="preserve"> AND V_UKEIRE_KENSHU_LIST.SHINSEI_DATE &lt;=  '2016/01/02'
</v>
      </c>
      <c r="G21" s="138" t="b">
        <f>NOT(ISBLANK(UNKB0130_H_SHINSEI_DATE_END_S))</f>
        <v>1</v>
      </c>
      <c r="H21" s="139"/>
    </row>
    <row r="22" spans="2:8" ht="15" customHeight="1">
      <c r="B22" s="136"/>
      <c r="C22" s="141"/>
      <c r="D22" s="492" t="s">
        <v>735</v>
      </c>
      <c r="E22" s="492" t="s">
        <v>735</v>
      </c>
      <c r="F22" s="316" t="str">
        <f>IF(G22," AND V_UKEIRE_KENSHU_LIST.NOKI &gt;=  '"&amp;TEXT(UNKB0130_H_NOKI_START_S,"YYYY/MM/DD")&amp;"'
","")</f>
        <v xml:space="preserve"> AND V_UKEIRE_KENSHU_LIST.NOKI &gt;=  '2016/02/01'
</v>
      </c>
      <c r="G22" s="138" t="b">
        <f>NOT(ISBLANK(UNKB0130_H_NOKI_START_S))</f>
        <v>1</v>
      </c>
      <c r="H22" s="139"/>
    </row>
    <row r="23" spans="2:8" ht="15" customHeight="1">
      <c r="B23" s="136"/>
      <c r="C23" s="141"/>
      <c r="D23" s="492" t="s">
        <v>736</v>
      </c>
      <c r="E23" s="492" t="s">
        <v>736</v>
      </c>
      <c r="F23" s="316" t="str">
        <f>IF(G23," AND V_UKEIRE_KENSHU_LIST.NOKI &lt;=  '"&amp;TEXT(UNKB0130_H_NOKI_END_S,"YYYY/MM/DD")&amp;"'
","")</f>
        <v xml:space="preserve"> AND V_UKEIRE_KENSHU_LIST.NOKI &lt;=  '2016/02/02'
</v>
      </c>
      <c r="G23" s="138" t="b">
        <f>NOT(ISBLANK(UNKB0130_H_NOKI_END_S))</f>
        <v>1</v>
      </c>
      <c r="H23" s="139"/>
    </row>
    <row r="24" spans="2:8" ht="15" customHeight="1">
      <c r="B24" s="136"/>
      <c r="C24" s="141"/>
      <c r="D24" s="492" t="s">
        <v>737</v>
      </c>
      <c r="E24" s="492" t="s">
        <v>737</v>
      </c>
      <c r="F24" s="316" t="str">
        <f>IF(G24," AND V_UKEIRE_KENSHU_LIST.UKEIRE_DATE &gt;=  '"&amp;TEXT(UNKB0130_H_UKEIRE_DATE_START_S,"YYYY/MM/DD")&amp;"'
","")</f>
        <v xml:space="preserve"> AND V_UKEIRE_KENSHU_LIST.UKEIRE_DATE &gt;=  '2016/03/01'
</v>
      </c>
      <c r="G24" s="138" t="b">
        <f>NOT(ISBLANK(UNKB0130_H_UKEIRE_DATE_START_S))</f>
        <v>1</v>
      </c>
      <c r="H24" s="139"/>
    </row>
    <row r="25" spans="2:8" ht="15" customHeight="1">
      <c r="B25" s="136"/>
      <c r="C25" s="141"/>
      <c r="D25" s="492" t="s">
        <v>738</v>
      </c>
      <c r="E25" s="492" t="s">
        <v>738</v>
      </c>
      <c r="F25" s="316" t="str">
        <f>IF(G25," AND V_UKEIRE_KENSHU_LIST.UKEIRE_DATE &lt;=  '"&amp;TEXT(UNKB0130_H_UKEIRE_DATE_END_S,"YYYY/MM/DD")&amp;"'
","")</f>
        <v xml:space="preserve"> AND V_UKEIRE_KENSHU_LIST.UKEIRE_DATE &lt;=  '2016/03/02'
</v>
      </c>
      <c r="G25" s="138" t="b">
        <f>NOT(ISBLANK(UNKB0130_H_UKEIRE_DATE_END_S))</f>
        <v>1</v>
      </c>
      <c r="H25" s="139"/>
    </row>
    <row r="26" spans="2:8" ht="15" customHeight="1">
      <c r="B26" s="136"/>
      <c r="C26" s="141"/>
      <c r="D26" s="492" t="s">
        <v>739</v>
      </c>
      <c r="E26" s="492" t="s">
        <v>739</v>
      </c>
      <c r="F26" s="316" t="str">
        <f>IF(G26," AND V_UKEIRE_KENSHU_LIST.KENSHU_DATE &gt;=  '"&amp;TEXT(UNKB0130_H_KENSHU_DATE_START_S,"YYYY/MM/DD")&amp;"'
","")</f>
        <v xml:space="preserve"> AND V_UKEIRE_KENSHU_LIST.KENSHU_DATE &gt;=  '2016/04/01'
</v>
      </c>
      <c r="G26" s="138" t="b">
        <f>NOT(ISBLANK(UNKB0130_H_KENSHU_DATE_START_S))</f>
        <v>1</v>
      </c>
      <c r="H26" s="139"/>
    </row>
    <row r="27" spans="2:8" ht="15" customHeight="1">
      <c r="B27" s="136"/>
      <c r="C27" s="141"/>
      <c r="D27" s="492" t="s">
        <v>740</v>
      </c>
      <c r="E27" s="492" t="s">
        <v>740</v>
      </c>
      <c r="F27" s="316" t="str">
        <f>IF(G27," AND V_UKEIRE_KENSHU_LIST.KENSHU_DATE &lt;=  '"&amp;TEXT(UNKB0130_H_KENSHU_DATE_END_S,"YYYY/MM/DD")&amp;"'
","")</f>
        <v xml:space="preserve"> AND V_UKEIRE_KENSHU_LIST.KENSHU_DATE &lt;=  '2016/04/02'
</v>
      </c>
      <c r="G27" s="138" t="b">
        <f>NOT(ISBLANK(UNKB0130_H_KENSHU_DATE_END_S))</f>
        <v>1</v>
      </c>
      <c r="H27" s="139"/>
    </row>
    <row r="28" spans="2:8" s="230" customFormat="1" ht="15" customHeight="1">
      <c r="B28" s="136"/>
      <c r="C28" s="141"/>
      <c r="D28" s="492" t="s">
        <v>66</v>
      </c>
      <c r="E28" s="492"/>
      <c r="F28" s="316" t="str">
        <f>IF(G28," AND V_UKEIRE_KENSHU_LIST.IRAI_NO = " &amp; "'" &amp; UNKB0130_H_IRAI_NO_S &amp; "'
","")</f>
        <v xml:space="preserve"> AND V_UKEIRE_KENSHU_LIST.IRAI_NO = 'I16-123456'
</v>
      </c>
      <c r="G28" s="138" t="b">
        <f>NOT(ISBLANK(UNKB0130_H_IRAI_NO_S))</f>
        <v>1</v>
      </c>
      <c r="H28" s="139"/>
    </row>
    <row r="29" spans="2:8" ht="15" customHeight="1">
      <c r="B29" s="136"/>
      <c r="C29" s="141"/>
      <c r="D29" s="492" t="s">
        <v>741</v>
      </c>
      <c r="E29" s="492" t="s">
        <v>741</v>
      </c>
      <c r="F29" s="316" t="str">
        <f>IF(G29," AND V_UKEIRE_KENSHU_LIST.KOBAI_NO = " &amp; "'" &amp; UNKB0130_H_KOBAI_NO_S &amp; "'
","")</f>
        <v xml:space="preserve"> AND V_UKEIRE_KENSHU_LIST.KOBAI_NO = 'K16-123456'
</v>
      </c>
      <c r="G29" s="138" t="b">
        <f>NOT(ISBLANK(UNKB0130_H_KOBAI_NO_S))</f>
        <v>1</v>
      </c>
      <c r="H29" s="139"/>
    </row>
    <row r="30" spans="2:8" ht="15" customHeight="1">
      <c r="B30" s="136"/>
      <c r="C30" s="141"/>
      <c r="D30" s="492" t="s">
        <v>114</v>
      </c>
      <c r="E30" s="492" t="s">
        <v>114</v>
      </c>
      <c r="F30" s="316" t="str">
        <f>IF(G30," AND V_UKEIRE_KENSHU_LIST.SHINSEISHA_CD= " &amp; "'" &amp; UNKB0130_H_SHINSEISHA_CD_S &amp; "'
","")</f>
        <v xml:space="preserve"> AND V_UKEIRE_KENSHU_LIST.SHINSEISHA_CD= '2010'
</v>
      </c>
      <c r="G30" s="138" t="b">
        <f>NOT(ISBLANK(UNKB0130_H_SHINSEISHA_MEI_S))</f>
        <v>1</v>
      </c>
      <c r="H30" s="139"/>
    </row>
    <row r="31" spans="2:8" ht="15" customHeight="1">
      <c r="B31" s="136"/>
      <c r="C31" s="141"/>
      <c r="D31" s="492" t="s">
        <v>63</v>
      </c>
      <c r="E31" s="492" t="s">
        <v>63</v>
      </c>
      <c r="F31" s="316" t="str">
        <f>IF(G31," AND V_UKEIRE_KENSHU_LIST.JURI_NO = " &amp; "'" &amp; UNKB0130_H_JURI_NO_S &amp; "'
","")</f>
        <v xml:space="preserve"> AND V_UKEIRE_KENSHU_LIST.JURI_NO = 'J16-123456'
</v>
      </c>
      <c r="G31" s="138" t="b">
        <f>NOT(ISBLANK(UNKB0130_H_JURI_NO_S))</f>
        <v>1</v>
      </c>
      <c r="H31" s="139"/>
    </row>
    <row r="32" spans="2:8" s="230" customFormat="1" ht="15" customHeight="1">
      <c r="B32" s="136"/>
      <c r="C32" s="141"/>
      <c r="D32" s="492" t="s">
        <v>1633</v>
      </c>
      <c r="E32" s="492"/>
      <c r="F32" s="316" t="str">
        <f>IF(G32," AND V_UKEIRE_KENSHU_LIST.NYUSHUKKO_NO = " &amp; "'" &amp; UNKB0130_H_NYUSHUKKO_NO_S &amp; "'
","")</f>
        <v xml:space="preserve"> AND V_UKEIRE_KENSHU_LIST.NYUSHUKKO_NO = 'N16-123456'
</v>
      </c>
      <c r="G32" s="138" t="b">
        <f>NOT(ISBLANK(UNKB0130_H_NYUSHUKKO_NO_S))</f>
        <v>1</v>
      </c>
      <c r="H32" s="139"/>
    </row>
    <row r="33" spans="2:8" ht="15" customHeight="1">
      <c r="B33" s="136"/>
      <c r="C33" s="141"/>
      <c r="D33" s="492" t="s">
        <v>62</v>
      </c>
      <c r="E33" s="492" t="s">
        <v>62</v>
      </c>
      <c r="F33" s="316" t="str">
        <f>IF(G33," AND V_UKEIRE_KENSHU_LIST.YOSAN_CD = " &amp; "'" &amp; UNKB0130_H_YOSAN_CD_S &amp; "'
","")</f>
        <v xml:space="preserve"> AND V_UKEIRE_KENSHU_LIST.YOSAN_CD = '123456'
</v>
      </c>
      <c r="G33" s="138" t="b">
        <f>NOT(ISBLANK(UNKB0130_H_YOSAN_CD_S))</f>
        <v>1</v>
      </c>
      <c r="H33" s="139"/>
    </row>
    <row r="34" spans="2:8" ht="15" customHeight="1">
      <c r="B34" s="136"/>
      <c r="C34" s="141"/>
      <c r="D34" s="492" t="s">
        <v>747</v>
      </c>
      <c r="E34" s="492" t="s">
        <v>747</v>
      </c>
      <c r="F34" s="316" t="str">
        <f>IF(G34," AND V_UKEIRE_KENSHU_LIST.KOBAIHIN_CD = " &amp; "'" &amp; UNKB0130_H_KOBAIHIN_CD_S &amp; "'
","")</f>
        <v xml:space="preserve"> AND V_UKEIRE_KENSHU_LIST.KOBAIHIN_CD = '111'
</v>
      </c>
      <c r="G34" s="138" t="b">
        <f>NOT(ISBLANK(UNKB0130_H_KOBAIHIN_CD_S))</f>
        <v>1</v>
      </c>
      <c r="H34" s="139"/>
    </row>
    <row r="35" spans="2:8" ht="15" customHeight="1">
      <c r="B35" s="136"/>
      <c r="C35" s="141"/>
      <c r="D35" s="492" t="s">
        <v>58</v>
      </c>
      <c r="E35" s="492" t="s">
        <v>59</v>
      </c>
      <c r="F35" s="316" t="str">
        <f>IF(G35," AND V_UKEIRE_KENSHU_LIST.SHIIRE_CD = " &amp; "'" &amp; UNKB0130_H_SHIIRE_CD_S &amp; "'
","")</f>
        <v xml:space="preserve"> AND V_UKEIRE_KENSHU_LIST.SHIIRE_CD = '222'
</v>
      </c>
      <c r="G35" s="138" t="b">
        <f>NOT(ISBLANK(UNKB0130_H_SHIIRE_CD_S))</f>
        <v>1</v>
      </c>
      <c r="H35" s="139"/>
    </row>
    <row r="36" spans="2:8" ht="15" customHeight="1">
      <c r="B36" s="136"/>
      <c r="C36" s="141"/>
      <c r="D36" s="492" t="s">
        <v>75</v>
      </c>
      <c r="E36" s="492" t="s">
        <v>75</v>
      </c>
      <c r="F36" s="316" t="str">
        <f>IF(G36," AND V_UKEIRE_KENSHU_LIST.MAKER_CD = " &amp; "'" &amp; UNKB0130_H_MAKER_CD_S &amp; "'
","")</f>
        <v xml:space="preserve"> AND V_UKEIRE_KENSHU_LIST.MAKER_CD = '333'
</v>
      </c>
      <c r="G36" s="138" t="b">
        <f>NOT(ISBLANK(UNKB0130_H_MAKER_CD_S))</f>
        <v>1</v>
      </c>
      <c r="H36" s="139"/>
    </row>
    <row r="37" spans="2:8" s="230" customFormat="1" ht="15" customHeight="1">
      <c r="B37" s="136"/>
      <c r="C37" s="141"/>
      <c r="D37" s="492" t="s">
        <v>1703</v>
      </c>
      <c r="E37" s="492"/>
      <c r="F37" s="316" t="str">
        <f>IF(G37," AND V_UKEIRE_KENSHU_LIST.MIKENSHU_FLG = " &amp; "'True'
","")</f>
        <v xml:space="preserve"> AND V_UKEIRE_KENSHU_LIST.MIKENSHU_FLG = 'True'
</v>
      </c>
      <c r="G37" s="138" t="b">
        <f>UNKB0130_H_MIKENSHU_FLG_S</f>
        <v>1</v>
      </c>
      <c r="H37" s="139"/>
    </row>
    <row r="38" spans="2:8" ht="15" customHeight="1">
      <c r="B38" s="136"/>
      <c r="C38" s="141"/>
      <c r="D38" s="493" t="s">
        <v>785</v>
      </c>
      <c r="E38" s="494"/>
      <c r="F38" s="273" t="str">
        <f>IF(G38," AND 
"&amp; IF(UNKB0130_H_FREEWD_KBN_S=3,"NOT","") &amp;"("&amp; IF(G39,F39,"") &amp; IF(G40,F40,"") &amp;IF(G41,F41,"") &amp;" )
","")</f>
        <v xml:space="preserve"> AND 
( V_UKEIRE_KENSHU_LIST.FREEWD LIKE '%A%'
 AND V_UKEIRE_KENSHU_LIST.FREEWD LIKE '%B%'
 AND V_UKEIRE_KENSHU_LIST.FREEWD LIKE '%C%'
 )
</v>
      </c>
      <c r="G38" s="138" t="b">
        <f>OR(G39,G40,G41)</f>
        <v>1</v>
      </c>
      <c r="H38" s="139"/>
    </row>
    <row r="39" spans="2:8" ht="15" customHeight="1">
      <c r="B39" s="136"/>
      <c r="C39" s="141"/>
      <c r="D39" s="495"/>
      <c r="E39" s="142" t="s">
        <v>784</v>
      </c>
      <c r="F39" s="317" t="str">
        <f>IF(G39," V_UKEIRE_KENSHU_LIST.FREEWD LIKE '%"&amp; UNKB0130_H_FREEWD_1_S &amp; "%'
","")</f>
        <v xml:space="preserve"> V_UKEIRE_KENSHU_LIST.FREEWD LIKE '%A%'
</v>
      </c>
      <c r="G39" s="143" t="b">
        <f>NOT(ISBLANK(UNKB0130_H_FREEWD_1_S))</f>
        <v>1</v>
      </c>
      <c r="H39" s="144"/>
    </row>
    <row r="40" spans="2:8" ht="15" customHeight="1">
      <c r="B40" s="136"/>
      <c r="C40" s="141"/>
      <c r="D40" s="496"/>
      <c r="E40" s="142" t="s">
        <v>778</v>
      </c>
      <c r="F40" s="317" t="str">
        <f>IF(G40," "&amp;IF(G39, F42, "") &amp;" V_UKEIRE_KENSHU_LIST.FREEWD LIKE '%"&amp; UNKB0130_H_FREEWD_2_S &amp; "%'
","")</f>
        <v xml:space="preserve"> AND V_UKEIRE_KENSHU_LIST.FREEWD LIKE '%B%'
</v>
      </c>
      <c r="G40" s="143" t="b">
        <f>NOT(ISBLANK(UNKB0130_H_FREEWD_2_S))</f>
        <v>1</v>
      </c>
      <c r="H40" s="144"/>
    </row>
    <row r="41" spans="2:8" ht="15" customHeight="1">
      <c r="B41" s="136"/>
      <c r="C41" s="141"/>
      <c r="D41" s="496"/>
      <c r="E41" s="142" t="s">
        <v>689</v>
      </c>
      <c r="F41" s="317" t="str">
        <f>IF(G41," "&amp;IF(OR(G39,G40),F42,"") &amp; " V_UKEIRE_KENSHU_LIST.FREEWD LIKE '%"&amp; UNKB0130_H_FREEWD_3_S &amp; "%'
","")</f>
        <v xml:space="preserve"> AND V_UKEIRE_KENSHU_LIST.FREEWD LIKE '%C%'
</v>
      </c>
      <c r="G41" s="143" t="b">
        <f>NOT(ISBLANK(UNKB0130_H_FREEWD_3_S))</f>
        <v>1</v>
      </c>
      <c r="H41" s="144"/>
    </row>
    <row r="42" spans="2:8" ht="15" customHeight="1">
      <c r="B42" s="136"/>
      <c r="C42" s="141"/>
      <c r="D42" s="496"/>
      <c r="E42" s="142" t="s">
        <v>695</v>
      </c>
      <c r="F42" s="317" t="str">
        <f>IF(UNKB0130_H_FREEWD_KBN_S=1, "AND",IF(UNKB0130_H_FREEWD_KBN_S=2,"OR","AND"))</f>
        <v>AND</v>
      </c>
      <c r="G42" s="143"/>
      <c r="H42" s="144"/>
    </row>
    <row r="43" spans="2:8" ht="15" customHeight="1">
      <c r="B43" s="136"/>
      <c r="C43" s="503" t="s">
        <v>797</v>
      </c>
      <c r="D43" s="503"/>
      <c r="E43" s="503"/>
      <c r="F43" s="272" t="s">
        <v>1727</v>
      </c>
      <c r="G43" s="138"/>
      <c r="H43" s="146" t="s">
        <v>1700</v>
      </c>
    </row>
    <row r="44" spans="2:8" ht="15" customHeight="1">
      <c r="B44" s="184"/>
      <c r="C44" s="492" t="s">
        <v>798</v>
      </c>
      <c r="D44" s="492"/>
      <c r="E44" s="492"/>
      <c r="F44" s="272" t="str">
        <f xml:space="preserve"> " OFFSET "&amp;(UNKB0130_B_PAGE_NO-1)&amp;"*"&amp;UNKB0130_B_HYOJI_GYO_SU&amp;" ROWS
 FETCH NEXT "&amp;UNKB0130_B_HYOJI_GYO_SU&amp;" ROWS ONLY"</f>
        <v xml:space="preserve"> OFFSET 0*50 ROWS
 FETCH NEXT 50 ROWS ONLY</v>
      </c>
      <c r="G44" s="138"/>
      <c r="H44" s="139"/>
    </row>
    <row r="45" spans="2:8" ht="15" customHeight="1">
      <c r="B45" s="230"/>
      <c r="C45" s="230"/>
      <c r="D45" s="230"/>
      <c r="E45" s="230"/>
      <c r="F45" s="230"/>
      <c r="G45" s="230"/>
      <c r="H45" s="230"/>
    </row>
    <row r="46" spans="2:8" ht="15" customHeight="1">
      <c r="B46" s="230"/>
      <c r="C46" s="230"/>
      <c r="D46" s="230"/>
      <c r="E46" s="230"/>
      <c r="F46" s="230"/>
      <c r="G46" s="230"/>
      <c r="H46" s="230"/>
    </row>
    <row r="47" spans="2:8" ht="15" customHeight="1">
      <c r="B47" s="500" t="s">
        <v>866</v>
      </c>
      <c r="C47" s="501"/>
      <c r="D47" s="501"/>
      <c r="E47" s="502"/>
      <c r="F47" s="134"/>
      <c r="G47" s="134"/>
      <c r="H47" s="135"/>
    </row>
    <row r="48" spans="2:8" ht="15" customHeight="1">
      <c r="B48" s="185"/>
      <c r="C48" s="497" t="s">
        <v>797</v>
      </c>
      <c r="D48" s="498"/>
      <c r="E48" s="499"/>
      <c r="F48" s="272" t="s">
        <v>1771</v>
      </c>
      <c r="G48" s="138"/>
      <c r="H48" s="139" t="s">
        <v>1732</v>
      </c>
    </row>
    <row r="49" spans="2:8" ht="15" customHeight="1">
      <c r="B49" s="230"/>
      <c r="C49" s="230"/>
      <c r="D49" s="230"/>
      <c r="E49" s="230"/>
      <c r="F49" s="230"/>
      <c r="G49" s="230"/>
      <c r="H49" s="230"/>
    </row>
    <row r="50" spans="2:8" ht="15" customHeight="1">
      <c r="B50" s="230"/>
      <c r="C50" s="230"/>
      <c r="D50" s="230"/>
      <c r="E50" s="230"/>
      <c r="F50" s="230"/>
      <c r="G50" s="230"/>
      <c r="H50" s="230"/>
    </row>
    <row r="51" spans="2:8" ht="15" customHeight="1">
      <c r="B51" s="500" t="s">
        <v>583</v>
      </c>
      <c r="C51" s="501"/>
      <c r="D51" s="501"/>
      <c r="E51" s="502"/>
      <c r="F51" s="206"/>
      <c r="G51" s="206"/>
      <c r="H51" s="135" t="s">
        <v>123</v>
      </c>
    </row>
    <row r="52" spans="2:8" ht="15" customHeight="1">
      <c r="B52" s="207"/>
      <c r="C52" s="497" t="s">
        <v>797</v>
      </c>
      <c r="D52" s="498"/>
      <c r="E52" s="499"/>
      <c r="F52" s="186" t="s">
        <v>1772</v>
      </c>
      <c r="G52" s="208"/>
      <c r="H52" s="139" t="s">
        <v>1701</v>
      </c>
    </row>
  </sheetData>
  <mergeCells count="40">
    <mergeCell ref="B2:E2"/>
    <mergeCell ref="C4:E4"/>
    <mergeCell ref="D20:E20"/>
    <mergeCell ref="C13:E13"/>
    <mergeCell ref="D14:E14"/>
    <mergeCell ref="D15:D19"/>
    <mergeCell ref="C7:E7"/>
    <mergeCell ref="C10:E10"/>
    <mergeCell ref="B12:E12"/>
    <mergeCell ref="C11:E11"/>
    <mergeCell ref="D27:E27"/>
    <mergeCell ref="D29:E29"/>
    <mergeCell ref="D30:E30"/>
    <mergeCell ref="D31:E31"/>
    <mergeCell ref="D33:E33"/>
    <mergeCell ref="D26:E26"/>
    <mergeCell ref="B3:E3"/>
    <mergeCell ref="C5:E5"/>
    <mergeCell ref="B6:E6"/>
    <mergeCell ref="C8:E8"/>
    <mergeCell ref="B9:E9"/>
    <mergeCell ref="D21:E21"/>
    <mergeCell ref="D22:E22"/>
    <mergeCell ref="D23:E23"/>
    <mergeCell ref="D24:E24"/>
    <mergeCell ref="D25:E25"/>
    <mergeCell ref="C48:E48"/>
    <mergeCell ref="B51:E51"/>
    <mergeCell ref="C52:E52"/>
    <mergeCell ref="D28:E28"/>
    <mergeCell ref="D32:E32"/>
    <mergeCell ref="D37:E37"/>
    <mergeCell ref="D38:E38"/>
    <mergeCell ref="D39:D42"/>
    <mergeCell ref="C44:E44"/>
    <mergeCell ref="B47:E47"/>
    <mergeCell ref="D35:E35"/>
    <mergeCell ref="D36:E36"/>
    <mergeCell ref="C43:E43"/>
    <mergeCell ref="D34:E34"/>
  </mergeCells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>
    <tabColor rgb="FFFFC000"/>
  </sheetPr>
  <dimension ref="A1:H9"/>
  <sheetViews>
    <sheetView showGridLines="0" showRowColHeaders="0" topLeftCell="F1" zoomScaleNormal="100" workbookViewId="0">
      <selection activeCell="H3" sqref="H3"/>
    </sheetView>
  </sheetViews>
  <sheetFormatPr defaultRowHeight="16.5"/>
  <cols>
    <col min="1" max="1" width="9" style="30" hidden="1" customWidth="1"/>
    <col min="2" max="2" width="23.875" style="30" hidden="1" customWidth="1"/>
    <col min="3" max="3" width="27.25" style="30" hidden="1" customWidth="1"/>
    <col min="4" max="4" width="15.625" style="30" hidden="1" customWidth="1"/>
    <col min="5" max="5" width="9" style="30" hidden="1" customWidth="1"/>
    <col min="6" max="6" width="3.375" style="218" customWidth="1"/>
    <col min="7" max="7" width="11.75" style="218" customWidth="1"/>
    <col min="8" max="8" width="13.625" style="218" customWidth="1"/>
    <col min="9" max="9" width="3.375" style="218" customWidth="1"/>
    <col min="10" max="10" width="9.25" style="218" customWidth="1"/>
    <col min="11" max="11" width="11" style="218" customWidth="1"/>
    <col min="12" max="12" width="10.625" style="218" customWidth="1"/>
    <col min="13" max="15" width="10.375" style="218" customWidth="1"/>
    <col min="16" max="16" width="3.375" style="218" customWidth="1"/>
    <col min="17" max="16384" width="9" style="218"/>
  </cols>
  <sheetData>
    <row r="1" spans="1:8" s="12" customFormat="1" ht="19.5">
      <c r="A1" s="288"/>
      <c r="B1" s="289"/>
      <c r="C1" s="288"/>
      <c r="D1" s="288"/>
      <c r="E1" s="288"/>
      <c r="F1" s="12" t="s">
        <v>664</v>
      </c>
    </row>
    <row r="2" spans="1:8">
      <c r="B2" s="30" t="s">
        <v>1502</v>
      </c>
    </row>
    <row r="3" spans="1:8">
      <c r="B3" s="290" t="s">
        <v>1503</v>
      </c>
      <c r="C3" s="245" t="s">
        <v>1504</v>
      </c>
      <c r="D3" s="290" t="s">
        <v>1505</v>
      </c>
      <c r="G3" s="31" t="s">
        <v>666</v>
      </c>
      <c r="H3" s="291"/>
    </row>
    <row r="5" spans="1:8">
      <c r="B5" s="290" t="s">
        <v>1506</v>
      </c>
      <c r="C5" s="245" t="s">
        <v>1507</v>
      </c>
      <c r="D5" s="290"/>
    </row>
    <row r="7" spans="1:8">
      <c r="B7" s="244" t="s">
        <v>271</v>
      </c>
      <c r="C7" s="244" t="s">
        <v>694</v>
      </c>
      <c r="D7" s="244" t="s">
        <v>693</v>
      </c>
    </row>
    <row r="8" spans="1:8">
      <c r="B8" s="245" t="s">
        <v>690</v>
      </c>
      <c r="C8" s="245" t="s">
        <v>1508</v>
      </c>
      <c r="D8" s="245"/>
    </row>
    <row r="9" spans="1:8">
      <c r="B9" s="245" t="s">
        <v>691</v>
      </c>
      <c r="C9" s="245" t="s">
        <v>1509</v>
      </c>
      <c r="D9" s="245" t="str">
        <f>ADDRESS(ROW(A1),COLUMN(A1))&amp;":"&amp;ADDRESS(ROW(E1),COLUMN(E1))</f>
        <v>$A$1:$E$1</v>
      </c>
    </row>
  </sheetData>
  <sheetProtection sheet="1" objects="1" scenarios="1" selectLockedCells="1"/>
  <phoneticPr fontId="1"/>
  <conditionalFormatting sqref="F1:XFD1">
    <cfRule type="expression" dxfId="42" priority="1">
      <formula>UNKB0140_IF_MODE=2</formula>
    </cfRule>
  </conditionalFormatting>
  <dataValidations count="1">
    <dataValidation type="custom" allowBlank="1" showInputMessage="1" showErrorMessage="1" sqref="H3">
      <formula1>AND(LEN(UNKB0140_H_IRAI_NO)=LENB(UNKB0140_H_IRAI_NO),LEN(UNKB0140_H_IRAI_NO)=10)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rgb="FFFFC000"/>
  </sheetPr>
  <dimension ref="A1:P26"/>
  <sheetViews>
    <sheetView showGridLines="0" showRowColHeaders="0" topLeftCell="F6" zoomScaleNormal="100" workbookViewId="0">
      <selection activeCell="H9" sqref="H9"/>
    </sheetView>
  </sheetViews>
  <sheetFormatPr defaultRowHeight="16.5"/>
  <cols>
    <col min="1" max="1" width="9" style="30" hidden="1" customWidth="1"/>
    <col min="2" max="2" width="11.375" style="30" hidden="1" customWidth="1"/>
    <col min="3" max="3" width="32.75" style="30" hidden="1" customWidth="1"/>
    <col min="4" max="4" width="12.625" style="30" hidden="1" customWidth="1"/>
    <col min="5" max="5" width="9" style="30" hidden="1" customWidth="1"/>
    <col min="6" max="6" width="3.375" style="218" customWidth="1"/>
    <col min="7" max="7" width="11.75" style="218" customWidth="1"/>
    <col min="8" max="8" width="12.875" style="218" customWidth="1"/>
    <col min="9" max="10" width="11.75" style="218" customWidth="1"/>
    <col min="11" max="11" width="12.5" style="218" bestFit="1" customWidth="1"/>
    <col min="12" max="12" width="3.125" style="218" customWidth="1"/>
    <col min="13" max="13" width="9.625" style="218" bestFit="1" customWidth="1"/>
    <col min="14" max="14" width="11.75" style="218" customWidth="1"/>
    <col min="15" max="15" width="3.375" style="218" customWidth="1"/>
    <col min="16" max="16" width="9.25" style="218" customWidth="1"/>
    <col min="17" max="17" width="11" style="218" customWidth="1"/>
    <col min="18" max="18" width="10.625" style="218" customWidth="1"/>
    <col min="19" max="21" width="10.375" style="218" customWidth="1"/>
    <col min="22" max="22" width="3.375" style="218" customWidth="1"/>
    <col min="23" max="16384" width="9" style="218"/>
  </cols>
  <sheetData>
    <row r="1" spans="1:16" ht="6" hidden="1" customHeight="1"/>
    <row r="2" spans="1:16" ht="6" hidden="1" customHeight="1"/>
    <row r="3" spans="1:16" ht="6" hidden="1" customHeight="1"/>
    <row r="4" spans="1:16" ht="6" hidden="1" customHeight="1"/>
    <row r="5" spans="1:16" ht="6" hidden="1" customHeight="1"/>
    <row r="6" spans="1:16">
      <c r="B6" s="244" t="s">
        <v>271</v>
      </c>
      <c r="C6" s="244" t="s">
        <v>1510</v>
      </c>
      <c r="D6" s="244" t="s">
        <v>693</v>
      </c>
    </row>
    <row r="7" spans="1:16">
      <c r="B7" s="245" t="s">
        <v>690</v>
      </c>
      <c r="C7" s="245" t="s">
        <v>1511</v>
      </c>
      <c r="D7" s="245" t="str">
        <f>ROW(A1)&amp;":"&amp;ROW(A5)</f>
        <v>1:5</v>
      </c>
      <c r="G7" s="166" t="s">
        <v>1512</v>
      </c>
      <c r="H7" s="27"/>
      <c r="J7" s="166" t="s">
        <v>1513</v>
      </c>
      <c r="K7" s="27"/>
    </row>
    <row r="8" spans="1:16">
      <c r="B8" s="245" t="s">
        <v>691</v>
      </c>
      <c r="C8" s="245" t="s">
        <v>1514</v>
      </c>
      <c r="D8" s="245" t="str">
        <f>ADDRESS(ROW(A1),COLUMN(A1))&amp;":"&amp;ADDRESS(ROW(E1),COLUMN(E1))</f>
        <v>$A$1:$E$1</v>
      </c>
    </row>
    <row r="9" spans="1:16">
      <c r="G9" s="31" t="s">
        <v>1515</v>
      </c>
      <c r="H9" s="284"/>
      <c r="J9" s="31" t="s">
        <v>35</v>
      </c>
      <c r="K9" s="292"/>
    </row>
    <row r="10" spans="1:16" ht="17.25" thickBot="1">
      <c r="A10" s="30" t="s">
        <v>1516</v>
      </c>
      <c r="D10" s="293" t="s">
        <v>1517</v>
      </c>
      <c r="G10" s="331" t="s">
        <v>673</v>
      </c>
      <c r="H10" s="284"/>
      <c r="J10" s="166" t="s">
        <v>1903</v>
      </c>
      <c r="K10" s="475"/>
    </row>
    <row r="11" spans="1:16">
      <c r="B11" s="245" t="s">
        <v>1518</v>
      </c>
      <c r="C11" s="294" t="s">
        <v>1519</v>
      </c>
      <c r="D11" s="295"/>
      <c r="J11" s="166" t="s">
        <v>674</v>
      </c>
      <c r="K11" s="296"/>
    </row>
    <row r="12" spans="1:16">
      <c r="B12" s="245" t="s">
        <v>811</v>
      </c>
      <c r="C12" s="294" t="s">
        <v>1520</v>
      </c>
      <c r="D12" s="297"/>
    </row>
    <row r="13" spans="1:16">
      <c r="B13" s="245" t="s">
        <v>152</v>
      </c>
      <c r="C13" s="294" t="s">
        <v>1521</v>
      </c>
      <c r="D13" s="297"/>
      <c r="G13" s="130" t="s">
        <v>18</v>
      </c>
      <c r="H13" s="298"/>
      <c r="I13" s="131"/>
      <c r="L13" s="131"/>
      <c r="M13" s="130"/>
      <c r="P13" s="166"/>
    </row>
    <row r="14" spans="1:16">
      <c r="B14" s="245" t="s">
        <v>452</v>
      </c>
      <c r="C14" s="294" t="s">
        <v>1522</v>
      </c>
      <c r="D14" s="297"/>
      <c r="G14" s="166" t="s">
        <v>1523</v>
      </c>
      <c r="H14" s="128"/>
      <c r="J14" s="130" t="s">
        <v>675</v>
      </c>
      <c r="K14" s="296"/>
      <c r="L14" s="131"/>
      <c r="M14" s="130"/>
      <c r="N14" s="131"/>
      <c r="P14" s="166"/>
    </row>
    <row r="15" spans="1:16">
      <c r="B15" s="245" t="s">
        <v>1524</v>
      </c>
      <c r="C15" s="294" t="s">
        <v>1525</v>
      </c>
      <c r="D15" s="299"/>
      <c r="H15" s="131"/>
      <c r="I15" s="131"/>
      <c r="J15" s="131"/>
      <c r="K15" s="131"/>
      <c r="L15" s="131"/>
      <c r="M15" s="131"/>
      <c r="N15" s="131"/>
    </row>
    <row r="16" spans="1:16">
      <c r="B16" s="461" t="s">
        <v>89</v>
      </c>
      <c r="C16" s="462" t="s">
        <v>1526</v>
      </c>
      <c r="D16" s="463"/>
      <c r="G16" s="166" t="s">
        <v>676</v>
      </c>
      <c r="H16" s="300"/>
      <c r="I16" s="610"/>
      <c r="J16" s="611"/>
      <c r="K16" s="612"/>
      <c r="L16" s="131"/>
    </row>
    <row r="17" spans="2:14">
      <c r="B17" s="461" t="s">
        <v>115</v>
      </c>
      <c r="C17" s="294" t="s">
        <v>1850</v>
      </c>
      <c r="D17" s="463"/>
      <c r="G17" s="166" t="s">
        <v>677</v>
      </c>
      <c r="H17" s="120"/>
      <c r="J17" s="166" t="s">
        <v>678</v>
      </c>
      <c r="K17" s="120"/>
      <c r="M17" s="130" t="s">
        <v>679</v>
      </c>
      <c r="N17" s="120"/>
    </row>
    <row r="18" spans="2:14">
      <c r="B18" s="461" t="s">
        <v>1840</v>
      </c>
      <c r="C18" s="294" t="s">
        <v>1841</v>
      </c>
      <c r="D18" s="463"/>
      <c r="G18" s="331" t="s">
        <v>1789</v>
      </c>
      <c r="H18" s="341"/>
      <c r="J18" s="166" t="s">
        <v>683</v>
      </c>
      <c r="K18" s="215"/>
      <c r="M18" s="166" t="s">
        <v>682</v>
      </c>
      <c r="N18" s="120"/>
    </row>
    <row r="19" spans="2:14" ht="17.25" thickBot="1">
      <c r="B19" s="79" t="s">
        <v>1835</v>
      </c>
      <c r="C19" s="371" t="s">
        <v>1834</v>
      </c>
      <c r="D19" s="464"/>
      <c r="G19" s="31" t="s">
        <v>680</v>
      </c>
      <c r="H19" s="119"/>
      <c r="J19" s="130" t="s">
        <v>681</v>
      </c>
      <c r="K19" s="215"/>
      <c r="M19" s="331" t="s">
        <v>1836</v>
      </c>
      <c r="N19" s="341">
        <f>UNKB0140_B_SUMI_SURYO+UNKB0140_B_SURYO</f>
        <v>0</v>
      </c>
    </row>
    <row r="21" spans="2:14">
      <c r="G21" s="166" t="s">
        <v>684</v>
      </c>
      <c r="H21" s="300"/>
      <c r="I21" s="610"/>
      <c r="J21" s="611"/>
      <c r="K21" s="612"/>
      <c r="L21" s="131"/>
      <c r="M21" s="130"/>
      <c r="N21" s="131"/>
    </row>
    <row r="22" spans="2:14">
      <c r="G22" s="166" t="s">
        <v>1527</v>
      </c>
      <c r="H22" s="300"/>
      <c r="I22" s="610"/>
      <c r="J22" s="611"/>
      <c r="K22" s="612"/>
      <c r="L22" s="131"/>
      <c r="M22" s="130"/>
      <c r="N22" s="131"/>
    </row>
    <row r="23" spans="2:14">
      <c r="G23" s="130"/>
      <c r="H23" s="130"/>
      <c r="I23" s="130"/>
      <c r="J23" s="130"/>
      <c r="K23" s="130"/>
      <c r="L23" s="130"/>
      <c r="M23" s="130"/>
      <c r="N23" s="131"/>
    </row>
    <row r="24" spans="2:14">
      <c r="G24" s="166" t="s">
        <v>1528</v>
      </c>
      <c r="H24" s="132"/>
      <c r="J24" s="166" t="s">
        <v>1529</v>
      </c>
      <c r="K24" s="215"/>
      <c r="M24" s="130"/>
      <c r="N24" s="131"/>
    </row>
    <row r="25" spans="2:14">
      <c r="G25" s="166" t="s">
        <v>685</v>
      </c>
      <c r="H25" s="613"/>
      <c r="I25" s="614"/>
      <c r="J25" s="614"/>
      <c r="K25" s="615"/>
      <c r="L25" s="131"/>
      <c r="M25" s="130"/>
      <c r="N25" s="131"/>
    </row>
    <row r="26" spans="2:14">
      <c r="G26" s="166" t="s">
        <v>1530</v>
      </c>
      <c r="H26" s="215"/>
      <c r="J26" s="166" t="s">
        <v>1531</v>
      </c>
      <c r="K26" s="27"/>
      <c r="M26" s="130"/>
      <c r="N26" s="131"/>
    </row>
  </sheetData>
  <sheetProtection sheet="1" objects="1" scenarios="1" selectLockedCells="1"/>
  <mergeCells count="4">
    <mergeCell ref="I16:K16"/>
    <mergeCell ref="I21:K21"/>
    <mergeCell ref="I22:K22"/>
    <mergeCell ref="H25:K25"/>
  </mergeCells>
  <phoneticPr fontId="1"/>
  <conditionalFormatting sqref="H17">
    <cfRule type="expression" dxfId="41" priority="13">
      <formula>INDIRECT(ADDRESS(ROW(),COLUMN()))=TRUNC(INDIRECT(ADDRESS(ROW(),COLUMN())))</formula>
    </cfRule>
  </conditionalFormatting>
  <conditionalFormatting sqref="H19">
    <cfRule type="expression" dxfId="40" priority="10">
      <formula>INDIRECT(ADDRESS(ROW(),COLUMN()))=TRUNC(INDIRECT(ADDRESS(ROW(),COLUMN())))</formula>
    </cfRule>
  </conditionalFormatting>
  <conditionalFormatting sqref="K17">
    <cfRule type="expression" dxfId="39" priority="9">
      <formula>INDIRECT(ADDRESS(ROW(),COLUMN()))=TRUNC(INDIRECT(ADDRESS(ROW(),COLUMN())))</formula>
    </cfRule>
  </conditionalFormatting>
  <conditionalFormatting sqref="N17">
    <cfRule type="expression" dxfId="38" priority="8">
      <formula>INDIRECT(ADDRESS(ROW(),COLUMN()))=TRUNC(INDIRECT(ADDRESS(ROW(),COLUMN())))</formula>
    </cfRule>
  </conditionalFormatting>
  <conditionalFormatting sqref="N18">
    <cfRule type="expression" dxfId="37" priority="7">
      <formula>INDIRECT(ADDRESS(ROW(),COLUMN()))=TRUNC(INDIRECT(ADDRESS(ROW(),COLUMN())))</formula>
    </cfRule>
  </conditionalFormatting>
  <conditionalFormatting sqref="G10">
    <cfRule type="expression" dxfId="36" priority="6">
      <formula>UNKB0140_B_SHIYAKU_FLG=TRUE</formula>
    </cfRule>
  </conditionalFormatting>
  <conditionalFormatting sqref="H18">
    <cfRule type="expression" dxfId="35" priority="4">
      <formula>INDIRECT(ADDRESS(ROW(),COLUMN()))=TRUNC(INDIRECT(ADDRESS(ROW(),COLUMN())))</formula>
    </cfRule>
  </conditionalFormatting>
  <conditionalFormatting sqref="D19">
    <cfRule type="expression" dxfId="34" priority="3">
      <formula>INDIRECT(ADDRESS(ROW(),COLUMN()))=TRUNC(INDIRECT(ADDRESS(ROW(),COLUMN())))</formula>
    </cfRule>
  </conditionalFormatting>
  <conditionalFormatting sqref="N19">
    <cfRule type="expression" dxfId="33" priority="1">
      <formula>INDIRECT(ADDRESS(ROW(),COLUMN()))=TRUNC(INDIRECT(ADDRESS(ROW(),COLUMN())))</formula>
    </cfRule>
    <cfRule type="expression" dxfId="32" priority="2">
      <formula>N19&gt;UNKB0140_B_CHUMON_SU</formula>
    </cfRule>
  </conditionalFormatting>
  <dataValidations count="3">
    <dataValidation type="custom" allowBlank="1" showInputMessage="1" showErrorMessage="1" sqref="K17 N17:N19 D19 H17:H18">
      <formula1>AND(NOT(ISERROR(INT(D17))),ROUND(D17,2)=D17,AND(D17&lt;100000,D17&gt;-100000))</formula1>
    </dataValidation>
    <dataValidation type="custom" allowBlank="1" showInputMessage="1" showErrorMessage="1" sqref="H19">
      <formula1>AND(NOT(ISERROR(INT(H19))),ROUND(H19,2)=H19,AND(H19&lt;100000,H19&gt;0))</formula1>
    </dataValidation>
    <dataValidation type="date" allowBlank="1" showInputMessage="1" showErrorMessage="1" sqref="K10">
      <formula1>36526</formula1>
      <formula2>73415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BF87"/>
  <sheetViews>
    <sheetView zoomScale="85" zoomScaleNormal="85" workbookViewId="0">
      <selection activeCell="A2" sqref="A2"/>
    </sheetView>
  </sheetViews>
  <sheetFormatPr defaultRowHeight="16.5" customHeight="1"/>
  <cols>
    <col min="1" max="1" width="9" style="230"/>
    <col min="2" max="2" width="22.375" style="230" bestFit="1" customWidth="1"/>
    <col min="3" max="3" width="31.625" style="230" bestFit="1" customWidth="1"/>
    <col min="4" max="4" width="9.375" style="230" customWidth="1"/>
    <col min="5" max="8" width="9" style="230"/>
    <col min="9" max="9" width="7.375" style="230" customWidth="1"/>
    <col min="10" max="10" width="29.625" style="230" bestFit="1" customWidth="1"/>
    <col min="11" max="12" width="10.5" style="230" customWidth="1"/>
    <col min="13" max="13" width="4.875" style="230" customWidth="1"/>
    <col min="14" max="14" width="28" style="230" bestFit="1" customWidth="1"/>
    <col min="15" max="22" width="4.125" style="230" customWidth="1"/>
    <col min="23" max="23" width="9" style="230"/>
    <col min="24" max="24" width="21.75" style="230" bestFit="1" customWidth="1"/>
    <col min="25" max="25" width="34.125" style="230" bestFit="1" customWidth="1"/>
    <col min="26" max="26" width="21" style="230" customWidth="1"/>
    <col min="27" max="32" width="9" style="230"/>
    <col min="33" max="33" width="9" style="230" customWidth="1"/>
    <col min="34" max="34" width="9" style="230"/>
    <col min="35" max="35" width="18.375" style="230" bestFit="1" customWidth="1"/>
    <col min="36" max="39" width="9" style="230"/>
    <col min="40" max="40" width="19.875" style="230" bestFit="1" customWidth="1"/>
    <col min="41" max="44" width="9" style="230"/>
    <col min="45" max="46" width="11.625" style="230" bestFit="1" customWidth="1"/>
    <col min="47" max="16384" width="9" style="230"/>
  </cols>
  <sheetData>
    <row r="1" spans="1:58" ht="16.5" customHeight="1">
      <c r="A1" s="57" t="s">
        <v>126</v>
      </c>
      <c r="I1" s="68" t="s">
        <v>231</v>
      </c>
      <c r="W1" s="57" t="s">
        <v>260</v>
      </c>
      <c r="X1" s="231"/>
      <c r="Y1" s="231"/>
      <c r="Z1" s="231"/>
      <c r="AA1" s="231"/>
      <c r="AB1" s="231"/>
      <c r="AC1" s="231"/>
      <c r="AD1" s="231"/>
      <c r="AE1" s="231"/>
      <c r="AF1" s="231"/>
      <c r="AG1" s="231"/>
    </row>
    <row r="2" spans="1:58" ht="16.5" customHeight="1">
      <c r="A2" s="57"/>
      <c r="B2" s="231"/>
      <c r="C2" s="231"/>
      <c r="D2" s="231"/>
      <c r="E2" s="231"/>
      <c r="F2" s="231"/>
      <c r="J2" s="57" t="s">
        <v>1532</v>
      </c>
      <c r="N2" s="211" t="s">
        <v>1533</v>
      </c>
      <c r="W2" s="231"/>
      <c r="X2" s="231"/>
      <c r="Y2" s="231"/>
      <c r="Z2" s="231"/>
      <c r="AA2" s="231"/>
      <c r="AB2" s="231"/>
      <c r="AC2" s="231"/>
      <c r="AD2" s="231"/>
      <c r="AE2" s="231"/>
      <c r="AF2" s="231"/>
      <c r="AH2" s="230" t="s">
        <v>378</v>
      </c>
    </row>
    <row r="3" spans="1:58" ht="16.5" customHeight="1">
      <c r="A3" s="231"/>
      <c r="B3" s="231" t="s">
        <v>127</v>
      </c>
      <c r="C3" s="231" t="s">
        <v>1534</v>
      </c>
      <c r="D3" s="155"/>
      <c r="E3" s="231" t="s">
        <v>128</v>
      </c>
      <c r="F3" s="231" t="s">
        <v>129</v>
      </c>
      <c r="W3" s="231"/>
      <c r="X3" s="57" t="s">
        <v>261</v>
      </c>
      <c r="Y3" s="231"/>
      <c r="Z3" s="231"/>
      <c r="AA3" s="231"/>
      <c r="AB3" s="231"/>
      <c r="AC3" s="30" t="s">
        <v>262</v>
      </c>
      <c r="AD3" s="30"/>
      <c r="AE3" s="231"/>
      <c r="AF3" s="231"/>
      <c r="AH3" s="84" t="s">
        <v>320</v>
      </c>
      <c r="AI3" s="84" t="s">
        <v>321</v>
      </c>
      <c r="AJ3" s="84" t="s">
        <v>322</v>
      </c>
      <c r="AK3" s="84" t="s">
        <v>323</v>
      </c>
      <c r="AL3" s="84" t="s">
        <v>1535</v>
      </c>
      <c r="AM3" s="84" t="s">
        <v>1536</v>
      </c>
      <c r="AN3" s="84" t="s">
        <v>1537</v>
      </c>
      <c r="AO3" s="84" t="s">
        <v>1538</v>
      </c>
      <c r="AP3" s="84" t="s">
        <v>331</v>
      </c>
      <c r="AQ3" s="84" t="s">
        <v>1539</v>
      </c>
      <c r="AR3" s="84" t="s">
        <v>1540</v>
      </c>
      <c r="AS3" s="84" t="s">
        <v>1541</v>
      </c>
      <c r="AT3" s="84" t="s">
        <v>1542</v>
      </c>
      <c r="AU3" s="84" t="s">
        <v>1543</v>
      </c>
      <c r="AV3" s="84" t="s">
        <v>328</v>
      </c>
      <c r="AW3" s="84" t="s">
        <v>329</v>
      </c>
      <c r="AX3" s="84" t="s">
        <v>1544</v>
      </c>
      <c r="AY3" s="84" t="s">
        <v>1545</v>
      </c>
      <c r="AZ3" s="84" t="s">
        <v>1546</v>
      </c>
      <c r="BA3" s="84" t="s">
        <v>1547</v>
      </c>
      <c r="BB3" s="84" t="s">
        <v>334</v>
      </c>
      <c r="BC3" s="84" t="s">
        <v>335</v>
      </c>
      <c r="BD3" s="84" t="s">
        <v>336</v>
      </c>
      <c r="BE3" s="84" t="s">
        <v>337</v>
      </c>
      <c r="BF3" s="84" t="s">
        <v>338</v>
      </c>
    </row>
    <row r="4" spans="1:58" ht="16.5" customHeight="1">
      <c r="A4" s="231"/>
      <c r="B4" s="231" t="s">
        <v>1548</v>
      </c>
      <c r="C4" s="231" t="s">
        <v>1549</v>
      </c>
      <c r="D4" s="155"/>
      <c r="E4" s="231"/>
      <c r="F4" s="231"/>
      <c r="J4" s="230" t="s">
        <v>233</v>
      </c>
      <c r="N4" s="230" t="s">
        <v>233</v>
      </c>
      <c r="W4" s="231"/>
      <c r="X4" s="231" t="s">
        <v>1550</v>
      </c>
      <c r="Y4" s="301" t="s">
        <v>1551</v>
      </c>
      <c r="Z4" s="155"/>
      <c r="AA4" s="231"/>
      <c r="AB4" s="231"/>
      <c r="AC4" s="77" t="s">
        <v>264</v>
      </c>
      <c r="AD4" s="77"/>
      <c r="AE4" s="231"/>
      <c r="AF4" s="231"/>
      <c r="AH4" s="90" t="s">
        <v>339</v>
      </c>
      <c r="AI4" s="90" t="s">
        <v>340</v>
      </c>
      <c r="AJ4" s="90" t="s">
        <v>341</v>
      </c>
      <c r="AK4" s="90" t="s">
        <v>342</v>
      </c>
      <c r="AL4" s="90" t="s">
        <v>1552</v>
      </c>
      <c r="AM4" s="90" t="s">
        <v>1553</v>
      </c>
      <c r="AN4" s="90" t="s">
        <v>356</v>
      </c>
      <c r="AO4" s="85" t="s">
        <v>626</v>
      </c>
      <c r="AP4" s="90" t="s">
        <v>369</v>
      </c>
      <c r="AQ4" s="85" t="s">
        <v>1554</v>
      </c>
      <c r="AR4" s="85" t="s">
        <v>366</v>
      </c>
      <c r="AS4" s="85" t="s">
        <v>1555</v>
      </c>
      <c r="AT4" s="90" t="s">
        <v>1556</v>
      </c>
      <c r="AU4" s="85" t="s">
        <v>1557</v>
      </c>
      <c r="AV4" s="90" t="s">
        <v>367</v>
      </c>
      <c r="AW4" s="90" t="s">
        <v>75</v>
      </c>
      <c r="AX4" s="90" t="s">
        <v>358</v>
      </c>
      <c r="AY4" s="90" t="s">
        <v>359</v>
      </c>
      <c r="AZ4" s="90" t="s">
        <v>360</v>
      </c>
      <c r="BA4" s="90" t="s">
        <v>363</v>
      </c>
      <c r="BB4" s="90" t="s">
        <v>372</v>
      </c>
      <c r="BC4" s="90" t="s">
        <v>373</v>
      </c>
      <c r="BD4" s="90" t="s">
        <v>374</v>
      </c>
      <c r="BE4" s="90" t="s">
        <v>375</v>
      </c>
      <c r="BF4" s="90" t="s">
        <v>376</v>
      </c>
    </row>
    <row r="5" spans="1:58" ht="16.5" customHeight="1">
      <c r="J5" s="230" t="s">
        <v>1560</v>
      </c>
      <c r="K5" s="31" t="s">
        <v>666</v>
      </c>
      <c r="L5" s="302"/>
      <c r="N5" s="230" t="s">
        <v>1561</v>
      </c>
      <c r="O5" s="336"/>
      <c r="P5" s="330"/>
      <c r="Q5" s="331" t="s">
        <v>1513</v>
      </c>
      <c r="R5" s="336"/>
      <c r="S5" s="330"/>
      <c r="T5" s="330"/>
      <c r="U5" s="330"/>
      <c r="W5" s="231"/>
      <c r="X5" s="231" t="s">
        <v>265</v>
      </c>
      <c r="Y5" s="303" t="s">
        <v>1562</v>
      </c>
      <c r="Z5" s="466"/>
      <c r="AA5" s="231"/>
      <c r="AB5" s="231"/>
      <c r="AC5" s="79" t="s">
        <v>266</v>
      </c>
      <c r="AD5" s="79" t="s">
        <v>1563</v>
      </c>
      <c r="AE5" s="231"/>
      <c r="AF5" s="230" t="s">
        <v>1564</v>
      </c>
      <c r="AG5" s="230" t="s">
        <v>1565</v>
      </c>
      <c r="AH5" s="216">
        <f>UNKB0140_IF_W_USER_ID</f>
        <v>0</v>
      </c>
      <c r="AI5" s="467">
        <f>UNKB0140_IF_W_SERIAL</f>
        <v>0</v>
      </c>
      <c r="AJ5" s="216">
        <v>1</v>
      </c>
      <c r="AK5" s="216">
        <f>UNKB0140_IF_W_MODE</f>
        <v>1</v>
      </c>
      <c r="AL5" s="216" t="str">
        <f>IF(UNKB0140_B_NYUSHUKKO_NO="","",UNKB0140_B_NYUSHUKKO_NO)</f>
        <v/>
      </c>
      <c r="AM5" s="216" t="str">
        <f>IF(UNKB0140_B_ZAIKO_NO="","",UNKB0140_B_ZAIKO_NO)</f>
        <v/>
      </c>
      <c r="AN5" s="216" t="str">
        <f>IF(UNKB0140_B_KOBAIHIN_CD="","",UNKB0140_B_KOBAIHIN_CD)</f>
        <v/>
      </c>
      <c r="AO5" s="216" t="str">
        <f>IF(UNKB0140_H_IRAI_NO="","",UNKB0140_H_IRAI_NO)</f>
        <v/>
      </c>
      <c r="AP5" s="216" t="str">
        <f>IF(UNKB0140_B_JURI_NO="","",UNKB0140_B_JURI_NO)</f>
        <v/>
      </c>
      <c r="AQ5" s="216" t="str">
        <f>IF(UNKB0140_B_NYURYOKUSHA_MEI="","",UNKB0140_B_NYURYOKUSHA_CD)</f>
        <v/>
      </c>
      <c r="AR5" s="216" t="str">
        <f>IF(UNKB0140_B_HOKAN_BASHO="","",UNKB0140_B_HOKAN_BASHO_KBN)</f>
        <v/>
      </c>
      <c r="AS5" s="91" t="str">
        <f>IF(UNKB0140_B_UKEIRE_DATE="","",UNKB0140_B_UKEIRE_DATE)</f>
        <v/>
      </c>
      <c r="AT5" s="91" t="str">
        <f>IF(UNKB0140_B_KENSHU_DATE="","",UNKB0140_B_KENSHU_DATE)</f>
        <v/>
      </c>
      <c r="AU5" s="216" t="str">
        <f>IF(UNKB0140_B_SURYO="","",UNKB0140_B_SURYO)</f>
        <v/>
      </c>
      <c r="AV5" s="216" t="str">
        <f>IF(UNKB0140_B_SHIIRESAKI_CD="","",UNKB0140_B_SHIIRESAKI_CD)</f>
        <v/>
      </c>
      <c r="AW5" s="216" t="str">
        <f>IF(UNKB0140_B_MAKER_CD="","",UNKB0140_B_MAKER_CD)</f>
        <v/>
      </c>
      <c r="AX5" s="216" t="str">
        <f>IF(UNKB0140_B_TANKA="","",UNKB0140_B_TANKA)</f>
        <v/>
      </c>
      <c r="AY5" s="216" t="str">
        <f>IF(UNKB0140_B_IRISU="","",UNKB0140_B_IRISU)</f>
        <v/>
      </c>
      <c r="AZ5" s="216" t="str">
        <f>IF(UNKB0140_B_IRISU_TANI="","",UNKB0140_B_IRISU_TANI)</f>
        <v/>
      </c>
      <c r="BA5" s="216" t="str">
        <f>IF(UNKB0140_B_BARA_TANI="","",UNKB0140_B_BARA_TANI)</f>
        <v/>
      </c>
      <c r="BB5" s="216"/>
      <c r="BC5" s="216"/>
      <c r="BD5" s="216"/>
      <c r="BE5" s="216"/>
      <c r="BF5" s="216"/>
    </row>
    <row r="6" spans="1:58" ht="16.5" customHeight="1">
      <c r="O6" s="330"/>
      <c r="P6" s="330"/>
      <c r="Q6" s="330"/>
      <c r="R6" s="330"/>
      <c r="S6" s="330"/>
      <c r="T6" s="330"/>
      <c r="U6" s="330"/>
      <c r="W6" s="231"/>
      <c r="X6" s="231" t="s">
        <v>267</v>
      </c>
      <c r="Y6" s="303" t="s">
        <v>1566</v>
      </c>
      <c r="Z6" s="466">
        <v>0</v>
      </c>
      <c r="AA6" s="231"/>
      <c r="AB6" s="231"/>
      <c r="AC6" s="79" t="s">
        <v>268</v>
      </c>
      <c r="AD6" s="79" t="str">
        <f>ADDRESS(ROW(UNKB0140_IF_SAVE_CHECK_RESULT),COLUMN(UNKB0140_IF_SAVE_CHECK_RESULT))</f>
        <v>$AD$30</v>
      </c>
      <c r="AE6" s="231"/>
      <c r="AF6" s="231"/>
      <c r="AO6" s="230" t="s">
        <v>1567</v>
      </c>
      <c r="AQ6" s="230" t="s">
        <v>1568</v>
      </c>
      <c r="AR6" s="230" t="s">
        <v>1569</v>
      </c>
      <c r="AS6" s="230" t="s">
        <v>1570</v>
      </c>
      <c r="AU6" s="230" t="s">
        <v>1571</v>
      </c>
    </row>
    <row r="7" spans="1:58" ht="16.5" customHeight="1">
      <c r="A7" s="68" t="s">
        <v>132</v>
      </c>
      <c r="B7" s="231"/>
      <c r="C7" s="231"/>
      <c r="D7" s="231"/>
      <c r="E7" s="231"/>
      <c r="O7" s="450"/>
      <c r="P7" s="330"/>
      <c r="Q7" s="337" t="s">
        <v>35</v>
      </c>
      <c r="R7" s="348"/>
      <c r="S7" s="330"/>
      <c r="T7" s="330"/>
      <c r="U7" s="330"/>
      <c r="W7" s="231"/>
      <c r="X7" s="231" t="s">
        <v>269</v>
      </c>
      <c r="Y7" s="303" t="s">
        <v>1572</v>
      </c>
      <c r="Z7" s="155">
        <v>1</v>
      </c>
      <c r="AA7" s="231"/>
      <c r="AB7" s="231"/>
      <c r="AC7" s="77" t="s">
        <v>271</v>
      </c>
      <c r="AD7" s="77" t="s">
        <v>272</v>
      </c>
      <c r="AE7" s="231"/>
      <c r="AF7" s="231"/>
    </row>
    <row r="8" spans="1:58" ht="16.5" customHeight="1">
      <c r="A8" s="231"/>
      <c r="B8" s="231" t="s">
        <v>133</v>
      </c>
      <c r="C8" s="231" t="s">
        <v>1573</v>
      </c>
      <c r="D8" s="155">
        <v>0</v>
      </c>
      <c r="E8" s="231" t="s">
        <v>134</v>
      </c>
      <c r="O8" s="450"/>
      <c r="P8" s="330"/>
      <c r="Q8" s="331" t="s">
        <v>1903</v>
      </c>
      <c r="R8" s="475"/>
      <c r="S8" s="330"/>
      <c r="T8" s="330"/>
      <c r="U8" s="330"/>
      <c r="W8" s="231"/>
      <c r="X8" s="231"/>
      <c r="Y8" s="231"/>
      <c r="Z8" s="231"/>
      <c r="AA8" s="231"/>
      <c r="AB8" s="231"/>
      <c r="AC8" s="79" t="s">
        <v>13</v>
      </c>
      <c r="AD8" s="79" t="s">
        <v>1574</v>
      </c>
      <c r="AE8" s="231"/>
      <c r="AF8" s="231"/>
    </row>
    <row r="9" spans="1:58" ht="16.5" customHeight="1">
      <c r="J9" s="230" t="s">
        <v>234</v>
      </c>
      <c r="O9" s="330"/>
      <c r="P9" s="330"/>
      <c r="Q9" s="331" t="s">
        <v>674</v>
      </c>
      <c r="R9" s="349"/>
      <c r="S9" s="330"/>
      <c r="T9" s="330"/>
      <c r="U9" s="330"/>
      <c r="W9" s="231"/>
      <c r="X9" s="231"/>
      <c r="Y9" s="231"/>
      <c r="Z9" s="231"/>
      <c r="AA9" s="231"/>
      <c r="AB9" s="231"/>
      <c r="AC9" s="79" t="s">
        <v>273</v>
      </c>
      <c r="AD9" s="80" t="str">
        <f>"UNKB0140_IF_SAVE_IRAI_NO,UNKB0140_IF_SAVE_NYURYOKUSHA_CD,"&amp;
IF(UNKB0140_B_SHIYAKU_FLG=TRUE,"UNKB0140_IF_SAVE_HOKAN_BASHO_KBN,","")&amp;
"UNKB0140_IF_SAVE_UKEIRE_DATE,UNKB0140_IF_SAVE_NYUKO_SURYO"</f>
        <v>UNKB0140_IF_SAVE_IRAI_NO,UNKB0140_IF_SAVE_NYURYOKUSHA_CD,UNKB0140_IF_SAVE_UKEIRE_DATE,UNKB0140_IF_SAVE_NYUKO_SURYO</v>
      </c>
      <c r="AE9" s="231"/>
      <c r="AF9" s="231"/>
      <c r="AG9" s="231"/>
    </row>
    <row r="10" spans="1:58" ht="16.5" customHeight="1">
      <c r="A10" s="231"/>
      <c r="B10" s="231"/>
      <c r="C10" s="231"/>
      <c r="D10" s="231"/>
      <c r="E10" s="231"/>
      <c r="J10" s="230" t="s">
        <v>1575</v>
      </c>
      <c r="K10" s="31" t="s">
        <v>666</v>
      </c>
      <c r="L10" s="302"/>
      <c r="O10" s="330"/>
      <c r="P10" s="330"/>
      <c r="Q10" s="330"/>
      <c r="R10" s="330"/>
      <c r="S10" s="330"/>
      <c r="T10" s="330"/>
      <c r="U10" s="330"/>
      <c r="W10" s="231"/>
      <c r="X10" s="57" t="s">
        <v>275</v>
      </c>
      <c r="Y10" s="231"/>
      <c r="Z10" s="231"/>
      <c r="AA10" s="231"/>
      <c r="AB10" s="231"/>
      <c r="AC10" s="79" t="s">
        <v>274</v>
      </c>
      <c r="AD10" s="80" t="str">
        <f>"依頼No.,入力者,"&amp;
IF(UNKB0140_B_SHIYAKU_FLG=TRUE,"保管場所,","")&amp;
"受入日,入庫数量"</f>
        <v>依頼No.,入力者,受入日,入庫数量</v>
      </c>
      <c r="AE10" s="231"/>
      <c r="AF10" s="231"/>
    </row>
    <row r="11" spans="1:58" ht="16.5" customHeight="1">
      <c r="A11" s="211" t="s">
        <v>180</v>
      </c>
      <c r="B11" s="231"/>
      <c r="C11" s="160"/>
      <c r="O11" s="350"/>
      <c r="P11" s="344"/>
      <c r="Q11" s="330"/>
      <c r="R11" s="330"/>
      <c r="S11" s="344"/>
      <c r="T11" s="343"/>
      <c r="U11" s="330"/>
      <c r="W11" s="231"/>
      <c r="X11" s="230" t="s">
        <v>278</v>
      </c>
      <c r="Y11" s="303" t="s">
        <v>1576</v>
      </c>
      <c r="Z11" s="155">
        <v>1</v>
      </c>
      <c r="AA11" s="231"/>
      <c r="AB11" s="231"/>
      <c r="AC11" s="513" t="s">
        <v>276</v>
      </c>
      <c r="AD11" s="513"/>
      <c r="AE11" s="231"/>
      <c r="AF11" s="231"/>
    </row>
    <row r="12" spans="1:58" ht="16.5" customHeight="1">
      <c r="B12" s="230" t="s">
        <v>181</v>
      </c>
      <c r="C12" s="231" t="s">
        <v>1577</v>
      </c>
      <c r="D12" s="159" t="s">
        <v>1578</v>
      </c>
      <c r="O12" s="342"/>
      <c r="P12" s="330"/>
      <c r="Q12" s="343" t="s">
        <v>675</v>
      </c>
      <c r="R12" s="349"/>
      <c r="S12" s="344"/>
      <c r="T12" s="343"/>
      <c r="U12" s="344"/>
      <c r="W12" s="231"/>
      <c r="AA12" s="231"/>
      <c r="AB12" s="231"/>
      <c r="AC12" s="287" t="s">
        <v>13</v>
      </c>
      <c r="AD12" s="287"/>
      <c r="AE12" s="231"/>
      <c r="AF12" s="231"/>
    </row>
    <row r="13" spans="1:58" ht="16.5" customHeight="1">
      <c r="B13" s="230" t="s">
        <v>182</v>
      </c>
      <c r="C13" s="231" t="s">
        <v>1579</v>
      </c>
      <c r="D13" s="159">
        <v>3</v>
      </c>
      <c r="O13" s="344"/>
      <c r="P13" s="344"/>
      <c r="Q13" s="344"/>
      <c r="R13" s="344"/>
      <c r="S13" s="344"/>
      <c r="T13" s="344"/>
      <c r="U13" s="344"/>
      <c r="W13" s="231"/>
      <c r="AA13" s="231"/>
      <c r="AB13" s="231"/>
      <c r="AC13" s="37" t="s">
        <v>279</v>
      </c>
      <c r="AD13" s="79"/>
      <c r="AE13" s="231"/>
      <c r="AF13" s="231"/>
    </row>
    <row r="14" spans="1:58" ht="16.5" customHeight="1">
      <c r="B14" s="230" t="s">
        <v>183</v>
      </c>
      <c r="C14" s="231" t="s">
        <v>1580</v>
      </c>
      <c r="D14" s="159">
        <v>8</v>
      </c>
      <c r="J14" s="230" t="s">
        <v>235</v>
      </c>
      <c r="O14" s="351"/>
      <c r="P14" s="610"/>
      <c r="Q14" s="611"/>
      <c r="R14" s="612"/>
      <c r="S14" s="344"/>
      <c r="T14" s="330"/>
      <c r="U14" s="330"/>
      <c r="W14" s="231"/>
      <c r="X14" s="231"/>
      <c r="Y14" s="231"/>
      <c r="Z14" s="231"/>
      <c r="AA14" s="231"/>
      <c r="AB14" s="231"/>
      <c r="AC14" s="37" t="s">
        <v>280</v>
      </c>
      <c r="AD14" s="37"/>
      <c r="AE14" s="231"/>
      <c r="AF14" s="231"/>
    </row>
    <row r="15" spans="1:58" ht="16.5" customHeight="1">
      <c r="B15" s="230" t="s">
        <v>184</v>
      </c>
      <c r="C15" s="231" t="s">
        <v>1581</v>
      </c>
      <c r="D15" s="159" t="s">
        <v>1582</v>
      </c>
      <c r="J15" s="230" t="s">
        <v>1583</v>
      </c>
      <c r="K15" s="31" t="s">
        <v>666</v>
      </c>
      <c r="L15" s="302"/>
      <c r="O15" s="341"/>
      <c r="P15" s="330"/>
      <c r="Q15" s="331" t="s">
        <v>678</v>
      </c>
      <c r="R15" s="341"/>
      <c r="S15" s="330"/>
      <c r="T15" s="343" t="s">
        <v>679</v>
      </c>
      <c r="U15" s="341"/>
      <c r="W15" s="231"/>
      <c r="X15" s="211" t="s">
        <v>295</v>
      </c>
      <c r="Z15" s="231"/>
      <c r="AA15" s="231"/>
      <c r="AB15" s="231"/>
      <c r="AC15" s="37" t="s">
        <v>281</v>
      </c>
      <c r="AD15" s="37"/>
      <c r="AE15" s="231"/>
      <c r="AF15" s="231"/>
    </row>
    <row r="16" spans="1:58" ht="16.5" customHeight="1">
      <c r="O16" s="341"/>
      <c r="P16" s="330"/>
      <c r="Q16" s="331" t="s">
        <v>683</v>
      </c>
      <c r="R16" s="334"/>
      <c r="S16" s="330"/>
      <c r="T16" s="331" t="s">
        <v>682</v>
      </c>
      <c r="U16" s="341"/>
      <c r="W16" s="231"/>
      <c r="X16" s="231" t="s">
        <v>1584</v>
      </c>
      <c r="Y16" s="301" t="s">
        <v>1585</v>
      </c>
      <c r="Z16" s="155"/>
      <c r="AB16" s="231"/>
      <c r="AC16" s="37" t="s">
        <v>282</v>
      </c>
      <c r="AD16" s="37"/>
      <c r="AE16" s="231"/>
      <c r="AF16" s="231"/>
      <c r="AG16" s="231"/>
    </row>
    <row r="17" spans="1:33" ht="16.5" customHeight="1">
      <c r="A17" s="211" t="s">
        <v>185</v>
      </c>
      <c r="C17" s="231"/>
      <c r="D17" s="160"/>
      <c r="E17" s="211" t="s">
        <v>186</v>
      </c>
      <c r="F17" s="211" t="s">
        <v>76</v>
      </c>
      <c r="G17" s="211" t="s">
        <v>125</v>
      </c>
      <c r="O17" s="340"/>
      <c r="P17" s="330"/>
      <c r="Q17" s="343" t="s">
        <v>681</v>
      </c>
      <c r="R17" s="334"/>
      <c r="S17" s="330"/>
      <c r="T17" s="331" t="s">
        <v>1836</v>
      </c>
      <c r="U17" s="341">
        <f>UNKB0140_B_SUMI_SURYO+UNKB0140_B_SURYO</f>
        <v>0</v>
      </c>
      <c r="W17" s="231"/>
      <c r="X17" s="230" t="s">
        <v>296</v>
      </c>
      <c r="Y17" s="303" t="s">
        <v>1586</v>
      </c>
      <c r="Z17" s="155"/>
      <c r="AB17" s="231"/>
      <c r="AC17" s="37" t="s">
        <v>283</v>
      </c>
      <c r="AD17" s="37"/>
      <c r="AE17" s="231"/>
      <c r="AF17" s="231"/>
      <c r="AG17" s="231"/>
    </row>
    <row r="18" spans="1:33" ht="16.5" customHeight="1">
      <c r="B18" s="230" t="s">
        <v>187</v>
      </c>
      <c r="C18" s="231" t="s">
        <v>1587</v>
      </c>
      <c r="D18" s="159" t="str">
        <f>IF(UNKB0140_IF_MODE=1,"-",IF(UNKB0140_IF_MODE=2,"修正キャンセル","修正"))</f>
        <v>修正</v>
      </c>
      <c r="E18" s="231" t="s">
        <v>1588</v>
      </c>
      <c r="F18" s="230" t="s">
        <v>125</v>
      </c>
      <c r="G18" s="230" t="s">
        <v>76</v>
      </c>
      <c r="O18" s="330"/>
      <c r="P18" s="330"/>
      <c r="Q18" s="330"/>
      <c r="R18" s="330"/>
      <c r="S18" s="330"/>
      <c r="T18" s="330"/>
      <c r="U18" s="330"/>
      <c r="W18" s="231"/>
      <c r="X18" s="230" t="s">
        <v>297</v>
      </c>
      <c r="Y18" s="303" t="s">
        <v>1589</v>
      </c>
      <c r="Z18" s="155"/>
      <c r="AA18" s="231"/>
      <c r="AB18" s="231"/>
      <c r="AC18" s="37" t="s">
        <v>284</v>
      </c>
      <c r="AD18" s="37"/>
      <c r="AE18" s="231"/>
      <c r="AF18" s="231"/>
      <c r="AG18" s="231"/>
    </row>
    <row r="19" spans="1:33" ht="16.5" customHeight="1">
      <c r="A19" s="231"/>
      <c r="B19" s="231" t="s">
        <v>189</v>
      </c>
      <c r="C19" s="231" t="s">
        <v>1590</v>
      </c>
      <c r="D19" s="159" t="str">
        <f>IF(UNKB0140_IF_MODE=1,"新規登録",IF(UNKB0140_IF_MODE=2,"保存","-"))</f>
        <v>-</v>
      </c>
      <c r="E19" s="231" t="s">
        <v>672</v>
      </c>
      <c r="F19" s="231" t="s">
        <v>1591</v>
      </c>
      <c r="G19" s="231" t="s">
        <v>1592</v>
      </c>
      <c r="J19" s="231" t="s">
        <v>1593</v>
      </c>
      <c r="O19" s="351"/>
      <c r="P19" s="610"/>
      <c r="Q19" s="611"/>
      <c r="R19" s="612"/>
      <c r="S19" s="344"/>
      <c r="T19" s="343"/>
      <c r="U19" s="344"/>
      <c r="W19" s="231"/>
      <c r="X19" s="230" t="s">
        <v>298</v>
      </c>
      <c r="Y19" s="303" t="s">
        <v>1594</v>
      </c>
      <c r="Z19" s="155">
        <f>IF(UNKB0140_IF_SAVE_RESULT_CD=0,2,1)</f>
        <v>2</v>
      </c>
      <c r="AA19" s="230" t="s">
        <v>292</v>
      </c>
      <c r="AB19" s="231"/>
      <c r="AC19" s="37" t="s">
        <v>285</v>
      </c>
      <c r="AD19" s="37"/>
      <c r="AE19" s="231"/>
      <c r="AF19" s="231"/>
      <c r="AG19" s="231"/>
    </row>
    <row r="20" spans="1:33" ht="16.5" customHeight="1">
      <c r="J20" s="230" t="s">
        <v>1595</v>
      </c>
      <c r="K20" s="31" t="s">
        <v>666</v>
      </c>
      <c r="L20" s="291"/>
      <c r="O20" s="351"/>
      <c r="P20" s="610"/>
      <c r="Q20" s="611"/>
      <c r="R20" s="612"/>
      <c r="S20" s="344"/>
      <c r="T20" s="343"/>
      <c r="U20" s="344"/>
      <c r="W20" s="231"/>
      <c r="X20" s="230" t="s">
        <v>299</v>
      </c>
      <c r="Y20" s="303" t="s">
        <v>1596</v>
      </c>
      <c r="Z20" s="155" t="s">
        <v>300</v>
      </c>
      <c r="AA20" s="231"/>
      <c r="AC20" s="30" t="s">
        <v>286</v>
      </c>
      <c r="AD20" s="81"/>
    </row>
    <row r="21" spans="1:33" ht="16.5" customHeight="1">
      <c r="A21" s="68" t="s">
        <v>192</v>
      </c>
      <c r="B21" s="231"/>
      <c r="C21" s="231"/>
      <c r="D21" s="231"/>
      <c r="E21" s="211" t="s">
        <v>186</v>
      </c>
      <c r="F21" s="211" t="s">
        <v>76</v>
      </c>
      <c r="G21" s="211" t="s">
        <v>125</v>
      </c>
      <c r="O21" s="343"/>
      <c r="P21" s="343"/>
      <c r="Q21" s="343"/>
      <c r="R21" s="343"/>
      <c r="S21" s="343"/>
      <c r="T21" s="343"/>
      <c r="U21" s="344"/>
      <c r="W21" s="231"/>
      <c r="AB21" s="231"/>
      <c r="AC21" s="82" t="s">
        <v>287</v>
      </c>
      <c r="AD21" s="83"/>
      <c r="AE21" s="231"/>
      <c r="AF21" s="231"/>
      <c r="AG21" s="231"/>
    </row>
    <row r="22" spans="1:33" ht="16.5" customHeight="1">
      <c r="A22" s="57"/>
      <c r="B22" s="230" t="s">
        <v>187</v>
      </c>
      <c r="C22" s="231" t="s">
        <v>1597</v>
      </c>
      <c r="D22" s="155">
        <f>IF(UNKB0140_IF_MODE=1,2,IF(UNKB0140_IF_MODE=2,1,1))</f>
        <v>1</v>
      </c>
      <c r="E22" s="230" t="s">
        <v>194</v>
      </c>
      <c r="F22" s="230" t="s">
        <v>195</v>
      </c>
      <c r="G22" s="230" t="s">
        <v>195</v>
      </c>
      <c r="O22" s="345"/>
      <c r="P22" s="330"/>
      <c r="Q22" s="331" t="s">
        <v>1529</v>
      </c>
      <c r="R22" s="334"/>
      <c r="S22" s="330"/>
      <c r="T22" s="343"/>
      <c r="U22" s="344"/>
      <c r="W22" s="231"/>
      <c r="AA22" s="231"/>
      <c r="AB22" s="231"/>
      <c r="AC22" s="82" t="s">
        <v>288</v>
      </c>
      <c r="AD22" s="83"/>
      <c r="AE22" s="231"/>
      <c r="AF22" s="231"/>
      <c r="AG22" s="231"/>
    </row>
    <row r="23" spans="1:33" ht="16.5" customHeight="1">
      <c r="A23" s="57"/>
      <c r="B23" s="231" t="s">
        <v>196</v>
      </c>
      <c r="C23" s="231" t="s">
        <v>1598</v>
      </c>
      <c r="D23" s="155">
        <f>IF(UNKB0140_IF_MODE=1,2,IF(UNKB0140_IF_MODE=2,1,2))</f>
        <v>2</v>
      </c>
      <c r="E23" s="230" t="s">
        <v>194</v>
      </c>
      <c r="F23" s="230" t="s">
        <v>195</v>
      </c>
      <c r="G23" s="230" t="s">
        <v>194</v>
      </c>
      <c r="O23" s="613"/>
      <c r="P23" s="614"/>
      <c r="Q23" s="614"/>
      <c r="R23" s="615"/>
      <c r="S23" s="344"/>
      <c r="T23" s="343"/>
      <c r="U23" s="344"/>
      <c r="W23" s="231"/>
      <c r="X23" s="211" t="s">
        <v>1869</v>
      </c>
      <c r="AB23" s="231"/>
      <c r="AC23" s="30" t="s">
        <v>289</v>
      </c>
      <c r="AD23" s="81"/>
      <c r="AE23" s="231"/>
      <c r="AF23" s="231"/>
      <c r="AG23" s="231"/>
    </row>
    <row r="24" spans="1:33" ht="16.5" customHeight="1">
      <c r="A24" s="231"/>
      <c r="B24" s="231" t="s">
        <v>189</v>
      </c>
      <c r="C24" s="231" t="s">
        <v>1599</v>
      </c>
      <c r="D24" s="155">
        <f>IF(UNKB0140_IF_MODE=1,1,IF(UNKB0140_IF_MODE=2,1,2))</f>
        <v>2</v>
      </c>
      <c r="E24" s="230" t="s">
        <v>195</v>
      </c>
      <c r="F24" s="230" t="s">
        <v>195</v>
      </c>
      <c r="G24" s="230" t="s">
        <v>194</v>
      </c>
      <c r="O24" s="334"/>
      <c r="P24" s="330"/>
      <c r="Q24" s="331" t="s">
        <v>1531</v>
      </c>
      <c r="R24" s="336"/>
      <c r="S24" s="330"/>
      <c r="T24" s="343"/>
      <c r="U24" s="344"/>
      <c r="W24" s="231"/>
      <c r="X24" s="230" t="s">
        <v>1867</v>
      </c>
      <c r="Y24" s="231" t="s">
        <v>1871</v>
      </c>
      <c r="Z24" s="216">
        <f>IF(AND(UNKB0140_IF_MODE=1,UNKB0140_B_SHIYAKU_FLG=TRUE),1,2)</f>
        <v>2</v>
      </c>
      <c r="AA24" s="230" t="s">
        <v>1868</v>
      </c>
      <c r="AB24" s="231"/>
      <c r="AC24" s="231"/>
      <c r="AD24" s="231"/>
      <c r="AE24" s="231"/>
      <c r="AF24" s="231"/>
      <c r="AG24" s="231"/>
    </row>
    <row r="25" spans="1:33" ht="16.5" customHeight="1">
      <c r="A25" s="231"/>
      <c r="B25" s="231" t="s">
        <v>1600</v>
      </c>
      <c r="C25" s="231" t="s">
        <v>1601</v>
      </c>
      <c r="D25" s="155">
        <f>IF(UNKB0140_IF_MODE=1,2,IF(UNKB0140_IF_MODE=2,2,1))</f>
        <v>1</v>
      </c>
      <c r="E25" s="230" t="s">
        <v>194</v>
      </c>
      <c r="F25" s="230" t="s">
        <v>194</v>
      </c>
      <c r="G25" s="230" t="s">
        <v>195</v>
      </c>
      <c r="N25" s="230" t="s">
        <v>234</v>
      </c>
      <c r="W25" s="231"/>
      <c r="X25" s="230" t="s">
        <v>1870</v>
      </c>
      <c r="Y25" s="231" t="s">
        <v>1872</v>
      </c>
      <c r="Z25" s="216"/>
      <c r="AA25" s="231"/>
      <c r="AB25" s="231"/>
      <c r="AC25" s="211" t="s">
        <v>290</v>
      </c>
      <c r="AF25" s="231"/>
      <c r="AG25" s="231"/>
    </row>
    <row r="26" spans="1:33" ht="16.5" customHeight="1">
      <c r="A26" s="231"/>
      <c r="B26" s="231" t="s">
        <v>1602</v>
      </c>
      <c r="C26" s="231" t="s">
        <v>1603</v>
      </c>
      <c r="D26" s="155">
        <f>IF(UNKB0140_IF_MODE=1,2,IF(UNKB0140_IF_MODE=2,2,1))</f>
        <v>1</v>
      </c>
      <c r="E26" s="230" t="s">
        <v>194</v>
      </c>
      <c r="F26" s="230" t="s">
        <v>194</v>
      </c>
      <c r="G26" s="230" t="s">
        <v>195</v>
      </c>
      <c r="N26" s="230" t="s">
        <v>1604</v>
      </c>
      <c r="O26" s="336"/>
      <c r="P26" s="330"/>
      <c r="Q26" s="331" t="s">
        <v>1513</v>
      </c>
      <c r="R26" s="336"/>
      <c r="S26" s="330"/>
      <c r="T26" s="330"/>
      <c r="U26" s="330"/>
      <c r="W26" s="231"/>
      <c r="X26" s="231"/>
      <c r="Y26" s="231"/>
      <c r="Z26" s="231"/>
      <c r="AA26" s="231"/>
      <c r="AB26" s="231"/>
      <c r="AC26" s="231" t="s">
        <v>291</v>
      </c>
      <c r="AD26" s="231" t="s">
        <v>1605</v>
      </c>
      <c r="AE26" s="216">
        <f>IF(ISBLANK(UNKB0140_IF_SAVE_CHECK_RESULT)=TRUE,2,1)</f>
        <v>2</v>
      </c>
      <c r="AF26" s="230" t="s">
        <v>292</v>
      </c>
    </row>
    <row r="27" spans="1:33" ht="16.5" customHeight="1">
      <c r="A27" s="231"/>
      <c r="B27" s="231"/>
      <c r="C27" s="231"/>
      <c r="D27" s="231"/>
      <c r="E27" s="231"/>
      <c r="F27" s="231"/>
      <c r="G27" s="231"/>
      <c r="O27" s="330"/>
      <c r="P27" s="330"/>
      <c r="Q27" s="330"/>
      <c r="R27" s="330"/>
      <c r="S27" s="330"/>
      <c r="T27" s="330"/>
      <c r="U27" s="330"/>
      <c r="W27" s="231"/>
      <c r="X27" s="231"/>
      <c r="Y27" s="231"/>
      <c r="Z27" s="231"/>
      <c r="AA27" s="231"/>
      <c r="AB27" s="231"/>
      <c r="AC27" s="230" t="s">
        <v>1606</v>
      </c>
      <c r="AD27" s="231" t="s">
        <v>1607</v>
      </c>
      <c r="AE27" s="216" t="str">
        <f>"以下の項目が入力されていません。"&amp;
IF(UNKB0140_IF_SAVE_CHECK_RESULT&gt;=1,"
行番号："&amp;UNKB0140_IF_SAVE_CHECK_RESULT-ROW(UNKB0140_IF_SAVE_CHECK_START)+1,"")&amp;
"
項目名："&amp;UNKB0140_IF_SAVE_CHECK_ERROR_KOMOKU</f>
        <v>以下の項目が入力されていません。
項目名：</v>
      </c>
      <c r="AF27" s="231"/>
      <c r="AG27" s="231"/>
    </row>
    <row r="28" spans="1:33" ht="16.5" customHeight="1">
      <c r="A28" s="211" t="s">
        <v>1829</v>
      </c>
      <c r="O28" s="450"/>
      <c r="P28" s="330"/>
      <c r="Q28" s="337" t="s">
        <v>35</v>
      </c>
      <c r="R28" s="348"/>
      <c r="S28" s="330"/>
      <c r="T28" s="330"/>
      <c r="U28" s="330"/>
      <c r="W28" s="231"/>
      <c r="X28" s="231"/>
      <c r="Y28" s="231"/>
      <c r="AA28" s="231"/>
      <c r="AB28" s="231"/>
      <c r="AC28" s="231"/>
      <c r="AD28" s="231"/>
      <c r="AE28" s="231"/>
      <c r="AF28" s="231"/>
      <c r="AG28" s="231"/>
    </row>
    <row r="29" spans="1:33" ht="16.5" customHeight="1">
      <c r="B29" s="230" t="s">
        <v>1831</v>
      </c>
      <c r="C29" s="231" t="s">
        <v>1830</v>
      </c>
      <c r="D29" s="216">
        <f>IF(AND(UNKB0140_IF_MODE=2,UNKB0140_B_SHIYAKU_FLG=TRUE,UNKB0140_B_SURYO&gt;1),1,IF(UNKB0140_B_SURYO+UNKB0140_B_SUMI_SURYO&gt;UNKB0140_B_CHUMON_SU,1,2))</f>
        <v>2</v>
      </c>
      <c r="E29" s="230" t="s">
        <v>1866</v>
      </c>
      <c r="O29" s="450"/>
      <c r="P29" s="330"/>
      <c r="Q29" s="331" t="s">
        <v>1903</v>
      </c>
      <c r="R29" s="475"/>
      <c r="S29" s="330"/>
      <c r="T29" s="330"/>
      <c r="U29" s="330"/>
      <c r="X29" s="231"/>
      <c r="Y29" s="231"/>
      <c r="AC29" s="231"/>
      <c r="AD29" s="231" t="s">
        <v>1609</v>
      </c>
      <c r="AE29" s="231" t="s">
        <v>1610</v>
      </c>
    </row>
    <row r="30" spans="1:33" ht="16.5" customHeight="1">
      <c r="B30" s="231" t="s">
        <v>1832</v>
      </c>
      <c r="C30" s="231" t="s">
        <v>1833</v>
      </c>
      <c r="D30" s="216" t="str">
        <f>IF(AND(UNKB0140_IF_MODE=2,UNKB0140_B_SHIYAKU_FLG=TRUE,UNKB0140_B_SURYO&gt;1),"試薬の入庫数は2以上を登録できません",
IF(UNKB0140_B_SURYO+UNKB0140_B_SUMI_SURYO&gt;UNKB0140_B_CHUMON_SU,"入庫合計が注文数を超えている為、保存できません",""))</f>
        <v/>
      </c>
      <c r="O30" s="330"/>
      <c r="P30" s="330"/>
      <c r="Q30" s="331" t="s">
        <v>674</v>
      </c>
      <c r="R30" s="349"/>
      <c r="S30" s="330"/>
      <c r="T30" s="330"/>
      <c r="U30" s="330"/>
      <c r="AC30" s="230" t="s">
        <v>294</v>
      </c>
      <c r="AD30" s="216"/>
      <c r="AE30" s="155"/>
    </row>
    <row r="31" spans="1:33" ht="16.5" customHeight="1">
      <c r="O31" s="330"/>
      <c r="P31" s="330"/>
      <c r="Q31" s="330"/>
      <c r="R31" s="330"/>
      <c r="S31" s="330"/>
      <c r="T31" s="330"/>
      <c r="U31" s="330"/>
    </row>
    <row r="32" spans="1:33" ht="16.5" customHeight="1">
      <c r="A32" s="211" t="s">
        <v>205</v>
      </c>
      <c r="O32" s="350"/>
      <c r="P32" s="344"/>
      <c r="Q32" s="330"/>
      <c r="R32" s="330"/>
      <c r="S32" s="344"/>
      <c r="T32" s="343"/>
      <c r="U32" s="330"/>
    </row>
    <row r="33" spans="1:21" ht="16.5" customHeight="1">
      <c r="B33" s="230" t="s">
        <v>206</v>
      </c>
      <c r="C33" s="231" t="s">
        <v>1608</v>
      </c>
      <c r="D33" s="216" t="str">
        <f ca="1">"受入検収入力_"&amp;UNKB0140_IF_REF_NO&amp;"_"&amp;TEXT(NOW(),"YYYYMMDD")&amp;"_"&amp;TEXT(NOW(),"hhmmss")</f>
        <v>受入検収入力__20170714_180439</v>
      </c>
      <c r="O33" s="342"/>
      <c r="P33" s="330"/>
      <c r="Q33" s="343" t="s">
        <v>675</v>
      </c>
      <c r="R33" s="349"/>
      <c r="S33" s="344"/>
      <c r="T33" s="343"/>
      <c r="U33" s="344"/>
    </row>
    <row r="34" spans="1:21" ht="16.5" customHeight="1">
      <c r="O34" s="344"/>
      <c r="P34" s="344"/>
      <c r="Q34" s="344"/>
      <c r="R34" s="344"/>
      <c r="S34" s="344"/>
      <c r="T34" s="344"/>
      <c r="U34" s="344"/>
    </row>
    <row r="35" spans="1:21" ht="16.5" customHeight="1">
      <c r="O35" s="351"/>
      <c r="P35" s="610"/>
      <c r="Q35" s="611"/>
      <c r="R35" s="612"/>
      <c r="S35" s="344"/>
      <c r="T35" s="330"/>
      <c r="U35" s="330"/>
    </row>
    <row r="36" spans="1:21" ht="16.5" customHeight="1">
      <c r="A36" s="211" t="s">
        <v>1786</v>
      </c>
      <c r="O36" s="341"/>
      <c r="P36" s="330"/>
      <c r="Q36" s="331" t="s">
        <v>678</v>
      </c>
      <c r="R36" s="341"/>
      <c r="S36" s="330"/>
      <c r="T36" s="343" t="s">
        <v>679</v>
      </c>
      <c r="U36" s="341"/>
    </row>
    <row r="37" spans="1:21" ht="16.5" customHeight="1">
      <c r="B37" s="231" t="s">
        <v>1558</v>
      </c>
      <c r="C37" s="231" t="s">
        <v>1559</v>
      </c>
      <c r="D37" s="155">
        <f>IF(UNKB0140_B_SHIYAKU_FLG=TRUE,1,2)</f>
        <v>2</v>
      </c>
      <c r="E37" s="231" t="s">
        <v>128</v>
      </c>
      <c r="F37" s="231" t="s">
        <v>129</v>
      </c>
      <c r="O37" s="341"/>
      <c r="P37" s="330"/>
      <c r="Q37" s="331" t="s">
        <v>683</v>
      </c>
      <c r="R37" s="334"/>
      <c r="S37" s="330"/>
      <c r="T37" s="331" t="s">
        <v>682</v>
      </c>
      <c r="U37" s="341"/>
    </row>
    <row r="38" spans="1:21" ht="16.5" customHeight="1">
      <c r="B38" s="230" t="s">
        <v>1781</v>
      </c>
      <c r="C38" s="30" t="s">
        <v>1783</v>
      </c>
      <c r="D38" s="216" t="s">
        <v>1780</v>
      </c>
      <c r="O38" s="340"/>
      <c r="P38" s="330"/>
      <c r="Q38" s="343" t="s">
        <v>681</v>
      </c>
      <c r="R38" s="334"/>
      <c r="S38" s="330"/>
      <c r="T38" s="331" t="s">
        <v>1836</v>
      </c>
      <c r="U38" s="341">
        <f>UNKB0140_B_SUMI_SURYO+UNKB0140_B_SURYO</f>
        <v>0</v>
      </c>
    </row>
    <row r="39" spans="1:21" ht="16.5" customHeight="1">
      <c r="B39" s="230" t="s">
        <v>1782</v>
      </c>
      <c r="C39" s="30" t="s">
        <v>1784</v>
      </c>
      <c r="D39" s="216" t="s">
        <v>1785</v>
      </c>
      <c r="O39" s="330"/>
      <c r="P39" s="330"/>
      <c r="Q39" s="330"/>
      <c r="R39" s="330"/>
      <c r="S39" s="330"/>
      <c r="T39" s="330"/>
      <c r="U39" s="330"/>
    </row>
    <row r="40" spans="1:21" ht="16.5" customHeight="1">
      <c r="O40" s="351"/>
      <c r="P40" s="610"/>
      <c r="Q40" s="611"/>
      <c r="R40" s="612"/>
      <c r="S40" s="344"/>
      <c r="T40" s="343"/>
      <c r="U40" s="344"/>
    </row>
    <row r="41" spans="1:21" ht="16.5" customHeight="1">
      <c r="B41" s="230" t="s">
        <v>1849</v>
      </c>
      <c r="C41" s="231" t="s">
        <v>1848</v>
      </c>
      <c r="D41" s="216">
        <f>IF(AND(UNKB0140_IF_W_MODE=1,UNKB0140_B_KOBAI_KBN_CD=1),1,2)</f>
        <v>2</v>
      </c>
      <c r="E41" s="230" t="s">
        <v>1863</v>
      </c>
      <c r="O41" s="351"/>
      <c r="P41" s="610"/>
      <c r="Q41" s="611"/>
      <c r="R41" s="612"/>
      <c r="S41" s="344"/>
      <c r="T41" s="343"/>
      <c r="U41" s="344"/>
    </row>
    <row r="42" spans="1:21" ht="16.5" customHeight="1">
      <c r="O42" s="343"/>
      <c r="P42" s="343"/>
      <c r="Q42" s="343"/>
      <c r="R42" s="343"/>
      <c r="S42" s="343"/>
      <c r="T42" s="343"/>
      <c r="U42" s="344"/>
    </row>
    <row r="43" spans="1:21" ht="16.5" customHeight="1">
      <c r="O43" s="345"/>
      <c r="P43" s="330"/>
      <c r="Q43" s="331" t="s">
        <v>1529</v>
      </c>
      <c r="R43" s="334"/>
      <c r="S43" s="330"/>
      <c r="T43" s="343"/>
      <c r="U43" s="344"/>
    </row>
    <row r="44" spans="1:21" ht="16.5" customHeight="1">
      <c r="O44" s="613"/>
      <c r="P44" s="614"/>
      <c r="Q44" s="614"/>
      <c r="R44" s="615"/>
      <c r="S44" s="344"/>
      <c r="T44" s="343"/>
      <c r="U44" s="344"/>
    </row>
    <row r="45" spans="1:21" ht="16.5" customHeight="1">
      <c r="O45" s="334"/>
      <c r="P45" s="330"/>
      <c r="Q45" s="331" t="s">
        <v>1531</v>
      </c>
      <c r="R45" s="336"/>
      <c r="S45" s="330"/>
      <c r="T45" s="343"/>
      <c r="U45" s="344"/>
    </row>
    <row r="46" spans="1:21" ht="16.5" customHeight="1">
      <c r="N46" s="230" t="s">
        <v>235</v>
      </c>
    </row>
    <row r="47" spans="1:21" ht="16.5" customHeight="1">
      <c r="N47" s="230" t="s">
        <v>1611</v>
      </c>
      <c r="O47" s="336"/>
      <c r="P47" s="426"/>
      <c r="Q47" s="427" t="s">
        <v>1513</v>
      </c>
      <c r="R47" s="336"/>
      <c r="S47" s="426"/>
      <c r="T47" s="426"/>
      <c r="U47" s="426"/>
    </row>
    <row r="48" spans="1:21" ht="16.5" customHeight="1">
      <c r="O48" s="426"/>
      <c r="P48" s="426"/>
      <c r="Q48" s="426"/>
      <c r="R48" s="426"/>
      <c r="S48" s="426"/>
      <c r="T48" s="426"/>
      <c r="U48" s="426"/>
    </row>
    <row r="49" spans="15:21" ht="16.5" customHeight="1">
      <c r="O49" s="336"/>
      <c r="P49" s="426"/>
      <c r="Q49" s="428" t="s">
        <v>35</v>
      </c>
      <c r="R49" s="429"/>
      <c r="S49" s="426"/>
      <c r="T49" s="426"/>
      <c r="U49" s="426"/>
    </row>
    <row r="50" spans="15:21" ht="16.5" customHeight="1">
      <c r="O50" s="336"/>
      <c r="P50" s="426"/>
      <c r="Q50" s="427" t="s">
        <v>1903</v>
      </c>
      <c r="R50" s="429"/>
      <c r="S50" s="426"/>
      <c r="T50" s="426"/>
      <c r="U50" s="426"/>
    </row>
    <row r="51" spans="15:21" ht="16.5" customHeight="1">
      <c r="O51" s="426"/>
      <c r="P51" s="426"/>
      <c r="Q51" s="427" t="s">
        <v>674</v>
      </c>
      <c r="R51" s="429"/>
      <c r="S51" s="426"/>
      <c r="T51" s="426"/>
      <c r="U51" s="426"/>
    </row>
    <row r="52" spans="15:21" ht="16.5" customHeight="1">
      <c r="O52" s="426"/>
      <c r="P52" s="426"/>
      <c r="Q52" s="426"/>
      <c r="R52" s="426"/>
      <c r="S52" s="426"/>
      <c r="T52" s="426"/>
      <c r="U52" s="426"/>
    </row>
    <row r="53" spans="15:21" ht="16.5" customHeight="1">
      <c r="O53" s="430"/>
      <c r="P53" s="426"/>
      <c r="Q53" s="426"/>
      <c r="R53" s="426"/>
      <c r="S53" s="426"/>
      <c r="T53" s="427"/>
      <c r="U53" s="426"/>
    </row>
    <row r="54" spans="15:21" ht="16.5" customHeight="1">
      <c r="O54" s="336"/>
      <c r="P54" s="426"/>
      <c r="Q54" s="427" t="s">
        <v>675</v>
      </c>
      <c r="R54" s="429"/>
      <c r="S54" s="426"/>
      <c r="T54" s="427"/>
      <c r="U54" s="426"/>
    </row>
    <row r="55" spans="15:21" ht="16.5" customHeight="1">
      <c r="O55" s="426"/>
      <c r="P55" s="426"/>
      <c r="Q55" s="426"/>
      <c r="R55" s="426"/>
      <c r="S55" s="426"/>
      <c r="T55" s="426"/>
      <c r="U55" s="426"/>
    </row>
    <row r="56" spans="15:21" ht="16.5" customHeight="1">
      <c r="O56" s="431"/>
      <c r="P56" s="619"/>
      <c r="Q56" s="620"/>
      <c r="R56" s="621"/>
      <c r="S56" s="426"/>
      <c r="T56" s="426"/>
      <c r="U56" s="426"/>
    </row>
    <row r="57" spans="15:21" ht="16.5" customHeight="1">
      <c r="O57" s="341"/>
      <c r="P57" s="426"/>
      <c r="Q57" s="427" t="s">
        <v>678</v>
      </c>
      <c r="R57" s="341"/>
      <c r="S57" s="426"/>
      <c r="T57" s="427" t="s">
        <v>679</v>
      </c>
      <c r="U57" s="341"/>
    </row>
    <row r="58" spans="15:21" ht="16.5" customHeight="1">
      <c r="O58" s="341"/>
      <c r="P58" s="426"/>
      <c r="Q58" s="427" t="s">
        <v>683</v>
      </c>
      <c r="R58" s="336"/>
      <c r="S58" s="426"/>
      <c r="T58" s="427" t="s">
        <v>682</v>
      </c>
      <c r="U58" s="341"/>
    </row>
    <row r="59" spans="15:21" ht="16.5" customHeight="1">
      <c r="O59" s="341"/>
      <c r="P59" s="426"/>
      <c r="Q59" s="427" t="s">
        <v>681</v>
      </c>
      <c r="R59" s="336"/>
      <c r="S59" s="426"/>
      <c r="T59" s="331" t="s">
        <v>1836</v>
      </c>
      <c r="U59" s="341">
        <f>UNKB0140_B_SUMI_SURYO+UNKB0140_B_SURYO</f>
        <v>0</v>
      </c>
    </row>
    <row r="60" spans="15:21" ht="16.5" customHeight="1">
      <c r="O60" s="426"/>
      <c r="P60" s="426"/>
      <c r="Q60" s="426"/>
      <c r="R60" s="426"/>
      <c r="S60" s="426"/>
      <c r="T60" s="426"/>
      <c r="U60" s="426"/>
    </row>
    <row r="61" spans="15:21" ht="16.5" customHeight="1">
      <c r="O61" s="431"/>
      <c r="P61" s="619"/>
      <c r="Q61" s="620"/>
      <c r="R61" s="621"/>
      <c r="S61" s="426"/>
      <c r="T61" s="427"/>
      <c r="U61" s="426"/>
    </row>
    <row r="62" spans="15:21" ht="16.5" customHeight="1">
      <c r="O62" s="431"/>
      <c r="P62" s="619"/>
      <c r="Q62" s="620"/>
      <c r="R62" s="621"/>
      <c r="S62" s="426"/>
      <c r="T62" s="427"/>
      <c r="U62" s="426"/>
    </row>
    <row r="63" spans="15:21" ht="16.5" customHeight="1">
      <c r="O63" s="427"/>
      <c r="P63" s="427"/>
      <c r="Q63" s="427"/>
      <c r="R63" s="427"/>
      <c r="S63" s="427"/>
      <c r="T63" s="427"/>
      <c r="U63" s="426"/>
    </row>
    <row r="64" spans="15:21" ht="16.5" customHeight="1">
      <c r="O64" s="302"/>
      <c r="P64" s="426"/>
      <c r="Q64" s="427" t="s">
        <v>1529</v>
      </c>
      <c r="R64" s="336"/>
      <c r="S64" s="426"/>
      <c r="T64" s="427"/>
      <c r="U64" s="426"/>
    </row>
    <row r="65" spans="14:21" ht="16.5" customHeight="1">
      <c r="O65" s="616"/>
      <c r="P65" s="617"/>
      <c r="Q65" s="617"/>
      <c r="R65" s="618"/>
      <c r="S65" s="426"/>
      <c r="T65" s="427"/>
      <c r="U65" s="426"/>
    </row>
    <row r="66" spans="14:21" ht="16.5" customHeight="1">
      <c r="O66" s="336"/>
      <c r="P66" s="426"/>
      <c r="Q66" s="427" t="s">
        <v>1531</v>
      </c>
      <c r="R66" s="336"/>
      <c r="S66" s="426"/>
      <c r="T66" s="427"/>
      <c r="U66" s="426"/>
    </row>
    <row r="67" spans="14:21" ht="16.5" customHeight="1">
      <c r="N67" s="231" t="s">
        <v>1593</v>
      </c>
    </row>
    <row r="68" spans="14:21" ht="16.5" customHeight="1">
      <c r="N68" s="230" t="s">
        <v>1612</v>
      </c>
      <c r="O68" s="336"/>
      <c r="P68" s="426"/>
      <c r="Q68" s="427" t="s">
        <v>1513</v>
      </c>
      <c r="R68" s="336"/>
      <c r="S68" s="426"/>
      <c r="T68" s="426"/>
      <c r="U68" s="426"/>
    </row>
    <row r="69" spans="14:21" ht="16.5" customHeight="1">
      <c r="O69" s="426"/>
      <c r="P69" s="426"/>
      <c r="Q69" s="426"/>
      <c r="R69" s="426"/>
      <c r="S69" s="426"/>
      <c r="T69" s="426"/>
      <c r="U69" s="426"/>
    </row>
    <row r="70" spans="14:21" ht="16.5" customHeight="1">
      <c r="O70" s="336"/>
      <c r="P70" s="426"/>
      <c r="Q70" s="428" t="s">
        <v>35</v>
      </c>
      <c r="R70" s="429"/>
      <c r="S70" s="426"/>
      <c r="T70" s="426"/>
      <c r="U70" s="426"/>
    </row>
    <row r="71" spans="14:21" ht="16.5" customHeight="1">
      <c r="O71" s="336"/>
      <c r="P71" s="426"/>
      <c r="Q71" s="427" t="s">
        <v>1903</v>
      </c>
      <c r="R71" s="429"/>
      <c r="S71" s="426"/>
      <c r="T71" s="426"/>
      <c r="U71" s="426"/>
    </row>
    <row r="72" spans="14:21" ht="16.5" customHeight="1">
      <c r="O72" s="426"/>
      <c r="P72" s="426"/>
      <c r="Q72" s="427" t="s">
        <v>674</v>
      </c>
      <c r="R72" s="429"/>
      <c r="S72" s="426"/>
      <c r="T72" s="426"/>
      <c r="U72" s="426"/>
    </row>
    <row r="73" spans="14:21" ht="16.5" customHeight="1">
      <c r="O73" s="426"/>
      <c r="P73" s="426"/>
      <c r="Q73" s="426"/>
      <c r="R73" s="426"/>
      <c r="S73" s="426"/>
      <c r="T73" s="426"/>
      <c r="U73" s="426"/>
    </row>
    <row r="74" spans="14:21" ht="16.5" customHeight="1">
      <c r="O74" s="430"/>
      <c r="P74" s="426"/>
      <c r="Q74" s="426"/>
      <c r="R74" s="426"/>
      <c r="S74" s="426"/>
      <c r="T74" s="427"/>
      <c r="U74" s="426"/>
    </row>
    <row r="75" spans="14:21" ht="16.5" customHeight="1">
      <c r="O75" s="336"/>
      <c r="P75" s="426"/>
      <c r="Q75" s="427" t="s">
        <v>675</v>
      </c>
      <c r="R75" s="429"/>
      <c r="S75" s="426"/>
      <c r="T75" s="427"/>
      <c r="U75" s="426"/>
    </row>
    <row r="76" spans="14:21" ht="16.5" customHeight="1">
      <c r="O76" s="426"/>
      <c r="P76" s="426"/>
      <c r="Q76" s="426"/>
      <c r="R76" s="426"/>
      <c r="S76" s="426"/>
      <c r="T76" s="426"/>
      <c r="U76" s="426"/>
    </row>
    <row r="77" spans="14:21" ht="16.5" customHeight="1">
      <c r="O77" s="431"/>
      <c r="P77" s="619"/>
      <c r="Q77" s="620"/>
      <c r="R77" s="621"/>
      <c r="S77" s="426"/>
      <c r="T77" s="426"/>
      <c r="U77" s="426"/>
    </row>
    <row r="78" spans="14:21" ht="16.5" customHeight="1">
      <c r="O78" s="341"/>
      <c r="P78" s="426"/>
      <c r="Q78" s="427" t="s">
        <v>678</v>
      </c>
      <c r="R78" s="341"/>
      <c r="S78" s="426"/>
      <c r="T78" s="427" t="s">
        <v>679</v>
      </c>
      <c r="U78" s="341"/>
    </row>
    <row r="79" spans="14:21" ht="16.5" customHeight="1">
      <c r="O79" s="341"/>
      <c r="P79" s="426"/>
      <c r="Q79" s="427" t="s">
        <v>683</v>
      </c>
      <c r="R79" s="336"/>
      <c r="S79" s="426"/>
      <c r="T79" s="427" t="s">
        <v>682</v>
      </c>
      <c r="U79" s="341"/>
    </row>
    <row r="80" spans="14:21" ht="16.5" customHeight="1">
      <c r="O80" s="341"/>
      <c r="P80" s="426"/>
      <c r="Q80" s="427" t="s">
        <v>681</v>
      </c>
      <c r="R80" s="336"/>
      <c r="S80" s="426"/>
      <c r="T80" s="331" t="s">
        <v>1836</v>
      </c>
      <c r="U80" s="341">
        <f>UNKB0140_B_SUMI_SURYO+UNKB0140_B_SURYO</f>
        <v>0</v>
      </c>
    </row>
    <row r="81" spans="15:21" ht="16.5" customHeight="1">
      <c r="O81" s="426"/>
      <c r="P81" s="426"/>
      <c r="Q81" s="426"/>
      <c r="R81" s="426"/>
      <c r="S81" s="426"/>
      <c r="T81" s="426"/>
      <c r="U81" s="426"/>
    </row>
    <row r="82" spans="15:21" ht="16.5" customHeight="1">
      <c r="O82" s="431"/>
      <c r="P82" s="619"/>
      <c r="Q82" s="620"/>
      <c r="R82" s="621"/>
      <c r="S82" s="426"/>
      <c r="T82" s="427"/>
      <c r="U82" s="426"/>
    </row>
    <row r="83" spans="15:21" ht="16.5" customHeight="1">
      <c r="O83" s="431"/>
      <c r="P83" s="619"/>
      <c r="Q83" s="620"/>
      <c r="R83" s="621"/>
      <c r="S83" s="426"/>
      <c r="T83" s="427"/>
      <c r="U83" s="426"/>
    </row>
    <row r="84" spans="15:21" ht="16.5" customHeight="1">
      <c r="O84" s="427"/>
      <c r="P84" s="427"/>
      <c r="Q84" s="427"/>
      <c r="R84" s="427"/>
      <c r="S84" s="427"/>
      <c r="T84" s="427"/>
      <c r="U84" s="426"/>
    </row>
    <row r="85" spans="15:21" ht="16.5" customHeight="1">
      <c r="O85" s="302"/>
      <c r="P85" s="426"/>
      <c r="Q85" s="427" t="s">
        <v>1529</v>
      </c>
      <c r="R85" s="336"/>
      <c r="S85" s="426"/>
      <c r="T85" s="427"/>
      <c r="U85" s="426"/>
    </row>
    <row r="86" spans="15:21" ht="16.5" customHeight="1">
      <c r="O86" s="616"/>
      <c r="P86" s="617"/>
      <c r="Q86" s="617"/>
      <c r="R86" s="618"/>
      <c r="S86" s="426"/>
      <c r="T86" s="427"/>
      <c r="U86" s="426"/>
    </row>
    <row r="87" spans="15:21" ht="16.5" customHeight="1">
      <c r="O87" s="336"/>
      <c r="P87" s="426"/>
      <c r="Q87" s="427" t="s">
        <v>1531</v>
      </c>
      <c r="R87" s="336"/>
      <c r="S87" s="426"/>
      <c r="T87" s="427"/>
      <c r="U87" s="426"/>
    </row>
  </sheetData>
  <mergeCells count="17">
    <mergeCell ref="P62:R62"/>
    <mergeCell ref="AC11:AD11"/>
    <mergeCell ref="P14:R14"/>
    <mergeCell ref="P19:R19"/>
    <mergeCell ref="P20:R20"/>
    <mergeCell ref="O23:R23"/>
    <mergeCell ref="P35:R35"/>
    <mergeCell ref="P40:R40"/>
    <mergeCell ref="P41:R41"/>
    <mergeCell ref="O44:R44"/>
    <mergeCell ref="P56:R56"/>
    <mergeCell ref="P61:R61"/>
    <mergeCell ref="O65:R65"/>
    <mergeCell ref="P77:R77"/>
    <mergeCell ref="P82:R82"/>
    <mergeCell ref="P83:R83"/>
    <mergeCell ref="O86:R86"/>
  </mergeCells>
  <phoneticPr fontId="1"/>
  <conditionalFormatting sqref="U37">
    <cfRule type="expression" dxfId="31" priority="40">
      <formula>INDIRECT(ADDRESS(ROW(),COLUMN()))=TRUNC(INDIRECT(ADDRESS(ROW(),COLUMN())))</formula>
    </cfRule>
  </conditionalFormatting>
  <conditionalFormatting sqref="O37">
    <cfRule type="expression" dxfId="30" priority="39">
      <formula>INDIRECT(ADDRESS(ROW(),COLUMN()))=TRUNC(INDIRECT(ADDRESS(ROW(),COLUMN())))</formula>
    </cfRule>
  </conditionalFormatting>
  <conditionalFormatting sqref="O57">
    <cfRule type="expression" dxfId="29" priority="38">
      <formula>INDIRECT(ADDRESS(ROW(),COLUMN()))=TRUNC(INDIRECT(ADDRESS(ROW(),COLUMN())))</formula>
    </cfRule>
  </conditionalFormatting>
  <conditionalFormatting sqref="R57">
    <cfRule type="expression" dxfId="28" priority="36">
      <formula>INDIRECT(ADDRESS(ROW(),COLUMN()))=TRUNC(INDIRECT(ADDRESS(ROW(),COLUMN())))</formula>
    </cfRule>
  </conditionalFormatting>
  <conditionalFormatting sqref="U57">
    <cfRule type="expression" dxfId="27" priority="35">
      <formula>INDIRECT(ADDRESS(ROW(),COLUMN()))=TRUNC(INDIRECT(ADDRESS(ROW(),COLUMN())))</formula>
    </cfRule>
  </conditionalFormatting>
  <conditionalFormatting sqref="O36">
    <cfRule type="expression" dxfId="26" priority="44">
      <formula>INDIRECT(ADDRESS(ROW(),COLUMN()))=TRUNC(INDIRECT(ADDRESS(ROW(),COLUMN())))</formula>
    </cfRule>
  </conditionalFormatting>
  <conditionalFormatting sqref="R36">
    <cfRule type="expression" dxfId="25" priority="42">
      <formula>INDIRECT(ADDRESS(ROW(),COLUMN()))=TRUNC(INDIRECT(ADDRESS(ROW(),COLUMN())))</formula>
    </cfRule>
  </conditionalFormatting>
  <conditionalFormatting sqref="U36">
    <cfRule type="expression" dxfId="24" priority="41">
      <formula>INDIRECT(ADDRESS(ROW(),COLUMN()))=TRUNC(INDIRECT(ADDRESS(ROW(),COLUMN())))</formula>
    </cfRule>
  </conditionalFormatting>
  <conditionalFormatting sqref="U58">
    <cfRule type="expression" dxfId="23" priority="34">
      <formula>INDIRECT(ADDRESS(ROW(),COLUMN()))=TRUNC(INDIRECT(ADDRESS(ROW(),COLUMN())))</formula>
    </cfRule>
  </conditionalFormatting>
  <conditionalFormatting sqref="O58">
    <cfRule type="expression" dxfId="22" priority="33">
      <formula>INDIRECT(ADDRESS(ROW(),COLUMN()))=TRUNC(INDIRECT(ADDRESS(ROW(),COLUMN())))</formula>
    </cfRule>
  </conditionalFormatting>
  <conditionalFormatting sqref="O78">
    <cfRule type="expression" dxfId="21" priority="32">
      <formula>INDIRECT(ADDRESS(ROW(),COLUMN()))=TRUNC(INDIRECT(ADDRESS(ROW(),COLUMN())))</formula>
    </cfRule>
  </conditionalFormatting>
  <conditionalFormatting sqref="R78">
    <cfRule type="expression" dxfId="20" priority="30">
      <formula>INDIRECT(ADDRESS(ROW(),COLUMN()))=TRUNC(INDIRECT(ADDRESS(ROW(),COLUMN())))</formula>
    </cfRule>
  </conditionalFormatting>
  <conditionalFormatting sqref="U78">
    <cfRule type="expression" dxfId="19" priority="29">
      <formula>INDIRECT(ADDRESS(ROW(),COLUMN()))=TRUNC(INDIRECT(ADDRESS(ROW(),COLUMN())))</formula>
    </cfRule>
  </conditionalFormatting>
  <conditionalFormatting sqref="U79">
    <cfRule type="expression" dxfId="18" priority="28">
      <formula>INDIRECT(ADDRESS(ROW(),COLUMN()))=TRUNC(INDIRECT(ADDRESS(ROW(),COLUMN())))</formula>
    </cfRule>
  </conditionalFormatting>
  <conditionalFormatting sqref="O79">
    <cfRule type="expression" dxfId="17" priority="27">
      <formula>INDIRECT(ADDRESS(ROW(),COLUMN()))=TRUNC(INDIRECT(ADDRESS(ROW(),COLUMN())))</formula>
    </cfRule>
  </conditionalFormatting>
  <conditionalFormatting sqref="O15">
    <cfRule type="expression" dxfId="16" priority="26">
      <formula>INDIRECT(ADDRESS(ROW(),COLUMN()))=TRUNC(INDIRECT(ADDRESS(ROW(),COLUMN())))</formula>
    </cfRule>
  </conditionalFormatting>
  <conditionalFormatting sqref="R15">
    <cfRule type="expression" dxfId="15" priority="24">
      <formula>INDIRECT(ADDRESS(ROW(),COLUMN()))=TRUNC(INDIRECT(ADDRESS(ROW(),COLUMN())))</formula>
    </cfRule>
  </conditionalFormatting>
  <conditionalFormatting sqref="U15">
    <cfRule type="expression" dxfId="14" priority="23">
      <formula>INDIRECT(ADDRESS(ROW(),COLUMN()))=TRUNC(INDIRECT(ADDRESS(ROW(),COLUMN())))</formula>
    </cfRule>
  </conditionalFormatting>
  <conditionalFormatting sqref="U16">
    <cfRule type="expression" dxfId="13" priority="22">
      <formula>INDIRECT(ADDRESS(ROW(),COLUMN()))=TRUNC(INDIRECT(ADDRESS(ROW(),COLUMN())))</formula>
    </cfRule>
  </conditionalFormatting>
  <conditionalFormatting sqref="O16">
    <cfRule type="expression" dxfId="12" priority="21">
      <formula>INDIRECT(ADDRESS(ROW(),COLUMN()))=TRUNC(INDIRECT(ADDRESS(ROW(),COLUMN())))</formula>
    </cfRule>
  </conditionalFormatting>
  <conditionalFormatting sqref="U17">
    <cfRule type="expression" dxfId="11" priority="11">
      <formula>INDIRECT(ADDRESS(ROW(),COLUMN()))=TRUNC(INDIRECT(ADDRESS(ROW(),COLUMN())))</formula>
    </cfRule>
    <cfRule type="expression" dxfId="10" priority="12">
      <formula>U17&gt;UNKB0140_B_CHUMON_SU</formula>
    </cfRule>
  </conditionalFormatting>
  <conditionalFormatting sqref="U38">
    <cfRule type="expression" dxfId="9" priority="9">
      <formula>INDIRECT(ADDRESS(ROW(),COLUMN()))=TRUNC(INDIRECT(ADDRESS(ROW(),COLUMN())))</formula>
    </cfRule>
    <cfRule type="expression" dxfId="8" priority="10">
      <formula>U38&gt;UNKB0140_B_CHUMON_SU</formula>
    </cfRule>
  </conditionalFormatting>
  <conditionalFormatting sqref="U59">
    <cfRule type="expression" dxfId="7" priority="7">
      <formula>INDIRECT(ADDRESS(ROW(),COLUMN()))=TRUNC(INDIRECT(ADDRESS(ROW(),COLUMN())))</formula>
    </cfRule>
    <cfRule type="expression" dxfId="6" priority="8">
      <formula>U59&gt;UNKB0140_B_CHUMON_SU</formula>
    </cfRule>
  </conditionalFormatting>
  <conditionalFormatting sqref="U80">
    <cfRule type="expression" dxfId="5" priority="5">
      <formula>INDIRECT(ADDRESS(ROW(),COLUMN()))=TRUNC(INDIRECT(ADDRESS(ROW(),COLUMN())))</formula>
    </cfRule>
    <cfRule type="expression" dxfId="4" priority="6">
      <formula>U80&gt;UNKB0140_B_CHUMON_SU</formula>
    </cfRule>
  </conditionalFormatting>
  <conditionalFormatting sqref="O17">
    <cfRule type="expression" dxfId="3" priority="4">
      <formula>INDIRECT(ADDRESS(ROW(),COLUMN()))=TRUNC(INDIRECT(ADDRESS(ROW(),COLUMN())))</formula>
    </cfRule>
  </conditionalFormatting>
  <conditionalFormatting sqref="O38">
    <cfRule type="expression" dxfId="2" priority="3">
      <formula>INDIRECT(ADDRESS(ROW(),COLUMN()))=TRUNC(INDIRECT(ADDRESS(ROW(),COLUMN())))</formula>
    </cfRule>
  </conditionalFormatting>
  <conditionalFormatting sqref="O59">
    <cfRule type="expression" dxfId="1" priority="2">
      <formula>INDIRECT(ADDRESS(ROW(),COLUMN()))=TRUNC(INDIRECT(ADDRESS(ROW(),COLUMN())))</formula>
    </cfRule>
  </conditionalFormatting>
  <conditionalFormatting sqref="O80">
    <cfRule type="expression" dxfId="0" priority="1">
      <formula>INDIRECT(ADDRESS(ROW(),COLUMN()))=TRUNC(INDIRECT(ADDRESS(ROW(),COLUMN())))</formula>
    </cfRule>
  </conditionalFormatting>
  <dataValidations count="4">
    <dataValidation type="custom" allowBlank="1" showInputMessage="1" showErrorMessage="1" sqref="L20">
      <formula1>AND(LEN(UNKB0140_H_IRAI_NO)=LENB(UNKB0140_H_IRAI_NO),LEN(UNKB0140_H_IRAI_NO)=10)</formula1>
    </dataValidation>
    <dataValidation type="custom" allowBlank="1" showInputMessage="1" showErrorMessage="1" sqref="O57:O58 R78 U36:U38 R36 U57:U59 O15:O16 O36:O37 R57 U15:U17 R15 U78:U80 O78:O79">
      <formula1>AND(NOT(ISERROR(INT(O15))),ROUND(O15,2)=O15,AND(O15&lt;100000,O15&gt;-100000))</formula1>
    </dataValidation>
    <dataValidation type="custom" allowBlank="1" showInputMessage="1" showErrorMessage="1" sqref="O17 O38 O59 O80">
      <formula1>AND(NOT(ISERROR(INT(O17))),ROUND(O17,2)=O17,AND(O17&lt;100000,O17&gt;0))</formula1>
    </dataValidation>
    <dataValidation type="date" allowBlank="1" showInputMessage="1" showErrorMessage="1" sqref="R29 R8 R71">
      <formula1>36526</formula1>
      <formula2>73415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B3:H23"/>
  <sheetViews>
    <sheetView zoomScale="70" zoomScaleNormal="70" workbookViewId="0">
      <selection activeCell="H14" sqref="H14"/>
    </sheetView>
  </sheetViews>
  <sheetFormatPr defaultRowHeight="13.5"/>
  <cols>
    <col min="1" max="1" width="9" style="230"/>
    <col min="2" max="2" width="3.5" style="230" customWidth="1"/>
    <col min="3" max="3" width="3.125" style="230" customWidth="1"/>
    <col min="4" max="4" width="25.125" style="230" bestFit="1" customWidth="1"/>
    <col min="5" max="5" width="4.375" style="230" customWidth="1"/>
    <col min="6" max="6" width="82.5" style="230" bestFit="1" customWidth="1"/>
    <col min="7" max="7" width="4" style="230" customWidth="1"/>
    <col min="8" max="8" width="40.375" style="230" bestFit="1" customWidth="1"/>
    <col min="9" max="16384" width="9" style="230"/>
  </cols>
  <sheetData>
    <row r="3" spans="2:8" ht="18.75">
      <c r="B3" s="609" t="s">
        <v>516</v>
      </c>
      <c r="C3" s="609"/>
      <c r="D3" s="606"/>
      <c r="E3" s="285"/>
      <c r="F3" s="304"/>
      <c r="G3" s="304"/>
      <c r="H3" s="50" t="s">
        <v>123</v>
      </c>
    </row>
    <row r="4" spans="2:8" ht="21.75" customHeight="1">
      <c r="B4" s="104"/>
      <c r="C4" s="521" t="s">
        <v>516</v>
      </c>
      <c r="D4" s="622"/>
      <c r="E4" s="305"/>
      <c r="F4" s="110" t="str">
        <f>IF(UNKB0140_IF_MODE=1,$F$5,$F$9)</f>
        <v>SELECT *
  FROM V_UKEIRE_KENSHU_DATA_SANSHO
 WHERE NYUSHUKKO_NO = ''</v>
      </c>
      <c r="G4" s="206"/>
      <c r="H4" s="306" t="s">
        <v>1613</v>
      </c>
    </row>
    <row r="5" spans="2:8" ht="18.75" customHeight="1">
      <c r="B5" s="207"/>
      <c r="C5" s="515" t="s">
        <v>1614</v>
      </c>
      <c r="D5" s="516"/>
      <c r="E5" s="282"/>
      <c r="F5" s="106" t="str">
        <f>F6&amp;F7&amp;F8</f>
        <v>SELECT *
  FROM V_UKEIRE_KENSHU_DATA_SHINKI
 WHERE IRAI_NO = ''</v>
      </c>
      <c r="G5" s="208"/>
      <c r="H5" s="209" t="s">
        <v>125</v>
      </c>
    </row>
    <row r="6" spans="2:8" ht="18.75" customHeight="1">
      <c r="B6" s="207"/>
      <c r="C6" s="99"/>
      <c r="D6" s="56" t="s">
        <v>1615</v>
      </c>
      <c r="E6" s="56"/>
      <c r="F6" s="106" t="s">
        <v>1616</v>
      </c>
      <c r="G6" s="208"/>
      <c r="H6" s="209" t="s">
        <v>125</v>
      </c>
    </row>
    <row r="7" spans="2:8" ht="18.75" customHeight="1">
      <c r="B7" s="207"/>
      <c r="C7" s="99"/>
      <c r="D7" s="56" t="s">
        <v>1617</v>
      </c>
      <c r="E7" s="124"/>
      <c r="F7" s="106" t="s">
        <v>1618</v>
      </c>
      <c r="G7" s="208"/>
      <c r="H7" s="209" t="s">
        <v>125</v>
      </c>
    </row>
    <row r="8" spans="2:8" ht="18.75" customHeight="1">
      <c r="B8" s="207"/>
      <c r="C8" s="99"/>
      <c r="D8" s="56" t="s">
        <v>1619</v>
      </c>
      <c r="E8" s="56"/>
      <c r="F8" s="106" t="str">
        <f>" WHERE IRAI_NO = '"&amp;UNKB0140_IF_REF_NO&amp;"'"</f>
        <v xml:space="preserve"> WHERE IRAI_NO = ''</v>
      </c>
      <c r="G8" s="208"/>
      <c r="H8" s="209" t="s">
        <v>125</v>
      </c>
    </row>
    <row r="9" spans="2:8" ht="18.75" customHeight="1">
      <c r="B9" s="207"/>
      <c r="C9" s="515" t="s">
        <v>1620</v>
      </c>
      <c r="D9" s="516"/>
      <c r="E9" s="282"/>
      <c r="F9" s="106" t="str">
        <f>F10&amp;F11&amp;F12</f>
        <v>SELECT *
  FROM V_UKEIRE_KENSHU_DATA_SANSHO
 WHERE NYUSHUKKO_NO = ''</v>
      </c>
      <c r="G9" s="208"/>
      <c r="H9" s="209" t="s">
        <v>125</v>
      </c>
    </row>
    <row r="10" spans="2:8" ht="18.75" customHeight="1">
      <c r="B10" s="207"/>
      <c r="C10" s="99"/>
      <c r="D10" s="56" t="s">
        <v>1621</v>
      </c>
      <c r="E10" s="56"/>
      <c r="F10" s="106" t="s">
        <v>1622</v>
      </c>
      <c r="G10" s="208"/>
      <c r="H10" s="209" t="s">
        <v>125</v>
      </c>
    </row>
    <row r="11" spans="2:8" ht="18.75" customHeight="1">
      <c r="B11" s="207"/>
      <c r="C11" s="99"/>
      <c r="D11" s="56" t="s">
        <v>1623</v>
      </c>
      <c r="E11" s="56"/>
      <c r="F11" s="106" t="s">
        <v>1624</v>
      </c>
      <c r="G11" s="208"/>
      <c r="H11" s="209" t="s">
        <v>125</v>
      </c>
    </row>
    <row r="12" spans="2:8" ht="18.75" customHeight="1">
      <c r="B12" s="207"/>
      <c r="C12" s="99"/>
      <c r="D12" s="56" t="s">
        <v>1625</v>
      </c>
      <c r="E12" s="56"/>
      <c r="F12" s="106" t="str">
        <f>" WHERE NYUSHUKKO_NO = '"&amp;UNKB0140_IF_REF_NO&amp;"'"</f>
        <v xml:space="preserve"> WHERE NYUSHUKKO_NO = ''</v>
      </c>
      <c r="G12" s="208"/>
      <c r="H12" s="209" t="s">
        <v>125</v>
      </c>
    </row>
    <row r="13" spans="2:8" ht="18.75" customHeight="1">
      <c r="B13" s="207"/>
      <c r="C13" s="521" t="s">
        <v>516</v>
      </c>
      <c r="D13" s="522"/>
      <c r="E13" s="286"/>
      <c r="F13" s="110" t="str">
        <f>F14&amp;$F$15</f>
        <v>SELECT COUNT(*) AS CNT
  FROM V_UKEIRE_KENSHU_DATA_SHINKI
 WHERE IRAI_NO = ''</v>
      </c>
      <c r="G13" s="206"/>
      <c r="H13" s="50" t="s">
        <v>1626</v>
      </c>
    </row>
    <row r="14" spans="2:8" ht="18.75" customHeight="1">
      <c r="B14" s="207"/>
      <c r="C14" s="99"/>
      <c r="D14" s="56" t="s">
        <v>1627</v>
      </c>
      <c r="E14" s="56"/>
      <c r="F14" s="106" t="s">
        <v>1628</v>
      </c>
      <c r="G14" s="208"/>
      <c r="H14" s="209" t="s">
        <v>125</v>
      </c>
    </row>
    <row r="15" spans="2:8" ht="18.75" customHeight="1">
      <c r="B15" s="100"/>
      <c r="C15" s="99"/>
      <c r="D15" s="56" t="s">
        <v>1629</v>
      </c>
      <c r="E15" s="56"/>
      <c r="F15" s="106" t="str">
        <f>" WHERE IRAI_NO = '"&amp;UNKB0140_IF_REF_NO&amp;"'"</f>
        <v xml:space="preserve"> WHERE IRAI_NO = ''</v>
      </c>
      <c r="G15" s="208"/>
      <c r="H15" s="209" t="s">
        <v>125</v>
      </c>
    </row>
    <row r="18" spans="2:8" ht="18.75">
      <c r="B18" s="609" t="s">
        <v>1630</v>
      </c>
      <c r="C18" s="609"/>
      <c r="D18" s="609"/>
      <c r="E18" s="281"/>
      <c r="F18" s="206"/>
      <c r="G18" s="206"/>
      <c r="H18" s="50" t="s">
        <v>123</v>
      </c>
    </row>
    <row r="19" spans="2:8" ht="19.5" customHeight="1">
      <c r="B19" s="100"/>
      <c r="C19" s="519" t="s">
        <v>615</v>
      </c>
      <c r="D19" s="520"/>
      <c r="E19" s="283"/>
      <c r="F19" s="208" t="str">
        <f>"EXEC SP_SAVE_T_NYUKO '"&amp;UNKB0140_IF_W_USER_ID&amp;"','"&amp;UNKB0140_IF_W_SERIAL&amp;"',"&amp;UNKB0140_IF_W_MODE&amp;",'"&amp;UNKB0140_IF_REF_NO&amp;"',"&amp;IF(UNKB0140_B_SURYO="",0,UNKB0140_B_SURYO)</f>
        <v>EXEC SP_SAVE_T_NYUKO '','',1,'',0</v>
      </c>
      <c r="G19" s="208"/>
      <c r="H19" s="209" t="s">
        <v>1631</v>
      </c>
    </row>
    <row r="22" spans="2:8" ht="18.75">
      <c r="B22" s="609" t="s">
        <v>583</v>
      </c>
      <c r="C22" s="609"/>
      <c r="D22" s="609"/>
      <c r="E22" s="281"/>
      <c r="F22" s="206"/>
      <c r="G22" s="206"/>
      <c r="H22" s="50" t="s">
        <v>123</v>
      </c>
    </row>
    <row r="23" spans="2:8" ht="20.25" customHeight="1">
      <c r="B23" s="207"/>
      <c r="C23" s="519" t="s">
        <v>584</v>
      </c>
      <c r="D23" s="520"/>
      <c r="E23" s="283"/>
      <c r="F23" s="106" t="str">
        <f>"SELECT SHAIN_CD
      ,SHIMEI
  FROM M_SHAIN
 WHERE SHAIN_CD = '"&amp;UNKB0140_IF_W_USER_ID&amp;"'"</f>
        <v>SELECT SHAIN_CD
      ,SHIMEI
  FROM M_SHAIN
 WHERE SHAIN_CD = ''</v>
      </c>
      <c r="G23" s="208"/>
      <c r="H23" s="209" t="s">
        <v>1632</v>
      </c>
    </row>
  </sheetData>
  <mergeCells count="9">
    <mergeCell ref="C19:D19"/>
    <mergeCell ref="B22:D22"/>
    <mergeCell ref="C23:D23"/>
    <mergeCell ref="B3:D3"/>
    <mergeCell ref="C4:D4"/>
    <mergeCell ref="C5:D5"/>
    <mergeCell ref="C9:D9"/>
    <mergeCell ref="C13:D13"/>
    <mergeCell ref="B18:D18"/>
  </mergeCells>
  <phoneticPr fontId="1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>
    <tabColor theme="9" tint="0.39997558519241921"/>
  </sheetPr>
  <dimension ref="A1:BD12"/>
  <sheetViews>
    <sheetView zoomScale="130" zoomScaleNormal="130" zoomScaleSheetLayoutView="160" workbookViewId="0">
      <selection activeCell="AC18" sqref="AC18"/>
    </sheetView>
  </sheetViews>
  <sheetFormatPr defaultColWidth="2.875" defaultRowHeight="16.5"/>
  <cols>
    <col min="1" max="1" width="9" style="29" customWidth="1"/>
    <col min="2" max="9" width="2.25" style="29" customWidth="1"/>
    <col min="10" max="15" width="2.25" style="30" customWidth="1"/>
    <col min="16" max="27" width="2.875" style="30"/>
    <col min="28" max="28" width="11.375" style="30" bestFit="1" customWidth="1"/>
    <col min="29" max="29" width="27.75" style="30" bestFit="1" customWidth="1"/>
    <col min="30" max="30" width="8.625" style="30" bestFit="1" customWidth="1"/>
    <col min="31" max="41" width="2.875" style="30"/>
    <col min="42" max="42" width="9" style="29" customWidth="1"/>
    <col min="43" max="50" width="2.25" style="29" customWidth="1"/>
    <col min="51" max="56" width="2.25" style="30" customWidth="1"/>
    <col min="57" max="16384" width="2.875" style="30"/>
  </cols>
  <sheetData>
    <row r="1" spans="1:56" s="230" customFormat="1" ht="11.25" customHeight="1">
      <c r="A1" s="465" t="s">
        <v>74</v>
      </c>
      <c r="B1" s="625" t="str">
        <f>IF(UNKB0140_B_KOBAIHIN_CD="","",UNKB0140_B_KOBAIHIN_CD)</f>
        <v/>
      </c>
      <c r="C1" s="625"/>
      <c r="D1" s="625"/>
      <c r="E1" s="625"/>
      <c r="F1" s="625"/>
      <c r="G1" s="625"/>
      <c r="H1" s="625"/>
      <c r="I1" s="626"/>
      <c r="J1" s="627" t="s">
        <v>1837</v>
      </c>
      <c r="K1" s="628"/>
      <c r="L1" s="628"/>
      <c r="M1" s="628"/>
      <c r="N1" s="628"/>
      <c r="O1" s="629"/>
      <c r="AP1" s="465" t="s">
        <v>74</v>
      </c>
      <c r="AQ1" s="625" t="str">
        <f>IF(UNKB0140_B_KOBAIHIN_CD="","",UNKB0140_B_KOBAIHIN_CD)</f>
        <v/>
      </c>
      <c r="AR1" s="625"/>
      <c r="AS1" s="625"/>
      <c r="AT1" s="625"/>
      <c r="AU1" s="625"/>
      <c r="AV1" s="625"/>
      <c r="AW1" s="625"/>
      <c r="AX1" s="625"/>
      <c r="AY1" s="625"/>
      <c r="AZ1" s="625"/>
      <c r="BA1" s="625"/>
      <c r="BB1" s="625"/>
      <c r="BC1" s="625"/>
      <c r="BD1" s="625"/>
    </row>
    <row r="2" spans="1:56" s="230" customFormat="1" ht="11.25" customHeight="1">
      <c r="A2" s="465" t="s">
        <v>89</v>
      </c>
      <c r="B2" s="630" t="str">
        <f>IF(UNKB0140_B_HATCHU_DATE="","",UNKB0140_B_HATCHU_DATE)</f>
        <v/>
      </c>
      <c r="C2" s="630"/>
      <c r="D2" s="630"/>
      <c r="E2" s="630"/>
      <c r="F2" s="630"/>
      <c r="G2" s="631" t="s">
        <v>1838</v>
      </c>
      <c r="H2" s="631"/>
      <c r="I2" s="631"/>
      <c r="J2" s="631"/>
      <c r="K2" s="630" t="str">
        <f>IF(UNKB0140_B_UKEIRE_DATE="","",UNKB0140_B_UKEIRE_DATE)</f>
        <v/>
      </c>
      <c r="L2" s="630"/>
      <c r="M2" s="630"/>
      <c r="N2" s="630"/>
      <c r="O2" s="630"/>
      <c r="AP2" s="465" t="s">
        <v>89</v>
      </c>
      <c r="AQ2" s="630" t="str">
        <f>IF(UNKB0140_B_HATCHU_DATE="","",UNKB0140_B_HATCHU_DATE)</f>
        <v/>
      </c>
      <c r="AR2" s="630"/>
      <c r="AS2" s="630"/>
      <c r="AT2" s="630"/>
      <c r="AU2" s="630"/>
      <c r="AV2" s="630"/>
      <c r="AW2" s="630"/>
      <c r="AX2" s="630"/>
      <c r="AY2" s="630"/>
      <c r="AZ2" s="630"/>
      <c r="BA2" s="630"/>
      <c r="BB2" s="630"/>
      <c r="BC2" s="630"/>
      <c r="BD2" s="630"/>
    </row>
    <row r="3" spans="1:56" s="230" customFormat="1" ht="11.25" customHeight="1">
      <c r="A3" s="465" t="s">
        <v>59</v>
      </c>
      <c r="B3" s="624" t="str">
        <f>IF(UNKB0140_B_SHIIRESAKI_MEI="","",UNKB0140_B_SHIIRESAKI_MEI)</f>
        <v/>
      </c>
      <c r="C3" s="624"/>
      <c r="D3" s="624"/>
      <c r="E3" s="624"/>
      <c r="F3" s="624"/>
      <c r="G3" s="624"/>
      <c r="H3" s="624"/>
      <c r="I3" s="624"/>
      <c r="J3" s="624"/>
      <c r="K3" s="624"/>
      <c r="L3" s="624"/>
      <c r="M3" s="624"/>
      <c r="N3" s="624"/>
      <c r="O3" s="624"/>
      <c r="AP3" s="465" t="s">
        <v>59</v>
      </c>
      <c r="AQ3" s="624" t="str">
        <f>IF(UNKB0140_B_SHIIRESAKI_MEI="","",UNKB0140_B_SHIIRESAKI_MEI)</f>
        <v/>
      </c>
      <c r="AR3" s="624"/>
      <c r="AS3" s="624"/>
      <c r="AT3" s="624"/>
      <c r="AU3" s="624"/>
      <c r="AV3" s="624"/>
      <c r="AW3" s="624"/>
      <c r="AX3" s="624"/>
      <c r="AY3" s="624"/>
      <c r="AZ3" s="624"/>
      <c r="BA3" s="624"/>
      <c r="BB3" s="624"/>
      <c r="BC3" s="624"/>
      <c r="BD3" s="624"/>
    </row>
    <row r="4" spans="1:56" s="230" customFormat="1" ht="11.25" customHeight="1">
      <c r="A4" s="465" t="s">
        <v>61</v>
      </c>
      <c r="B4" s="624" t="str">
        <f>IF(UNKB0140_B_MAKER_MEI="","",UNKB0140_B_MAKER_MEI)</f>
        <v/>
      </c>
      <c r="C4" s="624"/>
      <c r="D4" s="624"/>
      <c r="E4" s="624"/>
      <c r="F4" s="624"/>
      <c r="G4" s="624"/>
      <c r="H4" s="624"/>
      <c r="I4" s="624"/>
      <c r="J4" s="624"/>
      <c r="K4" s="624"/>
      <c r="L4" s="624"/>
      <c r="M4" s="624"/>
      <c r="N4" s="624"/>
      <c r="O4" s="624"/>
      <c r="AP4" s="465" t="s">
        <v>61</v>
      </c>
      <c r="AQ4" s="624" t="str">
        <f>IF(UNKB0140_B_MAKER_MEI="","",UNKB0140_B_MAKER_MEI)</f>
        <v/>
      </c>
      <c r="AR4" s="624"/>
      <c r="AS4" s="624"/>
      <c r="AT4" s="624"/>
      <c r="AU4" s="624"/>
      <c r="AV4" s="624"/>
      <c r="AW4" s="624"/>
      <c r="AX4" s="624"/>
      <c r="AY4" s="624"/>
      <c r="AZ4" s="624"/>
      <c r="BA4" s="624"/>
      <c r="BB4" s="624"/>
      <c r="BC4" s="624"/>
      <c r="BD4" s="624"/>
    </row>
    <row r="5" spans="1:56" s="230" customFormat="1" ht="11.25" customHeight="1">
      <c r="A5" s="465" t="s">
        <v>90</v>
      </c>
      <c r="B5" s="624" t="str">
        <f>IF(UNKB0140_B_KOBAIHIN_MEI="","",UNKB0140_B_KOBAIHIN_MEI)</f>
        <v/>
      </c>
      <c r="C5" s="624"/>
      <c r="D5" s="624"/>
      <c r="E5" s="624"/>
      <c r="F5" s="624"/>
      <c r="G5" s="624"/>
      <c r="H5" s="624"/>
      <c r="I5" s="624"/>
      <c r="J5" s="624"/>
      <c r="K5" s="624"/>
      <c r="L5" s="624"/>
      <c r="M5" s="624"/>
      <c r="N5" s="624"/>
      <c r="O5" s="624"/>
      <c r="AP5" s="465" t="s">
        <v>90</v>
      </c>
      <c r="AQ5" s="624" t="str">
        <f>IF(UNKB0140_B_KOBAIHIN_MEI="","",UNKB0140_B_KOBAIHIN_MEI)</f>
        <v/>
      </c>
      <c r="AR5" s="624"/>
      <c r="AS5" s="624"/>
      <c r="AT5" s="624"/>
      <c r="AU5" s="624"/>
      <c r="AV5" s="624"/>
      <c r="AW5" s="624"/>
      <c r="AX5" s="624"/>
      <c r="AY5" s="624"/>
      <c r="AZ5" s="624"/>
      <c r="BA5" s="624"/>
      <c r="BB5" s="624"/>
      <c r="BC5" s="624"/>
      <c r="BD5" s="624"/>
    </row>
    <row r="6" spans="1:56" s="230" customFormat="1" ht="11.25" customHeight="1">
      <c r="A6" s="465" t="s">
        <v>91</v>
      </c>
      <c r="B6" s="634" t="str">
        <f>IF(UNKB0140_B_IRISU="","",UNKB0140_B_IRISU)
&amp;IF(UNKB0140_B_BARA_TANI="","",UNKB0140_B_BARA_TANI)</f>
        <v/>
      </c>
      <c r="C6" s="634"/>
      <c r="D6" s="634"/>
      <c r="E6" s="634"/>
      <c r="F6" s="634"/>
      <c r="G6" s="634"/>
      <c r="H6" s="634"/>
      <c r="I6" s="634"/>
      <c r="J6" s="634"/>
      <c r="K6" s="634"/>
      <c r="L6" s="634"/>
      <c r="M6" s="634"/>
      <c r="N6" s="634"/>
      <c r="O6" s="634"/>
      <c r="AP6" s="465" t="s">
        <v>91</v>
      </c>
      <c r="AQ6" s="634" t="str">
        <f>IF(UNKB0140_B_IRISU="","",UNKB0140_B_IRISU)
&amp;IF(UNKB0140_B_BARA_TANI="","",UNKB0140_B_BARA_TANI)</f>
        <v/>
      </c>
      <c r="AR6" s="634"/>
      <c r="AS6" s="634"/>
      <c r="AT6" s="634"/>
      <c r="AU6" s="634"/>
      <c r="AV6" s="634"/>
      <c r="AW6" s="634"/>
      <c r="AX6" s="634"/>
      <c r="AY6" s="634"/>
      <c r="AZ6" s="634"/>
      <c r="BA6" s="634"/>
      <c r="BB6" s="634"/>
      <c r="BC6" s="634"/>
      <c r="BD6" s="634"/>
    </row>
    <row r="7" spans="1:56" s="230" customFormat="1" ht="11.25" customHeight="1">
      <c r="A7" s="465" t="s">
        <v>50</v>
      </c>
      <c r="B7" s="634" t="str">
        <f>IF(UNKB0140_B_SURYO="","",UNKB0140_B_SURYO)</f>
        <v/>
      </c>
      <c r="C7" s="634"/>
      <c r="D7" s="634"/>
      <c r="E7" s="634"/>
      <c r="F7" s="634"/>
      <c r="G7" s="634"/>
      <c r="H7" s="634"/>
      <c r="I7" s="634"/>
      <c r="J7" s="634"/>
      <c r="K7" s="634"/>
      <c r="L7" s="634"/>
      <c r="M7" s="634"/>
      <c r="N7" s="634"/>
      <c r="O7" s="634"/>
      <c r="AP7" s="465" t="s">
        <v>50</v>
      </c>
      <c r="AQ7" s="634" t="str">
        <f>IF(UNKB0140_B_SURYO="","",UNKB0140_B_SURYO)</f>
        <v/>
      </c>
      <c r="AR7" s="634"/>
      <c r="AS7" s="634"/>
      <c r="AT7" s="634"/>
      <c r="AU7" s="634"/>
      <c r="AV7" s="634"/>
      <c r="AW7" s="634"/>
      <c r="AX7" s="634"/>
      <c r="AY7" s="634"/>
      <c r="AZ7" s="634"/>
      <c r="BA7" s="634"/>
      <c r="BB7" s="634"/>
      <c r="BC7" s="634"/>
      <c r="BD7" s="634"/>
    </row>
    <row r="8" spans="1:56" s="230" customFormat="1" ht="11.25" customHeight="1">
      <c r="A8" s="465" t="s">
        <v>87</v>
      </c>
      <c r="B8" s="624" t="str">
        <f>IF(UNKB0140_B_IRISU_TANI="","",UNKB0140_B_IRISU_TANI)</f>
        <v/>
      </c>
      <c r="C8" s="624"/>
      <c r="D8" s="624"/>
      <c r="E8" s="624"/>
      <c r="F8" s="624"/>
      <c r="G8" s="624"/>
      <c r="H8" s="624"/>
      <c r="I8" s="624"/>
      <c r="J8" s="624"/>
      <c r="K8" s="624"/>
      <c r="L8" s="624"/>
      <c r="M8" s="624"/>
      <c r="N8" s="624"/>
      <c r="O8" s="624"/>
      <c r="AP8" s="465" t="s">
        <v>87</v>
      </c>
      <c r="AQ8" s="624" t="str">
        <f>IF(UNKB0140_B_IRISU_TANI="","",UNKB0140_B_IRISU_TANI)</f>
        <v/>
      </c>
      <c r="AR8" s="624"/>
      <c r="AS8" s="624"/>
      <c r="AT8" s="624"/>
      <c r="AU8" s="624"/>
      <c r="AV8" s="624"/>
      <c r="AW8" s="624"/>
      <c r="AX8" s="624"/>
      <c r="AY8" s="624"/>
      <c r="AZ8" s="624"/>
      <c r="BA8" s="624"/>
      <c r="BB8" s="624"/>
      <c r="BC8" s="624"/>
      <c r="BD8" s="624"/>
    </row>
    <row r="9" spans="1:56" s="230" customFormat="1" ht="11.25" customHeight="1">
      <c r="A9" s="465" t="s">
        <v>110</v>
      </c>
      <c r="B9" s="624" t="str">
        <f>IF(UNKB0140_B_SHINSEISHA_MEI="","",UNKB0140_B_SHINSEISHA_MEI)</f>
        <v/>
      </c>
      <c r="C9" s="624"/>
      <c r="D9" s="624"/>
      <c r="E9" s="624"/>
      <c r="F9" s="624"/>
      <c r="G9" s="624"/>
      <c r="H9" s="624"/>
      <c r="I9" s="624"/>
      <c r="J9" s="624"/>
      <c r="K9" s="632" t="s">
        <v>1839</v>
      </c>
      <c r="L9" s="632"/>
      <c r="M9" s="632"/>
      <c r="N9" s="633" t="str">
        <f>IF(UNKB0140_B_DOKU_FLG=TRUE,"○","×")</f>
        <v>×</v>
      </c>
      <c r="O9" s="633"/>
      <c r="AP9" s="465" t="s">
        <v>110</v>
      </c>
      <c r="AQ9" s="624" t="str">
        <f>IF(UNKB0140_B_SHINSEISHA_MEI="","",UNKB0140_B_SHINSEISHA_MEI)</f>
        <v/>
      </c>
      <c r="AR9" s="624"/>
      <c r="AS9" s="624"/>
      <c r="AT9" s="624"/>
      <c r="AU9" s="624"/>
      <c r="AV9" s="624"/>
      <c r="AW9" s="624"/>
      <c r="AX9" s="624"/>
      <c r="AY9" s="624"/>
      <c r="AZ9" s="624"/>
      <c r="BA9" s="624"/>
      <c r="BB9" s="624"/>
      <c r="BC9" s="624"/>
      <c r="BD9" s="624"/>
    </row>
    <row r="10" spans="1:56" s="230" customFormat="1" ht="11.25" customHeight="1">
      <c r="A10" s="465" t="s">
        <v>65</v>
      </c>
      <c r="B10" s="624" t="str">
        <f>IF(UNKB0140_B_KOBAI_NO="","",UNKB0140_B_KOBAI_NO)</f>
        <v/>
      </c>
      <c r="C10" s="624"/>
      <c r="D10" s="624"/>
      <c r="E10" s="624"/>
      <c r="F10" s="624"/>
      <c r="G10" s="636" t="s">
        <v>66</v>
      </c>
      <c r="H10" s="636"/>
      <c r="I10" s="636"/>
      <c r="J10" s="636"/>
      <c r="K10" s="624" t="str">
        <f>IF(UNKB0140_H_IRAI_NO="","",UNKB0140_H_IRAI_NO)</f>
        <v/>
      </c>
      <c r="L10" s="624"/>
      <c r="M10" s="624"/>
      <c r="N10" s="624"/>
      <c r="O10" s="624"/>
      <c r="AP10" s="465" t="s">
        <v>65</v>
      </c>
      <c r="AQ10" s="624" t="str">
        <f>IF(UNKB0140_B_KOBAI_NO="","",UNKB0140_B_KOBAI_NO)</f>
        <v/>
      </c>
      <c r="AR10" s="624"/>
      <c r="AS10" s="624"/>
      <c r="AT10" s="624"/>
      <c r="AU10" s="624"/>
      <c r="AV10" s="624" t="s">
        <v>66</v>
      </c>
      <c r="AW10" s="624"/>
      <c r="AX10" s="624"/>
      <c r="AY10" s="624"/>
      <c r="AZ10" s="624" t="str">
        <f>IF(UNKB0140_H_IRAI_NO="","",UNKB0140_H_IRAI_NO)</f>
        <v/>
      </c>
      <c r="BA10" s="624"/>
      <c r="BB10" s="624"/>
      <c r="BC10" s="624"/>
      <c r="BD10" s="624"/>
    </row>
    <row r="11" spans="1:56" s="230" customFormat="1" ht="24.75" customHeight="1">
      <c r="A11" s="635" t="s">
        <v>111</v>
      </c>
      <c r="B11" s="623" t="str">
        <f>"*"&amp;UNKB0140_B_ZAIKO_NO&amp;"*"</f>
        <v>**</v>
      </c>
      <c r="C11" s="623"/>
      <c r="D11" s="623"/>
      <c r="E11" s="623"/>
      <c r="F11" s="623"/>
      <c r="G11" s="623"/>
      <c r="H11" s="623"/>
      <c r="I11" s="623"/>
      <c r="J11" s="623"/>
      <c r="K11" s="623"/>
      <c r="L11" s="623"/>
      <c r="M11" s="623"/>
      <c r="N11" s="623"/>
      <c r="O11" s="623"/>
      <c r="AP11" s="635" t="s">
        <v>111</v>
      </c>
      <c r="AQ11" s="623" t="str">
        <f>"*"&amp;UNKB0140_B_ZAIKO_NO&amp;"*"</f>
        <v>**</v>
      </c>
      <c r="AR11" s="623"/>
      <c r="AS11" s="623"/>
      <c r="AT11" s="623"/>
      <c r="AU11" s="623"/>
      <c r="AV11" s="623"/>
      <c r="AW11" s="623"/>
      <c r="AX11" s="623"/>
      <c r="AY11" s="623"/>
      <c r="AZ11" s="623"/>
      <c r="BA11" s="623"/>
      <c r="BB11" s="623"/>
      <c r="BC11" s="623"/>
      <c r="BD11" s="623"/>
    </row>
    <row r="12" spans="1:56" s="230" customFormat="1" ht="11.25" customHeight="1">
      <c r="A12" s="635"/>
      <c r="B12" s="624" t="str">
        <f>IF(UNKB0140_B_ZAIKO_NO="","",UNKB0140_B_ZAIKO_NO)</f>
        <v/>
      </c>
      <c r="C12" s="624"/>
      <c r="D12" s="624"/>
      <c r="E12" s="624"/>
      <c r="F12" s="624"/>
      <c r="G12" s="624"/>
      <c r="H12" s="624"/>
      <c r="I12" s="624"/>
      <c r="J12" s="624"/>
      <c r="K12" s="624"/>
      <c r="L12" s="624"/>
      <c r="M12" s="624"/>
      <c r="N12" s="624"/>
      <c r="O12" s="624"/>
      <c r="AP12" s="635"/>
      <c r="AQ12" s="624" t="str">
        <f>IF(UNKB0140_B_ZAIKO_NO="","",UNKB0140_B_ZAIKO_NO)</f>
        <v/>
      </c>
      <c r="AR12" s="624"/>
      <c r="AS12" s="624"/>
      <c r="AT12" s="624"/>
      <c r="AU12" s="624"/>
      <c r="AV12" s="624"/>
      <c r="AW12" s="624"/>
      <c r="AX12" s="624"/>
      <c r="AY12" s="624"/>
      <c r="AZ12" s="624"/>
      <c r="BA12" s="624"/>
      <c r="BB12" s="624"/>
      <c r="BC12" s="624"/>
      <c r="BD12" s="624"/>
    </row>
  </sheetData>
  <mergeCells count="35">
    <mergeCell ref="B6:O6"/>
    <mergeCell ref="B3:O3"/>
    <mergeCell ref="B4:O4"/>
    <mergeCell ref="B5:O5"/>
    <mergeCell ref="AP11:AP12"/>
    <mergeCell ref="A11:A12"/>
    <mergeCell ref="B11:O11"/>
    <mergeCell ref="B12:O12"/>
    <mergeCell ref="B7:O7"/>
    <mergeCell ref="B8:O8"/>
    <mergeCell ref="B10:F10"/>
    <mergeCell ref="G10:J10"/>
    <mergeCell ref="K10:O10"/>
    <mergeCell ref="AQ7:BD7"/>
    <mergeCell ref="AQ8:BD8"/>
    <mergeCell ref="AQ9:BD9"/>
    <mergeCell ref="AQ10:AU10"/>
    <mergeCell ref="AV10:AY10"/>
    <mergeCell ref="AZ10:BD10"/>
    <mergeCell ref="AQ11:BD11"/>
    <mergeCell ref="AQ12:BD12"/>
    <mergeCell ref="B1:I1"/>
    <mergeCell ref="J1:O1"/>
    <mergeCell ref="B2:F2"/>
    <mergeCell ref="G2:J2"/>
    <mergeCell ref="K2:O2"/>
    <mergeCell ref="B9:J9"/>
    <mergeCell ref="K9:M9"/>
    <mergeCell ref="N9:O9"/>
    <mergeCell ref="AQ1:BD1"/>
    <mergeCell ref="AQ2:BD2"/>
    <mergeCell ref="AQ3:BD3"/>
    <mergeCell ref="AQ4:BD4"/>
    <mergeCell ref="AQ5:BD5"/>
    <mergeCell ref="AQ6:BD6"/>
  </mergeCells>
  <phoneticPr fontId="1"/>
  <pageMargins left="3.937007874015748E-2" right="0" top="3.937007874015748E-2" bottom="0" header="0" footer="0"/>
  <pageSetup paperSize="9" orientation="portrait" horizontalDpi="1200" verticalDpi="1200" r:id="rId1"/>
  <rowBreaks count="8" manualBreakCount="8">
    <brk id="12" max="16383" man="1"/>
    <brk id="25" max="18" man="1"/>
    <brk id="38" max="18" man="1"/>
    <brk id="51" max="18" man="1"/>
    <brk id="64" max="18" man="1"/>
    <brk id="77" max="18" man="1"/>
    <brk id="90" max="18" man="1"/>
    <brk id="103" max="18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39997558519241921"/>
    <pageSetUpPr fitToPage="1"/>
  </sheetPr>
  <dimension ref="A1:J16"/>
  <sheetViews>
    <sheetView view="pageBreakPreview" zoomScale="130" zoomScaleNormal="100" zoomScaleSheetLayoutView="130" workbookViewId="0">
      <selection activeCell="B10" sqref="B10:J10"/>
    </sheetView>
  </sheetViews>
  <sheetFormatPr defaultRowHeight="13.5"/>
  <cols>
    <col min="1" max="1" width="6.125" customWidth="1"/>
    <col min="2" max="3" width="2.25" customWidth="1"/>
    <col min="4" max="4" width="2.25" style="230" customWidth="1"/>
    <col min="5" max="6" width="2.25" customWidth="1"/>
    <col min="7" max="7" width="2.25" style="230" customWidth="1"/>
    <col min="8" max="10" width="2.25" customWidth="1"/>
  </cols>
  <sheetData>
    <row r="1" spans="1:10">
      <c r="A1" s="362" t="s">
        <v>74</v>
      </c>
      <c r="B1" s="637" t="str">
        <f>IF(UNKB0140_B_KOBAIHIN_CD="","",UNKB0140_B_KOBAIHIN_CD)</f>
        <v/>
      </c>
      <c r="C1" s="637"/>
      <c r="D1" s="637"/>
      <c r="E1" s="637"/>
      <c r="F1" s="637"/>
      <c r="G1" s="637"/>
      <c r="H1" s="637"/>
      <c r="I1" s="637"/>
      <c r="J1" s="637"/>
    </row>
    <row r="2" spans="1:10">
      <c r="A2" s="362" t="s">
        <v>89</v>
      </c>
      <c r="B2" s="631" t="str">
        <f>IF(UNKB0140_B_HATCHU_DATE="","",UNKB0140_B_HATCHU_DATE)</f>
        <v/>
      </c>
      <c r="C2" s="631"/>
      <c r="D2" s="631"/>
      <c r="E2" s="631"/>
      <c r="F2" s="631"/>
      <c r="G2" s="631"/>
      <c r="H2" s="631"/>
      <c r="I2" s="631"/>
      <c r="J2" s="631"/>
    </row>
    <row r="3" spans="1:10" s="230" customFormat="1">
      <c r="A3" s="453" t="s">
        <v>998</v>
      </c>
      <c r="B3" s="631" t="str">
        <f>IF(UNKB0140_B_UKEIRE_DATE="","",UNKB0140_B_UKEIRE_DATE)</f>
        <v/>
      </c>
      <c r="C3" s="631"/>
      <c r="D3" s="631"/>
      <c r="E3" s="631"/>
      <c r="F3" s="631"/>
      <c r="G3" s="631"/>
      <c r="H3" s="631"/>
      <c r="I3" s="631"/>
      <c r="J3" s="631"/>
    </row>
    <row r="4" spans="1:10" ht="34.5" customHeight="1">
      <c r="A4" s="362" t="s">
        <v>59</v>
      </c>
      <c r="B4" s="638" t="str">
        <f>IF(UNKB0140_B_SHIIRESAKI_MEI="","",UNKB0140_B_SHIIRESAKI_MEI)</f>
        <v/>
      </c>
      <c r="C4" s="638"/>
      <c r="D4" s="638"/>
      <c r="E4" s="638"/>
      <c r="F4" s="638"/>
      <c r="G4" s="638"/>
      <c r="H4" s="638"/>
      <c r="I4" s="638"/>
      <c r="J4" s="638"/>
    </row>
    <row r="5" spans="1:10" ht="34.5" customHeight="1">
      <c r="A5" s="362" t="s">
        <v>61</v>
      </c>
      <c r="B5" s="638" t="str">
        <f>IF(UNKB0140_B_MAKER_MEI="","",UNKB0140_B_MAKER_MEI)</f>
        <v/>
      </c>
      <c r="C5" s="638"/>
      <c r="D5" s="638"/>
      <c r="E5" s="638"/>
      <c r="F5" s="638"/>
      <c r="G5" s="638"/>
      <c r="H5" s="638"/>
      <c r="I5" s="638"/>
      <c r="J5" s="638"/>
    </row>
    <row r="6" spans="1:10" ht="34.5" customHeight="1">
      <c r="A6" s="362" t="s">
        <v>90</v>
      </c>
      <c r="B6" s="638" t="str">
        <f>IF(UNKB0140_B_KOBAIHIN_MEI="","",UNKB0140_B_KOBAIHIN_MEI)</f>
        <v/>
      </c>
      <c r="C6" s="638"/>
      <c r="D6" s="638"/>
      <c r="E6" s="638"/>
      <c r="F6" s="638"/>
      <c r="G6" s="638"/>
      <c r="H6" s="638"/>
      <c r="I6" s="638"/>
      <c r="J6" s="638"/>
    </row>
    <row r="7" spans="1:10">
      <c r="A7" s="362" t="s">
        <v>91</v>
      </c>
      <c r="B7" s="641" t="str">
        <f>IF(UNKB0140_B_IRISU="","",UNKB0140_B_IRISU)&amp;IF(UNKB0140_B_BARA_TANI="","",UNKB0140_B_BARA_TANI)</f>
        <v/>
      </c>
      <c r="C7" s="641"/>
      <c r="D7" s="641"/>
      <c r="E7" s="641"/>
      <c r="F7" s="641"/>
      <c r="G7" s="641"/>
      <c r="H7" s="641"/>
      <c r="I7" s="641"/>
      <c r="J7" s="641"/>
    </row>
    <row r="8" spans="1:10">
      <c r="A8" s="362" t="s">
        <v>50</v>
      </c>
      <c r="B8" s="641" t="str">
        <f>IF(UNKB0140_B_SURYO="","",UNKB0140_B_SURYO)</f>
        <v/>
      </c>
      <c r="C8" s="641"/>
      <c r="D8" s="641"/>
      <c r="E8" s="641"/>
      <c r="F8" s="641"/>
      <c r="G8" s="641"/>
      <c r="H8" s="641"/>
      <c r="I8" s="641"/>
      <c r="J8" s="641"/>
    </row>
    <row r="9" spans="1:10">
      <c r="A9" s="362" t="s">
        <v>87</v>
      </c>
      <c r="B9" s="636" t="str">
        <f>IF(UNKB0140_B_IRISU_TANI="","",UNKB0140_B_IRISU_TANI)</f>
        <v/>
      </c>
      <c r="C9" s="636"/>
      <c r="D9" s="636"/>
      <c r="E9" s="636"/>
      <c r="F9" s="636"/>
      <c r="G9" s="636"/>
      <c r="H9" s="636"/>
      <c r="I9" s="636"/>
      <c r="J9" s="636"/>
    </row>
    <row r="10" spans="1:10">
      <c r="A10" s="362" t="s">
        <v>110</v>
      </c>
      <c r="B10" s="636" t="str">
        <f>IF(UNKB0140_B_SHINSEISHA_MEI="","",UNKB0140_B_SHINSEISHA_MEI)</f>
        <v/>
      </c>
      <c r="C10" s="636"/>
      <c r="D10" s="636"/>
      <c r="E10" s="636"/>
      <c r="F10" s="636"/>
      <c r="G10" s="636"/>
      <c r="H10" s="636"/>
      <c r="I10" s="636"/>
      <c r="J10" s="636"/>
    </row>
    <row r="11" spans="1:10">
      <c r="A11" s="362" t="s">
        <v>65</v>
      </c>
      <c r="B11" s="636" t="str">
        <f>IF(UNKB0140_B_KOBAI_NO="","",UNKB0140_B_KOBAI_NO)</f>
        <v/>
      </c>
      <c r="C11" s="636"/>
      <c r="D11" s="636"/>
      <c r="E11" s="636"/>
      <c r="F11" s="636"/>
      <c r="G11" s="636"/>
      <c r="H11" s="636"/>
      <c r="I11" s="636"/>
      <c r="J11" s="636"/>
    </row>
    <row r="12" spans="1:10" hidden="1">
      <c r="A12" s="362" t="s">
        <v>655</v>
      </c>
      <c r="B12" s="636" t="str">
        <f>IF(UNKB0140_B_CHUMON_NO="","",UNKB0140_B_CHUMON_NO)</f>
        <v/>
      </c>
      <c r="C12" s="636"/>
      <c r="D12" s="636"/>
      <c r="E12" s="636"/>
      <c r="F12" s="636"/>
      <c r="G12" s="636"/>
      <c r="H12" s="636"/>
      <c r="I12" s="636"/>
      <c r="J12" s="636"/>
    </row>
    <row r="13" spans="1:10" s="230" customFormat="1" hidden="1">
      <c r="A13" s="363" t="s">
        <v>66</v>
      </c>
      <c r="B13" s="636" t="str">
        <f>IF(UNKB0140_H_IRAI_NO="","",UNKB0140_H_IRAI_NO)</f>
        <v/>
      </c>
      <c r="C13" s="636"/>
      <c r="D13" s="636"/>
      <c r="E13" s="636"/>
      <c r="F13" s="636"/>
      <c r="G13" s="636"/>
      <c r="H13" s="636"/>
      <c r="I13" s="636"/>
      <c r="J13" s="636"/>
    </row>
    <row r="14" spans="1:10" s="230" customFormat="1" hidden="1">
      <c r="A14" s="363" t="s">
        <v>1633</v>
      </c>
      <c r="B14" s="636" t="str">
        <f>IF(UNKB0140_B_NYUSHUKKO_NO="","",UNKB0140_B_NYUSHUKKO_NO)</f>
        <v/>
      </c>
      <c r="C14" s="636"/>
      <c r="D14" s="636"/>
      <c r="E14" s="636"/>
      <c r="F14" s="636"/>
      <c r="G14" s="636"/>
      <c r="H14" s="636"/>
      <c r="I14" s="636"/>
      <c r="J14" s="636"/>
    </row>
    <row r="15" spans="1:10" ht="30" hidden="1">
      <c r="A15" s="639" t="s">
        <v>111</v>
      </c>
      <c r="B15" s="640">
        <f>UNKB0140_B_ZAIKO_NO</f>
        <v>0</v>
      </c>
      <c r="C15" s="640"/>
      <c r="D15" s="640"/>
      <c r="E15" s="640"/>
      <c r="F15" s="640"/>
      <c r="G15" s="640"/>
      <c r="H15" s="640"/>
      <c r="I15" s="640"/>
      <c r="J15" s="640"/>
    </row>
    <row r="16" spans="1:10" hidden="1">
      <c r="A16" s="639"/>
      <c r="B16" s="636" t="str">
        <f>IF(UNKB0140_B_ZAIKO_NO="","",UNKB0140_B_ZAIKO_NO)</f>
        <v/>
      </c>
      <c r="C16" s="636"/>
      <c r="D16" s="636"/>
      <c r="E16" s="636"/>
      <c r="F16" s="636"/>
      <c r="G16" s="636"/>
      <c r="H16" s="636"/>
      <c r="I16" s="636"/>
      <c r="J16" s="636"/>
    </row>
  </sheetData>
  <mergeCells count="17">
    <mergeCell ref="B10:J10"/>
    <mergeCell ref="B3:J3"/>
    <mergeCell ref="A15:A16"/>
    <mergeCell ref="B15:J15"/>
    <mergeCell ref="B16:J16"/>
    <mergeCell ref="B7:J7"/>
    <mergeCell ref="B14:J14"/>
    <mergeCell ref="B13:J13"/>
    <mergeCell ref="B12:J12"/>
    <mergeCell ref="B11:J11"/>
    <mergeCell ref="B8:J8"/>
    <mergeCell ref="B9:J9"/>
    <mergeCell ref="B1:J1"/>
    <mergeCell ref="B2:J2"/>
    <mergeCell ref="B4:J4"/>
    <mergeCell ref="B5:J5"/>
    <mergeCell ref="B6:J6"/>
  </mergeCells>
  <phoneticPr fontId="1"/>
  <pageMargins left="0" right="0" top="0" bottom="0" header="0.31496062992125984" footer="0.31496062992125984"/>
  <pageSetup paperSize="9" orientation="portrait" horizontalDpi="203" verticalDpi="203"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70C0"/>
  </sheetPr>
  <dimension ref="A2:E23"/>
  <sheetViews>
    <sheetView zoomScale="70" zoomScaleNormal="70" workbookViewId="0">
      <selection activeCell="I14" sqref="I14"/>
    </sheetView>
  </sheetViews>
  <sheetFormatPr defaultRowHeight="20.25" customHeight="1"/>
  <cols>
    <col min="1" max="1" width="9.875" customWidth="1"/>
    <col min="2" max="2" width="18.375" customWidth="1"/>
    <col min="3" max="3" width="36" customWidth="1"/>
    <col min="4" max="4" width="90.5" customWidth="1"/>
  </cols>
  <sheetData>
    <row r="2" spans="1:4" ht="20.25" customHeight="1">
      <c r="B2" s="1" t="s">
        <v>0</v>
      </c>
      <c r="C2" s="2" t="s">
        <v>490</v>
      </c>
      <c r="D2" s="3" t="s">
        <v>1</v>
      </c>
    </row>
    <row r="3" spans="1:4" ht="20.25" customHeight="1">
      <c r="B3" s="4" t="s">
        <v>2</v>
      </c>
      <c r="C3" s="2" t="s">
        <v>491</v>
      </c>
      <c r="D3" s="3" t="s">
        <v>475</v>
      </c>
    </row>
    <row r="6" spans="1:4" ht="20.25" customHeight="1">
      <c r="A6" s="5" t="s">
        <v>3</v>
      </c>
      <c r="B6" s="6"/>
    </row>
    <row r="7" spans="1:4" ht="20.25" customHeight="1">
      <c r="A7" s="5"/>
      <c r="B7" s="6"/>
    </row>
    <row r="8" spans="1:4" ht="20.25" customHeight="1">
      <c r="A8" s="5"/>
      <c r="B8" s="1" t="s">
        <v>4</v>
      </c>
      <c r="C8" s="2" t="s">
        <v>489</v>
      </c>
      <c r="D8" s="3" t="s">
        <v>5</v>
      </c>
    </row>
    <row r="9" spans="1:4" ht="20.25" customHeight="1">
      <c r="B9" s="2" t="s">
        <v>474</v>
      </c>
      <c r="C9" s="2" t="s">
        <v>492</v>
      </c>
      <c r="D9" s="3" t="s">
        <v>484</v>
      </c>
    </row>
    <row r="10" spans="1:4" ht="20.25" customHeight="1">
      <c r="B10" t="s">
        <v>6</v>
      </c>
      <c r="C10" s="1" t="s">
        <v>493</v>
      </c>
      <c r="D10" s="7" t="s">
        <v>7</v>
      </c>
    </row>
    <row r="11" spans="1:4" s="97" customFormat="1" ht="20.25" customHeight="1">
      <c r="B11" s="97" t="s">
        <v>628</v>
      </c>
      <c r="C11" s="1" t="s">
        <v>630</v>
      </c>
      <c r="D11" s="7" t="s">
        <v>1773</v>
      </c>
    </row>
    <row r="12" spans="1:4" s="97" customFormat="1" ht="20.25" customHeight="1">
      <c r="B12" s="97" t="s">
        <v>629</v>
      </c>
      <c r="C12" s="1" t="s">
        <v>631</v>
      </c>
      <c r="D12" s="7" t="s">
        <v>1774</v>
      </c>
    </row>
    <row r="13" spans="1:4" s="97" customFormat="1" ht="20.25" customHeight="1">
      <c r="B13" s="97" t="s">
        <v>635</v>
      </c>
      <c r="C13" s="1" t="s">
        <v>636</v>
      </c>
      <c r="D13" s="7" t="s">
        <v>1775</v>
      </c>
    </row>
    <row r="14" spans="1:4" ht="20.25" customHeight="1">
      <c r="B14" s="10"/>
      <c r="C14" s="10"/>
      <c r="D14" s="10"/>
    </row>
    <row r="15" spans="1:4" ht="20.25" customHeight="1">
      <c r="B15" s="1" t="s">
        <v>632</v>
      </c>
      <c r="C15" s="2" t="s">
        <v>633</v>
      </c>
      <c r="D15" s="3" t="s">
        <v>1898</v>
      </c>
    </row>
    <row r="16" spans="1:4" ht="20.25" customHeight="1">
      <c r="A16" s="4"/>
      <c r="B16" s="1" t="s">
        <v>8</v>
      </c>
      <c r="C16" s="2" t="s">
        <v>494</v>
      </c>
      <c r="D16" s="7" t="s">
        <v>1776</v>
      </c>
    </row>
    <row r="17" spans="2:5" ht="20.25" customHeight="1">
      <c r="B17" t="s">
        <v>476</v>
      </c>
      <c r="C17" s="2" t="s">
        <v>495</v>
      </c>
      <c r="D17" s="7" t="s">
        <v>488</v>
      </c>
    </row>
    <row r="18" spans="2:5" ht="20.25" customHeight="1">
      <c r="B18" s="1" t="s">
        <v>473</v>
      </c>
      <c r="C18" s="2" t="s">
        <v>486</v>
      </c>
      <c r="D18" s="7" t="s">
        <v>1777</v>
      </c>
    </row>
    <row r="19" spans="2:5" ht="20.25" customHeight="1">
      <c r="B19" s="1" t="s">
        <v>485</v>
      </c>
      <c r="C19" s="2" t="s">
        <v>487</v>
      </c>
      <c r="D19" s="7" t="s">
        <v>1778</v>
      </c>
    </row>
    <row r="21" spans="2:5" ht="20.25" customHeight="1">
      <c r="B21" s="2" t="s">
        <v>557</v>
      </c>
      <c r="C21" s="2" t="s">
        <v>558</v>
      </c>
      <c r="D21" s="3" t="s">
        <v>627</v>
      </c>
    </row>
    <row r="22" spans="2:5" ht="20.25" customHeight="1">
      <c r="B22" t="s">
        <v>559</v>
      </c>
      <c r="C22" s="2" t="s">
        <v>560</v>
      </c>
      <c r="D22" s="7" t="s">
        <v>1779</v>
      </c>
    </row>
    <row r="23" spans="2:5" ht="20.25" customHeight="1">
      <c r="B23" s="10"/>
      <c r="C23" s="10"/>
      <c r="D23" s="10"/>
      <c r="E23" s="10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Lock">
                <anchor moveWithCells="1">
                  <from>
                    <xdr:col>5</xdr:col>
                    <xdr:colOff>95250</xdr:colOff>
                    <xdr:row>1</xdr:row>
                    <xdr:rowOff>19050</xdr:rowOff>
                  </from>
                  <to>
                    <xdr:col>6</xdr:col>
                    <xdr:colOff>228600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Unlock">
                <anchor moveWithCells="1">
                  <from>
                    <xdr:col>6</xdr:col>
                    <xdr:colOff>295275</xdr:colOff>
                    <xdr:row>1</xdr:row>
                    <xdr:rowOff>19050</xdr:rowOff>
                  </from>
                  <to>
                    <xdr:col>7</xdr:col>
                    <xdr:colOff>447675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70C0"/>
  </sheetPr>
  <dimension ref="B2:F9"/>
  <sheetViews>
    <sheetView zoomScale="115" zoomScaleNormal="115" workbookViewId="0">
      <selection activeCell="D11" sqref="D11"/>
    </sheetView>
  </sheetViews>
  <sheetFormatPr defaultRowHeight="13.5"/>
  <cols>
    <col min="1" max="1" width="9" style="8"/>
    <col min="2" max="2" width="30.125" style="8" bestFit="1" customWidth="1"/>
    <col min="3" max="3" width="31.5" style="8" bestFit="1" customWidth="1"/>
    <col min="4" max="6" width="15.75" style="8" customWidth="1"/>
    <col min="7" max="16384" width="9" style="8"/>
  </cols>
  <sheetData>
    <row r="2" spans="2:6">
      <c r="B2" s="8" t="s">
        <v>9</v>
      </c>
      <c r="C2" s="8" t="s">
        <v>477</v>
      </c>
      <c r="D2" s="9">
        <f ca="1">IF(ISERROR(VLOOKUP(LEFT(UNKB_COMMON_ACTIVE_SHEET_NAME,8),UNKB_COMMON_CHANGE_CHECK_AREA,3,FALSE))=FALSE,
IF(VLOOKUP(LEFT(UNKB_COMMON_ACTIVE_SHEET_NAME,8),UNKB_COMMON_CHANGE_CHECK_AREA,3,FALSE)&lt;&gt;0,1,2),2)</f>
        <v>2</v>
      </c>
      <c r="E2" s="8" t="s">
        <v>478</v>
      </c>
      <c r="F2" s="8" t="s">
        <v>10</v>
      </c>
    </row>
    <row r="3" spans="2:6">
      <c r="E3" s="8" t="s">
        <v>11</v>
      </c>
    </row>
    <row r="4" spans="2:6">
      <c r="B4" s="8" t="s">
        <v>12</v>
      </c>
      <c r="C4" s="8" t="s">
        <v>479</v>
      </c>
      <c r="D4" s="9" t="s">
        <v>483</v>
      </c>
    </row>
    <row r="6" spans="2:6">
      <c r="D6" s="5" t="s">
        <v>13</v>
      </c>
      <c r="E6" s="5" t="s">
        <v>14</v>
      </c>
      <c r="F6" s="5" t="s">
        <v>15</v>
      </c>
    </row>
    <row r="7" spans="2:6">
      <c r="B7" t="s">
        <v>16</v>
      </c>
      <c r="C7" s="8" t="s">
        <v>480</v>
      </c>
      <c r="D7" s="320" t="s">
        <v>481</v>
      </c>
      <c r="E7" s="321" t="s">
        <v>482</v>
      </c>
      <c r="F7" s="322">
        <f ca="1">INDIRECT(E7)</f>
        <v>0</v>
      </c>
    </row>
    <row r="8" spans="2:6">
      <c r="D8" s="323" t="s">
        <v>1737</v>
      </c>
      <c r="E8" s="324" t="s">
        <v>1738</v>
      </c>
      <c r="F8" s="325">
        <f t="shared" ref="F8" ca="1" si="0">INDIRECT(E8)</f>
        <v>0</v>
      </c>
    </row>
    <row r="9" spans="2:6">
      <c r="D9" s="326"/>
      <c r="E9" s="327"/>
      <c r="F9" s="328"/>
    </row>
  </sheetData>
  <phoneticPr fontId="1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11"/>
  <sheetViews>
    <sheetView workbookViewId="0">
      <selection activeCell="F28" sqref="F28"/>
    </sheetView>
  </sheetViews>
  <sheetFormatPr defaultRowHeight="13.5"/>
  <cols>
    <col min="1" max="2" width="9" style="230"/>
    <col min="3" max="3" width="26.875" style="230" customWidth="1"/>
    <col min="4" max="16384" width="9" style="230"/>
  </cols>
  <sheetData>
    <row r="1" spans="1:3">
      <c r="A1" s="211" t="s">
        <v>1928</v>
      </c>
    </row>
    <row r="3" spans="1:3">
      <c r="B3" s="59" t="s">
        <v>137</v>
      </c>
      <c r="C3" s="59" t="s">
        <v>62</v>
      </c>
    </row>
    <row r="4" spans="1:3">
      <c r="B4" s="59" t="s">
        <v>138</v>
      </c>
      <c r="C4" s="60">
        <v>5</v>
      </c>
    </row>
    <row r="5" spans="1:3">
      <c r="B5" s="59" t="s">
        <v>1907</v>
      </c>
      <c r="C5" s="59" t="s">
        <v>1908</v>
      </c>
    </row>
    <row r="6" spans="1:3">
      <c r="B6" s="59" t="s">
        <v>1909</v>
      </c>
      <c r="C6" s="59" t="s">
        <v>452</v>
      </c>
    </row>
    <row r="7" spans="1:3">
      <c r="B7" s="324" t="s">
        <v>1910</v>
      </c>
      <c r="C7" s="62" t="s">
        <v>1911</v>
      </c>
    </row>
    <row r="8" spans="1:3">
      <c r="B8" s="62" t="s">
        <v>1912</v>
      </c>
      <c r="C8" s="62" t="s">
        <v>1913</v>
      </c>
    </row>
    <row r="9" spans="1:3">
      <c r="B9" s="62" t="s">
        <v>1914</v>
      </c>
      <c r="C9" s="62" t="s">
        <v>1915</v>
      </c>
    </row>
    <row r="10" spans="1:3">
      <c r="B10" s="62" t="s">
        <v>1916</v>
      </c>
      <c r="C10" s="62" t="s">
        <v>1917</v>
      </c>
    </row>
    <row r="11" spans="1:3">
      <c r="B11" s="62" t="s">
        <v>1918</v>
      </c>
      <c r="C11" s="62" t="s">
        <v>1919</v>
      </c>
    </row>
  </sheetData>
  <phoneticPr fontId="1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1"/>
  <sheetViews>
    <sheetView workbookViewId="0">
      <selection activeCell="C16" sqref="C16"/>
    </sheetView>
  </sheetViews>
  <sheetFormatPr defaultRowHeight="13.5"/>
  <cols>
    <col min="1" max="2" width="9" style="230"/>
    <col min="3" max="3" width="26.875" style="230" customWidth="1"/>
    <col min="4" max="16384" width="9" style="230"/>
  </cols>
  <sheetData>
    <row r="1" spans="1:3">
      <c r="A1" s="211" t="s">
        <v>1928</v>
      </c>
    </row>
    <row r="3" spans="1:3">
      <c r="B3" s="59" t="s">
        <v>137</v>
      </c>
      <c r="C3" s="59" t="s">
        <v>63</v>
      </c>
    </row>
    <row r="4" spans="1:3">
      <c r="B4" s="59" t="s">
        <v>138</v>
      </c>
      <c r="C4" s="60">
        <v>5</v>
      </c>
    </row>
    <row r="5" spans="1:3">
      <c r="B5" s="59" t="s">
        <v>1920</v>
      </c>
      <c r="C5" s="59" t="s">
        <v>1921</v>
      </c>
    </row>
    <row r="6" spans="1:3">
      <c r="B6" s="59" t="s">
        <v>1927</v>
      </c>
      <c r="C6" s="59"/>
    </row>
    <row r="7" spans="1:3">
      <c r="B7" s="324" t="s">
        <v>1925</v>
      </c>
      <c r="C7" s="62"/>
    </row>
    <row r="8" spans="1:3">
      <c r="B8" s="62" t="s">
        <v>1922</v>
      </c>
    </row>
    <row r="9" spans="1:3">
      <c r="B9" s="62" t="s">
        <v>1923</v>
      </c>
      <c r="C9" s="62"/>
    </row>
    <row r="10" spans="1:3">
      <c r="B10" s="62" t="s">
        <v>1924</v>
      </c>
      <c r="C10" s="62"/>
    </row>
    <row r="11" spans="1:3">
      <c r="B11" s="62" t="s">
        <v>1926</v>
      </c>
      <c r="C11" s="62"/>
    </row>
  </sheetData>
  <phoneticPr fontId="1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O12"/>
  <sheetViews>
    <sheetView workbookViewId="0">
      <selection activeCell="I34" sqref="I34"/>
    </sheetView>
  </sheetViews>
  <sheetFormatPr defaultRowHeight="13.5"/>
  <cols>
    <col min="1" max="1" width="3.25" customWidth="1"/>
    <col min="2" max="2" width="10.625" customWidth="1"/>
    <col min="3" max="3" width="3.25" customWidth="1"/>
    <col min="4" max="4" width="9.75" customWidth="1"/>
    <col min="5" max="5" width="3.25" customWidth="1"/>
    <col min="6" max="6" width="13" customWidth="1"/>
    <col min="7" max="7" width="3.25" customWidth="1"/>
    <col min="8" max="8" width="13" customWidth="1"/>
    <col min="9" max="9" width="3.25" customWidth="1"/>
    <col min="10" max="10" width="12.5" customWidth="1"/>
    <col min="11" max="11" width="3.25" customWidth="1"/>
    <col min="12" max="12" width="12.5" customWidth="1"/>
    <col min="13" max="13" width="15.125" customWidth="1"/>
    <col min="14" max="14" width="37.5" customWidth="1"/>
    <col min="15" max="15" width="3.25" customWidth="1"/>
  </cols>
  <sheetData>
    <row r="1" spans="1:15" ht="19.5">
      <c r="A1" s="12" t="s">
        <v>1753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1:15" ht="16.5">
      <c r="A2" s="330"/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</row>
    <row r="3" spans="1:15" ht="16.5">
      <c r="A3" s="330"/>
      <c r="B3" s="331" t="s">
        <v>1754</v>
      </c>
      <c r="C3" s="18"/>
      <c r="D3" s="319" t="s">
        <v>144</v>
      </c>
      <c r="E3" s="19"/>
      <c r="F3" s="319" t="s">
        <v>145</v>
      </c>
      <c r="G3" s="19"/>
      <c r="H3" s="133" t="s">
        <v>146</v>
      </c>
      <c r="I3" s="19"/>
      <c r="J3" s="17" t="s">
        <v>147</v>
      </c>
      <c r="K3" s="19"/>
      <c r="L3" s="15" t="s">
        <v>148</v>
      </c>
      <c r="M3" s="330"/>
      <c r="N3" s="330"/>
      <c r="O3" s="330"/>
    </row>
    <row r="4" spans="1:15" ht="16.5">
      <c r="A4" s="330"/>
      <c r="B4" s="330"/>
      <c r="C4" s="330"/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</row>
    <row r="5" spans="1:15" ht="16.5">
      <c r="A5" s="330"/>
      <c r="B5" s="331" t="s">
        <v>1755</v>
      </c>
      <c r="C5" s="642"/>
      <c r="D5" s="642"/>
      <c r="E5" s="333" t="s">
        <v>30</v>
      </c>
      <c r="F5" s="338"/>
      <c r="G5" s="330"/>
      <c r="H5" s="331" t="s">
        <v>1756</v>
      </c>
      <c r="I5" s="564"/>
      <c r="J5" s="564"/>
      <c r="K5" s="330"/>
      <c r="L5" s="331" t="s">
        <v>1757</v>
      </c>
      <c r="M5" s="352"/>
      <c r="N5" s="335" t="s">
        <v>1758</v>
      </c>
      <c r="O5" s="330"/>
    </row>
    <row r="6" spans="1:15" ht="16.5">
      <c r="A6" s="330"/>
      <c r="B6" s="331" t="s">
        <v>1759</v>
      </c>
      <c r="C6" s="642"/>
      <c r="D6" s="642"/>
      <c r="E6" s="333" t="s">
        <v>30</v>
      </c>
      <c r="F6" s="338"/>
      <c r="G6" s="330"/>
      <c r="H6" s="331" t="s">
        <v>1760</v>
      </c>
      <c r="I6" s="564"/>
      <c r="J6" s="564"/>
      <c r="K6" s="330"/>
      <c r="L6" s="331" t="s">
        <v>1761</v>
      </c>
      <c r="M6" s="352"/>
      <c r="N6" s="335" t="s">
        <v>1758</v>
      </c>
      <c r="O6" s="330"/>
    </row>
    <row r="7" spans="1:15" ht="16.5">
      <c r="A7" s="330"/>
      <c r="B7" s="331" t="s">
        <v>1762</v>
      </c>
      <c r="C7" s="642"/>
      <c r="D7" s="642"/>
      <c r="E7" s="333" t="s">
        <v>30</v>
      </c>
      <c r="F7" s="338"/>
      <c r="G7" s="330"/>
      <c r="H7" s="331" t="s">
        <v>33</v>
      </c>
      <c r="I7" s="565"/>
      <c r="J7" s="565"/>
      <c r="K7" s="330"/>
      <c r="L7" s="331" t="s">
        <v>37</v>
      </c>
      <c r="M7" s="352"/>
      <c r="N7" s="335" t="s">
        <v>1758</v>
      </c>
      <c r="O7" s="330"/>
    </row>
    <row r="8" spans="1:15" ht="16.5">
      <c r="A8" s="330"/>
      <c r="B8" s="331" t="s">
        <v>1763</v>
      </c>
      <c r="C8" s="642"/>
      <c r="D8" s="642"/>
      <c r="E8" s="333" t="s">
        <v>30</v>
      </c>
      <c r="F8" s="338"/>
      <c r="G8" s="330"/>
      <c r="H8" s="331" t="s">
        <v>1764</v>
      </c>
      <c r="I8" s="564"/>
      <c r="J8" s="564"/>
      <c r="K8" s="330"/>
      <c r="L8" s="331" t="s">
        <v>1765</v>
      </c>
      <c r="M8" s="339"/>
      <c r="N8" s="330"/>
      <c r="O8" s="330"/>
    </row>
    <row r="9" spans="1:15" ht="16.5">
      <c r="A9" s="330"/>
      <c r="B9" s="330"/>
      <c r="C9" s="330"/>
      <c r="D9" s="330"/>
      <c r="E9" s="330"/>
      <c r="F9" s="330"/>
      <c r="G9" s="330"/>
      <c r="H9" s="331" t="s">
        <v>1766</v>
      </c>
      <c r="I9" s="564"/>
      <c r="J9" s="564"/>
      <c r="K9" s="330"/>
      <c r="L9" s="330"/>
      <c r="M9" s="330"/>
      <c r="N9" s="330"/>
      <c r="O9" s="330"/>
    </row>
    <row r="10" spans="1:15" ht="16.5">
      <c r="A10" s="330"/>
      <c r="B10" s="330"/>
      <c r="C10" s="330"/>
      <c r="D10" s="330"/>
      <c r="E10" s="330"/>
      <c r="F10" s="330"/>
      <c r="G10" s="330"/>
      <c r="H10" s="330"/>
      <c r="I10" s="330"/>
      <c r="J10" s="330"/>
      <c r="K10" s="330"/>
      <c r="L10" s="330"/>
      <c r="M10" s="330"/>
      <c r="N10" s="330"/>
      <c r="O10" s="330"/>
    </row>
    <row r="11" spans="1:15" ht="16.5">
      <c r="A11" s="330"/>
      <c r="B11" s="331" t="s">
        <v>38</v>
      </c>
      <c r="C11" s="491"/>
      <c r="D11" s="491"/>
      <c r="E11" s="332" t="s">
        <v>1500</v>
      </c>
      <c r="F11" s="347"/>
      <c r="G11" s="332" t="s">
        <v>1500</v>
      </c>
      <c r="H11" s="347"/>
      <c r="I11" s="330"/>
      <c r="J11" s="330"/>
      <c r="K11" s="330"/>
      <c r="L11" s="330"/>
      <c r="M11" s="353" t="s">
        <v>1767</v>
      </c>
      <c r="N11" s="344"/>
      <c r="O11" s="330"/>
    </row>
    <row r="12" spans="1:15" ht="16.5">
      <c r="A12" s="330"/>
      <c r="B12" s="330"/>
      <c r="C12" s="330"/>
      <c r="D12" s="330"/>
      <c r="E12" s="330"/>
      <c r="F12" s="330"/>
      <c r="G12" s="330"/>
      <c r="H12" s="330"/>
      <c r="I12" s="330"/>
      <c r="J12" s="330"/>
      <c r="K12" s="330"/>
      <c r="L12" s="330"/>
      <c r="M12" s="330"/>
      <c r="N12" s="330"/>
      <c r="O12" s="330"/>
    </row>
  </sheetData>
  <mergeCells count="10">
    <mergeCell ref="C5:D5"/>
    <mergeCell ref="I5:J5"/>
    <mergeCell ref="C6:D6"/>
    <mergeCell ref="I6:J6"/>
    <mergeCell ref="C11:D11"/>
    <mergeCell ref="C7:D7"/>
    <mergeCell ref="I7:J7"/>
    <mergeCell ref="C8:D8"/>
    <mergeCell ref="I8:J8"/>
    <mergeCell ref="I9:J9"/>
  </mergeCells>
  <phoneticPr fontId="1"/>
  <dataValidations count="1">
    <dataValidation type="custom" allowBlank="1" showInputMessage="1" showErrorMessage="1" sqref="I5:J6 I8:J9">
      <formula1>AND(LEN(I5)=LENB(I5),LEN(I5)=10)</formula1>
    </dataValidation>
  </dataValidation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A2"/>
  <sheetViews>
    <sheetView workbookViewId="0">
      <selection activeCell="B41" sqref="B41"/>
    </sheetView>
  </sheetViews>
  <sheetFormatPr defaultRowHeight="13.5"/>
  <cols>
    <col min="1" max="27" width="11.25" customWidth="1"/>
  </cols>
  <sheetData>
    <row r="1" spans="1:27" ht="16.5">
      <c r="A1" s="220" t="s">
        <v>1768</v>
      </c>
      <c r="B1" s="220" t="s">
        <v>1552</v>
      </c>
      <c r="C1" s="220" t="s">
        <v>347</v>
      </c>
      <c r="D1" s="220" t="s">
        <v>794</v>
      </c>
      <c r="E1" s="220" t="s">
        <v>1769</v>
      </c>
      <c r="F1" s="220" t="s">
        <v>356</v>
      </c>
      <c r="G1" s="220" t="s">
        <v>357</v>
      </c>
      <c r="H1" s="220" t="s">
        <v>358</v>
      </c>
      <c r="I1" s="220" t="s">
        <v>359</v>
      </c>
      <c r="J1" s="220" t="s">
        <v>360</v>
      </c>
      <c r="K1" s="220" t="s">
        <v>1557</v>
      </c>
      <c r="L1" s="220" t="s">
        <v>363</v>
      </c>
      <c r="M1" s="220" t="s">
        <v>362</v>
      </c>
      <c r="N1" s="220" t="s">
        <v>1770</v>
      </c>
      <c r="O1" s="220" t="s">
        <v>365</v>
      </c>
      <c r="P1" s="220" t="s">
        <v>1555</v>
      </c>
      <c r="Q1" s="220" t="s">
        <v>1556</v>
      </c>
      <c r="R1" s="220" t="s">
        <v>622</v>
      </c>
      <c r="S1" s="220" t="s">
        <v>367</v>
      </c>
      <c r="T1" s="220" t="s">
        <v>623</v>
      </c>
      <c r="U1" s="220" t="s">
        <v>75</v>
      </c>
      <c r="V1" s="220" t="s">
        <v>624</v>
      </c>
      <c r="W1" s="220" t="s">
        <v>368</v>
      </c>
      <c r="X1" s="220" t="s">
        <v>369</v>
      </c>
      <c r="Y1" s="220" t="s">
        <v>370</v>
      </c>
      <c r="Z1" s="220" t="s">
        <v>343</v>
      </c>
      <c r="AA1" s="220" t="s">
        <v>626</v>
      </c>
    </row>
    <row r="2" spans="1:27">
      <c r="A2" s="216"/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  <c r="W2" s="230"/>
      <c r="X2" s="230"/>
      <c r="Y2" s="230"/>
      <c r="Z2" s="230"/>
      <c r="AA2" s="230"/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45</vt:i4>
      </vt:variant>
      <vt:variant>
        <vt:lpstr>名前付き一覧</vt:lpstr>
      </vt:variant>
      <vt:variant>
        <vt:i4>1295</vt:i4>
      </vt:variant>
    </vt:vector>
  </HeadingPairs>
  <TitlesOfParts>
    <vt:vector size="1340" baseType="lpstr">
      <vt:lpstr>UNKB0010_H</vt:lpstr>
      <vt:lpstr>UNKB0010_B</vt:lpstr>
      <vt:lpstr>UNKB0010_IF</vt:lpstr>
      <vt:lpstr>UNKB0010_SQL</vt:lpstr>
      <vt:lpstr>UNKB0020_H</vt:lpstr>
      <vt:lpstr>UNKB0020_B</vt:lpstr>
      <vt:lpstr>UNKB0020_IF</vt:lpstr>
      <vt:lpstr>UNKB0020_SQL</vt:lpstr>
      <vt:lpstr>UNKB0020_REPORT</vt:lpstr>
      <vt:lpstr>UNKB0020_REPORT_IF</vt:lpstr>
      <vt:lpstr>UNKB0040_H</vt:lpstr>
      <vt:lpstr>UNKB0040_B</vt:lpstr>
      <vt:lpstr>UNKB0040_IF</vt:lpstr>
      <vt:lpstr>UNKB0040_SQL</vt:lpstr>
      <vt:lpstr>UNKB0050_H</vt:lpstr>
      <vt:lpstr>UNKB0050_B</vt:lpstr>
      <vt:lpstr>UNKB0050_IF</vt:lpstr>
      <vt:lpstr>UNKB0050_SQL</vt:lpstr>
      <vt:lpstr>UNKB0050_REPORT</vt:lpstr>
      <vt:lpstr>UNKB0050_REPORT_IF</vt:lpstr>
      <vt:lpstr>UNKB0080_H</vt:lpstr>
      <vt:lpstr>UNKB0080_B</vt:lpstr>
      <vt:lpstr>UNKB0080_IF</vt:lpstr>
      <vt:lpstr>UNKB0080_SQL</vt:lpstr>
      <vt:lpstr>UNKB0080_REPORT</vt:lpstr>
      <vt:lpstr>UNKB0080_REPORT_IF</vt:lpstr>
      <vt:lpstr>UNKB0090</vt:lpstr>
      <vt:lpstr>UNKB0090_IF</vt:lpstr>
      <vt:lpstr>UNKB0090_SQL</vt:lpstr>
      <vt:lpstr>UNKB0130_H</vt:lpstr>
      <vt:lpstr>UNKB0130_B</vt:lpstr>
      <vt:lpstr>UNKB0130_IF</vt:lpstr>
      <vt:lpstr>UNKB0130_SQL</vt:lpstr>
      <vt:lpstr>UNKB0140_H</vt:lpstr>
      <vt:lpstr>UNKB0140_B</vt:lpstr>
      <vt:lpstr>UNKB0140_IF</vt:lpstr>
      <vt:lpstr>UNKB0140_SQL</vt:lpstr>
      <vt:lpstr>UNKB0140_LABEL</vt:lpstr>
      <vt:lpstr>UNKB0140_RECEIPT</vt:lpstr>
      <vt:lpstr>UNKB_COMMON_SQL</vt:lpstr>
      <vt:lpstr>UNKB_COMMON</vt:lpstr>
      <vt:lpstr>UNKB_YOSAN_CD_IF</vt:lpstr>
      <vt:lpstr>UNKB_JURI_NO_IF</vt:lpstr>
      <vt:lpstr>Excel_Save_H</vt:lpstr>
      <vt:lpstr>Excel_Save_B</vt:lpstr>
      <vt:lpstr>UNKB0010_H!Print_Area</vt:lpstr>
      <vt:lpstr>UNKB0020_H!Print_Area</vt:lpstr>
      <vt:lpstr>UNKB0040_H!Print_Area</vt:lpstr>
      <vt:lpstr>UNKB0050_H!Print_Area</vt:lpstr>
      <vt:lpstr>UNKB0080_H!Print_Area</vt:lpstr>
      <vt:lpstr>UNKB0130_H!Print_Area</vt:lpstr>
      <vt:lpstr>UNKB0140_B!Print_Area</vt:lpstr>
      <vt:lpstr>UNKB0140_H!Print_Area</vt:lpstr>
      <vt:lpstr>UNKB0140_LABEL!Print_Area</vt:lpstr>
      <vt:lpstr>UNKB0140_RECEIPT!Print_Area</vt:lpstr>
      <vt:lpstr>UNKB0050_REPORT!Print_Titles</vt:lpstr>
      <vt:lpstr>UNKB0080_REPORT!Print_Titles</vt:lpstr>
      <vt:lpstr>UNKB_COMMON_ACTIVE_SHEET_NAME</vt:lpstr>
      <vt:lpstr>UNKB_COMMON_CHANGE_CHECK</vt:lpstr>
      <vt:lpstr>UNKB_COMMON_CHANGE_CHECK_AREA</vt:lpstr>
      <vt:lpstr>UNKB_COMMON_SQL_BUSHO_SEARCH</vt:lpstr>
      <vt:lpstr>UNKB_COMMON_SQL_HOKAN_BASHO_SEARCH</vt:lpstr>
      <vt:lpstr>UNKB_COMMON_SQL_IRAI_NO_SEARCH</vt:lpstr>
      <vt:lpstr>UNKB_COMMON_SQL_JURI_NO_SEARCH</vt:lpstr>
      <vt:lpstr>UNKB_COMMON_SQL_KOBAI_KBN_SEARCH</vt:lpstr>
      <vt:lpstr>UNKB_COMMON_SQL_KOBAI_NO_SEARCH</vt:lpstr>
      <vt:lpstr>UNKB_COMMON_SQL_KOBAI_STS_SEARCH</vt:lpstr>
      <vt:lpstr>UNKB_COMMON_SQL_KOBAIHIN_SEARCH</vt:lpstr>
      <vt:lpstr>UNKB_COMMON_SQL_MAKER_SEARCH</vt:lpstr>
      <vt:lpstr>UNKB_COMMON_SQL_NYUSHUKKO_NO_SEARCH</vt:lpstr>
      <vt:lpstr>UNKB_COMMON_SQL_SELECT_CTRL_HYOJI_GYO_SU</vt:lpstr>
      <vt:lpstr>UNKB_COMMON_SQL_SELECT_TAX_RATE</vt:lpstr>
      <vt:lpstr>UNKB_COMMON_SQL_SHAIN_SEARCH</vt:lpstr>
      <vt:lpstr>UNKB_COMMON_SQL_SHIIRESAKI_SEARCH</vt:lpstr>
      <vt:lpstr>UNKB_COMMON_SQL_YOSAN_SEARCH</vt:lpstr>
      <vt:lpstr>UNKB_JURI_NO_IF_KENSU</vt:lpstr>
      <vt:lpstr>UNKB_JURI_NO_IF_START</vt:lpstr>
      <vt:lpstr>UNKB_YOSAN_CD_IF_KENSU</vt:lpstr>
      <vt:lpstr>UNKB_YOSAN_CD_IF_START</vt:lpstr>
      <vt:lpstr>UNKB0010_B_ALERT</vt:lpstr>
      <vt:lpstr>UNKB0010_B_ALL_KENSU</vt:lpstr>
      <vt:lpstr>UNKB0010_B_ALL_PAGE_SU</vt:lpstr>
      <vt:lpstr>UNKB0010_B_BACK_PAGE</vt:lpstr>
      <vt:lpstr>UNKB0010_B_BACK_PAGE_NO</vt:lpstr>
      <vt:lpstr>UNKB0010_B_BARA_TANI</vt:lpstr>
      <vt:lpstr>UNKB0010_B_BIKO</vt:lpstr>
      <vt:lpstr>UNKB0010_B_DEL_DISP</vt:lpstr>
      <vt:lpstr>UNKB0010_B_DEL_FLG</vt:lpstr>
      <vt:lpstr>UNKB0010_B_FREEWD</vt:lpstr>
      <vt:lpstr>UNKB0010_B_HIDE_COLUMN</vt:lpstr>
      <vt:lpstr>UNKB0010_B_HIDE_ROW</vt:lpstr>
      <vt:lpstr>UNKB0010_B_HOKAN_BASHO</vt:lpstr>
      <vt:lpstr>UNKB0010_B_HYOJI_GYO_SU</vt:lpstr>
      <vt:lpstr>UNKB0010_B_HYOJI_KENSU</vt:lpstr>
      <vt:lpstr>UNKB0010_B_IRAI_NO</vt:lpstr>
      <vt:lpstr>UNKB0010_B_IRISU</vt:lpstr>
      <vt:lpstr>UNKB0010_B_IRISU_TANI</vt:lpstr>
      <vt:lpstr>UNKB0010_B_JURI_NO</vt:lpstr>
      <vt:lpstr>UNKB0010_B_KENSHU_DATE</vt:lpstr>
      <vt:lpstr>UNKB0010_B_KOBAI_KBN_CD</vt:lpstr>
      <vt:lpstr>UNKB0010_B_KOBAI_KBN_MEI</vt:lpstr>
      <vt:lpstr>UNKB0010_B_KOBAI_NO</vt:lpstr>
      <vt:lpstr>UNKB0010_B_KOBAI_SEQ</vt:lpstr>
      <vt:lpstr>UNKB0010_B_KOBAIHIN_CD</vt:lpstr>
      <vt:lpstr>UNKB0010_B_KOBAIHIN_MEI</vt:lpstr>
      <vt:lpstr>UNKB0010_B_LIST_CLEAR</vt:lpstr>
      <vt:lpstr>UNKB0010_B_LIST_COPY_FLAG</vt:lpstr>
      <vt:lpstr>UNKB0010_B_LIST_COPY_SAKI</vt:lpstr>
      <vt:lpstr>UNKB0010_B_LIST_END</vt:lpstr>
      <vt:lpstr>UNKB0010_B_LIST_START</vt:lpstr>
      <vt:lpstr>UNKB0010_B_MAKER_CD</vt:lpstr>
      <vt:lpstr>UNKB0010_B_MAKER_MEI</vt:lpstr>
      <vt:lpstr>UNKB0010_B_NEXT_PAGE</vt:lpstr>
      <vt:lpstr>UNKB0010_B_NEXT_PAGE_NO</vt:lpstr>
      <vt:lpstr>UNKB0010_B_NOKI</vt:lpstr>
      <vt:lpstr>UNKB0010_B_PAGE_NO</vt:lpstr>
      <vt:lpstr>UNKB0010_B_SCROLL_LOCK</vt:lpstr>
      <vt:lpstr>UNKB0010_B_SELECT_KOBAI_NO</vt:lpstr>
      <vt:lpstr>UNKB0010_B_SELECT_KOBAI_SEQ</vt:lpstr>
      <vt:lpstr>UNKB0010_B_SELECT_ROW_NO</vt:lpstr>
      <vt:lpstr>UNKB0010_B_SENTAKU</vt:lpstr>
      <vt:lpstr>UNKB0010_B_SHIIRESAKI_CD</vt:lpstr>
      <vt:lpstr>UNKB0010_B_SHIIRESAKI_MEI</vt:lpstr>
      <vt:lpstr>UNKB0010_B_SHINSEI_DATETIME</vt:lpstr>
      <vt:lpstr>UNKB0010_B_SHINSEISHA_CD</vt:lpstr>
      <vt:lpstr>UNKB0010_B_SHINSEISHA_MEI</vt:lpstr>
      <vt:lpstr>UNKB0010_B_SOSU</vt:lpstr>
      <vt:lpstr>UNKB0010_B_STS_CD</vt:lpstr>
      <vt:lpstr>UNKB0010_B_STS_MEI</vt:lpstr>
      <vt:lpstr>UNKB0010_B_SURYO</vt:lpstr>
      <vt:lpstr>UNKB0010_B_TANKA</vt:lpstr>
      <vt:lpstr>UNKB0010_B_TOTAL</vt:lpstr>
      <vt:lpstr>UNKB0010_B_UKEIRE_DATE</vt:lpstr>
      <vt:lpstr>UNKB0010_B_YOSAN_CD</vt:lpstr>
      <vt:lpstr>UNKB0010_H_CHUMONSHO_STS</vt:lpstr>
      <vt:lpstr>UNKB0010_H_CHUMONSHO_STS_S</vt:lpstr>
      <vt:lpstr>UNKB0010_H_COPY_CELL_SAKI</vt:lpstr>
      <vt:lpstr>UNKB0010_H_DEL_FLG</vt:lpstr>
      <vt:lpstr>UNKB0010_H_DEL_FLG_S</vt:lpstr>
      <vt:lpstr>UNKB0010_H_FREEWD_1</vt:lpstr>
      <vt:lpstr>UNKB0010_H_FREEWD_1_S</vt:lpstr>
      <vt:lpstr>UNKB0010_H_FREEWD_2</vt:lpstr>
      <vt:lpstr>UNKB0010_H_FREEWD_2_S</vt:lpstr>
      <vt:lpstr>UNKB0010_H_FREEWD_3</vt:lpstr>
      <vt:lpstr>UNKB0010_H_FREEWD_3_S</vt:lpstr>
      <vt:lpstr>UNKB0010_H_FREEWD_KBN</vt:lpstr>
      <vt:lpstr>UNKB0010_H_FREEWD_KBN_DISP</vt:lpstr>
      <vt:lpstr>UNKB0010_H_FREEWD_KBN_S</vt:lpstr>
      <vt:lpstr>UNKB0010_H_GAICHU_KBN</vt:lpstr>
      <vt:lpstr>UNKB0010_H_GAICHU_KBN_S</vt:lpstr>
      <vt:lpstr>UNKB0010_H_HANBAI_KBN</vt:lpstr>
      <vt:lpstr>UNKB0010_H_HANBAI_KBN_S</vt:lpstr>
      <vt:lpstr>UNKB0010_H_HIDE_COLUMN</vt:lpstr>
      <vt:lpstr>UNKB0010_H_HIDE_ROW</vt:lpstr>
      <vt:lpstr>UNKB0010_H_ICHIBU_STS</vt:lpstr>
      <vt:lpstr>UNKB0010_H_ICHIBU_STS_S</vt:lpstr>
      <vt:lpstr>UNKB0010_H_INIT_HEADER_FLG_COPY_SAKI</vt:lpstr>
      <vt:lpstr>UNKB0010_H_IRAICHU_STS</vt:lpstr>
      <vt:lpstr>UNKB0010_H_IRAICHU_STS_S</vt:lpstr>
      <vt:lpstr>UNKB0010_H_JIGO_STS</vt:lpstr>
      <vt:lpstr>UNKB0010_H_JIGO_STS_S</vt:lpstr>
      <vt:lpstr>UNKB0010_H_JURI_NO</vt:lpstr>
      <vt:lpstr>UNKB0010_H_JURI_NO_S</vt:lpstr>
      <vt:lpstr>UNKB0010_H_KENSHU_DATE_END</vt:lpstr>
      <vt:lpstr>UNKB0010_H_KENSHU_DATE_END_S</vt:lpstr>
      <vt:lpstr>UNKB0010_H_KENSHU_DATE_START</vt:lpstr>
      <vt:lpstr>UNKB0010_H_KENSHU_DATE_START_S</vt:lpstr>
      <vt:lpstr>UNKB0010_H_KENSHU_STS</vt:lpstr>
      <vt:lpstr>UNKB0010_H_KENSHU_STS_S</vt:lpstr>
      <vt:lpstr>UNKB0010_H_KOBAI_NO</vt:lpstr>
      <vt:lpstr>UNKB0010_H_KOBAI_NO_S</vt:lpstr>
      <vt:lpstr>UNKB0010_H_KOBAIHIN_CD</vt:lpstr>
      <vt:lpstr>UNKB0010_H_KOBAIHIN_CD_S</vt:lpstr>
      <vt:lpstr>UNKB0010_H_KOBAIHIN_KBN</vt:lpstr>
      <vt:lpstr>UNKB0010_H_KOBAIHIN_KBN_S</vt:lpstr>
      <vt:lpstr>UNKB0010_H_KOBAIHIN_MEI</vt:lpstr>
      <vt:lpstr>UNKB0010_H_KOBAIHIN_MEI_S</vt:lpstr>
      <vt:lpstr>UNKB0010_H_MAKER_CD</vt:lpstr>
      <vt:lpstr>UNKB0010_H_MAKER_CD_S</vt:lpstr>
      <vt:lpstr>UNKB0010_H_MAKER_MEI</vt:lpstr>
      <vt:lpstr>UNKB0010_H_MAKER_MEI_S</vt:lpstr>
      <vt:lpstr>UNKB0010_H_MISHONIN_STS</vt:lpstr>
      <vt:lpstr>UNKB0010_H_MISHONIN_STS_S</vt:lpstr>
      <vt:lpstr>UNKB0010_H_NOKI_END</vt:lpstr>
      <vt:lpstr>UNKB0010_H_NOKI_END_S</vt:lpstr>
      <vt:lpstr>UNKB0010_H_NOKI_START</vt:lpstr>
      <vt:lpstr>UNKB0010_H_NOKI_START_S</vt:lpstr>
      <vt:lpstr>UNKB0010_H_NYUKA_STS</vt:lpstr>
      <vt:lpstr>UNKB0010_H_NYUKA_STS_S</vt:lpstr>
      <vt:lpstr>UNKB0010_H_SHIIRE_CD</vt:lpstr>
      <vt:lpstr>UNKB0010_H_SHIIRE_CD_S</vt:lpstr>
      <vt:lpstr>UNKB0010_H_SHIIRE_MEI</vt:lpstr>
      <vt:lpstr>UNKB0010_H_SHIIRE_MEI_S</vt:lpstr>
      <vt:lpstr>UNKB0010_H_SHINSEI_DATE_END</vt:lpstr>
      <vt:lpstr>UNKB0010_H_SHINSEI_DATE_END_S</vt:lpstr>
      <vt:lpstr>UNKB0010_H_SHINSEI_DATE_START</vt:lpstr>
      <vt:lpstr>UNKB0010_H_SHINSEI_DATE_START_S</vt:lpstr>
      <vt:lpstr>UNKB0010_H_SHINSEISHA_CD</vt:lpstr>
      <vt:lpstr>UNKB0010_H_SHINSEISHA_CD_S</vt:lpstr>
      <vt:lpstr>UNKB0010_H_SHINSEISHA_MEI</vt:lpstr>
      <vt:lpstr>UNKB0010_H_SHINSEISHA_MEI_S</vt:lpstr>
      <vt:lpstr>UNKB0010_H_SHUZEN_KBN</vt:lpstr>
      <vt:lpstr>UNKB0010_H_SHUZEN_KBN_S</vt:lpstr>
      <vt:lpstr>UNKB0010_H_TOSHI_KBN</vt:lpstr>
      <vt:lpstr>UNKB0010_H_TOSHI_KBN_S</vt:lpstr>
      <vt:lpstr>UNKB0010_H_UKEIRE_DATE_END</vt:lpstr>
      <vt:lpstr>UNKB0010_H_UKEIRE_DATE_END_S</vt:lpstr>
      <vt:lpstr>UNKB0010_H_UKEIRE_DATE_START</vt:lpstr>
      <vt:lpstr>UNKB0010_H_UKEIRE_DATE_START_S</vt:lpstr>
      <vt:lpstr>UNKB0010_H_YOSAN_CD</vt:lpstr>
      <vt:lpstr>UNKB0010_H_YOSAN_CD_S</vt:lpstr>
      <vt:lpstr>UNKB0010_H_YOSAN_MEI</vt:lpstr>
      <vt:lpstr>UNKB0010_H_YOSAN_MEI_S</vt:lpstr>
      <vt:lpstr>UNKB0010_IF_ACTIVE_CELL_NAME</vt:lpstr>
      <vt:lpstr>UNKB0010_IF_ACTIVE_COLUMN</vt:lpstr>
      <vt:lpstr>UNKB0010_IF_ACTIVE_ROW</vt:lpstr>
      <vt:lpstr>UNKB0010_IF_ACTIVE_SHEET</vt:lpstr>
      <vt:lpstr>UNKB0010_IF_DATA_SEARCH_FLG</vt:lpstr>
      <vt:lpstr>UNKB0010_IF_EXCEL_FILE_NAME</vt:lpstr>
      <vt:lpstr>UNKB0010_IF_INIT_HEADER_COPY_MOTO</vt:lpstr>
      <vt:lpstr>UNKB0010_IF_INIT_HEADER_FLG_COPY_MOTO</vt:lpstr>
      <vt:lpstr>UNKB0010_IF_KOBAI_NO</vt:lpstr>
      <vt:lpstr>UNKB0010_IF_KOBAI_SEQ</vt:lpstr>
      <vt:lpstr>UNKB0010_IF_LIST_COPY_MOTO</vt:lpstr>
      <vt:lpstr>UNKB0010_IF_LIST_DEFAULT</vt:lpstr>
      <vt:lpstr>UNKB0010_IF_MODE</vt:lpstr>
      <vt:lpstr>UNKB0010_IF_PRINT_COUNT</vt:lpstr>
      <vt:lpstr>UNKB0010_IF_PRINT_SHOSHIKI_COPY_FLAG</vt:lpstr>
      <vt:lpstr>UNKB0010_IF_PRINT_SHOSHIKI_COPY_MOTO</vt:lpstr>
      <vt:lpstr>UNKB0010_IF_PRINT_SHOSHIKI_COPY_SAKI</vt:lpstr>
      <vt:lpstr>UNKB0010_IF_PRINT_START</vt:lpstr>
      <vt:lpstr>UNKB0010_IF_W_SERIAL</vt:lpstr>
      <vt:lpstr>UNKB0010_IF_W_SERIAL_CREATE</vt:lpstr>
      <vt:lpstr>UNKB0010_IF_W_USER_ID</vt:lpstr>
      <vt:lpstr>UNKB0010_SQL_DEFAULT_SORT</vt:lpstr>
      <vt:lpstr>UNKB0010_SQL_EXCEL_LIST</vt:lpstr>
      <vt:lpstr>UNKB0010_SQL_SEARCH_LIST</vt:lpstr>
      <vt:lpstr>UNKB0010_SQL_SEARCH_LIST_CNT</vt:lpstr>
      <vt:lpstr>UNKB0010_SQL_SORT</vt:lpstr>
      <vt:lpstr>UNKB0010_SQL_SORT_BY</vt:lpstr>
      <vt:lpstr>UNKB0020_B_ALERT</vt:lpstr>
      <vt:lpstr>UNKB0020_B_BARA_TANI</vt:lpstr>
      <vt:lpstr>UNKB0020_B_BARA_TANI_TENKAI</vt:lpstr>
      <vt:lpstr>UNKB0020_B_BIKO</vt:lpstr>
      <vt:lpstr>UNKB0020_B_COPY_GYO_SUSHIKI</vt:lpstr>
      <vt:lpstr>UNKB0020_B_COPY_GYO_SUSHIKI_MOTO</vt:lpstr>
      <vt:lpstr>UNKB0020_B_COPY_MAKER_MEI_SUSHIKI</vt:lpstr>
      <vt:lpstr>UNKB0020_B_COPY_MOTO_AREA</vt:lpstr>
      <vt:lpstr>UNKB0020_B_COPY_MOTO_NAME</vt:lpstr>
      <vt:lpstr>UNKB0020_B_COPY_SAKI_AREA</vt:lpstr>
      <vt:lpstr>UNKB0020_B_COPY_SHIIRE_MEI_SUSHIKI</vt:lpstr>
      <vt:lpstr>UNKB0020_B_COPY_SOSU_SUSHIKI</vt:lpstr>
      <vt:lpstr>UNKB0020_B_COPY_TOTAL_KINGAKU_SUSHIKI</vt:lpstr>
      <vt:lpstr>UNKB0020_B_GYO</vt:lpstr>
      <vt:lpstr>UNKB0020_B_GYO_COUNT</vt:lpstr>
      <vt:lpstr>UNKB0020_B_GYO_DECREMENT</vt:lpstr>
      <vt:lpstr>UNKB0020_B_GYO_INCREMENT</vt:lpstr>
      <vt:lpstr>UNKB0020_B_HIDE_COLUMN</vt:lpstr>
      <vt:lpstr>UNKB0020_B_HIDE_ROW</vt:lpstr>
      <vt:lpstr>UNKB0020_B_HOKAN_BASHO</vt:lpstr>
      <vt:lpstr>UNKB0020_B_HOKAN_BASHO_KBN</vt:lpstr>
      <vt:lpstr>UNKB0020_B_HOKAN_BASHO_KBN_TENKAI</vt:lpstr>
      <vt:lpstr>UNKB0020_B_HOKAN_BASHO_TENKAI</vt:lpstr>
      <vt:lpstr>UNKB0020_B_HYOJUN_NOKI</vt:lpstr>
      <vt:lpstr>UNKB0020_B_IRAI_NO</vt:lpstr>
      <vt:lpstr>UNKB0020_B_IRISU</vt:lpstr>
      <vt:lpstr>UNKB0020_B_IRISU_TANI</vt:lpstr>
      <vt:lpstr>UNKB0020_B_JOGAI_CHECK</vt:lpstr>
      <vt:lpstr>UNKB0020_B_JOGAI_FLG</vt:lpstr>
      <vt:lpstr>UNKB0020_B_JURI_NO</vt:lpstr>
      <vt:lpstr>UNKB0020_B_JURI_NO_TENKAI</vt:lpstr>
      <vt:lpstr>UNKB0020_B_KOBAIHIN_CD</vt:lpstr>
      <vt:lpstr>UNKB0020_B_KOBAIHIN_CD_TENKAI</vt:lpstr>
      <vt:lpstr>UNKB0020_B_KOBAIHIN_KBN</vt:lpstr>
      <vt:lpstr>UNKB0020_B_KOBAIHIN_MEI</vt:lpstr>
      <vt:lpstr>UNKB0020_B_KOBAIHIN_MEI_TENKAI</vt:lpstr>
      <vt:lpstr>UNKB0020_B_LAST_SHINSEI_DATE</vt:lpstr>
      <vt:lpstr>UNKB0020_B_LIST_CLEAR_AREA</vt:lpstr>
      <vt:lpstr>UNKB0020_B_LIST_DELETE_AREA</vt:lpstr>
      <vt:lpstr>UNKB0020_B_LIST_INSERT_AREA</vt:lpstr>
      <vt:lpstr>UNKB0020_B_LIST_INSERT_SELECT_CELL</vt:lpstr>
      <vt:lpstr>UNKB0020_B_LIST_START</vt:lpstr>
      <vt:lpstr>UNKB0020_B_MAKER_CD</vt:lpstr>
      <vt:lpstr>UNKB0020_B_MAKER_CD_TENKAI</vt:lpstr>
      <vt:lpstr>UNKB0020_B_MAKER_MEI</vt:lpstr>
      <vt:lpstr>UNKB0020_B_MAKER_MEI_DISP</vt:lpstr>
      <vt:lpstr>UNKB0020_B_MAKER_MEI_TENKAI</vt:lpstr>
      <vt:lpstr>UNKB0020_B_MULTI_SELECT_COPY_GYO_SUSHIKI</vt:lpstr>
      <vt:lpstr>UNKB0020_B_MULTI_SELECT_COPY_SAKI</vt:lpstr>
      <vt:lpstr>UNKB0020_B_NOKI</vt:lpstr>
      <vt:lpstr>UNKB0020_B_NOKI_TENKAI</vt:lpstr>
      <vt:lpstr>UNKB0020_B_SCROLL_LOCK</vt:lpstr>
      <vt:lpstr>UNKB0020_B_SEQ</vt:lpstr>
      <vt:lpstr>UNKB0020_B_SHIIRE_CD</vt:lpstr>
      <vt:lpstr>UNKB0020_B_SHIIRE_CD_TENKAI</vt:lpstr>
      <vt:lpstr>UNKB0020_B_SHIIRE_HASU_KBN</vt:lpstr>
      <vt:lpstr>UNKB0020_B_SHIIRE_HASU_KBN_TENKAI</vt:lpstr>
      <vt:lpstr>UNKB0020_B_SHIIRE_IRISU_TANI_TENKAI</vt:lpstr>
      <vt:lpstr>UNKB0020_B_SHIIRE_IRISU_TENKAI</vt:lpstr>
      <vt:lpstr>UNKB0020_B_SHIIRE_MEI</vt:lpstr>
      <vt:lpstr>UNKB0020_B_SHIIRE_MEI_DISP</vt:lpstr>
      <vt:lpstr>UNKB0020_B_SHIIRE_MEI_TENKAI</vt:lpstr>
      <vt:lpstr>UNKB0020_B_SHIIRE_TANKA_TENKAI</vt:lpstr>
      <vt:lpstr>UNKB0020_B_SHIKIICHI</vt:lpstr>
      <vt:lpstr>UNKB0020_B_SHIYAKU_FLG</vt:lpstr>
      <vt:lpstr>UNKB0020_B_SHIYAKU_FLG_TENKAI</vt:lpstr>
      <vt:lpstr>UNKB0020_B_SHOHIN_BUNRUI_KBN</vt:lpstr>
      <vt:lpstr>UNKB0020_B_SOSU</vt:lpstr>
      <vt:lpstr>UNKB0020_B_STS</vt:lpstr>
      <vt:lpstr>UNKB0020_B_STS_CD</vt:lpstr>
      <vt:lpstr>UNKB0020_B_STS_CD_TENKAI</vt:lpstr>
      <vt:lpstr>UNKB0020_B_STS_TENKAI</vt:lpstr>
      <vt:lpstr>UNKB0020_B_SURYO</vt:lpstr>
      <vt:lpstr>UNKB0020_B_TANKA</vt:lpstr>
      <vt:lpstr>UNKB0020_B_TOTAL_KINGAKU</vt:lpstr>
      <vt:lpstr>UNKB0020_B_YOSAN_CD</vt:lpstr>
      <vt:lpstr>UNKB0020_B_YOSAN_CD_MEI</vt:lpstr>
      <vt:lpstr>UNKB0020_B_YOSAN_CD_TENKAI</vt:lpstr>
      <vt:lpstr>UNKB0020_B_YOSAN_MEI_TENKAI</vt:lpstr>
      <vt:lpstr>UNKB0020_H_CD_COPY_SAKI</vt:lpstr>
      <vt:lpstr>UNKB0020_H_COPY_SAKI</vt:lpstr>
      <vt:lpstr>UNKB0020_H_HIDE_COLUMN</vt:lpstr>
      <vt:lpstr>UNKB0020_H_HIDE_ROW</vt:lpstr>
      <vt:lpstr>UNKB0020_H_KOBAI_KBN</vt:lpstr>
      <vt:lpstr>UNKB0020_H_KOBAI_KBN_CD</vt:lpstr>
      <vt:lpstr>UNKB0020_H_KOBAI_NO</vt:lpstr>
      <vt:lpstr>UNKB0020_H_KOMI_TOTAL</vt:lpstr>
      <vt:lpstr>UNKB0020_H_NUKI_TOTAL</vt:lpstr>
      <vt:lpstr>UNKB0020_H_SHINSEI_DATETIME</vt:lpstr>
      <vt:lpstr>UNKB0020_H_SHINSEI_GAIYO</vt:lpstr>
      <vt:lpstr>UNKB0020_H_SHINSEISHA_CD</vt:lpstr>
      <vt:lpstr>UNKB0020_H_SHINSEISHA_MEI</vt:lpstr>
      <vt:lpstr>UNKB0020_H_TAX</vt:lpstr>
      <vt:lpstr>UNKB0020_H_TAX_RATE</vt:lpstr>
      <vt:lpstr>UNKB0020_IF_ACTIVE_CELL_NAME</vt:lpstr>
      <vt:lpstr>UNKB0020_IF_ACTIVE_COLUMN</vt:lpstr>
      <vt:lpstr>UNKB0020_IF_ACTIVE_ROW</vt:lpstr>
      <vt:lpstr>UNKB0020_IF_ACTIVE_SHEET</vt:lpstr>
      <vt:lpstr>UNKB0020_IF_BUTTON_04_HYOJI</vt:lpstr>
      <vt:lpstr>UNKB0020_IF_BUTTON_05_ERROR</vt:lpstr>
      <vt:lpstr>UNKB0020_IF_BUTTON_05_ERROR_MSG</vt:lpstr>
      <vt:lpstr>UNKB0020_IF_BUTTON_05_HYOJI</vt:lpstr>
      <vt:lpstr>UNKB0020_IF_BUTTON_06_HYOJI</vt:lpstr>
      <vt:lpstr>UNKB0020_IF_BUTTON_06_NAME</vt:lpstr>
      <vt:lpstr>UNKB0020_IF_BUTTON_07_ERROR</vt:lpstr>
      <vt:lpstr>UNKB0020_IF_BUTTON_07_ERROR_MSG</vt:lpstr>
      <vt:lpstr>UNKB0020_IF_BUTTON_07_HYOJI</vt:lpstr>
      <vt:lpstr>UNKB0020_IF_BUTTON_09_HYOJI</vt:lpstr>
      <vt:lpstr>UNKB0020_IF_BUTTON_10_HYOJI</vt:lpstr>
      <vt:lpstr>UNKB0020_IF_BUTTON_10_NAME</vt:lpstr>
      <vt:lpstr>UNKB0020_IF_BUTTON_11_ERROR</vt:lpstr>
      <vt:lpstr>UNKB0020_IF_BUTTON_11_ERROR_MSG</vt:lpstr>
      <vt:lpstr>UNKB0020_IF_BUTTON_11_HYOJI</vt:lpstr>
      <vt:lpstr>UNKB0020_IF_BUTTON_12_ERROR</vt:lpstr>
      <vt:lpstr>UNKB0020_IF_BUTTON_12_ERROR_MSG</vt:lpstr>
      <vt:lpstr>UNKB0020_IF_BUTTON_12_HYOJI</vt:lpstr>
      <vt:lpstr>UNKB0020_IF_BUTTON_14_ERROR</vt:lpstr>
      <vt:lpstr>UNKB0020_IF_BUTTON_14_ERROR_MSG</vt:lpstr>
      <vt:lpstr>UNKB0020_IF_BUTTON_14_HYOJI</vt:lpstr>
      <vt:lpstr>UNKB0020_IF_BUTTON_19_HYOJI</vt:lpstr>
      <vt:lpstr>UNKB0020_IF_BUTTON_20_HYOJI</vt:lpstr>
      <vt:lpstr>UNKB0020_IF_CD_COPY_MOTO</vt:lpstr>
      <vt:lpstr>UNKB0020_IF_COPY_B_1</vt:lpstr>
      <vt:lpstr>UNKB0020_IF_COPY_B_2</vt:lpstr>
      <vt:lpstr>UNKB0020_IF_COPY_B_3</vt:lpstr>
      <vt:lpstr>UNKB0020_IF_COPY_B_4</vt:lpstr>
      <vt:lpstr>UNKB0020_IF_COPY_B_5</vt:lpstr>
      <vt:lpstr>UNKB0020_IF_COPY_B_CLEAR</vt:lpstr>
      <vt:lpstr>UNKB0020_IF_COPY_B_GYO_SUSHIKI</vt:lpstr>
      <vt:lpstr>UNKB0020_IF_COPY_B_GYO_SUSHIKI_SANSHO</vt:lpstr>
      <vt:lpstr>UNKB0020_IF_COPY_B_MAKER_MEI_SUSHIKI</vt:lpstr>
      <vt:lpstr>UNKB0020_IF_COPY_B_SANSHO</vt:lpstr>
      <vt:lpstr>UNKB0020_IF_COPY_B_SHIIRE_MEI_SUSHIKI</vt:lpstr>
      <vt:lpstr>UNKB0020_IF_COPY_B_SOSU_SUSHIKI</vt:lpstr>
      <vt:lpstr>UNKB0020_IF_COPY_B_STS_MEI_1</vt:lpstr>
      <vt:lpstr>UNKB0020_IF_COPY_B_STS_MEI_2</vt:lpstr>
      <vt:lpstr>UNKB0020_IF_COPY_B_STS_MEI_3</vt:lpstr>
      <vt:lpstr>UNKB0020_IF_COPY_B_STS_MEI_4</vt:lpstr>
      <vt:lpstr>UNKB0020_IF_COPY_B_STS_MEI_5</vt:lpstr>
      <vt:lpstr>UNKB0020_IF_COPY_B_TOTAL_KINGAKU_SUSHIKI</vt:lpstr>
      <vt:lpstr>UNKB0020_IF_COPY_H_SANSHO</vt:lpstr>
      <vt:lpstr>UNKB0020_IF_COPY_H_SHINKI</vt:lpstr>
      <vt:lpstr>UNKB0020_IF_COPY_H_SHUSEI</vt:lpstr>
      <vt:lpstr>UNKB0020_IF_DATA_SEARCH_FLG</vt:lpstr>
      <vt:lpstr>UNKB0020_IF_EXCEL_FILE_NAME</vt:lpstr>
      <vt:lpstr>UNKB0020_IF_INPUT_CHECK</vt:lpstr>
      <vt:lpstr>UNKB0020_IF_INPUT_ERROR_MESSAGE</vt:lpstr>
      <vt:lpstr>UNKB0020_IF_LIST_KOBAI_KBN_KENSU</vt:lpstr>
      <vt:lpstr>UNKB0020_IF_LIST_KOBAI_KBN_START</vt:lpstr>
      <vt:lpstr>UNKB0020_IF_MEISAI_SANSHO_FLG</vt:lpstr>
      <vt:lpstr>UNKB0020_IF_MODE</vt:lpstr>
      <vt:lpstr>UNKB0020_IF_MULTI_SELECT_CHECK</vt:lpstr>
      <vt:lpstr>UNKB0020_IF_MULTI_SELECT_FLG</vt:lpstr>
      <vt:lpstr>UNKB0020_IF_MULTI_SELECT_GYO_INCREMENT</vt:lpstr>
      <vt:lpstr>UNKB0020_IF_MULTI_SELECT_GYO_SUSHIKI_COPY_SAKI</vt:lpstr>
      <vt:lpstr>UNKB0020_IF_MULTI_SELECT_KENSU</vt:lpstr>
      <vt:lpstr>UNKB0020_IF_MULTI_SELECT_KINGAKU_SUSHIKI_COPY_SAKI</vt:lpstr>
      <vt:lpstr>UNKB0020_IF_MULTI_SELECT_LIST_GYO</vt:lpstr>
      <vt:lpstr>UNKB0020_IF_MULTI_SELECT_LIST_MAKER_MEI</vt:lpstr>
      <vt:lpstr>UNKB0020_IF_MULTI_SELECT_LIST_SHIIRE_MEI</vt:lpstr>
      <vt:lpstr>UNKB0020_IF_MULTI_SELECT_LIST_SOSU</vt:lpstr>
      <vt:lpstr>UNKB0020_IF_MULTI_SELECT_LIST_TOTAL_KINGAKU</vt:lpstr>
      <vt:lpstr>UNKB0020_IF_MULTI_SELECT_MAKER_SUSHIKI_COPY_SAKI</vt:lpstr>
      <vt:lpstr>UNKB0020_IF_MULTI_SELECT_SHIIRE_SUSHIKI_COPY_SAKI</vt:lpstr>
      <vt:lpstr>UNKB0020_IF_MULTI_SELECT_SHOSHIKI_COPY_SAKI</vt:lpstr>
      <vt:lpstr>UNKB0020_IF_MULTI_SELECT_SOSU_SUSHIKI_COPY_SAKI</vt:lpstr>
      <vt:lpstr>UNKB0020_IF_MULTI_SELECT_TENKAI_KENSU</vt:lpstr>
      <vt:lpstr>UNKB0020_IF_MULTI_SELECT_TENKAI_START</vt:lpstr>
      <vt:lpstr>UNKB0020_IF_PDF_FILE_NAME</vt:lpstr>
      <vt:lpstr>UNKB0020_IF_PREVIOUS_ID</vt:lpstr>
      <vt:lpstr>UNKB0020_IF_REF_NO</vt:lpstr>
      <vt:lpstr>UNKB0020_IF_SANSHO_FLG</vt:lpstr>
      <vt:lpstr>UNKB0020_IF_SAVE_BARA_TANI</vt:lpstr>
      <vt:lpstr>UNKB0020_IF_SAVE_CHECK_ERROR_KOMOKU</vt:lpstr>
      <vt:lpstr>UNKB0020_IF_SAVE_CHECK_RESULT</vt:lpstr>
      <vt:lpstr>UNKB0020_IF_SAVE_CHECK_START</vt:lpstr>
      <vt:lpstr>UNKB0020_IF_SAVE_COPY_MOTO</vt:lpstr>
      <vt:lpstr>UNKB0020_IF_SAVE_COPY_SAKI</vt:lpstr>
      <vt:lpstr>UNKB0020_IF_SAVE_COPY_START</vt:lpstr>
      <vt:lpstr>UNKB0020_IF_SAVE_ERROR_CHECK</vt:lpstr>
      <vt:lpstr>UNKB0020_IF_SAVE_ERROR_MESSAGE</vt:lpstr>
      <vt:lpstr>UNKB0020_IF_SAVE_HOKAN_BASHO</vt:lpstr>
      <vt:lpstr>UNKB0020_IF_SAVE_IRISU</vt:lpstr>
      <vt:lpstr>UNKB0020_IF_SAVE_IRISU_TANI</vt:lpstr>
      <vt:lpstr>UNKB0020_IF_SAVE_JOGAI_GYO</vt:lpstr>
      <vt:lpstr>UNKB0020_IF_SAVE_JURI_NO</vt:lpstr>
      <vt:lpstr>UNKB0020_IF_SAVE_KENSU</vt:lpstr>
      <vt:lpstr>UNKB0020_IF_SAVE_KOBAIHIN_MEI</vt:lpstr>
      <vt:lpstr>UNKB0020_IF_SAVE_MAKER_CD</vt:lpstr>
      <vt:lpstr>UNKB0020_IF_SAVE_NOKI</vt:lpstr>
      <vt:lpstr>UNKB0020_IF_SAVE_RESULT_CD</vt:lpstr>
      <vt:lpstr>UNKB0020_IF_SAVE_RESULT_KENSU</vt:lpstr>
      <vt:lpstr>UNKB0020_IF_SAVE_RESULT_KOBAI_NO</vt:lpstr>
      <vt:lpstr>UNKB0020_IF_SAVE_RESULT_MESSAGE</vt:lpstr>
      <vt:lpstr>UNKB0020_IF_SAVE_SHIIRE_CD</vt:lpstr>
      <vt:lpstr>UNKB0020_IF_SAVE_SOSU</vt:lpstr>
      <vt:lpstr>UNKB0020_IF_SAVE_START</vt:lpstr>
      <vt:lpstr>UNKB0020_IF_SAVE_SURYO</vt:lpstr>
      <vt:lpstr>UNKB0020_IF_SAVE_TANKA</vt:lpstr>
      <vt:lpstr>UNKB0020_IF_SAVE_TOTAL</vt:lpstr>
      <vt:lpstr>UNKB0020_IF_SAVE_YOSAN_CD</vt:lpstr>
      <vt:lpstr>UNKB0020_IF_SELECT_STS_CD</vt:lpstr>
      <vt:lpstr>UNKB0020_IF_STS_LIMIT</vt:lpstr>
      <vt:lpstr>UNKB0020_IF_USER_AUTH</vt:lpstr>
      <vt:lpstr>UNKB0020_IF_W_MODE</vt:lpstr>
      <vt:lpstr>UNKB0020_IF_W_SERIAL</vt:lpstr>
      <vt:lpstr>UNKB0020_IF_W_SERIAL_CREATE</vt:lpstr>
      <vt:lpstr>UNKB0020_IF_W_USER_ID</vt:lpstr>
      <vt:lpstr>UNKB0020_REPORT_IF_BARA_TANI</vt:lpstr>
      <vt:lpstr>UNKB0020_REPORT_IF_BIKO</vt:lpstr>
      <vt:lpstr>UNKB0020_REPORT_IF_COPY_MOTO</vt:lpstr>
      <vt:lpstr>UNKB0020_REPORT_IF_COPY_MOTO_GYO</vt:lpstr>
      <vt:lpstr>UNKB0020_REPORT_IF_DATA_KENSU</vt:lpstr>
      <vt:lpstr>UNKB0020_REPORT_IF_ERROR_CHECK</vt:lpstr>
      <vt:lpstr>UNKB0020_REPORT_IF_HOKAN_BASHO</vt:lpstr>
      <vt:lpstr>UNKB0020_REPORT_IF_IRISU</vt:lpstr>
      <vt:lpstr>UNKB0020_REPORT_IF_IRISU_TANI</vt:lpstr>
      <vt:lpstr>UNKB0020_REPORT_IF_JURI_NO</vt:lpstr>
      <vt:lpstr>UNKB0020_REPORT_IF_KOBAI_NO</vt:lpstr>
      <vt:lpstr>UNKB0020_REPORT_IF_KOBAIHIN_CD</vt:lpstr>
      <vt:lpstr>UNKB0020_REPORT_IF_KOBAIHIN_MEI</vt:lpstr>
      <vt:lpstr>UNKB0020_REPORT_IF_MAKER_CD</vt:lpstr>
      <vt:lpstr>UNKB0020_REPORT_IF_MAKER_MEI</vt:lpstr>
      <vt:lpstr>UNKB0020_REPORT_IF_NOKI</vt:lpstr>
      <vt:lpstr>UNKB0020_REPORT_IF_SHIIRE_CD</vt:lpstr>
      <vt:lpstr>UNKB0020_REPORT_IF_SHIIRE_MEI</vt:lpstr>
      <vt:lpstr>UNKB0020_REPORT_IF_SOSU</vt:lpstr>
      <vt:lpstr>UNKB0020_REPORT_IF_SURYO</vt:lpstr>
      <vt:lpstr>UNKB0020_REPORT_IF_TANKA</vt:lpstr>
      <vt:lpstr>UNKB0020_REPORT_IF_TENKAI_START</vt:lpstr>
      <vt:lpstr>UNKB0020_REPORT_IF_TOTAL</vt:lpstr>
      <vt:lpstr>UNKB0020_REPORT_IF_YOSAN_CD</vt:lpstr>
      <vt:lpstr>UNKB0020_REPORT_IF_YOSAN_MEI</vt:lpstr>
      <vt:lpstr>UNKB0020_REPORT_START</vt:lpstr>
      <vt:lpstr>UNKB0020_SQL_DATA_B</vt:lpstr>
      <vt:lpstr>UNKB0020_SQL_DATA_H</vt:lpstr>
      <vt:lpstr>UNKB0020_SQL_DEFAULT_KOBAI_KBN</vt:lpstr>
      <vt:lpstr>UNKB0020_SQL_DEFAULT_SHINSEISHA</vt:lpstr>
      <vt:lpstr>UNKB0020_SQL_DEFAULT_STS_MEI</vt:lpstr>
      <vt:lpstr>UNKB0020_SQL_KOBAIHIN_SEARCH</vt:lpstr>
      <vt:lpstr>UNKB0020_SQL_KOBAIHIN_SEARCH_VLOOKUP_AREA</vt:lpstr>
      <vt:lpstr>UNKB0020_SQL_LIST_KOBAI_KBN</vt:lpstr>
      <vt:lpstr>UNKB0020_SQL_MIN_STS</vt:lpstr>
      <vt:lpstr>UNKB0020_SQL_MULTI_SELECT</vt:lpstr>
      <vt:lpstr>UNKB0020_SQL_MULTI_SELECT_RIREKI</vt:lpstr>
      <vt:lpstr>UNKB0020_SQL_PROC</vt:lpstr>
      <vt:lpstr>UNKB0020_SQL_REPORT_DATA</vt:lpstr>
      <vt:lpstr>UNKB0020_SQL_REPORT_DATA_SAVE</vt:lpstr>
      <vt:lpstr>UNKB0020_SQL_STS_LIMIT</vt:lpstr>
      <vt:lpstr>UNKB0040_B_ALERT</vt:lpstr>
      <vt:lpstr>UNKB0040_B_ALL_KENSU</vt:lpstr>
      <vt:lpstr>UNKB0040_B_ALL_PAGE_SU</vt:lpstr>
      <vt:lpstr>UNKB0040_B_BACK_PAGE</vt:lpstr>
      <vt:lpstr>UNKB0040_B_BACK_PAGE_NO</vt:lpstr>
      <vt:lpstr>UNKB0040_B_BIKO</vt:lpstr>
      <vt:lpstr>UNKB0040_B_CHUMON_SOSU</vt:lpstr>
      <vt:lpstr>UNKB0040_B_FREEWD</vt:lpstr>
      <vt:lpstr>UNKB0040_B_GOKEI_KINGAKU</vt:lpstr>
      <vt:lpstr>UNKB0040_B_HIDE_COLUMN</vt:lpstr>
      <vt:lpstr>UNKB0040_B_HIDE_ROW</vt:lpstr>
      <vt:lpstr>UNKB0040_B_HOKAN_BASHO</vt:lpstr>
      <vt:lpstr>UNKB0040_B_HYOJI_GYO_SU</vt:lpstr>
      <vt:lpstr>UNKB0040_B_HYOJI_KENSU</vt:lpstr>
      <vt:lpstr>UNKB0040_B_IRAI_NO</vt:lpstr>
      <vt:lpstr>UNKB0040_B_IRISU</vt:lpstr>
      <vt:lpstr>UNKB0040_B_IRISU_TANI</vt:lpstr>
      <vt:lpstr>UNKB0040_B_JOGAI</vt:lpstr>
      <vt:lpstr>UNKB0040_B_JOGAI_CKH</vt:lpstr>
      <vt:lpstr>UNKB0040_B_JURI_NO</vt:lpstr>
      <vt:lpstr>UNKB0040_B_KENSHU_DATE</vt:lpstr>
      <vt:lpstr>UNKB0040_B_KIBO_NOKI</vt:lpstr>
      <vt:lpstr>UNKB0040_B_KOBAI_KBN</vt:lpstr>
      <vt:lpstr>UNKB0040_B_KOBAI_KBN_MEI</vt:lpstr>
      <vt:lpstr>UNKB0040_B_KOBAI_SEQ</vt:lpstr>
      <vt:lpstr>UNKB0040_B_KOBAI_STS</vt:lpstr>
      <vt:lpstr>UNKB0040_B_KOBAI_STS_MEI</vt:lpstr>
      <vt:lpstr>UNKB0040_B_KOBAIHIN_CD</vt:lpstr>
      <vt:lpstr>UNKB0040_B_KOBAIHIN_MEI</vt:lpstr>
      <vt:lpstr>UNKB0040_B_KOBAISHINSEI_NO</vt:lpstr>
      <vt:lpstr>UNKB0040_B_LIST_CLEAR</vt:lpstr>
      <vt:lpstr>UNKB0040_B_LIST_COPY_FLAG</vt:lpstr>
      <vt:lpstr>UNKB0040_B_LIST_COPY_SAKI</vt:lpstr>
      <vt:lpstr>UNKB0040_B_LIST_END</vt:lpstr>
      <vt:lpstr>UNKB0040_B_LIST_START</vt:lpstr>
      <vt:lpstr>UNKB0040_B_MAKER_CD</vt:lpstr>
      <vt:lpstr>UNKB0040_B_MAKER_MEI</vt:lpstr>
      <vt:lpstr>UNKB0040_B_NEXT_PAGE</vt:lpstr>
      <vt:lpstr>UNKB0040_B_NEXT_PAGE_NO</vt:lpstr>
      <vt:lpstr>UNKB0040_B_PAGE_NO</vt:lpstr>
      <vt:lpstr>UNKB0040_B_ROW</vt:lpstr>
      <vt:lpstr>UNKB0040_B_SCROLL_LOCK</vt:lpstr>
      <vt:lpstr>UNKB0040_B_SELECT_FLG_COPY_SAKI</vt:lpstr>
      <vt:lpstr>UNKB0040_B_SELECT_KOBAI_NO</vt:lpstr>
      <vt:lpstr>UNKB0040_B_SELECT_KOBAI_SEQ</vt:lpstr>
      <vt:lpstr>UNKB0040_B_SELECT_ROW_NO</vt:lpstr>
      <vt:lpstr>UNKB0040_B_SENTAKU</vt:lpstr>
      <vt:lpstr>UNKB0040_B_SHIIRESAKI_CD</vt:lpstr>
      <vt:lpstr>UNKB0040_B_SHIIRESAKI_MEI</vt:lpstr>
      <vt:lpstr>UNKB0040_B_SHINSEI_DATE</vt:lpstr>
      <vt:lpstr>UNKB0040_B_SHINSEISHA</vt:lpstr>
      <vt:lpstr>UNKB0040_B_SHINSEISHA_CD</vt:lpstr>
      <vt:lpstr>UNKB0040_B_SURYO</vt:lpstr>
      <vt:lpstr>UNKB0040_B_TANI</vt:lpstr>
      <vt:lpstr>UNKB0040_B_TANKA</vt:lpstr>
      <vt:lpstr>UNKB0040_B_UKEIRE_DATE</vt:lpstr>
      <vt:lpstr>UNKB0040_B_YOSAN_CD</vt:lpstr>
      <vt:lpstr>UNKB0040_H_CHUMONSHO_STS</vt:lpstr>
      <vt:lpstr>UNKB0040_H_CHUMONSHO_STS_S</vt:lpstr>
      <vt:lpstr>UNKB0040_H_COPY_CELL_SAKI</vt:lpstr>
      <vt:lpstr>UNKB0040_H_FREEWD_1</vt:lpstr>
      <vt:lpstr>UNKB0040_H_FREEWD_1_S</vt:lpstr>
      <vt:lpstr>UNKB0040_H_FREEWD_2</vt:lpstr>
      <vt:lpstr>UNKB0040_H_FREEWD_2_S</vt:lpstr>
      <vt:lpstr>UNKB0040_H_FREEWD_3</vt:lpstr>
      <vt:lpstr>UNKB0040_H_FREEWD_3_S</vt:lpstr>
      <vt:lpstr>UNKB0040_H_FREEWD_KBN</vt:lpstr>
      <vt:lpstr>UNKB0040_H_FREEWD_KBN_DISP</vt:lpstr>
      <vt:lpstr>UNKB0040_H_FREEWD_KBN_S</vt:lpstr>
      <vt:lpstr>UNKB0040_H_GAICHU_KBN</vt:lpstr>
      <vt:lpstr>UNKB0040_H_GAICHU_KBN_S</vt:lpstr>
      <vt:lpstr>UNKB0040_H_HANBAI_KBN</vt:lpstr>
      <vt:lpstr>UNKB0040_H_HANBAI_KBN_S</vt:lpstr>
      <vt:lpstr>UNKB0040_H_HIDE_COLUMN</vt:lpstr>
      <vt:lpstr>UNKB0040_H_HIDE_ROW</vt:lpstr>
      <vt:lpstr>UNKB0040_H_ICHIBU_STS</vt:lpstr>
      <vt:lpstr>UNKB0040_H_ICHIBU_STS_S</vt:lpstr>
      <vt:lpstr>UNKB0040_H_INIT_HEADER_FLG_COPY_SAKI</vt:lpstr>
      <vt:lpstr>UNKB0040_H_IRAICHU_STS</vt:lpstr>
      <vt:lpstr>UNKB0040_H_IRAICHU_STS_S</vt:lpstr>
      <vt:lpstr>UNKB0040_H_JURI_NO</vt:lpstr>
      <vt:lpstr>UNKB0040_H_JURI_NO_S</vt:lpstr>
      <vt:lpstr>UNKB0040_H_KENSHU_DATE_END</vt:lpstr>
      <vt:lpstr>UNKB0040_H_KENSHU_DATE_END_S</vt:lpstr>
      <vt:lpstr>UNKB0040_H_KENSHU_DATE_START</vt:lpstr>
      <vt:lpstr>UNKB0040_H_KENSHU_DATE_START_S</vt:lpstr>
      <vt:lpstr>UNKB0040_H_KENSHU_STS</vt:lpstr>
      <vt:lpstr>UNKB0040_H_KENSHU_STS_S</vt:lpstr>
      <vt:lpstr>UNKB0040_H_KOBAI_NO</vt:lpstr>
      <vt:lpstr>UNKB0040_H_KOBAI_NO_S</vt:lpstr>
      <vt:lpstr>UNKB0040_H_KOBAIHIN_CD</vt:lpstr>
      <vt:lpstr>UNKB0040_H_KOBAIHIN_CD_S</vt:lpstr>
      <vt:lpstr>UNKB0040_H_KOBAIHIN_KBN</vt:lpstr>
      <vt:lpstr>UNKB0040_H_KOBAIHIN_KBN_S</vt:lpstr>
      <vt:lpstr>UNKB0040_H_KOBAIHIN_MEI</vt:lpstr>
      <vt:lpstr>UNKB0040_H_KOBAIHIN_MEI_S</vt:lpstr>
      <vt:lpstr>UNKB0040_H_MAKER_CD</vt:lpstr>
      <vt:lpstr>UNKB0040_H_MAKER_CD_S</vt:lpstr>
      <vt:lpstr>UNKB0040_H_MAKER_MEI</vt:lpstr>
      <vt:lpstr>UNKB0040_H_MAKER_MEI_S</vt:lpstr>
      <vt:lpstr>UNKB0040_H_MISHONIN_STS</vt:lpstr>
      <vt:lpstr>UNKB0040_H_MISHONIN_STS_S</vt:lpstr>
      <vt:lpstr>UNKB0040_H_NOKI_DATE_END</vt:lpstr>
      <vt:lpstr>UNKB0040_H_NOKI_DATE_START</vt:lpstr>
      <vt:lpstr>UNKB0040_H_NOKI_END_S</vt:lpstr>
      <vt:lpstr>UNKB0040_H_NOKI_START_S</vt:lpstr>
      <vt:lpstr>UNKB0040_H_NYUKA_STS</vt:lpstr>
      <vt:lpstr>UNKB0040_H_NYUKA_STS_S</vt:lpstr>
      <vt:lpstr>UNKB0040_H_SHIIRE_CD_S</vt:lpstr>
      <vt:lpstr>UNKB0040_H_SHIIRE_MEI</vt:lpstr>
      <vt:lpstr>UNKB0040_H_SHIIRE_MEI_S</vt:lpstr>
      <vt:lpstr>UNKB0040_H_SHIIRESAKI_CD</vt:lpstr>
      <vt:lpstr>UNKB0040_H_SHINSEI_DATE_END</vt:lpstr>
      <vt:lpstr>UNKB0040_H_SHINSEI_DATE_END_S</vt:lpstr>
      <vt:lpstr>UNKB0040_H_SHINSEI_DATE_START</vt:lpstr>
      <vt:lpstr>UNKB0040_H_SHINSEI_DATE_START_S</vt:lpstr>
      <vt:lpstr>UNKB0040_H_SHINSEISHA_CD</vt:lpstr>
      <vt:lpstr>UNKB0040_H_SHINSEISHA_CD_S</vt:lpstr>
      <vt:lpstr>UNKB0040_H_SHINSEISHA_MEI</vt:lpstr>
      <vt:lpstr>UNKB0040_H_SHINSEISHA_MEI_S</vt:lpstr>
      <vt:lpstr>UNKB0040_H_SHUZEN_KBN</vt:lpstr>
      <vt:lpstr>UNKB0040_H_SHUZEN_KBN_S</vt:lpstr>
      <vt:lpstr>UNKB0040_H_TOSHI_KBN</vt:lpstr>
      <vt:lpstr>UNKB0040_H_TOSHI_KBN_S</vt:lpstr>
      <vt:lpstr>UNKB0040_H_UKEIRE_DATE_END</vt:lpstr>
      <vt:lpstr>UNKB0040_H_UKEIRE_DATE_END_S</vt:lpstr>
      <vt:lpstr>UNKB0040_H_UKEIRE_DATE_START</vt:lpstr>
      <vt:lpstr>UNKB0040_H_UKEIRE_DATE_START_S</vt:lpstr>
      <vt:lpstr>UNKB0040_H_YOSAN_CD</vt:lpstr>
      <vt:lpstr>UNKB0040_H_YOSAN_CD_S</vt:lpstr>
      <vt:lpstr>UNKB0040_H_YOSAN_MEI</vt:lpstr>
      <vt:lpstr>UNKB0040_H_YOSAN_MEI_S</vt:lpstr>
      <vt:lpstr>UNKB0040_IF_ACTIVE_CELL_NAME</vt:lpstr>
      <vt:lpstr>UNKB0040_IF_ACTIVE_COLUMN</vt:lpstr>
      <vt:lpstr>UNKB0040_IF_ACTIVE_ROW</vt:lpstr>
      <vt:lpstr>UNKB0040_IF_ACTIVE_SHEET</vt:lpstr>
      <vt:lpstr>UNKB0040_IF_B_FLG_COPY_MOTO</vt:lpstr>
      <vt:lpstr>UNKB0040_IF_CREATE_W_SERIAL</vt:lpstr>
      <vt:lpstr>UNKB0040_IF_DATA_SEARCH_FLG</vt:lpstr>
      <vt:lpstr>UNKB0040_IF_EXCEL_FILE_NAME</vt:lpstr>
      <vt:lpstr>UNKB0040_IF_INIT_HEADER_COPY_MOTO</vt:lpstr>
      <vt:lpstr>UNKB0040_IF_INIT_HEADER_FLG_COPY_MOTO</vt:lpstr>
      <vt:lpstr>UNKB0040_IF_KOBAI_NO</vt:lpstr>
      <vt:lpstr>UNKB0040_IF_KOBAI_SEQ</vt:lpstr>
      <vt:lpstr>UNKB0040_IF_LIST_COPY_MOTO</vt:lpstr>
      <vt:lpstr>UNKB0040_IF_LIST_DEFAULT</vt:lpstr>
      <vt:lpstr>UNKB0040_IF_MODE</vt:lpstr>
      <vt:lpstr>UNKB0040_IF_PRINT_COUNT</vt:lpstr>
      <vt:lpstr>UNKB0040_IF_PRINT_SHOSHIKI_COPY_FLAG</vt:lpstr>
      <vt:lpstr>UNKB0040_IF_PRINT_SHOSHIKI_COPY_MOTO</vt:lpstr>
      <vt:lpstr>UNKB0040_IF_PRINT_SHOSHIKI_COPY_SAKI</vt:lpstr>
      <vt:lpstr>UNKB0040_IF_PRINT_START</vt:lpstr>
      <vt:lpstr>UNKB0040_IF_SAVE_COPY_MOTO</vt:lpstr>
      <vt:lpstr>UNKB0040_IF_SAVE_COPY_SAKI</vt:lpstr>
      <vt:lpstr>UNKB0040_IF_SAVE_COPY_START</vt:lpstr>
      <vt:lpstr>UNKB0040_IF_SAVE_KENSU</vt:lpstr>
      <vt:lpstr>UNKB0040_IF_SAVE_START</vt:lpstr>
      <vt:lpstr>UNKB0040_IF_SAVE_W_MODE</vt:lpstr>
      <vt:lpstr>UNKB0040_IF_SAVE_W_SERIAL</vt:lpstr>
      <vt:lpstr>UNKB0040_IF_SAVE_W_USER_ID</vt:lpstr>
      <vt:lpstr>UNKB0040_IF_W_SERIAL</vt:lpstr>
      <vt:lpstr>UNKB0040_IF_W_SERIAL_CREATE</vt:lpstr>
      <vt:lpstr>UNKB0040_IF_W_USER_ID</vt:lpstr>
      <vt:lpstr>UNKB0040_SQL_DEFAULT_SORT</vt:lpstr>
      <vt:lpstr>UNKB0040_SQL_EXCEL_LIST</vt:lpstr>
      <vt:lpstr>UNKB0040_SQL_SHONIN_LIST</vt:lpstr>
      <vt:lpstr>UNKB0040_SQL_SHONIN_LIST_CNT</vt:lpstr>
      <vt:lpstr>UNKB0040_SQL_SORT</vt:lpstr>
      <vt:lpstr>UNKB0040_SQL_SORT_BY</vt:lpstr>
      <vt:lpstr>UNKB0040_SQL_W_SHONIN_LIST</vt:lpstr>
      <vt:lpstr>UNKB0040_SQL_W_SHONIN_LIST_UPDATE</vt:lpstr>
      <vt:lpstr>UNKB0050_B_ALERT</vt:lpstr>
      <vt:lpstr>UNKB0050_B_ALL_KENSU</vt:lpstr>
      <vt:lpstr>UNKB0050_B_ALL_PAGE_SU</vt:lpstr>
      <vt:lpstr>UNKB0050_B_BACK_PAGE</vt:lpstr>
      <vt:lpstr>UNKB0050_B_BACK_PAGE_NO</vt:lpstr>
      <vt:lpstr>UNKB0050_B_BARA_TANI</vt:lpstr>
      <vt:lpstr>UNKB0050_B_BIKO</vt:lpstr>
      <vt:lpstr>UNKB0050_B_CHUMON_NO</vt:lpstr>
      <vt:lpstr>UNKB0050_B_CHUMON_SOSU</vt:lpstr>
      <vt:lpstr>UNKB0050_B_FREEWD</vt:lpstr>
      <vt:lpstr>UNKB0050_B_GOKEI_KINGAKU</vt:lpstr>
      <vt:lpstr>UNKB0050_B_HATCHU_DATE</vt:lpstr>
      <vt:lpstr>UNKB0050_B_HIDE_COLUMN</vt:lpstr>
      <vt:lpstr>UNKB0050_B_HIDE_ROW</vt:lpstr>
      <vt:lpstr>UNKB0050_B_HOKAN_BASHO</vt:lpstr>
      <vt:lpstr>UNKB0050_B_HYOJI_GYO_SU</vt:lpstr>
      <vt:lpstr>UNKB0050_B_HYOJI_KENSU</vt:lpstr>
      <vt:lpstr>UNKB0050_B_IRAI_NO</vt:lpstr>
      <vt:lpstr>UNKB0050_B_IRISU</vt:lpstr>
      <vt:lpstr>UNKB0050_B_IRISU_TANI</vt:lpstr>
      <vt:lpstr>UNKB0050_B_JURI_NO</vt:lpstr>
      <vt:lpstr>UNKB0050_B_KENSHU_DATE</vt:lpstr>
      <vt:lpstr>UNKB0050_B_KIBO_NOKI</vt:lpstr>
      <vt:lpstr>UNKB0050_B_KOBAI_KBN</vt:lpstr>
      <vt:lpstr>UNKB0050_B_KOBAI_KBN_MEI</vt:lpstr>
      <vt:lpstr>UNKB0050_B_KOBAI_SEQ</vt:lpstr>
      <vt:lpstr>UNKB0050_B_KOBAI_STS</vt:lpstr>
      <vt:lpstr>UNKB0050_B_KOBAI_STS_MEI</vt:lpstr>
      <vt:lpstr>UNKB0050_B_KOBAIHIN_CD</vt:lpstr>
      <vt:lpstr>UNKB0050_B_KOBAIHIN_MEI</vt:lpstr>
      <vt:lpstr>UNKB0050_B_KOBAISHINSEI_NO</vt:lpstr>
      <vt:lpstr>UNKB0050_B_LIST_CLEAR</vt:lpstr>
      <vt:lpstr>UNKB0050_B_LIST_COPY_FLG</vt:lpstr>
      <vt:lpstr>UNKB0050_B_LIST_COPY_SAKI</vt:lpstr>
      <vt:lpstr>UNKB0050_B_LIST_END</vt:lpstr>
      <vt:lpstr>UNKB0050_B_LIST_START</vt:lpstr>
      <vt:lpstr>UNKB0050_B_MAKER_CD</vt:lpstr>
      <vt:lpstr>UNKB0050_B_MAKER_MEI</vt:lpstr>
      <vt:lpstr>UNKB0050_B_NEXT_PAGE</vt:lpstr>
      <vt:lpstr>UNKB0050_B_NEXT_PAGE_NO</vt:lpstr>
      <vt:lpstr>UNKB0050_B_PAGE_NO</vt:lpstr>
      <vt:lpstr>UNKB0050_B_ROW</vt:lpstr>
      <vt:lpstr>UNKB0050_B_SCROLL_LOCK</vt:lpstr>
      <vt:lpstr>UNKB0050_B_SELECT_FLG_COPY_SAKI</vt:lpstr>
      <vt:lpstr>UNKB0050_B_SELECT_KOBAI_NO</vt:lpstr>
      <vt:lpstr>UNKB0050_B_SELECT_KOBAI_SEQ</vt:lpstr>
      <vt:lpstr>UNKB0050_B_SELECT_ROW_NO</vt:lpstr>
      <vt:lpstr>UNKB0050_B_SENTAKU</vt:lpstr>
      <vt:lpstr>UNKB0050_B_SHIIRESAKI_CD</vt:lpstr>
      <vt:lpstr>UNKB0050_B_SHIIRESAKI_MEI</vt:lpstr>
      <vt:lpstr>UNKB0050_B_SHINSEI_DATE</vt:lpstr>
      <vt:lpstr>UNKB0050_B_SHINSEISHA_CD</vt:lpstr>
      <vt:lpstr>UNKB0050_B_SHINSEISHA_MEI</vt:lpstr>
      <vt:lpstr>UNKB0050_B_SURYO</vt:lpstr>
      <vt:lpstr>UNKB0050_B_TAISHO_SENTAKU</vt:lpstr>
      <vt:lpstr>UNKB0050_B_TAISHO_SENTAKU_CKH</vt:lpstr>
      <vt:lpstr>UNKB0050_B_TANKA</vt:lpstr>
      <vt:lpstr>UNKB0050_B_UKEIRE_DATE</vt:lpstr>
      <vt:lpstr>UNKB0050_B_YOSAN_CD</vt:lpstr>
      <vt:lpstr>UNKB0050_H_CHUMONSHO_STS</vt:lpstr>
      <vt:lpstr>UNKB0050_H_CHUMONSHO_STS_S</vt:lpstr>
      <vt:lpstr>UNKB0050_H_COPY_CELL_SAKI</vt:lpstr>
      <vt:lpstr>UNKB0050_H_FREEWD_1</vt:lpstr>
      <vt:lpstr>UNKB0050_H_FREEWD_1_S</vt:lpstr>
      <vt:lpstr>UNKB0050_H_FREEWD_2</vt:lpstr>
      <vt:lpstr>UNKB0050_H_FREEWD_2_S</vt:lpstr>
      <vt:lpstr>UNKB0050_H_FREEWD_3</vt:lpstr>
      <vt:lpstr>UNKB0050_H_FREEWD_3_S</vt:lpstr>
      <vt:lpstr>UNKB0050_H_FREEWD_KBN</vt:lpstr>
      <vt:lpstr>UNKB0050_H_FREEWD_KBN_DISP</vt:lpstr>
      <vt:lpstr>UNKB0050_H_FREEWD_KBN_S</vt:lpstr>
      <vt:lpstr>UNKB0050_H_GAICHU_KBN</vt:lpstr>
      <vt:lpstr>UNKB0050_H_GAICHU_KBN_S</vt:lpstr>
      <vt:lpstr>UNKB0050_H_HANBAI_KBN</vt:lpstr>
      <vt:lpstr>UNKB0050_H_HANBAI_KBN_S</vt:lpstr>
      <vt:lpstr>UNKB0050_H_HATCHU_DATE</vt:lpstr>
      <vt:lpstr>UNKB0050_H_HIDE_COLUMN</vt:lpstr>
      <vt:lpstr>UNKB0050_H_HIDE_ROW</vt:lpstr>
      <vt:lpstr>UNKB0050_H_ICHIBU_STS</vt:lpstr>
      <vt:lpstr>UNKB0050_H_ICHIBU_STS_S</vt:lpstr>
      <vt:lpstr>UNKB0050_H_INIT_HEADER_FLG_COPY_SAKI</vt:lpstr>
      <vt:lpstr>UNKB0050_H_IRAICHU_STS</vt:lpstr>
      <vt:lpstr>UNKB0050_H_IRAICHU_STS_S</vt:lpstr>
      <vt:lpstr>UNKB0050_H_JURI_NO</vt:lpstr>
      <vt:lpstr>UNKB0050_H_JURI_NO_S</vt:lpstr>
      <vt:lpstr>UNKB0050_H_KENSHU_DATE_END</vt:lpstr>
      <vt:lpstr>UNKB0050_H_KENSHU_DATE_END_S</vt:lpstr>
      <vt:lpstr>UNKB0050_H_KENSHU_DATE_START</vt:lpstr>
      <vt:lpstr>UNKB0050_H_KENSHU_DATE_START_S</vt:lpstr>
      <vt:lpstr>UNKB0050_H_KENSHU_STS</vt:lpstr>
      <vt:lpstr>UNKB0050_H_KENSHU_STS_S</vt:lpstr>
      <vt:lpstr>UNKB0050_H_KOBAI_NO</vt:lpstr>
      <vt:lpstr>UNKB0050_H_KOBAI_NO_S</vt:lpstr>
      <vt:lpstr>UNKB0050_H_KOBAIHIN_CD</vt:lpstr>
      <vt:lpstr>UNKB0050_H_KOBAIHIN_CD_S</vt:lpstr>
      <vt:lpstr>UNKB0050_H_KOBAIHIN_KBN</vt:lpstr>
      <vt:lpstr>UNKB0050_H_KOBAIHIN_KBN_S</vt:lpstr>
      <vt:lpstr>UNKB0050_H_KOBAIHIN_MEI</vt:lpstr>
      <vt:lpstr>UNKB0050_H_KOBAIHIN_MEI_S</vt:lpstr>
      <vt:lpstr>UNKB0050_H_MAKER_CD</vt:lpstr>
      <vt:lpstr>UNKB0050_H_MAKER_CD_S</vt:lpstr>
      <vt:lpstr>UNKB0050_H_MAKER_MEI</vt:lpstr>
      <vt:lpstr>UNKB0050_H_MAKER_MEI_S</vt:lpstr>
      <vt:lpstr>UNKB0050_H_MISHONIN_STS</vt:lpstr>
      <vt:lpstr>UNKB0050_H_MISHONIN_STS_S</vt:lpstr>
      <vt:lpstr>UNKB0050_H_NOKI_DATE_END</vt:lpstr>
      <vt:lpstr>UNKB0050_H_NOKI_DATE_START</vt:lpstr>
      <vt:lpstr>UNKB0050_H_NOKI_END_S</vt:lpstr>
      <vt:lpstr>UNKB0050_H_NOKI_START_S</vt:lpstr>
      <vt:lpstr>UNKB0050_H_NYUKA_STS</vt:lpstr>
      <vt:lpstr>UNKB0050_H_NYUKA_STS_S</vt:lpstr>
      <vt:lpstr>UNKB0050_H_SHIIRE_CD_S</vt:lpstr>
      <vt:lpstr>UNKB0050_H_SHIIRE_MEI</vt:lpstr>
      <vt:lpstr>UNKB0050_H_SHIIRE_MEI_S</vt:lpstr>
      <vt:lpstr>UNKB0050_H_SHIIRESAKI_CD</vt:lpstr>
      <vt:lpstr>UNKB0050_H_SHINSEI_DATE_END</vt:lpstr>
      <vt:lpstr>UNKB0050_H_SHINSEI_DATE_END_S</vt:lpstr>
      <vt:lpstr>UNKB0050_H_SHINSEI_DATE_START</vt:lpstr>
      <vt:lpstr>UNKB0050_H_SHINSEI_DATE_START_S</vt:lpstr>
      <vt:lpstr>UNKB0050_H_SHINSEISHA_CD</vt:lpstr>
      <vt:lpstr>UNKB0050_H_SHINSEISHA_CD_S</vt:lpstr>
      <vt:lpstr>UNKB0050_H_SHINSEISHA_MEI</vt:lpstr>
      <vt:lpstr>UNKB0050_H_SHINSEISHA_MEI_S</vt:lpstr>
      <vt:lpstr>UNKB0050_H_SHUZEN_KBN</vt:lpstr>
      <vt:lpstr>UNKB0050_H_SHUZEN_KBN_S</vt:lpstr>
      <vt:lpstr>UNKB0050_H_TOSHI_KBN</vt:lpstr>
      <vt:lpstr>UNKB0050_H_TOSHI_KBN_S</vt:lpstr>
      <vt:lpstr>UNKB0050_H_UKEIRE_DATE_END</vt:lpstr>
      <vt:lpstr>UNKB0050_H_UKEIRE_DATE_END_S</vt:lpstr>
      <vt:lpstr>UNKB0050_H_UKEIRE_DATE_START</vt:lpstr>
      <vt:lpstr>UNKB0050_H_UKEIRE_DATE_START_S</vt:lpstr>
      <vt:lpstr>UNKB0050_H_YOSAN_CD</vt:lpstr>
      <vt:lpstr>UNKB0050_H_YOSAN_CD_S</vt:lpstr>
      <vt:lpstr>UNKB0050_H_YOSAN_MEI</vt:lpstr>
      <vt:lpstr>UNKB0050_H_YOSAN_MEI_S</vt:lpstr>
      <vt:lpstr>UNKB0050_IF_ACTIVE_CELL_NAME</vt:lpstr>
      <vt:lpstr>UNKB0050_IF_ACTIVE_COLUMN</vt:lpstr>
      <vt:lpstr>UNKB0050_IF_ACTIVE_ROW</vt:lpstr>
      <vt:lpstr>UNKB0050_IF_ACTIVE_SHEET</vt:lpstr>
      <vt:lpstr>UNKB0050_IF_B_FLG_COPY_MOTO</vt:lpstr>
      <vt:lpstr>UNKB0050_IF_CREATE_W_SERIAL</vt:lpstr>
      <vt:lpstr>UNKB0050_IF_DATA_SEARCH_FLG</vt:lpstr>
      <vt:lpstr>UNKB0050_IF_EXCEL_FILE_NAME</vt:lpstr>
      <vt:lpstr>UNKB0050_IF_INIT_HEADER_COPY_MOTO</vt:lpstr>
      <vt:lpstr>UNKB0050_IF_INIT_HEADER_FLG_COPY_MOTO</vt:lpstr>
      <vt:lpstr>UNKB0050_IF_KOBAI_NO</vt:lpstr>
      <vt:lpstr>UNKB0050_IF_KOBAI_SEQ</vt:lpstr>
      <vt:lpstr>UNKB0050_IF_LIST_COPY_MOTO</vt:lpstr>
      <vt:lpstr>UNKB0050_IF_LIST_DEFAULT</vt:lpstr>
      <vt:lpstr>UNKB0050_IF_MODE</vt:lpstr>
      <vt:lpstr>UNKB0050_IF_PRINT_COUNT</vt:lpstr>
      <vt:lpstr>UNKB0050_IF_PRINT_SHOSHIKI_COPY_FLAG</vt:lpstr>
      <vt:lpstr>UNKB0050_IF_PRINT_SHOSHIKI_COPY_MOTO</vt:lpstr>
      <vt:lpstr>UNKB0050_IF_PRINT_SHOSHIKI_COPY_SAKI</vt:lpstr>
      <vt:lpstr>UNKB0050_IF_PRINT_START</vt:lpstr>
      <vt:lpstr>UNKB0050_IF_SAVE_COPY_MOTO</vt:lpstr>
      <vt:lpstr>UNKB0050_IF_SAVE_COPY_SAKI</vt:lpstr>
      <vt:lpstr>UNKB0050_IF_SAVE_COPY_START</vt:lpstr>
      <vt:lpstr>UNKB0050_IF_SAVE_COUNT</vt:lpstr>
      <vt:lpstr>UNKB0050_IF_SAVE_KENSU</vt:lpstr>
      <vt:lpstr>UNKB0050_IF_SAVE_START</vt:lpstr>
      <vt:lpstr>UNKB0050_IF_SAVE_W_MODE</vt:lpstr>
      <vt:lpstr>UNKB0050_IF_SAVE_W_SERIAL</vt:lpstr>
      <vt:lpstr>UNKB0050_IF_SAVE_W_USER_ID</vt:lpstr>
      <vt:lpstr>UNKB0050_IF_W_SERIAL</vt:lpstr>
      <vt:lpstr>UNKB0050_IF_W_SERIAL_CREATE</vt:lpstr>
      <vt:lpstr>UNKB0050_IF_W_USER_ID</vt:lpstr>
      <vt:lpstr>UNKB0050_REPORT_DATA_START</vt:lpstr>
      <vt:lpstr>UNKB0050_REPORT_HEADER</vt:lpstr>
      <vt:lpstr>UNKB0050_REPORT_IF_CLEAR_AREA</vt:lpstr>
      <vt:lpstr>UNKB0050_REPORT_IF_COPY_MOTO</vt:lpstr>
      <vt:lpstr>UNKB0050_REPORT_IF_COPY_SAKI</vt:lpstr>
      <vt:lpstr>UNKB0050_REPORT_IF_DATA_BARA_TANI</vt:lpstr>
      <vt:lpstr>UNKB0050_REPORT_IF_DATA_BIKO</vt:lpstr>
      <vt:lpstr>UNKB0050_REPORT_IF_DATA_CHUMON_NO</vt:lpstr>
      <vt:lpstr>UNKB0050_REPORT_IF_DATA_CHUMON_SEQ</vt:lpstr>
      <vt:lpstr>UNKB0050_REPORT_IF_DATA_HASSO_ADDRESS</vt:lpstr>
      <vt:lpstr>UNKB0050_REPORT_IF_DATA_HASSO_MEI</vt:lpstr>
      <vt:lpstr>UNKB0050_REPORT_IF_DATA_HASSO_TANTO_MEI</vt:lpstr>
      <vt:lpstr>UNKB0050_REPORT_IF_DATA_HASSO_TEL</vt:lpstr>
      <vt:lpstr>UNKB0050_REPORT_IF_DATA_HASSO_YUBIN_NO</vt:lpstr>
      <vt:lpstr>UNKB0050_REPORT_IF_DATA_HIMBAN</vt:lpstr>
      <vt:lpstr>UNKB0050_REPORT_IF_DATA_IRAI_NO</vt:lpstr>
      <vt:lpstr>UNKB0050_REPORT_IF_DATA_JURI_NO</vt:lpstr>
      <vt:lpstr>UNKB0050_REPORT_IF_DATA_KENSU</vt:lpstr>
      <vt:lpstr>UNKB0050_REPORT_IF_DATA_KOBAI_KBN</vt:lpstr>
      <vt:lpstr>UNKB0050_REPORT_IF_DATA_KOBAI_NO</vt:lpstr>
      <vt:lpstr>UNKB0050_REPORT_IF_DATA_KOBAI_SEQ</vt:lpstr>
      <vt:lpstr>UNKB0050_REPORT_IF_DATA_KOBAIHIN_MEI</vt:lpstr>
      <vt:lpstr>UNKB0050_REPORT_IF_DATA_MAKER_FLG</vt:lpstr>
      <vt:lpstr>UNKB0050_REPORT_IF_DATA_MAKER_MEI</vt:lpstr>
      <vt:lpstr>UNKB0050_REPORT_IF_DATA_NOKI</vt:lpstr>
      <vt:lpstr>UNKB0050_REPORT_IF_DATA_SHIIRE_CD</vt:lpstr>
      <vt:lpstr>UNKB0050_REPORT_IF_DATA_SHIIRE_IRISU</vt:lpstr>
      <vt:lpstr>UNKB0050_REPORT_IF_DATA_SHIIRE_IRISU_TANI</vt:lpstr>
      <vt:lpstr>UNKB0050_REPORT_IF_DATA_START</vt:lpstr>
      <vt:lpstr>UNKB0050_REPORT_IF_DATA_SURYO</vt:lpstr>
      <vt:lpstr>UNKB0050_REPORT_IF_PAGE_GYO</vt:lpstr>
      <vt:lpstr>UNKB0050_REPORT_IF_PRINT_CHECK</vt:lpstr>
      <vt:lpstr>UNKB0050_REPORT_IF_SHIIRE_FAX</vt:lpstr>
      <vt:lpstr>UNKB0050_REPORT_IF_SHIIRE_KENSU</vt:lpstr>
      <vt:lpstr>UNKB0050_REPORT_IF_SHIIRE_LOOP</vt:lpstr>
      <vt:lpstr>UNKB0050_REPORT_IF_SHIIRE_SHIIRE_CD</vt:lpstr>
      <vt:lpstr>UNKB0050_REPORT_IF_SHIIRE_SHIIRE_MEI</vt:lpstr>
      <vt:lpstr>UNKB0050_REPORT_IF_SHIIRE_START</vt:lpstr>
      <vt:lpstr>UNKB0050_REPORT_IF_SHIIRE_TANTO_MEI</vt:lpstr>
      <vt:lpstr>UNKB0050_REPORT_IF_SHIIRE_TEL</vt:lpstr>
      <vt:lpstr>UNKB0050_SQL_CHUMON_LIST</vt:lpstr>
      <vt:lpstr>UNKB0050_SQL_CHUMON_LIST_CNT</vt:lpstr>
      <vt:lpstr>UNKB0050_SQL_DEFAULT_SORT</vt:lpstr>
      <vt:lpstr>UNKB0050_SQL_EXCEL_LIST</vt:lpstr>
      <vt:lpstr>UNKB0050_SQL_REPORT_DATA</vt:lpstr>
      <vt:lpstr>UNKB0050_SQL_REPORT_SHIIRE</vt:lpstr>
      <vt:lpstr>UNKB0050_SQL_SORT</vt:lpstr>
      <vt:lpstr>UNKB0050_SQL_SORT_BY</vt:lpstr>
      <vt:lpstr>UNKB0050_SQL_W_CHUMON_LIST</vt:lpstr>
      <vt:lpstr>UNKB0050_SQL_W_CHUMON_LIST_UPDATE</vt:lpstr>
      <vt:lpstr>UNKB0080_B_ALERT</vt:lpstr>
      <vt:lpstr>UNKB0080_B_ALL_KENSU</vt:lpstr>
      <vt:lpstr>UNKB0080_B_ALL_PAGE_SU</vt:lpstr>
      <vt:lpstr>UNKB0080_B_BACK_PAGE</vt:lpstr>
      <vt:lpstr>UNKB0080_B_BACK_PAGE_NO</vt:lpstr>
      <vt:lpstr>UNKB0080_B_BARA_TANI</vt:lpstr>
      <vt:lpstr>UNKB0080_B_BIKO</vt:lpstr>
      <vt:lpstr>UNKB0080_B_CHUMON_NO</vt:lpstr>
      <vt:lpstr>UNKB0080_B_CHUMON_SOSU</vt:lpstr>
      <vt:lpstr>UNKB0080_B_GOKEI_KINGAKU</vt:lpstr>
      <vt:lpstr>UNKB0080_B_HAKKO_DATE</vt:lpstr>
      <vt:lpstr>UNKB0080_B_HIDE_COLUMN</vt:lpstr>
      <vt:lpstr>UNKB0080_B_HIDE_ROW</vt:lpstr>
      <vt:lpstr>UNKB0080_B_HOKAN_BASHO</vt:lpstr>
      <vt:lpstr>UNKB0080_B_HYOJI_GYO_SU</vt:lpstr>
      <vt:lpstr>UNKB0080_B_HYOJI_KENSU</vt:lpstr>
      <vt:lpstr>UNKB0080_B_IRAI_NO</vt:lpstr>
      <vt:lpstr>UNKB0080_B_IRISU</vt:lpstr>
      <vt:lpstr>UNKB0080_B_IRISU_TANI</vt:lpstr>
      <vt:lpstr>UNKB0080_B_JURI_NO</vt:lpstr>
      <vt:lpstr>UNKB0080_B_KENSHU_DATE</vt:lpstr>
      <vt:lpstr>UNKB0080_B_KIBO_NOKI</vt:lpstr>
      <vt:lpstr>UNKB0080_B_KOBAI_KBN</vt:lpstr>
      <vt:lpstr>UNKB0080_B_KOBAIHIN_CD</vt:lpstr>
      <vt:lpstr>UNKB0080_B_KOBAIHIN_LIST</vt:lpstr>
      <vt:lpstr>UNKB0080_B_KOBAIHIN_MEI</vt:lpstr>
      <vt:lpstr>UNKB0080_B_KOBAISHINSEI_NO</vt:lpstr>
      <vt:lpstr>UNKB0080_B_LIST_CLEAR</vt:lpstr>
      <vt:lpstr>UNKB0080_B_LIST_COPY_FLG</vt:lpstr>
      <vt:lpstr>UNKB0080_B_LIST_COPY_SAKI</vt:lpstr>
      <vt:lpstr>UNKB0080_B_LIST_END</vt:lpstr>
      <vt:lpstr>UNKB0080_B_LIST_START</vt:lpstr>
      <vt:lpstr>UNKB0080_B_MAKER_CD</vt:lpstr>
      <vt:lpstr>UNKB0080_B_MAKER_MEI</vt:lpstr>
      <vt:lpstr>UNKB0080_B_NEXT_PAGE</vt:lpstr>
      <vt:lpstr>UNKB0080_B_NEXT_PAGE_NO</vt:lpstr>
      <vt:lpstr>UNKB0080_B_PAGE_NO</vt:lpstr>
      <vt:lpstr>UNKB0080_B_SCROLL_LOCK</vt:lpstr>
      <vt:lpstr>UNKB0080_B_SENTAKU</vt:lpstr>
      <vt:lpstr>UNKB0080_B_SHIIRESAKI_CD</vt:lpstr>
      <vt:lpstr>UNKB0080_B_SHIIRESAKI_MEI</vt:lpstr>
      <vt:lpstr>UNKB0080_B_SHINSEI_DATE</vt:lpstr>
      <vt:lpstr>UNKB0080_B_SHINSEISHA</vt:lpstr>
      <vt:lpstr>UNKB0080_B_STS</vt:lpstr>
      <vt:lpstr>UNKB0080_B_SURYO</vt:lpstr>
      <vt:lpstr>UNKB0080_B_TANKA</vt:lpstr>
      <vt:lpstr>UNKB0080_B_UKEIRE_DATE</vt:lpstr>
      <vt:lpstr>UNKB0080_B_YOSAN_CD</vt:lpstr>
      <vt:lpstr>UNKB0080_H_CHUMONSHO_STS</vt:lpstr>
      <vt:lpstr>UNKB0080_H_CHUMONSHO_STS_S</vt:lpstr>
      <vt:lpstr>UNKB0080_H_COPY_CELL_SAKI</vt:lpstr>
      <vt:lpstr>UNKB0080_H_FREEWD_1</vt:lpstr>
      <vt:lpstr>UNKB0080_H_FREEWD_1_S</vt:lpstr>
      <vt:lpstr>UNKB0080_H_FREEWD_2</vt:lpstr>
      <vt:lpstr>UNKB0080_H_FREEWD_2_S</vt:lpstr>
      <vt:lpstr>UNKB0080_H_FREEWD_3</vt:lpstr>
      <vt:lpstr>UNKB0080_H_FREEWD_3_S</vt:lpstr>
      <vt:lpstr>UNKB0080_H_FREEWD_KBN</vt:lpstr>
      <vt:lpstr>UNKB0080_H_FREEWD_KBN_DISP</vt:lpstr>
      <vt:lpstr>UNKB0080_H_FREEWD_KBN_S</vt:lpstr>
      <vt:lpstr>UNKB0080_H_GAICHU_KBN</vt:lpstr>
      <vt:lpstr>UNKB0080_H_GAICHU_KBN_S</vt:lpstr>
      <vt:lpstr>UNKB0080_H_HANBAI_KBN</vt:lpstr>
      <vt:lpstr>UNKB0080_H_HANBAI_KBN_S</vt:lpstr>
      <vt:lpstr>UNKB0080_H_HIDE_COLUMN</vt:lpstr>
      <vt:lpstr>UNKB0080_H_HIDE_ROW</vt:lpstr>
      <vt:lpstr>UNKB0080_H_ICHIBU_STS</vt:lpstr>
      <vt:lpstr>UNKB0080_H_ICHIBU_STS_S</vt:lpstr>
      <vt:lpstr>UNKB0080_H_INIT_HEADER_FLG_COPY_SAKI</vt:lpstr>
      <vt:lpstr>UNKB0080_H_INSATSU_MI_STS</vt:lpstr>
      <vt:lpstr>UNKB0080_H_INSATSU_MI_STS_S</vt:lpstr>
      <vt:lpstr>UNKB0080_H_INSATSU_SUMI_STS</vt:lpstr>
      <vt:lpstr>UNKB0080_H_INSATSU_SUMI_STS_S</vt:lpstr>
      <vt:lpstr>UNKB0080_H_IRAICHU_STS</vt:lpstr>
      <vt:lpstr>UNKB0080_H_IRAICHU_STS_S</vt:lpstr>
      <vt:lpstr>UNKB0080_H_JURI_NO</vt:lpstr>
      <vt:lpstr>UNKB0080_H_JURI_NO_S</vt:lpstr>
      <vt:lpstr>UNKB0080_H_KENSHU_DATE_END</vt:lpstr>
      <vt:lpstr>UNKB0080_H_KENSHU_DATE_END_S</vt:lpstr>
      <vt:lpstr>UNKB0080_H_KENSHU_DATE_START</vt:lpstr>
      <vt:lpstr>UNKB0080_H_KENSHU_DATE_START_S</vt:lpstr>
      <vt:lpstr>UNKB0080_H_KENSHU_STS</vt:lpstr>
      <vt:lpstr>UNKB0080_H_KENSHU_STS_S</vt:lpstr>
      <vt:lpstr>UNKB0080_H_KOBAI_NO</vt:lpstr>
      <vt:lpstr>UNKB0080_H_KOBAI_NO_S</vt:lpstr>
      <vt:lpstr>UNKB0080_H_KOBAIHIN_CD</vt:lpstr>
      <vt:lpstr>UNKB0080_H_KOBAIHIN_CD_S</vt:lpstr>
      <vt:lpstr>UNKB0080_H_KOBAIHIN_KBN</vt:lpstr>
      <vt:lpstr>UNKB0080_H_KOBAIHIN_KBN_S</vt:lpstr>
      <vt:lpstr>UNKB0080_H_KOBAIHIN_MEI</vt:lpstr>
      <vt:lpstr>UNKB0080_H_KOBAIHIN_MEI_S</vt:lpstr>
      <vt:lpstr>UNKB0080_H_MAKER_CD</vt:lpstr>
      <vt:lpstr>UNKB0080_H_MAKER_CD_S</vt:lpstr>
      <vt:lpstr>UNKB0080_H_MAKER_MEI</vt:lpstr>
      <vt:lpstr>UNKB0080_H_MAKER_MEI_S</vt:lpstr>
      <vt:lpstr>UNKB0080_H_MISHONIN_STS</vt:lpstr>
      <vt:lpstr>UNKB0080_H_MISHONIN_STS_S</vt:lpstr>
      <vt:lpstr>UNKB0080_H_NOKI_DATE_END</vt:lpstr>
      <vt:lpstr>UNKB0080_H_NOKI_DATE_START</vt:lpstr>
      <vt:lpstr>UNKB0080_H_NOKI_END_S</vt:lpstr>
      <vt:lpstr>UNKB0080_H_NOKI_START_S</vt:lpstr>
      <vt:lpstr>UNKB0080_H_NYUKA_STS</vt:lpstr>
      <vt:lpstr>UNKB0080_H_NYUKA_STS_S</vt:lpstr>
      <vt:lpstr>UNKB0080_H_SHIIRE_CD_S</vt:lpstr>
      <vt:lpstr>UNKB0080_H_SHIIRE_MEI</vt:lpstr>
      <vt:lpstr>UNKB0080_H_SHIIRE_MEI_S</vt:lpstr>
      <vt:lpstr>UNKB0080_H_SHIIRESAKI_CD</vt:lpstr>
      <vt:lpstr>UNKB0080_H_SHINSEI_DATE_END</vt:lpstr>
      <vt:lpstr>UNKB0080_H_SHINSEI_DATE_END_S</vt:lpstr>
      <vt:lpstr>UNKB0080_H_SHINSEI_DATE_START</vt:lpstr>
      <vt:lpstr>UNKB0080_H_SHINSEI_DATE_START_S</vt:lpstr>
      <vt:lpstr>UNKB0080_H_SHINSEISHA_CD</vt:lpstr>
      <vt:lpstr>UNKB0080_H_SHINSEISHA_CD_S</vt:lpstr>
      <vt:lpstr>UNKB0080_H_SHINSEISHA_MEI</vt:lpstr>
      <vt:lpstr>UNKB0080_H_SHINSEISHA_MEI_S</vt:lpstr>
      <vt:lpstr>UNKB0080_H_SHUZEN_KBN</vt:lpstr>
      <vt:lpstr>UNKB0080_H_SHUZEN_KBN_S</vt:lpstr>
      <vt:lpstr>UNKB0080_H_TOSHI_KBN</vt:lpstr>
      <vt:lpstr>UNKB0080_H_TOSHI_KBN_S</vt:lpstr>
      <vt:lpstr>UNKB0080_H_UKEIRE_DATE_END</vt:lpstr>
      <vt:lpstr>UNKB0080_H_UKEIRE_DATE_END_S</vt:lpstr>
      <vt:lpstr>UNKB0080_H_UKEIRE_DATE_START</vt:lpstr>
      <vt:lpstr>UNKB0080_H_UKEIRE_DATE_START_S</vt:lpstr>
      <vt:lpstr>UNKB0080_H_YOSAN_CD</vt:lpstr>
      <vt:lpstr>UNKB0080_H_YOSAN_CD_S</vt:lpstr>
      <vt:lpstr>UNKB0080_H_YOSAN_MEI</vt:lpstr>
      <vt:lpstr>UNKB0080_H_YOSAN_MEI_S</vt:lpstr>
      <vt:lpstr>UNKB0080_IF_ACTIVE_CELL_NAME</vt:lpstr>
      <vt:lpstr>UNKB0080_IF_ACTIVE_COLUMN</vt:lpstr>
      <vt:lpstr>UNKB0080_IF_ACTIVE_ROW</vt:lpstr>
      <vt:lpstr>UNKB0080_IF_ACTIVE_SHEET</vt:lpstr>
      <vt:lpstr>UNKB0080_IF_BUTTON_16_HYOJI</vt:lpstr>
      <vt:lpstr>UNKB0080_IF_DATA_SEARCH_FLG</vt:lpstr>
      <vt:lpstr>UNKB0080_IF_EXCEL_FILE_NAME</vt:lpstr>
      <vt:lpstr>UNKB0080_IF_INIT_HEADER_COPY_MOTO</vt:lpstr>
      <vt:lpstr>UNKB0080_IF_INIT_HEADER_FLG_COPY_MOTO</vt:lpstr>
      <vt:lpstr>UNKB0080_IF_LIST_COPY_MOTO</vt:lpstr>
      <vt:lpstr>UNKB0080_IF_LIST_DEFAULT</vt:lpstr>
      <vt:lpstr>UNKB0080_IF_PRINT_COUNT</vt:lpstr>
      <vt:lpstr>UNKB0080_IF_PRINT_SHOSHIKI_COPY_FLAG</vt:lpstr>
      <vt:lpstr>UNKB0080_IF_PRINT_SHOSHIKI_COPY_MOTO</vt:lpstr>
      <vt:lpstr>UNKB0080_IF_PRINT_SHOSHIKI_COPY_SAKI</vt:lpstr>
      <vt:lpstr>UNKB0080_IF_PRINT_START</vt:lpstr>
      <vt:lpstr>UNKB0080_REPORT_HEADER</vt:lpstr>
      <vt:lpstr>UNKB0080_REPORT_IF_BARA_TANI</vt:lpstr>
      <vt:lpstr>UNKB0080_REPORT_IF_CHUMON_NO</vt:lpstr>
      <vt:lpstr>UNKB0080_REPORT_IF_COPY_MOTO</vt:lpstr>
      <vt:lpstr>UNKB0080_REPORT_IF_COPY_SAKI</vt:lpstr>
      <vt:lpstr>UNKB0080_REPORT_IF_HATCHU_DATE</vt:lpstr>
      <vt:lpstr>UNKB0080_REPORT_IF_IRAI_NO</vt:lpstr>
      <vt:lpstr>UNKB0080_REPORT_IF_IRISU</vt:lpstr>
      <vt:lpstr>UNKB0080_REPORT_IF_IRISU_TANI</vt:lpstr>
      <vt:lpstr>UNKB0080_REPORT_IF_KENSU</vt:lpstr>
      <vt:lpstr>UNKB0080_REPORT_IF_KOBAI_NO</vt:lpstr>
      <vt:lpstr>UNKB0080_REPORT_IF_KOBAI_SEQ</vt:lpstr>
      <vt:lpstr>UNKB0080_REPORT_IF_KOBAIHIN_MEI</vt:lpstr>
      <vt:lpstr>UNKB0080_REPORT_IF_LOOP_COUNT</vt:lpstr>
      <vt:lpstr>UNKB0080_REPORT_IF_LOOP_KENSU</vt:lpstr>
      <vt:lpstr>UNKB0080_REPORT_IF_LOOP_SHIIRE_CD</vt:lpstr>
      <vt:lpstr>UNKB0080_REPORT_IF_MAKER_MEI</vt:lpstr>
      <vt:lpstr>UNKB0080_REPORT_IF_NOKI</vt:lpstr>
      <vt:lpstr>UNKB0080_REPORT_IF_SHIIRE_CD</vt:lpstr>
      <vt:lpstr>UNKB0080_REPORT_IF_SHIIRE_MEI</vt:lpstr>
      <vt:lpstr>UNKB0080_REPORT_IF_SHINSEISHA_MEI</vt:lpstr>
      <vt:lpstr>UNKB0080_REPORT_IF_SOSU</vt:lpstr>
      <vt:lpstr>UNKB0080_REPORT_IF_START</vt:lpstr>
      <vt:lpstr>UNKB0080_REPORT_IF_SURYO</vt:lpstr>
      <vt:lpstr>UNKB0080_REPORT_IF_YOSAN_CD</vt:lpstr>
      <vt:lpstr>UNKB0080_REPORT_START</vt:lpstr>
      <vt:lpstr>UNKB0080_SQL_COMMON_WHERE</vt:lpstr>
      <vt:lpstr>UNKB0080_SQL_DEFAULT_SORT</vt:lpstr>
      <vt:lpstr>UNKB0080_SQL_EXCEL_LIST</vt:lpstr>
      <vt:lpstr>UNKB0080_SQL_PAGE</vt:lpstr>
      <vt:lpstr>UNKB0080_SQL_REPORT_DATA</vt:lpstr>
      <vt:lpstr>UNKB0080_SQL_REPORT_SHIIRE_DATA</vt:lpstr>
      <vt:lpstr>UNKB0080_SQL_SEARCH_LIST</vt:lpstr>
      <vt:lpstr>UNKB0080_SQL_SEARCH_LIST_CNT</vt:lpstr>
      <vt:lpstr>UNKB0080_SQL_SORT</vt:lpstr>
      <vt:lpstr>UNKB0080_SQL_SORT_BY</vt:lpstr>
      <vt:lpstr>UNKB0080_SQL_UPDATE_HAKKO_FLG</vt:lpstr>
      <vt:lpstr>UNKB0090_COPY_SAKI</vt:lpstr>
      <vt:lpstr>UNKB0090_CTRL_HYOJI_GYO_SU</vt:lpstr>
      <vt:lpstr>UNKB0090_HIDE_COLUMN</vt:lpstr>
      <vt:lpstr>UNKB0090_HIDE_ROW</vt:lpstr>
      <vt:lpstr>UNKB0090_HYOJI_KENSU</vt:lpstr>
      <vt:lpstr>UNKB0090_IF_BUTTON_11_HYOJI</vt:lpstr>
      <vt:lpstr>UNKB0090_IF_BUTTON_12_HYOJI</vt:lpstr>
      <vt:lpstr>UNKB0090_IF_KOBAI_NO</vt:lpstr>
      <vt:lpstr>UNKB0090_IF_KOBAI_SEQ</vt:lpstr>
      <vt:lpstr>UNKB0090_IF_LIST_COPY_MOTO</vt:lpstr>
      <vt:lpstr>UNKB0090_IF_LIST_DEFAULT</vt:lpstr>
      <vt:lpstr>UNKB0090_IF_PREVIOUS_ID</vt:lpstr>
      <vt:lpstr>UNKB0090_KENSAKU_KENSU</vt:lpstr>
      <vt:lpstr>UNKB0090_KOBAI_NO</vt:lpstr>
      <vt:lpstr>UNKB0090_KOBAIHIN_CD</vt:lpstr>
      <vt:lpstr>UNKB0090_KOBAIHIN_MEI</vt:lpstr>
      <vt:lpstr>UNKB0090_LIST_CLEAR</vt:lpstr>
      <vt:lpstr>UNKB0090_LIST_HENKO_DATETIME</vt:lpstr>
      <vt:lpstr>UNKB0090_LIST_HENKO_USER</vt:lpstr>
      <vt:lpstr>UNKB0090_LIST_KOBAI_NO</vt:lpstr>
      <vt:lpstr>UNKB0090_LIST_KOBAI_SEQ</vt:lpstr>
      <vt:lpstr>UNKB0090_LIST_START</vt:lpstr>
      <vt:lpstr>UNKB0090_LIST_STS_AFTER</vt:lpstr>
      <vt:lpstr>UNKB0090_LIST_STS_BEFORE</vt:lpstr>
      <vt:lpstr>UNKB0090_LIST_STS_CD_AFTER</vt:lpstr>
      <vt:lpstr>UNKB0090_LIST_STS_CD_BEFORE</vt:lpstr>
      <vt:lpstr>UNKB0090_NEXT_PAGE_NO</vt:lpstr>
      <vt:lpstr>UNKB0090_PAGE_NO</vt:lpstr>
      <vt:lpstr>UNKB0090_PAGE_TOTAL</vt:lpstr>
      <vt:lpstr>UNKB0090_PREV_PAGE_NO</vt:lpstr>
      <vt:lpstr>UNKB0090_SQL_DATA_B</vt:lpstr>
      <vt:lpstr>UNKB0090_SQL_DATA_CNT</vt:lpstr>
      <vt:lpstr>UNKB0090_SQL_DATA_H</vt:lpstr>
      <vt:lpstr>UNKB0090_SQL_DATA_ORDER</vt:lpstr>
      <vt:lpstr>UNKB0090_SQL_DEFAULT_SORT</vt:lpstr>
      <vt:lpstr>UNKB0090_SQL_POP_SORT</vt:lpstr>
      <vt:lpstr>UNKB0130_B_ALL_KENSU</vt:lpstr>
      <vt:lpstr>UNKB0130_B_ALL_PAGE_SU</vt:lpstr>
      <vt:lpstr>UNKB0130_B_BACK_PAGE</vt:lpstr>
      <vt:lpstr>UNKB0130_B_BACK_PAGE_NO</vt:lpstr>
      <vt:lpstr>UNKB0130_B_BARA_TANI</vt:lpstr>
      <vt:lpstr>UNKB0130_B_BIKO</vt:lpstr>
      <vt:lpstr>UNKB0130_B_FREEWD</vt:lpstr>
      <vt:lpstr>UNKB0130_B_HIDE_COLUMN</vt:lpstr>
      <vt:lpstr>UNKB0130_B_HIDE_ROW</vt:lpstr>
      <vt:lpstr>UNKB0130_B_HOKAN_BASHO_KBN</vt:lpstr>
      <vt:lpstr>UNKB0130_B_HOKAN_BASHO_MEI</vt:lpstr>
      <vt:lpstr>UNKB0130_B_HYOJI_GYO_SU</vt:lpstr>
      <vt:lpstr>UNKB0130_B_HYOJI_KENSU</vt:lpstr>
      <vt:lpstr>UNKB0130_B_IRAI_NO</vt:lpstr>
      <vt:lpstr>UNKB0130_B_IRISU</vt:lpstr>
      <vt:lpstr>UNKB0130_B_IRISU_TANI</vt:lpstr>
      <vt:lpstr>UNKB0130_B_JURI_NO</vt:lpstr>
      <vt:lpstr>UNKB0130_B_KENSHU_DATE</vt:lpstr>
      <vt:lpstr>UNKB0130_B_KOBAI_KBN_CD</vt:lpstr>
      <vt:lpstr>UNKB0130_B_KOBAI_KBN_MEI</vt:lpstr>
      <vt:lpstr>UNKB0130_B_KOBAI_NO</vt:lpstr>
      <vt:lpstr>UNKB0130_B_KOBAI_SEQ</vt:lpstr>
      <vt:lpstr>UNKB0130_B_KOBAIHIN_CD</vt:lpstr>
      <vt:lpstr>UNKB0130_B_KOBAIHIN_MEI</vt:lpstr>
      <vt:lpstr>UNKB0130_B_LIST_CLEAR</vt:lpstr>
      <vt:lpstr>UNKB0130_B_LIST_COPY_FLG</vt:lpstr>
      <vt:lpstr>UNKB0130_B_LIST_COPY_SAKI</vt:lpstr>
      <vt:lpstr>UNKB0130_B_LIST_END</vt:lpstr>
      <vt:lpstr>UNKB0130_B_LIST_START</vt:lpstr>
      <vt:lpstr>UNKB0130_B_MAKER_CD</vt:lpstr>
      <vt:lpstr>UNKB0130_B_MAKER_MEI</vt:lpstr>
      <vt:lpstr>UNKB0130_B_NEXT_PAGE</vt:lpstr>
      <vt:lpstr>UNKB0130_B_NEXT_PAGE_NO</vt:lpstr>
      <vt:lpstr>UNKB0130_B_NOKI</vt:lpstr>
      <vt:lpstr>UNKB0130_B_NYUSHUKKO_NO</vt:lpstr>
      <vt:lpstr>UNKB0130_B_PAGE_NO</vt:lpstr>
      <vt:lpstr>UNKB0130_B_SCROLL_LOCK</vt:lpstr>
      <vt:lpstr>UNKB0130_B_SELECT_NYUSHUKKO_NO</vt:lpstr>
      <vt:lpstr>UNKB0130_B_SELECT_ROW_NO</vt:lpstr>
      <vt:lpstr>UNKB0130_B_SENTAKU</vt:lpstr>
      <vt:lpstr>UNKB0130_B_SHIIRE_CD</vt:lpstr>
      <vt:lpstr>UNKB0130_B_SHIIRE_MEI</vt:lpstr>
      <vt:lpstr>UNKB0130_B_SHINSEI_DATE</vt:lpstr>
      <vt:lpstr>UNKB0130_B_SHINSEISHA_CD</vt:lpstr>
      <vt:lpstr>UNKB0130_B_SHINSEISHA_MEI</vt:lpstr>
      <vt:lpstr>UNKB0130_B_SOSU</vt:lpstr>
      <vt:lpstr>UNKB0130_B_SURYO</vt:lpstr>
      <vt:lpstr>UNKB0130_B_TANKA</vt:lpstr>
      <vt:lpstr>UNKB0130_B_TOTAL</vt:lpstr>
      <vt:lpstr>UNKB0130_B_UKEIRE_DATE</vt:lpstr>
      <vt:lpstr>UNKB0130_B_YOSAN_CD</vt:lpstr>
      <vt:lpstr>UNKB0130_H_COPY_SAKI</vt:lpstr>
      <vt:lpstr>UNKB0130_H_FREEWD_1</vt:lpstr>
      <vt:lpstr>UNKB0130_H_FREEWD_1_S</vt:lpstr>
      <vt:lpstr>UNKB0130_H_FREEWD_2</vt:lpstr>
      <vt:lpstr>UNKB0130_H_FREEWD_2_S</vt:lpstr>
      <vt:lpstr>UNKB0130_H_FREEWD_3</vt:lpstr>
      <vt:lpstr>UNKB0130_H_FREEWD_3_S</vt:lpstr>
      <vt:lpstr>UNKB0130_H_FREEWD_KBN</vt:lpstr>
      <vt:lpstr>UNKB0130_H_FREEWD_KBN_DISP</vt:lpstr>
      <vt:lpstr>UNKB0130_H_FREEWD_KBN_S</vt:lpstr>
      <vt:lpstr>UNKB0130_H_GAICHU_KBN</vt:lpstr>
      <vt:lpstr>UNKB0130_H_GAICHU_KBN_S</vt:lpstr>
      <vt:lpstr>UNKB0130_H_HANBAI_KBN</vt:lpstr>
      <vt:lpstr>UNKB0130_H_HANBAI_KBN_S</vt:lpstr>
      <vt:lpstr>UNKB0130_H_HIDE_COLUMN</vt:lpstr>
      <vt:lpstr>UNKB0130_H_HIDE_ROW</vt:lpstr>
      <vt:lpstr>UNKB0130_H_INIT_HEADER_FLG_COPY_SAKI</vt:lpstr>
      <vt:lpstr>UNKB0130_H_IRAI_NO</vt:lpstr>
      <vt:lpstr>UNKB0130_H_IRAI_NO_S</vt:lpstr>
      <vt:lpstr>UNKB0130_H_JURI_NO</vt:lpstr>
      <vt:lpstr>UNKB0130_H_JURI_NO_S</vt:lpstr>
      <vt:lpstr>UNKB0130_H_KENSHU_DATE_END</vt:lpstr>
      <vt:lpstr>UNKB0130_H_KENSHU_DATE_END_S</vt:lpstr>
      <vt:lpstr>UNKB0130_H_KENSHU_DATE_START</vt:lpstr>
      <vt:lpstr>UNKB0130_H_KENSHU_DATE_START_S</vt:lpstr>
      <vt:lpstr>UNKB0130_H_KOBAI_NO</vt:lpstr>
      <vt:lpstr>UNKB0130_H_KOBAI_NO_S</vt:lpstr>
      <vt:lpstr>UNKB0130_H_KOBAIHIN_CD</vt:lpstr>
      <vt:lpstr>UNKB0130_H_KOBAIHIN_CD_S</vt:lpstr>
      <vt:lpstr>UNKB0130_H_KOBAIHIN_KBN</vt:lpstr>
      <vt:lpstr>UNKB0130_H_KOBAIHIN_KBN_S</vt:lpstr>
      <vt:lpstr>UNKB0130_H_KOBAIHIN_MEI</vt:lpstr>
      <vt:lpstr>UNKB0130_H_KOBAIHIN_MEI_S</vt:lpstr>
      <vt:lpstr>UNKB0130_H_MAKER_CD</vt:lpstr>
      <vt:lpstr>UNKB0130_H_MAKER_CD_S</vt:lpstr>
      <vt:lpstr>UNKB0130_H_MAKER_MEI</vt:lpstr>
      <vt:lpstr>UNKB0130_H_MAKER_MEI_S</vt:lpstr>
      <vt:lpstr>UNKB0130_H_MIKENSHU_FLG</vt:lpstr>
      <vt:lpstr>UNKB0130_H_MIKENSHU_FLG_S</vt:lpstr>
      <vt:lpstr>UNKB0130_H_NOKI_END</vt:lpstr>
      <vt:lpstr>UNKB0130_H_NOKI_END_S</vt:lpstr>
      <vt:lpstr>UNKB0130_H_NOKI_START</vt:lpstr>
      <vt:lpstr>UNKB0130_H_NOKI_START_S</vt:lpstr>
      <vt:lpstr>UNKB0130_H_NYUSHUKKO_NO</vt:lpstr>
      <vt:lpstr>UNKB0130_H_NYUSHUKKO_NO_S</vt:lpstr>
      <vt:lpstr>UNKB0130_H_SHIIRE_CD</vt:lpstr>
      <vt:lpstr>UNKB0130_H_SHIIRE_CD_S</vt:lpstr>
      <vt:lpstr>UNKB0130_H_SHIIRE_MEI</vt:lpstr>
      <vt:lpstr>UNKB0130_H_SHIIRE_MEI_S</vt:lpstr>
      <vt:lpstr>UNKB0130_H_SHINSEI_DATE_END</vt:lpstr>
      <vt:lpstr>UNKB0130_H_SHINSEI_DATE_END_S</vt:lpstr>
      <vt:lpstr>UNKB0130_H_SHINSEI_DATE_START</vt:lpstr>
      <vt:lpstr>UNKB0130_H_SHINSEI_DATE_START_S</vt:lpstr>
      <vt:lpstr>UNKB0130_H_SHINSEISHA_CD</vt:lpstr>
      <vt:lpstr>UNKB0130_H_SHINSEISHA_CD_S</vt:lpstr>
      <vt:lpstr>UNKB0130_H_SHINSEISHA_MEI</vt:lpstr>
      <vt:lpstr>UNKB0130_H_SHINSEISHA_MEI_S</vt:lpstr>
      <vt:lpstr>UNKB0130_H_SHUZEN_KBN</vt:lpstr>
      <vt:lpstr>UNKB0130_H_SHUZEN_KBN_S</vt:lpstr>
      <vt:lpstr>UNKB0130_H_TOSHI_KBN</vt:lpstr>
      <vt:lpstr>UNKB0130_H_TOSHI_KBN_S</vt:lpstr>
      <vt:lpstr>UNKB0130_H_UKEIRE_DATE_END</vt:lpstr>
      <vt:lpstr>UNKB0130_H_UKEIRE_DATE_END_S</vt:lpstr>
      <vt:lpstr>UNKB0130_H_UKEIRE_DATE_START</vt:lpstr>
      <vt:lpstr>UNKB0130_H_UKEIRE_DATE_START_S</vt:lpstr>
      <vt:lpstr>UNKB0130_H_YOSAN_CD</vt:lpstr>
      <vt:lpstr>UNKB0130_H_YOSAN_CD_S</vt:lpstr>
      <vt:lpstr>UNKB0130_H_YOSAN_MEI</vt:lpstr>
      <vt:lpstr>UNKB0130_H_YOSAN_MEI_S</vt:lpstr>
      <vt:lpstr>UNKB0130_IF_ACTIVE_CELL_NAME</vt:lpstr>
      <vt:lpstr>UNKB0130_IF_ACTIVE_COLUMN</vt:lpstr>
      <vt:lpstr>UNKB0130_IF_ACTIVE_ROW</vt:lpstr>
      <vt:lpstr>UNKB0130_IF_ACTIVE_SHEET</vt:lpstr>
      <vt:lpstr>UNKB0130_IF_DATA_SEARCH_FLG</vt:lpstr>
      <vt:lpstr>UNKB0130_IF_EXCEL_COUNT</vt:lpstr>
      <vt:lpstr>UNKB0130_IF_EXCEL_FILE_NAME</vt:lpstr>
      <vt:lpstr>UNKB0130_IF_EXCEL_SHOSHIKI_COPY_FLG</vt:lpstr>
      <vt:lpstr>UNKB0130_IF_EXCEL_SHOSHIKI_COPY_MOTO</vt:lpstr>
      <vt:lpstr>UNKB0130_IF_EXCEL_SHOSHIKI_COPY_SAKI</vt:lpstr>
      <vt:lpstr>UNKB0130_IF_EXCEL_START</vt:lpstr>
      <vt:lpstr>UNKB0130_IF_INIT_HEADER_COPY_MOTO</vt:lpstr>
      <vt:lpstr>UNKB0130_IF_INIT_HEADER_FLG_COPY_MOTO</vt:lpstr>
      <vt:lpstr>UNKB0130_IF_LIST_COPY_MOTO</vt:lpstr>
      <vt:lpstr>UNKB0130_IF_LIST_DEFAULT</vt:lpstr>
      <vt:lpstr>UNKB0130_SQL_DEFAULT_SORT</vt:lpstr>
      <vt:lpstr>UNKB0130_SQL_EXCEL_LIST</vt:lpstr>
      <vt:lpstr>UNKB0130_SQL_SEARCH_LIST</vt:lpstr>
      <vt:lpstr>UNKB0130_SQL_SEARCH_LIST_CNT</vt:lpstr>
      <vt:lpstr>UNKB0130_SQL_SORT</vt:lpstr>
      <vt:lpstr>UNKB0130_SQL_SORT_POPUP</vt:lpstr>
      <vt:lpstr>UNKB0140_B_BARA_TANI</vt:lpstr>
      <vt:lpstr>UNKB0140_B_BIKO</vt:lpstr>
      <vt:lpstr>UNKB0140_B_CHUMON_NO</vt:lpstr>
      <vt:lpstr>UNKB0140_B_CHUMON_SU</vt:lpstr>
      <vt:lpstr>UNKB0140_B_CODE_AREA</vt:lpstr>
      <vt:lpstr>UNKB0140_B_COPY_SAKI</vt:lpstr>
      <vt:lpstr>UNKB0140_B_DOKU_FLG</vt:lpstr>
      <vt:lpstr>UNKB0140_B_HATCHU_DATE</vt:lpstr>
      <vt:lpstr>UNKB0140_B_HIDE_COLUMN</vt:lpstr>
      <vt:lpstr>UNKB0140_B_HIDE_ROW</vt:lpstr>
      <vt:lpstr>UNKB0140_B_HOKAN_BASHO</vt:lpstr>
      <vt:lpstr>UNKB0140_B_HOKAN_BASHO_KBN</vt:lpstr>
      <vt:lpstr>UNKB0140_B_IRISU</vt:lpstr>
      <vt:lpstr>UNKB0140_B_IRISU_TANI</vt:lpstr>
      <vt:lpstr>UNKB0140_B_JURI_NO</vt:lpstr>
      <vt:lpstr>UNKB0140_B_KENSHU_DATE</vt:lpstr>
      <vt:lpstr>UNKB0140_B_KIBO_NOKI</vt:lpstr>
      <vt:lpstr>UNKB0140_B_KINGAKU</vt:lpstr>
      <vt:lpstr>UNKB0140_B_KOBAI_KBN</vt:lpstr>
      <vt:lpstr>UNKB0140_B_KOBAI_KBN_CD</vt:lpstr>
      <vt:lpstr>UNKB0140_B_KOBAI_NO</vt:lpstr>
      <vt:lpstr>UNKB0140_B_KOBAI_SEQ</vt:lpstr>
      <vt:lpstr>UNKB0140_B_KOBAIHIN_CD</vt:lpstr>
      <vt:lpstr>UNKB0140_B_KOBAIHIN_MEI</vt:lpstr>
      <vt:lpstr>UNKB0140_B_MAKER_CD</vt:lpstr>
      <vt:lpstr>UNKB0140_B_MAKER_MEI</vt:lpstr>
      <vt:lpstr>UNKB0140_B_NYUKO_TOTAL</vt:lpstr>
      <vt:lpstr>UNKB0140_B_NYURYOKUSHA_CD</vt:lpstr>
      <vt:lpstr>UNKB0140_B_NYURYOKUSHA_MEI</vt:lpstr>
      <vt:lpstr>UNKB0140_B_NYUSHUKKO_NO</vt:lpstr>
      <vt:lpstr>UNKB0140_B_SHIIRESAKI_CD</vt:lpstr>
      <vt:lpstr>UNKB0140_B_SHIIRESAKI_MEI</vt:lpstr>
      <vt:lpstr>UNKB0140_B_SHINSEI_DATE</vt:lpstr>
      <vt:lpstr>UNKB0140_B_SHINSEISHA_MEI</vt:lpstr>
      <vt:lpstr>UNKB0140_B_SHIYAKU_FLG</vt:lpstr>
      <vt:lpstr>UNKB0140_B_SOSU</vt:lpstr>
      <vt:lpstr>UNKB0140_B_SUMI_SURYO</vt:lpstr>
      <vt:lpstr>UNKB0140_B_SURYO</vt:lpstr>
      <vt:lpstr>UNKB0140_B_TANKA</vt:lpstr>
      <vt:lpstr>UNKB0140_B_UKEIRE_DATE</vt:lpstr>
      <vt:lpstr>UNKB0140_B_YOSAN_CD</vt:lpstr>
      <vt:lpstr>UNKB0140_B_YOSAN_MEI</vt:lpstr>
      <vt:lpstr>UNKB0140_B_ZAIKO_NO</vt:lpstr>
      <vt:lpstr>UNKB0140_H_COPY_SAKI</vt:lpstr>
      <vt:lpstr>UNKB0140_H_DATA_COUNT</vt:lpstr>
      <vt:lpstr>UNKB0140_H_DBS_01</vt:lpstr>
      <vt:lpstr>UNKB0140_H_HIDE_COLUMN</vt:lpstr>
      <vt:lpstr>UNKB0140_H_HIDE_ROW</vt:lpstr>
      <vt:lpstr>UNKB0140_H_IRAI_NO</vt:lpstr>
      <vt:lpstr>UNKB0140_IF_ACTIVE_CELL_NAME</vt:lpstr>
      <vt:lpstr>UNKB0140_IF_ACTIVE_COLUMN</vt:lpstr>
      <vt:lpstr>UNKB0140_IF_ACTIVE_ROW</vt:lpstr>
      <vt:lpstr>UNKB0140_IF_ACTIVE_SHEET</vt:lpstr>
      <vt:lpstr>UNKB0140_IF_BUTTON_06_HYOJI</vt:lpstr>
      <vt:lpstr>UNKB0140_IF_BUTTON_06_NAME</vt:lpstr>
      <vt:lpstr>UNKB0140_IF_BUTTON_07_HYOJI</vt:lpstr>
      <vt:lpstr>UNKB0140_IF_BUTTON_10_ERROR</vt:lpstr>
      <vt:lpstr>UNKB0140_IF_BUTTON_10_ERROR_MSG</vt:lpstr>
      <vt:lpstr>UNKB0140_IF_BUTTON_10_HYOJI</vt:lpstr>
      <vt:lpstr>UNKB0140_IF_BUTTON_10_NAME</vt:lpstr>
      <vt:lpstr>UNKB0140_IF_BUTTON_18_HYOJI</vt:lpstr>
      <vt:lpstr>UNKB0140_IF_BUTTON_20_HYOJI</vt:lpstr>
      <vt:lpstr>UNKB0140_IF_COPY_B_INIT</vt:lpstr>
      <vt:lpstr>UNKB0140_IF_COPY_B_SANSHO</vt:lpstr>
      <vt:lpstr>UNKB0140_IF_COPY_B_SHINKI</vt:lpstr>
      <vt:lpstr>UNKB0140_IF_COPY_B_SHUSEI</vt:lpstr>
      <vt:lpstr>UNKB0140_IF_COPY_H_INIT</vt:lpstr>
      <vt:lpstr>UNKB0140_IF_COPY_H_SANSHO</vt:lpstr>
      <vt:lpstr>UNKB0140_IF_COPY_H_SHINKI</vt:lpstr>
      <vt:lpstr>UNKB0140_IF_COPY_H_SHUSEI</vt:lpstr>
      <vt:lpstr>UNKB0140_IF_DATA_SEARCH_FLG</vt:lpstr>
      <vt:lpstr>UNKB0140_IF_EXCEL_FILE_NAME</vt:lpstr>
      <vt:lpstr>UNKB0140_IF_INPUT_CHECK</vt:lpstr>
      <vt:lpstr>UNKB0140_IF_INPUT_ERROR_MESSAGE</vt:lpstr>
      <vt:lpstr>UNKB0140_IF_LABEL_PRINTER</vt:lpstr>
      <vt:lpstr>UNKB0140_IF_MODE</vt:lpstr>
      <vt:lpstr>UNKB0140_IF_RECEIPT_PRINTER</vt:lpstr>
      <vt:lpstr>UNKB0140_IF_REF_NO</vt:lpstr>
      <vt:lpstr>UNKB0140_IF_SAVE_CHECK_ERROR_KOMOKU</vt:lpstr>
      <vt:lpstr>UNKB0140_IF_SAVE_CHECK_RESULT</vt:lpstr>
      <vt:lpstr>UNKB0140_IF_SAVE_ERROR_CHECK</vt:lpstr>
      <vt:lpstr>UNKB0140_IF_SAVE_ERROR_MESSAGE</vt:lpstr>
      <vt:lpstr>UNKB0140_IF_SAVE_HOKAN_BASHO_KBN</vt:lpstr>
      <vt:lpstr>UNKB0140_IF_SAVE_IRAI_NO</vt:lpstr>
      <vt:lpstr>UNKB0140_IF_SAVE_KENSU</vt:lpstr>
      <vt:lpstr>UNKB0140_IF_SAVE_NYUKO_SURYO</vt:lpstr>
      <vt:lpstr>UNKB0140_IF_SAVE_NYURYOKUSHA_CD</vt:lpstr>
      <vt:lpstr>UNKB0140_IF_SAVE_PRINT_CHECK</vt:lpstr>
      <vt:lpstr>UNKB0140_IF_SAVE_RESULT_CD</vt:lpstr>
      <vt:lpstr>UNKB0140_IF_SAVE_RESULT_MESSAGE</vt:lpstr>
      <vt:lpstr>UNKB0140_IF_SAVE_RESULT_NYUSHUKKO_NO</vt:lpstr>
      <vt:lpstr>UNKB0140_IF_SAVE_SHIYAKU_CHECK</vt:lpstr>
      <vt:lpstr>UNKB0140_IF_SAVE_SHIYAKU_LOOP_CNT</vt:lpstr>
      <vt:lpstr>UNKB0140_IF_SAVE_START</vt:lpstr>
      <vt:lpstr>UNKB0140_IF_SAVE_UKEIRE_DATE</vt:lpstr>
      <vt:lpstr>UNKB0140_IF_SHIYAKU_FLG</vt:lpstr>
      <vt:lpstr>UNKB0140_IF_W_MODE</vt:lpstr>
      <vt:lpstr>UNKB0140_IF_W_SERIAL</vt:lpstr>
      <vt:lpstr>UNKB0140_IF_W_SERIAL_CREATE</vt:lpstr>
      <vt:lpstr>UNKB0140_IF_W_USER_ID</vt:lpstr>
      <vt:lpstr>UNKB0140_SQL_DATA</vt:lpstr>
      <vt:lpstr>UNKB0140_SQL_DATA_COUNT</vt:lpstr>
      <vt:lpstr>UNKB0140_SQL_DEFAULT_NYURYOKUSHA</vt:lpstr>
      <vt:lpstr>UNKB0140_SQL_PROC</vt:lpstr>
      <vt:lpstr>UNKB0020_IF!必須チェック設定</vt:lpstr>
      <vt:lpstr>UNKB0140_IF!必須チェック設定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中川 雄太</dc:creator>
  <cp:lastModifiedBy>システム開発者 2</cp:lastModifiedBy>
  <cp:lastPrinted>2017-07-12T07:59:42Z</cp:lastPrinted>
  <dcterms:created xsi:type="dcterms:W3CDTF">2016-04-29T00:18:20Z</dcterms:created>
  <dcterms:modified xsi:type="dcterms:W3CDTF">2017-07-14T09:05:09Z</dcterms:modified>
</cp:coreProperties>
</file>