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ユニケミー\201709\201709_2回目本番適用資料_20170925\追加受注２全機能対応版（裏書含む）\ProjectExcel\"/>
    </mc:Choice>
  </mc:AlternateContent>
  <bookViews>
    <workbookView xWindow="0" yWindow="0" windowWidth="14370" windowHeight="7590" tabRatio="930" firstSheet="5" activeTab="9"/>
  </bookViews>
  <sheets>
    <sheet name="UNNH0010_H" sheetId="82" r:id="rId1"/>
    <sheet name="UNNH0010_B" sheetId="92" r:id="rId2"/>
    <sheet name="UNNH0010_IF" sheetId="125" r:id="rId3"/>
    <sheet name="UNNH0010_SQL" sheetId="126" r:id="rId4"/>
    <sheet name="UNNH0020_H" sheetId="98" r:id="rId5"/>
    <sheet name="UNNH0020_B" sheetId="99" r:id="rId6"/>
    <sheet name="UNNH0020_IF" sheetId="131" r:id="rId7"/>
    <sheet name="UNNH0020_SQL" sheetId="130" r:id="rId8"/>
    <sheet name="UNNH0020_REPORT" sheetId="149" r:id="rId9"/>
    <sheet name="UNNH0020_REPORT2" sheetId="159" r:id="rId10"/>
    <sheet name="UNNH0020_REPORT_IF" sheetId="150" r:id="rId11"/>
    <sheet name="UNNH0030_H" sheetId="137" r:id="rId12"/>
    <sheet name="UNNH0030_B" sheetId="138" r:id="rId13"/>
    <sheet name="UNNH0030_IF" sheetId="139" r:id="rId14"/>
    <sheet name="UNNH0030_SQL" sheetId="140" r:id="rId15"/>
    <sheet name="UNNH0030_REPORT_IF" sheetId="146" r:id="rId16"/>
    <sheet name="UNNH0030_REPORT_RAYOUT" sheetId="154" r:id="rId17"/>
    <sheet name="UNNH0030_SEIKYUSHO" sheetId="141" r:id="rId18"/>
    <sheet name="UNNH0030_NOHINSHO" sheetId="143" r:id="rId19"/>
    <sheet name="UNNH0030_JURYOSHO" sheetId="142" r:id="rId20"/>
    <sheet name="UNNH0030_HIKAE" sheetId="144" r:id="rId21"/>
    <sheet name="UNNH0030_SOFUJO" sheetId="145" r:id="rId22"/>
    <sheet name="UNNH0031" sheetId="151" r:id="rId23"/>
    <sheet name="UNNH0031_IF" sheetId="152" r:id="rId24"/>
    <sheet name="UNNH0031_SQL" sheetId="153" r:id="rId25"/>
    <sheet name="UNNH0032" sheetId="155" r:id="rId26"/>
    <sheet name="UNNH0032_IF" sheetId="156" r:id="rId27"/>
    <sheet name="UNNH0032_SQL" sheetId="157" r:id="rId28"/>
    <sheet name="UNNH0080" sheetId="111" r:id="rId29"/>
    <sheet name="UNNH0080_IF" sheetId="135" r:id="rId30"/>
    <sheet name="UNNH080_SQL" sheetId="136" r:id="rId31"/>
    <sheet name="Excel_Save_H" sheetId="128" r:id="rId32"/>
    <sheet name="Excel_Save_B" sheetId="129" r:id="rId33"/>
    <sheet name="UNNH_BUNSEKI_HOHO_IF" sheetId="158" r:id="rId34"/>
    <sheet name="UNNH_COMMON_SQL" sheetId="127" r:id="rId35"/>
    <sheet name="UNNH_COMMON" sheetId="132" r:id="rId36"/>
  </sheets>
  <functionGroups builtInGroupCount="18"/>
  <definedNames>
    <definedName name="_xlnm.Print_Area" localSheetId="0">UNNH0010_H!$F$1:$AJ$17</definedName>
    <definedName name="_xlnm.Print_Area" localSheetId="2">OFFSET(UNNH0010_IF_PRINT_JUCHU_KBN,,0,1+UNNH0010_IF_PRINT_KENSAKU_KENSU,COLUMNS(UNNH0010_IF_PRINT_COPY_MOTO))</definedName>
    <definedName name="_xlnm.Print_Area" localSheetId="4">UNNH0020_H!$F$1:$AM$15</definedName>
    <definedName name="_xlnm.Print_Area" localSheetId="6">OFFSET(UNNH0020_IF_PRINT_STS,,0,1+UNNH0020_IF_PRINT_KENSAKU_KENSU,COLUMNS(UNNH0020_IF_PRINT_COPY_MOTO))</definedName>
    <definedName name="_xlnm.Print_Area" localSheetId="8">INDIRECT(UNNH0020_REPORT_IF_PRINT_AREA)</definedName>
    <definedName name="_xlnm.Print_Area" localSheetId="9">INDIRECT(UNNH0020_REPORT_IF_SHOKEIHYOU_PRINT_AREA)</definedName>
    <definedName name="_xlnm.Print_Area" localSheetId="12">OFFSET(UNNH0030_B_GYO,0,0,1+UNNH0030_B_GYO_COUNT,COLUMNS(UNNH0030_IF_COPY_B_MEISAI_SHINKI))</definedName>
    <definedName name="_xlnm.Print_Area" localSheetId="11">UNNH0030_H!$G$1:$S$20</definedName>
    <definedName name="_xlnm.Print_Area" localSheetId="20">INDIRECT(UNNH0030_REPORT_IF_HIKAE_PRINT_AREA)</definedName>
    <definedName name="_xlnm.Print_Area" localSheetId="19">INDIRECT(UNNH0030_REPORT_IF_JURYOSHO_PRINT_AREA)</definedName>
    <definedName name="_xlnm.Print_Area" localSheetId="18">INDIRECT(UNNH0030_REPORT_IF_NOHINSHO_PRINT_AREA)</definedName>
    <definedName name="_xlnm.Print_Area" localSheetId="17">INDIRECT(UNNH0030_REPORT_IF_SEIKYUSHO_PRINT_AREA)</definedName>
    <definedName name="_xlnm.Print_Area" localSheetId="21">UNNH0030_SOFUJO!$A$1:$AZ$10</definedName>
    <definedName name="_xlnm.Print_Titles" localSheetId="8">UNNH0020_REPORT!$1:$3</definedName>
    <definedName name="UNNH_BUNSEKI_HOHO_IF_KENSU">UNNH_BUNSEKI_HOHO_IF!$C$3</definedName>
    <definedName name="UNNH_BUNSEKI_HOHO_IF_LIST">OFFSET(UNNH_BUNSEKI_HOHO_IF_START,,,IF(UNNH_BUNSEKI_HOHO_IF_KENSU=0,1,UNNH_BUNSEKI_HOHO_IF_KENSU),2)</definedName>
    <definedName name="UNNH_BUNSEKI_HOHO_IF_LIST2">OFFSET(UNNH_BUNSEKI_HOHO_IF_START,,,IF(UNNH_BUNSEKI_HOHO_IF_KENSU=0,1,UNNH_BUNSEKI_HOHO_IF_KENSU),1)</definedName>
    <definedName name="UNNH_BUNSEKI_HOHO_IF_START">UNNH_BUNSEKI_HOHO_IF!$B$7</definedName>
    <definedName name="UNNH_COMMON_ACTIVE_SHEET_NAME">UNNH_COMMON!$D$4</definedName>
    <definedName name="UNNH_COMMON_CHANGE_CHECK">UNNH_COMMON!$D$2</definedName>
    <definedName name="UNNH_COMMON_CHANGE_CHECK_AREA">UNNH_COMMON!$D$7:$F$7</definedName>
    <definedName name="UNNH_COMMON_SQL_BUN_HAN_KBN_SEARCH">UNNH_COMMON_SQL!$D$20</definedName>
    <definedName name="UNNH_COMMON_SQL_BUNSEKI_HOHO_SEARCH">UNNH_COMMON_SQL!$D$17</definedName>
    <definedName name="UNNH_COMMON_SQL_BUSHO_SEARCH">UNNH_COMMON_SQL!$D$18</definedName>
    <definedName name="UNNH_COMMON_SQL_HASSOSAKI_SEARCH">UNNH_COMMON_SQL!$D$14</definedName>
    <definedName name="UNNH_COMMON_SQL_JURI_NO_SEARCH">UNNH_COMMON_SQL!$D$10</definedName>
    <definedName name="UNNH_COMMON_SQL_MITSU_NO_SEARCH">UNNH_COMMON_SQL!$D$11</definedName>
    <definedName name="UNNH_COMMON_SQL_SEIKYUSAKI_SEARCH">UNNH_COMMON_SQL!$D$9</definedName>
    <definedName name="UNNH_COMMON_SQL_SELECT_CTRL_HYOJI_GYO_SU">UNNH_COMMON_SQL!$D$2</definedName>
    <definedName name="UNNH_COMMON_SQL_SELECT_TAX_RATE">UNNH_COMMON_SQL!$D$3</definedName>
    <definedName name="UNNH_COMMON_SQL_SHAIN_SEARCH">UNNH_COMMON_SQL!$D$8</definedName>
    <definedName name="UNNH_COMMON_SQL_SHOHIN_SEARCH">UNNH_COMMON_SQL!$D$15</definedName>
    <definedName name="UNNH_COMMON_SQL_URIAGE_STS_SEARCH">UNNH_COMMON_SQL!$D$12</definedName>
    <definedName name="UNNH0010_B_ALL_PAGE_SU">UNNH0010_B!$D$29</definedName>
    <definedName name="UNNH0010_B_BUN_HAN_KBN">UNNH0010_B!$AF$22</definedName>
    <definedName name="UNNH0010_B_BUNSEKI_HAMBAI_KBN">UNNH0010_B!$P$22</definedName>
    <definedName name="UNNH0010_B_COPY_SAKI">UNNH0010_B!$D$34</definedName>
    <definedName name="UNNH0010_B_CTRL_HYOJI_GYO_SU">UNNH0010_B!$D$24</definedName>
    <definedName name="UNNH0010_B_EDA_KENSU">UNNH0010_B!$Y$22</definedName>
    <definedName name="UNNH0010_B_EIGYO_TANTO_CD">UNNH0010_B!$AH$22</definedName>
    <definedName name="UNNH0010_B_EIGYO_TANTOSHA_MEI">UNNH0010_B!$V$22</definedName>
    <definedName name="UNNH0010_B_EXIST_NEXT_PAGE">UNNH0010_B!$D$40</definedName>
    <definedName name="UNNH0010_B_EXIST_PREV_PAGE">UNNH0010_B!$D$41</definedName>
    <definedName name="UNNH0010_B_FLG">UNNH0010_B!$M$22</definedName>
    <definedName name="UNNH0010_B_FORMAT_COPY_FLG">UNNH0010_B!$D$37</definedName>
    <definedName name="UNNH0010_B_FREEWD">UNNH0010_B!$AJ$22</definedName>
    <definedName name="UNNH0010_B_HASSO_CD">UNNH0010_B!$AC$22</definedName>
    <definedName name="UNNH0010_B_HIDE_COLUMN">UNNH0010_B!$D$52</definedName>
    <definedName name="UNNH0010_B_HIDE_ROW">UNNH0010_B!$D$51</definedName>
    <definedName name="UNNH0010_B_HYOJI_KENSU">UNNH0010_B!$D$30</definedName>
    <definedName name="UNNH0010_B_JUCHU_KBN">UNNH0010_B!$AD$22</definedName>
    <definedName name="UNNH0010_B_JUCHU_KBN_MEI">UNNH0010_B!$N$22</definedName>
    <definedName name="UNNH0010_B_JURI_NO">UNNH0010_B!$Q$22</definedName>
    <definedName name="UNNH0010_B_KENMEI">UNNH0010_B!$R$22</definedName>
    <definedName name="UNNH0010_B_KENSAKU_KENSU">UNNH0010_B!$D$27</definedName>
    <definedName name="UNNH0010_B_LIST_CLEAR">UNNH0010_B!$D$35</definedName>
    <definedName name="UNNH0010_B_LIST_START">UNNH0010_B!$D$32</definedName>
    <definedName name="UNNH0010_B_MITSU_NO">UNNH0010_B!$AA$22</definedName>
    <definedName name="UNNH0010_B_NEXT_PAGE_NO">UNNH0010_B!$D$43</definedName>
    <definedName name="UNNH0010_B_NOHIN_DATE">UNNH0010_B!$X$22</definedName>
    <definedName name="UNNH0010_B_NYURYOKU_DATE">UNNH0010_B!$W$22</definedName>
    <definedName name="UNNH0010_B_NYURYOKUSHA_CD">UNNH0010_B!$AG$22</definedName>
    <definedName name="UNNH0010_B_NYURYOKUSHA_MEI">UNNH0010_B!$U$22</definedName>
    <definedName name="UNNH0010_B_PAGE_NO">UNNH0010_B!$D$28</definedName>
    <definedName name="UNNH0010_B_PREV_PAGE_NO">UNNH0010_B!$D$44</definedName>
    <definedName name="UNNH0010_B_ROW">UNNH0010_B!$K$22</definedName>
    <definedName name="UNNH0010_B_SCROLL_LOCK">UNNH0010_B!$D$54</definedName>
    <definedName name="UNNH0010_B_SEIKYUSAKI_CD">UNNH0010_B!$S$22</definedName>
    <definedName name="UNNH0010_B_SEIKYUSAKI_MEI">UNNH0010_B!$T$22</definedName>
    <definedName name="UNNH0010_B_SELECT">UNNH0010_B!$G$22</definedName>
    <definedName name="UNNH0010_B_SELECT_FLG_COPY_SAKI">UNNH0010_B!$D$33</definedName>
    <definedName name="UNNH0010_B_SELECT_GYO_NO">UNNH0010_B!$D$56</definedName>
    <definedName name="UNNH0010_B_SELECT_JUCHU_KBN">UNNH0010_B!$D$58</definedName>
    <definedName name="UNNH0010_B_SELECT_JURI_NO">UNNH0010_B!$D$57</definedName>
    <definedName name="UNNH0010_B_SELECT_MITSU_NO">UNNH0010_B!$D$60</definedName>
    <definedName name="UNNH0010_B_SHOHIN_KENSU">UNNH0010_B!$Z$22</definedName>
    <definedName name="UNNH0010_B_STS">UNNH0010_B!$AE$22</definedName>
    <definedName name="UNNH0010_B_STS_MEI">UNNH0010_B!$O$22</definedName>
    <definedName name="UNNH0010_B_URI_MIKEIJO_FLG">UNNH0010_B!$AI$22</definedName>
    <definedName name="UNNH0010_B_URIAGE_KEIJO">UNNH0010_B!$H$22</definedName>
    <definedName name="UNNH0010_B_URIAGE_NO_S">UNNH0010_B!$AB$22</definedName>
    <definedName name="UNNH0010_B_VIEW_CURRENT_PAGE">UNNH0010_B!$F$21</definedName>
    <definedName name="UNNH0010_H_BUNSEKI_CHUDAN_STS">UNNH0010_H!$D$16</definedName>
    <definedName name="UNNH0010_H_BUNSEKI_CHUKAN_STS">UNNH0010_H!$D$8</definedName>
    <definedName name="UNNH0010_H_BUNSEKI_CHUSHI_STS">UNNH0010_H!$D$17</definedName>
    <definedName name="UNNH0010_H_BUNSEKI_EIGYO_STS">UNNH0010_H!$D$12</definedName>
    <definedName name="UNNH0010_H_BUNSEKI_GIJUTSU_STS">UNNH0010_H!$D$9</definedName>
    <definedName name="UNNH0010_H_BUNSEKI_HAMBAI_KBN">UNNH0010_H!$L$11</definedName>
    <definedName name="UNNH0010_H_BUNSEKI_HAMBAI_KBN_CD">UNNH0010_H!$D$24</definedName>
    <definedName name="UNNH0010_H_BUNSEKI_IRAI_HOKAN_STS">UNNH0010_H!$D$14</definedName>
    <definedName name="UNNH0010_H_BUNSEKI_KAKUNIN_MI_STS">UNNH0010_H!$D$6</definedName>
    <definedName name="UNNH0010_H_BUNSEKI_KAKUNIN_STS">UNNH0010_H!$D$10</definedName>
    <definedName name="UNNH0010_H_BUNSEKI_NOHIN_STS">UNNH0010_H!$D$13</definedName>
    <definedName name="UNNH0010_H_BUNSEKI_SOKUHO_STS">UNNH0010_H!$D$11</definedName>
    <definedName name="UNNH0010_H_BUNSEKI_TEISEI_STS">UNNH0010_H!$D$15</definedName>
    <definedName name="UNNH0010_H_BUNSEKI_UKETSUKE_STS">UNNH0010_H!$D$7</definedName>
    <definedName name="UNNH0010_H_EIGYO_TANTO_CD">UNNH0010_H!$D$29</definedName>
    <definedName name="UNNH0010_H_EIGYO_TANTOSHA_MEI">UNNH0010_H!$L$13</definedName>
    <definedName name="UNNH0010_H_FORM_UPPER_LEFT">UNNH0010_H!$F$1</definedName>
    <definedName name="UNNH0010_H_FREEWD_1">UNNH0010_H!$L$16</definedName>
    <definedName name="UNNH0010_H_FREEWD_2">UNNH0010_H!$Q$16</definedName>
    <definedName name="UNNH0010_H_FREEWD_3">UNNH0010_H!$V$16</definedName>
    <definedName name="UNNH0010_H_FREEWD_KBN">UNNH0010_H!$D$20</definedName>
    <definedName name="UNNH0010_H_HAMBAI_JUNBI_KANRYO_STS">UNNH0010_H!$D$19</definedName>
    <definedName name="UNNH0010_H_HAMBAI_SHORIMI_STS">UNNH0010_H!$D$18</definedName>
    <definedName name="UNNH0010_H_HASSOSAKI_CD">UNNH0010_H!$D$49</definedName>
    <definedName name="UNNH0010_H_HASSOSAKI_MEI">UNNH0010_H!$D$26</definedName>
    <definedName name="UNNH0010_H_HIDE_COLUMN">UNNH0010_H!$D$34</definedName>
    <definedName name="UNNH0010_H_HIDE_ROW">UNNH0010_H!$D$33</definedName>
    <definedName name="UNNH0010_H_INIT_HEADER_CLEAR_AREA">UNNH0010_H!$D$23:$D$29</definedName>
    <definedName name="UNNH0010_H_INIT_HEADER_FLG_COPY_SAKI">UNNH0010_H!$D$3:$D$20</definedName>
    <definedName name="UNNH0010_H_IRAI_KBN">UNNH0010_H!$D$3</definedName>
    <definedName name="UNNH0010_H_JUCHU_KBN_CD">UNNH0010_H!$D$23</definedName>
    <definedName name="UNNH0010_H_JURI_NO_END">UNNH0010_H!$AB$11</definedName>
    <definedName name="UNNH0010_H_JURI_NO_END_NUM">UNNH0010_H!$D$38</definedName>
    <definedName name="UNNH0010_H_JURI_NO_MAX">UNNH0010_H!$D$40</definedName>
    <definedName name="UNNH0010_H_JURI_NO_MIN">UNNH0010_H!$D$39</definedName>
    <definedName name="UNNH0010_H_JURI_NO_START">UNNH0010_H!$W$11</definedName>
    <definedName name="UNNH0010_H_JURI_NO_START_NUM">UNNH0010_H!$D$37</definedName>
    <definedName name="UNNH0010_H_MIKEIJO_FLG">UNNH0010_H!$D$5</definedName>
    <definedName name="UNNH0010_H_MITSU_NO_END">UNNH0010_H!$AB$14</definedName>
    <definedName name="UNNH0010_H_MITSU_NO_START">UNNH0010_H!$W$14</definedName>
    <definedName name="UNNH0010_H_MITSUMORI_NO_END_NUM">UNNH0010_H!$D$42</definedName>
    <definedName name="UNNH0010_H_MITSUMORI_NO_MAX">UNNH0010_H!$D$44</definedName>
    <definedName name="UNNH0010_H_MITSUMORI_NO_MIN">UNNH0010_H!$D$43</definedName>
    <definedName name="UNNH0010_H_MITSUMORI_NO_START_NUM">UNNH0010_H!$D$41</definedName>
    <definedName name="UNNH0010_H_NOHIN_DATE_END">UNNH0010_H!$AB$13</definedName>
    <definedName name="UNNH0010_H_NOHIN_DATE_START">UNNH0010_H!$W$13</definedName>
    <definedName name="UNNH0010_H_NYURYOKU_DATE_END">UNNH0010_H!$AB$12</definedName>
    <definedName name="UNNH0010_H_NYURYOKU_DATE_START">UNNH0010_H!$W$12</definedName>
    <definedName name="UNNH0010_H_NYURYOKUSHA_CD">UNNH0010_H!$D$28</definedName>
    <definedName name="UNNH0010_H_NYURYOKUSHA_MEI">UNNH0010_H!$L$12</definedName>
    <definedName name="UNNH0010_H_SEIKYUSAKI_CD">UNNH0010_H!$L$8</definedName>
    <definedName name="UNNH0010_H_SEIKYUSAKI_MEI">UNNH0010_H!$D$25</definedName>
    <definedName name="UNNH0010_H_SHOHIN_CD">UNNH0010_H!$L$9</definedName>
    <definedName name="UNNH0010_H_SHOHIN_KBN">UNNH0010_H!$D$4</definedName>
    <definedName name="UNNH0010_H_SHOHIN_MEI">UNNH0010_H!$D$27</definedName>
    <definedName name="UNNH0010_IF_ACTIVE_CELL_NAME">UNNH0010_IF!$D$20</definedName>
    <definedName name="UNNH0010_IF_ACTIVE_COLUMN">UNNH0010_IF!$D$18</definedName>
    <definedName name="UNNH0010_IF_ACTIVE_ROW">UNNH0010_IF!$D$17</definedName>
    <definedName name="UNNH0010_IF_ACTIVE_SHEET">UNNH0010_IF!$D$16</definedName>
    <definedName name="UNNH0010_IF_B_FLG_COPY_MOTO">UNNH0010_IF!$D$7:$E$7</definedName>
    <definedName name="UNNH0010_IF_B_LIST_COPY_MOTO">UNNH0010_IF!$F$6:$AG$6</definedName>
    <definedName name="UNNH0010_IF_B_LIST_DEFAULT">UNNH0010_IF!$D$5:$AG$5</definedName>
    <definedName name="UNNH0010_IF_CREATE_W_SERIAL">UNNH0010_IF!$S$24</definedName>
    <definedName name="UNNH0010_IF_DATA_SEARCH_FLG">UNNH0010_IF!$D$10</definedName>
    <definedName name="UNNH0010_IF_EXCEL_FILE_NAME">UNNH0010_IF!$BJ$5</definedName>
    <definedName name="UNNH0010_IF_INIT_HEADER_COPY_MOTO">UNNH0010_IF!$AL$6:$BE$14</definedName>
    <definedName name="UNNH0010_IF_INIT_HEADER_COPY_SAKI">UNNH0010_H!$L$8:$AE$16</definedName>
    <definedName name="UNNH0010_IF_INIT_HEADER_FLG_COPY_MOTO">UNNH0010_IF!$AJ$6:$AJ$23</definedName>
    <definedName name="UNNH0010_IF_PRINT_COPY_MOTO">UNNH0010_IF!$BL$1:$CG$1</definedName>
    <definedName name="UNNH0010_IF_PRINT_COPY_SAKI">UNNH0010_IF!$BJ$4</definedName>
    <definedName name="UNNH0010_IF_PRINT_JUCHU_KBN">UNNH0010_IF!$BL$3</definedName>
    <definedName name="UNNH0010_IF_PRINT_KENSAKU_KENSU">UNNH0010_IF!$BJ$2</definedName>
    <definedName name="UNNH0010_IF_PRINT_LIST_START">UNNH0010_IF!$BJ$3</definedName>
    <definedName name="UNNH0010_IF_SAVE_KENSU">UNNH0010_IF!$S$28</definedName>
    <definedName name="UNNH0010_IF_SAVE_W_MODE">UNNH0010_IF!$S$25</definedName>
    <definedName name="UNNH0010_IF_SAVE_W_SERIAL">UNNH0010_IF!$S$23</definedName>
    <definedName name="UNNH0010_IF_SAVE_W_USER_ID">UNNH0010_IF!$S$22</definedName>
    <definedName name="UNNH0010_IF_SELECT_CNT">UNNH0010_IF!$D$11</definedName>
    <definedName name="UNNH0010_IF_SET_MITSU_NO">UNNH0010_IF!$D$23</definedName>
    <definedName name="UNNH0010_SQL_BUNSEKI_CHUDAN_STS">UNNH0010_SQL!$F$15</definedName>
    <definedName name="UNNH0010_SQL_BUNSEKI_CHUKAN_STS">UNNH0010_SQL!$F$7</definedName>
    <definedName name="UNNH0010_SQL_BUNSEKI_CHUSHI_STS">UNNH0010_SQL!$F$16</definedName>
    <definedName name="UNNH0010_SQL_BUNSEKI_EIGYO_STS">UNNH0010_SQL!$F$11</definedName>
    <definedName name="UNNH0010_SQL_BUNSEKI_GIJUTSU_STS">UNNH0010_SQL!$F$8</definedName>
    <definedName name="UNNH0010_SQL_BUNSEKI_HAMBAI_KBN">UNNH0010_SQL!$F$22</definedName>
    <definedName name="UNNH0010_SQL_BUNSEKI_IRAI_HOKAN_STS">UNNH0010_SQL!$F$13</definedName>
    <definedName name="UNNH0010_SQL_BUNSEKI_KAKUNIN_MI_STS">UNNH0010_SQL!$F$5</definedName>
    <definedName name="UNNH0010_SQL_BUNSEKI_KAKUNIN_STS">UNNH0010_SQL!$F$9</definedName>
    <definedName name="UNNH0010_SQL_BUNSEKI_NOHIN_STS">UNNH0010_SQL!$F$12</definedName>
    <definedName name="UNNH0010_SQL_BUNSEKI_SOKUHO_STS">UNNH0010_SQL!$F$10</definedName>
    <definedName name="UNNH0010_SQL_BUNSEKI_TEISEI_STS">UNNH0010_SQL!$F$14</definedName>
    <definedName name="UNNH0010_SQL_BUNSEKI_UKETSUKE_STS">UNNH0010_SQL!$F$6</definedName>
    <definedName name="UNNH0010_SQL_EIGYO_TANTO_CD">UNNH0010_SQL!$F$24</definedName>
    <definedName name="UNNH0010_SQL_FREEWD_1">UNNH0010_SQL!$F$33</definedName>
    <definedName name="UNNH0010_SQL_FREEWD_2">UNNH0010_SQL!$F$34</definedName>
    <definedName name="UNNH0010_SQL_FREEWD_3">UNNH0010_SQL!$F$35</definedName>
    <definedName name="UNNH0010_SQL_FREEWD_KBN">UNNH0010_SQL!$F$36</definedName>
    <definedName name="UNNH0010_SQL_FREEWORD1">UNNH0010_SQL!$F$77</definedName>
    <definedName name="UNNH0010_SQL_FREEWORD2">UNNH0010_SQL!$F$78</definedName>
    <definedName name="UNNH0010_SQL_FREEWORD3">UNNH0010_SQL!$F$79</definedName>
    <definedName name="UNNH0010_SQL_HAMBAI_JUNBI_KANRYO_STS">UNNH0010_SQL!$F$18</definedName>
    <definedName name="UNNH0010_SQL_HAMBAI_SHORIMI_STS">UNNH0010_SQL!$F$17</definedName>
    <definedName name="UNNH0010_SQL_HASSOSAKI_CD">UNNH0010_SQL!$F$20</definedName>
    <definedName name="UNNH0010_SQL_IRAI_KBN">UNNH0010_SQL!$F$2</definedName>
    <definedName name="UNNH0010_SQL_JOKEN_COPY_MOTO">UNNH0010_SQL!$G$2:$G$36</definedName>
    <definedName name="UNNH0010_SQL_JOKEN_COPY_SAKI">UNNH0010_SQL!$F$2:$F$36</definedName>
    <definedName name="UNNH0010_SQL_JURI_NO_END">UNNH0010_SQL!$F$26</definedName>
    <definedName name="UNNH0010_SQL_JURI_NO_SEARCH">UNNH0010_SQL!$F$84</definedName>
    <definedName name="UNNH0010_SQL_JURI_NO_START">UNNH0010_SQL!$F$25</definedName>
    <definedName name="UNNH0010_SQL_MIKEIJO_FLG">UNNH0010_SQL!$F$4</definedName>
    <definedName name="UNNH0010_SQL_MITSU_NO_END">UNNH0010_SQL!$F$32</definedName>
    <definedName name="UNNH0010_SQL_MITSU_NO_SEARCH">UNNH0010_SQL!$F$85</definedName>
    <definedName name="UNNH0010_SQL_MITSU_NO_START">UNNH0010_SQL!$F$31</definedName>
    <definedName name="UNNH0010_SQL_NOHIN_DATE_END">UNNH0010_SQL!$F$30</definedName>
    <definedName name="UNNH0010_SQL_NOHIN_DATE_START">UNNH0010_SQL!$F$29</definedName>
    <definedName name="UNNH0010_SQL_NYURYOKU_DATE_END">UNNH0010_SQL!$F$28</definedName>
    <definedName name="UNNH0010_SQL_NYURYOKU_DATE_START">UNNH0010_SQL!$F$27</definedName>
    <definedName name="UNNH0010_SQL_NYURYOKUSHA_CD">UNNH0010_SQL!$F$23</definedName>
    <definedName name="UNNH0010_SQL_PRINT_URIAGE_JUCHU_LIST">UNNH0010_SQL!$D$41</definedName>
    <definedName name="UNNH0010_SQL_SEIKYUSAKI_CD">UNNH0010_SQL!$F$19</definedName>
    <definedName name="UNNH0010_SQL_SELECT_CNT">UNNH0010_SQL!$F$88</definedName>
    <definedName name="UNNH0010_SQL_SELECT_INIT_SORT">UNNH0010_SQL!$I$44</definedName>
    <definedName name="UNNH0010_SQL_SELECT_SORT">UNNH0010_SQL!$I$45</definedName>
    <definedName name="UNNH0010_SQL_SELECT_URIAGE_JUCHU_LIST">UNNH0010_SQL!$D$39</definedName>
    <definedName name="UNNH0010_SQL_SELECT_URIAGE_JUCHU_LIST_CNT">UNNH0010_SQL!$D$40</definedName>
    <definedName name="UNNH0010_SQL_SELECT_W_URIAGE_JUCHU">UNNH0010_SQL!$I$39</definedName>
    <definedName name="UNNH0010_SQL_SHOHIN_CD">UNNH0010_SQL!$F$21</definedName>
    <definedName name="UNNH0010_SQL_SHOHIN_KBN">UNNH0010_SQL!$F$3</definedName>
    <definedName name="UNNH0010_SQL_SORT">UNNH0010_SQL!$J$42</definedName>
    <definedName name="UNNH0010_SQL_SP_CLEAR">UNNH0010_SQL!$I$54</definedName>
    <definedName name="UNNH0010_SQL_SP_LOAD">UNNH0010_SQL!$I$55</definedName>
    <definedName name="UNNH0020_B_ALL_PAGE_SU">UNNH0020_B!$D$29</definedName>
    <definedName name="UNNH0020_B_ATENA">UNNH0020_B!$P$22</definedName>
    <definedName name="UNNH0020_B_BUNSEKI_HOHO">UNNH0020_B!$AH$22</definedName>
    <definedName name="UNNH0020_B_BUSHO_CD">UNNH0020_B!$AC$22</definedName>
    <definedName name="UNNH0020_B_BUSHO_MEI">UNNH0020_B!$Q$22</definedName>
    <definedName name="UNNH0020_B_COPY_SAKI">UNNH0020_B!$D$33</definedName>
    <definedName name="UNNH0020_B_CTRL_HYOJI_GYO_SU">UNNH0020_B!$D$24</definedName>
    <definedName name="UNNH0020_B_DEL">UNNH0020_B!$Z$22</definedName>
    <definedName name="UNNH0020_B_DEL_FLG">UNNH0020_B!$AI$22</definedName>
    <definedName name="UNNH0020_B_DEMPYO_KBN">UNNH0020_B!$AA$22</definedName>
    <definedName name="UNNH0020_B_DEMPYO_KBN_MEI">UNNH0020_B!$I$22</definedName>
    <definedName name="UNNH0020_B_EIGYO_TANTO_CD">UNNH0020_B!$AD$22</definedName>
    <definedName name="UNNH0020_B_EIGYO_TANTO_MEI">UNNH0020_B!$R$22</definedName>
    <definedName name="UNNH0020_B_EXIST_NEXT_PAGE">UNNH0020_B!$D$39</definedName>
    <definedName name="UNNH0020_B_EXIST_PREV_PAGE">UNNH0020_B!$D$40</definedName>
    <definedName name="UNNH0020_B_FORMAT_COPY_FLG">UNNH0020_B!$D$36</definedName>
    <definedName name="UNNH0020_B_FREEWD">UNNH0020_B!$AJ$22</definedName>
    <definedName name="UNNH0020_B_HIDE_COLUMN">UNNH0020_B!$D$51</definedName>
    <definedName name="UNNH0020_B_HIDE_ROW">UNNH0020_B!$D$50</definedName>
    <definedName name="UNNH0020_B_HYOJI_KENSU">UNNH0020_B!$D$30</definedName>
    <definedName name="UNNH0020_B_JURI_NO">UNNH0020_B!$T$22</definedName>
    <definedName name="UNNH0020_B_KAISHU_DATE">UNNH0020_B!$M$22</definedName>
    <definedName name="UNNH0020_B_KENSAKU_KENSU">UNNH0020_B!$D$27</definedName>
    <definedName name="UNNH0020_B_LIST_CLEAR">UNNH0020_B!$D$34</definedName>
    <definedName name="UNNH0020_B_LIST_START">UNNH0020_B!$D$32</definedName>
    <definedName name="UNNH0020_B_NEXT_PAGE_NO">UNNH0020_B!$D$42</definedName>
    <definedName name="UNNH0020_B_NOHIN_DATE">UNNH0020_B!$AF$22</definedName>
    <definedName name="UNNH0020_B_NYURYOKU_DATE_TIME">UNNH0020_B!$V$22</definedName>
    <definedName name="UNNH0020_B_NYURYOKUSHA_CD">UNNH0020_B!$AE$22</definedName>
    <definedName name="UNNH0020_B_NYURYOKUSHA_MEI">UNNH0020_B!$S$22</definedName>
    <definedName name="UNNH0020_B_PAGE_NO">UNNH0020_B!$D$28</definedName>
    <definedName name="UNNH0020_B_PREV_PAGE_NO">UNNH0020_B!$D$43</definedName>
    <definedName name="UNNH0020_B_RENDO_KBN">UNNH0020_B!$AB$22</definedName>
    <definedName name="UNNH0020_B_RENDO_KBN_MEI">UNNH0020_B!$J$22</definedName>
    <definedName name="UNNH0020_B_SAKI_URIAGE_NO">UNNH0020_B!$U$22</definedName>
    <definedName name="UNNH0020_B_SCROLL_LOCK">UNNH0020_B!$D$53</definedName>
    <definedName name="UNNH0020_B_SEIKYU_CD">UNNH0020_B!$N$22</definedName>
    <definedName name="UNNH0020_B_SEIKYU_MEI">UNNH0020_B!$O$22</definedName>
    <definedName name="UNNH0020_B_SELECT_GYO_NO">UNNH0020_B!$D$46</definedName>
    <definedName name="UNNH0020_B_SELECT_URIAGE_NO">UNNH0020_B!$D$47</definedName>
    <definedName name="UNNH0020_B_SENTAKU">UNNH0020_B!$G$22</definedName>
    <definedName name="UNNH0020_B_SHOKON_NO">UNNH0020_B!$X$22</definedName>
    <definedName name="UNNH0020_B_SHOKON_RENDO_DATE_TIME">UNNH0020_B!$Y$22</definedName>
    <definedName name="UNNH0020_B_STS">UNNH0020_B!$H$22</definedName>
    <definedName name="UNNH0020_B_URIAGE_DATE">UNNH0020_B!$L$22</definedName>
    <definedName name="UNNH0020_B_URIAGE_NO">UNNH0020_B!$K$22</definedName>
    <definedName name="UNNH0020_B_URIAGE_STS">UNNH0020_B!$AG$22</definedName>
    <definedName name="UNNH0020_B_VIEW_CURRENT_PAGE">UNNH0020_B!$F$21</definedName>
    <definedName name="UNNH0020_H_AKA_KBN">UNNH0020_H!$D$9</definedName>
    <definedName name="UNNH0020_H_BUNSEKI_HOHO">UNNH0020_H!$X$9</definedName>
    <definedName name="UNNH0020_H_BUSHO_CD">UNNH0020_H!$D$21</definedName>
    <definedName name="UNNH0020_H_BUSHO_MEI">UNNH0020_H!$X$10</definedName>
    <definedName name="UNNH0020_H_DEL_HYOJI_FLG">UNNH0020_H!$D$15</definedName>
    <definedName name="UNNH0020_H_EIGYO_TANTO_CD">UNNH0020_H!$D$23</definedName>
    <definedName name="UNNH0020_H_EIGYO_TANTO_MEI">UNNH0020_H!$X$12</definedName>
    <definedName name="UNNH0020_H_FORM_UPPER_LEFT">UNNH0020_H!$F$1</definedName>
    <definedName name="UNNH0020_H_FREEWD_1">UNNH0020_H!$K$14</definedName>
    <definedName name="UNNH0020_H_FREEWD_2">UNNH0020_H!$P$14</definedName>
    <definedName name="UNNH0020_H_FREEWD_3">UNNH0020_H!$U$14</definedName>
    <definedName name="UNNH0020_H_FREEWD_KBN">UNNH0020_H!$D$16</definedName>
    <definedName name="UNNH0020_H_HAKKOSUMI_STS">UNNH0020_H!$D$4</definedName>
    <definedName name="UNNH0020_H_HIDE_COLUMN">UNNH0020_H!$D$28</definedName>
    <definedName name="UNNH0020_H_HIDE_ROW">UNNH0020_H!$D$27</definedName>
    <definedName name="UNNH0020_H_INIT_HEADER_COPY_SAKI">UNNH0020_H!$K$7:$AL$14</definedName>
    <definedName name="UNNH0020_H_INIT_HEADER_FLG_COPY_SAKI">UNNH0020_H!$D$3:$D$16</definedName>
    <definedName name="UNNH0020_H_JURI_NO_END">UNNH0020_H!$P$9</definedName>
    <definedName name="UNNH0020_H_JURI_NO_END_NUM">UNNH0020_H!$D$36</definedName>
    <definedName name="UNNH0020_H_JURI_NO_MAX">UNNH0020_H!$D$38</definedName>
    <definedName name="UNNH0020_H_JURI_NO_MIN">UNNH0020_H!$D$37</definedName>
    <definedName name="UNNH0020_H_JURI_NO_START">UNNH0020_H!$K$9</definedName>
    <definedName name="UNNH0020_H_JURI_NO_START_NUM">UNNH0020_H!$D$35</definedName>
    <definedName name="UNNH0020_H_KAISHU_DATE_END">UNNH0020_H!$P$11</definedName>
    <definedName name="UNNH0020_H_KAISHU_DATE_START">UNNH0020_H!$K$11</definedName>
    <definedName name="UNNH0020_H_KETSUGO_KBN">UNNH0020_H!$D$11</definedName>
    <definedName name="UNNH0020_H_KURO_KBN">UNNH0020_H!$D$10</definedName>
    <definedName name="UNNH0020_H_MIHAKKO_STS">UNNH0020_H!$D$3</definedName>
    <definedName name="UNNH0020_H_NOHIN_DATE_END">UNNH0020_H!$D$42</definedName>
    <definedName name="UNNH0020_H_NOHIN_DATE_START">UNNH0020_H!$D$41</definedName>
    <definedName name="UNNH0020_H_NYURYOKU_DATE_END">UNNH0020_H!$P$10</definedName>
    <definedName name="UNNH0020_H_NYURYOKU_DATE_START">UNNH0020_H!$K$10</definedName>
    <definedName name="UNNH0020_H_NYURYOKUSHA_CD">UNNH0020_H!$D$22</definedName>
    <definedName name="UNNH0020_H_NYURYOKUSHA_MEI">UNNH0020_H!$X$11</definedName>
    <definedName name="UNNH0020_H_RENDO_FUYO_KBN">UNNH0020_H!$D$12</definedName>
    <definedName name="UNNH0020_H_RENDO_MI_KBN">UNNH0020_H!$D$13</definedName>
    <definedName name="UNNH0020_H_RENDO_SUMI_KBN">UNNH0020_H!$D$14</definedName>
    <definedName name="UNNH0020_H_SAIHAKKOSUMI_STS">UNNH0020_H!$D$5</definedName>
    <definedName name="UNNH0020_H_SAKI_URIAGE_NO">UNNH0020_H!$K$12</definedName>
    <definedName name="UNNH0020_H_SEIKYUSAKI_CD">UNNH0020_H!$X$7</definedName>
    <definedName name="UNNH0020_H_SEIKYUSAKI_MEI">UNNH0020_H!$D$19</definedName>
    <definedName name="UNNH0020_H_SHOHIN_CD">UNNH0020_H!$X$8</definedName>
    <definedName name="UNNH0020_H_SHOHIN_MEI">UNNH0020_H!$D$20</definedName>
    <definedName name="UNNH0020_H_TEISEI_KBN">UNNH0020_H!$D$8</definedName>
    <definedName name="UNNH0020_H_TSUJO_KBN">UNNH0020_H!$D$7</definedName>
    <definedName name="UNNH0020_H_URIAGE_DATE_END">UNNH0020_H!$P$7</definedName>
    <definedName name="UNNH0020_H_URIAGE_DATE_START">UNNH0020_H!$K$7</definedName>
    <definedName name="UNNH0020_H_URIAGE_LINK_STS">UNNH0020_H!$D$6</definedName>
    <definedName name="UNNH0020_H_URIAGE_NO_END">UNNH0020_H!$P$8</definedName>
    <definedName name="UNNH0020_H_URIAGE_NO_END_NUM">UNNH0020_H!$D$32</definedName>
    <definedName name="UNNH0020_H_URIAGE_NO_MAX">UNNH0020_H!$D$34</definedName>
    <definedName name="UNNH0020_H_URIAGE_NO_MIN">UNNH0020_H!$D$33</definedName>
    <definedName name="UNNH0020_H_URIAGE_NO_START">UNNH0020_H!$K$8</definedName>
    <definedName name="UNNH0020_H_URIAGE_NO_START_NUM">UNNH0020_H!$D$31</definedName>
    <definedName name="UNNH0020_IF_ACTIVE_CELL_NAME">UNNH0020_IF!$D$16</definedName>
    <definedName name="UNNH0020_IF_ACTIVE_COLUMN">UNNH0020_IF!$D$14</definedName>
    <definedName name="UNNH0020_IF_ACTIVE_ROW">UNNH0020_IF!$D$13</definedName>
    <definedName name="UNNH0020_IF_ACTIVE_SHEET">UNNH0020_IF!$D$12</definedName>
    <definedName name="UNNH0020_IF_B_LIST_COPY_MOTO">UNNH0020_IF!$D$6:$AG$6</definedName>
    <definedName name="UNNH0020_IF_B_LIST_DEFAULT">UNNH0020_IF!$D$5:$AG$5</definedName>
    <definedName name="UNNH0020_IF_DATA_SEARCH_FLG">UNNH0020_IF!$D$9</definedName>
    <definedName name="UNNH0020_IF_EXCEL_FILE_NAME">UNNH0020_IF!$BQ$5</definedName>
    <definedName name="UNNH0020_IF_INIT_HEADER_COPY_MOTO">UNNH0020_IF!$AL$6:$BM$13</definedName>
    <definedName name="UNNH0020_IF_INIT_HEADER_FLG_COPY_MOTO">UNNH0020_IF!$AJ$6:$AJ$19</definedName>
    <definedName name="UNNH0020_IF_PRINT_COPY_MOTO">UNNH0020_IF!$BS$1:$EZ$1</definedName>
    <definedName name="UNNH0020_IF_PRINT_COPY_SAKI">UNNH0020_IF!$BQ$4</definedName>
    <definedName name="UNNH0020_IF_PRINT_KENSAKU_KENSU">UNNH0020_IF!$BQ$2</definedName>
    <definedName name="UNNH0020_IF_PRINT_LIST_START">UNNH0020_IF!$BQ$3</definedName>
    <definedName name="UNNH0020_IF_PRINT_STS">UNNH0020_IF!$BS$3</definedName>
    <definedName name="UNNH0020_REPORT_IF_KENSU">UNNH0020_REPORT_IF!$D$4</definedName>
    <definedName name="UNNH0020_REPORT_IF_LIST_KANJOKAMOKU">OFFSET(UNNH0020_REPORT_IF_LIST_KANJOKAMOKU_START,,,IF(UNNH0020_REPORT_IF_LIST_KANJOKAMOKU_KENSU=0,1,UNNH0020_REPORT_IF_LIST_KANJOKAMOKU_KENSU),2)</definedName>
    <definedName name="UNNH0020_REPORT_IF_LIST_KANJOKAMOKU_KENSU">UNNH0020_REPORT_IF!$U$2</definedName>
    <definedName name="UNNH0020_REPORT_IF_LIST_KANJOKAMOKU_START">UNNH0020_REPORT_IF!$T$5</definedName>
    <definedName name="UNNH0020_REPORT_IF_PRINT_AREA">UNNH0020_REPORT_IF!$D$5</definedName>
    <definedName name="UNNH0020_REPORT_IF_SHOKEIHYOU_PRINT_AREA">UNNH0020_REPORT_IF!$Y$5</definedName>
    <definedName name="UNNH0020_REPORT_IF_SHOSHIKI_COPY_MOTO">UNNH0020_REPORT_IF!$F$4:$R$4</definedName>
    <definedName name="UNNH0020_REPORT_IF_SHOSHIKI_COPY_SAKI">UNNH0020_REPORT_IF!$D$6</definedName>
    <definedName name="UNNH0020_REPORT_IF_SHUKEIHYOU_KENSU">UNNH0020_REPORT_IF!$Y$4</definedName>
    <definedName name="UNNH0020_REPORT_IF_SHUKEIHYOU_SHOSHIKI_COPY_MOTO">UNNH0020_REPORT_IF!$AA$5:$AM$5</definedName>
    <definedName name="UNNH0020_REPORT_IF_SHUKEIHYOU_SHOSHIKI_COPY_SAKI">UNNH0020_REPORT_IF!$Y$6</definedName>
    <definedName name="UNNH0020_REPORT_IF_SHUKEIHYOU_SUSHIKI_COPY_MOTO">UNNH0020_REPORT_IF!$AJ$5:$AM$5</definedName>
    <definedName name="UNNH0020_REPORT_IF_SHUKEIHYOU_SUSHIKI_COPY_SAKI">UNNH0020_REPORT_IF!$Y$7</definedName>
    <definedName name="UNNH0020_REPORT_IF_SOKEI_SUSHIKI_COPY_MOTO">UNNH0020_REPORT_IF!$AA$6:$AM$6</definedName>
    <definedName name="UNNH0020_REPORT_IF_SOKEI_SUSHIKI_COPY_SAKI">UNNH0020_REPORT_IF!$Y$8</definedName>
    <definedName name="UNNH0020_REPORT_IF_TAX_RATE">UNNH0020_REPORT_IF!$D$8</definedName>
    <definedName name="UNNH0020_REPORT_IF_URIAGEDATE_CHECK">UNNH0020_REPORT_IF!$Y$10</definedName>
    <definedName name="UNNH0020_REPORT_PRINT_START">UNNH0020_REPORT!$A$1</definedName>
    <definedName name="UNNH0020_REPORT_SHOHIN_MEI">UNNH0020_REPORT!$F$3</definedName>
    <definedName name="UNNH0020_REPORT_START">UNNH0020_REPORT!$A$4</definedName>
    <definedName name="UNNH0020_REPORT_TAX">UNNH0020_REPORT!$K$3</definedName>
    <definedName name="UNNH0020_REPORT_URIAGE_DATE">UNNH0020_REPORT!$A$3</definedName>
    <definedName name="UNNH0020_REPORT2_PRINT_START">UNNH0020_REPORT2!$A$1</definedName>
    <definedName name="UNNH0020_REPORT2_START">UNNH0020_REPORT2!$A$7</definedName>
    <definedName name="UNNH0020_SQL_AKA_KBN">UNNH0020_SQL!$F$8</definedName>
    <definedName name="UNNH0020_SQL_BUNSEKI_HOHO">UNNH0020_SQL!$F$30</definedName>
    <definedName name="UNNH0020_SQL_BUSHO_CD">UNNH0020_SQL!$F$31</definedName>
    <definedName name="UNNH0020_SQL_DEL_HYOJI_FLG">UNNH0020_SQL!$F$14</definedName>
    <definedName name="UNNH0020_SQL_EIGYO_TANTO_CD">UNNH0020_SQL!$F$33</definedName>
    <definedName name="UNNH0020_SQL_FREEWD_1">UNNH0020_SQL!$F$34</definedName>
    <definedName name="UNNH0020_SQL_FREEWD_2">UNNH0020_SQL!$F$35</definedName>
    <definedName name="UNNH0020_SQL_FREEWD_3">UNNH0020_SQL!$F$36</definedName>
    <definedName name="UNNH0020_SQL_FREEWD_KBN">UNNH0020_SQL!$F$37</definedName>
    <definedName name="UNNH0020_SQL_FREEWORD1">UNNH0020_SQL!$F$79</definedName>
    <definedName name="UNNH0020_SQL_FREEWORD2">UNNH0020_SQL!$F$80</definedName>
    <definedName name="UNNH0020_SQL_FREEWORD3">UNNH0020_SQL!$F$81</definedName>
    <definedName name="UNNH0020_SQL_HAKKOSUMI_STS">UNNH0020_SQL!$F$3</definedName>
    <definedName name="UNNH0020_SQL_INIT_SORT">UNNH0020_SQL!$D$88</definedName>
    <definedName name="UNNH0020_SQL_JOKEN_COPU_SAKI">UNNH0020_SQL!$F$2:$F$37</definedName>
    <definedName name="UNNH0020_SQL_JOKEN_COPY_MOTO">UNNH0020_SQL!$G$2:$G$37</definedName>
    <definedName name="UNNH0020_SQL_JUCHU_LIST">UNNH0020_SQL!$F$100</definedName>
    <definedName name="UNNH0020_SQL_JURI_NO_END">UNNH0020_SQL!$F$20</definedName>
    <definedName name="UNNH0020_SQL_JURI_NO_SEARCH">UNNH0020_SQL!$F$94</definedName>
    <definedName name="UNNH0020_SQL_JURI_NO_START">UNNH0020_SQL!$F$19</definedName>
    <definedName name="UNNH0020_SQL_KAISHU_DATE_END">UNNH0020_SQL!$F$26</definedName>
    <definedName name="UNNH0020_SQL_KAISHU_DATE_START">UNNH0020_SQL!$F$25</definedName>
    <definedName name="UNNH0020_SQL_KANJOKAMOKU">UNNH0020_SQL!$D$90</definedName>
    <definedName name="UNNH0020_SQL_KETSUGO_KBN">UNNH0020_SQL!$F$10</definedName>
    <definedName name="UNNH0020_SQL_KURO_KBN">UNNH0020_SQL!$F$9</definedName>
    <definedName name="UNNH0020_SQL_MIHAKKO_STS">UNNH0020_SQL!$F$2</definedName>
    <definedName name="UNNH0020_SQL_MITSU_NO_SEARCH">UNNH0020_SQL!$F$95</definedName>
    <definedName name="UNNH0020_SQL_NOHIN_DATE_END">UNNH0020_SQL!$F$22</definedName>
    <definedName name="UNNH0020_SQL_NOHIN_DATE_START">UNNH0020_SQL!$F$21</definedName>
    <definedName name="UNNH0020_SQL_NYURYOKU_DATE_END">UNNH0020_SQL!$F$24</definedName>
    <definedName name="UNNH0020_SQL_NYURYOKU_DATE_START">UNNH0020_SQL!$F$23</definedName>
    <definedName name="UNNH0020_SQL_NYURYOKUSHA_CD">UNNH0020_SQL!$F$32</definedName>
    <definedName name="UNNH0020_SQL_PRINT_URIAGE_LIST">UNNH0020_SQL!$D$42</definedName>
    <definedName name="UNNH0020_SQL_RENDO_FUYO_KBN">UNNH0020_SQL!$F$11</definedName>
    <definedName name="UNNH0020_SQL_RENDO_MI_KBN">UNNH0020_SQL!$F$12</definedName>
    <definedName name="UNNH0020_SQL_RENDO_SUMI_KBN">UNNH0020_SQL!$F$13</definedName>
    <definedName name="UNNH0020_SQL_RESULT_SORT">UNNH0020_SQL!$D$89</definedName>
    <definedName name="UNNH0020_SQL_SAIHAKKOSUMI_STS">UNNH0020_SQL!$F$4</definedName>
    <definedName name="UNNH0020_SQL_SAKI_URIAGE_NO">UNNH0020_SQL!$F$27</definedName>
    <definedName name="UNNH0020_SQL_SAKI_URIAGE_NO_SEARCH">UNNH0020_SQL!$F$93</definedName>
    <definedName name="UNNH0020_SQL_SEIKYUSAKI_CD">UNNH0020_SQL!$F$28</definedName>
    <definedName name="UNNH0020_SQL_SELECT_MERGE_MOTO">UNNH0020_SQL!$F$99</definedName>
    <definedName name="UNNH0020_SQL_SELECT_URIAGE_LIST">UNNH0020_SQL!$D$40</definedName>
    <definedName name="UNNH0020_SQL_SELECT_URIAGE_LIST_CNT">UNNH0020_SQL!$D$41</definedName>
    <definedName name="UNNH0020_SQL_SHOHIN_CD">UNNH0020_SQL!$F$29</definedName>
    <definedName name="UNNH0020_SQL_SORT">UNNH0020_SQL!$E$83</definedName>
    <definedName name="UNNH0020_SQL_TEISEI_KBN">UNNH0020_SQL!$F$7</definedName>
    <definedName name="UNNH0020_SQL_TSUJO_KBN">UNNH0020_SQL!$F$6</definedName>
    <definedName name="UNNH0020_SQL_URIAGE_DATE_END">UNNH0020_SQL!$F$16</definedName>
    <definedName name="UNNH0020_SQL_URIAGE_DATE_START">UNNH0020_SQL!$F$15</definedName>
    <definedName name="UNNH0020_SQL_URIAGE_LINK_STS">UNNH0020_SQL!$F$5</definedName>
    <definedName name="UNNH0020_SQL_URIAGE_NO_END">UNNH0020_SQL!$F$18</definedName>
    <definedName name="UNNH0020_SQL_URIAGE_NO_START">UNNH0020_SQL!$F$17</definedName>
    <definedName name="UNNH0020_SQL_URIAGE_REPORT">UNNH0020_SQL!$D$43</definedName>
    <definedName name="UNNH0020_SQL_URIAGE_SERCH">UNNH0020_SQL!$F$96</definedName>
    <definedName name="UNNH0020_SQL_URIAGE_SHUKEIHYOU_REPORT">UNNH0020_SQL!$D$44</definedName>
    <definedName name="UNNH0030_B_ARARIEKI">UNNH0030_B!$Z$22</definedName>
    <definedName name="UNNH0030_B_ARARIRITSU">UNNH0030_B!$Y$22</definedName>
    <definedName name="UNNH0030_B_BAIKA_TENKAI">UNNH0030_B!$D$36</definedName>
    <definedName name="UNNH0030_B_BARA_TANI">UNNH0030_B!$W$22</definedName>
    <definedName name="UNNH0030_B_BARA_TANI_TENKAI">UNNH0030_B!$D$41</definedName>
    <definedName name="UNNH0030_B_COPY_GYO_SUSHIKI">UNNH0030_B!$D$45</definedName>
    <definedName name="UNNH0030_B_GENKA_KINGAKU">UNNH0030_B!$X$22</definedName>
    <definedName name="UNNH0030_B_GENKA_SURYO">UNNH0030_B!$T$22</definedName>
    <definedName name="UNNH0030_B_GENKA_TENKAI">UNNH0030_B!$D$35</definedName>
    <definedName name="UNNH0030_B_GENTANKA">UNNH0030_B!$R$22</definedName>
    <definedName name="UNNH0030_B_GYO">UNNH0030_B!$G$22</definedName>
    <definedName name="UNNH0030_B_GYO_COUNT">UNNH0030_B!$D$29</definedName>
    <definedName name="UNNH0030_B_GYO_DECREMENT">UNNH0030_B!$D$31</definedName>
    <definedName name="UNNH0030_B_GYO_INCREMENT">UNNH0030_B!$D$30</definedName>
    <definedName name="UNNH0030_B_HAMBAI_KINGAKU">UNNH0030_B!$O$22</definedName>
    <definedName name="UNNH0030_B_HAMBAI_TANKA">UNNH0030_B!$N$22</definedName>
    <definedName name="UNNH0030_B_HIDE_COLUMN">UNNH0030_B!$D$23</definedName>
    <definedName name="UNNH0030_B_HIDE_ROW">UNNH0030_B!$D$22</definedName>
    <definedName name="UNNH0030_B_IRISU">UNNH0030_B!$S$22</definedName>
    <definedName name="UNNH0030_B_IRISU_TANI">UNNH0030_B!$U$22</definedName>
    <definedName name="UNNH0030_B_IRISU_TANI_TENKAI">UNNH0030_B!$D$38</definedName>
    <definedName name="UNNH0030_B_LIST_CLEAR_AREA">UNNH0030_B!$D$46</definedName>
    <definedName name="UNNH0030_B_LIST_DELETE_AREA">UNNH0030_B!$D$49</definedName>
    <definedName name="UNNH0030_B_LIST_INSERT_AREA">UNNH0030_B!$D$48</definedName>
    <definedName name="UNNH0030_B_LIST_INSERT_COPY_AREA">UNNH0030_B!$D$44</definedName>
    <definedName name="UNNH0030_B_LIST_INSERT_TYPE">UNNH0030_B!$D$43</definedName>
    <definedName name="UNNH0030_B_LIST_START">UNNH0030_B!$D$27</definedName>
    <definedName name="UNNH0030_B_MULTI_SELECT_COPY_SAKI">UNNH0030_B!$D$51</definedName>
    <definedName name="UNNH0030_B_ROW_KBN">UNNH0030_B!$H$22</definedName>
    <definedName name="UNNH0030_B_SCROLL_LOCK">UNNH0030_B!$D$25</definedName>
    <definedName name="UNNH0030_B_SHIIRE_IRISU_TENKAI">UNNH0030_B!$D$39</definedName>
    <definedName name="UNNH0030_B_SHIIRE_TANI_TENKAI">UNNH0030_B!$D$40</definedName>
    <definedName name="UNNH0030_B_SHOHIN_CD">UNNH0030_B!$J$22</definedName>
    <definedName name="UNNH0030_B_SHOHIN_CD_TENKAI">UNNH0030_B!$D$33</definedName>
    <definedName name="UNNH0030_B_SHOHIN_MEI">UNNH0030_B!$K$22</definedName>
    <definedName name="UNNH0030_B_SHOHIN_MEI_TENKAI">UNNH0030_B!$D$34</definedName>
    <definedName name="UNNH0030_B_SOSU">UNNH0030_B!$V$22</definedName>
    <definedName name="UNNH0030_B_SURYO">UNNH0030_B!$L$22</definedName>
    <definedName name="UNNH0030_B_TANI">UNNH0030_B!$M$22</definedName>
    <definedName name="UNNH0030_B_TAX">UNNH0030_B!$I$22</definedName>
    <definedName name="UNNH0030_B_TEIKA">UNNH0030_B!$Q$22</definedName>
    <definedName name="UNNH0030_B_TEIKA_TENKAI">UNNH0030_B!$D$37</definedName>
    <definedName name="UNNH0030_B_TEKIYO">UNNH0030_B!$P$22</definedName>
    <definedName name="UNNH0030_H_ARARIEKI">UNNH0030_H!$N$19</definedName>
    <definedName name="UNNH0030_H_BIKO">UNNH0030_H!$Q$17</definedName>
    <definedName name="UNNH0030_H_BUNSEKI_HOHO">UNNH0030_H!$O$9</definedName>
    <definedName name="UNNH0030_H_BUSHO_CD">UNNH0030_H!$D$11</definedName>
    <definedName name="UNNH0030_H_BUSHO_MEI">UNNH0030_H!$L$3</definedName>
    <definedName name="UNNH0030_H_CHUKI">UNNH0030_H!$I$8</definedName>
    <definedName name="UNNH0030_H_CLEAR_AREA">UNNH0030_H!$D$11:$D$19</definedName>
    <definedName name="UNNH0030_H_COPY_SAKI">UNNH0030_H!$I$3:$R$19</definedName>
    <definedName name="UNNH0030_H_DEMPYO_KBN">UNNH0030_H!$R$7</definedName>
    <definedName name="UNNH0030_H_DEMPYO_KBN_CD">UNNH0030_H!$D$21</definedName>
    <definedName name="UNNH0030_H_DEMPYO_MEI">UNNH0030_H!$I$13</definedName>
    <definedName name="UNNH0030_H_DENKU">UNNH0030_H!$O$7</definedName>
    <definedName name="UNNH0030_H_DENKU_CD">UNNH0030_H!$D$22</definedName>
    <definedName name="UNNH0030_H_DOJI_FLG">UNNH0030_H!$D$7</definedName>
    <definedName name="UNNH0030_H_EIGYO_TANTO_CD">UNNH0030_H!$D$13</definedName>
    <definedName name="UNNH0030_H_EIGYO_TANTO_MEI">UNNH0030_H!$R$3</definedName>
    <definedName name="UNNH0030_H_FLG_COPY_SAKI">UNNH0030_H!$D$7:$D$8</definedName>
    <definedName name="UNNH0030_H_GENKA_TOTAL">UNNH0030_H!$M$19</definedName>
    <definedName name="UNNH0030_H_HIDE_COLUMN">UNNH0030_H!$D$3</definedName>
    <definedName name="UNNH0030_H_HIDE_ROW">UNNH0030_H!$D$2</definedName>
    <definedName name="UNNH0030_H_JUCHU_KBN_CD">UNNH0030_H!$D$16</definedName>
    <definedName name="UNNH0030_H_JURI_NO">UNNH0030_H!$O$3</definedName>
    <definedName name="UNNH0030_H_JURI_NO_CNT">UNNH0030_H!$D$35</definedName>
    <definedName name="UNNH0030_H_JUSHO_NO_PRINT_FLG">UNNH0030_H!$D$8</definedName>
    <definedName name="UNNH0030_H_KAISHU_DATE">UNNH0030_H!$R$4</definedName>
    <definedName name="UNNH0030_H_KANJO_KAMOKU">UNNH0030_H!$O$8</definedName>
    <definedName name="UNNH0030_H_KANJO_KAMOKU_CD">UNNH0030_H!$D$23</definedName>
    <definedName name="UNNH0030_H_KEISHO">UNNH0030_H!$L$13</definedName>
    <definedName name="UNNH0030_H_KOMI_TOTAL">UNNH0030_H!$L$19</definedName>
    <definedName name="UNNH0030_H_MITSU_NO">UNNH0030_H!$O$4</definedName>
    <definedName name="UNNH0030_H_NOHIN_DATE">UNNH0030_H!$C$33</definedName>
    <definedName name="UNNH0030_H_NUKI_TOTAL">UNNH0030_H!$J$19</definedName>
    <definedName name="UNNH0030_H_NYURYOKU_DATETIME">UNNH0030_H!$L$5</definedName>
    <definedName name="UNNH0030_H_NYURYOKUSHA_CD">UNNH0030_H!$D$12</definedName>
    <definedName name="UNNH0030_H_NYURYOKUSHA_MEI">UNNH0030_H!$L$4</definedName>
    <definedName name="UNNH0030_H_PAGE_NEXT">UNNH0030_H!$D$31</definedName>
    <definedName name="UNNH0030_H_PAGE_NO">UNNH0030_H!$D$29</definedName>
    <definedName name="UNNH0030_H_PAGE_PREV">UNNH0030_H!$D$30</definedName>
    <definedName name="UNNH0030_H_PAGE_TOTAL">UNNH0030_H!$D$28</definedName>
    <definedName name="UNNH0030_H_RENDO_KBN">UNNH0030_H!$R$8</definedName>
    <definedName name="UNNH0030_H_RENDO_KBN_CD">UNNH0030_H!$D$20</definedName>
    <definedName name="UNNH0030_H_RIEKI_RATE">UNNH0030_H!$O$19</definedName>
    <definedName name="UNNH0030_H_SAKI_URIAGE_NO">UNNH0030_H!$O$5</definedName>
    <definedName name="UNNH0030_H_SEIKYUSAKI_CD">UNNH0030_H!$I$7</definedName>
    <definedName name="UNNH0030_H_SEIKYUSAKI_HASU">UNNH0030_H!$D$17</definedName>
    <definedName name="UNNH0030_H_SEIKYUSAKI_MEI">UNNH0030_H!$D$15</definedName>
    <definedName name="UNNH0030_H_SEIKYUSAKI_MEI_HYOJI">UNNH0030_H!$J$7</definedName>
    <definedName name="UNNH0030_H_SHOKON_LIST_DATE_TIME">UNNH0030_H!$D$19</definedName>
    <definedName name="UNNH0030_H_SHOKON_NO">UNNH0030_H!$I$5</definedName>
    <definedName name="UNNH0030_H_SOFU_FAX">UNNH0030_H!$Q$15</definedName>
    <definedName name="UNNH0030_H_SOFU_JUSHO_1">UNNH0030_H!$I$16</definedName>
    <definedName name="UNNH0030_H_SOFU_JUSHO_2">UNNH0030_H!$I$17</definedName>
    <definedName name="UNNH0030_H_SOFU_TANTOSHA_MEI">UNNH0030_H!$I$14</definedName>
    <definedName name="UNNH0030_H_SOFU_TEL">UNNH0030_H!$Q$14</definedName>
    <definedName name="UNNH0030_H_SOFU_YUBIN">UNNH0030_H!$I$15</definedName>
    <definedName name="UNNH0030_H_STS">UNNH0030_H!$R$5</definedName>
    <definedName name="UNNH0030_H_STS_CD">UNNH0030_H!$D$14</definedName>
    <definedName name="UNNH0030_H_TAX">UNNH0030_H!$K$19</definedName>
    <definedName name="UNNH0030_H_TAX_KBN">UNNH0030_H!$D$18</definedName>
    <definedName name="UNNH0030_H_TAX_RATE">UNNH0030_H!$D$25</definedName>
    <definedName name="UNNH0030_H_TEKIYO">UNNH0030_H!$O$10</definedName>
    <definedName name="UNNH0030_H_URIAGE_DATE">UNNH0030_H!$I$3</definedName>
    <definedName name="UNNH0030_H_URIAGE_NO">UNNH0030_H!$I$4</definedName>
    <definedName name="UNNH0030_HIKAE_PAGE_AREA">UNNH0030_HIKAE!$A$1:$AZ$37</definedName>
    <definedName name="UNNH0030_IF_ACTIVE_CELL_NAME">UNNH0030_IF!$D$46</definedName>
    <definedName name="UNNH0030_IF_ACTIVE_COLUMN">UNNH0030_IF!$D$44</definedName>
    <definedName name="UNNH0030_IF_ACTIVE_ROW">UNNH0030_IF!$D$43</definedName>
    <definedName name="UNNH0030_IF_ACTIVE_SHEET">UNNH0030_IF!$D$42</definedName>
    <definedName name="UNNH0030_IF_BUTTON_03_HYOJI">UNNH0030_IF!$D$57</definedName>
    <definedName name="UNNH0030_IF_BUTTON_04_HYOJI">UNNH0030_IF!$D$58</definedName>
    <definedName name="UNNH0030_IF_BUTTON_05_HYOJI">UNNH0030_IF!$D$59</definedName>
    <definedName name="UNNH0030_IF_BUTTON_06_HYOJI">UNNH0030_IF!$D$60</definedName>
    <definedName name="UNNH0030_IF_BUTTON_06_NAME">UNNH0030_IF!$D$49</definedName>
    <definedName name="UNNH0030_IF_BUTTON_07_HYOJI">UNNH0030_IF!$D$61</definedName>
    <definedName name="UNNH0030_IF_BUTTON_08_HYOJI">UNNH0030_IF!$D$62</definedName>
    <definedName name="UNNH0030_IF_BUTTON_09_HYOJI">UNNH0030_IF!$D$63</definedName>
    <definedName name="UNNH0030_IF_BUTTON_10_HYOJI">UNNH0030_IF!$D$64</definedName>
    <definedName name="UNNH0030_IF_BUTTON_10_NAME">UNNH0030_IF!$D$50</definedName>
    <definedName name="UNNH0030_IF_BUTTON_11_HYOJI">UNNH0030_IF!$D$65</definedName>
    <definedName name="UNNH0030_IF_BUTTON_12_HYOJI">UNNH0030_IF!$D$66</definedName>
    <definedName name="UNNH0030_IF_BUTTON_13_HYOJI">UNNH0030_IF!$D$67</definedName>
    <definedName name="UNNH0030_IF_BUTTON_14_ERROR">UNNH0030_IF!$D$78</definedName>
    <definedName name="UNNH0030_IF_BUTTON_14_HYOJI">UNNH0030_IF!$D$68</definedName>
    <definedName name="UNNH0030_IF_BUTTON_15_HYOJI">UNNH0030_IF!$D$69</definedName>
    <definedName name="UNNH0030_IF_BUTTON_16_HYOJI">UNNH0030_IF!$D$70</definedName>
    <definedName name="UNNH0030_IF_BUTTON_17_HYOJI">UNNH0030_IF!$D$71</definedName>
    <definedName name="UNNH0030_IF_BUTTON_17_NAME">UNNH0030_IF!$D$51</definedName>
    <definedName name="UNNH0030_IF_BUTTON_18_HYOJI">UNNH0030_IF!$D$72</definedName>
    <definedName name="UNNH0030_IF_BUTTON_19_HYOJI">UNNH0030_IF!$D$73</definedName>
    <definedName name="UNNH0030_IF_BUTTON_20_HYOJI">UNNH0030_IF!$D$74</definedName>
    <definedName name="UNNH0030_IF_COPY_B_COMMENT_SANSHO">UNNH0030_IF!$BF$32:$BY$32</definedName>
    <definedName name="UNNH0030_IF_COPY_B_COMMENT_SHINKI">UNNH0030_IF!$BF$8:$BY$8</definedName>
    <definedName name="UNNH0030_IF_COPY_B_COMMENT_SHUSEI">UNNH0030_IF!$BF$20:$BY$20</definedName>
    <definedName name="UNNH0030_IF_COPY_B_GYO_SUSHIKI">UNNH0030_IF!$BF$5</definedName>
    <definedName name="UNNH0030_IF_COPY_B_LIST_CLEAR">UNNH0030_IF!$BF$40:$BY$40</definedName>
    <definedName name="UNNH0030_IF_COPY_B_MEISAI_ARARI_SUSHIKI">UNNH0030_IF!$BW$5:$BY$5</definedName>
    <definedName name="UNNH0030_IF_COPY_B_MEISAI_KINGAKU_SUSHIKI">UNNH0030_IF!$BN$5</definedName>
    <definedName name="UNNH0030_IF_COPY_B_MEISAI_SANSHO">UNNH0030_IF!$BF$29:$BY$29</definedName>
    <definedName name="UNNH0030_IF_COPY_B_MEISAI_SHINKI">UNNH0030_IF!$BF$5:$BY$5</definedName>
    <definedName name="UNNH0030_IF_COPY_B_MEISAI_SHUSEI">UNNH0030_IF!$BF$17:$BY$17</definedName>
    <definedName name="UNNH0030_IF_COPY_B_MEISAI_TAX_SUSHIKI">UNNH0030_IF!$BH$5</definedName>
    <definedName name="UNNH0030_IF_COPY_B_MEISAI_TOTAL_SUSHIKI">UNNH0030_IF!$BU$5</definedName>
    <definedName name="UNNH0030_IF_COPY_B_NEBIKI_DIR_SANSHO">UNNH0030_IF!$BF$35:$BY$35</definedName>
    <definedName name="UNNH0030_IF_COPY_B_NEBIKI_DIR_SHINKI">UNNH0030_IF!$BF$11:$BY$11</definedName>
    <definedName name="UNNH0030_IF_COPY_B_NEBIKI_DIR_SHUSEI">UNNH0030_IF!$BF$23:$BY$23</definedName>
    <definedName name="UNNH0030_IF_COPY_H_DEMPYO_KBN">UNNH0030_IF!$AY$4</definedName>
    <definedName name="UNNH0030_IF_COPY_H_DEMPYO_KBN_CHECK">UNNH0030_IF!$AY$10</definedName>
    <definedName name="UNNH0030_IF_COPY_H_INIT_DEMPYO_KBN">UNNH0030_IF!$AH$7</definedName>
    <definedName name="UNNH0030_IF_COPY_H_INIT_RENDO_KBN">UNNH0030_IF!$AH$8</definedName>
    <definedName name="UNNH0030_IF_COPY_H_JURI_NO_LOCK">UNNH0030_IF!$AY$7</definedName>
    <definedName name="UNNH0030_IF_COPY_H_JURI_NO_LOCK_CHECK">UNNH0030_IF!$AY$13</definedName>
    <definedName name="UNNH0030_IF_COPY_H_JURI_NO_UNLOCK">UNNH0030_IF!$AY$8</definedName>
    <definedName name="UNNH0030_IF_COPY_H_RENDO_KBN">UNNH0030_IF!$AY$5</definedName>
    <definedName name="UNNH0030_IF_COPY_H_RENDO_KBN_CHECK">UNNH0030_IF!$AY$11</definedName>
    <definedName name="UNNH0030_IF_COPY_H_SANSHO">UNNH0030_IF!$AL$40:$AU$56</definedName>
    <definedName name="UNNH0030_IF_COPY_H_SHINKI">UNNH0030_IF!$AL$4:$AU$20</definedName>
    <definedName name="UNNH0030_IF_COPY_H_SHUSEI">UNNH0030_IF!$AL$22:$AU$38</definedName>
    <definedName name="UNNH0030_IF_COPY_H_URIAGE_DATE">UNNH0030_IF!$AH$6</definedName>
    <definedName name="UNNH0030_IF_DATA_SEARCH_FLG">UNNH0030_IF!$D$3</definedName>
    <definedName name="UNNH0030_IF_EXCEL_FILE_NAME">UNNH0030_IF!$D$81</definedName>
    <definedName name="UNNH0030_IF_FLG_COPY_MOTO">UNNH0030_IF!$AH$3:$AH$4</definedName>
    <definedName name="UNNH0030_IF_GET_KAISHU_DATE_CHECK">UNNH0030_IF!$D$18</definedName>
    <definedName name="UNNH0030_IF_INPUT_CHECK">UNNH0030_IF!$CM$26</definedName>
    <definedName name="UNNH0030_IF_INPUT_ERROR_MESSAGE">UNNH0030_IF!$CM$27</definedName>
    <definedName name="UNNH0030_IF_JUCHU_MODE">UNNH0030_IF!$D$13</definedName>
    <definedName name="UNNH0030_IF_LIST_DEMPYO_KBN">OFFSET(UNNH0030_IF_LIST_DEMPYO_KBN_START,,,IF(UNNH0030_IF_LIST_DEMPYO_KBN_KENSU=0,1,UNNH0030_IF_LIST_DEMPYO_KBN_KENSU-1),1)</definedName>
    <definedName name="UNNH0030_IF_LIST_DEMPYO_KBN_KENSU">UNNH0030_IF!$L$4</definedName>
    <definedName name="UNNH0030_IF_LIST_DEMPYO_KBN_START">UNNH0030_IF!$K$7</definedName>
    <definedName name="UNNH0030_IF_LIST_DENKU">OFFSET(UNNH0030_IF_LIST_DENKU_START,,,IF(UNNH0030_IF_LIST_DENKU_KENSU=0,1,UNNH0030_IF_LIST_DENKU_KENSU),1)</definedName>
    <definedName name="UNNH0030_IF_LIST_DENKU_KENSU">UNNH0030_IF!$U$4</definedName>
    <definedName name="UNNH0030_IF_LIST_DENKU_START">UNNH0030_IF!$T$7</definedName>
    <definedName name="UNNH0030_IF_LIST_KANJO_KAMOKU">OFFSET(UNNH0030_IF_LIST_KANJO_KAMOKU_START,,,IF(UNNH0030_IF_LIST_KANJO_KAMOKU_KENSU=0,1,UNNH0030_IF_LIST_KANJO_KAMOKU_KENSU),1)</definedName>
    <definedName name="UNNH0030_IF_LIST_KANJO_KAMOKU_KENSU">UNNH0030_IF!$X$4</definedName>
    <definedName name="UNNH0030_IF_LIST_KANJO_KAMOKU_START">UNNH0030_IF!$W$7</definedName>
    <definedName name="UNNH0030_IF_LIST_KEISHO_KBN">OFFSET(UNNH0030_IF_LIST_KEISHO_KBN_START,,,IF(UNNH0030_IF_LIST_KEISHO_KBN_KENSU=0,1,UNNH0030_IF_LIST_KEISHO_KBN_KENSU),1)</definedName>
    <definedName name="UNNH0030_IF_LIST_KEISHO_KBN_KENSU">UNNH0030_IF!$O$4</definedName>
    <definedName name="UNNH0030_IF_LIST_KEISHO_KBN_START">UNNH0030_IF!$N$7</definedName>
    <definedName name="UNNH0030_IF_LIST_RENDO_KBN">OFFSET(UNNH0030_IF_LIST_RENDO_KBN_START,,,IF(UNNH0030_IF_LIST_RENDO_KBN_KENSU=0,1,UNNH0030_IF_LIST_RENDO_KBN_KENSU-1),1)</definedName>
    <definedName name="UNNH0030_IF_LIST_RENDO_KBN_KENSU">UNNH0030_IF!$R$4</definedName>
    <definedName name="UNNH0030_IF_LIST_RENDO_KBN_START">UNNH0030_IF!$Q$7</definedName>
    <definedName name="UNNH0030_IF_MERGE_RELEASE_COMP_MSG">UNNH0030_IF!$D$38</definedName>
    <definedName name="UNNH0030_IF_MERGE_RELEASE_CONFIRM_MSG">UNNH0030_IF!$D$35</definedName>
    <definedName name="UNNH0030_IF_MERGE_RELEASE_WARNING_CHECK">UNNH0030_IF!$D$36</definedName>
    <definedName name="UNNH0030_IF_MERGE_RELEASE_WARNING_MSG">UNNH0030_IF!$D$37</definedName>
    <definedName name="UNNH0030_IF_MODE">UNNH0030_IF!$D$12</definedName>
    <definedName name="UNNH0030_IF_MOTO_URIAGE_NO">UNNH0030_IF!$D$34</definedName>
    <definedName name="UNNH0030_IF_MULTI_SELECT_CHECK">UNNH0030_IF!$FO$6</definedName>
    <definedName name="UNNH0030_IF_MULTI_SELECT_COPY_MOTO">UNNH0030_IF!$FO$17</definedName>
    <definedName name="UNNH0030_IF_MULTI_SELECT_FLG">UNNH0030_IF!$D$6</definedName>
    <definedName name="UNNH0030_IF_MULTI_SELECT_GENKA_SUSHIKI_COPY_SAKI">UNNH0030_IF!$FO$13</definedName>
    <definedName name="UNNH0030_IF_MULTI_SELECT_GYO_INCREMENT">UNNH0030_IF!$FO$7</definedName>
    <definedName name="UNNH0030_IF_MULTI_SELECT_GYO_SUSHIKI_COPY_SAKI">UNNH0030_IF!$FO$10</definedName>
    <definedName name="UNNH0030_IF_MULTI_SELECT_KENSU">UNNH0030_IF!$FO$3</definedName>
    <definedName name="UNNH0030_IF_MULTI_SELECT_KINGAKU_SUSHIKI_COPY_SAKI">UNNH0030_IF!$FO$11</definedName>
    <definedName name="UNNH0030_IF_MULTI_SELECT_LIST_ARARI_AREA">UNNH0030_IF!$GJ$3:$GL$3</definedName>
    <definedName name="UNNH0030_IF_MULTI_SELECT_LIST_GYO">UNNH0030_IF!$FS$3</definedName>
    <definedName name="UNNH0030_IF_MULTI_SELECT_LIST_KINGAKU">UNNH0030_IF!$GA$3</definedName>
    <definedName name="UNNH0030_IF_MULTI_SELECT_LIST_SOSU">UNNH0030_IF!$GH$3</definedName>
    <definedName name="UNNH0030_IF_MULTI_SELECT_LIST_TAX">UNNH0030_IF!$FU$3</definedName>
    <definedName name="UNNH0030_IF_MULTI_SELECT_SHOSHIKI_COPY_SAKI">UNNH0030_IF!$FO$9</definedName>
    <definedName name="UNNH0030_IF_MULTI_SELECT_SOSU_SUSHIKI_COPY_SAKI">UNNH0030_IF!$FO$12</definedName>
    <definedName name="UNNH0030_IF_MULTI_SELECT_TAX_SUSHIKI_COPY_SAKI">UNNH0030_IF!$FO$14</definedName>
    <definedName name="UNNH0030_IF_MULTI_SELECT_TENKAI_KENSU">UNNH0030_IF!$FO$5</definedName>
    <definedName name="UNNH0030_IF_MULTI_SELECT_TENKAI_START">UNNH0030_IF!$FS$4</definedName>
    <definedName name="UNNH0030_IF_PAGE_SAVE_CHECK">UNNH0030_IF!$D$7</definedName>
    <definedName name="UNNH0030_IF_PREVIOUS_ID">UNNH0030_IF!$D$14</definedName>
    <definedName name="UNNH0030_IF_REF_NO">UNNH0030_IF!$D$4</definedName>
    <definedName name="UNNH0030_IF_RIREKI_NO">UNNH0030_IF!$D$5</definedName>
    <definedName name="UNNH0030_IF_SAVE_ADDRESS_1">UNNH0030_IF!$DV$5</definedName>
    <definedName name="UNNH0030_IF_SAVE_ADDRESS_2">UNNH0030_IF!$DW$5</definedName>
    <definedName name="UNNH0030_IF_SAVE_ARARIEKI_B">UNNH0030_IF!$FB$5</definedName>
    <definedName name="UNNH0030_IF_SAVE_ARARIEKI_H">UNNH0030_IF!$EH$5</definedName>
    <definedName name="UNNH0030_IF_SAVE_ARARIRITSU_B">UNNH0030_IF!$FA$5</definedName>
    <definedName name="UNNH0030_IF_SAVE_ARARIRITSU_H">UNNH0030_IF!$EI$5</definedName>
    <definedName name="UNNH0030_IF_SAVE_BARA_TANI">UNNH0030_IF!$EY$5</definedName>
    <definedName name="UNNH0030_IF_SAVE_BAT_LOOP_CNT">UNNH0030_IF!$CH$44</definedName>
    <definedName name="UNNH0030_IF_SAVE_BAT_URIAGE_NO">UNNH0030_IF!$CH$45</definedName>
    <definedName name="UNNH0030_IF_SAVE_BUNSEKI_HOHO">UNNH0030_IF!$DQ$5</definedName>
    <definedName name="UNNH0030_IF_SAVE_BUSHO_CD">UNNH0030_IF!$DD$5</definedName>
    <definedName name="UNNH0030_IF_SAVE_CHECK_ERROR_KOMOKU">UNNH0030_IF!$CM$30</definedName>
    <definedName name="UNNH0030_IF_SAVE_CHECK_RESULT">UNNH0030_IF!$CL$30</definedName>
    <definedName name="UNNH0030_IF_SAVE_CHECK_START">UNNH0030_IF!$EN$6</definedName>
    <definedName name="UNNH0030_IF_SAVE_COPY_MOTO">UNNH0030_IF!$CR$3:$FI$3</definedName>
    <definedName name="UNNH0030_IF_SAVE_COPY_SAKI">UNNH0030_IF!$CH$12</definedName>
    <definedName name="UNNH0030_IF_SAVE_COPY_START">UNNH0030_IF!$CR$6</definedName>
    <definedName name="UNNH0030_IF_SAVE_DBS_CREATE_DATE">UNNH0030_IF!$FG$5</definedName>
    <definedName name="UNNH0030_IF_SAVE_DBS_CREATE_USER">UNNH0030_IF!$FF$5</definedName>
    <definedName name="UNNH0030_IF_SAVE_DBS_STATUS">UNNH0030_IF!$FE$5</definedName>
    <definedName name="UNNH0030_IF_SAVE_DBS_UPDATE_DATE">UNNH0030_IF!$FI$5</definedName>
    <definedName name="UNNH0030_IF_SAVE_DBS_UPDATE_USER">UNNH0030_IF!$FH$5</definedName>
    <definedName name="UNNH0030_IF_SAVE_DEL_FLG">UNNH0030_IF!$FD$5</definedName>
    <definedName name="UNNH0030_IF_SAVE_DEMPYO_KBN">UNNH0030_IF!$CY$5</definedName>
    <definedName name="UNNH0030_IF_SAVE_DEMPYO_SOFU_MEI">UNNH0030_IF!$DS$5</definedName>
    <definedName name="UNNH0030_IF_SAVE_DOJI_FLG">UNNH0030_IF!$DN$5</definedName>
    <definedName name="UNNH0030_IF_SAVE_EIGYO_TANTO_CD">UNNH0030_IF!$DF$5</definedName>
    <definedName name="UNNH0030_IF_SAVE_ERROR_CHECK">UNNH0030_IF!$CH$39</definedName>
    <definedName name="UNNH0030_IF_SAVE_ERROR_MESSAGE">UNNH0030_IF!$CH$40</definedName>
    <definedName name="UNNH0030_IF_SAVE_FAX">UNNH0030_IF!$DY$5</definedName>
    <definedName name="UNNH0030_IF_SAVE_GENKA_KINGAKU">UNNH0030_IF!$EZ$5</definedName>
    <definedName name="UNNH0030_IF_SAVE_GENKA_SURYO">UNNH0030_IF!$EV$5</definedName>
    <definedName name="UNNH0030_IF_SAVE_GENKA_TOTAL">UNNH0030_IF!$EG$5</definedName>
    <definedName name="UNNH0030_IF_SAVE_GENTANKA">UNNH0030_IF!$EU$5</definedName>
    <definedName name="UNNH0030_IF_SAVE_GYO_NO">UNNH0030_IF!$EL$5</definedName>
    <definedName name="UNNH0030_IF_SAVE_HAMBAI_KINGAKU">UNNH0030_IF!$ES$5</definedName>
    <definedName name="UNNH0030_IF_SAVE_HAMBAI_TANKA">UNNH0030_IF!$ER$5</definedName>
    <definedName name="UNNH0030_IF_SAVE_IRISU_TANI">UNNH0030_IF!$EW$5</definedName>
    <definedName name="UNNH0030_IF_SAVE_JOGAI_GYO">UNNH0030_IF!$CR$5</definedName>
    <definedName name="UNNH0030_IF_SAVE_JUCHU_KBN">UNNH0030_IF!$DH$5</definedName>
    <definedName name="UNNH0030_IF_SAVE_JURI_NO">UNNH0030_IF!$DI$5</definedName>
    <definedName name="UNNH0030_IF_SAVE_JUSHO_NO_PRINT_FLG">UNNH0030_IF!$EB$5</definedName>
    <definedName name="UNNH0030_IF_SAVE_KAISHU_DATE">UNNH0030_IF!$DP$5</definedName>
    <definedName name="UNNH0030_IF_SAVE_KEISHO">UNNH0030_IF!$DT$5</definedName>
    <definedName name="UNNH0030_IF_SAVE_KENSU">UNNH0030_IF!$CH$13</definedName>
    <definedName name="UNNH0030_IF_SAVE_KOMI_TOTAL">UNNH0030_IF!$EF$5</definedName>
    <definedName name="UNNH0030_IF_SAVE_MITSU_NO">UNNH0030_IF!$DJ$5</definedName>
    <definedName name="UNNH0030_IF_SAVE_NOHIN_DATE">UNNH0030_IF!$DL$5</definedName>
    <definedName name="UNNH0030_IF_SAVE_NUKI_TOTAL">UNNH0030_IF!$ED$5</definedName>
    <definedName name="UNNH0030_IF_SAVE_NYURYOKU_DATE_TIME">UNNH0030_IF!$DG$5</definedName>
    <definedName name="UNNH0030_IF_SAVE_PRINT_CHECK">UNNH0030_IF!$D$17</definedName>
    <definedName name="UNNH0030_IF_SAVE_RENDO_CHECK">UNNH0030_IF!$D$8</definedName>
    <definedName name="UNNH0030_IF_SAVE_RENDO_KBN">UNNH0030_IF!$CZ$5</definedName>
    <definedName name="UNNH0030_IF_SAVE_RESULT_CD">UNNH0030_IF!$CH$37</definedName>
    <definedName name="UNNH0030_IF_SAVE_RESULT_KENSU">UNNH0030_IF!$CH$34</definedName>
    <definedName name="UNNH0030_IF_SAVE_RESULT_MESSAGE">UNNH0030_IF!$CH$38</definedName>
    <definedName name="UNNH0030_IF_SAVE_RESULT_URIAGE_NO">UNNH0030_IF!$CH$36</definedName>
    <definedName name="UNNH0030_IF_SAVE_ROW_KBN">UNNH0030_IF!$EM$5</definedName>
    <definedName name="UNNH0030_IF_SAVE_SAKI_URIAGE_NO">UNNH0030_IF!$DK$5</definedName>
    <definedName name="UNNH0030_IF_SAVE_SEIKYU_CD">UNNH0030_IF!$DO$5</definedName>
    <definedName name="UNNH0030_IF_SAVE_SHOHIN_CD">UNNH0030_IF!$EN$5</definedName>
    <definedName name="UNNH0030_IF_SAVE_SHOHIN_MEI">UNNH0030_IF!$EO$5</definedName>
    <definedName name="UNNH0030_IF_SAVE_SHOKON_LIST_DATE_TIME">UNNH0030_IF!$EK$5</definedName>
    <definedName name="UNNH0030_IF_SAVE_SHOKON_NO">UNNH0030_IF!$EJ$5</definedName>
    <definedName name="UNNH0030_IF_SAVE_SOFU_TANTO">UNNH0030_IF!$DZ$5</definedName>
    <definedName name="UNNH0030_IF_SAVE_SOSU">UNNH0030_IF!$EX$5</definedName>
    <definedName name="UNNH0030_IF_SAVE_START">UNNH0030_IF!$CS$6</definedName>
    <definedName name="UNNH0030_IF_SAVE_TAX">UNNH0030_IF!$EE$5</definedName>
    <definedName name="UNNH0030_IF_SAVE_TAX_RATE">UNNH0030_IF!$EC$5</definedName>
    <definedName name="UNNH0030_IF_SAVE_TEIKA">UNNH0030_IF!$FC$5</definedName>
    <definedName name="UNNH0030_IF_SAVE_TEISEI_BIKO">UNNH0030_IF!$EA$5</definedName>
    <definedName name="UNNH0030_IF_SAVE_TEKIYO_B">UNNH0030_IF!$ET$5</definedName>
    <definedName name="UNNH0030_IF_SAVE_TEKIYO_H">UNNH0030_IF!$DR$5</definedName>
    <definedName name="UNNH0030_IF_SAVE_TEL">UNNH0030_IF!$DX$5</definedName>
    <definedName name="UNNH0030_IF_SAVE_URIAGE_DATE">UNNH0030_IF!$DC$5</definedName>
    <definedName name="UNNH0030_IF_SAVE_URIAGE_NO">UNNH0030_IF!$CX$5</definedName>
    <definedName name="UNNH0030_IF_SAVE_URIAGE_NYURYOKUSHA_CD">UNNH0030_IF!$DE$5</definedName>
    <definedName name="UNNH0030_IF_SAVE_URIAGE_STS">UNNH0030_IF!$DM$5</definedName>
    <definedName name="UNNH0030_IF_SAVE_URIAGE_SURYO">UNNH0030_IF!$EP$5</definedName>
    <definedName name="UNNH0030_IF_SAVE_URIAGE_SURYO_TANI">UNNH0030_IF!$EQ$5</definedName>
    <definedName name="UNNH0030_IF_SAVE_W_MODE">UNNH0030_IF!$CW$5</definedName>
    <definedName name="UNNH0030_IF_SAVE_W_PAGE">UNNH0030_IF!$CU$5</definedName>
    <definedName name="UNNH0030_IF_SAVE_W_ROW">UNNH0030_IF!$CV$5</definedName>
    <definedName name="UNNH0030_IF_SAVE_W_SERIAL">UNNH0030_IF!$CT$5</definedName>
    <definedName name="UNNH0030_IF_SAVE_YUBIN_NO">UNNH0030_IF!$DU$5</definedName>
    <definedName name="UNNH0030_IF_SET_KANJO_KAMOKU">OFFSET(UNNH0030_IF_SET_KANJO_KAMOKU_START,,,IF(UNNH0030_IF_SET_KANJO_KAMOKU_KENSU=0,1,UNNH0030_IF_SET_KANJO_KAMOKU_KENSU),2)</definedName>
    <definedName name="UNNH0030_IF_SET_KANJO_KAMOKU_KENSU">UNNH0030_IF!$AB$4</definedName>
    <definedName name="UNNH0030_IF_SET_KANJO_KAMOKU_START">UNNH0030_IF!$AA$8</definedName>
    <definedName name="UNNH0030_IF_SET_KANJO_KAMOKU2">OFFSET(UNNH0030_IF_SET_KANJO_KAMOKU_START,,,IF(UNNH0030_IF_SET_KANJO_KAMOKU_KENSU=0,1,UNNH0030_IF_SET_KANJO_KAMOKU_KENSU),1)</definedName>
    <definedName name="UNNH0030_IF_W_MODE">UNNH0030_IF!$CH$7</definedName>
    <definedName name="UNNH0030_IF_W_SERIAL">UNNH0030_IF!$CH$5</definedName>
    <definedName name="UNNH0030_IF_W_SERIAL_CREATE">UNNH0030_IF!$CH$6</definedName>
    <definedName name="UNNH0030_IF_W_USER_ID">UNNH0030_IF!$CH$4</definedName>
    <definedName name="UNNH0030_JURYOSHO_PAGE_AREA">UNNH0030_JURYOSHO!$A$1:$AZ$37</definedName>
    <definedName name="UNNH0030_NOHINSHO_PAGE_AREA">UNNH0030_NOHINSHO!$A$1:$AZ$37</definedName>
    <definedName name="UNNH0030_REPORT_IF_B_CLEAR_AREA">UNNH0030_REPORT_IF!$AI$8</definedName>
    <definedName name="UNNH0030_REPORT_IF_B_COPY_MOTO">UNNH0030_REPORT_IF!$AG$15:$AN$15</definedName>
    <definedName name="UNNH0030_REPORT_IF_B_COPY_MOTO_TAX">UNNH0030_REPORT_IF!$AG$14:$AN$14</definedName>
    <definedName name="UNNH0030_REPORT_IF_B_COPY_SAKI">UNNH0030_REPORT_IF!$AI$7</definedName>
    <definedName name="UNNH0030_REPORT_IF_B_COPY_SAKI_TAX">UNNH0030_REPORT_IF!$AI$10</definedName>
    <definedName name="UNNH0030_REPORT_IF_B_GYO_NO">UNNH0030_REPORT_IF!$AG$16</definedName>
    <definedName name="UNNH0030_REPORT_IF_B_KENSU">UNNH0030_REPORT_IF!$AI$3</definedName>
    <definedName name="UNNH0030_REPORT_IF_B_KENSU_INCREMENT">UNNH0030_REPORT_IF!$AI$6</definedName>
    <definedName name="UNNH0030_REPORT_IF_B_KINGAKU">UNNH0030_REPORT_IF!$AN$16</definedName>
    <definedName name="UNNH0030_REPORT_IF_B_PAGE_MEISAI_SU">UNNH0030_REPORT_IF!$AI$4</definedName>
    <definedName name="UNNH0030_REPORT_IF_B_PAGE_TOTAL">UNNH0030_REPORT_IF!$AI$5</definedName>
    <definedName name="UNNH0030_REPORT_IF_B_ROW_KBN">UNNH0030_REPORT_IF!$AH$16</definedName>
    <definedName name="UNNH0030_REPORT_IF_B_SHOHIN_CD">UNNH0030_REPORT_IF!$AI$16</definedName>
    <definedName name="UNNH0030_REPORT_IF_B_SHOHIN_MEI">UNNH0030_REPORT_IF!$AJ$16</definedName>
    <definedName name="UNNH0030_REPORT_IF_B_START">UNNH0030_REPORT_IF!$AG$17</definedName>
    <definedName name="UNNH0030_REPORT_IF_B_SURYO">UNNH0030_REPORT_IF!$AK$16</definedName>
    <definedName name="UNNH0030_REPORT_IF_B_TANI">UNNH0030_REPORT_IF!$AL$16</definedName>
    <definedName name="UNNH0030_REPORT_IF_B_TANKA">UNNH0030_REPORT_IF!$AM$16</definedName>
    <definedName name="UNNH0030_REPORT_IF_B_TAX_CHECK">UNNH0030_REPORT_IF!$AI$11</definedName>
    <definedName name="UNNH0030_REPORT_IF_DEMPYO_HAKKO_CHECK">UNNH0030_REPORT_IF!$E$3</definedName>
    <definedName name="UNNH0030_REPORT_IF_H_ADDRESS_1">UNNH0030_REPORT_IF!$K$9</definedName>
    <definedName name="UNNH0030_REPORT_IF_H_ADDRESS_2">UNNH0030_REPORT_IF!$L$9</definedName>
    <definedName name="UNNH0030_REPORT_IF_H_DEMPYO_HAKKO_KBN">UNNH0030_REPORT_IF!$AC$9</definedName>
    <definedName name="UNNH0030_REPORT_IF_H_DEMPYO_SOFU_MEI">UNNH0030_REPORT_IF!$M$9</definedName>
    <definedName name="UNNH0030_REPORT_IF_H_EIGYO_MEI">UNNH0030_REPORT_IF!$U$9</definedName>
    <definedName name="UNNH0030_REPORT_IF_H_HIKAE_FLG">UNNH0030_REPORT_IF!$AB$9</definedName>
    <definedName name="UNNH0030_REPORT_IF_H_JURI_NO">UNNH0030_REPORT_IF!$AD$9</definedName>
    <definedName name="UNNH0030_REPORT_IF_H_JURYOSHO_FLG">UNNH0030_REPORT_IF!$Z$9</definedName>
    <definedName name="UNNH0030_REPORT_IF_H_JUSHO_NO_PRINT_FLG">UNNH0030_REPORT_IF!$X$9</definedName>
    <definedName name="UNNH0030_REPORT_IF_H_KEISHO">UNNH0030_REPORT_IF!$O$9</definedName>
    <definedName name="UNNH0030_REPORT_IF_H_NOHINSHO_FLG">UNNH0030_REPORT_IF!$AA$9</definedName>
    <definedName name="UNNH0030_REPORT_IF_H_NUKI_TOTAL">UNNH0030_REPORT_IF!$S$9</definedName>
    <definedName name="UNNH0030_REPORT_IF_H_NYURYOKUSHA_MEI">UNNH0030_REPORT_IF!$T$9</definedName>
    <definedName name="UNNH0030_REPORT_IF_H_SEIKYU_CD">UNNH0030_REPORT_IF!$I$9</definedName>
    <definedName name="UNNH0030_REPORT_IF_H_SEIKYUHOHO_KBN">UNNH0030_REPORT_IF!$W$9</definedName>
    <definedName name="UNNH0030_REPORT_IF_H_SEIKYUSHO_FLG">UNNH0030_REPORT_IF!$Y$9</definedName>
    <definedName name="UNNH0030_REPORT_IF_H_SHIMEBI">UNNH0030_REPORT_IF!$J$3</definedName>
    <definedName name="UNNH0030_REPORT_IF_H_SHIMEBI_MARK">UNNH0030_REPORT_IF!$J$4</definedName>
    <definedName name="UNNH0030_REPORT_IF_H_SOFU_TANTO">UNNH0030_REPORT_IF!$N$9</definedName>
    <definedName name="UNNH0030_REPORT_IF_H_TAX">UNNH0030_REPORT_IF!$R$9</definedName>
    <definedName name="UNNH0030_REPORT_IF_H_TAX_KBN">UNNH0030_REPORT_IF!$V$9</definedName>
    <definedName name="UNNH0030_REPORT_IF_H_TAX_KBN_MARK">UNNH0030_REPORT_IF!$J$5</definedName>
    <definedName name="UNNH0030_REPORT_IF_H_TEKIYO">UNNH0030_REPORT_IF!$Q$9</definedName>
    <definedName name="UNNH0030_REPORT_IF_H_TOTAL">UNNH0030_REPORT_IF!$J$6</definedName>
    <definedName name="UNNH0030_REPORT_IF_H_URIAGE_DATE">UNNH0030_REPORT_IF!$P$9</definedName>
    <definedName name="UNNH0030_REPORT_IF_H_URIAGE_NO">UNNH0030_REPORT_IF!$H$9</definedName>
    <definedName name="UNNH0030_REPORT_IF_H_YUBIN_NO">UNNH0030_REPORT_IF!$J$9</definedName>
    <definedName name="UNNH0030_REPORT_IF_HIKAE_CHECK">UNNH0030_REPORT_IF!$E$7</definedName>
    <definedName name="UNNH0030_REPORT_IF_HIKAE_PRINT_AREA">UNNH0030_REPORT_IF!$E$14</definedName>
    <definedName name="UNNH0030_REPORT_IF_JURI_NO">UNNH0030_REPORT_IF!$J$11</definedName>
    <definedName name="UNNH0030_REPORT_IF_JURYOSHO_CHECK">UNNH0030_REPORT_IF!$E$5</definedName>
    <definedName name="UNNH0030_REPORT_IF_JURYOSHO_PRINT_AREA">UNNH0030_REPORT_IF!$E$12</definedName>
    <definedName name="UNNH0030_REPORT_IF_NOHINSHO_CHECK">UNNH0030_REPORT_IF!$E$6</definedName>
    <definedName name="UNNH0030_REPORT_IF_NOHINSHO_PRINT_AREA">UNNH0030_REPORT_IF!$E$13</definedName>
    <definedName name="UNNH0030_REPORT_IF_SEIKYUSHO_CHECK">UNNH0030_REPORT_IF!$E$4</definedName>
    <definedName name="UNNH0030_REPORT_IF_SEIKYUSHO_PRINT_AREA">UNNH0030_REPORT_IF!$E$11</definedName>
    <definedName name="UNNH0030_REPORT_RAYOUT_HIKAE">UNNH0030_REPORT_RAYOUT!$A$123:$AZ$159</definedName>
    <definedName name="UNNH0030_REPORT_RAYOUT_HIKAE_COPY_MOTO_GYO">UNNH0030_REPORT_RAYOUT!$D$5</definedName>
    <definedName name="UNNH0030_REPORT_RAYOUT_JURYOSHO">UNNH0030_REPORT_RAYOUT!$A$85:$AZ$121</definedName>
    <definedName name="UNNH0030_REPORT_RAYOUT_JURYOSHO_COPY_MOTO_GYO">UNNH0030_REPORT_RAYOUT!$D$4</definedName>
    <definedName name="UNNH0030_REPORT_RAYOUT_NOHINSHO">UNNH0030_REPORT_RAYOUT!$A$47:$AZ$83</definedName>
    <definedName name="UNNH0030_REPORT_RAYOUT_NOHINSHO_COPY_MOTO_GYO">UNNH0030_REPORT_RAYOUT!$D$3</definedName>
    <definedName name="UNNH0030_REPORT_RAYOUT_SEIKYUSHO">UNNH0030_REPORT_RAYOUT!$A$9:$AZ$45</definedName>
    <definedName name="UNNH0030_REPORT_RAYOUT_SEIKYUSHO_COPY_MOTO_GYO">UNNH0030_REPORT_RAYOUT!$D$2</definedName>
    <definedName name="UNNH0030_SAVE_BAT_FLG">UNNH0030_IF!$CH$8</definedName>
    <definedName name="UNNH0030_SAVE_TEMP_FLG">UNNH0030_IF!$CH$9</definedName>
    <definedName name="UNNH0030_SEIKYUSHO_ADDRESS_1">UNNH0030_SEIKYUSHO!$E$4</definedName>
    <definedName name="UNNH0030_SEIKYUSHO_ADDRESS_2">UNNH0030_SEIKYUSHO!$E$5</definedName>
    <definedName name="UNNH0030_SEIKYUSHO_ATENA_1">UNNH0030_SEIKYUSHO!$E$7</definedName>
    <definedName name="UNNH0030_SEIKYUSHO_ATENA_2">UNNH0030_SEIKYUSHO!$E$8</definedName>
    <definedName name="UNNH0030_SEIKYUSHO_PAGE_AREA">UNNH0030_SEIKYUSHO!$A$1:$AZ$37</definedName>
    <definedName name="UNNH0030_SEIKYUSHO_SEIKYU_CD">UNNH0030_SEIKYUSHO!$E$9</definedName>
    <definedName name="UNNH0030_SEIKYUSHO_YUBIN_NO">UNNH0030_SEIKYUSHO!$F$3</definedName>
    <definedName name="UNNH0030_SQL_INIT_DEMPYO_KBN">UNNH0030_SQL!$F$74</definedName>
    <definedName name="UNNH0030_SQL_INIT_KEISHO">UNNH0030_SQL!$F$77</definedName>
    <definedName name="UNNH0030_SQL_INIT_NYURYOKUSHA">UNNH0030_SQL!$F$72</definedName>
    <definedName name="UNNH0030_SQL_INIT_RENDO_KBN">UNNH0030_SQL!$F$75</definedName>
    <definedName name="UNNH0030_SQL_INIT_STS">UNNH0030_SQL!$F$73</definedName>
    <definedName name="UNNH0030_SQL_INIT_URIAGE_DENKU">UNNH0030_SQL!$F$76</definedName>
    <definedName name="UNNH0030_SQL_JUCHU_LIST">UNNH0030_SQL!$F$82</definedName>
    <definedName name="UNNH0030_SQL_KAISHU_DATE">UNNH0030_SQL!$F$81</definedName>
    <definedName name="UNNH0030_SQL_KANJO_SET">UNNH0030_SQL!$F$83</definedName>
    <definedName name="UNNH0030_SQL_LIST_DEMPYO_KBN">UNNH0030_SQL!$F$65</definedName>
    <definedName name="UNNH0030_SQL_LIST_DENKU">UNNH0030_SQL!$F$68</definedName>
    <definedName name="UNNH0030_SQL_LIST_KANJO_KAMOKU">UNNH0030_SQL!$F$69</definedName>
    <definedName name="UNNH0030_SQL_LIST_KEISHO">UNNH0030_SQL!$F$66</definedName>
    <definedName name="UNNH0030_SQL_LIST_RENDO">UNNH0030_SQL!$F$67</definedName>
    <definedName name="UNNH0030_SQL_MULTI_SELECT">UNNH0030_SQL!$F$80</definedName>
    <definedName name="UNNH0030_SQL_PAGE">UNNH0030_SQL!$F$3</definedName>
    <definedName name="UNNH0030_SQL_PROC">UNNH0030_SQL!$F$8</definedName>
    <definedName name="UNNH0030_SQL_PROC_SEARCH_AREA">UNNH0030_SQL!$E$9:$F$20</definedName>
    <definedName name="UNNH0030_SQL_REF_NO">UNNH0030_SQL!$F$4</definedName>
    <definedName name="UNNH0030_SQL_RIREKI_NO">UNNH0030_SQL!$F$5</definedName>
    <definedName name="UNNH0030_SQL_SELECT_B">UNNH0030_SQL!$F$29</definedName>
    <definedName name="UNNH0030_SQL_SELECT_H">UNNH0030_SQL!$F$25</definedName>
    <definedName name="UNNH0030_SQL_SELECT_JURI_NO_CNT">UNNH0030_SQL!$F$59</definedName>
    <definedName name="UNNH0030_SQL_SELECT_MAX_PAGE">UNNH0030_SQL!$F$37</definedName>
    <definedName name="UNNH0030_SQL_SELECT_MERGE_MOTO">UNNH0030_SQL!$F$41</definedName>
    <definedName name="UNNH0030_SQL_SELECT_REPORT_B">UNNH0030_SQL!$F$48</definedName>
    <definedName name="UNNH0030_SQL_SELECT_REPORT_B_BAT">UNNH0030_SQL!$F$55</definedName>
    <definedName name="UNNH0030_SQL_SELECT_REPORT_H">UNNH0030_SQL!$F$45</definedName>
    <definedName name="UNNH0030_SQL_SELECT_REPORT_H_BAT">UNNH0030_SQL!$F$52</definedName>
    <definedName name="UNNH0030_SQL_SELECT_TABLE_UPDATE">UNNH0030_SQL!$F$33</definedName>
    <definedName name="UNNH0030_SQL_SERIAL">UNNH0030_SQL!$F$2</definedName>
    <definedName name="UNNH0030_SQL_USER_ID">UNNH0030_SQL!$F$1</definedName>
    <definedName name="UNNH0031_GYO_COUNT">UNNH0031!$D$10</definedName>
    <definedName name="UNNH0031_GYO_DECREMENT">UNNH0031!$D$12</definedName>
    <definedName name="UNNH0031_GYO_INCREMENT">UNNH0031!$D$11</definedName>
    <definedName name="UNNH0031_HIDE_COLUMN">UNNH0031!$D$6</definedName>
    <definedName name="UNNH0031_HIDE_ROW">UNNH0031!$D$5</definedName>
    <definedName name="UNNH0031_IF_ACTIVE_COLUMN">UNNH0031_IF!$D$4</definedName>
    <definedName name="UNNH0031_IF_ACTIVE_ROW">UNNH0031_IF!$D$3</definedName>
    <definedName name="UNNH0031_IF_ACTIVE_SHEET">UNNH0031_IF!$D$2</definedName>
    <definedName name="UNNH0031_IF_BUTTON_10_ERROR">UNNH0031_IF!$D$14</definedName>
    <definedName name="UNNH0031_IF_BUTTON_12_ERROR">UNNH0031_IF!$D$15</definedName>
    <definedName name="UNNH0031_IF_LIST_COPY_MOTO">UNNH0031_IF!$K$5:$Y$5</definedName>
    <definedName name="UNNH0031_IF_LIST_DEFAULT">UNNH0031_IF!$K$4:$Y$4</definedName>
    <definedName name="UNNH0031_IF_SAVE_COPY_MOTO">UNNH0031_IF!$AH$3:$AL$3</definedName>
    <definedName name="UNNH0031_IF_SAVE_COPY_SAKI">UNNH0031_IF!$AD$9</definedName>
    <definedName name="UNNH0031_IF_SAVE_START">UNNH0031_IF!$AH$5</definedName>
    <definedName name="UNNH0031_IF_W_MODE">UNNH0031_IF!$AD$7</definedName>
    <definedName name="UNNH0031_IF_W_SERIAL">UNNH0031_IF!$AD$5</definedName>
    <definedName name="UNNH0031_IF_W_SERIAL_CREATE">UNNH0031_IF!$AD$6</definedName>
    <definedName name="UNNH0031_IF_W_USER_ID">UNNH0031_IF!$AD$4</definedName>
    <definedName name="UNNH0031_LIST_CLEAR_AREA">UNNH0031!$D$19</definedName>
    <definedName name="UNNH0031_LIST_COPY_SAKI">UNNH0031!$D$16</definedName>
    <definedName name="UNNH0031_LIST_DATA_START">UNNH0031!$D$15</definedName>
    <definedName name="UNNH0031_LIST_DELETE_AREA">UNNH0031!$D$17</definedName>
    <definedName name="UNNH0031_LIST_START">UNNH0031!$D$8</definedName>
    <definedName name="UNNH0031_SENTAKU">UNNH0031!$G$3</definedName>
    <definedName name="UNNH0031_SQL_URIAGE_CLEAR">UNNH0031_SQL!$F$9</definedName>
    <definedName name="UNNH0031_SQL_URIAGE_SEARCH">UNNH0031_SQL!$F$4</definedName>
    <definedName name="UNNH0031_URIAGE_NO">UNNH0031!$J$3</definedName>
    <definedName name="UNNH0032_GYO_COUNT">UNNH0032!$D$10</definedName>
    <definedName name="UNNH0032_GYO_DECREMENT">UNNH0032!$D$12</definedName>
    <definedName name="UNNH0032_GYO_INCREMENT">UNNH0032!$D$11</definedName>
    <definedName name="UNNH0032_HIDE_COLUMN">UNNH0032!$D$6</definedName>
    <definedName name="UNNH0032_HIDE_ROW">UNNH0032!$D$5</definedName>
    <definedName name="UNNH0032_IF_ACTIVE_COLUMN">UNNH0032_IF!$D$4</definedName>
    <definedName name="UNNH0032_IF_ACTIVE_ROW">UNNH0032_IF!$D$3</definedName>
    <definedName name="UNNH0032_IF_ACTIVE_SHEET">UNNH0032_IF!$D$2</definedName>
    <definedName name="UNNH0032_IF_BUTTON_12_ERROR">UNNH0032_IF!$D$14</definedName>
    <definedName name="UNNH0032_IF_LIST_COPY_MOTO">UNNH0032_IF!$K$5:$Z$5</definedName>
    <definedName name="UNNH0032_IF_LIST_DEFAULT">UNNH0032_IF!$K$4:$Z$4</definedName>
    <definedName name="UNNH0032_IF_SAVE_COPY_MOTO">UNNH0032_IF!$AI$3:$AN$3</definedName>
    <definedName name="UNNH0032_IF_SAVE_COPY_SAKI">UNNH0032_IF!$AE$9</definedName>
    <definedName name="UNNH0032_IF_SAVE_KENSU">UNNH0032_IF!$AE$10</definedName>
    <definedName name="UNNH0032_IF_SAVE_START">UNNH0032_IF!$AI$5</definedName>
    <definedName name="UNNH0032_IF_W_MODE">UNNH0032_IF!$AE$7</definedName>
    <definedName name="UNNH0032_IF_W_SERIAL">UNNH0032_IF!$AE$5</definedName>
    <definedName name="UNNH0032_IF_W_SERIAL_CREATE">UNNH0032_IF!$AE$6</definedName>
    <definedName name="UNNH0032_IF_W_USER_ID">UNNH0032_IF!$AE$4</definedName>
    <definedName name="UNNH0032_JUCHU_KBN">UNNH0032!$H$3</definedName>
    <definedName name="UNNH0032_JURI_NO">UNNH0032!$L$3</definedName>
    <definedName name="UNNH0032_LIST_CLEAR_AREA">UNNH0032!$D$19</definedName>
    <definedName name="UNNH0032_LIST_COPY_SAKI">UNNH0032!$D$16</definedName>
    <definedName name="UNNH0032_LIST_DATA_START">UNNH0032!$D$15</definedName>
    <definedName name="UNNH0032_LIST_DELETE_AREA">UNNH0032!$D$17</definedName>
    <definedName name="UNNH0032_LIST_START">UNNH0032!$D$8</definedName>
    <definedName name="UNNH0032_SELECT_COUNT">UNNH0032!$D$13</definedName>
    <definedName name="UNNH0032_SENTAKU">UNNH0032!$G$3</definedName>
    <definedName name="UNNH0032_SQL_JUCHU_POP">UNNH0032_SQL!$F$17</definedName>
    <definedName name="UNNH0032_SQL_JUCHU_SELECT_SEARCH">UNNH0032_SQL!$F$4</definedName>
    <definedName name="UNNH0032_SQL_LIST">UNNH0031_SQL!$F$4</definedName>
    <definedName name="UNNH0032_SQL_TABLE_UPDATE">UNNH0032_SQL!$F$11</definedName>
    <definedName name="UNNH0080_ALL_PAGE_SU">UNNH0080!$D$8</definedName>
    <definedName name="UNNH0080_ARARIEKI">UNNH0080!$N$8</definedName>
    <definedName name="UNNH0080_ARARITITSU">UNNH0080!$O$8</definedName>
    <definedName name="UNNH0080_COPY_SAKI">UNNH0080!$D$12</definedName>
    <definedName name="UNNH0080_CTRL_HYOJI_GYO_SU">UNNH0080!$D$3</definedName>
    <definedName name="UNNH0080_DEMPYO_KBN">UNNH0080!$I$4</definedName>
    <definedName name="UNNH0080_DEMPYO_MEI">UNNH0080!$I$6</definedName>
    <definedName name="UNNH0080_EXIST_NEXT_PAGE">UNNH0080!$D$18</definedName>
    <definedName name="UNNH0080_EXIST_PREV_PAGE">UNNH0080!$D$19</definedName>
    <definedName name="UNNH0080_FORMAT_COPY_FLG">UNNH0080!$D$15</definedName>
    <definedName name="UNNH0080_HIDE_COLUMN">UNNH0080!$D$31</definedName>
    <definedName name="UNNH0080_HIDE_ROW">UNNH0080!$D$30</definedName>
    <definedName name="UNNH0080_HYOJI_KENSU">UNNH0080!$D$9</definedName>
    <definedName name="UNNH0080_IF_ACTIVE_CELL_NAME">UNNH0080_IF!$D$17</definedName>
    <definedName name="UNNH0080_IF_ACTIVE_COLUMN">UNNH0080_IF!$D$15</definedName>
    <definedName name="UNNH0080_IF_ACTIVE_ROW">UNNH0080_IF!$D$14</definedName>
    <definedName name="UNNH0080_IF_ACTIVE_SHEET">UNNH0080_IF!$D$13</definedName>
    <definedName name="UNNH0080_IF_DATA_SEARCH_FLG">UNNH0080_IF!$D$9</definedName>
    <definedName name="UNNH0080_IF_LIST_COPY_MOTO">UNNH0080_IF!$D$6:$M$6</definedName>
    <definedName name="UNNH0080_IF_LIST_DEFAULT">UNNH0080_IF!$D$5:$M$5</definedName>
    <definedName name="UNNH0080_IF_PREV_GAMEN">UNNH0080_IF!$D$23</definedName>
    <definedName name="UNNH0080_IF_URIAGE_NO">UNNH0080_IF!$D$20</definedName>
    <definedName name="UNNH0080_KAISHU_DATE">UNNH0080!$L$8</definedName>
    <definedName name="UNNH0080_KENSAKU_KENSU">UNNH0080!$D$6</definedName>
    <definedName name="UNNH0080_LIST_CLEAR">UNNH0080!$D$13</definedName>
    <definedName name="UNNH0080_LIST_START">UNNH0080!$D$11</definedName>
    <definedName name="UNNH0080_MOD_DATE_TIME">UNNH0080!$H$8</definedName>
    <definedName name="UNNH0080_NEXT_PAGE_NO">UNNH0080!$D$21</definedName>
    <definedName name="UNNH0080_NUKI_TOTAL">UNNH0080!$M$8</definedName>
    <definedName name="UNNH0080_NYURYOKUSHA_MEI">UNNH0080!$K$8</definedName>
    <definedName name="UNNH0080_PAGE_NO">UNNH0080!$D$7</definedName>
    <definedName name="UNNH0080_PREV_PAGE_NO">UNNH0080!$D$22</definedName>
    <definedName name="UNNH0080_SEARCH_RIREKI_NO">UNNH0080!$R$8</definedName>
    <definedName name="UNNH0080_SEARCH_URIAGE_NO">UNNH0080!$Q$8</definedName>
    <definedName name="UNNH0080_SEIKYUSAKI_MEI">UNNH0080!$I$5</definedName>
    <definedName name="UNNH0080_SELECT_GYO_NO">UNNH0080!$D$25</definedName>
    <definedName name="UNNH0080_SELECT_RIREKI_NO">UNNH0080!$D$27</definedName>
    <definedName name="UNNH0080_SELECT_URIAGE_NO">UNNH0080!$D$26</definedName>
    <definedName name="UNNH0080_SENTAKU">UNNH0080!$G$8</definedName>
    <definedName name="UNNH0080_SHOKON_NO">UNNH0080!$I$7</definedName>
    <definedName name="UNNH0080_SHORI_KBN">UNNH0080!$I$8</definedName>
    <definedName name="UNNH0080_SQL_INIT_SORT">UNNH080_SQL!$D$13</definedName>
    <definedName name="UNNH0080_SQL_RESULT_SORT">UNNH080_SQL!$D$14</definedName>
    <definedName name="UNNH0080_SQL_SELECT_URIAGE_R_H">UNNH080_SQL!$D$5</definedName>
    <definedName name="UNNH0080_SQL_SELECT_URIAGE_R_LIST">UNNH080_SQL!$D$3</definedName>
    <definedName name="UNNH0080_SQL_SELECT_URIAGE_R_LIST_CNT">UNNH080_SQL!$D$4</definedName>
    <definedName name="UNNH0080_SQL_SORT">UNNH080_SQL!$E$11</definedName>
    <definedName name="UNNH0080_TEISEI_BIKO">UNNH0080!$P$8</definedName>
    <definedName name="UNNH0080_URIAGE_DATE">UNNH0080!$J$8</definedName>
    <definedName name="UNNH0080_URIAGE_NO">UNNH0080!$I$3</definedName>
    <definedName name="UNNH0080_VIEW_CURRENT_PAGE">UNNH0080!$F$7</definedName>
    <definedName name="必須チェック設定" localSheetId="13">UNNH0030_IF!$CK$4</definedName>
  </definedNames>
  <calcPr calcId="152511"/>
</workbook>
</file>

<file path=xl/calcChain.xml><?xml version="1.0" encoding="utf-8"?>
<calcChain xmlns="http://schemas.openxmlformats.org/spreadsheetml/2006/main">
  <c r="A2" i="159" l="1"/>
  <c r="B6" i="159" l="1"/>
  <c r="C6" i="159"/>
  <c r="D6" i="159"/>
  <c r="E6" i="159"/>
  <c r="F6" i="159"/>
  <c r="G6" i="159"/>
  <c r="H6" i="159"/>
  <c r="I6" i="159"/>
  <c r="Y10" i="150" l="1"/>
  <c r="Y8" i="150"/>
  <c r="Y7" i="150"/>
  <c r="Y6" i="150"/>
  <c r="AM5" i="150"/>
  <c r="AL5" i="150"/>
  <c r="AK5" i="150"/>
  <c r="AJ5" i="150"/>
  <c r="Y5" i="150"/>
  <c r="AH6" i="150"/>
  <c r="AD6" i="150"/>
  <c r="AL6" i="150"/>
  <c r="AE6" i="150"/>
  <c r="AF6" i="150"/>
  <c r="AM6" i="150"/>
  <c r="AJ6" i="150"/>
  <c r="AC6" i="150"/>
  <c r="AI6" i="150"/>
  <c r="AB6" i="150"/>
  <c r="AG6" i="150"/>
  <c r="AK6" i="150"/>
  <c r="M1" i="159" l="1"/>
  <c r="O8" i="137" l="1"/>
  <c r="DQ3" i="139" l="1"/>
  <c r="BC8" i="131" l="1"/>
  <c r="AB9" i="98"/>
  <c r="E59" i="130" l="1"/>
  <c r="AR45" i="139" l="1"/>
  <c r="AR27" i="139"/>
  <c r="AR9" i="139"/>
  <c r="AS46" i="139" l="1"/>
  <c r="AS28" i="139"/>
  <c r="AS10" i="139"/>
  <c r="P9" i="137"/>
  <c r="F11" i="153" l="1"/>
  <c r="F9" i="153" s="1"/>
  <c r="F4" i="153"/>
  <c r="BW29" i="139" l="1"/>
  <c r="BW17" i="139"/>
  <c r="BW5" i="139"/>
  <c r="BN29" i="139" l="1"/>
  <c r="BN17" i="139"/>
  <c r="BN5" i="139"/>
  <c r="D51" i="139" l="1"/>
  <c r="AN3" i="156" l="1"/>
  <c r="AM3" i="156"/>
  <c r="AL3" i="156"/>
  <c r="AK3" i="156"/>
  <c r="AJ3" i="156"/>
  <c r="AI3" i="156"/>
  <c r="F6" i="157" l="1"/>
  <c r="F8" i="157" l="1"/>
  <c r="F13" i="157"/>
  <c r="F4" i="157" l="1"/>
  <c r="AE10" i="156" l="1"/>
  <c r="F82" i="140" l="1"/>
  <c r="F11" i="157" l="1"/>
  <c r="D6" i="155" l="1"/>
  <c r="D8" i="155"/>
  <c r="D19" i="155"/>
  <c r="D11" i="155"/>
  <c r="D16" i="155"/>
  <c r="D14" i="156" l="1"/>
  <c r="AE9" i="156"/>
  <c r="D12" i="155"/>
  <c r="D17" i="155"/>
  <c r="D15" i="155"/>
  <c r="AU183" i="144" l="1"/>
  <c r="E183" i="144"/>
  <c r="E181" i="144"/>
  <c r="B161" i="144"/>
  <c r="D161" i="144" s="1"/>
  <c r="AS161" i="144" s="1"/>
  <c r="F156" i="144"/>
  <c r="F155" i="144"/>
  <c r="F154" i="144"/>
  <c r="F152" i="144"/>
  <c r="AP151" i="144"/>
  <c r="F151" i="144"/>
  <c r="H150" i="144"/>
  <c r="F150" i="144"/>
  <c r="AU146" i="144"/>
  <c r="E146" i="144"/>
  <c r="E144" i="144"/>
  <c r="B124" i="144"/>
  <c r="AJ124" i="144" s="1"/>
  <c r="F119" i="144"/>
  <c r="F118" i="144"/>
  <c r="F117" i="144"/>
  <c r="F115" i="144"/>
  <c r="AP114" i="144"/>
  <c r="F114" i="144"/>
  <c r="H113" i="144"/>
  <c r="F113" i="144"/>
  <c r="AU109" i="144"/>
  <c r="E109" i="144"/>
  <c r="E107" i="144"/>
  <c r="B87" i="144"/>
  <c r="D87" i="144" s="1"/>
  <c r="AS87" i="144" s="1"/>
  <c r="F82" i="144"/>
  <c r="F81" i="144"/>
  <c r="F80" i="144"/>
  <c r="F78" i="144"/>
  <c r="AP77" i="144"/>
  <c r="F77" i="144"/>
  <c r="H76" i="144"/>
  <c r="F76" i="144"/>
  <c r="AU72" i="144"/>
  <c r="E72" i="144"/>
  <c r="E70" i="144"/>
  <c r="B50" i="144"/>
  <c r="F45" i="144"/>
  <c r="F44" i="144"/>
  <c r="F43" i="144"/>
  <c r="F41" i="144"/>
  <c r="AP40" i="144"/>
  <c r="F40" i="144"/>
  <c r="H39" i="144"/>
  <c r="F39" i="144"/>
  <c r="AU35" i="144"/>
  <c r="E35" i="144"/>
  <c r="E33" i="144"/>
  <c r="B13" i="144"/>
  <c r="AJ13" i="144" s="1"/>
  <c r="F8" i="144"/>
  <c r="F7" i="144"/>
  <c r="F6" i="144"/>
  <c r="F4" i="144"/>
  <c r="AP3" i="144"/>
  <c r="F3" i="144"/>
  <c r="H2" i="144"/>
  <c r="F2" i="144"/>
  <c r="AU183" i="142"/>
  <c r="E183" i="142"/>
  <c r="E181" i="142"/>
  <c r="B161" i="142"/>
  <c r="B162" i="142" s="1"/>
  <c r="F156" i="142"/>
  <c r="F155" i="142"/>
  <c r="F154" i="142"/>
  <c r="F152" i="142"/>
  <c r="AP151" i="142"/>
  <c r="F151" i="142"/>
  <c r="H150" i="142"/>
  <c r="F150" i="142"/>
  <c r="AU146" i="142"/>
  <c r="E146" i="142"/>
  <c r="E144" i="142"/>
  <c r="B124" i="142"/>
  <c r="B125" i="142" s="1"/>
  <c r="F119" i="142"/>
  <c r="F118" i="142"/>
  <c r="F117" i="142"/>
  <c r="F115" i="142"/>
  <c r="AP114" i="142"/>
  <c r="F114" i="142"/>
  <c r="H113" i="142"/>
  <c r="F113" i="142"/>
  <c r="AU109" i="142"/>
  <c r="E109" i="142"/>
  <c r="E107" i="142"/>
  <c r="B87" i="142"/>
  <c r="B88" i="142" s="1"/>
  <c r="F82" i="142"/>
  <c r="F81" i="142"/>
  <c r="F80" i="142"/>
  <c r="F78" i="142"/>
  <c r="AP77" i="142"/>
  <c r="F77" i="142"/>
  <c r="H76" i="142"/>
  <c r="F76" i="142"/>
  <c r="AU72" i="142"/>
  <c r="E72" i="142"/>
  <c r="E70" i="142"/>
  <c r="B50" i="142"/>
  <c r="B51" i="142" s="1"/>
  <c r="F45" i="142"/>
  <c r="F44" i="142"/>
  <c r="F43" i="142"/>
  <c r="F41" i="142"/>
  <c r="AP40" i="142"/>
  <c r="F40" i="142"/>
  <c r="H39" i="142"/>
  <c r="F39" i="142"/>
  <c r="AU35" i="142"/>
  <c r="E35" i="142"/>
  <c r="E33" i="142"/>
  <c r="B13" i="142"/>
  <c r="B14" i="142" s="1"/>
  <c r="F8" i="142"/>
  <c r="F7" i="142"/>
  <c r="F6" i="142"/>
  <c r="F4" i="142"/>
  <c r="AP3" i="142"/>
  <c r="F3" i="142"/>
  <c r="H2" i="142"/>
  <c r="F2" i="142"/>
  <c r="AU183" i="143"/>
  <c r="E183" i="143"/>
  <c r="E181" i="143"/>
  <c r="B161" i="143"/>
  <c r="D161" i="143" s="1"/>
  <c r="AS161" i="143" s="1"/>
  <c r="F156" i="143"/>
  <c r="F155" i="143"/>
  <c r="F154" i="143"/>
  <c r="F152" i="143"/>
  <c r="AP151" i="143"/>
  <c r="F151" i="143"/>
  <c r="H150" i="143"/>
  <c r="F150" i="143"/>
  <c r="AU146" i="143"/>
  <c r="E146" i="143"/>
  <c r="E144" i="143"/>
  <c r="B124" i="143"/>
  <c r="F119" i="143"/>
  <c r="F118" i="143"/>
  <c r="F117" i="143"/>
  <c r="F115" i="143"/>
  <c r="AP114" i="143"/>
  <c r="F114" i="143"/>
  <c r="H113" i="143"/>
  <c r="F113" i="143"/>
  <c r="AU109" i="143"/>
  <c r="E109" i="143"/>
  <c r="E107" i="143"/>
  <c r="B87" i="143"/>
  <c r="B88" i="143" s="1"/>
  <c r="AJ88" i="143" s="1"/>
  <c r="F82" i="143"/>
  <c r="F81" i="143"/>
  <c r="F80" i="143"/>
  <c r="F78" i="143"/>
  <c r="AP77" i="143"/>
  <c r="F77" i="143"/>
  <c r="H76" i="143"/>
  <c r="F76" i="143"/>
  <c r="AU72" i="143"/>
  <c r="E72" i="143"/>
  <c r="E70" i="143"/>
  <c r="B50" i="143"/>
  <c r="D50" i="143" s="1"/>
  <c r="AS50" i="143" s="1"/>
  <c r="F45" i="143"/>
  <c r="F44" i="143"/>
  <c r="F43" i="143"/>
  <c r="F41" i="143"/>
  <c r="AP40" i="143"/>
  <c r="F40" i="143"/>
  <c r="H39" i="143"/>
  <c r="F39" i="143"/>
  <c r="AU35" i="143"/>
  <c r="E35" i="143"/>
  <c r="E33" i="143"/>
  <c r="B13" i="143"/>
  <c r="D13" i="143" s="1"/>
  <c r="AC13" i="143" s="1"/>
  <c r="F8" i="143"/>
  <c r="F7" i="143"/>
  <c r="F6" i="143"/>
  <c r="F4" i="143"/>
  <c r="AP3" i="143"/>
  <c r="F3" i="143"/>
  <c r="H2" i="143"/>
  <c r="F2" i="143"/>
  <c r="AU183" i="141"/>
  <c r="E183" i="141"/>
  <c r="E181" i="141"/>
  <c r="B161" i="141"/>
  <c r="D161" i="141" s="1"/>
  <c r="AS161" i="141" s="1"/>
  <c r="F156" i="141"/>
  <c r="F155" i="141"/>
  <c r="F154" i="141"/>
  <c r="F152" i="141"/>
  <c r="AP151" i="141"/>
  <c r="F151" i="141"/>
  <c r="H150" i="141"/>
  <c r="F150" i="141"/>
  <c r="AU146" i="141"/>
  <c r="E146" i="141"/>
  <c r="E144" i="141"/>
  <c r="B124" i="141"/>
  <c r="D124" i="141" s="1"/>
  <c r="AS124" i="141" s="1"/>
  <c r="F119" i="141"/>
  <c r="F118" i="141"/>
  <c r="F117" i="141"/>
  <c r="F115" i="141"/>
  <c r="AP114" i="141"/>
  <c r="F114" i="141"/>
  <c r="H113" i="141"/>
  <c r="F113" i="141"/>
  <c r="AU109" i="141"/>
  <c r="E109" i="141"/>
  <c r="E107" i="141"/>
  <c r="B87" i="141"/>
  <c r="D87" i="141" s="1"/>
  <c r="AS87" i="141" s="1"/>
  <c r="F82" i="141"/>
  <c r="F81" i="141"/>
  <c r="F80" i="141"/>
  <c r="F78" i="141"/>
  <c r="AP77" i="141"/>
  <c r="F77" i="141"/>
  <c r="H76" i="141"/>
  <c r="F76" i="141"/>
  <c r="AU72" i="141"/>
  <c r="E72" i="141"/>
  <c r="E70" i="141"/>
  <c r="B50" i="141"/>
  <c r="B51" i="141" s="1"/>
  <c r="AJ51" i="141" s="1"/>
  <c r="F45" i="141"/>
  <c r="F44" i="141"/>
  <c r="F43" i="141"/>
  <c r="F41" i="141"/>
  <c r="AP40" i="141"/>
  <c r="F40" i="141"/>
  <c r="H39" i="141"/>
  <c r="F39" i="141"/>
  <c r="AU35" i="141"/>
  <c r="E35" i="141"/>
  <c r="E33" i="141"/>
  <c r="B13" i="141"/>
  <c r="B14" i="141" s="1"/>
  <c r="D14" i="141" s="1"/>
  <c r="AS14" i="141" s="1"/>
  <c r="F8" i="141"/>
  <c r="F7" i="141"/>
  <c r="F6" i="141"/>
  <c r="F4" i="141"/>
  <c r="AP3" i="141"/>
  <c r="F3" i="141"/>
  <c r="H2" i="141"/>
  <c r="F2" i="141"/>
  <c r="AU157" i="154"/>
  <c r="E157" i="154"/>
  <c r="AU119" i="154"/>
  <c r="E119" i="154"/>
  <c r="AU81" i="154"/>
  <c r="E81" i="154"/>
  <c r="AJ13" i="141" l="1"/>
  <c r="D50" i="141"/>
  <c r="AS50" i="141" s="1"/>
  <c r="D124" i="144"/>
  <c r="AS124" i="144" s="1"/>
  <c r="AJ161" i="141"/>
  <c r="B14" i="143"/>
  <c r="AJ14" i="143" s="1"/>
  <c r="AJ50" i="143"/>
  <c r="AJ161" i="144"/>
  <c r="D87" i="142"/>
  <c r="AC87" i="142" s="1"/>
  <c r="AJ124" i="142"/>
  <c r="AJ13" i="143"/>
  <c r="B14" i="144"/>
  <c r="B15" i="144" s="1"/>
  <c r="AJ161" i="142"/>
  <c r="AL161" i="144"/>
  <c r="AC161" i="144"/>
  <c r="B162" i="144"/>
  <c r="AL87" i="144"/>
  <c r="B125" i="144"/>
  <c r="AC87" i="144"/>
  <c r="B88" i="144"/>
  <c r="AJ87" i="144"/>
  <c r="B51" i="144"/>
  <c r="AJ50" i="144"/>
  <c r="D50" i="144"/>
  <c r="AS50" i="144" s="1"/>
  <c r="AJ14" i="144"/>
  <c r="D13" i="144"/>
  <c r="AC13" i="144" s="1"/>
  <c r="B163" i="142"/>
  <c r="AJ162" i="142"/>
  <c r="D162" i="142"/>
  <c r="AC162" i="142" s="1"/>
  <c r="D161" i="142"/>
  <c r="AC161" i="142" s="1"/>
  <c r="B126" i="142"/>
  <c r="AJ125" i="142"/>
  <c r="D125" i="142"/>
  <c r="AC125" i="142" s="1"/>
  <c r="AL161" i="143"/>
  <c r="D124" i="142"/>
  <c r="AC124" i="142" s="1"/>
  <c r="B89" i="142"/>
  <c r="D88" i="142"/>
  <c r="AC88" i="142" s="1"/>
  <c r="AJ88" i="142"/>
  <c r="AJ87" i="142"/>
  <c r="B52" i="142"/>
  <c r="AJ51" i="142"/>
  <c r="D51" i="142"/>
  <c r="AC51" i="142" s="1"/>
  <c r="D50" i="142"/>
  <c r="AC50" i="142" s="1"/>
  <c r="AJ50" i="142"/>
  <c r="AJ14" i="142"/>
  <c r="D14" i="142"/>
  <c r="AC14" i="142" s="1"/>
  <c r="B15" i="142"/>
  <c r="D13" i="142"/>
  <c r="AC13" i="142" s="1"/>
  <c r="AJ13" i="142"/>
  <c r="AC161" i="143"/>
  <c r="B162" i="143"/>
  <c r="AJ161" i="143"/>
  <c r="B125" i="143"/>
  <c r="AJ124" i="143"/>
  <c r="D124" i="143"/>
  <c r="AS124" i="143" s="1"/>
  <c r="AJ87" i="143"/>
  <c r="D88" i="143"/>
  <c r="AS88" i="143" s="1"/>
  <c r="B89" i="143"/>
  <c r="AL161" i="141"/>
  <c r="AL50" i="143"/>
  <c r="D87" i="143"/>
  <c r="AC87" i="143" s="1"/>
  <c r="AL13" i="143"/>
  <c r="AC50" i="143"/>
  <c r="B51" i="143"/>
  <c r="AS13" i="143"/>
  <c r="AL124" i="141"/>
  <c r="AC161" i="141"/>
  <c r="B162" i="141"/>
  <c r="AL87" i="141"/>
  <c r="AC124" i="141"/>
  <c r="B125" i="141"/>
  <c r="AJ124" i="141"/>
  <c r="AC87" i="141"/>
  <c r="B88" i="141"/>
  <c r="AL14" i="141"/>
  <c r="AJ87" i="141"/>
  <c r="AJ50" i="141"/>
  <c r="D51" i="141"/>
  <c r="AC51" i="141" s="1"/>
  <c r="B52" i="141"/>
  <c r="AJ14" i="141"/>
  <c r="B15" i="141"/>
  <c r="AC14" i="141"/>
  <c r="D13" i="141"/>
  <c r="AC13" i="141" s="1"/>
  <c r="J11" i="146"/>
  <c r="D14" i="144" l="1"/>
  <c r="AL14" i="144" s="1"/>
  <c r="B185" i="144"/>
  <c r="B37" i="144"/>
  <c r="B74" i="142"/>
  <c r="B111" i="143"/>
  <c r="B148" i="141"/>
  <c r="B74" i="144"/>
  <c r="B111" i="142"/>
  <c r="B148" i="143"/>
  <c r="B185" i="141"/>
  <c r="B37" i="141"/>
  <c r="B111" i="144"/>
  <c r="B148" i="142"/>
  <c r="B185" i="143"/>
  <c r="B37" i="143"/>
  <c r="B74" i="141"/>
  <c r="B148" i="144"/>
  <c r="B185" i="142"/>
  <c r="B37" i="142"/>
  <c r="B74" i="143"/>
  <c r="B111" i="141"/>
  <c r="AL124" i="144"/>
  <c r="AC124" i="144"/>
  <c r="AL50" i="141"/>
  <c r="AC50" i="141"/>
  <c r="D14" i="143"/>
  <c r="AC14" i="143" s="1"/>
  <c r="B15" i="143"/>
  <c r="B16" i="143" s="1"/>
  <c r="AJ162" i="144"/>
  <c r="B163" i="144"/>
  <c r="D162" i="144"/>
  <c r="AL162" i="144" s="1"/>
  <c r="AJ125" i="144"/>
  <c r="B126" i="144"/>
  <c r="D125" i="144"/>
  <c r="AL125" i="144" s="1"/>
  <c r="AJ88" i="144"/>
  <c r="B89" i="144"/>
  <c r="D88" i="144"/>
  <c r="AL88" i="144" s="1"/>
  <c r="AL50" i="144"/>
  <c r="AJ51" i="144"/>
  <c r="B52" i="144"/>
  <c r="D51" i="144"/>
  <c r="AL51" i="144" s="1"/>
  <c r="AC50" i="144"/>
  <c r="AL13" i="144"/>
  <c r="D15" i="144"/>
  <c r="AS15" i="144" s="1"/>
  <c r="AJ15" i="144"/>
  <c r="B16" i="144"/>
  <c r="AS13" i="144"/>
  <c r="B164" i="142"/>
  <c r="D163" i="142"/>
  <c r="AC163" i="142" s="1"/>
  <c r="AJ163" i="142"/>
  <c r="AL88" i="143"/>
  <c r="B127" i="142"/>
  <c r="AJ126" i="142"/>
  <c r="D126" i="142"/>
  <c r="AC126" i="142" s="1"/>
  <c r="B90" i="142"/>
  <c r="AJ89" i="142"/>
  <c r="D89" i="142"/>
  <c r="AC89" i="142" s="1"/>
  <c r="B53" i="142"/>
  <c r="AJ52" i="142"/>
  <c r="D52" i="142"/>
  <c r="AC52" i="142" s="1"/>
  <c r="AJ15" i="142"/>
  <c r="D15" i="142"/>
  <c r="AC15" i="142" s="1"/>
  <c r="B16" i="142"/>
  <c r="AJ162" i="143"/>
  <c r="B163" i="143"/>
  <c r="D162" i="143"/>
  <c r="AC162" i="143" s="1"/>
  <c r="AJ125" i="143"/>
  <c r="B126" i="143"/>
  <c r="D125" i="143"/>
  <c r="AC125" i="143" s="1"/>
  <c r="AC88" i="143"/>
  <c r="AC124" i="143"/>
  <c r="AL124" i="143"/>
  <c r="D89" i="143"/>
  <c r="AS89" i="143" s="1"/>
  <c r="B90" i="143"/>
  <c r="AJ89" i="143"/>
  <c r="AL87" i="143"/>
  <c r="AS87" i="143"/>
  <c r="AJ51" i="143"/>
  <c r="B52" i="143"/>
  <c r="D51" i="143"/>
  <c r="AS51" i="143" s="1"/>
  <c r="AJ162" i="141"/>
  <c r="B163" i="141"/>
  <c r="D162" i="141"/>
  <c r="AL162" i="141" s="1"/>
  <c r="AS51" i="141"/>
  <c r="AJ125" i="141"/>
  <c r="B126" i="141"/>
  <c r="D125" i="141"/>
  <c r="AS125" i="141" s="1"/>
  <c r="AJ88" i="141"/>
  <c r="B89" i="141"/>
  <c r="D88" i="141"/>
  <c r="AL88" i="141" s="1"/>
  <c r="AL51" i="141"/>
  <c r="AS13" i="141"/>
  <c r="D52" i="141"/>
  <c r="AL52" i="141" s="1"/>
  <c r="B53" i="141"/>
  <c r="AJ52" i="141"/>
  <c r="D15" i="141"/>
  <c r="AS15" i="141" s="1"/>
  <c r="AJ15" i="141"/>
  <c r="B16" i="141"/>
  <c r="AL13" i="141"/>
  <c r="AS14" i="143" l="1"/>
  <c r="AS14" i="144"/>
  <c r="AC14" i="144"/>
  <c r="AJ15" i="143"/>
  <c r="D15" i="143"/>
  <c r="AS15" i="143" s="1"/>
  <c r="AL14" i="143"/>
  <c r="AS162" i="144"/>
  <c r="AC162" i="144"/>
  <c r="D163" i="144"/>
  <c r="AS163" i="144" s="1"/>
  <c r="B164" i="144"/>
  <c r="AJ163" i="144"/>
  <c r="AC125" i="144"/>
  <c r="AS125" i="144"/>
  <c r="AC51" i="144"/>
  <c r="D126" i="144"/>
  <c r="AS126" i="144" s="1"/>
  <c r="AJ126" i="144"/>
  <c r="B127" i="144"/>
  <c r="AL15" i="144"/>
  <c r="AS88" i="144"/>
  <c r="AC88" i="144"/>
  <c r="D89" i="144"/>
  <c r="AL89" i="144" s="1"/>
  <c r="AJ89" i="144"/>
  <c r="B90" i="144"/>
  <c r="AS51" i="144"/>
  <c r="D52" i="144"/>
  <c r="AS52" i="144" s="1"/>
  <c r="AJ52" i="144"/>
  <c r="B53" i="144"/>
  <c r="AJ16" i="144"/>
  <c r="B17" i="144"/>
  <c r="D16" i="144"/>
  <c r="AL16" i="144" s="1"/>
  <c r="AC15" i="144"/>
  <c r="B165" i="142"/>
  <c r="AJ164" i="142"/>
  <c r="D164" i="142"/>
  <c r="AC164" i="142" s="1"/>
  <c r="B128" i="142"/>
  <c r="D127" i="142"/>
  <c r="AC127" i="142" s="1"/>
  <c r="AJ127" i="142"/>
  <c r="B91" i="142"/>
  <c r="D90" i="142"/>
  <c r="AC90" i="142" s="1"/>
  <c r="AJ90" i="142"/>
  <c r="AS125" i="143"/>
  <c r="B54" i="142"/>
  <c r="AJ53" i="142"/>
  <c r="D53" i="142"/>
  <c r="AC53" i="142" s="1"/>
  <c r="AL162" i="143"/>
  <c r="AJ16" i="142"/>
  <c r="D16" i="142"/>
  <c r="AC16" i="142" s="1"/>
  <c r="B17" i="142"/>
  <c r="D163" i="143"/>
  <c r="AS163" i="143" s="1"/>
  <c r="AJ163" i="143"/>
  <c r="B164" i="143"/>
  <c r="AL125" i="143"/>
  <c r="AS162" i="143"/>
  <c r="D126" i="143"/>
  <c r="AS126" i="143" s="1"/>
  <c r="AJ126" i="143"/>
  <c r="B127" i="143"/>
  <c r="AC89" i="143"/>
  <c r="AC51" i="143"/>
  <c r="AL89" i="143"/>
  <c r="AJ90" i="143"/>
  <c r="B91" i="143"/>
  <c r="D90" i="143"/>
  <c r="AC90" i="143" s="1"/>
  <c r="AL51" i="143"/>
  <c r="D52" i="143"/>
  <c r="AS52" i="143" s="1"/>
  <c r="AJ52" i="143"/>
  <c r="B53" i="143"/>
  <c r="AL125" i="141"/>
  <c r="B17" i="143"/>
  <c r="D16" i="143"/>
  <c r="AS16" i="143" s="1"/>
  <c r="AJ16" i="143"/>
  <c r="AC162" i="141"/>
  <c r="AS162" i="141"/>
  <c r="D163" i="141"/>
  <c r="AS163" i="141" s="1"/>
  <c r="B164" i="141"/>
  <c r="AJ163" i="141"/>
  <c r="AL15" i="141"/>
  <c r="AC125" i="141"/>
  <c r="D126" i="141"/>
  <c r="AS126" i="141" s="1"/>
  <c r="AJ126" i="141"/>
  <c r="B127" i="141"/>
  <c r="AS88" i="141"/>
  <c r="AC88" i="141"/>
  <c r="D89" i="141"/>
  <c r="AS89" i="141" s="1"/>
  <c r="AJ89" i="141"/>
  <c r="B90" i="141"/>
  <c r="AS52" i="141"/>
  <c r="AJ53" i="141"/>
  <c r="B54" i="141"/>
  <c r="D53" i="141"/>
  <c r="AS53" i="141" s="1"/>
  <c r="AC52" i="141"/>
  <c r="AJ16" i="141"/>
  <c r="B17" i="141"/>
  <c r="D16" i="141"/>
  <c r="AL16" i="141" s="1"/>
  <c r="AC15" i="141"/>
  <c r="AC15" i="143" l="1"/>
  <c r="AL15" i="143"/>
  <c r="AC126" i="144"/>
  <c r="AL163" i="144"/>
  <c r="AL52" i="144"/>
  <c r="AC163" i="144"/>
  <c r="AL126" i="144"/>
  <c r="AJ164" i="144"/>
  <c r="B165" i="144"/>
  <c r="D164" i="144"/>
  <c r="AS164" i="144" s="1"/>
  <c r="AC89" i="144"/>
  <c r="AJ127" i="144"/>
  <c r="B128" i="144"/>
  <c r="D127" i="144"/>
  <c r="AL127" i="144" s="1"/>
  <c r="AJ90" i="144"/>
  <c r="B91" i="144"/>
  <c r="D90" i="144"/>
  <c r="AL90" i="144" s="1"/>
  <c r="AS89" i="144"/>
  <c r="AJ53" i="144"/>
  <c r="D53" i="144"/>
  <c r="AS53" i="144" s="1"/>
  <c r="B54" i="144"/>
  <c r="AC52" i="144"/>
  <c r="AS16" i="144"/>
  <c r="AC16" i="144"/>
  <c r="D17" i="144"/>
  <c r="AS17" i="144" s="1"/>
  <c r="AJ17" i="144"/>
  <c r="B18" i="144"/>
  <c r="B166" i="142"/>
  <c r="D165" i="142"/>
  <c r="AC165" i="142" s="1"/>
  <c r="AJ165" i="142"/>
  <c r="B129" i="142"/>
  <c r="AJ128" i="142"/>
  <c r="D128" i="142"/>
  <c r="AC128" i="142" s="1"/>
  <c r="AC126" i="143"/>
  <c r="B92" i="142"/>
  <c r="AJ91" i="142"/>
  <c r="D91" i="142"/>
  <c r="AC91" i="142" s="1"/>
  <c r="B55" i="142"/>
  <c r="AJ54" i="142"/>
  <c r="D54" i="142"/>
  <c r="AC54" i="142" s="1"/>
  <c r="AL126" i="143"/>
  <c r="AC163" i="143"/>
  <c r="AJ17" i="142"/>
  <c r="D17" i="142"/>
  <c r="AC17" i="142" s="1"/>
  <c r="B18" i="142"/>
  <c r="AL163" i="143"/>
  <c r="AJ164" i="143"/>
  <c r="B165" i="143"/>
  <c r="D164" i="143"/>
  <c r="AS164" i="143" s="1"/>
  <c r="AS16" i="141"/>
  <c r="AC89" i="141"/>
  <c r="AC52" i="143"/>
  <c r="AJ127" i="143"/>
  <c r="B128" i="143"/>
  <c r="D127" i="143"/>
  <c r="AL127" i="143" s="1"/>
  <c r="AL90" i="143"/>
  <c r="D91" i="143"/>
  <c r="AS91" i="143" s="1"/>
  <c r="B92" i="143"/>
  <c r="AJ91" i="143"/>
  <c r="AS90" i="143"/>
  <c r="AC16" i="143"/>
  <c r="AL52" i="143"/>
  <c r="AJ53" i="143"/>
  <c r="B54" i="143"/>
  <c r="D53" i="143"/>
  <c r="AC53" i="143" s="1"/>
  <c r="AL16" i="143"/>
  <c r="AJ17" i="143"/>
  <c r="B18" i="143"/>
  <c r="D17" i="143"/>
  <c r="AL17" i="143" s="1"/>
  <c r="AC16" i="141"/>
  <c r="AL53" i="141"/>
  <c r="AL89" i="141"/>
  <c r="AL163" i="141"/>
  <c r="AC163" i="141"/>
  <c r="AJ164" i="141"/>
  <c r="B165" i="141"/>
  <c r="D164" i="141"/>
  <c r="AL164" i="141" s="1"/>
  <c r="AC126" i="141"/>
  <c r="AL126" i="141"/>
  <c r="AJ127" i="141"/>
  <c r="B128" i="141"/>
  <c r="D127" i="141"/>
  <c r="AC127" i="141" s="1"/>
  <c r="AJ90" i="141"/>
  <c r="B91" i="141"/>
  <c r="D90" i="141"/>
  <c r="AL90" i="141" s="1"/>
  <c r="AC53" i="141"/>
  <c r="D54" i="141"/>
  <c r="AC54" i="141" s="1"/>
  <c r="AJ54" i="141"/>
  <c r="B55" i="141"/>
  <c r="D17" i="141"/>
  <c r="AS17" i="141" s="1"/>
  <c r="AJ17" i="141"/>
  <c r="B18" i="141"/>
  <c r="AL164" i="144" l="1"/>
  <c r="AC164" i="144"/>
  <c r="D165" i="144"/>
  <c r="AL165" i="144" s="1"/>
  <c r="AJ165" i="144"/>
  <c r="B166" i="144"/>
  <c r="AL53" i="144"/>
  <c r="AC127" i="144"/>
  <c r="D128" i="144"/>
  <c r="AL128" i="144" s="1"/>
  <c r="AJ128" i="144"/>
  <c r="B129" i="144"/>
  <c r="AS127" i="144"/>
  <c r="AC53" i="144"/>
  <c r="AS90" i="144"/>
  <c r="AC17" i="144"/>
  <c r="AC90" i="144"/>
  <c r="D91" i="144"/>
  <c r="AL91" i="144" s="1"/>
  <c r="AJ91" i="144"/>
  <c r="B92" i="144"/>
  <c r="AL17" i="144"/>
  <c r="D54" i="144"/>
  <c r="AS54" i="144" s="1"/>
  <c r="AJ54" i="144"/>
  <c r="B55" i="144"/>
  <c r="AJ18" i="144"/>
  <c r="B19" i="144"/>
  <c r="D18" i="144"/>
  <c r="AL18" i="144" s="1"/>
  <c r="B167" i="142"/>
  <c r="AJ166" i="142"/>
  <c r="D166" i="142"/>
  <c r="AC166" i="142" s="1"/>
  <c r="B130" i="142"/>
  <c r="D129" i="142"/>
  <c r="AC129" i="142" s="1"/>
  <c r="AJ129" i="142"/>
  <c r="B93" i="142"/>
  <c r="D92" i="142"/>
  <c r="AC92" i="142" s="1"/>
  <c r="AJ92" i="142"/>
  <c r="B56" i="142"/>
  <c r="AJ55" i="142"/>
  <c r="D55" i="142"/>
  <c r="AC55" i="142" s="1"/>
  <c r="AC91" i="143"/>
  <c r="AC164" i="143"/>
  <c r="AJ18" i="142"/>
  <c r="D18" i="142"/>
  <c r="AC18" i="142" s="1"/>
  <c r="B19" i="142"/>
  <c r="AL164" i="143"/>
  <c r="D165" i="143"/>
  <c r="AS165" i="143" s="1"/>
  <c r="AJ165" i="143"/>
  <c r="B166" i="143"/>
  <c r="AS17" i="143"/>
  <c r="AS127" i="143"/>
  <c r="AC127" i="143"/>
  <c r="AC17" i="143"/>
  <c r="AL91" i="143"/>
  <c r="D128" i="143"/>
  <c r="AS128" i="143" s="1"/>
  <c r="AJ128" i="143"/>
  <c r="B129" i="143"/>
  <c r="AJ92" i="143"/>
  <c r="B93" i="143"/>
  <c r="D92" i="143"/>
  <c r="AC92" i="143" s="1"/>
  <c r="AC164" i="141"/>
  <c r="AL53" i="143"/>
  <c r="AS53" i="143"/>
  <c r="D54" i="143"/>
  <c r="AL54" i="143" s="1"/>
  <c r="AJ54" i="143"/>
  <c r="B55" i="143"/>
  <c r="AC17" i="141"/>
  <c r="B19" i="143"/>
  <c r="D18" i="143"/>
  <c r="AL18" i="143" s="1"/>
  <c r="AJ18" i="143"/>
  <c r="AS164" i="141"/>
  <c r="D165" i="141"/>
  <c r="AS165" i="141" s="1"/>
  <c r="AJ165" i="141"/>
  <c r="B166" i="141"/>
  <c r="AL127" i="141"/>
  <c r="D128" i="141"/>
  <c r="AS128" i="141" s="1"/>
  <c r="AJ128" i="141"/>
  <c r="B129" i="141"/>
  <c r="AS127" i="141"/>
  <c r="AL17" i="141"/>
  <c r="AS90" i="141"/>
  <c r="AC90" i="141"/>
  <c r="D91" i="141"/>
  <c r="AS91" i="141" s="1"/>
  <c r="AJ91" i="141"/>
  <c r="B92" i="141"/>
  <c r="AL54" i="141"/>
  <c r="AS54" i="141"/>
  <c r="AJ55" i="141"/>
  <c r="B56" i="141"/>
  <c r="D55" i="141"/>
  <c r="AC55" i="141" s="1"/>
  <c r="AJ18" i="141"/>
  <c r="B19" i="141"/>
  <c r="D18" i="141"/>
  <c r="AL18" i="141" s="1"/>
  <c r="AC165" i="144" l="1"/>
  <c r="AS165" i="144"/>
  <c r="AJ166" i="144"/>
  <c r="B167" i="144"/>
  <c r="D166" i="144"/>
  <c r="AS166" i="144" s="1"/>
  <c r="AC128" i="144"/>
  <c r="AJ129" i="144"/>
  <c r="D129" i="144"/>
  <c r="AL129" i="144" s="1"/>
  <c r="B130" i="144"/>
  <c r="AS128" i="144"/>
  <c r="AC91" i="144"/>
  <c r="AJ92" i="144"/>
  <c r="B93" i="144"/>
  <c r="D92" i="144"/>
  <c r="AL92" i="144" s="1"/>
  <c r="AS91" i="144"/>
  <c r="AL54" i="144"/>
  <c r="AC54" i="144"/>
  <c r="AJ55" i="144"/>
  <c r="D55" i="144"/>
  <c r="AC55" i="144" s="1"/>
  <c r="B56" i="144"/>
  <c r="AS18" i="144"/>
  <c r="AC18" i="144"/>
  <c r="D19" i="144"/>
  <c r="AS19" i="144" s="1"/>
  <c r="AJ19" i="144"/>
  <c r="B20" i="144"/>
  <c r="B168" i="142"/>
  <c r="D167" i="142"/>
  <c r="AC167" i="142" s="1"/>
  <c r="AJ167" i="142"/>
  <c r="AC165" i="143"/>
  <c r="B131" i="142"/>
  <c r="AJ130" i="142"/>
  <c r="D130" i="142"/>
  <c r="AC130" i="142" s="1"/>
  <c r="AC128" i="143"/>
  <c r="B94" i="142"/>
  <c r="AJ93" i="142"/>
  <c r="D93" i="142"/>
  <c r="AC93" i="142" s="1"/>
  <c r="AL165" i="143"/>
  <c r="B57" i="142"/>
  <c r="AJ56" i="142"/>
  <c r="D56" i="142"/>
  <c r="AC56" i="142" s="1"/>
  <c r="AJ19" i="142"/>
  <c r="D19" i="142"/>
  <c r="AC19" i="142" s="1"/>
  <c r="B20" i="142"/>
  <c r="AL128" i="143"/>
  <c r="AJ166" i="143"/>
  <c r="B167" i="143"/>
  <c r="D166" i="143"/>
  <c r="AS166" i="143" s="1"/>
  <c r="AL92" i="143"/>
  <c r="AS92" i="143"/>
  <c r="AJ129" i="143"/>
  <c r="B130" i="143"/>
  <c r="D129" i="143"/>
  <c r="AS129" i="143" s="1"/>
  <c r="D93" i="143"/>
  <c r="AS93" i="143" s="1"/>
  <c r="B94" i="143"/>
  <c r="AJ93" i="143"/>
  <c r="AJ55" i="143"/>
  <c r="B56" i="143"/>
  <c r="D55" i="143"/>
  <c r="AS55" i="143" s="1"/>
  <c r="AS54" i="143"/>
  <c r="AC54" i="143"/>
  <c r="AC165" i="141"/>
  <c r="AS18" i="143"/>
  <c r="AC18" i="143"/>
  <c r="AC128" i="141"/>
  <c r="AL165" i="141"/>
  <c r="AJ19" i="143"/>
  <c r="B20" i="143"/>
  <c r="D19" i="143"/>
  <c r="AL19" i="143" s="1"/>
  <c r="AC91" i="141"/>
  <c r="AL128" i="141"/>
  <c r="AJ166" i="141"/>
  <c r="B167" i="141"/>
  <c r="D166" i="141"/>
  <c r="AC166" i="141" s="1"/>
  <c r="AL91" i="141"/>
  <c r="AJ129" i="141"/>
  <c r="B130" i="141"/>
  <c r="D129" i="141"/>
  <c r="AS129" i="141" s="1"/>
  <c r="AS18" i="141"/>
  <c r="AJ92" i="141"/>
  <c r="B93" i="141"/>
  <c r="D92" i="141"/>
  <c r="AS92" i="141" s="1"/>
  <c r="AC18" i="141"/>
  <c r="AS55" i="141"/>
  <c r="D56" i="141"/>
  <c r="AL56" i="141" s="1"/>
  <c r="B57" i="141"/>
  <c r="AJ56" i="141"/>
  <c r="AL55" i="141"/>
  <c r="D19" i="141"/>
  <c r="AL19" i="141" s="1"/>
  <c r="AJ19" i="141"/>
  <c r="B20" i="141"/>
  <c r="F129" i="154"/>
  <c r="F91" i="154"/>
  <c r="F53" i="154"/>
  <c r="F15" i="154"/>
  <c r="AP125" i="154"/>
  <c r="AP87" i="154"/>
  <c r="AP49" i="154"/>
  <c r="AS129" i="144" l="1"/>
  <c r="AL166" i="144"/>
  <c r="AC19" i="144"/>
  <c r="AC166" i="144"/>
  <c r="D167" i="144"/>
  <c r="AL167" i="144" s="1"/>
  <c r="AJ167" i="144"/>
  <c r="B168" i="144"/>
  <c r="AC129" i="144"/>
  <c r="D130" i="144"/>
  <c r="AL130" i="144" s="1"/>
  <c r="AJ130" i="144"/>
  <c r="B131" i="144"/>
  <c r="AS92" i="144"/>
  <c r="AS55" i="144"/>
  <c r="AC92" i="144"/>
  <c r="D93" i="144"/>
  <c r="AL93" i="144" s="1"/>
  <c r="AJ93" i="144"/>
  <c r="B94" i="144"/>
  <c r="AL19" i="144"/>
  <c r="AL55" i="144"/>
  <c r="D56" i="144"/>
  <c r="AS56" i="144" s="1"/>
  <c r="AJ56" i="144"/>
  <c r="B57" i="144"/>
  <c r="AJ20" i="144"/>
  <c r="B21" i="144"/>
  <c r="D20" i="144"/>
  <c r="AL20" i="144" s="1"/>
  <c r="B169" i="142"/>
  <c r="AJ168" i="142"/>
  <c r="D168" i="142"/>
  <c r="AC168" i="142" s="1"/>
  <c r="B132" i="142"/>
  <c r="D131" i="142"/>
  <c r="AC131" i="142" s="1"/>
  <c r="AJ131" i="142"/>
  <c r="B95" i="142"/>
  <c r="AJ94" i="142"/>
  <c r="D94" i="142"/>
  <c r="AC94" i="142" s="1"/>
  <c r="B58" i="142"/>
  <c r="AJ57" i="142"/>
  <c r="D57" i="142"/>
  <c r="AC57" i="142" s="1"/>
  <c r="AJ20" i="142"/>
  <c r="D20" i="142"/>
  <c r="AC20" i="142" s="1"/>
  <c r="B21" i="142"/>
  <c r="AC166" i="143"/>
  <c r="AL166" i="143"/>
  <c r="D167" i="143"/>
  <c r="AL167" i="143" s="1"/>
  <c r="AJ167" i="143"/>
  <c r="B168" i="143"/>
  <c r="AC129" i="143"/>
  <c r="AC93" i="143"/>
  <c r="AL129" i="143"/>
  <c r="D130" i="143"/>
  <c r="AL130" i="143" s="1"/>
  <c r="AJ130" i="143"/>
  <c r="B131" i="143"/>
  <c r="AJ94" i="143"/>
  <c r="B95" i="143"/>
  <c r="D94" i="143"/>
  <c r="AC94" i="143" s="1"/>
  <c r="AL93" i="143"/>
  <c r="AL55" i="143"/>
  <c r="AC19" i="143"/>
  <c r="AC55" i="143"/>
  <c r="D56" i="143"/>
  <c r="AL56" i="143" s="1"/>
  <c r="AJ56" i="143"/>
  <c r="B57" i="143"/>
  <c r="AL166" i="141"/>
  <c r="B21" i="143"/>
  <c r="D20" i="143"/>
  <c r="AL20" i="143" s="1"/>
  <c r="AJ20" i="143"/>
  <c r="AS19" i="143"/>
  <c r="AC129" i="141"/>
  <c r="D167" i="141"/>
  <c r="AS167" i="141" s="1"/>
  <c r="B168" i="141"/>
  <c r="AJ167" i="141"/>
  <c r="AS166" i="141"/>
  <c r="AC19" i="141"/>
  <c r="AL129" i="141"/>
  <c r="D130" i="141"/>
  <c r="AS130" i="141" s="1"/>
  <c r="AJ130" i="141"/>
  <c r="B131" i="141"/>
  <c r="AC56" i="141"/>
  <c r="AS56" i="141"/>
  <c r="AC92" i="141"/>
  <c r="AL92" i="141"/>
  <c r="D93" i="141"/>
  <c r="AS93" i="141" s="1"/>
  <c r="AJ93" i="141"/>
  <c r="B94" i="141"/>
  <c r="AJ57" i="141"/>
  <c r="B58" i="141"/>
  <c r="D57" i="141"/>
  <c r="AS57" i="141" s="1"/>
  <c r="AJ20" i="141"/>
  <c r="B21" i="141"/>
  <c r="D20" i="141"/>
  <c r="AC20" i="141" s="1"/>
  <c r="AS19" i="141"/>
  <c r="E155" i="154"/>
  <c r="B135" i="154"/>
  <c r="AJ135" i="154" s="1"/>
  <c r="F130" i="154"/>
  <c r="F128" i="154"/>
  <c r="F126" i="154"/>
  <c r="F125" i="154"/>
  <c r="H124" i="154"/>
  <c r="F124" i="154"/>
  <c r="E117" i="154"/>
  <c r="B97" i="154"/>
  <c r="B98" i="154" s="1"/>
  <c r="F92" i="154"/>
  <c r="F90" i="154"/>
  <c r="F88" i="154"/>
  <c r="F87" i="154"/>
  <c r="H86" i="154"/>
  <c r="F86" i="154"/>
  <c r="E79" i="154"/>
  <c r="B59" i="154"/>
  <c r="F54" i="154"/>
  <c r="F52" i="154"/>
  <c r="F50" i="154"/>
  <c r="F49" i="154"/>
  <c r="H48" i="154"/>
  <c r="F48" i="154"/>
  <c r="F11" i="154"/>
  <c r="H10" i="154"/>
  <c r="B60" i="154" l="1"/>
  <c r="AJ60" i="154" s="1"/>
  <c r="AJ59" i="154"/>
  <c r="AC130" i="144"/>
  <c r="AS130" i="144"/>
  <c r="AL56" i="144"/>
  <c r="AJ168" i="144"/>
  <c r="B169" i="144"/>
  <c r="D168" i="144"/>
  <c r="AS168" i="144" s="1"/>
  <c r="AS167" i="144"/>
  <c r="AC167" i="144"/>
  <c r="AC93" i="144"/>
  <c r="AJ131" i="144"/>
  <c r="B132" i="144"/>
  <c r="D131" i="144"/>
  <c r="AL131" i="144" s="1"/>
  <c r="AJ94" i="144"/>
  <c r="B95" i="144"/>
  <c r="D94" i="144"/>
  <c r="AL94" i="144" s="1"/>
  <c r="AS93" i="144"/>
  <c r="AC56" i="144"/>
  <c r="AJ57" i="144"/>
  <c r="D57" i="144"/>
  <c r="AS57" i="144" s="1"/>
  <c r="B58" i="144"/>
  <c r="AS20" i="144"/>
  <c r="AC20" i="144"/>
  <c r="D21" i="144"/>
  <c r="AS21" i="144" s="1"/>
  <c r="AJ21" i="144"/>
  <c r="B22" i="144"/>
  <c r="B170" i="142"/>
  <c r="D169" i="142"/>
  <c r="AC169" i="142" s="1"/>
  <c r="AJ169" i="142"/>
  <c r="B133" i="142"/>
  <c r="AJ132" i="142"/>
  <c r="D132" i="142"/>
  <c r="AC132" i="142" s="1"/>
  <c r="B96" i="142"/>
  <c r="D95" i="142"/>
  <c r="AC95" i="142" s="1"/>
  <c r="AJ95" i="142"/>
  <c r="B59" i="142"/>
  <c r="AJ58" i="142"/>
  <c r="D58" i="142"/>
  <c r="AC58" i="142" s="1"/>
  <c r="AJ21" i="142"/>
  <c r="D21" i="142"/>
  <c r="AC21" i="142" s="1"/>
  <c r="B22" i="142"/>
  <c r="AC167" i="143"/>
  <c r="AL167" i="141"/>
  <c r="AC56" i="143"/>
  <c r="AL94" i="143"/>
  <c r="AC130" i="143"/>
  <c r="AJ168" i="143"/>
  <c r="B169" i="143"/>
  <c r="D168" i="143"/>
  <c r="AC168" i="143" s="1"/>
  <c r="AS167" i="143"/>
  <c r="AJ131" i="143"/>
  <c r="B132" i="143"/>
  <c r="D131" i="143"/>
  <c r="AL131" i="143" s="1"/>
  <c r="AS130" i="143"/>
  <c r="AS94" i="143"/>
  <c r="D95" i="143"/>
  <c r="AS95" i="143" s="1"/>
  <c r="AJ95" i="143"/>
  <c r="B96" i="143"/>
  <c r="AJ57" i="143"/>
  <c r="B58" i="143"/>
  <c r="D57" i="143"/>
  <c r="AC57" i="143" s="1"/>
  <c r="AS56" i="143"/>
  <c r="AC130" i="141"/>
  <c r="AS20" i="143"/>
  <c r="AC20" i="143"/>
  <c r="AL130" i="141"/>
  <c r="AJ21" i="143"/>
  <c r="B22" i="143"/>
  <c r="D21" i="143"/>
  <c r="AC21" i="143" s="1"/>
  <c r="AC167" i="141"/>
  <c r="AL20" i="141"/>
  <c r="AJ168" i="141"/>
  <c r="B169" i="141"/>
  <c r="D168" i="141"/>
  <c r="AC168" i="141" s="1"/>
  <c r="AC93" i="141"/>
  <c r="AJ131" i="141"/>
  <c r="B132" i="141"/>
  <c r="D131" i="141"/>
  <c r="AS131" i="141" s="1"/>
  <c r="AL93" i="141"/>
  <c r="AC57" i="141"/>
  <c r="AJ94" i="141"/>
  <c r="B95" i="141"/>
  <c r="D94" i="141"/>
  <c r="AL94" i="141" s="1"/>
  <c r="AL57" i="141"/>
  <c r="D58" i="141"/>
  <c r="AS58" i="141" s="1"/>
  <c r="B59" i="141"/>
  <c r="AJ58" i="141"/>
  <c r="D21" i="141"/>
  <c r="AL21" i="141" s="1"/>
  <c r="AJ21" i="141"/>
  <c r="B22" i="141"/>
  <c r="AS20" i="141"/>
  <c r="AJ97" i="154"/>
  <c r="B136" i="154"/>
  <c r="AJ136" i="154" s="1"/>
  <c r="D135" i="154"/>
  <c r="AJ98" i="154"/>
  <c r="B99" i="154"/>
  <c r="D98" i="154"/>
  <c r="AC98" i="154" s="1"/>
  <c r="D97" i="154"/>
  <c r="AC97" i="154" s="1"/>
  <c r="D60" i="154"/>
  <c r="D59" i="154"/>
  <c r="B61" i="154" l="1"/>
  <c r="AJ61" i="154" s="1"/>
  <c r="AS135" i="154"/>
  <c r="AL135" i="154"/>
  <c r="AC135" i="154"/>
  <c r="AC21" i="144"/>
  <c r="AL59" i="154"/>
  <c r="AS59" i="154"/>
  <c r="AC59" i="154"/>
  <c r="AL60" i="154"/>
  <c r="AC60" i="154"/>
  <c r="AS60" i="154"/>
  <c r="AL95" i="143"/>
  <c r="AL168" i="143"/>
  <c r="AL21" i="144"/>
  <c r="AL57" i="144"/>
  <c r="AC131" i="144"/>
  <c r="AC168" i="144"/>
  <c r="D169" i="144"/>
  <c r="AL169" i="144" s="1"/>
  <c r="B170" i="144"/>
  <c r="AJ169" i="144"/>
  <c r="AL168" i="144"/>
  <c r="AS131" i="144"/>
  <c r="D132" i="144"/>
  <c r="AL132" i="144" s="1"/>
  <c r="AJ132" i="144"/>
  <c r="B133" i="144"/>
  <c r="AS94" i="144"/>
  <c r="AC94" i="144"/>
  <c r="AC57" i="144"/>
  <c r="D95" i="144"/>
  <c r="AL95" i="144" s="1"/>
  <c r="AJ95" i="144"/>
  <c r="B96" i="144"/>
  <c r="D58" i="144"/>
  <c r="AS58" i="144" s="1"/>
  <c r="AJ58" i="144"/>
  <c r="B59" i="144"/>
  <c r="AJ22" i="144"/>
  <c r="B23" i="144"/>
  <c r="D22" i="144"/>
  <c r="AL22" i="144" s="1"/>
  <c r="B171" i="142"/>
  <c r="AJ170" i="142"/>
  <c r="D170" i="142"/>
  <c r="AC170" i="142" s="1"/>
  <c r="B134" i="142"/>
  <c r="D133" i="142"/>
  <c r="AC133" i="142" s="1"/>
  <c r="AJ133" i="142"/>
  <c r="B97" i="142"/>
  <c r="AJ96" i="142"/>
  <c r="D96" i="142"/>
  <c r="AC96" i="142" s="1"/>
  <c r="B60" i="142"/>
  <c r="AJ59" i="142"/>
  <c r="D59" i="142"/>
  <c r="AC59" i="142" s="1"/>
  <c r="AJ22" i="142"/>
  <c r="D22" i="142"/>
  <c r="AC22" i="142" s="1"/>
  <c r="B23" i="142"/>
  <c r="AS168" i="143"/>
  <c r="D169" i="143"/>
  <c r="AS169" i="143" s="1"/>
  <c r="AJ169" i="143"/>
  <c r="B170" i="143"/>
  <c r="AL57" i="143"/>
  <c r="AS131" i="143"/>
  <c r="AC131" i="143"/>
  <c r="AC95" i="143"/>
  <c r="D132" i="143"/>
  <c r="AS132" i="143" s="1"/>
  <c r="AJ132" i="143"/>
  <c r="B133" i="143"/>
  <c r="AJ96" i="143"/>
  <c r="B97" i="143"/>
  <c r="D96" i="143"/>
  <c r="AL96" i="143" s="1"/>
  <c r="AL21" i="143"/>
  <c r="AS57" i="143"/>
  <c r="AS94" i="141"/>
  <c r="AS21" i="143"/>
  <c r="AL168" i="141"/>
  <c r="D58" i="143"/>
  <c r="AS58" i="143" s="1"/>
  <c r="AJ58" i="143"/>
  <c r="B59" i="143"/>
  <c r="AC58" i="141"/>
  <c r="B23" i="143"/>
  <c r="D22" i="143"/>
  <c r="AL22" i="143" s="1"/>
  <c r="AJ22" i="143"/>
  <c r="AS168" i="141"/>
  <c r="D169" i="141"/>
  <c r="AS169" i="141" s="1"/>
  <c r="AJ169" i="141"/>
  <c r="B170" i="141"/>
  <c r="AC131" i="141"/>
  <c r="AL131" i="141"/>
  <c r="D132" i="141"/>
  <c r="AL132" i="141" s="1"/>
  <c r="AJ132" i="141"/>
  <c r="B133" i="141"/>
  <c r="AC94" i="141"/>
  <c r="D95" i="141"/>
  <c r="AS95" i="141" s="1"/>
  <c r="AJ95" i="141"/>
  <c r="B96" i="141"/>
  <c r="AL58" i="141"/>
  <c r="AC21" i="141"/>
  <c r="AJ59" i="141"/>
  <c r="B60" i="141"/>
  <c r="D59" i="141"/>
  <c r="AS59" i="141" s="1"/>
  <c r="AS21" i="141"/>
  <c r="AJ22" i="141"/>
  <c r="B23" i="141"/>
  <c r="D22" i="141"/>
  <c r="AS22" i="141" s="1"/>
  <c r="B137" i="154"/>
  <c r="AJ137" i="154" s="1"/>
  <c r="D136" i="154"/>
  <c r="D99" i="154"/>
  <c r="AC99" i="154" s="1"/>
  <c r="B100" i="154"/>
  <c r="AJ99" i="154"/>
  <c r="D61" i="154"/>
  <c r="B21" i="154"/>
  <c r="AI8" i="146"/>
  <c r="AI5" i="146"/>
  <c r="AQ155" i="154" l="1"/>
  <c r="AQ79" i="154"/>
  <c r="B62" i="154"/>
  <c r="AJ62" i="154" s="1"/>
  <c r="AS136" i="154"/>
  <c r="AC136" i="154"/>
  <c r="AL136" i="154"/>
  <c r="AL61" i="154"/>
  <c r="AC61" i="154"/>
  <c r="AS61" i="154"/>
  <c r="AC58" i="144"/>
  <c r="AS169" i="144"/>
  <c r="AQ181" i="144"/>
  <c r="AQ70" i="144"/>
  <c r="AP38" i="144"/>
  <c r="AP149" i="142"/>
  <c r="AP149" i="143"/>
  <c r="AQ70" i="143"/>
  <c r="AQ181" i="141"/>
  <c r="AP112" i="141"/>
  <c r="AP112" i="144"/>
  <c r="AP112" i="142"/>
  <c r="AP112" i="143"/>
  <c r="AQ107" i="141"/>
  <c r="AP38" i="141"/>
  <c r="AP38" i="142"/>
  <c r="AP1" i="142"/>
  <c r="AP75" i="141"/>
  <c r="AQ144" i="144"/>
  <c r="AP75" i="144"/>
  <c r="AP1" i="144"/>
  <c r="AQ181" i="143"/>
  <c r="AP75" i="143"/>
  <c r="AP1" i="143"/>
  <c r="AQ144" i="141"/>
  <c r="AQ70" i="141"/>
  <c r="AQ144" i="143"/>
  <c r="AP1" i="141"/>
  <c r="AP149" i="144"/>
  <c r="AQ107" i="144"/>
  <c r="AP75" i="142"/>
  <c r="AQ107" i="143"/>
  <c r="AP38" i="143"/>
  <c r="AP149" i="141"/>
  <c r="AL58" i="144"/>
  <c r="AC169" i="144"/>
  <c r="AC132" i="144"/>
  <c r="AJ170" i="144"/>
  <c r="B171" i="144"/>
  <c r="D170" i="144"/>
  <c r="AS170" i="144" s="1"/>
  <c r="AC95" i="144"/>
  <c r="AJ133" i="144"/>
  <c r="B134" i="144"/>
  <c r="D133" i="144"/>
  <c r="AS133" i="144" s="1"/>
  <c r="AS132" i="144"/>
  <c r="AJ96" i="144"/>
  <c r="B97" i="144"/>
  <c r="D96" i="144"/>
  <c r="AL96" i="144" s="1"/>
  <c r="AS95" i="144"/>
  <c r="AJ59" i="144"/>
  <c r="D59" i="144"/>
  <c r="AS59" i="144" s="1"/>
  <c r="B60" i="144"/>
  <c r="AS22" i="144"/>
  <c r="AC22" i="144"/>
  <c r="D23" i="144"/>
  <c r="AS23" i="144" s="1"/>
  <c r="AJ23" i="144"/>
  <c r="B24" i="144"/>
  <c r="AC169" i="143"/>
  <c r="B172" i="142"/>
  <c r="AJ171" i="142"/>
  <c r="D171" i="142"/>
  <c r="AC171" i="142" s="1"/>
  <c r="B135" i="142"/>
  <c r="AJ134" i="142"/>
  <c r="D134" i="142"/>
  <c r="AC134" i="142" s="1"/>
  <c r="AL169" i="143"/>
  <c r="B98" i="142"/>
  <c r="AJ97" i="142"/>
  <c r="D97" i="142"/>
  <c r="AC97" i="142" s="1"/>
  <c r="B61" i="142"/>
  <c r="AJ60" i="142"/>
  <c r="D60" i="142"/>
  <c r="AC60" i="142" s="1"/>
  <c r="AJ23" i="142"/>
  <c r="D23" i="142"/>
  <c r="AC23" i="142" s="1"/>
  <c r="B24" i="142"/>
  <c r="AC132" i="143"/>
  <c r="AJ170" i="143"/>
  <c r="B171" i="143"/>
  <c r="D170" i="143"/>
  <c r="AS170" i="143" s="1"/>
  <c r="AC58" i="143"/>
  <c r="AL132" i="143"/>
  <c r="AC96" i="143"/>
  <c r="AJ133" i="143"/>
  <c r="B134" i="143"/>
  <c r="D133" i="143"/>
  <c r="AL133" i="143" s="1"/>
  <c r="AS96" i="143"/>
  <c r="AL58" i="143"/>
  <c r="D97" i="143"/>
  <c r="AS97" i="143" s="1"/>
  <c r="AJ97" i="143"/>
  <c r="B98" i="143"/>
  <c r="AJ59" i="143"/>
  <c r="B60" i="143"/>
  <c r="D59" i="143"/>
  <c r="AL59" i="143" s="1"/>
  <c r="AC169" i="141"/>
  <c r="AS22" i="143"/>
  <c r="AC22" i="143"/>
  <c r="AL169" i="141"/>
  <c r="AJ23" i="143"/>
  <c r="B24" i="143"/>
  <c r="D23" i="143"/>
  <c r="AC23" i="143" s="1"/>
  <c r="AJ170" i="141"/>
  <c r="B171" i="141"/>
  <c r="D170" i="141"/>
  <c r="AL170" i="141" s="1"/>
  <c r="AJ133" i="141"/>
  <c r="B134" i="141"/>
  <c r="D133" i="141"/>
  <c r="AL133" i="141" s="1"/>
  <c r="AS132" i="141"/>
  <c r="AC132" i="141"/>
  <c r="AC95" i="141"/>
  <c r="AC59" i="141"/>
  <c r="AL95" i="141"/>
  <c r="AJ96" i="141"/>
  <c r="B97" i="141"/>
  <c r="D96" i="141"/>
  <c r="AC96" i="141" s="1"/>
  <c r="AC22" i="141"/>
  <c r="AL59" i="141"/>
  <c r="D60" i="141"/>
  <c r="AL60" i="141" s="1"/>
  <c r="AJ60" i="141"/>
  <c r="B61" i="141"/>
  <c r="AL22" i="141"/>
  <c r="D23" i="141"/>
  <c r="AS23" i="141" s="1"/>
  <c r="AJ23" i="141"/>
  <c r="B24" i="141"/>
  <c r="AP85" i="154"/>
  <c r="AP123" i="154"/>
  <c r="AP47" i="154"/>
  <c r="D137" i="154"/>
  <c r="B138" i="154"/>
  <c r="AJ138" i="154" s="1"/>
  <c r="AJ100" i="154"/>
  <c r="B101" i="154"/>
  <c r="D100" i="154"/>
  <c r="AC100" i="154" s="1"/>
  <c r="B63" i="154"/>
  <c r="AJ63" i="154" s="1"/>
  <c r="AQ41" i="154"/>
  <c r="D62" i="154" l="1"/>
  <c r="AC62" i="154" s="1"/>
  <c r="AS137" i="154"/>
  <c r="AL137" i="154"/>
  <c r="AC137" i="154"/>
  <c r="AL170" i="144"/>
  <c r="AC170" i="144"/>
  <c r="D171" i="144"/>
  <c r="AL171" i="144" s="1"/>
  <c r="B172" i="144"/>
  <c r="AJ171" i="144"/>
  <c r="AC133" i="144"/>
  <c r="AL133" i="144"/>
  <c r="D134" i="144"/>
  <c r="AL134" i="144" s="1"/>
  <c r="B135" i="144"/>
  <c r="AJ134" i="144"/>
  <c r="AS96" i="144"/>
  <c r="AL59" i="144"/>
  <c r="AC96" i="144"/>
  <c r="D97" i="144"/>
  <c r="AL97" i="144" s="1"/>
  <c r="AJ97" i="144"/>
  <c r="B98" i="144"/>
  <c r="AL23" i="141"/>
  <c r="D60" i="144"/>
  <c r="AS60" i="144" s="1"/>
  <c r="AJ60" i="144"/>
  <c r="B61" i="144"/>
  <c r="AL23" i="144"/>
  <c r="AC59" i="144"/>
  <c r="AJ24" i="144"/>
  <c r="B25" i="144"/>
  <c r="D24" i="144"/>
  <c r="AL24" i="144" s="1"/>
  <c r="AC23" i="144"/>
  <c r="AC97" i="143"/>
  <c r="B173" i="142"/>
  <c r="D172" i="142"/>
  <c r="AC172" i="142" s="1"/>
  <c r="AJ172" i="142"/>
  <c r="B136" i="142"/>
  <c r="D135" i="142"/>
  <c r="AC135" i="142" s="1"/>
  <c r="AJ135" i="142"/>
  <c r="AL97" i="143"/>
  <c r="B99" i="142"/>
  <c r="D98" i="142"/>
  <c r="AC98" i="142" s="1"/>
  <c r="AJ98" i="142"/>
  <c r="AS59" i="143"/>
  <c r="B62" i="142"/>
  <c r="AJ61" i="142"/>
  <c r="D61" i="142"/>
  <c r="AC61" i="142" s="1"/>
  <c r="AJ24" i="142"/>
  <c r="D24" i="142"/>
  <c r="AC24" i="142" s="1"/>
  <c r="B25" i="142"/>
  <c r="AC170" i="143"/>
  <c r="AL170" i="143"/>
  <c r="D171" i="143"/>
  <c r="AS171" i="143" s="1"/>
  <c r="AJ171" i="143"/>
  <c r="B172" i="143"/>
  <c r="AS133" i="143"/>
  <c r="AC133" i="143"/>
  <c r="D134" i="143"/>
  <c r="AS134" i="143" s="1"/>
  <c r="AJ134" i="143"/>
  <c r="B135" i="143"/>
  <c r="AJ98" i="143"/>
  <c r="B99" i="143"/>
  <c r="D98" i="143"/>
  <c r="AL98" i="143" s="1"/>
  <c r="AL23" i="143"/>
  <c r="AC59" i="143"/>
  <c r="AC170" i="141"/>
  <c r="AS23" i="143"/>
  <c r="D60" i="143"/>
  <c r="AL60" i="143" s="1"/>
  <c r="AJ60" i="143"/>
  <c r="B61" i="143"/>
  <c r="B25" i="143"/>
  <c r="D24" i="143"/>
  <c r="AL24" i="143" s="1"/>
  <c r="AJ24" i="143"/>
  <c r="AS170" i="141"/>
  <c r="D171" i="141"/>
  <c r="AS171" i="141" s="1"/>
  <c r="B172" i="141"/>
  <c r="AJ171" i="141"/>
  <c r="AS133" i="141"/>
  <c r="AC133" i="141"/>
  <c r="D134" i="141"/>
  <c r="AS134" i="141" s="1"/>
  <c r="AJ134" i="141"/>
  <c r="B135" i="141"/>
  <c r="AL96" i="141"/>
  <c r="D97" i="141"/>
  <c r="AS97" i="141" s="1"/>
  <c r="AJ97" i="141"/>
  <c r="B98" i="141"/>
  <c r="AS60" i="141"/>
  <c r="AS96" i="141"/>
  <c r="AJ61" i="141"/>
  <c r="B62" i="141"/>
  <c r="D61" i="141"/>
  <c r="AS61" i="141" s="1"/>
  <c r="AC60" i="141"/>
  <c r="AJ24" i="141"/>
  <c r="B25" i="141"/>
  <c r="D24" i="141"/>
  <c r="AC24" i="141" s="1"/>
  <c r="AC23" i="141"/>
  <c r="B139" i="154"/>
  <c r="AJ139" i="154" s="1"/>
  <c r="D138" i="154"/>
  <c r="D101" i="154"/>
  <c r="AC101" i="154" s="1"/>
  <c r="AJ101" i="154"/>
  <c r="B102" i="154"/>
  <c r="D63" i="154"/>
  <c r="B64" i="154"/>
  <c r="AJ64" i="154" s="1"/>
  <c r="AL62" i="154" l="1"/>
  <c r="AS62" i="154"/>
  <c r="AS138" i="154"/>
  <c r="AC138" i="154"/>
  <c r="AL138" i="154"/>
  <c r="AL63" i="154"/>
  <c r="AC63" i="154"/>
  <c r="AS63" i="154"/>
  <c r="AC171" i="144"/>
  <c r="AC171" i="143"/>
  <c r="AS171" i="144"/>
  <c r="AJ172" i="144"/>
  <c r="B173" i="144"/>
  <c r="D172" i="144"/>
  <c r="AL172" i="144" s="1"/>
  <c r="AC97" i="144"/>
  <c r="AC134" i="144"/>
  <c r="AS134" i="144"/>
  <c r="AJ135" i="144"/>
  <c r="B136" i="144"/>
  <c r="D135" i="144"/>
  <c r="AS135" i="144" s="1"/>
  <c r="AJ98" i="144"/>
  <c r="B99" i="144"/>
  <c r="D98" i="144"/>
  <c r="AL98" i="144" s="1"/>
  <c r="AS97" i="144"/>
  <c r="AL171" i="143"/>
  <c r="AC60" i="144"/>
  <c r="AL60" i="144"/>
  <c r="AJ61" i="144"/>
  <c r="B62" i="144"/>
  <c r="D61" i="144"/>
  <c r="AC61" i="144" s="1"/>
  <c r="AS24" i="144"/>
  <c r="AC24" i="144"/>
  <c r="D25" i="144"/>
  <c r="AS25" i="144" s="1"/>
  <c r="AJ25" i="144"/>
  <c r="B26" i="144"/>
  <c r="B174" i="142"/>
  <c r="AJ173" i="142"/>
  <c r="D173" i="142"/>
  <c r="AC173" i="142" s="1"/>
  <c r="B137" i="142"/>
  <c r="AJ136" i="142"/>
  <c r="D136" i="142"/>
  <c r="AC136" i="142" s="1"/>
  <c r="B100" i="142"/>
  <c r="AJ99" i="142"/>
  <c r="D99" i="142"/>
  <c r="AC99" i="142" s="1"/>
  <c r="AC134" i="141"/>
  <c r="B63" i="142"/>
  <c r="AJ62" i="142"/>
  <c r="D62" i="142"/>
  <c r="AC62" i="142" s="1"/>
  <c r="AJ25" i="142"/>
  <c r="D25" i="142"/>
  <c r="AC25" i="142" s="1"/>
  <c r="B26" i="142"/>
  <c r="AC60" i="143"/>
  <c r="AS60" i="143"/>
  <c r="AC134" i="143"/>
  <c r="AL134" i="143"/>
  <c r="AJ172" i="143"/>
  <c r="B173" i="143"/>
  <c r="D172" i="143"/>
  <c r="AS172" i="143" s="1"/>
  <c r="AC98" i="143"/>
  <c r="AJ135" i="143"/>
  <c r="B136" i="143"/>
  <c r="D135" i="143"/>
  <c r="AS135" i="143" s="1"/>
  <c r="AS98" i="143"/>
  <c r="AL134" i="141"/>
  <c r="D99" i="143"/>
  <c r="AL99" i="143" s="1"/>
  <c r="AJ99" i="143"/>
  <c r="B100" i="143"/>
  <c r="AJ61" i="143"/>
  <c r="B62" i="143"/>
  <c r="D61" i="143"/>
  <c r="AC61" i="143" s="1"/>
  <c r="AS24" i="143"/>
  <c r="AC24" i="143"/>
  <c r="AL171" i="141"/>
  <c r="AJ25" i="143"/>
  <c r="B26" i="143"/>
  <c r="D25" i="143"/>
  <c r="AC25" i="143" s="1"/>
  <c r="AC97" i="141"/>
  <c r="AC171" i="141"/>
  <c r="AJ172" i="141"/>
  <c r="B173" i="141"/>
  <c r="D172" i="141"/>
  <c r="AC172" i="141" s="1"/>
  <c r="AJ135" i="141"/>
  <c r="B136" i="141"/>
  <c r="D135" i="141"/>
  <c r="AL135" i="141" s="1"/>
  <c r="AC61" i="141"/>
  <c r="AL97" i="141"/>
  <c r="AL24" i="141"/>
  <c r="AJ98" i="141"/>
  <c r="B99" i="141"/>
  <c r="D98" i="141"/>
  <c r="AL98" i="141" s="1"/>
  <c r="AL61" i="141"/>
  <c r="D62" i="141"/>
  <c r="AS62" i="141" s="1"/>
  <c r="B63" i="141"/>
  <c r="AJ62" i="141"/>
  <c r="AS24" i="141"/>
  <c r="D25" i="141"/>
  <c r="AL25" i="141" s="1"/>
  <c r="AJ25" i="141"/>
  <c r="B26" i="141"/>
  <c r="D139" i="154"/>
  <c r="B140" i="154"/>
  <c r="AJ140" i="154" s="1"/>
  <c r="AJ102" i="154"/>
  <c r="B103" i="154"/>
  <c r="D102" i="154"/>
  <c r="AC102" i="154" s="1"/>
  <c r="B65" i="154"/>
  <c r="AJ65" i="154" s="1"/>
  <c r="D64" i="154"/>
  <c r="BC7" i="131"/>
  <c r="BC6" i="131"/>
  <c r="AS139" i="154" l="1"/>
  <c r="AC139" i="154"/>
  <c r="AL139" i="154"/>
  <c r="AL64" i="154"/>
  <c r="AC64" i="154"/>
  <c r="AS64" i="154"/>
  <c r="AC172" i="144"/>
  <c r="AC25" i="144"/>
  <c r="AS172" i="144"/>
  <c r="AS61" i="144"/>
  <c r="D173" i="144"/>
  <c r="AC173" i="144" s="1"/>
  <c r="AJ173" i="144"/>
  <c r="B174" i="144"/>
  <c r="AL135" i="144"/>
  <c r="AC135" i="144"/>
  <c r="AL61" i="144"/>
  <c r="D136" i="144"/>
  <c r="AL136" i="144" s="1"/>
  <c r="AJ136" i="144"/>
  <c r="B137" i="144"/>
  <c r="AS98" i="144"/>
  <c r="AC98" i="144"/>
  <c r="D99" i="144"/>
  <c r="AS99" i="144" s="1"/>
  <c r="AJ99" i="144"/>
  <c r="B100" i="144"/>
  <c r="AL25" i="144"/>
  <c r="D62" i="144"/>
  <c r="AL62" i="144" s="1"/>
  <c r="AJ62" i="144"/>
  <c r="B63" i="144"/>
  <c r="AJ26" i="144"/>
  <c r="B27" i="144"/>
  <c r="D26" i="144"/>
  <c r="AL26" i="144" s="1"/>
  <c r="B175" i="142"/>
  <c r="D174" i="142"/>
  <c r="AC174" i="142" s="1"/>
  <c r="AJ174" i="142"/>
  <c r="B138" i="142"/>
  <c r="D137" i="142"/>
  <c r="AC137" i="142" s="1"/>
  <c r="AJ137" i="142"/>
  <c r="B101" i="142"/>
  <c r="AJ100" i="142"/>
  <c r="D100" i="142"/>
  <c r="AC100" i="142" s="1"/>
  <c r="AC99" i="143"/>
  <c r="AS99" i="143"/>
  <c r="AC135" i="143"/>
  <c r="AL172" i="143"/>
  <c r="B64" i="142"/>
  <c r="AJ63" i="142"/>
  <c r="D63" i="142"/>
  <c r="AC63" i="142" s="1"/>
  <c r="AJ26" i="142"/>
  <c r="D26" i="142"/>
  <c r="AC26" i="142" s="1"/>
  <c r="B27" i="142"/>
  <c r="AC172" i="143"/>
  <c r="D173" i="143"/>
  <c r="AS173" i="143" s="1"/>
  <c r="AJ173" i="143"/>
  <c r="B174" i="143"/>
  <c r="AL135" i="143"/>
  <c r="D136" i="143"/>
  <c r="AS136" i="143" s="1"/>
  <c r="AJ136" i="143"/>
  <c r="B137" i="143"/>
  <c r="AS25" i="143"/>
  <c r="AL61" i="143"/>
  <c r="AJ100" i="143"/>
  <c r="B101" i="143"/>
  <c r="D100" i="143"/>
  <c r="AL100" i="143" s="1"/>
  <c r="AS61" i="143"/>
  <c r="D62" i="143"/>
  <c r="AS62" i="143" s="1"/>
  <c r="AJ62" i="143"/>
  <c r="B63" i="143"/>
  <c r="AL25" i="143"/>
  <c r="AS172" i="141"/>
  <c r="B27" i="143"/>
  <c r="D26" i="143"/>
  <c r="AS26" i="143" s="1"/>
  <c r="AJ26" i="143"/>
  <c r="D173" i="141"/>
  <c r="AS173" i="141" s="1"/>
  <c r="AJ173" i="141"/>
  <c r="B174" i="141"/>
  <c r="AS135" i="141"/>
  <c r="AL172" i="141"/>
  <c r="AC62" i="141"/>
  <c r="AL62" i="141"/>
  <c r="AC25" i="141"/>
  <c r="AC135" i="141"/>
  <c r="D136" i="141"/>
  <c r="AL136" i="141" s="1"/>
  <c r="AJ136" i="141"/>
  <c r="B137" i="141"/>
  <c r="AS98" i="141"/>
  <c r="AC98" i="141"/>
  <c r="D99" i="141"/>
  <c r="AS99" i="141" s="1"/>
  <c r="AJ99" i="141"/>
  <c r="B100" i="141"/>
  <c r="AS25" i="141"/>
  <c r="AJ63" i="141"/>
  <c r="B64" i="141"/>
  <c r="D63" i="141"/>
  <c r="AS63" i="141" s="1"/>
  <c r="AJ26" i="141"/>
  <c r="B27" i="141"/>
  <c r="D26" i="141"/>
  <c r="AC26" i="141" s="1"/>
  <c r="B141" i="154"/>
  <c r="AJ141" i="154" s="1"/>
  <c r="D140" i="154"/>
  <c r="D103" i="154"/>
  <c r="AC103" i="154" s="1"/>
  <c r="AJ103" i="154"/>
  <c r="B104" i="154"/>
  <c r="D65" i="154"/>
  <c r="B66" i="154"/>
  <c r="AJ66" i="154" s="1"/>
  <c r="AS140" i="154" l="1"/>
  <c r="AL140" i="154"/>
  <c r="AC140" i="154"/>
  <c r="AL65" i="154"/>
  <c r="AC65" i="154"/>
  <c r="AS65" i="154"/>
  <c r="AC99" i="144"/>
  <c r="AL173" i="144"/>
  <c r="AC62" i="144"/>
  <c r="AL99" i="144"/>
  <c r="AC136" i="144"/>
  <c r="AJ174" i="144"/>
  <c r="B175" i="144"/>
  <c r="D174" i="144"/>
  <c r="AL174" i="144" s="1"/>
  <c r="AS173" i="144"/>
  <c r="AJ137" i="144"/>
  <c r="B138" i="144"/>
  <c r="D137" i="144"/>
  <c r="AL137" i="144" s="1"/>
  <c r="AS136" i="144"/>
  <c r="AJ100" i="144"/>
  <c r="B101" i="144"/>
  <c r="D100" i="144"/>
  <c r="AL100" i="144" s="1"/>
  <c r="AJ63" i="144"/>
  <c r="B64" i="144"/>
  <c r="D63" i="144"/>
  <c r="AL63" i="144" s="1"/>
  <c r="AS62" i="144"/>
  <c r="AS26" i="144"/>
  <c r="AC26" i="144"/>
  <c r="D27" i="144"/>
  <c r="AS27" i="144" s="1"/>
  <c r="AJ27" i="144"/>
  <c r="B28" i="144"/>
  <c r="B176" i="142"/>
  <c r="AJ175" i="142"/>
  <c r="D175" i="142"/>
  <c r="AC175" i="142" s="1"/>
  <c r="B139" i="142"/>
  <c r="D138" i="142"/>
  <c r="AC138" i="142" s="1"/>
  <c r="AJ138" i="142"/>
  <c r="B102" i="142"/>
  <c r="D101" i="142"/>
  <c r="AC101" i="142" s="1"/>
  <c r="AJ101" i="142"/>
  <c r="B65" i="142"/>
  <c r="AJ64" i="142"/>
  <c r="D64" i="142"/>
  <c r="AC64" i="142" s="1"/>
  <c r="AJ27" i="142"/>
  <c r="D27" i="142"/>
  <c r="AC27" i="142" s="1"/>
  <c r="B28" i="142"/>
  <c r="AC173" i="143"/>
  <c r="AC136" i="143"/>
  <c r="AL173" i="143"/>
  <c r="AJ174" i="143"/>
  <c r="B175" i="143"/>
  <c r="D174" i="143"/>
  <c r="AC174" i="143" s="1"/>
  <c r="AC173" i="141"/>
  <c r="AC100" i="143"/>
  <c r="AL136" i="143"/>
  <c r="AC26" i="143"/>
  <c r="AC62" i="143"/>
  <c r="AJ137" i="143"/>
  <c r="B138" i="143"/>
  <c r="D137" i="143"/>
  <c r="AS137" i="143" s="1"/>
  <c r="AS100" i="143"/>
  <c r="D101" i="143"/>
  <c r="AS101" i="143" s="1"/>
  <c r="AJ101" i="143"/>
  <c r="B102" i="143"/>
  <c r="AL62" i="143"/>
  <c r="AJ63" i="143"/>
  <c r="D63" i="143"/>
  <c r="AS63" i="143" s="1"/>
  <c r="B64" i="143"/>
  <c r="AC99" i="141"/>
  <c r="AL26" i="143"/>
  <c r="AJ27" i="143"/>
  <c r="B28" i="143"/>
  <c r="D27" i="143"/>
  <c r="AC27" i="143" s="1"/>
  <c r="AL26" i="141"/>
  <c r="AL63" i="141"/>
  <c r="AL99" i="141"/>
  <c r="AL173" i="141"/>
  <c r="AJ174" i="141"/>
  <c r="B175" i="141"/>
  <c r="D174" i="141"/>
  <c r="AL174" i="141" s="1"/>
  <c r="AJ137" i="141"/>
  <c r="B138" i="141"/>
  <c r="D137" i="141"/>
  <c r="AL137" i="141" s="1"/>
  <c r="AS136" i="141"/>
  <c r="AC136" i="141"/>
  <c r="AJ100" i="141"/>
  <c r="B101" i="141"/>
  <c r="D100" i="141"/>
  <c r="AL100" i="141" s="1"/>
  <c r="AC63" i="141"/>
  <c r="D64" i="141"/>
  <c r="AC64" i="141" s="1"/>
  <c r="AJ64" i="141"/>
  <c r="B65" i="141"/>
  <c r="AS26" i="141"/>
  <c r="D27" i="141"/>
  <c r="AS27" i="141" s="1"/>
  <c r="AJ27" i="141"/>
  <c r="B28" i="141"/>
  <c r="D141" i="154"/>
  <c r="B142" i="154"/>
  <c r="AJ142" i="154" s="1"/>
  <c r="AJ104" i="154"/>
  <c r="B105" i="154"/>
  <c r="D104" i="154"/>
  <c r="AC104" i="154" s="1"/>
  <c r="B67" i="154"/>
  <c r="AJ67" i="154" s="1"/>
  <c r="D66" i="154"/>
  <c r="AS141" i="154" l="1"/>
  <c r="AC141" i="154"/>
  <c r="AL141" i="154"/>
  <c r="AL66" i="154"/>
  <c r="AC66" i="154"/>
  <c r="AS66" i="154"/>
  <c r="AS174" i="144"/>
  <c r="AC174" i="144"/>
  <c r="D175" i="144"/>
  <c r="AL175" i="144" s="1"/>
  <c r="AJ175" i="144"/>
  <c r="B176" i="144"/>
  <c r="AC27" i="144"/>
  <c r="AS137" i="144"/>
  <c r="AC137" i="144"/>
  <c r="D138" i="144"/>
  <c r="AS138" i="144" s="1"/>
  <c r="B139" i="144"/>
  <c r="AJ138" i="144"/>
  <c r="AS100" i="144"/>
  <c r="AC100" i="144"/>
  <c r="AL27" i="144"/>
  <c r="D101" i="144"/>
  <c r="AL101" i="144" s="1"/>
  <c r="AJ101" i="144"/>
  <c r="B102" i="144"/>
  <c r="AS63" i="144"/>
  <c r="AC63" i="144"/>
  <c r="D64" i="144"/>
  <c r="AL64" i="144" s="1"/>
  <c r="AJ64" i="144"/>
  <c r="B65" i="144"/>
  <c r="AJ28" i="144"/>
  <c r="B29" i="144"/>
  <c r="D28" i="144"/>
  <c r="AL28" i="144" s="1"/>
  <c r="B177" i="142"/>
  <c r="AJ176" i="142"/>
  <c r="D176" i="142"/>
  <c r="AC176" i="142" s="1"/>
  <c r="B140" i="142"/>
  <c r="AJ139" i="142"/>
  <c r="D139" i="142"/>
  <c r="AC139" i="142" s="1"/>
  <c r="B103" i="142"/>
  <c r="AJ102" i="142"/>
  <c r="D102" i="142"/>
  <c r="AC102" i="142" s="1"/>
  <c r="B66" i="142"/>
  <c r="AJ65" i="142"/>
  <c r="D65" i="142"/>
  <c r="AC65" i="142" s="1"/>
  <c r="AJ28" i="142"/>
  <c r="D28" i="142"/>
  <c r="AC28" i="142" s="1"/>
  <c r="B29" i="142"/>
  <c r="AL174" i="143"/>
  <c r="AS174" i="143"/>
  <c r="D175" i="143"/>
  <c r="AS175" i="143" s="1"/>
  <c r="AJ175" i="143"/>
  <c r="B176" i="143"/>
  <c r="AC137" i="143"/>
  <c r="AL137" i="143"/>
  <c r="D138" i="143"/>
  <c r="AS138" i="143" s="1"/>
  <c r="AJ138" i="143"/>
  <c r="B139" i="143"/>
  <c r="AC101" i="143"/>
  <c r="AC63" i="143"/>
  <c r="AL101" i="143"/>
  <c r="AC174" i="141"/>
  <c r="AS27" i="143"/>
  <c r="AJ102" i="143"/>
  <c r="B103" i="143"/>
  <c r="D102" i="143"/>
  <c r="AS102" i="143" s="1"/>
  <c r="AL63" i="143"/>
  <c r="D64" i="143"/>
  <c r="AS64" i="143" s="1"/>
  <c r="AJ64" i="143"/>
  <c r="B65" i="143"/>
  <c r="AL27" i="143"/>
  <c r="B29" i="143"/>
  <c r="D28" i="143"/>
  <c r="AL28" i="143" s="1"/>
  <c r="AJ28" i="143"/>
  <c r="AC27" i="141"/>
  <c r="AS174" i="141"/>
  <c r="D175" i="141"/>
  <c r="AL175" i="141" s="1"/>
  <c r="B176" i="141"/>
  <c r="AJ175" i="141"/>
  <c r="AS137" i="141"/>
  <c r="AC137" i="141"/>
  <c r="AL64" i="141"/>
  <c r="D138" i="141"/>
  <c r="AL138" i="141" s="1"/>
  <c r="AJ138" i="141"/>
  <c r="B139" i="141"/>
  <c r="AS100" i="141"/>
  <c r="AC100" i="141"/>
  <c r="AL27" i="141"/>
  <c r="D101" i="141"/>
  <c r="AL101" i="141" s="1"/>
  <c r="AJ101" i="141"/>
  <c r="B102" i="141"/>
  <c r="AJ65" i="141"/>
  <c r="B66" i="141"/>
  <c r="D65" i="141"/>
  <c r="AC65" i="141" s="1"/>
  <c r="AS64" i="141"/>
  <c r="AJ28" i="141"/>
  <c r="B29" i="141"/>
  <c r="D28" i="141"/>
  <c r="AL28" i="141" s="1"/>
  <c r="B143" i="154"/>
  <c r="AJ143" i="154" s="1"/>
  <c r="D142" i="154"/>
  <c r="D105" i="154"/>
  <c r="AC105" i="154" s="1"/>
  <c r="AJ105" i="154"/>
  <c r="B106" i="154"/>
  <c r="D67" i="154"/>
  <c r="B68" i="154"/>
  <c r="AJ68" i="154" s="1"/>
  <c r="D5" i="154"/>
  <c r="D4" i="154"/>
  <c r="D3" i="154"/>
  <c r="D2" i="154"/>
  <c r="AS142" i="154" l="1"/>
  <c r="AC142" i="154"/>
  <c r="AL142" i="154"/>
  <c r="AL67" i="154"/>
  <c r="AS67" i="154"/>
  <c r="AC67" i="154"/>
  <c r="AC175" i="144"/>
  <c r="AS175" i="144"/>
  <c r="AL138" i="144"/>
  <c r="AJ176" i="144"/>
  <c r="B177" i="144"/>
  <c r="D176" i="144"/>
  <c r="AS176" i="144" s="1"/>
  <c r="AC101" i="144"/>
  <c r="AC138" i="144"/>
  <c r="AJ139" i="144"/>
  <c r="B140" i="144"/>
  <c r="D139" i="144"/>
  <c r="AC139" i="144" s="1"/>
  <c r="AC64" i="144"/>
  <c r="AS64" i="144"/>
  <c r="AJ102" i="144"/>
  <c r="B103" i="144"/>
  <c r="D102" i="144"/>
  <c r="AC102" i="144" s="1"/>
  <c r="AS101" i="144"/>
  <c r="AJ65" i="144"/>
  <c r="D65" i="144"/>
  <c r="AL65" i="144" s="1"/>
  <c r="B66" i="144"/>
  <c r="AS28" i="144"/>
  <c r="AC175" i="143"/>
  <c r="AC28" i="144"/>
  <c r="D29" i="144"/>
  <c r="AL29" i="144" s="1"/>
  <c r="AJ29" i="144"/>
  <c r="B30" i="144"/>
  <c r="B178" i="142"/>
  <c r="AJ177" i="142"/>
  <c r="D177" i="142"/>
  <c r="AC177" i="142" s="1"/>
  <c r="B141" i="142"/>
  <c r="AJ140" i="142"/>
  <c r="D140" i="142"/>
  <c r="AC140" i="142" s="1"/>
  <c r="AC64" i="143"/>
  <c r="B104" i="142"/>
  <c r="AJ103" i="142"/>
  <c r="D103" i="142"/>
  <c r="AC103" i="142" s="1"/>
  <c r="B67" i="142"/>
  <c r="AJ66" i="142"/>
  <c r="D66" i="142"/>
  <c r="AC66" i="142" s="1"/>
  <c r="AC138" i="143"/>
  <c r="AL175" i="143"/>
  <c r="AJ29" i="142"/>
  <c r="D29" i="142"/>
  <c r="AC29" i="142" s="1"/>
  <c r="B30" i="142"/>
  <c r="AL102" i="143"/>
  <c r="AL138" i="143"/>
  <c r="AJ176" i="143"/>
  <c r="B177" i="143"/>
  <c r="D176" i="143"/>
  <c r="AL176" i="143" s="1"/>
  <c r="AJ139" i="143"/>
  <c r="B140" i="143"/>
  <c r="D139" i="143"/>
  <c r="AL139" i="143" s="1"/>
  <c r="AC102" i="143"/>
  <c r="D103" i="143"/>
  <c r="AS103" i="143" s="1"/>
  <c r="AJ103" i="143"/>
  <c r="B104" i="143"/>
  <c r="AC138" i="141"/>
  <c r="AL64" i="143"/>
  <c r="AC28" i="143"/>
  <c r="AJ65" i="143"/>
  <c r="B66" i="143"/>
  <c r="D65" i="143"/>
  <c r="AL65" i="143" s="1"/>
  <c r="AC175" i="141"/>
  <c r="AS28" i="143"/>
  <c r="AS175" i="141"/>
  <c r="AJ29" i="143"/>
  <c r="B30" i="143"/>
  <c r="D29" i="143"/>
  <c r="AL29" i="143" s="1"/>
  <c r="AJ176" i="141"/>
  <c r="B177" i="141"/>
  <c r="D176" i="141"/>
  <c r="AC176" i="141" s="1"/>
  <c r="AC101" i="141"/>
  <c r="AJ139" i="141"/>
  <c r="B140" i="141"/>
  <c r="D139" i="141"/>
  <c r="AS139" i="141" s="1"/>
  <c r="AS138" i="141"/>
  <c r="AS65" i="141"/>
  <c r="AJ102" i="141"/>
  <c r="B103" i="141"/>
  <c r="D102" i="141"/>
  <c r="AL102" i="141" s="1"/>
  <c r="AS101" i="141"/>
  <c r="AL65" i="141"/>
  <c r="AS28" i="141"/>
  <c r="AC28" i="141"/>
  <c r="D66" i="141"/>
  <c r="AL66" i="141" s="1"/>
  <c r="B67" i="141"/>
  <c r="AJ66" i="141"/>
  <c r="D29" i="141"/>
  <c r="AS29" i="141" s="1"/>
  <c r="AJ29" i="141"/>
  <c r="B30" i="141"/>
  <c r="D143" i="154"/>
  <c r="B144" i="154"/>
  <c r="AJ144" i="154" s="1"/>
  <c r="AJ106" i="154"/>
  <c r="B107" i="154"/>
  <c r="D106" i="154"/>
  <c r="AC106" i="154" s="1"/>
  <c r="B69" i="154"/>
  <c r="AJ69" i="154" s="1"/>
  <c r="D68" i="154"/>
  <c r="E43" i="154"/>
  <c r="E41" i="154"/>
  <c r="F16" i="154"/>
  <c r="F14" i="154"/>
  <c r="F12" i="154"/>
  <c r="AP11" i="154"/>
  <c r="F10" i="154"/>
  <c r="AS143" i="154" l="1"/>
  <c r="AL143" i="154"/>
  <c r="AC143" i="154"/>
  <c r="AL68" i="154"/>
  <c r="AC68" i="154"/>
  <c r="AS68" i="154"/>
  <c r="AC29" i="144"/>
  <c r="AL176" i="144"/>
  <c r="D177" i="144"/>
  <c r="AS177" i="144" s="1"/>
  <c r="AJ177" i="144"/>
  <c r="B178" i="144"/>
  <c r="AC176" i="144"/>
  <c r="AS65" i="144"/>
  <c r="AS139" i="144"/>
  <c r="D140" i="144"/>
  <c r="AL140" i="144" s="1"/>
  <c r="AJ140" i="144"/>
  <c r="B141" i="144"/>
  <c r="AL139" i="144"/>
  <c r="AL102" i="144"/>
  <c r="D103" i="144"/>
  <c r="AS103" i="144" s="1"/>
  <c r="AJ103" i="144"/>
  <c r="B104" i="144"/>
  <c r="AS102" i="144"/>
  <c r="D66" i="144"/>
  <c r="AS66" i="144" s="1"/>
  <c r="AJ66" i="144"/>
  <c r="B67" i="144"/>
  <c r="AC65" i="144"/>
  <c r="AJ30" i="144"/>
  <c r="B31" i="144"/>
  <c r="D30" i="144"/>
  <c r="AL30" i="144" s="1"/>
  <c r="AS29" i="144"/>
  <c r="B179" i="142"/>
  <c r="AJ178" i="142"/>
  <c r="D178" i="142"/>
  <c r="AC178" i="142" s="1"/>
  <c r="B142" i="142"/>
  <c r="D141" i="142"/>
  <c r="AC141" i="142" s="1"/>
  <c r="AJ141" i="142"/>
  <c r="B105" i="142"/>
  <c r="D104" i="142"/>
  <c r="AC104" i="142" s="1"/>
  <c r="AJ104" i="142"/>
  <c r="AS176" i="143"/>
  <c r="B68" i="142"/>
  <c r="AJ67" i="142"/>
  <c r="D67" i="142"/>
  <c r="AC67" i="142" s="1"/>
  <c r="AJ30" i="142"/>
  <c r="D30" i="142"/>
  <c r="AC30" i="142" s="1"/>
  <c r="B31" i="142"/>
  <c r="AC176" i="143"/>
  <c r="D177" i="143"/>
  <c r="AS177" i="143" s="1"/>
  <c r="AJ177" i="143"/>
  <c r="B178" i="143"/>
  <c r="AS139" i="143"/>
  <c r="AC139" i="143"/>
  <c r="AL176" i="141"/>
  <c r="D140" i="143"/>
  <c r="AL140" i="143" s="1"/>
  <c r="AJ140" i="143"/>
  <c r="B141" i="143"/>
  <c r="AC103" i="143"/>
  <c r="AL103" i="143"/>
  <c r="AJ104" i="143"/>
  <c r="B105" i="143"/>
  <c r="D104" i="143"/>
  <c r="AL104" i="143" s="1"/>
  <c r="AC29" i="143"/>
  <c r="AS65" i="143"/>
  <c r="AC65" i="143"/>
  <c r="AS176" i="141"/>
  <c r="D66" i="143"/>
  <c r="AL66" i="143" s="1"/>
  <c r="AJ66" i="143"/>
  <c r="B67" i="143"/>
  <c r="AS29" i="143"/>
  <c r="B31" i="143"/>
  <c r="D30" i="143"/>
  <c r="AC30" i="143" s="1"/>
  <c r="AJ30" i="143"/>
  <c r="AC29" i="141"/>
  <c r="AS102" i="141"/>
  <c r="AC139" i="141"/>
  <c r="D177" i="141"/>
  <c r="AS177" i="141" s="1"/>
  <c r="AJ177" i="141"/>
  <c r="B178" i="141"/>
  <c r="AL139" i="141"/>
  <c r="D140" i="141"/>
  <c r="AS140" i="141" s="1"/>
  <c r="AJ140" i="141"/>
  <c r="B141" i="141"/>
  <c r="AC102" i="141"/>
  <c r="D103" i="141"/>
  <c r="AS103" i="141" s="1"/>
  <c r="AJ103" i="141"/>
  <c r="B104" i="141"/>
  <c r="AS66" i="141"/>
  <c r="AL29" i="141"/>
  <c r="AJ67" i="141"/>
  <c r="B68" i="141"/>
  <c r="D67" i="141"/>
  <c r="AS67" i="141" s="1"/>
  <c r="AC66" i="141"/>
  <c r="AJ30" i="141"/>
  <c r="B31" i="141"/>
  <c r="D30" i="141"/>
  <c r="AL30" i="141" s="1"/>
  <c r="B145" i="154"/>
  <c r="AJ145" i="154" s="1"/>
  <c r="D144" i="154"/>
  <c r="D107" i="154"/>
  <c r="AC107" i="154" s="1"/>
  <c r="AJ107" i="154"/>
  <c r="B108" i="154"/>
  <c r="D69" i="154"/>
  <c r="B70" i="154"/>
  <c r="AJ70" i="154" s="1"/>
  <c r="B22" i="154"/>
  <c r="D21" i="154"/>
  <c r="AJ21" i="154"/>
  <c r="AI10" i="146"/>
  <c r="AI6" i="146"/>
  <c r="J4" i="146"/>
  <c r="AY146" i="144" l="1"/>
  <c r="Z44" i="144"/>
  <c r="AY183" i="142"/>
  <c r="Z81" i="142"/>
  <c r="AY35" i="142"/>
  <c r="Z118" i="143"/>
  <c r="AY72" i="143"/>
  <c r="Z155" i="141"/>
  <c r="AY109" i="141"/>
  <c r="Z7" i="141"/>
  <c r="AY157" i="154"/>
  <c r="AY119" i="154"/>
  <c r="AY183" i="144"/>
  <c r="Z81" i="144"/>
  <c r="AY35" i="144"/>
  <c r="Z118" i="142"/>
  <c r="AY72" i="142"/>
  <c r="Z155" i="143"/>
  <c r="AY109" i="143"/>
  <c r="Z7" i="143"/>
  <c r="AY146" i="141"/>
  <c r="Z44" i="141"/>
  <c r="Z118" i="144"/>
  <c r="AY72" i="144"/>
  <c r="Z155" i="142"/>
  <c r="AY109" i="142"/>
  <c r="Z7" i="142"/>
  <c r="AY146" i="143"/>
  <c r="Z44" i="143"/>
  <c r="AY183" i="141"/>
  <c r="Z81" i="141"/>
  <c r="AY35" i="141"/>
  <c r="AY81" i="154"/>
  <c r="Z155" i="144"/>
  <c r="AY109" i="144"/>
  <c r="Z7" i="144"/>
  <c r="AY146" i="142"/>
  <c r="Z44" i="142"/>
  <c r="AY183" i="143"/>
  <c r="Z81" i="143"/>
  <c r="AY35" i="143"/>
  <c r="Z118" i="141"/>
  <c r="AY72" i="141"/>
  <c r="AL21" i="154"/>
  <c r="AS21" i="154"/>
  <c r="AC21" i="154"/>
  <c r="AS144" i="154"/>
  <c r="AC144" i="154"/>
  <c r="AL144" i="154"/>
  <c r="AL69" i="154"/>
  <c r="AC69" i="154"/>
  <c r="AS69" i="154"/>
  <c r="AC66" i="144"/>
  <c r="AL66" i="144"/>
  <c r="AC103" i="144"/>
  <c r="AC177" i="144"/>
  <c r="AL177" i="144"/>
  <c r="AC140" i="144"/>
  <c r="AJ178" i="144"/>
  <c r="B179" i="144"/>
  <c r="D178" i="144"/>
  <c r="AC178" i="144" s="1"/>
  <c r="AJ141" i="144"/>
  <c r="B142" i="144"/>
  <c r="D141" i="144"/>
  <c r="AL141" i="144" s="1"/>
  <c r="AS140" i="144"/>
  <c r="AL103" i="144"/>
  <c r="AJ104" i="144"/>
  <c r="B105" i="144"/>
  <c r="D104" i="144"/>
  <c r="AL104" i="144" s="1"/>
  <c r="AJ67" i="144"/>
  <c r="D67" i="144"/>
  <c r="AL67" i="144" s="1"/>
  <c r="B68" i="144"/>
  <c r="AS30" i="144"/>
  <c r="AC30" i="144"/>
  <c r="D31" i="144"/>
  <c r="AS31" i="144" s="1"/>
  <c r="AJ31" i="144"/>
  <c r="B32" i="144"/>
  <c r="B180" i="142"/>
  <c r="AJ179" i="142"/>
  <c r="D179" i="142"/>
  <c r="AC179" i="142" s="1"/>
  <c r="B143" i="142"/>
  <c r="D142" i="142"/>
  <c r="AC142" i="142" s="1"/>
  <c r="AJ142" i="142"/>
  <c r="B106" i="142"/>
  <c r="AJ105" i="142"/>
  <c r="D105" i="142"/>
  <c r="AC105" i="142" s="1"/>
  <c r="B69" i="142"/>
  <c r="AJ68" i="142"/>
  <c r="D68" i="142"/>
  <c r="AC68" i="142" s="1"/>
  <c r="AC177" i="143"/>
  <c r="AJ31" i="142"/>
  <c r="D31" i="142"/>
  <c r="AC31" i="142" s="1"/>
  <c r="B32" i="142"/>
  <c r="AL177" i="143"/>
  <c r="AC140" i="143"/>
  <c r="AS140" i="143"/>
  <c r="AC66" i="143"/>
  <c r="AS66" i="143"/>
  <c r="AJ178" i="143"/>
  <c r="B179" i="143"/>
  <c r="D178" i="143"/>
  <c r="AL178" i="143" s="1"/>
  <c r="AS104" i="143"/>
  <c r="AC104" i="143"/>
  <c r="AJ141" i="143"/>
  <c r="B142" i="143"/>
  <c r="D141" i="143"/>
  <c r="AC141" i="143" s="1"/>
  <c r="AC177" i="141"/>
  <c r="D105" i="143"/>
  <c r="AS105" i="143" s="1"/>
  <c r="AJ105" i="143"/>
  <c r="B106" i="143"/>
  <c r="AL177" i="141"/>
  <c r="AL30" i="143"/>
  <c r="AJ67" i="143"/>
  <c r="B68" i="143"/>
  <c r="D67" i="143"/>
  <c r="AC67" i="143" s="1"/>
  <c r="AS30" i="143"/>
  <c r="AJ31" i="143"/>
  <c r="B32" i="143"/>
  <c r="D31" i="143"/>
  <c r="AC31" i="143" s="1"/>
  <c r="AC103" i="141"/>
  <c r="AL140" i="141"/>
  <c r="AJ178" i="141"/>
  <c r="B179" i="141"/>
  <c r="D178" i="141"/>
  <c r="AC178" i="141" s="1"/>
  <c r="AC140" i="141"/>
  <c r="AJ141" i="141"/>
  <c r="B142" i="141"/>
  <c r="D141" i="141"/>
  <c r="AL141" i="141" s="1"/>
  <c r="AC67" i="141"/>
  <c r="AL103" i="141"/>
  <c r="AJ104" i="141"/>
  <c r="B105" i="141"/>
  <c r="D104" i="141"/>
  <c r="AC104" i="141" s="1"/>
  <c r="AS30" i="141"/>
  <c r="AL67" i="141"/>
  <c r="D68" i="141"/>
  <c r="AS68" i="141" s="1"/>
  <c r="B69" i="141"/>
  <c r="AJ68" i="141"/>
  <c r="AC30" i="141"/>
  <c r="D31" i="141"/>
  <c r="AS31" i="141" s="1"/>
  <c r="AJ31" i="141"/>
  <c r="B32" i="141"/>
  <c r="Z129" i="154"/>
  <c r="Z53" i="154"/>
  <c r="Z91" i="154"/>
  <c r="D145" i="154"/>
  <c r="B146" i="154"/>
  <c r="AJ146" i="154" s="1"/>
  <c r="AJ108" i="154"/>
  <c r="B109" i="154"/>
  <c r="D108" i="154"/>
  <c r="AC108" i="154" s="1"/>
  <c r="B71" i="154"/>
  <c r="AJ71" i="154" s="1"/>
  <c r="D70" i="154"/>
  <c r="AJ22" i="154"/>
  <c r="D22" i="154"/>
  <c r="AL22" i="154" s="1"/>
  <c r="B23" i="154"/>
  <c r="AY43" i="154"/>
  <c r="Z15" i="154"/>
  <c r="AP4" i="145"/>
  <c r="E9" i="145"/>
  <c r="E8" i="145"/>
  <c r="E7" i="145"/>
  <c r="E5" i="145"/>
  <c r="E4" i="145"/>
  <c r="F3" i="145"/>
  <c r="E3" i="145"/>
  <c r="AS145" i="154" l="1"/>
  <c r="AL145" i="154"/>
  <c r="AC145" i="154"/>
  <c r="AL70" i="154"/>
  <c r="AC70" i="154"/>
  <c r="AS70" i="154"/>
  <c r="D179" i="144"/>
  <c r="AS179" i="144" s="1"/>
  <c r="AJ179" i="144"/>
  <c r="B180" i="144"/>
  <c r="AS141" i="144"/>
  <c r="AL178" i="144"/>
  <c r="AS178" i="144"/>
  <c r="AS104" i="144"/>
  <c r="AC141" i="144"/>
  <c r="D142" i="144"/>
  <c r="AS142" i="144" s="1"/>
  <c r="AJ142" i="144"/>
  <c r="B143" i="144"/>
  <c r="AC104" i="144"/>
  <c r="D105" i="144"/>
  <c r="AS105" i="144" s="1"/>
  <c r="AJ105" i="144"/>
  <c r="B106" i="144"/>
  <c r="AS67" i="144"/>
  <c r="AL31" i="144"/>
  <c r="D68" i="144"/>
  <c r="AL68" i="144" s="1"/>
  <c r="AJ68" i="144"/>
  <c r="B69" i="144"/>
  <c r="AC67" i="144"/>
  <c r="AJ32" i="144"/>
  <c r="D32" i="144"/>
  <c r="AL32" i="144" s="1"/>
  <c r="AC31" i="144"/>
  <c r="AJ180" i="142"/>
  <c r="D180" i="142"/>
  <c r="AC180" i="142" s="1"/>
  <c r="D143" i="142"/>
  <c r="AC143" i="142" s="1"/>
  <c r="AJ143" i="142"/>
  <c r="AJ106" i="142"/>
  <c r="D106" i="142"/>
  <c r="AC106" i="142" s="1"/>
  <c r="AJ69" i="142"/>
  <c r="D69" i="142"/>
  <c r="AC69" i="142" s="1"/>
  <c r="AJ32" i="142"/>
  <c r="D32" i="142"/>
  <c r="AC32" i="142" s="1"/>
  <c r="AC105" i="143"/>
  <c r="AS178" i="143"/>
  <c r="AC178" i="143"/>
  <c r="D179" i="143"/>
  <c r="AL179" i="143" s="1"/>
  <c r="AJ179" i="143"/>
  <c r="B180" i="143"/>
  <c r="AL141" i="143"/>
  <c r="D142" i="143"/>
  <c r="AS142" i="143" s="1"/>
  <c r="AJ142" i="143"/>
  <c r="B143" i="143"/>
  <c r="AS141" i="143"/>
  <c r="AS31" i="143"/>
  <c r="AL105" i="143"/>
  <c r="AJ106" i="143"/>
  <c r="D106" i="143"/>
  <c r="AS106" i="143" s="1"/>
  <c r="AL67" i="143"/>
  <c r="D68" i="143"/>
  <c r="AS68" i="143" s="1"/>
  <c r="AJ68" i="143"/>
  <c r="B69" i="143"/>
  <c r="AL31" i="143"/>
  <c r="AS67" i="143"/>
  <c r="AS178" i="141"/>
  <c r="D32" i="143"/>
  <c r="AL32" i="143" s="1"/>
  <c r="AJ32" i="143"/>
  <c r="AC68" i="141"/>
  <c r="AL178" i="141"/>
  <c r="AS141" i="141"/>
  <c r="D179" i="141"/>
  <c r="AL179" i="141" s="1"/>
  <c r="B180" i="141"/>
  <c r="AJ179" i="141"/>
  <c r="AC141" i="141"/>
  <c r="D142" i="141"/>
  <c r="AS142" i="141" s="1"/>
  <c r="AJ142" i="141"/>
  <c r="B143" i="141"/>
  <c r="AL68" i="141"/>
  <c r="AL104" i="141"/>
  <c r="D105" i="141"/>
  <c r="AL105" i="141" s="1"/>
  <c r="AJ105" i="141"/>
  <c r="B106" i="141"/>
  <c r="AS104" i="141"/>
  <c r="AJ69" i="141"/>
  <c r="D69" i="141"/>
  <c r="AC69" i="141" s="1"/>
  <c r="AL31" i="141"/>
  <c r="AJ32" i="141"/>
  <c r="D32" i="141"/>
  <c r="AL32" i="141" s="1"/>
  <c r="AC31" i="141"/>
  <c r="B147" i="154"/>
  <c r="AJ147" i="154" s="1"/>
  <c r="D146" i="154"/>
  <c r="D109" i="154"/>
  <c r="AC109" i="154" s="1"/>
  <c r="AJ109" i="154"/>
  <c r="B110" i="154"/>
  <c r="D71" i="154"/>
  <c r="B72" i="154"/>
  <c r="AJ72" i="154" s="1"/>
  <c r="AS22" i="154"/>
  <c r="AC22" i="154"/>
  <c r="AJ23" i="154"/>
  <c r="B24" i="154"/>
  <c r="D23" i="154"/>
  <c r="AL23" i="154" s="1"/>
  <c r="AS146" i="154" l="1"/>
  <c r="AC146" i="154"/>
  <c r="AL146" i="154"/>
  <c r="AL71" i="154"/>
  <c r="AC71" i="154"/>
  <c r="AS71" i="154"/>
  <c r="AC142" i="144"/>
  <c r="AC179" i="144"/>
  <c r="AL179" i="144"/>
  <c r="AC105" i="144"/>
  <c r="AL142" i="144"/>
  <c r="AJ180" i="144"/>
  <c r="D180" i="144"/>
  <c r="AC180" i="144" s="1"/>
  <c r="AJ143" i="144"/>
  <c r="D143" i="144"/>
  <c r="AC143" i="144" s="1"/>
  <c r="AL105" i="144"/>
  <c r="AJ106" i="144"/>
  <c r="D106" i="144"/>
  <c r="AL106" i="144" s="1"/>
  <c r="AJ69" i="144"/>
  <c r="D69" i="144"/>
  <c r="AL69" i="144" s="1"/>
  <c r="AS68" i="144"/>
  <c r="AC68" i="144"/>
  <c r="AS32" i="144"/>
  <c r="AC32" i="144"/>
  <c r="AS179" i="143"/>
  <c r="AC179" i="143"/>
  <c r="AL106" i="143"/>
  <c r="AJ180" i="143"/>
  <c r="D180" i="143"/>
  <c r="AL180" i="143" s="1"/>
  <c r="AC142" i="143"/>
  <c r="AL142" i="143"/>
  <c r="AC142" i="141"/>
  <c r="AC68" i="143"/>
  <c r="AJ143" i="143"/>
  <c r="D143" i="143"/>
  <c r="AC143" i="143" s="1"/>
  <c r="AC106" i="143"/>
  <c r="AL68" i="143"/>
  <c r="AS32" i="143"/>
  <c r="AJ69" i="143"/>
  <c r="D69" i="143"/>
  <c r="AL69" i="143" s="1"/>
  <c r="AC105" i="141"/>
  <c r="AS179" i="141"/>
  <c r="AC32" i="143"/>
  <c r="AL142" i="141"/>
  <c r="AC179" i="141"/>
  <c r="AJ180" i="141"/>
  <c r="D180" i="141"/>
  <c r="AS180" i="141" s="1"/>
  <c r="AJ143" i="141"/>
  <c r="D143" i="141"/>
  <c r="AL143" i="141" s="1"/>
  <c r="AL69" i="141"/>
  <c r="AJ106" i="141"/>
  <c r="D106" i="141"/>
  <c r="AC106" i="141" s="1"/>
  <c r="AS105" i="141"/>
  <c r="AC32" i="141"/>
  <c r="AS69" i="141"/>
  <c r="AS32" i="141"/>
  <c r="D147" i="154"/>
  <c r="B148" i="154"/>
  <c r="AJ148" i="154" s="1"/>
  <c r="AJ110" i="154"/>
  <c r="B111" i="154"/>
  <c r="D110" i="154"/>
  <c r="AC110" i="154" s="1"/>
  <c r="B73" i="154"/>
  <c r="AJ73" i="154" s="1"/>
  <c r="D72" i="154"/>
  <c r="AC23" i="154"/>
  <c r="AS23" i="154"/>
  <c r="B25" i="154"/>
  <c r="AJ24" i="154"/>
  <c r="D24" i="154"/>
  <c r="AS24" i="154" s="1"/>
  <c r="AR56" i="139"/>
  <c r="AQ56" i="139"/>
  <c r="AP56" i="139"/>
  <c r="AO56" i="139"/>
  <c r="AN56" i="139"/>
  <c r="AM56" i="139"/>
  <c r="AL56" i="139"/>
  <c r="AR38" i="139"/>
  <c r="AQ38" i="139"/>
  <c r="AP38" i="139"/>
  <c r="AO38" i="139"/>
  <c r="AN38" i="139"/>
  <c r="AM38" i="139"/>
  <c r="AL38" i="139"/>
  <c r="AR20" i="139"/>
  <c r="AQ20" i="139"/>
  <c r="AP20" i="139"/>
  <c r="AO20" i="139"/>
  <c r="AN20" i="139"/>
  <c r="AM20" i="139"/>
  <c r="AL20" i="139"/>
  <c r="AS147" i="154" l="1"/>
  <c r="AC147" i="154"/>
  <c r="AL147" i="154"/>
  <c r="AL72" i="154"/>
  <c r="AS72" i="154"/>
  <c r="AC72" i="154"/>
  <c r="AS180" i="144"/>
  <c r="AL180" i="144"/>
  <c r="AS143" i="144"/>
  <c r="AL143" i="144"/>
  <c r="AS106" i="144"/>
  <c r="AC106" i="144"/>
  <c r="AC69" i="144"/>
  <c r="AS69" i="144"/>
  <c r="AS180" i="143"/>
  <c r="AC180" i="143"/>
  <c r="AL143" i="143"/>
  <c r="AS143" i="143"/>
  <c r="AS69" i="143"/>
  <c r="AC69" i="143"/>
  <c r="AC180" i="141"/>
  <c r="AL180" i="141"/>
  <c r="AS143" i="141"/>
  <c r="AC143" i="141"/>
  <c r="AL106" i="141"/>
  <c r="AS106" i="141"/>
  <c r="B149" i="154"/>
  <c r="AJ149" i="154" s="1"/>
  <c r="D148" i="154"/>
  <c r="D111" i="154"/>
  <c r="AC111" i="154" s="1"/>
  <c r="AJ111" i="154"/>
  <c r="B112" i="154"/>
  <c r="D73" i="154"/>
  <c r="B74" i="154"/>
  <c r="AJ74" i="154" s="1"/>
  <c r="AC24" i="154"/>
  <c r="AJ25" i="154"/>
  <c r="B26" i="154"/>
  <c r="D26" i="154" s="1"/>
  <c r="D25" i="154"/>
  <c r="AS25" i="154" s="1"/>
  <c r="AL24" i="154"/>
  <c r="AS148" i="154" l="1"/>
  <c r="AL148" i="154"/>
  <c r="AC148" i="154"/>
  <c r="AL73" i="154"/>
  <c r="AC73" i="154"/>
  <c r="AS73" i="154"/>
  <c r="D149" i="154"/>
  <c r="B150" i="154"/>
  <c r="AJ150" i="154" s="1"/>
  <c r="AJ112" i="154"/>
  <c r="B113" i="154"/>
  <c r="D112" i="154"/>
  <c r="AC112" i="154" s="1"/>
  <c r="B75" i="154"/>
  <c r="AJ75" i="154" s="1"/>
  <c r="D74" i="154"/>
  <c r="B27" i="154"/>
  <c r="B28" i="154" s="1"/>
  <c r="AC25" i="154"/>
  <c r="AL25" i="154"/>
  <c r="AS26" i="154"/>
  <c r="AL26" i="154"/>
  <c r="AJ26" i="154"/>
  <c r="AC26" i="154"/>
  <c r="AS149" i="154" l="1"/>
  <c r="AC149" i="154"/>
  <c r="AL149" i="154"/>
  <c r="AL74" i="154"/>
  <c r="AC74" i="154"/>
  <c r="AS74" i="154"/>
  <c r="B151" i="154"/>
  <c r="AJ151" i="154" s="1"/>
  <c r="D150" i="154"/>
  <c r="D113" i="154"/>
  <c r="AC113" i="154" s="1"/>
  <c r="AJ113" i="154"/>
  <c r="B114" i="154"/>
  <c r="D75" i="154"/>
  <c r="B76" i="154"/>
  <c r="AJ76" i="154" s="1"/>
  <c r="AJ27" i="154"/>
  <c r="D27" i="154"/>
  <c r="AC27" i="154" s="1"/>
  <c r="AJ28" i="154"/>
  <c r="D28" i="154"/>
  <c r="AS28" i="154" s="1"/>
  <c r="B29" i="154"/>
  <c r="J5" i="146"/>
  <c r="AS150" i="154" l="1"/>
  <c r="AL150" i="154"/>
  <c r="AC150" i="154"/>
  <c r="AL75" i="154"/>
  <c r="AC75" i="154"/>
  <c r="AS75" i="154"/>
  <c r="D151" i="154"/>
  <c r="B152" i="154"/>
  <c r="AJ152" i="154" s="1"/>
  <c r="AJ114" i="154"/>
  <c r="B115" i="154"/>
  <c r="D114" i="154"/>
  <c r="AC114" i="154" s="1"/>
  <c r="B77" i="154"/>
  <c r="AJ77" i="154" s="1"/>
  <c r="D76" i="154"/>
  <c r="AS27" i="154"/>
  <c r="AL27" i="154"/>
  <c r="AC28" i="154"/>
  <c r="AJ29" i="154"/>
  <c r="AL28" i="154"/>
  <c r="D29" i="154"/>
  <c r="AC29" i="154" s="1"/>
  <c r="J6" i="146"/>
  <c r="AI11" i="146"/>
  <c r="B30" i="154"/>
  <c r="B31" i="154" s="1"/>
  <c r="Y8" i="145"/>
  <c r="AQ33" i="144" l="1"/>
  <c r="AQ33" i="141"/>
  <c r="AQ33" i="143"/>
  <c r="AS151" i="154"/>
  <c r="AC151" i="154"/>
  <c r="AL151" i="154"/>
  <c r="AL76" i="154"/>
  <c r="AC76" i="154"/>
  <c r="AS76" i="154"/>
  <c r="B153" i="154"/>
  <c r="AJ153" i="154" s="1"/>
  <c r="D152" i="154"/>
  <c r="D115" i="154"/>
  <c r="AC115" i="154" s="1"/>
  <c r="AJ115" i="154"/>
  <c r="B116" i="154"/>
  <c r="D77" i="154"/>
  <c r="B78" i="154"/>
  <c r="AJ78" i="154" s="1"/>
  <c r="D31" i="154"/>
  <c r="AS31" i="154" s="1"/>
  <c r="AJ31" i="154"/>
  <c r="B32" i="154"/>
  <c r="AJ30" i="154"/>
  <c r="AL29" i="154"/>
  <c r="AS29" i="154"/>
  <c r="D30" i="154"/>
  <c r="AS30" i="154" s="1"/>
  <c r="D60" i="92"/>
  <c r="AS152" i="154" l="1"/>
  <c r="AL152" i="154"/>
  <c r="AC152" i="154"/>
  <c r="AL77" i="154"/>
  <c r="AC77" i="154"/>
  <c r="AS77" i="154"/>
  <c r="D153" i="154"/>
  <c r="B154" i="154"/>
  <c r="AJ154" i="154" s="1"/>
  <c r="AJ116" i="154"/>
  <c r="D116" i="154"/>
  <c r="AC116" i="154" s="1"/>
  <c r="D78" i="154"/>
  <c r="AJ32" i="154"/>
  <c r="B33" i="154"/>
  <c r="D32" i="154"/>
  <c r="AC32" i="154" s="1"/>
  <c r="AL31" i="154"/>
  <c r="AC31" i="154"/>
  <c r="AC30" i="154"/>
  <c r="AL30" i="154"/>
  <c r="D32" i="92"/>
  <c r="D33" i="92"/>
  <c r="D57" i="92"/>
  <c r="D58" i="92"/>
  <c r="AS153" i="154" l="1"/>
  <c r="AC153" i="154"/>
  <c r="AL153" i="154"/>
  <c r="AL78" i="154"/>
  <c r="AC78" i="154"/>
  <c r="AS78" i="154"/>
  <c r="D154" i="154"/>
  <c r="AL32" i="154"/>
  <c r="AS32" i="154"/>
  <c r="D33" i="154"/>
  <c r="AS33" i="154" s="1"/>
  <c r="AJ33" i="154"/>
  <c r="B34" i="154"/>
  <c r="CH13" i="139"/>
  <c r="AS154" i="154" l="1"/>
  <c r="AL154" i="154"/>
  <c r="AC154" i="154"/>
  <c r="AC33" i="154"/>
  <c r="AL33" i="154"/>
  <c r="AJ34" i="154"/>
  <c r="B35" i="154"/>
  <c r="D34" i="154"/>
  <c r="AL34" i="154" s="1"/>
  <c r="E54" i="130"/>
  <c r="AS34" i="154" l="1"/>
  <c r="AC34" i="154"/>
  <c r="D35" i="154"/>
  <c r="AS35" i="154" s="1"/>
  <c r="AJ35" i="154"/>
  <c r="B36" i="154"/>
  <c r="E62" i="130"/>
  <c r="G33" i="130"/>
  <c r="G24" i="130"/>
  <c r="G23" i="130"/>
  <c r="AL35" i="154" l="1"/>
  <c r="AC35" i="154"/>
  <c r="AJ36" i="154"/>
  <c r="B37" i="154"/>
  <c r="D36" i="154"/>
  <c r="AS36" i="154" s="1"/>
  <c r="DF3" i="139"/>
  <c r="AL36" i="154" l="1"/>
  <c r="AC36" i="154"/>
  <c r="D37" i="154"/>
  <c r="AS37" i="154" s="1"/>
  <c r="AJ37" i="154"/>
  <c r="B38" i="154"/>
  <c r="F67" i="130"/>
  <c r="G5" i="130"/>
  <c r="AC37" i="154" l="1"/>
  <c r="AL37" i="154"/>
  <c r="AJ38" i="154"/>
  <c r="B39" i="154"/>
  <c r="D38" i="154"/>
  <c r="AL38" i="154" s="1"/>
  <c r="I54" i="126"/>
  <c r="AS38" i="154" l="1"/>
  <c r="AC38" i="154"/>
  <c r="D39" i="154"/>
  <c r="AL39" i="154" s="1"/>
  <c r="AJ39" i="154"/>
  <c r="B40" i="154"/>
  <c r="E71" i="126"/>
  <c r="AC39" i="154" l="1"/>
  <c r="AJ40" i="154"/>
  <c r="D40" i="154"/>
  <c r="AL40" i="154" s="1"/>
  <c r="AS39" i="154"/>
  <c r="AS40" i="154" l="1"/>
  <c r="AC40" i="154"/>
  <c r="D23" i="138"/>
  <c r="BH35" i="139" l="1"/>
  <c r="BH29" i="139"/>
  <c r="BH23" i="139"/>
  <c r="BH17" i="139"/>
  <c r="BH11" i="139"/>
  <c r="BH5" i="139"/>
  <c r="AM44" i="139" l="1"/>
  <c r="AM26" i="139"/>
  <c r="D22" i="137"/>
  <c r="DA3" i="139" l="1"/>
  <c r="D23" i="137"/>
  <c r="DB3" i="139" l="1"/>
  <c r="D49" i="139"/>
  <c r="G32" i="130" l="1"/>
  <c r="G31" i="130"/>
  <c r="D51" i="99"/>
  <c r="G24" i="126"/>
  <c r="G23" i="126"/>
  <c r="D5" i="150" l="1"/>
  <c r="BJ5" i="125" l="1"/>
  <c r="E75" i="126" l="1"/>
  <c r="E74" i="126"/>
  <c r="E73" i="126"/>
  <c r="E69" i="126"/>
  <c r="E65" i="126"/>
  <c r="E66" i="126"/>
  <c r="AP7" i="125" l="1"/>
  <c r="AP6" i="125"/>
  <c r="G22" i="126" l="1"/>
  <c r="CH45" i="139"/>
  <c r="F57" i="140" s="1"/>
  <c r="D3" i="127"/>
  <c r="F81" i="140"/>
  <c r="B45" i="154" l="1"/>
  <c r="B83" i="154"/>
  <c r="B159" i="154"/>
  <c r="B121" i="154"/>
  <c r="D18" i="139"/>
  <c r="D52" i="92" l="1"/>
  <c r="D17" i="139" l="1"/>
  <c r="AD9" i="152"/>
  <c r="L1" i="149" l="1"/>
  <c r="D12" i="151" l="1"/>
  <c r="D11" i="151"/>
  <c r="F88" i="126" l="1"/>
  <c r="AH6" i="139"/>
  <c r="D73" i="139" l="1"/>
  <c r="BU29" i="139" l="1"/>
  <c r="BU17" i="139"/>
  <c r="BY29" i="139"/>
  <c r="BX29" i="139" s="1"/>
  <c r="BY17" i="139"/>
  <c r="BX17" i="139" s="1"/>
  <c r="BU5" i="139"/>
  <c r="BY5" i="139"/>
  <c r="BX5" i="139" s="1"/>
  <c r="AY11" i="139" l="1"/>
  <c r="D20" i="137" l="1"/>
  <c r="D37" i="139" l="1"/>
  <c r="D35" i="139"/>
  <c r="D36" i="139"/>
  <c r="D38" i="139" s="1"/>
  <c r="D8" i="139" l="1"/>
  <c r="F54" i="140"/>
  <c r="D6" i="151" l="1"/>
  <c r="D14" i="152"/>
  <c r="AK3" i="152"/>
  <c r="AJ3" i="152"/>
  <c r="AL3" i="152" s="1"/>
  <c r="AI3" i="152"/>
  <c r="AH3" i="152"/>
  <c r="D19" i="151"/>
  <c r="D15" i="152"/>
  <c r="D78" i="139"/>
  <c r="D8" i="151"/>
  <c r="D17" i="151"/>
  <c r="D15" i="151"/>
  <c r="D16" i="151"/>
  <c r="D6" i="150" l="1"/>
  <c r="E82" i="130" l="1"/>
  <c r="G30" i="130" l="1"/>
  <c r="P8" i="82"/>
  <c r="P9" i="82"/>
  <c r="P16" i="82"/>
  <c r="U16" i="82"/>
  <c r="D2" i="132" l="1"/>
  <c r="W18" i="146" l="1"/>
  <c r="AN14" i="146"/>
  <c r="AG14" i="146"/>
  <c r="AI7" i="146"/>
  <c r="E7" i="146"/>
  <c r="E6" i="146"/>
  <c r="E5" i="146"/>
  <c r="J3" i="146"/>
  <c r="E4" i="146"/>
  <c r="F5" i="140"/>
  <c r="F4" i="140"/>
  <c r="F3" i="140"/>
  <c r="F31" i="140" s="1"/>
  <c r="F2" i="140"/>
  <c r="F1" i="140"/>
  <c r="F61" i="140" s="1"/>
  <c r="D81" i="139"/>
  <c r="D74" i="139"/>
  <c r="D70" i="139"/>
  <c r="D69" i="139"/>
  <c r="D68" i="139"/>
  <c r="D67" i="139"/>
  <c r="D66" i="139"/>
  <c r="CH39" i="139"/>
  <c r="D65" i="139"/>
  <c r="D64" i="139"/>
  <c r="D63" i="139"/>
  <c r="D62" i="139"/>
  <c r="D61" i="139"/>
  <c r="D60" i="139"/>
  <c r="D59" i="139"/>
  <c r="D58" i="139"/>
  <c r="D57" i="139"/>
  <c r="CM27" i="139"/>
  <c r="CM26" i="139"/>
  <c r="D50" i="139"/>
  <c r="CL18" i="139"/>
  <c r="CL13" i="139"/>
  <c r="AM8" i="139"/>
  <c r="D7" i="139"/>
  <c r="FO6" i="139"/>
  <c r="CL6" i="139"/>
  <c r="FO5" i="139"/>
  <c r="FC3" i="139"/>
  <c r="FB3" i="139"/>
  <c r="FA3" i="139"/>
  <c r="EZ3" i="139"/>
  <c r="EY3" i="139"/>
  <c r="EX3" i="139"/>
  <c r="EW3" i="139"/>
  <c r="EU3" i="139"/>
  <c r="ET3" i="139"/>
  <c r="ES3" i="139"/>
  <c r="ER3" i="139"/>
  <c r="EQ3" i="139"/>
  <c r="EP3" i="139"/>
  <c r="EV3" i="139" s="1"/>
  <c r="EO3" i="139"/>
  <c r="EN3" i="139"/>
  <c r="EM3" i="139"/>
  <c r="CR3" i="139" s="1"/>
  <c r="EL3" i="139"/>
  <c r="EK3" i="139"/>
  <c r="EJ3" i="139"/>
  <c r="EC3" i="139"/>
  <c r="EB3" i="139"/>
  <c r="EA3" i="139"/>
  <c r="DZ3" i="139"/>
  <c r="DY3" i="139"/>
  <c r="DX3" i="139"/>
  <c r="DW3" i="139"/>
  <c r="DV3" i="139"/>
  <c r="DU3" i="139"/>
  <c r="DT3" i="139"/>
  <c r="DS3" i="139"/>
  <c r="DR3" i="139"/>
  <c r="DP3" i="139"/>
  <c r="DO3" i="139"/>
  <c r="DN3" i="139"/>
  <c r="DM3" i="139"/>
  <c r="DK3" i="139"/>
  <c r="DJ3" i="139"/>
  <c r="DI3" i="139"/>
  <c r="DH3" i="139"/>
  <c r="DG3" i="139"/>
  <c r="DE3" i="139"/>
  <c r="DD3" i="139"/>
  <c r="DC3" i="139"/>
  <c r="CZ3" i="139"/>
  <c r="CX3" i="139"/>
  <c r="CW3" i="139"/>
  <c r="CV3" i="139"/>
  <c r="CU3" i="139"/>
  <c r="CT3" i="139"/>
  <c r="CS3" i="139"/>
  <c r="D46" i="138"/>
  <c r="D44" i="138"/>
  <c r="D41" i="138"/>
  <c r="D40" i="138"/>
  <c r="D39" i="138"/>
  <c r="D38" i="138"/>
  <c r="D37" i="138"/>
  <c r="D36" i="138"/>
  <c r="D35" i="138"/>
  <c r="D34" i="138"/>
  <c r="D33" i="138"/>
  <c r="D31" i="138"/>
  <c r="D30" i="138"/>
  <c r="D27" i="138"/>
  <c r="D25" i="138"/>
  <c r="D22" i="138"/>
  <c r="D31" i="137"/>
  <c r="D30" i="137"/>
  <c r="M19" i="137"/>
  <c r="EG3" i="139" s="1"/>
  <c r="J19" i="137"/>
  <c r="I19" i="137"/>
  <c r="D21" i="137"/>
  <c r="J7" i="137"/>
  <c r="D3" i="137"/>
  <c r="K1" i="137"/>
  <c r="I1" i="137"/>
  <c r="D45" i="138"/>
  <c r="CL19" i="139"/>
  <c r="D48" i="138"/>
  <c r="BF29" i="139"/>
  <c r="F7" i="132"/>
  <c r="D71" i="139" l="1"/>
  <c r="D72" i="139"/>
  <c r="AY13" i="139"/>
  <c r="F59" i="140"/>
  <c r="F43" i="140"/>
  <c r="F41" i="140" s="1"/>
  <c r="F50" i="140"/>
  <c r="AU43" i="154"/>
  <c r="E3" i="146"/>
  <c r="AP9" i="154"/>
  <c r="AP2" i="145"/>
  <c r="AY10" i="139"/>
  <c r="K19" i="137"/>
  <c r="ED3" i="139"/>
  <c r="N19" i="137"/>
  <c r="FO12" i="139"/>
  <c r="FO14" i="139"/>
  <c r="F17" i="140"/>
  <c r="E14" i="146"/>
  <c r="E13" i="146"/>
  <c r="E12" i="146"/>
  <c r="E11" i="146"/>
  <c r="CY3" i="139"/>
  <c r="F19" i="140"/>
  <c r="F12" i="140"/>
  <c r="F16" i="140"/>
  <c r="F13" i="140"/>
  <c r="F15" i="140"/>
  <c r="F11" i="140"/>
  <c r="F18" i="140"/>
  <c r="F14" i="140"/>
  <c r="F10" i="140"/>
  <c r="F20" i="140"/>
  <c r="F9" i="140"/>
  <c r="F8" i="140" s="1"/>
  <c r="F55" i="140"/>
  <c r="F52" i="140"/>
  <c r="F35" i="140"/>
  <c r="F33" i="140" s="1"/>
  <c r="F39" i="140"/>
  <c r="F37" i="140" s="1"/>
  <c r="FO17" i="139"/>
  <c r="F72" i="140"/>
  <c r="F29" i="140"/>
  <c r="FO11" i="139"/>
  <c r="F47" i="140"/>
  <c r="F45" i="140" s="1"/>
  <c r="FO9" i="139"/>
  <c r="CH12" i="139"/>
  <c r="FO13" i="139"/>
  <c r="FO7" i="139"/>
  <c r="FO10" i="139"/>
  <c r="CL15" i="139"/>
  <c r="F27" i="140"/>
  <c r="F25" i="140" s="1"/>
  <c r="F48" i="140"/>
  <c r="D31" i="111"/>
  <c r="C1" i="136"/>
  <c r="E7" i="136" s="1"/>
  <c r="D5" i="136" s="1"/>
  <c r="E87" i="130"/>
  <c r="D51" i="138"/>
  <c r="BF20" i="139"/>
  <c r="BF11" i="139"/>
  <c r="BF23" i="139"/>
  <c r="BF8" i="139"/>
  <c r="BF32" i="139"/>
  <c r="D49" i="138"/>
  <c r="BF17" i="139"/>
  <c r="BF35" i="139"/>
  <c r="BF5" i="139"/>
  <c r="EE3" i="139" l="1"/>
  <c r="L19" i="137"/>
  <c r="EF3" i="139" s="1"/>
  <c r="EH3" i="139"/>
  <c r="O19" i="137"/>
  <c r="EI3" i="139" s="1"/>
  <c r="E10" i="136"/>
  <c r="D4" i="136" s="1"/>
  <c r="E12" i="136"/>
  <c r="D15" i="111"/>
  <c r="D8" i="111"/>
  <c r="F7" i="111" s="1"/>
  <c r="D22" i="111"/>
  <c r="D21" i="111"/>
  <c r="D19" i="111"/>
  <c r="D11" i="111"/>
  <c r="D13" i="111"/>
  <c r="D12" i="111"/>
  <c r="D26" i="111"/>
  <c r="D27" i="111"/>
  <c r="D18" i="111" l="1"/>
  <c r="D3" i="136"/>
  <c r="E58" i="130" l="1"/>
  <c r="BQ3" i="131"/>
  <c r="F64" i="130" l="1"/>
  <c r="F63" i="126"/>
  <c r="F64" i="126"/>
  <c r="E70" i="126"/>
  <c r="F62" i="126" l="1"/>
  <c r="AU13" i="131"/>
  <c r="AP13" i="131"/>
  <c r="T14" i="98"/>
  <c r="O14" i="98"/>
  <c r="G29" i="130"/>
  <c r="D47" i="99"/>
  <c r="F100" i="130" l="1"/>
  <c r="F99" i="130"/>
  <c r="F79" i="130"/>
  <c r="AB8" i="98"/>
  <c r="AB7" i="98"/>
  <c r="D50" i="99"/>
  <c r="F77" i="130"/>
  <c r="F76" i="130"/>
  <c r="F75" i="130"/>
  <c r="F73" i="130"/>
  <c r="F72" i="130"/>
  <c r="F71" i="130"/>
  <c r="F70" i="130"/>
  <c r="F69" i="130"/>
  <c r="F66" i="130"/>
  <c r="F65" i="130"/>
  <c r="E61" i="130"/>
  <c r="E60" i="130"/>
  <c r="E57" i="130"/>
  <c r="E56" i="130"/>
  <c r="E55" i="130"/>
  <c r="E51" i="130"/>
  <c r="E52" i="130"/>
  <c r="E50" i="130"/>
  <c r="F81" i="130"/>
  <c r="F80" i="130"/>
  <c r="I78" i="130"/>
  <c r="G37" i="130"/>
  <c r="G36" i="130"/>
  <c r="G35" i="130"/>
  <c r="G34" i="130"/>
  <c r="G28" i="130"/>
  <c r="G27" i="130"/>
  <c r="G26" i="130"/>
  <c r="G25" i="130"/>
  <c r="G22" i="130"/>
  <c r="G21" i="130"/>
  <c r="G16" i="130"/>
  <c r="G29" i="126"/>
  <c r="G15" i="130"/>
  <c r="G14" i="130"/>
  <c r="G13" i="130"/>
  <c r="G12" i="130"/>
  <c r="G11" i="130"/>
  <c r="G10" i="130"/>
  <c r="G9" i="130"/>
  <c r="G8" i="130"/>
  <c r="G7" i="130"/>
  <c r="G6" i="130"/>
  <c r="G4" i="130"/>
  <c r="G3" i="130"/>
  <c r="G2" i="130"/>
  <c r="D32" i="99"/>
  <c r="D53" i="99"/>
  <c r="BQ4" i="131"/>
  <c r="E63" i="130" l="1"/>
  <c r="D44" i="130" s="1"/>
  <c r="E74" i="130"/>
  <c r="E68" i="130"/>
  <c r="E78" i="130"/>
  <c r="G21" i="126"/>
  <c r="BQ5" i="131"/>
  <c r="D36" i="99"/>
  <c r="D33" i="99"/>
  <c r="D34" i="99"/>
  <c r="D43" i="130" l="1"/>
  <c r="D40" i="130"/>
  <c r="D41" i="130"/>
  <c r="D42" i="130"/>
  <c r="D32" i="98"/>
  <c r="D31" i="98"/>
  <c r="D43" i="99"/>
  <c r="D42" i="99"/>
  <c r="D40" i="99"/>
  <c r="D29" i="99"/>
  <c r="F21" i="99" s="1"/>
  <c r="D28" i="98"/>
  <c r="D36" i="98"/>
  <c r="D35" i="98"/>
  <c r="D34" i="98" l="1"/>
  <c r="G18" i="130" s="1"/>
  <c r="D39" i="99"/>
  <c r="D33" i="98"/>
  <c r="G17" i="130" s="1"/>
  <c r="D38" i="98"/>
  <c r="G20" i="130" s="1"/>
  <c r="D37" i="98"/>
  <c r="F47" i="126"/>
  <c r="F51" i="126"/>
  <c r="F50" i="126"/>
  <c r="F77" i="126"/>
  <c r="F78" i="126"/>
  <c r="H78" i="126"/>
  <c r="F79" i="126"/>
  <c r="F54" i="126"/>
  <c r="G19" i="130" l="1"/>
  <c r="E76" i="126"/>
  <c r="BJ3" i="125"/>
  <c r="BJ4" i="125"/>
  <c r="F46" i="126" l="1"/>
  <c r="E45" i="126" s="1"/>
  <c r="F52" i="126"/>
  <c r="F53" i="126"/>
  <c r="F55" i="126"/>
  <c r="F56" i="126"/>
  <c r="F57" i="126"/>
  <c r="F58" i="126"/>
  <c r="F59" i="126"/>
  <c r="F60" i="126"/>
  <c r="F61" i="126"/>
  <c r="E67" i="126"/>
  <c r="E68" i="126"/>
  <c r="E72" i="126"/>
  <c r="AU14" i="125"/>
  <c r="AP14" i="125"/>
  <c r="F49" i="126" l="1"/>
  <c r="E48" i="126" s="1"/>
  <c r="D41" i="126" s="1"/>
  <c r="D34" i="82"/>
  <c r="D39" i="126" l="1"/>
  <c r="I55" i="126" s="1"/>
  <c r="D40" i="126"/>
  <c r="J41" i="126"/>
  <c r="I51" i="126" s="1"/>
  <c r="G27" i="126" l="1"/>
  <c r="D38" i="82"/>
  <c r="D37" i="82"/>
  <c r="D42" i="82"/>
  <c r="D41" i="82"/>
  <c r="D44" i="82" l="1"/>
  <c r="G32" i="126" s="1"/>
  <c r="D40" i="82"/>
  <c r="G26" i="126" s="1"/>
  <c r="D43" i="82"/>
  <c r="G31" i="126" s="1"/>
  <c r="D39" i="82"/>
  <c r="G25" i="126" s="1"/>
  <c r="G20" i="126"/>
  <c r="G19" i="126"/>
  <c r="G18" i="126"/>
  <c r="G17" i="126"/>
  <c r="G16" i="126"/>
  <c r="G15" i="126"/>
  <c r="G14" i="126"/>
  <c r="G13" i="126"/>
  <c r="G12" i="126"/>
  <c r="G11" i="126"/>
  <c r="G10" i="126"/>
  <c r="G9" i="126"/>
  <c r="G8" i="126"/>
  <c r="G7" i="126"/>
  <c r="G6" i="126"/>
  <c r="G5" i="126"/>
  <c r="G4" i="126"/>
  <c r="G3" i="126"/>
  <c r="G2" i="126"/>
  <c r="J43" i="126"/>
  <c r="G36" i="126"/>
  <c r="G35" i="126"/>
  <c r="G34" i="126"/>
  <c r="G33" i="126"/>
  <c r="G30" i="126"/>
  <c r="G28" i="126"/>
  <c r="I39" i="126" l="1"/>
  <c r="S28" i="125" l="1"/>
  <c r="D37" i="92"/>
  <c r="D34" i="92"/>
  <c r="D54" i="92"/>
  <c r="D35" i="92"/>
  <c r="D51" i="92" l="1"/>
  <c r="D44" i="92"/>
  <c r="D43" i="92"/>
  <c r="D41" i="92"/>
  <c r="D29" i="92"/>
  <c r="D40" i="92" s="1"/>
  <c r="D48" i="92"/>
  <c r="F21" i="92" l="1"/>
</calcChain>
</file>

<file path=xl/sharedStrings.xml><?xml version="1.0" encoding="utf-8"?>
<sst xmlns="http://schemas.openxmlformats.org/spreadsheetml/2006/main" count="2997" uniqueCount="1778">
  <si>
    <t>選択</t>
    <rPh sb="0" eb="2">
      <t>センタク</t>
    </rPh>
    <phoneticPr fontId="2"/>
  </si>
  <si>
    <t>フリーワード：</t>
    <phoneticPr fontId="2"/>
  </si>
  <si>
    <t>見積No.</t>
    <rPh sb="0" eb="2">
      <t>ミツモリ</t>
    </rPh>
    <phoneticPr fontId="2"/>
  </si>
  <si>
    <t>請求先CD</t>
    <rPh sb="0" eb="2">
      <t>セイキュウ</t>
    </rPh>
    <rPh sb="2" eb="3">
      <t>サキ</t>
    </rPh>
    <phoneticPr fontId="2"/>
  </si>
  <si>
    <t>請求先名</t>
    <rPh sb="0" eb="2">
      <t>セイキュウ</t>
    </rPh>
    <rPh sb="2" eb="3">
      <t>サキ</t>
    </rPh>
    <rPh sb="3" eb="4">
      <t>メイ</t>
    </rPh>
    <phoneticPr fontId="2"/>
  </si>
  <si>
    <t>件名</t>
    <rPh sb="0" eb="2">
      <t>ケンメイ</t>
    </rPh>
    <phoneticPr fontId="2"/>
  </si>
  <si>
    <t>税抜合計</t>
    <rPh sb="0" eb="2">
      <t>ゼイヌキ</t>
    </rPh>
    <rPh sb="2" eb="4">
      <t>ゴウケイ</t>
    </rPh>
    <phoneticPr fontId="2"/>
  </si>
  <si>
    <t>粗利益</t>
    <rPh sb="0" eb="3">
      <t>アラリエキ</t>
    </rPh>
    <phoneticPr fontId="2"/>
  </si>
  <si>
    <t>修正</t>
    <rPh sb="0" eb="2">
      <t>シュウセイ</t>
    </rPh>
    <phoneticPr fontId="2"/>
  </si>
  <si>
    <t>削除</t>
    <rPh sb="0" eb="2">
      <t>サクジョ</t>
    </rPh>
    <phoneticPr fontId="2"/>
  </si>
  <si>
    <t>新規登録</t>
    <rPh sb="0" eb="2">
      <t>シンキ</t>
    </rPh>
    <rPh sb="2" eb="4">
      <t>トウロク</t>
    </rPh>
    <phoneticPr fontId="2"/>
  </si>
  <si>
    <t>御中</t>
    <rPh sb="0" eb="2">
      <t>オンチュウ</t>
    </rPh>
    <phoneticPr fontId="2"/>
  </si>
  <si>
    <t>税率</t>
    <rPh sb="0" eb="2">
      <t>ゼイリツ</t>
    </rPh>
    <phoneticPr fontId="2"/>
  </si>
  <si>
    <t>消費税</t>
    <rPh sb="0" eb="3">
      <t>ショウヒゼイ</t>
    </rPh>
    <phoneticPr fontId="2"/>
  </si>
  <si>
    <t>税込合計</t>
    <rPh sb="0" eb="2">
      <t>ゼイコミ</t>
    </rPh>
    <rPh sb="2" eb="4">
      <t>ゴウケイ</t>
    </rPh>
    <phoneticPr fontId="2"/>
  </si>
  <si>
    <t>原価合計</t>
    <rPh sb="0" eb="2">
      <t>ゲンカ</t>
    </rPh>
    <rPh sb="2" eb="4">
      <t>ゴウケイ</t>
    </rPh>
    <phoneticPr fontId="2"/>
  </si>
  <si>
    <t>行</t>
    <rPh sb="0" eb="1">
      <t>ギョウ</t>
    </rPh>
    <phoneticPr fontId="2"/>
  </si>
  <si>
    <t>商品名</t>
    <rPh sb="0" eb="3">
      <t>ショウヒンメイ</t>
    </rPh>
    <phoneticPr fontId="2"/>
  </si>
  <si>
    <t>摘要</t>
    <rPh sb="0" eb="2">
      <t>テキヨウ</t>
    </rPh>
    <phoneticPr fontId="2"/>
  </si>
  <si>
    <t>粗利率</t>
    <rPh sb="0" eb="3">
      <t>アラリリツ</t>
    </rPh>
    <phoneticPr fontId="2"/>
  </si>
  <si>
    <t>定価</t>
    <rPh sb="0" eb="2">
      <t>テイカ</t>
    </rPh>
    <phoneticPr fontId="2"/>
  </si>
  <si>
    <t>商品CD</t>
    <rPh sb="0" eb="2">
      <t>ショウヒン</t>
    </rPh>
    <phoneticPr fontId="2"/>
  </si>
  <si>
    <t>受注データ検索（売上計上用）</t>
    <rPh sb="0" eb="2">
      <t>ジュチュウ</t>
    </rPh>
    <rPh sb="5" eb="7">
      <t>ケンサク</t>
    </rPh>
    <rPh sb="8" eb="10">
      <t>ウリアゲ</t>
    </rPh>
    <rPh sb="10" eb="12">
      <t>ケイジョウ</t>
    </rPh>
    <rPh sb="12" eb="13">
      <t>ヨウ</t>
    </rPh>
    <phoneticPr fontId="2"/>
  </si>
  <si>
    <t>受注区分：</t>
    <rPh sb="0" eb="2">
      <t>ジュチュウ</t>
    </rPh>
    <rPh sb="2" eb="4">
      <t>クブン</t>
    </rPh>
    <phoneticPr fontId="2"/>
  </si>
  <si>
    <t>分析依頼</t>
    <rPh sb="0" eb="2">
      <t>ブンセキ</t>
    </rPh>
    <rPh sb="2" eb="4">
      <t>イライ</t>
    </rPh>
    <phoneticPr fontId="2"/>
  </si>
  <si>
    <t>販売商品</t>
    <rPh sb="0" eb="2">
      <t>ハンバイ</t>
    </rPh>
    <rPh sb="2" eb="4">
      <t>ショウヒン</t>
    </rPh>
    <phoneticPr fontId="2"/>
  </si>
  <si>
    <t>売上未計上のみ検索：</t>
    <rPh sb="0" eb="2">
      <t>ウリアゲ</t>
    </rPh>
    <rPh sb="2" eb="5">
      <t>ミケイジョウ</t>
    </rPh>
    <rPh sb="7" eb="9">
      <t>ケンサク</t>
    </rPh>
    <phoneticPr fontId="2"/>
  </si>
  <si>
    <t>分析依頼ステータス：</t>
    <rPh sb="0" eb="2">
      <t>ブンセキ</t>
    </rPh>
    <rPh sb="2" eb="4">
      <t>イライ</t>
    </rPh>
    <phoneticPr fontId="2"/>
  </si>
  <si>
    <t>確認未</t>
    <rPh sb="0" eb="2">
      <t>カクニン</t>
    </rPh>
    <rPh sb="2" eb="3">
      <t>ミ</t>
    </rPh>
    <phoneticPr fontId="2"/>
  </si>
  <si>
    <t>受付確認</t>
    <rPh sb="0" eb="2">
      <t>ウケツケ</t>
    </rPh>
    <rPh sb="2" eb="4">
      <t>カクニン</t>
    </rPh>
    <phoneticPr fontId="2"/>
  </si>
  <si>
    <t>技術責任者確認</t>
    <rPh sb="0" eb="2">
      <t>ギジュツ</t>
    </rPh>
    <rPh sb="2" eb="5">
      <t>セキニンシャ</t>
    </rPh>
    <rPh sb="5" eb="7">
      <t>カクニン</t>
    </rPh>
    <phoneticPr fontId="2"/>
  </si>
  <si>
    <t>中間報告済</t>
    <rPh sb="0" eb="2">
      <t>チュウカン</t>
    </rPh>
    <rPh sb="2" eb="4">
      <t>ホウコク</t>
    </rPh>
    <rPh sb="4" eb="5">
      <t>ス</t>
    </rPh>
    <phoneticPr fontId="2"/>
  </si>
  <si>
    <t>営業確認済</t>
    <rPh sb="0" eb="2">
      <t>エイギョウ</t>
    </rPh>
    <rPh sb="2" eb="4">
      <t>カクニン</t>
    </rPh>
    <rPh sb="4" eb="5">
      <t>ス</t>
    </rPh>
    <phoneticPr fontId="2"/>
  </si>
  <si>
    <t>伝票発行済</t>
    <rPh sb="0" eb="2">
      <t>デンピョウ</t>
    </rPh>
    <rPh sb="2" eb="4">
      <t>ハッコウ</t>
    </rPh>
    <rPh sb="4" eb="5">
      <t>スミ</t>
    </rPh>
    <phoneticPr fontId="2"/>
  </si>
  <si>
    <t>納品済</t>
    <rPh sb="0" eb="2">
      <t>ノウヒン</t>
    </rPh>
    <rPh sb="2" eb="3">
      <t>スミ</t>
    </rPh>
    <phoneticPr fontId="2"/>
  </si>
  <si>
    <t>中断</t>
    <rPh sb="0" eb="2">
      <t>チュウダン</t>
    </rPh>
    <phoneticPr fontId="2"/>
  </si>
  <si>
    <t>中止</t>
    <rPh sb="0" eb="2">
      <t>チュウシ</t>
    </rPh>
    <phoneticPr fontId="2"/>
  </si>
  <si>
    <t>販売商品ステータス：</t>
    <rPh sb="0" eb="2">
      <t>ハンバイ</t>
    </rPh>
    <rPh sb="2" eb="4">
      <t>ショウヒン</t>
    </rPh>
    <phoneticPr fontId="2"/>
  </si>
  <si>
    <t>処理未</t>
    <rPh sb="0" eb="2">
      <t>ショリ</t>
    </rPh>
    <rPh sb="2" eb="3">
      <t>ミ</t>
    </rPh>
    <phoneticPr fontId="2"/>
  </si>
  <si>
    <t>出荷準備完了</t>
    <rPh sb="0" eb="2">
      <t>シュッカ</t>
    </rPh>
    <rPh sb="2" eb="4">
      <t>ジュンビ</t>
    </rPh>
    <rPh sb="4" eb="6">
      <t>カンリョウ</t>
    </rPh>
    <phoneticPr fontId="2"/>
  </si>
  <si>
    <t>～</t>
    <phoneticPr fontId="2"/>
  </si>
  <si>
    <t>納品日：</t>
    <rPh sb="0" eb="3">
      <t>ノウヒンビ</t>
    </rPh>
    <phoneticPr fontId="2"/>
  </si>
  <si>
    <t>売上
計上</t>
    <rPh sb="0" eb="2">
      <t>ウリアゲ</t>
    </rPh>
    <rPh sb="3" eb="5">
      <t>ケイジョウ</t>
    </rPh>
    <phoneticPr fontId="2"/>
  </si>
  <si>
    <t>受注区分</t>
    <rPh sb="0" eb="2">
      <t>ジュチュウ</t>
    </rPh>
    <rPh sb="2" eb="4">
      <t>クブン</t>
    </rPh>
    <phoneticPr fontId="2"/>
  </si>
  <si>
    <t>ステータス</t>
    <phoneticPr fontId="2"/>
  </si>
  <si>
    <t>分析依頼／
販売商品区分</t>
    <rPh sb="0" eb="2">
      <t>ブンセキ</t>
    </rPh>
    <rPh sb="2" eb="4">
      <t>イライ</t>
    </rPh>
    <rPh sb="6" eb="8">
      <t>ハンバイ</t>
    </rPh>
    <rPh sb="8" eb="10">
      <t>ショウヒン</t>
    </rPh>
    <rPh sb="10" eb="12">
      <t>クブン</t>
    </rPh>
    <phoneticPr fontId="2"/>
  </si>
  <si>
    <t>受理No.</t>
    <rPh sb="0" eb="2">
      <t>ジュリ</t>
    </rPh>
    <phoneticPr fontId="2"/>
  </si>
  <si>
    <t>入力日</t>
    <rPh sb="0" eb="2">
      <t>ニュウリョク</t>
    </rPh>
    <rPh sb="2" eb="3">
      <t>ビ</t>
    </rPh>
    <phoneticPr fontId="2"/>
  </si>
  <si>
    <t>納品日</t>
    <rPh sb="0" eb="3">
      <t>ノウヒンビ</t>
    </rPh>
    <phoneticPr fontId="2"/>
  </si>
  <si>
    <t>枝番件数</t>
    <rPh sb="0" eb="2">
      <t>エダバン</t>
    </rPh>
    <rPh sb="2" eb="4">
      <t>ケンスウ</t>
    </rPh>
    <phoneticPr fontId="2"/>
  </si>
  <si>
    <t>商品件数</t>
    <rPh sb="0" eb="2">
      <t>ショウヒン</t>
    </rPh>
    <rPh sb="2" eb="4">
      <t>ケンスウ</t>
    </rPh>
    <phoneticPr fontId="2"/>
  </si>
  <si>
    <t>売上入力</t>
    <rPh sb="0" eb="2">
      <t>ウリアゲ</t>
    </rPh>
    <rPh sb="2" eb="4">
      <t>ニュウリョク</t>
    </rPh>
    <phoneticPr fontId="2"/>
  </si>
  <si>
    <t>売上No.：</t>
    <rPh sb="0" eb="2">
      <t>ウリアゲ</t>
    </rPh>
    <phoneticPr fontId="2"/>
  </si>
  <si>
    <t>入力日時：</t>
    <rPh sb="0" eb="2">
      <t>ニュウリョク</t>
    </rPh>
    <rPh sb="2" eb="4">
      <t>ニチジ</t>
    </rPh>
    <phoneticPr fontId="2"/>
  </si>
  <si>
    <t>登録と同時に納品請求書発行：</t>
    <rPh sb="0" eb="2">
      <t>トウロク</t>
    </rPh>
    <rPh sb="3" eb="5">
      <t>ドウジ</t>
    </rPh>
    <rPh sb="6" eb="8">
      <t>ノウヒン</t>
    </rPh>
    <rPh sb="8" eb="10">
      <t>セイキュウ</t>
    </rPh>
    <rPh sb="10" eb="11">
      <t>ショ</t>
    </rPh>
    <rPh sb="11" eb="13">
      <t>ハッコウ</t>
    </rPh>
    <phoneticPr fontId="2"/>
  </si>
  <si>
    <t>注記：</t>
    <rPh sb="0" eb="2">
      <t>チュウキ</t>
    </rPh>
    <phoneticPr fontId="2"/>
  </si>
  <si>
    <t>送付先郵便番号：</t>
    <rPh sb="0" eb="2">
      <t>ソウフ</t>
    </rPh>
    <rPh sb="2" eb="3">
      <t>サキ</t>
    </rPh>
    <rPh sb="3" eb="7">
      <t>ユウビンバンゴウ</t>
    </rPh>
    <phoneticPr fontId="2"/>
  </si>
  <si>
    <t>送付先TEL：</t>
    <rPh sb="0" eb="2">
      <t>ソウフ</t>
    </rPh>
    <rPh sb="2" eb="3">
      <t>サキ</t>
    </rPh>
    <phoneticPr fontId="2"/>
  </si>
  <si>
    <t>送付先住所１：</t>
    <rPh sb="0" eb="2">
      <t>ソウフ</t>
    </rPh>
    <rPh sb="2" eb="3">
      <t>サキ</t>
    </rPh>
    <rPh sb="3" eb="5">
      <t>ジュウショ</t>
    </rPh>
    <phoneticPr fontId="2"/>
  </si>
  <si>
    <t>送付先FAX：</t>
    <rPh sb="0" eb="2">
      <t>ソウフ</t>
    </rPh>
    <rPh sb="2" eb="3">
      <t>サキ</t>
    </rPh>
    <phoneticPr fontId="2"/>
  </si>
  <si>
    <t>送付先住所２：</t>
    <rPh sb="0" eb="2">
      <t>ソウフ</t>
    </rPh>
    <rPh sb="2" eb="3">
      <t>サキ</t>
    </rPh>
    <rPh sb="3" eb="5">
      <t>ジュウショ</t>
    </rPh>
    <phoneticPr fontId="2"/>
  </si>
  <si>
    <t>粗利益</t>
    <rPh sb="0" eb="2">
      <t>アラリ</t>
    </rPh>
    <rPh sb="2" eb="3">
      <t>エキ</t>
    </rPh>
    <phoneticPr fontId="2"/>
  </si>
  <si>
    <t>粗利率</t>
    <rPh sb="0" eb="2">
      <t>アラリ</t>
    </rPh>
    <rPh sb="2" eb="3">
      <t>リツ</t>
    </rPh>
    <phoneticPr fontId="2"/>
  </si>
  <si>
    <t>販売金額</t>
    <rPh sb="0" eb="2">
      <t>ハンバイ</t>
    </rPh>
    <rPh sb="2" eb="4">
      <t>キンガク</t>
    </rPh>
    <phoneticPr fontId="2"/>
  </si>
  <si>
    <t>入数</t>
    <rPh sb="0" eb="1">
      <t>イ</t>
    </rPh>
    <rPh sb="1" eb="2">
      <t>スウ</t>
    </rPh>
    <phoneticPr fontId="2"/>
  </si>
  <si>
    <t>原価数量</t>
    <rPh sb="0" eb="2">
      <t>ゲンカ</t>
    </rPh>
    <rPh sb="2" eb="4">
      <t>スウリョウ</t>
    </rPh>
    <phoneticPr fontId="2"/>
  </si>
  <si>
    <t>総数</t>
    <rPh sb="0" eb="2">
      <t>ソウスウ</t>
    </rPh>
    <phoneticPr fontId="2"/>
  </si>
  <si>
    <t>原価金額</t>
    <rPh sb="0" eb="2">
      <t>ゲンカ</t>
    </rPh>
    <rPh sb="2" eb="4">
      <t>キンガク</t>
    </rPh>
    <phoneticPr fontId="2"/>
  </si>
  <si>
    <t>comment</t>
    <phoneticPr fontId="2"/>
  </si>
  <si>
    <t>売上検索</t>
    <rPh sb="0" eb="2">
      <t>ウリアゲ</t>
    </rPh>
    <rPh sb="2" eb="4">
      <t>ケンサク</t>
    </rPh>
    <phoneticPr fontId="2"/>
  </si>
  <si>
    <t>～</t>
    <phoneticPr fontId="2"/>
  </si>
  <si>
    <t>フリーワード：</t>
    <phoneticPr fontId="2"/>
  </si>
  <si>
    <t>売上日</t>
    <rPh sb="0" eb="2">
      <t>ウリアゲ</t>
    </rPh>
    <rPh sb="2" eb="3">
      <t>ヒ</t>
    </rPh>
    <phoneticPr fontId="2"/>
  </si>
  <si>
    <t>回収予定日</t>
    <rPh sb="0" eb="2">
      <t>カイシュウ</t>
    </rPh>
    <rPh sb="2" eb="5">
      <t>ヨテイビ</t>
    </rPh>
    <phoneticPr fontId="2"/>
  </si>
  <si>
    <t>伝票宛名</t>
    <rPh sb="0" eb="2">
      <t>デンピョウ</t>
    </rPh>
    <rPh sb="2" eb="4">
      <t>アテナ</t>
    </rPh>
    <phoneticPr fontId="2"/>
  </si>
  <si>
    <t>販売単価</t>
    <rPh sb="0" eb="2">
      <t>ハンバイ</t>
    </rPh>
    <rPh sb="2" eb="4">
      <t>タンカ</t>
    </rPh>
    <phoneticPr fontId="2"/>
  </si>
  <si>
    <t>売上No.</t>
    <rPh sb="0" eb="2">
      <t>ウリアゲ</t>
    </rPh>
    <phoneticPr fontId="2"/>
  </si>
  <si>
    <t>売上№</t>
    <rPh sb="0" eb="2">
      <t>ウリアゲ</t>
    </rPh>
    <phoneticPr fontId="2"/>
  </si>
  <si>
    <t>通常伝票</t>
    <rPh sb="0" eb="2">
      <t>ツウジョウ</t>
    </rPh>
    <rPh sb="2" eb="4">
      <t>デンピョウ</t>
    </rPh>
    <phoneticPr fontId="2"/>
  </si>
  <si>
    <t>訂正伝票</t>
    <rPh sb="0" eb="2">
      <t>テイセイ</t>
    </rPh>
    <rPh sb="2" eb="4">
      <t>デンピョウ</t>
    </rPh>
    <phoneticPr fontId="2"/>
  </si>
  <si>
    <t>赤伝票</t>
    <rPh sb="0" eb="1">
      <t>アカ</t>
    </rPh>
    <rPh sb="1" eb="3">
      <t>デンピョウ</t>
    </rPh>
    <phoneticPr fontId="2"/>
  </si>
  <si>
    <t>黒伝票</t>
    <rPh sb="0" eb="1">
      <t>クロ</t>
    </rPh>
    <rPh sb="1" eb="3">
      <t>デンピョウ</t>
    </rPh>
    <phoneticPr fontId="2"/>
  </si>
  <si>
    <t>訂正備考：</t>
    <phoneticPr fontId="2"/>
  </si>
  <si>
    <t>受理No.▽</t>
    <rPh sb="0" eb="2">
      <t>ジュリ</t>
    </rPh>
    <phoneticPr fontId="2"/>
  </si>
  <si>
    <t>見積No.▽</t>
    <rPh sb="0" eb="2">
      <t>ミツモリ</t>
    </rPh>
    <phoneticPr fontId="2"/>
  </si>
  <si>
    <t>分析／販売区分▼</t>
    <rPh sb="0" eb="2">
      <t>ブンセキ</t>
    </rPh>
    <rPh sb="3" eb="5">
      <t>ハンバイ</t>
    </rPh>
    <rPh sb="5" eb="7">
      <t>クブン</t>
    </rPh>
    <phoneticPr fontId="2"/>
  </si>
  <si>
    <t>請求先▼</t>
    <rPh sb="0" eb="2">
      <t>セイキュウ</t>
    </rPh>
    <rPh sb="2" eb="3">
      <t>サキ</t>
    </rPh>
    <phoneticPr fontId="2"/>
  </si>
  <si>
    <t>商品▼</t>
    <rPh sb="0" eb="2">
      <t>ショウヒン</t>
    </rPh>
    <phoneticPr fontId="2"/>
  </si>
  <si>
    <t>売上No.▽</t>
    <rPh sb="0" eb="2">
      <t>ウリアゲ</t>
    </rPh>
    <phoneticPr fontId="2"/>
  </si>
  <si>
    <t>原単価</t>
    <rPh sb="0" eb="1">
      <t>ゲン</t>
    </rPh>
    <rPh sb="1" eb="3">
      <t>タンカ</t>
    </rPh>
    <phoneticPr fontId="2"/>
  </si>
  <si>
    <t>商魂伝票No.</t>
    <rPh sb="0" eb="2">
      <t>ショウコン</t>
    </rPh>
    <rPh sb="2" eb="4">
      <t>デンピョウ</t>
    </rPh>
    <phoneticPr fontId="2"/>
  </si>
  <si>
    <t>商魂伝票No.：</t>
    <rPh sb="0" eb="2">
      <t>ショウコン</t>
    </rPh>
    <rPh sb="2" eb="4">
      <t>デンピョウ</t>
    </rPh>
    <phoneticPr fontId="2"/>
  </si>
  <si>
    <t>ステータス：</t>
    <phoneticPr fontId="2"/>
  </si>
  <si>
    <t>伝票未発行</t>
    <rPh sb="0" eb="2">
      <t>デンピョウ</t>
    </rPh>
    <rPh sb="2" eb="5">
      <t>ミハッコウ</t>
    </rPh>
    <phoneticPr fontId="2"/>
  </si>
  <si>
    <t>伝票再発行済</t>
    <rPh sb="0" eb="2">
      <t>デンピョウ</t>
    </rPh>
    <rPh sb="2" eb="5">
      <t>サイハッコウ</t>
    </rPh>
    <rPh sb="5" eb="6">
      <t>スミ</t>
    </rPh>
    <phoneticPr fontId="2"/>
  </si>
  <si>
    <t>売上日</t>
    <rPh sb="0" eb="2">
      <t>ウリアゲ</t>
    </rPh>
    <rPh sb="2" eb="3">
      <t>ビ</t>
    </rPh>
    <phoneticPr fontId="2"/>
  </si>
  <si>
    <t>伝票区分</t>
    <rPh sb="0" eb="2">
      <t>デンピョウ</t>
    </rPh>
    <rPh sb="2" eb="4">
      <t>クブン</t>
    </rPh>
    <phoneticPr fontId="2"/>
  </si>
  <si>
    <t>伝票区分：</t>
    <rPh sb="0" eb="2">
      <t>デンピョウ</t>
    </rPh>
    <rPh sb="2" eb="4">
      <t>クブン</t>
    </rPh>
    <phoneticPr fontId="2"/>
  </si>
  <si>
    <t>伝票区分▼</t>
    <rPh sb="0" eb="2">
      <t>デンピョウ</t>
    </rPh>
    <rPh sb="2" eb="4">
      <t>クブン</t>
    </rPh>
    <phoneticPr fontId="2"/>
  </si>
  <si>
    <t>連動日時</t>
    <rPh sb="0" eb="2">
      <t>レンドウ</t>
    </rPh>
    <rPh sb="2" eb="4">
      <t>ニチジ</t>
    </rPh>
    <phoneticPr fontId="2"/>
  </si>
  <si>
    <t>請求先名：</t>
    <rPh sb="0" eb="2">
      <t>セイキュウ</t>
    </rPh>
    <rPh sb="2" eb="3">
      <t>サキ</t>
    </rPh>
    <rPh sb="3" eb="4">
      <t>メイ</t>
    </rPh>
    <phoneticPr fontId="2"/>
  </si>
  <si>
    <t>売上訂正履歴一覧</t>
    <rPh sb="0" eb="2">
      <t>ウリアゲ</t>
    </rPh>
    <rPh sb="2" eb="4">
      <t>テイセイ</t>
    </rPh>
    <rPh sb="4" eb="6">
      <t>リレキ</t>
    </rPh>
    <rPh sb="6" eb="8">
      <t>イチラン</t>
    </rPh>
    <phoneticPr fontId="2"/>
  </si>
  <si>
    <t>売上№：</t>
    <rPh sb="0" eb="2">
      <t>ウリアゲ</t>
    </rPh>
    <phoneticPr fontId="2"/>
  </si>
  <si>
    <t>伝票送付先名：</t>
    <rPh sb="0" eb="2">
      <t>デンピョウ</t>
    </rPh>
    <rPh sb="2" eb="4">
      <t>ソウフ</t>
    </rPh>
    <rPh sb="4" eb="5">
      <t>サキ</t>
    </rPh>
    <rPh sb="5" eb="6">
      <t>メイ</t>
    </rPh>
    <phoneticPr fontId="2"/>
  </si>
  <si>
    <t>削除済も表示</t>
    <rPh sb="0" eb="2">
      <t>サクジョ</t>
    </rPh>
    <rPh sb="2" eb="3">
      <t>ス</t>
    </rPh>
    <rPh sb="4" eb="6">
      <t>ヒョウジ</t>
    </rPh>
    <phoneticPr fontId="2"/>
  </si>
  <si>
    <t>回収予定日</t>
    <rPh sb="0" eb="2">
      <t>カイシュウ</t>
    </rPh>
    <rPh sb="2" eb="5">
      <t>ヨテイビ</t>
    </rPh>
    <phoneticPr fontId="2"/>
  </si>
  <si>
    <t>税抜合計</t>
    <rPh sb="0" eb="2">
      <t>ゼイヌキ</t>
    </rPh>
    <rPh sb="2" eb="4">
      <t>ゴウケイ</t>
    </rPh>
    <phoneticPr fontId="2"/>
  </si>
  <si>
    <t>訂正備考</t>
    <rPh sb="0" eb="2">
      <t>テイセイ</t>
    </rPh>
    <rPh sb="2" eb="4">
      <t>ビコウ</t>
    </rPh>
    <phoneticPr fontId="2"/>
  </si>
  <si>
    <t>商魂伝票№：</t>
    <rPh sb="0" eb="2">
      <t>ショウコン</t>
    </rPh>
    <rPh sb="2" eb="4">
      <t>デンピョウ</t>
    </rPh>
    <phoneticPr fontId="2"/>
  </si>
  <si>
    <t>更新日時</t>
    <rPh sb="0" eb="2">
      <t>コウシン</t>
    </rPh>
    <rPh sb="2" eb="4">
      <t>ニチジ</t>
    </rPh>
    <phoneticPr fontId="2"/>
  </si>
  <si>
    <t>処理区分</t>
    <rPh sb="0" eb="2">
      <t>ショリ</t>
    </rPh>
    <rPh sb="2" eb="4">
      <t>クブン</t>
    </rPh>
    <phoneticPr fontId="2"/>
  </si>
  <si>
    <t>営業担当者名</t>
    <rPh sb="0" eb="2">
      <t>エイギョウ</t>
    </rPh>
    <phoneticPr fontId="2"/>
  </si>
  <si>
    <t>営業担当者名▼</t>
    <rPh sb="0" eb="2">
      <t>エイギョウ</t>
    </rPh>
    <phoneticPr fontId="2"/>
  </si>
  <si>
    <t>担当部署名▼</t>
    <rPh sb="0" eb="2">
      <t>タントウ</t>
    </rPh>
    <rPh sb="2" eb="4">
      <t>ブショ</t>
    </rPh>
    <rPh sb="4" eb="5">
      <t>メイ</t>
    </rPh>
    <phoneticPr fontId="2"/>
  </si>
  <si>
    <t>担当部署名</t>
    <rPh sb="0" eb="2">
      <t>タントウ</t>
    </rPh>
    <rPh sb="2" eb="4">
      <t>ブショ</t>
    </rPh>
    <rPh sb="4" eb="5">
      <t>メイ</t>
    </rPh>
    <phoneticPr fontId="2"/>
  </si>
  <si>
    <t>売上数量</t>
    <rPh sb="0" eb="2">
      <t>ウリアゲ</t>
    </rPh>
    <rPh sb="2" eb="4">
      <t>スウリョウ</t>
    </rPh>
    <phoneticPr fontId="2"/>
  </si>
  <si>
    <t>バラ単位</t>
    <rPh sb="2" eb="4">
      <t>タンイ</t>
    </rPh>
    <phoneticPr fontId="2"/>
  </si>
  <si>
    <t>売上数量単位</t>
    <rPh sb="0" eb="2">
      <t>ウリアゲ</t>
    </rPh>
    <rPh sb="2" eb="4">
      <t>スウリョウ</t>
    </rPh>
    <rPh sb="4" eb="6">
      <t>タンイ</t>
    </rPh>
    <phoneticPr fontId="2"/>
  </si>
  <si>
    <t>発送先住所を印字しない：</t>
    <rPh sb="0" eb="2">
      <t>ハッソウ</t>
    </rPh>
    <rPh sb="2" eb="3">
      <t>サキ</t>
    </rPh>
    <rPh sb="3" eb="5">
      <t>ジュウショ</t>
    </rPh>
    <rPh sb="6" eb="8">
      <t>インジ</t>
    </rPh>
    <phoneticPr fontId="2"/>
  </si>
  <si>
    <t>売上日▼</t>
    <rPh sb="0" eb="2">
      <t>ウリアゲ</t>
    </rPh>
    <phoneticPr fontId="2"/>
  </si>
  <si>
    <t>売上入力者名</t>
    <rPh sb="0" eb="2">
      <t>ウリアゲ</t>
    </rPh>
    <phoneticPr fontId="2"/>
  </si>
  <si>
    <t>売上入力者名▼</t>
    <rPh sb="0" eb="2">
      <t>ウリアゲ</t>
    </rPh>
    <phoneticPr fontId="2"/>
  </si>
  <si>
    <t>売上入力者名</t>
    <rPh sb="0" eb="2">
      <t>ウリアゲ</t>
    </rPh>
    <rPh sb="5" eb="6">
      <t>メイ</t>
    </rPh>
    <phoneticPr fontId="2"/>
  </si>
  <si>
    <t>入力者名▼</t>
    <rPh sb="0" eb="2">
      <t>ニュウリョク</t>
    </rPh>
    <phoneticPr fontId="2"/>
  </si>
  <si>
    <t>対象受理No.▼</t>
    <rPh sb="0" eb="2">
      <t>タイショウ</t>
    </rPh>
    <rPh sb="2" eb="4">
      <t>ジュリ</t>
    </rPh>
    <phoneticPr fontId="2"/>
  </si>
  <si>
    <t>対象見積No.▼</t>
    <rPh sb="0" eb="2">
      <t>タイショウ</t>
    </rPh>
    <rPh sb="2" eb="4">
      <t>ミツモリ</t>
    </rPh>
    <phoneticPr fontId="2"/>
  </si>
  <si>
    <t>商魂連動区分：</t>
    <rPh sb="0" eb="2">
      <t>ショウコン</t>
    </rPh>
    <rPh sb="2" eb="4">
      <t>レンドウ</t>
    </rPh>
    <rPh sb="4" eb="6">
      <t>クブン</t>
    </rPh>
    <phoneticPr fontId="2"/>
  </si>
  <si>
    <t>連動不要</t>
    <rPh sb="0" eb="2">
      <t>レンドウ</t>
    </rPh>
    <rPh sb="2" eb="4">
      <t>フヨウ</t>
    </rPh>
    <phoneticPr fontId="2"/>
  </si>
  <si>
    <t>未連動</t>
    <rPh sb="0" eb="1">
      <t>ミ</t>
    </rPh>
    <rPh sb="1" eb="3">
      <t>レンドウ</t>
    </rPh>
    <phoneticPr fontId="2"/>
  </si>
  <si>
    <t>連動済</t>
    <rPh sb="0" eb="2">
      <t>レンドウ</t>
    </rPh>
    <rPh sb="2" eb="3">
      <t>ス</t>
    </rPh>
    <phoneticPr fontId="2"/>
  </si>
  <si>
    <t>結合先売上No.</t>
    <rPh sb="0" eb="2">
      <t>ケツゴウ</t>
    </rPh>
    <rPh sb="2" eb="3">
      <t>サキ</t>
    </rPh>
    <rPh sb="3" eb="5">
      <t>ウリアゲ</t>
    </rPh>
    <phoneticPr fontId="2"/>
  </si>
  <si>
    <t>商魂連動区分</t>
    <rPh sb="0" eb="2">
      <t>ショウコン</t>
    </rPh>
    <rPh sb="2" eb="4">
      <t>レンドウ</t>
    </rPh>
    <rPh sb="4" eb="6">
      <t>クブン</t>
    </rPh>
    <phoneticPr fontId="2"/>
  </si>
  <si>
    <t>結合先売上No.▼</t>
    <rPh sb="0" eb="2">
      <t>ケツゴウ</t>
    </rPh>
    <rPh sb="2" eb="3">
      <t>サキ</t>
    </rPh>
    <rPh sb="3" eb="5">
      <t>ウリアゲ</t>
    </rPh>
    <phoneticPr fontId="2"/>
  </si>
  <si>
    <t>商魂連動区分▼</t>
    <rPh sb="0" eb="2">
      <t>ショウコン</t>
    </rPh>
    <rPh sb="2" eb="4">
      <t>レンドウ</t>
    </rPh>
    <rPh sb="4" eb="6">
      <t>クブン</t>
    </rPh>
    <phoneticPr fontId="2"/>
  </si>
  <si>
    <t>売上結合</t>
    <rPh sb="0" eb="2">
      <t>ウリアゲ</t>
    </rPh>
    <rPh sb="2" eb="4">
      <t>ケツゴウ</t>
    </rPh>
    <phoneticPr fontId="2"/>
  </si>
  <si>
    <t>対象受理No.</t>
    <rPh sb="0" eb="2">
      <t>タイショウ</t>
    </rPh>
    <rPh sb="2" eb="4">
      <t>ジュリ</t>
    </rPh>
    <phoneticPr fontId="2"/>
  </si>
  <si>
    <t>結合先売上No.：</t>
    <rPh sb="0" eb="2">
      <t>ケツゴウ</t>
    </rPh>
    <rPh sb="2" eb="3">
      <t>サキ</t>
    </rPh>
    <rPh sb="3" eb="5">
      <t>ウリアゲ</t>
    </rPh>
    <phoneticPr fontId="2"/>
  </si>
  <si>
    <t>摘要：</t>
    <rPh sb="0" eb="2">
      <t>テキヨウ</t>
    </rPh>
    <phoneticPr fontId="2"/>
  </si>
  <si>
    <t>確認2</t>
    <rPh sb="0" eb="2">
      <t>カクニン</t>
    </rPh>
    <phoneticPr fontId="2"/>
  </si>
  <si>
    <t>訂正依頼受付</t>
    <rPh sb="0" eb="2">
      <t>テイセイ</t>
    </rPh>
    <rPh sb="2" eb="4">
      <t>イライ</t>
    </rPh>
    <rPh sb="4" eb="6">
      <t>ウケツケ</t>
    </rPh>
    <phoneticPr fontId="2"/>
  </si>
  <si>
    <t>結合用</t>
    <rPh sb="0" eb="2">
      <t>ケツゴウ</t>
    </rPh>
    <rPh sb="2" eb="3">
      <t>ヨウ</t>
    </rPh>
    <phoneticPr fontId="2"/>
  </si>
  <si>
    <t>■フォーム制御用</t>
    <rPh sb="5" eb="7">
      <t>セイギョ</t>
    </rPh>
    <rPh sb="7" eb="8">
      <t>ヨウ</t>
    </rPh>
    <phoneticPr fontId="2"/>
  </si>
  <si>
    <t>フリーワード検索条件</t>
    <rPh sb="6" eb="8">
      <t>ケンサク</t>
    </rPh>
    <rPh sb="8" eb="10">
      <t>ジョウケン</t>
    </rPh>
    <phoneticPr fontId="2"/>
  </si>
  <si>
    <t>入力者CD</t>
    <rPh sb="0" eb="2">
      <t>ニュウリョク</t>
    </rPh>
    <rPh sb="2" eb="3">
      <t>シャ</t>
    </rPh>
    <phoneticPr fontId="2"/>
  </si>
  <si>
    <t>営業担当者CD</t>
    <rPh sb="0" eb="2">
      <t>エイギョウ</t>
    </rPh>
    <rPh sb="2" eb="5">
      <t>タントウシャ</t>
    </rPh>
    <phoneticPr fontId="2"/>
  </si>
  <si>
    <t/>
  </si>
  <si>
    <t>非表示列</t>
    <rPh sb="0" eb="3">
      <t>ヒヒョウジ</t>
    </rPh>
    <rPh sb="3" eb="4">
      <t>レツ</t>
    </rPh>
    <phoneticPr fontId="2"/>
  </si>
  <si>
    <t>■画面初期化マクロ用</t>
    <rPh sb="1" eb="3">
      <t>ガメン</t>
    </rPh>
    <rPh sb="3" eb="6">
      <t>ショキカ</t>
    </rPh>
    <rPh sb="9" eb="10">
      <t>ヨウ</t>
    </rPh>
    <phoneticPr fontId="2"/>
  </si>
  <si>
    <t>分析依頼</t>
    <phoneticPr fontId="2"/>
  </si>
  <si>
    <t>UNNH0010_H_HIDE_COLUMN</t>
  </si>
  <si>
    <t>速報送付済</t>
    <phoneticPr fontId="2"/>
  </si>
  <si>
    <t>分析依頼保管</t>
    <phoneticPr fontId="2"/>
  </si>
  <si>
    <t>上未計上のみ検索フラグ</t>
    <phoneticPr fontId="2"/>
  </si>
  <si>
    <t>技術責任者確認ステータス</t>
    <rPh sb="0" eb="2">
      <t>ギジュツ</t>
    </rPh>
    <rPh sb="2" eb="5">
      <t>セキニンシャ</t>
    </rPh>
    <rPh sb="5" eb="7">
      <t>カクニン</t>
    </rPh>
    <phoneticPr fontId="2"/>
  </si>
  <si>
    <t>受付確認ステータス</t>
    <phoneticPr fontId="2"/>
  </si>
  <si>
    <t>中間報告済ステータス</t>
    <rPh sb="0" eb="2">
      <t>チュウカン</t>
    </rPh>
    <rPh sb="2" eb="4">
      <t>ホウコク</t>
    </rPh>
    <rPh sb="4" eb="5">
      <t>スミ</t>
    </rPh>
    <phoneticPr fontId="2"/>
  </si>
  <si>
    <t>確認2ステータス</t>
    <rPh sb="0" eb="2">
      <t>カクニン</t>
    </rPh>
    <phoneticPr fontId="2"/>
  </si>
  <si>
    <t>速報送付済ステータス</t>
    <rPh sb="0" eb="2">
      <t>ソクホウ</t>
    </rPh>
    <rPh sb="2" eb="4">
      <t>ソウフ</t>
    </rPh>
    <rPh sb="4" eb="5">
      <t>スミ</t>
    </rPh>
    <phoneticPr fontId="2"/>
  </si>
  <si>
    <t>営業確認済ステータス</t>
    <rPh sb="0" eb="2">
      <t>エイギョウ</t>
    </rPh>
    <rPh sb="2" eb="4">
      <t>カクニン</t>
    </rPh>
    <rPh sb="4" eb="5">
      <t>スミ</t>
    </rPh>
    <phoneticPr fontId="2"/>
  </si>
  <si>
    <t>納品済ステータス</t>
    <rPh sb="0" eb="2">
      <t>ノウヒン</t>
    </rPh>
    <rPh sb="2" eb="3">
      <t>スミ</t>
    </rPh>
    <phoneticPr fontId="2"/>
  </si>
  <si>
    <t>分析依頼保管ステータス</t>
    <rPh sb="0" eb="2">
      <t>ブンセキ</t>
    </rPh>
    <rPh sb="2" eb="4">
      <t>イライ</t>
    </rPh>
    <rPh sb="4" eb="6">
      <t>ホカン</t>
    </rPh>
    <phoneticPr fontId="2"/>
  </si>
  <si>
    <t>訂正依頼受付ステータス</t>
    <phoneticPr fontId="2"/>
  </si>
  <si>
    <t>中断ステータス</t>
    <phoneticPr fontId="2"/>
  </si>
  <si>
    <t>中止ステータス</t>
    <phoneticPr fontId="2"/>
  </si>
  <si>
    <t>処理未ステータス</t>
    <phoneticPr fontId="2"/>
  </si>
  <si>
    <t>出荷準備完了ステータス</t>
    <phoneticPr fontId="2"/>
  </si>
  <si>
    <t>UNNH0010_H_IRAI_KBN</t>
    <phoneticPr fontId="2"/>
  </si>
  <si>
    <t>UNNH0010_H_SHOHIN_KBN</t>
    <phoneticPr fontId="2"/>
  </si>
  <si>
    <t>確認未ステータス</t>
    <phoneticPr fontId="2"/>
  </si>
  <si>
    <t>UNNH0010_H_MIKEIJO_FLG</t>
    <phoneticPr fontId="2"/>
  </si>
  <si>
    <t>UNNH0010_H_BUNSEKI_KAKUNIN_MI_STS</t>
    <phoneticPr fontId="2"/>
  </si>
  <si>
    <t>UNNH0010_H_BUNSEKI_UKETSUKE_STS</t>
    <phoneticPr fontId="2"/>
  </si>
  <si>
    <t>UNNH0010_H_BUNSEKI_CHUKAN_STS</t>
    <phoneticPr fontId="2"/>
  </si>
  <si>
    <t>UNNH0010_H_BUNSEKI_GIJUTSU_STS</t>
    <phoneticPr fontId="2"/>
  </si>
  <si>
    <t>UNNH0010_H_BUNSEKI_KAKUNIN_STS</t>
    <phoneticPr fontId="2"/>
  </si>
  <si>
    <t>UNNH0010_H_BUNSEKI_SOKUHO_STS</t>
    <phoneticPr fontId="2"/>
  </si>
  <si>
    <t>UNNH0010_H_BUNSEKI_EIGYO_STS</t>
    <phoneticPr fontId="2"/>
  </si>
  <si>
    <t>UNNH0010_H_BUNSEKI_NOHIN_STS</t>
    <phoneticPr fontId="2"/>
  </si>
  <si>
    <t>UNNH0010_H_BUNSEKI_IRAI_HOKAN_STS</t>
    <phoneticPr fontId="2"/>
  </si>
  <si>
    <t>UNNH0010_H_BUNSEKI_TEISEI_STS</t>
    <phoneticPr fontId="2"/>
  </si>
  <si>
    <t>UNNH0010_H_BUNSEKI_CHUDAN_STS</t>
    <phoneticPr fontId="2"/>
  </si>
  <si>
    <t>UNNH0010_H_BUNSEKI_CHUSHI_STS</t>
    <phoneticPr fontId="2"/>
  </si>
  <si>
    <t>UNNH0010_H_HAMBAI_SHORIMI_STS</t>
    <phoneticPr fontId="2"/>
  </si>
  <si>
    <t>UNNH0010_H_HAMBAI_JUNBI_KANRYO_STS</t>
    <phoneticPr fontId="2"/>
  </si>
  <si>
    <t>UNNH0010_H_FREEWD_KBN</t>
    <phoneticPr fontId="2"/>
  </si>
  <si>
    <t>発送先名</t>
    <rPh sb="3" eb="4">
      <t>メイ</t>
    </rPh>
    <phoneticPr fontId="2"/>
  </si>
  <si>
    <t>UNNH0010_H_SEIKYUSAKI_MEI</t>
    <phoneticPr fontId="2"/>
  </si>
  <si>
    <t>商品名</t>
    <rPh sb="0" eb="3">
      <t>ショウヒンメイ</t>
    </rPh>
    <phoneticPr fontId="2"/>
  </si>
  <si>
    <t>UNNH0010_H_SHOHIN_MEI</t>
    <phoneticPr fontId="2"/>
  </si>
  <si>
    <t>UNNH0010_H_HASSOSAKI_MEI</t>
    <phoneticPr fontId="2"/>
  </si>
  <si>
    <t>■ 定義</t>
    <rPh sb="2" eb="4">
      <t>テイギ</t>
    </rPh>
    <phoneticPr fontId="2"/>
  </si>
  <si>
    <t>最大行数</t>
    <rPh sb="0" eb="2">
      <t>サイダイ</t>
    </rPh>
    <rPh sb="2" eb="4">
      <t>ギョウスウ</t>
    </rPh>
    <phoneticPr fontId="2"/>
  </si>
  <si>
    <t>■表示用変数</t>
    <rPh sb="1" eb="4">
      <t>ヒョウジヨウ</t>
    </rPh>
    <rPh sb="4" eb="6">
      <t>ヘンスウ</t>
    </rPh>
    <phoneticPr fontId="2"/>
  </si>
  <si>
    <t>検索件数</t>
    <rPh sb="0" eb="2">
      <t>ケンサク</t>
    </rPh>
    <rPh sb="2" eb="4">
      <t>ケンスウ</t>
    </rPh>
    <phoneticPr fontId="2"/>
  </si>
  <si>
    <t>ページ番号</t>
    <rPh sb="3" eb="5">
      <t>バンゴウ</t>
    </rPh>
    <phoneticPr fontId="2"/>
  </si>
  <si>
    <t>総ページ数</t>
    <rPh sb="0" eb="1">
      <t>ソウ</t>
    </rPh>
    <rPh sb="4" eb="5">
      <t>スウ</t>
    </rPh>
    <phoneticPr fontId="2"/>
  </si>
  <si>
    <t>表示件数</t>
    <rPh sb="0" eb="2">
      <t>ヒョウジ</t>
    </rPh>
    <rPh sb="2" eb="4">
      <t>ケンスウ</t>
    </rPh>
    <phoneticPr fontId="2"/>
  </si>
  <si>
    <t>データリスト展開開始位置</t>
    <rPh sb="6" eb="8">
      <t>テンカイ</t>
    </rPh>
    <rPh sb="8" eb="10">
      <t>カイシ</t>
    </rPh>
    <rPh sb="10" eb="12">
      <t>イチ</t>
    </rPh>
    <phoneticPr fontId="2"/>
  </si>
  <si>
    <t>フラグコピー先</t>
    <rPh sb="6" eb="7">
      <t>サキ</t>
    </rPh>
    <phoneticPr fontId="2"/>
  </si>
  <si>
    <t>リスト書式コピー先</t>
    <rPh sb="3" eb="5">
      <t>ショシキ</t>
    </rPh>
    <rPh sb="8" eb="9">
      <t>サキ</t>
    </rPh>
    <phoneticPr fontId="2"/>
  </si>
  <si>
    <t>リストクリア範囲</t>
    <rPh sb="6" eb="8">
      <t>ハンイ</t>
    </rPh>
    <phoneticPr fontId="2"/>
  </si>
  <si>
    <t>1:件数1以上 / 2:件数0</t>
    <rPh sb="2" eb="4">
      <t>ケンスウ</t>
    </rPh>
    <rPh sb="5" eb="7">
      <t>イジョウ</t>
    </rPh>
    <rPh sb="12" eb="14">
      <t>ケンスウ</t>
    </rPh>
    <phoneticPr fontId="2"/>
  </si>
  <si>
    <t>検索件数0時のエラー回避用</t>
    <rPh sb="0" eb="2">
      <t>ケンサク</t>
    </rPh>
    <rPh sb="2" eb="4">
      <t>ケンスウ</t>
    </rPh>
    <rPh sb="5" eb="6">
      <t>ジ</t>
    </rPh>
    <rPh sb="10" eb="12">
      <t>カイヒ</t>
    </rPh>
    <rPh sb="12" eb="13">
      <t>ヨウ</t>
    </rPh>
    <phoneticPr fontId="2"/>
  </si>
  <si>
    <t>■ページ移動用変数</t>
    <rPh sb="4" eb="6">
      <t>イドウ</t>
    </rPh>
    <rPh sb="6" eb="7">
      <t>ヨウ</t>
    </rPh>
    <rPh sb="7" eb="9">
      <t>ヘンスウ</t>
    </rPh>
    <phoneticPr fontId="2"/>
  </si>
  <si>
    <t>1:あり / 2:なし</t>
  </si>
  <si>
    <t>次ページ移動判断</t>
    <rPh sb="0" eb="1">
      <t>ツギ</t>
    </rPh>
    <rPh sb="4" eb="6">
      <t>イドウ</t>
    </rPh>
    <rPh sb="6" eb="8">
      <t>ハンダン</t>
    </rPh>
    <phoneticPr fontId="2"/>
  </si>
  <si>
    <t>前ページ移動判断</t>
    <rPh sb="0" eb="1">
      <t>マエ</t>
    </rPh>
    <rPh sb="4" eb="6">
      <t>イドウ</t>
    </rPh>
    <rPh sb="6" eb="8">
      <t>ハンダン</t>
    </rPh>
    <phoneticPr fontId="2"/>
  </si>
  <si>
    <t>次ページ番号</t>
    <rPh sb="0" eb="1">
      <t>ツギ</t>
    </rPh>
    <rPh sb="4" eb="6">
      <t>バンゴウ</t>
    </rPh>
    <phoneticPr fontId="2"/>
  </si>
  <si>
    <t>前ページ番号</t>
    <rPh sb="0" eb="1">
      <t>マエ</t>
    </rPh>
    <rPh sb="4" eb="6">
      <t>バンゴウ</t>
    </rPh>
    <phoneticPr fontId="2"/>
  </si>
  <si>
    <t>■受注依頼入力遷移用変数</t>
    <rPh sb="1" eb="3">
      <t>ジュチュウ</t>
    </rPh>
    <rPh sb="3" eb="5">
      <t>イライ</t>
    </rPh>
    <rPh sb="5" eb="7">
      <t>ニュウリョク</t>
    </rPh>
    <rPh sb="7" eb="9">
      <t>センイ</t>
    </rPh>
    <rPh sb="9" eb="10">
      <t>ヨウ</t>
    </rPh>
    <rPh sb="10" eb="12">
      <t>ヘンスウ</t>
    </rPh>
    <phoneticPr fontId="2"/>
  </si>
  <si>
    <t>選択行番号</t>
    <rPh sb="0" eb="2">
      <t>センタク</t>
    </rPh>
    <rPh sb="2" eb="5">
      <t>ギョウバンゴウ</t>
    </rPh>
    <phoneticPr fontId="2"/>
  </si>
  <si>
    <t>選択受理No.</t>
    <rPh sb="0" eb="2">
      <t>センタク</t>
    </rPh>
    <rPh sb="2" eb="4">
      <t>ジュリ</t>
    </rPh>
    <phoneticPr fontId="2"/>
  </si>
  <si>
    <t>非表示行</t>
    <rPh sb="0" eb="3">
      <t>ヒヒョウジ</t>
    </rPh>
    <rPh sb="3" eb="4">
      <t>ギョウ</t>
    </rPh>
    <phoneticPr fontId="2"/>
  </si>
  <si>
    <t>ウィンドウ固定位置</t>
    <rPh sb="5" eb="7">
      <t>コテイ</t>
    </rPh>
    <rPh sb="7" eb="9">
      <t>イチ</t>
    </rPh>
    <phoneticPr fontId="2"/>
  </si>
  <si>
    <t>UNNH0010_B_FORMAT_COPY_FLG</t>
  </si>
  <si>
    <t>UNNH0010_B_SELECT_GYO_NO</t>
  </si>
  <si>
    <t>UNNH0010_B_SELECT_JURI_NO</t>
  </si>
  <si>
    <t>UNNH0010_B_CTRL_HYOJI_GYO_SU</t>
    <phoneticPr fontId="2"/>
  </si>
  <si>
    <t>UNNH0010_B_KENSAKU_KENSU</t>
    <phoneticPr fontId="2"/>
  </si>
  <si>
    <t>UNNH0010_B_PAGE_NO</t>
    <phoneticPr fontId="2"/>
  </si>
  <si>
    <t>UNNH0010_B_ALL_PAGE_SU</t>
    <phoneticPr fontId="2"/>
  </si>
  <si>
    <t>UNNH0010_B_HYOJI_KENSU</t>
    <phoneticPr fontId="2"/>
  </si>
  <si>
    <t>UNNH0010_B_LIST_START</t>
    <phoneticPr fontId="2"/>
  </si>
  <si>
    <t>UNNH0010_B_SELECT_FLG_COPY_SAKI</t>
    <phoneticPr fontId="2"/>
  </si>
  <si>
    <t>UNNH0010_B_COPY_SAKI</t>
    <phoneticPr fontId="2"/>
  </si>
  <si>
    <t>UNNH0010_B_LIST_CLEAR</t>
    <phoneticPr fontId="2"/>
  </si>
  <si>
    <t>フラグ</t>
    <phoneticPr fontId="2"/>
  </si>
  <si>
    <t>UNNH0010_B_EXIST_NEXT_PAGE</t>
    <phoneticPr fontId="2"/>
  </si>
  <si>
    <t>UNNH0010_B_EXIST_PREV_PAGE</t>
    <phoneticPr fontId="2"/>
  </si>
  <si>
    <t>UNNH0010_B_NEXT_PAGE_NO</t>
    <phoneticPr fontId="2"/>
  </si>
  <si>
    <t>UNNH0010_B_PREV_PAGE_NO</t>
    <phoneticPr fontId="2"/>
  </si>
  <si>
    <t>UNNH0010_B_HIDE_COLUMN</t>
    <phoneticPr fontId="2"/>
  </si>
  <si>
    <t xml:space="preserve">【コピー元】   </t>
    <rPh sb="4" eb="5">
      <t>モト</t>
    </rPh>
    <phoneticPr fontId="2"/>
  </si>
  <si>
    <t>フラグデータ初期化用</t>
    <rPh sb="6" eb="9">
      <t>ショキカ</t>
    </rPh>
    <rPh sb="9" eb="10">
      <t>ヨウ</t>
    </rPh>
    <phoneticPr fontId="2"/>
  </si>
  <si>
    <t>データ初期化用</t>
    <rPh sb="3" eb="6">
      <t>ショキカ</t>
    </rPh>
    <rPh sb="6" eb="7">
      <t>ヨウ</t>
    </rPh>
    <phoneticPr fontId="2"/>
  </si>
  <si>
    <t>リスト初期書式コピー範囲</t>
    <rPh sb="3" eb="5">
      <t>ショキ</t>
    </rPh>
    <rPh sb="5" eb="7">
      <t>ショシキ</t>
    </rPh>
    <rPh sb="10" eb="12">
      <t>ハンイ</t>
    </rPh>
    <phoneticPr fontId="2"/>
  </si>
  <si>
    <t>リスト書式コピー元範囲</t>
    <rPh sb="3" eb="5">
      <t>ショシキ</t>
    </rPh>
    <rPh sb="8" eb="9">
      <t>モト</t>
    </rPh>
    <rPh sb="9" eb="11">
      <t>ハンイ</t>
    </rPh>
    <phoneticPr fontId="2"/>
  </si>
  <si>
    <t>フラグコピー元</t>
  </si>
  <si>
    <t>【処理用判定】</t>
    <rPh sb="1" eb="4">
      <t>ショリヨウ</t>
    </rPh>
    <rPh sb="4" eb="6">
      <t>ハンテイ</t>
    </rPh>
    <phoneticPr fontId="2"/>
  </si>
  <si>
    <t>データ照会中フラグ</t>
    <rPh sb="3" eb="5">
      <t>ショウカイ</t>
    </rPh>
    <rPh sb="5" eb="6">
      <t>チュウ</t>
    </rPh>
    <phoneticPr fontId="2"/>
  </si>
  <si>
    <t>ON:1/OFF:1以外</t>
  </si>
  <si>
    <t>【フォーカス判定】</t>
    <rPh sb="6" eb="8">
      <t>ハンテイ</t>
    </rPh>
    <phoneticPr fontId="2"/>
  </si>
  <si>
    <t>選択シート名</t>
    <rPh sb="0" eb="2">
      <t>センタク</t>
    </rPh>
    <rPh sb="5" eb="6">
      <t>メイ</t>
    </rPh>
    <phoneticPr fontId="2"/>
  </si>
  <si>
    <t>選択行番号</t>
    <rPh sb="0" eb="2">
      <t>センタク</t>
    </rPh>
    <rPh sb="2" eb="3">
      <t>ギョウ</t>
    </rPh>
    <rPh sb="3" eb="5">
      <t>バンゴウ</t>
    </rPh>
    <phoneticPr fontId="2"/>
  </si>
  <si>
    <t>選択列番号</t>
    <rPh sb="0" eb="2">
      <t>センタク</t>
    </rPh>
    <rPh sb="2" eb="3">
      <t>レツ</t>
    </rPh>
    <rPh sb="3" eb="5">
      <t>バンゴウ</t>
    </rPh>
    <phoneticPr fontId="2"/>
  </si>
  <si>
    <t>選択セル名</t>
    <rPh sb="0" eb="2">
      <t>センタク</t>
    </rPh>
    <rPh sb="4" eb="5">
      <t>メイ</t>
    </rPh>
    <phoneticPr fontId="2"/>
  </si>
  <si>
    <t>【コンボボックス】</t>
    <phoneticPr fontId="2"/>
  </si>
  <si>
    <t>【保存IF】</t>
    <rPh sb="1" eb="3">
      <t>ホゾン</t>
    </rPh>
    <phoneticPr fontId="2"/>
  </si>
  <si>
    <t>【ワークテーブル用】</t>
    <rPh sb="8" eb="9">
      <t>ヨウ</t>
    </rPh>
    <phoneticPr fontId="2"/>
  </si>
  <si>
    <t>ユーザーID</t>
  </si>
  <si>
    <t>シリアル値</t>
    <rPh sb="4" eb="5">
      <t>アタイ</t>
    </rPh>
    <phoneticPr fontId="2"/>
  </si>
  <si>
    <t>シリアル値生成</t>
    <rPh sb="4" eb="5">
      <t>アタイ</t>
    </rPh>
    <rPh sb="5" eb="7">
      <t>セイセイ</t>
    </rPh>
    <phoneticPr fontId="2"/>
  </si>
  <si>
    <t>処理モード</t>
    <rPh sb="0" eb="2">
      <t>ショリ</t>
    </rPh>
    <phoneticPr fontId="2"/>
  </si>
  <si>
    <t>ユーザーID</t>
    <phoneticPr fontId="2"/>
  </si>
  <si>
    <t>【保存数式】</t>
    <rPh sb="1" eb="3">
      <t>ホゾン</t>
    </rPh>
    <rPh sb="3" eb="5">
      <t>スウシキ</t>
    </rPh>
    <phoneticPr fontId="2"/>
  </si>
  <si>
    <t>保存数式コピー先</t>
    <rPh sb="0" eb="2">
      <t>ホゾン</t>
    </rPh>
    <rPh sb="2" eb="4">
      <t>スウシキ</t>
    </rPh>
    <rPh sb="7" eb="8">
      <t>サキ</t>
    </rPh>
    <phoneticPr fontId="2"/>
  </si>
  <si>
    <t>保存件数</t>
    <rPh sb="0" eb="2">
      <t>ホゾン</t>
    </rPh>
    <rPh sb="2" eb="4">
      <t>ケンスウ</t>
    </rPh>
    <phoneticPr fontId="2"/>
  </si>
  <si>
    <t>【保存結果】</t>
    <rPh sb="1" eb="3">
      <t>ホゾン</t>
    </rPh>
    <rPh sb="3" eb="5">
      <t>ケッカ</t>
    </rPh>
    <phoneticPr fontId="2"/>
  </si>
  <si>
    <t>保存処理結果</t>
    <rPh sb="0" eb="2">
      <t>ホゾン</t>
    </rPh>
    <rPh sb="2" eb="4">
      <t>ショリ</t>
    </rPh>
    <rPh sb="4" eb="6">
      <t>ケッカ</t>
    </rPh>
    <phoneticPr fontId="2"/>
  </si>
  <si>
    <t>保存処理結果メッセージ</t>
    <rPh sb="0" eb="2">
      <t>ホゾン</t>
    </rPh>
    <rPh sb="2" eb="4">
      <t>ショリ</t>
    </rPh>
    <rPh sb="4" eb="6">
      <t>ケッカ</t>
    </rPh>
    <phoneticPr fontId="2"/>
  </si>
  <si>
    <t>保存エラー判定</t>
    <rPh sb="0" eb="2">
      <t>ホゾン</t>
    </rPh>
    <rPh sb="5" eb="7">
      <t>ハンテイ</t>
    </rPh>
    <phoneticPr fontId="2"/>
  </si>
  <si>
    <t>1:エラー / 2:正常終了</t>
    <rPh sb="10" eb="12">
      <t>セイジョウ</t>
    </rPh>
    <rPh sb="12" eb="14">
      <t>シュウリョウ</t>
    </rPh>
    <phoneticPr fontId="2"/>
  </si>
  <si>
    <t>エラーメッセージ</t>
  </si>
  <si>
    <t>ステータス</t>
  </si>
  <si>
    <t>UNNH0010_IF_B_LIST_DEFAULT</t>
    <phoneticPr fontId="2"/>
  </si>
  <si>
    <t>UNNH0010_IF_B_FLG_COPY_MOTO</t>
    <phoneticPr fontId="2"/>
  </si>
  <si>
    <t>UNNH0010_IF_SAVE_W_USER_ID</t>
    <phoneticPr fontId="2"/>
  </si>
  <si>
    <t>UNNH0010_IF_SAVE_W_SERIAL</t>
    <phoneticPr fontId="2"/>
  </si>
  <si>
    <t>UNNH0010_IF_CREATE_W_SERIAL</t>
    <phoneticPr fontId="2"/>
  </si>
  <si>
    <t>UNNH0010_IF_SAVE_W_MODE</t>
    <phoneticPr fontId="2"/>
  </si>
  <si>
    <t>UNNH0010_IF_SAVE_KENSU</t>
    <phoneticPr fontId="2"/>
  </si>
  <si>
    <t>UNNH0010_IF_DATA_SEARCH_FLG</t>
    <phoneticPr fontId="2"/>
  </si>
  <si>
    <t>UNNH0010_IF_ACTIVE_SHEET</t>
    <phoneticPr fontId="2"/>
  </si>
  <si>
    <t>UNNH0010_IF_ACTIVE_ROW</t>
    <phoneticPr fontId="2"/>
  </si>
  <si>
    <t>UNNH0010_IF_ACTIVE_COLUMN</t>
    <phoneticPr fontId="2"/>
  </si>
  <si>
    <t>UNNH0010_IF_ACTIVE_CELL_NAME</t>
    <phoneticPr fontId="2"/>
  </si>
  <si>
    <t>売上No.</t>
    <rPh sb="0" eb="1">
      <t>ウ</t>
    </rPh>
    <rPh sb="1" eb="2">
      <t>ア</t>
    </rPh>
    <phoneticPr fontId="2"/>
  </si>
  <si>
    <t>発送先CD</t>
    <rPh sb="0" eb="3">
      <t>ハッソウサキ</t>
    </rPh>
    <phoneticPr fontId="2"/>
  </si>
  <si>
    <t>ステータス</t>
    <phoneticPr fontId="2"/>
  </si>
  <si>
    <t>分析販売区分</t>
    <rPh sb="0" eb="2">
      <t>ブンセキ</t>
    </rPh>
    <rPh sb="2" eb="4">
      <t>ハンバイ</t>
    </rPh>
    <rPh sb="4" eb="6">
      <t>クブン</t>
    </rPh>
    <phoneticPr fontId="2"/>
  </si>
  <si>
    <t>売上未計上フラグ</t>
    <rPh sb="0" eb="1">
      <t>ウ</t>
    </rPh>
    <rPh sb="1" eb="2">
      <t>ア</t>
    </rPh>
    <rPh sb="2" eb="3">
      <t>ミ</t>
    </rPh>
    <rPh sb="3" eb="4">
      <t>ケイ</t>
    </rPh>
    <rPh sb="4" eb="5">
      <t>ウエ</t>
    </rPh>
    <phoneticPr fontId="2"/>
  </si>
  <si>
    <t>フリーワード検索用</t>
    <rPh sb="6" eb="9">
      <t>ケンサクヨウ</t>
    </rPh>
    <phoneticPr fontId="2"/>
  </si>
  <si>
    <t>ユーザーID</t>
    <phoneticPr fontId="2"/>
  </si>
  <si>
    <t>シリアル</t>
    <phoneticPr fontId="2"/>
  </si>
  <si>
    <t>行番号</t>
    <rPh sb="0" eb="1">
      <t>ギョウ</t>
    </rPh>
    <rPh sb="1" eb="3">
      <t>バンゴウ</t>
    </rPh>
    <phoneticPr fontId="2"/>
  </si>
  <si>
    <t>処理モード</t>
    <rPh sb="0" eb="2">
      <t>ショリ</t>
    </rPh>
    <phoneticPr fontId="2"/>
  </si>
  <si>
    <t>シリアル</t>
    <phoneticPr fontId="2"/>
  </si>
  <si>
    <t>UNNH0010_H_INIT_HEADER_FLG_COPY_SAKI</t>
    <phoneticPr fontId="2"/>
  </si>
  <si>
    <t>UNNH0010_IF_INIT_HEADER_FLG_COPY_MOTO</t>
    <phoneticPr fontId="2"/>
  </si>
  <si>
    <t>UNNH0010_IF_INIT_HEADER_COPY_MOTO</t>
    <phoneticPr fontId="2"/>
  </si>
  <si>
    <t>■検索条件</t>
    <rPh sb="1" eb="3">
      <t>ケンサク</t>
    </rPh>
    <rPh sb="3" eb="5">
      <t>ジョウケン</t>
    </rPh>
    <phoneticPr fontId="2"/>
  </si>
  <si>
    <t>　一括印刷条件</t>
    <rPh sb="1" eb="3">
      <t>イッカツ</t>
    </rPh>
    <rPh sb="3" eb="5">
      <t>インサツ</t>
    </rPh>
    <rPh sb="5" eb="7">
      <t>ジョウケン</t>
    </rPh>
    <phoneticPr fontId="2"/>
  </si>
  <si>
    <t>並べ替え</t>
    <rPh sb="0" eb="1">
      <t>ナラ</t>
    </rPh>
    <rPh sb="2" eb="3">
      <t>カ</t>
    </rPh>
    <phoneticPr fontId="2"/>
  </si>
  <si>
    <t>ページング</t>
  </si>
  <si>
    <t>初期ORDER句
取得用SQL</t>
    <rPh sb="0" eb="2">
      <t>ショキ</t>
    </rPh>
    <rPh sb="7" eb="8">
      <t>ク</t>
    </rPh>
    <rPh sb="9" eb="11">
      <t>シュトク</t>
    </rPh>
    <rPh sb="11" eb="12">
      <t>ヨウ</t>
    </rPh>
    <phoneticPr fontId="2"/>
  </si>
  <si>
    <t>見積検索結果並べ替え
ORDER句取得用SQL</t>
    <rPh sb="0" eb="2">
      <t>ミツモリ</t>
    </rPh>
    <rPh sb="2" eb="4">
      <t>ケンサク</t>
    </rPh>
    <rPh sb="4" eb="6">
      <t>ケッカ</t>
    </rPh>
    <rPh sb="6" eb="7">
      <t>ナラ</t>
    </rPh>
    <rPh sb="8" eb="9">
      <t>カ</t>
    </rPh>
    <rPh sb="16" eb="17">
      <t>ク</t>
    </rPh>
    <rPh sb="17" eb="19">
      <t>シュトク</t>
    </rPh>
    <rPh sb="19" eb="20">
      <t>ヨウ</t>
    </rPh>
    <phoneticPr fontId="2"/>
  </si>
  <si>
    <t>　├　確認未</t>
    <rPh sb="3" eb="5">
      <t>カクニン</t>
    </rPh>
    <rPh sb="5" eb="6">
      <t>ミ</t>
    </rPh>
    <phoneticPr fontId="2"/>
  </si>
  <si>
    <t>　├　受付確認</t>
    <rPh sb="3" eb="5">
      <t>ウケツケ</t>
    </rPh>
    <rPh sb="5" eb="7">
      <t>カクニン</t>
    </rPh>
    <phoneticPr fontId="2"/>
  </si>
  <si>
    <t>試料ラベルデータ展開用SQL</t>
  </si>
  <si>
    <t>　├　確認2</t>
    <rPh sb="3" eb="5">
      <t>カクニン</t>
    </rPh>
    <phoneticPr fontId="2"/>
  </si>
  <si>
    <t>　├　速報送付済</t>
    <rPh sb="3" eb="5">
      <t>ソクホウ</t>
    </rPh>
    <rPh sb="5" eb="7">
      <t>ソウフ</t>
    </rPh>
    <rPh sb="7" eb="8">
      <t>ズ</t>
    </rPh>
    <phoneticPr fontId="2"/>
  </si>
  <si>
    <t>　├　営業確認済</t>
    <rPh sb="3" eb="5">
      <t>エイギョウ</t>
    </rPh>
    <rPh sb="5" eb="7">
      <t>カクニン</t>
    </rPh>
    <rPh sb="7" eb="8">
      <t>ズ</t>
    </rPh>
    <phoneticPr fontId="2"/>
  </si>
  <si>
    <t>　├　納品済</t>
    <rPh sb="3" eb="5">
      <t>ノウヒン</t>
    </rPh>
    <rPh sb="5" eb="6">
      <t>ズ</t>
    </rPh>
    <phoneticPr fontId="2"/>
  </si>
  <si>
    <t>　├　分析依頼保管</t>
    <rPh sb="3" eb="5">
      <t>ブンセキ</t>
    </rPh>
    <rPh sb="5" eb="7">
      <t>イライ</t>
    </rPh>
    <rPh sb="7" eb="9">
      <t>ホカン</t>
    </rPh>
    <phoneticPr fontId="2"/>
  </si>
  <si>
    <t>　</t>
    <phoneticPr fontId="2"/>
  </si>
  <si>
    <t>　├　訂正依頼受付</t>
    <rPh sb="3" eb="5">
      <t>テイセイ</t>
    </rPh>
    <rPh sb="5" eb="7">
      <t>イライ</t>
    </rPh>
    <rPh sb="7" eb="9">
      <t>ウケツケ</t>
    </rPh>
    <phoneticPr fontId="2"/>
  </si>
  <si>
    <t>　├　中断</t>
    <rPh sb="3" eb="5">
      <t>チュウダン</t>
    </rPh>
    <phoneticPr fontId="2"/>
  </si>
  <si>
    <t>　└　中止</t>
    <rPh sb="3" eb="5">
      <t>チュウシ</t>
    </rPh>
    <phoneticPr fontId="2"/>
  </si>
  <si>
    <t>条件(受理No.)</t>
    <rPh sb="0" eb="2">
      <t>ジョウケン</t>
    </rPh>
    <rPh sb="3" eb="5">
      <t>ジュリ</t>
    </rPh>
    <phoneticPr fontId="2"/>
  </si>
  <si>
    <t>条件(入力者)</t>
    <rPh sb="0" eb="2">
      <t>ジョウケン</t>
    </rPh>
    <rPh sb="3" eb="5">
      <t>ニュウリョク</t>
    </rPh>
    <rPh sb="5" eb="6">
      <t>シャ</t>
    </rPh>
    <phoneticPr fontId="2"/>
  </si>
  <si>
    <t>条件(営業担当者)</t>
    <rPh sb="0" eb="2">
      <t>ジョウケン</t>
    </rPh>
    <rPh sb="3" eb="5">
      <t>エイギョウ</t>
    </rPh>
    <rPh sb="5" eb="8">
      <t>タントウシャ</t>
    </rPh>
    <phoneticPr fontId="2"/>
  </si>
  <si>
    <t>条件(見積No)</t>
    <rPh sb="0" eb="2">
      <t>ジョウケン</t>
    </rPh>
    <rPh sb="3" eb="5">
      <t>ミツモリ</t>
    </rPh>
    <phoneticPr fontId="2"/>
  </si>
  <si>
    <t>条件(入力日)</t>
    <rPh sb="3" eb="5">
      <t>ニュウリョク</t>
    </rPh>
    <rPh sb="5" eb="6">
      <t>ビ</t>
    </rPh>
    <phoneticPr fontId="2"/>
  </si>
  <si>
    <t>条件(納品日)</t>
    <rPh sb="0" eb="2">
      <t>ジョウケン</t>
    </rPh>
    <rPh sb="3" eb="6">
      <t>ノウヒンビ</t>
    </rPh>
    <phoneticPr fontId="2"/>
  </si>
  <si>
    <t>条件(請求先）</t>
    <rPh sb="0" eb="2">
      <t>ジョウケン</t>
    </rPh>
    <rPh sb="3" eb="5">
      <t>セイキュウ</t>
    </rPh>
    <rPh sb="5" eb="6">
      <t>サキ</t>
    </rPh>
    <phoneticPr fontId="2"/>
  </si>
  <si>
    <t>条件(フリーワード）</t>
    <rPh sb="0" eb="2">
      <t>ジョウケン</t>
    </rPh>
    <phoneticPr fontId="2"/>
  </si>
  <si>
    <t xml:space="preserve"> ├ フリーワード1</t>
    <phoneticPr fontId="2"/>
  </si>
  <si>
    <t xml:space="preserve"> ├ フリーワード2</t>
  </si>
  <si>
    <t>条件：</t>
    <rPh sb="0" eb="2">
      <t>ジョウケン</t>
    </rPh>
    <phoneticPr fontId="2"/>
  </si>
  <si>
    <t xml:space="preserve"> └ フリーワード3</t>
    <phoneticPr fontId="2"/>
  </si>
  <si>
    <t>分析依頼</t>
  </si>
  <si>
    <t>上未計上のみ検索フラグ</t>
  </si>
  <si>
    <t>受付確認ステータス</t>
  </si>
  <si>
    <t>訂正依頼受付ステータス</t>
  </si>
  <si>
    <t>中止ステータス</t>
  </si>
  <si>
    <t>出荷準備完了ステータス</t>
  </si>
  <si>
    <t>UNNH0010_SQL_SELECT_LABEL_DATA</t>
  </si>
  <si>
    <t>UNNH0010_SQL_SHOHIN_KBN</t>
  </si>
  <si>
    <t>UNNH0010_SQL_BUNSEKI_KAKUNIN_MI_STS</t>
  </si>
  <si>
    <t>UNNH0010_SQL_BUNSEKI_CHUKAN_STS</t>
  </si>
  <si>
    <t>UNNH0010_SQL_BUNSEKI_KAKUNIN_STS</t>
  </si>
  <si>
    <t>UNNH0010_SQL_BUNSEKI_EIGYO_STS</t>
  </si>
  <si>
    <t>UNNH0010_SQL_BUNSEKI_IRAI_HOKAN_STS</t>
  </si>
  <si>
    <t>UNNH0010_SQL_BUNSEKI_CHUDAN_STS</t>
  </si>
  <si>
    <t>UNNH0010_SQL_HAMBAI_SHORIMI_STS</t>
  </si>
  <si>
    <t>UNNH0010_SQL_IRAI_KBN</t>
    <phoneticPr fontId="2"/>
  </si>
  <si>
    <t>UNNH0010_SQL_SEIKYUSAKI_CD</t>
    <phoneticPr fontId="2"/>
  </si>
  <si>
    <t>UNNH0010_H_NYURYOKUSHA_CD</t>
    <phoneticPr fontId="2"/>
  </si>
  <si>
    <t>UNNH0010_H_EIGYO_TANTO_CD</t>
    <phoneticPr fontId="2"/>
  </si>
  <si>
    <t>UNNH0010_SQL_SHOHIN_CD</t>
    <phoneticPr fontId="2"/>
  </si>
  <si>
    <t>■検索範囲制御</t>
    <rPh sb="1" eb="3">
      <t>ケンサク</t>
    </rPh>
    <rPh sb="3" eb="5">
      <t>ハンイ</t>
    </rPh>
    <rPh sb="5" eb="7">
      <t>セイギョ</t>
    </rPh>
    <phoneticPr fontId="2"/>
  </si>
  <si>
    <t>見積Noスタート</t>
    <rPh sb="0" eb="2">
      <t>ミツモリ</t>
    </rPh>
    <phoneticPr fontId="2"/>
  </si>
  <si>
    <t>見積Noエンド</t>
    <rPh sb="0" eb="2">
      <t>ミツモリ</t>
    </rPh>
    <phoneticPr fontId="2"/>
  </si>
  <si>
    <t>見積No最小範囲</t>
    <rPh sb="0" eb="2">
      <t>ミツモリ</t>
    </rPh>
    <rPh sb="4" eb="6">
      <t>サイショウ</t>
    </rPh>
    <rPh sb="6" eb="8">
      <t>ハンイ</t>
    </rPh>
    <phoneticPr fontId="2"/>
  </si>
  <si>
    <t>見積No最大範囲</t>
    <rPh sb="0" eb="2">
      <t>ミツモリ</t>
    </rPh>
    <rPh sb="4" eb="6">
      <t>サイダイ</t>
    </rPh>
    <rPh sb="6" eb="8">
      <t>ハンイ</t>
    </rPh>
    <phoneticPr fontId="2"/>
  </si>
  <si>
    <t>受理Noスタート</t>
    <rPh sb="0" eb="2">
      <t>ジュリ</t>
    </rPh>
    <phoneticPr fontId="2"/>
  </si>
  <si>
    <t>受理Noエンド</t>
    <phoneticPr fontId="2"/>
  </si>
  <si>
    <t>受理No最小範囲</t>
    <rPh sb="4" eb="6">
      <t>サイショウ</t>
    </rPh>
    <rPh sb="6" eb="8">
      <t>ハンイ</t>
    </rPh>
    <phoneticPr fontId="2"/>
  </si>
  <si>
    <t>受理No最大範囲</t>
    <rPh sb="4" eb="6">
      <t>サイダイ</t>
    </rPh>
    <rPh sb="6" eb="8">
      <t>ハンイ</t>
    </rPh>
    <phoneticPr fontId="2"/>
  </si>
  <si>
    <t>フラグ</t>
    <phoneticPr fontId="2"/>
  </si>
  <si>
    <t>UNNH0010_B_SCROLL_LOCK</t>
    <phoneticPr fontId="2"/>
  </si>
  <si>
    <t>UNNH0010_H_JURI_NO_START_NUM</t>
    <phoneticPr fontId="2"/>
  </si>
  <si>
    <t>UNNH0010_H_JURI_NO_END_NUM</t>
    <phoneticPr fontId="2"/>
  </si>
  <si>
    <t>UNNH0010_H_JURI_NO_MIN</t>
    <phoneticPr fontId="2"/>
  </si>
  <si>
    <t>UNNH0010_H_JURI_NO_MAX</t>
    <phoneticPr fontId="2"/>
  </si>
  <si>
    <t>UNNH0010_H_MITSUMORI_NO_START_NUM</t>
    <phoneticPr fontId="2"/>
  </si>
  <si>
    <t>UNNH0010_H_MITSUMORI_NO_END_NUM</t>
    <phoneticPr fontId="2"/>
  </si>
  <si>
    <t>UNNH0010_H_MITSUMORI_NO_MIN</t>
    <phoneticPr fontId="2"/>
  </si>
  <si>
    <t>UNNH0010_H_MITSUMORI_NO_MAX</t>
    <phoneticPr fontId="2"/>
  </si>
  <si>
    <t xml:space="preserve">SELECT *
 FROM V_URIAGE_JUCHU_LIST
 WHERE 1=1
</t>
    <phoneticPr fontId="2"/>
  </si>
  <si>
    <t>UNNH0010_SQL_SELECT_W_URIAGE_JUCHU</t>
  </si>
  <si>
    <t>　├　分析依頼</t>
    <phoneticPr fontId="2"/>
  </si>
  <si>
    <t>　├　販売商品</t>
    <phoneticPr fontId="2"/>
  </si>
  <si>
    <t>　├　済技術責任者確認</t>
    <rPh sb="3" eb="4">
      <t>ズ</t>
    </rPh>
    <phoneticPr fontId="2"/>
  </si>
  <si>
    <t>　├　中間報告</t>
    <phoneticPr fontId="2"/>
  </si>
  <si>
    <t>見積No</t>
    <rPh sb="0" eb="2">
      <t>ミツモリ</t>
    </rPh>
    <phoneticPr fontId="2"/>
  </si>
  <si>
    <t>発送先CD</t>
    <phoneticPr fontId="2"/>
  </si>
  <si>
    <t>条件(分析／販売区分)</t>
    <rPh sb="0" eb="2">
      <t>ジョウケン</t>
    </rPh>
    <rPh sb="3" eb="5">
      <t>ブンセキ</t>
    </rPh>
    <rPh sb="6" eb="8">
      <t>ハンバイ</t>
    </rPh>
    <rPh sb="8" eb="10">
      <t>クブン</t>
    </rPh>
    <phoneticPr fontId="2"/>
  </si>
  <si>
    <t>UNNH0010_SQL_FREEWORD1</t>
    <phoneticPr fontId="2"/>
  </si>
  <si>
    <t>UNNH0010_SQL_FREEWORD2</t>
    <phoneticPr fontId="2"/>
  </si>
  <si>
    <t>UNNH0010_SQL_FREEWORD3</t>
    <phoneticPr fontId="2"/>
  </si>
  <si>
    <t>UNNH0010_SQL_SORT</t>
    <phoneticPr fontId="2"/>
  </si>
  <si>
    <t xml:space="preserve">
  ORDER BY W_URIAGE_JUCHU.JURI_NO ASC</t>
    <phoneticPr fontId="2"/>
  </si>
  <si>
    <t>SELECT *
  FROM W_URIAGE_JUCHU
WHERE (1 = 1)</t>
    <phoneticPr fontId="2"/>
  </si>
  <si>
    <t>UNNH0010_SQL_SELECT_URIAGE_JUCHU_LIST</t>
    <phoneticPr fontId="2"/>
  </si>
  <si>
    <t>UNNH0010_SQL_SELECT_INIT_SORT</t>
    <phoneticPr fontId="2"/>
  </si>
  <si>
    <t>UNNH0010_SQL_SELECT_SORT</t>
    <phoneticPr fontId="2"/>
  </si>
  <si>
    <t>表示行数取得</t>
    <rPh sb="0" eb="2">
      <t>ヒョウジ</t>
    </rPh>
    <rPh sb="2" eb="4">
      <t>ギョウスウ</t>
    </rPh>
    <rPh sb="4" eb="6">
      <t>シュトク</t>
    </rPh>
    <phoneticPr fontId="2"/>
  </si>
  <si>
    <t>SELECT HYOJI_GYO_SU
  FROM M_CONTROL
 WHERE CTRL_KEY = 1</t>
  </si>
  <si>
    <t>■ポップアップ表示用SQL</t>
    <rPh sb="7" eb="9">
      <t>ヒョウジ</t>
    </rPh>
    <rPh sb="9" eb="10">
      <t>ヨウ</t>
    </rPh>
    <phoneticPr fontId="2"/>
  </si>
  <si>
    <t>社員検索用SQL</t>
    <rPh sb="0" eb="2">
      <t>シャイン</t>
    </rPh>
    <rPh sb="2" eb="4">
      <t>ケンサク</t>
    </rPh>
    <rPh sb="4" eb="5">
      <t>ヨウ</t>
    </rPh>
    <phoneticPr fontId="2"/>
  </si>
  <si>
    <t>受理No検索</t>
    <rPh sb="0" eb="2">
      <t>ジュリ</t>
    </rPh>
    <rPh sb="4" eb="6">
      <t>ケンサク</t>
    </rPh>
    <phoneticPr fontId="2"/>
  </si>
  <si>
    <t>見積No取得用SQL</t>
    <rPh sb="0" eb="2">
      <t>ミツモリ</t>
    </rPh>
    <rPh sb="4" eb="6">
      <t>シュトク</t>
    </rPh>
    <rPh sb="6" eb="7">
      <t>ヨウ</t>
    </rPh>
    <phoneticPr fontId="2"/>
  </si>
  <si>
    <t>請求先取得SQL</t>
    <rPh sb="0" eb="2">
      <t>セイキュウ</t>
    </rPh>
    <rPh sb="2" eb="3">
      <t>サキ</t>
    </rPh>
    <rPh sb="3" eb="5">
      <t>シュトク</t>
    </rPh>
    <phoneticPr fontId="2"/>
  </si>
  <si>
    <t>発送先検索用SQL</t>
    <rPh sb="0" eb="2">
      <t>ハッソウ</t>
    </rPh>
    <rPh sb="2" eb="3">
      <t>サキ</t>
    </rPh>
    <rPh sb="3" eb="6">
      <t>ケンサクヨウ</t>
    </rPh>
    <phoneticPr fontId="2"/>
  </si>
  <si>
    <t>商品検索用SQL</t>
  </si>
  <si>
    <t>UNNH_COMMON_SQL_SELECT_CTRL_HYOJI_GYO_SU</t>
    <phoneticPr fontId="2"/>
  </si>
  <si>
    <t>UNNH_COMMON_SQL_SHOHIN_SEARCH</t>
    <phoneticPr fontId="2"/>
  </si>
  <si>
    <t>UNNH_COMMON_SQL_SHAIN_SEARCH</t>
    <phoneticPr fontId="2"/>
  </si>
  <si>
    <t>UNNH_COMMON_SQL_HASSOSAKI_SEARCH</t>
    <phoneticPr fontId="2"/>
  </si>
  <si>
    <t>UNNH0010_SQL_JOKEN_COPY_MOTO</t>
    <phoneticPr fontId="2"/>
  </si>
  <si>
    <t>UNNH0010_SQL_JOKEN_COPY_SAKI</t>
    <phoneticPr fontId="2"/>
  </si>
  <si>
    <t>UNNH0010_IF_B_LIST_COPY_MOTO</t>
    <phoneticPr fontId="2"/>
  </si>
  <si>
    <t>受注データ検索
読込みSQL</t>
    <rPh sb="8" eb="10">
      <t>ヨミコ</t>
    </rPh>
    <phoneticPr fontId="2"/>
  </si>
  <si>
    <t>受注データ検索
ワークテーブル
更新SQL</t>
    <rPh sb="16" eb="18">
      <t>コウシン</t>
    </rPh>
    <phoneticPr fontId="2"/>
  </si>
  <si>
    <t>受注データ検索
行数カウントSQL</t>
    <rPh sb="8" eb="10">
      <t>ギョウスウ</t>
    </rPh>
    <phoneticPr fontId="2"/>
  </si>
  <si>
    <t>受注データ検索
ワークテーブル更新SQL
ベースコード</t>
    <rPh sb="15" eb="17">
      <t>コウシン</t>
    </rPh>
    <phoneticPr fontId="2"/>
  </si>
  <si>
    <t>受注データ検索
Excel出力SQL</t>
    <rPh sb="13" eb="15">
      <t>シュツリョク</t>
    </rPh>
    <phoneticPr fontId="2"/>
  </si>
  <si>
    <t>受注データ検索
読込みSQL
ベースコード</t>
    <rPh sb="8" eb="10">
      <t>ヨミコ</t>
    </rPh>
    <phoneticPr fontId="2"/>
  </si>
  <si>
    <t>受注データ検索
行数カウントSQL
ベースコード</t>
    <rPh sb="8" eb="10">
      <t>ギョウスウ</t>
    </rPh>
    <phoneticPr fontId="2"/>
  </si>
  <si>
    <t>UNNH0010_SQL_SELECT_URIAGE_JUCHU_LIST_CNT</t>
    <phoneticPr fontId="2"/>
  </si>
  <si>
    <t>UNNH0010_SQL_PRINT_URIAGE_JUCHU_LIST</t>
    <phoneticPr fontId="2"/>
  </si>
  <si>
    <t>条件（ステータス）</t>
    <phoneticPr fontId="2"/>
  </si>
  <si>
    <t xml:space="preserve">
Excel出力SQLベース</t>
    <phoneticPr fontId="2"/>
  </si>
  <si>
    <t>UNNH0010_B_HIDE_ROW</t>
    <phoneticPr fontId="2"/>
  </si>
  <si>
    <t>【Excel出力用】</t>
    <rPh sb="6" eb="8">
      <t>シュツリョク</t>
    </rPh>
    <rPh sb="8" eb="9">
      <t>ヨウ</t>
    </rPh>
    <phoneticPr fontId="2"/>
  </si>
  <si>
    <t>UNNH0010_IF_PRINT_KENSAKU_KENSU</t>
    <phoneticPr fontId="2"/>
  </si>
  <si>
    <t>UNNH0010_IF_PRINT_LIST_START</t>
    <phoneticPr fontId="2"/>
  </si>
  <si>
    <t>UNNH0010_IF_PRINT_COPY_SAKI</t>
    <phoneticPr fontId="2"/>
  </si>
  <si>
    <t>UNNH0010_IF_EXCEL_FILE_NAME</t>
    <phoneticPr fontId="2"/>
  </si>
  <si>
    <t>UNNH0010_IF_PRINT_COPY_MOTO</t>
    <phoneticPr fontId="2"/>
  </si>
  <si>
    <t>条件(発送先）</t>
    <rPh sb="3" eb="6">
      <t>ハッソウサキ</t>
    </rPh>
    <phoneticPr fontId="2"/>
  </si>
  <si>
    <t>条件(商品）</t>
    <rPh sb="3" eb="5">
      <t>ショウヒン</t>
    </rPh>
    <phoneticPr fontId="2"/>
  </si>
  <si>
    <t>SELECT COUNT(*) AS CNT
FROM V_URIAGE_JUCHU_LIST
 WHERE 1=1</t>
    <phoneticPr fontId="2"/>
  </si>
  <si>
    <t>SELECT
          V_URIAGE_JUCHU_LIST.JUCHU_KBN_MEI
          ,V_URIAGE_JUCHU_LIST.STS_MEI
          ,V_URIAGE_JUCHU_LIST.BUN_HAN_KBN_MEI
          ,V_URIAGE_JUCHU_LIST.JURI_NO
          ,V_URIAGE_JUCHU_LIST.KENMEI
          ,V_URIAGE_JUCHU_LIST.SEIKYU_CD
          ,V_URIAGE_JUCHU_LIST.SEIKYU_MEI
          ,V_URIAGE_JUCHU_LIST.NYURYOKUSHA_MEI
          ,V_URIAGE_JUCHU_LIST.EIGYO_TANTO_MEI
          ,V_URIAGE_JUCHU_LIST.NYURYOKU_DATETIME
          ,V_URIAGE_JUCHU_LIST.NOHIN_DATE
          ,V_URIAGE_JUCHU_LIST.EDA_KENSU
          ,V_URIAGE_JUCHU_LIST.SHOHIN_KENSU
          ,V_URIAGE_JUCHU_LIST.MITSU_NO
          ,V_URIAGE_JUCHU_LIST.URIAGE_NO_S
          ,V_URIAGE_JUCHU_LIST.HASSO_CD
          ,V_URIAGE_JUCHU_LIST.JUCHU_KBN
          ,V_URIAGE_JUCHU_LIST.STS
          ,V_URIAGE_JUCHU_LIST.BUN_HAN_KBN
          ,V_URIAGE_JUCHU_LIST.NYURYOKUSHA_CD
          ,V_URIAGE_JUCHU_LIST.EIGYO_TANTO_CD
          ,V_URIAGE_JUCHU_LIST.URI_MIKEIJO_FLG
     FROM V_URIAGE_JUCHU_LIST
 WHERE (1=1)</t>
    <phoneticPr fontId="2"/>
  </si>
  <si>
    <t>通常伝票</t>
    <phoneticPr fontId="2"/>
  </si>
  <si>
    <t>訂正伝票</t>
    <phoneticPr fontId="2"/>
  </si>
  <si>
    <t>連動済</t>
    <rPh sb="0" eb="2">
      <t>レンドウ</t>
    </rPh>
    <rPh sb="2" eb="3">
      <t>スミ</t>
    </rPh>
    <phoneticPr fontId="2"/>
  </si>
  <si>
    <t>結合用</t>
    <phoneticPr fontId="2"/>
  </si>
  <si>
    <t>伝票未発行ステータス</t>
    <phoneticPr fontId="2"/>
  </si>
  <si>
    <t>伝票発行済ステータス</t>
    <rPh sb="0" eb="2">
      <t>デンピョウ</t>
    </rPh>
    <rPh sb="2" eb="4">
      <t>ハッコウ</t>
    </rPh>
    <rPh sb="4" eb="5">
      <t>スミ</t>
    </rPh>
    <phoneticPr fontId="2"/>
  </si>
  <si>
    <t>伝票再発行済ステータス</t>
    <phoneticPr fontId="2"/>
  </si>
  <si>
    <t>UNNH0020_H_MIHAKKO_STS</t>
    <phoneticPr fontId="2"/>
  </si>
  <si>
    <t>UNNH0020_H_HAKKOSUMI_STS</t>
    <phoneticPr fontId="2"/>
  </si>
  <si>
    <t>UNNH0020_H_SAIHAKKOSUMI_STS</t>
    <phoneticPr fontId="2"/>
  </si>
  <si>
    <t>UNNH0020_H_TSUJO_KBN</t>
    <phoneticPr fontId="2"/>
  </si>
  <si>
    <t>UNNH0020_H_TEISEI_KBN</t>
    <phoneticPr fontId="2"/>
  </si>
  <si>
    <t>UNNH0020_H_AKA_KBN</t>
    <phoneticPr fontId="2"/>
  </si>
  <si>
    <t>UNNH0020_H_KURO_KBN</t>
    <phoneticPr fontId="2"/>
  </si>
  <si>
    <t>UNNH0020_H_RENDO_FUYO_KBN</t>
    <phoneticPr fontId="2"/>
  </si>
  <si>
    <t>UNNH0020_H_RENDO_MI_KBN</t>
    <phoneticPr fontId="2"/>
  </si>
  <si>
    <t>UNNH0020_H_RENDO_SUMI_KBN</t>
    <phoneticPr fontId="2"/>
  </si>
  <si>
    <t>UNNH0020_H_INIT_HEADER_FLG_COPY_SAKI</t>
  </si>
  <si>
    <t>UNNH0020_H_HIDE_COLUMN</t>
  </si>
  <si>
    <t>UNNH0020_H_KETSUGO_KBN</t>
    <phoneticPr fontId="2"/>
  </si>
  <si>
    <t>UNNH0020_H_FREEWD_KBN</t>
    <phoneticPr fontId="2"/>
  </si>
  <si>
    <t>削除済も表示</t>
    <phoneticPr fontId="2"/>
  </si>
  <si>
    <t>UNNH0020_H_DEL_HYOJI_FLG</t>
    <phoneticPr fontId="2"/>
  </si>
  <si>
    <t>UNNH0020_H_SEIKYUSAKI_MEI</t>
    <phoneticPr fontId="2"/>
  </si>
  <si>
    <t>UNNH0020_H_BUSHO_CD</t>
    <phoneticPr fontId="2"/>
  </si>
  <si>
    <t>担当部署CD</t>
    <rPh sb="0" eb="2">
      <t>タントウ</t>
    </rPh>
    <rPh sb="2" eb="4">
      <t>ブショ</t>
    </rPh>
    <phoneticPr fontId="2"/>
  </si>
  <si>
    <t>UNNH0020_H_NYURYOKUSHA_CD</t>
    <phoneticPr fontId="2"/>
  </si>
  <si>
    <t>売上入力者CD</t>
    <phoneticPr fontId="2"/>
  </si>
  <si>
    <t>UNNH0020_H_SHOHIN_MEI</t>
    <phoneticPr fontId="2"/>
  </si>
  <si>
    <t>売上Noスタート</t>
    <phoneticPr fontId="2"/>
  </si>
  <si>
    <t>売上Noエンド</t>
    <phoneticPr fontId="2"/>
  </si>
  <si>
    <t>売上No最小範囲</t>
    <rPh sb="4" eb="6">
      <t>サイショウ</t>
    </rPh>
    <rPh sb="6" eb="8">
      <t>ハンイ</t>
    </rPh>
    <phoneticPr fontId="2"/>
  </si>
  <si>
    <t>売上No最大範囲</t>
    <rPh sb="4" eb="6">
      <t>サイダイ</t>
    </rPh>
    <rPh sb="6" eb="8">
      <t>ハンイ</t>
    </rPh>
    <phoneticPr fontId="2"/>
  </si>
  <si>
    <t>UNNH0020_H_URIAGE_NO_START_NUM</t>
    <phoneticPr fontId="2"/>
  </si>
  <si>
    <t>UNNH0020_H_URIAGE_NO_END_NUM</t>
    <phoneticPr fontId="2"/>
  </si>
  <si>
    <t>UNNH0020_H_JURI_NO_START_NUM</t>
    <phoneticPr fontId="2"/>
  </si>
  <si>
    <t>UNNH0020_H_JURI_NO_END_NUM</t>
    <phoneticPr fontId="2"/>
  </si>
  <si>
    <t>UNNH0020_B_CTRL_HYOJI_GYO_SU</t>
    <phoneticPr fontId="2"/>
  </si>
  <si>
    <t>UNNH0020_B_KENSAKU_KENSU</t>
    <phoneticPr fontId="2"/>
  </si>
  <si>
    <t>UNNH0020_B_PAGE_NO</t>
    <phoneticPr fontId="2"/>
  </si>
  <si>
    <t>UNNH0020_B_ALL_PAGE_SU</t>
    <phoneticPr fontId="2"/>
  </si>
  <si>
    <t>UNNH0020_B_HYOJI_KENSU</t>
    <phoneticPr fontId="2"/>
  </si>
  <si>
    <t>UNNH0020_B_LIST_START</t>
    <phoneticPr fontId="2"/>
  </si>
  <si>
    <t>UNNH0020_B_COPY_SAKI</t>
    <phoneticPr fontId="2"/>
  </si>
  <si>
    <t>UNNH0020_B_LIST_CLEAR</t>
    <phoneticPr fontId="2"/>
  </si>
  <si>
    <t>UNNH0020_B_FORMAT_COPY_FLG</t>
    <phoneticPr fontId="2"/>
  </si>
  <si>
    <t>UNNH0020_B_EXIST_NEXT_PAGE</t>
    <phoneticPr fontId="2"/>
  </si>
  <si>
    <t>UNNH0020_B_EXIST_PREV_PAGE</t>
    <phoneticPr fontId="2"/>
  </si>
  <si>
    <t>条件(商品)</t>
    <rPh sb="0" eb="2">
      <t>ジョウケン</t>
    </rPh>
    <rPh sb="3" eb="5">
      <t>ショウヒン</t>
    </rPh>
    <phoneticPr fontId="2"/>
  </si>
  <si>
    <t>条件（ステータス）</t>
    <rPh sb="0" eb="2">
      <t>ジョウケン</t>
    </rPh>
    <phoneticPr fontId="2"/>
  </si>
  <si>
    <t xml:space="preserve"> ├ フリーワード1</t>
    <phoneticPr fontId="2"/>
  </si>
  <si>
    <t xml:space="preserve"> └ フリーワード3</t>
    <phoneticPr fontId="2"/>
  </si>
  <si>
    <t>削除済み</t>
    <rPh sb="0" eb="2">
      <t>サクジョ</t>
    </rPh>
    <rPh sb="2" eb="3">
      <t>ズ</t>
    </rPh>
    <phoneticPr fontId="2"/>
  </si>
  <si>
    <t>UNNH0020_IF_B_LIST_DEFAULT</t>
    <phoneticPr fontId="2"/>
  </si>
  <si>
    <t>＞</t>
    <phoneticPr fontId="2"/>
  </si>
  <si>
    <t>UNNH0020_IF_INIT_HEADER_FLG_COPY_MOTO</t>
    <phoneticPr fontId="2"/>
  </si>
  <si>
    <t>UNNH0020_IF_INIT_HEADER_COPY_MOTO</t>
    <phoneticPr fontId="2"/>
  </si>
  <si>
    <t>UNNH0020_IF_B_LIST_COPY_MOTO</t>
    <phoneticPr fontId="2"/>
  </si>
  <si>
    <t>UNNH0020_IF_DATA_SEARCH_FLG</t>
    <phoneticPr fontId="2"/>
  </si>
  <si>
    <t>UNNH0020_IF_ACTIVE_SHEET</t>
    <phoneticPr fontId="2"/>
  </si>
  <si>
    <t>UNNH0020_IF_ACTIVE_ROW</t>
    <phoneticPr fontId="2"/>
  </si>
  <si>
    <t>UNNH0020_IF_ACTIVE_COLUMN</t>
    <phoneticPr fontId="2"/>
  </si>
  <si>
    <t>UNNH0020_IF_ACTIVE_CELL_NAME</t>
    <phoneticPr fontId="2"/>
  </si>
  <si>
    <t>UNNH0020_IF_PRINT_KENSAKU_KENSU</t>
    <phoneticPr fontId="2"/>
  </si>
  <si>
    <t>UNNH0020_IF_PRINT_LIST_START</t>
    <phoneticPr fontId="2"/>
  </si>
  <si>
    <t>UNNH0020_IF_PRINT_COPY_SAKI</t>
    <phoneticPr fontId="2"/>
  </si>
  <si>
    <t>UNNH0020_IF_EXCEL_FILE_NAME</t>
    <phoneticPr fontId="2"/>
  </si>
  <si>
    <t>伝票未発行ステータス</t>
  </si>
  <si>
    <t>伝票再発行済ステータス</t>
  </si>
  <si>
    <t>売上日</t>
    <rPh sb="0" eb="3">
      <t>ウリアゲビ</t>
    </rPh>
    <phoneticPr fontId="2"/>
  </si>
  <si>
    <t>売上No</t>
    <rPh sb="0" eb="2">
      <t>ウリアゲ</t>
    </rPh>
    <phoneticPr fontId="2"/>
  </si>
  <si>
    <t>受理No</t>
    <rPh sb="0" eb="2">
      <t>ジュリ</t>
    </rPh>
    <phoneticPr fontId="2"/>
  </si>
  <si>
    <t>結合先売上No</t>
    <rPh sb="0" eb="2">
      <t>ケツゴウ</t>
    </rPh>
    <rPh sb="2" eb="3">
      <t>サキ</t>
    </rPh>
    <rPh sb="3" eb="5">
      <t>ウリアゲ</t>
    </rPh>
    <phoneticPr fontId="2"/>
  </si>
  <si>
    <t>通常伝票</t>
    <phoneticPr fontId="2"/>
  </si>
  <si>
    <t>結合用</t>
    <phoneticPr fontId="2"/>
  </si>
  <si>
    <t>削除済も表示</t>
    <phoneticPr fontId="2"/>
  </si>
  <si>
    <t>UNNH0020_SQL_SEIKYUSAKI_CD</t>
    <phoneticPr fontId="2"/>
  </si>
  <si>
    <t>UNNH0020_H_URIAGE_NO_MIN</t>
    <phoneticPr fontId="2"/>
  </si>
  <si>
    <t>UNNH0020_H_URIAGE_NO_MAX</t>
    <phoneticPr fontId="2"/>
  </si>
  <si>
    <t>UNNH0020_H_JURI_NO_MIN</t>
    <phoneticPr fontId="2"/>
  </si>
  <si>
    <t>UNNH0020_H_JURI_NO_MAX</t>
    <phoneticPr fontId="2"/>
  </si>
  <si>
    <t>売上リスト
読込みSQL</t>
    <rPh sb="0" eb="2">
      <t>ウリアゲ</t>
    </rPh>
    <rPh sb="6" eb="8">
      <t>ヨミコ</t>
    </rPh>
    <phoneticPr fontId="2"/>
  </si>
  <si>
    <t>売上リスト
行数カウントSQL</t>
    <rPh sb="0" eb="2">
      <t>ウリアゲ</t>
    </rPh>
    <rPh sb="6" eb="8">
      <t>ギョウスウ</t>
    </rPh>
    <phoneticPr fontId="2"/>
  </si>
  <si>
    <t>売上リスト
Excel出力SQL</t>
    <rPh sb="0" eb="2">
      <t>ウリアゲ</t>
    </rPh>
    <rPh sb="11" eb="13">
      <t>シュツリョク</t>
    </rPh>
    <phoneticPr fontId="2"/>
  </si>
  <si>
    <t>売上リスト読込みSQL
ベースコード</t>
    <rPh sb="0" eb="2">
      <t>ウリアゲ</t>
    </rPh>
    <rPh sb="5" eb="7">
      <t>ヨミコ</t>
    </rPh>
    <phoneticPr fontId="2"/>
  </si>
  <si>
    <t>売上リスト
行数カウント
SQLベース</t>
    <rPh sb="0" eb="2">
      <t>ウリアゲ</t>
    </rPh>
    <rPh sb="6" eb="8">
      <t>ギョウスウ</t>
    </rPh>
    <phoneticPr fontId="2"/>
  </si>
  <si>
    <t>売上リスト
Excel出力SQLベース</t>
    <rPh sb="0" eb="2">
      <t>ウリアゲ</t>
    </rPh>
    <phoneticPr fontId="2"/>
  </si>
  <si>
    <t>売上検索結果並べ替え
ORDER句取得用SQL</t>
    <rPh sb="0" eb="2">
      <t>ウリアゲ</t>
    </rPh>
    <rPh sb="2" eb="4">
      <t>ケンサク</t>
    </rPh>
    <rPh sb="4" eb="6">
      <t>ケッカ</t>
    </rPh>
    <rPh sb="6" eb="7">
      <t>ナラ</t>
    </rPh>
    <rPh sb="8" eb="9">
      <t>カ</t>
    </rPh>
    <rPh sb="16" eb="17">
      <t>ク</t>
    </rPh>
    <rPh sb="17" eb="19">
      <t>シュトク</t>
    </rPh>
    <rPh sb="19" eb="20">
      <t>ヨウ</t>
    </rPh>
    <phoneticPr fontId="2"/>
  </si>
  <si>
    <t xml:space="preserve">SELECT COUNT(*) AS CNT
  FROM V_URIAGE_LIST
  WHERE 1=1
</t>
    <phoneticPr fontId="2"/>
  </si>
  <si>
    <t>条件(売上日)</t>
    <rPh sb="0" eb="2">
      <t>ジョウケン</t>
    </rPh>
    <rPh sb="3" eb="6">
      <t>ウリアゲビ</t>
    </rPh>
    <phoneticPr fontId="2"/>
  </si>
  <si>
    <t>条件(売上No)</t>
    <rPh sb="0" eb="2">
      <t>ジョウケン</t>
    </rPh>
    <rPh sb="3" eb="5">
      <t>ウリアゲ</t>
    </rPh>
    <phoneticPr fontId="2"/>
  </si>
  <si>
    <t>条件(受理No）</t>
    <rPh sb="0" eb="2">
      <t>ジョウケン</t>
    </rPh>
    <rPh sb="3" eb="5">
      <t>ジュリ</t>
    </rPh>
    <phoneticPr fontId="2"/>
  </si>
  <si>
    <t>条件(納品日)</t>
    <rPh sb="0" eb="2">
      <t>ジョウケン</t>
    </rPh>
    <rPh sb="3" eb="5">
      <t>ノウヒン</t>
    </rPh>
    <rPh sb="5" eb="6">
      <t>ビ</t>
    </rPh>
    <phoneticPr fontId="2"/>
  </si>
  <si>
    <t>条件(回収予定日)</t>
    <rPh sb="0" eb="2">
      <t>ジョウケン</t>
    </rPh>
    <rPh sb="3" eb="5">
      <t>カイシュウ</t>
    </rPh>
    <rPh sb="5" eb="8">
      <t>ヨテイビ</t>
    </rPh>
    <phoneticPr fontId="2"/>
  </si>
  <si>
    <t>条件(結合先売上No)</t>
    <rPh sb="0" eb="2">
      <t>ジョウケン</t>
    </rPh>
    <rPh sb="3" eb="5">
      <t>ケツゴウ</t>
    </rPh>
    <rPh sb="5" eb="6">
      <t>サキ</t>
    </rPh>
    <rPh sb="6" eb="8">
      <t>ウリアゲ</t>
    </rPh>
    <phoneticPr fontId="2"/>
  </si>
  <si>
    <t>条件(請求先)</t>
    <rPh sb="0" eb="2">
      <t>ジョウケン</t>
    </rPh>
    <rPh sb="3" eb="5">
      <t>セイキュウ</t>
    </rPh>
    <rPh sb="5" eb="6">
      <t>サキ</t>
    </rPh>
    <phoneticPr fontId="2"/>
  </si>
  <si>
    <t>条件(売上入力者CD)</t>
    <rPh sb="0" eb="2">
      <t>ジョウケン</t>
    </rPh>
    <rPh sb="3" eb="5">
      <t>ウリアゲ</t>
    </rPh>
    <rPh sb="5" eb="7">
      <t>ニュウリョク</t>
    </rPh>
    <rPh sb="7" eb="8">
      <t>シャ</t>
    </rPh>
    <phoneticPr fontId="2"/>
  </si>
  <si>
    <t>条件(担当部署CD)</t>
    <rPh sb="0" eb="2">
      <t>ジョウケン</t>
    </rPh>
    <rPh sb="3" eb="6">
      <t>タントウブ</t>
    </rPh>
    <rPh sb="6" eb="7">
      <t>ショ</t>
    </rPh>
    <phoneticPr fontId="2"/>
  </si>
  <si>
    <t>　├　伝票未発行</t>
    <rPh sb="3" eb="5">
      <t>デンピョウ</t>
    </rPh>
    <rPh sb="5" eb="6">
      <t>ミ</t>
    </rPh>
    <rPh sb="6" eb="8">
      <t>ハッコウ</t>
    </rPh>
    <phoneticPr fontId="2"/>
  </si>
  <si>
    <t>　├　伝票発行済</t>
    <rPh sb="3" eb="5">
      <t>デンピョウ</t>
    </rPh>
    <rPh sb="5" eb="7">
      <t>ハッコウ</t>
    </rPh>
    <rPh sb="7" eb="8">
      <t>スミ</t>
    </rPh>
    <phoneticPr fontId="2"/>
  </si>
  <si>
    <t>　├　伝票再発行済</t>
    <rPh sb="3" eb="5">
      <t>デンピョウ</t>
    </rPh>
    <rPh sb="5" eb="8">
      <t>サイハッコウ</t>
    </rPh>
    <rPh sb="8" eb="9">
      <t>スミ</t>
    </rPh>
    <phoneticPr fontId="2"/>
  </si>
  <si>
    <t>　├　通常伝票</t>
    <rPh sb="3" eb="5">
      <t>ツウジョウ</t>
    </rPh>
    <rPh sb="5" eb="7">
      <t>デンピョウ</t>
    </rPh>
    <phoneticPr fontId="2"/>
  </si>
  <si>
    <t>　└　訂正伝票</t>
    <rPh sb="3" eb="5">
      <t>テイセイ</t>
    </rPh>
    <rPh sb="5" eb="7">
      <t>デンピョウ</t>
    </rPh>
    <phoneticPr fontId="2"/>
  </si>
  <si>
    <t>　└　赤伝票</t>
    <rPh sb="3" eb="4">
      <t>アカ</t>
    </rPh>
    <rPh sb="4" eb="6">
      <t>デンピョウ</t>
    </rPh>
    <phoneticPr fontId="2"/>
  </si>
  <si>
    <t>　└　黒伝票</t>
    <phoneticPr fontId="2"/>
  </si>
  <si>
    <t>　└　連動不要</t>
    <rPh sb="3" eb="5">
      <t>レンドウ</t>
    </rPh>
    <rPh sb="5" eb="7">
      <t>フヨウ</t>
    </rPh>
    <phoneticPr fontId="2"/>
  </si>
  <si>
    <t>　└　未連動</t>
    <phoneticPr fontId="2"/>
  </si>
  <si>
    <t>　└　連動済</t>
    <phoneticPr fontId="2"/>
  </si>
  <si>
    <t>UNNH0020_SQL_SORT</t>
  </si>
  <si>
    <t>UNNH0020_SQL_RESULT_SORT</t>
  </si>
  <si>
    <t>UNNH0020_SQL_SELECT_URIAGE_LIST</t>
    <phoneticPr fontId="2"/>
  </si>
  <si>
    <t>UNNH0020_SQL_SELECT_URIAGE_LIST_CNT</t>
    <phoneticPr fontId="2"/>
  </si>
  <si>
    <t>UNNH0020_SQL_PRINT_URIAGE_LIST</t>
    <phoneticPr fontId="2"/>
  </si>
  <si>
    <t>　└　結合用</t>
    <rPh sb="3" eb="6">
      <t>ケツゴウヨウ</t>
    </rPh>
    <phoneticPr fontId="2"/>
  </si>
  <si>
    <t>UNNH0020_SQL_FREEWORD1</t>
    <phoneticPr fontId="2"/>
  </si>
  <si>
    <t>UNNH0020_SQL_FREEWORD2</t>
    <phoneticPr fontId="2"/>
  </si>
  <si>
    <t>UNNH0020_SQL_FREEWORD3</t>
    <phoneticPr fontId="2"/>
  </si>
  <si>
    <t>UNNH0020_SQL_INIT_SORT</t>
    <phoneticPr fontId="2"/>
  </si>
  <si>
    <t>UNNH0020_SQL_JOKEN_COPU_SAKI</t>
    <phoneticPr fontId="2"/>
  </si>
  <si>
    <t>UNNH0020_SQL_JOKEN_COPY_MOTO</t>
    <phoneticPr fontId="2"/>
  </si>
  <si>
    <t>UNNH0020_B_SCROLL_LOCK</t>
    <phoneticPr fontId="2"/>
  </si>
  <si>
    <t>UNNH0020_B_NEXT_PAGE_NO</t>
    <phoneticPr fontId="2"/>
  </si>
  <si>
    <t>UNNH0020_B_PREV_PAGE_NO</t>
    <phoneticPr fontId="2"/>
  </si>
  <si>
    <t>UNNH0020_B_HIDE_ROW</t>
    <phoneticPr fontId="2"/>
  </si>
  <si>
    <t>UNNH0020_B_HIDE_COLUMN</t>
    <phoneticPr fontId="2"/>
  </si>
  <si>
    <t>UNNH0020_B_SELECT_GYO_NO</t>
    <phoneticPr fontId="2"/>
  </si>
  <si>
    <t>選択売上No.</t>
    <rPh sb="0" eb="2">
      <t>センタク</t>
    </rPh>
    <rPh sb="2" eb="4">
      <t>ウリアゲ</t>
    </rPh>
    <phoneticPr fontId="2"/>
  </si>
  <si>
    <t>UNNH0020_B_SELECT_URIAGE_NO</t>
    <phoneticPr fontId="2"/>
  </si>
  <si>
    <t xml:space="preserve">SELECT M_MEISHO_B.DATA_1        AS 並べ替え
           ,M_MEISHO_B.DATA_2        AS ORDER句
   FROM M_MEISHO_B
 WHERE M_MEISHO_B.MEISHO_KBN = 'O601'
 ORDER BY M_MEISHO_B.SORT_NO ASC
      ,CAST(M_MEISHO_B.MEISHO_CD AS INT) ASC
   </t>
    <phoneticPr fontId="2"/>
  </si>
  <si>
    <t xml:space="preserve">  受理No検索</t>
    <phoneticPr fontId="2"/>
  </si>
  <si>
    <t xml:space="preserve"> 見積No取得用SQL</t>
    <phoneticPr fontId="2"/>
  </si>
  <si>
    <t>UNNH0010_SQL_JURI_NO_SEARCH</t>
    <phoneticPr fontId="2"/>
  </si>
  <si>
    <t>UNNH0010_SQL_MITSU_NO_SEARCH</t>
    <phoneticPr fontId="2"/>
  </si>
  <si>
    <t xml:space="preserve"> 分析/販売ステータス取得用SQL</t>
    <rPh sb="1" eb="3">
      <t>ブンセキ</t>
    </rPh>
    <phoneticPr fontId="2"/>
  </si>
  <si>
    <t>　└　処理未</t>
    <rPh sb="3" eb="6">
      <t>ショリミ</t>
    </rPh>
    <phoneticPr fontId="2"/>
  </si>
  <si>
    <t>　└　出荷準備完了</t>
    <rPh sb="3" eb="5">
      <t>シュッカ</t>
    </rPh>
    <rPh sb="5" eb="7">
      <t>ジュンビ</t>
    </rPh>
    <rPh sb="7" eb="9">
      <t>カンリョウ</t>
    </rPh>
    <phoneticPr fontId="2"/>
  </si>
  <si>
    <t>UNNH0020_SQL_SAKI_URIAGE_NO_SEARCH</t>
    <phoneticPr fontId="2"/>
  </si>
  <si>
    <t>UNNH0020_SQL_JURI_NO_SEARCH</t>
    <phoneticPr fontId="2"/>
  </si>
  <si>
    <t>UNNH0020_SQL_MITSU_NO_SEARCH</t>
    <phoneticPr fontId="2"/>
  </si>
  <si>
    <t>UNNH0020_SQL_URIAGE_SERCH</t>
    <phoneticPr fontId="2"/>
  </si>
  <si>
    <t>売上検索用SQL</t>
    <rPh sb="0" eb="2">
      <t>ウリアゲ</t>
    </rPh>
    <rPh sb="2" eb="5">
      <t>ケンサクヨウ</t>
    </rPh>
    <phoneticPr fontId="2"/>
  </si>
  <si>
    <t xml:space="preserve">SELECT M_MEISHO_B.DATA_1        AS 並べ替え
      ,M_MEISHO_B.DATA_2        AS ORDER句
  FROM M_MEISHO_B
 WHERE M_MEISHO_B.MEISHO_KBN = 'O602'
 ORDER BY M_MEISHO_B.SORT_NO ASC
      ,CAST(M_MEISHO_B.MEISHO_CD AS INT) ASC
</t>
    <phoneticPr fontId="2"/>
  </si>
  <si>
    <t>UNNH0020_IF_PRINT_COPY_MOTO</t>
    <phoneticPr fontId="2"/>
  </si>
  <si>
    <t>画面遷移確認メッセージ表示判定</t>
    <rPh sb="0" eb="2">
      <t>ガメン</t>
    </rPh>
    <rPh sb="2" eb="4">
      <t>センイ</t>
    </rPh>
    <rPh sb="4" eb="6">
      <t>カクニン</t>
    </rPh>
    <rPh sb="11" eb="13">
      <t>ヒョウジ</t>
    </rPh>
    <rPh sb="13" eb="15">
      <t>ハンテイ</t>
    </rPh>
    <phoneticPr fontId="2"/>
  </si>
  <si>
    <t>1:表示する / 2:表示しない</t>
    <rPh sb="2" eb="4">
      <t>ヒョウジ</t>
    </rPh>
    <rPh sb="11" eb="13">
      <t>ヒョウジ</t>
    </rPh>
    <phoneticPr fontId="2"/>
  </si>
  <si>
    <t>かつ参照モード以外の場合、メッセージ表示</t>
    <rPh sb="2" eb="4">
      <t>サンショウ</t>
    </rPh>
    <rPh sb="7" eb="9">
      <t>イガイ</t>
    </rPh>
    <rPh sb="10" eb="12">
      <t>バアイ</t>
    </rPh>
    <rPh sb="18" eb="20">
      <t>ヒョウジ</t>
    </rPh>
    <phoneticPr fontId="2"/>
  </si>
  <si>
    <t>表示中シート名</t>
    <rPh sb="0" eb="3">
      <t>ヒョウジチュウ</t>
    </rPh>
    <rPh sb="6" eb="7">
      <t>メイ</t>
    </rPh>
    <phoneticPr fontId="2"/>
  </si>
  <si>
    <t>表示中シートがUNNH0020</t>
    <rPh sb="0" eb="3">
      <t>ヒョウジチュウ</t>
    </rPh>
    <phoneticPr fontId="2"/>
  </si>
  <si>
    <t>UNNH_COMMON_CHANGE_CHECK</t>
    <phoneticPr fontId="2"/>
  </si>
  <si>
    <t>UNNH_COMMON_ACTIVE_SHEET_NAME</t>
    <phoneticPr fontId="2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</si>
  <si>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</si>
  <si>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■商品マスタメンテ遷移用変数</t>
    <rPh sb="1" eb="3">
      <t>ショウヒン</t>
    </rPh>
    <rPh sb="9" eb="11">
      <t>センイ</t>
    </rPh>
    <rPh sb="11" eb="12">
      <t>ヨウ</t>
    </rPh>
    <rPh sb="12" eb="14">
      <t>ヘンスウ</t>
    </rPh>
    <phoneticPr fontId="2"/>
  </si>
  <si>
    <t>選択見積No.</t>
    <rPh sb="0" eb="2">
      <t>センタク</t>
    </rPh>
    <rPh sb="2" eb="4">
      <t>ミツモリ</t>
    </rPh>
    <phoneticPr fontId="2"/>
  </si>
  <si>
    <t>選択履歴No.</t>
    <rPh sb="0" eb="2">
      <t>センタク</t>
    </rPh>
    <rPh sb="2" eb="4">
      <t>リレキ</t>
    </rPh>
    <phoneticPr fontId="2"/>
  </si>
  <si>
    <t>ON:1/OFF:1以外</t>
    <phoneticPr fontId="2"/>
  </si>
  <si>
    <t>【初期化用データ】</t>
    <rPh sb="1" eb="3">
      <t>ショキ</t>
    </rPh>
    <rPh sb="3" eb="4">
      <t>カ</t>
    </rPh>
    <rPh sb="4" eb="5">
      <t>ヨウ</t>
    </rPh>
    <phoneticPr fontId="2"/>
  </si>
  <si>
    <t>【遷移元画面】仮</t>
    <rPh sb="1" eb="3">
      <t>センイ</t>
    </rPh>
    <rPh sb="3" eb="4">
      <t>モト</t>
    </rPh>
    <rPh sb="4" eb="6">
      <t>ガメン</t>
    </rPh>
    <rPh sb="7" eb="8">
      <t>カリ</t>
    </rPh>
    <phoneticPr fontId="2"/>
  </si>
  <si>
    <t>前画面データ</t>
    <rPh sb="0" eb="1">
      <t>マエ</t>
    </rPh>
    <rPh sb="1" eb="3">
      <t>ガメン</t>
    </rPh>
    <phoneticPr fontId="2"/>
  </si>
  <si>
    <t>検索:1/入力:2</t>
    <rPh sb="0" eb="2">
      <t>ケンサク</t>
    </rPh>
    <rPh sb="5" eb="7">
      <t>ニュウリョク</t>
    </rPh>
    <phoneticPr fontId="2"/>
  </si>
  <si>
    <t>UNNH0080_CTRL_HYOJI_GYO_SU</t>
    <phoneticPr fontId="2"/>
  </si>
  <si>
    <t>UNNH0080_KENSAKU_KENSU</t>
    <phoneticPr fontId="2"/>
  </si>
  <si>
    <t>UNNH0080_PAGE_NO</t>
    <phoneticPr fontId="2"/>
  </si>
  <si>
    <t>UNNH0080_ALL_PAGE_SU</t>
    <phoneticPr fontId="2"/>
  </si>
  <si>
    <t>UNNH0080_HYOJI_KENSU</t>
    <phoneticPr fontId="2"/>
  </si>
  <si>
    <t>UNNH0080_LIST_START</t>
    <phoneticPr fontId="2"/>
  </si>
  <si>
    <t>UNNH0080_COPY_SAKI</t>
    <phoneticPr fontId="2"/>
  </si>
  <si>
    <t>UNNH0080_LIST_CLEAR</t>
    <phoneticPr fontId="2"/>
  </si>
  <si>
    <t>UNNH0080_FORMAT_COPY_FLG</t>
    <phoneticPr fontId="2"/>
  </si>
  <si>
    <t>UNNH0080_EXIST_NEXT_PAGE</t>
    <phoneticPr fontId="2"/>
  </si>
  <si>
    <t>UNNH0080_EXIST_PREV_PAGE</t>
    <phoneticPr fontId="2"/>
  </si>
  <si>
    <t>UNNH0080_NEXT_PAGE_NO</t>
    <phoneticPr fontId="2"/>
  </si>
  <si>
    <t>UNNH0080_PREV_PAGE_NO</t>
    <phoneticPr fontId="2"/>
  </si>
  <si>
    <t>UNNH0080_SELECT_GYO_NO</t>
    <phoneticPr fontId="2"/>
  </si>
  <si>
    <t>UNNH0080_HIDE_COLUMN</t>
    <phoneticPr fontId="2"/>
  </si>
  <si>
    <t>UNNH0080_IF_LIST_DEFAULT</t>
    <phoneticPr fontId="2"/>
  </si>
  <si>
    <t>UNNH0080_IF_LIST_COPY_MOTO</t>
    <phoneticPr fontId="2"/>
  </si>
  <si>
    <t>UNNH0080_IF_DATA_SEARCH_FLG</t>
    <phoneticPr fontId="2"/>
  </si>
  <si>
    <t>UNNH0080_IF_ACTIVE_SHEET</t>
    <phoneticPr fontId="2"/>
  </si>
  <si>
    <t>UNNH0080_IF_ACTIVE_ROW</t>
    <phoneticPr fontId="2"/>
  </si>
  <si>
    <t>UNNH0080_IF_ACTIVE_COLUMN</t>
    <phoneticPr fontId="2"/>
  </si>
  <si>
    <t>UNNH0080_IF_ACTIVE_CELL_NAME</t>
    <phoneticPr fontId="2"/>
  </si>
  <si>
    <t>UNNH0080_IF_PREV_GAMEN</t>
    <phoneticPr fontId="2"/>
  </si>
  <si>
    <t>UNNH0080_SQL_SORT</t>
    <phoneticPr fontId="2"/>
  </si>
  <si>
    <t>売上訂正履歴一覧
読込みSQL</t>
    <rPh sb="2" eb="4">
      <t>テイセイ</t>
    </rPh>
    <rPh sb="4" eb="6">
      <t>リレキ</t>
    </rPh>
    <rPh sb="6" eb="8">
      <t>イチラン</t>
    </rPh>
    <rPh sb="9" eb="11">
      <t>ヨミコ</t>
    </rPh>
    <phoneticPr fontId="2"/>
  </si>
  <si>
    <t>売上訂正履歴一覧
行数カウントSQL</t>
    <rPh sb="2" eb="4">
      <t>テイセイ</t>
    </rPh>
    <rPh sb="4" eb="6">
      <t>リレキ</t>
    </rPh>
    <rPh sb="6" eb="8">
      <t>イチラン</t>
    </rPh>
    <rPh sb="9" eb="11">
      <t>ギョウスウ</t>
    </rPh>
    <phoneticPr fontId="2"/>
  </si>
  <si>
    <t>売上訂正履歴ヘッダ部分
読込みSQL</t>
    <rPh sb="2" eb="4">
      <t>テイセイ</t>
    </rPh>
    <rPh sb="4" eb="6">
      <t>リレキ</t>
    </rPh>
    <rPh sb="9" eb="11">
      <t>ブブン</t>
    </rPh>
    <rPh sb="12" eb="14">
      <t>ヨミコ</t>
    </rPh>
    <phoneticPr fontId="2"/>
  </si>
  <si>
    <t>売上リスト読込みSQL
ベースコード</t>
    <rPh sb="5" eb="7">
      <t>ヨミコ</t>
    </rPh>
    <phoneticPr fontId="2"/>
  </si>
  <si>
    <t>売上リスト
行数カウント
SQLベース</t>
    <rPh sb="6" eb="8">
      <t>ギョウスウ</t>
    </rPh>
    <phoneticPr fontId="2"/>
  </si>
  <si>
    <t>条件(売上No)</t>
    <rPh sb="0" eb="2">
      <t>ジョウケン</t>
    </rPh>
    <phoneticPr fontId="2"/>
  </si>
  <si>
    <t>売上検索結果並べ替え
ORDER句取得用SQL</t>
    <rPh sb="2" eb="4">
      <t>ケンサク</t>
    </rPh>
    <rPh sb="4" eb="6">
      <t>ケッカ</t>
    </rPh>
    <rPh sb="6" eb="7">
      <t>ナラ</t>
    </rPh>
    <rPh sb="8" eb="9">
      <t>カ</t>
    </rPh>
    <rPh sb="16" eb="17">
      <t>ク</t>
    </rPh>
    <rPh sb="17" eb="19">
      <t>シュトク</t>
    </rPh>
    <rPh sb="19" eb="20">
      <t>ヨウ</t>
    </rPh>
    <phoneticPr fontId="2"/>
  </si>
  <si>
    <t xml:space="preserve">SELECT * 
  FROM V_URIAGE_R_LIST
  WHERE 1=1
</t>
  </si>
  <si>
    <t xml:space="preserve">SELECT COUNT(*) AS CNT 
  FROM V_URIAGE_R_LIST
  WHERE 1=1
</t>
  </si>
  <si>
    <t>ORDER BY V_URIAGE_R_LIST.UPDATE_DATE DESC</t>
  </si>
  <si>
    <t>UNNH0080_SQL_SELECT_URIAGE_R_LIST</t>
    <phoneticPr fontId="2"/>
  </si>
  <si>
    <t>UNNH0080_SQL_SELECT_URIAGE_R_LIST_CNT</t>
    <phoneticPr fontId="2"/>
  </si>
  <si>
    <t>UNNH0080_SQL_INIT_SORT</t>
    <phoneticPr fontId="2"/>
  </si>
  <si>
    <t>UNNH0080_SQL_RESULT_SORT</t>
    <phoneticPr fontId="2"/>
  </si>
  <si>
    <t>UNNH0080_SELECT_URIAGE_NO</t>
    <phoneticPr fontId="2"/>
  </si>
  <si>
    <t>UNNH0080_SELECT_RIREKI_NO</t>
    <phoneticPr fontId="2"/>
  </si>
  <si>
    <t>履歴No</t>
    <rPh sb="0" eb="2">
      <t>リレキ</t>
    </rPh>
    <phoneticPr fontId="2"/>
  </si>
  <si>
    <t>UNNH0080_IF_URIAGE_NO</t>
    <phoneticPr fontId="2"/>
  </si>
  <si>
    <t>UNNH0080_SQL_SELECT_URIAGE_R_H</t>
    <phoneticPr fontId="2"/>
  </si>
  <si>
    <t>SELECT T_URIAGE_H.URIAGE_NO            AS URIAGE_NO             --売上No.
      ,R_DEMPYO.DATA_1                  AS DEMPYO_KBN            --取引分類
      ,R_SEIKYU.AITE_MEI                AS SEIKYUSAKI_MEI            --請求先名
      ,T_URIAGE_H.DEMPYO_SOFU_MEI       AS DEMPYO_MEI            --伝票送付先名
      ,T_URIAGE_H.SHOKON_NO             AS SHOKON_NO             --伝票送付先名
  FROM T_URIAGE_H                
  LEFT JOIN M_MEISHO_B          AS R_DEMPYO
    ON R_DEMPYO.MEISHO_KBN = 'K023'
   AND T_URIAGE_H.DEMPYO_KBN = R_DEMPYO.MEISHO_CD
  LEFT JOIN M_AITESAKI      AS R_SEIKYU
    ON T_URIAGE_H.SEIKYU_CD = R_SEIKYU.AITE_CD
  WHERE 1=1</t>
    <phoneticPr fontId="2"/>
  </si>
  <si>
    <t>SELECT M_MEISHO_B.DATA_2   AS ORDER句
   FROM M_MEISHO_B
 WHERE M_MEISHO_B.MEISHO_KBN = 'O203'
   AND M_MEISHO_B.MEISHO_CD='02'</t>
    <rPh sb="35" eb="36">
      <t>ク</t>
    </rPh>
    <phoneticPr fontId="2"/>
  </si>
  <si>
    <t xml:space="preserve">SELECT M_MEISHO_B.DATA_1        AS 並べ替え
      ,M_MEISHO_B.DATA_2        AS ORDER句
  FROM M_MEISHO_B
 WHERE M_MEISHO_B.MEISHO_KBN = 'O203'
 ORDER BY M_MEISHO_B.SORT_NO ASC
      ,CAST(M_MEISHO_B.MEISHO_CD AS INT) ASC
</t>
    <phoneticPr fontId="2"/>
  </si>
  <si>
    <t>UNNH0030_H_HIDE_ROW</t>
    <phoneticPr fontId="2"/>
  </si>
  <si>
    <t>ステータス：</t>
    <phoneticPr fontId="2"/>
  </si>
  <si>
    <t>UNNH0030_H_FLG_COPY_SAKI</t>
    <phoneticPr fontId="2"/>
  </si>
  <si>
    <t>同時発行フラグ</t>
    <rPh sb="0" eb="2">
      <t>ドウジ</t>
    </rPh>
    <rPh sb="2" eb="4">
      <t>ハッコウ</t>
    </rPh>
    <phoneticPr fontId="2"/>
  </si>
  <si>
    <t>UNNH0030_H_DOJI_FLG</t>
    <phoneticPr fontId="2"/>
  </si>
  <si>
    <t>住所印字しないフラグ</t>
    <rPh sb="0" eb="2">
      <t>ジュウショ</t>
    </rPh>
    <rPh sb="2" eb="4">
      <t>インジ</t>
    </rPh>
    <phoneticPr fontId="2"/>
  </si>
  <si>
    <t>UNNH0030_H_JUSHO_NO_PRINT_FLG</t>
    <phoneticPr fontId="2"/>
  </si>
  <si>
    <t>UNNH0030_H_BUSHO_CD</t>
    <phoneticPr fontId="2"/>
  </si>
  <si>
    <t>UNNH0030_H_NYURYOKUSHA_CD</t>
    <phoneticPr fontId="2"/>
  </si>
  <si>
    <t>ステータスCD</t>
    <phoneticPr fontId="2"/>
  </si>
  <si>
    <t>UNNH0030_H_STS_CD</t>
    <phoneticPr fontId="2"/>
  </si>
  <si>
    <t>伝票送付先：</t>
    <rPh sb="0" eb="2">
      <t>デンピョウ</t>
    </rPh>
    <rPh sb="2" eb="4">
      <t>ソウフ</t>
    </rPh>
    <rPh sb="4" eb="5">
      <t>サキ</t>
    </rPh>
    <phoneticPr fontId="2"/>
  </si>
  <si>
    <t>伝票区分CD</t>
    <rPh sb="0" eb="2">
      <t>デンピョウ</t>
    </rPh>
    <rPh sb="2" eb="4">
      <t>クブン</t>
    </rPh>
    <phoneticPr fontId="2"/>
  </si>
  <si>
    <t>UNNH0030_H_DEMPYO_KBN_CD</t>
    <phoneticPr fontId="2"/>
  </si>
  <si>
    <t>UNNH0030_H_SEIKYUSAKI_MEI</t>
    <phoneticPr fontId="2"/>
  </si>
  <si>
    <t>受注区分CD</t>
    <rPh sb="0" eb="2">
      <t>ジュチュウ</t>
    </rPh>
    <rPh sb="2" eb="4">
      <t>クブン</t>
    </rPh>
    <phoneticPr fontId="2"/>
  </si>
  <si>
    <t>UNNH0030_H_JUCHU_KBN_CD</t>
    <phoneticPr fontId="2"/>
  </si>
  <si>
    <t>商魂連動区分CD</t>
    <rPh sb="0" eb="2">
      <t>ショウコン</t>
    </rPh>
    <rPh sb="2" eb="4">
      <t>レンドウ</t>
    </rPh>
    <rPh sb="4" eb="6">
      <t>クブン</t>
    </rPh>
    <phoneticPr fontId="2"/>
  </si>
  <si>
    <t>UNNH0030_H_RENDO_KBN_CD</t>
    <phoneticPr fontId="2"/>
  </si>
  <si>
    <t>訂正備考：</t>
    <phoneticPr fontId="2"/>
  </si>
  <si>
    <t>商魂連動日時</t>
    <rPh sb="0" eb="2">
      <t>ショウコン</t>
    </rPh>
    <rPh sb="2" eb="4">
      <t>レンドウ</t>
    </rPh>
    <rPh sb="4" eb="6">
      <t>ニチジ</t>
    </rPh>
    <phoneticPr fontId="2"/>
  </si>
  <si>
    <t>UNNH0030_H_SHOKON_LIST_DATE_TIME</t>
    <phoneticPr fontId="2"/>
  </si>
  <si>
    <t>UNNH0030_H_TAX_RATE</t>
    <phoneticPr fontId="2"/>
  </si>
  <si>
    <t>請求先端数処理区分</t>
    <rPh sb="0" eb="2">
      <t>セイキュウ</t>
    </rPh>
    <rPh sb="2" eb="3">
      <t>サキ</t>
    </rPh>
    <rPh sb="3" eb="5">
      <t>ハスウ</t>
    </rPh>
    <rPh sb="5" eb="7">
      <t>ショリ</t>
    </rPh>
    <rPh sb="7" eb="9">
      <t>クブン</t>
    </rPh>
    <phoneticPr fontId="2"/>
  </si>
  <si>
    <t>UNNH0030_H_SEIKYUSAKI_HASU</t>
    <phoneticPr fontId="2"/>
  </si>
  <si>
    <t>UNNH0030_H_PAGE_TOTAL</t>
    <phoneticPr fontId="2"/>
  </si>
  <si>
    <t>現在ページ番号</t>
    <rPh sb="0" eb="2">
      <t>ゲンザイ</t>
    </rPh>
    <rPh sb="5" eb="7">
      <t>バンゴウ</t>
    </rPh>
    <phoneticPr fontId="2"/>
  </si>
  <si>
    <t>UNNH0030_H_PAGE_NO</t>
    <phoneticPr fontId="2"/>
  </si>
  <si>
    <t>UNNH0030_H_PAGE_PREV</t>
    <phoneticPr fontId="2"/>
  </si>
  <si>
    <t>UNNH0030_H_PAGE_NEXT</t>
    <phoneticPr fontId="2"/>
  </si>
  <si>
    <t>UNNH0030_B_HIDE_ROW</t>
    <phoneticPr fontId="2"/>
  </si>
  <si>
    <t>行区分</t>
    <rPh sb="0" eb="1">
      <t>ギョウ</t>
    </rPh>
    <rPh sb="1" eb="3">
      <t>クブン</t>
    </rPh>
    <phoneticPr fontId="2"/>
  </si>
  <si>
    <t>入数単位</t>
    <rPh sb="0" eb="1">
      <t>イ</t>
    </rPh>
    <rPh sb="1" eb="2">
      <t>スウ</t>
    </rPh>
    <rPh sb="2" eb="4">
      <t>タンイ</t>
    </rPh>
    <phoneticPr fontId="2"/>
  </si>
  <si>
    <t>UNNH0030_B_HIDE_COLUMN</t>
    <phoneticPr fontId="2"/>
  </si>
  <si>
    <t>UNNH0030_B_SCROLL_LOCK</t>
  </si>
  <si>
    <t>UNNH0030_B_LIST_START</t>
    <phoneticPr fontId="2"/>
  </si>
  <si>
    <t>入力行数</t>
    <rPh sb="0" eb="2">
      <t>ニュウリョク</t>
    </rPh>
    <rPh sb="2" eb="4">
      <t>ギョウスウ</t>
    </rPh>
    <phoneticPr fontId="2"/>
  </si>
  <si>
    <t>UNNH0030_B_GYO_COUNT</t>
    <phoneticPr fontId="2"/>
  </si>
  <si>
    <t>入力行数_加算分</t>
    <rPh sb="0" eb="2">
      <t>ニュウリョク</t>
    </rPh>
    <rPh sb="2" eb="4">
      <t>ギョウスウ</t>
    </rPh>
    <rPh sb="5" eb="7">
      <t>カサン</t>
    </rPh>
    <rPh sb="7" eb="8">
      <t>ブン</t>
    </rPh>
    <phoneticPr fontId="2"/>
  </si>
  <si>
    <t>UNNH0030_B_GYO_INCREMENT</t>
    <phoneticPr fontId="2"/>
  </si>
  <si>
    <t>入力行数_減算分</t>
    <rPh sb="0" eb="2">
      <t>ニュウリョク</t>
    </rPh>
    <rPh sb="2" eb="4">
      <t>ギョウスウ</t>
    </rPh>
    <rPh sb="5" eb="7">
      <t>ゲンサン</t>
    </rPh>
    <rPh sb="7" eb="8">
      <t>ブン</t>
    </rPh>
    <phoneticPr fontId="2"/>
  </si>
  <si>
    <t>UNNH0030_B_GYO_DECREMENT</t>
    <phoneticPr fontId="2"/>
  </si>
  <si>
    <t>商品CD展開位置</t>
    <rPh sb="0" eb="2">
      <t>ショウヒン</t>
    </rPh>
    <rPh sb="4" eb="6">
      <t>テンカイ</t>
    </rPh>
    <rPh sb="6" eb="8">
      <t>イチ</t>
    </rPh>
    <phoneticPr fontId="2"/>
  </si>
  <si>
    <t>UNNH0030_B_SHOHIN_CD_TENKAI</t>
    <phoneticPr fontId="2"/>
  </si>
  <si>
    <t>商品名展開位置</t>
    <rPh sb="0" eb="2">
      <t>ショウヒン</t>
    </rPh>
    <rPh sb="2" eb="3">
      <t>メイ</t>
    </rPh>
    <rPh sb="3" eb="5">
      <t>テンカイ</t>
    </rPh>
    <rPh sb="5" eb="7">
      <t>イチ</t>
    </rPh>
    <phoneticPr fontId="2"/>
  </si>
  <si>
    <t>UNNH0030_B_SHOHIN_MEI_TENKAI</t>
    <phoneticPr fontId="2"/>
  </si>
  <si>
    <t>原価展開位置</t>
    <rPh sb="0" eb="2">
      <t>ゲンカ</t>
    </rPh>
    <rPh sb="2" eb="4">
      <t>テンカイ</t>
    </rPh>
    <rPh sb="4" eb="6">
      <t>イチ</t>
    </rPh>
    <phoneticPr fontId="2"/>
  </si>
  <si>
    <t>UNNH0030_B_GENKA_TENKAI</t>
    <phoneticPr fontId="2"/>
  </si>
  <si>
    <t>売価展開位置</t>
    <rPh sb="0" eb="2">
      <t>バイカ</t>
    </rPh>
    <rPh sb="2" eb="4">
      <t>テンカイ</t>
    </rPh>
    <rPh sb="4" eb="6">
      <t>イチ</t>
    </rPh>
    <phoneticPr fontId="2"/>
  </si>
  <si>
    <t>UNNH0030_B_BAIKA_TENKAI</t>
    <phoneticPr fontId="2"/>
  </si>
  <si>
    <t>定価展開位置</t>
    <rPh sb="0" eb="2">
      <t>テイカ</t>
    </rPh>
    <rPh sb="2" eb="4">
      <t>テンカイ</t>
    </rPh>
    <rPh sb="4" eb="6">
      <t>イチ</t>
    </rPh>
    <phoneticPr fontId="2"/>
  </si>
  <si>
    <t>UNNH0030_B_TEIKA_TENKAI</t>
    <phoneticPr fontId="2"/>
  </si>
  <si>
    <t>入数単位展開位置</t>
    <rPh sb="0" eb="1">
      <t>イ</t>
    </rPh>
    <rPh sb="1" eb="4">
      <t>スウタンイ</t>
    </rPh>
    <rPh sb="4" eb="6">
      <t>テンカイ</t>
    </rPh>
    <rPh sb="6" eb="8">
      <t>イチ</t>
    </rPh>
    <phoneticPr fontId="2"/>
  </si>
  <si>
    <t>UNNH0030_B_IRISU_TANI_TENKAI</t>
    <phoneticPr fontId="2"/>
  </si>
  <si>
    <t>仕入入数展開位置</t>
    <rPh sb="4" eb="6">
      <t>テンカイ</t>
    </rPh>
    <rPh sb="6" eb="8">
      <t>イチ</t>
    </rPh>
    <phoneticPr fontId="2"/>
  </si>
  <si>
    <t>UNNH0030_B_SHIIRE_IRISU_TENKAI</t>
    <phoneticPr fontId="2"/>
  </si>
  <si>
    <t>仕入入数単位展開位置</t>
    <rPh sb="6" eb="8">
      <t>テンカイ</t>
    </rPh>
    <rPh sb="8" eb="10">
      <t>イチ</t>
    </rPh>
    <phoneticPr fontId="2"/>
  </si>
  <si>
    <t>UNNH0030_B_SHIIRE_TANI_TENKAI</t>
    <phoneticPr fontId="2"/>
  </si>
  <si>
    <t>バラ単位展開位置</t>
    <rPh sb="4" eb="6">
      <t>テンカイ</t>
    </rPh>
    <rPh sb="6" eb="8">
      <t>イチ</t>
    </rPh>
    <phoneticPr fontId="2"/>
  </si>
  <si>
    <t>UNNH0030_B_BARA_TANI_TENKAI</t>
    <phoneticPr fontId="2"/>
  </si>
  <si>
    <t>挿入行区分</t>
    <rPh sb="0" eb="2">
      <t>ソウニュウ</t>
    </rPh>
    <rPh sb="2" eb="3">
      <t>ギョウ</t>
    </rPh>
    <rPh sb="3" eb="5">
      <t>クブン</t>
    </rPh>
    <phoneticPr fontId="2"/>
  </si>
  <si>
    <t>UNNH0030_B_LIST_INSERT_TYPE</t>
  </si>
  <si>
    <t>1:明細 / 2:コメント / 3：値引</t>
    <rPh sb="2" eb="4">
      <t>メイサイ</t>
    </rPh>
    <rPh sb="18" eb="20">
      <t>ネビキ</t>
    </rPh>
    <phoneticPr fontId="2"/>
  </si>
  <si>
    <t>行挿入元範囲</t>
    <rPh sb="0" eb="1">
      <t>ギョウ</t>
    </rPh>
    <rPh sb="1" eb="3">
      <t>ソウニュウ</t>
    </rPh>
    <rPh sb="3" eb="4">
      <t>モト</t>
    </rPh>
    <rPh sb="4" eb="6">
      <t>ハンイ</t>
    </rPh>
    <phoneticPr fontId="2"/>
  </si>
  <si>
    <t>UNNH0030_B_LIST_INSERT_COPY_AREA</t>
  </si>
  <si>
    <t>行数式コピー先</t>
    <rPh sb="0" eb="1">
      <t>ギョウ</t>
    </rPh>
    <rPh sb="1" eb="3">
      <t>スウシキ</t>
    </rPh>
    <rPh sb="6" eb="7">
      <t>サキ</t>
    </rPh>
    <phoneticPr fontId="2"/>
  </si>
  <si>
    <t>UNNH0030_B_COPY_GYO_SUSHIKI</t>
  </si>
  <si>
    <t>クリア範囲</t>
    <rPh sb="3" eb="5">
      <t>ハンイ</t>
    </rPh>
    <phoneticPr fontId="2"/>
  </si>
  <si>
    <t>UNNH0030_B_LIST_CLEAR_AREA</t>
  </si>
  <si>
    <t>行挿入範囲</t>
    <rPh sb="0" eb="1">
      <t>ギョウ</t>
    </rPh>
    <rPh sb="1" eb="3">
      <t>ソウニュウ</t>
    </rPh>
    <rPh sb="3" eb="5">
      <t>ハンイ</t>
    </rPh>
    <phoneticPr fontId="2"/>
  </si>
  <si>
    <t>UNNH0030_B_LIST_INSERT_AREA</t>
  </si>
  <si>
    <t>行削除範囲</t>
    <rPh sb="0" eb="1">
      <t>ギョウ</t>
    </rPh>
    <rPh sb="1" eb="3">
      <t>サクジョ</t>
    </rPh>
    <rPh sb="3" eb="5">
      <t>ハンイ</t>
    </rPh>
    <phoneticPr fontId="2"/>
  </si>
  <si>
    <t>UNNH0030_B_LIST_DELETE_AREA</t>
  </si>
  <si>
    <t>複数選択コピー先</t>
    <rPh sb="0" eb="2">
      <t>フクスウ</t>
    </rPh>
    <rPh sb="2" eb="4">
      <t>センタク</t>
    </rPh>
    <rPh sb="7" eb="8">
      <t>サキ</t>
    </rPh>
    <phoneticPr fontId="2"/>
  </si>
  <si>
    <t>UNNH0030_B_MULTI_SELECT_COPY_SAKI</t>
  </si>
  <si>
    <t>【処理用】</t>
    <rPh sb="1" eb="4">
      <t>ショリヨウ</t>
    </rPh>
    <phoneticPr fontId="2"/>
  </si>
  <si>
    <t>【書式コピー元】</t>
    <rPh sb="1" eb="3">
      <t>ショシキ</t>
    </rPh>
    <rPh sb="6" eb="7">
      <t>モト</t>
    </rPh>
    <phoneticPr fontId="2"/>
  </si>
  <si>
    <t>【保存】</t>
    <rPh sb="1" eb="3">
      <t>ホゾン</t>
    </rPh>
    <phoneticPr fontId="2"/>
  </si>
  <si>
    <t>【複数商品追加】</t>
    <rPh sb="1" eb="3">
      <t>フクスウ</t>
    </rPh>
    <rPh sb="3" eb="5">
      <t>ショウヒン</t>
    </rPh>
    <rPh sb="5" eb="7">
      <t>ツイカ</t>
    </rPh>
    <phoneticPr fontId="2"/>
  </si>
  <si>
    <t>UNNH0030_IF_FLG_COPY_MOTO</t>
    <phoneticPr fontId="2"/>
  </si>
  <si>
    <t>【ヘッダ】</t>
    <phoneticPr fontId="2"/>
  </si>
  <si>
    <t>【ボディ】</t>
    <phoneticPr fontId="2"/>
  </si>
  <si>
    <t>処理用</t>
    <rPh sb="0" eb="2">
      <t>ショリ</t>
    </rPh>
    <rPh sb="2" eb="3">
      <t>ヨウ</t>
    </rPh>
    <phoneticPr fontId="2"/>
  </si>
  <si>
    <t>ヘッダ</t>
    <phoneticPr fontId="2"/>
  </si>
  <si>
    <t>ボディ</t>
    <phoneticPr fontId="2"/>
  </si>
  <si>
    <t>UNNH0030_IF_MULTI_SELECT_LIST_GYO</t>
  </si>
  <si>
    <t>UNNH0030_IF_MULTI_SELECT_LIST_KINGAKU</t>
  </si>
  <si>
    <t>UNNH0030_IF_MULTI_SELECT_LIST_SOSU</t>
  </si>
  <si>
    <t>UNNH0030_IF_MULTI_SELECT_LIST_ARARI_AREA</t>
  </si>
  <si>
    <t>UNNH0030_IF_DATA_SEARCH_FLG</t>
  </si>
  <si>
    <t>ON:1</t>
  </si>
  <si>
    <t>OFF:1以外</t>
    <rPh sb="5" eb="7">
      <t>イガイ</t>
    </rPh>
    <phoneticPr fontId="2"/>
  </si>
  <si>
    <t>リスト名</t>
    <rPh sb="3" eb="4">
      <t>メイ</t>
    </rPh>
    <phoneticPr fontId="2"/>
  </si>
  <si>
    <t>敬称</t>
    <rPh sb="0" eb="2">
      <t>ケイショウ</t>
    </rPh>
    <phoneticPr fontId="2"/>
  </si>
  <si>
    <t>UNNH0030_H_DOJI_FLG</t>
    <phoneticPr fontId="2"/>
  </si>
  <si>
    <t>必須情報</t>
    <rPh sb="0" eb="2">
      <t>ヒッス</t>
    </rPh>
    <rPh sb="2" eb="4">
      <t>ジョウホウ</t>
    </rPh>
    <phoneticPr fontId="2"/>
  </si>
  <si>
    <t>保存数式コピー元</t>
    <rPh sb="0" eb="2">
      <t>ホゾン</t>
    </rPh>
    <rPh sb="2" eb="4">
      <t>スウシキ</t>
    </rPh>
    <rPh sb="7" eb="8">
      <t>モト</t>
    </rPh>
    <phoneticPr fontId="2"/>
  </si>
  <si>
    <t>UNNH0030_IF_SAVE_COPY_MOTO</t>
  </si>
  <si>
    <t>複数商品選択件数</t>
    <rPh sb="0" eb="2">
      <t>フクスウ</t>
    </rPh>
    <rPh sb="2" eb="4">
      <t>ショウヒン</t>
    </rPh>
    <rPh sb="4" eb="6">
      <t>センタク</t>
    </rPh>
    <rPh sb="6" eb="8">
      <t>ケンスウ</t>
    </rPh>
    <phoneticPr fontId="2"/>
  </si>
  <si>
    <t>UNNH0030_IF_MULTI_SELECT_KENSU</t>
  </si>
  <si>
    <t>対象売上/受理/見積No.</t>
    <rPh sb="0" eb="2">
      <t>タイショウ</t>
    </rPh>
    <rPh sb="2" eb="4">
      <t>ウリアゲ</t>
    </rPh>
    <rPh sb="5" eb="7">
      <t>ジュリ</t>
    </rPh>
    <rPh sb="8" eb="10">
      <t>ミツモリ</t>
    </rPh>
    <phoneticPr fontId="2"/>
  </si>
  <si>
    <t>UNNH0030_IF_REF_NO</t>
    <phoneticPr fontId="2"/>
  </si>
  <si>
    <t>U16-010001</t>
    <phoneticPr fontId="2"/>
  </si>
  <si>
    <t>件数</t>
    <rPh sb="0" eb="2">
      <t>ケンスウ</t>
    </rPh>
    <phoneticPr fontId="2"/>
  </si>
  <si>
    <t>UNNH0030_H_JUSHO_NO_PRINT_FLG</t>
    <phoneticPr fontId="2"/>
  </si>
  <si>
    <t>【新規】</t>
    <rPh sb="1" eb="3">
      <t>シンキ</t>
    </rPh>
    <phoneticPr fontId="2"/>
  </si>
  <si>
    <t>【明細行】</t>
    <rPh sb="1" eb="3">
      <t>メイサイ</t>
    </rPh>
    <rPh sb="3" eb="4">
      <t>ギョウ</t>
    </rPh>
    <phoneticPr fontId="2"/>
  </si>
  <si>
    <t>UNNH0030_IF_COPY_B_MEISAI_SHINKI</t>
  </si>
  <si>
    <t>UNNH0030_IF_COPY_B_MEISAI_KINGAKU_SUSHIKI</t>
  </si>
  <si>
    <t>UNNH0030_IF_COPY_B_MEISAI_TOTAL_SUSHIKI</t>
  </si>
  <si>
    <t>UNNH0030_IF_COPY_B_MEISAI_ARARI_SUSHIKI</t>
  </si>
  <si>
    <t>ユーザーID</t>
    <phoneticPr fontId="2"/>
  </si>
  <si>
    <t>UNNH0030_IF_W_USER_ID</t>
  </si>
  <si>
    <t>必須チェック設定</t>
    <rPh sb="0" eb="2">
      <t>ヒッス</t>
    </rPh>
    <rPh sb="6" eb="8">
      <t>セッテイ</t>
    </rPh>
    <phoneticPr fontId="2"/>
  </si>
  <si>
    <t>【保存対象】</t>
    <rPh sb="1" eb="3">
      <t>ホゾン</t>
    </rPh>
    <rPh sb="3" eb="5">
      <t>タイショウ</t>
    </rPh>
    <phoneticPr fontId="2"/>
  </si>
  <si>
    <t>UNNH0030_IF_SAVE_JOGAI_GYO</t>
    <phoneticPr fontId="2"/>
  </si>
  <si>
    <t>W_USER_ID</t>
  </si>
  <si>
    <t>W_SERIAL</t>
  </si>
  <si>
    <t>W_PAGE</t>
  </si>
  <si>
    <t>W_ROW</t>
  </si>
  <si>
    <t>W_MODE</t>
  </si>
  <si>
    <t>URIAGE_NO</t>
  </si>
  <si>
    <t>DEMPYO_KBN</t>
  </si>
  <si>
    <t>RENDO_KBN</t>
  </si>
  <si>
    <t>URIAGE_DATE</t>
  </si>
  <si>
    <t>BUSHO_CD</t>
  </si>
  <si>
    <t>URIAGE_NYURYOKUSHA_CD</t>
  </si>
  <si>
    <t>NYURYOKU_DATE_TIME</t>
    <phoneticPr fontId="2"/>
  </si>
  <si>
    <t>JUCHU_KBN</t>
  </si>
  <si>
    <t>JURI_NO</t>
  </si>
  <si>
    <t>MITSU_NO</t>
  </si>
  <si>
    <t>SAKI_URIAGE_NO</t>
  </si>
  <si>
    <t>NOHIN_DATE</t>
  </si>
  <si>
    <t>URIAGE_STS</t>
  </si>
  <si>
    <t>DOJI_FLG</t>
  </si>
  <si>
    <t>SEIKYU_CD</t>
  </si>
  <si>
    <t>KAISHU_DATE</t>
  </si>
  <si>
    <t>TEKIYO_H</t>
  </si>
  <si>
    <t>DEMPYO_SOFU_MEI</t>
  </si>
  <si>
    <t>KEISHO</t>
  </si>
  <si>
    <t>YUBIN_NO</t>
  </si>
  <si>
    <t>ADDRESS_1</t>
  </si>
  <si>
    <t>ADDRESS_2</t>
  </si>
  <si>
    <t>TEL</t>
  </si>
  <si>
    <t>FAX</t>
  </si>
  <si>
    <t>SOFU_TANTO</t>
  </si>
  <si>
    <t>TEISEI_BIKO</t>
  </si>
  <si>
    <t>JUSHO_NO_PRINT_FLG</t>
  </si>
  <si>
    <t>TAX_RATE</t>
  </si>
  <si>
    <t>NUKI_TOTAL</t>
  </si>
  <si>
    <t>TAX</t>
  </si>
  <si>
    <t>KOMI_TOTAL</t>
  </si>
  <si>
    <t>GENKA_TOTAL</t>
  </si>
  <si>
    <t>ARARIEKI_H</t>
  </si>
  <si>
    <t>ARARIRITSU_H</t>
  </si>
  <si>
    <t>SHOKON_NO</t>
  </si>
  <si>
    <t>SHOKON_LIST_DATE_TIME</t>
  </si>
  <si>
    <t>GYO_NO</t>
  </si>
  <si>
    <t>ROW_KBN</t>
  </si>
  <si>
    <t>SHOHIN_CD</t>
  </si>
  <si>
    <t>SHOHIN_MEI</t>
  </si>
  <si>
    <t>URIAGE_SURYO</t>
  </si>
  <si>
    <t>URIAGE_SURYO_TANI</t>
  </si>
  <si>
    <t>HAMBAI_TANKA</t>
  </si>
  <si>
    <t>HAMBAI_KINGAKU</t>
  </si>
  <si>
    <t>TEKIYO_B</t>
  </si>
  <si>
    <t>GENTANKA</t>
  </si>
  <si>
    <t>GENKA_SURYO</t>
  </si>
  <si>
    <t>IRISU_TANI</t>
  </si>
  <si>
    <t>SOSU</t>
  </si>
  <si>
    <t>BARA_TANI</t>
  </si>
  <si>
    <t>GENKA_KINGAKU</t>
  </si>
  <si>
    <t>ARARIRITSU_B</t>
  </si>
  <si>
    <t>ARARIEKI_B</t>
  </si>
  <si>
    <t>TEIKA</t>
  </si>
  <si>
    <t>DEL_FLG</t>
  </si>
  <si>
    <t>DBS_STATUS</t>
  </si>
  <si>
    <t>DBS_CREATE_USER</t>
  </si>
  <si>
    <t>DBS_CREATE_DATE</t>
  </si>
  <si>
    <t>DBS_UPDATE_USER</t>
  </si>
  <si>
    <t>DBS_UPDATE_DATE</t>
  </si>
  <si>
    <t>複数商品選択展開開始位置</t>
    <rPh sb="0" eb="2">
      <t>フクスウ</t>
    </rPh>
    <rPh sb="2" eb="4">
      <t>ショウヒン</t>
    </rPh>
    <rPh sb="4" eb="6">
      <t>センタク</t>
    </rPh>
    <rPh sb="6" eb="8">
      <t>テンカイ</t>
    </rPh>
    <rPh sb="8" eb="10">
      <t>カイシ</t>
    </rPh>
    <rPh sb="10" eb="12">
      <t>イチ</t>
    </rPh>
    <phoneticPr fontId="2"/>
  </si>
  <si>
    <t>UNNH0030_IF_MULTI_SELECT_TENKAI_START</t>
  </si>
  <si>
    <t>対象履歴No.</t>
    <rPh sb="0" eb="2">
      <t>タイショウ</t>
    </rPh>
    <rPh sb="2" eb="4">
      <t>リレキ</t>
    </rPh>
    <phoneticPr fontId="2"/>
  </si>
  <si>
    <t>UNNH0030_IF_RIREKI_NO</t>
    <phoneticPr fontId="2"/>
  </si>
  <si>
    <t>UNNH0030_IF_LIST_DEMPYO_KBN</t>
  </si>
  <si>
    <t>「=OFFSET(UNNH0030_IF_LIST_DEMPYO_KBN_START,,,IF(UNNH0030_IF_LIST_DEMPYO_KBN_KENSU=0,1,UNNH0030_IF_LIST_DEMPYO_KBN_KENSU),1)」</t>
  </si>
  <si>
    <t>UNNH0030_IF_LIST_KEISHO_KBN</t>
  </si>
  <si>
    <t>「=OFFSET(UNNH0030_IF_LIST_KEISHO_KBN_START,,,IF(UNNH0030_IF_LIST_KEISHO_KBN_KENSU=0,1,UNNH0030_IF_LIST_KEISHO_KBN_KENSU),1)」</t>
    <phoneticPr fontId="2"/>
  </si>
  <si>
    <t>UNNH0030_IF_COPY_H_SHINKI</t>
    <phoneticPr fontId="2"/>
  </si>
  <si>
    <t>UNNH0030_IF_COPY_B_GYO_SUSHIKI</t>
  </si>
  <si>
    <t>UNNH0030_IF_W_SERIAL</t>
  </si>
  <si>
    <t>結果出力先シート名</t>
    <rPh sb="0" eb="2">
      <t>ケッカ</t>
    </rPh>
    <rPh sb="2" eb="5">
      <t>シュツリョクサキ</t>
    </rPh>
    <rPh sb="8" eb="9">
      <t>メイ</t>
    </rPh>
    <phoneticPr fontId="2"/>
  </si>
  <si>
    <t>UNNH0030_IF</t>
  </si>
  <si>
    <t>除外行</t>
    <rPh sb="0" eb="2">
      <t>ジョガイ</t>
    </rPh>
    <rPh sb="2" eb="3">
      <t>ギョウ</t>
    </rPh>
    <phoneticPr fontId="2"/>
  </si>
  <si>
    <t>ユーザID</t>
  </si>
  <si>
    <t>シリアル</t>
  </si>
  <si>
    <t>行番号</t>
  </si>
  <si>
    <t>処理モード</t>
  </si>
  <si>
    <t>売上No.</t>
  </si>
  <si>
    <t>伝票区分</t>
  </si>
  <si>
    <t>商魂連動区分</t>
  </si>
  <si>
    <t>売上日</t>
  </si>
  <si>
    <t>担当部署CD</t>
  </si>
  <si>
    <t>売上入力者CD</t>
  </si>
  <si>
    <t>入力日時</t>
    <rPh sb="0" eb="2">
      <t>ニュウリョク</t>
    </rPh>
    <rPh sb="2" eb="4">
      <t>ニチジ</t>
    </rPh>
    <phoneticPr fontId="2"/>
  </si>
  <si>
    <t>受注区分</t>
  </si>
  <si>
    <t>対象受理No.</t>
  </si>
  <si>
    <t>対象見積No.</t>
  </si>
  <si>
    <t>結合先売上No.</t>
  </si>
  <si>
    <t>納品日</t>
  </si>
  <si>
    <t>売上ステータス</t>
  </si>
  <si>
    <t>同時発行フラグ</t>
  </si>
  <si>
    <t>請求先CD</t>
  </si>
  <si>
    <t>回収予定日</t>
  </si>
  <si>
    <t>分析方法</t>
    <rPh sb="0" eb="2">
      <t>ブンセキ</t>
    </rPh>
    <rPh sb="2" eb="4">
      <t>ホウホウ</t>
    </rPh>
    <phoneticPr fontId="2"/>
  </si>
  <si>
    <t>摘要</t>
  </si>
  <si>
    <t>伝票送付先名</t>
  </si>
  <si>
    <t>敬称</t>
  </si>
  <si>
    <t>送付先郵便番号</t>
  </si>
  <si>
    <t>送付先住所１</t>
  </si>
  <si>
    <t>送付先住所２</t>
  </si>
  <si>
    <t>送付先TEL</t>
  </si>
  <si>
    <t>送付先FAX</t>
  </si>
  <si>
    <t>送付先担当者</t>
  </si>
  <si>
    <t>訂正備考</t>
  </si>
  <si>
    <t>住所印字不要フラグ</t>
  </si>
  <si>
    <t>税率</t>
  </si>
  <si>
    <t>税抜合計</t>
  </si>
  <si>
    <t>消費税</t>
  </si>
  <si>
    <t>税込合計</t>
  </si>
  <si>
    <t>原価合計</t>
  </si>
  <si>
    <t>粗利益</t>
  </si>
  <si>
    <t>粗利率</t>
  </si>
  <si>
    <t>商魂伝票No.</t>
  </si>
  <si>
    <t>連動日時</t>
  </si>
  <si>
    <t>行No.</t>
  </si>
  <si>
    <t>行区分</t>
  </si>
  <si>
    <t>商品CD</t>
  </si>
  <si>
    <t>商品名</t>
  </si>
  <si>
    <t>売上数量</t>
  </si>
  <si>
    <t>売上数量単位</t>
  </si>
  <si>
    <t>販売単価</t>
  </si>
  <si>
    <t>販売金額</t>
  </si>
  <si>
    <t>原単価</t>
  </si>
  <si>
    <t>原価数量</t>
  </si>
  <si>
    <t>入数単位</t>
  </si>
  <si>
    <t>総数</t>
  </si>
  <si>
    <t>バラ単位</t>
  </si>
  <si>
    <t>原価金額</t>
  </si>
  <si>
    <t>定価</t>
  </si>
  <si>
    <t>削除フラグ</t>
  </si>
  <si>
    <t>レコード状態</t>
  </si>
  <si>
    <t>作成ユーザＩＤ</t>
  </si>
  <si>
    <t>作成日時</t>
  </si>
  <si>
    <t>更新ユーザＩＤ</t>
  </si>
  <si>
    <t>更新日時</t>
  </si>
  <si>
    <t>展開件数</t>
    <rPh sb="0" eb="2">
      <t>テンカイ</t>
    </rPh>
    <rPh sb="2" eb="4">
      <t>ケンスウ</t>
    </rPh>
    <phoneticPr fontId="2"/>
  </si>
  <si>
    <t>UNNH0030_IF_MULTI_SELECT_TENKAI_KENSU</t>
  </si>
  <si>
    <t>複数商品選択フラグ</t>
    <rPh sb="0" eb="2">
      <t>フクスウ</t>
    </rPh>
    <rPh sb="2" eb="4">
      <t>ショウヒン</t>
    </rPh>
    <rPh sb="4" eb="6">
      <t>センタク</t>
    </rPh>
    <phoneticPr fontId="2"/>
  </si>
  <si>
    <t>UNNH0030_IF_MULTI_SELECT_FLG</t>
  </si>
  <si>
    <t>OFF:2</t>
  </si>
  <si>
    <t>名称</t>
    <rPh sb="0" eb="2">
      <t>メイショウ</t>
    </rPh>
    <phoneticPr fontId="2"/>
  </si>
  <si>
    <t>コード</t>
    <phoneticPr fontId="2"/>
  </si>
  <si>
    <t>コード</t>
  </si>
  <si>
    <t>シリアル生成</t>
    <rPh sb="4" eb="6">
      <t>セイセイ</t>
    </rPh>
    <phoneticPr fontId="2"/>
  </si>
  <si>
    <t>UNNH0030_IF_W_SERIAL_CREATE</t>
  </si>
  <si>
    <t>結果出力先セル</t>
    <rPh sb="0" eb="2">
      <t>ケッカ</t>
    </rPh>
    <rPh sb="2" eb="5">
      <t>シュツリョクサキ</t>
    </rPh>
    <phoneticPr fontId="2"/>
  </si>
  <si>
    <t>展開開始位置</t>
    <rPh sb="0" eb="2">
      <t>テンカイ</t>
    </rPh>
    <rPh sb="2" eb="4">
      <t>カイシ</t>
    </rPh>
    <rPh sb="4" eb="6">
      <t>イチ</t>
    </rPh>
    <phoneticPr fontId="2"/>
  </si>
  <si>
    <t>UNNH0030_IF_SAVE_COPY_START</t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</si>
  <si>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2"/>
  </si>
  <si>
    <t>UNNH0030_IF_MULTI_SELECT_CHECK</t>
  </si>
  <si>
    <t>1:有効 / 2:無効</t>
    <rPh sb="2" eb="4">
      <t>ユウコウ</t>
    </rPh>
    <rPh sb="9" eb="11">
      <t>ムコウ</t>
    </rPh>
    <phoneticPr fontId="2"/>
  </si>
  <si>
    <t>保存後処理判定</t>
    <rPh sb="0" eb="2">
      <t>ホゾン</t>
    </rPh>
    <rPh sb="2" eb="3">
      <t>ゴ</t>
    </rPh>
    <rPh sb="3" eb="5">
      <t>ショリ</t>
    </rPh>
    <rPh sb="5" eb="7">
      <t>ハンテイ</t>
    </rPh>
    <phoneticPr fontId="2"/>
  </si>
  <si>
    <t>UNNH0030_IF_PAGE_SAVE_CHECK</t>
    <phoneticPr fontId="2"/>
  </si>
  <si>
    <t>現ページが2以上かつ&gt;=総ページの場合、削除後、前ページを表示する</t>
    <rPh sb="0" eb="1">
      <t>ゲン</t>
    </rPh>
    <rPh sb="6" eb="8">
      <t>イジョウ</t>
    </rPh>
    <rPh sb="12" eb="13">
      <t>ソウ</t>
    </rPh>
    <rPh sb="17" eb="19">
      <t>バアイ</t>
    </rPh>
    <rPh sb="20" eb="22">
      <t>サクジョ</t>
    </rPh>
    <rPh sb="22" eb="23">
      <t>ゴ</t>
    </rPh>
    <rPh sb="24" eb="25">
      <t>マエ</t>
    </rPh>
    <rPh sb="29" eb="31">
      <t>ヒョウジ</t>
    </rPh>
    <phoneticPr fontId="2"/>
  </si>
  <si>
    <t>【コメント行】</t>
    <rPh sb="5" eb="6">
      <t>ギョウ</t>
    </rPh>
    <phoneticPr fontId="2"/>
  </si>
  <si>
    <t>UNNH0030_IF_COPY_B_COMMENT_SHINKI</t>
  </si>
  <si>
    <t>UNNH0030_IF_W_MODE</t>
  </si>
  <si>
    <t>0:読込 / 1:新規保存 / 2:更新 / 3:削除 / 4:受注データ検索接続 / 5:受注接続一括保存 / 6:参照作成 / 7:履歴データ取得 / 8:伝票発行済設定 / 9(ELSE):ワークテーブルクリア</t>
    <phoneticPr fontId="2"/>
  </si>
  <si>
    <t>項目名</t>
    <rPh sb="0" eb="3">
      <t>コウモクメイ</t>
    </rPh>
    <phoneticPr fontId="2"/>
  </si>
  <si>
    <t>情報</t>
    <rPh sb="0" eb="2">
      <t>ジョウホウ</t>
    </rPh>
    <phoneticPr fontId="2"/>
  </si>
  <si>
    <t>展開後件数</t>
    <rPh sb="0" eb="2">
      <t>テンカイ</t>
    </rPh>
    <rPh sb="2" eb="3">
      <t>ゴ</t>
    </rPh>
    <rPh sb="3" eb="5">
      <t>ケンスウ</t>
    </rPh>
    <phoneticPr fontId="2"/>
  </si>
  <si>
    <t>UNNH0030_IF_MULTI_SELECT_GYO_INCREMENT</t>
  </si>
  <si>
    <t>【モード判定】</t>
    <rPh sb="4" eb="6">
      <t>ハンテイ</t>
    </rPh>
    <phoneticPr fontId="2"/>
  </si>
  <si>
    <t>様</t>
    <rPh sb="0" eb="1">
      <t>サマ</t>
    </rPh>
    <phoneticPr fontId="2"/>
  </si>
  <si>
    <t>comment</t>
    <phoneticPr fontId="2"/>
  </si>
  <si>
    <t>シート名</t>
    <rPh sb="3" eb="4">
      <t>メイ</t>
    </rPh>
    <phoneticPr fontId="2"/>
  </si>
  <si>
    <t>UNNH0030_H</t>
  </si>
  <si>
    <t>表示モード</t>
    <rPh sb="0" eb="2">
      <t>ヒョウジ</t>
    </rPh>
    <phoneticPr fontId="2"/>
  </si>
  <si>
    <t>UNNH0030_IF_MODE</t>
    <phoneticPr fontId="2"/>
  </si>
  <si>
    <t>1：新規2：修正0：参照</t>
    <rPh sb="2" eb="4">
      <t>シンキ</t>
    </rPh>
    <rPh sb="6" eb="8">
      <t>シュウセイ</t>
    </rPh>
    <rPh sb="10" eb="12">
      <t>サンショウ</t>
    </rPh>
    <phoneticPr fontId="2"/>
  </si>
  <si>
    <t>一時保存フラグ</t>
    <rPh sb="0" eb="2">
      <t>イチジ</t>
    </rPh>
    <rPh sb="2" eb="4">
      <t>ホゾン</t>
    </rPh>
    <phoneticPr fontId="2"/>
  </si>
  <si>
    <t>UNNH0030_SAVE_TEMP_FLG</t>
  </si>
  <si>
    <t>ON:1 / OFF:1以外</t>
    <rPh sb="12" eb="14">
      <t>イガイ</t>
    </rPh>
    <phoneticPr fontId="2"/>
  </si>
  <si>
    <t>入力チェックセル名</t>
    <rPh sb="0" eb="2">
      <t>ニュウリョク</t>
    </rPh>
    <rPh sb="8" eb="9">
      <t>メイ</t>
    </rPh>
    <phoneticPr fontId="2"/>
  </si>
  <si>
    <t>書式コピー先</t>
    <rPh sb="0" eb="2">
      <t>ショシキ</t>
    </rPh>
    <rPh sb="5" eb="6">
      <t>サキ</t>
    </rPh>
    <phoneticPr fontId="2"/>
  </si>
  <si>
    <t>UNNH0030_IF_MULTI_SELECT_SHOSHIKI_COPY_SAKI</t>
  </si>
  <si>
    <t>受注データ接続モード</t>
    <rPh sb="0" eb="2">
      <t>ジュチュウ</t>
    </rPh>
    <rPh sb="5" eb="7">
      <t>セツゾク</t>
    </rPh>
    <phoneticPr fontId="2"/>
  </si>
  <si>
    <t>UNNH0030_IF_JUCHU_MODE</t>
    <phoneticPr fontId="2"/>
  </si>
  <si>
    <t>【値引行】</t>
    <rPh sb="1" eb="3">
      <t>ネビ</t>
    </rPh>
    <rPh sb="3" eb="4">
      <t>ギョウ</t>
    </rPh>
    <phoneticPr fontId="2"/>
  </si>
  <si>
    <t>UNNH0030_IF_COPY_B_NEBIKI_DIR_SHINKI</t>
  </si>
  <si>
    <t>入力チェックセル項目名</t>
    <rPh sb="0" eb="2">
      <t>ニュウリョク</t>
    </rPh>
    <rPh sb="8" eb="11">
      <t>コウモクメイ</t>
    </rPh>
    <phoneticPr fontId="2"/>
  </si>
  <si>
    <t>行数式コピー先</t>
    <rPh sb="0" eb="2">
      <t>ギョウスウ</t>
    </rPh>
    <rPh sb="2" eb="3">
      <t>シキ</t>
    </rPh>
    <rPh sb="6" eb="7">
      <t>サキ</t>
    </rPh>
    <phoneticPr fontId="2"/>
  </si>
  <si>
    <t>UNNH0030_IF_MULTI_SELECT_GYO_SUSHIKI_COPY_SAKI</t>
  </si>
  <si>
    <t>結合用</t>
    <rPh sb="0" eb="3">
      <t>ケツゴウヨウ</t>
    </rPh>
    <phoneticPr fontId="2"/>
  </si>
  <si>
    <t>nebiki_dir</t>
    <phoneticPr fontId="2"/>
  </si>
  <si>
    <t>値引</t>
    <rPh sb="0" eb="2">
      <t>ネビキ</t>
    </rPh>
    <phoneticPr fontId="2"/>
  </si>
  <si>
    <t>入力チェック・リスト</t>
    <rPh sb="0" eb="2">
      <t>ニュウリョク</t>
    </rPh>
    <phoneticPr fontId="2"/>
  </si>
  <si>
    <t>金額数式コピー先</t>
    <rPh sb="0" eb="2">
      <t>キンガク</t>
    </rPh>
    <rPh sb="2" eb="4">
      <t>スウシキ</t>
    </rPh>
    <rPh sb="7" eb="8">
      <t>サキ</t>
    </rPh>
    <phoneticPr fontId="2"/>
  </si>
  <si>
    <t>UNNH0030_IF_MULTI_SELECT_KINGAKU_SUSHIKI_COPY_SAKI</t>
  </si>
  <si>
    <t>UNNH0030_IF_SAVE_COPY_SAKI</t>
  </si>
  <si>
    <t>総数数式コピー先</t>
    <rPh sb="0" eb="2">
      <t>ソウスウ</t>
    </rPh>
    <rPh sb="2" eb="4">
      <t>スウシキ</t>
    </rPh>
    <rPh sb="7" eb="8">
      <t>サキ</t>
    </rPh>
    <phoneticPr fontId="2"/>
  </si>
  <si>
    <t>UNNH0030_IF_MULTI_SELECT_SOSU_SUSHIKI_COPY_SAKI</t>
  </si>
  <si>
    <t>UNNH0030_IF_ACTIVE_SHEET</t>
    <phoneticPr fontId="2"/>
  </si>
  <si>
    <t>UNNH0030_B</t>
  </si>
  <si>
    <t>UNNH0030_IF_SAVE_KENSU</t>
  </si>
  <si>
    <t>開始位置</t>
    <rPh sb="0" eb="2">
      <t>カイシ</t>
    </rPh>
    <rPh sb="2" eb="4">
      <t>イチ</t>
    </rPh>
    <phoneticPr fontId="2"/>
  </si>
  <si>
    <t>原価・粗利数式コピー先</t>
    <rPh sb="0" eb="2">
      <t>ゲンカ</t>
    </rPh>
    <rPh sb="3" eb="5">
      <t>アラリ</t>
    </rPh>
    <rPh sb="5" eb="7">
      <t>スウシキ</t>
    </rPh>
    <rPh sb="10" eb="11">
      <t>サキ</t>
    </rPh>
    <phoneticPr fontId="2"/>
  </si>
  <si>
    <t>UNNH0030_IF_MULTI_SELECT_GENKA_SUSHIKI_COPY_SAKI</t>
  </si>
  <si>
    <t>UNNH0030_IF_ACTIVE_ROW</t>
    <phoneticPr fontId="2"/>
  </si>
  <si>
    <t>横幅（列数）</t>
    <rPh sb="0" eb="2">
      <t>ヨコハバ</t>
    </rPh>
    <rPh sb="3" eb="4">
      <t>レツ</t>
    </rPh>
    <rPh sb="4" eb="5">
      <t>スウ</t>
    </rPh>
    <phoneticPr fontId="2"/>
  </si>
  <si>
    <t>UNNH0030_IF_ACTIVE_COLUMN</t>
    <phoneticPr fontId="2"/>
  </si>
  <si>
    <t>縦幅（行数）</t>
    <rPh sb="0" eb="2">
      <t>タテハバ</t>
    </rPh>
    <rPh sb="3" eb="5">
      <t>ギョウスウ</t>
    </rPh>
    <phoneticPr fontId="2"/>
  </si>
  <si>
    <t>コピー元</t>
    <rPh sb="3" eb="4">
      <t>モト</t>
    </rPh>
    <phoneticPr fontId="2"/>
  </si>
  <si>
    <t>UNNH0030_IF_MULTI_SELECT_COPY_MOTO</t>
  </si>
  <si>
    <t>【修正】</t>
    <rPh sb="1" eb="3">
      <t>シュウセイ</t>
    </rPh>
    <phoneticPr fontId="2"/>
  </si>
  <si>
    <t>UNNH0030_IF_COPY_B_MEISAI_SHUSEI</t>
  </si>
  <si>
    <t>項目名リスト</t>
    <rPh sb="0" eb="2">
      <t>コウモク</t>
    </rPh>
    <rPh sb="2" eb="3">
      <t>メイ</t>
    </rPh>
    <phoneticPr fontId="2"/>
  </si>
  <si>
    <t>商品CD,商品名,売上数量,売上数量単位,販売単価</t>
    <rPh sb="0" eb="2">
      <t>ショウヒン</t>
    </rPh>
    <rPh sb="5" eb="8">
      <t>ショウヒンメイ</t>
    </rPh>
    <rPh sb="9" eb="11">
      <t>ウリアゲ</t>
    </rPh>
    <rPh sb="11" eb="13">
      <t>スウリョウ</t>
    </rPh>
    <rPh sb="14" eb="16">
      <t>ウリアゲ</t>
    </rPh>
    <rPh sb="16" eb="18">
      <t>スウリョウ</t>
    </rPh>
    <rPh sb="18" eb="20">
      <t>タンイ</t>
    </rPh>
    <rPh sb="21" eb="23">
      <t>ハンバイ</t>
    </rPh>
    <rPh sb="23" eb="25">
      <t>タンカ</t>
    </rPh>
    <phoneticPr fontId="2"/>
  </si>
  <si>
    <t>UNNH0030_IF_ACTIVE_CELL_NAME</t>
    <phoneticPr fontId="2"/>
  </si>
  <si>
    <t>UNNH0030_B_SHIRYO_MEI</t>
  </si>
  <si>
    <t>除外セル(アドレス)</t>
    <rPh sb="0" eb="2">
      <t>ジョガイ</t>
    </rPh>
    <phoneticPr fontId="2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</si>
  <si>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2"/>
  </si>
  <si>
    <t>UNNH0030_IF_COPY_B_COMMENT_SHUSEI</t>
  </si>
  <si>
    <t>除外行リスト(行数)</t>
    <rPh sb="0" eb="2">
      <t>ジョガイ</t>
    </rPh>
    <rPh sb="2" eb="3">
      <t>ギョウ</t>
    </rPh>
    <rPh sb="7" eb="9">
      <t>ギョウスウ</t>
    </rPh>
    <phoneticPr fontId="2"/>
  </si>
  <si>
    <t>【ボタン名】</t>
    <rPh sb="4" eb="5">
      <t>メイ</t>
    </rPh>
    <phoneticPr fontId="2"/>
  </si>
  <si>
    <t>新規</t>
    <rPh sb="0" eb="2">
      <t>シンキ</t>
    </rPh>
    <phoneticPr fontId="2"/>
  </si>
  <si>
    <t>参照</t>
    <rPh sb="0" eb="2">
      <t>サンショウ</t>
    </rPh>
    <phoneticPr fontId="2"/>
  </si>
  <si>
    <t>※エラー結果をExcelシートに出力</t>
    <rPh sb="4" eb="6">
      <t>ケッカ</t>
    </rPh>
    <rPh sb="16" eb="18">
      <t>シュツリョク</t>
    </rPh>
    <phoneticPr fontId="2"/>
  </si>
  <si>
    <t>修正/参照ボタン</t>
    <rPh sb="0" eb="2">
      <t>シュウセイ</t>
    </rPh>
    <rPh sb="3" eb="5">
      <t>サンショウ</t>
    </rPh>
    <phoneticPr fontId="2"/>
  </si>
  <si>
    <t>UNNH0030_IF_BUTTON_06_NAME</t>
    <phoneticPr fontId="2"/>
  </si>
  <si>
    <t>-</t>
    <phoneticPr fontId="2"/>
  </si>
  <si>
    <t>リスト：行番号、項目名</t>
    <rPh sb="8" eb="11">
      <t>コウモクメイ</t>
    </rPh>
    <phoneticPr fontId="2"/>
  </si>
  <si>
    <t>保存ボタン</t>
    <rPh sb="0" eb="2">
      <t>ホゾン</t>
    </rPh>
    <phoneticPr fontId="2"/>
  </si>
  <si>
    <t>UNNH0030_IF_BUTTON_10_NAME</t>
  </si>
  <si>
    <t>保存</t>
    <rPh sb="0" eb="2">
      <t>ホゾン</t>
    </rPh>
    <phoneticPr fontId="2"/>
  </si>
  <si>
    <t>-</t>
    <phoneticPr fontId="2"/>
  </si>
  <si>
    <t>UNNH0030_IF_COPY_B_NEBIKI_DIR_SHUSEI</t>
  </si>
  <si>
    <t>個別：行番号はゼロ、項目名</t>
    <rPh sb="0" eb="2">
      <t>コベツ</t>
    </rPh>
    <rPh sb="10" eb="13">
      <t>コウモクメイ</t>
    </rPh>
    <phoneticPr fontId="2"/>
  </si>
  <si>
    <t>UNNH0030_IF_COPY_H_SHUSEI</t>
  </si>
  <si>
    <t>nebiki_dir</t>
    <phoneticPr fontId="2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</si>
  <si>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2"/>
  </si>
  <si>
    <t>【必須チェック】</t>
    <rPh sb="1" eb="3">
      <t>ヒッス</t>
    </rPh>
    <phoneticPr fontId="2"/>
  </si>
  <si>
    <t>入力確認</t>
    <rPh sb="0" eb="2">
      <t>ニュウリョク</t>
    </rPh>
    <rPh sb="2" eb="4">
      <t>カクニン</t>
    </rPh>
    <phoneticPr fontId="2"/>
  </si>
  <si>
    <t>UNNH0030_IF_INPUT_CHECK</t>
  </si>
  <si>
    <t>エラーメッセージ</t>
    <phoneticPr fontId="2"/>
  </si>
  <si>
    <t>UNNH0030_IF_INPUT_ERROR_MESSAGE</t>
  </si>
  <si>
    <t>【ボタン表示制御】</t>
    <rPh sb="4" eb="6">
      <t>ヒョウジ</t>
    </rPh>
    <rPh sb="6" eb="8">
      <t>セイギョ</t>
    </rPh>
    <phoneticPr fontId="2"/>
  </si>
  <si>
    <t>【参照】</t>
    <rPh sb="1" eb="3">
      <t>サンショウ</t>
    </rPh>
    <phoneticPr fontId="2"/>
  </si>
  <si>
    <t>UNNH0030_IF_COPY_B_MEISAI_SANSHO</t>
  </si>
  <si>
    <t>新規作成ボタン</t>
    <rPh sb="0" eb="2">
      <t>シンキ</t>
    </rPh>
    <rPh sb="2" eb="4">
      <t>サクセイ</t>
    </rPh>
    <phoneticPr fontId="2"/>
  </si>
  <si>
    <t>UNNH0030_IF_BUTTON_03_HYOJI</t>
    <phoneticPr fontId="2"/>
  </si>
  <si>
    <t>-</t>
    <phoneticPr fontId="2"/>
  </si>
  <si>
    <t>無効(2)</t>
    <rPh sb="0" eb="2">
      <t>ムコウ</t>
    </rPh>
    <phoneticPr fontId="2"/>
  </si>
  <si>
    <t>UNNH0030_IF_SAVE_CHECK_RESULT</t>
  </si>
  <si>
    <t>UNNH0030_IF_SAVE_CHECK_ERROR_KOMOKU</t>
  </si>
  <si>
    <t>参照作成ボタン</t>
    <rPh sb="0" eb="2">
      <t>サンショウ</t>
    </rPh>
    <rPh sb="2" eb="4">
      <t>サクセイ</t>
    </rPh>
    <phoneticPr fontId="2"/>
  </si>
  <si>
    <t>UNNH0030_IF_BUTTON_04_HYOJI</t>
    <phoneticPr fontId="2"/>
  </si>
  <si>
    <t>無効(2)</t>
  </si>
  <si>
    <t>有効(1)</t>
  </si>
  <si>
    <t>-</t>
    <phoneticPr fontId="2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</si>
  <si>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2"/>
  </si>
  <si>
    <t>訂正履歴表示ボタン</t>
    <rPh sb="0" eb="2">
      <t>テイセイ</t>
    </rPh>
    <rPh sb="2" eb="4">
      <t>リレキ</t>
    </rPh>
    <rPh sb="4" eb="6">
      <t>ヒョウジ</t>
    </rPh>
    <phoneticPr fontId="2"/>
  </si>
  <si>
    <t>UNNH0030_IF_BUTTON_05_HYOJI</t>
    <phoneticPr fontId="2"/>
  </si>
  <si>
    <t>UNNH0030_IF_COPY_B_COMMENT_SANSHO</t>
  </si>
  <si>
    <t>UNNH0030_IF_BUTTON_06_HYOJI</t>
  </si>
  <si>
    <t>comment</t>
    <phoneticPr fontId="2"/>
  </si>
  <si>
    <t>削除ボタン</t>
    <rPh sb="0" eb="2">
      <t>サクジョ</t>
    </rPh>
    <phoneticPr fontId="2"/>
  </si>
  <si>
    <t>UNNH0030_IF_BUTTON_07_HYOJI</t>
  </si>
  <si>
    <t>一時保存ボタン</t>
    <rPh sb="0" eb="2">
      <t>イチジ</t>
    </rPh>
    <rPh sb="2" eb="4">
      <t>ホゾン</t>
    </rPh>
    <phoneticPr fontId="2"/>
  </si>
  <si>
    <t>UNNH0030_IF_BUTTON_08_HYOJI</t>
  </si>
  <si>
    <t>UNNH0030_IF_COPY_B_NEBIKI_DIR_SANSHO</t>
  </si>
  <si>
    <t>対象売上No.</t>
    <rPh sb="0" eb="2">
      <t>タイショウ</t>
    </rPh>
    <rPh sb="2" eb="4">
      <t>ウリアゲ</t>
    </rPh>
    <phoneticPr fontId="2"/>
  </si>
  <si>
    <t>UNNH0030_IF_SAVE_RESULT_URIAGE_NO</t>
    <phoneticPr fontId="2"/>
  </si>
  <si>
    <t>キャンセルボタン</t>
    <phoneticPr fontId="2"/>
  </si>
  <si>
    <t>UNNH0030_IF_BUTTON_09_HYOJI</t>
  </si>
  <si>
    <t>nebiki_dir</t>
    <phoneticPr fontId="2"/>
  </si>
  <si>
    <t>UNNH0030_IF_SAVE_RESULT_CD</t>
  </si>
  <si>
    <t>UNNH0030_IF_BUTTON_10_HYOJI</t>
  </si>
  <si>
    <t>UNNH0030_IF_SAVE_RESULT_MESSAGE</t>
  </si>
  <si>
    <t>行追加ボタン</t>
    <rPh sb="0" eb="1">
      <t>ギョウ</t>
    </rPh>
    <rPh sb="1" eb="3">
      <t>ツイカ</t>
    </rPh>
    <phoneticPr fontId="2"/>
  </si>
  <si>
    <t>UNNH0030_IF_BUTTON_11_HYOJI</t>
  </si>
  <si>
    <t>UNNH0030_IF_SAVE_ERROR_CHECK</t>
  </si>
  <si>
    <t>コメント行追加ボタン</t>
    <rPh sb="4" eb="5">
      <t>ギョウ</t>
    </rPh>
    <rPh sb="5" eb="7">
      <t>ツイカ</t>
    </rPh>
    <phoneticPr fontId="2"/>
  </si>
  <si>
    <t>UNNH0030_IF_BUTTON_12_HYOJI</t>
  </si>
  <si>
    <t>UNNH0030_IF_SAVE_ERROR_MESSAGE</t>
  </si>
  <si>
    <t>処理に失敗しました。再度実行してください。</t>
    <phoneticPr fontId="2"/>
  </si>
  <si>
    <t>値引行追加ボタン</t>
    <rPh sb="0" eb="2">
      <t>ネビキ</t>
    </rPh>
    <rPh sb="2" eb="3">
      <t>ギョウ</t>
    </rPh>
    <rPh sb="3" eb="5">
      <t>ツイカ</t>
    </rPh>
    <phoneticPr fontId="2"/>
  </si>
  <si>
    <t>UNNH0030_IF_BUTTON_13_HYOJI</t>
  </si>
  <si>
    <t>【共通】</t>
    <rPh sb="1" eb="3">
      <t>キョウツウ</t>
    </rPh>
    <phoneticPr fontId="2"/>
  </si>
  <si>
    <t>UNNH0030_IF_COPY_B_LIST_CLEAR</t>
  </si>
  <si>
    <t>行削除ボタン</t>
    <rPh sb="0" eb="3">
      <t>ギョウサクジョ</t>
    </rPh>
    <phoneticPr fontId="2"/>
  </si>
  <si>
    <t>UNNH0030_IF_BUTTON_14_HYOJI</t>
  </si>
  <si>
    <t>【削除】</t>
    <rPh sb="1" eb="3">
      <t>サクジョ</t>
    </rPh>
    <phoneticPr fontId="2"/>
  </si>
  <si>
    <t>前ページボタン</t>
    <rPh sb="0" eb="1">
      <t>マエ</t>
    </rPh>
    <phoneticPr fontId="2"/>
  </si>
  <si>
    <t>UNNH0030_IF_BUTTON_15_HYOJI</t>
  </si>
  <si>
    <t>受注データ接続モードかつ現在ページ&gt;1の場合</t>
    <rPh sb="0" eb="2">
      <t>ジュチュウ</t>
    </rPh>
    <rPh sb="5" eb="7">
      <t>セツゾク</t>
    </rPh>
    <rPh sb="12" eb="14">
      <t>ゲンザイ</t>
    </rPh>
    <rPh sb="20" eb="22">
      <t>バアイ</t>
    </rPh>
    <phoneticPr fontId="2"/>
  </si>
  <si>
    <t>UNNH0030_IF_COPY_H_SANSHO</t>
  </si>
  <si>
    <t>次ページボタン</t>
    <rPh sb="0" eb="1">
      <t>ツギ</t>
    </rPh>
    <phoneticPr fontId="2"/>
  </si>
  <si>
    <t>UNNH0030_IF_BUTTON_16_HYOJI</t>
  </si>
  <si>
    <t>受注データ接続モードかつ現在ページ&lt;最大ページの場合</t>
    <rPh sb="0" eb="2">
      <t>ジュチュウ</t>
    </rPh>
    <rPh sb="5" eb="7">
      <t>セツゾク</t>
    </rPh>
    <rPh sb="12" eb="14">
      <t>ゲンザイ</t>
    </rPh>
    <rPh sb="18" eb="20">
      <t>サイダイ</t>
    </rPh>
    <rPh sb="24" eb="26">
      <t>バアイ</t>
    </rPh>
    <phoneticPr fontId="2"/>
  </si>
  <si>
    <t>UNNH0030_IF_BUTTON_17_HYOJI</t>
  </si>
  <si>
    <t>結合元リスト表示ボタン</t>
    <phoneticPr fontId="2"/>
  </si>
  <si>
    <t>UNNH0030_IF_BUTTON_18_HYOJI</t>
  </si>
  <si>
    <t>納品請求書発行ボタン</t>
    <phoneticPr fontId="2"/>
  </si>
  <si>
    <t>UNNH0030_IF_BUTTON_19_HYOJI</t>
  </si>
  <si>
    <t>Excel出力ボタン</t>
    <phoneticPr fontId="2"/>
  </si>
  <si>
    <t>UNNH0030_IF_BUTTON_20_HYOJI</t>
  </si>
  <si>
    <t>【ボタンエラー判定】</t>
    <rPh sb="7" eb="9">
      <t>ハンテイ</t>
    </rPh>
    <phoneticPr fontId="2"/>
  </si>
  <si>
    <t>行削除</t>
    <rPh sb="0" eb="3">
      <t>ギョウサクジョ</t>
    </rPh>
    <phoneticPr fontId="2"/>
  </si>
  <si>
    <t>UNNH0030_IF_BUTTON_14_ERROR</t>
    <phoneticPr fontId="2"/>
  </si>
  <si>
    <t>1:エラー</t>
  </si>
  <si>
    <t>0:OK</t>
  </si>
  <si>
    <t>【Excel保存】</t>
    <rPh sb="6" eb="8">
      <t>ホゾン</t>
    </rPh>
    <phoneticPr fontId="2"/>
  </si>
  <si>
    <t>Excel保存ファイル名</t>
    <rPh sb="5" eb="7">
      <t>ホゾン</t>
    </rPh>
    <rPh sb="11" eb="12">
      <t>メイ</t>
    </rPh>
    <phoneticPr fontId="2"/>
  </si>
  <si>
    <t>UNNH0030_IF_EXCEL_FILE_NAME</t>
    <phoneticPr fontId="2"/>
  </si>
  <si>
    <t>UNNH0030_SQL_USER_ID</t>
    <phoneticPr fontId="2"/>
  </si>
  <si>
    <t>UNNH0030_SQL_SERIAL</t>
    <phoneticPr fontId="2"/>
  </si>
  <si>
    <t>ページ</t>
    <phoneticPr fontId="2"/>
  </si>
  <si>
    <t>UNNH0030_SQL_PAGE</t>
    <phoneticPr fontId="2"/>
  </si>
  <si>
    <t>参照No.</t>
    <rPh sb="0" eb="2">
      <t>サンショウ</t>
    </rPh>
    <phoneticPr fontId="2"/>
  </si>
  <si>
    <t>UNNH0030_SQL_REF_NO</t>
    <phoneticPr fontId="2"/>
  </si>
  <si>
    <t>履歴No.</t>
    <rPh sb="0" eb="2">
      <t>リレキ</t>
    </rPh>
    <phoneticPr fontId="2"/>
  </si>
  <si>
    <t>UNNH0030_SQL_RIREKI_NO</t>
    <phoneticPr fontId="2"/>
  </si>
  <si>
    <t>ストアド用SQL</t>
    <rPh sb="4" eb="5">
      <t>ヨウ</t>
    </rPh>
    <phoneticPr fontId="2"/>
  </si>
  <si>
    <t>メイン</t>
  </si>
  <si>
    <t>SQL文</t>
    <rPh sb="3" eb="4">
      <t>ブン</t>
    </rPh>
    <phoneticPr fontId="2"/>
  </si>
  <si>
    <t>UNNH0030_SQL_PROC</t>
    <phoneticPr fontId="2"/>
  </si>
  <si>
    <t>0:読込</t>
    <phoneticPr fontId="2"/>
  </si>
  <si>
    <t>1:新規保存</t>
    <phoneticPr fontId="2"/>
  </si>
  <si>
    <t>2:更新</t>
    <phoneticPr fontId="2"/>
  </si>
  <si>
    <t>3:削除</t>
    <phoneticPr fontId="2"/>
  </si>
  <si>
    <t>4:受注データ検索接続</t>
    <phoneticPr fontId="2"/>
  </si>
  <si>
    <t>5:受注接続一括保存</t>
    <phoneticPr fontId="2"/>
  </si>
  <si>
    <t>6:参照作成</t>
    <phoneticPr fontId="2"/>
  </si>
  <si>
    <t>7:履歴データ取得</t>
    <phoneticPr fontId="2"/>
  </si>
  <si>
    <t>8:伝票発行済設定</t>
    <phoneticPr fontId="2"/>
  </si>
  <si>
    <t>UNNH0030_SQL_PROC_SEARCH_AREA</t>
    <phoneticPr fontId="2"/>
  </si>
  <si>
    <t>ヘッダデータ取得用SQL</t>
    <rPh sb="6" eb="8">
      <t>シュトク</t>
    </rPh>
    <rPh sb="8" eb="9">
      <t>ヨウ</t>
    </rPh>
    <phoneticPr fontId="2"/>
  </si>
  <si>
    <t>UNNH0030_SQL_SELECT_H</t>
    <phoneticPr fontId="2"/>
  </si>
  <si>
    <t>SELECT</t>
    <phoneticPr fontId="2"/>
  </si>
  <si>
    <t>WHERE</t>
    <phoneticPr fontId="2"/>
  </si>
  <si>
    <t>ボディデータ取得用SQL</t>
    <rPh sb="6" eb="8">
      <t>シュトク</t>
    </rPh>
    <rPh sb="8" eb="9">
      <t>ヨウ</t>
    </rPh>
    <phoneticPr fontId="2"/>
  </si>
  <si>
    <t>UNNH0030_SQL_SELECT_B</t>
    <phoneticPr fontId="2"/>
  </si>
  <si>
    <t>SELECT</t>
    <phoneticPr fontId="2"/>
  </si>
  <si>
    <t>WHERE</t>
    <phoneticPr fontId="2"/>
  </si>
  <si>
    <t>テーブル更新用SQL</t>
    <rPh sb="4" eb="6">
      <t>コウシン</t>
    </rPh>
    <rPh sb="6" eb="7">
      <t>ヨウ</t>
    </rPh>
    <phoneticPr fontId="2"/>
  </si>
  <si>
    <t>UNNH0030_SQL_SELECT_TABLE_UPDATE</t>
    <phoneticPr fontId="2"/>
  </si>
  <si>
    <t xml:space="preserve">SELECT *
  FROM W_URIAGE
</t>
    <phoneticPr fontId="2"/>
  </si>
  <si>
    <t>MAXページ番号取得SQL</t>
    <rPh sb="6" eb="8">
      <t>バンゴウ</t>
    </rPh>
    <rPh sb="8" eb="10">
      <t>シュトク</t>
    </rPh>
    <phoneticPr fontId="2"/>
  </si>
  <si>
    <t>UNNH0030_SQL_SELECT_MAX_PAGE</t>
    <phoneticPr fontId="2"/>
  </si>
  <si>
    <t>結合元取得SQL</t>
    <rPh sb="0" eb="2">
      <t>ケツゴウ</t>
    </rPh>
    <rPh sb="2" eb="3">
      <t>モト</t>
    </rPh>
    <rPh sb="3" eb="5">
      <t>シュトク</t>
    </rPh>
    <phoneticPr fontId="2"/>
  </si>
  <si>
    <t>UNNH0030_SQL_SELECT_MERGE_MOTO</t>
    <phoneticPr fontId="2"/>
  </si>
  <si>
    <t>帳票出力用</t>
    <rPh sb="0" eb="2">
      <t>チョウヒョウ</t>
    </rPh>
    <rPh sb="2" eb="4">
      <t>シュツリョク</t>
    </rPh>
    <rPh sb="4" eb="5">
      <t>ヨウ</t>
    </rPh>
    <phoneticPr fontId="2"/>
  </si>
  <si>
    <t>ヘッダSQL文(帳票出力用)</t>
    <rPh sb="6" eb="7">
      <t>ブン</t>
    </rPh>
    <rPh sb="8" eb="10">
      <t>チョウヒョウ</t>
    </rPh>
    <rPh sb="10" eb="12">
      <t>シュツリョク</t>
    </rPh>
    <rPh sb="12" eb="13">
      <t>ヨウ</t>
    </rPh>
    <phoneticPr fontId="2"/>
  </si>
  <si>
    <t>UNNH0030_SQL_SELECT_REPORT_H</t>
    <phoneticPr fontId="2"/>
  </si>
  <si>
    <t>ボディSQL文(帳票出力用)</t>
    <rPh sb="6" eb="7">
      <t>ブン</t>
    </rPh>
    <rPh sb="8" eb="10">
      <t>チョウヒョウ</t>
    </rPh>
    <rPh sb="10" eb="12">
      <t>シュツリョク</t>
    </rPh>
    <rPh sb="12" eb="13">
      <t>ヨウ</t>
    </rPh>
    <phoneticPr fontId="2"/>
  </si>
  <si>
    <t>UNNH0030_SQL_SELECT_REPORT_B</t>
    <phoneticPr fontId="2"/>
  </si>
  <si>
    <t>プルダウンデータ取得用SQL</t>
    <rPh sb="8" eb="10">
      <t>シュトク</t>
    </rPh>
    <rPh sb="10" eb="11">
      <t>ヨウ</t>
    </rPh>
    <phoneticPr fontId="2"/>
  </si>
  <si>
    <t>UNNH0030_SQL_LIST_DEMPYO_KBN</t>
    <phoneticPr fontId="2"/>
  </si>
  <si>
    <t>UNNH0030_SQL_LIST_KEISHO</t>
    <phoneticPr fontId="2"/>
  </si>
  <si>
    <t>初期値取得用SQL</t>
    <rPh sb="0" eb="3">
      <t>ショキチ</t>
    </rPh>
    <rPh sb="3" eb="5">
      <t>シュトク</t>
    </rPh>
    <rPh sb="5" eb="6">
      <t>ヨウ</t>
    </rPh>
    <phoneticPr fontId="2"/>
  </si>
  <si>
    <t>入力者</t>
    <rPh sb="0" eb="2">
      <t>ニュウリョク</t>
    </rPh>
    <rPh sb="2" eb="3">
      <t>シャ</t>
    </rPh>
    <phoneticPr fontId="2"/>
  </si>
  <si>
    <t>UNNH0030_SQL_INIT_NYURYOKUSHA</t>
    <phoneticPr fontId="2"/>
  </si>
  <si>
    <t xml:space="preserve">SELECT MEISHO_CD
      ,DATA_1
  FROM M_MEISHO_B
 WHERE M_MEISHO_B.MEISHO_KBN = 'S007'
   AND M_MEISHO_B.MEISHO_CD  = 1
</t>
    <phoneticPr fontId="2"/>
  </si>
  <si>
    <t>UNNH0030_SQL_INIT_STS</t>
    <phoneticPr fontId="2"/>
  </si>
  <si>
    <t>その他</t>
    <rPh sb="2" eb="3">
      <t>タ</t>
    </rPh>
    <phoneticPr fontId="2"/>
  </si>
  <si>
    <t>商品複数選択</t>
    <rPh sb="0" eb="2">
      <t>ショウヒン</t>
    </rPh>
    <rPh sb="2" eb="4">
      <t>フクスウ</t>
    </rPh>
    <rPh sb="4" eb="6">
      <t>センタク</t>
    </rPh>
    <phoneticPr fontId="2"/>
  </si>
  <si>
    <t>UNNH0030_SQL_MULTI_SELECT</t>
    <phoneticPr fontId="2"/>
  </si>
  <si>
    <t>請 求 書</t>
    <rPh sb="0" eb="1">
      <t>ショウ</t>
    </rPh>
    <rPh sb="2" eb="3">
      <t>モトム</t>
    </rPh>
    <rPh sb="4" eb="5">
      <t>ショ</t>
    </rPh>
    <phoneticPr fontId="2"/>
  </si>
  <si>
    <t>この明細書に消費税が表示されていないものは貴社の〆切日総括請求時に消費税を請求させていただきます。</t>
    <rPh sb="2" eb="5">
      <t>メイサイショ</t>
    </rPh>
    <rPh sb="6" eb="9">
      <t>ショウヒゼイ</t>
    </rPh>
    <rPh sb="10" eb="12">
      <t>ヒョウジ</t>
    </rPh>
    <rPh sb="21" eb="23">
      <t>キシャ</t>
    </rPh>
    <rPh sb="25" eb="26">
      <t>キ</t>
    </rPh>
    <rPh sb="26" eb="27">
      <t>ヒ</t>
    </rPh>
    <rPh sb="27" eb="29">
      <t>ソウカツ</t>
    </rPh>
    <rPh sb="29" eb="31">
      <t>セイキュウ</t>
    </rPh>
    <rPh sb="31" eb="32">
      <t>ジ</t>
    </rPh>
    <rPh sb="33" eb="36">
      <t>ショウヒゼイ</t>
    </rPh>
    <rPh sb="37" eb="39">
      <t>セイキュウ</t>
    </rPh>
    <phoneticPr fontId="2"/>
  </si>
  <si>
    <t>項　　　　　　目</t>
    <rPh sb="0" eb="1">
      <t>コウ</t>
    </rPh>
    <rPh sb="7" eb="8">
      <t>メ</t>
    </rPh>
    <phoneticPr fontId="2"/>
  </si>
  <si>
    <t>数　　量</t>
    <rPh sb="0" eb="1">
      <t>スウ</t>
    </rPh>
    <rPh sb="3" eb="4">
      <t>リョウ</t>
    </rPh>
    <phoneticPr fontId="2"/>
  </si>
  <si>
    <t>単位</t>
    <rPh sb="0" eb="1">
      <t>タン</t>
    </rPh>
    <rPh sb="1" eb="2">
      <t>クライ</t>
    </rPh>
    <phoneticPr fontId="2"/>
  </si>
  <si>
    <t>単　　価</t>
    <rPh sb="0" eb="1">
      <t>タン</t>
    </rPh>
    <rPh sb="3" eb="4">
      <t>アタイ</t>
    </rPh>
    <phoneticPr fontId="2"/>
  </si>
  <si>
    <t>金　　額</t>
    <rPh sb="0" eb="1">
      <t>カネ</t>
    </rPh>
    <rPh sb="3" eb="4">
      <t>ガク</t>
    </rPh>
    <phoneticPr fontId="2"/>
  </si>
  <si>
    <t>合  計  金  額</t>
    <rPh sb="0" eb="1">
      <t>ゴウ</t>
    </rPh>
    <rPh sb="3" eb="4">
      <t>ケイ</t>
    </rPh>
    <rPh sb="6" eb="7">
      <t>カネ</t>
    </rPh>
    <rPh sb="9" eb="10">
      <t>ガク</t>
    </rPh>
    <phoneticPr fontId="2"/>
  </si>
  <si>
    <t>納 品 書</t>
    <rPh sb="0" eb="1">
      <t>オサム</t>
    </rPh>
    <rPh sb="2" eb="3">
      <t>シナ</t>
    </rPh>
    <rPh sb="4" eb="5">
      <t>ショ</t>
    </rPh>
    <phoneticPr fontId="2"/>
  </si>
  <si>
    <t>送 付 状</t>
    <rPh sb="0" eb="1">
      <t>ソウ</t>
    </rPh>
    <rPh sb="2" eb="3">
      <t>ヅケ</t>
    </rPh>
    <rPh sb="4" eb="5">
      <t>ジョウ</t>
    </rPh>
    <phoneticPr fontId="2"/>
  </si>
  <si>
    <t>【処理判定】</t>
    <rPh sb="1" eb="3">
      <t>ショリ</t>
    </rPh>
    <rPh sb="3" eb="5">
      <t>ハンテイ</t>
    </rPh>
    <phoneticPr fontId="2"/>
  </si>
  <si>
    <t>【ヘッダ】</t>
    <phoneticPr fontId="2"/>
  </si>
  <si>
    <t>【ボディ】</t>
    <phoneticPr fontId="2"/>
  </si>
  <si>
    <t>請求書印刷</t>
    <rPh sb="0" eb="3">
      <t>セイキュウショ</t>
    </rPh>
    <rPh sb="3" eb="5">
      <t>インサツ</t>
    </rPh>
    <phoneticPr fontId="2"/>
  </si>
  <si>
    <t>UNNH0030_REPORT_IF_SEIKYUSHO_CHECK</t>
    <phoneticPr fontId="2"/>
  </si>
  <si>
    <t>締日</t>
    <rPh sb="0" eb="1">
      <t>シ</t>
    </rPh>
    <rPh sb="1" eb="2">
      <t>ヒ</t>
    </rPh>
    <phoneticPr fontId="2"/>
  </si>
  <si>
    <t>UNNH0030_REPORT_IF_H_SHIMEBI</t>
    <phoneticPr fontId="2"/>
  </si>
  <si>
    <t>取得件数</t>
    <rPh sb="0" eb="2">
      <t>シュトク</t>
    </rPh>
    <rPh sb="2" eb="4">
      <t>ケンスウ</t>
    </rPh>
    <phoneticPr fontId="2"/>
  </si>
  <si>
    <t>UNNH0030_REPORT_IF_B_KENSU</t>
    <phoneticPr fontId="2"/>
  </si>
  <si>
    <t>受領書印刷</t>
    <rPh sb="0" eb="3">
      <t>ジュリョウショ</t>
    </rPh>
    <rPh sb="3" eb="5">
      <t>インサツ</t>
    </rPh>
    <phoneticPr fontId="2"/>
  </si>
  <si>
    <t>UNNH0030_REPORT_IF_JURYOSHO_CHECK</t>
    <phoneticPr fontId="2"/>
  </si>
  <si>
    <t>消費税計算区分</t>
    <rPh sb="0" eb="3">
      <t>ショウヒゼイ</t>
    </rPh>
    <rPh sb="3" eb="5">
      <t>ケイサン</t>
    </rPh>
    <rPh sb="5" eb="7">
      <t>クブン</t>
    </rPh>
    <phoneticPr fontId="2"/>
  </si>
  <si>
    <t>UNNH0030_REPORT_IF_H_TAX_KBN_MARK</t>
    <phoneticPr fontId="2"/>
  </si>
  <si>
    <t>UNNH0030_REPORT_IF_B_PAGE_TOTAL</t>
    <phoneticPr fontId="2"/>
  </si>
  <si>
    <t>納品書印刷</t>
    <rPh sb="0" eb="3">
      <t>ノウヒンショ</t>
    </rPh>
    <rPh sb="3" eb="5">
      <t>インサツ</t>
    </rPh>
    <phoneticPr fontId="2"/>
  </si>
  <si>
    <t>UNNH0030_REPORT_IF_NOHINSHO_CHECK</t>
    <phoneticPr fontId="2"/>
  </si>
  <si>
    <t>合計金額</t>
    <rPh sb="0" eb="2">
      <t>ゴウケイ</t>
    </rPh>
    <rPh sb="2" eb="4">
      <t>キンガク</t>
    </rPh>
    <phoneticPr fontId="2"/>
  </si>
  <si>
    <t>UNNH0030_REPORT_IF_H_TOTAL</t>
    <phoneticPr fontId="2"/>
  </si>
  <si>
    <t>控印刷</t>
    <rPh sb="0" eb="1">
      <t>ヒカ</t>
    </rPh>
    <rPh sb="1" eb="3">
      <t>インサツ</t>
    </rPh>
    <phoneticPr fontId="2"/>
  </si>
  <si>
    <t>UNNH0030_REPORT_IF_HIKAE_CHECK</t>
    <phoneticPr fontId="2"/>
  </si>
  <si>
    <t>数式コピー先</t>
    <rPh sb="0" eb="2">
      <t>スウシキ</t>
    </rPh>
    <rPh sb="5" eb="6">
      <t>サキ</t>
    </rPh>
    <phoneticPr fontId="2"/>
  </si>
  <si>
    <t>UNNH0030_REPORT_IF_B_COPY_SAKI</t>
    <phoneticPr fontId="2"/>
  </si>
  <si>
    <t>郵便番号</t>
    <rPh sb="0" eb="4">
      <t>ユウビンバンゴウ</t>
    </rPh>
    <phoneticPr fontId="2"/>
  </si>
  <si>
    <t>住所１</t>
    <rPh sb="0" eb="2">
      <t>ジュウショ</t>
    </rPh>
    <phoneticPr fontId="2"/>
  </si>
  <si>
    <t>住所２</t>
    <rPh sb="0" eb="2">
      <t>ジュウショ</t>
    </rPh>
    <phoneticPr fontId="2"/>
  </si>
  <si>
    <t>伝票送付先名</t>
    <rPh sb="0" eb="2">
      <t>デンピョウ</t>
    </rPh>
    <rPh sb="2" eb="4">
      <t>ソウフ</t>
    </rPh>
    <rPh sb="4" eb="5">
      <t>サキ</t>
    </rPh>
    <rPh sb="5" eb="6">
      <t>メイ</t>
    </rPh>
    <phoneticPr fontId="2"/>
  </si>
  <si>
    <t>送付先担当者名</t>
    <rPh sb="0" eb="2">
      <t>ソウフ</t>
    </rPh>
    <rPh sb="2" eb="3">
      <t>サキ</t>
    </rPh>
    <rPh sb="3" eb="5">
      <t>タントウ</t>
    </rPh>
    <rPh sb="5" eb="6">
      <t>シャ</t>
    </rPh>
    <rPh sb="6" eb="7">
      <t>メイ</t>
    </rPh>
    <phoneticPr fontId="2"/>
  </si>
  <si>
    <t>税抜合計</t>
    <rPh sb="0" eb="1">
      <t>ゼイ</t>
    </rPh>
    <rPh sb="1" eb="2">
      <t>ヌ</t>
    </rPh>
    <rPh sb="2" eb="4">
      <t>ゴウケイ</t>
    </rPh>
    <phoneticPr fontId="2"/>
  </si>
  <si>
    <t>入力担当者名</t>
    <rPh sb="0" eb="2">
      <t>ニュウリョク</t>
    </rPh>
    <rPh sb="2" eb="4">
      <t>タントウ</t>
    </rPh>
    <rPh sb="4" eb="5">
      <t>シャ</t>
    </rPh>
    <rPh sb="5" eb="6">
      <t>メイ</t>
    </rPh>
    <phoneticPr fontId="2"/>
  </si>
  <si>
    <t>消費税計算区分CD</t>
    <rPh sb="0" eb="3">
      <t>ショウヒゼイ</t>
    </rPh>
    <rPh sb="3" eb="5">
      <t>ケイサン</t>
    </rPh>
    <rPh sb="5" eb="7">
      <t>クブン</t>
    </rPh>
    <phoneticPr fontId="2"/>
  </si>
  <si>
    <t>請求方法区分CD</t>
    <rPh sb="0" eb="2">
      <t>セイキュウ</t>
    </rPh>
    <rPh sb="2" eb="4">
      <t>ホウホウ</t>
    </rPh>
    <rPh sb="4" eb="6">
      <t>クブン</t>
    </rPh>
    <phoneticPr fontId="2"/>
  </si>
  <si>
    <t>住所印字不要フラグ</t>
    <rPh sb="0" eb="2">
      <t>ジュウショ</t>
    </rPh>
    <rPh sb="2" eb="4">
      <t>インジ</t>
    </rPh>
    <rPh sb="4" eb="6">
      <t>フヨウ</t>
    </rPh>
    <phoneticPr fontId="2"/>
  </si>
  <si>
    <t>請求書発行フラグ</t>
    <rPh sb="0" eb="3">
      <t>セイキュウショ</t>
    </rPh>
    <rPh sb="3" eb="5">
      <t>ハッコウ</t>
    </rPh>
    <phoneticPr fontId="2"/>
  </si>
  <si>
    <t>受領書フラグ</t>
    <rPh sb="0" eb="3">
      <t>ジュリョウショ</t>
    </rPh>
    <phoneticPr fontId="2"/>
  </si>
  <si>
    <t>納品書フラグ</t>
    <rPh sb="0" eb="3">
      <t>ノウヒンショ</t>
    </rPh>
    <phoneticPr fontId="2"/>
  </si>
  <si>
    <t>控フラグ</t>
    <rPh sb="0" eb="1">
      <t>ヒカ</t>
    </rPh>
    <phoneticPr fontId="2"/>
  </si>
  <si>
    <t>UNNH0030_REPORT_IF_B_CLEAR_AREA</t>
    <phoneticPr fontId="2"/>
  </si>
  <si>
    <t>消費税行コピー先</t>
    <rPh sb="0" eb="2">
      <t>ショウヒ</t>
    </rPh>
    <rPh sb="2" eb="3">
      <t>ゼイ</t>
    </rPh>
    <rPh sb="3" eb="4">
      <t>ギョウ</t>
    </rPh>
    <rPh sb="7" eb="8">
      <t>サキ</t>
    </rPh>
    <phoneticPr fontId="2"/>
  </si>
  <si>
    <t>UNNH0030_REPORT_IF_B_COPY_MOTO</t>
    <phoneticPr fontId="2"/>
  </si>
  <si>
    <t>行No.</t>
    <rPh sb="0" eb="1">
      <t>ギョウ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</si>
  <si>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</si>
  <si>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</si>
  <si>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</si>
  <si>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</si>
  <si>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UNNH0030_REPORT_IF_B_START</t>
    <phoneticPr fontId="2"/>
  </si>
  <si>
    <t>分析方法取得SQL</t>
    <rPh sb="0" eb="2">
      <t>ブンセキ</t>
    </rPh>
    <rPh sb="2" eb="4">
      <t>ホウホウ</t>
    </rPh>
    <rPh sb="4" eb="6">
      <t>シュトク</t>
    </rPh>
    <phoneticPr fontId="2"/>
  </si>
  <si>
    <t>所属部署検索用SQL</t>
    <rPh sb="0" eb="2">
      <t>ショゾク</t>
    </rPh>
    <rPh sb="2" eb="4">
      <t>ブショ</t>
    </rPh>
    <rPh sb="4" eb="6">
      <t>ケンサク</t>
    </rPh>
    <rPh sb="6" eb="7">
      <t>ヨウ</t>
    </rPh>
    <phoneticPr fontId="2"/>
  </si>
  <si>
    <t>UNNH_COMMON_SQL_BUSHO_SEARCH</t>
    <phoneticPr fontId="2"/>
  </si>
  <si>
    <t>UNNH_COMMON_SQL_JURI_NO_SEARCH</t>
    <phoneticPr fontId="2"/>
  </si>
  <si>
    <t>UNNH_COMMON_SQL_MITSU_NO_SEARCH</t>
    <phoneticPr fontId="2"/>
  </si>
  <si>
    <t>売上ステータス取得用SQL</t>
    <rPh sb="0" eb="2">
      <t>ウリアゲ</t>
    </rPh>
    <rPh sb="7" eb="9">
      <t>シュトク</t>
    </rPh>
    <rPh sb="9" eb="10">
      <t>ヨウ</t>
    </rPh>
    <phoneticPr fontId="2"/>
  </si>
  <si>
    <t>UNNH_COMMON_SQL_URIAGE_STS_SEARCH</t>
    <phoneticPr fontId="2"/>
  </si>
  <si>
    <t xml:space="preserve">SELECT M_MEISHO_B.MEISHO_CD AS ステータスCD
      ,M_MEISHO_B.DATA_1 AS ステータス
      FROM M_MEISHO_B
      WHERE M_MEISHO_B.MEISHO_KBN='S007'
 ORDER BY
       M_MEISHO_B.SORT_NO ASC
      ,CAST(M_MEISHO_B.MEISHO_CD AS INT) ASC
</t>
    <phoneticPr fontId="2"/>
  </si>
  <si>
    <t>対象シート範囲</t>
    <rPh sb="0" eb="2">
      <t>タイショウ</t>
    </rPh>
    <rPh sb="5" eb="7">
      <t>ハンイ</t>
    </rPh>
    <phoneticPr fontId="2"/>
  </si>
  <si>
    <t>UNNH_COMMON_CHANGE_CHECK_AREA</t>
    <phoneticPr fontId="2"/>
  </si>
  <si>
    <t>モードセル名</t>
    <rPh sb="5" eb="6">
      <t>メイ</t>
    </rPh>
    <phoneticPr fontId="2"/>
  </si>
  <si>
    <t>状態</t>
    <rPh sb="0" eb="2">
      <t>ジョウタイ</t>
    </rPh>
    <phoneticPr fontId="2"/>
  </si>
  <si>
    <t>UNNH0030</t>
    <phoneticPr fontId="2"/>
  </si>
  <si>
    <t>UNNH0030_IF_MODE</t>
    <phoneticPr fontId="2"/>
  </si>
  <si>
    <t>■削除項目</t>
    <rPh sb="1" eb="3">
      <t>サクジョ</t>
    </rPh>
    <rPh sb="3" eb="5">
      <t>コウモク</t>
    </rPh>
    <phoneticPr fontId="2"/>
  </si>
  <si>
    <t>発送先▼</t>
    <phoneticPr fontId="2"/>
  </si>
  <si>
    <t>UNNH0010_H_HASSOSAKI_CD</t>
  </si>
  <si>
    <t>フリーワード検索用</t>
  </si>
  <si>
    <t>UNNH0020_SQL_BUSHO_CD</t>
    <phoneticPr fontId="2"/>
  </si>
  <si>
    <t>UNNH0020_SQL_MIHAKKO_STS</t>
  </si>
  <si>
    <t>UNNH0020_SQL_HAKKOSUMI_STS</t>
  </si>
  <si>
    <t>UNNH0020_SQL_SAIHAKKOSUMI_STS</t>
  </si>
  <si>
    <t>UNNH0020_SQL_TSUJO_KBN</t>
  </si>
  <si>
    <t>UNNH0020_SQL_TEISEI_KBN</t>
  </si>
  <si>
    <t>UNNH0020_SQL_AKA_KBN</t>
  </si>
  <si>
    <t>UNNH0020_SQL_KURO_KBN</t>
  </si>
  <si>
    <t>UNNH0020_SQL_KETSUGO_KBN</t>
  </si>
  <si>
    <t>UNNH0020_SQL_RENDO_FUYO_KBN</t>
  </si>
  <si>
    <t>UNNH0020_SQL_RENDO_MI_KBN</t>
  </si>
  <si>
    <t>UNNH0020_SQL_RENDO_SUMI_KBN</t>
  </si>
  <si>
    <t>UNNH0020_SQL_DEL_HYOJI_FLG</t>
  </si>
  <si>
    <t>UNNH0020_SQL_URIAGE_DATE_START</t>
  </si>
  <si>
    <t>UNNH0020_SQL_URIAGE_DATE_END</t>
  </si>
  <si>
    <t>UNNH0020_SQL_URIAGE_NO_START</t>
  </si>
  <si>
    <t>UNNH0020_SQL_URIAGE_NO_END</t>
  </si>
  <si>
    <t>UNNH0020_SQL_JURI_NO_START</t>
  </si>
  <si>
    <t>UNNH0020_SQL_JURI_NO_END</t>
  </si>
  <si>
    <t>UNNH0020_SQL_NOHIN_DATE_START</t>
  </si>
  <si>
    <t>UNNH0020_SQL_NOHIN_DATE_END</t>
  </si>
  <si>
    <t>UNNH0020_SQL_KAISHU_DATE_START</t>
  </si>
  <si>
    <t>UNNH0020_SQL_KAISHU_DATE_END</t>
  </si>
  <si>
    <t>UNNH0020_SQL_SAKI_URIAGE_NO</t>
  </si>
  <si>
    <t>UNNH0020_SQL_SHOHIN_CD</t>
  </si>
  <si>
    <t>分析方法</t>
    <rPh sb="0" eb="2">
      <t>ブンセキ</t>
    </rPh>
    <rPh sb="2" eb="4">
      <t>ホウホウ</t>
    </rPh>
    <phoneticPr fontId="2"/>
  </si>
  <si>
    <t>UNNH0020_SQL_BUNSEKI_HOHO</t>
    <phoneticPr fontId="2"/>
  </si>
  <si>
    <t>条件(分析方法)</t>
    <rPh sb="0" eb="2">
      <t>ジョウケン</t>
    </rPh>
    <rPh sb="3" eb="5">
      <t>ブンセキ</t>
    </rPh>
    <rPh sb="5" eb="7">
      <t>ホウホウ</t>
    </rPh>
    <phoneticPr fontId="2"/>
  </si>
  <si>
    <t>AAA</t>
  </si>
  <si>
    <t>入力日時</t>
  </si>
  <si>
    <t>売上リスト
売上一覧表SQLベース</t>
    <rPh sb="0" eb="2">
      <t>ウリアゲ</t>
    </rPh>
    <rPh sb="6" eb="8">
      <t>ウリアゲ</t>
    </rPh>
    <rPh sb="8" eb="10">
      <t>イチラン</t>
    </rPh>
    <rPh sb="10" eb="11">
      <t>ヒョウ</t>
    </rPh>
    <phoneticPr fontId="2"/>
  </si>
  <si>
    <t>売上リスト
売上一覧表SQL</t>
    <rPh sb="0" eb="2">
      <t>ウリアゲ</t>
    </rPh>
    <rPh sb="6" eb="8">
      <t>ウリアゲ</t>
    </rPh>
    <rPh sb="8" eb="10">
      <t>イチラン</t>
    </rPh>
    <rPh sb="10" eb="11">
      <t>ヒョウ</t>
    </rPh>
    <phoneticPr fontId="2"/>
  </si>
  <si>
    <t>UNNH0020_SQL_URIAGE_REPORT</t>
    <phoneticPr fontId="2"/>
  </si>
  <si>
    <t>売上一覧表</t>
    <rPh sb="0" eb="2">
      <t>ウリアゲ</t>
    </rPh>
    <rPh sb="2" eb="4">
      <t>イチラン</t>
    </rPh>
    <rPh sb="4" eb="5">
      <t>ヒョウ</t>
    </rPh>
    <phoneticPr fontId="2"/>
  </si>
  <si>
    <t>請求先名</t>
    <phoneticPr fontId="2"/>
  </si>
  <si>
    <t>商品名</t>
    <phoneticPr fontId="2"/>
  </si>
  <si>
    <t>売上一覧表用並べ替え</t>
    <rPh sb="0" eb="2">
      <t>ウリアゲ</t>
    </rPh>
    <rPh sb="2" eb="4">
      <t>イチラン</t>
    </rPh>
    <rPh sb="4" eb="5">
      <t>ヒョウ</t>
    </rPh>
    <rPh sb="5" eb="6">
      <t>ヨウ</t>
    </rPh>
    <rPh sb="6" eb="7">
      <t>ナラ</t>
    </rPh>
    <rPh sb="8" eb="9">
      <t>カ</t>
    </rPh>
    <phoneticPr fontId="2"/>
  </si>
  <si>
    <t xml:space="preserve"> ORDER BY
       V_URIAGE_REPORT.URIAGE_NO ASC
      ,V_URIAGE_REPORT.GYO_NO    ASC
</t>
    <phoneticPr fontId="2"/>
  </si>
  <si>
    <t>UNNH0020_REPORT_IF_SHOSHIKI_COPY_MOTO</t>
    <phoneticPr fontId="2"/>
  </si>
  <si>
    <t>消費税率</t>
    <rPh sb="0" eb="3">
      <t>ショウヒゼイ</t>
    </rPh>
    <rPh sb="3" eb="4">
      <t>リツ</t>
    </rPh>
    <phoneticPr fontId="2"/>
  </si>
  <si>
    <t>UNNH0020_REPORT_IF_TAX_RATE</t>
    <phoneticPr fontId="2"/>
  </si>
  <si>
    <t>UNNH0020_REPORT_IF_SHOSHIKI_COPY_SAKI</t>
    <phoneticPr fontId="2"/>
  </si>
  <si>
    <t>UNNH0020_REPORT_IF_KENSU</t>
    <phoneticPr fontId="2"/>
  </si>
  <si>
    <t>消費税率取得</t>
    <rPh sb="0" eb="3">
      <t>ショウヒゼイ</t>
    </rPh>
    <rPh sb="3" eb="4">
      <t>リツ</t>
    </rPh>
    <rPh sb="4" eb="6">
      <t>シュトク</t>
    </rPh>
    <phoneticPr fontId="2"/>
  </si>
  <si>
    <t>UNNH_COMMON_SQL_SELECT_TAX_RATE</t>
    <phoneticPr fontId="2"/>
  </si>
  <si>
    <t>UNNH0020_SQL_SELECT_MERGE_MOTO</t>
    <phoneticPr fontId="2"/>
  </si>
  <si>
    <t>結合元リスト表示SQL</t>
    <rPh sb="0" eb="2">
      <t>ケツゴウ</t>
    </rPh>
    <rPh sb="2" eb="3">
      <t>モト</t>
    </rPh>
    <rPh sb="6" eb="8">
      <t>ヒョウジ</t>
    </rPh>
    <phoneticPr fontId="2"/>
  </si>
  <si>
    <t>UNNH0031_HIDE_ROW</t>
  </si>
  <si>
    <t>UNNH0031_HIDE_COLUMN</t>
  </si>
  <si>
    <t>UNNH0031_LIST_START</t>
  </si>
  <si>
    <t>UNNH0031_GYO_COUNT</t>
  </si>
  <si>
    <t>UNNH0031_GYO_INCREMENT</t>
  </si>
  <si>
    <t>UNNH0031_GYO_DECREMENT</t>
  </si>
  <si>
    <t>UNNH0031_LIST_DELETE_AREA</t>
  </si>
  <si>
    <t>UNNH0031_LIST_CLEAR_AREA</t>
  </si>
  <si>
    <t>UNNH0031_IF_ACTIVE_SHEET</t>
  </si>
  <si>
    <t>UNNH0031_IF_ACTIVE_ROW</t>
  </si>
  <si>
    <t>UNNH0031_IF_ACTIVE_COLUMN</t>
  </si>
  <si>
    <t>UNNH0031_IF_LIST_DEFAULT</t>
    <phoneticPr fontId="2"/>
  </si>
  <si>
    <t>UNNH0031_IF_LIST_COPY_MOTO</t>
    <phoneticPr fontId="2"/>
  </si>
  <si>
    <t>データ展開位置</t>
    <rPh sb="3" eb="5">
      <t>テンカイ</t>
    </rPh>
    <rPh sb="5" eb="7">
      <t>イチ</t>
    </rPh>
    <phoneticPr fontId="2"/>
  </si>
  <si>
    <t>UNNH0031_LIST_DATA_START</t>
    <phoneticPr fontId="2"/>
  </si>
  <si>
    <t>UNNH0031_IF_W_USER_ID</t>
  </si>
  <si>
    <t>UNNH0031_IF_W_SERIAL</t>
  </si>
  <si>
    <t>UNNH0031_IF_W_SERIAL_CREATE</t>
  </si>
  <si>
    <t>UNNH0031_IF_W_MODE</t>
  </si>
  <si>
    <t>UNNH0031_IF_BUTTON_12_ERROR</t>
    <phoneticPr fontId="2"/>
  </si>
  <si>
    <t>税抜合計額</t>
  </si>
  <si>
    <t>追加行書式コピー先</t>
    <rPh sb="0" eb="2">
      <t>ツイカ</t>
    </rPh>
    <rPh sb="2" eb="3">
      <t>ギョウ</t>
    </rPh>
    <rPh sb="3" eb="5">
      <t>ショシキ</t>
    </rPh>
    <rPh sb="8" eb="9">
      <t>サキ</t>
    </rPh>
    <phoneticPr fontId="2"/>
  </si>
  <si>
    <t>UNNH0031_LIST_COPY_SAKI</t>
    <phoneticPr fontId="2"/>
  </si>
  <si>
    <t xml:space="preserve">【保存】   </t>
    <rPh sb="1" eb="3">
      <t>ホゾン</t>
    </rPh>
    <phoneticPr fontId="2"/>
  </si>
  <si>
    <t>UNNH0031_IF_SAVE_START</t>
    <phoneticPr fontId="2"/>
  </si>
  <si>
    <t>保存開始位置</t>
    <rPh sb="0" eb="2">
      <t>ホゾン</t>
    </rPh>
    <rPh sb="2" eb="4">
      <t>カイシ</t>
    </rPh>
    <rPh sb="4" eb="6">
      <t>イチ</t>
    </rPh>
    <phoneticPr fontId="2"/>
  </si>
  <si>
    <t>UNNH0031_IF_SAVE_COPY_MOTO</t>
    <phoneticPr fontId="2"/>
  </si>
  <si>
    <t>UNNH0031_IF_SAVE_COPY_SAKI</t>
    <phoneticPr fontId="2"/>
  </si>
  <si>
    <t>URIAGE_NO</t>
    <phoneticPr fontId="2"/>
  </si>
  <si>
    <t>結合</t>
    <rPh sb="0" eb="2">
      <t>ケツゴウ</t>
    </rPh>
    <phoneticPr fontId="2"/>
  </si>
  <si>
    <t>UNNH0031_IF_BUTTON_10_ERROR</t>
    <phoneticPr fontId="2"/>
  </si>
  <si>
    <t>UNNH0030_IF_PREVIOUS_ID</t>
    <phoneticPr fontId="2"/>
  </si>
  <si>
    <t>遷移元プログラムID</t>
    <rPh sb="0" eb="2">
      <t>センイ</t>
    </rPh>
    <rPh sb="2" eb="3">
      <t>モト</t>
    </rPh>
    <phoneticPr fontId="2"/>
  </si>
  <si>
    <t>売上No控え</t>
    <rPh sb="0" eb="2">
      <t>ウリアゲ</t>
    </rPh>
    <rPh sb="4" eb="5">
      <t>ヒカ</t>
    </rPh>
    <phoneticPr fontId="2"/>
  </si>
  <si>
    <t>99(ELSE):ワークテーブルクリア</t>
    <phoneticPr fontId="2"/>
  </si>
  <si>
    <t>9:売上結合</t>
    <rPh sb="2" eb="4">
      <t>ウリアゲ</t>
    </rPh>
    <rPh sb="4" eb="6">
      <t>ケツゴウ</t>
    </rPh>
    <phoneticPr fontId="2"/>
  </si>
  <si>
    <t>伝票発行区分(受注)</t>
    <rPh sb="0" eb="2">
      <t>デンピョウ</t>
    </rPh>
    <rPh sb="2" eb="4">
      <t>ハッコウ</t>
    </rPh>
    <rPh sb="4" eb="6">
      <t>クブン</t>
    </rPh>
    <rPh sb="7" eb="9">
      <t>ジュチュウ</t>
    </rPh>
    <phoneticPr fontId="2"/>
  </si>
  <si>
    <t>UNNH0030_REPORT_IF_DEMPYO_HAKKO_CHECK</t>
    <phoneticPr fontId="2"/>
  </si>
  <si>
    <t>伝票発行</t>
    <rPh sb="0" eb="2">
      <t>デンピョウ</t>
    </rPh>
    <rPh sb="2" eb="4">
      <t>ハッコウ</t>
    </rPh>
    <phoneticPr fontId="2"/>
  </si>
  <si>
    <t>UNNH0030_IF_SAVE_RESULT_KENSU</t>
    <phoneticPr fontId="2"/>
  </si>
  <si>
    <t>【一括保存時処理判定】</t>
    <rPh sb="1" eb="3">
      <t>イッカツ</t>
    </rPh>
    <rPh sb="3" eb="5">
      <t>ホゾン</t>
    </rPh>
    <rPh sb="5" eb="6">
      <t>ジ</t>
    </rPh>
    <rPh sb="6" eb="8">
      <t>ショリ</t>
    </rPh>
    <rPh sb="8" eb="10">
      <t>ハンテイ</t>
    </rPh>
    <phoneticPr fontId="2"/>
  </si>
  <si>
    <t>ループカウント</t>
    <phoneticPr fontId="2"/>
  </si>
  <si>
    <t>対象売上No.</t>
    <rPh sb="0" eb="2">
      <t>タイショウ</t>
    </rPh>
    <rPh sb="2" eb="4">
      <t>ウリアゲ</t>
    </rPh>
    <phoneticPr fontId="2"/>
  </si>
  <si>
    <t>帳票出力用(一括)</t>
    <rPh sb="0" eb="2">
      <t>チョウヒョウ</t>
    </rPh>
    <rPh sb="2" eb="4">
      <t>シュツリョク</t>
    </rPh>
    <rPh sb="4" eb="5">
      <t>ヨウ</t>
    </rPh>
    <rPh sb="6" eb="8">
      <t>イッカツ</t>
    </rPh>
    <phoneticPr fontId="2"/>
  </si>
  <si>
    <t>UNNH0030_SQL_SELECT_REPORT_H_BAT</t>
    <phoneticPr fontId="2"/>
  </si>
  <si>
    <t>UNNH0030_SQL_SELECT_REPORT_B_BAT</t>
    <phoneticPr fontId="2"/>
  </si>
  <si>
    <t>連動済判定</t>
    <rPh sb="0" eb="2">
      <t>レンドウ</t>
    </rPh>
    <rPh sb="2" eb="3">
      <t>ス</t>
    </rPh>
    <rPh sb="3" eb="5">
      <t>ハンテイ</t>
    </rPh>
    <phoneticPr fontId="2"/>
  </si>
  <si>
    <t>UNNH0030_IF_SAVE_RENDO_CHECK</t>
    <phoneticPr fontId="2"/>
  </si>
  <si>
    <t>10:売上結合解除</t>
    <rPh sb="3" eb="5">
      <t>ウリアゲ</t>
    </rPh>
    <rPh sb="5" eb="7">
      <t>ケツゴウ</t>
    </rPh>
    <rPh sb="7" eb="9">
      <t>カイジョ</t>
    </rPh>
    <phoneticPr fontId="2"/>
  </si>
  <si>
    <t>結合元売上No.</t>
    <rPh sb="0" eb="2">
      <t>ケツゴウ</t>
    </rPh>
    <rPh sb="2" eb="3">
      <t>モト</t>
    </rPh>
    <rPh sb="3" eb="5">
      <t>ウリアゲ</t>
    </rPh>
    <phoneticPr fontId="2"/>
  </si>
  <si>
    <t>UNNH0030_IF_MOTO_URIAGE_NO</t>
    <phoneticPr fontId="2"/>
  </si>
  <si>
    <t>【結合解除処理】</t>
    <rPh sb="1" eb="3">
      <t>ケツゴウ</t>
    </rPh>
    <rPh sb="3" eb="5">
      <t>カイジョ</t>
    </rPh>
    <rPh sb="5" eb="7">
      <t>ショリ</t>
    </rPh>
    <phoneticPr fontId="2"/>
  </si>
  <si>
    <t>解除確認メッセージ</t>
    <rPh sb="0" eb="2">
      <t>カイジョ</t>
    </rPh>
    <rPh sb="2" eb="4">
      <t>カクニン</t>
    </rPh>
    <phoneticPr fontId="2"/>
  </si>
  <si>
    <t>UNNH0030_IF_MERGE_RELEASE_CONFIRM_MSG</t>
    <phoneticPr fontId="2"/>
  </si>
  <si>
    <t>UNNH0030_IF_MERGE_RELEASE_WARNING_MSG</t>
    <phoneticPr fontId="2"/>
  </si>
  <si>
    <t>解除確認警告判定</t>
    <rPh sb="0" eb="2">
      <t>カイジョ</t>
    </rPh>
    <rPh sb="2" eb="4">
      <t>カクニン</t>
    </rPh>
    <rPh sb="4" eb="6">
      <t>ケイコク</t>
    </rPh>
    <rPh sb="6" eb="8">
      <t>ハンテイ</t>
    </rPh>
    <phoneticPr fontId="2"/>
  </si>
  <si>
    <t>UNNH0030_IF_MERGE_RELEASE_WARNING_CHECK</t>
    <phoneticPr fontId="2"/>
  </si>
  <si>
    <t>解除確認完了メッセージ</t>
    <rPh sb="0" eb="2">
      <t>カイジョ</t>
    </rPh>
    <rPh sb="2" eb="4">
      <t>カクニン</t>
    </rPh>
    <rPh sb="4" eb="6">
      <t>カンリョウ</t>
    </rPh>
    <phoneticPr fontId="2"/>
  </si>
  <si>
    <t>UNNH0030_IF_MERGE_RELEASE_COMP_MSG</t>
    <phoneticPr fontId="2"/>
  </si>
  <si>
    <t>解除確認警告メッセージ</t>
    <rPh sb="0" eb="2">
      <t>カイジョ</t>
    </rPh>
    <rPh sb="2" eb="4">
      <t>カクニン</t>
    </rPh>
    <rPh sb="4" eb="6">
      <t>ケイコク</t>
    </rPh>
    <phoneticPr fontId="2"/>
  </si>
  <si>
    <t>UNNH0030_IF_LIST_RENDO_KBN</t>
    <phoneticPr fontId="2"/>
  </si>
  <si>
    <t>連動不要</t>
    <rPh sb="0" eb="2">
      <t>レンドウ</t>
    </rPh>
    <rPh sb="2" eb="4">
      <t>フヨウ</t>
    </rPh>
    <phoneticPr fontId="2"/>
  </si>
  <si>
    <t>未連動</t>
    <rPh sb="0" eb="1">
      <t>ミ</t>
    </rPh>
    <rPh sb="1" eb="3">
      <t>レンドウ</t>
    </rPh>
    <phoneticPr fontId="2"/>
  </si>
  <si>
    <t>連動済</t>
    <rPh sb="0" eb="2">
      <t>レンドウ</t>
    </rPh>
    <rPh sb="2" eb="3">
      <t>ス</t>
    </rPh>
    <phoneticPr fontId="2"/>
  </si>
  <si>
    <t>UNNH0030_SQL_LIST_RENDO</t>
    <phoneticPr fontId="2"/>
  </si>
  <si>
    <t>UNNH0030_IF_COPY_H_DEMPYO_KBN</t>
    <phoneticPr fontId="2"/>
  </si>
  <si>
    <t>UNNH0030_IF_COPY_H_RENDO_KBN</t>
    <phoneticPr fontId="2"/>
  </si>
  <si>
    <t>UNNH0030_H_HIDE_COLUMN</t>
    <phoneticPr fontId="2"/>
  </si>
  <si>
    <t>伝票区分保護判定</t>
    <rPh sb="0" eb="2">
      <t>デンピョウ</t>
    </rPh>
    <rPh sb="2" eb="4">
      <t>クブン</t>
    </rPh>
    <rPh sb="4" eb="6">
      <t>ホゴ</t>
    </rPh>
    <rPh sb="6" eb="8">
      <t>ハンテイ</t>
    </rPh>
    <phoneticPr fontId="2"/>
  </si>
  <si>
    <t>UNNH0030_IF_COPY_H_DEMPYO_KBN_CHECK</t>
    <phoneticPr fontId="2"/>
  </si>
  <si>
    <t>商魂連動区分保護判定</t>
    <rPh sb="0" eb="2">
      <t>ショウコン</t>
    </rPh>
    <rPh sb="2" eb="4">
      <t>レンドウ</t>
    </rPh>
    <rPh sb="4" eb="6">
      <t>クブン</t>
    </rPh>
    <rPh sb="6" eb="8">
      <t>ホゴ</t>
    </rPh>
    <rPh sb="8" eb="10">
      <t>ハンテイ</t>
    </rPh>
    <phoneticPr fontId="2"/>
  </si>
  <si>
    <t>UNNH0030_IF_COPY_H_RENDO_KBN_CHECK</t>
    <phoneticPr fontId="2"/>
  </si>
  <si>
    <t>伝票区分が結合用の場合</t>
    <rPh sb="0" eb="2">
      <t>デンピョウ</t>
    </rPh>
    <rPh sb="2" eb="4">
      <t>クブン</t>
    </rPh>
    <rPh sb="5" eb="8">
      <t>ケツゴウヨウ</t>
    </rPh>
    <rPh sb="9" eb="11">
      <t>バアイ</t>
    </rPh>
    <phoneticPr fontId="2"/>
  </si>
  <si>
    <t>結合先売上No.がある場合</t>
    <rPh sb="0" eb="2">
      <t>ケツゴウ</t>
    </rPh>
    <rPh sb="2" eb="3">
      <t>サキ</t>
    </rPh>
    <rPh sb="3" eb="5">
      <t>ウリアゲ</t>
    </rPh>
    <rPh sb="11" eb="13">
      <t>バアイ</t>
    </rPh>
    <phoneticPr fontId="2"/>
  </si>
  <si>
    <t xml:space="preserve">SELECT M_MEISHO_B.DATA_2   AS ORDER句
  FROM M_MEISHO_B
 WHERE M_MEISHO_B.MEISHO_KBN = 'O601'
   AND M_MEISHO_B.MEISHO_CD = '2'
</t>
    <phoneticPr fontId="2"/>
  </si>
  <si>
    <t>入力者名</t>
    <phoneticPr fontId="2"/>
  </si>
  <si>
    <t>履歴表示時無効</t>
    <rPh sb="0" eb="2">
      <t>リレキ</t>
    </rPh>
    <rPh sb="2" eb="4">
      <t>ヒョウジ</t>
    </rPh>
    <rPh sb="4" eb="5">
      <t>ジ</t>
    </rPh>
    <rPh sb="5" eb="7">
      <t>ムコウ</t>
    </rPh>
    <phoneticPr fontId="2"/>
  </si>
  <si>
    <t>【デフォルト値】</t>
    <rPh sb="6" eb="7">
      <t>チ</t>
    </rPh>
    <phoneticPr fontId="2"/>
  </si>
  <si>
    <t>売上日</t>
    <rPh sb="0" eb="3">
      <t>ウリアゲビ</t>
    </rPh>
    <phoneticPr fontId="2"/>
  </si>
  <si>
    <t>伝票区分</t>
    <rPh sb="0" eb="2">
      <t>デンピョウ</t>
    </rPh>
    <rPh sb="2" eb="4">
      <t>クブン</t>
    </rPh>
    <phoneticPr fontId="2"/>
  </si>
  <si>
    <t>連動区分</t>
    <rPh sb="0" eb="2">
      <t>レンドウ</t>
    </rPh>
    <rPh sb="2" eb="4">
      <t>クブン</t>
    </rPh>
    <phoneticPr fontId="2"/>
  </si>
  <si>
    <t>UNNH0030_IF_COPY_H_URIAGE_DATE</t>
    <phoneticPr fontId="2"/>
  </si>
  <si>
    <t>商魂連動区分</t>
    <rPh sb="0" eb="2">
      <t>ショウコン</t>
    </rPh>
    <rPh sb="2" eb="4">
      <t>レンドウ</t>
    </rPh>
    <rPh sb="4" eb="6">
      <t>クブン</t>
    </rPh>
    <phoneticPr fontId="2"/>
  </si>
  <si>
    <t>UNNH0030_IF_COPY_H_INIT_DEMPYO_KBN</t>
    <phoneticPr fontId="2"/>
  </si>
  <si>
    <t>UNNH0030_IF_COPY_H_INIT_RENDO_KBN</t>
    <phoneticPr fontId="2"/>
  </si>
  <si>
    <t xml:space="preserve">SELECT DATA_1
  FROM M_MEISHO_B
 WHERE M_MEISHO_B.MEISHO_KBN = 'K023'
   AND M_MEISHO_B.MEISHO_CD = 1
</t>
    <phoneticPr fontId="2"/>
  </si>
  <si>
    <t>連動区分</t>
    <rPh sb="0" eb="2">
      <t>レンドウ</t>
    </rPh>
    <rPh sb="2" eb="4">
      <t>クブン</t>
    </rPh>
    <phoneticPr fontId="2"/>
  </si>
  <si>
    <t xml:space="preserve">SELECT DATA_1
  FROM M_MEISHO_B
 WHERE M_MEISHO_B.MEISHO_KBN = 'K029'
   AND M_MEISHO_B.MEISHO_CD = 2
</t>
    <phoneticPr fontId="2"/>
  </si>
  <si>
    <t>UNNH0030_SQL_INIT_DEMPYO_KBN</t>
    <phoneticPr fontId="2"/>
  </si>
  <si>
    <t>UNNH0030_SQL_INIT_RENDO_KBN</t>
    <phoneticPr fontId="2"/>
  </si>
  <si>
    <t>選択件数取得</t>
    <rPh sb="0" eb="2">
      <t>センタク</t>
    </rPh>
    <rPh sb="2" eb="4">
      <t>ケンスウ</t>
    </rPh>
    <rPh sb="4" eb="6">
      <t>シュトク</t>
    </rPh>
    <phoneticPr fontId="2"/>
  </si>
  <si>
    <t>UNNH0010_SQL_SELECT_CNT</t>
    <phoneticPr fontId="2"/>
  </si>
  <si>
    <t>選択件数カウント</t>
    <rPh sb="0" eb="2">
      <t>センタク</t>
    </rPh>
    <rPh sb="2" eb="4">
      <t>ケンスウ</t>
    </rPh>
    <phoneticPr fontId="2"/>
  </si>
  <si>
    <t>UNNH0010_IF_SELECT_CNT</t>
    <phoneticPr fontId="2"/>
  </si>
  <si>
    <t>【処理判定】</t>
    <rPh sb="1" eb="3">
      <t>ショリ</t>
    </rPh>
    <rPh sb="3" eb="5">
      <t>ハンテイ</t>
    </rPh>
    <phoneticPr fontId="2"/>
  </si>
  <si>
    <t>UNNH0030_IF_SAVE_PRINT_CHECK</t>
    <phoneticPr fontId="2"/>
  </si>
  <si>
    <t>保存時発行判定</t>
    <rPh sb="0" eb="2">
      <t>ホゾン</t>
    </rPh>
    <rPh sb="2" eb="3">
      <t>ジ</t>
    </rPh>
    <rPh sb="3" eb="5">
      <t>ハッコウ</t>
    </rPh>
    <rPh sb="5" eb="7">
      <t>ハンテイ</t>
    </rPh>
    <phoneticPr fontId="2"/>
  </si>
  <si>
    <t>新規＆同時発行フラグONの場合、有効(1)</t>
    <rPh sb="0" eb="2">
      <t>シンキ</t>
    </rPh>
    <rPh sb="3" eb="5">
      <t>ドウジ</t>
    </rPh>
    <rPh sb="5" eb="7">
      <t>ハッコウ</t>
    </rPh>
    <rPh sb="13" eb="15">
      <t>バアイ</t>
    </rPh>
    <rPh sb="16" eb="18">
      <t>ユウコウ</t>
    </rPh>
    <phoneticPr fontId="2"/>
  </si>
  <si>
    <t>SELECT MOTO_URIAGE_NO               AS '売上No.'
      ,J_DEMPYO_KBN.DATA_1          AS '伝票区分'
      ,T_URIAGE_H.URIAGE_DATE       AS '売上日'
      ,J_SEIKYU.AITE_MEI            AS '請求先名'
      ,T_URIAGE_H.DEMPYO_SOFU_MEI   AS '伝票送付先名'
      ,J_NYURYOKUSHA.SHIMEI         AS '売上入力者名'
      ,T_URIAGE_H.JURI_NO           AS '対象受理No.'
  FROM T_URIAGE_MERGE
  LEFT JOIN
       T_URIAGE_H
    ON T_URIAGE_H.URIAGE_NO = T_URIAGE_MERGE.MOTO_URIAGE_NO
  LEFT JOIN
       M_MEISHO_B AS J_DEMPYO_KBN
    ON J_DEMPYO_KBN.MEISHO_KBN = 'K023'
   AND J_DEMPYO_KBN.MEISHO_CD  = T_URIAGE_H.DEMPYO_KBN
  LEFT JOIN
       M_AITESAKI AS J_SEIKYU
    ON J_SEIKYU.AITE_CD = T_URIAGE_H.SEIKYU_CD
  LEFT JOIN
       M_SHAIN AS J_NYURYOKUSHA
    ON J_NYURYOKUSHA.SHAIN_CD = T_URIAGE_H.URIAGE_NYURYOKUSHA_CD</t>
    <phoneticPr fontId="2"/>
  </si>
  <si>
    <t>行区分</t>
    <rPh sb="0" eb="1">
      <t>ギョウ</t>
    </rPh>
    <rPh sb="1" eb="3">
      <t>クブン</t>
    </rPh>
    <phoneticPr fontId="2"/>
  </si>
  <si>
    <t>控</t>
    <rPh sb="0" eb="1">
      <t>ヒカ</t>
    </rPh>
    <phoneticPr fontId="2"/>
  </si>
  <si>
    <t>枝番
件数</t>
    <rPh sb="0" eb="2">
      <t>エダバン</t>
    </rPh>
    <rPh sb="3" eb="5">
      <t>ケンスウ</t>
    </rPh>
    <phoneticPr fontId="2"/>
  </si>
  <si>
    <t>商品
件数</t>
    <rPh sb="0" eb="2">
      <t>ショウヒン</t>
    </rPh>
    <rPh sb="3" eb="5">
      <t>ケンスウ</t>
    </rPh>
    <phoneticPr fontId="2"/>
  </si>
  <si>
    <t>対象売上No.</t>
    <rPh sb="0" eb="2">
      <t>タイショウ</t>
    </rPh>
    <rPh sb="2" eb="3">
      <t>ウ</t>
    </rPh>
    <rPh sb="3" eb="4">
      <t>ア</t>
    </rPh>
    <phoneticPr fontId="2"/>
  </si>
  <si>
    <t>条件（伝票区分）</t>
    <rPh sb="0" eb="2">
      <t>ジョウケン</t>
    </rPh>
    <rPh sb="3" eb="5">
      <t>デンピョウ</t>
    </rPh>
    <rPh sb="5" eb="7">
      <t>クブン</t>
    </rPh>
    <phoneticPr fontId="2"/>
  </si>
  <si>
    <t>条件(売上未計上フラグ)</t>
    <phoneticPr fontId="2"/>
  </si>
  <si>
    <t>条件（受注区分）</t>
    <rPh sb="3" eb="5">
      <t>ジュチュウ</t>
    </rPh>
    <rPh sb="5" eb="7">
      <t>クブン</t>
    </rPh>
    <phoneticPr fontId="2"/>
  </si>
  <si>
    <t>├　条件（分析依頼ステータス）</t>
    <rPh sb="5" eb="7">
      <t>ブンセキ</t>
    </rPh>
    <rPh sb="7" eb="9">
      <t>イライ</t>
    </rPh>
    <phoneticPr fontId="2"/>
  </si>
  <si>
    <t>├　条件（販売商品ステータス）</t>
    <rPh sb="5" eb="7">
      <t>ハンバイ</t>
    </rPh>
    <rPh sb="7" eb="9">
      <t>ショウヒン</t>
    </rPh>
    <phoneticPr fontId="2"/>
  </si>
  <si>
    <t>SELECT ISNULL(MAX(W_URIAGE.W_PAGE),0) AS MAX_PAGE
  FROM W_URIAGE</t>
    <phoneticPr fontId="2"/>
  </si>
  <si>
    <t>UNNH0030_H_CLEAR_AREA</t>
    <phoneticPr fontId="2"/>
  </si>
  <si>
    <t>UNNH0030_SQL_KAISHU_DATE</t>
    <phoneticPr fontId="2"/>
  </si>
  <si>
    <t>UNNH_COMMON_SQL_SEIKYUSAKI_SEARCH</t>
    <phoneticPr fontId="2"/>
  </si>
  <si>
    <t>回数日セット</t>
    <rPh sb="0" eb="2">
      <t>カイスウ</t>
    </rPh>
    <rPh sb="2" eb="3">
      <t>ビ</t>
    </rPh>
    <phoneticPr fontId="2"/>
  </si>
  <si>
    <t>回収日取得判定</t>
    <rPh sb="0" eb="3">
      <t>カイシュウビ</t>
    </rPh>
    <rPh sb="3" eb="5">
      <t>シュトク</t>
    </rPh>
    <rPh sb="5" eb="7">
      <t>ハンテイ</t>
    </rPh>
    <phoneticPr fontId="2"/>
  </si>
  <si>
    <t>UNNH0030_IF_GET_KAISHU_DATE_CHECK</t>
    <phoneticPr fontId="2"/>
  </si>
  <si>
    <t>請求先/売上日がない場合、無効(2)</t>
    <rPh sb="0" eb="2">
      <t>セイキュウ</t>
    </rPh>
    <rPh sb="2" eb="3">
      <t>サキ</t>
    </rPh>
    <rPh sb="4" eb="6">
      <t>ウリアゲ</t>
    </rPh>
    <rPh sb="6" eb="7">
      <t>ビ</t>
    </rPh>
    <rPh sb="10" eb="12">
      <t>バアイ</t>
    </rPh>
    <rPh sb="13" eb="15">
      <t>ムコウ</t>
    </rPh>
    <phoneticPr fontId="2"/>
  </si>
  <si>
    <t>UNNH0030_IF_SAVE_BAT_LOOP_CNT</t>
    <phoneticPr fontId="2"/>
  </si>
  <si>
    <t>UNNH0030_IF_SAVE_BAT_URIAGE_NO</t>
    <phoneticPr fontId="2"/>
  </si>
  <si>
    <t>UNNH0030_REPORT_IF_JURI_NO</t>
    <phoneticPr fontId="2"/>
  </si>
  <si>
    <t>UNNH0030_REPORT_IF_B_COPY_MOTO_TAX</t>
    <phoneticPr fontId="2"/>
  </si>
  <si>
    <t>UNNH0030_REPORT_IF_B_COPY_SAKI_TAX</t>
    <phoneticPr fontId="2"/>
  </si>
  <si>
    <t>受注区分CD</t>
    <rPh sb="0" eb="2">
      <t>ジュチュウ</t>
    </rPh>
    <rPh sb="2" eb="4">
      <t>クブン</t>
    </rPh>
    <phoneticPr fontId="2"/>
  </si>
  <si>
    <t>UNNH0010_H_JUCHU_KBN_CD</t>
    <phoneticPr fontId="2"/>
  </si>
  <si>
    <t xml:space="preserve">SELECT 1                    AS JUCHU_KBN_CD
      ,'分析依頼'           AS 受注内容
      ,M_MEISHO_B.MEISHO_CD AS 区分CD
      ,M_MEISHO_B.DATA_1    AS 区分名
      ,M_MEISHO_B.SORT_NO   AS SORT_NO
  FROM M_MEISHO_B
 WHERE M_MEISHO_B.MEISHO_KBN = 'K012'
UNION ALL
SELECT 2                    AS JUCHU_KBN_CD
      ,'販売商品'           AS 受注内容
      ,M_MEISHO_B.MEISHO_CD AS 区分CD
      ,M_MEISHO_B.DATA_1    AS 区分名
      ,M_MEISHO_B.SORT_NO   AS SORT_NO
  FROM M_MEISHO_B
 WHERE M_MEISHO_B.MEISHO_KBN = 'K020'
 ORDER BY
       JUCHU_KBN_CD ASC
      ,M_MEISHO_B.SORT_NO ASC
</t>
    <phoneticPr fontId="2"/>
  </si>
  <si>
    <t>UNNH_COMMON_SQL_BUN_HAN_KBN_SEARCH</t>
    <phoneticPr fontId="2"/>
  </si>
  <si>
    <t>分析／販売区分CD</t>
    <phoneticPr fontId="2"/>
  </si>
  <si>
    <t>UNNH0010_H_BUNSEKI_HAMBAI_KBN_CD</t>
    <phoneticPr fontId="2"/>
  </si>
  <si>
    <t>UNNH0010_H_INIT_HEADER_CLEAR_AREA</t>
    <phoneticPr fontId="2"/>
  </si>
  <si>
    <t>分析／販売区分CD</t>
    <phoneticPr fontId="2"/>
  </si>
  <si>
    <t>UNNH0010_SQL_NYURYOKUSHA_CD</t>
    <phoneticPr fontId="2"/>
  </si>
  <si>
    <t>営業担当者CD</t>
    <phoneticPr fontId="2"/>
  </si>
  <si>
    <t>UNNH0010_SQL_JURI_NO_START</t>
    <phoneticPr fontId="2"/>
  </si>
  <si>
    <t>UNNH0010_SQL_NYURYOKU_DATE_START</t>
    <phoneticPr fontId="2"/>
  </si>
  <si>
    <t>UNNH0010_SQL_NOHIN_DATE_START</t>
    <phoneticPr fontId="2"/>
  </si>
  <si>
    <t>UNNH0010_SQL_MITSU_NO_START</t>
    <phoneticPr fontId="2"/>
  </si>
  <si>
    <t>UNNH0010_SQL_FREEWD_1</t>
    <phoneticPr fontId="2"/>
  </si>
  <si>
    <t>UNNH0010_SQL_FREEWD_3</t>
    <phoneticPr fontId="2"/>
  </si>
  <si>
    <t>UNNH0010_SQL_MIKEIJO_FLG</t>
    <phoneticPr fontId="2"/>
  </si>
  <si>
    <t>確認未ステータス</t>
    <phoneticPr fontId="2"/>
  </si>
  <si>
    <t>UNNH0010_SQL_BUNSEKI_UKETSUKE_STS</t>
    <phoneticPr fontId="2"/>
  </si>
  <si>
    <t>UNNH0010_SQL_BUNSEKI_GIJUTSU_STS</t>
    <phoneticPr fontId="2"/>
  </si>
  <si>
    <t>UNNH0010_SQL_BUNSEKI_SOKUHO_STS</t>
    <phoneticPr fontId="2"/>
  </si>
  <si>
    <t>UNNH0010_SQL_BUNSEKI_NOHIN_STS</t>
    <phoneticPr fontId="2"/>
  </si>
  <si>
    <t>UNNH0010_SQL_BUNSEKI_TEISEI_STS</t>
    <phoneticPr fontId="2"/>
  </si>
  <si>
    <t>中断ステータス</t>
    <phoneticPr fontId="2"/>
  </si>
  <si>
    <t>UNNH0010_SQL_BUNSEKI_CHUSHI_STS</t>
    <phoneticPr fontId="2"/>
  </si>
  <si>
    <t>処理未ステータス</t>
    <phoneticPr fontId="2"/>
  </si>
  <si>
    <t>UNNH0010_SQL_HAMBAI_JUNBI_KANRYO_STS</t>
    <phoneticPr fontId="2"/>
  </si>
  <si>
    <t>請求先CD</t>
    <phoneticPr fontId="2"/>
  </si>
  <si>
    <t>UNNH0010_SQL_HASSOSAKI_CD</t>
    <phoneticPr fontId="2"/>
  </si>
  <si>
    <t>商品CD</t>
    <phoneticPr fontId="2"/>
  </si>
  <si>
    <t>UNNH0010_SQL_BUNSEKI_HAMBAI_KBN</t>
    <phoneticPr fontId="2"/>
  </si>
  <si>
    <t>入力者CD</t>
    <phoneticPr fontId="2"/>
  </si>
  <si>
    <t>UNNH0010_SQL_EIGYO_TANTO_CD</t>
    <phoneticPr fontId="2"/>
  </si>
  <si>
    <t>受理No</t>
    <phoneticPr fontId="2"/>
  </si>
  <si>
    <t>UNNH0010_SQL_JURI_NO_END</t>
    <phoneticPr fontId="2"/>
  </si>
  <si>
    <t>UNNH0010_SQL_NYURYOKU_DATE_END</t>
    <phoneticPr fontId="2"/>
  </si>
  <si>
    <t>UNNH0010_SQL_NOHIN_DATE_END</t>
    <phoneticPr fontId="2"/>
  </si>
  <si>
    <t>UNNH0010_SQL_MITSU_NO_END</t>
    <phoneticPr fontId="2"/>
  </si>
  <si>
    <t>フリーワード</t>
    <phoneticPr fontId="2"/>
  </si>
  <si>
    <t>UNNH0010_SQL_FREEWD_2</t>
    <phoneticPr fontId="2"/>
  </si>
  <si>
    <t>UNNH0010_SQL_FREEWD_KBN</t>
    <phoneticPr fontId="2"/>
  </si>
  <si>
    <t>対象受理No.</t>
    <rPh sb="0" eb="2">
      <t>タイショウ</t>
    </rPh>
    <rPh sb="2" eb="4">
      <t>ジュリ</t>
    </rPh>
    <phoneticPr fontId="2"/>
  </si>
  <si>
    <t>印刷範囲</t>
    <rPh sb="0" eb="2">
      <t>インサツ</t>
    </rPh>
    <rPh sb="2" eb="4">
      <t>ハンイ</t>
    </rPh>
    <phoneticPr fontId="2"/>
  </si>
  <si>
    <t>UNNH0020_REPORT_IF_PRINT_AREA</t>
    <phoneticPr fontId="2"/>
  </si>
  <si>
    <t xml:space="preserve">SELECT DISTINCT
       T_BUN_JUCHU_H.JURI_NO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FROM T_BUN_JUCHU_H
 LEFT JOIN M_MEISHO_B                    AS J_BUN_HAN_STATUS_MEISHO         --分析／販売区分名称用
    ON J_BUN_HAN_STATUS_MEISHO .MEISHO_KBN = 'K030'
   AND J_BUN_HAN_STATUS_MEISHO .MEISHO_CD = 1
  LEFT JOIN M_MEISHO_B                   AS J_BUN_STATUS_MEISHO        --分析ステータス名称用
    ON J_BUN_STATUS_MEISHO.MEISHO_KBN = 'S003'
   AND T_BUN_JUCHU_H.BUNSEKI_STS = J_BUN_STATUS_MEISHO.MEISHO_CD
  LEFT JOIN M_MEISHO_B                    AS J_BUN_KBN_MEISHO           --分析区分名称用
    ON J_BUN_KBN_MEISHO.MEISHO_KBN = 'K012'
   AND T_BUN_JUCHU_H.JUCHU_KBN = J_BUN_KBN_MEISHO.MEISHO_CD
  LEFT JOIN M_AITESAKI                   AS J_SEIKYU_MEI               --請求先名名称用
    ON T_BUN_JUCHU_H.SEIKYU_CD = J_SEIKYU_MEI.AITE_CD
  LEFT JOIN T_URIAGE_H                   AS J_URIAGE_H
    ON J_URIAGE_H.JURI_NO = T_BUN_JUCHU_H.JURI_NO
 WHERE ISNULL(J_URIAGE_H.JURI_NO,'') &lt;&gt; ''
UNION
SELECT DISTINCT
       T_HAN_JUCHU_H.JURI_NO                AS '受理No.'
      ,J_BUN_HAN_STATUS_MEISHO.MEISHO_CD    AS '受注区分CD'
      ,J_BUN_HAN_STATUS_MEISHO.DATA_1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FROM T_HAN_JUCHU_H
  LEFT JOIN M_MEISHO_B                    AS J_BUN_HAN_STATUS_MEISHO         --分析／販売区分名称用
    ON J_BUN_HAN_STATUS_MEISHO .MEISHO_KBN = 'K030'
   AND J_BUN_HAN_STATUS_MEISHO .MEISHO_CD = 2
  LEFT JOIN M_MEISHO_B                   AS J_BUN_STATUS_MEISHO        --販売商品ステータス名称用
    ON J_BUN_STATUS_MEISHO.MEISHO_KBN = 'S004'
   AND T_HAN_JUCHU_H.HAMBAI_STS = J_BUN_STATUS_MEISHO.MEISHO_CD
  LEFT JOIN M_MEISHO_B                    AS J_BUN_KBN_MEISHO           --分析区分名称用
    ON J_BUN_KBN_MEISHO.MEISHO_KBN = 'K020'
   AND T_HAN_JUCHU_H.HAMBAI_KBN = J_BUN_KBN_MEISHO.MEISHO_CD
  LEFT JOIN M_AITESAKI                   AS J_SEIKYU_MEI               --請求先名名称用
    ON T_HAN_JUCHU_H.SEIKYU_CD = J_SEIKYU_MEI.AITE_CD
  LEFT JOIN T_URIAGE_H                   AS J_URIAGE_H
    ON J_URIAGE_H.JURI_NO = T_HAN_JUCHU_H.JURI_NO
 WHERE ISNULL(J_URIAGE_H.JURI_NO,'') &lt;&gt; ''
 ORDER BY '受理No.'
</t>
    <phoneticPr fontId="2"/>
  </si>
  <si>
    <t>結合先売上No検索</t>
    <rPh sb="0" eb="2">
      <t>ケツゴウ</t>
    </rPh>
    <rPh sb="2" eb="3">
      <t>サキ</t>
    </rPh>
    <rPh sb="3" eb="5">
      <t>ウリアゲ</t>
    </rPh>
    <phoneticPr fontId="2"/>
  </si>
  <si>
    <t>SELECT T_MITSU_H.MITSU_NO        AS '見積No.'
      ,T_MITSU_H.MITSU_DATE      AS '見積日'
      ,STATUS.DATA_1             AS 'ステータス'
      ,NYURYOKU.SHIMEI           AS '入力者名'
      ,TORIHIKI_BUNRUI.DATA_1    AS '取引分類'
      ,T_MITSU_H.SEIKYU_MEI      AS '請求先名'
      ,EIGYO.SHIMEI              AS '営業担当者名'
      ,T_MITSU_H.KENMEI          AS '件名'
  FROM T_MITSU_H
  LEFT JOIN
       T_URIAGE_H
    ON T_URIAGE_H.MITSU_NO = T_MITSU_H.MITSU_NO
  LEFT JOIN
       M_MEISHO_B   AS STATUS
    ON STATUS.MEISHO_KBN = 'S002'
   AND STATUS.MEISHO_CD  = T_MITSU_H.MITSU_STS
  LEFT JOIN
       M_MEISHO_B   AS TORIHIKI_BUNRUI
    ON TORIHIKI_BUNRUI.MEISHO_KBN = 'K010'
   AND TORIHIKI_BUNRUI.MEISHO_CD  = T_MITSU_H.TORIHIKI_BUNRUI
  LEFT JOIN
       M_SHAIN      AS EIGYO
    ON EIGYO.SHAIN_CD = T_MITSU_H.EIGYO_TANTO_CD
  LEFT JOIN
       M_SHAIN      AS NYURYOKU
    ON NYURYOKU.SHAIN_CD = T_MITSU_H.NYURYOKUSHA_CD
 WHERE T_MITSU_H.MODE_KBN = 1
   AND ISNULL(T_URIAGE_H.MITSU_NO,'') &lt;&gt; ''
 ORDER BY T_URIAGE_H.MITSU_NO ASC</t>
    <phoneticPr fontId="2"/>
  </si>
  <si>
    <t>SELECT DISTINCT
       T_URIAGE_H.SAKI_URIAGE_NO             AS '結合先売上No.'
      ,J_SAKI_URIAGE_H.URIAGE_DATE           AS '売上日'
      ,J_BUN_NYURYOKU_MEI.SHIMEI             AS '入力担当者名'
      ,J_SAKI_URIAGE_H.NOHIN_DATE            AS '納品日'
      ,J_BUN_STATUS_MEISHO.DATA_1            AS 'ステータス'
      ,J_SAKI_URIAGE_H.JURI_NO               AS '対象受理No.'
      ,J_BUN_SEIKYU_MEI.AITE_MEI             AS '請求先名'
      ,J_SAKI_URIAGE_H.NUKI_TOTAL            AS '税抜合計額'
      ,J_SAKI_URIAGE_H.SHOKON_NO             AS '商魂伝票No.'
  FROM T_URIAGE_H
 LEFT JOIN
      T_URIAGE_H                        AS J_SAKI_URIAGE_H
   ON J_SAKI_URIAGE_H.URIAGE_NO = T_URIAGE_H.SAKI_URIAGE_NO
 LEFT JOIN M_MEISHO_B                   AS J_BUN_STATUS_MEISHO
   ON J_BUN_STATUS_MEISHO.MEISHO_KBN = 'S007'
  AND J_SAKI_URIAGE_H.URIAGE_STS = J_BUN_STATUS_MEISHO.MEISHO_CD
LEFT JOIN M_AITESAKI                    AS J_BUN_SEIKYU_MEI
   ON J_SAKI_URIAGE_H.SEIKYU_CD = J_BUN_SEIKYU_MEI.AITE_CD
LEFT JOIN M_SHAIN                       AS J_BUN_NYURYOKU_MEI
   ON J_SAKI_URIAGE_H.URIAGE_NYURYOKUSHA_CD = J_BUN_NYURYOKU_MEI.SHAIN_CD
WHERE ISNULL(T_URIAGE_H.SAKI_URIAGE_NO,'') &lt;&gt; ''
ORDER BY T_URIAGE_H.SAKI_URIAGE_NO ASC</t>
    <phoneticPr fontId="2"/>
  </si>
  <si>
    <t>SELECT T_URIAGE_H.URIAGE_NO             AS '売上No.'
      ,T_URIAGE_H.URIAGE_DATE           AS '売上日'
      ,J_BUN_NYURYOKU_MEI.SHIMEI        AS '入力担当者名'
      ,T_URIAGE_H.NOHIN_DATE            AS '納品日'
      ,J_BUN_STATUS_MEISHO.DATA_1       AS 'ステータス'
      ,T_URIAGE_H.JURI_NO               AS '対象受理No.'
      ,J_BUN_SEIKYU_MEI.AITE_MEI        AS '請求先名'
      ,T_URIAGE_H.NUKI_TOTAL            AS '税抜合計額'
      ,T_URIAGE_H.SHOKON_NO             AS '商魂伝票No.'
  FROM T_URIAGE_H
 LEFT JOIN M_MEISHO_B                   AS J_BUN_STATUS_MEISHO
   ON J_BUN_STATUS_MEISHO.MEISHO_KBN = 'S007'
  AND T_URIAGE_H.URIAGE_STS = J_BUN_STATUS_MEISHO.MEISHO_CD
LEFT JOIN M_AITESAKI                    AS J_BUN_SEIKYU_MEI
   ON T_URIAGE_H.SEIKYU_CD = J_BUN_SEIKYU_MEI.AITE_CD
LEFT JOIN M_SHAIN                       AS J_BUN_NYURYOKU_MEI
   ON T_URIAGE_H.URIAGE_NYURYOKUSHA_CD = J_BUN_NYURYOKU_MEI.SHAIN_CD
ORDER BY T_URIAGE_H.URIAGE_NO</t>
    <phoneticPr fontId="2"/>
  </si>
  <si>
    <t xml:space="preserve">SELECT DISTINCT T_BUN_JUCHU_H.MITSU_NO      AS '見積No.'
      ,J_BUN_MITSU.MITSU_DATE               AS '見積日'
      ,J_BUN_STATUS_MEISHO.DATA_1           AS 'ステータス'
      ,NYURYOKU.SHIMEI                      AS '入力者名'      
      ,J_SEIKYU_MEI.AITE_MEI                AS '請求先名'
      ,EIGYO.SHIMEI                         AS '営業担当者名'
      ,J_BUN_MITSU.KENMEI                   AS '件名'
  FROM T_BUN_JUCHU_H
LEFT JOIN T_MITSU_H                     AS J_BUN_MITSU
   ON T_BUN_JUCHU_H.MITSU_NO = J_BUN_MITSU.MITSU_NO 
 LEFT JOIN M_MEISHO_B                   AS J_BUN_STATUS_MEISHO        
   ON J_BUN_STATUS_MEISHO.MEISHO_KBN = 'S003'
  AND T_BUN_JUCHU_H.BUNSEKI_STS = J_BUN_STATUS_MEISHO.MEISHO_CD
LEFT JOIN M_SHAIN  AS NYURYOKU
 ON T_BUN_JUCHU_H.NYURYOKUSHA_CD = NYURYOKU.SHAIN_CD 
LEFT JOIN
       M_SHAIN  AS EIGYO
    ON EIGYO.SHAIN_CD = T_BUN_JUCHU_H.EIGYO_TANTO_CD  
 LEFT JOIN M_AITESAKI                   AS J_SEIKYU_MEI              
   ON T_BUN_JUCHU_H.SEIKYU_CD = J_SEIKYU_MEI.AITE_CD
WHERE T_BUN_JUCHU_H.MITSU_NO IS NOT NULL
  AND T_BUN_JUCHU_H.MITSU_NO &lt;&gt; ''
  AND T_BUN_JUCHU_H.DEL_FLG = 'False'
UNION
SELECT  DISTINCT T_HAN_JUCHU_H.MITSU_NO     AS '見積No.'
      ,J_HAN_MITSU.MITSU_DATE               AS '見積日'
      ,J_HAN_STATUS_MEISHO.DATA_1           AS 'ステータス'
      ,NYURYOKU.SHIMEI                      AS '入力者名'      
      ,J_SEIKYU_MEI.AITE_MEI                AS '請求先名'
      ,EIGYO.SHIMEI                         AS '営業担当者名'
      ,J_HAN_MITSU.KENMEI                   AS '件名'
  FROM T_HAN_JUCHU_H
LEFT JOIN T_MITSU_H                     AS J_HAN_MITSU
   ON T_HAN_JUCHU_H.MITSU_NO = J_HAN_MITSU.MITSU_NO 
LEFT JOIN M_MEISHO_B                   AS J_HAN_STATUS_MEISHO
   ON J_HAN_STATUS_MEISHO.MEISHO_KBN = 'S007'
  AND T_HAN_JUCHU_H.HAMBAI_STS = J_HAN_STATUS_MEISHO.MEISHO_CD
LEFT JOIN M_SHAIN  AS NYURYOKU
 ON T_HAN_JUCHU_H.NYURYOKUSHA_CD = NYURYOKU.SHAIN_CD 
LEFT JOIN
       M_SHAIN  AS EIGYO
    ON EIGYO.SHAIN_CD = T_HAN_JUCHU_H.EIGYO_TANTO_CD  
 LEFT JOIN M_AITESAKI                   AS J_SEIKYU_MEI
   ON T_HAN_JUCHU_H.SEIKYU_CD = J_SEIKYU_MEI.AITE_CD
WHERE T_HAN_JUCHU_H.MITSU_NO IS NOT NULL
  AND T_HAN_JUCHU_H.MITSU_NO &lt;&gt; ''
  AND T_HAN_JUCHU_H.DEL_FLG = 'False'
</t>
    <phoneticPr fontId="2"/>
  </si>
  <si>
    <t xml:space="preserve">SELECT T_BUN_JUCHU_H.JURI_NO                AS '受理No.'
      ,J_BUN_HAN_STATUS_MEISHO.DATA_1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FROM T_BUN_JUCHU_H
LEFT JOIN M_MEISHO_B                    AS J_BUN_HAN_STATUS_MEISHO         --分析／販売区分名称用
   ON J_BUN_HAN_STATUS_MEISHO .MEISHO_KBN = 'K030'
  AND J_BUN_HAN_STATUS_MEISHO .MEISHO_CD = 1
 LEFT JOIN M_MEISHO_B                   AS J_BUN_STATUS_MEISHO        --分析ステータス名称用
   ON J_BUN_STATUS_MEISHO.MEISHO_KBN = 'S003'
  AND T_BUN_JUCHU_H.BUNSEKI_STS = J_BUN_STATUS_MEISHO.MEISHO_CD
LEFT JOIN M_MEISHO_B                    AS J_BUN_KBN_MEISHO           --分析区分名称用
   ON J_BUN_KBN_MEISHO.MEISHO_KBN = 'K012'
  AND T_BUN_JUCHU_H.JUCHU_KBN = J_BUN_KBN_MEISHO.MEISHO_CD
 LEFT JOIN M_AITESAKI                   AS J_SEIKYU_MEI               --請求先名名称用
   ON T_BUN_JUCHU_H.SEIKYU_CD = J_SEIKYU_MEI.AITE_CD
 WHERE T_BUN_JUCHU_H.DEL_FLG = 'False'
   AND T_BUN_JUCHU_H.BUNSEKI_STS &lt;= 10
UNION ALL
SELECT T_HAN_JUCHU_H.JURI_NO                AS '受理No.'
      ,J_BUN_HAN_STATUS_MEISHO.DATA_1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FROM T_HAN_JUCHU_H
LEFT JOIN M_MEISHO_B                    AS J_BUN_HAN_STATUS_MEISHO         --分析／販売区分名称用
   ON J_BUN_HAN_STATUS_MEISHO .MEISHO_KBN = 'K030'
  AND J_BUN_HAN_STATUS_MEISHO .MEISHO_CD = 2
 LEFT JOIN M_MEISHO_B                   AS J_BUN_STATUS_MEISHO        --販売商品ステータス名称用
   ON J_BUN_STATUS_MEISHO.MEISHO_KBN = 'S003'
  AND T_HAN_JUCHU_H.HAMBAI_STS = J_BUN_STATUS_MEISHO.MEISHO_CD
LEFT JOIN M_MEISHO_B                    AS J_BUN_KBN_MEISHO           --分析区分名称用
   ON J_BUN_KBN_MEISHO.MEISHO_KBN = 'K020'
  AND T_HAN_JUCHU_H.HAMBAI_KBN = J_BUN_KBN_MEISHO.MEISHO_CD
 LEFT JOIN M_AITESAKI                   AS J_SEIKYU_MEI               --請求先名名称用
   ON T_HAN_JUCHU_H.SEIKYU_CD = J_SEIKYU_MEI.AITE_CD
 WHERE T_HAN_JUCHU_H.DEL_FLG = 'False'
ORDER BY JURI_NO
</t>
    <phoneticPr fontId="2"/>
  </si>
  <si>
    <t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</t>
    <phoneticPr fontId="2"/>
  </si>
  <si>
    <t>SELECT M_AITESAKI.AITE_CD                   AS  発送先CD
      ,M_AITESAKI.AITE_MEI                  AS  発送先名
      ,M_SHAIN.SHIMEI                       AS  営業担当者
      ,M_AITESAKI.YUBIN_NO                  AS  郵便番号
      ,M_AITESAKI.FAX                       AS  FAX
      ,M_AITESAKI.ADDRESS_1                 AS  住所1
      ,M_AITESAKI.ADDRESS_2                 AS  住所2
      ,M_AITESAKI.TEL                       AS  TEL
      ,M_AITESAKI.BUSHO_MEI                 AS  相手先部署名
      ,M_AITESAKI.TANTO_MEI                 AS  相手先担当者名
  FROM M_AITESAKI
  LEFT JOIN
       M_SHAIN
    ON M_SHAIN.SHAIN_CD = M_AITESAKI.EIGYO_TANTO_CD
  WHERE M_AITESAKI.HASSO_FLG = 'True'
   AND M_AITESAKI.MISHIYO_FLG = 'False'
 ORDER BY AITE_CD ASC</t>
    <phoneticPr fontId="2"/>
  </si>
  <si>
    <t>UNNH0030_SAVE_BAT_FLG</t>
    <phoneticPr fontId="2"/>
  </si>
  <si>
    <t>一括保存フラグ</t>
    <rPh sb="0" eb="2">
      <t>イッカツ</t>
    </rPh>
    <rPh sb="2" eb="4">
      <t>ホゾン</t>
    </rPh>
    <phoneticPr fontId="2"/>
  </si>
  <si>
    <t>SELECT M_MEISHO_B.DATA_2   AS ORDER句
   FROM M_MEISHO_B
 WHERE M_MEISHO_B.MEISHO_KBN = 'O602'
   AND M_MEISHO_B.MEISHO_CD='2'</t>
    <rPh sb="35" eb="36">
      <t>ク</t>
    </rPh>
    <phoneticPr fontId="2"/>
  </si>
  <si>
    <t>UNNH0010_H_HIDE_ROW</t>
    <phoneticPr fontId="2"/>
  </si>
  <si>
    <t>UNNH0020_H_HIDE_ROW</t>
    <phoneticPr fontId="2"/>
  </si>
  <si>
    <t>UNNH0080_HIDE_ROW</t>
    <phoneticPr fontId="2"/>
  </si>
  <si>
    <t>【印刷範囲】</t>
    <rPh sb="1" eb="3">
      <t>インサツ</t>
    </rPh>
    <rPh sb="3" eb="5">
      <t>ハンイ</t>
    </rPh>
    <phoneticPr fontId="2"/>
  </si>
  <si>
    <t>請求書</t>
    <rPh sb="0" eb="3">
      <t>セイキュウショ</t>
    </rPh>
    <phoneticPr fontId="2"/>
  </si>
  <si>
    <t>受領書</t>
    <rPh sb="0" eb="3">
      <t>ジュリョウショ</t>
    </rPh>
    <phoneticPr fontId="2"/>
  </si>
  <si>
    <t>納品書</t>
    <rPh sb="0" eb="2">
      <t>ノウヒン</t>
    </rPh>
    <rPh sb="2" eb="3">
      <t>ショ</t>
    </rPh>
    <phoneticPr fontId="2"/>
  </si>
  <si>
    <t>控</t>
    <rPh sb="0" eb="1">
      <t>ヒカ</t>
    </rPh>
    <phoneticPr fontId="2"/>
  </si>
  <si>
    <t>UNNH0030_REPORT_IF_SEIKYUSHO_PRINT_AREA</t>
    <phoneticPr fontId="2"/>
  </si>
  <si>
    <t>UNNH0030_REPORT_IF_JURYOSHO_PRINT_AREA</t>
    <phoneticPr fontId="2"/>
  </si>
  <si>
    <t>UNNH0030_REPORT_IF_NOHINSHO_PRINT_AREA</t>
    <phoneticPr fontId="2"/>
  </si>
  <si>
    <t>UNNH0030_REPORT_IF_HIKAE_PRINT_AREA</t>
    <phoneticPr fontId="2"/>
  </si>
  <si>
    <t>勘定科目▼</t>
    <rPh sb="0" eb="2">
      <t>カンジョウ</t>
    </rPh>
    <rPh sb="2" eb="4">
      <t>カモク</t>
    </rPh>
    <phoneticPr fontId="2"/>
  </si>
  <si>
    <t>勘定科目CD</t>
    <rPh sb="0" eb="2">
      <t>カンジョウ</t>
    </rPh>
    <rPh sb="2" eb="4">
      <t>カモク</t>
    </rPh>
    <phoneticPr fontId="2"/>
  </si>
  <si>
    <t>UNNH0030_H_KANJO_KAMOKU_CD</t>
    <phoneticPr fontId="2"/>
  </si>
  <si>
    <t>勘定科目区分</t>
    <rPh sb="0" eb="2">
      <t>カンジョウ</t>
    </rPh>
    <rPh sb="2" eb="4">
      <t>カモク</t>
    </rPh>
    <rPh sb="4" eb="6">
      <t>クブン</t>
    </rPh>
    <phoneticPr fontId="2"/>
  </si>
  <si>
    <t>「=OFFSET(UNNH0030_IF_LIST_KANJO_KAMOKU_START,,,IF(UNNH0030_IF_LIST_KANJO_KAMOKU_KENSU=0,1,UNNH0030_IF_LIST_KANJO_KAMOKU_KENSU),1)」</t>
    <phoneticPr fontId="2"/>
  </si>
  <si>
    <t>KANJO_KAMOKU</t>
    <phoneticPr fontId="2"/>
  </si>
  <si>
    <t>勘定科目</t>
    <rPh sb="0" eb="2">
      <t>カンジョウ</t>
    </rPh>
    <rPh sb="2" eb="4">
      <t>カモク</t>
    </rPh>
    <phoneticPr fontId="2"/>
  </si>
  <si>
    <t>売上伝区▼</t>
    <rPh sb="0" eb="2">
      <t>ウリアゲ</t>
    </rPh>
    <rPh sb="2" eb="3">
      <t>デン</t>
    </rPh>
    <rPh sb="3" eb="4">
      <t>ク</t>
    </rPh>
    <phoneticPr fontId="2"/>
  </si>
  <si>
    <t>UNNH0030_H_DENKU_CD</t>
    <phoneticPr fontId="2"/>
  </si>
  <si>
    <t>売上伝区CD</t>
    <rPh sb="0" eb="2">
      <t>ウリアゲ</t>
    </rPh>
    <rPh sb="2" eb="3">
      <t>デン</t>
    </rPh>
    <rPh sb="3" eb="4">
      <t>ク</t>
    </rPh>
    <phoneticPr fontId="2"/>
  </si>
  <si>
    <t>売上伝区</t>
    <rPh sb="0" eb="2">
      <t>ウリアゲ</t>
    </rPh>
    <rPh sb="2" eb="3">
      <t>デン</t>
    </rPh>
    <rPh sb="3" eb="4">
      <t>ク</t>
    </rPh>
    <phoneticPr fontId="2"/>
  </si>
  <si>
    <t>UNNH0030_IF_LIST_DENKU</t>
    <phoneticPr fontId="2"/>
  </si>
  <si>
    <t>「=OFFSET(UNNH0030_IF_LIST_DENKU_START,,,IF(UNNH0030_IF_LIST_DENKU_KENSU=0,1,UNNH0030_IF_LIST_DENKU_KENSU),1)」</t>
  </si>
  <si>
    <t>でんく</t>
    <phoneticPr fontId="2"/>
  </si>
  <si>
    <t>でんく２</t>
    <phoneticPr fontId="2"/>
  </si>
  <si>
    <t>売上伝区</t>
    <rPh sb="0" eb="2">
      <t>ウリアゲ</t>
    </rPh>
    <rPh sb="2" eb="3">
      <t>デン</t>
    </rPh>
    <rPh sb="3" eb="4">
      <t>ク</t>
    </rPh>
    <phoneticPr fontId="2"/>
  </si>
  <si>
    <t>DENKU</t>
    <phoneticPr fontId="2"/>
  </si>
  <si>
    <t>UNNH0030_SQL_LIST_DENKU</t>
    <phoneticPr fontId="2"/>
  </si>
  <si>
    <t>UNNH0030_SQL_INIT_URIAGE_DENKU</t>
    <phoneticPr fontId="2"/>
  </si>
  <si>
    <t xml:space="preserve">SELECT DATA_1
  FROM M_MEISHO_B
 WHERE M_MEISHO_B.MEISHO_KBN = 'K032'
   AND M_MEISHO_B.MEISHO_CD  = '0'
</t>
    <phoneticPr fontId="2"/>
  </si>
  <si>
    <t>消費税計算区分</t>
    <rPh sb="0" eb="3">
      <t>ショウヒゼイ</t>
    </rPh>
    <rPh sb="3" eb="5">
      <t>ケイサン</t>
    </rPh>
    <rPh sb="5" eb="7">
      <t>クブン</t>
    </rPh>
    <phoneticPr fontId="2"/>
  </si>
  <si>
    <t>UNNH0030_H_TAX_KBN</t>
    <phoneticPr fontId="2"/>
  </si>
  <si>
    <t>消費税</t>
    <rPh sb="0" eb="3">
      <t>ショウヒゼイ</t>
    </rPh>
    <phoneticPr fontId="2"/>
  </si>
  <si>
    <t>UNNH0030_IF_MULTI_SELECT_LIST_TAX</t>
    <phoneticPr fontId="2"/>
  </si>
  <si>
    <t>消費税数式コピー先</t>
    <rPh sb="0" eb="3">
      <t>ショウヒゼイ</t>
    </rPh>
    <rPh sb="3" eb="5">
      <t>スウシキ</t>
    </rPh>
    <rPh sb="8" eb="9">
      <t>サキ</t>
    </rPh>
    <phoneticPr fontId="2"/>
  </si>
  <si>
    <t>UNNH0030_IF_MULTI_SELECT_TAX_SUSHIKI_COPY_SAKI</t>
    <phoneticPr fontId="2"/>
  </si>
  <si>
    <t>UNNH0030_IF_COPY_B_MEISAI_TAX_SUSHIKI</t>
    <phoneticPr fontId="2"/>
  </si>
  <si>
    <t>SELECT M_AITESAKI.AITE_CD                   AS  請求先CD
      ,M_AITESAKI.AITE_MEI                  AS  請求先名
      ,M_AITESAKI.EIGYO_TANTO_CD            AS  営業担当者CD
      ,M_SHAIN.SHIMEI                       AS  営業担当者
      ,M_AITESAKI.ADDRESS_1+M_AITESAKI.ADDRESS_2
                                            AS  住所
      ,M_AITESAKI.TEL                       AS  TEL
      ,M_AITESAKI.BUSHO_MEI                 AS  相手先部署名
      ,M_AITESAKI.TANTO_MEI                 AS  相手先担当者名
      ,R_BUNRUI.DATA_1                      AS  分類
      ,M_AITESAKI.SEIKYU_CHUKI              AS  注記
      ,M_AITESAKI.KEISHO                    AS  敬称
      ,M_AITESAKI.YUBIN_NO                  AS  郵便番号
      ,M_AITESAKI.ADDRESS_1                 AS  住所１
      ,M_AITESAKI.ADDRESS_2                 AS  住所２
      ,M_AITESAKI.FAX                       AS  FAX
      ,M_AITESAKI.TANTO_MEI                 AS  担当者名
      ,SEIKYU_HASU_KBN                      AS  請求先端数処理区分
      ,TAX_KBN                              AS  消費税計算区分
  FROM M_AITESAKI
  LEFT JOIN
       M_SHAIN
    ON M_SHAIN.SHAIN_CD = M_AITESAKI.EIGYO_TANTO_CD
  LEFT JOIN M_MEISHO_B   AS R_BUNRUI
    ON R_BUNRUI.MEISHO_KBN = 'K001'
   AND M_AITESAKI.SEIKYU_BUNRUI = R_BUNRUI.MEISHO_CD
 WHERE M_AITESAKI.SEIKYU_FLG = 'True'
   AND M_AITESAKI.MISHIYO_FLG = 'False'
 ORDER BY AITE_CD ASC</t>
    <phoneticPr fontId="2"/>
  </si>
  <si>
    <t xml:space="preserve">SELECT W_URIAGE.GYO_NO
      ,W_URIAGE.ROW_KBN
      ,NULL
      ,W_URIAGE.SHOHIN_CD
      ,W_URIAGE.SHOHIN_MEI
      ,W_URIAGE.URIAGE_SURYO
      ,W_URIAGE.URIAGE_SURYO_TANI
      ,W_URIAGE.HAMBAI_TANKA
      ,W_URIAGE.HAMBAI_KINGAKU
      ,W_URIAGE.TEKIYO_B
      ,W_URIAGE.TEIKA
      ,W_URIAGE.GENTANKA
      ,M_SHOHIN.SHIIRE_IRISU
      ,W_URIAGE.GENKA_SURYO
      ,W_URIAGE.IRISU_TANI
      ,W_URIAGE.SOSU
      ,W_URIAGE.BARA_TANI
      ,W_URIAGE.GENKA_KINGAKU
      ,W_URIAGE.ARARIRITSU_B
      ,W_URIAGE.ARARIEKI_B
  FROM W_URIAGE
  LEFT JOIN
       M_SHOHIN
    ON M_SHOHIN.SHOHIN_CD = W_URIAGE.SHOHIN_CD
</t>
    <phoneticPr fontId="2"/>
  </si>
  <si>
    <t>【ストアド】</t>
    <phoneticPr fontId="2"/>
  </si>
  <si>
    <t>ワークテーブルクリア</t>
    <phoneticPr fontId="2"/>
  </si>
  <si>
    <t>読込</t>
    <rPh sb="0" eb="2">
      <t>ヨミコミ</t>
    </rPh>
    <phoneticPr fontId="2"/>
  </si>
  <si>
    <t>UNNH0010_SQL_SP_CLEAR</t>
    <phoneticPr fontId="2"/>
  </si>
  <si>
    <t>UNNH0010_SQL_SP_LOAD</t>
    <phoneticPr fontId="2"/>
  </si>
  <si>
    <t>売上連携済</t>
    <rPh sb="0" eb="2">
      <t>ウリアゲ</t>
    </rPh>
    <rPh sb="2" eb="4">
      <t>レンケイ</t>
    </rPh>
    <rPh sb="4" eb="5">
      <t>スミ</t>
    </rPh>
    <phoneticPr fontId="2"/>
  </si>
  <si>
    <t>売上連携済ステータス</t>
    <rPh sb="0" eb="2">
      <t>ウリアゲ</t>
    </rPh>
    <rPh sb="2" eb="4">
      <t>レンケイ</t>
    </rPh>
    <rPh sb="4" eb="5">
      <t>ス</t>
    </rPh>
    <phoneticPr fontId="2"/>
  </si>
  <si>
    <t>UNNH0020_H_URIAGE_LINK_STS</t>
    <phoneticPr fontId="2"/>
  </si>
  <si>
    <t>売上連携済み</t>
    <rPh sb="0" eb="2">
      <t>ウリアゲ</t>
    </rPh>
    <rPh sb="2" eb="4">
      <t>レンケイ</t>
    </rPh>
    <rPh sb="4" eb="5">
      <t>ス</t>
    </rPh>
    <phoneticPr fontId="2"/>
  </si>
  <si>
    <t>条件（連動区分）</t>
    <rPh sb="0" eb="2">
      <t>ジョウケン</t>
    </rPh>
    <rPh sb="3" eb="5">
      <t>レンドウ</t>
    </rPh>
    <rPh sb="5" eb="7">
      <t>クブン</t>
    </rPh>
    <phoneticPr fontId="2"/>
  </si>
  <si>
    <t>　├　売上連動済</t>
    <rPh sb="3" eb="5">
      <t>ウリアゲ</t>
    </rPh>
    <rPh sb="5" eb="7">
      <t>レンドウ</t>
    </rPh>
    <rPh sb="7" eb="8">
      <t>スミ</t>
    </rPh>
    <phoneticPr fontId="2"/>
  </si>
  <si>
    <t>訂正伝票</t>
    <phoneticPr fontId="2"/>
  </si>
  <si>
    <t>担当部署CD</t>
    <phoneticPr fontId="2"/>
  </si>
  <si>
    <t>売上連携済ステータス</t>
    <rPh sb="0" eb="2">
      <t>ウリアゲ</t>
    </rPh>
    <rPh sb="2" eb="4">
      <t>レンケイ</t>
    </rPh>
    <rPh sb="4" eb="5">
      <t>ス</t>
    </rPh>
    <phoneticPr fontId="2"/>
  </si>
  <si>
    <t>UNNH0020_SQL_URIAGE_LINK_STS</t>
    <phoneticPr fontId="2"/>
  </si>
  <si>
    <t>営業担当者CD</t>
    <rPh sb="0" eb="2">
      <t>エイギョウ</t>
    </rPh>
    <rPh sb="2" eb="5">
      <t>タントウシャ</t>
    </rPh>
    <phoneticPr fontId="2"/>
  </si>
  <si>
    <t>UNNH0030_H_EIGYO_TANTO_CD</t>
    <phoneticPr fontId="2"/>
  </si>
  <si>
    <t>営業担当者名▼</t>
    <rPh sb="0" eb="2">
      <t>エイギョウ</t>
    </rPh>
    <rPh sb="2" eb="5">
      <t>タントウシャ</t>
    </rPh>
    <rPh sb="5" eb="6">
      <t>メイ</t>
    </rPh>
    <phoneticPr fontId="2"/>
  </si>
  <si>
    <t>営業担当者名</t>
    <rPh sb="0" eb="2">
      <t>エイギョウ</t>
    </rPh>
    <rPh sb="2" eb="5">
      <t>タントウシャ</t>
    </rPh>
    <rPh sb="5" eb="6">
      <t>メイ</t>
    </rPh>
    <phoneticPr fontId="2"/>
  </si>
  <si>
    <t>営業担当者CD</t>
    <rPh sb="0" eb="2">
      <t>エイギョウ</t>
    </rPh>
    <rPh sb="2" eb="4">
      <t>タントウ</t>
    </rPh>
    <rPh sb="4" eb="5">
      <t>シャ</t>
    </rPh>
    <phoneticPr fontId="2"/>
  </si>
  <si>
    <t>営業担当者CD</t>
    <rPh sb="0" eb="2">
      <t>エイギョウ</t>
    </rPh>
    <rPh sb="2" eb="4">
      <t>タントウ</t>
    </rPh>
    <phoneticPr fontId="2"/>
  </si>
  <si>
    <t>営業担当者名</t>
    <rPh sb="0" eb="2">
      <t>エイギョウ</t>
    </rPh>
    <rPh sb="2" eb="4">
      <t>タントウ</t>
    </rPh>
    <rPh sb="4" eb="5">
      <t>シャ</t>
    </rPh>
    <rPh sb="5" eb="6">
      <t>メイ</t>
    </rPh>
    <phoneticPr fontId="2"/>
  </si>
  <si>
    <t>営業担当者CD</t>
    <rPh sb="0" eb="2">
      <t>エイギョウ</t>
    </rPh>
    <rPh sb="2" eb="4">
      <t>タントウ</t>
    </rPh>
    <phoneticPr fontId="2"/>
  </si>
  <si>
    <t>EIGYO_TANTO_CD</t>
    <phoneticPr fontId="2"/>
  </si>
  <si>
    <t>UNNH0020_H_EIGYO_TANTO_CD</t>
    <phoneticPr fontId="2"/>
  </si>
  <si>
    <t>営業担当者名▼</t>
    <rPh sb="0" eb="2">
      <t>エイギョウ</t>
    </rPh>
    <rPh sb="2" eb="4">
      <t>タントウ</t>
    </rPh>
    <rPh sb="4" eb="5">
      <t>シャ</t>
    </rPh>
    <phoneticPr fontId="2"/>
  </si>
  <si>
    <t>UNNH0020_H_NOHIN_DATE_START</t>
    <phoneticPr fontId="2"/>
  </si>
  <si>
    <t>UNNH0020_H_NOHIN_DATE_END</t>
    <phoneticPr fontId="2"/>
  </si>
  <si>
    <t>UNNH0020_SQL_NYURYOKU_DATE_START</t>
    <phoneticPr fontId="2"/>
  </si>
  <si>
    <t>UNNH0020_SQL_NYURYOKU_DATE_END</t>
    <phoneticPr fontId="2"/>
  </si>
  <si>
    <t>売上入力者CD</t>
    <phoneticPr fontId="2"/>
  </si>
  <si>
    <t>UNNH0020_SQL_NYURYOKUSHA_CD</t>
    <phoneticPr fontId="2"/>
  </si>
  <si>
    <t>フリーワード</t>
    <phoneticPr fontId="2"/>
  </si>
  <si>
    <t>UNNH0020_SQL_FREEWD_1</t>
    <phoneticPr fontId="2"/>
  </si>
  <si>
    <t>UNNH0020_SQL_FREEWD_2</t>
    <phoneticPr fontId="2"/>
  </si>
  <si>
    <t>UNNH0020_SQL_FREEWD_3</t>
    <phoneticPr fontId="2"/>
  </si>
  <si>
    <t>UNNH0020_SQL_FREEWD_KBN</t>
    <phoneticPr fontId="2"/>
  </si>
  <si>
    <t>UNNH0020_SQL_EIGYO_TANTO_CD</t>
    <phoneticPr fontId="2"/>
  </si>
  <si>
    <t>条件(入力日)</t>
    <rPh sb="0" eb="2">
      <t>ジョウケン</t>
    </rPh>
    <rPh sb="3" eb="6">
      <t>ニュウリョクヒ</t>
    </rPh>
    <phoneticPr fontId="2"/>
  </si>
  <si>
    <t>条件(営業担当者CD)</t>
    <rPh sb="0" eb="2">
      <t>ジョウケン</t>
    </rPh>
    <rPh sb="3" eb="5">
      <t>エイギョウ</t>
    </rPh>
    <rPh sb="5" eb="7">
      <t>タントウ</t>
    </rPh>
    <rPh sb="7" eb="8">
      <t>シャ</t>
    </rPh>
    <phoneticPr fontId="2"/>
  </si>
  <si>
    <t>＞</t>
    <phoneticPr fontId="2"/>
  </si>
  <si>
    <t>UNNH0010_B_SELECT_GYO_NO</t>
    <phoneticPr fontId="2"/>
  </si>
  <si>
    <t>選択受注区分</t>
    <rPh sb="0" eb="2">
      <t>センタク</t>
    </rPh>
    <rPh sb="2" eb="4">
      <t>ジュチュウ</t>
    </rPh>
    <rPh sb="4" eb="6">
      <t>クブン</t>
    </rPh>
    <phoneticPr fontId="2"/>
  </si>
  <si>
    <t>UNNH0010_B_SELECT_JURI_NO</t>
    <phoneticPr fontId="2"/>
  </si>
  <si>
    <t>UNNH0010_B_SELECT_JUCHU_KBN</t>
    <phoneticPr fontId="2"/>
  </si>
  <si>
    <t>見積No.設定位置</t>
    <rPh sb="0" eb="2">
      <t>ミツモリ</t>
    </rPh>
    <rPh sb="5" eb="7">
      <t>セッテイ</t>
    </rPh>
    <rPh sb="7" eb="9">
      <t>イチ</t>
    </rPh>
    <phoneticPr fontId="2"/>
  </si>
  <si>
    <t>UNNH0010_B_SELECT_MITSU_NO</t>
    <phoneticPr fontId="2"/>
  </si>
  <si>
    <t>UNNH0010_IF_SET_MITSU_NO</t>
    <phoneticPr fontId="2"/>
  </si>
  <si>
    <t xml:space="preserve">SELECT DATA_1
      ,MEISHO_CD
  FROM M_MEISHO_B
 WHERE M_MEISHO_B.MEISHO_KBN = 'K023'
 ORDER BY SORT_NO ASC
</t>
    <phoneticPr fontId="2"/>
  </si>
  <si>
    <t xml:space="preserve">SELECT DATA_1
      ,MEISHO_CD
  FROM M_MEISHO_B
 WHERE M_MEISHO_B.MEISHO_KBN = 'K011'
 ORDER BY SORT_NO ASC
</t>
    <phoneticPr fontId="2"/>
  </si>
  <si>
    <t xml:space="preserve">SELECT DATA_1
      ,MEISHO_CD
  FROM M_MEISHO_B
 WHERE M_MEISHO_B.MEISHO_KBN = 'K029'
 ORDER BY SORT_NO ASC
</t>
    <phoneticPr fontId="2"/>
  </si>
  <si>
    <t xml:space="preserve">SELECT DATA_1
      ,MEISHO_CD
  FROM M_MEISHO_B
 WHERE M_MEISHO_B.MEISHO_KBN = 'K032'
 ORDER BY SORT_NO ASC
</t>
    <phoneticPr fontId="2"/>
  </si>
  <si>
    <t xml:space="preserve">SELECT DATA_1
      ,MEISHO_CD
  FROM M_MEISHO_B
 WHERE M_MEISHO_B.MEISHO_KBN = 'K033'
 ORDER BY SORT_NO ASC
</t>
    <phoneticPr fontId="2"/>
  </si>
  <si>
    <t xml:space="preserve">SELECT T_MITSU_H.MITSU_NO        AS '見積No.'
      ,T_MITSU_H.MITSU_DATE      AS '見積日'
      ,STATUS.DATA_1             AS 'ステータス'
      ,NYURYOKU.SHIMEI           AS '入力者名'
      ,TORIHIKI_BUNRUI.DATA_1    AS '取引分類'
      ,T_MITSU_H.SEIKYU_MEI      AS '請求先名'
      ,EIGYO.SHIMEI              AS '営業担当者名'
      ,T_MITSU_H.KENMEI          AS '件名'
  FROM T_MITSU_H
  LEFT JOIN
       M_MEISHO_B   AS STATUS
    ON STATUS.MEISHO_KBN = 'S002'
   AND STATUS.MEISHO_CD  = T_MITSU_H.MITSU_STS
  LEFT JOIN
       M_MEISHO_B   AS TORIHIKI_BUNRUI
    ON TORIHIKI_BUNRUI.MEISHO_KBN = 'K010'
   AND TORIHIKI_BUNRUI.MEISHO_CD  = T_MITSU_H.TORIHIKI_BUNRUI
  LEFT JOIN
       M_SHAIN      AS EIGYO
    ON EIGYO.SHAIN_CD = T_MITSU_H.EIGYO_TANTO_CD
  LEFT JOIN
       M_SHAIN      AS NYURYOKU
    ON NYURYOKU.SHAIN_CD = T_MITSU_H.NYURYOKUSHA_CD
 WHERE T_MITSU_H.DEL_FLG  = 'False'
</t>
    <phoneticPr fontId="2"/>
  </si>
  <si>
    <t xml:space="preserve">SELECT M_MEISHO_B.MEISHO_CD AS '部署CD'
      ,M_MEISHO_B.DATA_1    AS '部署名'
  FROM M_MEISHO_B
 WHERE M_MEISHO_B.MEISHO_KBN = 'M001'
   AND M_MEISHO_B.MEISHO_CD  &gt;= 20
--   AND M_MEISHO_B.MEISHO_CD  &lt;= 25
 ORDER BY
       M_MEISHO_B.SORT_NO ASC
      ,CAST(M_MEISHO_B.MEISHO_CD AS INT) ASC
</t>
    <phoneticPr fontId="2"/>
  </si>
  <si>
    <t>敬称</t>
    <rPh sb="0" eb="2">
      <t>ケイショウ</t>
    </rPh>
    <phoneticPr fontId="2"/>
  </si>
  <si>
    <t xml:space="preserve">SELECT DATA_1
  FROM M_MEISHO_B
 WHERE M_MEISHO_B.MEISHO_KBN = 'K011'
   AND M_MEISHO_B.MEISHO_CD  = '2'
</t>
    <phoneticPr fontId="2"/>
  </si>
  <si>
    <t>UNNH0030_SQL_INIT_KEISHO</t>
    <phoneticPr fontId="2"/>
  </si>
  <si>
    <t>営業担当者名</t>
    <rPh sb="0" eb="2">
      <t>エイギョウ</t>
    </rPh>
    <rPh sb="2" eb="4">
      <t>タントウ</t>
    </rPh>
    <rPh sb="4" eb="5">
      <t>シャ</t>
    </rPh>
    <rPh sb="5" eb="6">
      <t>メイ</t>
    </rPh>
    <phoneticPr fontId="2"/>
  </si>
  <si>
    <t>受        領        印</t>
    <rPh sb="0" eb="1">
      <t>ウケ</t>
    </rPh>
    <rPh sb="9" eb="10">
      <t>リョウ</t>
    </rPh>
    <rPh sb="18" eb="19">
      <t>イン</t>
    </rPh>
    <phoneticPr fontId="2"/>
  </si>
  <si>
    <t>送付先部署・担当者名：</t>
    <rPh sb="0" eb="2">
      <t>ソウフ</t>
    </rPh>
    <rPh sb="2" eb="3">
      <t>サキ</t>
    </rPh>
    <rPh sb="3" eb="5">
      <t>ブショ</t>
    </rPh>
    <rPh sb="6" eb="8">
      <t>タントウ</t>
    </rPh>
    <rPh sb="8" eb="9">
      <t>シャ</t>
    </rPh>
    <rPh sb="9" eb="10">
      <t>メイ</t>
    </rPh>
    <phoneticPr fontId="2"/>
  </si>
  <si>
    <t>締日マーク</t>
    <rPh sb="0" eb="1">
      <t>シ</t>
    </rPh>
    <rPh sb="1" eb="2">
      <t>ビ</t>
    </rPh>
    <phoneticPr fontId="2"/>
  </si>
  <si>
    <t>UNNH0030_REPORT_IF_H_SHIMEBI_MARK</t>
    <phoneticPr fontId="2"/>
  </si>
  <si>
    <t>都度の場合*</t>
    <rPh sb="0" eb="2">
      <t>ツド</t>
    </rPh>
    <rPh sb="3" eb="5">
      <t>バアイ</t>
    </rPh>
    <phoneticPr fontId="2"/>
  </si>
  <si>
    <t>一括の場合*(未使用)</t>
    <rPh sb="0" eb="2">
      <t>イッカツ</t>
    </rPh>
    <rPh sb="3" eb="5">
      <t>バアイ</t>
    </rPh>
    <rPh sb="7" eb="10">
      <t>ミシヨウ</t>
    </rPh>
    <phoneticPr fontId="2"/>
  </si>
  <si>
    <t>消費税件数追加</t>
    <rPh sb="0" eb="3">
      <t>ショウヒゼイ</t>
    </rPh>
    <rPh sb="3" eb="5">
      <t>ケンスウ</t>
    </rPh>
    <rPh sb="5" eb="7">
      <t>ツイカ</t>
    </rPh>
    <phoneticPr fontId="2"/>
  </si>
  <si>
    <t>UNNH0030_REPORT_IF_B_KENSU_INCREMENT</t>
    <phoneticPr fontId="2"/>
  </si>
  <si>
    <t>消費税有無判定</t>
    <rPh sb="0" eb="2">
      <t>ショウヒ</t>
    </rPh>
    <rPh sb="2" eb="3">
      <t>ゼイ</t>
    </rPh>
    <rPh sb="3" eb="5">
      <t>ウム</t>
    </rPh>
    <rPh sb="5" eb="7">
      <t>ハンテイ</t>
    </rPh>
    <phoneticPr fontId="2"/>
  </si>
  <si>
    <t>UNNH0030_REPORT_IF_B_TAX_CHECK</t>
    <phoneticPr fontId="2"/>
  </si>
  <si>
    <t>請求書レイアウト</t>
    <rPh sb="0" eb="3">
      <t>セイキュウショ</t>
    </rPh>
    <phoneticPr fontId="2"/>
  </si>
  <si>
    <t>UNNH0030_REPORT_RAYOUT_SEIKYUSHO</t>
    <phoneticPr fontId="2"/>
  </si>
  <si>
    <t>納品書レイアウト</t>
    <rPh sb="0" eb="3">
      <t>ノウヒンショ</t>
    </rPh>
    <phoneticPr fontId="2"/>
  </si>
  <si>
    <t>UNNH0030_REPORT_RAYOUT_NOHINSHO</t>
    <phoneticPr fontId="2"/>
  </si>
  <si>
    <t>受領書レイアウト</t>
    <rPh sb="0" eb="3">
      <t>ジュリョウショ</t>
    </rPh>
    <phoneticPr fontId="2"/>
  </si>
  <si>
    <t>UNNH0030_REPORT_RAYOUT_JURYOSHO</t>
    <phoneticPr fontId="2"/>
  </si>
  <si>
    <t>UNNH0030_REPORT_RAYOUT_HIKAE</t>
    <phoneticPr fontId="2"/>
  </si>
  <si>
    <t>控レイアウト</t>
    <rPh sb="0" eb="1">
      <t>ヒカ</t>
    </rPh>
    <phoneticPr fontId="2"/>
  </si>
  <si>
    <t>請求書コピー元</t>
    <rPh sb="0" eb="3">
      <t>セイキュウショ</t>
    </rPh>
    <rPh sb="6" eb="7">
      <t>モト</t>
    </rPh>
    <phoneticPr fontId="2"/>
  </si>
  <si>
    <t>納品書コピー元</t>
    <rPh sb="0" eb="2">
      <t>ノウヒン</t>
    </rPh>
    <rPh sb="2" eb="3">
      <t>ショ</t>
    </rPh>
    <rPh sb="6" eb="7">
      <t>モト</t>
    </rPh>
    <phoneticPr fontId="2"/>
  </si>
  <si>
    <t>受領書コピー元</t>
    <rPh sb="0" eb="3">
      <t>ジュリョウショ</t>
    </rPh>
    <rPh sb="6" eb="7">
      <t>モト</t>
    </rPh>
    <phoneticPr fontId="2"/>
  </si>
  <si>
    <t>控コピー元</t>
    <rPh sb="0" eb="1">
      <t>ヒカ</t>
    </rPh>
    <rPh sb="4" eb="5">
      <t>モト</t>
    </rPh>
    <phoneticPr fontId="2"/>
  </si>
  <si>
    <t>UNNH0030_REPORT_RAYOUT_SEIKYUSHO_COPY_MOTO_GYO</t>
    <phoneticPr fontId="2"/>
  </si>
  <si>
    <t>UNNH0030_REPORT_RAYOUT_NOHINSHO_COPY_MOTO_GYO</t>
    <phoneticPr fontId="2"/>
  </si>
  <si>
    <t>UNNH0030_REPORT_RAYOUT_JURYOSHO_COPY_MOTO_GYO</t>
    <phoneticPr fontId="2"/>
  </si>
  <si>
    <t>UNNH0030_REPORT_RAYOUT_HIKAE_COPY_MOTO_GYO</t>
    <phoneticPr fontId="2"/>
  </si>
  <si>
    <t>SELECT ROW_NUMBER() OVER (ORDER BY T_URIAGE_B.GYO_NO)
      ,T_URIAGE_B.ROW_KBN
      ,T_URIAGE_B.SHOHIN_CD
      ,T_URIAGE_B.SHOHIN_MEI
      ,T_URIAGE_B.URIAGE_SURYO
      ,T_URIAGE_B.URIAGE_SURYO_TANI
      ,T_URIAGE_B.HAMBAI_TANKA
      ,T_URIAGE_B.HAMBAI_KINGAKU
  FROM T_URIAGE_B
 WHERE 1 = 1</t>
    <phoneticPr fontId="2"/>
  </si>
  <si>
    <t>SELECT ROW_NUMBER() OVER (ORDER BY T_URIAGE_B.GYO_NO)
      ,T_URIAGE_B.ROW_KBN
      ,T_URIAGE_B.SHOHIN_CD
      ,T_URIAGE_B.SHOHIN_MEI
      ,T_URIAGE_B.URIAGE_SURYO
      ,T_URIAGE_B.URIAGE_SURYO_TANI
      ,T_URIAGE_B.HAMBAI_TANKA
      ,T_URIAGE_B.HAMBAI_KINGAKU
  FROM T_URIAGE_B
 WHERE 1 = 1</t>
    <phoneticPr fontId="2"/>
  </si>
  <si>
    <t>ORDER BY</t>
    <phoneticPr fontId="2"/>
  </si>
  <si>
    <t>担当者</t>
    <rPh sb="0" eb="1">
      <t>タン</t>
    </rPh>
    <rPh sb="1" eb="2">
      <t>トウ</t>
    </rPh>
    <rPh sb="2" eb="3">
      <t>シャ</t>
    </rPh>
    <phoneticPr fontId="2"/>
  </si>
  <si>
    <t>摘要</t>
    <rPh sb="0" eb="1">
      <t>テキ</t>
    </rPh>
    <rPh sb="1" eb="2">
      <t>ヨウ</t>
    </rPh>
    <phoneticPr fontId="2"/>
  </si>
  <si>
    <t>◀</t>
    <phoneticPr fontId="2"/>
  </si>
  <si>
    <t>▶</t>
    <phoneticPr fontId="2"/>
  </si>
  <si>
    <t>UNNH0030_REPORT_IF_B_PAGE_MEISAI_SU</t>
    <phoneticPr fontId="2"/>
  </si>
  <si>
    <t>ページ内明細数</t>
    <rPh sb="3" eb="4">
      <t>ナイ</t>
    </rPh>
    <rPh sb="4" eb="6">
      <t>メイサイ</t>
    </rPh>
    <rPh sb="6" eb="7">
      <t>スウ</t>
    </rPh>
    <phoneticPr fontId="2"/>
  </si>
  <si>
    <t>摘要</t>
    <rPh sb="0" eb="2">
      <t>テキヨウ</t>
    </rPh>
    <phoneticPr fontId="2"/>
  </si>
  <si>
    <t xml:space="preserve">SELECT V_URIAGE_LIST.GYO_MOJI
  ,V_URIAGE_LIST.URIAGE_STS_MEI
  ,V_URIAGE_LIST.DEMPYO_KBN_MEI
  ,V_URIAGE_LIST.RENDO_KBN_MEI
  ,V_URIAGE_LIST.URIAGE_NO
  ,V_URIAGE_LIST.URIAGE_DATE
  ,V_URIAGE_LIST.KAISHU_DATE
  ,V_URIAGE_LIST.SEIKYU_CD 
  ,V_URIAGE_LIST.SEIKYU_MEI
  ,V_URIAGE_LIST.DEMPYO_SOFU_MEI
  ,V_URIAGE_LIST.BUSHO_MEI
  ,V_URIAGE_LIST.EIGYO_TANTO_MEI
  ,V_URIAGE_LIST.URI_NYU_MEI
  ,V_URIAGE_LIST.JURI_NO
  ,V_URIAGE_LIST.SAKI_URIAGE_NO
  ,V_URIAGE_LIST.NYURYOKU_DATE_TIME
  ,V_URIAGE_LIST.TEKIYO
  ,V_URIAGE_LIST.SHOKON_NO
  ,V_URIAGE_LIST.SHOKON_LIST_DATE_TIME
  ,V_URIAGE_LIST.DEL
  FROM V_URIAGE_LIST
  WHERE 1=1
</t>
    <phoneticPr fontId="2"/>
  </si>
  <si>
    <t>受 領 書</t>
    <rPh sb="0" eb="1">
      <t>ウケ</t>
    </rPh>
    <rPh sb="2" eb="3">
      <t>リョウ</t>
    </rPh>
    <rPh sb="4" eb="5">
      <t>ショ</t>
    </rPh>
    <phoneticPr fontId="2"/>
  </si>
  <si>
    <t>ステータス：</t>
    <phoneticPr fontId="2"/>
  </si>
  <si>
    <t>訂正備考：</t>
    <phoneticPr fontId="2"/>
  </si>
  <si>
    <t xml:space="preserve">SELECT V_URIAGE_REPORT.URIAGE_DATE
      ,V_URIAGE_REPORT.URIAGE_NO
      ,V_URIAGE_REPORT.SEIKYU_CD
      ,V_URIAGE_REPORT.SEIKYU_MEI
      ,V_URIAGE_REPORT.SHOHIN_CD
      ,V_URIAGE_REPORT.SHOHIN_MEI
      ,V_URIAGE_REPORT.SURYO
      ,V_URIAGE_REPORT.TANI
      ,V_URIAGE_REPORT.TANKA
      ,V_URIAGE_REPORT.KINGAKU
      ,V_URIAGE_REPORT.BUNSEKI_HOHO
      ,V_URIAGE_REPORT.BUSHO_MEI
      ,V_URIAGE_REPORT.EIGYO_TANTO_MEI
      ,V_URIAGE_REPORT.GYO_NO
  FROM V_URIAGE_REPORT
  LEFT JOIN
       V_URIAGE_LIST
    ON V_URIAGE_LIST.URIAGE_NO = V_URIAGE_REPORT.URIAGE_NO
  WHERE 1=1
</t>
    <phoneticPr fontId="2"/>
  </si>
  <si>
    <t>担当部署</t>
    <rPh sb="0" eb="2">
      <t>タントウ</t>
    </rPh>
    <rPh sb="2" eb="4">
      <t>ブショ</t>
    </rPh>
    <phoneticPr fontId="2"/>
  </si>
  <si>
    <t>営業担当</t>
    <rPh sb="0" eb="2">
      <t>エイギョウ</t>
    </rPh>
    <rPh sb="2" eb="4">
      <t>タントウ</t>
    </rPh>
    <phoneticPr fontId="2"/>
  </si>
  <si>
    <t>UNNH0030_H_URIAGE_DATE,UNNH0030_H_BUSHO_MEI,UNNH0030_H_NYURYOKUSHA_MEI,UNNH0030_H_EIGYO_TANTO_MEI,UNNH0030_H_STS,UNNH0030_H_SEIKYUSAKI_CD,UNNH0030_H_DEMPYO_KBN,UNNH0030_H_KAISHU_DATE,UNNH0030_H_DENKU,UNNH0030_H_KANJO_KAMOKU,UNNH0030_H_RENDO_KBN,UNNH0030_H_BUNSEKI_HOHO,UNNH0030_H_DEMPYO_MEI</t>
    <phoneticPr fontId="2"/>
  </si>
  <si>
    <t>売上日,担当部署,売上入力者,営業担当者,ステータス,請求先,伝票区分,回収日,売上伝区,勘定科目,商魂連動区分,分析方法,伝票送付先名</t>
    <rPh sb="4" eb="6">
      <t>タントウ</t>
    </rPh>
    <rPh sb="6" eb="8">
      <t>ブショ</t>
    </rPh>
    <rPh sb="15" eb="17">
      <t>エイギョウ</t>
    </rPh>
    <rPh sb="17" eb="20">
      <t>タントウシャ</t>
    </rPh>
    <rPh sb="40" eb="42">
      <t>ウリア</t>
    </rPh>
    <rPh sb="42" eb="43">
      <t>デン</t>
    </rPh>
    <rPh sb="43" eb="44">
      <t>ク</t>
    </rPh>
    <rPh sb="45" eb="47">
      <t>カンジョウ</t>
    </rPh>
    <rPh sb="47" eb="49">
      <t>カモク</t>
    </rPh>
    <rPh sb="57" eb="59">
      <t>ブンセキ</t>
    </rPh>
    <rPh sb="59" eb="61">
      <t>ホウホウ</t>
    </rPh>
    <rPh sb="62" eb="64">
      <t>デンピョウ</t>
    </rPh>
    <phoneticPr fontId="2"/>
  </si>
  <si>
    <t>UNNH0032_HIDE_ROW</t>
  </si>
  <si>
    <t>UNNH0032_LIST_START</t>
  </si>
  <si>
    <t>UNNH0032_GYO_COUNT</t>
  </si>
  <si>
    <t>UNNH0032_GYO_INCREMENT</t>
  </si>
  <si>
    <t>UNNH0032_GYO_DECREMENT</t>
  </si>
  <si>
    <t>UNNH0032_LIST_DATA_START</t>
  </si>
  <si>
    <t>UNNH0032_LIST_COPY_SAKI</t>
  </si>
  <si>
    <t>UNNH0032_LIST_DELETE_AREA</t>
  </si>
  <si>
    <t>UNNH0032_LIST_CLEAR_AREA</t>
  </si>
  <si>
    <t>UNNH0032_IF_ACTIVE_SHEET</t>
  </si>
  <si>
    <t>UNNH0032_IF_ACTIVE_ROW</t>
  </si>
  <si>
    <t>UNNH0032_IF_ACTIVE_COLUMN</t>
  </si>
  <si>
    <t>UNNH0032_IF_W_USER_ID</t>
  </si>
  <si>
    <t>UNNH0032_IF_W_SERIAL</t>
  </si>
  <si>
    <t>UNNH0032_IF_SAVE_START</t>
  </si>
  <si>
    <t>UNNH0032_IF_W_SERIAL_CREATE</t>
  </si>
  <si>
    <t>UNNH0032_IF_W_MODE</t>
  </si>
  <si>
    <t>UNNH0032_IF_SAVE_COPY_SAKI</t>
  </si>
  <si>
    <t>UNNH0032_IF_BUTTON_12_ERROR</t>
  </si>
  <si>
    <t>UNNH0032_HIDE_COLUMN</t>
    <phoneticPr fontId="2"/>
  </si>
  <si>
    <t>UNNH0032_IF_LIST_DEFAULT</t>
    <phoneticPr fontId="2"/>
  </si>
  <si>
    <t>UNNH0032_IF_LIST_COPY_MOTO</t>
    <phoneticPr fontId="2"/>
  </si>
  <si>
    <t>UNNH0032_IF_SAVE_COPY_MOTO</t>
    <phoneticPr fontId="2"/>
  </si>
  <si>
    <t>JUCHU_KBN</t>
    <phoneticPr fontId="2"/>
  </si>
  <si>
    <t xml:space="preserve">SELECT T_BUN_JUCHU_H.JURI_NO                AS '受理No.'
      ,J_BUN_HAN_KBN_MEISHO.MEISHO_CD       AS '受注区分CD'
      ,J_BUN_HAN_KBN_MEISHO.DATA_1          AS '分析／販売区分'
      ,J_BUN_STATUS_MEISHO.DATA_1           AS 'ステータス'
      ,J_BUN_KBN_MEISHO.DATA_1              AS '分析区分'
      ,J_SEIKYU_MEI.AITE_MEI                AS '請求先名'
      ,T_BUN_JUCHU_H.NOHIN_DATE             AS '納品日'
      ,T_BUN_JUCHU_H.MITSU_NO               AS '見積No.'
  FROM T_BUN_JUCHU_H
 LEFT JOIN M_MEISHO_B                    AS J_BUN_HAN_KBN_MEISHO       --分析／販売区分名称用
    ON J_BUN_HAN_KBN_MEISHO.MEISHO_KBN   =  'K030'
   AND J_BUN_HAN_KBN_MEISHO.MEISHO_CD    =  1
  LEFT JOIN M_MEISHO_B                   AS J_BUN_STATUS_MEISHO        --分析ステータス名称用
    ON J_BUN_STATUS_MEISHO.MEISHO_KBN    =  'S003'
   AND T_BUN_JUCHU_H.BUNSEKI_STS         =  J_BUN_STATUS_MEISHO.MEISHO_CD
  LEFT JOIN M_MEISHO_B                   AS J_BUN_KBN_MEISHO           --分析区分名称用
    ON J_BUN_KBN_MEISHO.MEISHO_KBN       =  'K012'
   AND T_BUN_JUCHU_H.JUCHU_KBN           =  J_BUN_KBN_MEISHO.MEISHO_CD
  LEFT JOIN M_AITESAKI                   AS J_SEIKYU_MEI               --請求先名名称用
    ON T_BUN_JUCHU_H.SEIKYU_CD           =  J_SEIKYU_MEI.AITE_CD
 WHERE T_BUN_JUCHU_H.DEMPYO_HAKKO_KBN    &lt;&gt; '1'
   AND T_BUN_JUCHU_H.DEL_FLG             =  'False'
   AND T_BUN_JUCHU_H.BUNSEKI_STS         &lt;= 10
UNION ALL
SELECT T_HAN_JUCHU_H.JURI_NO                AS '受理No.'
      ,J_BUN_HAN_KBN_MEISHO.MEISHO_CD       AS '受注区分CD'
      ,J_BUN_HAN_KBN_MEISHO.DATA_1          AS '分析／販売区分'
      ,J_BUN_STATUS_MEISHO.DATA_1           AS 'ステータス'
      ,J_BUN_KBN_MEISHO.DATA_1              AS '分析区分'
      ,J_SEIKYU_MEI.AITE_MEI                AS '請求先名'
      ,T_HAN_JUCHU_H.NOHIN_DATE             AS '納品日'
      ,T_HAN_JUCHU_H.MITSU_NO               AS '見積No.'
  FROM T_HAN_JUCHU_H
  LEFT JOIN M_MEISHO_B                      AS J_BUN_HAN_KBN_MEISHO         --分析／販売区分名称用
    ON J_BUN_HAN_KBN_MEISHO.MEISHO_KBN      =  'K030'
   AND J_BUN_HAN_KBN_MEISHO.MEISHO_CD       =  2
  LEFT JOIN M_MEISHO_B                      AS J_BUN_STATUS_MEISHO        --販売商品ステータス名称用
    ON J_BUN_STATUS_MEISHO.MEISHO_KBN       =  'S004'
   AND T_HAN_JUCHU_H.HAMBAI_STS             =  J_BUN_STATUS_MEISHO.MEISHO_CD
  LEFT JOIN M_MEISHO_B                      AS J_BUN_KBN_MEISHO           --分析区分名称用
    ON J_BUN_KBN_MEISHO.MEISHO_KBN          =  'K020'
   AND T_HAN_JUCHU_H.HAMBAI_KBN             =  J_BUN_KBN_MEISHO.MEISHO_CD
  LEFT JOIN M_AITESAKI                      AS J_SEIKYU_MEI               --請求先名名称用
    ON T_HAN_JUCHU_H.SEIKYU_CD              =  J_SEIKYU_MEI.AITE_CD
 WHERE T_HAN_JUCHU_H.DEMPYO_HAKKO_KBN       &lt;&gt; '1'
   AND T_HAN_JUCHU_H.DEL_FLG                =  'False'
 ORDER BY JURI_NO
</t>
    <phoneticPr fontId="2"/>
  </si>
  <si>
    <t>ポップアップ</t>
    <phoneticPr fontId="2"/>
  </si>
  <si>
    <t>UNNH0032_SQL_JUCHU_POP</t>
    <phoneticPr fontId="2"/>
  </si>
  <si>
    <t>UNNH0032_SQL_JUCHU_SELECT_SEARCH</t>
    <phoneticPr fontId="2"/>
  </si>
  <si>
    <t xml:space="preserve">SELECT
       SENTAKU               AS '選択'
      ,JUCHU_KBN_CD          AS '受注区分CD'
      ,JUCHU_KBN_MEI         AS '受注区分'
      ,STS                   AS 'ステータス'
      ,BUN_HAN_KBN_MEI       AS '分析販売区分'
      ,JURI_NO               AS '受理No'
      ,KENMEI                AS '件名'
      ,SEIKYU_CD             AS '請求先CD'
      ,SEIKYU_MEI            AS '請求先名'
      ,NYURYOKUSHA_MEI       AS '入力者名'
      ,EIGYO_TANTO_MEI       AS '営業担当者名'
      ,NYURYOKU_DATE         AS '入力日'
      ,NOHIN_DATE            AS '納品日'
      ,EDA_KENSU             AS '枝番件数'
      ,SHOHIN_KENSU          AS '商品件数'
      ,MITSU_NO              AS '見積No'
  FROM V_URIAGE_JUCHU_SELECT
 ORDER BY JURI_NO ASC
</t>
    <phoneticPr fontId="2"/>
  </si>
  <si>
    <t>選択件数</t>
    <rPh sb="0" eb="2">
      <t>センタク</t>
    </rPh>
    <rPh sb="2" eb="4">
      <t>ケンスウ</t>
    </rPh>
    <phoneticPr fontId="2"/>
  </si>
  <si>
    <t>UNNH0032_SELECT_COUNT</t>
    <phoneticPr fontId="2"/>
  </si>
  <si>
    <t>受注複数選択ボタン</t>
    <rPh sb="0" eb="2">
      <t>ジュチュウ</t>
    </rPh>
    <rPh sb="2" eb="4">
      <t>フクスウ</t>
    </rPh>
    <rPh sb="4" eb="6">
      <t>センタク</t>
    </rPh>
    <phoneticPr fontId="2"/>
  </si>
  <si>
    <t>結合伝票(5)の場合無効</t>
    <rPh sb="0" eb="2">
      <t>ケツゴウ</t>
    </rPh>
    <rPh sb="2" eb="4">
      <t>デンピョウ</t>
    </rPh>
    <rPh sb="8" eb="10">
      <t>バアイ</t>
    </rPh>
    <rPh sb="10" eb="12">
      <t>ムコウ</t>
    </rPh>
    <phoneticPr fontId="2"/>
  </si>
  <si>
    <t>更新用データ取得SQL</t>
    <rPh sb="0" eb="2">
      <t>コウシン</t>
    </rPh>
    <rPh sb="2" eb="3">
      <t>ヨウ</t>
    </rPh>
    <rPh sb="6" eb="8">
      <t>シュトク</t>
    </rPh>
    <phoneticPr fontId="2"/>
  </si>
  <si>
    <t xml:space="preserve">SELECT *
  FROM W_URIAGE_JUCHU_SELECT AS TBL_W
</t>
    <phoneticPr fontId="2"/>
  </si>
  <si>
    <t>UNNH0032_SQL_TABLE_UPDATE</t>
    <phoneticPr fontId="2"/>
  </si>
  <si>
    <t>UNNH0030_IF_COPY_H_JURI_NO_LOCK</t>
    <phoneticPr fontId="2"/>
  </si>
  <si>
    <t>UNNH0030_IF_COPY_H_JURI_NO_UNLOCK</t>
    <phoneticPr fontId="2"/>
  </si>
  <si>
    <t>受理No.ロック判定</t>
    <rPh sb="0" eb="2">
      <t>ジュリ</t>
    </rPh>
    <rPh sb="8" eb="10">
      <t>ハンテイ</t>
    </rPh>
    <phoneticPr fontId="2"/>
  </si>
  <si>
    <t>UNNH0030_IF_COPY_H_JURI_NO_LOCK_CHECK</t>
    <phoneticPr fontId="2"/>
  </si>
  <si>
    <t>受理No.複数登録件数</t>
    <rPh sb="0" eb="2">
      <t>ジュリ</t>
    </rPh>
    <rPh sb="5" eb="7">
      <t>フクスウ</t>
    </rPh>
    <rPh sb="7" eb="9">
      <t>トウロク</t>
    </rPh>
    <rPh sb="9" eb="11">
      <t>ケンスウ</t>
    </rPh>
    <phoneticPr fontId="2"/>
  </si>
  <si>
    <t>UNNH0030_H_JURI_NO_CNT</t>
    <phoneticPr fontId="2"/>
  </si>
  <si>
    <t>受注選択件数取得用SQL</t>
    <rPh sb="0" eb="2">
      <t>ジュチュウ</t>
    </rPh>
    <rPh sb="2" eb="4">
      <t>センタク</t>
    </rPh>
    <rPh sb="4" eb="6">
      <t>ケンスウ</t>
    </rPh>
    <rPh sb="6" eb="8">
      <t>シュトク</t>
    </rPh>
    <rPh sb="8" eb="9">
      <t>ヨウ</t>
    </rPh>
    <phoneticPr fontId="2"/>
  </si>
  <si>
    <t xml:space="preserve">SELECT
       COUNT(*)
  FROM W_URIAGE_JUCHU_SELECT AS TBL_W
</t>
    <phoneticPr fontId="2"/>
  </si>
  <si>
    <t>UNNH0030_SQL_SELECT_JURI_NO_CNT</t>
    <phoneticPr fontId="2"/>
  </si>
  <si>
    <t>複数登録または伝票区分が結合用の場合、1(無効化)</t>
    <rPh sb="0" eb="2">
      <t>フクスウ</t>
    </rPh>
    <rPh sb="2" eb="4">
      <t>トウロク</t>
    </rPh>
    <rPh sb="7" eb="9">
      <t>デンピョウ</t>
    </rPh>
    <rPh sb="9" eb="11">
      <t>クブン</t>
    </rPh>
    <rPh sb="12" eb="15">
      <t>ケツゴウヨウ</t>
    </rPh>
    <rPh sb="16" eb="18">
      <t>バアイ</t>
    </rPh>
    <rPh sb="21" eb="24">
      <t>ムコウカ</t>
    </rPh>
    <phoneticPr fontId="2"/>
  </si>
  <si>
    <t xml:space="preserve"> ORDER BY JURI_NO ASC
</t>
    <phoneticPr fontId="2"/>
  </si>
  <si>
    <t>UNNH0030_IF_BUTTON_17_NAME</t>
    <phoneticPr fontId="2"/>
  </si>
  <si>
    <t>受注選択数=0の場合無効(2)</t>
    <rPh sb="0" eb="2">
      <t>ジュチュウ</t>
    </rPh>
    <rPh sb="2" eb="4">
      <t>センタク</t>
    </rPh>
    <rPh sb="4" eb="5">
      <t>スウ</t>
    </rPh>
    <rPh sb="8" eb="10">
      <t>バアイ</t>
    </rPh>
    <phoneticPr fontId="2"/>
  </si>
  <si>
    <t>UNNH0032_IF_SAVE_KENSU</t>
    <phoneticPr fontId="2"/>
  </si>
  <si>
    <t xml:space="preserve"> UNION
SELECT TBL_V.*
  FROM W_URIAGE_JUCHU_SELECT AS TBL_W
 INNER JOIN
       V_URIAGE_JUCHU_SELECT AS TBL_V
    ON TBL_V.JURI_NO         =  TBL_W.JURI_NO
</t>
    <phoneticPr fontId="2"/>
  </si>
  <si>
    <t>UNNH0030_SQL_JUCHU_LIST</t>
    <phoneticPr fontId="2"/>
  </si>
  <si>
    <t>UNNH0020_SQL_JUCHU_LIST</t>
    <phoneticPr fontId="2"/>
  </si>
  <si>
    <t>SELECT_1</t>
    <phoneticPr fontId="2"/>
  </si>
  <si>
    <t>WHERE_1</t>
    <phoneticPr fontId="2"/>
  </si>
  <si>
    <t>SELECT_2</t>
    <phoneticPr fontId="2"/>
  </si>
  <si>
    <t>WHERE_2</t>
    <phoneticPr fontId="2"/>
  </si>
  <si>
    <t xml:space="preserve">SELECT TBL_V.*
  FROM W_URIAGE              AS TBL_H
 INNER JOIN
       V_URIAGE_JUCHU_SELECT AS TBL_V
    ON TBL_V.JURI_NO         =  TBL_H.JURI_NO
</t>
    <phoneticPr fontId="2"/>
  </si>
  <si>
    <t>JURI_NO</t>
    <phoneticPr fontId="2"/>
  </si>
  <si>
    <t>受理No.表示</t>
    <rPh sb="0" eb="2">
      <t>ジュリ</t>
    </rPh>
    <rPh sb="5" eb="7">
      <t>ヒョウジ</t>
    </rPh>
    <phoneticPr fontId="2"/>
  </si>
  <si>
    <t>受理No.複数選択</t>
    <rPh sb="0" eb="2">
      <t>ジュリ</t>
    </rPh>
    <rPh sb="5" eb="7">
      <t>フクスウ</t>
    </rPh>
    <rPh sb="7" eb="9">
      <t>センタク</t>
    </rPh>
    <phoneticPr fontId="2"/>
  </si>
  <si>
    <t>受理No.複数選択検索SQL</t>
    <rPh sb="0" eb="2">
      <t>ジュリ</t>
    </rPh>
    <rPh sb="5" eb="7">
      <t>フクスウ</t>
    </rPh>
    <rPh sb="7" eb="9">
      <t>センタク</t>
    </rPh>
    <rPh sb="9" eb="11">
      <t>ケンサク</t>
    </rPh>
    <phoneticPr fontId="2"/>
  </si>
  <si>
    <t>選択受理No.表示</t>
    <rPh sb="0" eb="2">
      <t>センタク</t>
    </rPh>
    <rPh sb="2" eb="4">
      <t>ジュリ</t>
    </rPh>
    <rPh sb="7" eb="9">
      <t>ヒョウジ</t>
    </rPh>
    <phoneticPr fontId="2"/>
  </si>
  <si>
    <t>選択受理No.表示SQL</t>
    <rPh sb="0" eb="2">
      <t>センタク</t>
    </rPh>
    <rPh sb="2" eb="4">
      <t>ジュリ</t>
    </rPh>
    <rPh sb="7" eb="9">
      <t>ヒョウジ</t>
    </rPh>
    <phoneticPr fontId="2"/>
  </si>
  <si>
    <t xml:space="preserve">SELECT T_URIAGE_H.URIAGE_NO
      ,T_URIAGE_H.SEIKYU_CD
      ,T_URIAGE_H.YUBIN_NO
      ,T_URIAGE_H.ADDRESS_1
      ,T_URIAGE_H.ADDRESS_2
      ,T_URIAGE_H.DEMPYO_SOFU_MEI
      ,T_URIAGE_H.SOFU_TANTO
      ,T_URIAGE_H.KEISHO
      ,T_URIAGE_H.URIAGE_DATE
      ,T_URIAGE_H.TEKIYO
      ,T_URIAGE_H.TAX
      ,T_URIAGE_H.NUKI_TOTAL
      ,M_SHAIN.SHIMEI
      ,M_AITESAKI.TAX_KBN
      ,M_AITESAKI.SEIKYUHOHO_KBN
      ,T_URIAGE_H.JUSHO_NO_PRINT_FLG
      ,M_AITESAKI.SEIKYUSHO_FLG
      ,M_AITESAKI.JURYOSHO_FLG
      ,M_AITESAKI.NOHINSHO_FLG
      ,M_AITESAKI.HIKAE_FLG
      ,CASE T_URIAGE_H.JUCHU_KBN
       WHEN 1 THEN
            T_BUN_JUCHU_H.DEMPYO_HAKKO_KBN
       WHEN 2 THEN
            T_HAN_JUCHU_H.DEMPYO_HAKKO_KBN
       END
      ,CASE T_URIAGE_H.DEMPYO_KBN
       WHEN 5 THEN
            T_URIAGE_H.JURI_NO + 
            ( SELECT IIF( ISNULL(TBL_A.JURI_NO,'')='','', TBL_A.JURI_NO  + ',')
                FROM T_URIAGE_MERGE
                LEFT JOIN
                     T_URIAGE_H AS TBL_A
                  ON TBL_A.URIAGE_NO = T_URIAGE_MERGE.MOTO_URIAGE_NO
               WHERE T_URIAGE_MERGE.URIAGE_NO = T_URIAGE_H.URIAGE_NO
                 FOR XML PATH ('')
            )
       ELSE
         CASE WHEN
              ( SELECT COUNT(*)
                  FROM T_URIAGE_JUCHU_SELECT
                 WHERE T_URIAGE_JUCHU_SELECT.URIAGE_NO = T_URIAGE_H.URIAGE_NO ) &gt; 0 THEN
                ( SELECT IIF( ISNULL(T_URIAGE_JUCHU_SELECT.JURI_NO,'')='','',  T_URIAGE_JUCHU_SELECT.JURI_NO + ',')
                    FROM T_URIAGE_JUCHU_SELECT
                   WHERE T_URIAGE_JUCHU_SELECT.URIAGE_NO = T_URIAGE_H.URIAGE_NO
                     FOR XML PATH ('')
                )
         ELSE
              T_URIAGE_H.JURI_NO
         END
       END AS JURI_NO
  FROM T_URIAGE_H
  LEFT JOIN
       M_AITESAKI
    ON M_AITESAKI.AITE_CD = T_URIAGE_H.SEIKYU_CD
  LEFT JOIN
       M_SHAIN
    ON M_SHAIN.SHAIN_CD = T_URIAGE_H.URIAGE_NYURYOKUSHA_CD
  LEFT JOIN
       T_BUN_JUCHU_H
    ON T_BUN_JUCHU_H.JURI_NO = T_URIAGE_H.JURI_NO
  LEFT JOIN
       T_HAN_JUCHU_H
    ON T_HAN_JUCHU_H.JURI_NO = T_URIAGE_H.JURI_NO
</t>
    <phoneticPr fontId="2"/>
  </si>
  <si>
    <t xml:space="preserve">SELECT T_URIAGE_H.URIAGE_NO
      ,T_URIAGE_H.SEIKYU_CD
      ,T_URIAGE_H.YUBIN_NO
      ,T_URIAGE_H.ADDRESS_1
      ,T_URIAGE_H.ADDRESS_2
      ,T_URIAGE_H.DEMPYO_SOFU_MEI
      ,T_URIAGE_H.SOFU_TANTO
      ,T_URIAGE_H.KEISHO
      ,T_URIAGE_H.URIAGE_DATE
      ,T_URIAGE_H.TEKIYO
      ,T_URIAGE_H.TAX
      ,T_URIAGE_H.NUKI_TOTAL
      ,J_NYURYOKUSHA.SHIMEI             AS NYURYOKUSHA_MEI
      ,J_EIGYO.SHIMEI                   AS EIGYO_MEI
      ,M_AITESAKI.TAX_KBN
      ,M_AITESAKI.SEIKYUHOHO_KBN
      ,T_URIAGE_H.JUSHO_NO_PRINT_FLG
      ,M_AITESAKI.SEIKYUSHO_FLG
      ,M_AITESAKI.JURYOSHO_FLG
      ,M_AITESAKI.NOHINSHO_FLG
      ,M_AITESAKI.HIKAE_FLG
      ,CASE T_URIAGE_H.JUCHU_KBN
       WHEN 1 THEN
            T_BUN_JUCHU_H.DEMPYO_HAKKO_KBN
       WHEN 2 THEN
            T_HAN_JUCHU_H.DEMPYO_HAKKO_KBN
       END
      ,CASE T_URIAGE_H.DEMPYO_KBN
       WHEN 5 THEN
            T_URIAGE_H.JURI_NO + 
            ( SELECT IIF( ISNULL(TBL_A.JURI_NO,'')='','', TBL_A.JURI_NO  + ',')
                FROM T_URIAGE_MERGE
                LEFT JOIN
                     T_URIAGE_H AS TBL_A
                  ON TBL_A.URIAGE_NO = T_URIAGE_MERGE.MOTO_URIAGE_NO
               WHERE T_URIAGE_MERGE.URIAGE_NO = T_URIAGE_H.URIAGE_NO
                 FOR XML PATH ('')
            )
       ELSE
         CASE WHEN
              ( SELECT COUNT(*)
                  FROM T_URIAGE_JUCHU_SELECT
                 WHERE T_URIAGE_JUCHU_SELECT.URIAGE_NO = T_URIAGE_H.URIAGE_NO ) &gt; 0 THEN
                ( SELECT IIF( ISNULL(T_URIAGE_JUCHU_SELECT.JURI_NO,'')='','',  T_URIAGE_JUCHU_SELECT.JURI_NO + ',')
                    FROM T_URIAGE_JUCHU_SELECT
                   WHERE T_URIAGE_JUCHU_SELECT.URIAGE_NO = T_URIAGE_H.URIAGE_NO
                     FOR XML PATH ('')
                )
         ELSE
              T_URIAGE_H.JURI_NO
         END
       END AS JURI_NO
  FROM T_URIAGE_H
  LEFT JOIN
       M_AITESAKI
    ON M_AITESAKI.AITE_CD = T_URIAGE_H.SEIKYU_CD
  LEFT JOIN
       M_SHAIN AS J_NYURYOKUSHA
    ON J_NYURYOKUSHA.SHAIN_CD = T_URIAGE_H.URIAGE_NYURYOKUSHA_CD
  LEFT JOIN
       M_SHAIN AS J_EIGYO
    ON J_EIGYO.SHAIN_CD = T_URIAGE_H.EIGYO_TANTO_CD
  LEFT JOIN
       T_BUN_JUCHU_H
    ON T_BUN_JUCHU_H.JURI_NO = T_URIAGE_H.JURI_NO
  LEFT JOIN
       T_HAN_JUCHU_H
    ON T_HAN_JUCHU_H.JURI_NO = T_URIAGE_H.JURI_NO
</t>
    <phoneticPr fontId="2"/>
  </si>
  <si>
    <t xml:space="preserve">SELECT V_URIAGE_EXCEL.*
  FROM V_URIAGE_LIST
  LEFT JOIN
       V_URIAGE_EXCEL
    ON V_URIAGE_EXCEL.URIAGE_NO = V_URIAGE_LIST.URIAGE_NO
 WHERE 1=1
</t>
    <phoneticPr fontId="2"/>
  </si>
  <si>
    <t>伝票区分CD</t>
  </si>
  <si>
    <t>伝票区分名</t>
  </si>
  <si>
    <t>商魂連動区分CD</t>
  </si>
  <si>
    <t>商魂連動区分名</t>
  </si>
  <si>
    <t>勘定科目CD</t>
  </si>
  <si>
    <t>勘定科目名</t>
  </si>
  <si>
    <t>担当部署名</t>
  </si>
  <si>
    <t>売上入力者名</t>
  </si>
  <si>
    <t>営業担当者CD</t>
  </si>
  <si>
    <t>営業担当者名</t>
  </si>
  <si>
    <t>受注区分CD</t>
  </si>
  <si>
    <t>受注区分名</t>
  </si>
  <si>
    <t>売上ステータスCD</t>
  </si>
  <si>
    <t>売上ステータス名</t>
  </si>
  <si>
    <t>請求先名</t>
  </si>
  <si>
    <t>商品分類CD</t>
    <rPh sb="0" eb="2">
      <t>ショウヒン</t>
    </rPh>
    <rPh sb="2" eb="4">
      <t>ブンルイ</t>
    </rPh>
    <phoneticPr fontId="2"/>
  </si>
  <si>
    <t>商品分類名</t>
    <rPh sb="0" eb="2">
      <t>ショウヒン</t>
    </rPh>
    <rPh sb="2" eb="4">
      <t>ブンルイ</t>
    </rPh>
    <rPh sb="4" eb="5">
      <t>メイ</t>
    </rPh>
    <phoneticPr fontId="2"/>
  </si>
  <si>
    <t>請求先分類CD</t>
    <rPh sb="3" eb="5">
      <t>ブンルイ</t>
    </rPh>
    <phoneticPr fontId="2"/>
  </si>
  <si>
    <t>請求先分類名</t>
    <rPh sb="3" eb="5">
      <t>ブンルイ</t>
    </rPh>
    <rPh sb="5" eb="6">
      <t>メイ</t>
    </rPh>
    <phoneticPr fontId="2"/>
  </si>
  <si>
    <t>試薬フラグ</t>
    <rPh sb="0" eb="2">
      <t>シヤク</t>
    </rPh>
    <phoneticPr fontId="2"/>
  </si>
  <si>
    <t>調製試薬フラグ</t>
    <rPh sb="0" eb="2">
      <t>チョウセイ</t>
    </rPh>
    <rPh sb="2" eb="4">
      <t>シヤク</t>
    </rPh>
    <phoneticPr fontId="2"/>
  </si>
  <si>
    <t>毒劇物フラグ</t>
    <rPh sb="0" eb="1">
      <t>ドク</t>
    </rPh>
    <rPh sb="1" eb="3">
      <t>ゲキブツ</t>
    </rPh>
    <phoneticPr fontId="2"/>
  </si>
  <si>
    <t>伝区CD</t>
    <phoneticPr fontId="2"/>
  </si>
  <si>
    <t>伝区名</t>
    <rPh sb="2" eb="3">
      <t>メイ</t>
    </rPh>
    <phoneticPr fontId="2"/>
  </si>
  <si>
    <t>請求先フラグ</t>
  </si>
  <si>
    <t>仕入先フラグ</t>
  </si>
  <si>
    <t>発送先フラグ</t>
  </si>
  <si>
    <t>報告先フラグ</t>
  </si>
  <si>
    <t>メーカーフラグ</t>
  </si>
  <si>
    <t>外注先フラグ</t>
  </si>
  <si>
    <t>官公庁フラグ</t>
  </si>
  <si>
    <t>同業者フラグ</t>
  </si>
  <si>
    <t>スポットフラグ</t>
  </si>
  <si>
    <t xml:space="preserve">SELECT M_SHOHIN.SHOHIN_CD               AS 商品CD
      ,M_SHOHIN.SHOHIN_MEI              AS 商品名
      ,M_SHOHIN.AITE_SHOHIN_MEI         AS 相手先商品名
      ,M_SHOHIN.IRISU                   AS 入数
      ,M_SHOHIN.IRISU_TANI              AS 入数単位
      ,M_SHOHIN.GENKA                   AS 原価
      ,M_SHOHIN.BAIKA                   AS 売価
      ,CASE M_SHOHIN.DOKU_FLG
       WHEN 'True' THEN '×'
       ELSE NULL
       END                              AS 毒
      ,CASE M_SHOHIN.CHOSEI_SHIYAKU_FLG
       WHEN 'True' THEN '×'
       ELSE NULL
       END                              AS 試薬
      ,R_STATUS.DATA_1                  AS ステータス
      ,M_SHOHIN.BIKO                    AS 備考
      ,M_SHOHIN.TEIKA                   AS 定価
      ,M_SHOHIN.SHIIRE_IRISU            AS 仕入入数
      ,M_SHOHIN.SHIIRE_IRISU_TANI       AS 仕入入数単位
      ,M_SHOHIN.BARA_TANI               AS バラ単位
      ,M_SHOHIN.SHIIRE_CD               AS 仕入先CD
      ,R_SHIIRE_SAKI.AITE_MEI           AS 仕入先名
      ,M_SHOHIN.MAKER_CD                AS メーカーCD
      ,R_MAKER.AITE_MEI                 AS メーカー名
      ,CASE M_SHOHIN.AITE_SHOHIN_MEI
       WHEN '' THEN
            M_SHOHIN.SHOHIN_MEI
       ELSE
            M_SHOHIN.AITE_SHOHIN_MEI
       END                              AS 展開商品名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WHERE M_SHOHIN.SHOHIN_STS = '1'
   AND (
           M_SHOHIN.BUNSEKI_FLG = 'True'
        OR M_SHOHIN.SHOHIN_FLG  = 'True'
       )
  AND M_SHOHIN.MISHIYO_FLG = 'False'
 ORDER BY SHOHIN_CD ASC
</t>
    <phoneticPr fontId="2"/>
  </si>
  <si>
    <t xml:space="preserve">SELECT NULL                             AS 行番号
      ,1                                AS 行区分
      ,NULL                             AS 消費税
      ,M_SHOHIN.SHOHIN_CD               AS 商品CD
      ,CASE M_SHOHIN.AITE_SHOHIN_MEI
       WHEN '' THEN
            M_SHOHIN.SHOHIN_MEI
       ELSE
            M_SHOHIN.AITE_SHOHIN_MEI
       END                              AS 展開商品名
      ,NULL                             AS 受注数量
      ,M_SHOHIN.IRISU_TANI              AS 入数単位
      ,M_SHOHIN.BAIKA                   AS 売価
      ,NULL                             AS 販売金額
      ,NULL                             AS 摘要
      ,M_SHOHIN.TEIKA                   AS 定価
      ,M_SHOHIN.GENKA                   AS 原価
      ,M_SHOHIN.SHIIRE_IRISU            AS 仕入入数
      ,NULL                             AS 原価数量
      ,M_SHOHIN.SHIIRE_IRISU_TANI       AS 仕入入数単位
      ,NULL                             AS 総数
      ,M_SHOHIN.BARA_TANI               AS バラ単位
      ,NULL                             AS 原価金額
      ,NULL                             AS 粗利率
      ,NULL                             AS 粗利益
      ,M_SHOHIN.SHIIRE_CD               AS 仕入先CD
      ,R_SHIIRE_SAKI.AITE_MEI           AS 仕入先名
      ,M_SHOHIN.MAKER_CD                AS メーカーCD
      ,R_MAKER.AITE_MEI                 AS メーカー名
      --表示用
      ,M_SHOHIN.SHOHIN_MEI              AS 商品名
      ,M_SHOHIN.AITE_SHOHIN_MEI         AS 相手先商品名
      ,CASE M_SHOHIN.CHOSEI_SHIYAKU_FLG
       WHEN 'True' THEN '×'
       ELSE NULL
       END                              AS 試薬
      ,CASE M_SHOHIN.DOKU_FLG
       WHEN 'True' THEN '×'
       ELSE NULL
       END                              AS 毒
      ,CASE M_SHOHIN.SHOKEIHI_FLG
       WHEN 'True' THEN '×'
       ELSE NULL
       END                              AS 諸経費
      ,R_STATUS.DATA_1                  AS ステータス
      ,M_SHOHIN.BIKO                    AS 備考
      ,M_SHOHIN.IRISU                   AS 入数
  FROM M_SHOHIN
  LEFT JOIN M_AITESAKI        AS R_SHIIRE_SAKI
    ON M_SHOHIN.SHIIRE_CD = R_SHIIRE_SAKI.AITE_CD
  LEFT JOIN M_AITESAKI        AS R_MAKER
    ON M_SHOHIN.MAKER_CD  = R_MAKER.AITE_CD
  LEFT JOIN M_MEISHO_B          AS R_STATUS
    ON M_SHOHIN.SHOHIN_STS = R_STATUS.MEISHO_CD
   AND R_STATUS.MEISHO_KBN = 'S001'
 WHERE M_SHOHIN.SHOHIN_STS = '1'
   AND (
           M_SHOHIN.BUNSEKI_FLG = 'True'
        OR M_SHOHIN.SHOHIN_FLG  = 'True'
       )
 ORDER BY SHOHIN_CD ASC
</t>
    <phoneticPr fontId="2"/>
  </si>
  <si>
    <t>結合売上検索SQL</t>
    <rPh sb="0" eb="2">
      <t>ケツゴウ</t>
    </rPh>
    <rPh sb="2" eb="4">
      <t>ウリアゲ</t>
    </rPh>
    <rPh sb="4" eb="6">
      <t>ケンサク</t>
    </rPh>
    <phoneticPr fontId="2"/>
  </si>
  <si>
    <t>UNNH0031_SQL_URIAGE_SEARCH</t>
    <phoneticPr fontId="2"/>
  </si>
  <si>
    <t xml:space="preserve">SELECT '＞'                     AS '選択'
      ,DEMPYO_KBN_MEI           AS '伝票区分'
      ,RENDO_KBN_MEI            AS '商魂連動区分'
      ,URIAGE_NO                AS '売上No.'
      ,URIAGE_DATE              AS '売上日'
      ,SEIKYU_CD                AS '請求先CD'
      ,SEIKYU_MEI               AS '請求先名'
      ,DEMPYO_SOFU_MEI          AS '伝票宛名'
      ,URI_NYU_MEI              AS '売上入力者名'
      ,JURI_NO                  AS '対象受理No.'
      ,SHOKON_NO                AS '商魂伝票No.'
      ,SHOKON_LIST_DATE_TIME    AS '商魂連動日時'
      ,NOHIN_DATE               AS '納品日'
      ,URIAGE_STS_MEI           AS 'ステータス'
      ,NUKI_TOTAL               AS '税抜合計額'
  FROM V_C_URIAGE_H
</t>
    <phoneticPr fontId="2"/>
  </si>
  <si>
    <t xml:space="preserve"> WHERE ISNULL(SAKI_URIAGE_NO,'') =  ''
   AND DEMPYO_KBN                = 1
</t>
    <phoneticPr fontId="2"/>
  </si>
  <si>
    <t xml:space="preserve"> ORDER BY URIAGE_NO DESC
</t>
    <phoneticPr fontId="2"/>
  </si>
  <si>
    <t>結合テーブルクリアSQL</t>
    <rPh sb="0" eb="2">
      <t>ケツゴウ</t>
    </rPh>
    <phoneticPr fontId="2"/>
  </si>
  <si>
    <t>UNNH0031_SQL_URIAGE_CLEAR</t>
    <phoneticPr fontId="2"/>
  </si>
  <si>
    <t xml:space="preserve">DELETE 
  FROM W_URIAGE_MERGE
</t>
    <phoneticPr fontId="2"/>
  </si>
  <si>
    <t>回収予定日▽</t>
    <rPh sb="0" eb="2">
      <t>カイシュウ</t>
    </rPh>
    <phoneticPr fontId="2"/>
  </si>
  <si>
    <t>売上日▽</t>
    <rPh sb="0" eb="2">
      <t>ウリアゲ</t>
    </rPh>
    <phoneticPr fontId="2"/>
  </si>
  <si>
    <t>入力日▽</t>
    <rPh sb="0" eb="2">
      <t>ニュウリョク</t>
    </rPh>
    <phoneticPr fontId="2"/>
  </si>
  <si>
    <t>回収予定日▽</t>
    <rPh sb="0" eb="2">
      <t>カイシュウ</t>
    </rPh>
    <rPh sb="2" eb="4">
      <t>ヨテイ</t>
    </rPh>
    <phoneticPr fontId="2"/>
  </si>
  <si>
    <t>納品日▽</t>
    <phoneticPr fontId="2"/>
  </si>
  <si>
    <t>納品日▽</t>
    <phoneticPr fontId="2"/>
  </si>
  <si>
    <t>分析方法▽</t>
    <rPh sb="0" eb="2">
      <t>ブンセキ</t>
    </rPh>
    <rPh sb="2" eb="4">
      <t>ホウホウ</t>
    </rPh>
    <phoneticPr fontId="2"/>
  </si>
  <si>
    <t>分析方法（名称マスタK017）</t>
    <rPh sb="0" eb="2">
      <t>ブンセキ</t>
    </rPh>
    <rPh sb="2" eb="4">
      <t>ホウホウ</t>
    </rPh>
    <rPh sb="5" eb="7">
      <t>メイショウ</t>
    </rPh>
    <phoneticPr fontId="2"/>
  </si>
  <si>
    <t>コードのみ</t>
    <phoneticPr fontId="2"/>
  </si>
  <si>
    <t>あ</t>
    <phoneticPr fontId="2"/>
  </si>
  <si>
    <t>い</t>
    <phoneticPr fontId="2"/>
  </si>
  <si>
    <t>う</t>
    <phoneticPr fontId="2"/>
  </si>
  <si>
    <t>え</t>
    <phoneticPr fontId="2"/>
  </si>
  <si>
    <t>お</t>
    <phoneticPr fontId="2"/>
  </si>
  <si>
    <t>UNNH_BUNSEKI_HOHO_IF_LIST</t>
  </si>
  <si>
    <t>「=OFFSET(UNNH_BUNSEKI_HOHO_IF_START,,,IF(UNNH_BUNSEKI_HOHO_IF_KENSU=0,1,UNNH_BUNSEKI_HOHO_IF_KENSU),2)」</t>
  </si>
  <si>
    <t>UNNH_BUNSEKI_HOHO_IF_LIST2</t>
  </si>
  <si>
    <t>「=OFFSET(UNNH_BUNSEKI_HOHO_IF_START,,,IF(UNNH_BUNSEKI_HOHO_IF_KENSU=0,1,UNNH_BUNSEKI_HOHO_IF_KENSU),1)」</t>
  </si>
  <si>
    <t>UNNH_COMMON_SQL_BUNSEKI_HOHO_SEARCH</t>
    <phoneticPr fontId="2"/>
  </si>
  <si>
    <t>分析方法名</t>
    <rPh sb="4" eb="5">
      <t>メイ</t>
    </rPh>
    <phoneticPr fontId="2"/>
  </si>
  <si>
    <t>分析方法CD</t>
    <rPh sb="0" eb="2">
      <t>ブンセキ</t>
    </rPh>
    <rPh sb="2" eb="4">
      <t>ホウホウ</t>
    </rPh>
    <phoneticPr fontId="2"/>
  </si>
  <si>
    <t>勘定科目セット</t>
    <rPh sb="0" eb="2">
      <t>カンジョウ</t>
    </rPh>
    <rPh sb="2" eb="4">
      <t>カモク</t>
    </rPh>
    <phoneticPr fontId="2"/>
  </si>
  <si>
    <t>←分析方法より勘定科目をセット用</t>
    <rPh sb="1" eb="3">
      <t>ブンセキ</t>
    </rPh>
    <rPh sb="3" eb="5">
      <t>ホウホウ</t>
    </rPh>
    <rPh sb="7" eb="9">
      <t>カンジョウ</t>
    </rPh>
    <rPh sb="9" eb="11">
      <t>カモク</t>
    </rPh>
    <rPh sb="15" eb="16">
      <t>ヨウ</t>
    </rPh>
    <phoneticPr fontId="2"/>
  </si>
  <si>
    <t>UNNH0030_SQL_KANJO_SET</t>
    <phoneticPr fontId="2"/>
  </si>
  <si>
    <t>【勘定科目セット用】</t>
    <rPh sb="1" eb="3">
      <t>カンジョウ</t>
    </rPh>
    <rPh sb="3" eb="5">
      <t>カモク</t>
    </rPh>
    <rPh sb="8" eb="9">
      <t>ヨウ</t>
    </rPh>
    <phoneticPr fontId="2"/>
  </si>
  <si>
    <t>分析方法コード</t>
    <rPh sb="0" eb="2">
      <t>ブンセキ</t>
    </rPh>
    <rPh sb="2" eb="4">
      <t>ホウホウ</t>
    </rPh>
    <phoneticPr fontId="2"/>
  </si>
  <si>
    <t>勘定科目名称</t>
    <rPh sb="0" eb="2">
      <t>カンジョウ</t>
    </rPh>
    <rPh sb="2" eb="4">
      <t>カモク</t>
    </rPh>
    <rPh sb="4" eb="6">
      <t>メイショウ</t>
    </rPh>
    <phoneticPr fontId="2"/>
  </si>
  <si>
    <t>NULL</t>
  </si>
  <si>
    <t>計量証明事業水質</t>
    <rPh sb="0" eb="2">
      <t>ケイリョウ</t>
    </rPh>
    <rPh sb="2" eb="4">
      <t>ショウメイ</t>
    </rPh>
    <rPh sb="4" eb="6">
      <t>ジギョウ</t>
    </rPh>
    <rPh sb="6" eb="8">
      <t>スイシツ</t>
    </rPh>
    <phoneticPr fontId="2"/>
  </si>
  <si>
    <t>研究支援分析売上高</t>
    <rPh sb="0" eb="2">
      <t>ケンキュウ</t>
    </rPh>
    <rPh sb="2" eb="4">
      <t>シエン</t>
    </rPh>
    <rPh sb="4" eb="6">
      <t>ブンセキ</t>
    </rPh>
    <rPh sb="6" eb="8">
      <t>ウリアゲ</t>
    </rPh>
    <rPh sb="8" eb="9">
      <t>ダカ</t>
    </rPh>
    <phoneticPr fontId="2"/>
  </si>
  <si>
    <t>UNNH0030_IF_SET_KANJO_KAMOKU</t>
    <phoneticPr fontId="2"/>
  </si>
  <si>
    <t>UNNH0030_IF_SET_KANJO_KAMOKU2</t>
    <phoneticPr fontId="2"/>
  </si>
  <si>
    <t>「=OFFSET(UNNH0030_IF_SET_KANJO_KAMOKU_START,,,IF(UNNH0030_IF_SET_KANJO_KAMOKU_KENSU=0,1,UNNH0030_IF_SET_KANJO_KAMOKU_KENSU),2)」</t>
    <phoneticPr fontId="2"/>
  </si>
  <si>
    <t>「=OFFSET(UNNH0030_IF_SET_KANJO_KAMOKU_START,,,IF(UNNH0030_IF_SET_KANJO_KAMOKU_KENSU=0,1,UNNH0030_IF_SET_KANJO_KAMOKU_KENSU),1)」</t>
    <phoneticPr fontId="2"/>
  </si>
  <si>
    <t>1</t>
    <phoneticPr fontId="2"/>
  </si>
  <si>
    <t>2</t>
    <phoneticPr fontId="2"/>
  </si>
  <si>
    <t>3</t>
    <phoneticPr fontId="2"/>
  </si>
  <si>
    <t>4</t>
    <phoneticPr fontId="2"/>
  </si>
  <si>
    <t>5</t>
    <phoneticPr fontId="2"/>
  </si>
  <si>
    <t>1</t>
    <phoneticPr fontId="2"/>
  </si>
  <si>
    <t>2</t>
    <phoneticPr fontId="2"/>
  </si>
  <si>
    <t>10</t>
    <phoneticPr fontId="2"/>
  </si>
  <si>
    <t>UNNH0030_IF_LIST_KANJO_KAMOKU</t>
    <phoneticPr fontId="2"/>
  </si>
  <si>
    <t xml:space="preserve">SELECT W_URIAGE.URIAGE_NO                   AS URIAGE_NO
      ,J_DEMPYO.DATA_1                      AS DEMPYO_KBN
      ,J_RENDO.DATA_1                       AS RENDO_KBN
      ,W_URIAGE.URIAGE_DATE                 AS URIAGE_DATE
      ,J_DENKU.DATA_1                       AS DENKU
      ,J_KANJO_KAMOKU.DATA_1                AS KANJO_KAMOKU
      ,W_URIAGE.BUSHO_CD                    AS BUSHO_CD
      ,J_BUSHO.DATA_1                       AS BUSHO_MEI
      ,W_URIAGE.URIAGE_NYURYOKUSHA_CD       AS URIAGE_NYURYOKUSHA_CD
      ,J_NYURYOKUSHA.SHIMEI                 AS URIAGE_NYURYOKUSHA_MEI
      ,W_URIAGE.EIGYO_TANTO_CD              AS EIGYO_TANTO_CD
      ,J_EIGYO_TANTO.SHIMEI                 AS EIGYO_TANTO_MEI
      ,J_NYURYOKUSHA.SHIMEI                 AS URIAGE_NYURYOKUSHA_MEI
      ,W_URIAGE.NYURYOKU_DATE_TIME          AS NYURYOKU_DATE_TIME
      ,W_URIAGE.JUCHU_KBN                   AS JUCHU_KBN
      ,W_URIAGE.JURI_NO                     AS JURI_NO
      ,W_URIAGE.MITSU_NO                    AS MITSU_NO
      ,W_URIAGE.SAKI_URIAGE_NO              AS SAKI_URIAGE_NO
      ,W_URIAGE.NOHIN_DATE                  AS NOHIN_DATE
      ,W_URIAGE.URIAGE_STS                  AS STS_CD
      ,J_STS.DATA_1                         AS STS
      ,W_URIAGE.DOJI_FLG                    AS DOJI_FLG
      ,W_URIAGE.SEIKYU_CD                   AS SEIKYU_CD
      ,J_SEIKYUSAKI.AITE_MEI                AS SEIKYU_MEI
      ,J_SEIKYUSAKI.SEIKYU_CHUKI            AS SEIKYU_CHUKI
      ,W_URIAGE.KAISHU_DATE                 AS KAISHU_DATE
      ,W_URIAGE.BUNSEKI_HOHO_CD              AS BUNSEKI_HOHO
      ,W_URIAGE.TEKIYO_H                    AS TEKIYO_H
      ,W_URIAGE.DEMPYO_SOFU_MEI             AS DEMPYO_SOFU_MEI
      ,W_URIAGE.KEISHO                      AS KEISHO
      ,W_URIAGE.YUBIN_NO                    AS YUBIN_NO
      ,W_URIAGE.ADDRESS_1                   AS ADDRESS_1
      ,W_URIAGE.ADDRESS_2                   AS ADDRESS_2
      ,W_URIAGE.TEL                         AS TEL
      ,W_URIAGE.FAX                         AS FAX
      ,W_URIAGE.SOFU_TANTO                  AS SOFU_TANTO
      ,W_URIAGE.TEISEI_BIKO                 AS TEISEI_BIKO
      ,W_URIAGE.JUSHO_NO_PRINT_FLG          AS JUSHO_NO_PRINT_FLG
      ,W_URIAGE.TAX_RATE                    AS TAX_RATE
      ,W_URIAGE.NUKI_TOTAL                  AS NUKI_TOTAL
      ,W_URIAGE.TAX                         AS TAX
      ,W_URIAGE.KOMI_TOTAL                  AS KOMI_TOTAL
      ,W_URIAGE.GENKA_TOTAL                 AS GENKA_TOTAL
      ,W_URIAGE.ARARIEKI_H                  AS ARARIEKI_H
      ,W_URIAGE.ARARIRITSU_H                AS ARARIRITSU_H
      ,W_URIAGE.SHOKON_NO                   AS SHOKON_NO
      ,W_URIAGE.SHOKON_LIST_DATE_TIME       AS SHOKON_LIST_DATE_TIME
      ,J_SEIKYUSAKI.SEIKYU_HASU_KBN         AS SEIKYU_HASU_KBN
      ,J_SEIKYUSAKI.TAX_KBN                 AS TAX_KBN
  FROM W_URIAGE
  LEFT JOIN
       M_MEISHO_B AS J_DEMPYO
    ON J_DEMPYO.MEISHO_KBN = 'K023'
   AND J_DEMPYO.MEISHO_CD  = W_URIAGE.DEMPYO_KBN
  LEFT JOIN
       M_MEISHO_B AS J_RENDO
    ON J_RENDO.MEISHO_KBN = 'K029'
   AND J_RENDO.MEISHO_CD  = W_URIAGE.RENDO_KBN
  LEFT JOIN
       M_MEISHO_B AS J_STS
    ON J_STS.MEISHO_KBN = 'S007'
   AND J_STS.MEISHO_CD  = W_URIAGE.URIAGE_STS
  LEFT JOIN
       M_MEISHO_B AS J_BUSHO
    ON J_BUSHO.MEISHO_KBN = 'M001'
   AND J_BUSHO.MEISHO_CD  = W_URIAGE.BUSHO_CD
  LEFT JOIN
       M_SHAIN AS J_NYURYOKUSHA
    ON J_NYURYOKUSHA.SHAIN_CD = W_URIAGE.URIAGE_NYURYOKUSHA_CD
  LEFT JOIN
       M_SHAIN AS J_EIGYO_TANTO
    ON J_EIGYO_TANTO.SHAIN_CD = W_URIAGE.EIGYO_TANTO_CD
  LEFT JOIN
       M_AITESAKI AS J_SEIKYUSAKI
    ON J_SEIKYUSAKI.AITE_CD = W_URIAGE.SEIKYU_CD
  LEFT JOIN
       M_MEISHO_B AS J_DENKU
    ON J_DENKU.MEISHO_KBN = 'K032'
   AND J_DENKU.MEISHO_CD  = W_URIAGE.DENKU
  LEFT JOIN
       M_MEISHO_B AS J_KANJO_KAMOKU
    ON J_KANJO_KAMOKU.MEISHO_KBN = 'K033'
   AND J_KANJO_KAMOKU.MEISHO_CD  = W_URIAGE.KANJO_KAMOKU
</t>
    <phoneticPr fontId="2"/>
  </si>
  <si>
    <t>BUNSEKI_HOHO_CD</t>
    <phoneticPr fontId="2"/>
  </si>
  <si>
    <t>UNNH0030_SQL_LIST_KANJO_KAMOKU</t>
    <phoneticPr fontId="2"/>
  </si>
  <si>
    <t>SELECT M_MEISHO_B.MEISHO_CD,TBLA.DATA_1
  FROM M_MEISHO_B
  LEFT JOIN 
 (SELECT DATA_1
      ,MEISHO_CD
   FROM M_MEISHO_B
   WHERE M_MEISHO_B.MEISHO_KBN = 'K033') TBLA
  ON TBLA.MEISHO_CD=M_MEISHO_B.DATA_2
 WHERE M_MEISHO_B.MEISHO_KBN = 'K017'
 ORDER BY SORT_NO ASC</t>
    <phoneticPr fontId="2"/>
  </si>
  <si>
    <t xml:space="preserve">SELECT M_MEISHO_B.MEISHO_CD    AS 分析方法コード,M_MEISHO_B.DATA_1    AS 分析方法
  FROM M_MEISHO_B
 WHERE M_MEISHO_B.MEISHO_KBN = 'K017'
 ORDER BY
       M_MEISHO_B.SORT_NO ASC
      ,M_MEISHO_B.MEISHO_CD ASC
</t>
    <phoneticPr fontId="2"/>
  </si>
  <si>
    <t>売上集計表</t>
    <rPh sb="0" eb="2">
      <t>ウリアゲ</t>
    </rPh>
    <rPh sb="2" eb="5">
      <t>シュウケイヒョウ</t>
    </rPh>
    <phoneticPr fontId="2"/>
  </si>
  <si>
    <t>営業担当者</t>
    <rPh sb="0" eb="2">
      <t>エイギョウ</t>
    </rPh>
    <rPh sb="2" eb="5">
      <t>タントウシャ</t>
    </rPh>
    <phoneticPr fontId="2"/>
  </si>
  <si>
    <t>081100</t>
    <phoneticPr fontId="2"/>
  </si>
  <si>
    <t>081200</t>
    <phoneticPr fontId="2"/>
  </si>
  <si>
    <t>081300</t>
    <phoneticPr fontId="2"/>
  </si>
  <si>
    <t>001300</t>
    <phoneticPr fontId="2"/>
  </si>
  <si>
    <t>121000</t>
    <phoneticPr fontId="2"/>
  </si>
  <si>
    <t>081001</t>
    <phoneticPr fontId="2"/>
  </si>
  <si>
    <t>081002</t>
    <phoneticPr fontId="2"/>
  </si>
  <si>
    <t>081003</t>
    <phoneticPr fontId="2"/>
  </si>
  <si>
    <t>小計</t>
    <rPh sb="0" eb="2">
      <t>ショウケイ</t>
    </rPh>
    <phoneticPr fontId="2"/>
  </si>
  <si>
    <t>分析合計</t>
    <phoneticPr fontId="2"/>
  </si>
  <si>
    <t>商品合計</t>
    <phoneticPr fontId="2"/>
  </si>
  <si>
    <t>総合計</t>
    <rPh sb="0" eb="1">
      <t>ソウ</t>
    </rPh>
    <rPh sb="1" eb="3">
      <t>ゴウケイ</t>
    </rPh>
    <phoneticPr fontId="2"/>
  </si>
  <si>
    <t>売上勘定科目</t>
    <rPh sb="0" eb="2">
      <t>ウリアゲ</t>
    </rPh>
    <rPh sb="2" eb="6">
      <t>カンジョウカモク</t>
    </rPh>
    <phoneticPr fontId="2"/>
  </si>
  <si>
    <t>081100</t>
    <phoneticPr fontId="2"/>
  </si>
  <si>
    <t>081200</t>
    <phoneticPr fontId="2"/>
  </si>
  <si>
    <t>081300</t>
    <phoneticPr fontId="2"/>
  </si>
  <si>
    <t>001300</t>
    <phoneticPr fontId="2"/>
  </si>
  <si>
    <t>121000</t>
    <phoneticPr fontId="2"/>
  </si>
  <si>
    <t>081001</t>
    <phoneticPr fontId="2"/>
  </si>
  <si>
    <t>081002</t>
    <phoneticPr fontId="2"/>
  </si>
  <si>
    <t>081003</t>
    <phoneticPr fontId="2"/>
  </si>
  <si>
    <t>小計</t>
    <phoneticPr fontId="2"/>
  </si>
  <si>
    <t>分析合計</t>
    <phoneticPr fontId="2"/>
  </si>
  <si>
    <t>商品合計</t>
    <phoneticPr fontId="2"/>
  </si>
  <si>
    <t>コード</t>
    <phoneticPr fontId="2"/>
  </si>
  <si>
    <t>作業環境売上高</t>
    <phoneticPr fontId="2"/>
  </si>
  <si>
    <t>大気測定売上高</t>
    <rPh sb="0" eb="2">
      <t>タイキ</t>
    </rPh>
    <rPh sb="2" eb="4">
      <t>ソクテイ</t>
    </rPh>
    <rPh sb="4" eb="6">
      <t>ウリアゲ</t>
    </rPh>
    <rPh sb="6" eb="7">
      <t>ダカ</t>
    </rPh>
    <phoneticPr fontId="2"/>
  </si>
  <si>
    <t>ﾀﾞｲｵｷｼﾝ類売上高</t>
    <phoneticPr fontId="2"/>
  </si>
  <si>
    <t>商品売上高-販売商品</t>
    <rPh sb="0" eb="2">
      <t>ショウヒン</t>
    </rPh>
    <rPh sb="2" eb="4">
      <t>ウリアゲ</t>
    </rPh>
    <rPh sb="4" eb="5">
      <t>ダカ</t>
    </rPh>
    <rPh sb="6" eb="8">
      <t>ハンバイ</t>
    </rPh>
    <rPh sb="8" eb="10">
      <t>ショウヒン</t>
    </rPh>
    <phoneticPr fontId="2"/>
  </si>
  <si>
    <t>商品売上高-営業委託</t>
    <rPh sb="0" eb="2">
      <t>ショウヒン</t>
    </rPh>
    <rPh sb="2" eb="4">
      <t>ウリアゲ</t>
    </rPh>
    <rPh sb="4" eb="5">
      <t>ダカ</t>
    </rPh>
    <rPh sb="6" eb="8">
      <t>エイギョウ</t>
    </rPh>
    <rPh sb="8" eb="10">
      <t>イタク</t>
    </rPh>
    <phoneticPr fontId="2"/>
  </si>
  <si>
    <t>商品売上高-その他</t>
    <rPh sb="0" eb="2">
      <t>ショウヒン</t>
    </rPh>
    <rPh sb="2" eb="4">
      <t>ウリアゲ</t>
    </rPh>
    <rPh sb="4" eb="5">
      <t>ダカ</t>
    </rPh>
    <rPh sb="8" eb="9">
      <t>タ</t>
    </rPh>
    <phoneticPr fontId="2"/>
  </si>
  <si>
    <t>001300</t>
  </si>
  <si>
    <t>大気測定売上高</t>
  </si>
  <si>
    <t>UNNH0020_REPORT_IF_SHOKEIHYOU_PRINT_AREA</t>
    <phoneticPr fontId="2"/>
  </si>
  <si>
    <t>081001</t>
  </si>
  <si>
    <t>商品売上高-販売商品</t>
  </si>
  <si>
    <t>UNNH0020_REPORT_IF_SHUKEIHYOU_SHOSHIKI_COPY_SAKI</t>
    <phoneticPr fontId="2"/>
  </si>
  <si>
    <t>※総計※</t>
    <phoneticPr fontId="2"/>
  </si>
  <si>
    <t>081002</t>
  </si>
  <si>
    <t>商品売上高-営業委託</t>
  </si>
  <si>
    <t>UNNH0020_REPORT_IF_SHUKEIHYOU_SUSHIKI_COPY_SAKI</t>
    <phoneticPr fontId="2"/>
  </si>
  <si>
    <t>081003</t>
  </si>
  <si>
    <t>商品売上高-その他</t>
  </si>
  <si>
    <t>総計数式コピー先</t>
    <rPh sb="0" eb="2">
      <t>ソウケイ</t>
    </rPh>
    <rPh sb="2" eb="4">
      <t>スウシキ</t>
    </rPh>
    <phoneticPr fontId="2"/>
  </si>
  <si>
    <t>UNNH0020_REPORT_IF_SOKEI_SUSHIKI_COPY_SAKI</t>
    <phoneticPr fontId="2"/>
  </si>
  <si>
    <t>081100</t>
  </si>
  <si>
    <t>計量証明事業水質</t>
  </si>
  <si>
    <t>081200</t>
  </si>
  <si>
    <t>研究支援分析売上高</t>
  </si>
  <si>
    <t>必須チェック</t>
    <rPh sb="0" eb="2">
      <t>ヒッス</t>
    </rPh>
    <phoneticPr fontId="2"/>
  </si>
  <si>
    <t>UNNH0020_REPORT_IF_URIAGEDATE_CHECK</t>
    <phoneticPr fontId="2"/>
  </si>
  <si>
    <t>0:未入力 1:OK</t>
    <rPh sb="2" eb="5">
      <t>ミニュウリョク</t>
    </rPh>
    <phoneticPr fontId="2"/>
  </si>
  <si>
    <t>081300</t>
  </si>
  <si>
    <t>作業環境売上高</t>
  </si>
  <si>
    <t>121000</t>
  </si>
  <si>
    <t>ﾀﾞｲｵｷｼﾝ類売上高</t>
  </si>
  <si>
    <t>UNNH0020_REPORT_IF_SHUKEIHYOU_KENSU</t>
    <phoneticPr fontId="2"/>
  </si>
  <si>
    <t>UNNH0020_REPORT_IF_SHUKEIHYOU_SHOSHIKI_COPY_MOTO</t>
    <phoneticPr fontId="2"/>
  </si>
  <si>
    <t>売上集計表SQL</t>
    <rPh sb="0" eb="4">
      <t>ウリアゲシュウケイ</t>
    </rPh>
    <rPh sb="4" eb="5">
      <t>ヒョウ</t>
    </rPh>
    <phoneticPr fontId="2"/>
  </si>
  <si>
    <t>UNNH0020_SQL_URIAGE_SHUKEIHYOU_REPORT</t>
  </si>
  <si>
    <t>売上リスト
売上集計表SQLベース</t>
    <rPh sb="0" eb="2">
      <t>ウリアゲ</t>
    </rPh>
    <rPh sb="6" eb="8">
      <t>ウリアゲ</t>
    </rPh>
    <rPh sb="8" eb="10">
      <t>シュウケイ</t>
    </rPh>
    <rPh sb="10" eb="11">
      <t>ヒョウ</t>
    </rPh>
    <phoneticPr fontId="2"/>
  </si>
  <si>
    <t xml:space="preserve">SELECT V_URIAGE_REPORT2.EIGYO_TANTO_MEI
           ,SUM(V_URIAGE_REPORT2.URI_KIN_1)   AS URI_KIN_1
           ,SUM(V_URIAGE_REPORT2.URI_KIN_2)   AS URI_KIN_2
           ,SUM(V_URIAGE_REPORT2.URI_KIN_3)   AS URI_KIN_3
           ,SUM(V_URIAGE_REPORT2.URI_KIN_4)   AS URI_KIN_4
           ,SUM(V_URIAGE_REPORT2.URI_KIN_5)   AS URI_KIN_5
           ,SUM(V_URIAGE_REPORT2.URI_KIN_6)   AS URI_KIN_6
           ,SUM(V_URIAGE_REPORT2.URI_KIN_7)   AS URI_KIN_7
           ,SUM(V_URIAGE_REPORT2.URI_KIN_8)   AS URI_KIN_8
  FROM V_URIAGE_REPORT2
  LEFT JOIN
       V_URIAGE_LIST
    ON V_URIAGE_LIST.URIAGE_NO = V_URIAGE_REPORT2.URIAGE_NO
  WHERE 1=1
</t>
  </si>
  <si>
    <t>売上集計表用グループ</t>
  </si>
  <si>
    <t xml:space="preserve"> GROUP BY V_URIAGE_REPORT2.EIGYO_TANTO_CD
              ,V_URIAGE_REPORT2.EIGYO_TANTO_MEI 
</t>
  </si>
  <si>
    <t>売上集計表用並べ替え</t>
    <rPh sb="0" eb="5">
      <t>ウリアゲシュウケイヒョウ</t>
    </rPh>
    <phoneticPr fontId="2"/>
  </si>
  <si>
    <t xml:space="preserve"> ORDER BY
       CONVERT(INT,V_URIAGE_REPORT2.EIGYO_TANTO_CD) ASC</t>
  </si>
  <si>
    <t>売上勘定科目取得用SQL</t>
    <rPh sb="0" eb="2">
      <t>ウリアゲ</t>
    </rPh>
    <rPh sb="2" eb="4">
      <t>カンジョウ</t>
    </rPh>
    <rPh sb="4" eb="6">
      <t>カモク</t>
    </rPh>
    <rPh sb="6" eb="8">
      <t>シュトク</t>
    </rPh>
    <rPh sb="8" eb="9">
      <t>ヨウ</t>
    </rPh>
    <phoneticPr fontId="2"/>
  </si>
  <si>
    <t xml:space="preserve">SELECT M_MEISHO_B.MEISHO_CD
      ,M_MEISHO_B.DATA_1
  FROM M_MEISHO_B
 WHERE M_MEISHO_B.MEISHO_KBN = 'K033'
 ORDER BY CAST(M_MEISHO_B.MEISHO_CD AS INT) ASC
</t>
  </si>
  <si>
    <t>UNNH0020_SQL_KANJOKAMOKU</t>
    <phoneticPr fontId="2"/>
  </si>
  <si>
    <t>UNNH0020_REPORT_IF_LIST_KANJOKAMOKU</t>
    <phoneticPr fontId="2"/>
  </si>
  <si>
    <t>「=OFFSET(UNNH0020_REPORT_IF_LIST_KANJOKAMOKU_START,,,IF(UNNH0020_REPORT_IF_LIST_KANJOKAMOKU_KENSU=0,1,UNNH0020_REPORT_IF_LIST_KANJOKAMOKU_KENSU),1)」</t>
    <phoneticPr fontId="2"/>
  </si>
  <si>
    <t>①</t>
    <phoneticPr fontId="2"/>
  </si>
  <si>
    <t>②</t>
    <phoneticPr fontId="2"/>
  </si>
  <si>
    <t>③</t>
    <phoneticPr fontId="2"/>
  </si>
  <si>
    <t>①＋②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</si>
</sst>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yyyy/mm/dd\ hh:mm:ss;@"/>
    <numFmt numFmtId="177" formatCode="#,##0_ "/>
    <numFmt numFmtId="178" formatCode="0_);[Red]\(0\)"/>
    <numFmt numFmtId="179" formatCode="yyyy/mm/dd"/>
    <numFmt numFmtId="180" formatCode="yyyy/mm/dd\ hh:mm:ss;"/>
    <numFmt numFmtId="181" formatCode="#,##0_ ;[Red]\-#,##0\ "/>
    <numFmt numFmtId="182" formatCode="0.0%"/>
    <numFmt numFmtId="183" formatCode="yyyy/mm/dd;@"/>
    <numFmt numFmtId="184" formatCode="yyyy/mm/dd\ hh:mm:ss"/>
    <numFmt numFmtId="185" formatCode="0.000_ "/>
    <numFmt numFmtId="186" formatCode="0.00_ "/>
    <numFmt numFmtId="187" formatCode="#,##0.00_ ;[Red]\-#,##0.00\ "/>
    <numFmt numFmtId="188" formatCode="gggyy&quot;年&quot;mm&quot;月&quot;dd&quot;日&quot;"/>
    <numFmt numFmtId="189" formatCode="0.0000000000_);[Red]\(0.0000000000\)"/>
    <numFmt numFmtId="190" formatCode="#,##0.00_ "/>
    <numFmt numFmtId="191" formatCode="yyyy/mm/dd\ h:mm:ss.000"/>
  </numFmts>
  <fonts count="60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8"/>
      <color theme="3" tint="-0.499984740745262"/>
      <name val="メイリオ"/>
      <family val="3"/>
      <charset val="128"/>
    </font>
    <font>
      <sz val="10"/>
      <color theme="3" tint="-0.499984740745262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8"/>
      <color theme="3" tint="-0.499984740745262"/>
      <name val="メイリオ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1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9"/>
      <color theme="1"/>
      <name val="メイリオ"/>
      <family val="3"/>
      <charset val="128"/>
    </font>
    <font>
      <b/>
      <sz val="9"/>
      <color theme="3" tint="-0.499984740745262"/>
      <name val="メイリオ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u/>
      <sz val="22"/>
      <color theme="1"/>
      <name val="メイリオ"/>
      <family val="3"/>
      <charset val="128"/>
    </font>
    <font>
      <u/>
      <sz val="10"/>
      <color theme="1"/>
      <name val="メイリオ"/>
      <family val="3"/>
      <charset val="128"/>
    </font>
    <font>
      <u/>
      <sz val="10"/>
      <name val="メイリオ"/>
      <family val="3"/>
      <charset val="128"/>
    </font>
    <font>
      <u/>
      <sz val="11"/>
      <name val="メイリオ"/>
      <family val="3"/>
      <charset val="128"/>
    </font>
    <font>
      <u/>
      <sz val="22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24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6"/>
      <name val="ＭＳ Ｐゴシック"/>
      <family val="3"/>
      <charset val="128"/>
    </font>
    <font>
      <sz val="10"/>
      <color indexed="8"/>
      <name val="メイリオ"/>
      <family val="3"/>
      <charset val="128"/>
    </font>
    <font>
      <sz val="9"/>
      <color theme="1"/>
      <name val="メイリオ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mediumDashDot">
        <color auto="1"/>
      </top>
      <bottom style="thin">
        <color theme="0" tint="-0.24994659260841701"/>
      </bottom>
      <diagonal/>
    </border>
    <border>
      <left style="dotted">
        <color auto="1"/>
      </left>
      <right style="dotted">
        <color auto="1"/>
      </right>
      <top/>
      <bottom style="mediumDashDot">
        <color auto="1"/>
      </bottom>
      <diagonal/>
    </border>
    <border>
      <left/>
      <right/>
      <top style="mediumDashDot">
        <color auto="1"/>
      </top>
      <bottom style="mediumDashDot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mediumDashDotDot">
        <color auto="1"/>
      </top>
      <bottom style="dotted">
        <color auto="1"/>
      </bottom>
      <diagonal/>
    </border>
    <border>
      <left/>
      <right/>
      <top style="dotted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dotted">
        <color auto="1"/>
      </bottom>
      <diagonal/>
    </border>
    <border>
      <left/>
      <right/>
      <top style="dashDot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/>
      <diagonal/>
    </border>
    <border>
      <left style="dotted">
        <color auto="1"/>
      </left>
      <right style="dotted">
        <color auto="1"/>
      </right>
      <top style="thin">
        <color theme="0" tint="-0.24994659260841701"/>
      </top>
      <bottom/>
      <diagonal/>
    </border>
    <border>
      <left/>
      <right style="dashDotDot">
        <color auto="1"/>
      </right>
      <top style="dotted">
        <color auto="1"/>
      </top>
      <bottom style="dotted">
        <color auto="1"/>
      </bottom>
      <diagonal/>
    </border>
    <border>
      <left/>
      <right/>
      <top style="mediumDashDotDot">
        <color auto="1"/>
      </top>
      <bottom style="mediumDashDotDot">
        <color auto="1"/>
      </bottom>
      <diagonal/>
    </border>
    <border>
      <left/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 diagonalUp="1">
      <left/>
      <right/>
      <top/>
      <bottom/>
      <diagonal style="thin">
        <color auto="1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dotted">
        <color auto="1"/>
      </left>
      <right style="dotted">
        <color auto="1"/>
      </right>
      <top/>
      <bottom/>
      <diagonal style="thin">
        <color auto="1"/>
      </diagonal>
    </border>
    <border diagonalUp="1">
      <left style="dotted">
        <color auto="1"/>
      </left>
      <right style="dotted">
        <color auto="1"/>
      </right>
      <top style="dotted">
        <color auto="1"/>
      </top>
      <bottom/>
      <diagonal style="dotted">
        <color auto="1"/>
      </diagonal>
    </border>
    <border diagonalUp="1">
      <left style="dotted">
        <color auto="1"/>
      </left>
      <right style="dotted">
        <color auto="1"/>
      </right>
      <top/>
      <bottom/>
      <diagonal style="dotted">
        <color auto="1"/>
      </diagonal>
    </border>
    <border diagonalUp="1">
      <left/>
      <right/>
      <top/>
      <bottom/>
      <diagonal style="dotted">
        <color auto="1"/>
      </diagonal>
    </border>
    <border diagonalUp="1">
      <left style="dotted">
        <color auto="1"/>
      </left>
      <right style="dotted">
        <color auto="1"/>
      </right>
      <top style="thin">
        <color theme="0" tint="-0.24994659260841701"/>
      </top>
      <bottom/>
      <diagonal style="dotted">
        <color auto="1"/>
      </diagonal>
    </border>
    <border diagonalUp="1">
      <left/>
      <right/>
      <top style="dotted">
        <color auto="1"/>
      </top>
      <bottom style="dotted">
        <color auto="1"/>
      </bottom>
      <diagonal style="dotted">
        <color auto="1"/>
      </diagonal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4">
    <xf numFmtId="0" fontId="0" fillId="0" borderId="0">
      <alignment vertical="center"/>
    </xf>
    <xf numFmtId="0" fontId="1" fillId="0" borderId="0"/>
    <xf numFmtId="0" fontId="21" fillId="0" borderId="0" applyNumberFormat="0" applyFill="0" applyBorder="0" applyAlignment="0" applyProtection="0">
      <alignment vertical="center"/>
    </xf>
    <xf numFmtId="0" fontId="22" fillId="0" borderId="38" applyNumberFormat="0" applyFill="0" applyAlignment="0" applyProtection="0">
      <alignment vertical="center"/>
    </xf>
    <xf numFmtId="0" fontId="23" fillId="0" borderId="39" applyNumberFormat="0" applyFill="0" applyAlignment="0" applyProtection="0">
      <alignment vertical="center"/>
    </xf>
    <xf numFmtId="0" fontId="24" fillId="0" borderId="4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8" fillId="19" borderId="41" applyNumberFormat="0" applyAlignment="0" applyProtection="0">
      <alignment vertical="center"/>
    </xf>
    <xf numFmtId="0" fontId="29" fillId="20" borderId="42" applyNumberFormat="0" applyAlignment="0" applyProtection="0">
      <alignment vertical="center"/>
    </xf>
    <xf numFmtId="0" fontId="30" fillId="20" borderId="41" applyNumberFormat="0" applyAlignment="0" applyProtection="0">
      <alignment vertical="center"/>
    </xf>
    <xf numFmtId="0" fontId="31" fillId="0" borderId="43" applyNumberFormat="0" applyFill="0" applyAlignment="0" applyProtection="0">
      <alignment vertical="center"/>
    </xf>
    <xf numFmtId="0" fontId="32" fillId="21" borderId="44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0" fillId="22" borderId="45" applyNumberFormat="0" applyFon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1" fillId="0" borderId="46" applyNumberFormat="0" applyFill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35" fillId="38" borderId="0" applyNumberFormat="0" applyBorder="0" applyAlignment="0" applyProtection="0">
      <alignment vertical="center"/>
    </xf>
    <xf numFmtId="0" fontId="35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</cellStyleXfs>
  <cellXfs count="806">
    <xf numFmtId="0" fontId="0" fillId="0" borderId="0" xfId="0">
      <alignment vertical="center"/>
    </xf>
    <xf numFmtId="0" fontId="5" fillId="3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right" vertical="center"/>
    </xf>
    <xf numFmtId="0" fontId="6" fillId="4" borderId="0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center" vertical="center" shrinkToFit="1"/>
    </xf>
    <xf numFmtId="0" fontId="6" fillId="4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shrinkToFit="1"/>
    </xf>
    <xf numFmtId="0" fontId="6" fillId="4" borderId="1" xfId="0" applyFont="1" applyFill="1" applyBorder="1" applyAlignment="1">
      <alignment vertical="center" shrinkToFit="1"/>
    </xf>
    <xf numFmtId="0" fontId="6" fillId="8" borderId="9" xfId="0" applyFont="1" applyFill="1" applyBorder="1" applyAlignment="1">
      <alignment horizontal="right" vertical="center"/>
    </xf>
    <xf numFmtId="0" fontId="6" fillId="8" borderId="10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horizontal="right" vertical="center"/>
    </xf>
    <xf numFmtId="0" fontId="6" fillId="8" borderId="13" xfId="0" applyFont="1" applyFill="1" applyBorder="1" applyAlignment="1">
      <alignment horizontal="right" vertical="center"/>
    </xf>
    <xf numFmtId="0" fontId="6" fillId="8" borderId="14" xfId="0" applyFont="1" applyFill="1" applyBorder="1" applyAlignment="1">
      <alignment horizontal="right" vertical="center"/>
    </xf>
    <xf numFmtId="0" fontId="6" fillId="8" borderId="6" xfId="0" applyFont="1" applyFill="1" applyBorder="1" applyAlignment="1">
      <alignment horizontal="right" vertical="center"/>
    </xf>
    <xf numFmtId="0" fontId="6" fillId="8" borderId="7" xfId="0" applyFont="1" applyFill="1" applyBorder="1" applyAlignment="1">
      <alignment horizontal="right" vertical="center"/>
    </xf>
    <xf numFmtId="0" fontId="6" fillId="4" borderId="0" xfId="0" applyFont="1" applyFill="1" applyBorder="1" applyAlignment="1">
      <alignment horizontal="right" vertical="center" shrinkToFit="1"/>
    </xf>
    <xf numFmtId="0" fontId="6" fillId="8" borderId="10" xfId="0" applyFont="1" applyFill="1" applyBorder="1" applyAlignment="1">
      <alignment horizontal="left" vertical="center" shrinkToFit="1"/>
    </xf>
    <xf numFmtId="0" fontId="6" fillId="8" borderId="10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178" fontId="0" fillId="0" borderId="0" xfId="0" applyNumberFormat="1" applyAlignment="1">
      <alignment vertical="center" shrinkToFit="1"/>
    </xf>
    <xf numFmtId="0" fontId="4" fillId="0" borderId="0" xfId="1" applyFont="1" applyBorder="1" applyAlignment="1">
      <alignment vertical="center"/>
    </xf>
    <xf numFmtId="0" fontId="4" fillId="0" borderId="0" xfId="1" applyFont="1" applyBorder="1" applyAlignment="1">
      <alignment vertical="center" shrinkToFit="1"/>
    </xf>
    <xf numFmtId="178" fontId="6" fillId="10" borderId="0" xfId="0" applyNumberFormat="1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 shrinkToFit="1"/>
    </xf>
    <xf numFmtId="0" fontId="6" fillId="0" borderId="0" xfId="0" applyFont="1" applyFill="1" applyBorder="1" applyAlignment="1" applyProtection="1">
      <alignment vertical="center"/>
    </xf>
    <xf numFmtId="0" fontId="0" fillId="0" borderId="0" xfId="0" applyFill="1">
      <alignment vertical="center"/>
    </xf>
    <xf numFmtId="0" fontId="4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vertical="center" shrinkToFit="1"/>
    </xf>
    <xf numFmtId="49" fontId="6" fillId="10" borderId="0" xfId="0" applyNumberFormat="1" applyFont="1" applyFill="1" applyBorder="1" applyAlignment="1" applyProtection="1">
      <alignment vertical="center"/>
      <protection locked="0"/>
    </xf>
    <xf numFmtId="0" fontId="3" fillId="0" borderId="0" xfId="1" applyFont="1" applyFill="1" applyBorder="1" applyAlignment="1">
      <alignment vertical="center"/>
    </xf>
    <xf numFmtId="0" fontId="3" fillId="0" borderId="0" xfId="1" applyFont="1" applyBorder="1" applyAlignment="1">
      <alignment vertical="center" shrinkToFit="1"/>
    </xf>
    <xf numFmtId="178" fontId="3" fillId="10" borderId="0" xfId="1" applyNumberFormat="1" applyFont="1" applyFill="1" applyBorder="1" applyAlignment="1">
      <alignment vertical="center"/>
    </xf>
    <xf numFmtId="0" fontId="3" fillId="0" borderId="0" xfId="1" applyFont="1" applyBorder="1" applyAlignment="1">
      <alignment vertical="center"/>
    </xf>
    <xf numFmtId="0" fontId="9" fillId="0" borderId="0" xfId="1" applyFont="1" applyFill="1" applyBorder="1" applyAlignment="1">
      <alignment vertical="center"/>
    </xf>
    <xf numFmtId="178" fontId="3" fillId="0" borderId="0" xfId="1" applyNumberFormat="1" applyFont="1" applyFill="1" applyBorder="1" applyAlignment="1">
      <alignment vertical="center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 shrinkToFit="1"/>
      <protection locked="0"/>
    </xf>
    <xf numFmtId="178" fontId="6" fillId="10" borderId="0" xfId="0" applyNumberFormat="1" applyFont="1" applyFill="1" applyBorder="1" applyAlignment="1" applyProtection="1">
      <alignment vertical="center"/>
    </xf>
    <xf numFmtId="49" fontId="6" fillId="0" borderId="0" xfId="0" applyNumberFormat="1" applyFont="1" applyFill="1" applyBorder="1" applyAlignment="1">
      <alignment vertical="center"/>
    </xf>
    <xf numFmtId="0" fontId="6" fillId="11" borderId="0" xfId="0" applyFont="1" applyFill="1" applyBorder="1" applyAlignment="1">
      <alignment vertical="center"/>
    </xf>
    <xf numFmtId="0" fontId="6" fillId="10" borderId="0" xfId="0" applyFont="1" applyFill="1" applyBorder="1" applyAlignment="1">
      <alignment vertical="center"/>
    </xf>
    <xf numFmtId="0" fontId="6" fillId="10" borderId="0" xfId="0" applyFont="1" applyFill="1" applyBorder="1" applyAlignment="1" applyProtection="1">
      <alignment vertical="center"/>
      <protection locked="0"/>
    </xf>
    <xf numFmtId="0" fontId="6" fillId="10" borderId="0" xfId="0" applyFont="1" applyFill="1" applyBorder="1" applyAlignment="1" applyProtection="1">
      <alignment vertical="center"/>
    </xf>
    <xf numFmtId="0" fontId="6" fillId="8" borderId="0" xfId="0" applyFont="1" applyFill="1" applyBorder="1" applyAlignment="1">
      <alignment vertical="center"/>
    </xf>
    <xf numFmtId="0" fontId="6" fillId="0" borderId="20" xfId="0" applyFont="1" applyFill="1" applyBorder="1" applyAlignment="1">
      <alignment vertical="center"/>
    </xf>
    <xf numFmtId="0" fontId="6" fillId="0" borderId="20" xfId="0" applyFont="1" applyFill="1" applyBorder="1" applyAlignment="1">
      <alignment vertical="center" shrinkToFit="1"/>
    </xf>
    <xf numFmtId="0" fontId="6" fillId="10" borderId="2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 shrinkToFit="1"/>
    </xf>
    <xf numFmtId="0" fontId="12" fillId="0" borderId="0" xfId="0" applyFont="1">
      <alignment vertical="center"/>
    </xf>
    <xf numFmtId="0" fontId="0" fillId="0" borderId="0" xfId="0" applyAlignment="1">
      <alignment vertical="center" shrinkToFit="1"/>
    </xf>
    <xf numFmtId="49" fontId="6" fillId="4" borderId="0" xfId="0" applyNumberFormat="1" applyFont="1" applyFill="1" applyBorder="1" applyAlignment="1" applyProtection="1">
      <alignment horizontal="center" vertical="center" shrinkToFit="1"/>
    </xf>
    <xf numFmtId="49" fontId="6" fillId="4" borderId="0" xfId="0" applyNumberFormat="1" applyFont="1" applyFill="1" applyBorder="1" applyAlignment="1">
      <alignment vertical="center" shrinkToFit="1"/>
    </xf>
    <xf numFmtId="49" fontId="6" fillId="4" borderId="0" xfId="0" applyNumberFormat="1" applyFont="1" applyFill="1" applyBorder="1" applyAlignment="1">
      <alignment horizontal="center" vertical="center" shrinkToFit="1"/>
    </xf>
    <xf numFmtId="179" fontId="6" fillId="4" borderId="0" xfId="0" applyNumberFormat="1" applyFont="1" applyFill="1" applyBorder="1" applyAlignment="1">
      <alignment vertical="center" shrinkToFit="1"/>
    </xf>
    <xf numFmtId="0" fontId="0" fillId="0" borderId="0" xfId="0" applyAlignment="1">
      <alignment vertical="center"/>
    </xf>
    <xf numFmtId="49" fontId="6" fillId="4" borderId="12" xfId="0" applyNumberFormat="1" applyFont="1" applyFill="1" applyBorder="1" applyAlignment="1">
      <alignment horizontal="left" vertical="center" shrinkToFit="1"/>
    </xf>
    <xf numFmtId="49" fontId="6" fillId="4" borderId="12" xfId="0" applyNumberFormat="1" applyFont="1" applyFill="1" applyBorder="1" applyAlignment="1" applyProtection="1">
      <alignment horizontal="left" vertical="center" shrinkToFit="1"/>
    </xf>
    <xf numFmtId="179" fontId="6" fillId="4" borderId="12" xfId="0" applyNumberFormat="1" applyFont="1" applyFill="1" applyBorder="1" applyAlignment="1">
      <alignment horizontal="right" vertical="center" shrinkToFit="1"/>
    </xf>
    <xf numFmtId="178" fontId="6" fillId="10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178" fontId="6" fillId="10" borderId="25" xfId="0" applyNumberFormat="1" applyFont="1" applyFill="1" applyBorder="1" applyAlignment="1" applyProtection="1">
      <alignment vertical="center"/>
      <protection locked="0"/>
    </xf>
    <xf numFmtId="0" fontId="0" fillId="10" borderId="0" xfId="0" applyFill="1">
      <alignment vertical="center"/>
    </xf>
    <xf numFmtId="0" fontId="0" fillId="0" borderId="0" xfId="0" applyAlignment="1">
      <alignment horizontal="center" vertical="center" shrinkToFit="1"/>
    </xf>
    <xf numFmtId="0" fontId="0" fillId="1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>
      <alignment vertical="center"/>
    </xf>
    <xf numFmtId="0" fontId="0" fillId="0" borderId="0" xfId="0" applyBorder="1">
      <alignment vertical="center"/>
    </xf>
    <xf numFmtId="178" fontId="6" fillId="10" borderId="27" xfId="0" applyNumberFormat="1" applyFont="1" applyFill="1" applyBorder="1" applyAlignment="1" applyProtection="1">
      <alignment vertical="center"/>
      <protection locked="0"/>
    </xf>
    <xf numFmtId="0" fontId="12" fillId="12" borderId="28" xfId="0" applyFont="1" applyFill="1" applyBorder="1">
      <alignment vertical="center"/>
    </xf>
    <xf numFmtId="0" fontId="0" fillId="12" borderId="28" xfId="0" applyFill="1" applyBorder="1">
      <alignment vertical="center"/>
    </xf>
    <xf numFmtId="0" fontId="0" fillId="12" borderId="28" xfId="0" applyFill="1" applyBorder="1" applyAlignment="1">
      <alignment vertical="center" shrinkToFit="1"/>
    </xf>
    <xf numFmtId="0" fontId="0" fillId="12" borderId="28" xfId="0" applyFill="1" applyBorder="1" applyAlignment="1">
      <alignment horizontal="left" vertical="center"/>
    </xf>
    <xf numFmtId="0" fontId="0" fillId="12" borderId="28" xfId="0" applyFill="1" applyBorder="1" applyAlignment="1">
      <alignment horizontal="center" vertical="center"/>
    </xf>
    <xf numFmtId="0" fontId="0" fillId="0" borderId="0" xfId="0" applyFont="1" applyFill="1">
      <alignment vertical="center"/>
    </xf>
    <xf numFmtId="0" fontId="0" fillId="0" borderId="0" xfId="0" applyFont="1" applyFill="1" applyAlignment="1">
      <alignment horizontal="left" vertical="center"/>
    </xf>
    <xf numFmtId="0" fontId="0" fillId="0" borderId="25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left" vertical="center"/>
    </xf>
    <xf numFmtId="0" fontId="6" fillId="0" borderId="25" xfId="0" applyFont="1" applyFill="1" applyBorder="1" applyAlignment="1">
      <alignment horizontal="center" vertical="center"/>
    </xf>
    <xf numFmtId="0" fontId="0" fillId="13" borderId="0" xfId="0" applyFont="1" applyFill="1">
      <alignment vertical="center"/>
    </xf>
    <xf numFmtId="0" fontId="4" fillId="13" borderId="0" xfId="1" applyFont="1" applyFill="1" applyBorder="1" applyAlignment="1">
      <alignment vertical="center"/>
    </xf>
    <xf numFmtId="0" fontId="4" fillId="13" borderId="0" xfId="1" applyFont="1" applyFill="1" applyBorder="1" applyAlignment="1">
      <alignment vertical="center" shrinkToFit="1"/>
    </xf>
    <xf numFmtId="0" fontId="0" fillId="13" borderId="0" xfId="0" applyFont="1" applyFill="1" applyAlignment="1">
      <alignment horizontal="left" vertical="center"/>
    </xf>
    <xf numFmtId="0" fontId="0" fillId="13" borderId="25" xfId="0" applyFont="1" applyFill="1" applyBorder="1" applyAlignment="1">
      <alignment horizontal="center" vertical="center"/>
    </xf>
    <xf numFmtId="0" fontId="6" fillId="13" borderId="25" xfId="0" applyFont="1" applyFill="1" applyBorder="1" applyAlignment="1">
      <alignment horizontal="left" vertical="center"/>
    </xf>
    <xf numFmtId="0" fontId="6" fillId="13" borderId="25" xfId="0" applyFont="1" applyFill="1" applyBorder="1" applyAlignment="1">
      <alignment horizontal="center" vertical="center"/>
    </xf>
    <xf numFmtId="0" fontId="0" fillId="13" borderId="0" xfId="0" applyFill="1">
      <alignment vertical="center"/>
    </xf>
    <xf numFmtId="0" fontId="0" fillId="0" borderId="0" xfId="0" applyFont="1">
      <alignment vertical="center"/>
    </xf>
    <xf numFmtId="0" fontId="14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 shrinkToFit="1"/>
    </xf>
    <xf numFmtId="0" fontId="0" fillId="0" borderId="0" xfId="0" applyFill="1" applyAlignment="1">
      <alignment horizontal="left" vertical="center"/>
    </xf>
    <xf numFmtId="0" fontId="0" fillId="0" borderId="29" xfId="0" applyFill="1" applyBorder="1" applyAlignment="1">
      <alignment horizontal="left" vertical="top" wrapText="1"/>
    </xf>
    <xf numFmtId="0" fontId="15" fillId="0" borderId="29" xfId="0" applyFont="1" applyFill="1" applyBorder="1" applyAlignment="1">
      <alignment horizontal="left" vertical="center"/>
    </xf>
    <xf numFmtId="0" fontId="0" fillId="0" borderId="30" xfId="0" applyFont="1" applyFill="1" applyBorder="1">
      <alignment vertical="center"/>
    </xf>
    <xf numFmtId="0" fontId="14" fillId="0" borderId="30" xfId="0" applyFont="1" applyFill="1" applyBorder="1" applyAlignment="1">
      <alignment vertical="center"/>
    </xf>
    <xf numFmtId="0" fontId="0" fillId="0" borderId="30" xfId="0" applyFont="1" applyFill="1" applyBorder="1" applyAlignment="1">
      <alignment vertical="center" shrinkToFit="1"/>
    </xf>
    <xf numFmtId="0" fontId="0" fillId="0" borderId="30" xfId="0" applyBorder="1" applyAlignment="1">
      <alignment horizontal="left" vertical="center"/>
    </xf>
    <xf numFmtId="0" fontId="0" fillId="0" borderId="30" xfId="0" applyBorder="1" applyAlignment="1">
      <alignment horizontal="left" vertical="top" wrapText="1"/>
    </xf>
    <xf numFmtId="0" fontId="0" fillId="0" borderId="30" xfId="0" applyBorder="1">
      <alignment vertical="center"/>
    </xf>
    <xf numFmtId="0" fontId="12" fillId="0" borderId="31" xfId="0" applyFont="1" applyBorder="1" applyAlignment="1">
      <alignment vertical="center" wrapText="1" shrinkToFit="1"/>
    </xf>
    <xf numFmtId="0" fontId="0" fillId="0" borderId="31" xfId="0" applyBorder="1" applyAlignment="1">
      <alignment vertical="center" shrinkToFit="1"/>
    </xf>
    <xf numFmtId="0" fontId="12" fillId="0" borderId="32" xfId="0" applyFont="1" applyBorder="1" applyAlignment="1">
      <alignment vertical="center" wrapText="1" shrinkToFit="1"/>
    </xf>
    <xf numFmtId="0" fontId="0" fillId="0" borderId="32" xfId="0" applyBorder="1" applyAlignment="1">
      <alignment vertical="center" shrinkToFit="1"/>
    </xf>
    <xf numFmtId="0" fontId="11" fillId="0" borderId="32" xfId="0" applyFont="1" applyBorder="1" applyAlignment="1">
      <alignment vertical="center" wrapText="1" shrinkToFit="1"/>
    </xf>
    <xf numFmtId="0" fontId="16" fillId="0" borderId="32" xfId="0" applyFont="1" applyBorder="1" applyAlignment="1">
      <alignment vertical="top"/>
    </xf>
    <xf numFmtId="0" fontId="17" fillId="0" borderId="32" xfId="0" applyFont="1" applyBorder="1" applyAlignment="1">
      <alignment vertical="center" shrinkToFit="1"/>
    </xf>
    <xf numFmtId="0" fontId="18" fillId="0" borderId="32" xfId="0" applyFont="1" applyBorder="1" applyAlignment="1">
      <alignment vertical="center" shrinkToFit="1"/>
    </xf>
    <xf numFmtId="0" fontId="17" fillId="0" borderId="26" xfId="0" applyFont="1" applyBorder="1" applyAlignment="1">
      <alignment vertical="center" shrinkToFit="1"/>
    </xf>
    <xf numFmtId="0" fontId="18" fillId="0" borderId="26" xfId="0" applyFont="1" applyBorder="1" applyAlignment="1">
      <alignment vertical="center" shrinkToFit="1"/>
    </xf>
    <xf numFmtId="0" fontId="16" fillId="0" borderId="26" xfId="0" applyFont="1" applyBorder="1" applyAlignment="1">
      <alignment vertical="top"/>
    </xf>
    <xf numFmtId="0" fontId="11" fillId="0" borderId="32" xfId="0" applyFont="1" applyBorder="1" applyAlignment="1">
      <alignment vertical="center" shrinkToFit="1"/>
    </xf>
    <xf numFmtId="0" fontId="16" fillId="0" borderId="32" xfId="0" applyFont="1" applyBorder="1" applyAlignment="1">
      <alignment horizontal="left" vertical="top"/>
    </xf>
    <xf numFmtId="0" fontId="17" fillId="7" borderId="33" xfId="0" applyFont="1" applyFill="1" applyBorder="1" applyAlignment="1">
      <alignment vertical="center" wrapText="1" shrinkToFit="1"/>
    </xf>
    <xf numFmtId="0" fontId="18" fillId="0" borderId="33" xfId="0" applyFont="1" applyBorder="1" applyAlignment="1">
      <alignment vertical="center" shrinkToFit="1"/>
    </xf>
    <xf numFmtId="0" fontId="0" fillId="0" borderId="32" xfId="0" applyBorder="1">
      <alignment vertical="center"/>
    </xf>
    <xf numFmtId="0" fontId="12" fillId="7" borderId="32" xfId="0" applyFont="1" applyFill="1" applyBorder="1" applyAlignment="1">
      <alignment vertical="center" wrapText="1"/>
    </xf>
    <xf numFmtId="0" fontId="11" fillId="0" borderId="26" xfId="0" applyFont="1" applyBorder="1" applyAlignment="1">
      <alignment vertical="center" shrinkToFit="1"/>
    </xf>
    <xf numFmtId="0" fontId="0" fillId="0" borderId="26" xfId="0" applyBorder="1" applyAlignment="1">
      <alignment vertical="center" shrinkToFit="1"/>
    </xf>
    <xf numFmtId="0" fontId="16" fillId="0" borderId="26" xfId="0" applyFont="1" applyFill="1" applyBorder="1" applyAlignment="1">
      <alignment horizontal="left" wrapText="1"/>
    </xf>
    <xf numFmtId="0" fontId="16" fillId="6" borderId="34" xfId="0" applyFont="1" applyFill="1" applyBorder="1" applyAlignment="1">
      <alignment horizontal="left" wrapText="1"/>
    </xf>
    <xf numFmtId="0" fontId="18" fillId="0" borderId="0" xfId="0" applyFont="1" applyFill="1" applyBorder="1" applyAlignment="1">
      <alignment vertical="center" shrinkToFit="1"/>
    </xf>
    <xf numFmtId="0" fontId="12" fillId="0" borderId="34" xfId="0" applyFont="1" applyBorder="1" applyAlignment="1">
      <alignment horizontal="left" vertical="center"/>
    </xf>
    <xf numFmtId="0" fontId="0" fillId="0" borderId="34" xfId="0" applyBorder="1" applyAlignment="1">
      <alignment vertical="center" shrinkToFit="1"/>
    </xf>
    <xf numFmtId="0" fontId="16" fillId="0" borderId="34" xfId="0" applyFont="1" applyBorder="1" applyAlignment="1">
      <alignment horizontal="left" vertical="top"/>
    </xf>
    <xf numFmtId="0" fontId="16" fillId="0" borderId="34" xfId="0" applyFont="1" applyBorder="1" applyAlignment="1">
      <alignment horizontal="left"/>
    </xf>
    <xf numFmtId="0" fontId="18" fillId="0" borderId="0" xfId="0" applyFont="1" applyFill="1" applyBorder="1" applyAlignment="1">
      <alignment horizontal="right" vertical="center" shrinkToFit="1"/>
    </xf>
    <xf numFmtId="0" fontId="12" fillId="0" borderId="35" xfId="0" applyFont="1" applyBorder="1" applyAlignment="1">
      <alignment horizontal="left" vertical="center"/>
    </xf>
    <xf numFmtId="0" fontId="0" fillId="0" borderId="35" xfId="0" applyBorder="1" applyAlignment="1">
      <alignment vertical="center" shrinkToFit="1"/>
    </xf>
    <xf numFmtId="0" fontId="16" fillId="0" borderId="35" xfId="0" applyFont="1" applyBorder="1" applyAlignment="1">
      <alignment horizontal="left" vertical="top"/>
    </xf>
    <xf numFmtId="0" fontId="16" fillId="0" borderId="35" xfId="0" applyFont="1" applyBorder="1" applyAlignment="1">
      <alignment horizontal="left"/>
    </xf>
    <xf numFmtId="0" fontId="12" fillId="0" borderId="36" xfId="0" applyFont="1" applyBorder="1" applyAlignment="1">
      <alignment horizontal="left" vertical="center"/>
    </xf>
    <xf numFmtId="0" fontId="0" fillId="0" borderId="36" xfId="0" applyBorder="1" applyAlignment="1">
      <alignment vertical="center" shrinkToFit="1"/>
    </xf>
    <xf numFmtId="0" fontId="16" fillId="0" borderId="36" xfId="0" applyFont="1" applyBorder="1" applyAlignment="1">
      <alignment horizontal="left" vertical="top"/>
    </xf>
    <xf numFmtId="0" fontId="16" fillId="0" borderId="36" xfId="0" applyFont="1" applyBorder="1" applyAlignment="1">
      <alignment horizontal="left"/>
    </xf>
    <xf numFmtId="0" fontId="12" fillId="0" borderId="0" xfId="0" applyFont="1" applyFill="1" applyBorder="1" applyAlignment="1">
      <alignment horizontal="left" vertical="center"/>
    </xf>
    <xf numFmtId="0" fontId="16" fillId="0" borderId="0" xfId="0" applyFont="1" applyAlignment="1">
      <alignment vertical="top"/>
    </xf>
    <xf numFmtId="0" fontId="16" fillId="0" borderId="0" xfId="0" applyFont="1" applyAlignment="1"/>
    <xf numFmtId="0" fontId="11" fillId="0" borderId="32" xfId="0" applyFont="1" applyFill="1" applyBorder="1" applyAlignment="1">
      <alignment vertical="center" shrinkToFit="1"/>
    </xf>
    <xf numFmtId="0" fontId="11" fillId="8" borderId="32" xfId="0" applyFont="1" applyFill="1" applyBorder="1" applyAlignment="1">
      <alignment vertical="center" shrinkToFit="1"/>
    </xf>
    <xf numFmtId="0" fontId="0" fillId="0" borderId="32" xfId="0" applyBorder="1" applyAlignment="1">
      <alignment vertical="center" wrapText="1"/>
    </xf>
    <xf numFmtId="0" fontId="12" fillId="0" borderId="32" xfId="0" applyFont="1" applyBorder="1" applyAlignment="1">
      <alignment horizontal="left" vertical="center"/>
    </xf>
    <xf numFmtId="0" fontId="19" fillId="0" borderId="32" xfId="0" applyFont="1" applyFill="1" applyBorder="1" applyAlignment="1">
      <alignment horizontal="left" vertical="top"/>
    </xf>
    <xf numFmtId="0" fontId="19" fillId="6" borderId="32" xfId="0" applyFont="1" applyFill="1" applyBorder="1" applyAlignment="1">
      <alignment horizontal="left" vertical="top" wrapText="1"/>
    </xf>
    <xf numFmtId="0" fontId="0" fillId="0" borderId="34" xfId="0" applyBorder="1">
      <alignment vertical="center"/>
    </xf>
    <xf numFmtId="0" fontId="0" fillId="0" borderId="32" xfId="0" applyBorder="1" applyAlignment="1">
      <alignment horizontal="right" vertical="center"/>
    </xf>
    <xf numFmtId="0" fontId="0" fillId="6" borderId="32" xfId="0" applyFill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2" xfId="0" applyFill="1" applyBorder="1">
      <alignment vertical="center"/>
    </xf>
    <xf numFmtId="0" fontId="0" fillId="0" borderId="37" xfId="0" applyBorder="1">
      <alignment vertical="center"/>
    </xf>
    <xf numFmtId="0" fontId="0" fillId="0" borderId="26" xfId="0" applyBorder="1">
      <alignment vertical="center"/>
    </xf>
    <xf numFmtId="0" fontId="12" fillId="0" borderId="0" xfId="0" applyFont="1" applyAlignment="1">
      <alignment vertical="center" wrapText="1"/>
    </xf>
    <xf numFmtId="178" fontId="6" fillId="10" borderId="0" xfId="0" applyNumberFormat="1" applyFont="1" applyFill="1" applyBorder="1" applyAlignment="1" applyProtection="1">
      <alignment vertical="center" wrapText="1"/>
      <protection locked="0"/>
    </xf>
    <xf numFmtId="0" fontId="0" fillId="0" borderId="0" xfId="0">
      <alignment vertical="center"/>
    </xf>
    <xf numFmtId="0" fontId="18" fillId="0" borderId="0" xfId="0" applyFont="1" applyAlignment="1">
      <alignment vertical="center" shrinkToFit="1"/>
    </xf>
    <xf numFmtId="0" fontId="18" fillId="0" borderId="0" xfId="0" applyFont="1">
      <alignment vertical="center"/>
    </xf>
    <xf numFmtId="0" fontId="12" fillId="0" borderId="0" xfId="0" applyFont="1">
      <alignment vertical="center"/>
    </xf>
    <xf numFmtId="0" fontId="18" fillId="10" borderId="0" xfId="0" applyFont="1" applyFill="1" applyAlignment="1">
      <alignment vertical="center" wrapText="1"/>
    </xf>
    <xf numFmtId="0" fontId="17" fillId="0" borderId="0" xfId="0" applyFont="1">
      <alignment vertical="center"/>
    </xf>
    <xf numFmtId="0" fontId="0" fillId="0" borderId="0" xfId="0" applyFont="1">
      <alignment vertical="center"/>
    </xf>
    <xf numFmtId="0" fontId="18" fillId="0" borderId="0" xfId="0" applyFont="1" applyAlignment="1">
      <alignment vertical="center" shrinkToFit="1"/>
    </xf>
    <xf numFmtId="0" fontId="18" fillId="0" borderId="0" xfId="0" applyFont="1">
      <alignment vertical="center"/>
    </xf>
    <xf numFmtId="0" fontId="18" fillId="10" borderId="0" xfId="0" applyFont="1" applyFill="1" applyAlignment="1">
      <alignment vertical="center" wrapText="1"/>
    </xf>
    <xf numFmtId="0" fontId="12" fillId="0" borderId="32" xfId="0" applyFont="1" applyBorder="1" applyAlignment="1">
      <alignment vertical="center" wrapText="1" shrinkToFit="1"/>
    </xf>
    <xf numFmtId="0" fontId="0" fillId="0" borderId="32" xfId="0" applyBorder="1" applyAlignment="1">
      <alignment vertical="center" shrinkToFit="1"/>
    </xf>
    <xf numFmtId="0" fontId="11" fillId="0" borderId="32" xfId="0" applyFont="1" applyBorder="1" applyAlignment="1">
      <alignment vertical="center" wrapText="1" shrinkToFit="1"/>
    </xf>
    <xf numFmtId="49" fontId="6" fillId="8" borderId="1" xfId="0" applyNumberFormat="1" applyFont="1" applyFill="1" applyBorder="1" applyAlignment="1" applyProtection="1">
      <alignment horizontal="center" vertical="center" shrinkToFit="1"/>
      <protection locked="0"/>
    </xf>
    <xf numFmtId="0" fontId="36" fillId="0" borderId="1" xfId="43" applyBorder="1">
      <alignment vertical="center"/>
    </xf>
    <xf numFmtId="0" fontId="0" fillId="0" borderId="3" xfId="0" applyBorder="1">
      <alignment vertical="center"/>
    </xf>
    <xf numFmtId="0" fontId="6" fillId="2" borderId="17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47" xfId="0" applyFont="1" applyFill="1" applyBorder="1" applyAlignment="1">
      <alignment horizontal="center" vertical="center" shrinkToFit="1"/>
    </xf>
    <xf numFmtId="0" fontId="6" fillId="2" borderId="16" xfId="0" applyFont="1" applyFill="1" applyBorder="1" applyAlignment="1">
      <alignment horizontal="center" vertical="center" shrinkToFit="1"/>
    </xf>
    <xf numFmtId="0" fontId="6" fillId="4" borderId="0" xfId="0" applyFont="1" applyFill="1" applyBorder="1" applyAlignment="1">
      <alignment vertical="center" wrapText="1" shrinkToFit="1"/>
    </xf>
    <xf numFmtId="0" fontId="6" fillId="4" borderId="0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13" borderId="0" xfId="0" applyFont="1" applyFill="1" applyBorder="1">
      <alignment vertical="center"/>
    </xf>
    <xf numFmtId="0" fontId="37" fillId="13" borderId="0" xfId="0" applyFont="1" applyFill="1" applyBorder="1" applyAlignment="1">
      <alignment vertical="center"/>
    </xf>
    <xf numFmtId="0" fontId="6" fillId="13" borderId="0" xfId="0" applyFont="1" applyFill="1" applyBorder="1" applyAlignment="1">
      <alignment vertical="center" shrinkToFit="1"/>
    </xf>
    <xf numFmtId="0" fontId="0" fillId="13" borderId="0" xfId="0" applyFont="1" applyFill="1" applyBorder="1" applyAlignment="1">
      <alignment horizontal="left" vertical="center"/>
    </xf>
    <xf numFmtId="0" fontId="16" fillId="13" borderId="48" xfId="0" applyFont="1" applyFill="1" applyBorder="1" applyAlignment="1">
      <alignment horizontal="center" vertical="center"/>
    </xf>
    <xf numFmtId="0" fontId="38" fillId="0" borderId="0" xfId="1" applyFont="1" applyBorder="1" applyAlignment="1">
      <alignment vertical="center"/>
    </xf>
    <xf numFmtId="0" fontId="16" fillId="0" borderId="25" xfId="0" applyFont="1" applyFill="1" applyBorder="1" applyAlignment="1">
      <alignment horizontal="center" vertical="center"/>
    </xf>
    <xf numFmtId="0" fontId="0" fillId="0" borderId="29" xfId="0" applyFill="1" applyBorder="1">
      <alignment vertical="center"/>
    </xf>
    <xf numFmtId="0" fontId="0" fillId="0" borderId="31" xfId="0" applyBorder="1">
      <alignment vertical="center"/>
    </xf>
    <xf numFmtId="0" fontId="0" fillId="0" borderId="32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6" borderId="34" xfId="0" applyFill="1" applyBorder="1" applyAlignment="1">
      <alignment horizontal="left" vertical="top" wrapText="1"/>
    </xf>
    <xf numFmtId="0" fontId="0" fillId="0" borderId="35" xfId="0" applyBorder="1" applyAlignment="1">
      <alignment horizontal="left" vertical="center"/>
    </xf>
    <xf numFmtId="0" fontId="0" fillId="6" borderId="35" xfId="0" applyFill="1" applyBorder="1" applyAlignment="1">
      <alignment horizontal="left" vertical="top" wrapText="1"/>
    </xf>
    <xf numFmtId="0" fontId="0" fillId="0" borderId="36" xfId="0" applyBorder="1" applyAlignment="1">
      <alignment horizontal="left" vertical="center"/>
    </xf>
    <xf numFmtId="0" fontId="0" fillId="6" borderId="36" xfId="0" applyFill="1" applyBorder="1" applyAlignment="1">
      <alignment horizontal="left" vertical="top" wrapText="1"/>
    </xf>
    <xf numFmtId="0" fontId="0" fillId="0" borderId="36" xfId="0" applyBorder="1">
      <alignment vertical="center"/>
    </xf>
    <xf numFmtId="0" fontId="13" fillId="0" borderId="32" xfId="0" applyFont="1" applyFill="1" applyBorder="1" applyAlignment="1">
      <alignment horizontal="left" vertical="top"/>
    </xf>
    <xf numFmtId="0" fontId="13" fillId="6" borderId="32" xfId="0" applyFont="1" applyFill="1" applyBorder="1" applyAlignment="1">
      <alignment horizontal="left" vertical="top" wrapText="1"/>
    </xf>
    <xf numFmtId="0" fontId="17" fillId="0" borderId="0" xfId="0" applyFont="1" applyAlignment="1">
      <alignment vertical="center" wrapText="1" shrinkToFit="1"/>
    </xf>
    <xf numFmtId="0" fontId="18" fillId="0" borderId="0" xfId="0" applyFont="1" applyBorder="1" applyAlignment="1">
      <alignment vertical="center" shrinkToFit="1"/>
    </xf>
    <xf numFmtId="0" fontId="0" fillId="0" borderId="31" xfId="0" applyBorder="1" applyAlignment="1">
      <alignment horizontal="left" vertical="center"/>
    </xf>
    <xf numFmtId="0" fontId="0" fillId="6" borderId="31" xfId="0" applyFill="1" applyBorder="1" applyAlignment="1">
      <alignment horizontal="left" vertical="top" wrapText="1"/>
    </xf>
    <xf numFmtId="0" fontId="12" fillId="0" borderId="50" xfId="0" applyFont="1" applyFill="1" applyBorder="1">
      <alignment vertical="center"/>
    </xf>
    <xf numFmtId="0" fontId="12" fillId="0" borderId="50" xfId="0" applyFont="1" applyBorder="1" applyAlignment="1">
      <alignment vertical="center" wrapText="1"/>
    </xf>
    <xf numFmtId="0" fontId="0" fillId="0" borderId="50" xfId="0" applyFill="1" applyBorder="1" applyAlignment="1">
      <alignment vertical="center" shrinkToFit="1"/>
    </xf>
    <xf numFmtId="0" fontId="16" fillId="0" borderId="50" xfId="0" applyFont="1" applyFill="1" applyBorder="1" applyAlignment="1">
      <alignment horizontal="left" vertical="top" wrapText="1"/>
    </xf>
    <xf numFmtId="0" fontId="0" fillId="0" borderId="50" xfId="0" applyBorder="1">
      <alignment vertical="center"/>
    </xf>
    <xf numFmtId="0" fontId="16" fillId="6" borderId="26" xfId="0" applyFont="1" applyFill="1" applyBorder="1" applyAlignment="1">
      <alignment horizontal="left" wrapText="1"/>
    </xf>
    <xf numFmtId="0" fontId="0" fillId="8" borderId="26" xfId="0" applyFill="1" applyBorder="1" applyAlignment="1">
      <alignment horizontal="center" vertical="center"/>
    </xf>
    <xf numFmtId="0" fontId="19" fillId="6" borderId="32" xfId="0" applyFont="1" applyFill="1" applyBorder="1" applyAlignment="1">
      <alignment vertical="top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10" borderId="0" xfId="0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11" borderId="0" xfId="0" applyFont="1" applyFill="1" applyBorder="1" applyAlignment="1">
      <alignment horizontal="center" vertical="center" shrinkToFit="1"/>
    </xf>
    <xf numFmtId="0" fontId="6" fillId="11" borderId="0" xfId="0" applyFont="1" applyFill="1" applyBorder="1" applyAlignment="1">
      <alignment vertical="center" shrinkToFit="1"/>
    </xf>
    <xf numFmtId="0" fontId="6" fillId="8" borderId="12" xfId="0" applyFont="1" applyFill="1" applyBorder="1" applyAlignment="1" applyProtection="1">
      <alignment horizontal="center" vertical="center" shrinkToFit="1"/>
      <protection locked="0"/>
    </xf>
    <xf numFmtId="180" fontId="6" fillId="4" borderId="12" xfId="0" applyNumberFormat="1" applyFont="1" applyFill="1" applyBorder="1" applyAlignment="1">
      <alignment horizontal="center" vertical="center" shrinkToFit="1"/>
    </xf>
    <xf numFmtId="49" fontId="6" fillId="4" borderId="12" xfId="0" applyNumberFormat="1" applyFont="1" applyFill="1" applyBorder="1" applyAlignment="1">
      <alignment horizontal="center" vertical="center" shrinkToFit="1"/>
    </xf>
    <xf numFmtId="179" fontId="6" fillId="4" borderId="12" xfId="0" applyNumberFormat="1" applyFont="1" applyFill="1" applyBorder="1" applyAlignment="1">
      <alignment horizontal="center" vertical="center" shrinkToFit="1"/>
    </xf>
    <xf numFmtId="182" fontId="6" fillId="4" borderId="12" xfId="0" applyNumberFormat="1" applyFont="1" applyFill="1" applyBorder="1" applyAlignment="1">
      <alignment horizontal="right" vertical="center" shrinkToFit="1"/>
    </xf>
    <xf numFmtId="0" fontId="12" fillId="0" borderId="35" xfId="0" applyFont="1" applyBorder="1" applyAlignment="1">
      <alignment vertical="center" wrapText="1" shrinkToFit="1"/>
    </xf>
    <xf numFmtId="0" fontId="11" fillId="0" borderId="35" xfId="0" applyFont="1" applyBorder="1" applyAlignment="1">
      <alignment vertical="center" wrapText="1" shrinkToFit="1"/>
    </xf>
    <xf numFmtId="0" fontId="11" fillId="0" borderId="35" xfId="0" applyFont="1" applyBorder="1" applyAlignment="1">
      <alignment vertical="center" shrinkToFit="1"/>
    </xf>
    <xf numFmtId="0" fontId="17" fillId="0" borderId="35" xfId="0" applyFont="1" applyBorder="1" applyAlignment="1">
      <alignment vertical="center" shrinkToFit="1"/>
    </xf>
    <xf numFmtId="0" fontId="18" fillId="0" borderId="35" xfId="0" applyFont="1" applyBorder="1" applyAlignment="1">
      <alignment vertical="center" shrinkToFit="1"/>
    </xf>
    <xf numFmtId="0" fontId="17" fillId="0" borderId="35" xfId="0" applyFont="1" applyBorder="1" applyAlignment="1">
      <alignment vertical="center" wrapText="1" shrinkToFit="1"/>
    </xf>
    <xf numFmtId="0" fontId="12" fillId="0" borderId="35" xfId="0" applyFont="1" applyBorder="1" applyAlignment="1">
      <alignment vertical="center" wrapText="1"/>
    </xf>
    <xf numFmtId="0" fontId="6" fillId="4" borderId="0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 shrinkToFit="1"/>
    </xf>
    <xf numFmtId="179" fontId="6" fillId="4" borderId="12" xfId="0" applyNumberFormat="1" applyFont="1" applyFill="1" applyBorder="1" applyAlignment="1" applyProtection="1">
      <alignment vertical="center" shrinkToFit="1"/>
      <protection locked="0"/>
    </xf>
    <xf numFmtId="179" fontId="6" fillId="4" borderId="12" xfId="0" applyNumberFormat="1" applyFont="1" applyFill="1" applyBorder="1" applyAlignment="1">
      <alignment horizontal="left" vertical="center" shrinkToFit="1"/>
    </xf>
    <xf numFmtId="0" fontId="6" fillId="9" borderId="1" xfId="0" applyFont="1" applyFill="1" applyBorder="1" applyAlignment="1" applyProtection="1">
      <alignment horizontal="center" vertical="center" shrinkToFit="1"/>
      <protection locked="0"/>
    </xf>
    <xf numFmtId="0" fontId="7" fillId="9" borderId="1" xfId="0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" fillId="10" borderId="17" xfId="0" applyFont="1" applyFill="1" applyBorder="1" applyAlignment="1" applyProtection="1">
      <alignment vertical="center"/>
      <protection locked="0"/>
    </xf>
    <xf numFmtId="0" fontId="6" fillId="9" borderId="1" xfId="0" applyFont="1" applyFill="1" applyBorder="1" applyAlignment="1" applyProtection="1">
      <alignment horizontal="center" vertical="center"/>
      <protection locked="0"/>
    </xf>
    <xf numFmtId="0" fontId="6" fillId="10" borderId="12" xfId="0" applyFont="1" applyFill="1" applyBorder="1" applyAlignment="1" applyProtection="1">
      <alignment vertical="center"/>
      <protection locked="0"/>
    </xf>
    <xf numFmtId="0" fontId="6" fillId="0" borderId="1" xfId="0" applyFont="1" applyFill="1" applyBorder="1" applyAlignment="1" applyProtection="1">
      <alignment horizontal="left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9" fontId="6" fillId="4" borderId="1" xfId="0" applyNumberFormat="1" applyFont="1" applyFill="1" applyBorder="1" applyAlignment="1">
      <alignment horizontal="center" vertical="center"/>
    </xf>
    <xf numFmtId="177" fontId="6" fillId="4" borderId="1" xfId="0" applyNumberFormat="1" applyFont="1" applyFill="1" applyBorder="1" applyAlignment="1">
      <alignment horizontal="center" vertical="center" shrinkToFit="1"/>
    </xf>
    <xf numFmtId="177" fontId="6" fillId="4" borderId="9" xfId="0" applyNumberFormat="1" applyFont="1" applyFill="1" applyBorder="1" applyAlignment="1">
      <alignment horizontal="center" vertical="center" shrinkToFit="1"/>
    </xf>
    <xf numFmtId="182" fontId="6" fillId="4" borderId="1" xfId="0" applyNumberFormat="1" applyFont="1" applyFill="1" applyBorder="1" applyAlignment="1">
      <alignment horizontal="center" vertical="center" shrinkToFit="1"/>
    </xf>
    <xf numFmtId="182" fontId="6" fillId="10" borderId="0" xfId="0" applyNumberFormat="1" applyFont="1" applyFill="1" applyBorder="1" applyAlignment="1">
      <alignment horizontal="center" vertical="center" shrinkToFit="1"/>
    </xf>
    <xf numFmtId="0" fontId="6" fillId="48" borderId="0" xfId="0" applyFont="1" applyFill="1" applyBorder="1" applyAlignment="1">
      <alignment vertical="center"/>
    </xf>
    <xf numFmtId="0" fontId="6" fillId="4" borderId="5" xfId="0" applyFont="1" applyFill="1" applyBorder="1" applyAlignment="1">
      <alignment vertical="center"/>
    </xf>
    <xf numFmtId="0" fontId="6" fillId="48" borderId="1" xfId="0" applyFont="1" applyFill="1" applyBorder="1" applyAlignment="1">
      <alignment horizontal="center" vertical="center" shrinkToFit="1"/>
    </xf>
    <xf numFmtId="0" fontId="8" fillId="2" borderId="1" xfId="0" applyFont="1" applyFill="1" applyBorder="1" applyAlignment="1">
      <alignment horizontal="center" vertical="center" shrinkToFit="1"/>
    </xf>
    <xf numFmtId="0" fontId="6" fillId="4" borderId="3" xfId="0" applyFont="1" applyFill="1" applyBorder="1" applyAlignment="1">
      <alignment vertical="center"/>
    </xf>
    <xf numFmtId="0" fontId="12" fillId="0" borderId="0" xfId="0" applyFont="1" applyAlignment="1">
      <alignment vertical="center" shrinkToFit="1"/>
    </xf>
    <xf numFmtId="0" fontId="0" fillId="0" borderId="1" xfId="0" applyBorder="1" applyAlignment="1">
      <alignment vertical="center" shrinkToFit="1"/>
    </xf>
    <xf numFmtId="183" fontId="0" fillId="10" borderId="0" xfId="0" applyNumberFormat="1" applyFill="1">
      <alignment vertical="center"/>
    </xf>
    <xf numFmtId="184" fontId="0" fillId="10" borderId="0" xfId="0" applyNumberFormat="1" applyFill="1">
      <alignment vertical="center"/>
    </xf>
    <xf numFmtId="185" fontId="0" fillId="10" borderId="0" xfId="0" applyNumberFormat="1" applyFill="1">
      <alignment vertical="center"/>
    </xf>
    <xf numFmtId="186" fontId="0" fillId="10" borderId="0" xfId="0" applyNumberFormat="1" applyFill="1">
      <alignment vertical="center"/>
    </xf>
    <xf numFmtId="0" fontId="0" fillId="10" borderId="1" xfId="0" applyFill="1" applyBorder="1" applyAlignment="1">
      <alignment vertical="center" shrinkToFit="1"/>
    </xf>
    <xf numFmtId="0" fontId="6" fillId="2" borderId="1" xfId="0" applyFont="1" applyFill="1" applyBorder="1" applyAlignment="1">
      <alignment vertical="center"/>
    </xf>
    <xf numFmtId="0" fontId="0" fillId="49" borderId="1" xfId="0" applyFill="1" applyBorder="1">
      <alignment vertical="center"/>
    </xf>
    <xf numFmtId="187" fontId="6" fillId="0" borderId="1" xfId="0" quotePrefix="1" applyNumberFormat="1" applyFont="1" applyBorder="1" applyAlignment="1" applyProtection="1">
      <alignment horizontal="right" vertical="center" shrinkToFit="1"/>
      <protection locked="0"/>
    </xf>
    <xf numFmtId="187" fontId="6" fillId="4" borderId="1" xfId="0" quotePrefix="1" applyNumberFormat="1" applyFont="1" applyFill="1" applyBorder="1" applyAlignment="1">
      <alignment horizontal="right" vertical="center" shrinkToFit="1"/>
    </xf>
    <xf numFmtId="187" fontId="6" fillId="4" borderId="1" xfId="0" quotePrefix="1" applyNumberFormat="1" applyFont="1" applyFill="1" applyBorder="1" applyAlignment="1" applyProtection="1">
      <alignment horizontal="right" vertical="center" shrinkToFit="1"/>
    </xf>
    <xf numFmtId="182" fontId="6" fillId="4" borderId="1" xfId="0" applyNumberFormat="1" applyFont="1" applyFill="1" applyBorder="1" applyAlignment="1">
      <alignment horizontal="right" vertical="center" shrinkToFit="1"/>
    </xf>
    <xf numFmtId="0" fontId="0" fillId="10" borderId="0" xfId="0" applyNumberFormat="1" applyFill="1" applyAlignment="1">
      <alignment vertical="center" shrinkToFit="1"/>
    </xf>
    <xf numFmtId="0" fontId="36" fillId="50" borderId="1" xfId="43" applyFont="1" applyFill="1" applyBorder="1">
      <alignment vertical="center"/>
    </xf>
    <xf numFmtId="0" fontId="39" fillId="50" borderId="1" xfId="43" applyFont="1" applyFill="1" applyBorder="1">
      <alignment vertical="center"/>
    </xf>
    <xf numFmtId="0" fontId="0" fillId="10" borderId="0" xfId="0" applyFill="1" applyBorder="1" applyAlignment="1">
      <alignment horizontal="right" vertical="center" shrinkToFit="1"/>
    </xf>
    <xf numFmtId="0" fontId="0" fillId="0" borderId="0" xfId="0" applyFill="1" applyBorder="1" applyAlignment="1">
      <alignment vertical="center" shrinkToFit="1"/>
    </xf>
    <xf numFmtId="0" fontId="6" fillId="8" borderId="10" xfId="0" applyFont="1" applyFill="1" applyBorder="1" applyAlignment="1" applyProtection="1">
      <alignment vertical="center"/>
    </xf>
    <xf numFmtId="0" fontId="6" fillId="8" borderId="11" xfId="0" applyFont="1" applyFill="1" applyBorder="1" applyAlignment="1" applyProtection="1">
      <alignment vertical="center"/>
    </xf>
    <xf numFmtId="0" fontId="6" fillId="48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vertical="center" shrinkToFit="1"/>
    </xf>
    <xf numFmtId="187" fontId="6" fillId="0" borderId="1" xfId="0" quotePrefix="1" applyNumberFormat="1" applyFont="1" applyFill="1" applyBorder="1" applyAlignment="1" applyProtection="1">
      <alignment horizontal="right" vertical="center" shrinkToFit="1"/>
      <protection locked="0"/>
    </xf>
    <xf numFmtId="187" fontId="6" fillId="48" borderId="1" xfId="0" quotePrefix="1" applyNumberFormat="1" applyFont="1" applyFill="1" applyBorder="1" applyAlignment="1" applyProtection="1">
      <alignment horizontal="right" vertical="center" shrinkToFit="1"/>
    </xf>
    <xf numFmtId="0" fontId="0" fillId="0" borderId="0" xfId="0" applyAlignment="1">
      <alignment horizontal="center" vertical="center"/>
    </xf>
    <xf numFmtId="0" fontId="6" fillId="0" borderId="1" xfId="0" applyFont="1" applyFill="1" applyBorder="1" applyAlignment="1">
      <alignment vertical="center" shrinkToFit="1"/>
    </xf>
    <xf numFmtId="14" fontId="6" fillId="0" borderId="0" xfId="0" applyNumberFormat="1" applyFont="1" applyFill="1" applyBorder="1" applyAlignment="1">
      <alignment vertical="center"/>
    </xf>
    <xf numFmtId="14" fontId="6" fillId="0" borderId="0" xfId="0" applyNumberFormat="1" applyFont="1" applyFill="1" applyBorder="1" applyAlignment="1">
      <alignment vertical="center" shrinkToFit="1"/>
    </xf>
    <xf numFmtId="0" fontId="6" fillId="48" borderId="1" xfId="0" applyFont="1" applyFill="1" applyBorder="1" applyAlignment="1" applyProtection="1">
      <alignment vertical="center"/>
    </xf>
    <xf numFmtId="0" fontId="6" fillId="48" borderId="1" xfId="0" applyFont="1" applyFill="1" applyBorder="1" applyAlignment="1" applyProtection="1">
      <alignment horizontal="center" vertical="center" shrinkToFit="1"/>
    </xf>
    <xf numFmtId="0" fontId="6" fillId="48" borderId="10" xfId="0" applyFont="1" applyFill="1" applyBorder="1" applyAlignment="1" applyProtection="1">
      <alignment vertical="center"/>
    </xf>
    <xf numFmtId="0" fontId="6" fillId="48" borderId="11" xfId="0" applyFont="1" applyFill="1" applyBorder="1" applyAlignment="1" applyProtection="1">
      <alignment vertical="center"/>
    </xf>
    <xf numFmtId="20" fontId="0" fillId="0" borderId="0" xfId="0" applyNumberFormat="1" applyAlignment="1">
      <alignment vertical="center" shrinkToFit="1"/>
    </xf>
    <xf numFmtId="0" fontId="0" fillId="48" borderId="0" xfId="0" applyFill="1">
      <alignment vertical="center"/>
    </xf>
    <xf numFmtId="0" fontId="12" fillId="0" borderId="0" xfId="0" applyFont="1" applyAlignment="1">
      <alignment horizontal="center" vertical="center"/>
    </xf>
    <xf numFmtId="0" fontId="6" fillId="48" borderId="1" xfId="0" applyFont="1" applyFill="1" applyBorder="1" applyAlignment="1" applyProtection="1">
      <alignment horizontal="left" vertical="center"/>
    </xf>
    <xf numFmtId="0" fontId="15" fillId="49" borderId="1" xfId="0" applyFont="1" applyFill="1" applyBorder="1" applyAlignment="1">
      <alignment vertical="center"/>
    </xf>
    <xf numFmtId="0" fontId="15" fillId="49" borderId="1" xfId="0" applyFont="1" applyFill="1" applyBorder="1" applyAlignment="1">
      <alignment horizontal="left" vertical="center" wrapText="1"/>
    </xf>
    <xf numFmtId="0" fontId="15" fillId="49" borderId="1" xfId="0" applyFont="1" applyFill="1" applyBorder="1" applyAlignment="1">
      <alignment vertical="center" wrapText="1"/>
    </xf>
    <xf numFmtId="0" fontId="15" fillId="49" borderId="1" xfId="0" applyFont="1" applyFill="1" applyBorder="1">
      <alignment vertical="center"/>
    </xf>
    <xf numFmtId="0" fontId="15" fillId="51" borderId="17" xfId="0" applyFont="1" applyFill="1" applyBorder="1" applyAlignment="1">
      <alignment horizontal="center" vertical="center"/>
    </xf>
    <xf numFmtId="0" fontId="15" fillId="51" borderId="1" xfId="0" applyFont="1" applyFill="1" applyBorder="1" applyAlignment="1">
      <alignment vertical="center" wrapText="1"/>
    </xf>
    <xf numFmtId="0" fontId="15" fillId="51" borderId="1" xfId="0" applyFont="1" applyFill="1" applyBorder="1">
      <alignment vertical="center"/>
    </xf>
    <xf numFmtId="0" fontId="15" fillId="51" borderId="52" xfId="0" applyFont="1" applyFill="1" applyBorder="1">
      <alignment vertical="center"/>
    </xf>
    <xf numFmtId="0" fontId="14" fillId="49" borderId="16" xfId="0" applyFont="1" applyFill="1" applyBorder="1" applyAlignment="1">
      <alignment horizontal="left" vertical="center"/>
    </xf>
    <xf numFmtId="0" fontId="15" fillId="49" borderId="52" xfId="0" applyFont="1" applyFill="1" applyBorder="1" applyAlignment="1">
      <alignment horizontal="left" vertical="center"/>
    </xf>
    <xf numFmtId="0" fontId="15" fillId="52" borderId="1" xfId="0" applyFont="1" applyFill="1" applyBorder="1" applyAlignment="1">
      <alignment vertical="center"/>
    </xf>
    <xf numFmtId="0" fontId="15" fillId="52" borderId="1" xfId="0" applyFont="1" applyFill="1" applyBorder="1" applyAlignment="1">
      <alignment vertical="center" wrapText="1"/>
    </xf>
    <xf numFmtId="0" fontId="15" fillId="51" borderId="16" xfId="0" applyFont="1" applyFill="1" applyBorder="1" applyAlignment="1">
      <alignment horizontal="center" vertical="center"/>
    </xf>
    <xf numFmtId="0" fontId="15" fillId="51" borderId="4" xfId="0" applyFont="1" applyFill="1" applyBorder="1">
      <alignment vertical="center"/>
    </xf>
    <xf numFmtId="0" fontId="15" fillId="49" borderId="11" xfId="0" applyFont="1" applyFill="1" applyBorder="1" applyAlignment="1">
      <alignment vertical="center" wrapText="1"/>
    </xf>
    <xf numFmtId="0" fontId="15" fillId="49" borderId="4" xfId="0" applyFont="1" applyFill="1" applyBorder="1" applyAlignment="1">
      <alignment horizontal="left" vertical="center"/>
    </xf>
    <xf numFmtId="0" fontId="15" fillId="49" borderId="11" xfId="0" applyFont="1" applyFill="1" applyBorder="1" applyAlignment="1">
      <alignment vertical="center"/>
    </xf>
    <xf numFmtId="0" fontId="15" fillId="49" borderId="11" xfId="0" applyFont="1" applyFill="1" applyBorder="1" applyAlignment="1">
      <alignment vertical="top" wrapText="1"/>
    </xf>
    <xf numFmtId="0" fontId="15" fillId="49" borderId="4" xfId="0" applyFont="1" applyFill="1" applyBorder="1" applyAlignment="1">
      <alignment vertical="center"/>
    </xf>
    <xf numFmtId="0" fontId="14" fillId="49" borderId="11" xfId="0" applyFont="1" applyFill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10" borderId="1" xfId="43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10" borderId="0" xfId="0" applyFill="1" applyAlignment="1">
      <alignment vertical="center" wrapText="1"/>
    </xf>
    <xf numFmtId="0" fontId="0" fillId="10" borderId="56" xfId="0" applyFill="1" applyBorder="1" applyAlignment="1">
      <alignment vertical="center" shrinkToFit="1"/>
    </xf>
    <xf numFmtId="0" fontId="0" fillId="10" borderId="57" xfId="0" applyFill="1" applyBorder="1" applyAlignment="1">
      <alignment vertical="center" shrinkToFit="1"/>
    </xf>
    <xf numFmtId="0" fontId="0" fillId="10" borderId="58" xfId="0" applyFill="1" applyBorder="1" applyAlignment="1">
      <alignment vertical="center" shrinkToFit="1"/>
    </xf>
    <xf numFmtId="0" fontId="6" fillId="2" borderId="1" xfId="0" applyFont="1" applyFill="1" applyBorder="1" applyAlignment="1">
      <alignment horizontal="center" vertical="center" wrapText="1" shrinkToFit="1"/>
    </xf>
    <xf numFmtId="0" fontId="6" fillId="9" borderId="60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vertical="center"/>
    </xf>
    <xf numFmtId="0" fontId="15" fillId="4" borderId="1" xfId="0" applyFont="1" applyFill="1" applyBorder="1" applyAlignment="1">
      <alignment vertical="center" shrinkToFit="1"/>
    </xf>
    <xf numFmtId="0" fontId="6" fillId="4" borderId="0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41" fillId="0" borderId="0" xfId="0" applyFont="1" applyFill="1" applyBorder="1" applyAlignment="1">
      <alignment horizontal="centerContinuous" vertical="center"/>
    </xf>
    <xf numFmtId="0" fontId="42" fillId="0" borderId="0" xfId="0" applyFont="1" applyFill="1" applyBorder="1" applyAlignment="1">
      <alignment horizontal="centerContinuous" vertical="center"/>
    </xf>
    <xf numFmtId="0" fontId="43" fillId="0" borderId="0" xfId="0" applyFont="1" applyBorder="1" applyAlignment="1">
      <alignment horizontal="centerContinuous" vertical="center"/>
    </xf>
    <xf numFmtId="0" fontId="44" fillId="0" borderId="0" xfId="0" applyFont="1" applyBorder="1" applyAlignment="1">
      <alignment horizontal="centerContinuous" vertical="center"/>
    </xf>
    <xf numFmtId="0" fontId="18" fillId="0" borderId="0" xfId="0" applyFont="1" applyAlignment="1">
      <alignment vertical="center" shrinkToFit="1"/>
    </xf>
    <xf numFmtId="0" fontId="18" fillId="10" borderId="0" xfId="0" applyFont="1" applyFill="1" applyAlignment="1">
      <alignment vertical="center" wrapText="1"/>
    </xf>
    <xf numFmtId="0" fontId="17" fillId="0" borderId="0" xfId="0" applyFont="1">
      <alignment vertical="center"/>
    </xf>
    <xf numFmtId="0" fontId="14" fillId="49" borderId="16" xfId="0" applyFont="1" applyFill="1" applyBorder="1" applyAlignment="1">
      <alignment horizontal="left" vertical="center"/>
    </xf>
    <xf numFmtId="0" fontId="15" fillId="51" borderId="17" xfId="0" applyFont="1" applyFill="1" applyBorder="1" applyAlignment="1">
      <alignment horizontal="center" vertical="center"/>
    </xf>
    <xf numFmtId="0" fontId="14" fillId="49" borderId="11" xfId="0" applyFont="1" applyFill="1" applyBorder="1" applyAlignment="1">
      <alignment horizontal="left" vertical="center"/>
    </xf>
    <xf numFmtId="0" fontId="0" fillId="0" borderId="59" xfId="0" applyBorder="1">
      <alignment vertical="center"/>
    </xf>
    <xf numFmtId="0" fontId="0" fillId="10" borderId="59" xfId="0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0" fillId="15" borderId="0" xfId="0" applyFill="1" applyAlignment="1">
      <alignment horizontal="left" vertical="top" wrapText="1"/>
    </xf>
    <xf numFmtId="176" fontId="6" fillId="4" borderId="12" xfId="0" applyNumberFormat="1" applyFont="1" applyFill="1" applyBorder="1" applyAlignment="1">
      <alignment horizontal="right" vertical="center" shrinkToFit="1"/>
    </xf>
    <xf numFmtId="0" fontId="36" fillId="50" borderId="1" xfId="43" applyFont="1" applyFill="1" applyBorder="1" applyAlignment="1">
      <alignment vertical="center" shrinkToFit="1"/>
    </xf>
    <xf numFmtId="0" fontId="6" fillId="4" borderId="12" xfId="0" applyNumberFormat="1" applyFont="1" applyFill="1" applyBorder="1" applyAlignment="1" applyProtection="1">
      <alignment horizontal="center" vertical="center" shrinkToFit="1"/>
      <protection locked="0"/>
    </xf>
    <xf numFmtId="49" fontId="6" fillId="4" borderId="12" xfId="0" applyNumberFormat="1" applyFont="1" applyFill="1" applyBorder="1" applyAlignment="1" applyProtection="1">
      <alignment horizontal="center" vertical="center" shrinkToFit="1"/>
    </xf>
    <xf numFmtId="176" fontId="6" fillId="4" borderId="12" xfId="0" applyNumberFormat="1" applyFont="1" applyFill="1" applyBorder="1" applyAlignment="1">
      <alignment horizontal="center" vertical="center" shrinkToFit="1"/>
    </xf>
    <xf numFmtId="0" fontId="9" fillId="0" borderId="0" xfId="1" applyNumberFormat="1" applyFont="1" applyFill="1" applyBorder="1" applyAlignment="1">
      <alignment vertical="center"/>
    </xf>
    <xf numFmtId="0" fontId="14" fillId="49" borderId="11" xfId="0" applyFont="1" applyFill="1" applyBorder="1" applyAlignment="1">
      <alignment horizontal="left" vertical="center"/>
    </xf>
    <xf numFmtId="0" fontId="6" fillId="4" borderId="1" xfId="0" applyFont="1" applyFill="1" applyBorder="1" applyAlignment="1" applyProtection="1">
      <alignment horizontal="center" vertical="center"/>
    </xf>
    <xf numFmtId="179" fontId="6" fillId="9" borderId="1" xfId="0" applyNumberFormat="1" applyFont="1" applyFill="1" applyBorder="1" applyAlignment="1" applyProtection="1">
      <alignment horizontal="center" vertical="center" shrinkToFit="1"/>
      <protection locked="0"/>
    </xf>
    <xf numFmtId="179" fontId="6" fillId="4" borderId="1" xfId="0" applyNumberFormat="1" applyFont="1" applyFill="1" applyBorder="1" applyAlignment="1" applyProtection="1">
      <alignment horizontal="center" vertical="center" shrinkToFit="1"/>
    </xf>
    <xf numFmtId="0" fontId="6" fillId="48" borderId="1" xfId="0" applyFont="1" applyFill="1" applyBorder="1" applyAlignment="1" applyProtection="1">
      <alignment horizontal="left" vertical="center" shrinkToFit="1"/>
    </xf>
    <xf numFmtId="0" fontId="14" fillId="49" borderId="11" xfId="0" applyFont="1" applyFill="1" applyBorder="1" applyAlignment="1">
      <alignment horizontal="left" vertical="center"/>
    </xf>
    <xf numFmtId="179" fontId="6" fillId="4" borderId="12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horizontal="right" vertical="center"/>
      <protection locked="0"/>
    </xf>
    <xf numFmtId="0" fontId="6" fillId="48" borderId="1" xfId="0" applyFont="1" applyFill="1" applyBorder="1" applyAlignment="1" applyProtection="1">
      <alignment horizontal="right" vertical="center"/>
    </xf>
    <xf numFmtId="0" fontId="6" fillId="4" borderId="1" xfId="0" applyFont="1" applyFill="1" applyBorder="1" applyAlignment="1" applyProtection="1">
      <alignment horizontal="right" vertical="center"/>
    </xf>
    <xf numFmtId="181" fontId="6" fillId="4" borderId="12" xfId="0" quotePrefix="1" applyNumberFormat="1" applyFont="1" applyFill="1" applyBorder="1" applyAlignment="1">
      <alignment horizontal="right" vertical="center" shrinkToFit="1"/>
    </xf>
    <xf numFmtId="0" fontId="14" fillId="49" borderId="16" xfId="0" applyFont="1" applyFill="1" applyBorder="1" applyAlignment="1">
      <alignment horizontal="left" vertical="center"/>
    </xf>
    <xf numFmtId="0" fontId="0" fillId="0" borderId="12" xfId="0" applyFill="1" applyBorder="1" applyAlignment="1">
      <alignment vertical="center" shrinkToFit="1"/>
    </xf>
    <xf numFmtId="0" fontId="6" fillId="47" borderId="12" xfId="0" applyFont="1" applyFill="1" applyBorder="1" applyAlignment="1" applyProtection="1">
      <alignment horizontal="center" vertical="center" shrinkToFit="1"/>
      <protection locked="0"/>
    </xf>
    <xf numFmtId="0" fontId="16" fillId="15" borderId="32" xfId="0" applyFont="1" applyFill="1" applyBorder="1" applyAlignment="1">
      <alignment vertical="top" wrapText="1"/>
    </xf>
    <xf numFmtId="0" fontId="6" fillId="10" borderId="52" xfId="0" applyFont="1" applyFill="1" applyBorder="1" applyAlignment="1" applyProtection="1">
      <alignment vertical="center"/>
      <protection locked="0"/>
    </xf>
    <xf numFmtId="0" fontId="6" fillId="10" borderId="52" xfId="0" applyFont="1" applyFill="1" applyBorder="1" applyAlignment="1">
      <alignment vertical="center" shrinkToFit="1"/>
    </xf>
    <xf numFmtId="0" fontId="6" fillId="10" borderId="52" xfId="0" applyFont="1" applyFill="1" applyBorder="1" applyAlignment="1">
      <alignment vertical="center"/>
    </xf>
    <xf numFmtId="0" fontId="6" fillId="10" borderId="12" xfId="0" applyFont="1" applyFill="1" applyBorder="1" applyAlignment="1">
      <alignment vertical="center"/>
    </xf>
    <xf numFmtId="0" fontId="19" fillId="10" borderId="32" xfId="0" applyFont="1" applyFill="1" applyBorder="1" applyAlignment="1">
      <alignment horizontal="left" vertical="top" wrapText="1"/>
    </xf>
    <xf numFmtId="49" fontId="6" fillId="10" borderId="25" xfId="0" applyNumberFormat="1" applyFont="1" applyFill="1" applyBorder="1" applyAlignment="1" applyProtection="1">
      <alignment vertical="center"/>
      <protection locked="0"/>
    </xf>
    <xf numFmtId="49" fontId="6" fillId="10" borderId="67" xfId="0" applyNumberFormat="1" applyFont="1" applyFill="1" applyBorder="1" applyAlignment="1" applyProtection="1">
      <alignment vertical="center"/>
      <protection locked="0"/>
    </xf>
    <xf numFmtId="178" fontId="3" fillId="10" borderId="25" xfId="1" applyNumberFormat="1" applyFont="1" applyFill="1" applyBorder="1" applyAlignment="1">
      <alignment vertical="center"/>
    </xf>
    <xf numFmtId="178" fontId="3" fillId="10" borderId="27" xfId="1" applyNumberFormat="1" applyFont="1" applyFill="1" applyBorder="1" applyAlignment="1">
      <alignment vertical="center"/>
    </xf>
    <xf numFmtId="0" fontId="6" fillId="10" borderId="68" xfId="0" applyFont="1" applyFill="1" applyBorder="1" applyAlignment="1" applyProtection="1">
      <alignment vertical="center"/>
    </xf>
    <xf numFmtId="0" fontId="6" fillId="10" borderId="69" xfId="0" applyFont="1" applyFill="1" applyBorder="1" applyAlignment="1" applyProtection="1">
      <alignment vertical="center"/>
    </xf>
    <xf numFmtId="179" fontId="0" fillId="10" borderId="0" xfId="0" applyNumberFormat="1" applyFill="1">
      <alignment vertical="center"/>
    </xf>
    <xf numFmtId="184" fontId="36" fillId="0" borderId="1" xfId="43" applyNumberFormat="1" applyBorder="1">
      <alignment vertical="center"/>
    </xf>
    <xf numFmtId="179" fontId="36" fillId="0" borderId="1" xfId="43" applyNumberFormat="1" applyBorder="1">
      <alignment vertical="center"/>
    </xf>
    <xf numFmtId="0" fontId="6" fillId="4" borderId="12" xfId="0" applyNumberFormat="1" applyFont="1" applyFill="1" applyBorder="1" applyAlignment="1" applyProtection="1">
      <alignment vertical="center" shrinkToFit="1"/>
    </xf>
    <xf numFmtId="179" fontId="6" fillId="4" borderId="12" xfId="0" applyNumberFormat="1" applyFont="1" applyFill="1" applyBorder="1" applyAlignment="1" applyProtection="1">
      <alignment horizontal="center" vertical="center" shrinkToFit="1"/>
    </xf>
    <xf numFmtId="179" fontId="6" fillId="4" borderId="12" xfId="0" applyNumberFormat="1" applyFont="1" applyFill="1" applyBorder="1" applyAlignment="1" applyProtection="1">
      <alignment horizontal="left" vertical="center" shrinkToFit="1"/>
    </xf>
    <xf numFmtId="0" fontId="6" fillId="4" borderId="12" xfId="0" applyNumberFormat="1" applyFont="1" applyFill="1" applyBorder="1" applyAlignment="1" applyProtection="1">
      <alignment horizontal="center" vertical="center" shrinkToFit="1"/>
    </xf>
    <xf numFmtId="180" fontId="6" fillId="4" borderId="12" xfId="0" applyNumberFormat="1" applyFont="1" applyFill="1" applyBorder="1" applyAlignment="1" applyProtection="1">
      <alignment horizontal="center" vertical="center" shrinkToFit="1"/>
    </xf>
    <xf numFmtId="0" fontId="45" fillId="0" borderId="0" xfId="0" applyFont="1" applyFill="1" applyBorder="1" applyAlignment="1">
      <alignment horizontal="left" vertical="center"/>
    </xf>
    <xf numFmtId="0" fontId="47" fillId="0" borderId="53" xfId="0" applyFont="1" applyFill="1" applyBorder="1" applyAlignment="1">
      <alignment horizontal="center" vertical="center" shrinkToFit="1"/>
    </xf>
    <xf numFmtId="0" fontId="48" fillId="0" borderId="55" xfId="0" applyFont="1" applyBorder="1" applyAlignment="1">
      <alignment horizontal="center" vertical="center" shrinkToFit="1"/>
    </xf>
    <xf numFmtId="0" fontId="47" fillId="0" borderId="55" xfId="0" applyFont="1" applyFill="1" applyBorder="1" applyAlignment="1">
      <alignment horizontal="center" vertical="center" shrinkToFit="1"/>
    </xf>
    <xf numFmtId="0" fontId="47" fillId="0" borderId="54" xfId="0" applyFont="1" applyFill="1" applyBorder="1" applyAlignment="1">
      <alignment horizontal="center" vertical="center" shrinkToFit="1"/>
    </xf>
    <xf numFmtId="0" fontId="47" fillId="0" borderId="11" xfId="0" applyFont="1" applyFill="1" applyBorder="1" applyAlignment="1">
      <alignment horizontal="center" vertical="center" shrinkToFit="1"/>
    </xf>
    <xf numFmtId="179" fontId="49" fillId="0" borderId="64" xfId="0" applyNumberFormat="1" applyFont="1" applyFill="1" applyBorder="1" applyAlignment="1">
      <alignment horizontal="center" vertical="center" shrinkToFit="1"/>
    </xf>
    <xf numFmtId="0" fontId="50" fillId="0" borderId="65" xfId="0" applyFont="1" applyBorder="1" applyAlignment="1">
      <alignment horizontal="center" vertical="center" shrinkToFit="1"/>
    </xf>
    <xf numFmtId="0" fontId="50" fillId="0" borderId="65" xfId="0" applyFont="1" applyBorder="1" applyAlignment="1">
      <alignment horizontal="left" vertical="top" wrapText="1" shrinkToFit="1"/>
    </xf>
    <xf numFmtId="177" fontId="49" fillId="0" borderId="65" xfId="0" applyNumberFormat="1" applyFont="1" applyFill="1" applyBorder="1" applyAlignment="1">
      <alignment horizontal="center" vertical="center" shrinkToFit="1"/>
    </xf>
    <xf numFmtId="0" fontId="49" fillId="0" borderId="65" xfId="0" applyFont="1" applyFill="1" applyBorder="1" applyAlignment="1">
      <alignment horizontal="center" vertical="center" shrinkToFit="1"/>
    </xf>
    <xf numFmtId="177" fontId="49" fillId="0" borderId="65" xfId="0" quotePrefix="1" applyNumberFormat="1" applyFont="1" applyFill="1" applyBorder="1" applyAlignment="1">
      <alignment horizontal="center" vertical="center" shrinkToFit="1"/>
    </xf>
    <xf numFmtId="0" fontId="49" fillId="0" borderId="66" xfId="0" applyFont="1" applyFill="1" applyBorder="1" applyAlignment="1">
      <alignment horizontal="center" vertical="center" wrapText="1" shrinkToFit="1"/>
    </xf>
    <xf numFmtId="0" fontId="47" fillId="0" borderId="61" xfId="0" applyFont="1" applyFill="1" applyBorder="1" applyAlignment="1">
      <alignment horizontal="center" vertical="center" shrinkToFit="1"/>
    </xf>
    <xf numFmtId="0" fontId="48" fillId="0" borderId="62" xfId="0" applyFont="1" applyBorder="1" applyAlignment="1">
      <alignment horizontal="center" vertical="center" shrinkToFit="1"/>
    </xf>
    <xf numFmtId="0" fontId="47" fillId="0" borderId="62" xfId="0" applyFont="1" applyFill="1" applyBorder="1" applyAlignment="1">
      <alignment horizontal="center" vertical="center" shrinkToFit="1"/>
    </xf>
    <xf numFmtId="0" fontId="47" fillId="0" borderId="63" xfId="0" applyFont="1" applyFill="1" applyBorder="1" applyAlignment="1">
      <alignment horizontal="center" vertical="center" shrinkToFit="1"/>
    </xf>
    <xf numFmtId="0" fontId="47" fillId="0" borderId="0" xfId="0" applyFont="1" applyFill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48" fillId="0" borderId="2" xfId="0" applyFont="1" applyBorder="1" applyAlignment="1">
      <alignment vertical="center"/>
    </xf>
    <xf numFmtId="0" fontId="48" fillId="0" borderId="3" xfId="0" applyFont="1" applyBorder="1" applyAlignment="1">
      <alignment vertical="center"/>
    </xf>
    <xf numFmtId="0" fontId="48" fillId="0" borderId="16" xfId="0" applyFont="1" applyBorder="1" applyAlignment="1">
      <alignment vertical="center"/>
    </xf>
    <xf numFmtId="0" fontId="48" fillId="0" borderId="4" xfId="0" applyFont="1" applyBorder="1" applyAlignment="1">
      <alignment vertical="center"/>
    </xf>
    <xf numFmtId="0" fontId="48" fillId="0" borderId="0" xfId="0" applyFont="1" applyBorder="1" applyAlignment="1">
      <alignment vertical="center"/>
    </xf>
    <xf numFmtId="0" fontId="48" fillId="0" borderId="5" xfId="0" applyFont="1" applyBorder="1" applyAlignment="1">
      <alignment vertical="center"/>
    </xf>
    <xf numFmtId="0" fontId="48" fillId="0" borderId="4" xfId="0" applyFont="1" applyBorder="1" applyAlignment="1">
      <alignment horizontal="left" vertical="center"/>
    </xf>
    <xf numFmtId="0" fontId="48" fillId="0" borderId="6" xfId="0" applyFont="1" applyBorder="1" applyAlignment="1">
      <alignment vertical="center"/>
    </xf>
    <xf numFmtId="0" fontId="48" fillId="0" borderId="8" xfId="0" applyFont="1" applyBorder="1" applyAlignment="1">
      <alignment vertical="center"/>
    </xf>
    <xf numFmtId="0" fontId="14" fillId="49" borderId="11" xfId="0" applyFont="1" applyFill="1" applyBorder="1" applyAlignment="1">
      <alignment horizontal="left" vertical="center"/>
    </xf>
    <xf numFmtId="0" fontId="6" fillId="4" borderId="12" xfId="0" applyNumberFormat="1" applyFont="1" applyFill="1" applyBorder="1" applyAlignment="1" applyProtection="1">
      <alignment vertical="center" shrinkToFit="1"/>
      <protection locked="0"/>
    </xf>
    <xf numFmtId="0" fontId="14" fillId="49" borderId="11" xfId="0" applyFont="1" applyFill="1" applyBorder="1" applyAlignment="1">
      <alignment horizontal="left" vertical="center"/>
    </xf>
    <xf numFmtId="0" fontId="14" fillId="49" borderId="11" xfId="0" applyFont="1" applyFill="1" applyBorder="1" applyAlignment="1">
      <alignment horizontal="left" vertical="center"/>
    </xf>
    <xf numFmtId="0" fontId="6" fillId="4" borderId="0" xfId="0" applyFont="1" applyFill="1" applyBorder="1" applyAlignment="1" applyProtection="1">
      <alignment vertical="center"/>
    </xf>
    <xf numFmtId="0" fontId="6" fillId="4" borderId="0" xfId="0" applyFont="1" applyFill="1" applyBorder="1" applyAlignment="1" applyProtection="1">
      <alignment horizontal="right" vertical="center"/>
    </xf>
    <xf numFmtId="0" fontId="6" fillId="4" borderId="1" xfId="0" applyFont="1" applyFill="1" applyBorder="1" applyAlignment="1" applyProtection="1">
      <alignment horizontal="center" vertical="center" shrinkToFit="1"/>
    </xf>
    <xf numFmtId="0" fontId="7" fillId="4" borderId="1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>
      <alignment horizontal="right" vertical="center"/>
    </xf>
    <xf numFmtId="179" fontId="7" fillId="4" borderId="1" xfId="0" applyNumberFormat="1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right" vertical="center" shrinkToFi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vertical="center" shrinkToFit="1"/>
    </xf>
    <xf numFmtId="0" fontId="0" fillId="10" borderId="1" xfId="0" applyNumberFormat="1" applyFill="1" applyBorder="1" applyAlignment="1">
      <alignment vertical="center" shrinkToFit="1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6" fillId="0" borderId="17" xfId="0" applyFont="1" applyFill="1" applyBorder="1" applyAlignment="1" applyProtection="1">
      <alignment horizontal="center" vertical="center" shrinkToFit="1"/>
      <protection locked="0"/>
    </xf>
    <xf numFmtId="0" fontId="6" fillId="4" borderId="17" xfId="0" applyFont="1" applyFill="1" applyBorder="1" applyAlignment="1" applyProtection="1">
      <alignment horizontal="center" vertical="center" shrinkToFit="1"/>
    </xf>
    <xf numFmtId="189" fontId="0" fillId="10" borderId="0" xfId="0" applyNumberFormat="1" applyFill="1">
      <alignment vertical="center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left" vertical="center"/>
    </xf>
    <xf numFmtId="0" fontId="8" fillId="4" borderId="59" xfId="0" applyFont="1" applyFill="1" applyBorder="1" applyAlignment="1">
      <alignment horizontal="right" vertical="center"/>
    </xf>
    <xf numFmtId="179" fontId="7" fillId="9" borderId="60" xfId="0" applyNumberFormat="1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>
      <alignment horizontal="left" vertical="center"/>
    </xf>
    <xf numFmtId="179" fontId="7" fillId="9" borderId="60" xfId="0" applyNumberFormat="1" applyFont="1" applyFill="1" applyBorder="1" applyAlignment="1" applyProtection="1">
      <alignment vertical="center" shrinkToFit="1"/>
      <protection locked="0"/>
    </xf>
    <xf numFmtId="0" fontId="6" fillId="0" borderId="59" xfId="0" applyFont="1" applyFill="1" applyBorder="1" applyAlignment="1">
      <alignment horizontal="left" vertical="center"/>
    </xf>
    <xf numFmtId="0" fontId="38" fillId="0" borderId="70" xfId="1" applyFont="1" applyBorder="1" applyAlignment="1">
      <alignment vertical="center"/>
    </xf>
    <xf numFmtId="0" fontId="3" fillId="0" borderId="70" xfId="1" applyFont="1" applyBorder="1" applyAlignment="1">
      <alignment vertical="center" shrinkToFit="1"/>
    </xf>
    <xf numFmtId="0" fontId="0" fillId="0" borderId="70" xfId="0" applyFont="1" applyFill="1" applyBorder="1" applyAlignment="1">
      <alignment horizontal="left" vertical="center"/>
    </xf>
    <xf numFmtId="0" fontId="0" fillId="0" borderId="69" xfId="0" applyFont="1" applyFill="1" applyBorder="1" applyAlignment="1">
      <alignment horizontal="center" vertical="center"/>
    </xf>
    <xf numFmtId="0" fontId="16" fillId="0" borderId="69" xfId="0" applyFont="1" applyFill="1" applyBorder="1" applyAlignment="1">
      <alignment horizontal="center" vertical="center"/>
    </xf>
    <xf numFmtId="0" fontId="37" fillId="13" borderId="70" xfId="0" applyFont="1" applyFill="1" applyBorder="1" applyAlignment="1">
      <alignment vertical="center"/>
    </xf>
    <xf numFmtId="0" fontId="6" fillId="13" borderId="70" xfId="0" applyFont="1" applyFill="1" applyBorder="1" applyAlignment="1">
      <alignment vertical="center" shrinkToFit="1"/>
    </xf>
    <xf numFmtId="0" fontId="0" fillId="13" borderId="70" xfId="0" applyFont="1" applyFill="1" applyBorder="1" applyAlignment="1">
      <alignment horizontal="left" vertical="center"/>
    </xf>
    <xf numFmtId="0" fontId="0" fillId="13" borderId="69" xfId="0" applyFont="1" applyFill="1" applyBorder="1" applyAlignment="1">
      <alignment horizontal="center" vertical="center"/>
    </xf>
    <xf numFmtId="0" fontId="16" fillId="13" borderId="71" xfId="0" applyFont="1" applyFill="1" applyBorder="1" applyAlignment="1">
      <alignment horizontal="center" vertical="center"/>
    </xf>
    <xf numFmtId="0" fontId="11" fillId="0" borderId="72" xfId="0" applyFont="1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0" fillId="0" borderId="72" xfId="0" applyBorder="1" applyAlignment="1">
      <alignment horizontal="left" vertical="center"/>
    </xf>
    <xf numFmtId="49" fontId="6" fillId="8" borderId="9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12" xfId="0" applyFill="1" applyBorder="1" applyAlignment="1" applyProtection="1">
      <alignment vertical="center" shrinkToFit="1"/>
      <protection locked="0"/>
    </xf>
    <xf numFmtId="0" fontId="14" fillId="49" borderId="1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center" vertical="center"/>
    </xf>
    <xf numFmtId="0" fontId="53" fillId="0" borderId="0" xfId="0" applyFont="1" applyBorder="1" applyAlignment="1">
      <alignment vertical="center"/>
    </xf>
    <xf numFmtId="0" fontId="6" fillId="4" borderId="17" xfId="0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52" fillId="0" borderId="0" xfId="0" applyFont="1" applyFill="1" applyBorder="1" applyAlignment="1">
      <alignment horizontal="center" vertical="center"/>
    </xf>
    <xf numFmtId="0" fontId="15" fillId="49" borderId="1" xfId="0" applyFont="1" applyFill="1" applyBorder="1" applyAlignment="1">
      <alignment vertical="top" wrapText="1"/>
    </xf>
    <xf numFmtId="0" fontId="6" fillId="11" borderId="1" xfId="0" applyFont="1" applyFill="1" applyBorder="1" applyAlignment="1" applyProtection="1">
      <alignment horizontal="right" vertical="center"/>
    </xf>
    <xf numFmtId="49" fontId="6" fillId="4" borderId="0" xfId="0" applyNumberFormat="1" applyFont="1" applyFill="1" applyBorder="1" applyAlignment="1" applyProtection="1">
      <alignment horizontal="left" vertical="center" shrinkToFit="1"/>
    </xf>
    <xf numFmtId="49" fontId="6" fillId="4" borderId="12" xfId="0" applyNumberFormat="1" applyFont="1" applyFill="1" applyBorder="1" applyAlignment="1" applyProtection="1">
      <alignment vertical="center" shrinkToFit="1"/>
    </xf>
    <xf numFmtId="0" fontId="52" fillId="0" borderId="0" xfId="0" applyFont="1" applyFill="1" applyBorder="1" applyAlignment="1">
      <alignment horizontal="center" vertical="center"/>
    </xf>
    <xf numFmtId="0" fontId="48" fillId="0" borderId="74" xfId="0" applyFont="1" applyBorder="1" applyAlignment="1">
      <alignment vertical="center"/>
    </xf>
    <xf numFmtId="0" fontId="48" fillId="0" borderId="75" xfId="0" applyFont="1" applyBorder="1" applyAlignment="1">
      <alignment vertical="center"/>
    </xf>
    <xf numFmtId="0" fontId="48" fillId="0" borderId="76" xfId="0" applyFont="1" applyBorder="1" applyAlignment="1">
      <alignment vertical="center"/>
    </xf>
    <xf numFmtId="0" fontId="48" fillId="0" borderId="77" xfId="0" applyFont="1" applyBorder="1" applyAlignment="1">
      <alignment vertical="center"/>
    </xf>
    <xf numFmtId="0" fontId="48" fillId="0" borderId="78" xfId="0" applyFont="1" applyBorder="1" applyAlignment="1">
      <alignment vertical="center"/>
    </xf>
    <xf numFmtId="0" fontId="48" fillId="0" borderId="77" xfId="0" applyFont="1" applyBorder="1" applyAlignment="1">
      <alignment horizontal="left" vertical="center"/>
    </xf>
    <xf numFmtId="0" fontId="48" fillId="0" borderId="79" xfId="0" applyFont="1" applyBorder="1" applyAlignment="1">
      <alignment vertical="center"/>
    </xf>
    <xf numFmtId="0" fontId="48" fillId="0" borderId="80" xfId="0" applyFont="1" applyBorder="1" applyAlignment="1">
      <alignment vertical="center"/>
    </xf>
    <xf numFmtId="0" fontId="47" fillId="0" borderId="0" xfId="0" applyFont="1" applyFill="1" applyBorder="1" applyAlignment="1">
      <alignment horizontal="right" vertical="center"/>
    </xf>
    <xf numFmtId="0" fontId="52" fillId="0" borderId="0" xfId="0" applyFont="1" applyFill="1" applyBorder="1" applyAlignment="1"/>
    <xf numFmtId="49" fontId="6" fillId="8" borderId="9" xfId="0" applyNumberFormat="1" applyFont="1" applyFill="1" applyBorder="1" applyAlignment="1" applyProtection="1">
      <alignment vertical="center"/>
      <protection locked="0"/>
    </xf>
    <xf numFmtId="49" fontId="6" fillId="48" borderId="9" xfId="0" applyNumberFormat="1" applyFont="1" applyFill="1" applyBorder="1" applyAlignment="1" applyProtection="1">
      <alignment vertical="center"/>
    </xf>
    <xf numFmtId="0" fontId="52" fillId="0" borderId="0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49" fontId="6" fillId="48" borderId="0" xfId="0" applyNumberFormat="1" applyFont="1" applyFill="1" applyBorder="1" applyAlignment="1">
      <alignment vertical="center"/>
    </xf>
    <xf numFmtId="49" fontId="6" fillId="2" borderId="1" xfId="0" applyNumberFormat="1" applyFont="1" applyFill="1" applyBorder="1" applyAlignment="1">
      <alignment horizontal="center" vertical="center" shrinkToFit="1"/>
    </xf>
    <xf numFmtId="49" fontId="6" fillId="4" borderId="3" xfId="0" applyNumberFormat="1" applyFont="1" applyFill="1" applyBorder="1" applyAlignment="1">
      <alignment vertical="center"/>
    </xf>
    <xf numFmtId="49" fontId="6" fillId="4" borderId="0" xfId="0" applyNumberFormat="1" applyFont="1" applyFill="1" applyBorder="1" applyAlignment="1">
      <alignment vertical="center"/>
    </xf>
    <xf numFmtId="9" fontId="6" fillId="4" borderId="1" xfId="0" applyNumberFormat="1" applyFont="1" applyFill="1" applyBorder="1" applyAlignment="1" applyProtection="1">
      <alignment horizontal="center" vertical="center"/>
    </xf>
    <xf numFmtId="177" fontId="6" fillId="4" borderId="1" xfId="0" applyNumberFormat="1" applyFont="1" applyFill="1" applyBorder="1" applyAlignment="1" applyProtection="1">
      <alignment horizontal="center" vertical="center" shrinkToFit="1"/>
    </xf>
    <xf numFmtId="177" fontId="6" fillId="4" borderId="9" xfId="0" applyNumberFormat="1" applyFont="1" applyFill="1" applyBorder="1" applyAlignment="1" applyProtection="1">
      <alignment horizontal="center" vertical="center" shrinkToFit="1"/>
    </xf>
    <xf numFmtId="182" fontId="6" fillId="4" borderId="1" xfId="0" applyNumberFormat="1" applyFont="1" applyFill="1" applyBorder="1" applyAlignment="1" applyProtection="1">
      <alignment horizontal="center" vertical="center" shrinkToFit="1"/>
    </xf>
    <xf numFmtId="0" fontId="6" fillId="4" borderId="1" xfId="0" applyFont="1" applyFill="1" applyBorder="1" applyAlignment="1" applyProtection="1">
      <alignment horizontal="left" vertical="center"/>
    </xf>
    <xf numFmtId="49" fontId="0" fillId="48" borderId="0" xfId="0" applyNumberFormat="1" applyFill="1">
      <alignment vertical="center"/>
    </xf>
    <xf numFmtId="49" fontId="6" fillId="48" borderId="1" xfId="0" applyNumberFormat="1" applyFont="1" applyFill="1" applyBorder="1" applyAlignment="1" applyProtection="1">
      <alignment horizontal="left" vertical="center" shrinkToFit="1"/>
    </xf>
    <xf numFmtId="49" fontId="6" fillId="48" borderId="1" xfId="0" applyNumberFormat="1" applyFont="1" applyFill="1" applyBorder="1" applyAlignment="1" applyProtection="1">
      <alignment vertical="center" shrinkToFit="1"/>
    </xf>
    <xf numFmtId="49" fontId="6" fillId="0" borderId="1" xfId="0" applyNumberFormat="1" applyFont="1" applyBorder="1" applyAlignment="1" applyProtection="1">
      <alignment vertical="center" shrinkToFit="1"/>
      <protection locked="0"/>
    </xf>
    <xf numFmtId="49" fontId="6" fillId="8" borderId="1" xfId="0" applyNumberFormat="1" applyFont="1" applyFill="1" applyBorder="1" applyAlignment="1" applyProtection="1">
      <alignment horizontal="left" vertical="center" shrinkToFit="1"/>
      <protection locked="0"/>
    </xf>
    <xf numFmtId="49" fontId="1" fillId="10" borderId="1" xfId="43" applyNumberFormat="1" applyFon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49" borderId="2" xfId="0" applyFont="1" applyFill="1" applyBorder="1" applyAlignment="1">
      <alignment horizontal="left" vertical="center"/>
    </xf>
    <xf numFmtId="0" fontId="14" fillId="49" borderId="9" xfId="0" applyFont="1" applyFill="1" applyBorder="1" applyAlignment="1">
      <alignment horizontal="left" vertical="center"/>
    </xf>
    <xf numFmtId="0" fontId="15" fillId="51" borderId="2" xfId="0" applyFont="1" applyFill="1" applyBorder="1" applyAlignment="1">
      <alignment horizontal="center" vertical="center"/>
    </xf>
    <xf numFmtId="0" fontId="15" fillId="51" borderId="12" xfId="0" applyFont="1" applyFill="1" applyBorder="1">
      <alignment vertical="center"/>
    </xf>
    <xf numFmtId="0" fontId="15" fillId="49" borderId="12" xfId="0" applyFont="1" applyFill="1" applyBorder="1" applyAlignment="1">
      <alignment horizontal="left" vertical="center"/>
    </xf>
    <xf numFmtId="0" fontId="6" fillId="4" borderId="17" xfId="0" applyFont="1" applyFill="1" applyBorder="1" applyAlignment="1">
      <alignment horizontal="center" vertical="center" shrinkToFit="1"/>
    </xf>
    <xf numFmtId="0" fontId="6" fillId="2" borderId="17" xfId="0" applyFont="1" applyFill="1" applyBorder="1" applyAlignment="1">
      <alignment horizontal="center" vertical="center" wrapText="1" shrinkToFit="1"/>
    </xf>
    <xf numFmtId="0" fontId="15" fillId="51" borderId="10" xfId="0" applyFont="1" applyFill="1" applyBorder="1" applyAlignment="1">
      <alignment vertical="center" wrapText="1"/>
    </xf>
    <xf numFmtId="0" fontId="15" fillId="51" borderId="11" xfId="0" applyFont="1" applyFill="1" applyBorder="1" applyAlignment="1">
      <alignment vertical="center" wrapText="1"/>
    </xf>
    <xf numFmtId="0" fontId="15" fillId="49" borderId="10" xfId="0" applyFont="1" applyFill="1" applyBorder="1" applyAlignment="1">
      <alignment vertical="center" wrapText="1"/>
    </xf>
    <xf numFmtId="0" fontId="15" fillId="49" borderId="9" xfId="0" applyFont="1" applyFill="1" applyBorder="1" applyAlignment="1">
      <alignment vertical="center"/>
    </xf>
    <xf numFmtId="0" fontId="15" fillId="49" borderId="10" xfId="0" applyFont="1" applyFill="1" applyBorder="1" applyAlignment="1">
      <alignment vertical="top" wrapText="1"/>
    </xf>
    <xf numFmtId="14" fontId="6" fillId="4" borderId="0" xfId="0" applyNumberFormat="1" applyFont="1" applyFill="1" applyBorder="1" applyAlignment="1">
      <alignment vertical="center"/>
    </xf>
    <xf numFmtId="0" fontId="14" fillId="49" borderId="2" xfId="0" applyFont="1" applyFill="1" applyBorder="1" applyAlignment="1">
      <alignment horizontal="left" vertical="center"/>
    </xf>
    <xf numFmtId="0" fontId="14" fillId="49" borderId="16" xfId="0" applyFont="1" applyFill="1" applyBorder="1" applyAlignment="1">
      <alignment horizontal="left" vertical="center"/>
    </xf>
    <xf numFmtId="0" fontId="15" fillId="51" borderId="2" xfId="0" applyFont="1" applyFill="1" applyBorder="1" applyAlignment="1">
      <alignment horizontal="center" vertical="center"/>
    </xf>
    <xf numFmtId="0" fontId="15" fillId="51" borderId="17" xfId="0" applyFont="1" applyFill="1" applyBorder="1" applyAlignment="1">
      <alignment horizontal="center" vertical="center"/>
    </xf>
    <xf numFmtId="0" fontId="14" fillId="49" borderId="16" xfId="0" applyFont="1" applyFill="1" applyBorder="1" applyAlignment="1">
      <alignment horizontal="left" vertical="center"/>
    </xf>
    <xf numFmtId="0" fontId="14" fillId="49" borderId="11" xfId="0" applyFont="1" applyFill="1" applyBorder="1" applyAlignment="1">
      <alignment horizontal="left" vertical="center"/>
    </xf>
    <xf numFmtId="0" fontId="15" fillId="51" borderId="17" xfId="0" applyFont="1" applyFill="1" applyBorder="1" applyAlignment="1">
      <alignment horizontal="center" vertical="center"/>
    </xf>
    <xf numFmtId="0" fontId="58" fillId="2" borderId="1" xfId="43" applyFont="1" applyFill="1" applyBorder="1" applyAlignment="1">
      <alignment horizontal="center" vertical="center" shrinkToFit="1"/>
    </xf>
    <xf numFmtId="0" fontId="58" fillId="53" borderId="1" xfId="43" applyFont="1" applyFill="1" applyBorder="1" applyAlignment="1">
      <alignment horizontal="center" vertical="center" shrinkToFit="1"/>
    </xf>
    <xf numFmtId="49" fontId="13" fillId="0" borderId="81" xfId="0" applyNumberFormat="1" applyFont="1" applyBorder="1">
      <alignment vertical="center"/>
    </xf>
    <xf numFmtId="191" fontId="13" fillId="0" borderId="81" xfId="0" applyNumberFormat="1" applyFont="1" applyBorder="1" applyAlignment="1">
      <alignment horizontal="right" vertical="center"/>
    </xf>
    <xf numFmtId="0" fontId="13" fillId="0" borderId="81" xfId="0" applyFont="1" applyBorder="1" applyAlignment="1">
      <alignment horizontal="right" vertical="center"/>
    </xf>
    <xf numFmtId="0" fontId="13" fillId="0" borderId="81" xfId="0" applyFont="1" applyBorder="1">
      <alignment vertical="center"/>
    </xf>
    <xf numFmtId="1" fontId="13" fillId="0" borderId="81" xfId="0" applyNumberFormat="1" applyFon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0" xfId="0" applyNumberFormat="1" applyBorder="1">
      <alignment vertical="center"/>
    </xf>
    <xf numFmtId="0" fontId="14" fillId="49" borderId="16" xfId="0" applyFont="1" applyFill="1" applyBorder="1" applyAlignment="1">
      <alignment horizontal="left" vertical="center"/>
    </xf>
    <xf numFmtId="0" fontId="15" fillId="51" borderId="17" xfId="0" applyFont="1" applyFill="1" applyBorder="1" applyAlignment="1">
      <alignment horizontal="center" vertical="center"/>
    </xf>
    <xf numFmtId="0" fontId="15" fillId="49" borderId="17" xfId="0" applyFont="1" applyFill="1" applyBorder="1" applyAlignment="1">
      <alignment vertical="center"/>
    </xf>
    <xf numFmtId="179" fontId="7" fillId="5" borderId="1" xfId="0" applyNumberFormat="1" applyFon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Border="1" applyAlignment="1">
      <alignment vertical="center" shrinkToFit="1"/>
    </xf>
    <xf numFmtId="49" fontId="0" fillId="0" borderId="0" xfId="0" applyNumberFormat="1" applyFill="1" applyBorder="1" applyAlignment="1">
      <alignment vertical="center" shrinkToFit="1"/>
    </xf>
    <xf numFmtId="49" fontId="7" fillId="5" borderId="9" xfId="0" applyNumberFormat="1" applyFont="1" applyFill="1" applyBorder="1" applyAlignment="1" applyProtection="1">
      <alignment horizontal="left" vertical="center"/>
      <protection locked="0"/>
    </xf>
    <xf numFmtId="0" fontId="14" fillId="49" borderId="11" xfId="0" applyFont="1" applyFill="1" applyBorder="1" applyAlignment="1">
      <alignment horizontal="left" vertical="center"/>
    </xf>
    <xf numFmtId="49" fontId="7" fillId="11" borderId="9" xfId="0" applyNumberFormat="1" applyFont="1" applyFill="1" applyBorder="1" applyAlignment="1" applyProtection="1">
      <alignment horizontal="left" vertical="center"/>
    </xf>
    <xf numFmtId="179" fontId="46" fillId="0" borderId="0" xfId="0" applyNumberFormat="1" applyFont="1" applyFill="1" applyBorder="1" applyAlignment="1">
      <alignment horizontal="centerContinuous" vertical="center"/>
    </xf>
    <xf numFmtId="179" fontId="6" fillId="0" borderId="0" xfId="0" applyNumberFormat="1" applyFont="1" applyFill="1" applyBorder="1" applyAlignment="1">
      <alignment horizontal="right" vertical="center"/>
    </xf>
    <xf numFmtId="0" fontId="15" fillId="0" borderId="0" xfId="0" applyNumberFormat="1" applyFont="1" applyFill="1" applyBorder="1" applyAlignment="1">
      <alignment horizontal="centerContinuous" vertical="center"/>
    </xf>
    <xf numFmtId="58" fontId="46" fillId="0" borderId="0" xfId="0" applyNumberFormat="1" applyFont="1" applyFill="1" applyBorder="1" applyAlignment="1">
      <alignment horizontal="centerContinuous" vertical="center"/>
    </xf>
    <xf numFmtId="58" fontId="46" fillId="0" borderId="0" xfId="0" applyNumberFormat="1" applyFont="1" applyFill="1" applyBorder="1" applyAlignment="1">
      <alignment vertical="center"/>
    </xf>
    <xf numFmtId="49" fontId="7" fillId="0" borderId="53" xfId="0" applyNumberFormat="1" applyFont="1" applyBorder="1" applyAlignment="1">
      <alignment horizontal="center" vertical="center" shrinkToFit="1"/>
    </xf>
    <xf numFmtId="49" fontId="7" fillId="0" borderId="54" xfId="0" applyNumberFormat="1" applyFont="1" applyBorder="1" applyAlignment="1">
      <alignment horizontal="center" vertical="center" shrinkToFit="1"/>
    </xf>
    <xf numFmtId="49" fontId="7" fillId="0" borderId="55" xfId="0" applyNumberFormat="1" applyFont="1" applyBorder="1" applyAlignment="1">
      <alignment horizontal="center" vertical="center" shrinkToFit="1"/>
    </xf>
    <xf numFmtId="49" fontId="6" fillId="0" borderId="55" xfId="0" applyNumberFormat="1" applyFont="1" applyFill="1" applyBorder="1" applyAlignment="1">
      <alignment horizontal="center" vertical="center" shrinkToFit="1"/>
    </xf>
    <xf numFmtId="49" fontId="6" fillId="0" borderId="54" xfId="0" applyNumberFormat="1" applyFont="1" applyFill="1" applyBorder="1" applyAlignment="1">
      <alignment horizontal="center" vertical="center" shrinkToFit="1"/>
    </xf>
    <xf numFmtId="0" fontId="7" fillId="0" borderId="53" xfId="0" applyFont="1" applyBorder="1" applyAlignment="1">
      <alignment horizontal="center" vertical="center" shrinkToFit="1"/>
    </xf>
    <xf numFmtId="0" fontId="7" fillId="0" borderId="54" xfId="0" applyFont="1" applyBorder="1" applyAlignment="1">
      <alignment horizontal="center" vertical="center" shrinkToFit="1"/>
    </xf>
    <xf numFmtId="0" fontId="7" fillId="0" borderId="55" xfId="0" applyFont="1" applyBorder="1" applyAlignment="1">
      <alignment horizontal="center" vertical="center" shrinkToFit="1"/>
    </xf>
    <xf numFmtId="0" fontId="6" fillId="0" borderId="53" xfId="0" applyFont="1" applyFill="1" applyBorder="1" applyAlignment="1">
      <alignment horizontal="center" vertical="center" shrinkToFit="1"/>
    </xf>
    <xf numFmtId="0" fontId="6" fillId="0" borderId="55" xfId="0" applyFont="1" applyFill="1" applyBorder="1" applyAlignment="1">
      <alignment horizontal="center" vertical="center" shrinkToFit="1"/>
    </xf>
    <xf numFmtId="0" fontId="6" fillId="0" borderId="54" xfId="0" applyFont="1" applyFill="1" applyBorder="1" applyAlignment="1">
      <alignment horizontal="center" vertical="center" shrinkToFit="1"/>
    </xf>
    <xf numFmtId="0" fontId="12" fillId="50" borderId="81" xfId="0" applyFont="1" applyFill="1" applyBorder="1" applyAlignment="1">
      <alignment horizontal="left" vertical="center" wrapText="1"/>
    </xf>
    <xf numFmtId="49" fontId="0" fillId="10" borderId="0" xfId="0" applyNumberFormat="1" applyFill="1">
      <alignment vertical="center"/>
    </xf>
    <xf numFmtId="0" fontId="59" fillId="0" borderId="1" xfId="0" applyFont="1" applyFill="1" applyBorder="1" applyAlignment="1">
      <alignment vertical="center" shrinkToFit="1"/>
    </xf>
    <xf numFmtId="181" fontId="59" fillId="0" borderId="53" xfId="0" applyNumberFormat="1" applyFont="1" applyFill="1" applyBorder="1" applyAlignment="1">
      <alignment vertical="center" shrinkToFit="1"/>
    </xf>
    <xf numFmtId="181" fontId="59" fillId="0" borderId="54" xfId="0" applyNumberFormat="1" applyFont="1" applyFill="1" applyBorder="1" applyAlignment="1">
      <alignment vertical="center" shrinkToFit="1"/>
    </xf>
    <xf numFmtId="181" fontId="59" fillId="0" borderId="55" xfId="0" applyNumberFormat="1" applyFont="1" applyFill="1" applyBorder="1" applyAlignment="1">
      <alignment vertical="center" shrinkToFit="1"/>
    </xf>
    <xf numFmtId="181" fontId="59" fillId="0" borderId="1" xfId="0" applyNumberFormat="1" applyFont="1" applyFill="1" applyBorder="1" applyAlignment="1">
      <alignment vertical="center" shrinkToFit="1"/>
    </xf>
    <xf numFmtId="0" fontId="59" fillId="0" borderId="1" xfId="0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32" xfId="0" applyBorder="1">
      <alignment vertical="center"/>
    </xf>
    <xf numFmtId="0" fontId="0" fillId="0" borderId="0" xfId="0" applyFont="1">
      <alignment vertical="center"/>
    </xf>
    <xf numFmtId="0" fontId="12" fillId="0" borderId="32" xfId="0" applyFont="1" applyBorder="1" applyAlignment="1">
      <alignment vertical="center" wrapText="1" shrinkToFit="1"/>
    </xf>
    <xf numFmtId="0" fontId="0" fillId="0" borderId="32" xfId="0" applyBorder="1" applyAlignment="1">
      <alignment vertical="center" shrinkToFit="1"/>
    </xf>
    <xf numFmtId="0" fontId="0" fillId="0" borderId="32" xfId="0" applyBorder="1">
      <alignment vertical="center"/>
    </xf>
    <xf numFmtId="0" fontId="0" fillId="0" borderId="32" xfId="0" applyBorder="1" applyAlignment="1">
      <alignment vertical="center" shrinkToFit="1"/>
    </xf>
    <xf numFmtId="0" fontId="11" fillId="0" borderId="32" xfId="0" applyFont="1" applyBorder="1" applyAlignment="1">
      <alignment vertical="center" wrapText="1" shrinkToFit="1"/>
    </xf>
    <xf numFmtId="0" fontId="0" fillId="0" borderId="32" xfId="0" applyBorder="1">
      <alignment vertical="center"/>
    </xf>
    <xf numFmtId="0" fontId="0" fillId="0" borderId="37" xfId="0" applyBorder="1">
      <alignment vertical="center"/>
    </xf>
    <xf numFmtId="0" fontId="0" fillId="0" borderId="0" xfId="0">
      <alignment vertical="center"/>
    </xf>
    <xf numFmtId="0" fontId="0" fillId="0" borderId="0" xfId="0" applyBorder="1">
      <alignment vertical="center"/>
    </xf>
    <xf numFmtId="0" fontId="17" fillId="0" borderId="32" xfId="0" applyFont="1" applyBorder="1" applyAlignment="1">
      <alignment vertical="center" shrinkToFit="1"/>
    </xf>
    <xf numFmtId="0" fontId="18" fillId="0" borderId="32" xfId="0" applyFont="1" applyBorder="1" applyAlignment="1">
      <alignment vertical="center" shrinkToFit="1"/>
    </xf>
    <xf numFmtId="0" fontId="0" fillId="0" borderId="32" xfId="0" applyBorder="1">
      <alignment vertical="center"/>
    </xf>
    <xf numFmtId="0" fontId="0" fillId="0" borderId="0" xfId="0" applyAlignment="1">
      <alignment vertical="center" shrinkToFit="1"/>
    </xf>
    <xf numFmtId="0" fontId="12" fillId="0" borderId="0" xfId="0" applyFont="1" applyAlignment="1">
      <alignment vertical="center" wrapText="1"/>
    </xf>
    <xf numFmtId="0" fontId="7" fillId="0" borderId="53" xfId="0" applyFont="1" applyBorder="1" applyAlignment="1">
      <alignment horizontal="center" vertical="center" shrinkToFit="1"/>
    </xf>
    <xf numFmtId="0" fontId="7" fillId="0" borderId="55" xfId="0" applyFont="1" applyBorder="1" applyAlignment="1">
      <alignment horizontal="center" vertical="center" shrinkToFit="1"/>
    </xf>
    <xf numFmtId="0" fontId="6" fillId="0" borderId="53" xfId="0" applyFont="1" applyFill="1" applyBorder="1" applyAlignment="1">
      <alignment horizontal="center" vertical="center" shrinkToFit="1"/>
    </xf>
    <xf numFmtId="0" fontId="6" fillId="0" borderId="55" xfId="0" applyFont="1" applyFill="1" applyBorder="1" applyAlignment="1">
      <alignment horizontal="center" vertical="center" shrinkToFit="1"/>
    </xf>
    <xf numFmtId="0" fontId="7" fillId="0" borderId="54" xfId="0" applyFont="1" applyBorder="1" applyAlignment="1">
      <alignment horizontal="center" vertical="center" shrinkToFit="1"/>
    </xf>
    <xf numFmtId="0" fontId="6" fillId="0" borderId="54" xfId="0" applyFont="1" applyFill="1" applyBorder="1" applyAlignment="1">
      <alignment horizontal="center" vertical="center" shrinkToFit="1"/>
    </xf>
    <xf numFmtId="0" fontId="6" fillId="8" borderId="10" xfId="0" applyFont="1" applyFill="1" applyBorder="1" applyAlignment="1">
      <alignment horizontal="left" vertical="center" shrinkToFit="1"/>
    </xf>
    <xf numFmtId="0" fontId="6" fillId="8" borderId="11" xfId="0" applyFont="1" applyFill="1" applyBorder="1" applyAlignment="1">
      <alignment horizontal="left" vertical="center" shrinkToFit="1"/>
    </xf>
    <xf numFmtId="0" fontId="6" fillId="8" borderId="14" xfId="0" applyFont="1" applyFill="1" applyBorder="1" applyAlignment="1">
      <alignment horizontal="left" vertical="center" shrinkToFit="1"/>
    </xf>
    <xf numFmtId="0" fontId="6" fillId="8" borderId="9" xfId="0" applyFont="1" applyFill="1" applyBorder="1" applyAlignment="1" applyProtection="1">
      <alignment horizontal="center" vertical="center"/>
      <protection locked="0"/>
    </xf>
    <xf numFmtId="0" fontId="6" fillId="8" borderId="10" xfId="0" applyFont="1" applyFill="1" applyBorder="1" applyAlignment="1" applyProtection="1">
      <alignment horizontal="center" vertical="center"/>
      <protection locked="0"/>
    </xf>
    <xf numFmtId="0" fontId="6" fillId="8" borderId="11" xfId="0" applyFont="1" applyFill="1" applyBorder="1" applyAlignment="1" applyProtection="1">
      <alignment horizontal="center" vertical="center"/>
      <protection locked="0"/>
    </xf>
    <xf numFmtId="0" fontId="6" fillId="9" borderId="9" xfId="0" applyFont="1" applyFill="1" applyBorder="1" applyAlignment="1" applyProtection="1">
      <alignment horizontal="center" vertical="center"/>
      <protection locked="0"/>
    </xf>
    <xf numFmtId="0" fontId="6" fillId="9" borderId="10" xfId="0" applyFont="1" applyFill="1" applyBorder="1" applyAlignment="1" applyProtection="1">
      <alignment horizontal="center" vertical="center"/>
      <protection locked="0"/>
    </xf>
    <xf numFmtId="0" fontId="6" fillId="9" borderId="11" xfId="0" applyFont="1" applyFill="1" applyBorder="1" applyAlignment="1" applyProtection="1">
      <alignment horizontal="center" vertical="center"/>
      <protection locked="0"/>
    </xf>
    <xf numFmtId="0" fontId="6" fillId="9" borderId="9" xfId="0" applyFont="1" applyFill="1" applyBorder="1" applyAlignment="1" applyProtection="1">
      <alignment horizontal="center" vertical="center" shrinkToFit="1"/>
      <protection locked="0"/>
    </xf>
    <xf numFmtId="0" fontId="6" fillId="9" borderId="10" xfId="0" applyFont="1" applyFill="1" applyBorder="1" applyAlignment="1" applyProtection="1">
      <alignment horizontal="center" vertical="center" shrinkToFit="1"/>
      <protection locked="0"/>
    </xf>
    <xf numFmtId="0" fontId="6" fillId="9" borderId="11" xfId="0" applyFont="1" applyFill="1" applyBorder="1" applyAlignment="1" applyProtection="1">
      <alignment horizontal="center" vertical="center" shrinkToFit="1"/>
      <protection locked="0"/>
    </xf>
    <xf numFmtId="179" fontId="6" fillId="5" borderId="9" xfId="0" applyNumberFormat="1" applyFont="1" applyFill="1" applyBorder="1" applyAlignment="1" applyProtection="1">
      <alignment horizontal="center" vertical="center"/>
      <protection locked="0"/>
    </xf>
    <xf numFmtId="179" fontId="6" fillId="5" borderId="10" xfId="0" applyNumberFormat="1" applyFont="1" applyFill="1" applyBorder="1" applyAlignment="1" applyProtection="1">
      <alignment horizontal="center" vertical="center"/>
      <protection locked="0"/>
    </xf>
    <xf numFmtId="179" fontId="6" fillId="5" borderId="11" xfId="0" applyNumberFormat="1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4" borderId="9" xfId="0" applyFont="1" applyFill="1" applyBorder="1" applyAlignment="1">
      <alignment vertical="center"/>
    </xf>
    <xf numFmtId="0" fontId="6" fillId="4" borderId="10" xfId="0" applyFont="1" applyFill="1" applyBorder="1" applyAlignment="1">
      <alignment vertical="center"/>
    </xf>
    <xf numFmtId="0" fontId="6" fillId="4" borderId="11" xfId="0" applyFont="1" applyFill="1" applyBorder="1" applyAlignment="1">
      <alignment vertical="center"/>
    </xf>
    <xf numFmtId="0" fontId="6" fillId="8" borderId="15" xfId="0" applyFont="1" applyFill="1" applyBorder="1" applyAlignment="1">
      <alignment horizontal="left" vertical="center" shrinkToFit="1"/>
    </xf>
    <xf numFmtId="0" fontId="6" fillId="4" borderId="9" xfId="0" applyFont="1" applyFill="1" applyBorder="1" applyAlignment="1">
      <alignment vertical="center" shrinkToFit="1"/>
    </xf>
    <xf numFmtId="0" fontId="6" fillId="4" borderId="10" xfId="0" applyFont="1" applyFill="1" applyBorder="1" applyAlignment="1">
      <alignment vertical="center" shrinkToFit="1"/>
    </xf>
    <xf numFmtId="0" fontId="6" fillId="4" borderId="11" xfId="0" applyFont="1" applyFill="1" applyBorder="1" applyAlignment="1">
      <alignment vertical="center" shrinkToFit="1"/>
    </xf>
    <xf numFmtId="0" fontId="6" fillId="8" borderId="18" xfId="0" applyFont="1" applyFill="1" applyBorder="1" applyAlignment="1">
      <alignment horizontal="left" vertical="center" shrinkToFit="1"/>
    </xf>
    <xf numFmtId="0" fontId="0" fillId="0" borderId="18" xfId="0" applyBorder="1" applyAlignment="1">
      <alignment horizontal="left" vertical="center" shrinkToFit="1"/>
    </xf>
    <xf numFmtId="0" fontId="0" fillId="0" borderId="19" xfId="0" applyBorder="1" applyAlignment="1">
      <alignment horizontal="left" vertical="center" shrinkToFit="1"/>
    </xf>
    <xf numFmtId="0" fontId="6" fillId="8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16" fillId="15" borderId="32" xfId="0" applyFont="1" applyFill="1" applyBorder="1" applyAlignment="1">
      <alignment horizontal="left" wrapText="1"/>
    </xf>
    <xf numFmtId="0" fontId="16" fillId="15" borderId="32" xfId="0" applyFont="1" applyFill="1" applyBorder="1" applyAlignment="1">
      <alignment horizontal="left"/>
    </xf>
    <xf numFmtId="0" fontId="19" fillId="15" borderId="32" xfId="0" applyFont="1" applyFill="1" applyBorder="1" applyAlignment="1">
      <alignment horizontal="left" vertical="top" wrapText="1"/>
    </xf>
    <xf numFmtId="0" fontId="16" fillId="15" borderId="32" xfId="0" applyFont="1" applyFill="1" applyBorder="1" applyAlignment="1">
      <alignment horizontal="left" vertical="top" wrapText="1"/>
    </xf>
    <xf numFmtId="0" fontId="16" fillId="10" borderId="32" xfId="0" applyFont="1" applyFill="1" applyBorder="1" applyAlignment="1">
      <alignment horizontal="left" vertical="top" wrapText="1"/>
    </xf>
    <xf numFmtId="0" fontId="0" fillId="10" borderId="26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16" fillId="14" borderId="32" xfId="0" applyFont="1" applyFill="1" applyBorder="1" applyAlignment="1">
      <alignment horizontal="left" wrapText="1"/>
    </xf>
    <xf numFmtId="0" fontId="16" fillId="14" borderId="26" xfId="0" applyFont="1" applyFill="1" applyBorder="1" applyAlignment="1">
      <alignment horizontal="left" wrapText="1"/>
    </xf>
    <xf numFmtId="0" fontId="16" fillId="10" borderId="33" xfId="0" applyFont="1" applyFill="1" applyBorder="1" applyAlignment="1">
      <alignment horizontal="left" vertical="top" wrapText="1"/>
    </xf>
    <xf numFmtId="0" fontId="16" fillId="10" borderId="31" xfId="0" applyFont="1" applyFill="1" applyBorder="1" applyAlignment="1">
      <alignment horizontal="left" vertical="top" wrapText="1"/>
    </xf>
    <xf numFmtId="0" fontId="16" fillId="14" borderId="32" xfId="0" applyFont="1" applyFill="1" applyBorder="1" applyAlignment="1">
      <alignment horizontal="left" vertical="top" wrapText="1"/>
    </xf>
    <xf numFmtId="179" fontId="7" fillId="5" borderId="1" xfId="0" applyNumberFormat="1" applyFont="1" applyFill="1" applyBorder="1" applyAlignment="1" applyProtection="1">
      <alignment horizontal="center" vertical="center" shrinkToFit="1"/>
      <protection locked="0"/>
    </xf>
    <xf numFmtId="49" fontId="6" fillId="5" borderId="9" xfId="0" applyNumberFormat="1" applyFont="1" applyFill="1" applyBorder="1" applyAlignment="1" applyProtection="1">
      <alignment horizontal="left" vertical="center"/>
      <protection locked="0"/>
    </xf>
    <xf numFmtId="49" fontId="0" fillId="5" borderId="10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0" fontId="6" fillId="11" borderId="9" xfId="0" applyFont="1" applyFill="1" applyBorder="1" applyAlignment="1" applyProtection="1">
      <alignment horizontal="left" vertical="center"/>
    </xf>
    <xf numFmtId="0" fontId="0" fillId="11" borderId="10" xfId="0" applyFill="1" applyBorder="1" applyAlignment="1" applyProtection="1">
      <alignment horizontal="left" vertical="center"/>
    </xf>
    <xf numFmtId="0" fontId="0" fillId="11" borderId="11" xfId="0" applyFill="1" applyBorder="1" applyAlignment="1" applyProtection="1">
      <alignment horizontal="left" vertical="center"/>
    </xf>
    <xf numFmtId="179" fontId="7" fillId="9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9" borderId="6" xfId="0" applyFont="1" applyFill="1" applyBorder="1" applyAlignment="1" applyProtection="1">
      <alignment horizontal="center" vertical="center" shrinkToFit="1"/>
      <protection locked="0"/>
    </xf>
    <xf numFmtId="0" fontId="6" fillId="9" borderId="7" xfId="0" applyFont="1" applyFill="1" applyBorder="1" applyAlignment="1" applyProtection="1">
      <alignment horizontal="center" vertical="center" shrinkToFit="1"/>
      <protection locked="0"/>
    </xf>
    <xf numFmtId="0" fontId="6" fillId="9" borderId="8" xfId="0" applyFont="1" applyFill="1" applyBorder="1" applyAlignment="1" applyProtection="1">
      <alignment horizontal="center" vertical="center" shrinkToFit="1"/>
      <protection locked="0"/>
    </xf>
    <xf numFmtId="0" fontId="6" fillId="8" borderId="10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15" fillId="15" borderId="32" xfId="0" applyFont="1" applyFill="1" applyBorder="1" applyAlignment="1">
      <alignment horizontal="left" vertical="top" wrapText="1"/>
    </xf>
    <xf numFmtId="0" fontId="0" fillId="10" borderId="0" xfId="0" applyFill="1" applyAlignment="1">
      <alignment horizontal="left" vertical="center" wrapText="1"/>
    </xf>
    <xf numFmtId="0" fontId="15" fillId="15" borderId="32" xfId="0" applyFont="1" applyFill="1" applyBorder="1" applyAlignment="1">
      <alignment horizontal="left" vertical="center" wrapText="1"/>
    </xf>
    <xf numFmtId="0" fontId="15" fillId="10" borderId="0" xfId="0" applyFont="1" applyFill="1" applyBorder="1" applyAlignment="1">
      <alignment horizontal="left" vertical="center" wrapText="1"/>
    </xf>
    <xf numFmtId="0" fontId="15" fillId="15" borderId="49" xfId="0" applyFont="1" applyFill="1" applyBorder="1" applyAlignment="1">
      <alignment horizontal="left" vertical="top" wrapText="1"/>
    </xf>
    <xf numFmtId="0" fontId="15" fillId="10" borderId="31" xfId="0" applyFont="1" applyFill="1" applyBorder="1" applyAlignment="1">
      <alignment horizontal="left" vertical="center" wrapText="1"/>
    </xf>
    <xf numFmtId="0" fontId="15" fillId="10" borderId="32" xfId="0" applyFont="1" applyFill="1" applyBorder="1" applyAlignment="1">
      <alignment horizontal="left" vertical="center" wrapText="1"/>
    </xf>
    <xf numFmtId="0" fontId="15" fillId="10" borderId="32" xfId="0" applyFont="1" applyFill="1" applyBorder="1" applyAlignment="1">
      <alignment horizontal="left" vertical="top" wrapText="1"/>
    </xf>
    <xf numFmtId="0" fontId="0" fillId="15" borderId="32" xfId="0" applyFill="1" applyBorder="1" applyAlignment="1">
      <alignment horizontal="center" vertical="top" wrapText="1"/>
    </xf>
    <xf numFmtId="0" fontId="0" fillId="15" borderId="32" xfId="0" applyFill="1" applyBorder="1" applyAlignment="1">
      <alignment horizontal="left" vertical="top" wrapText="1"/>
    </xf>
    <xf numFmtId="0" fontId="13" fillId="15" borderId="32" xfId="0" applyFont="1" applyFill="1" applyBorder="1" applyAlignment="1">
      <alignment horizontal="left" vertical="top" wrapText="1"/>
    </xf>
    <xf numFmtId="0" fontId="13" fillId="15" borderId="32" xfId="0" applyFont="1" applyFill="1" applyBorder="1" applyAlignment="1">
      <alignment horizontal="left" vertical="top"/>
    </xf>
    <xf numFmtId="0" fontId="0" fillId="0" borderId="32" xfId="0" applyBorder="1" applyAlignment="1">
      <alignment horizontal="left" vertical="top" wrapText="1"/>
    </xf>
    <xf numFmtId="0" fontId="0" fillId="15" borderId="72" xfId="0" applyFill="1" applyBorder="1" applyAlignment="1">
      <alignment horizontal="left" vertical="top" wrapText="1"/>
    </xf>
    <xf numFmtId="58" fontId="46" fillId="0" borderId="0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shrinkToFit="1"/>
    </xf>
    <xf numFmtId="0" fontId="6" fillId="0" borderId="6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center" vertical="center" shrinkToFit="1"/>
    </xf>
    <xf numFmtId="0" fontId="6" fillId="0" borderId="12" xfId="0" applyFont="1" applyFill="1" applyBorder="1" applyAlignment="1">
      <alignment horizontal="center" vertical="center" shrinkToFit="1"/>
    </xf>
    <xf numFmtId="49" fontId="6" fillId="0" borderId="2" xfId="0" applyNumberFormat="1" applyFont="1" applyFill="1" applyBorder="1" applyAlignment="1" applyProtection="1">
      <alignment horizontal="left" vertical="top" wrapText="1"/>
      <protection locked="0"/>
    </xf>
    <xf numFmtId="49" fontId="6" fillId="0" borderId="16" xfId="0" applyNumberFormat="1" applyFont="1" applyFill="1" applyBorder="1" applyAlignment="1" applyProtection="1">
      <alignment horizontal="left" vertical="top" wrapText="1"/>
      <protection locked="0"/>
    </xf>
    <xf numFmtId="49" fontId="6" fillId="0" borderId="4" xfId="0" applyNumberFormat="1" applyFont="1" applyFill="1" applyBorder="1" applyAlignment="1" applyProtection="1">
      <alignment horizontal="left" vertical="top" wrapText="1"/>
      <protection locked="0"/>
    </xf>
    <xf numFmtId="49" fontId="6" fillId="0" borderId="5" xfId="0" applyNumberFormat="1" applyFont="1" applyFill="1" applyBorder="1" applyAlignment="1" applyProtection="1">
      <alignment horizontal="left" vertical="top" wrapText="1"/>
      <protection locked="0"/>
    </xf>
    <xf numFmtId="49" fontId="6" fillId="0" borderId="6" xfId="0" applyNumberFormat="1" applyFont="1" applyFill="1" applyBorder="1" applyAlignment="1" applyProtection="1">
      <alignment horizontal="left" vertical="top" wrapText="1"/>
      <protection locked="0"/>
    </xf>
    <xf numFmtId="49" fontId="6" fillId="0" borderId="8" xfId="0" applyNumberFormat="1" applyFont="1" applyFill="1" applyBorder="1" applyAlignment="1" applyProtection="1">
      <alignment horizontal="left" vertical="top" wrapText="1"/>
      <protection locked="0"/>
    </xf>
    <xf numFmtId="176" fontId="6" fillId="4" borderId="9" xfId="0" applyNumberFormat="1" applyFont="1" applyFill="1" applyBorder="1" applyAlignment="1">
      <alignment horizontal="center" vertical="center" shrinkToFit="1"/>
    </xf>
    <xf numFmtId="176" fontId="6" fillId="4" borderId="11" xfId="0" applyNumberFormat="1" applyFont="1" applyFill="1" applyBorder="1" applyAlignment="1">
      <alignment horizontal="center" vertical="center" shrinkToFit="1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49" fontId="6" fillId="0" borderId="2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3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16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6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7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8" xfId="0" applyNumberFormat="1" applyFont="1" applyFill="1" applyBorder="1" applyAlignment="1" applyProtection="1">
      <alignment horizontal="left" vertical="top" wrapText="1" shrinkToFit="1"/>
      <protection locked="0"/>
    </xf>
    <xf numFmtId="49" fontId="6" fillId="0" borderId="9" xfId="0" applyNumberFormat="1" applyFont="1" applyFill="1" applyBorder="1" applyAlignment="1" applyProtection="1">
      <alignment horizontal="left" vertical="center" shrinkToFit="1"/>
      <protection locked="0"/>
    </xf>
    <xf numFmtId="49" fontId="0" fillId="0" borderId="10" xfId="0" applyNumberFormat="1" applyBorder="1" applyAlignment="1" applyProtection="1">
      <alignment horizontal="left" vertical="center" shrinkToFit="1"/>
      <protection locked="0"/>
    </xf>
    <xf numFmtId="49" fontId="0" fillId="0" borderId="11" xfId="0" applyNumberFormat="1" applyBorder="1" applyAlignment="1" applyProtection="1">
      <alignment horizontal="left" vertical="center" shrinkToFit="1"/>
      <protection locked="0"/>
    </xf>
    <xf numFmtId="49" fontId="6" fillId="0" borderId="9" xfId="0" applyNumberFormat="1" applyFont="1" applyFill="1" applyBorder="1" applyAlignment="1" applyProtection="1">
      <alignment horizontal="left" vertical="center"/>
      <protection locked="0"/>
    </xf>
    <xf numFmtId="49" fontId="6" fillId="0" borderId="11" xfId="0" applyNumberFormat="1" applyFont="1" applyFill="1" applyBorder="1" applyAlignment="1" applyProtection="1">
      <alignment horizontal="left" vertical="center"/>
      <protection locked="0"/>
    </xf>
    <xf numFmtId="49" fontId="6" fillId="0" borderId="1" xfId="0" applyNumberFormat="1" applyFont="1" applyFill="1" applyBorder="1" applyAlignment="1" applyProtection="1">
      <alignment horizontal="left" vertical="center" shrinkToFit="1"/>
      <protection locked="0"/>
    </xf>
    <xf numFmtId="49" fontId="6" fillId="0" borderId="9" xfId="0" applyNumberFormat="1" applyFont="1" applyFill="1" applyBorder="1" applyAlignment="1" applyProtection="1">
      <alignment horizontal="center" vertical="center" shrinkToFit="1"/>
      <protection locked="0"/>
    </xf>
    <xf numFmtId="49" fontId="6" fillId="0" borderId="1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7" fillId="11" borderId="9" xfId="0" applyNumberFormat="1" applyFont="1" applyFill="1" applyBorder="1" applyAlignment="1" applyProtection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 shrinkToFit="1"/>
    </xf>
    <xf numFmtId="176" fontId="6" fillId="4" borderId="9" xfId="0" applyNumberFormat="1" applyFont="1" applyFill="1" applyBorder="1" applyAlignment="1" applyProtection="1">
      <alignment horizontal="center" vertical="center" shrinkToFit="1"/>
    </xf>
    <xf numFmtId="176" fontId="6" fillId="4" borderId="11" xfId="0" applyNumberFormat="1" applyFont="1" applyFill="1" applyBorder="1" applyAlignment="1" applyProtection="1">
      <alignment horizontal="center" vertical="center" shrinkToFit="1"/>
    </xf>
    <xf numFmtId="0" fontId="6" fillId="4" borderId="9" xfId="0" applyFont="1" applyFill="1" applyBorder="1" applyAlignment="1" applyProtection="1">
      <alignment horizontal="left" vertical="center"/>
    </xf>
    <xf numFmtId="0" fontId="6" fillId="4" borderId="10" xfId="0" applyFont="1" applyFill="1" applyBorder="1" applyAlignment="1" applyProtection="1">
      <alignment horizontal="left" vertical="center"/>
    </xf>
    <xf numFmtId="0" fontId="6" fillId="4" borderId="11" xfId="0" applyFont="1" applyFill="1" applyBorder="1" applyAlignment="1" applyProtection="1">
      <alignment horizontal="left" vertical="center"/>
    </xf>
    <xf numFmtId="0" fontId="6" fillId="4" borderId="2" xfId="0" applyFont="1" applyFill="1" applyBorder="1" applyAlignment="1" applyProtection="1">
      <alignment horizontal="left" vertical="top" wrapText="1"/>
    </xf>
    <xf numFmtId="0" fontId="0" fillId="4" borderId="3" xfId="0" applyFill="1" applyBorder="1" applyAlignment="1" applyProtection="1">
      <alignment horizontal="left" vertical="top" wrapText="1"/>
    </xf>
    <xf numFmtId="0" fontId="0" fillId="4" borderId="16" xfId="0" applyFill="1" applyBorder="1" applyAlignment="1" applyProtection="1">
      <alignment horizontal="left" vertical="top" wrapText="1"/>
    </xf>
    <xf numFmtId="0" fontId="0" fillId="4" borderId="4" xfId="0" applyFill="1" applyBorder="1" applyAlignment="1" applyProtection="1">
      <alignment horizontal="left" vertical="top" wrapText="1"/>
    </xf>
    <xf numFmtId="0" fontId="0" fillId="4" borderId="0" xfId="0" applyFill="1" applyAlignment="1" applyProtection="1">
      <alignment horizontal="left" vertical="top" wrapText="1"/>
    </xf>
    <xf numFmtId="0" fontId="0" fillId="4" borderId="5" xfId="0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horizontal="left" vertical="top" wrapText="1"/>
    </xf>
    <xf numFmtId="49" fontId="6" fillId="4" borderId="2" xfId="0" applyNumberFormat="1" applyFont="1" applyFill="1" applyBorder="1" applyAlignment="1" applyProtection="1">
      <alignment horizontal="left" vertical="top" wrapText="1" shrinkToFit="1"/>
    </xf>
    <xf numFmtId="49" fontId="6" fillId="4" borderId="3" xfId="0" applyNumberFormat="1" applyFont="1" applyFill="1" applyBorder="1" applyAlignment="1" applyProtection="1">
      <alignment horizontal="left" vertical="top" wrapText="1" shrinkToFit="1"/>
    </xf>
    <xf numFmtId="49" fontId="6" fillId="4" borderId="16" xfId="0" applyNumberFormat="1" applyFont="1" applyFill="1" applyBorder="1" applyAlignment="1" applyProtection="1">
      <alignment horizontal="left" vertical="top" wrapText="1" shrinkToFit="1"/>
    </xf>
    <xf numFmtId="49" fontId="6" fillId="4" borderId="6" xfId="0" applyNumberFormat="1" applyFont="1" applyFill="1" applyBorder="1" applyAlignment="1" applyProtection="1">
      <alignment horizontal="left" vertical="top" wrapText="1" shrinkToFit="1"/>
    </xf>
    <xf numFmtId="49" fontId="6" fillId="4" borderId="7" xfId="0" applyNumberFormat="1" applyFont="1" applyFill="1" applyBorder="1" applyAlignment="1" applyProtection="1">
      <alignment horizontal="left" vertical="top" wrapText="1" shrinkToFit="1"/>
    </xf>
    <xf numFmtId="49" fontId="6" fillId="4" borderId="8" xfId="0" applyNumberFormat="1" applyFont="1" applyFill="1" applyBorder="1" applyAlignment="1" applyProtection="1">
      <alignment horizontal="left" vertical="top" wrapText="1" shrinkToFit="1"/>
    </xf>
    <xf numFmtId="0" fontId="6" fillId="4" borderId="1" xfId="0" applyFont="1" applyFill="1" applyBorder="1" applyAlignment="1" applyProtection="1">
      <alignment horizontal="center" vertical="center" shrinkToFit="1"/>
    </xf>
    <xf numFmtId="49" fontId="6" fillId="4" borderId="2" xfId="0" applyNumberFormat="1" applyFont="1" applyFill="1" applyBorder="1" applyAlignment="1" applyProtection="1">
      <alignment horizontal="left" vertical="top" wrapText="1"/>
    </xf>
    <xf numFmtId="49" fontId="6" fillId="4" borderId="16" xfId="0" applyNumberFormat="1" applyFont="1" applyFill="1" applyBorder="1" applyAlignment="1" applyProtection="1">
      <alignment horizontal="left" vertical="top" wrapText="1"/>
    </xf>
    <xf numFmtId="49" fontId="6" fillId="4" borderId="4" xfId="0" applyNumberFormat="1" applyFont="1" applyFill="1" applyBorder="1" applyAlignment="1" applyProtection="1">
      <alignment horizontal="left" vertical="top" wrapText="1"/>
    </xf>
    <xf numFmtId="49" fontId="6" fillId="4" borderId="5" xfId="0" applyNumberFormat="1" applyFont="1" applyFill="1" applyBorder="1" applyAlignment="1" applyProtection="1">
      <alignment horizontal="left" vertical="top" wrapText="1"/>
    </xf>
    <xf numFmtId="49" fontId="6" fillId="4" borderId="6" xfId="0" applyNumberFormat="1" applyFont="1" applyFill="1" applyBorder="1" applyAlignment="1" applyProtection="1">
      <alignment horizontal="left" vertical="top" wrapText="1"/>
    </xf>
    <xf numFmtId="49" fontId="6" fillId="4" borderId="8" xfId="0" applyNumberFormat="1" applyFont="1" applyFill="1" applyBorder="1" applyAlignment="1" applyProtection="1">
      <alignment horizontal="left" vertical="top" wrapText="1"/>
    </xf>
    <xf numFmtId="49" fontId="6" fillId="4" borderId="9" xfId="0" applyNumberFormat="1" applyFont="1" applyFill="1" applyBorder="1" applyAlignment="1" applyProtection="1">
      <alignment horizontal="left" vertical="center" shrinkToFit="1"/>
    </xf>
    <xf numFmtId="49" fontId="0" fillId="4" borderId="10" xfId="0" applyNumberFormat="1" applyFill="1" applyBorder="1" applyAlignment="1" applyProtection="1">
      <alignment horizontal="left" vertical="center" shrinkToFit="1"/>
    </xf>
    <xf numFmtId="49" fontId="0" fillId="4" borderId="11" xfId="0" applyNumberFormat="1" applyFill="1" applyBorder="1" applyAlignment="1" applyProtection="1">
      <alignment horizontal="left" vertical="center" shrinkToFit="1"/>
    </xf>
    <xf numFmtId="49" fontId="6" fillId="4" borderId="9" xfId="0" applyNumberFormat="1" applyFont="1" applyFill="1" applyBorder="1" applyAlignment="1" applyProtection="1">
      <alignment horizontal="left" vertical="center"/>
    </xf>
    <xf numFmtId="49" fontId="6" fillId="4" borderId="11" xfId="0" applyNumberFormat="1" applyFont="1" applyFill="1" applyBorder="1" applyAlignment="1" applyProtection="1">
      <alignment horizontal="left" vertical="center"/>
    </xf>
    <xf numFmtId="49" fontId="6" fillId="4" borderId="1" xfId="0" applyNumberFormat="1" applyFont="1" applyFill="1" applyBorder="1" applyAlignment="1" applyProtection="1">
      <alignment horizontal="left" vertical="center" shrinkToFit="1"/>
    </xf>
    <xf numFmtId="49" fontId="6" fillId="4" borderId="9" xfId="0" applyNumberFormat="1" applyFont="1" applyFill="1" applyBorder="1" applyAlignment="1" applyProtection="1">
      <alignment horizontal="center" vertical="center" shrinkToFit="1"/>
    </xf>
    <xf numFmtId="49" fontId="6" fillId="4" borderId="11" xfId="0" applyNumberFormat="1" applyFont="1" applyFill="1" applyBorder="1" applyAlignment="1" applyProtection="1">
      <alignment horizontal="center" vertical="center" shrinkToFit="1"/>
    </xf>
    <xf numFmtId="0" fontId="15" fillId="51" borderId="17" xfId="0" applyFont="1" applyFill="1" applyBorder="1" applyAlignment="1">
      <alignment horizontal="center" vertical="center"/>
    </xf>
    <xf numFmtId="0" fontId="14" fillId="49" borderId="2" xfId="0" applyFont="1" applyFill="1" applyBorder="1" applyAlignment="1">
      <alignment horizontal="left" vertical="center"/>
    </xf>
    <xf numFmtId="0" fontId="14" fillId="49" borderId="16" xfId="0" applyFont="1" applyFill="1" applyBorder="1" applyAlignment="1">
      <alignment horizontal="left" vertical="center"/>
    </xf>
    <xf numFmtId="0" fontId="15" fillId="51" borderId="2" xfId="0" applyFont="1" applyFill="1" applyBorder="1" applyAlignment="1">
      <alignment horizontal="center" vertical="center"/>
    </xf>
    <xf numFmtId="0" fontId="15" fillId="51" borderId="3" xfId="0" applyFont="1" applyFill="1" applyBorder="1" applyAlignment="1">
      <alignment horizontal="center" vertical="center"/>
    </xf>
    <xf numFmtId="0" fontId="15" fillId="51" borderId="16" xfId="0" applyFont="1" applyFill="1" applyBorder="1" applyAlignment="1">
      <alignment horizontal="center" vertical="center"/>
    </xf>
    <xf numFmtId="0" fontId="14" fillId="49" borderId="9" xfId="0" applyFont="1" applyFill="1" applyBorder="1" applyAlignment="1">
      <alignment horizontal="left" vertical="center"/>
    </xf>
    <xf numFmtId="0" fontId="14" fillId="49" borderId="11" xfId="0" applyFont="1" applyFill="1" applyBorder="1" applyAlignment="1">
      <alignment horizontal="left" vertical="center"/>
    </xf>
    <xf numFmtId="0" fontId="55" fillId="0" borderId="1" xfId="0" applyFont="1" applyBorder="1" applyAlignment="1">
      <alignment horizontal="left" vertical="center" wrapText="1"/>
    </xf>
    <xf numFmtId="0" fontId="56" fillId="0" borderId="0" xfId="0" applyFont="1" applyFill="1" applyBorder="1" applyAlignment="1">
      <alignment horizontal="center" vertical="center"/>
    </xf>
    <xf numFmtId="0" fontId="55" fillId="0" borderId="0" xfId="0" applyFont="1" applyFill="1" applyBorder="1" applyAlignment="1">
      <alignment horizontal="center" vertical="center"/>
    </xf>
    <xf numFmtId="190" fontId="55" fillId="0" borderId="1" xfId="0" quotePrefix="1" applyNumberFormat="1" applyFont="1" applyBorder="1" applyAlignment="1" applyProtection="1">
      <alignment horizontal="right" vertical="center" shrinkToFit="1"/>
      <protection locked="0"/>
    </xf>
    <xf numFmtId="0" fontId="55" fillId="0" borderId="1" xfId="0" applyFont="1" applyFill="1" applyBorder="1" applyAlignment="1">
      <alignment horizontal="center" vertical="center" shrinkToFit="1"/>
    </xf>
    <xf numFmtId="0" fontId="55" fillId="0" borderId="1" xfId="0" applyFont="1" applyBorder="1" applyAlignment="1">
      <alignment horizontal="left" vertical="center" shrinkToFit="1"/>
    </xf>
    <xf numFmtId="0" fontId="51" fillId="0" borderId="0" xfId="0" applyFont="1" applyFill="1" applyBorder="1" applyAlignment="1">
      <alignment horizontal="center" vertical="center"/>
    </xf>
    <xf numFmtId="0" fontId="57" fillId="0" borderId="0" xfId="0" applyFont="1" applyBorder="1" applyAlignment="1">
      <alignment horizontal="left" vertical="center" shrinkToFit="1"/>
    </xf>
    <xf numFmtId="0" fontId="57" fillId="0" borderId="7" xfId="0" applyFont="1" applyBorder="1" applyAlignment="1">
      <alignment horizontal="right" shrinkToFit="1"/>
    </xf>
    <xf numFmtId="0" fontId="57" fillId="0" borderId="14" xfId="0" applyFont="1" applyBorder="1" applyAlignment="1">
      <alignment horizontal="right" vertical="center" shrinkToFit="1"/>
    </xf>
    <xf numFmtId="188" fontId="56" fillId="0" borderId="0" xfId="0" applyNumberFormat="1" applyFont="1" applyFill="1" applyBorder="1" applyAlignment="1">
      <alignment horizontal="right" vertical="center" shrinkToFit="1"/>
    </xf>
    <xf numFmtId="0" fontId="56" fillId="0" borderId="53" xfId="0" applyFont="1" applyFill="1" applyBorder="1" applyAlignment="1">
      <alignment horizontal="center" vertical="center" shrinkToFit="1"/>
    </xf>
    <xf numFmtId="0" fontId="56" fillId="0" borderId="55" xfId="0" applyFont="1" applyFill="1" applyBorder="1" applyAlignment="1">
      <alignment horizontal="center" vertical="center" shrinkToFit="1"/>
    </xf>
    <xf numFmtId="0" fontId="55" fillId="0" borderId="55" xfId="0" applyFont="1" applyFill="1" applyBorder="1" applyAlignment="1">
      <alignment horizontal="left" vertical="center" shrinkToFit="1"/>
    </xf>
    <xf numFmtId="0" fontId="55" fillId="0" borderId="54" xfId="0" applyFont="1" applyFill="1" applyBorder="1" applyAlignment="1">
      <alignment horizontal="left" vertical="center" shrinkToFit="1"/>
    </xf>
    <xf numFmtId="190" fontId="55" fillId="0" borderId="9" xfId="0" quotePrefix="1" applyNumberFormat="1" applyFont="1" applyBorder="1" applyAlignment="1" applyProtection="1">
      <alignment horizontal="right" vertical="center" shrinkToFit="1"/>
      <protection locked="0"/>
    </xf>
    <xf numFmtId="190" fontId="55" fillId="0" borderId="10" xfId="0" quotePrefix="1" applyNumberFormat="1" applyFont="1" applyBorder="1" applyAlignment="1" applyProtection="1">
      <alignment horizontal="right" vertical="center" shrinkToFit="1"/>
      <protection locked="0"/>
    </xf>
    <xf numFmtId="190" fontId="55" fillId="0" borderId="11" xfId="0" quotePrefix="1" applyNumberFormat="1" applyFont="1" applyBorder="1" applyAlignment="1" applyProtection="1">
      <alignment horizontal="right" vertical="center" shrinkToFit="1"/>
      <protection locked="0"/>
    </xf>
    <xf numFmtId="0" fontId="56" fillId="0" borderId="2" xfId="0" applyFont="1" applyFill="1" applyBorder="1" applyAlignment="1">
      <alignment horizontal="center" vertical="center"/>
    </xf>
    <xf numFmtId="0" fontId="56" fillId="0" borderId="3" xfId="0" applyFont="1" applyFill="1" applyBorder="1" applyAlignment="1">
      <alignment horizontal="center" vertical="center"/>
    </xf>
    <xf numFmtId="0" fontId="56" fillId="0" borderId="16" xfId="0" applyFont="1" applyFill="1" applyBorder="1" applyAlignment="1">
      <alignment horizontal="center" vertical="center"/>
    </xf>
    <xf numFmtId="0" fontId="56" fillId="0" borderId="6" xfId="0" applyFont="1" applyFill="1" applyBorder="1" applyAlignment="1">
      <alignment horizontal="center" vertical="center"/>
    </xf>
    <xf numFmtId="0" fontId="56" fillId="0" borderId="7" xfId="0" applyFont="1" applyFill="1" applyBorder="1" applyAlignment="1">
      <alignment horizontal="center" vertical="center"/>
    </xf>
    <xf numFmtId="0" fontId="56" fillId="0" borderId="8" xfId="0" applyFont="1" applyFill="1" applyBorder="1" applyAlignment="1">
      <alignment horizontal="center" vertical="center"/>
    </xf>
    <xf numFmtId="0" fontId="55" fillId="0" borderId="9" xfId="0" applyFont="1" applyFill="1" applyBorder="1" applyAlignment="1">
      <alignment horizontal="center" vertical="center" shrinkToFit="1"/>
    </xf>
    <xf numFmtId="0" fontId="55" fillId="0" borderId="10" xfId="0" applyFont="1" applyFill="1" applyBorder="1" applyAlignment="1">
      <alignment horizontal="center" vertical="center" shrinkToFit="1"/>
    </xf>
    <xf numFmtId="0" fontId="55" fillId="0" borderId="11" xfId="0" applyFont="1" applyFill="1" applyBorder="1" applyAlignment="1">
      <alignment horizontal="center" vertical="center" shrinkToFit="1"/>
    </xf>
    <xf numFmtId="0" fontId="55" fillId="0" borderId="2" xfId="0" applyFont="1" applyFill="1" applyBorder="1" applyAlignment="1">
      <alignment horizontal="center" vertical="center" shrinkToFit="1"/>
    </xf>
    <xf numFmtId="0" fontId="55" fillId="0" borderId="3" xfId="0" applyFont="1" applyFill="1" applyBorder="1" applyAlignment="1">
      <alignment horizontal="center" vertical="center" shrinkToFit="1"/>
    </xf>
    <xf numFmtId="0" fontId="55" fillId="0" borderId="16" xfId="0" applyFont="1" applyFill="1" applyBorder="1" applyAlignment="1">
      <alignment horizontal="center" vertical="center" shrinkToFit="1"/>
    </xf>
    <xf numFmtId="0" fontId="55" fillId="0" borderId="4" xfId="0" applyFont="1" applyFill="1" applyBorder="1" applyAlignment="1">
      <alignment horizontal="center" vertical="center" shrinkToFit="1"/>
    </xf>
    <xf numFmtId="0" fontId="55" fillId="0" borderId="0" xfId="0" applyFont="1" applyFill="1" applyBorder="1" applyAlignment="1">
      <alignment horizontal="center" vertical="center" shrinkToFit="1"/>
    </xf>
    <xf numFmtId="0" fontId="55" fillId="0" borderId="5" xfId="0" applyFont="1" applyFill="1" applyBorder="1" applyAlignment="1">
      <alignment horizontal="center" vertical="center" shrinkToFit="1"/>
    </xf>
    <xf numFmtId="0" fontId="55" fillId="0" borderId="6" xfId="0" applyFont="1" applyFill="1" applyBorder="1" applyAlignment="1">
      <alignment horizontal="center" vertical="center" shrinkToFit="1"/>
    </xf>
    <xf numFmtId="0" fontId="55" fillId="0" borderId="7" xfId="0" applyFont="1" applyFill="1" applyBorder="1" applyAlignment="1">
      <alignment horizontal="center" vertical="center" shrinkToFit="1"/>
    </xf>
    <xf numFmtId="0" fontId="55" fillId="0" borderId="8" xfId="0" applyFont="1" applyFill="1" applyBorder="1" applyAlignment="1">
      <alignment horizontal="center" vertical="center" shrinkToFit="1"/>
    </xf>
    <xf numFmtId="0" fontId="56" fillId="0" borderId="0" xfId="0" applyFont="1" applyFill="1" applyBorder="1" applyAlignment="1">
      <alignment horizontal="right" vertical="center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Border="1" applyAlignment="1">
      <alignment horizontal="left" vertical="center"/>
    </xf>
    <xf numFmtId="0" fontId="52" fillId="0" borderId="0" xfId="0" applyFont="1" applyBorder="1" applyAlignment="1">
      <alignment horizontal="left" vertical="top" wrapText="1"/>
    </xf>
    <xf numFmtId="0" fontId="55" fillId="0" borderId="73" xfId="0" applyFont="1" applyFill="1" applyBorder="1" applyAlignment="1">
      <alignment horizontal="left" vertical="center" shrinkToFit="1"/>
    </xf>
    <xf numFmtId="0" fontId="55" fillId="0" borderId="10" xfId="0" applyFont="1" applyFill="1" applyBorder="1" applyAlignment="1">
      <alignment horizontal="left" vertical="center" shrinkToFit="1"/>
    </xf>
    <xf numFmtId="0" fontId="55" fillId="0" borderId="11" xfId="0" applyFont="1" applyFill="1" applyBorder="1" applyAlignment="1">
      <alignment horizontal="left" vertical="center" shrinkToFit="1"/>
    </xf>
    <xf numFmtId="187" fontId="55" fillId="0" borderId="1" xfId="0" quotePrefix="1" applyNumberFormat="1" applyFont="1" applyBorder="1" applyAlignment="1" applyProtection="1">
      <alignment horizontal="right" vertical="center" shrinkToFit="1"/>
      <protection locked="0"/>
    </xf>
    <xf numFmtId="187" fontId="55" fillId="0" borderId="9" xfId="0" quotePrefix="1" applyNumberFormat="1" applyFont="1" applyBorder="1" applyAlignment="1" applyProtection="1">
      <alignment horizontal="right" vertical="center" shrinkToFit="1"/>
      <protection locked="0"/>
    </xf>
    <xf numFmtId="187" fontId="55" fillId="0" borderId="10" xfId="0" quotePrefix="1" applyNumberFormat="1" applyFont="1" applyBorder="1" applyAlignment="1" applyProtection="1">
      <alignment horizontal="right" vertical="center" shrinkToFit="1"/>
      <protection locked="0"/>
    </xf>
    <xf numFmtId="187" fontId="55" fillId="0" borderId="11" xfId="0" quotePrefix="1" applyNumberFormat="1" applyFont="1" applyBorder="1" applyAlignment="1" applyProtection="1">
      <alignment horizontal="right" vertical="center" shrinkToFit="1"/>
      <protection locked="0"/>
    </xf>
    <xf numFmtId="0" fontId="46" fillId="0" borderId="0" xfId="0" applyFont="1" applyFill="1" applyBorder="1" applyAlignment="1">
      <alignment horizontal="right" vertical="center"/>
    </xf>
    <xf numFmtId="188" fontId="52" fillId="0" borderId="0" xfId="0" applyNumberFormat="1" applyFont="1" applyFill="1" applyBorder="1" applyAlignment="1">
      <alignment horizontal="right" vertical="center" shrinkToFit="1"/>
    </xf>
    <xf numFmtId="0" fontId="54" fillId="0" borderId="0" xfId="0" applyFont="1" applyBorder="1" applyAlignment="1">
      <alignment horizontal="left" vertical="center" shrinkToFit="1"/>
    </xf>
    <xf numFmtId="0" fontId="54" fillId="0" borderId="7" xfId="0" applyFont="1" applyBorder="1" applyAlignment="1">
      <alignment horizontal="right" shrinkToFit="1"/>
    </xf>
    <xf numFmtId="0" fontId="53" fillId="0" borderId="10" xfId="0" applyFont="1" applyBorder="1" applyAlignment="1">
      <alignment horizontal="right" vertical="center" shrinkToFit="1"/>
    </xf>
    <xf numFmtId="0" fontId="53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left" vertical="center" shrinkToFit="1"/>
    </xf>
    <xf numFmtId="0" fontId="6" fillId="4" borderId="0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15" fillId="15" borderId="35" xfId="0" applyFont="1" applyFill="1" applyBorder="1" applyAlignment="1">
      <alignment horizontal="left" vertical="top" wrapText="1"/>
    </xf>
    <xf numFmtId="0" fontId="15" fillId="15" borderId="51" xfId="0" applyFont="1" applyFill="1" applyBorder="1" applyAlignment="1">
      <alignment horizontal="left" vertical="top" wrapText="1"/>
    </xf>
    <xf numFmtId="0" fontId="15" fillId="15" borderId="35" xfId="0" applyFont="1" applyFill="1" applyBorder="1" applyAlignment="1">
      <alignment horizontal="left" vertical="center" wrapText="1"/>
    </xf>
    <xf numFmtId="0" fontId="15" fillId="10" borderId="35" xfId="0" applyFont="1" applyFill="1" applyBorder="1" applyAlignment="1">
      <alignment horizontal="left" vertical="center" wrapText="1"/>
    </xf>
    <xf numFmtId="0" fontId="0" fillId="10" borderId="35" xfId="0" applyFill="1" applyBorder="1" applyAlignment="1">
      <alignment horizontal="left" vertical="center" wrapText="1"/>
    </xf>
    <xf numFmtId="0" fontId="0" fillId="10" borderId="35" xfId="0" applyFill="1" applyBorder="1" applyAlignment="1">
      <alignment horizontal="left" vertical="center"/>
    </xf>
    <xf numFmtId="0" fontId="0" fillId="15" borderId="35" xfId="0" applyFill="1" applyBorder="1" applyAlignment="1">
      <alignment horizontal="left" vertical="top" wrapText="1"/>
    </xf>
    <xf numFmtId="0" fontId="7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</cellXfs>
  <cellStyles count="44">
    <cellStyle name="20% - アクセント 1" xfId="20" builtinId="30" customBuiltin="1"/>
    <cellStyle name="20% - アクセント 2" xfId="24" builtinId="34" customBuiltin="1"/>
    <cellStyle name="20% - アクセント 3" xfId="28" builtinId="38" customBuiltin="1"/>
    <cellStyle name="20% - アクセント 4" xfId="32" builtinId="42" customBuiltin="1"/>
    <cellStyle name="20% - アクセント 5" xfId="36" builtinId="46" customBuiltin="1"/>
    <cellStyle name="20% - アクセント 6" xfId="40" builtinId="50" customBuiltin="1"/>
    <cellStyle name="40% - アクセント 1" xfId="21" builtinId="31" customBuiltin="1"/>
    <cellStyle name="40% - アクセント 2" xfId="25" builtinId="35" customBuiltin="1"/>
    <cellStyle name="40% - アクセント 3" xfId="29" builtinId="39" customBuiltin="1"/>
    <cellStyle name="40% - アクセント 4" xfId="33" builtinId="43" customBuiltin="1"/>
    <cellStyle name="40% - アクセント 5" xfId="37" builtinId="47" customBuiltin="1"/>
    <cellStyle name="40% - アクセント 6" xfId="41" builtinId="51" customBuiltin="1"/>
    <cellStyle name="60% - アクセント 1" xfId="22" builtinId="32" customBuiltin="1"/>
    <cellStyle name="60% - アクセント 2" xfId="26" builtinId="36" customBuiltin="1"/>
    <cellStyle name="60% - アクセント 3" xfId="30" builtinId="40" customBuiltin="1"/>
    <cellStyle name="60% - アクセント 4" xfId="34" builtinId="44" customBuiltin="1"/>
    <cellStyle name="60% - アクセント 5" xfId="38" builtinId="48" customBuiltin="1"/>
    <cellStyle name="60% - アクセント 6" xfId="42" builtinId="52" customBuiltin="1"/>
    <cellStyle name="アクセント 1" xfId="19" builtinId="29" customBuiltin="1"/>
    <cellStyle name="アクセント 2" xfId="23" builtinId="33" customBuiltin="1"/>
    <cellStyle name="アクセント 3" xfId="27" builtinId="37" customBuiltin="1"/>
    <cellStyle name="アクセント 4" xfId="31" builtinId="41" customBuiltin="1"/>
    <cellStyle name="アクセント 5" xfId="35" builtinId="45" customBuiltin="1"/>
    <cellStyle name="アクセント 6" xfId="39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メモ" xfId="16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5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8" builtinId="25" customBuiltin="1"/>
    <cellStyle name="出力" xfId="11" builtinId="21" customBuiltin="1"/>
    <cellStyle name="説明文" xfId="17" builtinId="53" customBuiltin="1"/>
    <cellStyle name="入力" xfId="10" builtinId="20" customBuiltin="1"/>
    <cellStyle name="標準" xfId="0" builtinId="0"/>
    <cellStyle name="標準 2" xfId="43"/>
    <cellStyle name="標準_外部一覧" xfId="1"/>
    <cellStyle name="良い" xfId="7" builtinId="26" customBuiltin="1"/>
  </cellStyles>
  <dxfs count="296"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81" formatCode="#,##0_ ;[Red]\-#,##0\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numFmt numFmtId="177" formatCode="#,##0_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7" formatCode="#,##0_ "/>
    </dxf>
    <dxf>
      <numFmt numFmtId="177" formatCode="#,##0_ "/>
    </dxf>
    <dxf>
      <numFmt numFmtId="177" formatCode="#,##0_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1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FF00"/>
        </patternFill>
      </fill>
    </dxf>
    <dxf>
      <border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</dxfs>
  <tableStyles count="0" defaultTableStyle="TableStyleMedium9" defaultPivotStyle="PivotStyleLight16"/>
  <colors>
    <mruColors>
      <color rgb="FFCCFFCC"/>
      <color rgb="FFFFFF66"/>
      <color rgb="FFFFFF99"/>
      <color rgb="FF66FF99"/>
      <color rgb="FFFFFFFF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CheckBox" checked="Checked" fmlaLink="UNNH0010_H_IRAI_KBN" lockText="1" noThreeD="1"/>
</file>

<file path=xl/ctrlProps/ctrlProp2.xml><?xml version="1.0" encoding="utf-8"?>
<formControlPr xmlns="http://schemas.microsoft.com/office/spreadsheetml/2009/9/main" objectType="CheckBox" checked="Checked" fmlaLink="UNNH0010_H_SHOHIN_KBN" lockText="1" noThreeD="1"/>
</file>

<file path=xl/ctrlProps/ctrlProp3.xml><?xml version="1.0" encoding="utf-8"?>
<formControlPr xmlns="http://schemas.microsoft.com/office/spreadsheetml/2009/9/main" objectType="CheckBox" checked="Checked" fmlaLink="UNNH0010_H_MIKEIJO_FLG" lockText="1" noThreeD="1"/>
</file>

<file path=xl/ctrlProps/ctrlProp4.xml><?xml version="1.0" encoding="utf-8"?>
<formControlPr xmlns="http://schemas.microsoft.com/office/spreadsheetml/2009/9/main" objectType="CheckBox" fmlaLink="UNNH0010_H_BUNSEKI_KAKUNIN_MI_STS" lockText="1" noThreeD="1"/>
</file>

<file path=xl/ctrlProps/ctrlProp5.xml><?xml version="1.0" encoding="utf-8"?>
<formControlPr xmlns="http://schemas.microsoft.com/office/spreadsheetml/2009/9/main" objectType="CheckBox" fmlaLink="UNNH0010_H_BUNSEKI_UKETSUKE_STS" lockText="1" noThreeD="1"/>
</file>

<file path=xl/ctrlProps/ctrlProp6.xml><?xml version="1.0" encoding="utf-8"?>
<formControlPr xmlns="http://schemas.microsoft.com/office/spreadsheetml/2009/9/main" objectType="CheckBox" fmlaLink="UNNH0010_H_BUNSEKI_CHUKAN_STS" lockText="1" noThreeD="1"/>
</file>

<file path=xl/ctrlProps/ctrlProp7.xml><?xml version="1.0" encoding="utf-8"?>
<formControlPr xmlns="http://schemas.microsoft.com/office/spreadsheetml/2009/9/main" objectType="CheckBox" fmlaLink="UNNH0010_H_BUNSEKI_GIJUTSU_STS" lockText="1" noThreeD="1"/>
</file>

<file path=xl/ctrlProps/ctrlProp8.xml><?xml version="1.0" encoding="utf-8"?>
<formControlPr xmlns="http://schemas.microsoft.com/office/spreadsheetml/2009/9/main" objectType="CheckBox" checked="Checked" fmlaLink="UNNH0010_H_BUNSEKI_KAKUNIN_STS" lockText="1" noThreeD="1"/>
</file>

<file path=xl/ctrlProps/ctrlProp9.xml><?xml version="1.0" encoding="utf-8"?>
<formControlPr xmlns="http://schemas.microsoft.com/office/spreadsheetml/2009/9/main" objectType="CheckBox" checked="Checked" fmlaLink="UNNH0010_H_BUNSEKI_SOKUHO_STS" lockText="1" noThreeD="1"/>
</file>

<file path=xl/ctrlProps/ctrlProp10.xml><?xml version="1.0" encoding="utf-8"?>
<formControlPr xmlns="http://schemas.microsoft.com/office/spreadsheetml/2009/9/main" objectType="CheckBox" checked="Checked" fmlaLink="UNNH0010_H_BUNSEKI_EIGYO_STS" lockText="1" noThreeD="1"/>
</file>

<file path=xl/ctrlProps/ctrlProp11.xml><?xml version="1.0" encoding="utf-8"?>
<formControlPr xmlns="http://schemas.microsoft.com/office/spreadsheetml/2009/9/main" objectType="CheckBox" checked="Checked" fmlaLink="UNNH0010_H_BUNSEKI_NOHIN_STS" lockText="1" noThreeD="1"/>
</file>

<file path=xl/ctrlProps/ctrlProp12.xml><?xml version="1.0" encoding="utf-8"?>
<formControlPr xmlns="http://schemas.microsoft.com/office/spreadsheetml/2009/9/main" objectType="CheckBox" fmlaLink="UNNH0010_H_BUNSEKI_IRAI_HOKAN_STS" lockText="1" noThreeD="1"/>
</file>

<file path=xl/ctrlProps/ctrlProp13.xml><?xml version="1.0" encoding="utf-8"?>
<formControlPr xmlns="http://schemas.microsoft.com/office/spreadsheetml/2009/9/main" objectType="CheckBox" fmlaLink="UNNH0010_H_BUNSEKI_TEISEI_STS" lockText="1" noThreeD="1"/>
</file>

<file path=xl/ctrlProps/ctrlProp14.xml><?xml version="1.0" encoding="utf-8"?>
<formControlPr xmlns="http://schemas.microsoft.com/office/spreadsheetml/2009/9/main" objectType="CheckBox" fmlaLink="UNNH0010_H_BUNSEKI_CHUDAN_STS" lockText="1" noThreeD="1"/>
</file>

<file path=xl/ctrlProps/ctrlProp15.xml><?xml version="1.0" encoding="utf-8"?>
<formControlPr xmlns="http://schemas.microsoft.com/office/spreadsheetml/2009/9/main" objectType="CheckBox" fmlaLink="UNNH0010_H_BUNSEKI_CHUSHI_STS" lockText="1" noThreeD="1"/>
</file>

<file path=xl/ctrlProps/ctrlProp16.xml><?xml version="1.0" encoding="utf-8"?>
<formControlPr xmlns="http://schemas.microsoft.com/office/spreadsheetml/2009/9/main" objectType="CheckBox" fmlaLink="UNNH0010_H_HAMBAI_SHORIMI_STS" lockText="1" noThreeD="1"/>
</file>

<file path=xl/ctrlProps/ctrlProp17.xml><?xml version="1.0" encoding="utf-8"?>
<formControlPr xmlns="http://schemas.microsoft.com/office/spreadsheetml/2009/9/main" objectType="CheckBox" checked="Checked" fmlaLink="UNNH0010_H_HAMBAI_JUNBI_KANRYO_STS" lockText="1" noThreeD="1"/>
</file>

<file path=xl/ctrlProps/ctrlProp18.xml><?xml version="1.0" encoding="utf-8"?>
<formControlPr xmlns="http://schemas.microsoft.com/office/spreadsheetml/2009/9/main" objectType="Radio" checked="Checked" firstButton="1" fmlaLink="UNNH0010_H_FREEWD_KBN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fmlaLink="UNNH0020_H_MIHAKKO_STS" lockText="1" noThreeD="1"/>
</file>

<file path=xl/ctrlProps/ctrlProp23.xml><?xml version="1.0" encoding="utf-8"?>
<formControlPr xmlns="http://schemas.microsoft.com/office/spreadsheetml/2009/9/main" objectType="CheckBox" checked="Checked" fmlaLink="UNNH0020_H_HAKKOSUMI_STS" lockText="1" noThreeD="1"/>
</file>

<file path=xl/ctrlProps/ctrlProp24.xml><?xml version="1.0" encoding="utf-8"?>
<formControlPr xmlns="http://schemas.microsoft.com/office/spreadsheetml/2009/9/main" objectType="CheckBox" checked="Checked" fmlaLink="UNNH0020_H_SAIHAKKOSUMI_STS" lockText="1" noThreeD="1"/>
</file>

<file path=xl/ctrlProps/ctrlProp25.xml><?xml version="1.0" encoding="utf-8"?>
<formControlPr xmlns="http://schemas.microsoft.com/office/spreadsheetml/2009/9/main" objectType="CheckBox" checked="Checked" fmlaLink="UNNH0020_H_TSUJO_KBN" lockText="1" noThreeD="1"/>
</file>

<file path=xl/ctrlProps/ctrlProp26.xml><?xml version="1.0" encoding="utf-8"?>
<formControlPr xmlns="http://schemas.microsoft.com/office/spreadsheetml/2009/9/main" objectType="CheckBox" checked="Checked" fmlaLink="UNNH0020_H_TEISEI_KBN" lockText="1" noThreeD="1"/>
</file>

<file path=xl/ctrlProps/ctrlProp27.xml><?xml version="1.0" encoding="utf-8"?>
<formControlPr xmlns="http://schemas.microsoft.com/office/spreadsheetml/2009/9/main" objectType="CheckBox" checked="Checked" fmlaLink="UNNH0020_H_AKA_KBN" lockText="1" noThreeD="1"/>
</file>

<file path=xl/ctrlProps/ctrlProp28.xml><?xml version="1.0" encoding="utf-8"?>
<formControlPr xmlns="http://schemas.microsoft.com/office/spreadsheetml/2009/9/main" objectType="CheckBox" checked="Checked" fmlaLink="UNNH0020_H_KURO_KBN" lockText="1" noThreeD="1"/>
</file>

<file path=xl/ctrlProps/ctrlProp29.xml><?xml version="1.0" encoding="utf-8"?>
<formControlPr xmlns="http://schemas.microsoft.com/office/spreadsheetml/2009/9/main" objectType="CheckBox" checked="Checked" fmlaLink="UNNH0020_H_KETSUGO_KBN" lockText="1" noThreeD="1"/>
</file>

<file path=xl/ctrlProps/ctrlProp30.xml><?xml version="1.0" encoding="utf-8"?>
<formControlPr xmlns="http://schemas.microsoft.com/office/spreadsheetml/2009/9/main" objectType="CheckBox" fmlaLink="UNNH0020_H_RENDO_FUYO_KBN" lockText="1" noThreeD="1"/>
</file>

<file path=xl/ctrlProps/ctrlProp31.xml><?xml version="1.0" encoding="utf-8"?>
<formControlPr xmlns="http://schemas.microsoft.com/office/spreadsheetml/2009/9/main" objectType="CheckBox" checked="Checked" fmlaLink="UNNH0020_H_RENDO_MI_KBN" lockText="1" noThreeD="1"/>
</file>

<file path=xl/ctrlProps/ctrlProp32.xml><?xml version="1.0" encoding="utf-8"?>
<formControlPr xmlns="http://schemas.microsoft.com/office/spreadsheetml/2009/9/main" objectType="CheckBox" checked="Checked" fmlaLink="UNNH0020_H_RENDO_SUMI_KBN" lockText="1" noThreeD="1"/>
</file>

<file path=xl/ctrlProps/ctrlProp33.xml><?xml version="1.0" encoding="utf-8"?>
<formControlPr xmlns="http://schemas.microsoft.com/office/spreadsheetml/2009/9/main" objectType="CheckBox" fmlaLink="UNNH0020_H_DEL_HYOJI_FLG" lockText="1" noThreeD="1"/>
</file>

<file path=xl/ctrlProps/ctrlProp34.xml><?xml version="1.0" encoding="utf-8"?>
<formControlPr xmlns="http://schemas.microsoft.com/office/spreadsheetml/2009/9/main" objectType="Radio" checked="Checked" firstButton="1" fmlaLink="UNNH0020_H_FREEWD_KBN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CheckBox" checked="Checked" fmlaLink="UNNH0020_H_URIAGE_LINK_STS" lockText="1" noThreeD="1"/>
</file>

<file path=xl/ctrlProps/ctrlProp38.xml><?xml version="1.0" encoding="utf-8"?>
<formControlPr xmlns="http://schemas.microsoft.com/office/spreadsheetml/2009/9/main" objectType="CheckBox" checked="Checked" fmlaLink="UNNH0030_H_DOJI_FLG" lockText="1" noThreeD="1"/>
</file>

<file path=xl/ctrlProps/ctrlProp39.xml><?xml version="1.0" encoding="utf-8"?>
<formControlPr xmlns="http://schemas.microsoft.com/office/spreadsheetml/2009/9/main" objectType="CheckBox" fmlaLink="UNNH0030_H_JUSHO_NO_PRINT_FLG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</xdr:row>
          <xdr:rowOff>28575</xdr:rowOff>
        </xdr:from>
        <xdr:to>
          <xdr:col>14</xdr:col>
          <xdr:colOff>47625</xdr:colOff>
          <xdr:row>2</xdr:row>
          <xdr:rowOff>180975</xdr:rowOff>
        </xdr:to>
        <xdr:sp macro="" textlink="">
          <xdr:nvSpPr>
            <xdr:cNvPr id="215041" name="Check Box 1" hidden="1">
              <a:extLst>
                <a:ext uri="{63B3BB69-23CF-44E3-9099-C40C66FF867C}">
                  <a14:compatExt spid="_x0000_s215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2</xdr:row>
          <xdr:rowOff>28575</xdr:rowOff>
        </xdr:from>
        <xdr:to>
          <xdr:col>18</xdr:col>
          <xdr:colOff>47625</xdr:colOff>
          <xdr:row>2</xdr:row>
          <xdr:rowOff>180975</xdr:rowOff>
        </xdr:to>
        <xdr:sp macro="" textlink="">
          <xdr:nvSpPr>
            <xdr:cNvPr id="215042" name="Check Box 2" hidden="1">
              <a:extLst>
                <a:ext uri="{63B3BB69-23CF-44E3-9099-C40C66FF867C}">
                  <a14:compatExt spid="_x0000_s215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161925</xdr:colOff>
          <xdr:row>2</xdr:row>
          <xdr:rowOff>9525</xdr:rowOff>
        </xdr:from>
        <xdr:to>
          <xdr:col>26</xdr:col>
          <xdr:colOff>114300</xdr:colOff>
          <xdr:row>2</xdr:row>
          <xdr:rowOff>161925</xdr:rowOff>
        </xdr:to>
        <xdr:sp macro="" textlink="">
          <xdr:nvSpPr>
            <xdr:cNvPr id="215043" name="Check Box 3" hidden="1">
              <a:extLst>
                <a:ext uri="{63B3BB69-23CF-44E3-9099-C40C66FF867C}">
                  <a14:compatExt spid="_x0000_s215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3</xdr:row>
          <xdr:rowOff>28575</xdr:rowOff>
        </xdr:from>
        <xdr:to>
          <xdr:col>14</xdr:col>
          <xdr:colOff>47625</xdr:colOff>
          <xdr:row>3</xdr:row>
          <xdr:rowOff>180975</xdr:rowOff>
        </xdr:to>
        <xdr:sp macro="" textlink="">
          <xdr:nvSpPr>
            <xdr:cNvPr id="215044" name="Check Box 4" hidden="1">
              <a:extLst>
                <a:ext uri="{63B3BB69-23CF-44E3-9099-C40C66FF867C}">
                  <a14:compatExt spid="_x0000_s215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</xdr:row>
          <xdr:rowOff>28575</xdr:rowOff>
        </xdr:from>
        <xdr:to>
          <xdr:col>18</xdr:col>
          <xdr:colOff>47625</xdr:colOff>
          <xdr:row>3</xdr:row>
          <xdr:rowOff>180975</xdr:rowOff>
        </xdr:to>
        <xdr:sp macro="" textlink="">
          <xdr:nvSpPr>
            <xdr:cNvPr id="215045" name="Check Box 5" hidden="1">
              <a:extLst>
                <a:ext uri="{63B3BB69-23CF-44E3-9099-C40C66FF867C}">
                  <a14:compatExt spid="_x0000_s215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3</xdr:row>
          <xdr:rowOff>28575</xdr:rowOff>
        </xdr:from>
        <xdr:to>
          <xdr:col>22</xdr:col>
          <xdr:colOff>161925</xdr:colOff>
          <xdr:row>3</xdr:row>
          <xdr:rowOff>180975</xdr:rowOff>
        </xdr:to>
        <xdr:sp macro="" textlink="">
          <xdr:nvSpPr>
            <xdr:cNvPr id="215046" name="Check Box 6" hidden="1">
              <a:extLst>
                <a:ext uri="{63B3BB69-23CF-44E3-9099-C40C66FF867C}">
                  <a14:compatExt spid="_x0000_s215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3</xdr:row>
          <xdr:rowOff>19050</xdr:rowOff>
        </xdr:from>
        <xdr:to>
          <xdr:col>27</xdr:col>
          <xdr:colOff>0</xdr:colOff>
          <xdr:row>3</xdr:row>
          <xdr:rowOff>171450</xdr:rowOff>
        </xdr:to>
        <xdr:sp macro="" textlink="">
          <xdr:nvSpPr>
            <xdr:cNvPr id="215047" name="Check Box 7" hidden="1">
              <a:extLst>
                <a:ext uri="{63B3BB69-23CF-44E3-9099-C40C66FF867C}">
                  <a14:compatExt spid="_x0000_s215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</xdr:colOff>
          <xdr:row>3</xdr:row>
          <xdr:rowOff>28575</xdr:rowOff>
        </xdr:from>
        <xdr:to>
          <xdr:col>29</xdr:col>
          <xdr:colOff>123825</xdr:colOff>
          <xdr:row>3</xdr:row>
          <xdr:rowOff>180975</xdr:rowOff>
        </xdr:to>
        <xdr:sp macro="" textlink="">
          <xdr:nvSpPr>
            <xdr:cNvPr id="215048" name="Check Box 8" hidden="1">
              <a:extLst>
                <a:ext uri="{63B3BB69-23CF-44E3-9099-C40C66FF867C}">
                  <a14:compatExt spid="_x0000_s215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3</xdr:row>
          <xdr:rowOff>28575</xdr:rowOff>
        </xdr:from>
        <xdr:to>
          <xdr:col>34</xdr:col>
          <xdr:colOff>171450</xdr:colOff>
          <xdr:row>3</xdr:row>
          <xdr:rowOff>180975</xdr:rowOff>
        </xdr:to>
        <xdr:sp macro="" textlink="">
          <xdr:nvSpPr>
            <xdr:cNvPr id="215049" name="Check Box 9" hidden="1">
              <a:extLst>
                <a:ext uri="{63B3BB69-23CF-44E3-9099-C40C66FF867C}">
                  <a14:compatExt spid="_x0000_s215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4</xdr:row>
          <xdr:rowOff>28575</xdr:rowOff>
        </xdr:from>
        <xdr:to>
          <xdr:col>14</xdr:col>
          <xdr:colOff>161925</xdr:colOff>
          <xdr:row>4</xdr:row>
          <xdr:rowOff>180975</xdr:rowOff>
        </xdr:to>
        <xdr:sp macro="" textlink="">
          <xdr:nvSpPr>
            <xdr:cNvPr id="215050" name="Check Box 10" hidden="1">
              <a:extLst>
                <a:ext uri="{63B3BB69-23CF-44E3-9099-C40C66FF867C}">
                  <a14:compatExt spid="_x0000_s215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4</xdr:row>
          <xdr:rowOff>28575</xdr:rowOff>
        </xdr:from>
        <xdr:to>
          <xdr:col>17</xdr:col>
          <xdr:colOff>161925</xdr:colOff>
          <xdr:row>4</xdr:row>
          <xdr:rowOff>180975</xdr:rowOff>
        </xdr:to>
        <xdr:sp macro="" textlink="">
          <xdr:nvSpPr>
            <xdr:cNvPr id="215051" name="Check Box 11" hidden="1">
              <a:extLst>
                <a:ext uri="{63B3BB69-23CF-44E3-9099-C40C66FF867C}">
                  <a14:compatExt spid="_x0000_s215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4</xdr:row>
          <xdr:rowOff>28575</xdr:rowOff>
        </xdr:from>
        <xdr:to>
          <xdr:col>22</xdr:col>
          <xdr:colOff>171450</xdr:colOff>
          <xdr:row>4</xdr:row>
          <xdr:rowOff>190500</xdr:rowOff>
        </xdr:to>
        <xdr:sp macro="" textlink="">
          <xdr:nvSpPr>
            <xdr:cNvPr id="215052" name="Check Box 12" hidden="1">
              <a:extLst>
                <a:ext uri="{63B3BB69-23CF-44E3-9099-C40C66FF867C}">
                  <a14:compatExt spid="_x0000_s215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57150</xdr:colOff>
          <xdr:row>4</xdr:row>
          <xdr:rowOff>28575</xdr:rowOff>
        </xdr:from>
        <xdr:to>
          <xdr:col>26</xdr:col>
          <xdr:colOff>180975</xdr:colOff>
          <xdr:row>4</xdr:row>
          <xdr:rowOff>180975</xdr:rowOff>
        </xdr:to>
        <xdr:sp macro="" textlink="">
          <xdr:nvSpPr>
            <xdr:cNvPr id="215053" name="Check Box 13" hidden="1">
              <a:extLst>
                <a:ext uri="{63B3BB69-23CF-44E3-9099-C40C66FF867C}">
                  <a14:compatExt spid="_x0000_s215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</xdr:colOff>
          <xdr:row>4</xdr:row>
          <xdr:rowOff>28575</xdr:rowOff>
        </xdr:from>
        <xdr:to>
          <xdr:col>29</xdr:col>
          <xdr:colOff>66675</xdr:colOff>
          <xdr:row>4</xdr:row>
          <xdr:rowOff>180975</xdr:rowOff>
        </xdr:to>
        <xdr:sp macro="" textlink="">
          <xdr:nvSpPr>
            <xdr:cNvPr id="215054" name="Check Box 14" hidden="1">
              <a:extLst>
                <a:ext uri="{63B3BB69-23CF-44E3-9099-C40C66FF867C}">
                  <a14:compatExt spid="_x0000_s215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</xdr:colOff>
          <xdr:row>4</xdr:row>
          <xdr:rowOff>28575</xdr:rowOff>
        </xdr:from>
        <xdr:to>
          <xdr:col>32</xdr:col>
          <xdr:colOff>247650</xdr:colOff>
          <xdr:row>4</xdr:row>
          <xdr:rowOff>180975</xdr:rowOff>
        </xdr:to>
        <xdr:sp macro="" textlink="">
          <xdr:nvSpPr>
            <xdr:cNvPr id="215055" name="Check Box 15" hidden="1">
              <a:extLst>
                <a:ext uri="{63B3BB69-23CF-44E3-9099-C40C66FF867C}">
                  <a14:compatExt spid="_x0000_s215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5</xdr:row>
          <xdr:rowOff>28575</xdr:rowOff>
        </xdr:from>
        <xdr:to>
          <xdr:col>13</xdr:col>
          <xdr:colOff>171450</xdr:colOff>
          <xdr:row>5</xdr:row>
          <xdr:rowOff>171450</xdr:rowOff>
        </xdr:to>
        <xdr:sp macro="" textlink="">
          <xdr:nvSpPr>
            <xdr:cNvPr id="215056" name="Check Box 16" hidden="1">
              <a:extLst>
                <a:ext uri="{63B3BB69-23CF-44E3-9099-C40C66FF867C}">
                  <a14:compatExt spid="_x0000_s215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5</xdr:row>
          <xdr:rowOff>28575</xdr:rowOff>
        </xdr:from>
        <xdr:to>
          <xdr:col>18</xdr:col>
          <xdr:colOff>180975</xdr:colOff>
          <xdr:row>5</xdr:row>
          <xdr:rowOff>180975</xdr:rowOff>
        </xdr:to>
        <xdr:sp macro="" textlink="">
          <xdr:nvSpPr>
            <xdr:cNvPr id="215057" name="Check Box 17" hidden="1">
              <a:extLst>
                <a:ext uri="{63B3BB69-23CF-44E3-9099-C40C66FF867C}">
                  <a14:compatExt spid="_x0000_s21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85725</xdr:colOff>
          <xdr:row>15</xdr:row>
          <xdr:rowOff>38100</xdr:rowOff>
        </xdr:from>
        <xdr:to>
          <xdr:col>27</xdr:col>
          <xdr:colOff>85725</xdr:colOff>
          <xdr:row>15</xdr:row>
          <xdr:rowOff>200025</xdr:rowOff>
        </xdr:to>
        <xdr:sp macro="" textlink="">
          <xdr:nvSpPr>
            <xdr:cNvPr id="215058" name="Option Button 18" hidden="1">
              <a:extLst>
                <a:ext uri="{63B3BB69-23CF-44E3-9099-C40C66FF867C}">
                  <a14:compatExt spid="_x0000_s21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104775</xdr:colOff>
          <xdr:row>15</xdr:row>
          <xdr:rowOff>38100</xdr:rowOff>
        </xdr:from>
        <xdr:to>
          <xdr:col>29</xdr:col>
          <xdr:colOff>19050</xdr:colOff>
          <xdr:row>15</xdr:row>
          <xdr:rowOff>200025</xdr:rowOff>
        </xdr:to>
        <xdr:sp macro="" textlink="">
          <xdr:nvSpPr>
            <xdr:cNvPr id="215059" name="Option Button 19" hidden="1">
              <a:extLst>
                <a:ext uri="{63B3BB69-23CF-44E3-9099-C40C66FF867C}">
                  <a14:compatExt spid="_x0000_s21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15</xdr:row>
          <xdr:rowOff>38100</xdr:rowOff>
        </xdr:from>
        <xdr:to>
          <xdr:col>31</xdr:col>
          <xdr:colOff>28575</xdr:colOff>
          <xdr:row>15</xdr:row>
          <xdr:rowOff>200025</xdr:rowOff>
        </xdr:to>
        <xdr:sp macro="" textlink="">
          <xdr:nvSpPr>
            <xdr:cNvPr id="215060" name="Option Button 20" hidden="1">
              <a:extLst>
                <a:ext uri="{63B3BB69-23CF-44E3-9099-C40C66FF867C}">
                  <a14:compatExt spid="_x0000_s21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28575</xdr:rowOff>
        </xdr:from>
        <xdr:to>
          <xdr:col>4</xdr:col>
          <xdr:colOff>247650</xdr:colOff>
          <xdr:row>6</xdr:row>
          <xdr:rowOff>190500</xdr:rowOff>
        </xdr:to>
        <xdr:sp macro="" textlink="">
          <xdr:nvSpPr>
            <xdr:cNvPr id="261121" name="Check Box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200025</xdr:rowOff>
        </xdr:from>
        <xdr:to>
          <xdr:col>11</xdr:col>
          <xdr:colOff>19050</xdr:colOff>
          <xdr:row>2</xdr:row>
          <xdr:rowOff>180975</xdr:rowOff>
        </xdr:to>
        <xdr:sp macro="" textlink="">
          <xdr:nvSpPr>
            <xdr:cNvPr id="273409" name="Check Box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1</xdr:row>
          <xdr:rowOff>209550</xdr:rowOff>
        </xdr:from>
        <xdr:to>
          <xdr:col>15</xdr:col>
          <xdr:colOff>19050</xdr:colOff>
          <xdr:row>2</xdr:row>
          <xdr:rowOff>180975</xdr:rowOff>
        </xdr:to>
        <xdr:sp macro="" textlink="">
          <xdr:nvSpPr>
            <xdr:cNvPr id="273410" name="Check Box 2" hidden="1">
              <a:extLst>
                <a:ext uri="{63B3BB69-23CF-44E3-9099-C40C66FF867C}">
                  <a14:compatExt spid="_x0000_s273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</xdr:row>
          <xdr:rowOff>200025</xdr:rowOff>
        </xdr:from>
        <xdr:to>
          <xdr:col>19</xdr:col>
          <xdr:colOff>9525</xdr:colOff>
          <xdr:row>2</xdr:row>
          <xdr:rowOff>180975</xdr:rowOff>
        </xdr:to>
        <xdr:sp macro="" textlink="">
          <xdr:nvSpPr>
            <xdr:cNvPr id="273411" name="Check Box 3" hidden="1">
              <a:extLst>
                <a:ext uri="{63B3BB69-23CF-44E3-9099-C40C66FF867C}">
                  <a14:compatExt spid="_x0000_s273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200025</xdr:rowOff>
        </xdr:from>
        <xdr:to>
          <xdr:col>11</xdr:col>
          <xdr:colOff>19050</xdr:colOff>
          <xdr:row>3</xdr:row>
          <xdr:rowOff>180975</xdr:rowOff>
        </xdr:to>
        <xdr:sp macro="" textlink="">
          <xdr:nvSpPr>
            <xdr:cNvPr id="273412" name="Check Box 4" hidden="1">
              <a:extLst>
                <a:ext uri="{63B3BB69-23CF-44E3-9099-C40C66FF867C}">
                  <a14:compatExt spid="_x0000_s273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</xdr:row>
          <xdr:rowOff>200025</xdr:rowOff>
        </xdr:from>
        <xdr:to>
          <xdr:col>15</xdr:col>
          <xdr:colOff>28575</xdr:colOff>
          <xdr:row>3</xdr:row>
          <xdr:rowOff>180975</xdr:rowOff>
        </xdr:to>
        <xdr:sp macro="" textlink="">
          <xdr:nvSpPr>
            <xdr:cNvPr id="273413" name="Check Box 5" hidden="1">
              <a:extLst>
                <a:ext uri="{63B3BB69-23CF-44E3-9099-C40C66FF867C}">
                  <a14:compatExt spid="_x0000_s273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3</xdr:row>
          <xdr:rowOff>0</xdr:rowOff>
        </xdr:from>
        <xdr:to>
          <xdr:col>19</xdr:col>
          <xdr:colOff>9525</xdr:colOff>
          <xdr:row>3</xdr:row>
          <xdr:rowOff>190500</xdr:rowOff>
        </xdr:to>
        <xdr:sp macro="" textlink="">
          <xdr:nvSpPr>
            <xdr:cNvPr id="273414" name="Check Box 6" hidden="1">
              <a:extLst>
                <a:ext uri="{63B3BB69-23CF-44E3-9099-C40C66FF867C}">
                  <a14:compatExt spid="_x0000_s273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2</xdr:row>
          <xdr:rowOff>200025</xdr:rowOff>
        </xdr:from>
        <xdr:to>
          <xdr:col>23</xdr:col>
          <xdr:colOff>38100</xdr:colOff>
          <xdr:row>3</xdr:row>
          <xdr:rowOff>180975</xdr:rowOff>
        </xdr:to>
        <xdr:sp macro="" textlink="">
          <xdr:nvSpPr>
            <xdr:cNvPr id="273415" name="Check Box 7" hidden="1">
              <a:extLst>
                <a:ext uri="{63B3BB69-23CF-44E3-9099-C40C66FF867C}">
                  <a14:compatExt spid="_x0000_s273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3</xdr:row>
          <xdr:rowOff>0</xdr:rowOff>
        </xdr:from>
        <xdr:to>
          <xdr:col>27</xdr:col>
          <xdr:colOff>19050</xdr:colOff>
          <xdr:row>3</xdr:row>
          <xdr:rowOff>190500</xdr:rowOff>
        </xdr:to>
        <xdr:sp macro="" textlink="">
          <xdr:nvSpPr>
            <xdr:cNvPr id="273416" name="Check Box 8" hidden="1">
              <a:extLst>
                <a:ext uri="{63B3BB69-23CF-44E3-9099-C40C66FF867C}">
                  <a14:compatExt spid="_x0000_s273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</xdr:row>
          <xdr:rowOff>200025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73417" name="Check Box 9" hidden="1">
              <a:extLst>
                <a:ext uri="{63B3BB69-23CF-44E3-9099-C40C66FF867C}">
                  <a14:compatExt spid="_x0000_s273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4</xdr:row>
          <xdr:rowOff>0</xdr:rowOff>
        </xdr:from>
        <xdr:to>
          <xdr:col>15</xdr:col>
          <xdr:colOff>28575</xdr:colOff>
          <xdr:row>4</xdr:row>
          <xdr:rowOff>190500</xdr:rowOff>
        </xdr:to>
        <xdr:sp macro="" textlink="">
          <xdr:nvSpPr>
            <xdr:cNvPr id="273418" name="Check Box 10" hidden="1">
              <a:extLst>
                <a:ext uri="{63B3BB69-23CF-44E3-9099-C40C66FF867C}">
                  <a14:compatExt spid="_x0000_s273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3</xdr:row>
          <xdr:rowOff>200025</xdr:rowOff>
        </xdr:from>
        <xdr:to>
          <xdr:col>19</xdr:col>
          <xdr:colOff>9525</xdr:colOff>
          <xdr:row>4</xdr:row>
          <xdr:rowOff>180975</xdr:rowOff>
        </xdr:to>
        <xdr:sp macro="" textlink="">
          <xdr:nvSpPr>
            <xdr:cNvPr id="273419" name="Check Box 11" hidden="1">
              <a:extLst>
                <a:ext uri="{63B3BB69-23CF-44E3-9099-C40C66FF867C}">
                  <a14:compatExt spid="_x0000_s273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13</xdr:row>
          <xdr:rowOff>0</xdr:rowOff>
        </xdr:from>
        <xdr:to>
          <xdr:col>33</xdr:col>
          <xdr:colOff>9525</xdr:colOff>
          <xdr:row>13</xdr:row>
          <xdr:rowOff>190500</xdr:rowOff>
        </xdr:to>
        <xdr:sp macro="" textlink="">
          <xdr:nvSpPr>
            <xdr:cNvPr id="273420" name="Check Box 12" hidden="1">
              <a:extLst>
                <a:ext uri="{63B3BB69-23CF-44E3-9099-C40C66FF867C}">
                  <a14:compatExt spid="_x0000_s273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12</xdr:row>
          <xdr:rowOff>200025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273421" name="Option Button 13" hidden="1">
              <a:extLst>
                <a:ext uri="{63B3BB69-23CF-44E3-9099-C40C66FF867C}">
                  <a14:compatExt spid="_x0000_s273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12</xdr:row>
          <xdr:rowOff>200025</xdr:rowOff>
        </xdr:from>
        <xdr:to>
          <xdr:col>27</xdr:col>
          <xdr:colOff>180975</xdr:colOff>
          <xdr:row>14</xdr:row>
          <xdr:rowOff>0</xdr:rowOff>
        </xdr:to>
        <xdr:sp macro="" textlink="">
          <xdr:nvSpPr>
            <xdr:cNvPr id="273422" name="Option Button 14" hidden="1">
              <a:extLst>
                <a:ext uri="{63B3BB69-23CF-44E3-9099-C40C66FF867C}">
                  <a14:compatExt spid="_x0000_s273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219075</xdr:colOff>
          <xdr:row>13</xdr:row>
          <xdr:rowOff>0</xdr:rowOff>
        </xdr:from>
        <xdr:to>
          <xdr:col>30</xdr:col>
          <xdr:colOff>19050</xdr:colOff>
          <xdr:row>14</xdr:row>
          <xdr:rowOff>9525</xdr:rowOff>
        </xdr:to>
        <xdr:sp macro="" textlink="">
          <xdr:nvSpPr>
            <xdr:cNvPr id="273423" name="Option Button 15" hidden="1">
              <a:extLst>
                <a:ext uri="{63B3BB69-23CF-44E3-9099-C40C66FF867C}">
                  <a14:compatExt spid="_x0000_s273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1</xdr:row>
          <xdr:rowOff>200025</xdr:rowOff>
        </xdr:from>
        <xdr:to>
          <xdr:col>23</xdr:col>
          <xdr:colOff>38100</xdr:colOff>
          <xdr:row>2</xdr:row>
          <xdr:rowOff>180975</xdr:rowOff>
        </xdr:to>
        <xdr:sp macro="" textlink="">
          <xdr:nvSpPr>
            <xdr:cNvPr id="273424" name="Check Box 16" hidden="1">
              <a:extLst>
                <a:ext uri="{63B3BB69-23CF-44E3-9099-C40C66FF867C}">
                  <a14:compatExt spid="_x0000_s273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17</xdr:col>
          <xdr:colOff>133350</xdr:colOff>
          <xdr:row>5</xdr:row>
          <xdr:rowOff>171450</xdr:rowOff>
        </xdr:to>
        <xdr:sp macro="" textlink="">
          <xdr:nvSpPr>
            <xdr:cNvPr id="336897" name="Check Box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12</xdr:row>
          <xdr:rowOff>19050</xdr:rowOff>
        </xdr:from>
        <xdr:to>
          <xdr:col>17</xdr:col>
          <xdr:colOff>133350</xdr:colOff>
          <xdr:row>12</xdr:row>
          <xdr:rowOff>171450</xdr:rowOff>
        </xdr:to>
        <xdr:sp macro="" textlink="">
          <xdr:nvSpPr>
            <xdr:cNvPr id="336898" name="Check Box 2" hidden="1">
              <a:extLst>
                <a:ext uri="{63B3BB69-23CF-44E3-9099-C40C66FF867C}">
                  <a14:compatExt spid="_x0000_s3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78441</xdr:colOff>
      <xdr:row>49</xdr:row>
      <xdr:rowOff>201708</xdr:rowOff>
    </xdr:from>
    <xdr:to>
      <xdr:col>51</xdr:col>
      <xdr:colOff>119420</xdr:colOff>
      <xdr:row>55</xdr:row>
      <xdr:rowOff>303414</xdr:rowOff>
    </xdr:to>
    <xdr:grpSp>
      <xdr:nvGrpSpPr>
        <xdr:cNvPr id="76" name="グループ化 75"/>
        <xdr:cNvGrpSpPr/>
      </xdr:nvGrpSpPr>
      <xdr:grpSpPr>
        <a:xfrm>
          <a:off x="6510617" y="18265590"/>
          <a:ext cx="4792274" cy="2107559"/>
          <a:chOff x="6527267" y="2336185"/>
          <a:chExt cx="4792274" cy="2107559"/>
        </a:xfrm>
      </xdr:grpSpPr>
      <xdr:pic>
        <xdr:nvPicPr>
          <xdr:cNvPr id="92" name="図 9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93" name="正方形/長方形 92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94" name="グループ化 93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96" name="正方形/長方形 95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97" name="正方形/長方形 96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98" name="正方形/長方形 97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99" name="正方形/長方形 98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0" name="正方形/長方形 99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1" name="正方形/長方形 100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2" name="正方形/長方形 101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3" name="正方形/長方形 102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04" name="正方形/長方形 103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05" name="正方形/長方形 104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95" name="図 9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87</xdr:row>
      <xdr:rowOff>292719</xdr:rowOff>
    </xdr:from>
    <xdr:to>
      <xdr:col>51</xdr:col>
      <xdr:colOff>136070</xdr:colOff>
      <xdr:row>93</xdr:row>
      <xdr:rowOff>308773</xdr:rowOff>
    </xdr:to>
    <xdr:grpSp>
      <xdr:nvGrpSpPr>
        <xdr:cNvPr id="75" name="グループ化 74"/>
        <xdr:cNvGrpSpPr/>
      </xdr:nvGrpSpPr>
      <xdr:grpSpPr>
        <a:xfrm>
          <a:off x="6527267" y="34291366"/>
          <a:ext cx="4792274" cy="2021907"/>
          <a:chOff x="6354377" y="2483469"/>
          <a:chExt cx="4612979" cy="2029911"/>
        </a:xfrm>
      </xdr:grpSpPr>
      <xdr:sp macro="" textlink="">
        <xdr:nvSpPr>
          <xdr:cNvPr id="77" name="正方形/長方形 76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78" name="グループ化 77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80" name="正方形/長方形 79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1" name="正方形/長方形 80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2" name="正方形/長方形 81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3" name="正方形/長方形 82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4" name="正方形/長方形 83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5" name="正方形/長方形 84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6" name="正方形/長方形 85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7" name="正方形/長方形 86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88" name="正方形/長方形 87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89" name="正方形/長方形 88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79" name="図 78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125</xdr:row>
      <xdr:rowOff>292719</xdr:rowOff>
    </xdr:from>
    <xdr:to>
      <xdr:col>51</xdr:col>
      <xdr:colOff>136070</xdr:colOff>
      <xdr:row>131</xdr:row>
      <xdr:rowOff>308773</xdr:rowOff>
    </xdr:to>
    <xdr:grpSp>
      <xdr:nvGrpSpPr>
        <xdr:cNvPr id="90" name="グループ化 89"/>
        <xdr:cNvGrpSpPr/>
      </xdr:nvGrpSpPr>
      <xdr:grpSpPr>
        <a:xfrm>
          <a:off x="6527267" y="50226131"/>
          <a:ext cx="4792274" cy="2021907"/>
          <a:chOff x="6354377" y="2483469"/>
          <a:chExt cx="4612979" cy="2029911"/>
        </a:xfrm>
      </xdr:grpSpPr>
      <xdr:sp macro="" textlink="">
        <xdr:nvSpPr>
          <xdr:cNvPr id="91" name="正方形/長方形 90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08" name="グループ化 107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37" name="正方形/長方形 13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8" name="正方形/長方形 13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9" name="正方形/長方形 13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0" name="正方形/長方形 13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1" name="正方形/長方形 14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2" name="正方形/長方形 14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3" name="正方形/長方形 14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4" name="正方形/長方形 14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45" name="正方形/長方形 14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46" name="正方形/長方形 14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23" name="図 122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11</xdr:row>
      <xdr:rowOff>207067</xdr:rowOff>
    </xdr:from>
    <xdr:to>
      <xdr:col>51</xdr:col>
      <xdr:colOff>136070</xdr:colOff>
      <xdr:row>17</xdr:row>
      <xdr:rowOff>308773</xdr:rowOff>
    </xdr:to>
    <xdr:grpSp>
      <xdr:nvGrpSpPr>
        <xdr:cNvPr id="6" name="グループ化 5"/>
        <xdr:cNvGrpSpPr/>
      </xdr:nvGrpSpPr>
      <xdr:grpSpPr>
        <a:xfrm>
          <a:off x="6527267" y="2336185"/>
          <a:ext cx="4792274" cy="2107559"/>
          <a:chOff x="6527267" y="2336185"/>
          <a:chExt cx="4792274" cy="2107559"/>
        </a:xfrm>
      </xdr:grpSpPr>
      <xdr:pic>
        <xdr:nvPicPr>
          <xdr:cNvPr id="4" name="図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9" name="正方形/長方形 18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" name="グループ化 1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22" name="正方形/長方形 2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3" name="正方形/長方形 2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4" name="正方形/長方形 2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5" name="正方形/長方形 2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6" name="正方形/長方形 2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7" name="正方形/長方形 2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8" name="正方形/長方形 2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9" name="正方形/長方形 2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30" name="正方形/長方形 2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31" name="正方形/長方形 3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5" name="図 4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95091</xdr:colOff>
      <xdr:row>3</xdr:row>
      <xdr:rowOff>207067</xdr:rowOff>
    </xdr:from>
    <xdr:to>
      <xdr:col>51</xdr:col>
      <xdr:colOff>136070</xdr:colOff>
      <xdr:row>9</xdr:row>
      <xdr:rowOff>308773</xdr:rowOff>
    </xdr:to>
    <xdr:grpSp>
      <xdr:nvGrpSpPr>
        <xdr:cNvPr id="152" name="グループ化 151"/>
        <xdr:cNvGrpSpPr/>
      </xdr:nvGrpSpPr>
      <xdr:grpSpPr>
        <a:xfrm>
          <a:off x="6527267" y="991479"/>
          <a:ext cx="4792274" cy="2107559"/>
          <a:chOff x="6527267" y="2336185"/>
          <a:chExt cx="4792274" cy="2107559"/>
        </a:xfrm>
      </xdr:grpSpPr>
      <xdr:pic>
        <xdr:nvPicPr>
          <xdr:cNvPr id="153" name="図 15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54" name="正方形/長方形 15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55" name="グループ化 15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57" name="正方形/長方形 15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8" name="正方形/長方形 15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9" name="正方形/長方形 15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0" name="正方形/長方形 15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1" name="正方形/長方形 16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2" name="正方形/長方形 16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3" name="正方形/長方形 16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4" name="正方形/長方形 16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65" name="正方形/長方形 16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66" name="正方形/長方形 16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56" name="図 15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40</xdr:row>
      <xdr:rowOff>207067</xdr:rowOff>
    </xdr:from>
    <xdr:to>
      <xdr:col>51</xdr:col>
      <xdr:colOff>136070</xdr:colOff>
      <xdr:row>46</xdr:row>
      <xdr:rowOff>308773</xdr:rowOff>
    </xdr:to>
    <xdr:grpSp>
      <xdr:nvGrpSpPr>
        <xdr:cNvPr id="167" name="グループ化 166"/>
        <xdr:cNvGrpSpPr/>
      </xdr:nvGrpSpPr>
      <xdr:grpSpPr>
        <a:xfrm>
          <a:off x="6527267" y="16758155"/>
          <a:ext cx="4792274" cy="2107559"/>
          <a:chOff x="6527267" y="2336185"/>
          <a:chExt cx="4792274" cy="2107559"/>
        </a:xfrm>
      </xdr:grpSpPr>
      <xdr:pic>
        <xdr:nvPicPr>
          <xdr:cNvPr id="168" name="図 16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69" name="正方形/長方形 168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70" name="グループ化 169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72" name="正方形/長方形 17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3" name="正方形/長方形 17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4" name="正方形/長方形 17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5" name="正方形/長方形 17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6" name="正方形/長方形 17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7" name="正方形/長方形 17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8" name="正方形/長方形 17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9" name="正方形/長方形 17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80" name="正方形/長方形 17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81" name="正方形/長方形 18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71" name="図 17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77</xdr:row>
      <xdr:rowOff>207067</xdr:rowOff>
    </xdr:from>
    <xdr:to>
      <xdr:col>51</xdr:col>
      <xdr:colOff>136070</xdr:colOff>
      <xdr:row>83</xdr:row>
      <xdr:rowOff>308773</xdr:rowOff>
    </xdr:to>
    <xdr:grpSp>
      <xdr:nvGrpSpPr>
        <xdr:cNvPr id="182" name="グループ化 181"/>
        <xdr:cNvGrpSpPr/>
      </xdr:nvGrpSpPr>
      <xdr:grpSpPr>
        <a:xfrm>
          <a:off x="6527267" y="32524832"/>
          <a:ext cx="4792274" cy="2107559"/>
          <a:chOff x="6527267" y="2336185"/>
          <a:chExt cx="4792274" cy="2107559"/>
        </a:xfrm>
      </xdr:grpSpPr>
      <xdr:pic>
        <xdr:nvPicPr>
          <xdr:cNvPr id="183" name="図 18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84" name="正方形/長方形 18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85" name="グループ化 18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87" name="正方形/長方形 18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8" name="正方形/長方形 18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9" name="正方形/長方形 18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0" name="正方形/長方形 18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1" name="正方形/長方形 19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2" name="正方形/長方形 19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3" name="正方形/長方形 19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4" name="正方形/長方形 19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95" name="正方形/長方形 19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96" name="正方形/長方形 19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86" name="図 18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114</xdr:row>
      <xdr:rowOff>207067</xdr:rowOff>
    </xdr:from>
    <xdr:to>
      <xdr:col>51</xdr:col>
      <xdr:colOff>136070</xdr:colOff>
      <xdr:row>120</xdr:row>
      <xdr:rowOff>308773</xdr:rowOff>
    </xdr:to>
    <xdr:grpSp>
      <xdr:nvGrpSpPr>
        <xdr:cNvPr id="197" name="グループ化 196"/>
        <xdr:cNvGrpSpPr/>
      </xdr:nvGrpSpPr>
      <xdr:grpSpPr>
        <a:xfrm>
          <a:off x="6527267" y="48291508"/>
          <a:ext cx="4792274" cy="2107559"/>
          <a:chOff x="6527267" y="2336185"/>
          <a:chExt cx="4792274" cy="2107559"/>
        </a:xfrm>
      </xdr:grpSpPr>
      <xdr:pic>
        <xdr:nvPicPr>
          <xdr:cNvPr id="198" name="図 19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99" name="正方形/長方形 198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00" name="グループ化 199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202" name="正方形/長方形 20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3" name="正方形/長方形 20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4" name="正方形/長方形 20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5" name="正方形/長方形 20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6" name="正方形/長方形 20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7" name="正方形/長方形 20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8" name="正方形/長方形 20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9" name="正方形/長方形 20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210" name="正方形/長方形 20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211" name="正方形/長方形 21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201" name="図 2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151</xdr:row>
      <xdr:rowOff>207067</xdr:rowOff>
    </xdr:from>
    <xdr:to>
      <xdr:col>51</xdr:col>
      <xdr:colOff>136070</xdr:colOff>
      <xdr:row>157</xdr:row>
      <xdr:rowOff>308773</xdr:rowOff>
    </xdr:to>
    <xdr:grpSp>
      <xdr:nvGrpSpPr>
        <xdr:cNvPr id="212" name="グループ化 211"/>
        <xdr:cNvGrpSpPr/>
      </xdr:nvGrpSpPr>
      <xdr:grpSpPr>
        <a:xfrm>
          <a:off x="6527267" y="64058185"/>
          <a:ext cx="4792274" cy="2107559"/>
          <a:chOff x="6527267" y="2336185"/>
          <a:chExt cx="4792274" cy="2107559"/>
        </a:xfrm>
      </xdr:grpSpPr>
      <xdr:pic>
        <xdr:nvPicPr>
          <xdr:cNvPr id="213" name="図 21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214" name="正方形/長方形 21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15" name="グループ化 21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217" name="正方形/長方形 21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18" name="正方形/長方形 21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19" name="正方形/長方形 21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0" name="正方形/長方形 21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1" name="正方形/長方形 22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2" name="正方形/長方形 22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3" name="正方形/長方形 22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4" name="正方形/長方形 22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225" name="正方形/長方形 22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226" name="正方形/長方形 22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216" name="図 2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78441</xdr:colOff>
      <xdr:row>3</xdr:row>
      <xdr:rowOff>201708</xdr:rowOff>
    </xdr:from>
    <xdr:to>
      <xdr:col>51</xdr:col>
      <xdr:colOff>119420</xdr:colOff>
      <xdr:row>9</xdr:row>
      <xdr:rowOff>303414</xdr:rowOff>
    </xdr:to>
    <xdr:grpSp>
      <xdr:nvGrpSpPr>
        <xdr:cNvPr id="152" name="グループ化 151"/>
        <xdr:cNvGrpSpPr/>
      </xdr:nvGrpSpPr>
      <xdr:grpSpPr>
        <a:xfrm>
          <a:off x="6510617" y="986120"/>
          <a:ext cx="4792274" cy="2107559"/>
          <a:chOff x="6527267" y="2336185"/>
          <a:chExt cx="4792274" cy="2107559"/>
        </a:xfrm>
      </xdr:grpSpPr>
      <xdr:pic>
        <xdr:nvPicPr>
          <xdr:cNvPr id="153" name="図 15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54" name="正方形/長方形 15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55" name="グループ化 15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57" name="正方形/長方形 15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8" name="正方形/長方形 15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9" name="正方形/長方形 15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0" name="正方形/長方形 15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1" name="正方形/長方形 16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2" name="正方形/長方形 16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3" name="正方形/長方形 16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4" name="正方形/長方形 16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65" name="正方形/長方形 16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66" name="正方形/長方形 16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56" name="図 15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78441</xdr:colOff>
      <xdr:row>40</xdr:row>
      <xdr:rowOff>201708</xdr:rowOff>
    </xdr:from>
    <xdr:to>
      <xdr:col>51</xdr:col>
      <xdr:colOff>119420</xdr:colOff>
      <xdr:row>46</xdr:row>
      <xdr:rowOff>303414</xdr:rowOff>
    </xdr:to>
    <xdr:grpSp>
      <xdr:nvGrpSpPr>
        <xdr:cNvPr id="167" name="グループ化 166"/>
        <xdr:cNvGrpSpPr/>
      </xdr:nvGrpSpPr>
      <xdr:grpSpPr>
        <a:xfrm>
          <a:off x="6510617" y="16752796"/>
          <a:ext cx="4792274" cy="2107559"/>
          <a:chOff x="6527267" y="2336185"/>
          <a:chExt cx="4792274" cy="2107559"/>
        </a:xfrm>
      </xdr:grpSpPr>
      <xdr:pic>
        <xdr:nvPicPr>
          <xdr:cNvPr id="168" name="図 16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69" name="正方形/長方形 168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70" name="グループ化 169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72" name="正方形/長方形 17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3" name="正方形/長方形 17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4" name="正方形/長方形 17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5" name="正方形/長方形 17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6" name="正方形/長方形 17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7" name="正方形/長方形 17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8" name="正方形/長方形 17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9" name="正方形/長方形 17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80" name="正方形/長方形 17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81" name="正方形/長方形 18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71" name="図 17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78441</xdr:colOff>
      <xdr:row>77</xdr:row>
      <xdr:rowOff>201708</xdr:rowOff>
    </xdr:from>
    <xdr:to>
      <xdr:col>51</xdr:col>
      <xdr:colOff>119420</xdr:colOff>
      <xdr:row>83</xdr:row>
      <xdr:rowOff>303414</xdr:rowOff>
    </xdr:to>
    <xdr:grpSp>
      <xdr:nvGrpSpPr>
        <xdr:cNvPr id="182" name="グループ化 181"/>
        <xdr:cNvGrpSpPr/>
      </xdr:nvGrpSpPr>
      <xdr:grpSpPr>
        <a:xfrm>
          <a:off x="6510617" y="32519473"/>
          <a:ext cx="4792274" cy="2107559"/>
          <a:chOff x="6527267" y="2336185"/>
          <a:chExt cx="4792274" cy="2107559"/>
        </a:xfrm>
      </xdr:grpSpPr>
      <xdr:pic>
        <xdr:nvPicPr>
          <xdr:cNvPr id="183" name="図 18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84" name="正方形/長方形 18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85" name="グループ化 18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187" name="正方形/長方形 18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8" name="正方形/長方形 18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9" name="正方形/長方形 18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0" name="正方形/長方形 18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1" name="正方形/長方形 19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2" name="正方形/長方形 19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3" name="正方形/長方形 19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4" name="正方形/長方形 19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95" name="正方形/長方形 19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96" name="正方形/長方形 19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86" name="図 18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78441</xdr:colOff>
      <xdr:row>114</xdr:row>
      <xdr:rowOff>201708</xdr:rowOff>
    </xdr:from>
    <xdr:to>
      <xdr:col>51</xdr:col>
      <xdr:colOff>119420</xdr:colOff>
      <xdr:row>120</xdr:row>
      <xdr:rowOff>303414</xdr:rowOff>
    </xdr:to>
    <xdr:grpSp>
      <xdr:nvGrpSpPr>
        <xdr:cNvPr id="197" name="グループ化 196"/>
        <xdr:cNvGrpSpPr/>
      </xdr:nvGrpSpPr>
      <xdr:grpSpPr>
        <a:xfrm>
          <a:off x="6510617" y="48286149"/>
          <a:ext cx="4792274" cy="2107559"/>
          <a:chOff x="6527267" y="2336185"/>
          <a:chExt cx="4792274" cy="2107559"/>
        </a:xfrm>
      </xdr:grpSpPr>
      <xdr:pic>
        <xdr:nvPicPr>
          <xdr:cNvPr id="198" name="図 19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199" name="正方形/長方形 198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00" name="グループ化 199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202" name="正方形/長方形 20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3" name="正方形/長方形 20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4" name="正方形/長方形 20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5" name="正方形/長方形 20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6" name="正方形/長方形 20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7" name="正方形/長方形 20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8" name="正方形/長方形 20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9" name="正方形/長方形 20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210" name="正方形/長方形 20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211" name="正方形/長方形 21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201" name="図 2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78441</xdr:colOff>
      <xdr:row>151</xdr:row>
      <xdr:rowOff>201708</xdr:rowOff>
    </xdr:from>
    <xdr:to>
      <xdr:col>51</xdr:col>
      <xdr:colOff>119420</xdr:colOff>
      <xdr:row>157</xdr:row>
      <xdr:rowOff>303414</xdr:rowOff>
    </xdr:to>
    <xdr:grpSp>
      <xdr:nvGrpSpPr>
        <xdr:cNvPr id="212" name="グループ化 211"/>
        <xdr:cNvGrpSpPr/>
      </xdr:nvGrpSpPr>
      <xdr:grpSpPr>
        <a:xfrm>
          <a:off x="6510617" y="64052826"/>
          <a:ext cx="4792274" cy="2107559"/>
          <a:chOff x="6527267" y="2336185"/>
          <a:chExt cx="4792274" cy="2107559"/>
        </a:xfrm>
      </xdr:grpSpPr>
      <xdr:pic>
        <xdr:nvPicPr>
          <xdr:cNvPr id="213" name="図 21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61660" y="2336185"/>
            <a:ext cx="1380694" cy="1357858"/>
          </a:xfrm>
          <a:prstGeom prst="rect">
            <a:avLst/>
          </a:prstGeom>
        </xdr:spPr>
      </xdr:pic>
      <xdr:sp macro="" textlink="">
        <xdr:nvSpPr>
          <xdr:cNvPr id="214" name="正方形/長方形 213"/>
          <xdr:cNvSpPr/>
        </xdr:nvSpPr>
        <xdr:spPr>
          <a:xfrm>
            <a:off x="7343683" y="2966935"/>
            <a:ext cx="3975858" cy="706333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15" name="グループ化 214"/>
          <xdr:cNvGrpSpPr/>
        </xdr:nvGrpSpPr>
        <xdr:grpSpPr>
          <a:xfrm>
            <a:off x="6527267" y="3867961"/>
            <a:ext cx="4028005" cy="575783"/>
            <a:chOff x="6354377" y="3932710"/>
            <a:chExt cx="3871575" cy="580670"/>
          </a:xfrm>
        </xdr:grpSpPr>
        <xdr:sp macro="" textlink="">
          <xdr:nvSpPr>
            <xdr:cNvPr id="217" name="正方形/長方形 216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18" name="正方形/長方形 217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19" name="正方形/長方形 218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0" name="正方形/長方形 219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1" name="正方形/長方形 220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2" name="正方形/長方形 221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3" name="正方形/長方形 222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24" name="正方形/長方形 223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225" name="正方形/長方形 224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226" name="正方形/長方形 225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216" name="図 215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25969" y="2410720"/>
            <a:ext cx="2718173" cy="478444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95091</xdr:colOff>
      <xdr:row>3</xdr:row>
      <xdr:rowOff>292719</xdr:rowOff>
    </xdr:from>
    <xdr:to>
      <xdr:col>51</xdr:col>
      <xdr:colOff>136070</xdr:colOff>
      <xdr:row>9</xdr:row>
      <xdr:rowOff>308773</xdr:rowOff>
    </xdr:to>
    <xdr:grpSp>
      <xdr:nvGrpSpPr>
        <xdr:cNvPr id="142" name="グループ化 141"/>
        <xdr:cNvGrpSpPr/>
      </xdr:nvGrpSpPr>
      <xdr:grpSpPr>
        <a:xfrm>
          <a:off x="6527267" y="1077131"/>
          <a:ext cx="4792274" cy="2021907"/>
          <a:chOff x="6354377" y="2483469"/>
          <a:chExt cx="4612979" cy="2029911"/>
        </a:xfrm>
      </xdr:grpSpPr>
      <xdr:sp macro="" textlink="">
        <xdr:nvSpPr>
          <xdr:cNvPr id="143" name="正方形/長方形 142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44" name="グループ化 143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46" name="正方形/長方形 145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7" name="正方形/長方形 146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8" name="正方形/長方形 147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9" name="正方形/長方形 148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0" name="正方形/長方形 149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1" name="正方形/長方形 150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2" name="正方形/長方形 151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3" name="正方形/長方形 152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54" name="正方形/長方形 153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55" name="正方形/長方形 154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45" name="図 144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40</xdr:row>
      <xdr:rowOff>292719</xdr:rowOff>
    </xdr:from>
    <xdr:to>
      <xdr:col>51</xdr:col>
      <xdr:colOff>136070</xdr:colOff>
      <xdr:row>46</xdr:row>
      <xdr:rowOff>308773</xdr:rowOff>
    </xdr:to>
    <xdr:grpSp>
      <xdr:nvGrpSpPr>
        <xdr:cNvPr id="156" name="グループ化 155"/>
        <xdr:cNvGrpSpPr/>
      </xdr:nvGrpSpPr>
      <xdr:grpSpPr>
        <a:xfrm>
          <a:off x="6527267" y="16843807"/>
          <a:ext cx="4792274" cy="2021907"/>
          <a:chOff x="6354377" y="2483469"/>
          <a:chExt cx="4612979" cy="2029911"/>
        </a:xfrm>
      </xdr:grpSpPr>
      <xdr:sp macro="" textlink="">
        <xdr:nvSpPr>
          <xdr:cNvPr id="157" name="正方形/長方形 156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58" name="グループ化 157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60" name="正方形/長方形 159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1" name="正方形/長方形 160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2" name="正方形/長方形 161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3" name="正方形/長方形 162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4" name="正方形/長方形 163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5" name="正方形/長方形 164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6" name="正方形/長方形 165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67" name="正方形/長方形 166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68" name="正方形/長方形 167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69" name="正方形/長方形 168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59" name="図 158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77</xdr:row>
      <xdr:rowOff>292719</xdr:rowOff>
    </xdr:from>
    <xdr:to>
      <xdr:col>51</xdr:col>
      <xdr:colOff>136070</xdr:colOff>
      <xdr:row>83</xdr:row>
      <xdr:rowOff>308773</xdr:rowOff>
    </xdr:to>
    <xdr:grpSp>
      <xdr:nvGrpSpPr>
        <xdr:cNvPr id="170" name="グループ化 169"/>
        <xdr:cNvGrpSpPr/>
      </xdr:nvGrpSpPr>
      <xdr:grpSpPr>
        <a:xfrm>
          <a:off x="6527267" y="32610484"/>
          <a:ext cx="4792274" cy="2021907"/>
          <a:chOff x="6354377" y="2483469"/>
          <a:chExt cx="4612979" cy="2029911"/>
        </a:xfrm>
      </xdr:grpSpPr>
      <xdr:sp macro="" textlink="">
        <xdr:nvSpPr>
          <xdr:cNvPr id="171" name="正方形/長方形 170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72" name="グループ化 171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74" name="正方形/長方形 173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5" name="正方形/長方形 174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6" name="正方形/長方形 175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7" name="正方形/長方形 176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8" name="正方形/長方形 177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79" name="正方形/長方形 178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0" name="正方形/長方形 179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1" name="正方形/長方形 180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82" name="正方形/長方形 181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83" name="正方形/長方形 182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73" name="図 17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114</xdr:row>
      <xdr:rowOff>292719</xdr:rowOff>
    </xdr:from>
    <xdr:to>
      <xdr:col>51</xdr:col>
      <xdr:colOff>136070</xdr:colOff>
      <xdr:row>120</xdr:row>
      <xdr:rowOff>308773</xdr:rowOff>
    </xdr:to>
    <xdr:grpSp>
      <xdr:nvGrpSpPr>
        <xdr:cNvPr id="184" name="グループ化 183"/>
        <xdr:cNvGrpSpPr/>
      </xdr:nvGrpSpPr>
      <xdr:grpSpPr>
        <a:xfrm>
          <a:off x="6527267" y="48377160"/>
          <a:ext cx="4792274" cy="2021907"/>
          <a:chOff x="6354377" y="2483469"/>
          <a:chExt cx="4612979" cy="2029911"/>
        </a:xfrm>
      </xdr:grpSpPr>
      <xdr:sp macro="" textlink="">
        <xdr:nvSpPr>
          <xdr:cNvPr id="185" name="正方形/長方形 184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86" name="グループ化 185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88" name="正方形/長方形 187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89" name="正方形/長方形 188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0" name="正方形/長方形 189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1" name="正方形/長方形 190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2" name="正方形/長方形 191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3" name="正方形/長方形 192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4" name="正方形/長方形 193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95" name="正方形/長方形 194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96" name="正方形/長方形 195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97" name="正方形/長方形 196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87" name="図 18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151</xdr:row>
      <xdr:rowOff>292719</xdr:rowOff>
    </xdr:from>
    <xdr:to>
      <xdr:col>51</xdr:col>
      <xdr:colOff>136070</xdr:colOff>
      <xdr:row>157</xdr:row>
      <xdr:rowOff>308773</xdr:rowOff>
    </xdr:to>
    <xdr:grpSp>
      <xdr:nvGrpSpPr>
        <xdr:cNvPr id="198" name="グループ化 197"/>
        <xdr:cNvGrpSpPr/>
      </xdr:nvGrpSpPr>
      <xdr:grpSpPr>
        <a:xfrm>
          <a:off x="6527267" y="64143837"/>
          <a:ext cx="4792274" cy="2021907"/>
          <a:chOff x="6354377" y="2483469"/>
          <a:chExt cx="4612979" cy="2029911"/>
        </a:xfrm>
      </xdr:grpSpPr>
      <xdr:sp macro="" textlink="">
        <xdr:nvSpPr>
          <xdr:cNvPr id="199" name="正方形/長方形 198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200" name="グループ化 199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202" name="正方形/長方形 20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3" name="正方形/長方形 20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4" name="正方形/長方形 20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5" name="正方形/長方形 20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6" name="正方形/長方形 20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7" name="正方形/長方形 20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8" name="正方形/長方形 20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209" name="正方形/長方形 20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210" name="正方形/長方形 20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211" name="正方形/長方形 21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201" name="図 200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95091</xdr:colOff>
      <xdr:row>3</xdr:row>
      <xdr:rowOff>292719</xdr:rowOff>
    </xdr:from>
    <xdr:to>
      <xdr:col>51</xdr:col>
      <xdr:colOff>136070</xdr:colOff>
      <xdr:row>9</xdr:row>
      <xdr:rowOff>308773</xdr:rowOff>
    </xdr:to>
    <xdr:grpSp>
      <xdr:nvGrpSpPr>
        <xdr:cNvPr id="77" name="グループ化 76"/>
        <xdr:cNvGrpSpPr/>
      </xdr:nvGrpSpPr>
      <xdr:grpSpPr>
        <a:xfrm>
          <a:off x="6527267" y="1077131"/>
          <a:ext cx="4792274" cy="2021907"/>
          <a:chOff x="6354377" y="2483469"/>
          <a:chExt cx="4612979" cy="2029911"/>
        </a:xfrm>
      </xdr:grpSpPr>
      <xdr:sp macro="" textlink="">
        <xdr:nvSpPr>
          <xdr:cNvPr id="78" name="正方形/長方形 77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79" name="グループ化 78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81" name="正方形/長方形 80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2" name="正方形/長方形 81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3" name="正方形/長方形 82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4" name="正方形/長方形 83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5" name="正方形/長方形 84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6" name="正方形/長方形 85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7" name="正方形/長方形 86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8" name="正方形/長方形 87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89" name="正方形/長方形 88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90" name="正方形/長方形 89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80" name="図 7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40</xdr:row>
      <xdr:rowOff>292719</xdr:rowOff>
    </xdr:from>
    <xdr:to>
      <xdr:col>51</xdr:col>
      <xdr:colOff>136070</xdr:colOff>
      <xdr:row>46</xdr:row>
      <xdr:rowOff>308773</xdr:rowOff>
    </xdr:to>
    <xdr:grpSp>
      <xdr:nvGrpSpPr>
        <xdr:cNvPr id="100" name="グループ化 99"/>
        <xdr:cNvGrpSpPr/>
      </xdr:nvGrpSpPr>
      <xdr:grpSpPr>
        <a:xfrm>
          <a:off x="6527267" y="16843807"/>
          <a:ext cx="4792274" cy="2021907"/>
          <a:chOff x="6354377" y="2483469"/>
          <a:chExt cx="4612979" cy="2029911"/>
        </a:xfrm>
      </xdr:grpSpPr>
      <xdr:sp macro="" textlink="">
        <xdr:nvSpPr>
          <xdr:cNvPr id="101" name="正方形/長方形 100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02" name="グループ化 101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04" name="正方形/長方形 103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5" name="正方形/長方形 104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6" name="正方形/長方形 105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7" name="正方形/長方形 106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8" name="正方形/長方形 107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09" name="正方形/長方形 108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10" name="正方形/長方形 109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11" name="正方形/長方形 110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12" name="正方形/長方形 111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13" name="正方形/長方形 112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03" name="図 10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77</xdr:row>
      <xdr:rowOff>292719</xdr:rowOff>
    </xdr:from>
    <xdr:to>
      <xdr:col>51</xdr:col>
      <xdr:colOff>136070</xdr:colOff>
      <xdr:row>83</xdr:row>
      <xdr:rowOff>308773</xdr:rowOff>
    </xdr:to>
    <xdr:grpSp>
      <xdr:nvGrpSpPr>
        <xdr:cNvPr id="114" name="グループ化 113"/>
        <xdr:cNvGrpSpPr/>
      </xdr:nvGrpSpPr>
      <xdr:grpSpPr>
        <a:xfrm>
          <a:off x="6527267" y="32610484"/>
          <a:ext cx="4792274" cy="2021907"/>
          <a:chOff x="6354377" y="2483469"/>
          <a:chExt cx="4612979" cy="2029911"/>
        </a:xfrm>
      </xdr:grpSpPr>
      <xdr:sp macro="" textlink="">
        <xdr:nvSpPr>
          <xdr:cNvPr id="115" name="正方形/長方形 114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16" name="グループ化 115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18" name="正方形/長方形 117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19" name="正方形/長方形 118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0" name="正方形/長方形 119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1" name="正方形/長方形 120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2" name="正方形/長方形 121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3" name="正方形/長方形 122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4" name="正方形/長方形 123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25" name="正方形/長方形 124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26" name="正方形/長方形 125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27" name="正方形/長方形 126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17" name="図 11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114</xdr:row>
      <xdr:rowOff>292719</xdr:rowOff>
    </xdr:from>
    <xdr:to>
      <xdr:col>51</xdr:col>
      <xdr:colOff>136070</xdr:colOff>
      <xdr:row>120</xdr:row>
      <xdr:rowOff>308773</xdr:rowOff>
    </xdr:to>
    <xdr:grpSp>
      <xdr:nvGrpSpPr>
        <xdr:cNvPr id="128" name="グループ化 127"/>
        <xdr:cNvGrpSpPr/>
      </xdr:nvGrpSpPr>
      <xdr:grpSpPr>
        <a:xfrm>
          <a:off x="6527267" y="48377160"/>
          <a:ext cx="4792274" cy="2021907"/>
          <a:chOff x="6354377" y="2483469"/>
          <a:chExt cx="4612979" cy="2029911"/>
        </a:xfrm>
      </xdr:grpSpPr>
      <xdr:sp macro="" textlink="">
        <xdr:nvSpPr>
          <xdr:cNvPr id="129" name="正方形/長方形 128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30" name="グループ化 129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32" name="正方形/長方形 131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3" name="正方形/長方形 132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4" name="正方形/長方形 133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5" name="正方形/長方形 134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6" name="正方形/長方形 135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7" name="正方形/長方形 136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8" name="正方形/長方形 137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39" name="正方形/長方形 138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40" name="正方形/長方形 139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41" name="正方形/長方形 140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31" name="図 130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95091</xdr:colOff>
      <xdr:row>151</xdr:row>
      <xdr:rowOff>292719</xdr:rowOff>
    </xdr:from>
    <xdr:to>
      <xdr:col>51</xdr:col>
      <xdr:colOff>136070</xdr:colOff>
      <xdr:row>157</xdr:row>
      <xdr:rowOff>308773</xdr:rowOff>
    </xdr:to>
    <xdr:grpSp>
      <xdr:nvGrpSpPr>
        <xdr:cNvPr id="142" name="グループ化 141"/>
        <xdr:cNvGrpSpPr/>
      </xdr:nvGrpSpPr>
      <xdr:grpSpPr>
        <a:xfrm>
          <a:off x="6527267" y="64143837"/>
          <a:ext cx="4792274" cy="2021907"/>
          <a:chOff x="6354377" y="2483469"/>
          <a:chExt cx="4612979" cy="2029911"/>
        </a:xfrm>
      </xdr:grpSpPr>
      <xdr:sp macro="" textlink="">
        <xdr:nvSpPr>
          <xdr:cNvPr id="143" name="正方形/長方形 142"/>
          <xdr:cNvSpPr/>
        </xdr:nvSpPr>
        <xdr:spPr>
          <a:xfrm>
            <a:off x="7130142" y="3035831"/>
            <a:ext cx="3837214" cy="70250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〒</a:t>
            </a:r>
            <a:r>
              <a:rPr lang="en-US" altLang="ja-JP" sz="12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600">
                <a:latin typeface="+mj-ea"/>
                <a:ea typeface="+mj-ea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600">
              <a:latin typeface="+mj-ea"/>
              <a:ea typeface="+mj-ea"/>
              <a:cs typeface="メイリオ" panose="020B0604030504040204" pitchFamily="50" charset="-128"/>
            </a:endParaRPr>
          </a:p>
          <a:p>
            <a:pPr algn="l"/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TEL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052-682-5069</a:t>
            </a:r>
            <a:r>
              <a:rPr lang="ja-JP" altLang="en-US" sz="1200" baseline="0">
                <a:latin typeface="+mj-ea"/>
                <a:ea typeface="+mj-ea"/>
                <a:cs typeface="メイリオ" panose="020B0604030504040204" pitchFamily="50" charset="-128"/>
              </a:rPr>
              <a:t>    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FAX</a:t>
            </a:r>
            <a:r>
              <a:rPr lang="ja-JP" altLang="en-US" sz="1200">
                <a:latin typeface="+mj-ea"/>
                <a:ea typeface="+mj-ea"/>
                <a:cs typeface="メイリオ" panose="020B0604030504040204" pitchFamily="50" charset="-128"/>
              </a:rPr>
              <a:t>：</a:t>
            </a:r>
            <a:r>
              <a:rPr lang="en-US" altLang="ja-JP" sz="1200">
                <a:latin typeface="+mj-ea"/>
                <a:ea typeface="+mj-ea"/>
                <a:cs typeface="メイリオ" panose="020B0604030504040204" pitchFamily="50" charset="-128"/>
              </a:rPr>
              <a:t>052-681-8646</a:t>
            </a:r>
            <a:endParaRPr kumimoji="1" lang="ja-JP" altLang="en-US" sz="1200">
              <a:solidFill>
                <a:schemeClr val="dk1"/>
              </a:solidFill>
              <a:effectLst/>
              <a:latin typeface="+mj-ea"/>
              <a:ea typeface="+mj-ea"/>
              <a:cs typeface="メイリオ" panose="020B0604030504040204" pitchFamily="50" charset="-128"/>
            </a:endParaRPr>
          </a:p>
        </xdr:txBody>
      </xdr:sp>
      <xdr:grpSp>
        <xdr:nvGrpSpPr>
          <xdr:cNvPr id="144" name="グループ化 143"/>
          <xdr:cNvGrpSpPr/>
        </xdr:nvGrpSpPr>
        <xdr:grpSpPr>
          <a:xfrm>
            <a:off x="6354377" y="3932710"/>
            <a:ext cx="3871575" cy="580670"/>
            <a:chOff x="6354377" y="3932710"/>
            <a:chExt cx="3871575" cy="580670"/>
          </a:xfrm>
        </xdr:grpSpPr>
        <xdr:sp macro="" textlink="">
          <xdr:nvSpPr>
            <xdr:cNvPr id="146" name="正方形/長方形 145"/>
            <xdr:cNvSpPr/>
          </xdr:nvSpPr>
          <xdr:spPr>
            <a:xfrm>
              <a:off x="6354377" y="3935294"/>
              <a:ext cx="321163" cy="11889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振込先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7" name="正方形/長方形 146"/>
            <xdr:cNvSpPr/>
          </xdr:nvSpPr>
          <xdr:spPr>
            <a:xfrm>
              <a:off x="7064112" y="3935292"/>
              <a:ext cx="703021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三菱東京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UFJ</a:t>
              </a:r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銀行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8" name="正方形/長方形 147"/>
            <xdr:cNvSpPr/>
          </xdr:nvSpPr>
          <xdr:spPr>
            <a:xfrm>
              <a:off x="7065380" y="4158977"/>
              <a:ext cx="691578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名  古  屋  銀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49" name="正方形/長方形 148"/>
            <xdr:cNvSpPr/>
          </xdr:nvSpPr>
          <xdr:spPr>
            <a:xfrm>
              <a:off x="7066646" y="4382663"/>
              <a:ext cx="690312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中   京   銀   行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0" name="正方形/長方形 149"/>
            <xdr:cNvSpPr/>
          </xdr:nvSpPr>
          <xdr:spPr>
            <a:xfrm>
              <a:off x="8638592" y="3932710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1" name="正方形/長方形 150"/>
            <xdr:cNvSpPr/>
          </xdr:nvSpPr>
          <xdr:spPr>
            <a:xfrm>
              <a:off x="8638535" y="4383497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熱 田 支 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2" name="正方形/長方形 151"/>
            <xdr:cNvSpPr/>
          </xdr:nvSpPr>
          <xdr:spPr>
            <a:xfrm>
              <a:off x="8637027" y="4155681"/>
              <a:ext cx="467827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内田橋支店</a:t>
              </a:r>
              <a:endParaRPr lang="en-US" altLang="ja-JP" sz="1400">
                <a:solidFill>
                  <a:schemeClr val="dk1"/>
                </a:solidFill>
                <a:effectLst/>
                <a:latin typeface="+mj-ea"/>
                <a:ea typeface="+mj-ea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153" name="正方形/長方形 152"/>
            <xdr:cNvSpPr/>
          </xdr:nvSpPr>
          <xdr:spPr>
            <a:xfrm>
              <a:off x="9736922" y="3936491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0830101</a:t>
              </a:r>
            </a:p>
          </xdr:txBody>
        </xdr:sp>
        <xdr:sp macro="" textlink="">
          <xdr:nvSpPr>
            <xdr:cNvPr id="154" name="正方形/長方形 153"/>
            <xdr:cNvSpPr/>
          </xdr:nvSpPr>
          <xdr:spPr>
            <a:xfrm>
              <a:off x="9737462" y="4161028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当座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0011371</a:t>
              </a:r>
            </a:p>
          </xdr:txBody>
        </xdr:sp>
        <xdr:sp macro="" textlink="">
          <xdr:nvSpPr>
            <xdr:cNvPr id="155" name="正方形/長方形 154"/>
            <xdr:cNvSpPr/>
          </xdr:nvSpPr>
          <xdr:spPr>
            <a:xfrm>
              <a:off x="9737462" y="4388232"/>
              <a:ext cx="488490" cy="125148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普通 </a:t>
              </a:r>
              <a:r>
                <a:rPr lang="en-US" altLang="ja-JP" sz="1400">
                  <a:solidFill>
                    <a:schemeClr val="dk1"/>
                  </a:solidFill>
                  <a:effectLst/>
                  <a:latin typeface="+mj-ea"/>
                  <a:ea typeface="+mj-ea"/>
                  <a:cs typeface="メイリオ" panose="020B0604030504040204" pitchFamily="50" charset="-128"/>
                </a:rPr>
                <a:t>0102946</a:t>
              </a:r>
            </a:p>
          </xdr:txBody>
        </xdr:sp>
      </xdr:grpSp>
      <xdr:pic>
        <xdr:nvPicPr>
          <xdr:cNvPr id="145" name="図 144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0515" y="2483469"/>
            <a:ext cx="2653441" cy="460851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19053</xdr:colOff>
      <xdr:row>4</xdr:row>
      <xdr:rowOff>298133</xdr:rowOff>
    </xdr:from>
    <xdr:to>
      <xdr:col>50</xdr:col>
      <xdr:colOff>81645</xdr:colOff>
      <xdr:row>9</xdr:row>
      <xdr:rowOff>110964</xdr:rowOff>
    </xdr:to>
    <xdr:grpSp>
      <xdr:nvGrpSpPr>
        <xdr:cNvPr id="61" name="グループ化 60"/>
        <xdr:cNvGrpSpPr/>
      </xdr:nvGrpSpPr>
      <xdr:grpSpPr>
        <a:xfrm>
          <a:off x="8127727" y="1209220"/>
          <a:ext cx="2547375" cy="1303701"/>
          <a:chOff x="8360230" y="1088569"/>
          <a:chExt cx="2511878" cy="1322005"/>
        </a:xfrm>
      </xdr:grpSpPr>
      <xdr:sp macro="" textlink="">
        <xdr:nvSpPr>
          <xdr:cNvPr id="62" name="正方形/長方形 61"/>
          <xdr:cNvSpPr/>
        </xdr:nvSpPr>
        <xdr:spPr>
          <a:xfrm>
            <a:off x="8360230" y="1521245"/>
            <a:ext cx="2511878" cy="47082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overflow" horzOverflow="overflow" rtlCol="0" anchor="ctr"/>
          <a:lstStyle/>
          <a:p>
            <a:pPr algn="l"/>
            <a:r>
              <a:rPr lang="ja-JP" altLang="en-US" sz="8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〒</a:t>
            </a:r>
            <a:r>
              <a:rPr lang="en-US" altLang="ja-JP" sz="8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456-0034</a:t>
            </a:r>
          </a:p>
          <a:p>
            <a:pPr algn="l"/>
            <a:r>
              <a:rPr lang="ja-JP" altLang="en-US" sz="10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名古屋市熱田区伝馬一丁目１１番１号</a:t>
            </a:r>
            <a:endParaRPr lang="en-US" altLang="ja-JP" sz="1000"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endParaRPr>
          </a:p>
          <a:p>
            <a:pPr algn="l"/>
            <a:r>
              <a:rPr lang="en-US" altLang="ja-JP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TEL</a:t>
            </a:r>
            <a:r>
              <a:rPr lang="ja-JP" altLang="en-US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：</a:t>
            </a:r>
            <a:r>
              <a:rPr lang="en-US" altLang="ja-JP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052-682-5069</a:t>
            </a:r>
            <a:r>
              <a:rPr lang="ja-JP" altLang="en-US" sz="700" baseline="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    </a:t>
            </a:r>
            <a:r>
              <a:rPr lang="en-US" altLang="ja-JP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FAX</a:t>
            </a:r>
            <a:r>
              <a:rPr lang="ja-JP" altLang="en-US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：</a:t>
            </a:r>
            <a:r>
              <a:rPr lang="en-US" altLang="ja-JP" sz="700"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rPr>
              <a:t>052-681-8646</a:t>
            </a:r>
            <a:endParaRPr kumimoji="1" lang="ja-JP" altLang="en-US" sz="700">
              <a:solidFill>
                <a:schemeClr val="dk1"/>
              </a:solidFill>
              <a:effectLst/>
              <a:latin typeface="HGS明朝E" panose="02020900000000000000" pitchFamily="18" charset="-128"/>
              <a:ea typeface="HGS明朝E" panose="02020900000000000000" pitchFamily="18" charset="-128"/>
              <a:cs typeface="メイリオ" panose="020B0604030504040204" pitchFamily="50" charset="-128"/>
            </a:endParaRPr>
          </a:p>
        </xdr:txBody>
      </xdr:sp>
      <xdr:grpSp>
        <xdr:nvGrpSpPr>
          <xdr:cNvPr id="77" name="グループ化 76"/>
          <xdr:cNvGrpSpPr/>
        </xdr:nvGrpSpPr>
        <xdr:grpSpPr>
          <a:xfrm>
            <a:off x="8460592" y="2047396"/>
            <a:ext cx="2053988" cy="363178"/>
            <a:chOff x="8555843" y="1965754"/>
            <a:chExt cx="2053988" cy="363178"/>
          </a:xfrm>
        </xdr:grpSpPr>
        <xdr:sp macro="" textlink="">
          <xdr:nvSpPr>
            <xdr:cNvPr id="80" name="正方形/長方形 79"/>
            <xdr:cNvSpPr/>
          </xdr:nvSpPr>
          <xdr:spPr>
            <a:xfrm>
              <a:off x="8555843" y="1968446"/>
              <a:ext cx="319663" cy="12387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振込先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1" name="正方形/長方形 80"/>
            <xdr:cNvSpPr/>
          </xdr:nvSpPr>
          <xdr:spPr>
            <a:xfrm>
              <a:off x="8900730" y="1968444"/>
              <a:ext cx="699737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三菱東京</a:t>
              </a:r>
              <a:r>
                <a:rPr lang="en-US" altLang="ja-JP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UFJ</a:t>
              </a:r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銀行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2" name="正方形/長方形 81"/>
            <xdr:cNvSpPr/>
          </xdr:nvSpPr>
          <xdr:spPr>
            <a:xfrm>
              <a:off x="8901992" y="2080587"/>
              <a:ext cx="688347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名  古  屋  銀  行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3" name="正方形/長方形 82"/>
            <xdr:cNvSpPr/>
          </xdr:nvSpPr>
          <xdr:spPr>
            <a:xfrm>
              <a:off x="8903253" y="2192730"/>
              <a:ext cx="687086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中   京   銀   行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4" name="正方形/長方形 83"/>
            <xdr:cNvSpPr/>
          </xdr:nvSpPr>
          <xdr:spPr>
            <a:xfrm>
              <a:off x="9627862" y="1965754"/>
              <a:ext cx="465641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内田橋支店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5" name="正方形/長方形 84"/>
            <xdr:cNvSpPr/>
          </xdr:nvSpPr>
          <xdr:spPr>
            <a:xfrm>
              <a:off x="9627805" y="2193599"/>
              <a:ext cx="465641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熱 田 支 店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6" name="正方形/長方形 85"/>
            <xdr:cNvSpPr/>
          </xdr:nvSpPr>
          <xdr:spPr>
            <a:xfrm>
              <a:off x="9626304" y="2077152"/>
              <a:ext cx="465641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内田橋支店</a:t>
              </a:r>
              <a:endParaRPr lang="en-US" altLang="ja-JP" sz="700">
                <a:solidFill>
                  <a:schemeClr val="dk1"/>
                </a:solidFill>
                <a:effectLst/>
                <a:latin typeface="HGS明朝E" panose="02020900000000000000" pitchFamily="18" charset="-128"/>
                <a:ea typeface="HGS明朝E" panose="02020900000000000000" pitchFamily="18" charset="-128"/>
                <a:cs typeface="メイリオ" panose="020B0604030504040204" pitchFamily="50" charset="-128"/>
              </a:endParaRPr>
            </a:p>
          </xdr:txBody>
        </xdr:sp>
        <xdr:sp macro="" textlink="">
          <xdr:nvSpPr>
            <xdr:cNvPr id="87" name="正方形/長方形 86"/>
            <xdr:cNvSpPr/>
          </xdr:nvSpPr>
          <xdr:spPr>
            <a:xfrm>
              <a:off x="10123085" y="1969693"/>
              <a:ext cx="486207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当座 </a:t>
              </a:r>
              <a:r>
                <a:rPr lang="en-US" altLang="ja-JP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830101</a:t>
              </a:r>
            </a:p>
          </xdr:txBody>
        </xdr:sp>
        <xdr:sp macro="" textlink="">
          <xdr:nvSpPr>
            <xdr:cNvPr id="88" name="正方形/長方形 87"/>
            <xdr:cNvSpPr/>
          </xdr:nvSpPr>
          <xdr:spPr>
            <a:xfrm>
              <a:off x="10123624" y="2082724"/>
              <a:ext cx="486207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当座 </a:t>
              </a:r>
              <a:r>
                <a:rPr lang="en-US" altLang="ja-JP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011371</a:t>
              </a:r>
            </a:p>
          </xdr:txBody>
        </xdr:sp>
        <xdr:sp macro="" textlink="">
          <xdr:nvSpPr>
            <xdr:cNvPr id="89" name="正方形/長方形 88"/>
            <xdr:cNvSpPr/>
          </xdr:nvSpPr>
          <xdr:spPr>
            <a:xfrm>
              <a:off x="10123624" y="2198533"/>
              <a:ext cx="486207" cy="130399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overflow" horzOverflow="overflow" wrap="none" lIns="0" tIns="0" rIns="0" bIns="0" rtlCol="0" anchor="ctr"/>
            <a:lstStyle/>
            <a:p>
              <a:pPr algn="l"/>
              <a:r>
                <a:rPr lang="ja-JP" altLang="en-US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当座 </a:t>
              </a:r>
              <a:r>
                <a:rPr lang="en-US" altLang="ja-JP" sz="700">
                  <a:solidFill>
                    <a:schemeClr val="dk1"/>
                  </a:solidFill>
                  <a:effectLst/>
                  <a:latin typeface="HGS明朝E" panose="02020900000000000000" pitchFamily="18" charset="-128"/>
                  <a:ea typeface="HGS明朝E" panose="02020900000000000000" pitchFamily="18" charset="-128"/>
                  <a:cs typeface="メイリオ" panose="020B0604030504040204" pitchFamily="50" charset="-128"/>
                </a:rPr>
                <a:t>011371</a:t>
              </a:r>
            </a:p>
          </xdr:txBody>
        </xdr:sp>
      </xdr:grpSp>
      <xdr:pic>
        <xdr:nvPicPr>
          <xdr:cNvPr id="79" name="図 78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31677" y="1088569"/>
            <a:ext cx="2245184" cy="408215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7</xdr:row>
          <xdr:rowOff>161925</xdr:rowOff>
        </xdr:from>
        <xdr:to>
          <xdr:col>6</xdr:col>
          <xdr:colOff>190500</xdr:colOff>
          <xdr:row>10</xdr:row>
          <xdr:rowOff>19050</xdr:rowOff>
        </xdr:to>
        <xdr:sp macro="" textlink="">
          <xdr:nvSpPr>
            <xdr:cNvPr id="343041" name="Button 1" hidden="1">
              <a:extLst>
                <a:ext uri="{63B3BB69-23CF-44E3-9099-C40C66FF867C}">
                  <a14:compatExt spid="_x0000_s3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7</xdr:row>
          <xdr:rowOff>161925</xdr:rowOff>
        </xdr:from>
        <xdr:to>
          <xdr:col>7</xdr:col>
          <xdr:colOff>409575</xdr:colOff>
          <xdr:row>10</xdr:row>
          <xdr:rowOff>19050</xdr:rowOff>
        </xdr:to>
        <xdr:sp macro="" textlink="">
          <xdr:nvSpPr>
            <xdr:cNvPr id="343043" name="Button 3" hidden="1">
              <a:extLst>
                <a:ext uri="{63B3BB69-23CF-44E3-9099-C40C66FF867C}">
                  <a14:compatExt spid="_x0000_s3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5" Type="http://schemas.openxmlformats.org/officeDocument/2006/relationships/ctrlProp" Target="../ctrlProps/ctrlProp33.xml"/><Relationship Id="rId10" Type="http://schemas.openxmlformats.org/officeDocument/2006/relationships/ctrlProp" Target="../ctrlProps/ctrlProp28.xml"/><Relationship Id="rId19" Type="http://schemas.openxmlformats.org/officeDocument/2006/relationships/ctrlProp" Target="../ctrlProps/ctrlProp37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AI49"/>
  <sheetViews>
    <sheetView showGridLines="0" showRowColHeaders="0" topLeftCell="F1" zoomScaleNormal="100" workbookViewId="0">
      <selection activeCell="L8" sqref="L8:O8"/>
    </sheetView>
  </sheetViews>
  <sheetFormatPr defaultRowHeight="16.5"/>
  <cols>
    <col min="1" max="1" width="2.125" style="4" hidden="1" customWidth="1"/>
    <col min="2" max="2" width="21.375" style="4" hidden="1" customWidth="1"/>
    <col min="3" max="4" width="16.875" style="4" hidden="1" customWidth="1"/>
    <col min="5" max="5" width="9" style="4" hidden="1" customWidth="1"/>
    <col min="6" max="30" width="3.25" style="2" customWidth="1"/>
    <col min="31" max="54" width="3.375" style="2" customWidth="1"/>
    <col min="55" max="16384" width="9" style="2"/>
  </cols>
  <sheetData>
    <row r="1" spans="1:35" s="1" customFormat="1" ht="19.5">
      <c r="A1" s="24"/>
      <c r="B1" s="24"/>
      <c r="C1" s="24"/>
      <c r="D1" s="24"/>
      <c r="E1" s="24"/>
      <c r="F1" s="1" t="s">
        <v>22</v>
      </c>
    </row>
    <row r="2" spans="1:35">
      <c r="A2" s="25" t="s">
        <v>141</v>
      </c>
      <c r="C2" s="26"/>
      <c r="D2" s="27" t="s">
        <v>287</v>
      </c>
    </row>
    <row r="3" spans="1:35">
      <c r="B3" s="28" t="s">
        <v>148</v>
      </c>
      <c r="C3" s="29" t="s">
        <v>166</v>
      </c>
      <c r="D3" s="66" t="b">
        <v>1</v>
      </c>
      <c r="K3" s="5" t="s">
        <v>23</v>
      </c>
      <c r="L3" s="13"/>
      <c r="M3" s="581" t="s">
        <v>24</v>
      </c>
      <c r="N3" s="581"/>
      <c r="O3" s="581"/>
      <c r="P3" s="14"/>
      <c r="Q3" s="581" t="s">
        <v>25</v>
      </c>
      <c r="R3" s="581"/>
      <c r="S3" s="582"/>
      <c r="Z3" s="5" t="s">
        <v>26</v>
      </c>
    </row>
    <row r="4" spans="1:35">
      <c r="B4" s="28" t="s">
        <v>25</v>
      </c>
      <c r="C4" s="29" t="s">
        <v>167</v>
      </c>
      <c r="D4" s="71" t="b">
        <v>1</v>
      </c>
      <c r="K4" s="5" t="s">
        <v>27</v>
      </c>
      <c r="L4" s="16"/>
      <c r="M4" s="583" t="s">
        <v>28</v>
      </c>
      <c r="N4" s="583"/>
      <c r="O4" s="583"/>
      <c r="P4" s="17"/>
      <c r="Q4" s="583" t="s">
        <v>29</v>
      </c>
      <c r="R4" s="583"/>
      <c r="S4" s="583"/>
      <c r="T4" s="17"/>
      <c r="U4" s="583" t="s">
        <v>31</v>
      </c>
      <c r="V4" s="583"/>
      <c r="W4" s="583"/>
      <c r="X4" s="17"/>
      <c r="Y4" s="583" t="s">
        <v>30</v>
      </c>
      <c r="Z4" s="583"/>
      <c r="AA4" s="583"/>
      <c r="AB4" s="17"/>
      <c r="AC4" s="583" t="s">
        <v>138</v>
      </c>
      <c r="AD4" s="583"/>
      <c r="AE4" s="583"/>
      <c r="AF4" s="17"/>
      <c r="AG4" s="583" t="s">
        <v>150</v>
      </c>
      <c r="AH4" s="583"/>
      <c r="AI4" s="602"/>
    </row>
    <row r="5" spans="1:35">
      <c r="B5" s="4" t="s">
        <v>152</v>
      </c>
      <c r="C5" s="26" t="s">
        <v>169</v>
      </c>
      <c r="D5" s="71" t="b">
        <v>1</v>
      </c>
      <c r="K5" s="5"/>
      <c r="L5" s="18"/>
      <c r="M5" s="606" t="s">
        <v>32</v>
      </c>
      <c r="N5" s="606"/>
      <c r="O5" s="606"/>
      <c r="P5" s="19"/>
      <c r="Q5" s="606" t="s">
        <v>34</v>
      </c>
      <c r="R5" s="606"/>
      <c r="S5" s="606"/>
      <c r="T5" s="19"/>
      <c r="U5" s="606" t="s">
        <v>151</v>
      </c>
      <c r="V5" s="606"/>
      <c r="W5" s="606"/>
      <c r="X5" s="19"/>
      <c r="Y5" s="606" t="s">
        <v>139</v>
      </c>
      <c r="Z5" s="606"/>
      <c r="AA5" s="606"/>
      <c r="AB5" s="19"/>
      <c r="AC5" s="606" t="s">
        <v>35</v>
      </c>
      <c r="AD5" s="606"/>
      <c r="AE5" s="606"/>
      <c r="AF5" s="19"/>
      <c r="AG5" s="606" t="s">
        <v>36</v>
      </c>
      <c r="AH5" s="607"/>
      <c r="AI5" s="608"/>
    </row>
    <row r="6" spans="1:35">
      <c r="B6" s="28" t="s">
        <v>168</v>
      </c>
      <c r="C6" s="29" t="s">
        <v>170</v>
      </c>
      <c r="D6" s="71" t="b">
        <v>0</v>
      </c>
      <c r="K6" s="5" t="s">
        <v>37</v>
      </c>
      <c r="L6" s="13"/>
      <c r="M6" s="581" t="s">
        <v>38</v>
      </c>
      <c r="N6" s="581"/>
      <c r="O6" s="581"/>
      <c r="P6" s="14"/>
      <c r="Q6" s="581" t="s">
        <v>39</v>
      </c>
      <c r="R6" s="581"/>
      <c r="S6" s="581"/>
      <c r="T6" s="14"/>
      <c r="U6" s="581"/>
      <c r="V6" s="581"/>
      <c r="W6" s="58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23"/>
    </row>
    <row r="7" spans="1:35">
      <c r="B7" s="28" t="s">
        <v>154</v>
      </c>
      <c r="C7" s="29" t="s">
        <v>171</v>
      </c>
      <c r="D7" s="71" t="b">
        <v>0</v>
      </c>
    </row>
    <row r="8" spans="1:35">
      <c r="B8" s="28" t="s">
        <v>155</v>
      </c>
      <c r="C8" s="29" t="s">
        <v>172</v>
      </c>
      <c r="D8" s="71" t="b">
        <v>0</v>
      </c>
      <c r="K8" s="5" t="s">
        <v>86</v>
      </c>
      <c r="L8" s="587"/>
      <c r="M8" s="588"/>
      <c r="N8" s="588"/>
      <c r="O8" s="589"/>
      <c r="P8" s="599" t="str">
        <f>IF(OR(UNNH0010_H_SEIKYUSAKI_CD="",UNNH0010_H_SEIKYUSAKI_MEI=""),"",UNNH0010_H_SEIKYUSAKI_MEI)</f>
        <v/>
      </c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1"/>
    </row>
    <row r="9" spans="1:35">
      <c r="B9" s="28" t="s">
        <v>153</v>
      </c>
      <c r="C9" s="29" t="s">
        <v>173</v>
      </c>
      <c r="D9" s="71" t="b">
        <v>0</v>
      </c>
      <c r="K9" s="5" t="s">
        <v>87</v>
      </c>
      <c r="L9" s="587"/>
      <c r="M9" s="588"/>
      <c r="N9" s="588"/>
      <c r="O9" s="589"/>
      <c r="P9" s="603" t="str">
        <f>IF(OR(UNNH0010_H_SHOHIN_CD="",UNNH0010_H_SHOHIN_MEI=""),"",UNNH0010_H_SHOHIN_MEI)</f>
        <v/>
      </c>
      <c r="Q9" s="604"/>
      <c r="R9" s="604"/>
      <c r="S9" s="604"/>
      <c r="T9" s="604"/>
      <c r="U9" s="604"/>
      <c r="V9" s="604"/>
      <c r="W9" s="604"/>
      <c r="X9" s="604"/>
      <c r="Y9" s="604"/>
      <c r="Z9" s="604"/>
      <c r="AA9" s="604"/>
      <c r="AB9" s="604"/>
      <c r="AC9" s="604"/>
      <c r="AD9" s="604"/>
      <c r="AE9" s="605"/>
    </row>
    <row r="10" spans="1:35">
      <c r="B10" s="28" t="s">
        <v>156</v>
      </c>
      <c r="C10" s="29" t="s">
        <v>174</v>
      </c>
      <c r="D10" s="71" t="b">
        <v>1</v>
      </c>
      <c r="K10" s="5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</row>
    <row r="11" spans="1:35">
      <c r="B11" s="28" t="s">
        <v>157</v>
      </c>
      <c r="C11" s="29" t="s">
        <v>175</v>
      </c>
      <c r="D11" s="71" t="b">
        <v>1</v>
      </c>
      <c r="K11" s="5" t="s">
        <v>85</v>
      </c>
      <c r="L11" s="590"/>
      <c r="M11" s="591"/>
      <c r="N11" s="591"/>
      <c r="O11" s="592"/>
      <c r="P11" s="183"/>
      <c r="Q11" s="183"/>
      <c r="R11" s="183"/>
      <c r="S11" s="183"/>
      <c r="T11" s="183"/>
      <c r="U11" s="183"/>
      <c r="V11" s="5" t="s">
        <v>83</v>
      </c>
      <c r="W11" s="596"/>
      <c r="X11" s="597"/>
      <c r="Y11" s="597"/>
      <c r="Z11" s="598"/>
      <c r="AA11" s="6" t="s">
        <v>40</v>
      </c>
      <c r="AB11" s="596"/>
      <c r="AC11" s="597"/>
      <c r="AD11" s="597"/>
      <c r="AE11" s="598"/>
    </row>
    <row r="12" spans="1:35">
      <c r="B12" s="28" t="s">
        <v>158</v>
      </c>
      <c r="C12" s="29" t="s">
        <v>176</v>
      </c>
      <c r="D12" s="71" t="b">
        <v>1</v>
      </c>
      <c r="K12" s="5" t="s">
        <v>123</v>
      </c>
      <c r="L12" s="590"/>
      <c r="M12" s="591"/>
      <c r="N12" s="591"/>
      <c r="O12" s="592"/>
      <c r="P12" s="183"/>
      <c r="Q12" s="183"/>
      <c r="R12" s="183"/>
      <c r="S12" s="183"/>
      <c r="T12" s="183"/>
      <c r="U12" s="183"/>
      <c r="V12" s="5" t="s">
        <v>1655</v>
      </c>
      <c r="W12" s="593"/>
      <c r="X12" s="594"/>
      <c r="Y12" s="594"/>
      <c r="Z12" s="595"/>
      <c r="AA12" s="6" t="s">
        <v>40</v>
      </c>
      <c r="AB12" s="593"/>
      <c r="AC12" s="594"/>
      <c r="AD12" s="594"/>
      <c r="AE12" s="595"/>
    </row>
    <row r="13" spans="1:35">
      <c r="A13"/>
      <c r="B13" s="28" t="s">
        <v>159</v>
      </c>
      <c r="C13" s="29" t="s">
        <v>177</v>
      </c>
      <c r="D13" s="71" t="b">
        <v>1</v>
      </c>
      <c r="K13" s="5" t="s">
        <v>112</v>
      </c>
      <c r="L13" s="590"/>
      <c r="M13" s="591"/>
      <c r="N13" s="591"/>
      <c r="O13" s="592"/>
      <c r="P13" s="183"/>
      <c r="Q13" s="183"/>
      <c r="R13" s="183"/>
      <c r="S13" s="183"/>
      <c r="T13" s="183"/>
      <c r="U13" s="183"/>
      <c r="V13" s="5" t="s">
        <v>1657</v>
      </c>
      <c r="W13" s="593"/>
      <c r="X13" s="594"/>
      <c r="Y13" s="594"/>
      <c r="Z13" s="595"/>
      <c r="AA13" s="6" t="s">
        <v>40</v>
      </c>
      <c r="AB13" s="593"/>
      <c r="AC13" s="594"/>
      <c r="AD13" s="594"/>
      <c r="AE13" s="595"/>
    </row>
    <row r="14" spans="1:35">
      <c r="B14" s="28" t="s">
        <v>160</v>
      </c>
      <c r="C14" s="29" t="s">
        <v>178</v>
      </c>
      <c r="D14" s="71" t="b">
        <v>0</v>
      </c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5" t="s">
        <v>84</v>
      </c>
      <c r="W14" s="596"/>
      <c r="X14" s="597"/>
      <c r="Y14" s="597"/>
      <c r="Z14" s="598"/>
      <c r="AA14" s="6" t="s">
        <v>40</v>
      </c>
      <c r="AB14" s="596"/>
      <c r="AC14" s="597"/>
      <c r="AD14" s="597"/>
      <c r="AE14" s="598"/>
    </row>
    <row r="15" spans="1:35">
      <c r="B15" s="28" t="s">
        <v>161</v>
      </c>
      <c r="C15" s="29" t="s">
        <v>179</v>
      </c>
      <c r="D15" s="71" t="b">
        <v>0</v>
      </c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</row>
    <row r="16" spans="1:35">
      <c r="B16" s="28" t="s">
        <v>162</v>
      </c>
      <c r="C16" s="29" t="s">
        <v>180</v>
      </c>
      <c r="D16" s="71" t="b">
        <v>0</v>
      </c>
      <c r="K16" s="5" t="s">
        <v>1</v>
      </c>
      <c r="L16" s="584"/>
      <c r="M16" s="585"/>
      <c r="N16" s="585"/>
      <c r="O16" s="586"/>
      <c r="P16" s="8" t="str">
        <f>IF(UNNH0010_H_FREEWD_KBN=1,"AND",IF(UNNH0010_H_FREEWD_KBN=2,"OR","NAND"))</f>
        <v>AND</v>
      </c>
      <c r="Q16" s="584"/>
      <c r="R16" s="585"/>
      <c r="S16" s="585"/>
      <c r="T16" s="586"/>
      <c r="U16" s="8" t="str">
        <f>IF(UNNH0010_H_FREEWD_KBN=1,"AND",IF(UNNH0010_H_FREEWD_KBN=2,"OR","NAND"))</f>
        <v>AND</v>
      </c>
      <c r="V16" s="584"/>
      <c r="W16" s="585"/>
      <c r="X16" s="585"/>
      <c r="Y16" s="586"/>
      <c r="Z16" s="183"/>
      <c r="AA16" s="183"/>
      <c r="AB16" s="183"/>
      <c r="AC16" s="183"/>
      <c r="AD16" s="183"/>
      <c r="AE16" s="183"/>
    </row>
    <row r="17" spans="1:6">
      <c r="A17" s="33"/>
      <c r="B17" s="28" t="s">
        <v>163</v>
      </c>
      <c r="C17" s="29" t="s">
        <v>181</v>
      </c>
      <c r="D17" s="71" t="b">
        <v>0</v>
      </c>
    </row>
    <row r="18" spans="1:6">
      <c r="A18" s="32"/>
      <c r="B18" s="28" t="s">
        <v>164</v>
      </c>
      <c r="C18" s="29" t="s">
        <v>182</v>
      </c>
      <c r="D18" s="71" t="b">
        <v>0</v>
      </c>
    </row>
    <row r="19" spans="1:6">
      <c r="A19" s="32"/>
      <c r="B19" s="28" t="s">
        <v>165</v>
      </c>
      <c r="C19" s="29" t="s">
        <v>183</v>
      </c>
      <c r="D19" s="71" t="b">
        <v>1</v>
      </c>
      <c r="E19" s="46"/>
    </row>
    <row r="20" spans="1:6">
      <c r="A20" s="32"/>
      <c r="B20" s="31" t="s">
        <v>142</v>
      </c>
      <c r="C20" s="31" t="s">
        <v>184</v>
      </c>
      <c r="D20" s="78">
        <v>1</v>
      </c>
    </row>
    <row r="21" spans="1:6">
      <c r="A21" s="32"/>
      <c r="B21" s="32"/>
      <c r="C21" s="31"/>
      <c r="D21" s="32"/>
    </row>
    <row r="22" spans="1:6">
      <c r="A22" s="32"/>
      <c r="B22" s="32"/>
      <c r="C22" s="31"/>
      <c r="D22" s="32" t="s">
        <v>1348</v>
      </c>
      <c r="F22" s="183"/>
    </row>
    <row r="23" spans="1:6">
      <c r="A23" s="33"/>
      <c r="B23" s="32" t="s">
        <v>1342</v>
      </c>
      <c r="C23" s="35" t="s">
        <v>1343</v>
      </c>
      <c r="D23" s="376"/>
    </row>
    <row r="24" spans="1:6">
      <c r="A24" s="33"/>
      <c r="B24" s="32" t="s">
        <v>1346</v>
      </c>
      <c r="C24" s="35" t="s">
        <v>1347</v>
      </c>
      <c r="D24" s="377"/>
    </row>
    <row r="25" spans="1:6">
      <c r="A25" s="33"/>
      <c r="B25" s="34" t="s">
        <v>4</v>
      </c>
      <c r="C25" s="35" t="s">
        <v>186</v>
      </c>
      <c r="D25" s="372"/>
    </row>
    <row r="26" spans="1:6">
      <c r="A26"/>
      <c r="B26" s="34" t="s">
        <v>185</v>
      </c>
      <c r="C26" s="35" t="s">
        <v>189</v>
      </c>
      <c r="D26" s="373"/>
    </row>
    <row r="27" spans="1:6">
      <c r="A27"/>
      <c r="B27" s="34" t="s">
        <v>187</v>
      </c>
      <c r="C27" s="35" t="s">
        <v>188</v>
      </c>
      <c r="D27" s="372"/>
    </row>
    <row r="28" spans="1:6">
      <c r="B28" s="37" t="s">
        <v>143</v>
      </c>
      <c r="C28" s="38" t="s">
        <v>337</v>
      </c>
      <c r="D28" s="374"/>
    </row>
    <row r="29" spans="1:6">
      <c r="B29" s="40" t="s">
        <v>144</v>
      </c>
      <c r="C29" s="38" t="s">
        <v>338</v>
      </c>
      <c r="D29" s="375"/>
    </row>
    <row r="30" spans="1:6">
      <c r="B30" s="41"/>
      <c r="C30" s="35"/>
      <c r="D30" s="42" t="s">
        <v>145</v>
      </c>
    </row>
    <row r="31" spans="1:6">
      <c r="B31" s="41"/>
      <c r="C31" s="35"/>
      <c r="D31" s="42" t="s">
        <v>145</v>
      </c>
    </row>
    <row r="32" spans="1:6">
      <c r="A32" s="25" t="s">
        <v>147</v>
      </c>
      <c r="C32" s="26"/>
      <c r="D32"/>
    </row>
    <row r="33" spans="1:6">
      <c r="A33" s="25"/>
      <c r="B33" s="43" t="s">
        <v>212</v>
      </c>
      <c r="C33" s="44" t="s">
        <v>1398</v>
      </c>
      <c r="D33" s="45"/>
    </row>
    <row r="34" spans="1:6" ht="18.75" customHeight="1">
      <c r="B34" s="43" t="s">
        <v>146</v>
      </c>
      <c r="C34" s="44" t="s">
        <v>149</v>
      </c>
      <c r="D34" s="45" t="str">
        <f>ADDRESS(ROW(A1),COLUMN(A1))&amp;":"&amp;ADDRESS(ROW(UNNH0010_H_FORM_UPPER_LEFT),COLUMN(UNNH0010_H_FORM_UPPER_LEFT)-1)</f>
        <v>$A$1:$E$1</v>
      </c>
    </row>
    <row r="35" spans="1:6" ht="18" customHeight="1"/>
    <row r="36" spans="1:6">
      <c r="A36" s="25" t="s">
        <v>340</v>
      </c>
    </row>
    <row r="37" spans="1:6">
      <c r="B37" s="34" t="s">
        <v>345</v>
      </c>
      <c r="C37" s="35" t="s">
        <v>351</v>
      </c>
      <c r="D37" s="161" t="str">
        <f>IFERROR(
    VALUE(
        MID(UNNH0010_H_JURI_NO_START,
            FIND("J",UNNH0010_H_JURI_NO_START)+1,
            2)
        &amp;MID(UNNH0010_H_JURI_NO_START,
            FIND("-",UNNH0010_H_JURI_NO_START)+1,
            LEN(UNNH0010_H_JURI_NO_START))
    ),
  ""
  )</f>
        <v/>
      </c>
    </row>
    <row r="38" spans="1:6">
      <c r="B38" s="34" t="s">
        <v>346</v>
      </c>
      <c r="C38" s="35" t="s">
        <v>352</v>
      </c>
      <c r="D38" s="161" t="str">
        <f>IFERROR(
    VALUE(
        MID(UNNH0010_H_JURI_NO_END,
            FIND("J",UNNH0010_H_JURI_NO_END)+1,
            2)
        &amp;MID(UNNH0010_H_JURI_NO_END,
            FIND("-",UNNH0010_H_JURI_NO_END)+1,
            LEN(UNNH0010_H_JURI_NO_END))
    ),
  ""
  )</f>
        <v/>
      </c>
    </row>
    <row r="39" spans="1:6" ht="15" customHeight="1">
      <c r="B39" s="34" t="s">
        <v>347</v>
      </c>
      <c r="C39" s="35" t="s">
        <v>353</v>
      </c>
      <c r="D39" s="161">
        <f>IF(OR(UNNH0010_H_JURI_NO_START_NUM="",UNNH0010_H_JURI_NO_END_NUM=""),UNNH0010_H_JURI_NO_START,TEXT(MIN(UNNH0010_H_JURI_NO_START_NUM:UNNH0010_H_JURI_NO_END_NUM),"!J##!-######"))</f>
        <v>0</v>
      </c>
    </row>
    <row r="40" spans="1:6">
      <c r="B40" s="37" t="s">
        <v>348</v>
      </c>
      <c r="C40" s="38" t="s">
        <v>354</v>
      </c>
      <c r="D40" s="161">
        <f>IF(OR(UNNH0010_H_JURI_NO_START_NUM="",UNNH0010_H_JURI_NO_END_NUM=""),UNNH0010_H_JURI_NO_END,TEXT(MAX(UNNH0010_H_JURI_NO_START_NUM:UNNH0010_H_JURI_NO_END_NUM),"!J##!-######"))</f>
        <v>0</v>
      </c>
    </row>
    <row r="41" spans="1:6">
      <c r="B41" s="34" t="s">
        <v>341</v>
      </c>
      <c r="C41" s="35" t="s">
        <v>355</v>
      </c>
      <c r="D41" s="161" t="str">
        <f>IFERROR(
    VALUE(
        MID(UNNH0010_H_MITSU_NO_START,
            FIND("M",UNNH0010_H_MITSU_NO_START)+1,
            2)
        &amp;MID(UNNH0010_H_MITSU_NO_START,
            FIND("-",UNNH0010_H_MITSU_NO_START)+1,
            LEN(UNNH0010_H_MITSU_NO_START))
    ),
  ""
  )</f>
        <v/>
      </c>
    </row>
    <row r="42" spans="1:6">
      <c r="B42" s="34" t="s">
        <v>342</v>
      </c>
      <c r="C42" s="35" t="s">
        <v>356</v>
      </c>
      <c r="D42" s="161" t="str">
        <f>IFERROR(
    VALUE(
        MID(UNNH0010_H_MITSU_NO_END,
            FIND("M",UNNH0010_H_MITSU_NO_END)+1,
            2)
        &amp;MID(UNNH0010_H_MITSU_NO_END,
            FIND("-",UNNH0010_H_MITSU_NO_END)+1,
            LEN(UNNH0010_H_MITSU_NO_END))
    ),
  ""
  )</f>
        <v/>
      </c>
    </row>
    <row r="43" spans="1:6" ht="15" customHeight="1">
      <c r="B43" s="34" t="s">
        <v>343</v>
      </c>
      <c r="C43" s="35" t="s">
        <v>357</v>
      </c>
      <c r="D43" s="161">
        <f>IF(OR(UNNH0010_H_MITSUMORI_NO_START_NUM="",UNNH0010_H_MITSUMORI_NO_END_NUM=""),UNNH0010_H_MITSU_NO_START,TEXT(MIN(UNNH0010_H_MITSUMORI_NO_START_NUM:UNNH0010_H_MITSUMORI_NO_END_NUM),"!M##!-######"))</f>
        <v>0</v>
      </c>
    </row>
    <row r="44" spans="1:6">
      <c r="B44" s="37" t="s">
        <v>344</v>
      </c>
      <c r="C44" s="38" t="s">
        <v>358</v>
      </c>
      <c r="D44" s="161">
        <f>IF(OR(UNNH0010_H_MITSUMORI_NO_START_NUM="",UNNH0010_H_MITSUMORI_NO_END_NUM=""),UNNH0010_H_MITSU_NO_END,TEXT(MAX(UNNH0010_H_MITSUMORI_NO_START_NUM:UNNH0010_H_MITSUMORI_NO_END_NUM),"!M##!-######"))</f>
        <v>0</v>
      </c>
    </row>
    <row r="45" spans="1:6">
      <c r="F45" s="183"/>
    </row>
    <row r="48" spans="1:6">
      <c r="A48" s="25" t="s">
        <v>1169</v>
      </c>
    </row>
    <row r="49" spans="2:4">
      <c r="B49" s="4" t="s">
        <v>1171</v>
      </c>
      <c r="C49" s="4" t="s">
        <v>1170</v>
      </c>
      <c r="D49" s="324"/>
    </row>
  </sheetData>
  <sheetProtection sheet="1" objects="1" scenarios="1" selectLockedCells="1"/>
  <mergeCells count="35">
    <mergeCell ref="AB14:AE14"/>
    <mergeCell ref="AC4:AE4"/>
    <mergeCell ref="M5:O5"/>
    <mergeCell ref="AC5:AE5"/>
    <mergeCell ref="Y4:AA4"/>
    <mergeCell ref="Q5:S5"/>
    <mergeCell ref="U5:W5"/>
    <mergeCell ref="Y5:AA5"/>
    <mergeCell ref="AG4:AI4"/>
    <mergeCell ref="AB12:AE12"/>
    <mergeCell ref="AB13:AE13"/>
    <mergeCell ref="P9:AE9"/>
    <mergeCell ref="AB11:AE11"/>
    <mergeCell ref="AG5:AI5"/>
    <mergeCell ref="L16:O16"/>
    <mergeCell ref="Q16:T16"/>
    <mergeCell ref="V16:Y16"/>
    <mergeCell ref="M6:O6"/>
    <mergeCell ref="Q6:S6"/>
    <mergeCell ref="U6:W6"/>
    <mergeCell ref="L8:O8"/>
    <mergeCell ref="L11:O11"/>
    <mergeCell ref="L12:O12"/>
    <mergeCell ref="L13:O13"/>
    <mergeCell ref="W12:Z12"/>
    <mergeCell ref="W13:Z13"/>
    <mergeCell ref="W11:Z11"/>
    <mergeCell ref="L9:O9"/>
    <mergeCell ref="P8:AE8"/>
    <mergeCell ref="W14:Z14"/>
    <mergeCell ref="M3:O3"/>
    <mergeCell ref="Q3:S3"/>
    <mergeCell ref="M4:O4"/>
    <mergeCell ref="Q4:S4"/>
    <mergeCell ref="U4:W4"/>
  </mergeCells>
  <phoneticPr fontId="2"/>
  <dataValidations count="6">
    <dataValidation type="custom" allowBlank="1" showInputMessage="1" showErrorMessage="1" sqref="AB14:AE14">
      <formula1>AND(LEN(UNNH0010_H_MITSU_NO_END)=LENB(UNNH0010_H_MITSU_NO_END),LEN(UNNH0010_H_MITSU_NO_END)=10)</formula1>
    </dataValidation>
    <dataValidation type="custom" allowBlank="1" showInputMessage="1" showErrorMessage="1" sqref="L12:O13">
      <formula1>LEN(L12)&lt;=20</formula1>
    </dataValidation>
    <dataValidation type="custom" allowBlank="1" showInputMessage="1" showErrorMessage="1" sqref="W11:Z11">
      <formula1>AND(LEN(UNNH0010_H_JURI_NO_START)=LENB(UNNH0010_H_JURI_NO_START),LEN(UNNH0010_H_JURI_NO_START)=10)</formula1>
    </dataValidation>
    <dataValidation type="custom" allowBlank="1" showInputMessage="1" showErrorMessage="1" sqref="AB11:AE11">
      <formula1>AND(LEN(UNNH0010_H_JURI_NO_END)=LENB(UNNH0010_H_JURI_NO_END),LEN(UNNH0010_H_JURI_NO_END)=10)</formula1>
    </dataValidation>
    <dataValidation type="custom" allowBlank="1" showInputMessage="1" showErrorMessage="1" sqref="W14:Z14">
      <formula1>AND(LEN(UNNH0010_H_MITSU_NO_START)=LENB(UNNH0010_H_MITSU_NO_START),LEN(UNNH0010_H_MITSU_NO_START)=10)</formula1>
    </dataValidation>
    <dataValidation type="date" allowBlank="1" showInputMessage="1" showErrorMessage="1" sqref="W12:Z12 AB12:AE12 AB13:AE13 W13:Z13">
      <formula1>36526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4" name="Check Box 1">
              <controlPr defaultSize="0" autoFill="0" autoLine="0" autoPict="0">
                <anchor moveWithCells="1">
                  <from>
                    <xdr:col>11</xdr:col>
                    <xdr:colOff>57150</xdr:colOff>
                    <xdr:row>2</xdr:row>
                    <xdr:rowOff>28575</xdr:rowOff>
                  </from>
                  <to>
                    <xdr:col>14</xdr:col>
                    <xdr:colOff>47625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5" name="Check Box 2">
              <controlPr defaultSize="0" autoFill="0" autoLine="0" autoPict="0">
                <anchor moveWithCells="1">
                  <from>
                    <xdr:col>15</xdr:col>
                    <xdr:colOff>57150</xdr:colOff>
                    <xdr:row>2</xdr:row>
                    <xdr:rowOff>28575</xdr:rowOff>
                  </from>
                  <to>
                    <xdr:col>18</xdr:col>
                    <xdr:colOff>47625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3" r:id="rId6" name="Check Box 3">
              <controlPr defaultSize="0" autoFill="0" autoLine="0" autoPict="0">
                <anchor moveWithCells="1">
                  <from>
                    <xdr:col>25</xdr:col>
                    <xdr:colOff>161925</xdr:colOff>
                    <xdr:row>2</xdr:row>
                    <xdr:rowOff>9525</xdr:rowOff>
                  </from>
                  <to>
                    <xdr:col>26</xdr:col>
                    <xdr:colOff>114300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4" r:id="rId7" name="Check Box 4">
              <controlPr defaultSize="0" autoFill="0" autoLine="0" autoPict="0">
                <anchor moveWithCells="1">
                  <from>
                    <xdr:col>11</xdr:col>
                    <xdr:colOff>57150</xdr:colOff>
                    <xdr:row>3</xdr:row>
                    <xdr:rowOff>28575</xdr:rowOff>
                  </from>
                  <to>
                    <xdr:col>14</xdr:col>
                    <xdr:colOff>47625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5" r:id="rId8" name="Check Box 5">
              <controlPr defaultSize="0" autoFill="0" autoLine="0" autoPict="0">
                <anchor moveWithCells="1">
                  <from>
                    <xdr:col>15</xdr:col>
                    <xdr:colOff>57150</xdr:colOff>
                    <xdr:row>3</xdr:row>
                    <xdr:rowOff>28575</xdr:rowOff>
                  </from>
                  <to>
                    <xdr:col>18</xdr:col>
                    <xdr:colOff>47625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6" r:id="rId9" name="Check Box 6">
              <controlPr defaultSize="0" autoFill="0" autoLine="0" autoPict="0">
                <anchor moveWithCells="1">
                  <from>
                    <xdr:col>19</xdr:col>
                    <xdr:colOff>57150</xdr:colOff>
                    <xdr:row>3</xdr:row>
                    <xdr:rowOff>28575</xdr:rowOff>
                  </from>
                  <to>
                    <xdr:col>22</xdr:col>
                    <xdr:colOff>161925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7" r:id="rId10" name="Check Box 7">
              <controlPr defaultSize="0" autoFill="0" autoLine="0" autoPict="0">
                <anchor moveWithCells="1">
                  <from>
                    <xdr:col>23</xdr:col>
                    <xdr:colOff>57150</xdr:colOff>
                    <xdr:row>3</xdr:row>
                    <xdr:rowOff>19050</xdr:rowOff>
                  </from>
                  <to>
                    <xdr:col>27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8" r:id="rId11" name="Check Box 8">
              <controlPr defaultSize="0" autoFill="0" autoLine="0" autoPict="0">
                <anchor moveWithCells="1">
                  <from>
                    <xdr:col>27</xdr:col>
                    <xdr:colOff>57150</xdr:colOff>
                    <xdr:row>3</xdr:row>
                    <xdr:rowOff>28575</xdr:rowOff>
                  </from>
                  <to>
                    <xdr:col>29</xdr:col>
                    <xdr:colOff>123825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9" r:id="rId12" name="Check Box 9">
              <controlPr defaultSize="0" autoFill="0" autoLine="0" autoPict="0">
                <anchor moveWithCells="1">
                  <from>
                    <xdr:col>31</xdr:col>
                    <xdr:colOff>57150</xdr:colOff>
                    <xdr:row>3</xdr:row>
                    <xdr:rowOff>28575</xdr:rowOff>
                  </from>
                  <to>
                    <xdr:col>34</xdr:col>
                    <xdr:colOff>171450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0" r:id="rId13" name="Check Box 10">
              <controlPr defaultSize="0" autoFill="0" autoLine="0" autoPict="0">
                <anchor mov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14</xdr:col>
                    <xdr:colOff>161925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1" r:id="rId14" name="Check Box 11">
              <controlPr defaultSize="0" autoFill="0" autoLine="0" autoPict="0">
                <anchor moveWithCells="1">
                  <from>
                    <xdr:col>15</xdr:col>
                    <xdr:colOff>57150</xdr:colOff>
                    <xdr:row>4</xdr:row>
                    <xdr:rowOff>28575</xdr:rowOff>
                  </from>
                  <to>
                    <xdr:col>17</xdr:col>
                    <xdr:colOff>161925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2" r:id="rId15" name="Check Box 12">
              <controlPr defaultSize="0" autoFill="0" autoLine="0" autoPict="0">
                <anchor moveWithCells="1">
                  <from>
                    <xdr:col>19</xdr:col>
                    <xdr:colOff>57150</xdr:colOff>
                    <xdr:row>4</xdr:row>
                    <xdr:rowOff>28575</xdr:rowOff>
                  </from>
                  <to>
                    <xdr:col>22</xdr:col>
                    <xdr:colOff>171450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3" r:id="rId16" name="Check Box 13">
              <controlPr defaultSize="0" autoFill="0" autoLine="0" autoPict="0">
                <anchor moveWithCells="1">
                  <from>
                    <xdr:col>23</xdr:col>
                    <xdr:colOff>57150</xdr:colOff>
                    <xdr:row>4</xdr:row>
                    <xdr:rowOff>28575</xdr:rowOff>
                  </from>
                  <to>
                    <xdr:col>26</xdr:col>
                    <xdr:colOff>180975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4" r:id="rId17" name="Check Box 14">
              <controlPr defaultSize="0" autoFill="0" autoLine="0" autoPict="0">
                <anchor moveWithCells="1">
                  <from>
                    <xdr:col>27</xdr:col>
                    <xdr:colOff>57150</xdr:colOff>
                    <xdr:row>4</xdr:row>
                    <xdr:rowOff>28575</xdr:rowOff>
                  </from>
                  <to>
                    <xdr:col>29</xdr:col>
                    <xdr:colOff>66675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5" r:id="rId18" name="Check Box 15">
              <controlPr defaultSize="0" autoFill="0" autoLine="0" autoPict="0">
                <anchor moveWithCells="1">
                  <from>
                    <xdr:col>31</xdr:col>
                    <xdr:colOff>57150</xdr:colOff>
                    <xdr:row>4</xdr:row>
                    <xdr:rowOff>28575</xdr:rowOff>
                  </from>
                  <to>
                    <xdr:col>32</xdr:col>
                    <xdr:colOff>247650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6" r:id="rId19" name="Check Box 16">
              <controlPr defaultSize="0" autoFill="0" autoLine="0" autoPict="0">
                <anchor moveWithCells="1">
                  <from>
                    <xdr:col>11</xdr:col>
                    <xdr:colOff>57150</xdr:colOff>
                    <xdr:row>5</xdr:row>
                    <xdr:rowOff>28575</xdr:rowOff>
                  </from>
                  <to>
                    <xdr:col>13</xdr:col>
                    <xdr:colOff>171450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7" r:id="rId20" name="Check Box 17">
              <controlPr defaultSize="0" autoFill="0" autoLine="0" autoPict="0">
                <anchor moveWithCells="1">
                  <from>
                    <xdr:col>15</xdr:col>
                    <xdr:colOff>57150</xdr:colOff>
                    <xdr:row>5</xdr:row>
                    <xdr:rowOff>28575</xdr:rowOff>
                  </from>
                  <to>
                    <xdr:col>18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8" r:id="rId21" name="Option Button 18">
              <controlPr defaultSize="0" autoFill="0" autoLine="0" autoPict="0">
                <anchor moveWithCells="1">
                  <from>
                    <xdr:col>25</xdr:col>
                    <xdr:colOff>85725</xdr:colOff>
                    <xdr:row>15</xdr:row>
                    <xdr:rowOff>38100</xdr:rowOff>
                  </from>
                  <to>
                    <xdr:col>27</xdr:col>
                    <xdr:colOff>85725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9" r:id="rId22" name="Option Button 19">
              <controlPr defaultSize="0" autoFill="0" autoLine="0" autoPict="0">
                <anchor moveWithCells="1">
                  <from>
                    <xdr:col>27</xdr:col>
                    <xdr:colOff>104775</xdr:colOff>
                    <xdr:row>15</xdr:row>
                    <xdr:rowOff>38100</xdr:rowOff>
                  </from>
                  <to>
                    <xdr:col>29</xdr:col>
                    <xdr:colOff>19050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0" r:id="rId23" name="Option Button 20">
              <controlPr defaultSize="0" autoFill="0" autoLine="0" autoPict="0">
                <anchor moveWithCells="1">
                  <from>
                    <xdr:col>29</xdr:col>
                    <xdr:colOff>28575</xdr:colOff>
                    <xdr:row>15</xdr:row>
                    <xdr:rowOff>38100</xdr:rowOff>
                  </from>
                  <to>
                    <xdr:col>31</xdr:col>
                    <xdr:colOff>28575</xdr:colOff>
                    <xdr:row>15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J60"/>
  <sheetViews>
    <sheetView showGridLines="0" showRowColHeaders="0" topLeftCell="F21" zoomScaleNormal="100" workbookViewId="0">
      <selection sqref="A1:E1 I22:M22 AC22:AJ22"/>
    </sheetView>
  </sheetViews>
  <sheetFormatPr defaultRowHeight="18.75" customHeight="1"/>
  <cols>
    <col min="1" max="1" width="2.75" style="4" hidden="1" customWidth="1"/>
    <col min="2" max="2" width="21" style="4" hidden="1" customWidth="1"/>
    <col min="3" max="3" width="18.75" style="4" hidden="1" customWidth="1"/>
    <col min="4" max="4" width="18.625" style="4" hidden="1" customWidth="1"/>
    <col min="5" max="5" width="9" style="4" hidden="1" customWidth="1"/>
    <col min="6" max="6" width="3.375" style="2" customWidth="1"/>
    <col min="7" max="7" width="4.75" style="2" bestFit="1" customWidth="1"/>
    <col min="8" max="8" width="4.75" style="183" customWidth="1"/>
    <col min="9" max="9" width="9.75" style="2" hidden="1" customWidth="1"/>
    <col min="10" max="10" width="7.875" style="2" hidden="1" customWidth="1"/>
    <col min="11" max="12" width="6.125" style="2" hidden="1" customWidth="1"/>
    <col min="13" max="13" width="5.625" style="2" hidden="1" customWidth="1"/>
    <col min="14" max="14" width="9.625" style="2" customWidth="1"/>
    <col min="15" max="15" width="9.625" style="2" bestFit="1" customWidth="1"/>
    <col min="16" max="16" width="12.375" style="2" customWidth="1"/>
    <col min="17" max="17" width="11.125" style="2" customWidth="1"/>
    <col min="18" max="18" width="43.25" style="183" customWidth="1"/>
    <col min="19" max="19" width="11.75" style="2" bestFit="1" customWidth="1"/>
    <col min="20" max="20" width="30.625" style="2" customWidth="1"/>
    <col min="21" max="24" width="12.75" style="2" customWidth="1"/>
    <col min="25" max="26" width="4.75" style="2" bestFit="1" customWidth="1"/>
    <col min="27" max="27" width="13" style="2" bestFit="1" customWidth="1"/>
    <col min="28" max="28" width="29" style="2" customWidth="1"/>
    <col min="29" max="36" width="5.625" style="2" hidden="1" customWidth="1"/>
    <col min="37" max="16384" width="9" style="2"/>
  </cols>
  <sheetData>
    <row r="1" spans="16:23" ht="6" hidden="1" customHeight="1">
      <c r="P1" s="47"/>
      <c r="Q1" s="47"/>
      <c r="V1" s="47"/>
      <c r="W1" s="47"/>
    </row>
    <row r="2" spans="16:23" ht="6" hidden="1" customHeight="1">
      <c r="P2" s="47"/>
      <c r="Q2" s="47"/>
      <c r="V2" s="47"/>
      <c r="W2" s="47"/>
    </row>
    <row r="3" spans="16:23" ht="6" hidden="1" customHeight="1">
      <c r="P3" s="47"/>
      <c r="Q3" s="47"/>
      <c r="V3" s="47"/>
      <c r="W3" s="47"/>
    </row>
    <row r="4" spans="16:23" ht="6" hidden="1" customHeight="1">
      <c r="P4" s="47"/>
      <c r="Q4" s="47"/>
      <c r="V4" s="47"/>
      <c r="W4" s="47"/>
    </row>
    <row r="5" spans="16:23" ht="6" hidden="1" customHeight="1">
      <c r="P5" s="47"/>
      <c r="Q5" s="47"/>
      <c r="V5" s="47"/>
      <c r="W5" s="47"/>
    </row>
    <row r="6" spans="16:23" ht="6" hidden="1" customHeight="1">
      <c r="P6" s="47"/>
      <c r="Q6" s="47"/>
      <c r="V6" s="47"/>
      <c r="W6" s="47"/>
    </row>
    <row r="7" spans="16:23" ht="6" hidden="1" customHeight="1">
      <c r="P7" s="47"/>
      <c r="Q7" s="47"/>
      <c r="V7" s="47"/>
      <c r="W7" s="47"/>
    </row>
    <row r="8" spans="16:23" ht="6" hidden="1" customHeight="1">
      <c r="P8" s="47"/>
      <c r="Q8" s="47"/>
      <c r="V8" s="47"/>
      <c r="W8" s="47"/>
    </row>
    <row r="9" spans="16:23" ht="6" hidden="1" customHeight="1">
      <c r="P9" s="47"/>
      <c r="Q9" s="47"/>
      <c r="V9" s="47"/>
      <c r="W9" s="47"/>
    </row>
    <row r="10" spans="16:23" ht="6" hidden="1" customHeight="1">
      <c r="P10" s="47"/>
      <c r="Q10" s="47"/>
      <c r="V10" s="47"/>
      <c r="W10" s="47"/>
    </row>
    <row r="11" spans="16:23" ht="6" hidden="1" customHeight="1">
      <c r="P11" s="47"/>
      <c r="Q11" s="47"/>
      <c r="V11" s="47"/>
      <c r="W11" s="47"/>
    </row>
    <row r="12" spans="16:23" ht="6" hidden="1" customHeight="1">
      <c r="P12" s="47"/>
      <c r="Q12" s="47"/>
      <c r="V12" s="47"/>
      <c r="W12" s="47"/>
    </row>
    <row r="13" spans="16:23" ht="6" hidden="1" customHeight="1">
      <c r="P13" s="47"/>
      <c r="Q13" s="47"/>
      <c r="V13" s="47"/>
      <c r="W13" s="47"/>
    </row>
    <row r="14" spans="16:23" ht="6" hidden="1" customHeight="1">
      <c r="P14" s="47"/>
      <c r="Q14" s="47"/>
      <c r="V14" s="47"/>
      <c r="W14" s="47"/>
    </row>
    <row r="15" spans="16:23" ht="6" hidden="1" customHeight="1">
      <c r="P15" s="47"/>
      <c r="Q15" s="47"/>
      <c r="V15" s="47"/>
      <c r="W15" s="47"/>
    </row>
    <row r="16" spans="16:23" ht="6" hidden="1" customHeight="1">
      <c r="P16" s="47"/>
      <c r="Q16" s="47"/>
      <c r="V16" s="47"/>
      <c r="W16" s="47"/>
    </row>
    <row r="17" spans="1:36" ht="6" hidden="1" customHeight="1">
      <c r="P17" s="47"/>
      <c r="Q17" s="47"/>
      <c r="V17" s="47"/>
      <c r="W17" s="47"/>
    </row>
    <row r="18" spans="1:36" ht="6" hidden="1" customHeight="1">
      <c r="P18" s="47"/>
      <c r="Q18" s="47"/>
      <c r="V18" s="47"/>
      <c r="W18" s="47"/>
    </row>
    <row r="19" spans="1:36" ht="6" hidden="1" customHeight="1">
      <c r="P19" s="47"/>
      <c r="Q19" s="47"/>
      <c r="V19" s="47"/>
      <c r="W19" s="47"/>
    </row>
    <row r="20" spans="1:36" ht="6" hidden="1" customHeight="1">
      <c r="P20" s="47"/>
      <c r="Q20" s="47"/>
      <c r="V20" s="47"/>
      <c r="W20" s="47"/>
    </row>
    <row r="21" spans="1:36" ht="16.5">
      <c r="F21" s="2" t="str">
        <f>"("&amp;UNNH0010_B_PAGE_NO&amp;"/"&amp;UNNH0010_B_ALL_PAGE_SU&amp;")"</f>
        <v>(1/1)</v>
      </c>
      <c r="P21" s="47"/>
      <c r="Q21" s="47"/>
    </row>
    <row r="22" spans="1:36" s="183" customFormat="1" ht="33">
      <c r="A22" s="4"/>
      <c r="B22" s="4"/>
      <c r="C22" s="4"/>
      <c r="D22" s="4"/>
      <c r="E22" s="4"/>
      <c r="F22" s="255"/>
      <c r="G22" s="323" t="s">
        <v>0</v>
      </c>
      <c r="H22" s="323" t="s">
        <v>42</v>
      </c>
      <c r="I22" s="323" t="s">
        <v>282</v>
      </c>
      <c r="J22" s="323" t="s">
        <v>283</v>
      </c>
      <c r="K22" s="323" t="s">
        <v>284</v>
      </c>
      <c r="L22" s="323" t="s">
        <v>285</v>
      </c>
      <c r="M22" s="323" t="s">
        <v>226</v>
      </c>
      <c r="N22" s="221" t="s">
        <v>43</v>
      </c>
      <c r="O22" s="221" t="s">
        <v>44</v>
      </c>
      <c r="P22" s="323" t="s">
        <v>45</v>
      </c>
      <c r="Q22" s="221" t="s">
        <v>46</v>
      </c>
      <c r="R22" s="221" t="s">
        <v>5</v>
      </c>
      <c r="S22" s="221" t="s">
        <v>3</v>
      </c>
      <c r="T22" s="221" t="s">
        <v>4</v>
      </c>
      <c r="U22" s="221" t="s">
        <v>1295</v>
      </c>
      <c r="V22" s="221" t="s">
        <v>111</v>
      </c>
      <c r="W22" s="221" t="s">
        <v>47</v>
      </c>
      <c r="X22" s="221" t="s">
        <v>48</v>
      </c>
      <c r="Y22" s="323" t="s">
        <v>1321</v>
      </c>
      <c r="Z22" s="323" t="s">
        <v>1322</v>
      </c>
      <c r="AA22" s="221" t="s">
        <v>2</v>
      </c>
      <c r="AB22" s="221" t="s">
        <v>1323</v>
      </c>
      <c r="AC22" s="326" t="s">
        <v>277</v>
      </c>
      <c r="AD22" s="326" t="s">
        <v>43</v>
      </c>
      <c r="AE22" s="326" t="s">
        <v>278</v>
      </c>
      <c r="AF22" s="326" t="s">
        <v>279</v>
      </c>
      <c r="AG22" s="326" t="s">
        <v>143</v>
      </c>
      <c r="AH22" s="326" t="s">
        <v>144</v>
      </c>
      <c r="AI22" s="326" t="s">
        <v>280</v>
      </c>
      <c r="AJ22" s="326" t="s">
        <v>281</v>
      </c>
    </row>
    <row r="23" spans="1:36" ht="18.75" customHeight="1">
      <c r="A23" s="25" t="s">
        <v>190</v>
      </c>
      <c r="C23" s="26"/>
    </row>
    <row r="24" spans="1:36" ht="18.75" customHeight="1">
      <c r="B24" s="4" t="s">
        <v>191</v>
      </c>
      <c r="C24" s="26" t="s">
        <v>217</v>
      </c>
      <c r="D24" s="48">
        <v>50</v>
      </c>
    </row>
    <row r="25" spans="1:36" ht="18.75" customHeight="1">
      <c r="C25" s="26"/>
    </row>
    <row r="26" spans="1:36" ht="18.75" customHeight="1">
      <c r="A26" s="25" t="s">
        <v>192</v>
      </c>
      <c r="C26" s="26"/>
    </row>
    <row r="27" spans="1:36" ht="18.75" customHeight="1">
      <c r="B27" s="4" t="s">
        <v>193</v>
      </c>
      <c r="C27" s="26" t="s">
        <v>218</v>
      </c>
      <c r="D27" s="48">
        <v>10</v>
      </c>
    </row>
    <row r="28" spans="1:36" ht="18.75" customHeight="1">
      <c r="B28" s="4" t="s">
        <v>194</v>
      </c>
      <c r="C28" s="26" t="s">
        <v>219</v>
      </c>
      <c r="D28" s="49">
        <v>1</v>
      </c>
    </row>
    <row r="29" spans="1:36" ht="18.75" customHeight="1">
      <c r="B29" s="4" t="s">
        <v>195</v>
      </c>
      <c r="C29" s="26" t="s">
        <v>220</v>
      </c>
      <c r="D29" s="50">
        <f>IF(OR(UNNH0010_B_KENSAKU_KENSU=0,UNNH0010_B_CTRL_HYOJI_GYO_SU=0),1,ROUNDUP(UNNH0010_B_KENSAKU_KENSU/UNNH0010_B_CTRL_HYOJI_GYO_SU,0))</f>
        <v>1</v>
      </c>
    </row>
    <row r="30" spans="1:36" ht="18.75" customHeight="1">
      <c r="B30" s="4" t="s">
        <v>196</v>
      </c>
      <c r="C30" s="26" t="s">
        <v>221</v>
      </c>
      <c r="D30" s="48">
        <v>1</v>
      </c>
    </row>
    <row r="31" spans="1:36" ht="18.75" customHeight="1">
      <c r="C31" s="26"/>
    </row>
    <row r="32" spans="1:36" ht="18.75" customHeight="1">
      <c r="B32" s="4" t="s">
        <v>197</v>
      </c>
      <c r="C32" s="26" t="s">
        <v>222</v>
      </c>
      <c r="D32" s="48" t="str">
        <f>ADDRESS(ROW(UNNH0010_B_SELECT)+1, COLUMN(UNNH0010_B_SELECT)+2)</f>
        <v>$I$23</v>
      </c>
    </row>
    <row r="33" spans="1:4" ht="18.75" customHeight="1">
      <c r="B33" s="4" t="s">
        <v>198</v>
      </c>
      <c r="C33" s="26" t="s">
        <v>223</v>
      </c>
      <c r="D33" s="50" t="str">
        <f>IF(UNNH0010_B_HYOJI_KENSU=0,"",ADDRESS(ROW(UNNH0010_B_SELECT)+1,COLUMN(UNNH0010_B_SELECT))&amp;":"&amp;ADDRESS(ROW(UNNH0010_B_SELECT)+1+UNNH0010_B_HYOJI_KENSU-1,COLUMN(UNNH0010_B_SELECT)+COLUMNS(UNNH0010_IF_B_FLG_COPY_MOTO)-1))</f>
        <v>$G$23:$H$23</v>
      </c>
    </row>
    <row r="34" spans="1:4" ht="18.75" customHeight="1">
      <c r="B34" s="4" t="s">
        <v>199</v>
      </c>
      <c r="C34" s="26" t="s">
        <v>224</v>
      </c>
      <c r="D34" s="48" t="str">
        <f ca="1">IF(UNNH0010_B_HYOJI_KENSU=0,"",UNNH0010_B_LIST_START&amp;":"&amp;
ADDRESS(ROW(INDIRECT(UNNH0010_B_LIST_START))+UNNH0010_B_HYOJI_KENSU-1,COLUMN(INDIRECT(UNNH0010_B_LIST_START))+COLUMNS(UNNH0010_IF_B_LIST_COPY_MOTO)-1))</f>
        <v>$I$23:$AJ$23</v>
      </c>
    </row>
    <row r="35" spans="1:4" ht="18.75" customHeight="1">
      <c r="B35" s="4" t="s">
        <v>200</v>
      </c>
      <c r="C35" s="26" t="s">
        <v>225</v>
      </c>
      <c r="D35" s="50" t="str">
        <f ca="1">ADDRESS(ROW(UNNH0010_B_SELECT)+1, COLUMN(UNNH0010_B_SELECT))&amp;":"&amp;
ADDRESS(ROW(INDIRECT(UNNH0010_B_LIST_START))+UNNH0010_B_CTRL_HYOJI_GYO_SU-1,COLUMN(INDIRECT(UNNH0010_B_LIST_START))+COLUMNS(UNNH0010_IF_B_LIST_COPY_MOTO)-1)</f>
        <v>$G$23:$AJ$72</v>
      </c>
    </row>
    <row r="36" spans="1:4" ht="18.75" customHeight="1">
      <c r="C36" s="26"/>
      <c r="D36" s="4" t="s">
        <v>201</v>
      </c>
    </row>
    <row r="37" spans="1:4" ht="18.75" customHeight="1">
      <c r="B37" s="4" t="s">
        <v>202</v>
      </c>
      <c r="C37" s="4" t="s">
        <v>214</v>
      </c>
      <c r="D37" s="50">
        <f>IF(UNNH0010_B_HYOJI_KENSU=0,2,1)</f>
        <v>1</v>
      </c>
    </row>
    <row r="38" spans="1:4" ht="18.75" customHeight="1">
      <c r="C38" s="26"/>
    </row>
    <row r="39" spans="1:4" ht="18.75" customHeight="1">
      <c r="A39" s="25" t="s">
        <v>203</v>
      </c>
      <c r="C39" s="26"/>
      <c r="D39" s="4" t="s">
        <v>204</v>
      </c>
    </row>
    <row r="40" spans="1:4" ht="18.75" customHeight="1">
      <c r="B40" s="4" t="s">
        <v>205</v>
      </c>
      <c r="C40" s="26" t="s">
        <v>227</v>
      </c>
      <c r="D40" s="48">
        <f>IF(UNNH0010_B_ALL_PAGE_SU&gt;UNNH0010_B_PAGE_NO,1,2)</f>
        <v>2</v>
      </c>
    </row>
    <row r="41" spans="1:4" ht="18.75" customHeight="1">
      <c r="B41" s="4" t="s">
        <v>206</v>
      </c>
      <c r="C41" s="26" t="s">
        <v>228</v>
      </c>
      <c r="D41" s="48">
        <f>IF(UNNH0010_B_PAGE_NO&gt;1,1,2)</f>
        <v>2</v>
      </c>
    </row>
    <row r="42" spans="1:4" ht="18.75" customHeight="1">
      <c r="C42" s="26"/>
      <c r="D42" s="51"/>
    </row>
    <row r="43" spans="1:4" ht="18.75" customHeight="1">
      <c r="B43" s="4" t="s">
        <v>207</v>
      </c>
      <c r="C43" s="26" t="s">
        <v>229</v>
      </c>
      <c r="D43" s="48">
        <f>UNNH0010_B_PAGE_NO+1</f>
        <v>2</v>
      </c>
    </row>
    <row r="44" spans="1:4" ht="18.75" customHeight="1">
      <c r="B44" s="4" t="s">
        <v>208</v>
      </c>
      <c r="C44" s="26" t="s">
        <v>230</v>
      </c>
      <c r="D44" s="48">
        <f>UNNH0010_B_PAGE_NO-1</f>
        <v>0</v>
      </c>
    </row>
    <row r="46" spans="1:4" ht="18.75" customHeight="1">
      <c r="A46" s="25" t="s">
        <v>209</v>
      </c>
      <c r="C46" s="26"/>
    </row>
    <row r="47" spans="1:4" ht="18.75" customHeight="1">
      <c r="B47" s="4" t="s">
        <v>210</v>
      </c>
      <c r="C47" s="26" t="s">
        <v>215</v>
      </c>
      <c r="D47" s="48">
        <v>22</v>
      </c>
    </row>
    <row r="48" spans="1:4" ht="18.75" customHeight="1">
      <c r="B48" s="52" t="s">
        <v>211</v>
      </c>
      <c r="C48" s="53" t="s">
        <v>216</v>
      </c>
      <c r="D48" s="54">
        <f ca="1">IF(UNNH0010_B_SELECT_GYO_NO=0,0,INDIRECT(ADDRESS(UNNH0010_B_SELECT_GYO_NO,COLUMN(UNNH0010_B_JURI_NO))))</f>
        <v>0</v>
      </c>
    </row>
    <row r="49" spans="1:5" ht="18.75" customHeight="1">
      <c r="C49" s="26"/>
    </row>
    <row r="50" spans="1:5" ht="18.75" customHeight="1">
      <c r="A50" s="25" t="s">
        <v>147</v>
      </c>
    </row>
    <row r="51" spans="1:5" ht="18.75" customHeight="1">
      <c r="B51" s="43" t="s">
        <v>212</v>
      </c>
      <c r="C51" s="44" t="s">
        <v>404</v>
      </c>
      <c r="D51" s="50" t="str">
        <f>ROW($A$1)&amp;":"&amp;(ROW(UNNH0010_B_VIEW_CURRENT_PAGE)-1)</f>
        <v>1:20</v>
      </c>
    </row>
    <row r="52" spans="1:5" ht="18.75" customHeight="1">
      <c r="B52" s="43" t="s">
        <v>146</v>
      </c>
      <c r="C52" s="44" t="s">
        <v>231</v>
      </c>
      <c r="D52" s="50" t="str">
        <f>ADDRESS(ROW($A$1),COLUMN($A$1))&amp;":"&amp;ADDRESS(ROW($A$1),COLUMN(UNNH0010_B_VIEW_CURRENT_PAGE)-1)&amp;"," &amp; ADDRESS(ROW(I22),COLUMN(I22)) &amp;":" &amp;
   ADDRESS(ROW(UNNH0010_B_FLG),COLUMN(UNNH0010_B_FLG)) &amp;"," &amp; ADDRESS(ROW(UNNH0010_B_HASSO_CD),COLUMN(UNNH0010_B_HASSO_CD))&amp;":"&amp;ADDRESS(ROW(UNNH0010_B_FREEWD),COLUMN(UNNH0010_B_FREEWD))</f>
        <v>$A$1:$E$1,$I$22:$M$22,$AC$22:$AJ$22</v>
      </c>
    </row>
    <row r="53" spans="1:5" ht="18.75" customHeight="1">
      <c r="B53" s="43"/>
      <c r="C53" s="43"/>
      <c r="D53" s="43"/>
      <c r="E53" s="55"/>
    </row>
    <row r="54" spans="1:5" ht="18.75" customHeight="1">
      <c r="B54" s="43" t="s">
        <v>213</v>
      </c>
      <c r="C54" s="44" t="s">
        <v>350</v>
      </c>
      <c r="D54" s="50" t="str">
        <f ca="1">ADDRESS(ROW(INDIRECT(UNNH0010_B_LIST_START)),COLUMN(UNNH0010_B_JURI_NO))</f>
        <v>$Q$23</v>
      </c>
    </row>
    <row r="56" spans="1:5" ht="18.75" customHeight="1">
      <c r="B56" s="4" t="s">
        <v>210</v>
      </c>
      <c r="C56" s="26" t="s">
        <v>1480</v>
      </c>
      <c r="D56" s="48">
        <v>23</v>
      </c>
    </row>
    <row r="57" spans="1:5" ht="18.75" customHeight="1">
      <c r="B57" s="4" t="s">
        <v>211</v>
      </c>
      <c r="C57" s="26" t="s">
        <v>1482</v>
      </c>
      <c r="D57" s="48">
        <f ca="1">IF(UNNH0010_B_SELECT_GYO_NO=0,0,INDIRECT(ADDRESS(UNNH0010_B_SELECT_GYO_NO,COLUMN(UNNH0010_B_JURI_NO))))</f>
        <v>0</v>
      </c>
    </row>
    <row r="58" spans="1:5" ht="18.75" customHeight="1">
      <c r="B58" s="4" t="s">
        <v>1481</v>
      </c>
      <c r="C58" s="26" t="s">
        <v>1483</v>
      </c>
      <c r="D58" s="48">
        <f ca="1">IF(UNNH0010_B_SELECT_GYO_NO=0,0,INDIRECT(ADDRESS(UNNH0010_B_SELECT_GYO_NO,COLUMN(UNNH0010_B_JUCHU_KBN))))</f>
        <v>0</v>
      </c>
    </row>
    <row r="60" spans="1:5" ht="18.75" customHeight="1">
      <c r="B60" s="4" t="s">
        <v>1484</v>
      </c>
      <c r="C60" s="26" t="s">
        <v>1485</v>
      </c>
      <c r="D60" s="48" t="str">
        <f>IF(UNNH0010_B_SELECT_GYO_NO&lt;=ROW(UNNH0010_B_JURI_NO),0,
"UNNH0010_B!"&amp;ADDRESS(UNNH0010_B_SELECT_GYO_NO,COLUMN(UNNH0010_B_MITSU_NO)))</f>
        <v>UNNH0010_B!$AA$23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DF36"/>
  <sheetViews>
    <sheetView zoomScale="85" zoomScaleNormal="85" workbookViewId="0">
      <selection activeCell="BI12" sqref="BI12"/>
    </sheetView>
  </sheetViews>
  <sheetFormatPr defaultRowHeight="13.5"/>
  <cols>
    <col min="3" max="3" width="12.5" customWidth="1"/>
    <col min="4" max="4" width="4.75" bestFit="1" customWidth="1"/>
    <col min="5" max="5" width="4.75" style="329" customWidth="1"/>
    <col min="9" max="9" width="6.125" customWidth="1"/>
    <col min="10" max="10" width="8.25" customWidth="1"/>
    <col min="19" max="19" width="38.875" bestFit="1" customWidth="1"/>
    <col min="25" max="33" width="9" style="162"/>
    <col min="38" max="57" width="1" customWidth="1"/>
    <col min="62" max="62" width="22.625" customWidth="1"/>
    <col min="64" max="64" width="9.75" customWidth="1"/>
    <col min="65" max="65" width="9.625" bestFit="1" customWidth="1"/>
    <col min="66" max="66" width="10.5" customWidth="1"/>
    <col min="67" max="67" width="11.5" customWidth="1"/>
    <col min="68" max="70" width="9.625" bestFit="1" customWidth="1"/>
    <col min="71" max="71" width="12.5" customWidth="1"/>
    <col min="72" max="72" width="12.25" bestFit="1" customWidth="1"/>
    <col min="73" max="77" width="11.75" customWidth="1"/>
    <col min="78" max="78" width="11.625" customWidth="1"/>
    <col min="79" max="80" width="10.125" customWidth="1"/>
    <col min="81" max="81" width="9.5" customWidth="1"/>
    <col min="82" max="82" width="12.625" bestFit="1" customWidth="1"/>
  </cols>
  <sheetData>
    <row r="1" spans="1:110">
      <c r="BH1" s="165" t="s">
        <v>405</v>
      </c>
      <c r="BI1" s="162"/>
      <c r="BJ1" s="162"/>
      <c r="BK1" s="162" t="s">
        <v>410</v>
      </c>
      <c r="BL1" s="176"/>
      <c r="BM1" s="176"/>
      <c r="BN1" s="176"/>
      <c r="BO1" s="176"/>
      <c r="BP1" s="176"/>
      <c r="BQ1" s="176"/>
      <c r="BR1" s="176"/>
      <c r="BS1" s="176"/>
      <c r="BT1" s="176"/>
      <c r="BU1" s="379"/>
      <c r="BV1" s="380"/>
      <c r="BW1" s="176"/>
      <c r="BX1" s="176"/>
      <c r="BY1" s="176"/>
      <c r="BZ1" s="176"/>
      <c r="CA1" s="176"/>
      <c r="CB1" s="176"/>
      <c r="CC1" s="176"/>
      <c r="CD1" s="176"/>
      <c r="CE1" s="176"/>
      <c r="CF1" s="176"/>
      <c r="CG1" s="176"/>
      <c r="CH1" s="162"/>
      <c r="CI1" s="162"/>
      <c r="CJ1" s="162"/>
      <c r="CK1" s="162"/>
      <c r="CL1" s="162"/>
      <c r="CM1" s="162"/>
      <c r="CN1" s="162"/>
      <c r="CO1" s="162"/>
      <c r="CP1" s="162"/>
      <c r="CQ1" s="162"/>
      <c r="CR1" s="162"/>
      <c r="CS1" s="162"/>
      <c r="CT1" s="162"/>
      <c r="CU1" s="162"/>
      <c r="CV1" s="162"/>
      <c r="CW1" s="162"/>
      <c r="CX1" s="162"/>
      <c r="CY1" s="162"/>
      <c r="CZ1" s="162"/>
      <c r="DA1" s="162"/>
      <c r="DB1" s="162"/>
      <c r="DC1" s="162"/>
      <c r="DD1" s="162"/>
      <c r="DE1" s="162"/>
      <c r="DF1" s="162"/>
    </row>
    <row r="2" spans="1:110">
      <c r="A2" s="56" t="s">
        <v>232</v>
      </c>
      <c r="BH2" s="162"/>
      <c r="BI2" s="162" t="s">
        <v>406</v>
      </c>
      <c r="BJ2" s="72">
        <v>1</v>
      </c>
      <c r="BK2" s="162"/>
      <c r="BL2" s="162"/>
      <c r="BM2" s="162"/>
      <c r="BN2" s="162"/>
      <c r="BO2" s="162"/>
      <c r="BP2" s="162"/>
      <c r="BQ2" s="162"/>
      <c r="BR2" s="162"/>
      <c r="BS2" s="162"/>
      <c r="BT2" s="162"/>
      <c r="BU2" s="162"/>
      <c r="BV2" s="162"/>
      <c r="BW2" s="162"/>
      <c r="BX2" s="162"/>
      <c r="BY2" s="162"/>
      <c r="BZ2" s="162"/>
      <c r="CA2" s="162"/>
      <c r="CB2" s="162"/>
      <c r="CC2" s="162"/>
      <c r="CD2" s="162"/>
      <c r="CE2" s="162"/>
      <c r="CF2" s="162"/>
      <c r="CG2" s="162"/>
      <c r="CH2" s="162"/>
      <c r="CI2" s="162"/>
      <c r="CJ2" s="162"/>
      <c r="CK2" s="162"/>
      <c r="CL2" s="162"/>
      <c r="CM2" s="162"/>
      <c r="CN2" s="162"/>
      <c r="CO2" s="162"/>
      <c r="CP2" s="162"/>
      <c r="CQ2" s="162"/>
      <c r="CR2" s="162"/>
      <c r="CS2" s="162"/>
      <c r="CT2" s="162"/>
      <c r="CU2" s="162"/>
      <c r="CV2" s="162"/>
      <c r="CW2" s="162"/>
      <c r="CX2" s="162"/>
      <c r="CY2" s="162"/>
      <c r="CZ2" s="162"/>
      <c r="DA2" s="162"/>
      <c r="DB2" s="162"/>
      <c r="DC2" s="162"/>
      <c r="DD2" s="162"/>
      <c r="DE2" s="162"/>
      <c r="DF2" s="162"/>
    </row>
    <row r="3" spans="1:110" ht="16.5">
      <c r="BH3" s="162"/>
      <c r="BI3" s="162" t="s">
        <v>407</v>
      </c>
      <c r="BJ3" s="72" t="str">
        <f>ADDRESS(ROW(UNNH0010_IF_PRINT_JUCHU_KBN)+1,COLUMN(UNNH0010_IF_PRINT_JUCHU_KBN))</f>
        <v>$BL$4</v>
      </c>
      <c r="BK3" s="162"/>
      <c r="BL3" s="10" t="s">
        <v>43</v>
      </c>
      <c r="BM3" s="10" t="s">
        <v>263</v>
      </c>
      <c r="BN3" s="10" t="s">
        <v>45</v>
      </c>
      <c r="BO3" s="10" t="s">
        <v>46</v>
      </c>
      <c r="BP3" s="10" t="s">
        <v>5</v>
      </c>
      <c r="BQ3" s="10" t="s">
        <v>3</v>
      </c>
      <c r="BR3" s="10" t="s">
        <v>4</v>
      </c>
      <c r="BS3" s="10" t="s">
        <v>120</v>
      </c>
      <c r="BT3" s="10" t="s">
        <v>111</v>
      </c>
      <c r="BU3" s="10" t="s">
        <v>47</v>
      </c>
      <c r="BV3" s="10" t="s">
        <v>48</v>
      </c>
      <c r="BW3" s="10" t="s">
        <v>49</v>
      </c>
      <c r="BX3" s="10" t="s">
        <v>50</v>
      </c>
      <c r="BY3" s="10" t="s">
        <v>2</v>
      </c>
      <c r="BZ3" s="10" t="s">
        <v>276</v>
      </c>
      <c r="CA3" s="10" t="s">
        <v>277</v>
      </c>
      <c r="CB3" s="10" t="s">
        <v>43</v>
      </c>
      <c r="CC3" s="10" t="s">
        <v>263</v>
      </c>
      <c r="CD3" s="10" t="s">
        <v>279</v>
      </c>
      <c r="CE3" s="10" t="s">
        <v>143</v>
      </c>
      <c r="CF3" s="10" t="s">
        <v>144</v>
      </c>
      <c r="CG3" s="10" t="s">
        <v>280</v>
      </c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</row>
    <row r="4" spans="1:110" ht="18.75">
      <c r="D4" s="178" t="s">
        <v>42</v>
      </c>
      <c r="E4" s="178"/>
      <c r="F4" s="178" t="s">
        <v>253</v>
      </c>
      <c r="G4" s="178" t="s">
        <v>286</v>
      </c>
      <c r="H4" s="178" t="s">
        <v>284</v>
      </c>
      <c r="I4" s="178" t="s">
        <v>252</v>
      </c>
      <c r="J4" s="178" t="s">
        <v>349</v>
      </c>
      <c r="K4" s="178" t="s">
        <v>43</v>
      </c>
      <c r="L4" s="179" t="s">
        <v>263</v>
      </c>
      <c r="M4" s="179" t="s">
        <v>45</v>
      </c>
      <c r="N4" s="178" t="s">
        <v>46</v>
      </c>
      <c r="O4" s="180" t="s">
        <v>5</v>
      </c>
      <c r="P4" s="181" t="s">
        <v>3</v>
      </c>
      <c r="Q4" s="178" t="s">
        <v>4</v>
      </c>
      <c r="R4" s="178" t="s">
        <v>120</v>
      </c>
      <c r="S4" s="178" t="s">
        <v>111</v>
      </c>
      <c r="T4" s="178" t="s">
        <v>47</v>
      </c>
      <c r="U4" s="178" t="s">
        <v>48</v>
      </c>
      <c r="V4" s="178" t="s">
        <v>49</v>
      </c>
      <c r="W4" s="179" t="s">
        <v>50</v>
      </c>
      <c r="X4" s="178" t="s">
        <v>2</v>
      </c>
      <c r="Y4" s="178" t="s">
        <v>276</v>
      </c>
      <c r="Z4" s="326" t="s">
        <v>277</v>
      </c>
      <c r="AA4" s="326" t="s">
        <v>43</v>
      </c>
      <c r="AB4" s="326" t="s">
        <v>44</v>
      </c>
      <c r="AC4" s="326" t="s">
        <v>279</v>
      </c>
      <c r="AD4" s="326" t="s">
        <v>143</v>
      </c>
      <c r="AE4" s="326" t="s">
        <v>144</v>
      </c>
      <c r="AF4" s="326" t="s">
        <v>280</v>
      </c>
      <c r="AG4" s="326" t="s">
        <v>281</v>
      </c>
      <c r="AI4" t="s">
        <v>233</v>
      </c>
      <c r="AL4" t="s">
        <v>234</v>
      </c>
      <c r="BH4" s="162"/>
      <c r="BI4" s="162" t="s">
        <v>408</v>
      </c>
      <c r="BJ4" s="72" t="str">
        <f ca="1">IF(UNNH0010_IF_PRINT_KENSAKU_KENSU=0,"",UNNH0010_IF_PRINT_LIST_START &amp;":" &amp; ADDRESS(ROW(INDIRECT(UNNH0010_IF_PRINT_LIST_START))+UNNH0010_IF_PRINT_KENSAKU_KENSU,COLUMN(INDIRECT(UNNH0010_IF_PRINT_LIST_START))+COLUMNS(UNNH0010_IF_PRINT_COPY_MOTO)-1))</f>
        <v>$BL$4:$CG$5</v>
      </c>
      <c r="BK4" s="162"/>
      <c r="BL4" s="177"/>
      <c r="BM4" s="177"/>
      <c r="BN4" s="177"/>
      <c r="BO4" s="177"/>
      <c r="BP4" s="177"/>
      <c r="BQ4" s="177"/>
      <c r="BR4" s="177"/>
      <c r="BS4" s="177"/>
      <c r="BT4" s="177"/>
      <c r="BU4" s="177"/>
      <c r="BV4" s="177"/>
      <c r="BW4" s="177"/>
      <c r="BX4" s="177"/>
      <c r="BY4" s="177"/>
      <c r="BZ4" s="177"/>
      <c r="CA4" s="162"/>
      <c r="CB4" s="162"/>
      <c r="CC4" s="162"/>
      <c r="CD4" s="162"/>
      <c r="CE4" s="162"/>
      <c r="CF4" s="162"/>
      <c r="CG4" s="162"/>
      <c r="CH4" s="162"/>
      <c r="CI4" s="162"/>
      <c r="CJ4" s="162"/>
      <c r="CK4" s="162"/>
      <c r="CL4" s="162"/>
      <c r="CM4" s="162"/>
      <c r="CN4" s="162"/>
      <c r="CO4" s="162"/>
      <c r="CP4" s="162"/>
      <c r="CQ4" s="162"/>
      <c r="CR4" s="162"/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</row>
    <row r="5" spans="1:110" ht="16.5">
      <c r="B5" s="57" t="s">
        <v>235</v>
      </c>
      <c r="C5" s="57" t="s">
        <v>264</v>
      </c>
      <c r="D5" s="58"/>
      <c r="E5" s="58"/>
      <c r="F5" s="58"/>
      <c r="G5" s="58"/>
      <c r="H5" s="58"/>
      <c r="I5" s="58"/>
      <c r="J5" s="58"/>
      <c r="K5" s="59"/>
      <c r="L5" s="58"/>
      <c r="M5" s="58"/>
      <c r="N5" s="60"/>
      <c r="O5" s="59"/>
      <c r="P5" s="61"/>
      <c r="Q5" s="61"/>
      <c r="R5" s="61"/>
      <c r="S5" s="61"/>
      <c r="T5" s="61"/>
      <c r="U5" s="61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J5" s="57" t="s">
        <v>288</v>
      </c>
      <c r="AL5" s="62" t="s">
        <v>289</v>
      </c>
      <c r="BH5" s="162"/>
      <c r="BI5" s="162" t="s">
        <v>409</v>
      </c>
      <c r="BJ5" s="72" t="str">
        <f ca="1">"売上計上データ検索" &amp;"_"&amp;TEXT(NOW(),"YYYYMMDD!_hhmmss")</f>
        <v>売上計上データ検索_20170926_130750</v>
      </c>
      <c r="BK5" s="162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162"/>
      <c r="CB5" s="162"/>
      <c r="CC5" s="162"/>
      <c r="CD5" s="162"/>
      <c r="CE5" s="162"/>
      <c r="CF5" s="162"/>
      <c r="CG5" s="162"/>
      <c r="CH5" s="162"/>
      <c r="CI5" s="162"/>
      <c r="CJ5" s="162"/>
      <c r="CK5" s="162"/>
      <c r="CL5" s="162"/>
      <c r="CM5" s="162"/>
      <c r="CN5" s="162"/>
      <c r="CO5" s="162"/>
      <c r="CP5" s="162"/>
      <c r="CQ5" s="162"/>
      <c r="CR5" s="162"/>
      <c r="CS5" s="162"/>
      <c r="CT5" s="162"/>
      <c r="CU5" s="162"/>
      <c r="CV5" s="162"/>
      <c r="CW5" s="162"/>
      <c r="CX5" s="162"/>
      <c r="CY5" s="162"/>
      <c r="CZ5" s="162"/>
      <c r="DA5" s="162"/>
      <c r="DB5" s="162"/>
      <c r="DC5" s="162"/>
      <c r="DD5" s="162"/>
      <c r="DE5" s="162"/>
      <c r="DF5" s="162"/>
    </row>
    <row r="6" spans="1:110" ht="16.5">
      <c r="B6" s="57" t="s">
        <v>236</v>
      </c>
      <c r="C6" s="57" t="s">
        <v>392</v>
      </c>
      <c r="D6" s="453"/>
      <c r="E6" s="364"/>
      <c r="F6" s="381"/>
      <c r="G6" s="381"/>
      <c r="H6" s="381"/>
      <c r="I6" s="381"/>
      <c r="J6" s="415"/>
      <c r="K6" s="347"/>
      <c r="L6" s="347"/>
      <c r="M6" s="347"/>
      <c r="N6" s="347"/>
      <c r="O6" s="64"/>
      <c r="P6" s="382"/>
      <c r="Q6" s="383"/>
      <c r="R6" s="382"/>
      <c r="S6" s="382"/>
      <c r="T6" s="382"/>
      <c r="U6" s="382"/>
      <c r="V6" s="347"/>
      <c r="W6" s="347"/>
      <c r="X6" s="347"/>
      <c r="Y6" s="64"/>
      <c r="Z6" s="64"/>
      <c r="AA6" s="64"/>
      <c r="AB6" s="64"/>
      <c r="AC6" s="64"/>
      <c r="AD6" s="64"/>
      <c r="AE6" s="64"/>
      <c r="AF6" s="64"/>
      <c r="AG6" s="64"/>
      <c r="AI6" s="28" t="s">
        <v>148</v>
      </c>
      <c r="AJ6" s="66" t="b">
        <v>1</v>
      </c>
      <c r="AL6" s="587"/>
      <c r="AM6" s="588"/>
      <c r="AN6" s="588"/>
      <c r="AO6" s="589"/>
      <c r="AP6" s="599" t="str">
        <f>IF(OR(UNNH0010_H_SEIKYUSAKI_CD="",UNNH0010_H_SEIKYUSAKI_MEI=""),"",UNNH0010_H_SEIKYUSAKI_MEI)</f>
        <v/>
      </c>
      <c r="AQ6" s="600"/>
      <c r="AR6" s="600"/>
      <c r="AS6" s="600"/>
      <c r="AT6" s="600"/>
      <c r="AU6" s="600"/>
      <c r="AV6" s="600"/>
      <c r="AW6" s="600"/>
      <c r="AX6" s="600"/>
      <c r="AY6" s="600"/>
      <c r="AZ6" s="600"/>
      <c r="BA6" s="600"/>
      <c r="BB6" s="600"/>
      <c r="BC6" s="600"/>
      <c r="BD6" s="600"/>
      <c r="BE6" s="601"/>
    </row>
    <row r="7" spans="1:110" ht="18.75" customHeight="1">
      <c r="B7" s="57" t="s">
        <v>237</v>
      </c>
      <c r="C7" s="57" t="s">
        <v>265</v>
      </c>
      <c r="D7" s="175" t="s">
        <v>1479</v>
      </c>
      <c r="E7" s="452"/>
      <c r="F7" s="67"/>
      <c r="G7" s="68"/>
      <c r="H7" s="68"/>
      <c r="I7" s="68"/>
      <c r="J7" s="68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70"/>
      <c r="Y7" s="325"/>
      <c r="Z7" s="325"/>
      <c r="AA7" s="325"/>
      <c r="AB7" s="325"/>
      <c r="AC7" s="325"/>
      <c r="AD7" s="325"/>
      <c r="AE7" s="325"/>
      <c r="AF7" s="325"/>
      <c r="AG7" s="325"/>
      <c r="AI7" s="28" t="s">
        <v>25</v>
      </c>
      <c r="AJ7" s="71" t="b">
        <v>1</v>
      </c>
      <c r="AL7" s="587"/>
      <c r="AM7" s="588"/>
      <c r="AN7" s="588"/>
      <c r="AO7" s="589"/>
      <c r="AP7" s="603" t="str">
        <f>IF(OR(UNNH0010_H_SHOHIN_CD="",UNNH0010_H_SHOHIN_MEI=""),"",UNNH0010_H_SHOHIN_MEI)</f>
        <v/>
      </c>
      <c r="AQ7" s="604"/>
      <c r="AR7" s="604"/>
      <c r="AS7" s="604"/>
      <c r="AT7" s="604"/>
      <c r="AU7" s="604"/>
      <c r="AV7" s="604"/>
      <c r="AW7" s="604"/>
      <c r="AX7" s="604"/>
      <c r="AY7" s="604"/>
      <c r="AZ7" s="604"/>
      <c r="BA7" s="604"/>
      <c r="BB7" s="604"/>
      <c r="BC7" s="604"/>
      <c r="BD7" s="604"/>
      <c r="BE7" s="605"/>
    </row>
    <row r="8" spans="1:110" ht="16.5">
      <c r="AI8" s="4" t="s">
        <v>152</v>
      </c>
      <c r="AJ8" s="71" t="b">
        <v>1</v>
      </c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</row>
    <row r="9" spans="1:110" ht="16.5">
      <c r="A9" s="56" t="s">
        <v>238</v>
      </c>
      <c r="AI9" s="28" t="s">
        <v>168</v>
      </c>
      <c r="AJ9" s="71" t="b">
        <v>0</v>
      </c>
      <c r="AL9" s="590"/>
      <c r="AM9" s="591"/>
      <c r="AN9" s="591"/>
      <c r="AO9" s="592"/>
      <c r="AP9" s="183"/>
      <c r="AQ9" s="183"/>
      <c r="AR9" s="183"/>
      <c r="AS9" s="183"/>
      <c r="AT9" s="183"/>
      <c r="AU9" s="183"/>
      <c r="AV9" s="5" t="s">
        <v>83</v>
      </c>
      <c r="AW9" s="596"/>
      <c r="AX9" s="597"/>
      <c r="AY9" s="597"/>
      <c r="AZ9" s="598"/>
      <c r="BA9" s="6" t="s">
        <v>40</v>
      </c>
      <c r="BB9" s="596"/>
      <c r="BC9" s="597"/>
      <c r="BD9" s="597"/>
      <c r="BE9" s="598"/>
    </row>
    <row r="10" spans="1:110" ht="16.5">
      <c r="B10" s="57" t="s">
        <v>239</v>
      </c>
      <c r="C10" s="57" t="s">
        <v>271</v>
      </c>
      <c r="D10" s="72"/>
      <c r="E10" s="57" t="s">
        <v>240</v>
      </c>
      <c r="G10" s="57"/>
      <c r="H10" s="57"/>
      <c r="I10" s="57"/>
      <c r="J10" s="57"/>
      <c r="AI10" s="28" t="s">
        <v>154</v>
      </c>
      <c r="AJ10" s="71" t="b">
        <v>0</v>
      </c>
      <c r="AL10" s="590"/>
      <c r="AM10" s="591"/>
      <c r="AN10" s="591"/>
      <c r="AO10" s="592"/>
      <c r="AP10" s="183"/>
      <c r="AQ10" s="183"/>
      <c r="AR10" s="183"/>
      <c r="AS10" s="183"/>
      <c r="AT10" s="183"/>
      <c r="AU10" s="183"/>
      <c r="AV10" s="5" t="s">
        <v>1655</v>
      </c>
      <c r="AW10" s="593"/>
      <c r="AX10" s="594"/>
      <c r="AY10" s="594"/>
      <c r="AZ10" s="595"/>
      <c r="BA10" s="6" t="s">
        <v>40</v>
      </c>
      <c r="BB10" s="593"/>
      <c r="BC10" s="594"/>
      <c r="BD10" s="594"/>
      <c r="BE10" s="595"/>
    </row>
    <row r="11" spans="1:110" ht="16.5">
      <c r="B11" s="57" t="s">
        <v>1312</v>
      </c>
      <c r="C11" s="57" t="s">
        <v>1313</v>
      </c>
      <c r="D11" s="72"/>
      <c r="E11"/>
      <c r="AI11" s="28" t="s">
        <v>155</v>
      </c>
      <c r="AJ11" s="71" t="b">
        <v>0</v>
      </c>
      <c r="AL11" s="590"/>
      <c r="AM11" s="591"/>
      <c r="AN11" s="591"/>
      <c r="AO11" s="592"/>
      <c r="AP11" s="183"/>
      <c r="AQ11" s="183"/>
      <c r="AR11" s="183"/>
      <c r="AS11" s="183"/>
      <c r="AT11" s="183"/>
      <c r="AU11" s="183"/>
      <c r="AV11" s="5" t="s">
        <v>1658</v>
      </c>
      <c r="AW11" s="593"/>
      <c r="AX11" s="594"/>
      <c r="AY11" s="594"/>
      <c r="AZ11" s="595"/>
      <c r="BA11" s="6" t="s">
        <v>40</v>
      </c>
      <c r="BB11" s="593"/>
      <c r="BC11" s="594"/>
      <c r="BD11" s="594"/>
      <c r="BE11" s="595"/>
    </row>
    <row r="12" spans="1:110" ht="16.5">
      <c r="E12"/>
      <c r="AI12" s="28" t="s">
        <v>153</v>
      </c>
      <c r="AJ12" s="71" t="b">
        <v>0</v>
      </c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5" t="s">
        <v>84</v>
      </c>
      <c r="AW12" s="596"/>
      <c r="AX12" s="597"/>
      <c r="AY12" s="597"/>
      <c r="AZ12" s="598"/>
      <c r="BA12" s="6" t="s">
        <v>40</v>
      </c>
      <c r="BB12" s="596"/>
      <c r="BC12" s="597"/>
      <c r="BD12" s="597"/>
      <c r="BE12" s="598"/>
    </row>
    <row r="13" spans="1:110" ht="16.5">
      <c r="E13"/>
      <c r="AI13" s="28" t="s">
        <v>156</v>
      </c>
      <c r="AJ13" s="71" t="b">
        <v>1</v>
      </c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</row>
    <row r="14" spans="1:110" ht="16.5">
      <c r="E14"/>
      <c r="AI14" s="28" t="s">
        <v>157</v>
      </c>
      <c r="AJ14" s="71" t="b">
        <v>1</v>
      </c>
      <c r="AL14" s="609"/>
      <c r="AM14" s="609"/>
      <c r="AN14" s="609"/>
      <c r="AO14" s="609"/>
      <c r="AP14" s="8" t="str">
        <f>IF(UNNH0010_H_FREEWD_KBN=1,"AND",IF(UNNH0010_H_FREEWD_KBN=2,"OR","NAND"))</f>
        <v>AND</v>
      </c>
      <c r="AQ14" s="609"/>
      <c r="AR14" s="609"/>
      <c r="AS14" s="609"/>
      <c r="AT14" s="609"/>
      <c r="AU14" s="8" t="str">
        <f>IF(UNNH0010_H_FREEWD_KBN=1,"AND",IF(UNNH0010_H_FREEWD_KBN=2,"OR","NAND"))</f>
        <v>AND</v>
      </c>
      <c r="AV14" s="609"/>
      <c r="AW14" s="609"/>
      <c r="AX14" s="609"/>
      <c r="AY14" s="609"/>
      <c r="AZ14" s="2"/>
      <c r="BA14" s="2"/>
      <c r="BB14" s="2"/>
      <c r="BC14" s="2"/>
      <c r="BD14" s="2"/>
      <c r="BE14" s="2"/>
    </row>
    <row r="15" spans="1:110" ht="16.5">
      <c r="A15" s="56" t="s">
        <v>241</v>
      </c>
      <c r="C15" s="73"/>
      <c r="E15"/>
      <c r="AI15" s="28" t="s">
        <v>158</v>
      </c>
      <c r="AJ15" s="71" t="b">
        <v>1</v>
      </c>
    </row>
    <row r="16" spans="1:110" ht="16.5">
      <c r="B16" t="s">
        <v>242</v>
      </c>
      <c r="C16" s="57" t="s">
        <v>272</v>
      </c>
      <c r="D16" s="74"/>
      <c r="E16"/>
      <c r="AI16" s="28" t="s">
        <v>159</v>
      </c>
      <c r="AJ16" s="71" t="b">
        <v>1</v>
      </c>
    </row>
    <row r="17" spans="1:54" ht="16.5">
      <c r="B17" t="s">
        <v>243</v>
      </c>
      <c r="C17" s="57" t="s">
        <v>273</v>
      </c>
      <c r="D17" s="74"/>
      <c r="E17"/>
      <c r="AI17" s="28" t="s">
        <v>160</v>
      </c>
      <c r="AJ17" s="71" t="b">
        <v>0</v>
      </c>
    </row>
    <row r="18" spans="1:54" ht="16.5">
      <c r="B18" t="s">
        <v>244</v>
      </c>
      <c r="C18" s="57" t="s">
        <v>274</v>
      </c>
      <c r="D18" s="74"/>
      <c r="E18"/>
      <c r="AI18" s="28" t="s">
        <v>161</v>
      </c>
      <c r="AJ18" s="71" t="b">
        <v>0</v>
      </c>
    </row>
    <row r="19" spans="1:54" ht="16.5">
      <c r="E19"/>
      <c r="AI19" s="28" t="s">
        <v>162</v>
      </c>
      <c r="AJ19" s="71" t="b">
        <v>0</v>
      </c>
    </row>
    <row r="20" spans="1:54" ht="16.5">
      <c r="B20" t="s">
        <v>245</v>
      </c>
      <c r="C20" s="57" t="s">
        <v>275</v>
      </c>
      <c r="D20" s="74"/>
      <c r="E20"/>
      <c r="P20" s="56" t="s">
        <v>247</v>
      </c>
      <c r="AI20" s="28" t="s">
        <v>163</v>
      </c>
      <c r="AJ20" s="71" t="b">
        <v>0</v>
      </c>
    </row>
    <row r="21" spans="1:54" ht="16.5">
      <c r="C21" s="57"/>
      <c r="D21" s="75"/>
      <c r="E21" s="75"/>
      <c r="Q21" t="s">
        <v>248</v>
      </c>
      <c r="AI21" s="28" t="s">
        <v>164</v>
      </c>
      <c r="AJ21" s="71" t="b">
        <v>0</v>
      </c>
      <c r="AL21" s="77"/>
      <c r="AM21" s="77"/>
      <c r="AN21" s="77"/>
    </row>
    <row r="22" spans="1:54" ht="16.5">
      <c r="A22" s="56"/>
      <c r="Q22" t="s">
        <v>249</v>
      </c>
      <c r="R22" t="s">
        <v>266</v>
      </c>
      <c r="S22" s="72">
        <v>100</v>
      </c>
      <c r="V22" s="57"/>
      <c r="AI22" s="28" t="s">
        <v>165</v>
      </c>
      <c r="AJ22" s="71" t="b">
        <v>1</v>
      </c>
      <c r="AK22" s="29"/>
    </row>
    <row r="23" spans="1:54" ht="16.5">
      <c r="B23" s="4" t="s">
        <v>2</v>
      </c>
      <c r="C23" s="26" t="s">
        <v>1486</v>
      </c>
      <c r="D23" s="48"/>
      <c r="Q23" t="s">
        <v>250</v>
      </c>
      <c r="R23" t="s">
        <v>267</v>
      </c>
      <c r="S23" s="431">
        <v>0</v>
      </c>
      <c r="AI23" s="31" t="s">
        <v>142</v>
      </c>
      <c r="AJ23" s="78">
        <v>1</v>
      </c>
      <c r="AK23" s="29"/>
    </row>
    <row r="24" spans="1:54" ht="16.5">
      <c r="Q24" t="s">
        <v>251</v>
      </c>
      <c r="R24" t="s">
        <v>268</v>
      </c>
      <c r="S24" s="431">
        <v>0</v>
      </c>
      <c r="AI24" s="29"/>
    </row>
    <row r="25" spans="1:54" ht="16.5">
      <c r="Q25" t="s">
        <v>252</v>
      </c>
      <c r="R25" t="s">
        <v>269</v>
      </c>
      <c r="S25" s="72">
        <v>0</v>
      </c>
      <c r="AI25" s="29"/>
    </row>
    <row r="26" spans="1:54" ht="16.5">
      <c r="AI26" s="29"/>
    </row>
    <row r="27" spans="1:54" ht="16.5">
      <c r="Q27" t="s">
        <v>254</v>
      </c>
      <c r="AI27" s="29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</row>
    <row r="28" spans="1:54" ht="16.5">
      <c r="Q28" t="s">
        <v>256</v>
      </c>
      <c r="R28" s="57" t="s">
        <v>270</v>
      </c>
      <c r="S28" s="72">
        <f>UNNH0010_B_HYOJI_KENSU</f>
        <v>1</v>
      </c>
      <c r="AI28" s="29"/>
      <c r="AK28" s="29"/>
    </row>
    <row r="29" spans="1:54" ht="16.5">
      <c r="AI29" s="29"/>
      <c r="AK29" s="29"/>
    </row>
    <row r="30" spans="1:54" ht="16.5">
      <c r="AI30" s="29"/>
    </row>
    <row r="31" spans="1:54" ht="16.5">
      <c r="AI31" s="29"/>
    </row>
    <row r="32" spans="1:54" ht="16.5">
      <c r="AI32" s="29"/>
    </row>
    <row r="33" spans="35:35" ht="16.5">
      <c r="AI33" s="29"/>
    </row>
    <row r="34" spans="35:35" ht="16.5">
      <c r="AI34" s="29"/>
    </row>
    <row r="35" spans="35:35" ht="16.5">
      <c r="AI35" s="29"/>
    </row>
    <row r="36" spans="35:35" ht="16.5">
      <c r="AI36" s="31"/>
    </row>
  </sheetData>
  <mergeCells count="18">
    <mergeCell ref="AP6:BE6"/>
    <mergeCell ref="AP7:BE7"/>
    <mergeCell ref="AW10:AZ10"/>
    <mergeCell ref="BB10:BE10"/>
    <mergeCell ref="AL11:AO11"/>
    <mergeCell ref="AL10:AO10"/>
    <mergeCell ref="AW11:AZ11"/>
    <mergeCell ref="BB11:BE11"/>
    <mergeCell ref="AL9:AO9"/>
    <mergeCell ref="AW9:AZ9"/>
    <mergeCell ref="BB9:BE9"/>
    <mergeCell ref="AL6:AO6"/>
    <mergeCell ref="AL7:AO7"/>
    <mergeCell ref="BB12:BE12"/>
    <mergeCell ref="AL14:AO14"/>
    <mergeCell ref="AQ14:AT14"/>
    <mergeCell ref="AV14:AY14"/>
    <mergeCell ref="AW12:AZ12"/>
  </mergeCells>
  <phoneticPr fontId="2"/>
  <conditionalFormatting sqref="D7:E7">
    <cfRule type="expression" dxfId="295" priority="2">
      <formula>CELL("row")=ROW()</formula>
    </cfRule>
  </conditionalFormatting>
  <conditionalFormatting sqref="D6:AG6">
    <cfRule type="expression" dxfId="294" priority="1">
      <formula>CELL("row")=ROW()</formula>
    </cfRule>
  </conditionalFormatting>
  <dataValidations count="6">
    <dataValidation type="custom" allowBlank="1" showInputMessage="1" showErrorMessage="1" sqref="AL10:AO11">
      <formula1>LEN(AL10)&lt;=20</formula1>
    </dataValidation>
    <dataValidation type="custom" allowBlank="1" showInputMessage="1" showErrorMessage="1" sqref="AW12:AZ12">
      <formula1>AND(LEN(UNNH0010_H_MITSU_NO_START)=LENB(UNNH0010_H_MITSU_NO_START),LEN(UNNH0010_H_MITSU_NO_START)=10)</formula1>
    </dataValidation>
    <dataValidation type="custom" allowBlank="1" showInputMessage="1" showErrorMessage="1" sqref="BB9:BE9">
      <formula1>AND(LEN(UNNH0010_H_JURI_NO_END)=LENB(UNNH0010_H_JURI_NO_END),LEN(UNNH0010_H_JURI_NO_END)=10)</formula1>
    </dataValidation>
    <dataValidation type="custom" allowBlank="1" showInputMessage="1" showErrorMessage="1" sqref="AW9:AZ9">
      <formula1>AND(LEN(UNNH0010_H_JURI_NO_START)=LENB(UNNH0010_H_JURI_NO_START),LEN(UNNH0010_H_JURI_NO_START)=10)</formula1>
    </dataValidation>
    <dataValidation type="custom" allowBlank="1" showInputMessage="1" showErrorMessage="1" sqref="BB12:BE12">
      <formula1>AND(LEN(UNNH0010_H_MITSU_NO_END)=LENB(UNNH0010_H_MITSU_NO_END),LEN(UNNH0010_H_MITSU_NO_END)=10)</formula1>
    </dataValidation>
    <dataValidation type="date" allowBlank="1" showInputMessage="1" showErrorMessage="1" sqref="AW10:AZ10 BB11:BE11 BB10:BE10 AW11:AZ11">
      <formula1>36526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Check Box 1">
              <controlPr defaultSize="0" autoFill="0" autoLine="0" autoPict="0" macro="[0]!M_UNNH0010_CLICK_CHECKBOX">
                <anchor moveWithCells="1">
                  <from>
                    <xdr:col>4</xdr:col>
                    <xdr:colOff>66675</xdr:colOff>
                    <xdr:row>6</xdr:row>
                    <xdr:rowOff>28575</xdr:rowOff>
                  </from>
                  <to>
                    <xdr:col>4</xdr:col>
                    <xdr:colOff>247650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88"/>
  <sheetViews>
    <sheetView topLeftCell="A67" zoomScale="85" zoomScaleNormal="85" workbookViewId="0">
      <selection activeCell="C90" sqref="C90"/>
    </sheetView>
  </sheetViews>
  <sheetFormatPr defaultRowHeight="18.75" customHeight="1"/>
  <cols>
    <col min="1" max="1" width="2" customWidth="1"/>
    <col min="2" max="3" width="23.75" customWidth="1"/>
    <col min="4" max="5" width="1.125" customWidth="1"/>
    <col min="6" max="6" width="65.25" customWidth="1"/>
    <col min="7" max="7" width="48.625" customWidth="1"/>
    <col min="8" max="8" width="39.625" customWidth="1"/>
    <col min="9" max="10" width="1.125" customWidth="1"/>
    <col min="11" max="11" width="41.125" customWidth="1"/>
    <col min="12" max="12" width="45.375" customWidth="1"/>
  </cols>
  <sheetData>
    <row r="1" spans="1:13" ht="18.75" customHeight="1">
      <c r="A1" s="79" t="s">
        <v>290</v>
      </c>
      <c r="B1" s="80"/>
      <c r="C1" s="81"/>
      <c r="D1" s="82"/>
      <c r="E1" s="82"/>
      <c r="F1" s="83" t="s">
        <v>391</v>
      </c>
      <c r="G1" s="80" t="s">
        <v>390</v>
      </c>
      <c r="H1" s="80"/>
      <c r="I1" s="80"/>
      <c r="J1" s="80"/>
      <c r="K1" s="80"/>
    </row>
    <row r="2" spans="1:13" ht="18.75" customHeight="1">
      <c r="A2" s="84"/>
      <c r="B2" s="28" t="s">
        <v>320</v>
      </c>
      <c r="C2" s="29" t="s">
        <v>335</v>
      </c>
      <c r="D2" s="85"/>
      <c r="E2" s="85"/>
      <c r="F2" s="86" t="b">
        <v>0</v>
      </c>
      <c r="G2" s="87" t="b">
        <f>UNNH0010_H_IRAI_KBN</f>
        <v>1</v>
      </c>
      <c r="H2" s="84"/>
      <c r="I2" s="84"/>
      <c r="J2" s="84"/>
      <c r="K2" s="84"/>
      <c r="L2" s="88"/>
      <c r="M2" s="86"/>
    </row>
    <row r="3" spans="1:13" s="96" customFormat="1" ht="18.75" customHeight="1">
      <c r="A3" s="89"/>
      <c r="B3" s="90" t="s">
        <v>25</v>
      </c>
      <c r="C3" s="91" t="s">
        <v>327</v>
      </c>
      <c r="D3" s="92"/>
      <c r="E3" s="92"/>
      <c r="F3" s="93" t="b">
        <v>0</v>
      </c>
      <c r="G3" s="94" t="b">
        <f>UNNH0010_H_SHOHIN_KBN</f>
        <v>1</v>
      </c>
      <c r="H3" s="89"/>
      <c r="I3" s="89"/>
      <c r="J3" s="89"/>
      <c r="K3" s="89"/>
      <c r="L3" s="95"/>
      <c r="M3" s="93"/>
    </row>
    <row r="4" spans="1:13" s="329" customFormat="1" ht="18.75" customHeight="1">
      <c r="A4" s="84"/>
      <c r="B4" s="28" t="s">
        <v>321</v>
      </c>
      <c r="C4" s="29" t="s">
        <v>1358</v>
      </c>
      <c r="D4" s="85"/>
      <c r="E4" s="85"/>
      <c r="F4" s="86" t="b">
        <v>0</v>
      </c>
      <c r="G4" s="87" t="b">
        <f>UNNH0010_H_MIKEIJO_FLG</f>
        <v>1</v>
      </c>
      <c r="H4" s="84"/>
      <c r="I4" s="84"/>
      <c r="J4" s="84"/>
      <c r="K4" s="84"/>
      <c r="L4" s="88"/>
      <c r="M4" s="86"/>
    </row>
    <row r="5" spans="1:13" s="96" customFormat="1" ht="18.75" customHeight="1">
      <c r="A5" s="89"/>
      <c r="B5" s="90" t="s">
        <v>1359</v>
      </c>
      <c r="C5" s="91" t="s">
        <v>328</v>
      </c>
      <c r="D5" s="92"/>
      <c r="E5" s="92"/>
      <c r="F5" s="93" t="b">
        <v>0</v>
      </c>
      <c r="G5" s="94" t="b">
        <f>UNNH0010_H_BUNSEKI_KAKUNIN_MI_STS</f>
        <v>0</v>
      </c>
      <c r="H5" s="89"/>
      <c r="I5" s="89"/>
      <c r="J5" s="89"/>
      <c r="K5" s="89"/>
      <c r="L5" s="95"/>
      <c r="M5" s="93"/>
    </row>
    <row r="6" spans="1:13" s="329" customFormat="1" ht="18.75" customHeight="1">
      <c r="A6" s="84"/>
      <c r="B6" s="28" t="s">
        <v>322</v>
      </c>
      <c r="C6" s="29" t="s">
        <v>1360</v>
      </c>
      <c r="D6" s="85"/>
      <c r="E6" s="85"/>
      <c r="F6" s="86" t="b">
        <v>0</v>
      </c>
      <c r="G6" s="87" t="b">
        <f>UNNH0010_H_BUNSEKI_UKETSUKE_STS</f>
        <v>0</v>
      </c>
      <c r="H6" s="84"/>
      <c r="I6" s="84"/>
      <c r="J6" s="84"/>
      <c r="K6" s="84"/>
      <c r="L6" s="88"/>
      <c r="M6" s="86"/>
    </row>
    <row r="7" spans="1:13" s="96" customFormat="1" ht="18.75" customHeight="1">
      <c r="A7" s="89"/>
      <c r="B7" s="90" t="s">
        <v>155</v>
      </c>
      <c r="C7" s="91" t="s">
        <v>329</v>
      </c>
      <c r="D7" s="92"/>
      <c r="E7" s="92"/>
      <c r="F7" s="93" t="b">
        <v>0</v>
      </c>
      <c r="G7" s="94" t="b">
        <f>UNNH0010_H_BUNSEKI_CHUKAN_STS</f>
        <v>0</v>
      </c>
      <c r="H7" s="89"/>
      <c r="I7" s="89"/>
      <c r="J7" s="89"/>
      <c r="K7" s="89"/>
      <c r="L7" s="95"/>
      <c r="M7" s="93"/>
    </row>
    <row r="8" spans="1:13" s="329" customFormat="1" ht="18.75" customHeight="1">
      <c r="A8" s="84"/>
      <c r="B8" s="28" t="s">
        <v>153</v>
      </c>
      <c r="C8" s="29" t="s">
        <v>1361</v>
      </c>
      <c r="D8" s="85"/>
      <c r="E8" s="85"/>
      <c r="F8" s="86" t="b">
        <v>0</v>
      </c>
      <c r="G8" s="87" t="b">
        <f>UNNH0010_H_BUNSEKI_GIJUTSU_STS</f>
        <v>0</v>
      </c>
      <c r="H8" s="84"/>
      <c r="I8" s="84"/>
      <c r="J8" s="84"/>
      <c r="K8" s="84"/>
      <c r="L8" s="88"/>
      <c r="M8" s="86"/>
    </row>
    <row r="9" spans="1:13" s="96" customFormat="1" ht="18.75" customHeight="1">
      <c r="A9" s="89"/>
      <c r="B9" s="90" t="s">
        <v>156</v>
      </c>
      <c r="C9" s="91" t="s">
        <v>330</v>
      </c>
      <c r="D9" s="92"/>
      <c r="E9" s="92"/>
      <c r="F9" s="93" t="b">
        <v>0</v>
      </c>
      <c r="G9" s="94" t="b">
        <f>UNNH0010_H_BUNSEKI_KAKUNIN_STS</f>
        <v>1</v>
      </c>
      <c r="H9" s="89"/>
      <c r="I9" s="89"/>
      <c r="J9" s="89"/>
      <c r="K9" s="89"/>
      <c r="L9" s="95"/>
      <c r="M9" s="93"/>
    </row>
    <row r="10" spans="1:13" s="329" customFormat="1" ht="18.75" customHeight="1">
      <c r="A10" s="84"/>
      <c r="B10" s="28" t="s">
        <v>157</v>
      </c>
      <c r="C10" s="29" t="s">
        <v>1362</v>
      </c>
      <c r="D10" s="85"/>
      <c r="E10" s="85"/>
      <c r="F10" s="86" t="b">
        <v>0</v>
      </c>
      <c r="G10" s="87" t="b">
        <f>UNNH0010_H_BUNSEKI_SOKUHO_STS</f>
        <v>1</v>
      </c>
      <c r="H10" s="84"/>
      <c r="I10" s="84"/>
      <c r="J10" s="84"/>
      <c r="K10" s="84"/>
      <c r="L10" s="88"/>
      <c r="M10" s="86"/>
    </row>
    <row r="11" spans="1:13" s="96" customFormat="1" ht="18.75" customHeight="1">
      <c r="A11" s="89"/>
      <c r="B11" s="90" t="s">
        <v>158</v>
      </c>
      <c r="C11" s="91" t="s">
        <v>331</v>
      </c>
      <c r="D11" s="92"/>
      <c r="E11" s="92"/>
      <c r="F11" s="93" t="b">
        <v>0</v>
      </c>
      <c r="G11" s="94" t="b">
        <f>UNNH0010_H_BUNSEKI_EIGYO_STS</f>
        <v>1</v>
      </c>
      <c r="H11" s="89"/>
      <c r="I11" s="89"/>
      <c r="J11" s="89"/>
      <c r="K11" s="89"/>
      <c r="L11" s="95"/>
      <c r="M11" s="93"/>
    </row>
    <row r="12" spans="1:13" s="329" customFormat="1" ht="18.75" customHeight="1">
      <c r="A12" s="84"/>
      <c r="B12" s="28" t="s">
        <v>159</v>
      </c>
      <c r="C12" s="29" t="s">
        <v>1363</v>
      </c>
      <c r="D12" s="85"/>
      <c r="E12" s="85"/>
      <c r="F12" s="86" t="b">
        <v>0</v>
      </c>
      <c r="G12" s="87" t="b">
        <f>UNNH0010_H_BUNSEKI_NOHIN_STS</f>
        <v>1</v>
      </c>
      <c r="H12" s="84"/>
      <c r="I12" s="84"/>
      <c r="J12" s="84"/>
      <c r="K12" s="84"/>
      <c r="L12" s="88"/>
      <c r="M12" s="86"/>
    </row>
    <row r="13" spans="1:13" s="96" customFormat="1" ht="18.75" customHeight="1">
      <c r="A13" s="89"/>
      <c r="B13" s="90" t="s">
        <v>160</v>
      </c>
      <c r="C13" s="91" t="s">
        <v>332</v>
      </c>
      <c r="D13" s="92"/>
      <c r="E13" s="92"/>
      <c r="F13" s="93" t="b">
        <v>0</v>
      </c>
      <c r="G13" s="94" t="b">
        <f>UNNH0010_H_BUNSEKI_IRAI_HOKAN_STS</f>
        <v>0</v>
      </c>
      <c r="H13" s="89"/>
      <c r="I13" s="89"/>
      <c r="J13" s="89"/>
      <c r="K13" s="89"/>
      <c r="L13" s="95"/>
      <c r="M13" s="93"/>
    </row>
    <row r="14" spans="1:13" s="329" customFormat="1" ht="18.75" customHeight="1">
      <c r="A14" s="84"/>
      <c r="B14" s="28" t="s">
        <v>323</v>
      </c>
      <c r="C14" s="29" t="s">
        <v>1364</v>
      </c>
      <c r="D14" s="85"/>
      <c r="E14" s="85"/>
      <c r="F14" s="86" t="b">
        <v>0</v>
      </c>
      <c r="G14" s="87" t="b">
        <f>UNNH0010_H_BUNSEKI_TEISEI_STS</f>
        <v>0</v>
      </c>
      <c r="H14" s="84"/>
      <c r="I14" s="84"/>
      <c r="J14" s="84"/>
      <c r="K14" s="84"/>
      <c r="L14" s="88"/>
      <c r="M14" s="86"/>
    </row>
    <row r="15" spans="1:13" s="96" customFormat="1" ht="18.75" customHeight="1">
      <c r="A15" s="89"/>
      <c r="B15" s="90" t="s">
        <v>1365</v>
      </c>
      <c r="C15" s="91" t="s">
        <v>333</v>
      </c>
      <c r="D15" s="92"/>
      <c r="E15" s="92"/>
      <c r="F15" s="93" t="b">
        <v>0</v>
      </c>
      <c r="G15" s="94" t="b">
        <f>UNNH0010_H_BUNSEKI_CHUDAN_STS</f>
        <v>0</v>
      </c>
      <c r="H15" s="89"/>
      <c r="I15" s="89"/>
      <c r="J15" s="89"/>
      <c r="K15" s="89"/>
      <c r="L15" s="95"/>
      <c r="M15" s="93"/>
    </row>
    <row r="16" spans="1:13" s="329" customFormat="1" ht="18.75" customHeight="1">
      <c r="A16" s="84"/>
      <c r="B16" s="28" t="s">
        <v>324</v>
      </c>
      <c r="C16" s="29" t="s">
        <v>1366</v>
      </c>
      <c r="D16" s="85"/>
      <c r="E16" s="85"/>
      <c r="F16" s="86" t="b">
        <v>0</v>
      </c>
      <c r="G16" s="87" t="b">
        <f>UNNH0010_H_BUNSEKI_CHUSHI_STS</f>
        <v>0</v>
      </c>
      <c r="H16" s="84"/>
      <c r="I16" s="84"/>
      <c r="J16" s="84"/>
      <c r="K16" s="84"/>
      <c r="L16" s="88"/>
      <c r="M16" s="86"/>
    </row>
    <row r="17" spans="1:13" s="96" customFormat="1" ht="18.75" customHeight="1">
      <c r="A17" s="89"/>
      <c r="B17" s="90" t="s">
        <v>1367</v>
      </c>
      <c r="C17" s="91" t="s">
        <v>334</v>
      </c>
      <c r="D17" s="92"/>
      <c r="E17" s="92"/>
      <c r="F17" s="93" t="b">
        <v>0</v>
      </c>
      <c r="G17" s="94" t="b">
        <f>UNNH0010_H_HAMBAI_SHORIMI_STS</f>
        <v>0</v>
      </c>
      <c r="H17" s="89"/>
      <c r="I17" s="89"/>
      <c r="J17" s="89"/>
      <c r="K17" s="89"/>
      <c r="L17" s="95"/>
      <c r="M17" s="93"/>
    </row>
    <row r="18" spans="1:13" s="329" customFormat="1" ht="18.75" customHeight="1">
      <c r="A18" s="84"/>
      <c r="B18" s="28" t="s">
        <v>325</v>
      </c>
      <c r="C18" s="29" t="s">
        <v>1368</v>
      </c>
      <c r="D18" s="85"/>
      <c r="E18" s="85"/>
      <c r="F18" s="86" t="b">
        <v>0</v>
      </c>
      <c r="G18" s="87" t="b">
        <f>UNNH0010_H_HAMBAI_JUNBI_KANRYO_STS</f>
        <v>1</v>
      </c>
      <c r="H18" s="84"/>
      <c r="I18" s="84"/>
      <c r="J18" s="84"/>
      <c r="K18" s="84"/>
      <c r="L18" s="88"/>
      <c r="M18" s="86"/>
    </row>
    <row r="19" spans="1:13" s="96" customFormat="1" ht="18.75" customHeight="1">
      <c r="A19" s="89"/>
      <c r="B19" s="90" t="s">
        <v>1369</v>
      </c>
      <c r="C19" s="91" t="s">
        <v>336</v>
      </c>
      <c r="D19" s="92"/>
      <c r="E19" s="92"/>
      <c r="F19" s="93"/>
      <c r="G19" s="94" t="str">
        <f>IF(UNNH0010_H_SEIKYUSAKI_CD="","",UNNH0010_H_SEIKYUSAKI_CD)</f>
        <v/>
      </c>
      <c r="H19" s="89"/>
      <c r="I19" s="89"/>
      <c r="J19" s="89"/>
      <c r="K19" s="89"/>
      <c r="L19" s="95"/>
      <c r="M19" s="93"/>
    </row>
    <row r="20" spans="1:13" s="329" customFormat="1" ht="18.75" customHeight="1">
      <c r="A20" s="84"/>
      <c r="B20" s="28" t="s">
        <v>366</v>
      </c>
      <c r="C20" s="29" t="s">
        <v>1370</v>
      </c>
      <c r="D20" s="85"/>
      <c r="E20" s="85"/>
      <c r="F20" s="86"/>
      <c r="G20" s="87" t="str">
        <f>IF(UNNH0010_H_HASSOSAKI_CD="","",UNNH0010_H_HASSOSAKI_CD)</f>
        <v/>
      </c>
      <c r="H20" s="84"/>
      <c r="I20" s="84"/>
      <c r="J20" s="84"/>
      <c r="K20" s="84"/>
      <c r="L20" s="88"/>
      <c r="M20" s="86"/>
    </row>
    <row r="21" spans="1:13" s="96" customFormat="1" ht="18.75" customHeight="1">
      <c r="A21" s="89"/>
      <c r="B21" s="90" t="s">
        <v>1371</v>
      </c>
      <c r="C21" s="91" t="s">
        <v>339</v>
      </c>
      <c r="D21" s="92"/>
      <c r="E21" s="92"/>
      <c r="F21" s="93"/>
      <c r="G21" s="94" t="str">
        <f>IF(UNNH0010_H_SHOHIN_CD="","",UNNH0010_H_SHOHIN_CD)</f>
        <v/>
      </c>
      <c r="H21" s="89"/>
      <c r="I21" s="89"/>
      <c r="J21" s="89"/>
      <c r="K21" s="89"/>
      <c r="L21" s="95"/>
      <c r="M21" s="93"/>
    </row>
    <row r="22" spans="1:13" s="329" customFormat="1" ht="18.75" customHeight="1">
      <c r="A22" s="84"/>
      <c r="B22" s="28" t="s">
        <v>1349</v>
      </c>
      <c r="C22" s="29" t="s">
        <v>1372</v>
      </c>
      <c r="D22" s="85"/>
      <c r="E22" s="85"/>
      <c r="F22" s="86"/>
      <c r="G22" s="87" t="str">
        <f>IF(UNNH0010_H_BUNSEKI_HAMBAI_KBN="","",UNNH0010_H_BUNSEKI_HAMBAI_KBN)</f>
        <v/>
      </c>
      <c r="H22" s="84"/>
      <c r="I22" s="84"/>
      <c r="J22" s="84"/>
      <c r="K22" s="84"/>
      <c r="L22" s="88"/>
      <c r="M22" s="86"/>
    </row>
    <row r="23" spans="1:13" s="96" customFormat="1" ht="18.75" customHeight="1">
      <c r="A23" s="89"/>
      <c r="B23" s="90" t="s">
        <v>1373</v>
      </c>
      <c r="C23" s="91" t="s">
        <v>1350</v>
      </c>
      <c r="D23" s="92"/>
      <c r="E23" s="92"/>
      <c r="F23" s="93"/>
      <c r="G23" s="94" t="str">
        <f>IF(UNNH0010_H_NYURYOKUSHA_MEI="","",UNNH0010_H_NYURYOKUSHA_CD)</f>
        <v/>
      </c>
      <c r="H23" s="89"/>
      <c r="I23" s="89"/>
      <c r="J23" s="89"/>
      <c r="K23" s="89"/>
      <c r="L23" s="95"/>
      <c r="M23" s="93"/>
    </row>
    <row r="24" spans="1:13" s="329" customFormat="1" ht="18.75" customHeight="1">
      <c r="A24" s="84"/>
      <c r="B24" s="28" t="s">
        <v>1351</v>
      </c>
      <c r="C24" s="29" t="s">
        <v>1374</v>
      </c>
      <c r="D24" s="85"/>
      <c r="E24" s="85"/>
      <c r="F24" s="86"/>
      <c r="G24" s="87" t="str">
        <f>IF(UNNH0010_H_EIGYO_TANTOSHA_MEI="","",UNNH0010_H_EIGYO_TANTO_CD)</f>
        <v/>
      </c>
      <c r="H24" s="84"/>
      <c r="I24" s="84"/>
      <c r="J24" s="84"/>
      <c r="K24" s="84"/>
      <c r="L24" s="88"/>
      <c r="M24" s="86"/>
    </row>
    <row r="25" spans="1:13" s="96" customFormat="1" ht="18.75" customHeight="1">
      <c r="A25" s="89"/>
      <c r="B25" s="90" t="s">
        <v>1375</v>
      </c>
      <c r="C25" s="91" t="s">
        <v>1352</v>
      </c>
      <c r="D25" s="92"/>
      <c r="E25" s="92"/>
      <c r="F25" s="93"/>
      <c r="G25" s="94" t="str">
        <f>IF(UNNH0010_H_JURI_NO_MIN=0,"",UNNH0010_H_JURI_NO_MIN)</f>
        <v/>
      </c>
      <c r="H25" s="89"/>
      <c r="I25" s="89"/>
      <c r="J25" s="89"/>
      <c r="K25" s="89"/>
      <c r="L25" s="95"/>
      <c r="M25" s="93"/>
    </row>
    <row r="26" spans="1:13" s="329" customFormat="1" ht="18.75" customHeight="1">
      <c r="A26" s="84"/>
      <c r="B26" s="28"/>
      <c r="C26" s="29" t="s">
        <v>1376</v>
      </c>
      <c r="D26" s="85"/>
      <c r="E26" s="85"/>
      <c r="F26" s="86"/>
      <c r="G26" s="87" t="str">
        <f>IF(UNNH0010_H_JURI_NO_MAX=0,"",UNNH0010_H_JURI_NO_MAX)</f>
        <v/>
      </c>
      <c r="H26" s="84"/>
      <c r="I26" s="84"/>
      <c r="J26" s="84"/>
      <c r="K26" s="84"/>
      <c r="L26" s="88"/>
      <c r="M26" s="86"/>
    </row>
    <row r="27" spans="1:13" s="96" customFormat="1" ht="18.75" customHeight="1">
      <c r="A27" s="89"/>
      <c r="B27" s="90" t="s">
        <v>47</v>
      </c>
      <c r="C27" s="91" t="s">
        <v>1353</v>
      </c>
      <c r="D27" s="92"/>
      <c r="E27" s="92"/>
      <c r="F27" s="93"/>
      <c r="G27" s="94" t="str">
        <f>IF(UNNH0010_H_NYURYOKU_DATE_START="",
     "",
     TEXT(
         MIN(UNNH0010_H_NYURYOKU_DATE_START,
               UNNH0010_H_NYURYOKU_DATE_END
         ),
         "YYYY/MM/DD"
     )
  )</f>
        <v/>
      </c>
      <c r="H27" s="89"/>
      <c r="I27" s="89"/>
      <c r="J27" s="89"/>
      <c r="K27" s="89"/>
      <c r="L27" s="95"/>
      <c r="M27" s="93"/>
    </row>
    <row r="28" spans="1:13" s="329" customFormat="1" ht="18.75" customHeight="1">
      <c r="A28" s="84"/>
      <c r="B28" s="28"/>
      <c r="C28" s="29" t="s">
        <v>1377</v>
      </c>
      <c r="D28" s="85"/>
      <c r="E28" s="85"/>
      <c r="F28" s="86"/>
      <c r="G28" s="87" t="str">
        <f>IF(UNNH0010_H_NYURYOKU_DATE_START="",
     "",
     TEXT(
         MAX(UNNH0010_H_NYURYOKU_DATE_START,
               UNNH0010_H_NYURYOKU_DATE_END
         ),
         "YYYY/MM/DD"
     )
  )</f>
        <v/>
      </c>
      <c r="H28" s="84"/>
      <c r="I28" s="84"/>
      <c r="J28" s="84"/>
      <c r="K28" s="84"/>
      <c r="L28" s="88"/>
      <c r="M28" s="86"/>
    </row>
    <row r="29" spans="1:13" s="96" customFormat="1" ht="18.75" customHeight="1">
      <c r="A29" s="89"/>
      <c r="B29" s="90" t="s">
        <v>48</v>
      </c>
      <c r="C29" s="91" t="s">
        <v>1354</v>
      </c>
      <c r="D29" s="92"/>
      <c r="E29" s="92"/>
      <c r="F29" s="93"/>
      <c r="G29" s="94" t="str">
        <f>IF(UNNH0010_H_NOHIN_DATE_START="",
     "",
     TEXT(
         MIN(UNNH0010_H_NOHIN_DATE_START,
               UNNH0010_H_NOHIN_DATE_END
         ),
         "YYYY/MM/DD"
     )
  )</f>
        <v/>
      </c>
      <c r="H29" s="89"/>
      <c r="I29" s="89"/>
      <c r="J29" s="89"/>
      <c r="K29" s="89"/>
      <c r="L29" s="95"/>
      <c r="M29" s="93"/>
    </row>
    <row r="30" spans="1:13" s="329" customFormat="1" ht="18.75" customHeight="1">
      <c r="A30" s="84"/>
      <c r="B30" s="28"/>
      <c r="C30" s="29" t="s">
        <v>1378</v>
      </c>
      <c r="D30" s="85"/>
      <c r="E30" s="85"/>
      <c r="F30" s="86"/>
      <c r="G30" s="87" t="str">
        <f>IF(UNNH0010_H_NOHIN_DATE_END="",
     "",
     TEXT(
         MAX(UNNH0010_H_NOHIN_DATE_START,
               UNNH0010_H_NOHIN_DATE_END
         ),
         "YYYY/MM/DD"
     )
  )</f>
        <v/>
      </c>
      <c r="H30" s="84"/>
      <c r="I30" s="84"/>
      <c r="J30" s="84"/>
      <c r="K30" s="84"/>
      <c r="L30" s="88"/>
      <c r="M30" s="86"/>
    </row>
    <row r="31" spans="1:13" s="96" customFormat="1" ht="18.75" customHeight="1">
      <c r="A31" s="89"/>
      <c r="B31" s="90" t="s">
        <v>365</v>
      </c>
      <c r="C31" s="91" t="s">
        <v>1355</v>
      </c>
      <c r="D31" s="92"/>
      <c r="E31" s="92"/>
      <c r="F31" s="93"/>
      <c r="G31" s="94" t="str">
        <f>IF(UNNH0010_H_MITSUMORI_NO_MIN=0,"",UNNH0010_H_MITSUMORI_NO_MIN)</f>
        <v/>
      </c>
      <c r="H31" s="89"/>
      <c r="I31" s="89"/>
      <c r="J31" s="89"/>
      <c r="K31" s="89"/>
      <c r="L31" s="95"/>
      <c r="M31" s="93"/>
    </row>
    <row r="32" spans="1:13" s="329" customFormat="1" ht="18.75" customHeight="1">
      <c r="A32" s="84"/>
      <c r="B32" s="28"/>
      <c r="C32" s="29" t="s">
        <v>1379</v>
      </c>
      <c r="D32" s="85"/>
      <c r="E32" s="85"/>
      <c r="F32" s="86"/>
      <c r="G32" s="87" t="str">
        <f>IF(UNNH0010_H_MITSUMORI_NO_MAX=0,"",UNNH0010_H_MITSUMORI_NO_MAX)</f>
        <v/>
      </c>
      <c r="H32" s="84"/>
      <c r="I32" s="84"/>
      <c r="J32" s="84"/>
      <c r="K32" s="84"/>
      <c r="L32" s="88"/>
      <c r="M32" s="86"/>
    </row>
    <row r="33" spans="1:13" s="96" customFormat="1" ht="18.75" customHeight="1">
      <c r="A33" s="89"/>
      <c r="B33" s="90" t="s">
        <v>1380</v>
      </c>
      <c r="C33" s="91" t="s">
        <v>1356</v>
      </c>
      <c r="D33" s="92"/>
      <c r="E33" s="92"/>
      <c r="F33" s="93"/>
      <c r="G33" s="94" t="str">
        <f>IF(UNNH0010_H_FREEWD_1="","",UNNH0010_H_FREEWD_1)</f>
        <v/>
      </c>
      <c r="H33" s="89"/>
      <c r="I33" s="89"/>
      <c r="J33" s="89"/>
      <c r="K33" s="89"/>
      <c r="L33" s="95"/>
      <c r="M33" s="93"/>
    </row>
    <row r="34" spans="1:13" s="329" customFormat="1" ht="18.75" customHeight="1">
      <c r="A34" s="84"/>
      <c r="B34" s="28"/>
      <c r="C34" s="29" t="s">
        <v>1381</v>
      </c>
      <c r="D34" s="85"/>
      <c r="E34" s="85"/>
      <c r="F34" s="86"/>
      <c r="G34" s="87" t="str">
        <f>IF(UNNH0010_H_FREEWD_2="","",UNNH0010_H_FREEWD_2)</f>
        <v/>
      </c>
      <c r="H34" s="84"/>
      <c r="I34" s="84"/>
      <c r="J34" s="84"/>
      <c r="K34" s="84"/>
      <c r="L34" s="88"/>
      <c r="M34" s="86"/>
    </row>
    <row r="35" spans="1:13" s="96" customFormat="1" ht="18.75" customHeight="1">
      <c r="A35" s="89"/>
      <c r="B35" s="90"/>
      <c r="C35" s="91" t="s">
        <v>1357</v>
      </c>
      <c r="D35" s="92"/>
      <c r="E35" s="92"/>
      <c r="F35" s="93"/>
      <c r="G35" s="94" t="str">
        <f>IF(UNNH0010_H_FREEWD_3="","",UNNH0010_H_FREEWD_3)</f>
        <v/>
      </c>
      <c r="H35" s="89"/>
      <c r="I35" s="89"/>
      <c r="J35" s="89"/>
      <c r="K35" s="89"/>
      <c r="L35" s="95"/>
      <c r="M35" s="93"/>
    </row>
    <row r="36" spans="1:13" s="329" customFormat="1" ht="18.75" customHeight="1">
      <c r="A36" s="84"/>
      <c r="B36" s="28" t="s">
        <v>142</v>
      </c>
      <c r="C36" s="29" t="s">
        <v>1382</v>
      </c>
      <c r="D36" s="85"/>
      <c r="E36" s="85"/>
      <c r="F36" s="86">
        <v>1</v>
      </c>
      <c r="G36" s="87">
        <f>IF(UNNH0010_H_FREEWD_KBN="","",UNNH0010_H_FREEWD_KBN)</f>
        <v>1</v>
      </c>
      <c r="H36" s="84"/>
      <c r="I36" s="84"/>
      <c r="J36" s="84"/>
      <c r="K36" s="84"/>
      <c r="L36" s="88"/>
      <c r="M36" s="86"/>
    </row>
    <row r="37" spans="1:13" s="33" customFormat="1" ht="18.75" customHeight="1" thickBot="1">
      <c r="A37" s="84"/>
      <c r="B37" s="98"/>
      <c r="C37" s="99"/>
      <c r="D37" s="100"/>
      <c r="E37" s="100"/>
      <c r="F37" s="101"/>
      <c r="G37" s="102"/>
    </row>
    <row r="38" spans="1:13" ht="18.75" customHeight="1" thickBot="1">
      <c r="A38" s="103"/>
      <c r="B38" s="104"/>
      <c r="C38" s="105"/>
      <c r="D38" s="106"/>
      <c r="E38" s="106"/>
      <c r="F38" s="107"/>
      <c r="G38" s="108"/>
      <c r="H38" s="108"/>
      <c r="I38" s="108"/>
      <c r="J38" s="108"/>
      <c r="K38" s="108"/>
    </row>
    <row r="39" spans="1:13" ht="18.75" customHeight="1">
      <c r="A39" s="84"/>
      <c r="B39" s="109" t="s">
        <v>393</v>
      </c>
      <c r="C39" s="110" t="s">
        <v>374</v>
      </c>
      <c r="D39" s="622" t="str">
        <f>E42&amp;E45&amp;E48&amp;E65&amp;E66&amp;E67&amp;E68&amp;E69&amp;E70&amp;E71&amp;E72&amp;E73&amp;E74&amp;E75&amp;E76</f>
        <v>SELECT *
 FROM V_URIAGE_JUCHU_LIST
 WHERE 1=1
    AND (1!=1 
        )
    AND (1!=1 
    OR ( V_URIAGE_JUCHU_LIST.JUCHU_KBN =''1''
        AND ( 1 != 1
             )
        )
    OR ( V_URIAGE_JUCHU_LIST.JUCHU_KBN =''2''
        AND ( 1 != 1
             )
        )
        )
    AND(
        1=1
     )</v>
      </c>
      <c r="E39" s="622"/>
      <c r="F39" s="622"/>
      <c r="G39" s="111" t="s">
        <v>394</v>
      </c>
      <c r="H39" s="112" t="s">
        <v>360</v>
      </c>
      <c r="I39" s="616" t="str">
        <f>J40&amp;J41&amp;UNNH0010_SQL_SORT&amp;J43</f>
        <v>SELECT *
  FROM W_URIAGE_JUCHU
WHERE (1 = 1)   AND W_URIAGE_JUCHU.W_USER_ID = '100'
   AND W_URIAGE_JUCHU.W_SERIAL = '0'
  ORDER BY W_URIAGE_JUCHU.JURI_NO ASC
  OFFSET 0*50 ROWS
 FETCH NEXT 50 ROWS ONLY</v>
      </c>
      <c r="J39" s="616"/>
      <c r="K39" s="616"/>
    </row>
    <row r="40" spans="1:13" ht="18.75" customHeight="1">
      <c r="A40" s="97"/>
      <c r="B40" s="111" t="s">
        <v>395</v>
      </c>
      <c r="C40" s="112" t="s">
        <v>400</v>
      </c>
      <c r="D40" s="616" t="str">
        <f>E43&amp;E45&amp;E48&amp;E65&amp;E66&amp;E67&amp;E68&amp;E69&amp;E70&amp;E71&amp;E72&amp;E73&amp;E74&amp;E75&amp;E76</f>
        <v>SELECT COUNT(*) AS CNT
FROM V_URIAGE_JUCHU_LIST
 WHERE 1=1    AND (1!=1 
        )
    AND (1!=1 
    OR ( V_URIAGE_JUCHU_LIST.JUCHU_KBN =''1''
        AND ( 1 != 1
             )
        )
    OR ( V_URIAGE_JUCHU_LIST.JUCHU_KBN =''2''
        AND ( 1 != 1
             )
        )
        )
    AND(
        1=1
     )</v>
      </c>
      <c r="E40" s="616"/>
      <c r="F40" s="616"/>
      <c r="G40" s="113" t="s">
        <v>396</v>
      </c>
      <c r="H40" s="112"/>
      <c r="I40" s="114"/>
      <c r="J40" s="623" t="s">
        <v>373</v>
      </c>
      <c r="K40" s="623"/>
    </row>
    <row r="41" spans="1:13" ht="18.75" customHeight="1">
      <c r="A41" s="97"/>
      <c r="B41" s="172" t="s">
        <v>397</v>
      </c>
      <c r="C41" s="173" t="s">
        <v>401</v>
      </c>
      <c r="D41" s="616" t="str">
        <f>E44&amp;E45&amp;E48&amp;E65&amp;E66&amp;E67&amp;E68&amp;E69&amp;E70&amp;E71&amp;E72&amp;E73&amp;E74&amp;E75&amp;E76</f>
        <v>SELECT
          V_URIAGE_JUCHU_LIST.JUCHU_KBN_MEI
          ,V_URIAGE_JUCHU_LIST.STS_MEI
          ,V_URIAGE_JUCHU_LIST.BUN_HAN_KBN_MEI
          ,V_URIAGE_JUCHU_LIST.JURI_NO
          ,V_URIAGE_JUCHU_LIST.KENMEI
          ,V_URIAGE_JUCHU_LIST.SEIKYU_CD
          ,V_URIAGE_JUCHU_LIST.SEIKYU_MEI
          ,V_URIAGE_JUCHU_LIST.NYURYOKUSHA_MEI
          ,V_URIAGE_JUCHU_LIST.EIGYO_TANTO_MEI
          ,V_URIAGE_JUCHU_LIST.NYURYOKU_DATETIME
          ,V_URIAGE_JUCHU_LIST.NOHIN_DATE
          ,V_URIAGE_JUCHU_LIST.EDA_KENSU
          ,V_URIAGE_JUCHU_LIST.SHOHIN_KENSU
          ,V_URIAGE_JUCHU_LIST.MITSU_NO
          ,V_URIAGE_JUCHU_LIST.URIAGE_NO_S
          ,V_URIAGE_JUCHU_LIST.HASSO_CD
          ,V_URIAGE_JUCHU_LIST.JUCHU_KBN
          ,V_URIAGE_JUCHU_LIST.STS
          ,V_URIAGE_JUCHU_LIST.BUN_HAN_KBN
          ,V_URIAGE_JUCHU_LIST.NYURYOKUSHA_CD
          ,V_URIAGE_JUCHU_LIST.EIGYO_TANTO_CD
          ,V_URIAGE_JUCHU_LIST.URI_MIKEIJO_FLG
     FROM V_URIAGE_JUCHU_LIST
 WHERE (1=1)    AND (1!=1 
        )
    AND (1!=1 
    OR ( V_URIAGE_JUCHU_LIST.JUCHU_KBN =''1''
        AND ( 1 != 1
             )
        )
    OR ( V_URIAGE_JUCHU_LIST.JUCHU_KBN =''2''
        AND ( 1 != 1
             )
        )
        )
    AND(
        1=1
     )</v>
      </c>
      <c r="E41" s="616"/>
      <c r="F41" s="616"/>
      <c r="G41" s="113" t="s">
        <v>291</v>
      </c>
      <c r="H41" s="112"/>
      <c r="I41" s="114"/>
      <c r="J41" s="623" t="str">
        <f>"   AND W_URIAGE_JUCHU.W_USER_ID = '"&amp;UNNH0010_IF_SAVE_W_USER_ID&amp;"'
   AND W_URIAGE_JUCHU.W_SERIAL = '"&amp;UNNH0010_IF_SAVE_W_SERIAL&amp;"'
"</f>
        <v xml:space="preserve">   AND W_URIAGE_JUCHU.W_USER_ID = '100'
   AND W_URIAGE_JUCHU.W_SERIAL = '0'
</v>
      </c>
      <c r="K41" s="623"/>
    </row>
    <row r="42" spans="1:13" ht="18.75" customHeight="1">
      <c r="A42" s="97"/>
      <c r="B42" s="111" t="s">
        <v>398</v>
      </c>
      <c r="C42" s="112"/>
      <c r="D42" s="114"/>
      <c r="E42" s="615" t="s">
        <v>359</v>
      </c>
      <c r="F42" s="615"/>
      <c r="G42" s="115" t="s">
        <v>292</v>
      </c>
      <c r="H42" s="116" t="s">
        <v>371</v>
      </c>
      <c r="I42" s="114"/>
      <c r="J42" s="619" t="s">
        <v>372</v>
      </c>
      <c r="K42" s="619"/>
    </row>
    <row r="43" spans="1:13" ht="18.75" customHeight="1" thickBot="1">
      <c r="A43" s="97"/>
      <c r="B43" s="113" t="s">
        <v>399</v>
      </c>
      <c r="C43" s="112"/>
      <c r="D43" s="114"/>
      <c r="E43" s="615" t="s">
        <v>413</v>
      </c>
      <c r="F43" s="615"/>
      <c r="G43" s="117" t="s">
        <v>293</v>
      </c>
      <c r="H43" s="118"/>
      <c r="I43" s="119"/>
      <c r="J43" s="620" t="str">
        <f xml:space="preserve"> "
  OFFSET "&amp;(UNNH0010_B_PAGE_NO-1)&amp;"*"&amp;UNNH0010_B_CTRL_HYOJI_GYO_SU&amp;" ROWS
 FETCH NEXT "&amp;UNNH0010_B_CTRL_HYOJI_GYO_SU&amp;" ROWS ONLY"</f>
        <v xml:space="preserve">
  OFFSET 0*50 ROWS
 FETCH NEXT 50 ROWS ONLY</v>
      </c>
      <c r="K43" s="620"/>
    </row>
    <row r="44" spans="1:13" ht="18.75" customHeight="1">
      <c r="A44" s="97"/>
      <c r="B44" s="174" t="s">
        <v>403</v>
      </c>
      <c r="C44" s="112"/>
      <c r="D44" s="121"/>
      <c r="E44" s="615" t="s">
        <v>414</v>
      </c>
      <c r="F44" s="615"/>
      <c r="G44" s="122" t="s">
        <v>294</v>
      </c>
      <c r="H44" s="123" t="s">
        <v>375</v>
      </c>
      <c r="I44" s="621" t="s">
        <v>1294</v>
      </c>
      <c r="J44" s="621"/>
      <c r="K44" s="621"/>
    </row>
    <row r="45" spans="1:13" ht="18.75" customHeight="1">
      <c r="A45" s="124"/>
      <c r="B45" s="120" t="s">
        <v>1326</v>
      </c>
      <c r="C45" s="112"/>
      <c r="D45" s="114"/>
      <c r="E45" s="615" t="str">
        <f>"    AND (1!=1 "&amp;F46&amp;F47 &amp;"
        )
"</f>
        <v xml:space="preserve">    AND (1!=1 
        )
</v>
      </c>
      <c r="F45" s="615"/>
      <c r="G45" s="125" t="s">
        <v>295</v>
      </c>
      <c r="H45" s="112" t="s">
        <v>376</v>
      </c>
      <c r="I45" s="616" t="s">
        <v>543</v>
      </c>
      <c r="J45" s="616"/>
      <c r="K45" s="616"/>
    </row>
    <row r="46" spans="1:13" ht="18.75" customHeight="1">
      <c r="A46" s="124"/>
      <c r="B46" s="126" t="s">
        <v>361</v>
      </c>
      <c r="C46" s="127"/>
      <c r="D46" s="119"/>
      <c r="E46" s="128"/>
      <c r="F46" s="129" t="str">
        <f xml:space="preserve"> IF(UNNH0010_SQL_IRAI_KBN=FALSE,"","
        OR V_URIAGE_JUCHU_LIST.JUCHU_KBN =''1''")</f>
        <v/>
      </c>
      <c r="G46" s="124"/>
      <c r="H46" s="124"/>
      <c r="I46" s="124"/>
      <c r="J46" s="124"/>
      <c r="K46" s="124"/>
    </row>
    <row r="47" spans="1:13" ht="18.75" customHeight="1">
      <c r="A47" s="124"/>
      <c r="B47" s="126" t="s">
        <v>362</v>
      </c>
      <c r="C47" s="127"/>
      <c r="D47" s="119"/>
      <c r="E47" s="128"/>
      <c r="F47" s="129" t="str">
        <f xml:space="preserve"> IF(UNNH0010_SQL_SHOHIN_KBN=FALSE,"","
        OR V_URIAGE_JUCHU_LIST.JUCHU_KBN =''2''")</f>
        <v/>
      </c>
      <c r="G47" s="56"/>
      <c r="H47" s="130"/>
      <c r="I47" s="216"/>
      <c r="J47" s="216"/>
      <c r="K47" s="216"/>
    </row>
    <row r="48" spans="1:13" s="329" customFormat="1" ht="18.75" customHeight="1">
      <c r="A48" s="124"/>
      <c r="B48" s="120" t="s">
        <v>402</v>
      </c>
      <c r="C48" s="127"/>
      <c r="D48" s="119"/>
      <c r="E48" s="615" t="str">
        <f>"    AND (1!=1 
"&amp;F49&amp;F62 &amp;"
        )
"</f>
        <v xml:space="preserve">    AND (1!=1 
    OR ( V_URIAGE_JUCHU_LIST.JUCHU_KBN =''1''
        AND ( 1 != 1
             )
        )
    OR ( V_URIAGE_JUCHU_LIST.JUCHU_KBN =''2''
        AND ( 1 != 1
             )
        )
        )
</v>
      </c>
      <c r="F48" s="615"/>
      <c r="G48" s="165"/>
      <c r="H48" s="130"/>
      <c r="I48" s="216"/>
      <c r="J48" s="216"/>
      <c r="K48" s="216"/>
    </row>
    <row r="49" spans="1:11" s="329" customFormat="1" ht="18.75" customHeight="1">
      <c r="A49" s="124"/>
      <c r="B49" s="120" t="s">
        <v>1327</v>
      </c>
      <c r="C49" s="173"/>
      <c r="D49" s="114"/>
      <c r="F49" s="366" t="str">
        <f>"    OR ( V_URIAGE_JUCHU_LIST.JUCHU_KBN =''1''
        AND ( 1 != 1" &amp;F50&amp;F51&amp;F52&amp;F53&amp;F54&amp;F55&amp;F56&amp;F57&amp;F58&amp;F59&amp;F60&amp;F61 &amp;"
             )
        )
"</f>
        <v xml:space="preserve">    OR ( V_URIAGE_JUCHU_LIST.JUCHU_KBN =''1''
        AND ( 1 != 1
             )
        )
</v>
      </c>
      <c r="G49" s="165"/>
      <c r="H49" s="130"/>
      <c r="I49" s="216"/>
      <c r="J49" s="216"/>
      <c r="K49" s="216"/>
    </row>
    <row r="50" spans="1:11" ht="18.75" customHeight="1">
      <c r="A50" s="124"/>
      <c r="B50" s="126" t="s">
        <v>296</v>
      </c>
      <c r="C50" s="127"/>
      <c r="D50" s="119"/>
      <c r="E50" s="128"/>
      <c r="F50" s="129" t="str">
        <f xml:space="preserve"> IF(UNNH0010_SQL_BUNSEKI_KAKUNIN_MI_STS=FALSE,"","
        OR V_URIAGE_JUCHU_LIST.STS =''1''")</f>
        <v/>
      </c>
      <c r="G50" s="124"/>
      <c r="H50" s="124"/>
      <c r="I50" s="124"/>
      <c r="J50" s="124"/>
      <c r="K50" s="124"/>
    </row>
    <row r="51" spans="1:11" ht="18.75" customHeight="1">
      <c r="A51" s="124"/>
      <c r="B51" s="126" t="s">
        <v>297</v>
      </c>
      <c r="C51" s="127"/>
      <c r="D51" s="119"/>
      <c r="E51" s="128"/>
      <c r="F51" s="129" t="str">
        <f xml:space="preserve"> IF(UNNH0010_SQL_BUNSEKI_UKETSUKE_STS=FALSE,"","
        OR V_URIAGE_JUCHU_LIST.STS =''2''")</f>
        <v/>
      </c>
      <c r="G51" s="56" t="s">
        <v>298</v>
      </c>
      <c r="H51" s="130" t="s">
        <v>326</v>
      </c>
      <c r="I51" s="617" t="str">
        <f>"SELECT V_BUN_JUCHU_LABEL_DATA.*
  FROM W_URIAGE_JUCHU"&amp;"
  LEFT JOIN
       V_BUN_JUCHU_LABEL_DATA
    ON V_BUN_JUCHU_LABEL_DATA.JURI_NO     = W_URIAGE_JUCHU.JURI_NO
   AND V_BUN_JUCHU_LABEL_DATA.JURI_EDA_NO = W_URIAGE_JUCHU.JURI_EDA_NO
 WHERE W_URIAGE_JUCHU.SELECT_FLG = 'True'
"&amp;J41</f>
        <v xml:space="preserve">SELECT V_BUN_JUCHU_LABEL_DATA.*
  FROM W_URIAGE_JUCHU
  LEFT JOIN
       V_BUN_JUCHU_LABEL_DATA
    ON V_BUN_JUCHU_LABEL_DATA.JURI_NO     = W_URIAGE_JUCHU.JURI_NO
   AND V_BUN_JUCHU_LABEL_DATA.JURI_EDA_NO = W_URIAGE_JUCHU.JURI_EDA_NO
 WHERE W_URIAGE_JUCHU.SELECT_FLG = 'True'
   AND W_URIAGE_JUCHU.W_USER_ID = '100'
   AND W_URIAGE_JUCHU.W_SERIAL = '0'
</v>
      </c>
      <c r="J51" s="617"/>
      <c r="K51" s="617"/>
    </row>
    <row r="52" spans="1:11" ht="18.75" customHeight="1">
      <c r="A52" s="124"/>
      <c r="B52" s="131" t="s">
        <v>364</v>
      </c>
      <c r="C52" s="132"/>
      <c r="D52" s="133"/>
      <c r="E52" s="134"/>
      <c r="F52" s="129" t="str">
        <f xml:space="preserve"> IF(UNNH0010_SQL_BUNSEKI_CHUKAN_STS=FALSE,"","
        OR V_URIAGE_JUCHU_LIST.STS =''3''")</f>
        <v/>
      </c>
      <c r="H52" s="135"/>
    </row>
    <row r="53" spans="1:11" ht="18.75" customHeight="1">
      <c r="A53" s="124"/>
      <c r="B53" s="136" t="s">
        <v>363</v>
      </c>
      <c r="C53" s="137"/>
      <c r="D53" s="138"/>
      <c r="E53" s="139"/>
      <c r="F53" s="129" t="str">
        <f xml:space="preserve"> IF(UNNH0010_SQL_BUNSEKI_GIJUTSU_STS=FALSE,"","
        OR V_URIAGE_JUCHU_LIST.STS =''4''")</f>
        <v/>
      </c>
      <c r="G53" t="s">
        <v>1439</v>
      </c>
    </row>
    <row r="54" spans="1:11" ht="18.75" customHeight="1">
      <c r="A54" s="124"/>
      <c r="B54" s="136" t="s">
        <v>299</v>
      </c>
      <c r="C54" s="137"/>
      <c r="D54" s="138"/>
      <c r="E54" s="139"/>
      <c r="F54" s="129" t="str">
        <f xml:space="preserve"> IF(UNNH0010_SQL_BUNSEKI_KAKUNIN_STS=FALSE,"","
        OR V_URIAGE_JUCHU_LIST.STS =''5''")</f>
        <v/>
      </c>
      <c r="G54" t="s">
        <v>1440</v>
      </c>
      <c r="H54" s="130" t="s">
        <v>1442</v>
      </c>
      <c r="I54" s="618" t="str">
        <f>"EXEC SP_LOAD_URIAGE_JUCHU '"&amp;UNNH0010_IF_SAVE_W_USER_ID&amp;"' ,'"&amp;UNNH0010_IF_SAVE_W_SERIAL&amp;"' ,1,' '"</f>
        <v>EXEC SP_LOAD_URIAGE_JUCHU '100' ,'0' ,1,' '</v>
      </c>
      <c r="J54" s="618"/>
      <c r="K54" s="618"/>
    </row>
    <row r="55" spans="1:11" ht="18.75" customHeight="1">
      <c r="A55" s="124"/>
      <c r="B55" s="136" t="s">
        <v>300</v>
      </c>
      <c r="C55" s="137"/>
      <c r="D55" s="138"/>
      <c r="E55" s="139"/>
      <c r="F55" s="129" t="str">
        <f xml:space="preserve"> IF(UNNH0010_SQL_BUNSEKI_SOKUHO_STS=FALSE,"","
        OR V_URIAGE_JUCHU_LIST.STS =''6''")</f>
        <v/>
      </c>
      <c r="G55" t="s">
        <v>1441</v>
      </c>
      <c r="H55" s="130" t="s">
        <v>1443</v>
      </c>
      <c r="I55" s="618" t="str">
        <f>"EXEC SP_LOAD_URIAGE_JUCHU '"&amp;UNNH0010_IF_SAVE_W_USER_ID&amp;"' ,'"&amp;UNNH0010_IF_SAVE_W_SERIAL&amp;"' ,0 ,'"&amp;UNNH0010_SQL_SELECT_URIAGE_JUCHU_LIST&amp;"'"</f>
        <v>EXEC SP_LOAD_URIAGE_JUCHU '100' ,'0' ,0 ,'SELECT *
 FROM V_URIAGE_JUCHU_LIST
 WHERE 1=1
    AND (1!=1 
        )
    AND (1!=1 
    OR ( V_URIAGE_JUCHU_LIST.JUCHU_KBN =''1''
        AND ( 1 != 1
             )
        )
    OR ( V_URIAGE_JUCHU_LIST.JUCHU_KBN =''2''
        AND ( 1 != 1
             )
        )
        )
    AND(
        1=1
     )'</v>
      </c>
      <c r="J55" s="618"/>
      <c r="K55" s="618"/>
    </row>
    <row r="56" spans="1:11" ht="18.75" customHeight="1">
      <c r="A56" s="124"/>
      <c r="B56" s="140" t="s">
        <v>301</v>
      </c>
      <c r="C56" s="141"/>
      <c r="D56" s="142"/>
      <c r="E56" s="143"/>
      <c r="F56" s="129" t="str">
        <f xml:space="preserve"> IF(UNNH0010_SQL_BUNSEKI_EIGYO_STS=FALSE,"","
        OR V_URIAGE_JUCHU_LIST.STS =''7''")</f>
        <v/>
      </c>
    </row>
    <row r="57" spans="1:11" ht="18.75" customHeight="1">
      <c r="B57" s="144" t="s">
        <v>302</v>
      </c>
      <c r="D57" s="145"/>
      <c r="E57" s="146"/>
      <c r="F57" s="129" t="str">
        <f xml:space="preserve"> IF(UNNH0010_SQL_BUNSEKI_NOHIN_STS=FALSE,"","
        OR V_URIAGE_JUCHU_LIST.STS =''8''")</f>
        <v/>
      </c>
    </row>
    <row r="58" spans="1:11" ht="18.75" customHeight="1">
      <c r="B58" s="144" t="s">
        <v>303</v>
      </c>
      <c r="D58" s="145"/>
      <c r="E58" s="146"/>
      <c r="F58" s="129" t="str">
        <f xml:space="preserve"> IF(UNNH0010_SQL_BUNSEKI_IRAI_HOKAN_STS=FALSE,"","
        OR V_URIAGE_JUCHU_LIST.STS =''9''")</f>
        <v/>
      </c>
    </row>
    <row r="59" spans="1:11" ht="18.75" customHeight="1">
      <c r="A59" t="s">
        <v>304</v>
      </c>
      <c r="B59" s="144" t="s">
        <v>305</v>
      </c>
      <c r="D59" s="145"/>
      <c r="E59" s="146"/>
      <c r="F59" s="129" t="str">
        <f xml:space="preserve"> IF(UNNH0010_SQL_BUNSEKI_TEISEI_STS=FALSE,"","
        OR V_URIAGE_JUCHU_LIST.STS =''10''")</f>
        <v/>
      </c>
    </row>
    <row r="60" spans="1:11" ht="18.75" customHeight="1">
      <c r="B60" s="144" t="s">
        <v>306</v>
      </c>
      <c r="D60" s="145"/>
      <c r="E60" s="146"/>
      <c r="F60" s="129" t="str">
        <f xml:space="preserve"> IF(UNNH0010_SQL_BUNSEKI_CHUDAN_STS=FALSE,"","
        OR V_URIAGE_JUCHU_LIST.STS =''11''")</f>
        <v/>
      </c>
    </row>
    <row r="61" spans="1:11" ht="18.75" customHeight="1">
      <c r="B61" s="144" t="s">
        <v>307</v>
      </c>
      <c r="D61" s="145"/>
      <c r="E61" s="146"/>
      <c r="F61" s="129" t="str">
        <f xml:space="preserve"> IF(UNNH0010_SQL_BUNSEKI_CHUSHI_STS=FALSE,"","
        OR V_URIAGE_JUCHU_LIST.STS =''12''")</f>
        <v/>
      </c>
    </row>
    <row r="62" spans="1:11" s="329" customFormat="1" ht="18.75" customHeight="1">
      <c r="A62" s="124"/>
      <c r="B62" s="120" t="s">
        <v>1328</v>
      </c>
      <c r="C62" s="173"/>
      <c r="D62" s="114"/>
      <c r="F62" s="366" t="str">
        <f>"    OR ( V_URIAGE_JUCHU_LIST.JUCHU_KBN =''2''
        AND ( 1 != 1" &amp;F63&amp;F64 &amp;"
             )
        )
"</f>
        <v xml:space="preserve">    OR ( V_URIAGE_JUCHU_LIST.JUCHU_KBN =''2''
        AND ( 1 != 1
             )
        )
</v>
      </c>
    </row>
    <row r="63" spans="1:11" s="162" customFormat="1" ht="18.75" customHeight="1">
      <c r="B63" s="144" t="s">
        <v>549</v>
      </c>
      <c r="D63" s="145"/>
      <c r="E63" s="146"/>
      <c r="F63" s="215" t="str">
        <f xml:space="preserve"> IF(UNNH0010_SQL_HAMBAI_SHORIMI_STS=FALSE,"","
        OR V_URIAGE_JUCHU_LIST.STS =''1''")</f>
        <v/>
      </c>
    </row>
    <row r="64" spans="1:11" s="162" customFormat="1" ht="18.75" customHeight="1">
      <c r="B64" s="144" t="s">
        <v>550</v>
      </c>
      <c r="D64" s="145"/>
      <c r="E64" s="146"/>
      <c r="F64" s="215" t="str">
        <f xml:space="preserve"> IF(UNNH0010_SQL_HAMBAI_JUNBI_KANRYO_STS=FALSE,"","
        OR V_URIAGE_JUCHU_LIST.STS =''2''")</f>
        <v/>
      </c>
    </row>
    <row r="65" spans="1:11" s="162" customFormat="1" ht="18.75" customHeight="1">
      <c r="B65" s="144" t="s">
        <v>1325</v>
      </c>
      <c r="D65" s="145"/>
      <c r="E65" s="612" t="str">
        <f xml:space="preserve"> IF(UNNH0010_SQL_MIKEIJO_FLG=TRUE,"
    AND V_URIAGE_JUCHU_LIST.URI_MIKEIJO_FLG = ''True''",
"
")</f>
        <v xml:space="preserve">
</v>
      </c>
      <c r="F65" s="612"/>
    </row>
    <row r="66" spans="1:11" ht="18.75" customHeight="1">
      <c r="B66" s="120" t="s">
        <v>308</v>
      </c>
      <c r="C66" s="112"/>
      <c r="D66" s="121"/>
      <c r="E66" s="612" t="str">
        <f>IF(UNNH0010_SQL_JURI_NO_START="","",
  "
    AND V_URIAGE_JUCHU_LIST.JURI_NO &gt;= " &amp;"''" &amp;UNNH0010_SQL_JURI_NO_START &amp;"''")
&amp;IF(UNNH0010_SQL_JURI_NO_END="","",
  "
    AND V_URIAGE_JUCHU_LIST.JURI_NO &lt;= " &amp;"''" &amp;UNNH0010_SQL_JURI_NO_END &amp;"''")</f>
        <v/>
      </c>
      <c r="F66" s="612"/>
    </row>
    <row r="67" spans="1:11" ht="18.75" customHeight="1">
      <c r="B67" s="120" t="s">
        <v>309</v>
      </c>
      <c r="C67" s="112"/>
      <c r="D67" s="121"/>
      <c r="E67" s="612" t="str">
        <f>IF(UNNH0010_SQL_NYURYOKUSHA_CD = "","","
    AND V_URIAGE_JUCHU_LIST.NYURYOKUSHA_CD =''"
&amp;UNNH0010_SQL_NYURYOKUSHA_CD&amp;"''")</f>
        <v/>
      </c>
      <c r="F67" s="612"/>
    </row>
    <row r="68" spans="1:11" ht="18.75" customHeight="1">
      <c r="B68" s="120" t="s">
        <v>310</v>
      </c>
      <c r="C68" s="112"/>
      <c r="D68" s="121"/>
      <c r="E68" s="612" t="str">
        <f>IF(UNNH0010_SQL_EIGYO_TANTO_CD = "","","
    AND V_URIAGE_JUCHU_LIST.EIGYO_TANTO_CD ='' "
&amp;UNNH0010_SQL_EIGYO_TANTO_CD&amp;"''")</f>
        <v/>
      </c>
      <c r="F68" s="612"/>
    </row>
    <row r="69" spans="1:11" ht="18.75" customHeight="1">
      <c r="B69" s="120" t="s">
        <v>311</v>
      </c>
      <c r="C69" s="112"/>
      <c r="D69" s="121"/>
      <c r="E69" s="612" t="str">
        <f>IF(UNNH0010_SQL_MITSU_NO_START="","",
  "
    AND V_URIAGE_JUCHU_LIST.MITSU_NO &gt;= " &amp;"''" &amp;UNNH0010_SQL_MITSU_NO_START &amp;"''")
&amp;IF(UNNH0010_SQL_MITSU_NO_END="","",
  "
    AND V_URIAGE_JUCHU_LIST.MITSU_NO &lt;= " &amp;"''" &amp;UNNH0010_SQL_MITSU_NO_END &amp;"''")</f>
        <v/>
      </c>
      <c r="F69" s="612"/>
    </row>
    <row r="70" spans="1:11" ht="18.75" customHeight="1">
      <c r="B70" s="147" t="s">
        <v>367</v>
      </c>
      <c r="C70" s="124"/>
      <c r="D70" s="114"/>
      <c r="E70" s="613" t="str">
        <f>IF(UNNH0010_SQL_BUNSEKI_HAMBAI_KBN="","","
    AND V_URIAGE_JUCHU_LIST.BUN_HAN_KBN_MEI LIKE ''"
&amp;UNNH0010_SQL_BUNSEKI_HAMBAI_KBN &amp;"''")</f>
        <v/>
      </c>
      <c r="F70" s="613"/>
    </row>
    <row r="71" spans="1:11" ht="18.75" customHeight="1">
      <c r="B71" s="148" t="s">
        <v>312</v>
      </c>
      <c r="C71" s="124"/>
      <c r="D71" s="114"/>
      <c r="E71" s="613" t="str">
        <f>IF(UNNH0010_SQL_NYURYOKU_DATE_START="","","
    AND CONVERT(VARCHAR,V_URIAGE_JUCHU_LIST.NYURYOKU_DATETIME,111) &gt;= "&amp;"''"
&amp;UNNH0010_SQL_NYURYOKU_DATE_START&amp;"''  ")
&amp;IF(UNNH0010_SQL_NYURYOKU_DATE_END="","","
    AND CONVERT(VARCHAR,V_URIAGE_JUCHU_LIST.NYURYOKU_DATETIME,111) &lt;= "&amp;"''"
&amp;UNNH0010_SQL_NYURYOKU_DATE_END &amp;"''")</f>
        <v/>
      </c>
      <c r="F71" s="613"/>
    </row>
    <row r="72" spans="1:11" ht="18.75" customHeight="1">
      <c r="A72" s="124"/>
      <c r="B72" s="147" t="s">
        <v>313</v>
      </c>
      <c r="C72" s="124"/>
      <c r="D72" s="114"/>
      <c r="E72" s="612" t="str">
        <f>IF(UNNH0010_SQL_NOHIN_DATE_START="","","
    AND V_URIAGE_JUCHU_LIST.NOHIN_DATE &gt;= "&amp;"''"
&amp;UNNH0010_SQL_NOHIN_DATE_START&amp;"''  ")
&amp;IF(UNNH0010_SQL_NOHIN_DATE_END="","","
    AND V_URIAGE_JUCHU_LIST.NOHIN_DATE &lt;= "&amp;"''"
&amp;UNNH0010_SQL_NOHIN_DATE_END &amp;"''  ")</f>
        <v/>
      </c>
      <c r="F72" s="612"/>
      <c r="G72" s="149"/>
      <c r="H72" s="124"/>
      <c r="I72" s="124"/>
      <c r="J72" s="124"/>
      <c r="K72" s="124"/>
    </row>
    <row r="73" spans="1:11" ht="18.75" customHeight="1">
      <c r="A73" s="124"/>
      <c r="B73" s="120" t="s">
        <v>314</v>
      </c>
      <c r="C73" s="112"/>
      <c r="D73" s="121"/>
      <c r="E73" s="612" t="str">
        <f>IF(UNNH0010_SQL_SEIKYUSAKI_CD = "","","
    AND V_URIAGE_JUCHU_LIST.SEIKYU_CD = " &amp;"''"
&amp;UNNH0010_SQL_SEIKYUSAKI_CD &amp;"''")</f>
        <v/>
      </c>
      <c r="F73" s="612"/>
      <c r="G73" s="124"/>
      <c r="H73" s="124"/>
      <c r="I73" s="124"/>
      <c r="J73" s="124"/>
      <c r="K73" s="124"/>
    </row>
    <row r="74" spans="1:11" s="162" customFormat="1" ht="18.75" customHeight="1">
      <c r="A74" s="124"/>
      <c r="B74" s="120" t="s">
        <v>411</v>
      </c>
      <c r="C74" s="173"/>
      <c r="D74" s="121"/>
      <c r="E74" s="612" t="str">
        <f>IF(UNNH0010_SQL_HASSOSAKI_CD = "","","
    AND V_URIAGE_JUCHU_LIST.HASSO_CD = " &amp;"''"
&amp;UNNH0010_SQL_HASSOSAKI_CD &amp;"''")</f>
        <v/>
      </c>
      <c r="F74" s="612"/>
      <c r="G74" s="124"/>
      <c r="H74" s="124"/>
      <c r="I74" s="124"/>
      <c r="J74" s="124"/>
      <c r="K74" s="124"/>
    </row>
    <row r="75" spans="1:11" s="162" customFormat="1" ht="18.75" customHeight="1">
      <c r="A75" s="124"/>
      <c r="B75" s="120" t="s">
        <v>412</v>
      </c>
      <c r="C75" s="173"/>
      <c r="D75" s="121"/>
      <c r="E75" s="612" t="str">
        <f>IF(UNNH0010_SQL_SHOHIN_CD = "","","
    AND V_URIAGE_JUCHU_LIST.FREEWD LIKE " &amp;"''%"
&amp;UNNH0010_SQL_SHOHIN_CD &amp;"%''")</f>
        <v/>
      </c>
      <c r="F75" s="612"/>
      <c r="G75" s="124"/>
      <c r="H75" s="124"/>
      <c r="I75" s="124"/>
      <c r="J75" s="124"/>
      <c r="K75" s="124"/>
    </row>
    <row r="76" spans="1:11" ht="18.75" customHeight="1">
      <c r="A76" s="124"/>
      <c r="B76" s="150" t="s">
        <v>315</v>
      </c>
      <c r="C76" s="112"/>
      <c r="D76" s="121"/>
      <c r="E76" s="614" t="str">
        <f>"
    AND(
        " &amp;IF(AND(UNNH0010_SQL_FREEWD_1="",
                      UNNH0010_SQL_FREEWD_2="",
                      UNNH0010_SQL_FREEWD_3=""), "1=1",
                IF(UNNH0010_SQL_FREEWD_KBN=1,"1=1","1!=1") ) &amp;"
"
                &amp;UNNH0010_SQL_FREEWORD1
                &amp;UNNH0010_SQL_FREEWORD2
                &amp;UNNH0010_SQL_FREEWORD3 &amp;"
     )"</f>
        <v xml:space="preserve">
    AND(
        1=1
     )</v>
      </c>
      <c r="F76" s="614"/>
      <c r="G76" s="124"/>
      <c r="H76" s="124"/>
      <c r="I76" s="124"/>
      <c r="J76" s="124"/>
      <c r="K76" s="124"/>
    </row>
    <row r="77" spans="1:11" ht="18.75" customHeight="1">
      <c r="A77" s="124"/>
      <c r="B77" s="150" t="s">
        <v>316</v>
      </c>
      <c r="C77" s="112" t="s">
        <v>368</v>
      </c>
      <c r="D77" s="121"/>
      <c r="E77" s="151"/>
      <c r="F77" s="152" t="str">
        <f xml:space="preserve">  IF(UNNH0010_SQL_FREEWD_1="", "",
  "      " &amp; $H$78&amp;"   V_URIAGE_JUCHU_LIST.FREEWD "
 &amp;IF(UNNH0010_SQL_FREEWD_KBN=3," NOT ", "") &amp;" LIKE " &amp;"''%" &amp;UNNH0010_SQL_FREEWD_1 &amp;"%''  
")</f>
        <v/>
      </c>
      <c r="G77" s="124"/>
      <c r="H77" s="124"/>
      <c r="I77" s="124"/>
      <c r="J77" s="124"/>
      <c r="K77" s="124"/>
    </row>
    <row r="78" spans="1:11" ht="18.75" customHeight="1">
      <c r="A78" s="153"/>
      <c r="B78" s="150" t="s">
        <v>317</v>
      </c>
      <c r="C78" s="112" t="s">
        <v>369</v>
      </c>
      <c r="D78" s="121"/>
      <c r="E78" s="151"/>
      <c r="F78" s="152" t="str">
        <f xml:space="preserve">  IF(UNNH0010_SQL_FREEWD_2="", "",
  "      " &amp; $H$78&amp;"   V_URIAGE_JUCHU_LIST.FREEWD "
 &amp;IF(UNNH0010_SQL_FREEWD_KBN=3," NOT ", "") &amp;" LIKE " &amp;"''%" &amp;UNNH0010_SQL_FREEWD_2 &amp;"%''  
")</f>
        <v/>
      </c>
      <c r="G78" s="154" t="s">
        <v>318</v>
      </c>
      <c r="H78" s="155" t="str">
        <f>LOOKUP(UNNH0010_SQL_FREEWD_KBN,{1,2,3;"AND","OR","OR"})</f>
        <v>AND</v>
      </c>
      <c r="I78" s="124"/>
      <c r="J78" s="124"/>
      <c r="K78" s="124"/>
    </row>
    <row r="79" spans="1:11" ht="18.75" customHeight="1">
      <c r="A79" s="156"/>
      <c r="B79" s="150" t="s">
        <v>319</v>
      </c>
      <c r="C79" s="112" t="s">
        <v>370</v>
      </c>
      <c r="D79" s="121"/>
      <c r="E79" s="151"/>
      <c r="F79" s="152" t="str">
        <f xml:space="preserve">  IF(UNNH0010_SQL_FREEWD_3="", "",
  "      " &amp; $H$78&amp;"   V_URIAGE_JUCHU_LIST.FREEWD "
 &amp;IF(UNNH0010_SQL_FREEWD_KBN=3," NOT ", "") &amp;" LIKE " &amp;"''%" &amp;UNNH0010_SQL_FREEWD_3 &amp;"%''  
")</f>
        <v/>
      </c>
      <c r="G79" s="154"/>
      <c r="H79" s="157"/>
      <c r="I79" s="124"/>
      <c r="J79" s="124"/>
      <c r="K79" s="124"/>
    </row>
    <row r="80" spans="1:11" ht="18.75" customHeight="1">
      <c r="A80" s="156"/>
      <c r="G80" s="124"/>
      <c r="H80" s="124"/>
      <c r="I80" s="124"/>
      <c r="J80" s="124"/>
      <c r="K80" s="124"/>
    </row>
    <row r="81" spans="1:11" ht="18.75" customHeight="1" thickBot="1">
      <c r="A81" s="158"/>
      <c r="G81" s="159"/>
      <c r="H81" s="124"/>
      <c r="I81" s="124"/>
      <c r="J81" s="124"/>
      <c r="K81" s="124"/>
    </row>
    <row r="82" spans="1:11" s="214" customFormat="1" ht="18.75" customHeight="1" thickBot="1">
      <c r="A82" s="210"/>
      <c r="B82" s="211"/>
      <c r="C82" s="212"/>
      <c r="D82" s="213"/>
      <c r="E82" s="213"/>
      <c r="F82" s="213"/>
    </row>
    <row r="83" spans="1:11" ht="18.75" customHeight="1">
      <c r="A83" s="165" t="s">
        <v>379</v>
      </c>
      <c r="B83" s="160"/>
      <c r="C83" s="130"/>
      <c r="D83" s="610"/>
      <c r="E83" s="611"/>
      <c r="F83" s="611"/>
      <c r="G83" s="33"/>
    </row>
    <row r="84" spans="1:11" s="162" customFormat="1" ht="18.75" customHeight="1">
      <c r="A84" s="156"/>
      <c r="B84" s="150" t="s">
        <v>544</v>
      </c>
      <c r="C84" s="173" t="s">
        <v>546</v>
      </c>
      <c r="D84" s="121"/>
      <c r="E84" s="151"/>
      <c r="F84" s="152" t="s">
        <v>1392</v>
      </c>
      <c r="G84" s="154"/>
      <c r="H84" s="157"/>
      <c r="I84" s="124"/>
      <c r="J84" s="124"/>
      <c r="K84" s="124"/>
    </row>
    <row r="85" spans="1:11" s="162" customFormat="1" ht="18.75" customHeight="1">
      <c r="A85" s="156"/>
      <c r="B85" s="150" t="s">
        <v>545</v>
      </c>
      <c r="C85" s="173" t="s">
        <v>547</v>
      </c>
      <c r="D85" s="121"/>
      <c r="E85" s="151"/>
      <c r="F85" s="152" t="s">
        <v>1391</v>
      </c>
      <c r="G85" s="154"/>
      <c r="H85" s="157"/>
      <c r="I85" s="124"/>
      <c r="J85" s="124"/>
      <c r="K85" s="124"/>
    </row>
    <row r="87" spans="1:11" ht="18.75" customHeight="1">
      <c r="A87" s="165"/>
    </row>
    <row r="88" spans="1:11" ht="18.75" customHeight="1">
      <c r="B88" s="144" t="s">
        <v>1310</v>
      </c>
      <c r="C88" s="173" t="s">
        <v>1311</v>
      </c>
      <c r="F88" s="152" t="str">
        <f>"SELECT COUNT(*)
  FROM W_URIAGE_JUCHU
 WHERE SELECT_FLG = 'True'
   AND W_USER_ID  = '"&amp;UNNH0010_IF_SAVE_W_USER_ID&amp;"'
   AND W_SERIAL   = '"&amp;UNNH0010_IF_SAVE_W_SERIAL&amp;"'"</f>
        <v>SELECT COUNT(*)
  FROM W_URIAGE_JUCHU
 WHERE SELECT_FLG = 'True'
   AND W_USER_ID  = '100'
   AND W_SERIAL   = '0'</v>
      </c>
    </row>
  </sheetData>
  <mergeCells count="31">
    <mergeCell ref="D39:F39"/>
    <mergeCell ref="I39:K39"/>
    <mergeCell ref="D40:F40"/>
    <mergeCell ref="J40:K40"/>
    <mergeCell ref="D41:F41"/>
    <mergeCell ref="J41:K41"/>
    <mergeCell ref="E42:F42"/>
    <mergeCell ref="J42:K42"/>
    <mergeCell ref="E43:F43"/>
    <mergeCell ref="J43:K43"/>
    <mergeCell ref="E44:F44"/>
    <mergeCell ref="I44:K44"/>
    <mergeCell ref="E45:F45"/>
    <mergeCell ref="I45:K45"/>
    <mergeCell ref="I51:K51"/>
    <mergeCell ref="E66:F66"/>
    <mergeCell ref="E67:F67"/>
    <mergeCell ref="E65:F65"/>
    <mergeCell ref="E48:F48"/>
    <mergeCell ref="I55:K55"/>
    <mergeCell ref="I54:K54"/>
    <mergeCell ref="D83:F83"/>
    <mergeCell ref="E72:F72"/>
    <mergeCell ref="E73:F73"/>
    <mergeCell ref="E68:F68"/>
    <mergeCell ref="E69:F69"/>
    <mergeCell ref="E70:F70"/>
    <mergeCell ref="E71:F71"/>
    <mergeCell ref="E76:F76"/>
    <mergeCell ref="E74:F74"/>
    <mergeCell ref="E75:F75"/>
  </mergeCells>
  <phoneticPr fontId="2"/>
  <conditionalFormatting sqref="B83">
    <cfRule type="duplicateValues" dxfId="293" priority="2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A1:AL42"/>
  <sheetViews>
    <sheetView showGridLines="0" showRowColHeaders="0" topLeftCell="F1" zoomScaleNormal="100" workbookViewId="0">
      <selection activeCell="K7" sqref="K7:N7"/>
    </sheetView>
  </sheetViews>
  <sheetFormatPr defaultRowHeight="16.5"/>
  <cols>
    <col min="1" max="1" width="2.125" style="4" hidden="1" customWidth="1"/>
    <col min="2" max="2" width="21.375" style="4" hidden="1" customWidth="1"/>
    <col min="3" max="4" width="16.875" style="4" hidden="1" customWidth="1"/>
    <col min="5" max="5" width="9" style="4" hidden="1" customWidth="1"/>
    <col min="6" max="29" width="3.25" style="2" customWidth="1"/>
    <col min="30" max="53" width="3.375" style="2" customWidth="1"/>
    <col min="54" max="16384" width="9" style="2"/>
  </cols>
  <sheetData>
    <row r="1" spans="1:38" s="1" customFormat="1" ht="19.5">
      <c r="A1" s="24"/>
      <c r="B1" s="24"/>
      <c r="C1" s="24"/>
      <c r="D1" s="24"/>
      <c r="E1" s="24"/>
      <c r="F1" s="1" t="s">
        <v>69</v>
      </c>
    </row>
    <row r="2" spans="1:38">
      <c r="A2" s="25" t="s">
        <v>141</v>
      </c>
      <c r="C2" s="26"/>
      <c r="D2" s="27" t="s">
        <v>432</v>
      </c>
    </row>
    <row r="3" spans="1:38">
      <c r="B3" s="28" t="s">
        <v>419</v>
      </c>
      <c r="C3" s="29" t="s">
        <v>422</v>
      </c>
      <c r="D3" s="30" t="b">
        <v>1</v>
      </c>
      <c r="J3" s="5" t="s">
        <v>92</v>
      </c>
      <c r="K3" s="13"/>
      <c r="L3" s="635" t="s">
        <v>93</v>
      </c>
      <c r="M3" s="635"/>
      <c r="N3" s="635"/>
      <c r="O3" s="14"/>
      <c r="P3" s="635" t="s">
        <v>33</v>
      </c>
      <c r="Q3" s="635"/>
      <c r="R3" s="635"/>
      <c r="S3" s="14"/>
      <c r="T3" s="581" t="s">
        <v>94</v>
      </c>
      <c r="U3" s="581"/>
      <c r="V3" s="581"/>
      <c r="W3" s="14"/>
      <c r="X3" s="581" t="s">
        <v>1444</v>
      </c>
      <c r="Y3" s="581"/>
      <c r="Z3" s="581"/>
      <c r="AA3" s="14"/>
      <c r="AB3" s="635"/>
      <c r="AC3" s="635"/>
      <c r="AD3" s="636"/>
    </row>
    <row r="4" spans="1:38">
      <c r="B4" s="28" t="s">
        <v>420</v>
      </c>
      <c r="C4" s="29" t="s">
        <v>423</v>
      </c>
      <c r="D4" s="30" t="b">
        <v>1</v>
      </c>
      <c r="J4" s="5" t="s">
        <v>97</v>
      </c>
      <c r="K4" s="13"/>
      <c r="L4" s="22" t="s">
        <v>78</v>
      </c>
      <c r="M4" s="22"/>
      <c r="N4" s="22"/>
      <c r="O4" s="14"/>
      <c r="P4" s="22" t="s">
        <v>79</v>
      </c>
      <c r="Q4" s="22"/>
      <c r="R4" s="22"/>
      <c r="S4" s="14"/>
      <c r="T4" s="22" t="s">
        <v>80</v>
      </c>
      <c r="U4" s="21"/>
      <c r="V4" s="21"/>
      <c r="W4" s="14"/>
      <c r="X4" s="22" t="s">
        <v>81</v>
      </c>
      <c r="Y4" s="21"/>
      <c r="Z4" s="21"/>
      <c r="AA4" s="14"/>
      <c r="AB4" s="635" t="s">
        <v>140</v>
      </c>
      <c r="AC4" s="635"/>
      <c r="AD4" s="636"/>
    </row>
    <row r="5" spans="1:38">
      <c r="B5" s="4" t="s">
        <v>421</v>
      </c>
      <c r="C5" s="26" t="s">
        <v>424</v>
      </c>
      <c r="D5" s="30" t="b">
        <v>1</v>
      </c>
      <c r="J5" s="5" t="s">
        <v>126</v>
      </c>
      <c r="K5" s="13"/>
      <c r="L5" s="635" t="s">
        <v>127</v>
      </c>
      <c r="M5" s="635"/>
      <c r="N5" s="635"/>
      <c r="O5" s="14"/>
      <c r="P5" s="635" t="s">
        <v>128</v>
      </c>
      <c r="Q5" s="635"/>
      <c r="R5" s="635"/>
      <c r="S5" s="14"/>
      <c r="T5" s="581" t="s">
        <v>129</v>
      </c>
      <c r="U5" s="581"/>
      <c r="V5" s="581"/>
      <c r="W5" s="14"/>
      <c r="X5" s="635"/>
      <c r="Y5" s="635"/>
      <c r="Z5" s="635"/>
      <c r="AA5" s="14"/>
      <c r="AB5" s="635"/>
      <c r="AC5" s="635"/>
      <c r="AD5" s="636"/>
    </row>
    <row r="6" spans="1:38">
      <c r="B6" s="4" t="s">
        <v>1445</v>
      </c>
      <c r="C6" s="26" t="s">
        <v>1446</v>
      </c>
      <c r="D6" s="30" t="b">
        <v>1</v>
      </c>
    </row>
    <row r="7" spans="1:38">
      <c r="B7" s="28" t="s">
        <v>415</v>
      </c>
      <c r="C7" s="29" t="s">
        <v>425</v>
      </c>
      <c r="D7" s="30" t="b">
        <v>1</v>
      </c>
      <c r="J7" s="5" t="s">
        <v>1654</v>
      </c>
      <c r="K7" s="624"/>
      <c r="L7" s="624"/>
      <c r="M7" s="624"/>
      <c r="N7" s="624"/>
      <c r="O7" s="6" t="s">
        <v>70</v>
      </c>
      <c r="P7" s="624"/>
      <c r="Q7" s="624"/>
      <c r="R7" s="624"/>
      <c r="S7" s="624"/>
      <c r="W7" s="5" t="s">
        <v>86</v>
      </c>
      <c r="X7" s="587"/>
      <c r="Y7" s="588"/>
      <c r="Z7" s="588"/>
      <c r="AA7" s="589"/>
      <c r="AB7" s="603" t="str">
        <f>IF(UNNH0020_H_SEIKYUSAKI_CD="","",UNNH0020_H_SEIKYUSAKI_MEI)</f>
        <v/>
      </c>
      <c r="AC7" s="604"/>
      <c r="AD7" s="604"/>
      <c r="AE7" s="604"/>
      <c r="AF7" s="604"/>
      <c r="AG7" s="604"/>
      <c r="AH7" s="604"/>
      <c r="AI7" s="604"/>
      <c r="AJ7" s="604"/>
      <c r="AK7" s="604"/>
      <c r="AL7" s="605"/>
    </row>
    <row r="8" spans="1:38">
      <c r="B8" s="28" t="s">
        <v>416</v>
      </c>
      <c r="C8" s="29" t="s">
        <v>426</v>
      </c>
      <c r="D8" s="30" t="b">
        <v>1</v>
      </c>
      <c r="J8" s="5" t="s">
        <v>88</v>
      </c>
      <c r="K8" s="596"/>
      <c r="L8" s="597"/>
      <c r="M8" s="597"/>
      <c r="N8" s="598"/>
      <c r="O8" s="6" t="s">
        <v>40</v>
      </c>
      <c r="P8" s="596"/>
      <c r="Q8" s="597"/>
      <c r="R8" s="597"/>
      <c r="S8" s="598"/>
      <c r="W8" s="5" t="s">
        <v>87</v>
      </c>
      <c r="X8" s="587"/>
      <c r="Y8" s="588"/>
      <c r="Z8" s="588"/>
      <c r="AA8" s="589"/>
      <c r="AB8" s="603" t="str">
        <f>IF(UNNH0020_H_SHOHIN_CD="","",UNNH0020_H_SHOHIN_MEI)</f>
        <v/>
      </c>
      <c r="AC8" s="604"/>
      <c r="AD8" s="604"/>
      <c r="AE8" s="604"/>
      <c r="AF8" s="604"/>
      <c r="AG8" s="604"/>
      <c r="AH8" s="604"/>
      <c r="AI8" s="604"/>
      <c r="AJ8" s="604"/>
      <c r="AK8" s="604"/>
      <c r="AL8" s="605"/>
    </row>
    <row r="9" spans="1:38">
      <c r="B9" s="28" t="s">
        <v>80</v>
      </c>
      <c r="C9" s="29" t="s">
        <v>427</v>
      </c>
      <c r="D9" s="30" t="b">
        <v>1</v>
      </c>
      <c r="J9" s="5" t="s">
        <v>83</v>
      </c>
      <c r="K9" s="596"/>
      <c r="L9" s="597"/>
      <c r="M9" s="597"/>
      <c r="N9" s="598"/>
      <c r="O9" s="6" t="s">
        <v>40</v>
      </c>
      <c r="P9" s="596"/>
      <c r="Q9" s="597"/>
      <c r="R9" s="597"/>
      <c r="S9" s="598"/>
      <c r="W9" s="5" t="s">
        <v>1659</v>
      </c>
      <c r="X9" s="625"/>
      <c r="Y9" s="626"/>
      <c r="Z9" s="626"/>
      <c r="AA9" s="627"/>
      <c r="AB9" s="628" t="str">
        <f>IFERROR(IF(UNNH0020_H_BUNSEKI_HOHO="","",INDEX(UNNH_BUNSEKI_HOHO_IF_LIST,MATCH(UNNH0020_H_BUNSEKI_HOHO,UNNH_BUNSEKI_HOHO_IF_LIST2,0),2)),"")</f>
        <v/>
      </c>
      <c r="AC9" s="629"/>
      <c r="AD9" s="629"/>
      <c r="AE9" s="629"/>
      <c r="AF9" s="629"/>
      <c r="AG9" s="629"/>
      <c r="AH9" s="629"/>
      <c r="AI9" s="629"/>
      <c r="AJ9" s="629"/>
      <c r="AK9" s="629"/>
      <c r="AL9" s="630"/>
    </row>
    <row r="10" spans="1:38">
      <c r="B10" s="28" t="s">
        <v>81</v>
      </c>
      <c r="C10" s="29" t="s">
        <v>428</v>
      </c>
      <c r="D10" s="30" t="b">
        <v>1</v>
      </c>
      <c r="I10" s="183"/>
      <c r="J10" s="5" t="s">
        <v>1655</v>
      </c>
      <c r="K10" s="624"/>
      <c r="L10" s="624"/>
      <c r="M10" s="624"/>
      <c r="N10" s="624"/>
      <c r="O10" s="6" t="s">
        <v>70</v>
      </c>
      <c r="P10" s="624"/>
      <c r="Q10" s="624"/>
      <c r="R10" s="624"/>
      <c r="S10" s="624"/>
      <c r="W10" s="5" t="s">
        <v>113</v>
      </c>
      <c r="X10" s="632"/>
      <c r="Y10" s="633"/>
      <c r="Z10" s="633"/>
      <c r="AA10" s="634"/>
    </row>
    <row r="11" spans="1:38">
      <c r="B11" s="28" t="s">
        <v>418</v>
      </c>
      <c r="C11" s="29" t="s">
        <v>434</v>
      </c>
      <c r="D11" s="30" t="b">
        <v>1</v>
      </c>
      <c r="J11" s="5" t="s">
        <v>1656</v>
      </c>
      <c r="K11" s="624"/>
      <c r="L11" s="624"/>
      <c r="M11" s="624"/>
      <c r="N11" s="624"/>
      <c r="O11" s="6" t="s">
        <v>70</v>
      </c>
      <c r="P11" s="624"/>
      <c r="Q11" s="624"/>
      <c r="R11" s="624"/>
      <c r="S11" s="624"/>
      <c r="W11" s="5" t="s">
        <v>121</v>
      </c>
      <c r="X11" s="590"/>
      <c r="Y11" s="591"/>
      <c r="Z11" s="591"/>
      <c r="AA11" s="592"/>
    </row>
    <row r="12" spans="1:38">
      <c r="B12" s="28" t="s">
        <v>127</v>
      </c>
      <c r="C12" s="29" t="s">
        <v>429</v>
      </c>
      <c r="D12" s="30" t="b">
        <v>0</v>
      </c>
      <c r="J12" s="5" t="s">
        <v>132</v>
      </c>
      <c r="K12" s="631"/>
      <c r="L12" s="631"/>
      <c r="M12" s="631"/>
      <c r="N12" s="631"/>
      <c r="T12" s="183"/>
      <c r="U12" s="183"/>
      <c r="V12" s="183"/>
      <c r="W12" s="5" t="s">
        <v>1464</v>
      </c>
      <c r="X12" s="590"/>
      <c r="Y12" s="591"/>
      <c r="Z12" s="591"/>
      <c r="AA12" s="592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</row>
    <row r="13" spans="1:38">
      <c r="B13" s="28" t="s">
        <v>128</v>
      </c>
      <c r="C13" s="29" t="s">
        <v>430</v>
      </c>
      <c r="D13" s="30" t="b">
        <v>1</v>
      </c>
    </row>
    <row r="14" spans="1:38">
      <c r="A14" s="162"/>
      <c r="B14" s="28" t="s">
        <v>417</v>
      </c>
      <c r="C14" s="29" t="s">
        <v>431</v>
      </c>
      <c r="D14" s="30" t="b">
        <v>1</v>
      </c>
      <c r="J14" s="5" t="s">
        <v>71</v>
      </c>
      <c r="K14" s="609"/>
      <c r="L14" s="609"/>
      <c r="M14" s="609"/>
      <c r="N14" s="609"/>
      <c r="O14" s="8" t="str">
        <f>IF(UNNH0020_H_FREEWD_KBN=1,"AND",IF(UNNH0020_H_FREEWD_KBN=2,"OR","NAND"))</f>
        <v>AND</v>
      </c>
      <c r="P14" s="609"/>
      <c r="Q14" s="609"/>
      <c r="R14" s="609"/>
      <c r="S14" s="609"/>
      <c r="T14" s="8" t="str">
        <f>IF(UNNH0020_H_FREEWD_KBN=1,"AND",IF(UNNH0020_H_FREEWD_KBN=2,"OR","NAND"))</f>
        <v>AND</v>
      </c>
      <c r="U14" s="584"/>
      <c r="V14" s="585"/>
      <c r="W14" s="585"/>
      <c r="X14" s="586"/>
      <c r="AG14" s="5"/>
      <c r="AH14" s="2" t="s">
        <v>104</v>
      </c>
    </row>
    <row r="15" spans="1:38">
      <c r="B15" s="28" t="s">
        <v>436</v>
      </c>
      <c r="C15" s="29" t="s">
        <v>437</v>
      </c>
      <c r="D15" s="30" t="b">
        <v>0</v>
      </c>
    </row>
    <row r="16" spans="1:38">
      <c r="B16" s="31" t="s">
        <v>142</v>
      </c>
      <c r="C16" s="31" t="s">
        <v>435</v>
      </c>
      <c r="D16" s="30">
        <v>1</v>
      </c>
    </row>
    <row r="17" spans="1:5">
      <c r="B17" s="32"/>
      <c r="C17" s="31"/>
      <c r="D17" s="32"/>
    </row>
    <row r="18" spans="1:5">
      <c r="A18" s="33"/>
      <c r="B18" s="32"/>
      <c r="C18" s="32"/>
      <c r="D18" s="32"/>
    </row>
    <row r="19" spans="1:5">
      <c r="A19" s="32"/>
      <c r="B19" s="34" t="s">
        <v>4</v>
      </c>
      <c r="C19" s="35" t="s">
        <v>438</v>
      </c>
      <c r="D19" s="36"/>
    </row>
    <row r="20" spans="1:5">
      <c r="A20" s="32"/>
      <c r="B20" s="34" t="s">
        <v>17</v>
      </c>
      <c r="C20" s="35" t="s">
        <v>443</v>
      </c>
      <c r="D20" s="36"/>
      <c r="E20" s="46"/>
    </row>
    <row r="21" spans="1:5">
      <c r="A21" s="32"/>
      <c r="B21" s="37" t="s">
        <v>440</v>
      </c>
      <c r="C21" s="38" t="s">
        <v>439</v>
      </c>
      <c r="D21" s="39"/>
    </row>
    <row r="22" spans="1:5">
      <c r="A22" s="32"/>
      <c r="B22" s="40" t="s">
        <v>442</v>
      </c>
      <c r="C22" s="38" t="s">
        <v>441</v>
      </c>
      <c r="D22" s="39"/>
    </row>
    <row r="23" spans="1:5">
      <c r="A23" s="33"/>
      <c r="B23" s="40" t="s">
        <v>1459</v>
      </c>
      <c r="C23" s="38" t="s">
        <v>1463</v>
      </c>
      <c r="D23" s="39"/>
    </row>
    <row r="24" spans="1:5">
      <c r="A24" s="33"/>
      <c r="B24" s="349"/>
      <c r="C24" s="35"/>
      <c r="D24" s="42"/>
    </row>
    <row r="25" spans="1:5">
      <c r="A25" s="162"/>
      <c r="C25" s="26"/>
      <c r="D25" s="162"/>
    </row>
    <row r="26" spans="1:5">
      <c r="A26" s="25" t="s">
        <v>147</v>
      </c>
    </row>
    <row r="27" spans="1:5">
      <c r="B27" s="43" t="s">
        <v>146</v>
      </c>
      <c r="C27" s="44" t="s">
        <v>1399</v>
      </c>
      <c r="D27" s="45"/>
    </row>
    <row r="28" spans="1:5">
      <c r="B28" s="43" t="s">
        <v>146</v>
      </c>
      <c r="C28" s="44" t="s">
        <v>433</v>
      </c>
      <c r="D28" s="45" t="str">
        <f>ADDRESS(ROW(A1),COLUMN(A1))&amp;":"&amp;ADDRESS(ROW(UNNH0020_H_FORM_UPPER_LEFT),COLUMN(UNNH0020_H_FORM_UPPER_LEFT)-1)</f>
        <v>$A$1:$E$1</v>
      </c>
    </row>
    <row r="29" spans="1:5">
      <c r="B29" s="43"/>
      <c r="C29" s="44"/>
    </row>
    <row r="30" spans="1:5">
      <c r="A30" s="25" t="s">
        <v>340</v>
      </c>
    </row>
    <row r="31" spans="1:5">
      <c r="B31" s="34" t="s">
        <v>444</v>
      </c>
      <c r="C31" s="35" t="s">
        <v>448</v>
      </c>
      <c r="D31" s="161" t="str">
        <f>IFERROR(
    VALUE(
        MID(UNNH0020_H_URIAGE_NO_START,
            FIND("U",UNNH0020_H_URIAGE_NO_START)+1,
            2)
        &amp;MID(UNNH0020_H_URIAGE_NO_START,
            FIND("-",UNNH0020_H_URIAGE_NO_START)+1,
            LEN(UNNH0020_H_URIAGE_NO_START))
    ),
  ""
  )</f>
        <v/>
      </c>
    </row>
    <row r="32" spans="1:5">
      <c r="B32" s="34" t="s">
        <v>445</v>
      </c>
      <c r="C32" s="35" t="s">
        <v>449</v>
      </c>
      <c r="D32" s="161" t="str">
        <f>IFERROR(
    VALUE(
        MID(UNNH0020_H_URIAGE_NO_END,
            FIND("U",UNNH0020_H_URIAGE_NO_END)+1,
            2)
        &amp;MID(UNNH0020_H_URIAGE_NO_END,
            FIND("-",UNNH0020_H_URIAGE_NO_END)+1,
            LEN(UNNH0020_H_URIAGE_NO_END))
    ),
  ""
  )</f>
        <v/>
      </c>
    </row>
    <row r="33" spans="2:4">
      <c r="B33" s="34" t="s">
        <v>446</v>
      </c>
      <c r="C33" s="35" t="s">
        <v>492</v>
      </c>
      <c r="D33" s="161">
        <f>IF(OR(UNNH0020_H_URIAGE_NO_START_NUM="",UNNH0020_H_URIAGE_NO_END_NUM=""),UNNH0020_H_URIAGE_NO_START,TEXT(MIN(UNNH0020_H_URIAGE_NO_START_NUM:UNNH0020_H_URIAGE_NO_END_NUM),"!U##!-######"))</f>
        <v>0</v>
      </c>
    </row>
    <row r="34" spans="2:4">
      <c r="B34" s="37" t="s">
        <v>447</v>
      </c>
      <c r="C34" s="38" t="s">
        <v>493</v>
      </c>
      <c r="D34" s="161">
        <f>IF(OR(UNNH0020_H_URIAGE_NO_START_NUM="",UNNH0020_H_URIAGE_NO_END_NUM=""),UNNH0020_H_URIAGE_NO_END,TEXT(MAX(UNNH0020_H_URIAGE_NO_START_NUM:UNNH0020_H_URIAGE_NO_END_NUM),"!U##!-######"))</f>
        <v>0</v>
      </c>
    </row>
    <row r="35" spans="2:4">
      <c r="B35" s="34" t="s">
        <v>345</v>
      </c>
      <c r="C35" s="35" t="s">
        <v>450</v>
      </c>
      <c r="D35" s="161" t="str">
        <f>IFERROR(
    VALUE(
        MID(UNNH0020_H_JURI_NO_START,
            FIND("J",UNNH0020_H_JURI_NO_START)+1,
            2)
        &amp;MID(UNNH0020_H_JURI_NO_START,
            FIND("-",UNNH0020_H_JURI_NO_START)+1,
            LEN(UNNH0020_H_JURI_NO_START))
    ),
  ""
  )</f>
        <v/>
      </c>
    </row>
    <row r="36" spans="2:4">
      <c r="B36" s="34" t="s">
        <v>346</v>
      </c>
      <c r="C36" s="35" t="s">
        <v>451</v>
      </c>
      <c r="D36" s="161" t="str">
        <f>IFERROR(
    VALUE(
        MID(UNNH0020_H_JURI_NO_END,
            FIND("J",UNNH0020_H_JURI_NO_END)+1,
            2)
        &amp;MID(UNNH0020_H_JURI_NO_END,
            FIND("-",UNNH0020_H_JURI_NO_END)+1,
            LEN(UNNH0020_H_JURI_NO_END))
    ),
  ""
  )</f>
        <v/>
      </c>
    </row>
    <row r="37" spans="2:4">
      <c r="B37" s="34" t="s">
        <v>347</v>
      </c>
      <c r="C37" s="35" t="s">
        <v>494</v>
      </c>
      <c r="D37" s="161">
        <f>IF(OR(UNNH0020_H_JURI_NO_START_NUM="",UNNH0020_H_JURI_NO_END_NUM=""),UNNH0020_H_JURI_NO_START,TEXT(MIN(UNNH0020_H_JURI_NO_START_NUM:UNNH0020_H_JURI_NO_END_NUM),"!J##!-######"))</f>
        <v>0</v>
      </c>
    </row>
    <row r="38" spans="2:4">
      <c r="B38" s="37" t="s">
        <v>348</v>
      </c>
      <c r="C38" s="38" t="s">
        <v>495</v>
      </c>
      <c r="D38" s="161">
        <f>IF(OR(UNNH0020_H_JURI_NO_START_NUM="",UNNH0020_H_JURI_NO_END_NUM=""),UNNH0020_H_JURI_NO_END,TEXT(MAX(UNNH0020_H_JURI_NO_START_NUM:UNNH0020_H_JURI_NO_END_NUM),"!J##!-######"))</f>
        <v>0</v>
      </c>
    </row>
    <row r="41" spans="2:4">
      <c r="C41" s="436" t="s">
        <v>1465</v>
      </c>
      <c r="D41" s="437"/>
    </row>
    <row r="42" spans="2:4">
      <c r="C42" s="438" t="s">
        <v>1466</v>
      </c>
      <c r="D42" s="437"/>
    </row>
  </sheetData>
  <sheetProtection sheet="1" objects="1" scenarios="1" selectLockedCells="1"/>
  <mergeCells count="34">
    <mergeCell ref="AB3:AD3"/>
    <mergeCell ref="AB4:AD4"/>
    <mergeCell ref="AB5:AD5"/>
    <mergeCell ref="L3:N3"/>
    <mergeCell ref="P3:R3"/>
    <mergeCell ref="T3:V3"/>
    <mergeCell ref="X3:Z3"/>
    <mergeCell ref="L5:N5"/>
    <mergeCell ref="P5:R5"/>
    <mergeCell ref="T5:V5"/>
    <mergeCell ref="X5:Z5"/>
    <mergeCell ref="K14:N14"/>
    <mergeCell ref="P14:S14"/>
    <mergeCell ref="U14:X14"/>
    <mergeCell ref="X11:AA11"/>
    <mergeCell ref="K10:N10"/>
    <mergeCell ref="P10:S10"/>
    <mergeCell ref="K11:N11"/>
    <mergeCell ref="P11:S11"/>
    <mergeCell ref="K12:N12"/>
    <mergeCell ref="X10:AA10"/>
    <mergeCell ref="X12:AA12"/>
    <mergeCell ref="K9:N9"/>
    <mergeCell ref="P9:S9"/>
    <mergeCell ref="AB7:AL7"/>
    <mergeCell ref="AB8:AL8"/>
    <mergeCell ref="K7:N7"/>
    <mergeCell ref="P7:S7"/>
    <mergeCell ref="X7:AA7"/>
    <mergeCell ref="X8:AA8"/>
    <mergeCell ref="K8:N8"/>
    <mergeCell ref="P8:S8"/>
    <mergeCell ref="X9:AA9"/>
    <mergeCell ref="AB9:AL9"/>
  </mergeCells>
  <phoneticPr fontId="2"/>
  <dataValidations count="6">
    <dataValidation type="custom" allowBlank="1" showInputMessage="1" showErrorMessage="1" sqref="P9:S9">
      <formula1>AND(LEN(UNNH0020_H_JURI_NO_END)=LENB(UNNH0020_H_JURI_NO_END),LEN(UNNH0020_H_JURI_NO_END)=10)</formula1>
    </dataValidation>
    <dataValidation type="custom" allowBlank="1" showInputMessage="1" showErrorMessage="1" sqref="K8:N8">
      <formula1>AND(LEN(UNNH0020_H_URIAGE_NO_START)=LENB(UNNH0020_H_URIAGE_NO_START),LEN(UNNH0020_H_URIAGE_NO_START)=10)</formula1>
    </dataValidation>
    <dataValidation type="custom" allowBlank="1" showInputMessage="1" showErrorMessage="1" sqref="P8:S8">
      <formula1>AND(LEN(UNNH0020_H_URIAGE_NO_END)=LENB(UNNH0020_H_URIAGE_NO_END),LEN(UNNH0020_H_URIAGE_NO_END)=10)</formula1>
    </dataValidation>
    <dataValidation type="custom" allowBlank="1" showInputMessage="1" showErrorMessage="1" sqref="K9:N9">
      <formula1>AND(LEN(UNNH0020_H_JURI_NO_START)=LENB(UNNH0020_H_JURI_NO_START),LEN(UNNH0020_H_JURI_NO_START)=10)</formula1>
    </dataValidation>
    <dataValidation type="date" allowBlank="1" showInputMessage="1" showErrorMessage="1" sqref="K7:N7 P7:S7 K10:N10 K11:N11 P11:S11 P10:S10">
      <formula1>36526</formula1>
      <formula2>73415</formula2>
    </dataValidation>
    <dataValidation type="custom" allowBlank="1" showInputMessage="1" showErrorMessage="1" sqref="X9:AA9">
      <formula1>AND(LEN(X9)=LENB(X9),LEN(X9)&lt;=9)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4" name="Check Box 1">
              <controlPr defaultSize="0" autoFill="0" autoLine="0" autoPict="0">
                <anchor moveWithCells="1">
                  <from>
                    <xdr:col>10</xdr:col>
                    <xdr:colOff>47625</xdr:colOff>
                    <xdr:row>1</xdr:row>
                    <xdr:rowOff>200025</xdr:rowOff>
                  </from>
                  <to>
                    <xdr:col>11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0" r:id="rId5" name="Check Box 2">
              <controlPr defaultSize="0" autoFill="0" autoLine="0" autoPict="0">
                <anchor moveWithCells="1">
                  <from>
                    <xdr:col>14</xdr:col>
                    <xdr:colOff>47625</xdr:colOff>
                    <xdr:row>1</xdr:row>
                    <xdr:rowOff>209550</xdr:rowOff>
                  </from>
                  <to>
                    <xdr:col>15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1" r:id="rId6" name="Check Box 3">
              <controlPr defaultSize="0" autoFill="0" autoLine="0" autoPict="0">
                <anchor moveWithCells="1">
                  <from>
                    <xdr:col>18</xdr:col>
                    <xdr:colOff>38100</xdr:colOff>
                    <xdr:row>1</xdr:row>
                    <xdr:rowOff>200025</xdr:rowOff>
                  </from>
                  <to>
                    <xdr:col>19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2" r:id="rId7" name="Check Box 4">
              <controlPr defaultSize="0" autoFill="0" autoLine="0" autoPict="0">
                <anchor moveWithCells="1">
                  <from>
                    <xdr:col>10</xdr:col>
                    <xdr:colOff>47625</xdr:colOff>
                    <xdr:row>2</xdr:row>
                    <xdr:rowOff>200025</xdr:rowOff>
                  </from>
                  <to>
                    <xdr:col>11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3" r:id="rId8" name="Check Box 5">
              <controlPr defaultSize="0" autoFill="0" autoLine="0" autoPict="0">
                <anchor moveWithCells="1">
                  <from>
                    <xdr:col>14</xdr:col>
                    <xdr:colOff>57150</xdr:colOff>
                    <xdr:row>2</xdr:row>
                    <xdr:rowOff>200025</xdr:rowOff>
                  </from>
                  <to>
                    <xdr:col>15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4" r:id="rId9" name="Check Box 6">
              <controlPr defaultSize="0" autoFill="0" autoLine="0" autoPict="0">
                <anchor moveWithCells="1">
                  <from>
                    <xdr:col>18</xdr:col>
                    <xdr:colOff>38100</xdr:colOff>
                    <xdr:row>3</xdr:row>
                    <xdr:rowOff>0</xdr:rowOff>
                  </from>
                  <to>
                    <xdr:col>19</xdr:col>
                    <xdr:colOff>9525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5" r:id="rId10" name="Check Box 7">
              <controlPr defaultSize="0" autoFill="0" autoLine="0" autoPict="0">
                <anchor moveWithCells="1">
                  <from>
                    <xdr:col>22</xdr:col>
                    <xdr:colOff>66675</xdr:colOff>
                    <xdr:row>2</xdr:row>
                    <xdr:rowOff>200025</xdr:rowOff>
                  </from>
                  <to>
                    <xdr:col>23</xdr:col>
                    <xdr:colOff>38100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6" r:id="rId11" name="Check Box 8">
              <controlPr defaultSize="0" autoFill="0" autoLine="0" autoPict="0">
                <anchor moveWithCells="1">
                  <from>
                    <xdr:col>26</xdr:col>
                    <xdr:colOff>47625</xdr:colOff>
                    <xdr:row>3</xdr:row>
                    <xdr:rowOff>0</xdr:rowOff>
                  </from>
                  <to>
                    <xdr:col>27</xdr:col>
                    <xdr:colOff>19050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7" r:id="rId12" name="Check Box 9">
              <controlPr defaultSize="0" autoFill="0" autoLine="0" autoPict="0">
                <anchor moveWithCells="1">
                  <from>
                    <xdr:col>10</xdr:col>
                    <xdr:colOff>47625</xdr:colOff>
                    <xdr:row>3</xdr:row>
                    <xdr:rowOff>200025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8" r:id="rId13" name="Check Box 10">
              <controlPr defaultSize="0" autoFill="0" autoLine="0" autoPict="0">
                <anchor moveWithCells="1">
                  <from>
                    <xdr:col>14</xdr:col>
                    <xdr:colOff>57150</xdr:colOff>
                    <xdr:row>4</xdr:row>
                    <xdr:rowOff>0</xdr:rowOff>
                  </from>
                  <to>
                    <xdr:col>15</xdr:col>
                    <xdr:colOff>28575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19" r:id="rId14" name="Check Box 11">
              <controlPr defaultSize="0" autoFill="0" autoLine="0" autoPict="0">
                <anchor moveWithCells="1">
                  <from>
                    <xdr:col>18</xdr:col>
                    <xdr:colOff>38100</xdr:colOff>
                    <xdr:row>3</xdr:row>
                    <xdr:rowOff>200025</xdr:rowOff>
                  </from>
                  <to>
                    <xdr:col>19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20" r:id="rId15" name="Check Box 12">
              <controlPr defaultSize="0" autoFill="0" autoLine="0" autoPict="0">
                <anchor moveWithCells="1">
                  <from>
                    <xdr:col>32</xdr:col>
                    <xdr:colOff>47625</xdr:colOff>
                    <xdr:row>13</xdr:row>
                    <xdr:rowOff>0</xdr:rowOff>
                  </from>
                  <to>
                    <xdr:col>33</xdr:col>
                    <xdr:colOff>9525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21" r:id="rId16" name="Option Button 13">
              <controlPr defaultSize="0" autoFill="0" autoLine="0" autoPict="0">
                <anchor moveWithCells="1">
                  <from>
                    <xdr:col>24</xdr:col>
                    <xdr:colOff>38100</xdr:colOff>
                    <xdr:row>12</xdr:row>
                    <xdr:rowOff>200025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22" r:id="rId17" name="Option Button 14">
              <controlPr defaultSize="0" autoFill="0" autoLine="0" autoPict="0">
                <anchor moveWithCells="1">
                  <from>
                    <xdr:col>26</xdr:col>
                    <xdr:colOff>28575</xdr:colOff>
                    <xdr:row>12</xdr:row>
                    <xdr:rowOff>200025</xdr:rowOff>
                  </from>
                  <to>
                    <xdr:col>27</xdr:col>
                    <xdr:colOff>180975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23" r:id="rId18" name="Option Button 15">
              <controlPr defaultSize="0" autoFill="0" autoLine="0" autoPict="0">
                <anchor moveWithCells="1">
                  <from>
                    <xdr:col>27</xdr:col>
                    <xdr:colOff>219075</xdr:colOff>
                    <xdr:row>13</xdr:row>
                    <xdr:rowOff>0</xdr:rowOff>
                  </from>
                  <to>
                    <xdr:col>30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24" r:id="rId19" name="Check Box 16">
              <controlPr defaultSize="0" autoFill="0" autoLine="0" autoPict="0">
                <anchor moveWithCells="1">
                  <from>
                    <xdr:col>22</xdr:col>
                    <xdr:colOff>66675</xdr:colOff>
                    <xdr:row>1</xdr:row>
                    <xdr:rowOff>200025</xdr:rowOff>
                  </from>
                  <to>
                    <xdr:col>23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K53"/>
  <sheetViews>
    <sheetView showGridLines="0" showRowColHeaders="0" topLeftCell="F21" zoomScaleNormal="100" workbookViewId="0">
      <selection sqref="A1:E1 AA22:AJ22"/>
    </sheetView>
  </sheetViews>
  <sheetFormatPr defaultRowHeight="16.5"/>
  <cols>
    <col min="1" max="1" width="2.75" style="4" hidden="1" customWidth="1"/>
    <col min="2" max="2" width="21" style="4" hidden="1" customWidth="1"/>
    <col min="3" max="3" width="18.75" style="4" hidden="1" customWidth="1"/>
    <col min="4" max="4" width="18.625" style="4" hidden="1" customWidth="1"/>
    <col min="5" max="5" width="9" style="4" hidden="1" customWidth="1"/>
    <col min="6" max="6" width="3.5" style="183" customWidth="1"/>
    <col min="7" max="7" width="5" style="183" bestFit="1" customWidth="1"/>
    <col min="8" max="8" width="11.75" style="183" customWidth="1"/>
    <col min="9" max="9" width="13.25" style="183" customWidth="1"/>
    <col min="10" max="10" width="11.5" style="183" customWidth="1"/>
    <col min="11" max="11" width="13.75" style="183" customWidth="1"/>
    <col min="12" max="12" width="13.125" style="183" customWidth="1"/>
    <col min="13" max="13" width="13.25" style="183" customWidth="1"/>
    <col min="14" max="14" width="12.875" style="183" customWidth="1"/>
    <col min="15" max="16" width="33.75" style="183" customWidth="1"/>
    <col min="17" max="17" width="16.25" style="183" customWidth="1"/>
    <col min="18" max="19" width="11.25" style="183" customWidth="1"/>
    <col min="20" max="20" width="13.75" style="183" customWidth="1"/>
    <col min="21" max="21" width="13.625" style="183" customWidth="1"/>
    <col min="22" max="22" width="21.875" style="183" bestFit="1" customWidth="1"/>
    <col min="23" max="23" width="28.5" style="183" customWidth="1"/>
    <col min="24" max="24" width="13.625" style="183" customWidth="1"/>
    <col min="25" max="25" width="21.875" style="183" bestFit="1" customWidth="1"/>
    <col min="26" max="26" width="5" style="183" customWidth="1"/>
    <col min="27" max="36" width="8.375" style="183" hidden="1" customWidth="1"/>
    <col min="37" max="16384" width="9" style="183"/>
  </cols>
  <sheetData>
    <row r="1" spans="1:34" s="2" customFormat="1" ht="6" hidden="1" customHeight="1">
      <c r="A1" s="4"/>
      <c r="B1" s="4"/>
      <c r="C1" s="4"/>
      <c r="D1" s="4"/>
      <c r="E1" s="4"/>
      <c r="F1" s="183"/>
      <c r="G1" s="183"/>
      <c r="H1" s="183"/>
      <c r="I1" s="183"/>
      <c r="J1" s="183"/>
      <c r="K1" s="183"/>
      <c r="R1" s="183"/>
      <c r="U1" s="47"/>
      <c r="V1" s="183"/>
      <c r="W1" s="183"/>
      <c r="X1" s="47"/>
      <c r="AC1" s="47"/>
      <c r="AD1" s="47"/>
      <c r="AE1" s="47"/>
      <c r="AH1" s="183"/>
    </row>
    <row r="2" spans="1:34" s="2" customFormat="1" ht="6" hidden="1" customHeight="1">
      <c r="A2" s="4"/>
      <c r="B2" s="4"/>
      <c r="C2" s="4"/>
      <c r="D2" s="4"/>
      <c r="E2" s="4"/>
      <c r="F2" s="183"/>
      <c r="G2" s="183"/>
      <c r="H2" s="183"/>
      <c r="I2" s="183"/>
      <c r="J2" s="183"/>
      <c r="K2" s="183"/>
      <c r="R2" s="183"/>
      <c r="U2" s="47"/>
      <c r="V2" s="183"/>
      <c r="W2" s="183"/>
      <c r="X2" s="47"/>
      <c r="AC2" s="47"/>
      <c r="AD2" s="47"/>
      <c r="AE2" s="47"/>
      <c r="AH2" s="183"/>
    </row>
    <row r="3" spans="1:34" s="2" customFormat="1" ht="6" hidden="1" customHeight="1">
      <c r="A3" s="4"/>
      <c r="B3" s="4"/>
      <c r="C3" s="4"/>
      <c r="D3" s="4"/>
      <c r="E3" s="4"/>
      <c r="F3" s="183"/>
      <c r="G3" s="183"/>
      <c r="H3" s="183"/>
      <c r="I3" s="183"/>
      <c r="J3" s="183"/>
      <c r="K3" s="183"/>
      <c r="R3" s="183"/>
      <c r="U3" s="47"/>
      <c r="V3" s="183"/>
      <c r="W3" s="183"/>
      <c r="X3" s="47"/>
      <c r="AC3" s="47"/>
      <c r="AD3" s="47"/>
      <c r="AE3" s="47"/>
      <c r="AH3" s="183"/>
    </row>
    <row r="4" spans="1:34" s="2" customFormat="1" ht="6" hidden="1" customHeight="1">
      <c r="A4" s="4"/>
      <c r="B4" s="4"/>
      <c r="C4" s="4"/>
      <c r="D4" s="4"/>
      <c r="E4" s="4"/>
      <c r="F4" s="183"/>
      <c r="G4" s="183"/>
      <c r="H4" s="183"/>
      <c r="I4" s="183"/>
      <c r="J4" s="183"/>
      <c r="K4" s="183"/>
      <c r="R4" s="183"/>
      <c r="U4" s="47"/>
      <c r="V4" s="183"/>
      <c r="W4" s="183"/>
      <c r="X4" s="47"/>
      <c r="AC4" s="47"/>
      <c r="AD4" s="47"/>
      <c r="AE4" s="47"/>
      <c r="AH4" s="183"/>
    </row>
    <row r="5" spans="1:34" s="2" customFormat="1" ht="6" hidden="1" customHeight="1">
      <c r="A5" s="4"/>
      <c r="B5" s="4"/>
      <c r="C5" s="4"/>
      <c r="D5" s="4"/>
      <c r="E5" s="4"/>
      <c r="F5" s="183"/>
      <c r="G5" s="183"/>
      <c r="H5" s="183"/>
      <c r="I5" s="183"/>
      <c r="J5" s="183"/>
      <c r="K5" s="183"/>
      <c r="R5" s="183"/>
      <c r="U5" s="47"/>
      <c r="V5" s="183"/>
      <c r="W5" s="183"/>
      <c r="X5" s="47"/>
      <c r="AC5" s="47"/>
      <c r="AD5" s="47"/>
      <c r="AE5" s="47"/>
      <c r="AH5" s="183"/>
    </row>
    <row r="6" spans="1:34" s="2" customFormat="1" ht="6" hidden="1" customHeight="1">
      <c r="A6" s="4"/>
      <c r="B6" s="4"/>
      <c r="C6" s="4"/>
      <c r="D6" s="4"/>
      <c r="E6" s="4"/>
      <c r="F6" s="183"/>
      <c r="G6" s="183"/>
      <c r="H6" s="183"/>
      <c r="I6" s="183"/>
      <c r="J6" s="183"/>
      <c r="K6" s="183"/>
      <c r="R6" s="183"/>
      <c r="U6" s="47"/>
      <c r="V6" s="183"/>
      <c r="W6" s="183"/>
      <c r="X6" s="47"/>
      <c r="AC6" s="47"/>
      <c r="AD6" s="47"/>
      <c r="AE6" s="47"/>
      <c r="AH6" s="183"/>
    </row>
    <row r="7" spans="1:34" s="2" customFormat="1" ht="6" hidden="1" customHeight="1">
      <c r="A7" s="4"/>
      <c r="B7" s="4"/>
      <c r="C7" s="4"/>
      <c r="D7" s="4"/>
      <c r="E7" s="4"/>
      <c r="F7" s="183"/>
      <c r="G7" s="183"/>
      <c r="H7" s="183"/>
      <c r="I7" s="183"/>
      <c r="J7" s="183"/>
      <c r="K7" s="183"/>
      <c r="R7" s="183"/>
      <c r="U7" s="47"/>
      <c r="V7" s="183"/>
      <c r="W7" s="183"/>
      <c r="X7" s="47"/>
      <c r="AC7" s="47"/>
      <c r="AD7" s="47"/>
      <c r="AE7" s="47"/>
      <c r="AH7" s="183"/>
    </row>
    <row r="8" spans="1:34" s="2" customFormat="1" ht="6" hidden="1" customHeight="1">
      <c r="A8" s="4"/>
      <c r="B8" s="4"/>
      <c r="C8" s="4"/>
      <c r="D8" s="4"/>
      <c r="E8" s="4"/>
      <c r="F8" s="183"/>
      <c r="G8" s="183"/>
      <c r="H8" s="183"/>
      <c r="I8" s="183"/>
      <c r="J8" s="183"/>
      <c r="K8" s="183"/>
      <c r="R8" s="183"/>
      <c r="U8" s="47"/>
      <c r="V8" s="183"/>
      <c r="W8" s="183"/>
      <c r="X8" s="47"/>
      <c r="AC8" s="47"/>
      <c r="AD8" s="47"/>
      <c r="AE8" s="47"/>
      <c r="AH8" s="183"/>
    </row>
    <row r="9" spans="1:34" s="2" customFormat="1" ht="6" hidden="1" customHeight="1">
      <c r="A9" s="4"/>
      <c r="B9" s="4"/>
      <c r="C9" s="4"/>
      <c r="D9" s="4"/>
      <c r="E9" s="4"/>
      <c r="F9" s="183"/>
      <c r="G9" s="183"/>
      <c r="H9" s="183"/>
      <c r="I9" s="183"/>
      <c r="J9" s="183"/>
      <c r="K9" s="183"/>
      <c r="R9" s="183"/>
      <c r="U9" s="47"/>
      <c r="V9" s="183"/>
      <c r="W9" s="183"/>
      <c r="X9" s="47"/>
      <c r="AC9" s="47"/>
      <c r="AD9" s="47"/>
      <c r="AE9" s="47"/>
      <c r="AH9" s="183"/>
    </row>
    <row r="10" spans="1:34" s="2" customFormat="1" ht="6" hidden="1" customHeight="1">
      <c r="A10" s="4"/>
      <c r="B10" s="4"/>
      <c r="C10" s="4"/>
      <c r="D10" s="4"/>
      <c r="E10" s="4"/>
      <c r="F10" s="183"/>
      <c r="G10" s="183"/>
      <c r="H10" s="183"/>
      <c r="I10" s="183"/>
      <c r="J10" s="183"/>
      <c r="K10" s="183"/>
      <c r="R10" s="183"/>
      <c r="U10" s="47"/>
      <c r="V10" s="183"/>
      <c r="W10" s="183"/>
      <c r="X10" s="47"/>
      <c r="AC10" s="47"/>
      <c r="AD10" s="47"/>
      <c r="AE10" s="47"/>
      <c r="AH10" s="183"/>
    </row>
    <row r="11" spans="1:34" s="2" customFormat="1" ht="6" hidden="1" customHeight="1">
      <c r="A11" s="4"/>
      <c r="B11" s="4"/>
      <c r="C11" s="4"/>
      <c r="D11" s="4"/>
      <c r="E11" s="4"/>
      <c r="F11" s="183"/>
      <c r="G11" s="183"/>
      <c r="H11" s="183"/>
      <c r="I11" s="183"/>
      <c r="J11" s="183"/>
      <c r="K11" s="183"/>
      <c r="R11" s="183"/>
      <c r="U11" s="47"/>
      <c r="V11" s="183"/>
      <c r="W11" s="183"/>
      <c r="X11" s="47"/>
      <c r="AC11" s="47"/>
      <c r="AD11" s="47"/>
      <c r="AE11" s="47"/>
      <c r="AH11" s="183"/>
    </row>
    <row r="12" spans="1:34" s="2" customFormat="1" ht="6" hidden="1" customHeight="1">
      <c r="A12" s="4"/>
      <c r="B12" s="4"/>
      <c r="C12" s="4"/>
      <c r="D12" s="4"/>
      <c r="E12" s="4"/>
      <c r="F12" s="183"/>
      <c r="G12" s="183"/>
      <c r="H12" s="183"/>
      <c r="I12" s="183"/>
      <c r="J12" s="183"/>
      <c r="K12" s="183"/>
      <c r="R12" s="183"/>
      <c r="U12" s="47"/>
      <c r="V12" s="183"/>
      <c r="W12" s="183"/>
      <c r="X12" s="47"/>
      <c r="AC12" s="47"/>
      <c r="AD12" s="47"/>
      <c r="AE12" s="47"/>
      <c r="AH12" s="183"/>
    </row>
    <row r="13" spans="1:34" s="2" customFormat="1" ht="6" hidden="1" customHeight="1">
      <c r="A13" s="4"/>
      <c r="B13" s="4"/>
      <c r="C13" s="4"/>
      <c r="D13" s="4"/>
      <c r="E13" s="4"/>
      <c r="F13" s="183"/>
      <c r="G13" s="183"/>
      <c r="H13" s="183"/>
      <c r="I13" s="183"/>
      <c r="J13" s="183"/>
      <c r="K13" s="183"/>
      <c r="R13" s="183"/>
      <c r="U13" s="47"/>
      <c r="V13" s="183"/>
      <c r="W13" s="183"/>
      <c r="X13" s="47"/>
      <c r="AC13" s="47"/>
      <c r="AD13" s="47"/>
      <c r="AE13" s="47"/>
      <c r="AH13" s="183"/>
    </row>
    <row r="14" spans="1:34" s="2" customFormat="1" ht="6" hidden="1" customHeight="1">
      <c r="A14" s="4"/>
      <c r="B14" s="4"/>
      <c r="C14" s="4"/>
      <c r="D14" s="4"/>
      <c r="E14" s="4"/>
      <c r="F14" s="183"/>
      <c r="G14" s="183"/>
      <c r="H14" s="183"/>
      <c r="I14" s="183"/>
      <c r="J14" s="183"/>
      <c r="K14" s="183"/>
      <c r="R14" s="183"/>
      <c r="U14" s="47"/>
      <c r="V14" s="183"/>
      <c r="W14" s="183"/>
      <c r="X14" s="47"/>
      <c r="AC14" s="47"/>
      <c r="AD14" s="47"/>
      <c r="AE14" s="47"/>
      <c r="AH14" s="183"/>
    </row>
    <row r="15" spans="1:34" s="2" customFormat="1" ht="6" hidden="1" customHeight="1">
      <c r="A15" s="4"/>
      <c r="B15" s="4"/>
      <c r="C15" s="4"/>
      <c r="D15" s="4"/>
      <c r="E15" s="4"/>
      <c r="F15" s="183"/>
      <c r="G15" s="183"/>
      <c r="H15" s="183"/>
      <c r="I15" s="183"/>
      <c r="J15" s="183"/>
      <c r="K15" s="183"/>
      <c r="R15" s="183"/>
      <c r="U15" s="47"/>
      <c r="V15" s="183"/>
      <c r="W15" s="183"/>
      <c r="X15" s="47"/>
      <c r="AC15" s="47"/>
      <c r="AD15" s="47"/>
      <c r="AE15" s="47"/>
      <c r="AH15" s="183"/>
    </row>
    <row r="16" spans="1:34" s="2" customFormat="1" ht="6" hidden="1" customHeight="1">
      <c r="A16" s="4"/>
      <c r="B16" s="4"/>
      <c r="C16" s="4"/>
      <c r="D16" s="4"/>
      <c r="E16" s="4"/>
      <c r="F16" s="183"/>
      <c r="G16" s="183"/>
      <c r="H16" s="183"/>
      <c r="I16" s="183"/>
      <c r="J16" s="183"/>
      <c r="K16" s="183"/>
      <c r="R16" s="183"/>
      <c r="U16" s="47"/>
      <c r="V16" s="183"/>
      <c r="W16" s="183"/>
      <c r="X16" s="47"/>
      <c r="AC16" s="47"/>
      <c r="AD16" s="47"/>
      <c r="AE16" s="47"/>
      <c r="AH16" s="183"/>
    </row>
    <row r="17" spans="1:37" s="2" customFormat="1" ht="6" hidden="1" customHeight="1">
      <c r="A17" s="4"/>
      <c r="B17" s="4"/>
      <c r="C17" s="4"/>
      <c r="D17" s="4"/>
      <c r="E17" s="4"/>
      <c r="F17" s="183"/>
      <c r="G17" s="183"/>
      <c r="H17" s="183"/>
      <c r="I17" s="183"/>
      <c r="J17" s="183"/>
      <c r="K17" s="183"/>
      <c r="R17" s="183"/>
      <c r="U17" s="47"/>
      <c r="V17" s="183"/>
      <c r="W17" s="183"/>
      <c r="X17" s="47"/>
      <c r="AC17" s="47"/>
      <c r="AD17" s="47"/>
      <c r="AE17" s="47"/>
      <c r="AH17" s="183"/>
    </row>
    <row r="18" spans="1:37" s="2" customFormat="1" ht="6" hidden="1" customHeight="1">
      <c r="A18" s="4"/>
      <c r="B18" s="4"/>
      <c r="C18" s="4"/>
      <c r="D18" s="4"/>
      <c r="E18" s="4"/>
      <c r="F18" s="183"/>
      <c r="G18" s="183"/>
      <c r="H18" s="183"/>
      <c r="I18" s="183"/>
      <c r="J18" s="183"/>
      <c r="K18" s="183"/>
      <c r="R18" s="183"/>
      <c r="U18" s="47"/>
      <c r="V18" s="183"/>
      <c r="W18" s="183"/>
      <c r="X18" s="47"/>
      <c r="AC18" s="47"/>
      <c r="AD18" s="47"/>
      <c r="AE18" s="47"/>
      <c r="AH18" s="183"/>
    </row>
    <row r="19" spans="1:37" s="2" customFormat="1" ht="6" hidden="1" customHeight="1">
      <c r="A19" s="4"/>
      <c r="B19" s="4"/>
      <c r="C19" s="4"/>
      <c r="D19" s="4"/>
      <c r="E19" s="4"/>
      <c r="F19" s="183"/>
      <c r="G19" s="183"/>
      <c r="H19" s="183"/>
      <c r="I19" s="183"/>
      <c r="J19" s="183"/>
      <c r="K19" s="183"/>
      <c r="R19" s="183"/>
      <c r="U19" s="47"/>
      <c r="V19" s="183"/>
      <c r="W19" s="183"/>
      <c r="X19" s="47"/>
      <c r="AC19" s="47"/>
      <c r="AD19" s="47"/>
      <c r="AE19" s="47"/>
      <c r="AH19" s="183"/>
    </row>
    <row r="20" spans="1:37" s="2" customFormat="1" ht="6" hidden="1" customHeight="1">
      <c r="A20" s="4"/>
      <c r="B20" s="4"/>
      <c r="C20" s="4"/>
      <c r="D20" s="4"/>
      <c r="E20" s="4"/>
      <c r="F20" s="183"/>
      <c r="G20" s="183"/>
      <c r="H20" s="183"/>
      <c r="I20" s="183"/>
      <c r="J20" s="183"/>
      <c r="K20" s="183"/>
      <c r="R20" s="183"/>
      <c r="U20" s="47"/>
      <c r="V20" s="183"/>
      <c r="W20" s="183"/>
      <c r="X20" s="47"/>
      <c r="AC20" s="47"/>
      <c r="AD20" s="47"/>
      <c r="AE20" s="47"/>
      <c r="AH20" s="183"/>
    </row>
    <row r="21" spans="1:37" s="2" customFormat="1">
      <c r="A21" s="4"/>
      <c r="B21" s="4"/>
      <c r="C21" s="4"/>
      <c r="D21" s="4"/>
      <c r="E21" s="4"/>
      <c r="F21" s="183" t="str">
        <f>"("&amp;UNNH0020_B_PAGE_NO&amp;"/"&amp;UNNH0020_B_ALL_PAGE_SU&amp;")"</f>
        <v>(1/1)</v>
      </c>
      <c r="G21" s="184"/>
      <c r="H21" s="183"/>
      <c r="I21" s="183"/>
      <c r="J21" s="183"/>
      <c r="K21" s="183"/>
      <c r="R21" s="183"/>
      <c r="V21" s="183"/>
      <c r="W21" s="183"/>
      <c r="AD21" s="183"/>
      <c r="AH21" s="183"/>
    </row>
    <row r="22" spans="1:37">
      <c r="F22" s="255"/>
      <c r="G22" s="221" t="s">
        <v>0</v>
      </c>
      <c r="H22" s="221" t="s">
        <v>263</v>
      </c>
      <c r="I22" s="221" t="s">
        <v>96</v>
      </c>
      <c r="J22" s="221" t="s">
        <v>131</v>
      </c>
      <c r="K22" s="221" t="s">
        <v>76</v>
      </c>
      <c r="L22" s="221" t="s">
        <v>72</v>
      </c>
      <c r="M22" s="221" t="s">
        <v>73</v>
      </c>
      <c r="N22" s="221" t="s">
        <v>3</v>
      </c>
      <c r="O22" s="221" t="s">
        <v>4</v>
      </c>
      <c r="P22" s="221" t="s">
        <v>74</v>
      </c>
      <c r="Q22" s="221" t="s">
        <v>114</v>
      </c>
      <c r="R22" s="221" t="s">
        <v>1457</v>
      </c>
      <c r="S22" s="221" t="s">
        <v>122</v>
      </c>
      <c r="T22" s="221" t="s">
        <v>46</v>
      </c>
      <c r="U22" s="221" t="s">
        <v>130</v>
      </c>
      <c r="V22" s="221" t="s">
        <v>825</v>
      </c>
      <c r="W22" s="221" t="s">
        <v>1533</v>
      </c>
      <c r="X22" s="221" t="s">
        <v>90</v>
      </c>
      <c r="Y22" s="221" t="s">
        <v>99</v>
      </c>
      <c r="Z22" s="221" t="s">
        <v>9</v>
      </c>
      <c r="AA22" s="12" t="s">
        <v>820</v>
      </c>
      <c r="AB22" s="12" t="s">
        <v>821</v>
      </c>
      <c r="AC22" s="12" t="s">
        <v>823</v>
      </c>
      <c r="AD22" s="12" t="s">
        <v>1458</v>
      </c>
      <c r="AE22" s="12" t="s">
        <v>824</v>
      </c>
      <c r="AF22" s="12" t="s">
        <v>830</v>
      </c>
      <c r="AG22" s="12" t="s">
        <v>831</v>
      </c>
      <c r="AH22" s="12" t="s">
        <v>1198</v>
      </c>
      <c r="AI22" s="12" t="s">
        <v>871</v>
      </c>
      <c r="AJ22" s="12" t="s">
        <v>1172</v>
      </c>
      <c r="AK22" s="327"/>
    </row>
    <row r="23" spans="1:37">
      <c r="A23" s="25" t="s">
        <v>190</v>
      </c>
      <c r="C23" s="26"/>
    </row>
    <row r="24" spans="1:37">
      <c r="B24" s="4" t="s">
        <v>191</v>
      </c>
      <c r="C24" s="26" t="s">
        <v>452</v>
      </c>
      <c r="D24" s="48">
        <v>50</v>
      </c>
    </row>
    <row r="25" spans="1:37">
      <c r="C25" s="26"/>
    </row>
    <row r="26" spans="1:37">
      <c r="A26" s="25" t="s">
        <v>192</v>
      </c>
      <c r="C26" s="26"/>
    </row>
    <row r="27" spans="1:37">
      <c r="B27" s="4" t="s">
        <v>193</v>
      </c>
      <c r="C27" s="26" t="s">
        <v>453</v>
      </c>
      <c r="D27" s="48"/>
    </row>
    <row r="28" spans="1:37">
      <c r="B28" s="4" t="s">
        <v>194</v>
      </c>
      <c r="C28" s="26" t="s">
        <v>454</v>
      </c>
      <c r="D28" s="49">
        <v>1</v>
      </c>
    </row>
    <row r="29" spans="1:37">
      <c r="B29" s="4" t="s">
        <v>195</v>
      </c>
      <c r="C29" s="26" t="s">
        <v>455</v>
      </c>
      <c r="D29" s="50">
        <f>IF(OR(UNNH0020_B_KENSAKU_KENSU=0,UNNH0020_B_CTRL_HYOJI_GYO_SU=0),1,ROUNDUP(UNNH0020_B_KENSAKU_KENSU/UNNH0020_B_CTRL_HYOJI_GYO_SU,0))</f>
        <v>1</v>
      </c>
    </row>
    <row r="30" spans="1:37">
      <c r="B30" s="4" t="s">
        <v>196</v>
      </c>
      <c r="C30" s="26" t="s">
        <v>456</v>
      </c>
      <c r="D30" s="48">
        <v>1</v>
      </c>
    </row>
    <row r="31" spans="1:37">
      <c r="C31" s="26"/>
    </row>
    <row r="32" spans="1:37">
      <c r="B32" s="4" t="s">
        <v>197</v>
      </c>
      <c r="C32" s="26" t="s">
        <v>457</v>
      </c>
      <c r="D32" s="48" t="str">
        <f>ADDRESS(ROW(UNNH0020_B_SENTAKU)+1, COLUMN(UNNH0020_B_SENTAKU))</f>
        <v>$G$23</v>
      </c>
    </row>
    <row r="33" spans="1:4">
      <c r="B33" s="4" t="s">
        <v>199</v>
      </c>
      <c r="C33" s="26" t="s">
        <v>458</v>
      </c>
      <c r="D33" s="48" t="str">
        <f ca="1">IF(UNNH0020_B_HYOJI_KENSU=0,"",UNNH0020_B_LIST_START&amp;":"&amp;
ADDRESS(ROW(INDIRECT(UNNH0020_B_LIST_START))+UNNH0020_B_HYOJI_KENSU-1,COLUMN(INDIRECT(UNNH0020_B_LIST_START))+COLUMNS(UNNH0020_IF_B_LIST_COPY_MOTO)-1))</f>
        <v>$G$23:$AJ$23</v>
      </c>
    </row>
    <row r="34" spans="1:4">
      <c r="B34" s="4" t="s">
        <v>200</v>
      </c>
      <c r="C34" s="26" t="s">
        <v>459</v>
      </c>
      <c r="D34" s="50" t="str">
        <f ca="1">ADDRESS(ROW(UNNH0020_B_SENTAKU)+1, COLUMN(UNNH0020_B_SENTAKU))&amp;":"&amp;
ADDRESS(ROW(INDIRECT(UNNH0020_B_LIST_START))+UNNH0020_B_CTRL_HYOJI_GYO_SU-1,COLUMN(INDIRECT(UNNH0020_B_LIST_START))+COLUMNS(UNNH0020_IF_B_LIST_COPY_MOTO)-1)</f>
        <v>$G$23:$AJ$72</v>
      </c>
    </row>
    <row r="35" spans="1:4">
      <c r="C35" s="26"/>
      <c r="D35" s="4" t="s">
        <v>201</v>
      </c>
    </row>
    <row r="36" spans="1:4">
      <c r="B36" s="4" t="s">
        <v>202</v>
      </c>
      <c r="C36" s="4" t="s">
        <v>460</v>
      </c>
      <c r="D36" s="50">
        <f>IF(UNNH0020_B_HYOJI_KENSU=0,2,1)</f>
        <v>1</v>
      </c>
    </row>
    <row r="37" spans="1:4">
      <c r="C37" s="26"/>
    </row>
    <row r="38" spans="1:4">
      <c r="A38" s="25" t="s">
        <v>203</v>
      </c>
      <c r="C38" s="26"/>
      <c r="D38" s="4" t="s">
        <v>204</v>
      </c>
    </row>
    <row r="39" spans="1:4">
      <c r="B39" s="4" t="s">
        <v>205</v>
      </c>
      <c r="C39" s="26" t="s">
        <v>461</v>
      </c>
      <c r="D39" s="48">
        <f>IF(UNNH0020_B_ALL_PAGE_SU&gt;UNNH0020_B_PAGE_NO,1,2)</f>
        <v>2</v>
      </c>
    </row>
    <row r="40" spans="1:4">
      <c r="B40" s="4" t="s">
        <v>206</v>
      </c>
      <c r="C40" s="26" t="s">
        <v>462</v>
      </c>
      <c r="D40" s="48">
        <f>IF(UNNH0020_B_PAGE_NO&gt;1,1,2)</f>
        <v>2</v>
      </c>
    </row>
    <row r="41" spans="1:4">
      <c r="C41" s="26"/>
      <c r="D41" s="51"/>
    </row>
    <row r="42" spans="1:4">
      <c r="B42" s="4" t="s">
        <v>207</v>
      </c>
      <c r="C42" s="26" t="s">
        <v>536</v>
      </c>
      <c r="D42" s="48">
        <f>UNNH0020_B_PAGE_NO+1</f>
        <v>2</v>
      </c>
    </row>
    <row r="43" spans="1:4">
      <c r="B43" s="4" t="s">
        <v>208</v>
      </c>
      <c r="C43" s="26" t="s">
        <v>537</v>
      </c>
      <c r="D43" s="48">
        <f>UNNH0020_B_PAGE_NO-1</f>
        <v>0</v>
      </c>
    </row>
    <row r="45" spans="1:4">
      <c r="A45" s="25" t="s">
        <v>209</v>
      </c>
      <c r="C45" s="26"/>
    </row>
    <row r="46" spans="1:4">
      <c r="B46" s="4" t="s">
        <v>210</v>
      </c>
      <c r="C46" s="26" t="s">
        <v>540</v>
      </c>
      <c r="D46" s="48">
        <v>23</v>
      </c>
    </row>
    <row r="47" spans="1:4">
      <c r="B47" s="4" t="s">
        <v>541</v>
      </c>
      <c r="C47" s="26" t="s">
        <v>542</v>
      </c>
      <c r="D47" s="48">
        <f ca="1">IF(UNNH0020_B_SELECT_GYO_NO=0,0,INDIRECT(ADDRESS(UNNH0020_B_SELECT_GYO_NO,COLUMN(UNNH0020_B_URIAGE_NO))))</f>
        <v>0</v>
      </c>
    </row>
    <row r="48" spans="1:4">
      <c r="C48" s="26"/>
    </row>
    <row r="49" spans="1:11">
      <c r="A49" s="25" t="s">
        <v>147</v>
      </c>
    </row>
    <row r="50" spans="1:11">
      <c r="B50" s="43" t="s">
        <v>212</v>
      </c>
      <c r="C50" s="44" t="s">
        <v>538</v>
      </c>
      <c r="D50" s="50" t="str">
        <f>ROW($A$1)&amp;":"&amp;(ROW(UNNH0020_B_VIEW_CURRENT_PAGE)-1)</f>
        <v>1:20</v>
      </c>
    </row>
    <row r="51" spans="1:11">
      <c r="B51" s="43" t="s">
        <v>146</v>
      </c>
      <c r="C51" s="44" t="s">
        <v>539</v>
      </c>
      <c r="D51" s="50" t="str">
        <f>ADDRESS(ROW($A$1),COLUMN($A$1))&amp;":"&amp;ADDRESS(ROW($A$1),COLUMN(UNNH0020_B_VIEW_CURRENT_PAGE)-1)&amp;","&amp;ADDRESS(ROW(UNNH0020_B_DEMPYO_KBN),COLUMN(UNNH0020_B_DEMPYO_KBN))&amp;":"&amp;ADDRESS(ROW(UNNH0020_B_FREEWD),COLUMN(UNNH0020_B_FREEWD))</f>
        <v>$A$1:$E$1,$AA$22:$AJ$22</v>
      </c>
    </row>
    <row r="52" spans="1:11">
      <c r="B52" s="43"/>
      <c r="C52" s="43"/>
      <c r="D52" s="43"/>
    </row>
    <row r="53" spans="1:11">
      <c r="B53" s="43" t="s">
        <v>213</v>
      </c>
      <c r="C53" s="44" t="s">
        <v>535</v>
      </c>
      <c r="D53" s="50" t="str">
        <f ca="1">ADDRESS(ROW(INDIRECT(UNNH0020_B_LIST_START)),COLUMN(UNNH0020_B_URIAGE_NO)+1)</f>
        <v>$L$23</v>
      </c>
      <c r="E53" s="55"/>
      <c r="F53" s="182"/>
      <c r="G53" s="182"/>
      <c r="H53" s="182"/>
      <c r="I53" s="182"/>
      <c r="J53" s="182"/>
      <c r="K53" s="182"/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A38"/>
  <sheetViews>
    <sheetView topLeftCell="X1" zoomScaleNormal="100" workbookViewId="0">
      <selection activeCell="AY8" sqref="AY8:BB8"/>
    </sheetView>
  </sheetViews>
  <sheetFormatPr defaultRowHeight="13.5"/>
  <cols>
    <col min="1" max="2" width="9" style="162"/>
    <col min="3" max="3" width="12.5" style="162" customWidth="1"/>
    <col min="4" max="7" width="9" style="162"/>
    <col min="8" max="8" width="6.125" style="162" customWidth="1"/>
    <col min="9" max="9" width="8.25" style="162" customWidth="1"/>
    <col min="10" max="14" width="9" style="162"/>
    <col min="15" max="15" width="9" style="329"/>
    <col min="16" max="17" width="9" style="162"/>
    <col min="18" max="18" width="9.375" style="162" customWidth="1"/>
    <col min="19" max="20" width="9" style="329"/>
    <col min="21" max="26" width="9" style="162"/>
    <col min="27" max="27" width="9" style="329"/>
    <col min="28" max="37" width="9" style="162"/>
    <col min="38" max="65" width="1" style="162" customWidth="1"/>
    <col min="66" max="68" width="9" style="162"/>
    <col min="69" max="69" width="22.625" style="162" customWidth="1"/>
    <col min="70" max="70" width="9" style="162"/>
    <col min="71" max="71" width="9.75" style="425" customWidth="1"/>
    <col min="72" max="72" width="9.625" style="425" bestFit="1" customWidth="1"/>
    <col min="73" max="74" width="10.5" style="425" customWidth="1"/>
    <col min="75" max="75" width="11.5" style="425" customWidth="1"/>
    <col min="76" max="77" width="9.625" style="425" bestFit="1" customWidth="1"/>
    <col min="78" max="78" width="9.625" style="425" customWidth="1"/>
    <col min="79" max="79" width="9.625" style="425" bestFit="1" customWidth="1"/>
    <col min="80" max="80" width="12.5" style="425" customWidth="1"/>
    <col min="81" max="81" width="12.25" style="425" bestFit="1" customWidth="1"/>
    <col min="82" max="86" width="11.75" style="425" customWidth="1"/>
    <col min="87" max="87" width="11.625" style="162" customWidth="1"/>
    <col min="88" max="89" width="10.125" style="425" customWidth="1"/>
    <col min="90" max="90" width="9.5" style="425" customWidth="1"/>
    <col min="91" max="91" width="12.625" style="425" bestFit="1" customWidth="1"/>
    <col min="92" max="123" width="9" style="425"/>
    <col min="124" max="130" width="9" style="328"/>
    <col min="131" max="132" width="9" style="425"/>
    <col min="133" max="134" width="9" style="328"/>
    <col min="135" max="141" width="9" style="425"/>
    <col min="142" max="142" width="9" style="328"/>
    <col min="143" max="143" width="9" style="425"/>
    <col min="144" max="144" width="9" style="328"/>
    <col min="145" max="145" width="9" style="329"/>
    <col min="146" max="146" width="9" style="425"/>
    <col min="147" max="148" width="9" style="329"/>
    <col min="149" max="149" width="9" style="425"/>
    <col min="150" max="150" width="9" style="329"/>
    <col min="151" max="151" width="9" style="425"/>
    <col min="152" max="155" width="9" style="329"/>
    <col min="156" max="156" width="9" style="425"/>
    <col min="157" max="16384" width="9" style="162"/>
  </cols>
  <sheetData>
    <row r="1" spans="1:157">
      <c r="BO1" s="165" t="s">
        <v>405</v>
      </c>
      <c r="BR1" s="162" t="s">
        <v>557</v>
      </c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  <c r="CI1" s="519"/>
      <c r="CJ1" s="518"/>
      <c r="CK1" s="518"/>
      <c r="CL1" s="518"/>
      <c r="CM1" s="518"/>
      <c r="CN1" s="518"/>
      <c r="CO1" s="518"/>
      <c r="CP1" s="518"/>
      <c r="CQ1" s="518"/>
      <c r="CR1" s="518"/>
      <c r="CS1" s="518"/>
      <c r="CT1" s="518"/>
      <c r="CU1" s="518"/>
      <c r="CV1" s="518"/>
      <c r="CW1" s="518"/>
      <c r="CX1" s="518"/>
      <c r="CY1" s="518"/>
      <c r="CZ1" s="518"/>
      <c r="DA1" s="518"/>
      <c r="DB1" s="518"/>
      <c r="DC1" s="518"/>
      <c r="DD1" s="518"/>
      <c r="DE1" s="518"/>
      <c r="DF1" s="518"/>
      <c r="DG1" s="518"/>
      <c r="DH1" s="518"/>
      <c r="DI1" s="518"/>
      <c r="DJ1" s="518"/>
      <c r="DK1" s="518"/>
      <c r="DL1" s="518"/>
      <c r="DM1" s="518"/>
      <c r="DN1" s="518"/>
      <c r="DO1" s="518"/>
      <c r="DP1" s="518"/>
      <c r="DQ1" s="518"/>
      <c r="DR1" s="518"/>
      <c r="DS1" s="518"/>
      <c r="DT1" s="520"/>
      <c r="DU1" s="520"/>
      <c r="DV1" s="520"/>
      <c r="DW1" s="520"/>
      <c r="DX1" s="520"/>
      <c r="DY1" s="520"/>
      <c r="DZ1" s="520"/>
      <c r="EA1" s="518"/>
      <c r="EB1" s="521"/>
      <c r="EC1" s="522"/>
      <c r="ED1" s="522"/>
      <c r="EE1" s="518"/>
      <c r="EF1" s="518"/>
      <c r="EG1" s="518"/>
      <c r="EH1" s="518"/>
      <c r="EI1" s="518"/>
      <c r="EJ1" s="518"/>
      <c r="EK1" s="518"/>
      <c r="EL1" s="520"/>
      <c r="EM1" s="518"/>
      <c r="EN1" s="520"/>
      <c r="EO1" s="520"/>
      <c r="EP1" s="518"/>
      <c r="EQ1" s="520"/>
      <c r="ER1" s="520"/>
      <c r="ES1" s="518"/>
      <c r="ET1" s="520"/>
      <c r="EU1" s="518"/>
      <c r="EV1" s="520"/>
      <c r="EW1" s="520"/>
      <c r="EX1" s="520"/>
      <c r="EY1" s="521"/>
      <c r="EZ1" s="518"/>
    </row>
    <row r="2" spans="1:157">
      <c r="A2" s="165" t="s">
        <v>232</v>
      </c>
      <c r="BP2" s="162" t="s">
        <v>478</v>
      </c>
      <c r="BQ2" s="72">
        <v>1</v>
      </c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</row>
    <row r="3" spans="1:157" ht="16.5">
      <c r="BP3" s="162" t="s">
        <v>479</v>
      </c>
      <c r="BQ3" s="72" t="str">
        <f>ADDRESS(ROW(UNNH0020_IF_PRINT_STS)+1,COLUMN(UNNH0020_IF_PRINT_STS))</f>
        <v>$BS$4</v>
      </c>
      <c r="BS3" s="516" t="s">
        <v>819</v>
      </c>
      <c r="BT3" s="516" t="s">
        <v>1610</v>
      </c>
      <c r="BU3" s="516" t="s">
        <v>1611</v>
      </c>
      <c r="BV3" s="516" t="s">
        <v>1612</v>
      </c>
      <c r="BW3" s="516" t="s">
        <v>1613</v>
      </c>
      <c r="BX3" s="516" t="s">
        <v>1632</v>
      </c>
      <c r="BY3" s="516" t="s">
        <v>1633</v>
      </c>
      <c r="BZ3" s="516" t="s">
        <v>1614</v>
      </c>
      <c r="CA3" s="516" t="s">
        <v>1615</v>
      </c>
      <c r="CB3" s="516" t="s">
        <v>822</v>
      </c>
      <c r="CC3" s="516" t="s">
        <v>823</v>
      </c>
      <c r="CD3" s="516" t="s">
        <v>1616</v>
      </c>
      <c r="CE3" s="516" t="s">
        <v>824</v>
      </c>
      <c r="CF3" s="516" t="s">
        <v>1617</v>
      </c>
      <c r="CG3" s="516" t="s">
        <v>1618</v>
      </c>
      <c r="CH3" s="516" t="s">
        <v>1619</v>
      </c>
      <c r="CI3" s="516" t="s">
        <v>1202</v>
      </c>
      <c r="CJ3" s="516" t="s">
        <v>1620</v>
      </c>
      <c r="CK3" s="516" t="s">
        <v>1621</v>
      </c>
      <c r="CL3" s="516" t="s">
        <v>827</v>
      </c>
      <c r="CM3" s="516" t="s">
        <v>828</v>
      </c>
      <c r="CN3" s="516" t="s">
        <v>829</v>
      </c>
      <c r="CO3" s="516" t="s">
        <v>830</v>
      </c>
      <c r="CP3" s="516" t="s">
        <v>1622</v>
      </c>
      <c r="CQ3" s="516" t="s">
        <v>1623</v>
      </c>
      <c r="CR3" s="516" t="s">
        <v>832</v>
      </c>
      <c r="CS3" s="516" t="s">
        <v>833</v>
      </c>
      <c r="CT3" s="516" t="s">
        <v>1624</v>
      </c>
      <c r="CU3" s="516" t="s">
        <v>1634</v>
      </c>
      <c r="CV3" s="516" t="s">
        <v>1635</v>
      </c>
      <c r="CW3" s="516" t="s">
        <v>1636</v>
      </c>
      <c r="CX3" s="516" t="s">
        <v>1637</v>
      </c>
      <c r="CY3" s="516" t="s">
        <v>1638</v>
      </c>
      <c r="CZ3" s="516" t="s">
        <v>1639</v>
      </c>
      <c r="DA3" s="516" t="s">
        <v>1640</v>
      </c>
      <c r="DB3" s="516" t="s">
        <v>1641</v>
      </c>
      <c r="DC3" s="516" t="s">
        <v>1642</v>
      </c>
      <c r="DD3" s="516" t="s">
        <v>1627</v>
      </c>
      <c r="DE3" s="516" t="s">
        <v>1628</v>
      </c>
      <c r="DF3" s="516" t="s">
        <v>834</v>
      </c>
      <c r="DG3" s="516" t="s">
        <v>1673</v>
      </c>
      <c r="DH3" s="516" t="s">
        <v>1672</v>
      </c>
      <c r="DI3" s="516" t="s">
        <v>836</v>
      </c>
      <c r="DJ3" s="516" t="s">
        <v>837</v>
      </c>
      <c r="DK3" s="516" t="s">
        <v>838</v>
      </c>
      <c r="DL3" s="516" t="s">
        <v>839</v>
      </c>
      <c r="DM3" s="516" t="s">
        <v>840</v>
      </c>
      <c r="DN3" s="516" t="s">
        <v>841</v>
      </c>
      <c r="DO3" s="516" t="s">
        <v>842</v>
      </c>
      <c r="DP3" s="516" t="s">
        <v>843</v>
      </c>
      <c r="DQ3" s="516" t="s">
        <v>844</v>
      </c>
      <c r="DR3" s="516" t="s">
        <v>845</v>
      </c>
      <c r="DS3" s="516" t="s">
        <v>846</v>
      </c>
      <c r="DT3" s="516" t="s">
        <v>847</v>
      </c>
      <c r="DU3" s="516" t="s">
        <v>848</v>
      </c>
      <c r="DV3" s="516" t="s">
        <v>849</v>
      </c>
      <c r="DW3" s="516" t="s">
        <v>850</v>
      </c>
      <c r="DX3" s="516" t="s">
        <v>851</v>
      </c>
      <c r="DY3" s="516" t="s">
        <v>852</v>
      </c>
      <c r="DZ3" s="516" t="s">
        <v>853</v>
      </c>
      <c r="EA3" s="516" t="s">
        <v>854</v>
      </c>
      <c r="EB3" s="516" t="s">
        <v>855</v>
      </c>
      <c r="EC3" s="517" t="s">
        <v>856</v>
      </c>
      <c r="ED3" s="517" t="s">
        <v>857</v>
      </c>
      <c r="EE3" s="517" t="s">
        <v>858</v>
      </c>
      <c r="EF3" s="517" t="s">
        <v>859</v>
      </c>
      <c r="EG3" s="517" t="s">
        <v>1625</v>
      </c>
      <c r="EH3" s="517" t="s">
        <v>1626</v>
      </c>
      <c r="EI3" s="517" t="s">
        <v>1629</v>
      </c>
      <c r="EJ3" s="517" t="s">
        <v>1630</v>
      </c>
      <c r="EK3" s="517" t="s">
        <v>1631</v>
      </c>
      <c r="EL3" s="517" t="s">
        <v>860</v>
      </c>
      <c r="EM3" s="517" t="s">
        <v>861</v>
      </c>
      <c r="EN3" s="517" t="s">
        <v>862</v>
      </c>
      <c r="EO3" s="517" t="s">
        <v>863</v>
      </c>
      <c r="EP3" s="517" t="s">
        <v>836</v>
      </c>
      <c r="EQ3" s="517" t="s">
        <v>864</v>
      </c>
      <c r="ER3" s="517" t="s">
        <v>865</v>
      </c>
      <c r="ES3" s="517" t="s">
        <v>866</v>
      </c>
      <c r="ET3" s="517" t="s">
        <v>867</v>
      </c>
      <c r="EU3" s="517" t="s">
        <v>868</v>
      </c>
      <c r="EV3" s="517" t="s">
        <v>869</v>
      </c>
      <c r="EW3" s="517" t="s">
        <v>853</v>
      </c>
      <c r="EX3" s="517" t="s">
        <v>852</v>
      </c>
      <c r="EY3" s="517" t="s">
        <v>870</v>
      </c>
      <c r="EZ3" s="517" t="s">
        <v>871</v>
      </c>
    </row>
    <row r="4" spans="1:157" ht="16.5">
      <c r="D4" s="178" t="s">
        <v>0</v>
      </c>
      <c r="E4" s="178" t="s">
        <v>263</v>
      </c>
      <c r="F4" s="178" t="s">
        <v>96</v>
      </c>
      <c r="G4" s="178" t="s">
        <v>131</v>
      </c>
      <c r="H4" s="178" t="s">
        <v>76</v>
      </c>
      <c r="I4" s="178" t="s">
        <v>72</v>
      </c>
      <c r="J4" s="178" t="s">
        <v>73</v>
      </c>
      <c r="K4" s="179" t="s">
        <v>3</v>
      </c>
      <c r="L4" s="179" t="s">
        <v>4</v>
      </c>
      <c r="M4" s="180" t="s">
        <v>74</v>
      </c>
      <c r="N4" s="181" t="s">
        <v>114</v>
      </c>
      <c r="O4" s="178" t="s">
        <v>1460</v>
      </c>
      <c r="P4" s="178" t="s">
        <v>122</v>
      </c>
      <c r="Q4" s="178" t="s">
        <v>46</v>
      </c>
      <c r="R4" s="178" t="s">
        <v>130</v>
      </c>
      <c r="S4" s="178" t="s">
        <v>825</v>
      </c>
      <c r="T4" s="178" t="s">
        <v>1533</v>
      </c>
      <c r="U4" s="178" t="s">
        <v>90</v>
      </c>
      <c r="V4" s="178" t="s">
        <v>99</v>
      </c>
      <c r="W4" s="178" t="s">
        <v>9</v>
      </c>
      <c r="X4" s="12" t="s">
        <v>820</v>
      </c>
      <c r="Y4" s="12" t="s">
        <v>821</v>
      </c>
      <c r="Z4" s="12" t="s">
        <v>823</v>
      </c>
      <c r="AA4" s="12" t="s">
        <v>1459</v>
      </c>
      <c r="AB4" s="12" t="s">
        <v>824</v>
      </c>
      <c r="AC4" s="12" t="s">
        <v>830</v>
      </c>
      <c r="AD4" s="12" t="s">
        <v>831</v>
      </c>
      <c r="AE4" s="12" t="s">
        <v>1198</v>
      </c>
      <c r="AF4" s="12" t="s">
        <v>871</v>
      </c>
      <c r="AG4" s="12" t="s">
        <v>1172</v>
      </c>
      <c r="AI4" s="162" t="s">
        <v>233</v>
      </c>
      <c r="AL4" s="162" t="s">
        <v>234</v>
      </c>
      <c r="BP4" s="162" t="s">
        <v>480</v>
      </c>
      <c r="BQ4" s="72" t="str">
        <f ca="1">IF(UNNH0020_IF_PRINT_KENSAKU_KENSU=0,"",UNNH0020_IF_PRINT_LIST_START &amp;":" &amp; ADDRESS(ROW(INDIRECT(UNNH0020_IF_PRINT_LIST_START))+UNNH0020_IF_PRINT_KENSAKU_KENSU,COLUMN(INDIRECT(UNNH0020_IF_PRINT_LIST_START))+COLUMNS(UNNH0020_IF_PRINT_COPY_MOTO)-1))</f>
        <v>$BS$4:$EZ$5</v>
      </c>
      <c r="BS4" s="523"/>
      <c r="BT4" s="523"/>
      <c r="BU4" s="523"/>
      <c r="BV4" s="523"/>
      <c r="BW4" s="523"/>
      <c r="BX4" s="523"/>
      <c r="BY4" s="523"/>
      <c r="BZ4" s="523"/>
      <c r="CA4" s="523"/>
      <c r="CB4" s="523"/>
      <c r="CC4" s="523"/>
      <c r="CD4" s="523"/>
      <c r="CE4" s="523"/>
      <c r="CF4" s="523"/>
      <c r="CG4" s="523"/>
      <c r="CH4" s="523"/>
      <c r="CI4" s="177"/>
    </row>
    <row r="5" spans="1:157" ht="16.5">
      <c r="B5" s="57" t="s">
        <v>235</v>
      </c>
      <c r="C5" s="57" t="s">
        <v>468</v>
      </c>
      <c r="D5" s="58"/>
      <c r="E5" s="58"/>
      <c r="F5" s="58"/>
      <c r="G5" s="58"/>
      <c r="H5" s="58"/>
      <c r="I5" s="58"/>
      <c r="J5" s="58"/>
      <c r="K5" s="58"/>
      <c r="L5" s="58"/>
      <c r="M5" s="59"/>
      <c r="N5" s="58"/>
      <c r="O5" s="58"/>
      <c r="P5" s="58"/>
      <c r="Q5" s="58"/>
      <c r="R5" s="58"/>
      <c r="S5" s="61"/>
      <c r="T5" s="462"/>
      <c r="U5" s="58"/>
      <c r="V5" s="61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J5" s="57" t="s">
        <v>470</v>
      </c>
      <c r="AL5" s="62" t="s">
        <v>471</v>
      </c>
      <c r="BP5" s="162" t="s">
        <v>481</v>
      </c>
      <c r="BQ5" s="72" t="str">
        <f ca="1">"売上検索画面" &amp;"_"&amp;TEXT(NOW(),"YYYYMMDD!_hhmmss")</f>
        <v>売上検索画面_20170926_130750</v>
      </c>
      <c r="BS5" s="524"/>
      <c r="BT5" s="524"/>
      <c r="BU5" s="524"/>
      <c r="BV5" s="524"/>
      <c r="BW5" s="524"/>
      <c r="BX5" s="524"/>
      <c r="BY5" s="524"/>
      <c r="BZ5" s="524"/>
      <c r="CA5" s="524"/>
      <c r="CB5" s="524"/>
      <c r="CC5" s="524"/>
      <c r="CD5" s="524"/>
      <c r="CE5" s="524"/>
      <c r="CF5" s="524"/>
      <c r="CG5" s="524"/>
      <c r="CH5" s="524"/>
      <c r="CI5" s="77"/>
    </row>
    <row r="6" spans="1:157" ht="16.5">
      <c r="B6" s="57" t="s">
        <v>236</v>
      </c>
      <c r="C6" s="57" t="s">
        <v>472</v>
      </c>
      <c r="D6" s="365" t="s">
        <v>469</v>
      </c>
      <c r="E6" s="384"/>
      <c r="F6" s="384"/>
      <c r="G6" s="384"/>
      <c r="H6" s="384"/>
      <c r="I6" s="382"/>
      <c r="J6" s="382"/>
      <c r="K6" s="347"/>
      <c r="L6" s="64"/>
      <c r="M6" s="64"/>
      <c r="N6" s="347"/>
      <c r="O6" s="347"/>
      <c r="P6" s="347"/>
      <c r="Q6" s="347"/>
      <c r="R6" s="347"/>
      <c r="S6" s="385"/>
      <c r="T6" s="463"/>
      <c r="U6" s="347"/>
      <c r="V6" s="385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347"/>
      <c r="AI6" s="28" t="s">
        <v>419</v>
      </c>
      <c r="AJ6" s="66" t="b">
        <v>1</v>
      </c>
      <c r="AL6" s="624"/>
      <c r="AM6" s="624"/>
      <c r="AN6" s="624"/>
      <c r="AO6" s="624"/>
      <c r="AP6" s="6" t="s">
        <v>70</v>
      </c>
      <c r="AQ6" s="624"/>
      <c r="AR6" s="624"/>
      <c r="AS6" s="624"/>
      <c r="AT6" s="624"/>
      <c r="AU6" s="183"/>
      <c r="AV6" s="183"/>
      <c r="AW6" s="183"/>
      <c r="AX6" s="5" t="s">
        <v>86</v>
      </c>
      <c r="AY6" s="587"/>
      <c r="AZ6" s="588"/>
      <c r="BA6" s="588"/>
      <c r="BB6" s="589"/>
      <c r="BC6" s="603" t="str">
        <f>IF(UNNH0020_H_SEIKYUSAKI_CD="","",UNNH0020_H_SEIKYUSAKI_MEI)</f>
        <v/>
      </c>
      <c r="BD6" s="604"/>
      <c r="BE6" s="604"/>
      <c r="BF6" s="604"/>
      <c r="BG6" s="604"/>
      <c r="BH6" s="604"/>
      <c r="BI6" s="604"/>
      <c r="BJ6" s="604"/>
      <c r="BK6" s="604"/>
      <c r="BL6" s="604"/>
      <c r="BM6" s="605"/>
    </row>
    <row r="7" spans="1:157" ht="16.5">
      <c r="AI7" s="28" t="s">
        <v>420</v>
      </c>
      <c r="AJ7" s="71" t="b">
        <v>1</v>
      </c>
      <c r="AL7" s="596"/>
      <c r="AM7" s="597"/>
      <c r="AN7" s="597"/>
      <c r="AO7" s="598"/>
      <c r="AP7" s="6" t="s">
        <v>40</v>
      </c>
      <c r="AQ7" s="596"/>
      <c r="AR7" s="597"/>
      <c r="AS7" s="597"/>
      <c r="AT7" s="598"/>
      <c r="AU7" s="183"/>
      <c r="AV7" s="183"/>
      <c r="AW7" s="183"/>
      <c r="AX7" s="5" t="s">
        <v>87</v>
      </c>
      <c r="AY7" s="587"/>
      <c r="AZ7" s="588"/>
      <c r="BA7" s="588"/>
      <c r="BB7" s="589"/>
      <c r="BC7" s="603" t="str">
        <f>IF(UNNH0020_H_SHOHIN_CD="","",UNNH0020_H_SHOHIN_MEI)</f>
        <v/>
      </c>
      <c r="BD7" s="604"/>
      <c r="BE7" s="604"/>
      <c r="BF7" s="604"/>
      <c r="BG7" s="604"/>
      <c r="BH7" s="604"/>
      <c r="BI7" s="604"/>
      <c r="BJ7" s="604"/>
      <c r="BK7" s="604"/>
      <c r="BL7" s="604"/>
      <c r="BM7" s="605"/>
    </row>
    <row r="8" spans="1:157" ht="16.5">
      <c r="AI8" s="4" t="s">
        <v>421</v>
      </c>
      <c r="AJ8" s="71" t="b">
        <v>1</v>
      </c>
      <c r="AL8" s="596"/>
      <c r="AM8" s="597"/>
      <c r="AN8" s="597"/>
      <c r="AO8" s="598"/>
      <c r="AP8" s="6" t="s">
        <v>40</v>
      </c>
      <c r="AQ8" s="596"/>
      <c r="AR8" s="597"/>
      <c r="AS8" s="597"/>
      <c r="AT8" s="598"/>
      <c r="AU8" s="183"/>
      <c r="AV8" s="183"/>
      <c r="AW8" s="183"/>
      <c r="AX8" s="5" t="s">
        <v>1659</v>
      </c>
      <c r="AY8" s="625"/>
      <c r="AZ8" s="626"/>
      <c r="BA8" s="626"/>
      <c r="BB8" s="627"/>
      <c r="BC8" s="628" t="str">
        <f>IFERROR(IF(UNNH0020_H_BUNSEKI_HOHO="","",INDEX(UNNH_BUNSEKI_HOHO_IF_LIST,MATCH(UNNH0020_H_BUNSEKI_HOHO,UNNH_BUNSEKI_HOHO_IF_LIST2,0),2)),"")</f>
        <v/>
      </c>
      <c r="BD8" s="629"/>
      <c r="BE8" s="629"/>
      <c r="BF8" s="629"/>
      <c r="BG8" s="629"/>
      <c r="BH8" s="629"/>
      <c r="BI8" s="629"/>
      <c r="BJ8" s="629"/>
      <c r="BK8" s="629"/>
      <c r="BL8" s="629"/>
      <c r="BM8" s="630"/>
      <c r="CI8" s="329"/>
      <c r="DT8" s="329"/>
      <c r="DU8" s="329"/>
      <c r="DV8" s="329"/>
      <c r="DW8" s="329"/>
      <c r="DX8" s="329"/>
      <c r="DY8" s="329"/>
      <c r="DZ8" s="329"/>
      <c r="EC8" s="329"/>
      <c r="ED8" s="329"/>
      <c r="EL8" s="329"/>
      <c r="EN8" s="329"/>
      <c r="FA8" s="329"/>
    </row>
    <row r="9" spans="1:157" ht="16.5">
      <c r="A9" s="165" t="s">
        <v>238</v>
      </c>
      <c r="B9" s="57" t="s">
        <v>239</v>
      </c>
      <c r="C9" s="57" t="s">
        <v>473</v>
      </c>
      <c r="D9" s="72"/>
      <c r="E9" s="57" t="s">
        <v>240</v>
      </c>
      <c r="F9" s="57"/>
      <c r="G9" s="57"/>
      <c r="H9" s="57"/>
      <c r="I9" s="57"/>
      <c r="AI9" s="4" t="s">
        <v>1447</v>
      </c>
      <c r="AJ9" s="71" t="b">
        <v>1</v>
      </c>
      <c r="AL9" s="624"/>
      <c r="AM9" s="624"/>
      <c r="AN9" s="624"/>
      <c r="AO9" s="624"/>
      <c r="AP9" s="6" t="s">
        <v>70</v>
      </c>
      <c r="AQ9" s="624"/>
      <c r="AR9" s="624"/>
      <c r="AS9" s="624"/>
      <c r="AT9" s="624"/>
      <c r="AU9" s="183"/>
      <c r="AV9" s="183"/>
      <c r="AW9" s="183"/>
      <c r="AX9" s="5" t="s">
        <v>113</v>
      </c>
      <c r="AY9" s="632"/>
      <c r="AZ9" s="633"/>
      <c r="BA9" s="633"/>
      <c r="BB9" s="634"/>
      <c r="BC9" s="183"/>
      <c r="BD9" s="183"/>
      <c r="BE9" s="183"/>
      <c r="BF9" s="183"/>
      <c r="BG9" s="183"/>
      <c r="BH9" s="183"/>
      <c r="BI9" s="183"/>
      <c r="BJ9" s="183"/>
      <c r="BK9" s="183"/>
      <c r="BL9" s="183"/>
      <c r="BM9" s="183"/>
      <c r="CI9" s="329"/>
      <c r="DT9" s="329"/>
      <c r="DU9" s="329"/>
      <c r="DV9" s="329"/>
      <c r="DW9" s="329"/>
      <c r="DX9" s="329"/>
      <c r="DY9" s="329"/>
      <c r="DZ9" s="329"/>
      <c r="EC9" s="329"/>
      <c r="ED9" s="329"/>
      <c r="EL9" s="329"/>
      <c r="EN9" s="329"/>
      <c r="FA9" s="329"/>
    </row>
    <row r="10" spans="1:157" ht="16.5">
      <c r="AI10" s="28" t="s">
        <v>415</v>
      </c>
      <c r="AJ10" s="71" t="b">
        <v>1</v>
      </c>
      <c r="AL10" s="624"/>
      <c r="AM10" s="624"/>
      <c r="AN10" s="624"/>
      <c r="AO10" s="624"/>
      <c r="AP10" s="6" t="s">
        <v>70</v>
      </c>
      <c r="AQ10" s="624"/>
      <c r="AR10" s="624"/>
      <c r="AS10" s="624"/>
      <c r="AT10" s="624"/>
      <c r="AU10" s="183"/>
      <c r="AV10" s="183"/>
      <c r="AW10" s="183"/>
      <c r="AX10" s="5" t="s">
        <v>121</v>
      </c>
      <c r="AY10" s="590"/>
      <c r="AZ10" s="591"/>
      <c r="BA10" s="591"/>
      <c r="BB10" s="592"/>
      <c r="BC10" s="183"/>
      <c r="BD10" s="183"/>
      <c r="BE10" s="183"/>
      <c r="BF10" s="183"/>
      <c r="BG10" s="183"/>
      <c r="BH10" s="183"/>
      <c r="BI10" s="183"/>
      <c r="BJ10" s="183"/>
      <c r="BK10" s="183"/>
      <c r="BL10" s="183"/>
      <c r="BM10" s="183"/>
      <c r="CI10" s="329"/>
      <c r="DT10" s="329"/>
      <c r="DU10" s="329"/>
      <c r="DV10" s="329"/>
      <c r="DW10" s="329"/>
      <c r="DX10" s="329"/>
      <c r="DY10" s="329"/>
      <c r="DZ10" s="329"/>
      <c r="EC10" s="329"/>
      <c r="ED10" s="329"/>
      <c r="EL10" s="329"/>
      <c r="EN10" s="329"/>
      <c r="FA10" s="329"/>
    </row>
    <row r="11" spans="1:157" ht="16.5">
      <c r="C11" s="73"/>
      <c r="AI11" s="28" t="s">
        <v>416</v>
      </c>
      <c r="AJ11" s="71" t="b">
        <v>1</v>
      </c>
      <c r="AL11" s="631"/>
      <c r="AM11" s="631"/>
      <c r="AN11" s="631"/>
      <c r="AO11" s="631"/>
      <c r="AP11" s="183"/>
      <c r="AQ11" s="183"/>
      <c r="AR11" s="183"/>
      <c r="AS11" s="183"/>
      <c r="AT11" s="183"/>
      <c r="AU11" s="183"/>
      <c r="AV11" s="183"/>
      <c r="AW11" s="183"/>
      <c r="AX11" s="5" t="s">
        <v>1464</v>
      </c>
      <c r="AY11" s="590"/>
      <c r="AZ11" s="591"/>
      <c r="BA11" s="591"/>
      <c r="BB11" s="592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</row>
    <row r="12" spans="1:157" ht="16.5">
      <c r="A12" s="165" t="s">
        <v>241</v>
      </c>
      <c r="B12" s="162" t="s">
        <v>242</v>
      </c>
      <c r="C12" s="57" t="s">
        <v>474</v>
      </c>
      <c r="D12" s="74"/>
      <c r="AI12" s="28" t="s">
        <v>80</v>
      </c>
      <c r="AJ12" s="71" t="b">
        <v>1</v>
      </c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183"/>
      <c r="BJ12" s="183"/>
      <c r="BK12" s="183"/>
      <c r="BL12" s="183"/>
      <c r="BM12" s="183"/>
    </row>
    <row r="13" spans="1:157" ht="16.5">
      <c r="B13" s="162" t="s">
        <v>243</v>
      </c>
      <c r="C13" s="57" t="s">
        <v>475</v>
      </c>
      <c r="D13" s="74"/>
      <c r="AI13" s="28" t="s">
        <v>81</v>
      </c>
      <c r="AJ13" s="71" t="b">
        <v>1</v>
      </c>
      <c r="AL13" s="609"/>
      <c r="AM13" s="609"/>
      <c r="AN13" s="609"/>
      <c r="AO13" s="609"/>
      <c r="AP13" s="8" t="str">
        <f>IF(UNNH0020_H_FREEWD_KBN=1,"AND",IF(UNNH0020_H_FREEWD_KBN=2,"OR","NAND"))</f>
        <v>AND</v>
      </c>
      <c r="AQ13" s="609"/>
      <c r="AR13" s="609"/>
      <c r="AS13" s="609"/>
      <c r="AT13" s="609"/>
      <c r="AU13" s="8" t="str">
        <f>IF(UNNH0020_H_FREEWD_KBN=1,"AND",IF(UNNH0020_H_FREEWD_KBN=2,"OR","NAND"))</f>
        <v>AND</v>
      </c>
      <c r="AV13" s="609"/>
      <c r="AW13" s="609"/>
      <c r="AX13" s="609"/>
      <c r="AY13" s="609"/>
      <c r="AZ13" s="183"/>
      <c r="BA13" s="183"/>
      <c r="BB13" s="183"/>
      <c r="BC13" s="183"/>
      <c r="BD13" s="183"/>
      <c r="BE13" s="183"/>
      <c r="BF13" s="183"/>
      <c r="BG13" s="183"/>
      <c r="BH13" s="5"/>
      <c r="BI13" s="183" t="s">
        <v>104</v>
      </c>
      <c r="BJ13" s="183"/>
      <c r="BK13" s="183"/>
      <c r="BL13" s="183"/>
      <c r="BM13" s="183"/>
    </row>
    <row r="14" spans="1:157" ht="16.5">
      <c r="B14" s="162" t="s">
        <v>244</v>
      </c>
      <c r="C14" s="57" t="s">
        <v>476</v>
      </c>
      <c r="D14" s="74"/>
      <c r="AI14" s="28" t="s">
        <v>418</v>
      </c>
      <c r="AJ14" s="71" t="b">
        <v>1</v>
      </c>
    </row>
    <row r="15" spans="1:157" ht="16.5">
      <c r="AI15" s="28" t="s">
        <v>127</v>
      </c>
      <c r="AJ15" s="71" t="b">
        <v>0</v>
      </c>
    </row>
    <row r="16" spans="1:157" ht="16.5">
      <c r="B16" s="162" t="s">
        <v>245</v>
      </c>
      <c r="C16" s="57" t="s">
        <v>477</v>
      </c>
      <c r="D16" s="74"/>
      <c r="AI16" s="28" t="s">
        <v>128</v>
      </c>
      <c r="AJ16" s="71" t="b">
        <v>1</v>
      </c>
    </row>
    <row r="17" spans="1:54" ht="16.5">
      <c r="C17" s="57"/>
      <c r="D17" s="75"/>
      <c r="AI17" s="28" t="s">
        <v>417</v>
      </c>
      <c r="AJ17" s="71" t="b">
        <v>1</v>
      </c>
    </row>
    <row r="18" spans="1:54" ht="16.5">
      <c r="AI18" s="28" t="s">
        <v>436</v>
      </c>
      <c r="AJ18" s="71" t="b">
        <v>0</v>
      </c>
    </row>
    <row r="19" spans="1:54" ht="16.5">
      <c r="A19" s="165" t="s">
        <v>246</v>
      </c>
      <c r="N19" s="165"/>
      <c r="O19" s="165"/>
      <c r="AI19" s="31" t="s">
        <v>142</v>
      </c>
      <c r="AJ19" s="78">
        <v>1</v>
      </c>
    </row>
    <row r="20" spans="1:54" ht="16.5">
      <c r="AI20" s="29"/>
    </row>
    <row r="21" spans="1:54" ht="16.5"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I21" s="29"/>
    </row>
    <row r="22" spans="1:54" ht="16.5">
      <c r="D22" s="76"/>
      <c r="AI22" s="29"/>
      <c r="AK22" s="29"/>
      <c r="AL22" s="77"/>
      <c r="AM22" s="77"/>
      <c r="AN22" s="77"/>
    </row>
    <row r="23" spans="1:54" ht="16.5">
      <c r="AI23" s="29"/>
      <c r="AK23" s="29"/>
    </row>
    <row r="24" spans="1:54" ht="16.5">
      <c r="AI24" s="29"/>
    </row>
    <row r="25" spans="1:54" ht="16.5">
      <c r="AI25" s="29"/>
    </row>
    <row r="26" spans="1:54" ht="16.5">
      <c r="AI26" s="29"/>
    </row>
    <row r="27" spans="1:54" ht="16.5">
      <c r="Q27" s="57"/>
      <c r="AI27" s="29"/>
      <c r="AK27" s="77"/>
    </row>
    <row r="28" spans="1:54" ht="16.5">
      <c r="Q28" s="57"/>
      <c r="AI28" s="29"/>
      <c r="AK28" s="29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</row>
    <row r="29" spans="1:54" ht="16.5">
      <c r="AI29" s="29"/>
      <c r="AK29" s="29"/>
    </row>
    <row r="30" spans="1:54" ht="16.5">
      <c r="Q30" s="57"/>
      <c r="AI30" s="29"/>
    </row>
    <row r="31" spans="1:54" ht="16.5">
      <c r="Q31" s="57"/>
      <c r="AI31" s="29"/>
    </row>
    <row r="32" spans="1:54" ht="16.5">
      <c r="Q32" s="57"/>
      <c r="AI32" s="31"/>
    </row>
    <row r="35" spans="17:17">
      <c r="Q35" s="57"/>
    </row>
    <row r="36" spans="17:17">
      <c r="Q36" s="57"/>
    </row>
    <row r="37" spans="17:17">
      <c r="Q37" s="57"/>
    </row>
    <row r="38" spans="17:17">
      <c r="Q38" s="57"/>
    </row>
  </sheetData>
  <mergeCells count="23">
    <mergeCell ref="AL9:AO9"/>
    <mergeCell ref="AQ9:AT9"/>
    <mergeCell ref="AL13:AO13"/>
    <mergeCell ref="AQ13:AT13"/>
    <mergeCell ref="AL10:AO10"/>
    <mergeCell ref="AL11:AO11"/>
    <mergeCell ref="AQ10:AT10"/>
    <mergeCell ref="AY9:BB9"/>
    <mergeCell ref="AV13:AY13"/>
    <mergeCell ref="AY10:BB10"/>
    <mergeCell ref="BC6:BM6"/>
    <mergeCell ref="AY6:BB6"/>
    <mergeCell ref="AY7:BB7"/>
    <mergeCell ref="BC7:BM7"/>
    <mergeCell ref="AY11:BB11"/>
    <mergeCell ref="AY8:BB8"/>
    <mergeCell ref="BC8:BM8"/>
    <mergeCell ref="AQ7:AT7"/>
    <mergeCell ref="AL6:AO6"/>
    <mergeCell ref="AL7:AO7"/>
    <mergeCell ref="AL8:AO8"/>
    <mergeCell ref="AQ6:AT6"/>
    <mergeCell ref="AQ8:AT8"/>
  </mergeCells>
  <phoneticPr fontId="2"/>
  <conditionalFormatting sqref="D6:M6 V6:AG6">
    <cfRule type="expression" dxfId="292" priority="6">
      <formula>CELL("row")=ROW()</formula>
    </cfRule>
  </conditionalFormatting>
  <conditionalFormatting sqref="S6">
    <cfRule type="expression" dxfId="291" priority="5">
      <formula>CELL("row")=ROW()</formula>
    </cfRule>
  </conditionalFormatting>
  <conditionalFormatting sqref="N6 P6:R6">
    <cfRule type="expression" dxfId="290" priority="4">
      <formula>CELL("row")=ROW()</formula>
    </cfRule>
  </conditionalFormatting>
  <conditionalFormatting sqref="U6">
    <cfRule type="expression" dxfId="289" priority="3">
      <formula>CELL("row")=ROW()</formula>
    </cfRule>
  </conditionalFormatting>
  <conditionalFormatting sqref="O6">
    <cfRule type="expression" dxfId="288" priority="2">
      <formula>CELL("row")=ROW()</formula>
    </cfRule>
  </conditionalFormatting>
  <conditionalFormatting sqref="T6">
    <cfRule type="expression" dxfId="287" priority="1">
      <formula>CELL("row")=ROW()</formula>
    </cfRule>
  </conditionalFormatting>
  <dataValidations count="8">
    <dataValidation type="custom" allowBlank="1" showInputMessage="1" showErrorMessage="1" sqref="AL12:AO12">
      <formula1>LEN(AL12)&lt;=20</formula1>
    </dataValidation>
    <dataValidation type="custom" allowBlank="1" showInputMessage="1" showErrorMessage="1" sqref="AW13:AZ13 BB13:BM13">
      <formula1>AND(LEN(AW13)=LENB(AW13)=10)</formula1>
    </dataValidation>
    <dataValidation type="custom" allowBlank="1" showInputMessage="1" showErrorMessage="1" sqref="AL8:AO8">
      <formula1>AND(LEN(UNNH0020_H_JURI_NO_START)=LENB(UNNH0020_H_JURI_NO_START),LEN(UNNH0020_H_JURI_NO_START)=10)</formula1>
    </dataValidation>
    <dataValidation type="custom" allowBlank="1" showInputMessage="1" showErrorMessage="1" sqref="AQ7:AT7">
      <formula1>AND(LEN(UNNH0020_H_URIAGE_NO_END)=LENB(UNNH0020_H_URIAGE_NO_END),LEN(UNNH0020_H_URIAGE_NO_END)=10)</formula1>
    </dataValidation>
    <dataValidation type="custom" allowBlank="1" showInputMessage="1" showErrorMessage="1" sqref="AL7:AO7">
      <formula1>AND(LEN(UNNH0020_H_URIAGE_NO_START)=LENB(UNNH0020_H_URIAGE_NO_START),LEN(UNNH0020_H_URIAGE_NO_START)=10)</formula1>
    </dataValidation>
    <dataValidation type="custom" allowBlank="1" showInputMessage="1" showErrorMessage="1" sqref="AQ8:AT8">
      <formula1>AND(LEN(UNNH0020_H_JURI_NO_END)=LENB(UNNH0020_H_JURI_NO_END),LEN(UNNH0020_H_JURI_NO_END)=10)</formula1>
    </dataValidation>
    <dataValidation type="date" allowBlank="1" showInputMessage="1" showErrorMessage="1" sqref="AL6:AO6 AQ6:AT6 AL9:AO9 AQ9:AT9 AQ10:AT10 AL10:AO10">
      <formula1>36526</formula1>
      <formula2>73415</formula2>
    </dataValidation>
    <dataValidation type="custom" allowBlank="1" showInputMessage="1" showErrorMessage="1" sqref="AY8:BB8">
      <formula1>AND(LEN(X9)=LENB(X9),LEN(X9)&lt;=9)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0"/>
  <sheetViews>
    <sheetView topLeftCell="A25" zoomScale="85" zoomScaleNormal="85" workbookViewId="0">
      <selection activeCell="B40" sqref="B40"/>
    </sheetView>
  </sheetViews>
  <sheetFormatPr defaultRowHeight="18.75" customHeight="1"/>
  <cols>
    <col min="1" max="1" width="3.125" style="162" customWidth="1"/>
    <col min="2" max="2" width="22" style="162" bestFit="1" customWidth="1"/>
    <col min="3" max="3" width="26.75" style="57" customWidth="1"/>
    <col min="4" max="5" width="1.125" style="185" customWidth="1"/>
    <col min="6" max="6" width="52.625" style="186" customWidth="1"/>
    <col min="7" max="7" width="31.125" style="162" customWidth="1"/>
    <col min="8" max="8" width="13" style="162" customWidth="1"/>
    <col min="9" max="16384" width="9" style="162"/>
  </cols>
  <sheetData>
    <row r="1" spans="1:7" s="80" customFormat="1" ht="18.75" customHeight="1">
      <c r="A1" s="79" t="s">
        <v>290</v>
      </c>
      <c r="C1" s="81"/>
      <c r="D1" s="82"/>
      <c r="E1" s="82"/>
      <c r="F1" s="83" t="s">
        <v>533</v>
      </c>
      <c r="G1" s="80" t="s">
        <v>534</v>
      </c>
    </row>
    <row r="2" spans="1:7" s="187" customFormat="1" ht="18.75" customHeight="1">
      <c r="B2" s="188" t="s">
        <v>482</v>
      </c>
      <c r="C2" s="189" t="s">
        <v>1174</v>
      </c>
      <c r="D2" s="190"/>
      <c r="E2" s="190"/>
      <c r="F2" s="93" t="b">
        <v>1</v>
      </c>
      <c r="G2" s="191" t="b">
        <f>UNNH0020_H_MIHAKKO_STS</f>
        <v>1</v>
      </c>
    </row>
    <row r="3" spans="1:7" s="84" customFormat="1" ht="18.75" customHeight="1">
      <c r="B3" s="192" t="s">
        <v>420</v>
      </c>
      <c r="C3" s="38" t="s">
        <v>1175</v>
      </c>
      <c r="D3" s="85"/>
      <c r="E3" s="85"/>
      <c r="F3" s="86" t="b">
        <v>1</v>
      </c>
      <c r="G3" s="193" t="b">
        <f>UNNH0020_H_HAKKOSUMI_STS</f>
        <v>1</v>
      </c>
    </row>
    <row r="4" spans="1:7" s="187" customFormat="1" ht="18.75" customHeight="1">
      <c r="B4" s="188" t="s">
        <v>483</v>
      </c>
      <c r="C4" s="189" t="s">
        <v>1176</v>
      </c>
      <c r="D4" s="190"/>
      <c r="E4" s="190"/>
      <c r="F4" s="93" t="b">
        <v>1</v>
      </c>
      <c r="G4" s="191" t="b">
        <f>UNNH0020_H_SAIHAKKOSUMI_STS</f>
        <v>1</v>
      </c>
    </row>
    <row r="5" spans="1:7" s="84" customFormat="1" ht="18.75" customHeight="1">
      <c r="B5" s="192" t="s">
        <v>1452</v>
      </c>
      <c r="C5" s="38" t="s">
        <v>1453</v>
      </c>
      <c r="D5" s="85"/>
      <c r="E5" s="85"/>
      <c r="F5" s="86" t="b">
        <v>1</v>
      </c>
      <c r="G5" s="193" t="b">
        <f>UNNH0020_H_URIAGE_LINK_STS</f>
        <v>1</v>
      </c>
    </row>
    <row r="6" spans="1:7" s="187" customFormat="1" ht="18.75" customHeight="1">
      <c r="B6" s="188" t="s">
        <v>488</v>
      </c>
      <c r="C6" s="189" t="s">
        <v>1177</v>
      </c>
      <c r="D6" s="190"/>
      <c r="E6" s="190"/>
      <c r="F6" s="93" t="b">
        <v>1</v>
      </c>
      <c r="G6" s="191" t="b">
        <f>UNNH0020_H_TSUJO_KBN</f>
        <v>1</v>
      </c>
    </row>
    <row r="7" spans="1:7" s="84" customFormat="1" ht="18.75" customHeight="1">
      <c r="B7" s="192" t="s">
        <v>1450</v>
      </c>
      <c r="C7" s="38" t="s">
        <v>1178</v>
      </c>
      <c r="D7" s="85"/>
      <c r="E7" s="85"/>
      <c r="F7" s="86" t="b">
        <v>1</v>
      </c>
      <c r="G7" s="193" t="b">
        <f>UNNH0020_H_TEISEI_KBN</f>
        <v>1</v>
      </c>
    </row>
    <row r="8" spans="1:7" s="187" customFormat="1" ht="18.75" customHeight="1">
      <c r="B8" s="188" t="s">
        <v>80</v>
      </c>
      <c r="C8" s="189" t="s">
        <v>1179</v>
      </c>
      <c r="D8" s="190"/>
      <c r="E8" s="190"/>
      <c r="F8" s="93" t="b">
        <v>1</v>
      </c>
      <c r="G8" s="191" t="b">
        <f>UNNH0020_H_AKA_KBN</f>
        <v>1</v>
      </c>
    </row>
    <row r="9" spans="1:7" s="84" customFormat="1" ht="18.75" customHeight="1">
      <c r="B9" s="192" t="s">
        <v>81</v>
      </c>
      <c r="C9" s="38" t="s">
        <v>1180</v>
      </c>
      <c r="D9" s="85"/>
      <c r="E9" s="85"/>
      <c r="F9" s="86" t="b">
        <v>1</v>
      </c>
      <c r="G9" s="193" t="b">
        <f>UNNH0020_H_KURO_KBN</f>
        <v>1</v>
      </c>
    </row>
    <row r="10" spans="1:7" s="187" customFormat="1" ht="18.75" customHeight="1">
      <c r="B10" s="188" t="s">
        <v>489</v>
      </c>
      <c r="C10" s="189" t="s">
        <v>1181</v>
      </c>
      <c r="D10" s="190"/>
      <c r="E10" s="190"/>
      <c r="F10" s="93" t="b">
        <v>1</v>
      </c>
      <c r="G10" s="191" t="b">
        <f>UNNH0020_H_KETSUGO_KBN</f>
        <v>1</v>
      </c>
    </row>
    <row r="11" spans="1:7" s="84" customFormat="1" ht="18.75" customHeight="1">
      <c r="B11" s="192" t="s">
        <v>127</v>
      </c>
      <c r="C11" s="38" t="s">
        <v>1182</v>
      </c>
      <c r="D11" s="85"/>
      <c r="E11" s="85"/>
      <c r="F11" s="86" t="b">
        <v>1</v>
      </c>
      <c r="G11" s="193" t="b">
        <f>UNNH0020_H_RENDO_FUYO_KBN</f>
        <v>0</v>
      </c>
    </row>
    <row r="12" spans="1:7" s="187" customFormat="1" ht="18.75" customHeight="1">
      <c r="B12" s="188" t="s">
        <v>128</v>
      </c>
      <c r="C12" s="189" t="s">
        <v>1183</v>
      </c>
      <c r="D12" s="190"/>
      <c r="E12" s="190"/>
      <c r="F12" s="93" t="b">
        <v>1</v>
      </c>
      <c r="G12" s="191" t="b">
        <f>UNNH0020_H_RENDO_MI_KBN</f>
        <v>1</v>
      </c>
    </row>
    <row r="13" spans="1:7" s="84" customFormat="1" ht="18.75" customHeight="1">
      <c r="B13" s="192" t="s">
        <v>417</v>
      </c>
      <c r="C13" s="38" t="s">
        <v>1184</v>
      </c>
      <c r="D13" s="85"/>
      <c r="E13" s="85"/>
      <c r="F13" s="86" t="b">
        <v>1</v>
      </c>
      <c r="G13" s="193" t="b">
        <f>UNNH0020_H_RENDO_SUMI_KBN</f>
        <v>1</v>
      </c>
    </row>
    <row r="14" spans="1:7" s="187" customFormat="1" ht="18.75" customHeight="1">
      <c r="B14" s="188" t="s">
        <v>490</v>
      </c>
      <c r="C14" s="189" t="s">
        <v>1185</v>
      </c>
      <c r="D14" s="190"/>
      <c r="E14" s="190"/>
      <c r="F14" s="93" t="b">
        <v>1</v>
      </c>
      <c r="G14" s="191" t="b">
        <f>UNNH0020_H_DEL_HYOJI_FLG</f>
        <v>0</v>
      </c>
    </row>
    <row r="15" spans="1:7" s="84" customFormat="1" ht="18.75" customHeight="1">
      <c r="B15" s="192" t="s">
        <v>484</v>
      </c>
      <c r="C15" s="38" t="s">
        <v>1186</v>
      </c>
      <c r="D15" s="85"/>
      <c r="E15" s="85"/>
      <c r="F15" s="86"/>
      <c r="G15" s="193" t="str">
        <f>IF(UNNH0020_H_URIAGE_DATE_START="",
     "",
     TEXT(
         MIN(UNNH0020_H_URIAGE_DATE_START,
               UNNH0020_H_URIAGE_DATE_END
         ),
         "YYYY/MM/DD"
     )
  )</f>
        <v/>
      </c>
    </row>
    <row r="16" spans="1:7" s="187" customFormat="1" ht="18.75" customHeight="1">
      <c r="B16" s="188"/>
      <c r="C16" s="189" t="s">
        <v>1187</v>
      </c>
      <c r="D16" s="190"/>
      <c r="E16" s="190"/>
      <c r="F16" s="93"/>
      <c r="G16" s="191" t="str">
        <f>IF(UNNH0020_H_URIAGE_DATE_END="",
     "",
     TEXT(
         MAX(UNNH0020_H_URIAGE_DATE_START,
               UNNH0020_H_URIAGE_DATE_END
         ),
         "YYYY/MM/DD"
     )
  )</f>
        <v/>
      </c>
    </row>
    <row r="17" spans="2:7" s="84" customFormat="1" ht="18.75" customHeight="1">
      <c r="B17" s="192" t="s">
        <v>485</v>
      </c>
      <c r="C17" s="38" t="s">
        <v>1188</v>
      </c>
      <c r="D17" s="85"/>
      <c r="E17" s="85"/>
      <c r="F17" s="86"/>
      <c r="G17" s="193" t="str">
        <f>IF(UNNH0020_H_URIAGE_NO_MIN=0,"",UNNH0020_H_URIAGE_NO_MIN)</f>
        <v/>
      </c>
    </row>
    <row r="18" spans="2:7" s="187" customFormat="1" ht="18.75" customHeight="1">
      <c r="B18" s="188"/>
      <c r="C18" s="189" t="s">
        <v>1189</v>
      </c>
      <c r="D18" s="190"/>
      <c r="E18" s="190"/>
      <c r="F18" s="93" t="s">
        <v>145</v>
      </c>
      <c r="G18" s="191" t="str">
        <f>IF(UNNH0020_H_URIAGE_NO_MAX=0,"",UNNH0020_H_URIAGE_NO_MAX)</f>
        <v/>
      </c>
    </row>
    <row r="19" spans="2:7" s="84" customFormat="1" ht="18.75" customHeight="1">
      <c r="B19" s="192" t="s">
        <v>486</v>
      </c>
      <c r="C19" s="38" t="s">
        <v>1190</v>
      </c>
      <c r="D19" s="85"/>
      <c r="E19" s="85"/>
      <c r="F19" s="86"/>
      <c r="G19" s="193" t="str">
        <f>IF(UNNH0020_H_JURI_NO_MIN=0,"",UNNH0020_H_JURI_NO_MIN)</f>
        <v/>
      </c>
    </row>
    <row r="20" spans="2:7" s="187" customFormat="1" ht="18.75" customHeight="1">
      <c r="B20" s="188"/>
      <c r="C20" s="189" t="s">
        <v>1191</v>
      </c>
      <c r="D20" s="190"/>
      <c r="E20" s="190"/>
      <c r="F20" s="93"/>
      <c r="G20" s="191" t="str">
        <f>IF(UNNH0020_H_JURI_NO_MAX=0,"",UNNH0020_H_JURI_NO_MAX)</f>
        <v/>
      </c>
    </row>
    <row r="21" spans="2:7" s="84" customFormat="1" ht="18.75" customHeight="1">
      <c r="B21" s="439" t="s">
        <v>48</v>
      </c>
      <c r="C21" s="440" t="s">
        <v>1192</v>
      </c>
      <c r="D21" s="441"/>
      <c r="E21" s="441"/>
      <c r="F21" s="442"/>
      <c r="G21" s="443" t="str">
        <f>IF(UNNH0020_H_NOHIN_DATE_START="",
     "",
     TEXT(
         MIN(UNNH0020_H_NOHIN_DATE_START,
               UNNH0020_H_NOHIN_DATE_END
         ),
         "YYYY/MM/DD"
     )
  )</f>
        <v/>
      </c>
    </row>
    <row r="22" spans="2:7" s="187" customFormat="1" ht="18.75" customHeight="1">
      <c r="B22" s="444"/>
      <c r="C22" s="445" t="s">
        <v>1193</v>
      </c>
      <c r="D22" s="446"/>
      <c r="E22" s="446"/>
      <c r="F22" s="447"/>
      <c r="G22" s="448" t="str">
        <f>IF(UNNH0020_H_NOHIN_DATE_END="",
     "",
     TEXT(
         MAX(UNNH0020_H_NOHIN_DATE_START,
               UNNH0020_H_NOHIN_DATE_END
         ),
         "YYYY/MM/DD"
     )
  )</f>
        <v/>
      </c>
    </row>
    <row r="23" spans="2:7" s="84" customFormat="1" ht="18.75" customHeight="1">
      <c r="B23" s="192" t="s">
        <v>47</v>
      </c>
      <c r="C23" s="38" t="s">
        <v>1467</v>
      </c>
      <c r="D23" s="85"/>
      <c r="E23" s="85"/>
      <c r="F23" s="86"/>
      <c r="G23" s="193" t="str">
        <f>IF(UNNH0020_H_NYURYOKU_DATE_START="",
     "",
     TEXT(
         MIN(UNNH0020_H_NYURYOKU_DATE_START,
               UNNH0020_H_NYURYOKU_DATE_END
         ),
         "YYYY/MM/DD"
     )
  )</f>
        <v/>
      </c>
    </row>
    <row r="24" spans="2:7" s="187" customFormat="1" ht="18.75" customHeight="1">
      <c r="B24" s="188"/>
      <c r="C24" s="189" t="s">
        <v>1468</v>
      </c>
      <c r="D24" s="190"/>
      <c r="E24" s="190"/>
      <c r="F24" s="93"/>
      <c r="G24" s="191" t="str">
        <f>IF(UNNH0020_H_NYURYOKU_DATE_END="",
     "",
     TEXT(
         MAX(UNNH0020_H_NYURYOKU_DATE_START,
               UNNH0020_H_NYURYOKU_DATE_END
         ),
         "YYYY/MM/DD"
     )
  )</f>
        <v/>
      </c>
    </row>
    <row r="25" spans="2:7" s="84" customFormat="1" ht="18.75" customHeight="1">
      <c r="B25" s="192" t="s">
        <v>73</v>
      </c>
      <c r="C25" s="38" t="s">
        <v>1194</v>
      </c>
      <c r="D25" s="85"/>
      <c r="E25" s="85"/>
      <c r="F25" s="86"/>
      <c r="G25" s="193" t="str">
        <f>IF(UNNH0020_H_KAISHU_DATE_START="",
     "",
     TEXT(
         MIN(UNNH0020_H_KAISHU_DATE_START,
               UNNH0020_H_KAISHU_DATE_END
         ),
         "YYYY/MM/DD"
     )
  )</f>
        <v/>
      </c>
    </row>
    <row r="26" spans="2:7" s="187" customFormat="1" ht="18.75" customHeight="1">
      <c r="B26" s="188"/>
      <c r="C26" s="189" t="s">
        <v>1195</v>
      </c>
      <c r="D26" s="190"/>
      <c r="E26" s="190"/>
      <c r="F26" s="93"/>
      <c r="G26" s="191" t="str">
        <f>IF(UNNH0020_H_KAISHU_DATE_END="",
     "",
     TEXT(
         MAX(UNNH0020_H_KAISHU_DATE_START,
               UNNH0020_H_KAISHU_DATE_END
         ),
         "YYYY/MM/DD"
     )
  )</f>
        <v/>
      </c>
    </row>
    <row r="27" spans="2:7" s="84" customFormat="1" ht="18.75" customHeight="1">
      <c r="B27" s="192" t="s">
        <v>487</v>
      </c>
      <c r="C27" s="38" t="s">
        <v>1196</v>
      </c>
      <c r="D27" s="85"/>
      <c r="E27" s="85"/>
      <c r="F27" s="86"/>
      <c r="G27" s="193" t="str">
        <f>IF(UNNH0020_H_SAKI_URIAGE_NO="","",UNNH0020_H_SAKI_URIAGE_NO)</f>
        <v/>
      </c>
    </row>
    <row r="28" spans="2:7" s="187" customFormat="1" ht="18.75" customHeight="1">
      <c r="B28" s="188" t="s">
        <v>3</v>
      </c>
      <c r="C28" s="189" t="s">
        <v>491</v>
      </c>
      <c r="D28" s="190"/>
      <c r="E28" s="190"/>
      <c r="F28" s="93" t="s">
        <v>145</v>
      </c>
      <c r="G28" s="191" t="str">
        <f>IF(UNNH0020_H_SEIKYUSAKI_CD="","",UNNH0020_H_SEIKYUSAKI_CD)</f>
        <v/>
      </c>
    </row>
    <row r="29" spans="2:7" s="84" customFormat="1" ht="18.75" customHeight="1">
      <c r="B29" s="192" t="s">
        <v>21</v>
      </c>
      <c r="C29" s="38" t="s">
        <v>1197</v>
      </c>
      <c r="D29" s="85"/>
      <c r="E29" s="85"/>
      <c r="F29" s="86"/>
      <c r="G29" s="193" t="str">
        <f>IF(UNNH0020_H_SHOHIN_CD="","",UNNH0020_H_SHOHIN_CD)</f>
        <v/>
      </c>
    </row>
    <row r="30" spans="2:7" s="187" customFormat="1" ht="18.75" customHeight="1">
      <c r="B30" s="188" t="s">
        <v>835</v>
      </c>
      <c r="C30" s="189" t="s">
        <v>1199</v>
      </c>
      <c r="D30" s="190"/>
      <c r="E30" s="190"/>
      <c r="F30" s="93" t="s">
        <v>1201</v>
      </c>
      <c r="G30" s="191" t="str">
        <f>IF(UNNH0020_H_BUNSEKI_HOHO="","",UNNH0020_H_BUNSEKI_HOHO)</f>
        <v/>
      </c>
    </row>
    <row r="31" spans="2:7" s="84" customFormat="1" ht="18.75" customHeight="1">
      <c r="B31" s="192" t="s">
        <v>1451</v>
      </c>
      <c r="C31" s="38" t="s">
        <v>1173</v>
      </c>
      <c r="D31" s="85"/>
      <c r="E31" s="85"/>
      <c r="F31" s="86"/>
      <c r="G31" s="193" t="str">
        <f>IF(UNNH0020_H_BUSHO_MEI="","",UNNH0020_H_BUSHO_CD)</f>
        <v/>
      </c>
    </row>
    <row r="32" spans="2:7" s="187" customFormat="1" ht="18.75" customHeight="1">
      <c r="B32" s="188" t="s">
        <v>1469</v>
      </c>
      <c r="C32" s="189" t="s">
        <v>1470</v>
      </c>
      <c r="D32" s="190"/>
      <c r="E32" s="190"/>
      <c r="F32" s="93"/>
      <c r="G32" s="191" t="str">
        <f>IF(UNNH0020_H_NYURYOKUSHA_MEI="","",UNNH0020_H_NYURYOKUSHA_CD)</f>
        <v/>
      </c>
    </row>
    <row r="33" spans="1:7" s="84" customFormat="1" ht="18.75" customHeight="1">
      <c r="B33" s="192" t="s">
        <v>144</v>
      </c>
      <c r="C33" s="38" t="s">
        <v>1476</v>
      </c>
      <c r="D33" s="85"/>
      <c r="E33" s="85"/>
      <c r="F33" s="86"/>
      <c r="G33" s="193" t="str">
        <f>IF(UNNH0020_H_EIGYO_TANTO_MEI="","",UNNH0020_H_EIGYO_TANTO_CD)</f>
        <v/>
      </c>
    </row>
    <row r="34" spans="1:7" s="187" customFormat="1" ht="18.75" customHeight="1">
      <c r="B34" s="188" t="s">
        <v>1471</v>
      </c>
      <c r="C34" s="189" t="s">
        <v>1472</v>
      </c>
      <c r="D34" s="190"/>
      <c r="E34" s="190"/>
      <c r="F34" s="93" t="s">
        <v>145</v>
      </c>
      <c r="G34" s="191" t="str">
        <f>IF(UNNH0020_H_FREEWD_1="","",UNNH0020_H_FREEWD_1)</f>
        <v/>
      </c>
    </row>
    <row r="35" spans="1:7" s="84" customFormat="1" ht="18.75" customHeight="1">
      <c r="B35" s="192"/>
      <c r="C35" s="38" t="s">
        <v>1473</v>
      </c>
      <c r="D35" s="85"/>
      <c r="E35" s="85"/>
      <c r="F35" s="86" t="s">
        <v>145</v>
      </c>
      <c r="G35" s="193" t="str">
        <f>IF(UNNH0020_H_FREEWD_2="","",UNNH0020_H_FREEWD_2)</f>
        <v/>
      </c>
    </row>
    <row r="36" spans="1:7" s="187" customFormat="1" ht="18.75" customHeight="1">
      <c r="B36" s="188"/>
      <c r="C36" s="189" t="s">
        <v>1474</v>
      </c>
      <c r="D36" s="190"/>
      <c r="E36" s="190"/>
      <c r="F36" s="93" t="s">
        <v>145</v>
      </c>
      <c r="G36" s="191" t="str">
        <f>IF(UNNH0020_H_FREEWD_3="","",UNNH0020_H_FREEWD_3)</f>
        <v/>
      </c>
    </row>
    <row r="37" spans="1:7" s="84" customFormat="1" ht="18.75" customHeight="1">
      <c r="B37" s="192" t="s">
        <v>142</v>
      </c>
      <c r="C37" s="38" t="s">
        <v>1475</v>
      </c>
      <c r="D37" s="85"/>
      <c r="E37" s="85"/>
      <c r="F37" s="86">
        <v>1</v>
      </c>
      <c r="G37" s="193">
        <f>UNNH0020_H_FREEWD_KBN</f>
        <v>1</v>
      </c>
    </row>
    <row r="38" spans="1:7" s="33" customFormat="1" ht="18.75" customHeight="1" thickBot="1">
      <c r="A38" s="84"/>
      <c r="B38" s="98"/>
      <c r="C38" s="99"/>
      <c r="D38" s="100"/>
      <c r="E38" s="100"/>
      <c r="F38" s="101"/>
      <c r="G38" s="194"/>
    </row>
    <row r="39" spans="1:7" s="108" customFormat="1" ht="18.75" customHeight="1" thickBot="1">
      <c r="A39" s="103"/>
      <c r="B39" s="104"/>
      <c r="C39" s="105"/>
      <c r="D39" s="106"/>
      <c r="E39" s="106"/>
      <c r="F39" s="107"/>
    </row>
    <row r="40" spans="1:7" s="195" customFormat="1" ht="18.75" customHeight="1">
      <c r="A40" s="84"/>
      <c r="B40" s="109" t="s">
        <v>496</v>
      </c>
      <c r="C40" s="110" t="s">
        <v>525</v>
      </c>
      <c r="D40" s="642" t="str">
        <f>E45&amp;E50&amp;E51&amp;E52&amp;E53&amp;E54&amp;E55&amp;E56&amp;E57&amp;E58&amp;E59&amp;E60&amp;E61&amp;E62&amp;E63&amp;E68&amp;E74&amp;E78&amp;E82&amp;E83&amp;E87</f>
        <v>SELECT V_URIAGE_LIST.GYO_MOJI
  ,V_URIAGE_LIST.URIAGE_STS_MEI
  ,V_URIAGE_LIST.DEMPYO_KBN_MEI
  ,V_URIAGE_LIST.RENDO_KBN_MEI
  ,V_URIAGE_LIST.URIAGE_NO
  ,V_URIAGE_LIST.URIAGE_DATE
  ,V_URIAGE_LIST.KAISHU_DATE
  ,V_URIAGE_LIST.SEIKYU_CD 
  ,V_URIAGE_LIST.SEIKYU_MEI
  ,V_URIAGE_LIST.DEMPYO_SOFU_MEI
  ,V_URIAGE_LIST.BUSHO_MEI
  ,V_URIAGE_LIST.EIGYO_TANTO_MEI
  ,V_URIAGE_LIST.URI_NYU_MEI
  ,V_URIAGE_LIST.JURI_NO
  ,V_URIAGE_LIST.SAKI_URIAGE_NO
  ,V_URIAGE_LIST.NYURYOKU_DATE_TIME
  ,V_URIAGE_LIST.TEKIYO
  ,V_URIAGE_LIST.SHOKON_NO
  ,V_URIAGE_LIST.SHOKON_LIST_DATE_TIME
  ,V_URIAGE_LIST.DEL
  FROM V_URIAGE_LIST
  WHERE 1=1
AND V_URIAGE_LIST.BUNSEKI_HOHO_CD = 'AAA'
AND (1!=1 
        OR V_URIAGE_LIST.URIAGE_STS = 1
        OR V_URIAGE_LIST.URIAGE_STS = 2
        OR V_URIAGE_LIST.URIAGE_STS = 3
        OR V_URIAGE_LIST.URIAGE_STS = 4
)
AND (1!=1 
        OR V_URIAGE_LIST.DEMPYO_KBN = 1
        OR V_URIAGE_LIST.DEMPYO_KBN = 2
        OR V_URIAGE_LIST.DEMPYO_KBN = 3
        OR V_URIAGE_LIST.DEMPYO_KBN = 4
        OR V_URIAGE_LIST.DEMPYO_KBN = 5
)
AND (1!=1 
        OR V_URIAGE_LIST.RENDO_KBN = 1
        OR V_URIAGE_LIST.RENDO_KBN = 2
        OR V_URIAGE_LIST.RENDO_KBN = 3
)
   AND(
        1=1
    ) OFFSET 0*50 ROWS
 FETCH NEXT 50 ROWS ONLY</v>
      </c>
      <c r="E40" s="642"/>
      <c r="F40" s="642"/>
    </row>
    <row r="41" spans="1:7" s="124" customFormat="1" ht="18.75" customHeight="1">
      <c r="A41" s="168"/>
      <c r="B41" s="172" t="s">
        <v>497</v>
      </c>
      <c r="C41" s="173" t="s">
        <v>526</v>
      </c>
      <c r="D41" s="643" t="str">
        <f>E46&amp;E50&amp;E51&amp;E52&amp;E53&amp;E54&amp;E55&amp;E56&amp;E57&amp;E58&amp;E59&amp;E60&amp;E61&amp;E62&amp;E63&amp;E68&amp;E74&amp;E78&amp;E82</f>
        <v>SELECT COUNT(*) AS CNT
  FROM V_URIAGE_LIST
  WHERE 1=1
AND V_URIAGE_LIST.BUNSEKI_HOHO_CD = 'AAA'
AND (1!=1 
        OR V_URIAGE_LIST.URIAGE_STS = 1
        OR V_URIAGE_LIST.URIAGE_STS = 2
        OR V_URIAGE_LIST.URIAGE_STS = 3
        OR V_URIAGE_LIST.URIAGE_STS = 4
)
AND (1!=1 
        OR V_URIAGE_LIST.DEMPYO_KBN = 1
        OR V_URIAGE_LIST.DEMPYO_KBN = 2
        OR V_URIAGE_LIST.DEMPYO_KBN = 3
        OR V_URIAGE_LIST.DEMPYO_KBN = 4
        OR V_URIAGE_LIST.DEMPYO_KBN = 5
)
AND (1!=1 
        OR V_URIAGE_LIST.RENDO_KBN = 1
        OR V_URIAGE_LIST.RENDO_KBN = 2
        OR V_URIAGE_LIST.RENDO_KBN = 3
)
   AND(
        1=1
    )</v>
      </c>
      <c r="E41" s="643"/>
      <c r="F41" s="643"/>
    </row>
    <row r="42" spans="1:7" s="124" customFormat="1" ht="18.75" customHeight="1">
      <c r="A42" s="168"/>
      <c r="B42" s="172" t="s">
        <v>498</v>
      </c>
      <c r="C42" s="173" t="s">
        <v>527</v>
      </c>
      <c r="D42" s="644" t="str">
        <f>E47&amp;E50&amp;E51&amp;E52&amp;E53&amp;E54&amp;E55&amp;E56&amp;E57&amp;E58&amp;E59&amp;E60&amp;E61&amp;E62&amp;E63&amp;E68&amp;E74&amp;E78&amp;E82&amp;E83</f>
        <v>SELECT V_URIAGE_EXCEL.*
  FROM V_URIAGE_LIST
  LEFT JOIN
       V_URIAGE_EXCEL
    ON V_URIAGE_EXCEL.URIAGE_NO = V_URIAGE_LIST.URIAGE_NO
 WHERE 1=1
AND V_URIAGE_LIST.BUNSEKI_HOHO_CD = 'AAA'
AND (1!=1 
        OR V_URIAGE_LIST.URIAGE_STS = 1
        OR V_URIAGE_LIST.URIAGE_STS = 2
        OR V_URIAGE_LIST.URIAGE_STS = 3
        OR V_URIAGE_LIST.URIAGE_STS = 4
)
AND (1!=1 
        OR V_URIAGE_LIST.DEMPYO_KBN = 1
        OR V_URIAGE_LIST.DEMPYO_KBN = 2
        OR V_URIAGE_LIST.DEMPYO_KBN = 3
        OR V_URIAGE_LIST.DEMPYO_KBN = 4
        OR V_URIAGE_LIST.DEMPYO_KBN = 5
)
AND (1!=1 
        OR V_URIAGE_LIST.RENDO_KBN = 1
        OR V_URIAGE_LIST.RENDO_KBN = 2
        OR V_URIAGE_LIST.RENDO_KBN = 3
)
   AND(
        1=1
    )</v>
      </c>
      <c r="E42" s="644"/>
      <c r="F42" s="644"/>
    </row>
    <row r="43" spans="1:7" s="124" customFormat="1" ht="18.75" customHeight="1">
      <c r="A43" s="168"/>
      <c r="B43" s="172" t="s">
        <v>1204</v>
      </c>
      <c r="C43" s="173" t="s">
        <v>1205</v>
      </c>
      <c r="D43" s="644" t="str">
        <f>E48&amp;E50&amp;E51&amp;E52&amp;E53&amp;E54&amp;E55&amp;E56&amp;E57&amp;E58&amp;E59&amp;E60&amp;E61&amp;E62&amp;E63&amp;E68&amp;E74&amp;E78&amp;E82&amp;E84</f>
        <v xml:space="preserve">SELECT V_URIAGE_REPORT.URIAGE_DATE
      ,V_URIAGE_REPORT.URIAGE_NO
      ,V_URIAGE_REPORT.SEIKYU_CD
      ,V_URIAGE_REPORT.SEIKYU_MEI
      ,V_URIAGE_REPORT.SHOHIN_CD
      ,V_URIAGE_REPORT.SHOHIN_MEI
      ,V_URIAGE_REPORT.SURYO
      ,V_URIAGE_REPORT.TANI
      ,V_URIAGE_REPORT.TANKA
      ,V_URIAGE_REPORT.KINGAKU
      ,V_URIAGE_REPORT.BUNSEKI_HOHO
      ,V_URIAGE_REPORT.BUSHO_MEI
      ,V_URIAGE_REPORT.EIGYO_TANTO_MEI
      ,V_URIAGE_REPORT.GYO_NO
  FROM V_URIAGE_REPORT
  LEFT JOIN
       V_URIAGE_LIST
    ON V_URIAGE_LIST.URIAGE_NO = V_URIAGE_REPORT.URIAGE_NO
  WHERE 1=1
AND V_URIAGE_LIST.BUNSEKI_HOHO_CD = 'AAA'
AND (1!=1 
        OR V_URIAGE_LIST.URIAGE_STS = 1
        OR V_URIAGE_LIST.URIAGE_STS = 2
        OR V_URIAGE_LIST.URIAGE_STS = 3
        OR V_URIAGE_LIST.URIAGE_STS = 4
)
AND (1!=1 
        OR V_URIAGE_LIST.DEMPYO_KBN = 1
        OR V_URIAGE_LIST.DEMPYO_KBN = 2
        OR V_URIAGE_LIST.DEMPYO_KBN = 3
        OR V_URIAGE_LIST.DEMPYO_KBN = 4
        OR V_URIAGE_LIST.DEMPYO_KBN = 5
)
AND (1!=1 
        OR V_URIAGE_LIST.RENDO_KBN = 1
        OR V_URIAGE_LIST.RENDO_KBN = 2
        OR V_URIAGE_LIST.RENDO_KBN = 3
)
   AND(
        1=1
    ) ORDER BY
       V_URIAGE_REPORT.URIAGE_NO ASC
      ,V_URIAGE_REPORT.GYO_NO    ASC
</v>
      </c>
      <c r="E43" s="644"/>
      <c r="F43" s="644"/>
    </row>
    <row r="44" spans="1:7" s="559" customFormat="1" ht="18.75" customHeight="1">
      <c r="A44" s="558"/>
      <c r="B44" s="561" t="s">
        <v>1761</v>
      </c>
      <c r="C44" s="562" t="s">
        <v>1762</v>
      </c>
      <c r="D44" s="644" t="str">
        <f>E49&amp;E50&amp;E51&amp;E52&amp;E53&amp;E54&amp;E55&amp;E56&amp;E57&amp;E58&amp;E59&amp;E60&amp;E61&amp;E62&amp;E63&amp;E68&amp;E74&amp;E78&amp;E82&amp;E85&amp;E86</f>
        <v>SELECT V_URIAGE_REPORT2.EIGYO_TANTO_MEI
           ,SUM(V_URIAGE_REPORT2.URI_KIN_1)   AS URI_KIN_1
           ,SUM(V_URIAGE_REPORT2.URI_KIN_2)   AS URI_KIN_2
           ,SUM(V_URIAGE_REPORT2.URI_KIN_3)   AS URI_KIN_3
           ,SUM(V_URIAGE_REPORT2.URI_KIN_4)   AS URI_KIN_4
           ,SUM(V_URIAGE_REPORT2.URI_KIN_5)   AS URI_KIN_5
           ,SUM(V_URIAGE_REPORT2.URI_KIN_6)   AS URI_KIN_6
           ,SUM(V_URIAGE_REPORT2.URI_KIN_7)   AS URI_KIN_7
           ,SUM(V_URIAGE_REPORT2.URI_KIN_8)   AS URI_KIN_8
  FROM V_URIAGE_REPORT2
  LEFT JOIN
       V_URIAGE_LIST
    ON V_URIAGE_LIST.URIAGE_NO = V_URIAGE_REPORT2.URIAGE_NO
  WHERE 1=1
AND V_URIAGE_LIST.BUNSEKI_HOHO_CD = 'AAA'
AND (1!=1 
        OR V_URIAGE_LIST.URIAGE_STS = 1
        OR V_URIAGE_LIST.URIAGE_STS = 2
        OR V_URIAGE_LIST.URIAGE_STS = 3
        OR V_URIAGE_LIST.URIAGE_STS = 4
)
AND (1!=1 
        OR V_URIAGE_LIST.DEMPYO_KBN = 1
        OR V_URIAGE_LIST.DEMPYO_KBN = 2
        OR V_URIAGE_LIST.DEMPYO_KBN = 3
        OR V_URIAGE_LIST.DEMPYO_KBN = 4
        OR V_URIAGE_LIST.DEMPYO_KBN = 5
)
AND (1!=1 
        OR V_URIAGE_LIST.RENDO_KBN = 1
        OR V_URIAGE_LIST.RENDO_KBN = 2
        OR V_URIAGE_LIST.RENDO_KBN = 3
)
   AND(
        1=1
    ) GROUP BY V_URIAGE_REPORT2.EIGYO_TANTO_CD
              ,V_URIAGE_REPORT2.EIGYO_TANTO_MEI 
 ORDER BY
       CONVERT(INT,V_URIAGE_REPORT2.EIGYO_TANTO_CD) ASC</v>
      </c>
      <c r="E44" s="649"/>
      <c r="F44" s="649"/>
    </row>
    <row r="45" spans="1:7" s="124" customFormat="1" ht="18.75" customHeight="1">
      <c r="A45" s="168"/>
      <c r="B45" s="172" t="s">
        <v>499</v>
      </c>
      <c r="C45" s="173"/>
      <c r="E45" s="637" t="s">
        <v>1534</v>
      </c>
      <c r="F45" s="637"/>
    </row>
    <row r="46" spans="1:7" s="124" customFormat="1" ht="18.75" customHeight="1">
      <c r="A46" s="168"/>
      <c r="B46" s="174" t="s">
        <v>500</v>
      </c>
      <c r="C46" s="173"/>
      <c r="E46" s="639" t="s">
        <v>503</v>
      </c>
      <c r="F46" s="639"/>
    </row>
    <row r="47" spans="1:7" s="124" customFormat="1" ht="18.75" customHeight="1">
      <c r="A47" s="168"/>
      <c r="B47" s="174" t="s">
        <v>501</v>
      </c>
      <c r="C47" s="173"/>
      <c r="E47" s="637" t="s">
        <v>1609</v>
      </c>
      <c r="F47" s="637"/>
    </row>
    <row r="48" spans="1:7" s="124" customFormat="1" ht="18.75" customHeight="1">
      <c r="A48" s="168"/>
      <c r="B48" s="174" t="s">
        <v>1203</v>
      </c>
      <c r="C48" s="173"/>
      <c r="E48" s="637" t="s">
        <v>1538</v>
      </c>
      <c r="F48" s="637"/>
    </row>
    <row r="49" spans="1:6" s="563" customFormat="1" ht="18.75" customHeight="1">
      <c r="A49" s="560"/>
      <c r="B49" s="565" t="s">
        <v>1763</v>
      </c>
      <c r="C49" s="564"/>
      <c r="D49" s="566"/>
      <c r="E49" s="637" t="s">
        <v>1764</v>
      </c>
      <c r="F49" s="637"/>
    </row>
    <row r="50" spans="1:6" s="124" customFormat="1" ht="18.75" customHeight="1">
      <c r="A50" s="168"/>
      <c r="B50" s="120" t="s">
        <v>504</v>
      </c>
      <c r="C50" s="173"/>
      <c r="D50" s="196"/>
      <c r="E50" s="646" t="str">
        <f>IF(UNNH0020_SQL_URIAGE_DATE_START="","",
"AND V_URIAGE_LIST.URIAGE_DATE &gt;= "&amp;"'"
&amp;UNNH0020_SQL_URIAGE_DATE_START
&amp;"'
")
&amp;IF(UNNH0020_SQL_URIAGE_DATE_END="","",
"AND V_URIAGE_LIST.URIAGE_DATE &lt;= "&amp;"'"
&amp;UNNH0020_SQL_URIAGE_DATE_END &amp;"'")</f>
        <v/>
      </c>
      <c r="F50" s="646"/>
    </row>
    <row r="51" spans="1:6" s="124" customFormat="1" ht="18.75" customHeight="1">
      <c r="A51" s="168"/>
      <c r="B51" s="120" t="s">
        <v>505</v>
      </c>
      <c r="C51" s="173"/>
      <c r="D51" s="196"/>
      <c r="E51" s="646" t="str">
        <f>IF(UNNH0020_SQL_URIAGE_NO_START="","",
  "AND V_URIAGE_LIST.URIAGE_NO &gt;= " &amp;"'" &amp;UNNH0020_SQL_URIAGE_NO_START &amp;"'
") &amp;IF(UNNH0020_SQL_URIAGE_NO_END="","",
  "AND V_URIAGE_LIST.URIAGE_NO &lt;= " &amp;"'" &amp;UNNH0020_SQL_URIAGE_NO_END &amp;"'
")</f>
        <v/>
      </c>
      <c r="F51" s="646"/>
    </row>
    <row r="52" spans="1:6" s="124" customFormat="1" ht="18.75" customHeight="1">
      <c r="A52" s="162"/>
      <c r="B52" s="120" t="s">
        <v>506</v>
      </c>
      <c r="C52" s="173"/>
      <c r="D52" s="196"/>
      <c r="E52" s="646" t="str">
        <f>IF(UNNH0020_SQL_JURI_NO_START="","",
  "AND V_URIAGE_LIST.JURI_NO &gt;= " &amp;"'" &amp;UNNH0020_SQL_JURI_NO_START &amp;"'
") &amp;IF(UNNH0020_SQL_JURI_NO_END="","",
  "AND V_URIAGE_LIST.JURI_NO &lt;= " &amp;"'" &amp;UNNH0020_SQL_JURI_NO_END &amp;"'
")</f>
        <v/>
      </c>
      <c r="F52" s="646"/>
    </row>
    <row r="53" spans="1:6" s="124" customFormat="1" ht="18.75" customHeight="1">
      <c r="B53" s="449" t="s">
        <v>507</v>
      </c>
      <c r="C53" s="450"/>
      <c r="D53" s="451"/>
      <c r="E53" s="650"/>
      <c r="F53" s="650"/>
    </row>
    <row r="54" spans="1:6" s="124" customFormat="1" ht="18.75" customHeight="1">
      <c r="B54" s="120" t="s">
        <v>1477</v>
      </c>
      <c r="C54" s="173"/>
      <c r="D54" s="196"/>
      <c r="E54" s="646" t="str">
        <f>IF(UNNH0020_SQL_NYURYOKU_DATE_START="","",
" AND CONVERT(VARCHAR,V_URIAGE_LIST.NYURYOKU_DATE_TIME,111) &gt;= "&amp;"'"
&amp;UNNH0020_SQL_NYURYOKU_DATE_START
&amp;"'
")
&amp;IF(UNNH0020_SQL_NYURYOKU_DATE_END="","",
" AND CONVERT(VARCHAR,V_URIAGE_LIST.NYURYOKU_DATE_TIME,111) &lt;= "&amp;"'"
&amp;UNNH0020_SQL_NYURYOKU_DATE_END &amp;"'")</f>
        <v/>
      </c>
      <c r="F54" s="646"/>
    </row>
    <row r="55" spans="1:6" s="124" customFormat="1" ht="18.75" customHeight="1">
      <c r="B55" s="120" t="s">
        <v>508</v>
      </c>
      <c r="C55" s="173"/>
      <c r="D55" s="196"/>
      <c r="E55" s="646" t="str">
        <f>IF(UNNH0020_SQL_KAISHU_DATE_START="","",
"AND V_URIAGE_LIST.KAISHU_DATE &gt;= "&amp;"'"
&amp;UNNH0020_SQL_KAISHU_DATE_START
&amp;"'
")
&amp;IF(UNNH0020_SQL_KAISHU_DATE_END="","",
"AND V_URIAGE_LIST.KAISHU_DATE &lt;= "&amp;"'"
&amp;UNNH0020_SQL_KAISHU_DATE_END &amp;"'")</f>
        <v/>
      </c>
      <c r="F55" s="646"/>
    </row>
    <row r="56" spans="1:6" s="124" customFormat="1" ht="18.75" customHeight="1">
      <c r="B56" s="120" t="s">
        <v>509</v>
      </c>
      <c r="C56" s="173"/>
      <c r="D56" s="196"/>
      <c r="E56" s="646" t="str">
        <f>IF(UNNH0020_SQL_SAKI_URIAGE_NO = "","","
AND V_URIAGE_LIST.SAKI_URIAGE_NO = " &amp;"'"
&amp;UNNH0020_SQL_SAKI_URIAGE_NO&amp;"'")</f>
        <v/>
      </c>
      <c r="F56" s="646"/>
    </row>
    <row r="57" spans="1:6" s="124" customFormat="1" ht="18.75" customHeight="1">
      <c r="B57" s="120" t="s">
        <v>510</v>
      </c>
      <c r="C57" s="173"/>
      <c r="D57" s="196"/>
      <c r="E57" s="646" t="str">
        <f>IF(UNNH0020_SQL_SEIKYUSAKI_CD = "","","
AND V_URIAGE_LIST.SEIKYU_CD = " &amp;"'"
&amp;UNNH0020_SQL_SEIKYUSAKI_CD&amp;"'")</f>
        <v/>
      </c>
      <c r="F57" s="646"/>
    </row>
    <row r="58" spans="1:6" s="124" customFormat="1" ht="18.75" customHeight="1">
      <c r="B58" s="120" t="s">
        <v>463</v>
      </c>
      <c r="C58" s="173"/>
      <c r="D58" s="196"/>
      <c r="E58" s="645" t="str">
        <f>IF(UNNH0020_SQL_SHOHIN_CD = "","","
AND V_URIAGE_LIST.FREEWD LIKE  " &amp;"'%"
&amp;UNNH0020_SQL_SHOHIN_CD&amp;"%'
")</f>
        <v/>
      </c>
      <c r="F58" s="645"/>
    </row>
    <row r="59" spans="1:6" s="124" customFormat="1" ht="18.75" customHeight="1">
      <c r="B59" s="120" t="s">
        <v>1200</v>
      </c>
      <c r="C59" s="173"/>
      <c r="D59" s="196"/>
      <c r="E59" s="645" t="str">
        <f>IF(UNNH0020_SQL_BUNSEKI_HOHO = "","","
AND V_URIAGE_LIST.BUNSEKI_HOHO_CD = " &amp;"'"
&amp;UNNH0020_SQL_BUNSEKI_HOHO&amp;"'
")</f>
        <v xml:space="preserve">
AND V_URIAGE_LIST.BUNSEKI_HOHO_CD = 'AAA'
</v>
      </c>
      <c r="F59" s="645"/>
    </row>
    <row r="60" spans="1:6" s="124" customFormat="1" ht="18.75" customHeight="1">
      <c r="B60" s="120" t="s">
        <v>512</v>
      </c>
      <c r="C60" s="173"/>
      <c r="D60" s="196"/>
      <c r="E60" s="645" t="str">
        <f>IF(UNNH0020_SQL_BUSHO_CD = "","","
AND V_URIAGE_LIST.BUSHO_CD = " &amp;"'"
&amp;UNNH0020_SQL_BUSHO_CD&amp;"'
")</f>
        <v/>
      </c>
      <c r="F60" s="645"/>
    </row>
    <row r="61" spans="1:6" s="124" customFormat="1" ht="18.75" customHeight="1">
      <c r="B61" s="120" t="s">
        <v>511</v>
      </c>
      <c r="C61" s="173"/>
      <c r="D61" s="196"/>
      <c r="E61" s="645" t="str">
        <f>IF(UNNH0020_SQL_NYURYOKUSHA_CD = "","","
AND V_URIAGE_LIST.URIAGE_NYURYOKUSHA_CD = " &amp;"'"
&amp;UNNH0020_SQL_NYURYOKUSHA_CD&amp;"'
")</f>
        <v/>
      </c>
      <c r="F61" s="645"/>
    </row>
    <row r="62" spans="1:6" s="124" customFormat="1" ht="18.75" customHeight="1">
      <c r="B62" s="120" t="s">
        <v>1478</v>
      </c>
      <c r="C62" s="173"/>
      <c r="D62" s="196"/>
      <c r="E62" s="645" t="str">
        <f>IF(UNNH0020_SQL_EIGYO_TANTO_CD = "","","
 AND V_URIAGE_LIST.EIGYO_TANTO_CD = " &amp;"'"
&amp;UNNH0020_SQL_EIGYO_TANTO_CD&amp;"'
")</f>
        <v/>
      </c>
      <c r="F62" s="645"/>
    </row>
    <row r="63" spans="1:6" s="124" customFormat="1" ht="18.75" customHeight="1">
      <c r="B63" s="120" t="s">
        <v>464</v>
      </c>
      <c r="C63" s="173"/>
      <c r="E63" s="637" t="str">
        <f>"AND (1!=1 "&amp;F64&amp;F65&amp;F66&amp;F67 &amp;"
)
"</f>
        <v xml:space="preserve">AND (1!=1 
        OR V_URIAGE_LIST.URIAGE_STS = 1
        OR V_URIAGE_LIST.URIAGE_STS = 2
        OR V_URIAGE_LIST.URIAGE_STS = 3
        OR V_URIAGE_LIST.URIAGE_STS = 4
)
</v>
      </c>
      <c r="F63" s="637"/>
    </row>
    <row r="64" spans="1:6" s="153" customFormat="1" ht="18.75" customHeight="1">
      <c r="A64" s="124"/>
      <c r="B64" s="131" t="s">
        <v>513</v>
      </c>
      <c r="C64" s="132"/>
      <c r="D64" s="197"/>
      <c r="E64" s="197"/>
      <c r="F64" s="198" t="str">
        <f xml:space="preserve"> IF(UNNH0020_SQL_MIHAKKO_STS=FALSE,"","
        OR V_URIAGE_LIST.URIAGE_STS = 1")</f>
        <v xml:space="preserve">
        OR V_URIAGE_LIST.URIAGE_STS = 1</v>
      </c>
    </row>
    <row r="65" spans="1:9" s="156" customFormat="1" ht="18.75" customHeight="1">
      <c r="A65" s="124"/>
      <c r="B65" s="136" t="s">
        <v>514</v>
      </c>
      <c r="C65" s="137"/>
      <c r="D65" s="199"/>
      <c r="E65" s="199"/>
      <c r="F65" s="200" t="str">
        <f xml:space="preserve"> IF(UNNH0020_SQL_HAKKOSUMI_STS=FALSE,"","
        OR V_URIAGE_LIST.URIAGE_STS = 2")</f>
        <v xml:space="preserve">
        OR V_URIAGE_LIST.URIAGE_STS = 2</v>
      </c>
    </row>
    <row r="66" spans="1:9" s="156" customFormat="1" ht="18.75" customHeight="1">
      <c r="A66" s="124"/>
      <c r="B66" s="136" t="s">
        <v>515</v>
      </c>
      <c r="C66" s="137"/>
      <c r="D66" s="199"/>
      <c r="E66" s="199"/>
      <c r="F66" s="200" t="str">
        <f xml:space="preserve"> IF(UNNH0020_SQL_SAIHAKKOSUMI_STS=FALSE,"","
        OR V_URIAGE_LIST.URIAGE_STS = 3")</f>
        <v xml:space="preserve">
        OR V_URIAGE_LIST.URIAGE_STS = 3</v>
      </c>
    </row>
    <row r="67" spans="1:9" s="77" customFormat="1" ht="18.75" customHeight="1">
      <c r="A67" s="124"/>
      <c r="B67" s="136" t="s">
        <v>1449</v>
      </c>
      <c r="C67" s="432"/>
      <c r="D67" s="433"/>
      <c r="E67" s="433"/>
      <c r="F67" s="200" t="str">
        <f xml:space="preserve"> IF(UNNH0020_SQL_URIAGE_LINK_STS=FALSE,"","
        OR V_URIAGE_LIST.URIAGE_STS = 4")</f>
        <v xml:space="preserve">
        OR V_URIAGE_LIST.URIAGE_STS = 4</v>
      </c>
    </row>
    <row r="68" spans="1:9" s="124" customFormat="1" ht="18.75" customHeight="1">
      <c r="B68" s="120" t="s">
        <v>1324</v>
      </c>
      <c r="C68" s="173"/>
      <c r="E68" s="637" t="str">
        <f>"AND (1!=1 "&amp;F69&amp;F70&amp;F71&amp;F72&amp;F73 &amp;"
)
"</f>
        <v xml:space="preserve">AND (1!=1 
        OR V_URIAGE_LIST.DEMPYO_KBN = 1
        OR V_URIAGE_LIST.DEMPYO_KBN = 2
        OR V_URIAGE_LIST.DEMPYO_KBN = 3
        OR V_URIAGE_LIST.DEMPYO_KBN = 4
        OR V_URIAGE_LIST.DEMPYO_KBN = 5
)
</v>
      </c>
      <c r="F68" s="637"/>
    </row>
    <row r="69" spans="1:9" s="156" customFormat="1" ht="18.75" customHeight="1">
      <c r="A69" s="124"/>
      <c r="B69" s="136" t="s">
        <v>516</v>
      </c>
      <c r="C69" s="137"/>
      <c r="D69" s="199"/>
      <c r="E69" s="199"/>
      <c r="F69" s="200" t="str">
        <f xml:space="preserve"> IF(UNNH0020_SQL_TSUJO_KBN=FALSE,"","
        OR V_URIAGE_LIST.DEMPYO_KBN = 1")</f>
        <v xml:space="preserve">
        OR V_URIAGE_LIST.DEMPYO_KBN = 1</v>
      </c>
    </row>
    <row r="70" spans="1:9" s="203" customFormat="1" ht="18.75" customHeight="1">
      <c r="A70" s="124"/>
      <c r="B70" s="140" t="s">
        <v>517</v>
      </c>
      <c r="C70" s="141"/>
      <c r="D70" s="201"/>
      <c r="E70" s="201"/>
      <c r="F70" s="202" t="str">
        <f xml:space="preserve"> IF(UNNH0020_SQL_TEISEI_KBN=FALSE,"","
        OR V_URIAGE_LIST.DEMPYO_KBN = 2")</f>
        <v xml:space="preserve">
        OR V_URIAGE_LIST.DEMPYO_KBN = 2</v>
      </c>
    </row>
    <row r="71" spans="1:9" s="195" customFormat="1" ht="18.75" customHeight="1">
      <c r="A71" s="124"/>
      <c r="B71" s="140" t="s">
        <v>518</v>
      </c>
      <c r="C71" s="110"/>
      <c r="D71" s="208"/>
      <c r="E71" s="208"/>
      <c r="F71" s="209" t="str">
        <f xml:space="preserve"> IF(UNNH0020_SQL_AKA_KBN=FALSE,"","
        OR V_URIAGE_LIST.DEMPYO_KBN = 3")</f>
        <v xml:space="preserve">
        OR V_URIAGE_LIST.DEMPYO_KBN = 3</v>
      </c>
    </row>
    <row r="72" spans="1:9" s="195" customFormat="1" ht="18.75" customHeight="1">
      <c r="A72" s="124"/>
      <c r="B72" s="140" t="s">
        <v>519</v>
      </c>
      <c r="C72" s="110"/>
      <c r="D72" s="208"/>
      <c r="E72" s="208"/>
      <c r="F72" s="209" t="str">
        <f xml:space="preserve"> IF(UNNH0020_SQL_KURO_KBN=FALSE,"","
        OR V_URIAGE_LIST.DEMPYO_KBN = 4")</f>
        <v xml:space="preserve">
        OR V_URIAGE_LIST.DEMPYO_KBN = 4</v>
      </c>
    </row>
    <row r="73" spans="1:9" s="195" customFormat="1" ht="18.75" customHeight="1">
      <c r="A73" s="124"/>
      <c r="B73" s="140" t="s">
        <v>528</v>
      </c>
      <c r="C73" s="110"/>
      <c r="D73" s="208"/>
      <c r="E73" s="208"/>
      <c r="F73" s="209" t="str">
        <f xml:space="preserve"> IF(UNNH0020_SQL_KETSUGO_KBN=FALSE,"","
        OR V_URIAGE_LIST.DEMPYO_KBN = 5")</f>
        <v xml:space="preserve">
        OR V_URIAGE_LIST.DEMPYO_KBN = 5</v>
      </c>
    </row>
    <row r="74" spans="1:9" s="124" customFormat="1" ht="18.75" customHeight="1">
      <c r="B74" s="120" t="s">
        <v>1448</v>
      </c>
      <c r="C74" s="173"/>
      <c r="E74" s="637" t="str">
        <f>"AND (1!=1 "&amp;F75&amp;F76&amp;F77 &amp;"
)
"</f>
        <v xml:space="preserve">AND (1!=1 
        OR V_URIAGE_LIST.RENDO_KBN = 1
        OR V_URIAGE_LIST.RENDO_KBN = 2
        OR V_URIAGE_LIST.RENDO_KBN = 3
)
</v>
      </c>
      <c r="F74" s="637"/>
    </row>
    <row r="75" spans="1:9" s="195" customFormat="1" ht="18.75" customHeight="1">
      <c r="A75" s="124"/>
      <c r="B75" s="140" t="s">
        <v>520</v>
      </c>
      <c r="C75" s="110"/>
      <c r="D75" s="208"/>
      <c r="E75" s="208"/>
      <c r="F75" s="209" t="str">
        <f xml:space="preserve"> IF(UNNH0020_SQL_RENDO_FUYO_KBN=FALSE,"","
        OR V_URIAGE_LIST.RENDO_KBN = 1")</f>
        <v xml:space="preserve">
        OR V_URIAGE_LIST.RENDO_KBN = 1</v>
      </c>
    </row>
    <row r="76" spans="1:9" s="195" customFormat="1" ht="18.75" customHeight="1">
      <c r="A76" s="124"/>
      <c r="B76" s="140" t="s">
        <v>521</v>
      </c>
      <c r="C76" s="110"/>
      <c r="D76" s="208"/>
      <c r="E76" s="208"/>
      <c r="F76" s="209" t="str">
        <f xml:space="preserve"> IF(UNNH0020_SQL_RENDO_MI_KBN=FALSE,"","
        OR V_URIAGE_LIST.RENDO_KBN = 2")</f>
        <v xml:space="preserve">
        OR V_URIAGE_LIST.RENDO_KBN = 2</v>
      </c>
    </row>
    <row r="77" spans="1:9" s="195" customFormat="1" ht="18.75" customHeight="1">
      <c r="A77" s="124"/>
      <c r="B77" s="140" t="s">
        <v>522</v>
      </c>
      <c r="C77" s="110"/>
      <c r="D77" s="208"/>
      <c r="E77" s="208"/>
      <c r="F77" s="209" t="str">
        <f xml:space="preserve"> IF(UNNH0020_SQL_RENDO_SUMI_KBN=FALSE,"","
        OR V_URIAGE_LIST.RENDO_KBN = 3")</f>
        <v xml:space="preserve">
        OR V_URIAGE_LIST.RENDO_KBN = 3</v>
      </c>
    </row>
    <row r="78" spans="1:9" s="124" customFormat="1" ht="18.75" customHeight="1">
      <c r="B78" s="150" t="s">
        <v>315</v>
      </c>
      <c r="C78" s="173"/>
      <c r="D78" s="196"/>
      <c r="E78" s="647" t="str">
        <f>"   AND(
        " &amp;IF(AND(UNNH0020_SQL_FREEWD_1="",
                      UNNH0020_SQL_FREEWD_2="",
                      UNNH0020_SQL_FREEWD_3=""), "1=1",
                IF(UNNH0020_SQL_FREEWD_KBN=1,"1=1","1!=1") ) &amp;"
"
                &amp;UNNH0020_SQL_FREEWORD1
                &amp;UNNH0020_SQL_FREEWORD2
                &amp;UNNH0020_SQL_FREEWORD3 &amp;"
    )"</f>
        <v xml:space="preserve">   AND(
        1=1
    )</v>
      </c>
      <c r="F78" s="647"/>
      <c r="H78" s="154" t="s">
        <v>318</v>
      </c>
      <c r="I78" s="155" t="str">
        <f>LOOKUP(UNNH0020_SQL_FREEWD_KBN,{1,2,3;"AND","OR","OR"})</f>
        <v>AND</v>
      </c>
    </row>
    <row r="79" spans="1:9" s="124" customFormat="1" ht="18.75" customHeight="1">
      <c r="B79" s="150" t="s">
        <v>465</v>
      </c>
      <c r="C79" s="173" t="s">
        <v>529</v>
      </c>
      <c r="D79" s="196"/>
      <c r="E79" s="204"/>
      <c r="F79" s="205" t="str">
        <f xml:space="preserve">  IF(UNNH0020_SQL_FREEWD_1="", "",
  "      " &amp; $I$78&amp;"   V_URIAGE_LIST.FREEWD "
 &amp;IF(UNNH0020_SQL_FREEWD_KBN=3," NOT ", "") &amp;" LIKE " &amp;"'%" &amp;UNNH0020_SQL_FREEWD_1 &amp;"%'  
")</f>
        <v/>
      </c>
      <c r="H79" s="154"/>
    </row>
    <row r="80" spans="1:9" s="124" customFormat="1" ht="18.75" customHeight="1">
      <c r="A80" s="153"/>
      <c r="B80" s="150" t="s">
        <v>317</v>
      </c>
      <c r="C80" s="173" t="s">
        <v>530</v>
      </c>
      <c r="D80" s="196"/>
      <c r="E80" s="204"/>
      <c r="F80" s="205" t="str">
        <f xml:space="preserve">  IF(UNNH0020_SQL_FREEWD_2="", "",
  "      " &amp; $I$78&amp;"   V_URIAGE_LIST.FREEWD "
 &amp;IF(UNNH0020_SQL_FREEWD_KBN=3," NOT ", "") &amp;" LIKE " &amp;"'%" &amp;UNNH0020_SQL_FREEWD_2 &amp;"%'  
")</f>
        <v/>
      </c>
    </row>
    <row r="81" spans="1:11" s="124" customFormat="1" ht="18.75" customHeight="1">
      <c r="A81" s="156"/>
      <c r="B81" s="150" t="s">
        <v>466</v>
      </c>
      <c r="C81" s="173" t="s">
        <v>531</v>
      </c>
      <c r="D81" s="196"/>
      <c r="E81" s="204"/>
      <c r="F81" s="205" t="str">
        <f xml:space="preserve">  IF(UNNH0020_SQL_FREEWD_3="", "",
  "      " &amp; $I$78&amp;"   V_URIAGE_LIST.FREEWD "
 &amp;IF(UNNH0020_SQL_FREEWD_KBN=3," NOT ", "") &amp;" LIKE " &amp;"'%" &amp;UNNH0020_SQL_FREEWD_3 &amp;"%'  
")</f>
        <v/>
      </c>
    </row>
    <row r="82" spans="1:11" s="124" customFormat="1" ht="18.75" customHeight="1">
      <c r="A82" s="156"/>
      <c r="B82" s="150" t="s">
        <v>467</v>
      </c>
      <c r="C82" s="173"/>
      <c r="D82" s="196"/>
      <c r="E82" s="648" t="str">
        <f>IF(UNNH0020_SQL_DEL_HYOJI_FLG=TRUE,"",
" AND V_URIAGE_LIST.DEL_FLG='False' 
")</f>
        <v/>
      </c>
      <c r="F82" s="648"/>
    </row>
    <row r="83" spans="1:11" s="124" customFormat="1" ht="18.75" customHeight="1">
      <c r="A83" s="156"/>
      <c r="B83" s="115" t="s">
        <v>292</v>
      </c>
      <c r="C83" s="116" t="s">
        <v>523</v>
      </c>
      <c r="E83" s="637"/>
      <c r="F83" s="641"/>
    </row>
    <row r="84" spans="1:11" s="124" customFormat="1" ht="18.75" customHeight="1">
      <c r="A84" s="158"/>
      <c r="B84" s="115" t="s">
        <v>1209</v>
      </c>
      <c r="C84" s="116"/>
      <c r="E84" s="637" t="s">
        <v>1210</v>
      </c>
      <c r="F84" s="637"/>
    </row>
    <row r="85" spans="1:11" s="566" customFormat="1" ht="18.75" customHeight="1">
      <c r="A85" s="567"/>
      <c r="B85" s="570" t="s">
        <v>1765</v>
      </c>
      <c r="C85" s="571"/>
      <c r="D85" s="572"/>
      <c r="E85" s="637" t="s">
        <v>1766</v>
      </c>
      <c r="F85" s="637"/>
    </row>
    <row r="86" spans="1:11" s="566" customFormat="1" ht="18.75" customHeight="1">
      <c r="A86" s="567"/>
      <c r="B86" s="570" t="s">
        <v>1767</v>
      </c>
      <c r="C86" s="571"/>
      <c r="D86" s="572"/>
      <c r="E86" s="637" t="s">
        <v>1768</v>
      </c>
      <c r="F86" s="637"/>
    </row>
    <row r="87" spans="1:11" s="124" customFormat="1" ht="18.75" customHeight="1">
      <c r="A87" s="203"/>
      <c r="B87" s="115" t="s">
        <v>293</v>
      </c>
      <c r="C87" s="116"/>
      <c r="E87" s="639" t="str">
        <f xml:space="preserve"> " OFFSET "&amp;(UNNH0020_B_PAGE_NO-1)&amp;"*"&amp;UNNH0020_B_CTRL_HYOJI_GYO_SU&amp;" ROWS
 FETCH NEXT "&amp;UNNH0020_B_CTRL_HYOJI_GYO_SU&amp;" ROWS ONLY"</f>
        <v xml:space="preserve"> OFFSET 0*50 ROWS
 FETCH NEXT 50 ROWS ONLY</v>
      </c>
      <c r="F87" s="639"/>
    </row>
    <row r="88" spans="1:11" ht="18.75" customHeight="1">
      <c r="A88" s="124"/>
      <c r="B88" s="206" t="s">
        <v>294</v>
      </c>
      <c r="C88" s="207" t="s">
        <v>532</v>
      </c>
      <c r="D88" s="640" t="s">
        <v>1397</v>
      </c>
      <c r="E88" s="640"/>
      <c r="F88" s="640"/>
    </row>
    <row r="89" spans="1:11" ht="18.75" customHeight="1">
      <c r="A89" s="124"/>
      <c r="B89" s="160" t="s">
        <v>502</v>
      </c>
      <c r="C89" s="57" t="s">
        <v>524</v>
      </c>
      <c r="D89" s="638" t="s">
        <v>556</v>
      </c>
      <c r="E89" s="618"/>
      <c r="F89" s="618"/>
    </row>
    <row r="90" spans="1:11" s="568" customFormat="1" ht="18.75" customHeight="1" thickBot="1">
      <c r="A90" s="569"/>
      <c r="B90" s="574" t="s">
        <v>1769</v>
      </c>
      <c r="C90" s="573" t="s">
        <v>1771</v>
      </c>
      <c r="D90" s="638" t="s">
        <v>1770</v>
      </c>
      <c r="E90" s="618"/>
      <c r="F90" s="618"/>
    </row>
    <row r="91" spans="1:11" s="214" customFormat="1" ht="18.75" customHeight="1" thickBot="1">
      <c r="A91" s="210"/>
      <c r="B91" s="211"/>
      <c r="C91" s="212"/>
      <c r="D91" s="213"/>
      <c r="E91" s="213"/>
      <c r="F91" s="213"/>
    </row>
    <row r="92" spans="1:11" ht="18.75" customHeight="1">
      <c r="A92" s="165" t="s">
        <v>379</v>
      </c>
      <c r="B92" s="160"/>
      <c r="C92" s="130"/>
      <c r="D92" s="218"/>
      <c r="E92" s="219"/>
      <c r="F92" s="219"/>
      <c r="G92" s="33"/>
    </row>
    <row r="93" spans="1:11" ht="18.75" customHeight="1">
      <c r="A93" s="156"/>
      <c r="B93" s="150" t="s">
        <v>1387</v>
      </c>
      <c r="C93" s="173" t="s">
        <v>551</v>
      </c>
      <c r="D93" s="196"/>
      <c r="E93" s="204"/>
      <c r="F93" s="217" t="s">
        <v>1389</v>
      </c>
      <c r="G93" s="154"/>
      <c r="H93" s="157"/>
      <c r="I93" s="124"/>
      <c r="J93" s="124"/>
      <c r="K93" s="124"/>
    </row>
    <row r="94" spans="1:11" ht="18.75" customHeight="1">
      <c r="A94" s="156"/>
      <c r="B94" s="150" t="s">
        <v>381</v>
      </c>
      <c r="C94" s="173" t="s">
        <v>552</v>
      </c>
      <c r="D94" s="196"/>
      <c r="E94" s="204"/>
      <c r="F94" s="217" t="s">
        <v>1386</v>
      </c>
      <c r="G94" s="154"/>
      <c r="H94" s="157"/>
      <c r="I94" s="124"/>
      <c r="J94" s="124"/>
      <c r="K94" s="124"/>
    </row>
    <row r="95" spans="1:11" ht="18.75" customHeight="1">
      <c r="A95" s="156"/>
      <c r="B95" s="150" t="s">
        <v>382</v>
      </c>
      <c r="C95" s="173" t="s">
        <v>553</v>
      </c>
      <c r="D95" s="196"/>
      <c r="E95" s="204"/>
      <c r="F95" s="217" t="s">
        <v>1388</v>
      </c>
      <c r="G95" s="154"/>
      <c r="H95" s="157"/>
      <c r="I95" s="124"/>
      <c r="J95" s="124"/>
      <c r="K95" s="124"/>
    </row>
    <row r="96" spans="1:11" ht="18.75" customHeight="1">
      <c r="A96" s="156"/>
      <c r="B96" s="150" t="s">
        <v>555</v>
      </c>
      <c r="C96" s="173" t="s">
        <v>554</v>
      </c>
      <c r="D96" s="196"/>
      <c r="E96" s="204"/>
      <c r="F96" s="217" t="s">
        <v>1390</v>
      </c>
      <c r="G96" s="154"/>
      <c r="H96" s="157"/>
      <c r="I96" s="124"/>
      <c r="J96" s="124"/>
      <c r="K96" s="124"/>
    </row>
    <row r="99" spans="2:6" ht="18.75" customHeight="1">
      <c r="B99" s="342" t="s">
        <v>1219</v>
      </c>
      <c r="C99" s="57" t="s">
        <v>1218</v>
      </c>
      <c r="F99" s="343" t="str">
        <f ca="1">"SELECT MOTO_URIAGE_NO               AS '売上No.'
      ,J_DEMPYO_KBN.DATA_1          AS '伝票区分'
      ,T_URIAGE_H.URIAGE_DATE       AS '売上日'
      ,J_SEIKYU.AITE_MEI            AS '請求先名'"&amp;"
      ,T_URIAGE_H.DEMPYO_SOFU_MEI   AS '伝票送付先名'
      ,J_NYURYOKUSHA.SHIMEI         AS '売上入力者名'
      ,T_URIAGE_H.JURI_NO           AS '対象受理No.'
  FROM T_URIAGE_MERGE"&amp;"
  LEFT JOIN
       T_URIAGE_H
    ON T_URIAGE_H.URIAGE_NO = T_URIAGE_MERGE.MOTO_URIAGE_NO"&amp;"
  LEFT JOIN
       M_MEISHO_B AS J_DEMPYO_KBN
    ON J_DEMPYO_KBN.MEISHO_KBN = 'K023'
   AND J_DEMPYO_KBN.MEISHO_CD  = T_URIAGE_H.DEMPYO_KBN"&amp;"
  LEFT JOIN
       M_AITESAKI AS J_SEIKYU
    ON J_SEIKYU.AITE_CD = T_URIAGE_H.SEIKYU_CD"&amp;"
  LEFT JOIN
       M_SHAIN AS J_NYURYOKUSHA
    ON J_NYURYOKUSHA.SHAIN_CD = T_URIAGE_H.URIAGE_NYURYOKUSHA_CD"&amp;"
 WHERE T_URIAGE_MERGE.URIAGE_NO = '"&amp;UNNH0020_B_SELECT_URIAGE_NO&amp;"'"</f>
        <v>SELECT MOTO_URIAGE_NO               AS '売上No.'
      ,J_DEMPYO_KBN.DATA_1          AS '伝票区分'
      ,T_URIAGE_H.URIAGE_DATE       AS '売上日'
      ,J_SEIKYU.AITE_MEI            AS '請求先名'
      ,T_URIAGE_H.DEMPYO_SOFU_MEI   AS '伝票送付先名'
      ,J_NYURYOKUSHA.SHIMEI         AS '売上入力者名'
      ,T_URIAGE_H.JURI_NO           AS '対象受理No.'
  FROM T_URIAGE_MERGE
  LEFT JOIN
       T_URIAGE_H
    ON T_URIAGE_H.URIAGE_NO = T_URIAGE_MERGE.MOTO_URIAGE_NO
  LEFT JOIN
       M_MEISHO_B AS J_DEMPYO_KBN
    ON J_DEMPYO_KBN.MEISHO_KBN = 'K023'
   AND J_DEMPYO_KBN.MEISHO_CD  = T_URIAGE_H.DEMPYO_KBN
  LEFT JOIN
       M_AITESAKI AS J_SEIKYU
    ON J_SEIKYU.AITE_CD = T_URIAGE_H.SEIKYU_CD
  LEFT JOIN
       M_SHAIN AS J_NYURYOKUSHA
    ON J_NYURYOKUSHA.SHAIN_CD = T_URIAGE_H.URIAGE_NYURYOKUSHA_CD
 WHERE T_URIAGE_MERGE.URIAGE_NO = '0'</v>
      </c>
    </row>
    <row r="100" spans="2:6" ht="18.75" customHeight="1">
      <c r="B100" s="162" t="s">
        <v>1606</v>
      </c>
      <c r="C100" s="57" t="s">
        <v>1595</v>
      </c>
      <c r="F100" s="343" t="str">
        <f ca="1">"SELECT
       TBL_B.JURI_NO         AS '受理No'
      ,TBL_B.JUCHU_KBN_MEI   AS '受注区分'
      ,TBL_B.STS             AS 'ステータス'"&amp;"
      ,TBL_B.BUN_HAN_KBN_MEI AS '分析販売区分'
      ,TBL_B.SEIKYU_MEI      AS '請求先名'
      ,TBL_B.NOHIN_DATE      AS '納品日'
  FROM T_URIAGE_JUCHU_SELECT AS TBL_A"&amp;"
 INNER JOIN
       V_URIAGE_JUCHU_SELECT AS TBL_B
    ON TBL_B.JURI_NO         =  TBL_A.JURI_NO
 WHERE TBL_A.URIAGE_NO       =  '"&amp;UNNH0020_B_SELECT_URIAGE_NO&amp;"'
 ORDER BY TBL_B.JURI_NO      ASC
"</f>
        <v xml:space="preserve">SELECT
       TBL_B.JURI_NO         AS '受理No'
      ,TBL_B.JUCHU_KBN_MEI   AS '受注区分'
      ,TBL_B.STS             AS 'ステータス'
      ,TBL_B.BUN_HAN_KBN_MEI AS '分析販売区分'
      ,TBL_B.SEIKYU_MEI      AS '請求先名'
      ,TBL_B.NOHIN_DATE      AS '納品日'
  FROM T_URIAGE_JUCHU_SELECT AS TBL_A
 INNER JOIN
       V_URIAGE_JUCHU_SELECT AS TBL_B
    ON TBL_B.JURI_NO         =  TBL_A.JURI_NO
 WHERE TBL_A.URIAGE_NO       =  '0'
 ORDER BY TBL_B.JURI_NO      ASC
</v>
      </c>
    </row>
  </sheetData>
  <mergeCells count="36">
    <mergeCell ref="E50:F50"/>
    <mergeCell ref="E78:F78"/>
    <mergeCell ref="E82:F82"/>
    <mergeCell ref="D44:F44"/>
    <mergeCell ref="E48:F48"/>
    <mergeCell ref="E60:F60"/>
    <mergeCell ref="E61:F61"/>
    <mergeCell ref="E51:F51"/>
    <mergeCell ref="E52:F52"/>
    <mergeCell ref="E53:F53"/>
    <mergeCell ref="E55:F55"/>
    <mergeCell ref="E56:F56"/>
    <mergeCell ref="E57:F57"/>
    <mergeCell ref="E83:F83"/>
    <mergeCell ref="E63:F63"/>
    <mergeCell ref="D40:F40"/>
    <mergeCell ref="D41:F41"/>
    <mergeCell ref="D42:F42"/>
    <mergeCell ref="E45:F45"/>
    <mergeCell ref="E46:F46"/>
    <mergeCell ref="E59:F59"/>
    <mergeCell ref="D43:F43"/>
    <mergeCell ref="E68:F68"/>
    <mergeCell ref="E74:F74"/>
    <mergeCell ref="E54:F54"/>
    <mergeCell ref="E62:F62"/>
    <mergeCell ref="E47:F47"/>
    <mergeCell ref="E58:F58"/>
    <mergeCell ref="E49:F49"/>
    <mergeCell ref="E85:F85"/>
    <mergeCell ref="E86:F86"/>
    <mergeCell ref="D90:F90"/>
    <mergeCell ref="E84:F84"/>
    <mergeCell ref="E87:F87"/>
    <mergeCell ref="D88:F88"/>
    <mergeCell ref="D89:F89"/>
  </mergeCells>
  <phoneticPr fontId="2"/>
  <conditionalFormatting sqref="B113">
    <cfRule type="duplicateValues" dxfId="286" priority="2"/>
  </conditionalFormatting>
  <conditionalFormatting sqref="B92">
    <cfRule type="duplicateValues" dxfId="285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59999389629810485"/>
    <pageSetUpPr fitToPage="1"/>
  </sheetPr>
  <dimension ref="A1:N6"/>
  <sheetViews>
    <sheetView view="pageBreakPreview" zoomScale="130" zoomScaleNormal="100" zoomScaleSheetLayoutView="130" zoomScalePageLayoutView="85" workbookViewId="0"/>
  </sheetViews>
  <sheetFormatPr defaultRowHeight="30" customHeight="1"/>
  <cols>
    <col min="1" max="1" width="11.375" style="4" customWidth="1"/>
    <col min="2" max="3" width="12.125" style="3" customWidth="1"/>
    <col min="4" max="4" width="25.875" style="3" customWidth="1"/>
    <col min="5" max="5" width="12.25" style="4" customWidth="1"/>
    <col min="6" max="6" width="27.625" style="4" customWidth="1"/>
    <col min="7" max="7" width="7.125" style="4" bestFit="1" customWidth="1"/>
    <col min="8" max="8" width="5.75" style="4" bestFit="1" customWidth="1"/>
    <col min="9" max="10" width="10.375" style="4" customWidth="1"/>
    <col min="11" max="11" width="15" style="4" customWidth="1"/>
    <col min="12" max="12" width="10.375" style="4" customWidth="1"/>
    <col min="13" max="13" width="7.5" style="4" bestFit="1" customWidth="1"/>
    <col min="14" max="14" width="11.25" style="4" customWidth="1"/>
    <col min="15" max="74" width="2.75" style="4" customWidth="1"/>
    <col min="75" max="16384" width="9" style="4"/>
  </cols>
  <sheetData>
    <row r="1" spans="1:14" ht="35.25">
      <c r="B1" s="333"/>
      <c r="C1" s="332"/>
      <c r="D1" s="332"/>
      <c r="E1" s="332"/>
      <c r="F1" s="386" t="s">
        <v>1206</v>
      </c>
      <c r="G1" s="330"/>
      <c r="H1" s="330"/>
      <c r="I1" s="331"/>
      <c r="J1" s="331"/>
      <c r="K1" s="331"/>
      <c r="L1" s="651">
        <f ca="1">TODAY()</f>
        <v>43004</v>
      </c>
      <c r="M1" s="651"/>
    </row>
    <row r="2" spans="1:14" ht="11.25" customHeight="1">
      <c r="B2" s="315"/>
      <c r="C2" s="315"/>
      <c r="D2" s="315"/>
      <c r="E2" s="315"/>
      <c r="F2" s="315"/>
    </row>
    <row r="3" spans="1:14" ht="16.5">
      <c r="A3" s="387" t="s">
        <v>484</v>
      </c>
      <c r="B3" s="388" t="s">
        <v>77</v>
      </c>
      <c r="C3" s="388" t="s">
        <v>3</v>
      </c>
      <c r="D3" s="388" t="s">
        <v>1207</v>
      </c>
      <c r="E3" s="388" t="s">
        <v>21</v>
      </c>
      <c r="F3" s="388" t="s">
        <v>1208</v>
      </c>
      <c r="G3" s="389" t="s">
        <v>1150</v>
      </c>
      <c r="H3" s="389" t="s">
        <v>1151</v>
      </c>
      <c r="I3" s="389" t="s">
        <v>1152</v>
      </c>
      <c r="J3" s="389" t="s">
        <v>1153</v>
      </c>
      <c r="K3" s="389" t="s">
        <v>835</v>
      </c>
      <c r="L3" s="389" t="s">
        <v>1539</v>
      </c>
      <c r="M3" s="390" t="s">
        <v>1540</v>
      </c>
      <c r="N3" s="391" t="s">
        <v>284</v>
      </c>
    </row>
    <row r="4" spans="1:14" ht="30" customHeight="1">
      <c r="B4" s="4"/>
      <c r="C4" s="4"/>
      <c r="D4" s="4"/>
    </row>
    <row r="5" spans="1:14" ht="30" customHeight="1">
      <c r="B5" s="4"/>
      <c r="C5" s="4"/>
      <c r="D5" s="4"/>
    </row>
    <row r="6" spans="1:14" ht="30" customHeight="1">
      <c r="B6" s="4"/>
      <c r="C6" s="4"/>
      <c r="D6" s="4"/>
    </row>
  </sheetData>
  <mergeCells count="1">
    <mergeCell ref="L1:M1"/>
  </mergeCells>
  <phoneticPr fontId="2"/>
  <pageMargins left="0.39370078740157483" right="0.39370078740157483" top="0.59055118110236227" bottom="0.19685039370078741" header="0.19685039370078741" footer="0.31496062992125984"/>
  <pageSetup paperSize="9" scale="83" fitToHeight="0" orientation="landscape" r:id="rId1"/>
  <headerFooter>
    <oddHeader>&amp;R&amp;"ＭＳ Ｐゴシック,標準"&amp;P/&amp;N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M8"/>
  <sheetViews>
    <sheetView tabSelected="1" view="pageBreakPreview" zoomScale="106" zoomScaleNormal="100" zoomScaleSheetLayoutView="106" workbookViewId="0"/>
  </sheetViews>
  <sheetFormatPr defaultRowHeight="21.6" customHeight="1"/>
  <cols>
    <col min="1" max="1" width="11.875" style="4" customWidth="1"/>
    <col min="2" max="4" width="11.875" style="3" customWidth="1"/>
    <col min="5" max="13" width="11.875" style="4" customWidth="1"/>
    <col min="14" max="73" width="2.75" style="4" customWidth="1"/>
    <col min="74" max="16384" width="9" style="4"/>
  </cols>
  <sheetData>
    <row r="1" spans="1:13" ht="36" customHeight="1">
      <c r="A1" s="330" t="s">
        <v>1701</v>
      </c>
      <c r="B1" s="333"/>
      <c r="C1" s="332"/>
      <c r="D1" s="332"/>
      <c r="E1" s="332"/>
      <c r="F1" s="332"/>
      <c r="G1" s="332"/>
      <c r="H1" s="332"/>
      <c r="I1" s="332"/>
      <c r="J1" s="332"/>
      <c r="K1" s="332"/>
      <c r="L1" s="534"/>
      <c r="M1" s="535">
        <f ca="1">TODAY()</f>
        <v>43004</v>
      </c>
    </row>
    <row r="2" spans="1:13" ht="23.25" customHeight="1">
      <c r="A2" s="536" t="str">
        <f>IF(AND(UNNH0020_SQL_URIAGE_DATE_START="",UNNH0020_SQL_URIAGE_DATE_END=""),"","売上集計期間："&amp;IF(UNNH0020_SQL_URIAGE_DATE_START="","",TEXT(UNNH0020_SQL_URIAGE_DATE_START,"YYYY/MM/DD"))&amp;"～"&amp;IF(UNNH0020_SQL_URIAGE_DATE_END="","",TEXT(UNNH0020_SQL_URIAGE_DATE_END,"YYYY/MM/DD")))</f>
        <v/>
      </c>
      <c r="B2" s="333"/>
      <c r="C2" s="332"/>
      <c r="D2" s="332"/>
      <c r="E2" s="332"/>
      <c r="F2" s="332"/>
      <c r="G2" s="332"/>
      <c r="H2" s="332"/>
      <c r="I2" s="332"/>
      <c r="J2" s="332"/>
      <c r="K2" s="332"/>
      <c r="L2" s="537"/>
      <c r="M2" s="538"/>
    </row>
    <row r="3" spans="1:13" ht="11.25" customHeight="1">
      <c r="B3" s="315"/>
      <c r="C3" s="315"/>
      <c r="D3" s="315"/>
      <c r="E3" s="315"/>
      <c r="F3" s="315"/>
    </row>
    <row r="4" spans="1:13" ht="16.5" customHeight="1">
      <c r="B4" s="801" t="s">
        <v>1774</v>
      </c>
      <c r="C4" s="802"/>
      <c r="D4" s="801" t="s">
        <v>1775</v>
      </c>
      <c r="E4" s="803"/>
      <c r="F4" s="802"/>
      <c r="G4" s="804" t="s">
        <v>1776</v>
      </c>
      <c r="H4" s="803"/>
      <c r="I4" s="802"/>
      <c r="J4" s="805" t="s">
        <v>1774</v>
      </c>
      <c r="K4" s="805" t="s">
        <v>1777</v>
      </c>
      <c r="L4" s="805" t="s">
        <v>1776</v>
      </c>
    </row>
    <row r="5" spans="1:13" ht="16.5">
      <c r="A5" s="652" t="s">
        <v>1702</v>
      </c>
      <c r="B5" s="539" t="s">
        <v>1703</v>
      </c>
      <c r="C5" s="540" t="s">
        <v>1704</v>
      </c>
      <c r="D5" s="539" t="s">
        <v>1705</v>
      </c>
      <c r="E5" s="541" t="s">
        <v>1706</v>
      </c>
      <c r="F5" s="540" t="s">
        <v>1707</v>
      </c>
      <c r="G5" s="539" t="s">
        <v>1708</v>
      </c>
      <c r="H5" s="542" t="s">
        <v>1709</v>
      </c>
      <c r="I5" s="543" t="s">
        <v>1710</v>
      </c>
      <c r="J5" s="654" t="s">
        <v>1711</v>
      </c>
      <c r="K5" s="654" t="s">
        <v>1712</v>
      </c>
      <c r="L5" s="654" t="s">
        <v>1713</v>
      </c>
      <c r="M5" s="654" t="s">
        <v>1714</v>
      </c>
    </row>
    <row r="6" spans="1:13" ht="16.5">
      <c r="A6" s="653"/>
      <c r="B6" s="575" t="str">
        <f ca="1">IF(IFERROR(VLOOKUP(B5,UNNH0020_REPORT_IF_LIST_KANJOKAMOKU,2,1),"")=0,"",IFERROR(VLOOKUP(B5,UNNH0020_REPORT_IF_LIST_KANJOKAMOKU,2,1),""))</f>
        <v>計量証明事業水質</v>
      </c>
      <c r="C6" s="579" t="str">
        <f t="shared" ref="C6:I6" ca="1" si="0">IF(IFERROR(VLOOKUP(C5,UNNH0020_REPORT_IF_LIST_KANJOKAMOKU,2,1),"")=0,"",IFERROR(VLOOKUP(C5,UNNH0020_REPORT_IF_LIST_KANJOKAMOKU,2,1),""))</f>
        <v>研究支援分析売上高</v>
      </c>
      <c r="D6" s="575" t="str">
        <f t="shared" ca="1" si="0"/>
        <v>作業環境売上高</v>
      </c>
      <c r="E6" s="576" t="str">
        <f t="shared" ca="1" si="0"/>
        <v>大気測定売上高</v>
      </c>
      <c r="F6" s="579" t="str">
        <f t="shared" ca="1" si="0"/>
        <v>ﾀﾞｲｵｷｼﾝ類売上高</v>
      </c>
      <c r="G6" s="577" t="str">
        <f t="shared" ca="1" si="0"/>
        <v>商品売上高-販売商品</v>
      </c>
      <c r="H6" s="578" t="str">
        <f t="shared" ca="1" si="0"/>
        <v>商品売上高-営業委託</v>
      </c>
      <c r="I6" s="580" t="str">
        <f t="shared" ca="1" si="0"/>
        <v>商品売上高-その他</v>
      </c>
      <c r="J6" s="655"/>
      <c r="K6" s="655"/>
      <c r="L6" s="655"/>
      <c r="M6" s="655"/>
    </row>
    <row r="7" spans="1:13" ht="21.6" customHeight="1">
      <c r="E7" s="3"/>
      <c r="F7" s="3"/>
      <c r="G7" s="3"/>
      <c r="H7" s="3"/>
      <c r="I7" s="3"/>
      <c r="J7" s="3"/>
      <c r="K7" s="3"/>
      <c r="L7" s="3"/>
      <c r="M7" s="3"/>
    </row>
    <row r="8" spans="1:13" ht="21.6" customHeight="1">
      <c r="E8" s="3"/>
      <c r="F8" s="3"/>
      <c r="G8" s="3"/>
      <c r="H8" s="3"/>
      <c r="I8" s="3"/>
      <c r="J8" s="3"/>
      <c r="K8" s="3"/>
      <c r="L8" s="3"/>
      <c r="M8" s="3"/>
    </row>
  </sheetData>
  <mergeCells count="8">
    <mergeCell ref="B4:C4"/>
    <mergeCell ref="D4:F4"/>
    <mergeCell ref="G4:I4"/>
    <mergeCell ref="A5:A6"/>
    <mergeCell ref="J5:J6"/>
    <mergeCell ref="K5:K6"/>
    <mergeCell ref="L5:L6"/>
    <mergeCell ref="M5:M6"/>
  </mergeCells>
  <phoneticPr fontId="2"/>
  <pageMargins left="0.39370078740157483" right="0.39370078740157483" top="0.59055118110236227" bottom="0.19685039370078741" header="0.19685039370078741" footer="0.31496062992125984"/>
  <pageSetup paperSize="9" scale="92" fitToHeight="0" orientation="landscape" r:id="rId1"/>
  <headerFooter>
    <oddHeader>&amp;RNo.&amp;P / &amp;N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M12"/>
  <sheetViews>
    <sheetView topLeftCell="R1" workbookViewId="0">
      <selection activeCell="AL5" sqref="AL5"/>
    </sheetView>
  </sheetViews>
  <sheetFormatPr defaultRowHeight="13.5"/>
  <cols>
    <col min="2" max="2" width="12.25" bestFit="1" customWidth="1"/>
    <col min="3" max="5" width="9" style="329"/>
    <col min="20" max="20" width="18.25" style="425" customWidth="1"/>
    <col min="21" max="21" width="22.375" style="329" customWidth="1"/>
    <col min="22" max="22" width="9.25" style="329" customWidth="1"/>
    <col min="23" max="24" width="9" style="329"/>
    <col min="25" max="25" width="14.125" style="329" customWidth="1"/>
    <col min="26" max="26" width="13" style="329" customWidth="1"/>
    <col min="27" max="16384" width="9" style="329"/>
  </cols>
  <sheetData>
    <row r="1" spans="2:39">
      <c r="T1" s="329" t="s">
        <v>1715</v>
      </c>
    </row>
    <row r="2" spans="2:39">
      <c r="F2" t="s">
        <v>1211</v>
      </c>
      <c r="T2" s="260" t="s">
        <v>723</v>
      </c>
      <c r="U2" s="265">
        <v>8</v>
      </c>
      <c r="AA2" s="329" t="s">
        <v>1760</v>
      </c>
    </row>
    <row r="3" spans="2:39" ht="16.5">
      <c r="F3" s="399" t="s">
        <v>484</v>
      </c>
      <c r="G3" s="400" t="s">
        <v>77</v>
      </c>
      <c r="H3" s="400" t="s">
        <v>3</v>
      </c>
      <c r="I3" s="400" t="s">
        <v>1207</v>
      </c>
      <c r="J3" s="400" t="s">
        <v>21</v>
      </c>
      <c r="K3" s="400" t="s">
        <v>1208</v>
      </c>
      <c r="L3" s="401" t="s">
        <v>1150</v>
      </c>
      <c r="M3" s="401" t="s">
        <v>1151</v>
      </c>
      <c r="N3" s="401" t="s">
        <v>1152</v>
      </c>
      <c r="O3" s="401" t="s">
        <v>1153</v>
      </c>
      <c r="P3" s="401" t="s">
        <v>835</v>
      </c>
      <c r="Q3" s="401" t="s">
        <v>1539</v>
      </c>
      <c r="R3" s="402" t="s">
        <v>1540</v>
      </c>
      <c r="T3" s="260" t="s">
        <v>1772</v>
      </c>
      <c r="U3" s="260" t="s">
        <v>1773</v>
      </c>
      <c r="AA3" s="652" t="s">
        <v>1702</v>
      </c>
      <c r="AB3" s="539" t="s">
        <v>1716</v>
      </c>
      <c r="AC3" s="540" t="s">
        <v>1717</v>
      </c>
      <c r="AD3" s="539" t="s">
        <v>1718</v>
      </c>
      <c r="AE3" s="541" t="s">
        <v>1719</v>
      </c>
      <c r="AF3" s="540" t="s">
        <v>1720</v>
      </c>
      <c r="AG3" s="539" t="s">
        <v>1721</v>
      </c>
      <c r="AH3" s="542" t="s">
        <v>1722</v>
      </c>
      <c r="AI3" s="543" t="s">
        <v>1723</v>
      </c>
      <c r="AJ3" s="654" t="s">
        <v>1724</v>
      </c>
      <c r="AK3" s="654" t="s">
        <v>1725</v>
      </c>
      <c r="AL3" s="654" t="s">
        <v>1726</v>
      </c>
      <c r="AM3" s="654" t="s">
        <v>1714</v>
      </c>
    </row>
    <row r="4" spans="2:39" ht="16.5">
      <c r="B4" t="s">
        <v>1117</v>
      </c>
      <c r="C4" s="329" t="s">
        <v>1215</v>
      </c>
      <c r="D4" s="72"/>
      <c r="F4" s="392"/>
      <c r="G4" s="393"/>
      <c r="H4" s="393"/>
      <c r="I4" s="394"/>
      <c r="J4" s="393"/>
      <c r="K4" s="394"/>
      <c r="L4" s="395"/>
      <c r="M4" s="396"/>
      <c r="N4" s="397"/>
      <c r="O4" s="397"/>
      <c r="P4" s="395"/>
      <c r="Q4" s="397"/>
      <c r="R4" s="398"/>
      <c r="T4" s="550" t="s">
        <v>1727</v>
      </c>
      <c r="U4" s="550" t="s">
        <v>882</v>
      </c>
      <c r="W4" s="329" t="s">
        <v>1117</v>
      </c>
      <c r="X4" s="329" t="s">
        <v>1759</v>
      </c>
      <c r="Y4" s="72">
        <v>0</v>
      </c>
      <c r="AA4" s="653"/>
      <c r="AB4" s="544" t="s">
        <v>1681</v>
      </c>
      <c r="AC4" s="545" t="s">
        <v>1682</v>
      </c>
      <c r="AD4" s="544" t="s">
        <v>1728</v>
      </c>
      <c r="AE4" s="546" t="s">
        <v>1729</v>
      </c>
      <c r="AF4" s="545" t="s">
        <v>1730</v>
      </c>
      <c r="AG4" s="547" t="s">
        <v>1731</v>
      </c>
      <c r="AH4" s="548" t="s">
        <v>1732</v>
      </c>
      <c r="AI4" s="549" t="s">
        <v>1733</v>
      </c>
      <c r="AJ4" s="655"/>
      <c r="AK4" s="655"/>
      <c r="AL4" s="655"/>
      <c r="AM4" s="655"/>
    </row>
    <row r="5" spans="2:39" ht="15">
      <c r="B5" t="s">
        <v>1384</v>
      </c>
      <c r="C5" s="329" t="s">
        <v>1385</v>
      </c>
      <c r="D5" s="378" t="str">
        <f>"UNNH0020_REPORT!"&amp;ADDRESS(ROW(UNNH0020_REPORT_PRINT_START),COLUMN(UNNH0020_REPORT_PRINT_START))&amp;":"&amp;ADDRESS(ROW(UNNH0020_REPORT_START)+UNNH0020_REPORT_IF_KENSU-1,COLUMN(UNNH0020_REPORT_START)+COLUMNS(UNNH0020_REPORT_IF_SHOSHIKI_COPY_MOTO)-1)</f>
        <v>UNNH0020_REPORT!$A$1:$M$3</v>
      </c>
      <c r="T5" s="551" t="s">
        <v>1734</v>
      </c>
      <c r="U5" s="329" t="s">
        <v>1735</v>
      </c>
      <c r="W5" s="329" t="s">
        <v>1384</v>
      </c>
      <c r="X5" s="329" t="s">
        <v>1736</v>
      </c>
      <c r="Y5" s="378" t="str">
        <f>"UNNH0020_REPORT2!"&amp;ADDRESS(ROW(UNNH0020_REPORT2_PRINT_START),COLUMN(UNNH0020_REPORT2_PRINT_START))&amp;":"&amp;ADDRESS(ROW(UNNH0020_REPORT2_START)+UNNH0020_REPORT_IF_SHUKEIHYOU_KENSU,COLUMN(UNNH0020_REPORT2_START)+COLUMNS(UNNH0020_REPORT_IF_SHUKEIHYOU_SHOSHIKI_COPY_MOTO)-1)</f>
        <v>UNNH0020_REPORT2!$A$1:$M$7</v>
      </c>
      <c r="AA5" s="552"/>
      <c r="AB5" s="553"/>
      <c r="AC5" s="554"/>
      <c r="AD5" s="553"/>
      <c r="AE5" s="555"/>
      <c r="AF5" s="554"/>
      <c r="AG5" s="553"/>
      <c r="AH5" s="555"/>
      <c r="AI5" s="554"/>
      <c r="AJ5" s="556">
        <f>AB5+AC5</f>
        <v>0</v>
      </c>
      <c r="AK5" s="556">
        <f>AB5+AC5+AD5+AE5+AF5</f>
        <v>0</v>
      </c>
      <c r="AL5" s="556">
        <f>AG5+AH5+AI5</f>
        <v>0</v>
      </c>
      <c r="AM5" s="556">
        <f>AB5+AC5+AD5+AE5+AF5+AG5+AH5+AI5</f>
        <v>0</v>
      </c>
    </row>
    <row r="6" spans="2:39" ht="15">
      <c r="B6" t="s">
        <v>916</v>
      </c>
      <c r="C6" s="329" t="s">
        <v>1214</v>
      </c>
      <c r="D6" s="72" t="str">
        <f>IF(UNNH0020_REPORT_IF_KENSU=0,"",
"UNNH0020_REPORT!"&amp;ADDRESS(ROW(UNNH0020_REPORT_START),COLUMN(UNNH0020_REPORT_START))&amp;":"&amp;ADDRESS(ROW(UNNH0020_REPORT_START)+UNNH0020_REPORT_IF_KENSU-1,COLUMN(UNNH0020_REPORT_START)+COLUMNS(UNNH0020_REPORT_IF_SHOSHIKI_COPY_MOTO)-1))</f>
        <v/>
      </c>
      <c r="T6" s="425" t="s">
        <v>1737</v>
      </c>
      <c r="U6" s="329" t="s">
        <v>1738</v>
      </c>
      <c r="W6" s="329" t="s">
        <v>916</v>
      </c>
      <c r="X6" s="329" t="s">
        <v>1739</v>
      </c>
      <c r="Y6" s="72" t="str">
        <f>IF(UNNH0020_REPORT_IF_SHUKEIHYOU_KENSU=0,"",
"UNNH0020_REPORT2!"&amp;ADDRESS(ROW(UNNH0020_REPORT2_START),COLUMN(UNNH0020_REPORT2_START))&amp;":"&amp;ADDRESS(ROW(UNNH0020_REPORT2_START)+UNNH0020_REPORT_IF_SHUKEIHYOU_KENSU-1,COLUMN(UNNH0020_REPORT2_START)+COLUMNS(UNNH0020_REPORT_IF_SHUKEIHYOU_SHOSHIKI_COPY_MOTO)-1))</f>
        <v/>
      </c>
      <c r="AA6" s="557" t="s">
        <v>1740</v>
      </c>
      <c r="AB6" s="553">
        <f ca="1">SUM(INDIRECT(ADDRESS(ROW(UNNH0020_REPORT2_START),COLUMN(UNNH0020_REPORT2_START)+1)):OFFSET(INDIRECT(ADDRESS(ROW(UNNH0020_REPORT2_START)-1,COLUMN(UNNH0020_REPORT2_START)+1)),UNNH0020_REPORT_IF_SHUKEIHYOU_KENSU,0))</f>
        <v>0</v>
      </c>
      <c r="AC6" s="554">
        <f ca="1">SUM(INDIRECT(ADDRESS(ROW(UNNH0020_REPORT2_START),COLUMN(UNNH0020_REPORT2_START)+2)):OFFSET(INDIRECT(ADDRESS(ROW(UNNH0020_REPORT2_START)-1,COLUMN(UNNH0020_REPORT2_START)+2)),UNNH0020_REPORT_IF_SHUKEIHYOU_KENSU,0))</f>
        <v>0</v>
      </c>
      <c r="AD6" s="553">
        <f ca="1">SUM(INDIRECT(ADDRESS(ROW(UNNH0020_REPORT2_START),COLUMN(UNNH0020_REPORT2_START)+3)):OFFSET(INDIRECT(ADDRESS(ROW(UNNH0020_REPORT2_START)-1,COLUMN(UNNH0020_REPORT2_START)+3)),UNNH0020_REPORT_IF_SHUKEIHYOU_KENSU,0))</f>
        <v>0</v>
      </c>
      <c r="AE6" s="555">
        <f ca="1">SUM(INDIRECT(ADDRESS(ROW(UNNH0020_REPORT2_START),COLUMN(UNNH0020_REPORT2_START)+4)):OFFSET(INDIRECT(ADDRESS(ROW(UNNH0020_REPORT2_START)-1,COLUMN(UNNH0020_REPORT2_START)+4)),UNNH0020_REPORT_IF_SHUKEIHYOU_KENSU,0))</f>
        <v>0</v>
      </c>
      <c r="AF6" s="554">
        <f ca="1">SUM(INDIRECT(ADDRESS(ROW(UNNH0020_REPORT2_START),COLUMN(UNNH0020_REPORT2_START)+5)):OFFSET(INDIRECT(ADDRESS(ROW(UNNH0020_REPORT2_START)-1,COLUMN(UNNH0020_REPORT2_START)+5)),UNNH0020_REPORT_IF_SHUKEIHYOU_KENSU,0))</f>
        <v>0</v>
      </c>
      <c r="AG6" s="553">
        <f ca="1">SUM(INDIRECT(ADDRESS(ROW(UNNH0020_REPORT2_START),COLUMN(UNNH0020_REPORT2_START)+6)):OFFSET(INDIRECT(ADDRESS(ROW(UNNH0020_REPORT2_START)-1,COLUMN(UNNH0020_REPORT2_START)+6)),UNNH0020_REPORT_IF_SHUKEIHYOU_KENSU,0))</f>
        <v>0</v>
      </c>
      <c r="AH6" s="555">
        <f ca="1">SUM(INDIRECT(ADDRESS(ROW(UNNH0020_REPORT2_START),COLUMN(UNNH0020_REPORT2_START)+7)):OFFSET(INDIRECT(ADDRESS(ROW(UNNH0020_REPORT2_START)-1,COLUMN(UNNH0020_REPORT2_START)+7)),UNNH0020_REPORT_IF_SHUKEIHYOU_KENSU,0))</f>
        <v>0</v>
      </c>
      <c r="AI6" s="554">
        <f ca="1">SUM(INDIRECT(ADDRESS(ROW(UNNH0020_REPORT2_START),COLUMN(UNNH0020_REPORT2_START)+8)):OFFSET(INDIRECT(ADDRESS(ROW(UNNH0020_REPORT2_START)-1,COLUMN(UNNH0020_REPORT2_START)+8)),UNNH0020_REPORT_IF_SHUKEIHYOU_KENSU,0))</f>
        <v>0</v>
      </c>
      <c r="AJ6" s="556">
        <f ca="1">SUM(INDIRECT(ADDRESS(ROW(UNNH0020_REPORT2_START),COLUMN(UNNH0020_REPORT2_START)+9)):OFFSET(INDIRECT(ADDRESS(ROW(UNNH0020_REPORT2_START)-1,COLUMN(UNNH0020_REPORT2_START)+9)),UNNH0020_REPORT_IF_SHUKEIHYOU_KENSU,0))</f>
        <v>0</v>
      </c>
      <c r="AK6" s="556">
        <f ca="1">SUM(INDIRECT(ADDRESS(ROW(UNNH0020_REPORT2_START),COLUMN(UNNH0020_REPORT2_START)+10)):OFFSET(INDIRECT(ADDRESS(ROW(UNNH0020_REPORT2_START)-1,COLUMN(UNNH0020_REPORT2_START)+10)),UNNH0020_REPORT_IF_SHUKEIHYOU_KENSU,0))</f>
        <v>0</v>
      </c>
      <c r="AL6" s="556">
        <f ca="1">SUM(INDIRECT(ADDRESS(ROW(UNNH0020_REPORT2_START),COLUMN(UNNH0020_REPORT2_START)+11)):OFFSET(INDIRECT(ADDRESS(ROW(UNNH0020_REPORT2_START)-1,COLUMN(UNNH0020_REPORT2_START)+11)),UNNH0020_REPORT_IF_SHUKEIHYOU_KENSU,0))</f>
        <v>0</v>
      </c>
      <c r="AM6" s="556">
        <f ca="1">SUM(INDIRECT(ADDRESS(ROW(UNNH0020_REPORT2_START),COLUMN(UNNH0020_REPORT2_START)+12)):OFFSET(INDIRECT(ADDRESS(ROW(UNNH0020_REPORT2_START)-1,COLUMN(UNNH0020_REPORT2_START)+12)),UNNH0020_REPORT_IF_SHUKEIHYOU_KENSU,0))</f>
        <v>0</v>
      </c>
    </row>
    <row r="7" spans="2:39">
      <c r="T7" s="425" t="s">
        <v>1741</v>
      </c>
      <c r="U7" s="329" t="s">
        <v>1742</v>
      </c>
      <c r="W7" s="329" t="s">
        <v>1130</v>
      </c>
      <c r="X7" s="329" t="s">
        <v>1743</v>
      </c>
      <c r="Y7" s="72" t="str">
        <f>IF(UNNH0020_REPORT_IF_SHUKEIHYOU_KENSU=0,"",
"UNNH0020_REPORT2!"&amp;ADDRESS(ROW(UNNH0020_REPORT2_START),COLUMN(UNNH0020_REPORT2_START)+9)&amp;":"&amp;ADDRESS(ROW(UNNH0020_REPORT2_START)+UNNH0020_REPORT_IF_SHUKEIHYOU_KENSU-1,COLUMN(UNNH0020_REPORT2_START)+COLUMNS(UNNH0020_REPORT_IF_SHUKEIHYOU_SHOSHIKI_COPY_MOTO)-1))</f>
        <v/>
      </c>
    </row>
    <row r="8" spans="2:39">
      <c r="B8" s="340" t="s">
        <v>1212</v>
      </c>
      <c r="C8" s="340" t="s">
        <v>1213</v>
      </c>
      <c r="D8" s="341">
        <v>0.08</v>
      </c>
      <c r="T8" s="425" t="s">
        <v>1744</v>
      </c>
      <c r="U8" s="329" t="s">
        <v>1745</v>
      </c>
      <c r="W8" s="329" t="s">
        <v>1746</v>
      </c>
      <c r="X8" s="329" t="s">
        <v>1747</v>
      </c>
      <c r="Y8" s="72" t="str">
        <f>IF(UNNH0020_REPORT_IF_SHUKEIHYOU_KENSU=0,"",
"UNNH0020_REPORT2!"&amp;ADDRESS(ROW(UNNH0020_REPORT2_START)+UNNH0020_REPORT_IF_SHUKEIHYOU_KENSU,COLUMN(UNNH0020_REPORT2_START))&amp;":"&amp;ADDRESS(ROW(UNNH0020_REPORT2_START)+UNNH0020_REPORT_IF_SHUKEIHYOU_KENSU,COLUMN(UNNH0020_REPORT2_START)+COLUMNS(UNNH0020_REPORT_IF_SHUKEIHYOU_SHOSHIKI_COPY_MOTO)-1))</f>
        <v/>
      </c>
    </row>
    <row r="9" spans="2:39">
      <c r="T9" s="425" t="s">
        <v>1748</v>
      </c>
      <c r="U9" s="329" t="s">
        <v>1749</v>
      </c>
    </row>
    <row r="10" spans="2:39">
      <c r="T10" s="425" t="s">
        <v>1750</v>
      </c>
      <c r="U10" s="329" t="s">
        <v>1751</v>
      </c>
      <c r="W10" s="329" t="s">
        <v>1752</v>
      </c>
      <c r="X10" s="329" t="s">
        <v>1753</v>
      </c>
      <c r="Y10" s="72">
        <f>IF(AND(UNNH0020_SQL_URIAGE_DATE_START="",UNNH0020_SQL_URIAGE_DATE_END=""),0,1)</f>
        <v>0</v>
      </c>
      <c r="Z10" s="329" t="s">
        <v>1754</v>
      </c>
    </row>
    <row r="11" spans="2:39">
      <c r="T11" s="425" t="s">
        <v>1755</v>
      </c>
      <c r="U11" s="329" t="s">
        <v>1756</v>
      </c>
    </row>
    <row r="12" spans="2:39">
      <c r="T12" s="425" t="s">
        <v>1757</v>
      </c>
      <c r="U12" s="329" t="s">
        <v>1758</v>
      </c>
    </row>
  </sheetData>
  <mergeCells count="5">
    <mergeCell ref="AA3:AA4"/>
    <mergeCell ref="AJ3:AJ4"/>
    <mergeCell ref="AK3:AK4"/>
    <mergeCell ref="AL3:AL4"/>
    <mergeCell ref="AM3:AM4"/>
  </mergeCells>
  <phoneticPr fontId="2"/>
  <conditionalFormatting sqref="F4:R4">
    <cfRule type="expression" dxfId="284" priority="1">
      <formula>INDIRECT(ADDRESS(ROW(),COLUMN(UNNH0020_REPORT_SHOHIN_MEI)))="※伝票計※"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rgb="FFFFC000"/>
  </sheetPr>
  <dimension ref="A1:R35"/>
  <sheetViews>
    <sheetView showGridLines="0" showRowColHeaders="0" topLeftCell="G1" zoomScaleNormal="100" workbookViewId="0">
      <selection activeCell="I3" sqref="I3"/>
    </sheetView>
  </sheetViews>
  <sheetFormatPr defaultRowHeight="16.5"/>
  <cols>
    <col min="1" max="1" width="9" style="4" hidden="1" customWidth="1"/>
    <col min="2" max="2" width="19.625" style="4" hidden="1" customWidth="1"/>
    <col min="3" max="6" width="9" style="4" hidden="1" customWidth="1"/>
    <col min="7" max="7" width="3.375" style="254" customWidth="1"/>
    <col min="8" max="8" width="17.375" style="254" customWidth="1"/>
    <col min="9" max="11" width="11.75" style="254" customWidth="1"/>
    <col min="12" max="12" width="13.75" style="254" customWidth="1"/>
    <col min="13" max="15" width="11.75" style="254" customWidth="1"/>
    <col min="16" max="16" width="12.875" style="254" customWidth="1"/>
    <col min="17" max="17" width="13.875" style="254" customWidth="1"/>
    <col min="18" max="18" width="11.75" style="254" customWidth="1"/>
    <col min="19" max="19" width="3.75" style="254" customWidth="1"/>
    <col min="20" max="20" width="3.375" style="254" customWidth="1"/>
    <col min="21" max="16384" width="9" style="254"/>
  </cols>
  <sheetData>
    <row r="1" spans="1:18" s="1" customFormat="1" ht="16.5" customHeight="1">
      <c r="A1" s="24"/>
      <c r="B1" s="24"/>
      <c r="C1" s="24"/>
      <c r="D1" s="24"/>
      <c r="E1" s="24"/>
      <c r="F1" s="24"/>
      <c r="G1" s="1" t="s">
        <v>51</v>
      </c>
      <c r="I1" s="1" t="str">
        <f>"【"&amp;IF(UNNH0030_IF_MODE=1,"新規登録",IF(UNNH0030_IF_MODE=2,"修正","参照"))&amp;"モード】"</f>
        <v>【参照モード】</v>
      </c>
      <c r="K1" s="1" t="str">
        <f>IF(UNNH0030_IF_JUCHU_MODE=1,UNNH0030_H_PAGE_NO&amp;"/"&amp;UNNH0030_H_PAGE_TOTAL,"")</f>
        <v/>
      </c>
    </row>
    <row r="2" spans="1:18" s="183" customFormat="1" ht="16.5" customHeight="1">
      <c r="A2" s="24"/>
      <c r="B2" s="43" t="s">
        <v>212</v>
      </c>
      <c r="C2" s="44" t="s">
        <v>620</v>
      </c>
      <c r="D2" s="49"/>
      <c r="E2" s="24"/>
      <c r="F2" s="24"/>
    </row>
    <row r="3" spans="1:18" s="183" customFormat="1" ht="16.5" customHeight="1">
      <c r="A3" s="24"/>
      <c r="B3" s="43" t="s">
        <v>146</v>
      </c>
      <c r="C3" s="44" t="s">
        <v>1287</v>
      </c>
      <c r="D3" s="49" t="str">
        <f>ADDRESS(ROW(A1),COLUMN(A1))&amp;":"&amp;ADDRESS(ROW(F1),COLUMN(F1))</f>
        <v>$A$1:$F$1</v>
      </c>
      <c r="E3" s="24"/>
      <c r="F3" s="24"/>
      <c r="H3" s="15" t="s">
        <v>119</v>
      </c>
      <c r="I3" s="352"/>
      <c r="K3" s="15" t="s">
        <v>113</v>
      </c>
      <c r="L3" s="240"/>
      <c r="N3" s="5" t="s">
        <v>124</v>
      </c>
      <c r="O3" s="241"/>
      <c r="Q3" s="15" t="s">
        <v>1456</v>
      </c>
      <c r="R3" s="240"/>
    </row>
    <row r="4" spans="1:18" s="183" customFormat="1" ht="16.5" customHeight="1">
      <c r="A4" s="24"/>
      <c r="B4" s="24"/>
      <c r="C4" s="24"/>
      <c r="D4" s="24"/>
      <c r="E4" s="24"/>
      <c r="F4" s="24"/>
      <c r="H4" s="5" t="s">
        <v>52</v>
      </c>
      <c r="I4" s="11"/>
      <c r="K4" s="15" t="s">
        <v>121</v>
      </c>
      <c r="L4" s="240"/>
      <c r="N4" s="5" t="s">
        <v>125</v>
      </c>
      <c r="O4" s="241"/>
      <c r="Q4" s="15" t="s">
        <v>1653</v>
      </c>
      <c r="R4" s="528"/>
    </row>
    <row r="5" spans="1:18" s="183" customFormat="1" ht="16.5" customHeight="1">
      <c r="A5" s="24"/>
      <c r="B5" s="24"/>
      <c r="C5" s="24"/>
      <c r="D5" s="24"/>
      <c r="E5" s="24"/>
      <c r="F5" s="24"/>
      <c r="H5" s="5" t="s">
        <v>91</v>
      </c>
      <c r="I5" s="242"/>
      <c r="K5" s="5" t="s">
        <v>53</v>
      </c>
      <c r="L5" s="662"/>
      <c r="M5" s="663"/>
      <c r="N5" s="20" t="s">
        <v>136</v>
      </c>
      <c r="O5" s="243"/>
      <c r="Q5" s="15" t="s">
        <v>621</v>
      </c>
      <c r="R5" s="241"/>
    </row>
    <row r="6" spans="1:18" s="183" customFormat="1" ht="16.5" customHeight="1">
      <c r="A6" s="4"/>
      <c r="B6" s="4"/>
      <c r="C6" s="4"/>
      <c r="D6" s="4" t="s">
        <v>622</v>
      </c>
      <c r="E6" s="4"/>
      <c r="F6" s="4"/>
      <c r="Q6" s="5" t="s">
        <v>54</v>
      </c>
    </row>
    <row r="7" spans="1:18" s="183" customFormat="1" ht="16.5" customHeight="1">
      <c r="A7" s="4"/>
      <c r="B7" s="4" t="s">
        <v>623</v>
      </c>
      <c r="C7" s="4" t="s">
        <v>624</v>
      </c>
      <c r="D7" s="244" t="b">
        <v>1</v>
      </c>
      <c r="E7" s="4"/>
      <c r="F7" s="4"/>
      <c r="H7" s="15" t="s">
        <v>86</v>
      </c>
      <c r="I7" s="245"/>
      <c r="J7" s="664" t="str">
        <f>IF(UNNH0030_H_SEIKYUSAKI_CD="","",UNNH0030_H_SEIKYUSAKI_MEI)</f>
        <v/>
      </c>
      <c r="K7" s="665"/>
      <c r="L7" s="666"/>
      <c r="N7" s="15" t="s">
        <v>1417</v>
      </c>
      <c r="O7" s="429"/>
      <c r="Q7" s="15" t="s">
        <v>98</v>
      </c>
      <c r="R7" s="428"/>
    </row>
    <row r="8" spans="1:18" s="183" customFormat="1">
      <c r="A8" s="4"/>
      <c r="B8" s="4" t="s">
        <v>625</v>
      </c>
      <c r="C8" s="4" t="s">
        <v>626</v>
      </c>
      <c r="D8" s="246" t="b">
        <v>0</v>
      </c>
      <c r="E8" s="4"/>
      <c r="F8" s="4"/>
      <c r="H8" s="5" t="s">
        <v>55</v>
      </c>
      <c r="I8" s="667"/>
      <c r="J8" s="668"/>
      <c r="K8" s="668"/>
      <c r="L8" s="669"/>
      <c r="N8" s="15" t="s">
        <v>1410</v>
      </c>
      <c r="O8" s="690" t="str">
        <f>IFERROR(IF(UNNH0030_H_BUNSEKI_HOHO="","",INDEX(UNNH0030_IF_SET_KANJO_KAMOKU,MATCH(UNNH0030_H_BUNSEKI_HOHO,UNNH0030_IF_SET_KANJO_KAMOKU2,0),2)),"")</f>
        <v/>
      </c>
      <c r="P8" s="690"/>
      <c r="Q8" s="15" t="s">
        <v>133</v>
      </c>
      <c r="R8" s="428"/>
    </row>
    <row r="9" spans="1:18" s="183" customFormat="1">
      <c r="A9" s="4"/>
      <c r="B9" s="4"/>
      <c r="C9" s="4"/>
      <c r="D9" s="4"/>
      <c r="E9" s="4"/>
      <c r="F9" s="4"/>
      <c r="I9" s="670"/>
      <c r="J9" s="671"/>
      <c r="K9" s="671"/>
      <c r="L9" s="672"/>
      <c r="N9" s="15" t="s">
        <v>1659</v>
      </c>
      <c r="O9" s="531"/>
      <c r="P9" s="691" t="str">
        <f>IFERROR(IF(UNNH0030_H_BUNSEKI_HOHO="","",INDEX(UNNH_BUNSEKI_HOHO_IF_LIST,MATCH(UNNH0030_H_BUNSEKI_HOHO,UNNH_BUNSEKI_HOHO_IF_LIST2,0),2)),"")</f>
        <v/>
      </c>
      <c r="Q9" s="692"/>
      <c r="R9" s="693"/>
    </row>
    <row r="10" spans="1:18" s="183" customFormat="1">
      <c r="A10" s="4"/>
      <c r="B10" s="4"/>
      <c r="C10" s="4"/>
      <c r="D10" s="4" t="s">
        <v>1330</v>
      </c>
      <c r="E10" s="4"/>
      <c r="F10" s="4"/>
      <c r="I10" s="670"/>
      <c r="J10" s="671"/>
      <c r="K10" s="671"/>
      <c r="L10" s="672"/>
      <c r="N10" s="5" t="s">
        <v>137</v>
      </c>
      <c r="O10" s="676"/>
      <c r="P10" s="677"/>
      <c r="Q10" s="677"/>
      <c r="R10" s="678"/>
    </row>
    <row r="11" spans="1:18" s="183" customFormat="1">
      <c r="A11" s="4"/>
      <c r="B11" s="4" t="s">
        <v>440</v>
      </c>
      <c r="C11" s="4" t="s">
        <v>627</v>
      </c>
      <c r="D11" s="244"/>
      <c r="E11" s="4"/>
      <c r="F11" s="4"/>
      <c r="I11" s="673"/>
      <c r="J11" s="674"/>
      <c r="K11" s="674"/>
      <c r="L11" s="675"/>
      <c r="N11" s="5"/>
      <c r="O11" s="679"/>
      <c r="P11" s="680"/>
      <c r="Q11" s="680"/>
      <c r="R11" s="681"/>
    </row>
    <row r="12" spans="1:18" s="183" customFormat="1">
      <c r="A12" s="4"/>
      <c r="B12" s="4" t="s">
        <v>143</v>
      </c>
      <c r="C12" s="4" t="s">
        <v>628</v>
      </c>
      <c r="D12" s="367"/>
      <c r="E12" s="4"/>
      <c r="F12" s="4"/>
      <c r="H12" s="236"/>
      <c r="I12" s="5"/>
    </row>
    <row r="13" spans="1:18" s="183" customFormat="1">
      <c r="A13" s="4"/>
      <c r="B13" s="4" t="s">
        <v>1454</v>
      </c>
      <c r="C13" s="4" t="s">
        <v>1455</v>
      </c>
      <c r="D13" s="367"/>
      <c r="E13" s="4"/>
      <c r="F13" s="4"/>
      <c r="H13" s="15" t="s">
        <v>631</v>
      </c>
      <c r="I13" s="682"/>
      <c r="J13" s="683"/>
      <c r="K13" s="684"/>
      <c r="L13" s="247"/>
      <c r="Q13" s="5" t="s">
        <v>118</v>
      </c>
    </row>
    <row r="14" spans="1:18" s="183" customFormat="1">
      <c r="A14" s="4"/>
      <c r="B14" s="4" t="s">
        <v>629</v>
      </c>
      <c r="C14" s="4" t="s">
        <v>630</v>
      </c>
      <c r="D14" s="367"/>
      <c r="E14" s="4"/>
      <c r="F14" s="4"/>
      <c r="H14" s="5" t="s">
        <v>1499</v>
      </c>
      <c r="I14" s="688"/>
      <c r="J14" s="689"/>
      <c r="P14" s="5" t="s">
        <v>57</v>
      </c>
      <c r="Q14" s="685"/>
      <c r="R14" s="686"/>
    </row>
    <row r="15" spans="1:18" s="183" customFormat="1">
      <c r="A15" s="4"/>
      <c r="B15" s="4" t="s">
        <v>4</v>
      </c>
      <c r="C15" s="4" t="s">
        <v>634</v>
      </c>
      <c r="D15" s="368"/>
      <c r="E15" s="4"/>
      <c r="F15" s="4"/>
      <c r="H15" s="5" t="s">
        <v>56</v>
      </c>
      <c r="I15" s="248"/>
      <c r="K15" s="5"/>
      <c r="P15" s="5" t="s">
        <v>59</v>
      </c>
      <c r="Q15" s="685"/>
      <c r="R15" s="686"/>
    </row>
    <row r="16" spans="1:18" s="183" customFormat="1">
      <c r="A16" s="4"/>
      <c r="B16" s="4" t="s">
        <v>635</v>
      </c>
      <c r="C16" s="4" t="s">
        <v>636</v>
      </c>
      <c r="D16" s="369"/>
      <c r="E16" s="4"/>
      <c r="F16" s="4"/>
      <c r="H16" s="5" t="s">
        <v>58</v>
      </c>
      <c r="I16" s="687"/>
      <c r="J16" s="687"/>
      <c r="K16" s="687"/>
      <c r="L16" s="687"/>
      <c r="M16" s="687"/>
      <c r="N16" s="687"/>
      <c r="O16" s="687"/>
    </row>
    <row r="17" spans="1:18" s="183" customFormat="1">
      <c r="A17" s="4"/>
      <c r="B17" s="4" t="s">
        <v>643</v>
      </c>
      <c r="C17" s="4" t="s">
        <v>644</v>
      </c>
      <c r="D17" s="48"/>
      <c r="E17" s="4"/>
      <c r="F17" s="4"/>
      <c r="H17" s="5" t="s">
        <v>60</v>
      </c>
      <c r="I17" s="687"/>
      <c r="J17" s="687"/>
      <c r="K17" s="687"/>
      <c r="L17" s="687"/>
      <c r="M17" s="687"/>
      <c r="N17" s="687"/>
      <c r="O17" s="687"/>
      <c r="P17" s="5" t="s">
        <v>639</v>
      </c>
      <c r="Q17" s="656"/>
      <c r="R17" s="657"/>
    </row>
    <row r="18" spans="1:18" s="183" customFormat="1">
      <c r="A18" s="4"/>
      <c r="B18" s="4" t="s">
        <v>1430</v>
      </c>
      <c r="C18" s="4" t="s">
        <v>1431</v>
      </c>
      <c r="D18" s="48"/>
      <c r="E18" s="4"/>
      <c r="F18" s="4"/>
      <c r="I18" s="10" t="s">
        <v>12</v>
      </c>
      <c r="J18" s="10" t="s">
        <v>6</v>
      </c>
      <c r="K18" s="10" t="s">
        <v>13</v>
      </c>
      <c r="L18" s="10" t="s">
        <v>14</v>
      </c>
      <c r="M18" s="10" t="s">
        <v>15</v>
      </c>
      <c r="N18" s="10" t="s">
        <v>61</v>
      </c>
      <c r="O18" s="10" t="s">
        <v>62</v>
      </c>
      <c r="Q18" s="658"/>
      <c r="R18" s="659"/>
    </row>
    <row r="19" spans="1:18" s="183" customFormat="1">
      <c r="A19" s="4"/>
      <c r="B19" s="4" t="s">
        <v>640</v>
      </c>
      <c r="C19" s="4" t="s">
        <v>641</v>
      </c>
      <c r="D19" s="370"/>
      <c r="E19" s="4"/>
      <c r="F19" s="4"/>
      <c r="I19" s="249">
        <f>UNNH0030_H_TAX_RATE</f>
        <v>0</v>
      </c>
      <c r="J19" s="250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K19" s="250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L19" s="251">
        <f>IF(UNNH0030_B_GYO_COUNT=0,0,UNNH0030_H_NUKI_TOTAL+UNNH0030_H_TAX)</f>
        <v>0</v>
      </c>
      <c r="M19" s="251">
        <f ca="1">IF(UNNH0030_B_GYO_COUNT=0,0,ROUND(SUM(OFFSET(UNNH0030_B_GENKA_KINGAKU,1,0,UNNH0030_B_GYO_COUNT)),0))</f>
        <v>0</v>
      </c>
      <c r="N19" s="251">
        <f>IF(UNNH0030_B_GYO_COUNT=0,0,UNNH0030_H_NUKI_TOTAL-UNNH0030_H_GENKA_TOTAL)</f>
        <v>0</v>
      </c>
      <c r="O19" s="252">
        <f>IF(UNNH0030_B_GYO_COUNT=0,0,IF(ISERROR(UNNH0030_H_ARARIEKI/UNNH0030_H_NUKI_TOTAL)=TRUE,0,UNNH0030_H_ARARIEKI/UNNH0030_H_NUKI_TOTAL))</f>
        <v>0</v>
      </c>
      <c r="Q19" s="660"/>
      <c r="R19" s="661"/>
    </row>
    <row r="20" spans="1:18" s="183" customFormat="1">
      <c r="A20" s="4"/>
      <c r="B20" s="4" t="s">
        <v>637</v>
      </c>
      <c r="C20" s="4" t="s">
        <v>638</v>
      </c>
      <c r="D20" s="49">
        <f ca="1">IF(UNNH0030_H_RENDO_KBN="",IF(UNNH0030_H_SAKI_URIAGE_NO="",2,1),
VLOOKUP(UNNH0030_H_RENDO_KBN,OFFSET(UNNH0030_IF_LIST_RENDO_KBN_START,0,0,UNNH0030_IF_LIST_RENDO_KBN_KENSU,2),2,0))</f>
        <v>2</v>
      </c>
      <c r="E20" s="4"/>
      <c r="F20" s="4"/>
    </row>
    <row r="21" spans="1:18">
      <c r="B21" s="4" t="s">
        <v>632</v>
      </c>
      <c r="C21" s="4" t="s">
        <v>633</v>
      </c>
      <c r="D21" s="49" t="str">
        <f ca="1">IF(UNNH0030_H_DEMPYO_KBN="","",VLOOKUP(UNNH0030_H_DEMPYO_KBN,OFFSET(UNNH0030_IF_LIST_DEMPYO_KBN_START,0,0,UNNH0030_IF_LIST_DEMPYO_KBN_KENSU,2),2,0))</f>
        <v/>
      </c>
    </row>
    <row r="22" spans="1:18">
      <c r="B22" s="4" t="s">
        <v>1419</v>
      </c>
      <c r="C22" s="4" t="s">
        <v>1418</v>
      </c>
      <c r="D22" s="49" t="str">
        <f ca="1">IF(UNNH0030_H_DENKU="","",VLOOKUP(UNNH0030_H_DENKU,OFFSET(UNNH0030_IF_LIST_DENKU_START,0,0,UNNH0030_IF_LIST_DENKU_KENSU,2),2,0))</f>
        <v/>
      </c>
    </row>
    <row r="23" spans="1:18">
      <c r="B23" s="4" t="s">
        <v>1411</v>
      </c>
      <c r="C23" s="4" t="s">
        <v>1412</v>
      </c>
      <c r="D23" s="49" t="str">
        <f ca="1">IF(UNNH0030_H_KANJO_KAMOKU="","",VLOOKUP(UNNH0030_H_KANJO_KAMOKU,OFFSET(UNNH0030_IF_LIST_KANJO_KAMOKU_START,0,0,UNNH0030_IF_LIST_KANJO_KAMOKU_KENSU,2),2,0))</f>
        <v/>
      </c>
    </row>
    <row r="25" spans="1:18">
      <c r="B25" s="4" t="s">
        <v>12</v>
      </c>
      <c r="C25" s="4" t="s">
        <v>642</v>
      </c>
      <c r="D25" s="253"/>
    </row>
    <row r="28" spans="1:18">
      <c r="B28" s="4" t="s">
        <v>195</v>
      </c>
      <c r="C28" s="4" t="s">
        <v>645</v>
      </c>
      <c r="D28" s="48"/>
    </row>
    <row r="29" spans="1:18">
      <c r="B29" s="4" t="s">
        <v>646</v>
      </c>
      <c r="C29" s="4" t="s">
        <v>647</v>
      </c>
      <c r="D29" s="48"/>
    </row>
    <row r="30" spans="1:18">
      <c r="B30" s="4" t="s">
        <v>208</v>
      </c>
      <c r="C30" s="4" t="s">
        <v>648</v>
      </c>
      <c r="D30" s="48">
        <f>UNNH0030_H_PAGE_NO-1</f>
        <v>-1</v>
      </c>
    </row>
    <row r="31" spans="1:18">
      <c r="B31" s="4" t="s">
        <v>207</v>
      </c>
      <c r="C31" s="4" t="s">
        <v>649</v>
      </c>
      <c r="D31" s="48">
        <f>UNNH0030_H_PAGE_NO+1</f>
        <v>1</v>
      </c>
    </row>
    <row r="33" spans="2:4">
      <c r="B33" s="434" t="s">
        <v>41</v>
      </c>
      <c r="C33" s="435"/>
    </row>
    <row r="35" spans="2:4">
      <c r="B35" s="4" t="s">
        <v>1583</v>
      </c>
      <c r="C35" s="4" t="s">
        <v>1584</v>
      </c>
      <c r="D35" s="48"/>
    </row>
  </sheetData>
  <sheetProtection sheet="1" objects="1" scenarios="1" selectLockedCells="1"/>
  <mergeCells count="13">
    <mergeCell ref="Q17:R19"/>
    <mergeCell ref="L5:M5"/>
    <mergeCell ref="J7:L7"/>
    <mergeCell ref="I8:L11"/>
    <mergeCell ref="O10:R11"/>
    <mergeCell ref="I13:K13"/>
    <mergeCell ref="Q14:R14"/>
    <mergeCell ref="I16:O16"/>
    <mergeCell ref="Q15:R15"/>
    <mergeCell ref="I17:O17"/>
    <mergeCell ref="I14:J14"/>
    <mergeCell ref="O8:P8"/>
    <mergeCell ref="P9:R9"/>
  </mergeCells>
  <phoneticPr fontId="2"/>
  <conditionalFormatting sqref="G1:XFD1">
    <cfRule type="expression" dxfId="283" priority="1">
      <formula>UNNH0030_IF_MODE=2</formula>
    </cfRule>
  </conditionalFormatting>
  <dataValidations count="13">
    <dataValidation type="list" allowBlank="1" showInputMessage="1" showErrorMessage="1" sqref="L13">
      <formula1>UNNH0030_IF_LIST_KEISHO_KBN</formula1>
    </dataValidation>
    <dataValidation type="list" allowBlank="1" showInputMessage="1" showErrorMessage="1" sqref="R7">
      <formula1>UNNH0030_IF_LIST_DEMPYO_KBN</formula1>
    </dataValidation>
    <dataValidation type="custom" allowBlank="1" showInputMessage="1" showErrorMessage="1" sqref="Q17:R19">
      <formula1>LENB(Q17)&lt;=80</formula1>
    </dataValidation>
    <dataValidation type="custom" allowBlank="1" showInputMessage="1" showErrorMessage="1" sqref="I14:J14">
      <formula1>LENB(I14)&lt;=40</formula1>
    </dataValidation>
    <dataValidation type="custom" allowBlank="1" showInputMessage="1" showErrorMessage="1" sqref="Q14:R15">
      <formula1>AND(LEN(Q14)=LENB(Q14),LEN(Q14)&lt;=13)</formula1>
    </dataValidation>
    <dataValidation type="custom" allowBlank="1" showInputMessage="1" showErrorMessage="1" sqref="I15">
      <formula1>AND(LEN(I15)=LENB(I15),LEN(I15)&lt;=8)</formula1>
    </dataValidation>
    <dataValidation type="custom" allowBlank="1" showInputMessage="1" showErrorMessage="1" sqref="I13:K13">
      <formula1>LEN(I13)&lt;=50</formula1>
    </dataValidation>
    <dataValidation type="custom" allowBlank="1" showInputMessage="1" showErrorMessage="1" sqref="O10:R11 I16:O17">
      <formula1>LENB(I10)&lt;=100</formula1>
    </dataValidation>
    <dataValidation type="list" allowBlank="1" showInputMessage="1" showErrorMessage="1" sqref="R8">
      <formula1>UNNH0030_IF_LIST_RENDO_KBN</formula1>
    </dataValidation>
    <dataValidation type="list" allowBlank="1" showInputMessage="1" showErrorMessage="1" sqref="O7">
      <formula1>UNNH0030_IF_LIST_DENKU</formula1>
    </dataValidation>
    <dataValidation type="date" allowBlank="1" showInputMessage="1" showErrorMessage="1" sqref="R4">
      <formula1>36526</formula1>
      <formula2>73415</formula2>
    </dataValidation>
    <dataValidation type="list" allowBlank="1" showDropDown="1" showInputMessage="1" showErrorMessage="1" sqref="O9">
      <formula1>UNNH_BUNSEKI_HOHO_IF_LIST2</formula1>
    </dataValidation>
    <dataValidation type="list" allowBlank="1" showInputMessage="1" showErrorMessage="1" sqref="O8:P8">
      <formula1>UNNH0030_IF_LIST_KANJO_KAMOKU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Check Box 1">
              <controlPr defaultSize="0" autoFill="0" autoLine="0" autoPict="0">
                <anchor moveWithCells="1">
                  <from>
                    <xdr:col>16</xdr:col>
                    <xdr:colOff>1009650</xdr:colOff>
                    <xdr:row>5</xdr:row>
                    <xdr:rowOff>19050</xdr:rowOff>
                  </from>
                  <to>
                    <xdr:col>17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Check Box 2">
              <controlPr defaultSize="0" autoFill="0" autoLine="0" autoPict="0">
                <anchor moveWithCells="1">
                  <from>
                    <xdr:col>16</xdr:col>
                    <xdr:colOff>1009650</xdr:colOff>
                    <xdr:row>12</xdr:row>
                    <xdr:rowOff>19050</xdr:rowOff>
                  </from>
                  <to>
                    <xdr:col>17</xdr:col>
                    <xdr:colOff>133350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000"/>
  </sheetPr>
  <dimension ref="A1:Z51"/>
  <sheetViews>
    <sheetView showGridLines="0" showRowColHeaders="0" topLeftCell="F22" zoomScaleNormal="100" workbookViewId="0">
      <selection sqref="A1:E1 H22 I22 T22"/>
    </sheetView>
  </sheetViews>
  <sheetFormatPr defaultRowHeight="16.5"/>
  <cols>
    <col min="1" max="1" width="9" style="4" hidden="1" customWidth="1"/>
    <col min="2" max="2" width="16.875" style="4" hidden="1" customWidth="1"/>
    <col min="3" max="3" width="34.125" style="4" hidden="1" customWidth="1"/>
    <col min="4" max="5" width="9" style="4" hidden="1" customWidth="1"/>
    <col min="6" max="7" width="3.375" style="254" customWidth="1"/>
    <col min="8" max="9" width="6.375" style="254" hidden="1" customWidth="1"/>
    <col min="10" max="10" width="11.125" style="254" bestFit="1" customWidth="1"/>
    <col min="11" max="11" width="31.25" style="479" customWidth="1"/>
    <col min="12" max="12" width="8.25" style="254" bestFit="1" customWidth="1"/>
    <col min="13" max="13" width="7.125" style="479" customWidth="1"/>
    <col min="14" max="14" width="11.125" style="254" bestFit="1" customWidth="1"/>
    <col min="15" max="15" width="15.25" style="254" bestFit="1" customWidth="1"/>
    <col min="16" max="16" width="25" style="479" customWidth="1"/>
    <col min="17" max="17" width="11.25" style="254" customWidth="1"/>
    <col min="18" max="18" width="11.125" style="254" bestFit="1" customWidth="1"/>
    <col min="19" max="19" width="6.375" style="254" bestFit="1" customWidth="1"/>
    <col min="20" max="20" width="8" style="254" hidden="1" customWidth="1"/>
    <col min="21" max="21" width="8" style="479" customWidth="1"/>
    <col min="22" max="22" width="6.375" style="254" bestFit="1" customWidth="1"/>
    <col min="23" max="23" width="6.25" style="479" customWidth="1"/>
    <col min="24" max="24" width="11.125" style="254" bestFit="1" customWidth="1"/>
    <col min="25" max="25" width="6.375" style="254" bestFit="1" customWidth="1"/>
    <col min="26" max="26" width="11.25" style="254" customWidth="1"/>
    <col min="27" max="27" width="3.75" style="254" customWidth="1"/>
    <col min="28" max="16384" width="9" style="254"/>
  </cols>
  <sheetData>
    <row r="1" ht="4.5" hidden="1" customHeight="1"/>
    <row r="2" ht="4.5" hidden="1" customHeight="1"/>
    <row r="3" ht="4.5" hidden="1" customHeight="1"/>
    <row r="4" ht="4.5" hidden="1" customHeight="1"/>
    <row r="5" ht="4.5" hidden="1" customHeight="1"/>
    <row r="6" ht="4.5" hidden="1" customHeight="1"/>
    <row r="7" ht="4.5" hidden="1" customHeight="1"/>
    <row r="8" ht="4.5" hidden="1" customHeight="1"/>
    <row r="9" ht="4.5" hidden="1" customHeight="1"/>
    <row r="10" ht="4.5" hidden="1" customHeight="1"/>
    <row r="11" ht="4.5" hidden="1" customHeight="1"/>
    <row r="12" ht="4.5" hidden="1" customHeight="1"/>
    <row r="13" ht="4.5" hidden="1" customHeight="1"/>
    <row r="14" ht="4.5" hidden="1" customHeight="1"/>
    <row r="15" ht="4.5" hidden="1" customHeight="1"/>
    <row r="16" ht="4.5" hidden="1" customHeight="1"/>
    <row r="17" spans="1:26" ht="4.5" hidden="1" customHeight="1"/>
    <row r="18" spans="1:26" ht="4.5" hidden="1" customHeight="1"/>
    <row r="19" spans="1:26" ht="4.5" hidden="1" customHeight="1"/>
    <row r="20" spans="1:26" ht="4.5" hidden="1" customHeight="1"/>
    <row r="21" spans="1:26" ht="4.5" hidden="1" customHeight="1"/>
    <row r="22" spans="1:26" s="183" customFormat="1">
      <c r="A22" s="4"/>
      <c r="B22" s="43" t="s">
        <v>212</v>
      </c>
      <c r="C22" s="44" t="s">
        <v>650</v>
      </c>
      <c r="D22" s="49" t="str">
        <f>ROW(A1)&amp;":"&amp;ROW(A21)</f>
        <v>1:21</v>
      </c>
      <c r="E22" s="4"/>
      <c r="F22" s="255"/>
      <c r="G22" s="221" t="s">
        <v>16</v>
      </c>
      <c r="H22" s="256" t="s">
        <v>651</v>
      </c>
      <c r="I22" s="256" t="s">
        <v>1432</v>
      </c>
      <c r="J22" s="257" t="s">
        <v>21</v>
      </c>
      <c r="K22" s="480" t="s">
        <v>17</v>
      </c>
      <c r="L22" s="257" t="s">
        <v>115</v>
      </c>
      <c r="M22" s="480" t="s">
        <v>117</v>
      </c>
      <c r="N22" s="257" t="s">
        <v>75</v>
      </c>
      <c r="O22" s="221" t="s">
        <v>63</v>
      </c>
      <c r="P22" s="480" t="s">
        <v>18</v>
      </c>
      <c r="Q22" s="221" t="s">
        <v>20</v>
      </c>
      <c r="R22" s="221" t="s">
        <v>89</v>
      </c>
      <c r="S22" s="221" t="s">
        <v>64</v>
      </c>
      <c r="T22" s="221" t="s">
        <v>65</v>
      </c>
      <c r="U22" s="480" t="s">
        <v>652</v>
      </c>
      <c r="V22" s="221" t="s">
        <v>66</v>
      </c>
      <c r="W22" s="480" t="s">
        <v>116</v>
      </c>
      <c r="X22" s="221" t="s">
        <v>67</v>
      </c>
      <c r="Y22" s="221" t="s">
        <v>19</v>
      </c>
      <c r="Z22" s="221" t="s">
        <v>7</v>
      </c>
    </row>
    <row r="23" spans="1:26" s="183" customFormat="1">
      <c r="A23" s="4"/>
      <c r="B23" s="43" t="s">
        <v>146</v>
      </c>
      <c r="C23" s="44" t="s">
        <v>653</v>
      </c>
      <c r="D23" s="49" t="str">
        <f>ADDRESS(ROW(A1),COLUMN(A1))&amp;":"&amp;ADDRESS(ROW(E1),COLUMN(E1))&amp;","&amp;ADDRESS(ROW(UNNH0030_B_ROW_KBN),COLUMN(UNNH0030_B_ROW_KBN))&amp;","&amp;ADDRESS(ROW(UNNH0030_B_TAX),COLUMN(UNNH0030_B_TAX))&amp;","&amp;ADDRESS(ROW(UNNH0030_B_GENKA_SURYO),COLUMN(UNNH0030_B_GENKA_SURYO))</f>
        <v>$A$1:$E$1,$H$22,$I$22,$T$22</v>
      </c>
      <c r="E23" s="4"/>
      <c r="K23" s="481"/>
      <c r="L23" s="258"/>
      <c r="M23" s="482"/>
      <c r="P23" s="482"/>
      <c r="U23" s="482"/>
      <c r="W23" s="482"/>
    </row>
    <row r="24" spans="1:26" s="183" customFormat="1">
      <c r="A24" s="4"/>
      <c r="B24" s="4"/>
      <c r="C24" s="4"/>
      <c r="D24" s="4"/>
      <c r="E24" s="4"/>
      <c r="G24" s="254"/>
      <c r="H24" s="254"/>
      <c r="I24" s="254"/>
      <c r="J24" s="254"/>
      <c r="K24" s="479"/>
      <c r="L24" s="254"/>
      <c r="M24" s="479"/>
      <c r="N24" s="254"/>
      <c r="O24" s="254"/>
      <c r="P24" s="479"/>
      <c r="Q24" s="254"/>
      <c r="R24" s="254"/>
      <c r="S24" s="254"/>
      <c r="T24" s="254"/>
      <c r="U24" s="479"/>
      <c r="V24" s="254"/>
      <c r="W24" s="479"/>
      <c r="X24" s="254"/>
      <c r="Y24" s="254"/>
      <c r="Z24" s="254"/>
    </row>
    <row r="25" spans="1:26" s="183" customFormat="1">
      <c r="A25" s="4"/>
      <c r="B25" s="43" t="s">
        <v>213</v>
      </c>
      <c r="C25" s="44" t="s">
        <v>654</v>
      </c>
      <c r="D25" s="48" t="str">
        <f>ADDRESS(ROW(UNNH0030_B_SURYO)+1,COLUMN(UNNH0030_B_SURYO))</f>
        <v>$L$23</v>
      </c>
      <c r="E25" s="4"/>
      <c r="G25" s="254"/>
      <c r="H25" s="254"/>
      <c r="I25" s="254"/>
      <c r="J25" s="254"/>
      <c r="K25" s="479"/>
      <c r="L25" s="254"/>
      <c r="M25" s="479"/>
      <c r="N25" s="254"/>
      <c r="O25" s="254"/>
      <c r="P25" s="479"/>
      <c r="Q25" s="254"/>
      <c r="R25" s="254"/>
      <c r="S25" s="254"/>
      <c r="T25" s="254"/>
      <c r="U25" s="479"/>
      <c r="V25" s="254"/>
      <c r="W25" s="479"/>
      <c r="X25" s="254"/>
      <c r="Y25" s="254"/>
      <c r="Z25" s="254"/>
    </row>
    <row r="26" spans="1:26" s="183" customFormat="1">
      <c r="A26" s="4"/>
      <c r="B26" s="4"/>
      <c r="C26" s="4"/>
      <c r="D26" s="4"/>
      <c r="E26" s="4"/>
      <c r="G26" s="254"/>
      <c r="H26" s="254"/>
      <c r="I26" s="254"/>
      <c r="J26" s="254"/>
      <c r="K26" s="479"/>
      <c r="L26" s="254"/>
      <c r="M26" s="479"/>
      <c r="N26" s="254"/>
      <c r="O26" s="254"/>
      <c r="P26" s="479"/>
      <c r="Q26" s="254"/>
      <c r="R26" s="254"/>
      <c r="S26" s="254"/>
      <c r="T26" s="254"/>
      <c r="U26" s="479"/>
      <c r="V26" s="254"/>
      <c r="W26" s="479"/>
      <c r="X26" s="254"/>
      <c r="Y26" s="254"/>
      <c r="Z26" s="254"/>
    </row>
    <row r="27" spans="1:26" s="183" customFormat="1">
      <c r="A27" s="4"/>
      <c r="B27" s="43" t="s">
        <v>565</v>
      </c>
      <c r="C27" s="44" t="s">
        <v>655</v>
      </c>
      <c r="D27" s="48" t="str">
        <f>ADDRESS(ROW(UNNH0030_B_GYO)+1,COLUMN(UNNH0030_B_GYO))</f>
        <v>$G$23</v>
      </c>
      <c r="E27" s="4"/>
      <c r="G27" s="254"/>
      <c r="H27" s="254"/>
      <c r="I27" s="254"/>
      <c r="J27" s="254"/>
      <c r="K27" s="479"/>
      <c r="L27" s="254"/>
      <c r="M27" s="479"/>
      <c r="N27" s="254"/>
      <c r="O27" s="254"/>
      <c r="P27" s="479"/>
      <c r="Q27" s="254"/>
      <c r="R27" s="254"/>
      <c r="S27" s="254"/>
      <c r="T27" s="254"/>
      <c r="U27" s="479"/>
      <c r="V27" s="254"/>
      <c r="W27" s="479"/>
      <c r="X27" s="254"/>
      <c r="Y27" s="254"/>
      <c r="Z27" s="254"/>
    </row>
    <row r="28" spans="1:26" s="183" customFormat="1">
      <c r="A28" s="4"/>
      <c r="B28" s="4"/>
      <c r="C28" s="4"/>
      <c r="D28" s="4"/>
      <c r="E28" s="4"/>
      <c r="G28" s="254"/>
      <c r="H28" s="254"/>
      <c r="I28" s="254"/>
      <c r="J28" s="254"/>
      <c r="K28" s="479"/>
      <c r="L28" s="254"/>
      <c r="M28" s="479"/>
      <c r="N28" s="254"/>
      <c r="O28" s="254"/>
      <c r="P28" s="479"/>
      <c r="Q28" s="254"/>
      <c r="R28" s="254"/>
      <c r="S28" s="254"/>
      <c r="T28" s="254"/>
      <c r="U28" s="479"/>
      <c r="V28" s="254"/>
      <c r="W28" s="479"/>
      <c r="X28" s="254"/>
      <c r="Y28" s="254"/>
      <c r="Z28" s="254"/>
    </row>
    <row r="29" spans="1:26" s="183" customFormat="1">
      <c r="A29" s="4"/>
      <c r="B29" s="43" t="s">
        <v>656</v>
      </c>
      <c r="C29" s="44" t="s">
        <v>657</v>
      </c>
      <c r="D29" s="48"/>
      <c r="E29" s="4"/>
      <c r="G29" s="254"/>
      <c r="H29" s="254"/>
      <c r="I29" s="254"/>
      <c r="J29" s="254"/>
      <c r="K29" s="479"/>
      <c r="L29" s="254"/>
      <c r="M29" s="479"/>
      <c r="N29" s="254"/>
      <c r="O29" s="254"/>
      <c r="P29" s="479"/>
      <c r="Q29" s="254"/>
      <c r="R29" s="254"/>
      <c r="S29" s="254"/>
      <c r="T29" s="254"/>
      <c r="U29" s="479"/>
      <c r="V29" s="254"/>
      <c r="W29" s="479"/>
      <c r="X29" s="254"/>
      <c r="Y29" s="254"/>
      <c r="Z29" s="254"/>
    </row>
    <row r="30" spans="1:26" s="183" customFormat="1">
      <c r="A30" s="4"/>
      <c r="B30" s="43" t="s">
        <v>658</v>
      </c>
      <c r="C30" s="44" t="s">
        <v>659</v>
      </c>
      <c r="D30" s="48">
        <f>UNNH0030_B_GYO_COUNT+1</f>
        <v>1</v>
      </c>
      <c r="E30" s="4"/>
      <c r="G30" s="254"/>
      <c r="H30" s="254"/>
      <c r="I30" s="254"/>
      <c r="J30" s="254"/>
      <c r="K30" s="479"/>
      <c r="L30" s="254"/>
      <c r="M30" s="479"/>
      <c r="N30" s="254"/>
      <c r="O30" s="254"/>
      <c r="P30" s="479"/>
      <c r="Q30" s="254"/>
      <c r="R30" s="254"/>
      <c r="S30" s="254"/>
      <c r="T30" s="254"/>
      <c r="U30" s="479"/>
      <c r="V30" s="254"/>
      <c r="W30" s="479"/>
      <c r="X30" s="254"/>
      <c r="Y30" s="254"/>
      <c r="Z30" s="254"/>
    </row>
    <row r="31" spans="1:26" s="183" customFormat="1">
      <c r="A31" s="4"/>
      <c r="B31" s="43" t="s">
        <v>660</v>
      </c>
      <c r="C31" s="44" t="s">
        <v>661</v>
      </c>
      <c r="D31" s="48">
        <f>UNNH0030_B_GYO_COUNT-1</f>
        <v>-1</v>
      </c>
      <c r="E31" s="4"/>
      <c r="G31" s="254"/>
      <c r="H31" s="254"/>
      <c r="I31" s="254"/>
      <c r="J31" s="254"/>
      <c r="K31" s="479"/>
      <c r="L31" s="254"/>
      <c r="M31" s="479"/>
      <c r="N31" s="254"/>
      <c r="O31" s="254"/>
      <c r="P31" s="479"/>
      <c r="Q31" s="254"/>
      <c r="R31" s="254"/>
      <c r="S31" s="254"/>
      <c r="T31" s="254"/>
      <c r="U31" s="479"/>
      <c r="V31" s="254"/>
      <c r="W31" s="479"/>
      <c r="X31" s="254"/>
      <c r="Y31" s="254"/>
      <c r="Z31" s="254"/>
    </row>
    <row r="32" spans="1:26" s="183" customFormat="1">
      <c r="A32" s="4"/>
      <c r="B32" s="4"/>
      <c r="C32" s="4"/>
      <c r="D32" s="4"/>
      <c r="E32" s="4"/>
      <c r="G32" s="254"/>
      <c r="H32" s="254"/>
      <c r="I32" s="254"/>
      <c r="J32" s="254"/>
      <c r="K32" s="479"/>
      <c r="L32" s="254"/>
      <c r="M32" s="479"/>
      <c r="N32" s="254"/>
      <c r="O32" s="254"/>
      <c r="P32" s="479"/>
      <c r="Q32" s="254"/>
      <c r="R32" s="254"/>
      <c r="S32" s="254"/>
      <c r="T32" s="254"/>
      <c r="U32" s="479"/>
      <c r="V32" s="254"/>
      <c r="W32" s="479"/>
      <c r="X32" s="254"/>
      <c r="Y32" s="254"/>
      <c r="Z32" s="254"/>
    </row>
    <row r="33" spans="2:5">
      <c r="B33" s="43" t="s">
        <v>662</v>
      </c>
      <c r="C33" s="44" t="s">
        <v>663</v>
      </c>
      <c r="D33" s="48" t="str">
        <f>IF(UNNH0030_IF_ACTIVE_ROW="","",ADDRESS(UNNH0030_IF_ACTIVE_ROW,COLUMN(UNNH0030_B_SHOHIN_CD)))</f>
        <v>$J$16</v>
      </c>
    </row>
    <row r="34" spans="2:5">
      <c r="B34" s="43" t="s">
        <v>664</v>
      </c>
      <c r="C34" s="44" t="s">
        <v>665</v>
      </c>
      <c r="D34" s="48" t="str">
        <f>IF(UNNH0030_IF_ACTIVE_ROW="","",ADDRESS(UNNH0030_IF_ACTIVE_ROW,COLUMN(UNNH0030_B_SHOHIN_MEI)))</f>
        <v>$K$16</v>
      </c>
    </row>
    <row r="35" spans="2:5">
      <c r="B35" s="43" t="s">
        <v>666</v>
      </c>
      <c r="C35" s="44" t="s">
        <v>667</v>
      </c>
      <c r="D35" s="48" t="str">
        <f>IF(UNNH0030_IF_ACTIVE_ROW="","",ADDRESS(UNNH0030_IF_ACTIVE_ROW,COLUMN(UNNH0030_B_GENTANKA)))</f>
        <v>$R$16</v>
      </c>
    </row>
    <row r="36" spans="2:5">
      <c r="B36" s="43" t="s">
        <v>668</v>
      </c>
      <c r="C36" s="44" t="s">
        <v>669</v>
      </c>
      <c r="D36" s="48" t="str">
        <f>IF(UNNH0030_IF_ACTIVE_ROW="","",ADDRESS(UNNH0030_IF_ACTIVE_ROW,COLUMN(UNNH0030_B_HAMBAI_TANKA)))</f>
        <v>$N$16</v>
      </c>
    </row>
    <row r="37" spans="2:5">
      <c r="B37" s="43" t="s">
        <v>670</v>
      </c>
      <c r="C37" s="44" t="s">
        <v>671</v>
      </c>
      <c r="D37" s="48" t="str">
        <f>IF(UNNH0030_IF_ACTIVE_ROW="","",ADDRESS(UNNH0030_IF_ACTIVE_ROW,COLUMN(UNNH0030_B_TEIKA)))</f>
        <v>$Q$16</v>
      </c>
    </row>
    <row r="38" spans="2:5">
      <c r="B38" s="43" t="s">
        <v>672</v>
      </c>
      <c r="C38" s="44" t="s">
        <v>673</v>
      </c>
      <c r="D38" s="48" t="str">
        <f>IF(UNNH0030_IF_ACTIVE_ROW="","",ADDRESS(UNNH0030_IF_ACTIVE_ROW,COLUMN(UNNH0030_B_TANI)))</f>
        <v>$M$16</v>
      </c>
    </row>
    <row r="39" spans="2:5">
      <c r="B39" s="4" t="s">
        <v>674</v>
      </c>
      <c r="C39" s="4" t="s">
        <v>675</v>
      </c>
      <c r="D39" s="48" t="str">
        <f>IF(UNNH0030_IF_ACTIVE_ROW="","",ADDRESS(UNNH0030_IF_ACTIVE_ROW,COLUMN(UNNH0030_B_IRISU)))</f>
        <v>$S$16</v>
      </c>
    </row>
    <row r="40" spans="2:5">
      <c r="B40" s="4" t="s">
        <v>676</v>
      </c>
      <c r="C40" s="4" t="s">
        <v>677</v>
      </c>
      <c r="D40" s="48" t="str">
        <f>IF(UNNH0030_IF_ACTIVE_ROW="","",ADDRESS(UNNH0030_IF_ACTIVE_ROW,COLUMN(UNNH0030_B_IRISU_TANI)))</f>
        <v>$U$16</v>
      </c>
    </row>
    <row r="41" spans="2:5">
      <c r="B41" s="4" t="s">
        <v>678</v>
      </c>
      <c r="C41" s="4" t="s">
        <v>679</v>
      </c>
      <c r="D41" s="48" t="str">
        <f>IF(UNNH0030_IF_ACTIVE_ROW="","",ADDRESS(UNNH0030_IF_ACTIVE_ROW,COLUMN(UNNH0030_B_BARA_TANI)))</f>
        <v>$W$16</v>
      </c>
    </row>
    <row r="43" spans="2:5">
      <c r="B43" s="43" t="s">
        <v>680</v>
      </c>
      <c r="C43" s="44" t="s">
        <v>681</v>
      </c>
      <c r="D43" s="49">
        <v>1</v>
      </c>
      <c r="E43" s="43" t="s">
        <v>682</v>
      </c>
    </row>
    <row r="44" spans="2:5">
      <c r="B44" s="43" t="s">
        <v>683</v>
      </c>
      <c r="C44" s="44" t="s">
        <v>684</v>
      </c>
      <c r="D44" s="49" t="str">
        <f>"UNNH0030_IF!"&amp;
IF(UNNH0030_B_LIST_INSERT_TYPE=1,ADDRESS(ROW(UNNH0030_IF_COPY_B_MEISAI_SHINKI),COLUMN(UNNH0030_IF_COPY_B_MEISAI_SHINKI))&amp;":"&amp;ADDRESS(ROW(UNNH0030_IF_COPY_B_MEISAI_SHINKI),COLUMN(UNNH0030_IF_COPY_B_MEISAI_SHINKI)+COLUMNS(UNNH0030_IF_COPY_B_MEISAI_SHINKI)-1),
IF(UNNH0030_B_LIST_INSERT_TYPE=2,ADDRESS(ROW(UNNH0030_IF_COPY_B_COMMENT_SHINKI),COLUMN(UNNH0030_IF_COPY_B_COMMENT_SHINKI))&amp;":"&amp;ADDRESS(ROW(UNNH0030_IF_COPY_B_COMMENT_SHINKI),COLUMN(UNNH0030_IF_COPY_B_COMMENT_SHINKI)+COLUMNS(UNNH0030_IF_COPY_B_COMMENT_SHINKI)-1),
IF(UNNH0030_B_LIST_INSERT_TYPE=3,ADDRESS(ROW(UNNH0030_IF_COPY_B_NEBIKI_DIR_SHINKI),COLUMN(UNNH0030_IF_COPY_B_NEBIKI_DIR_SHINKI))&amp;":"&amp;ADDRESS(ROW(UNNH0030_IF_COPY_B_NEBIKI_DIR_SHINKI),COLUMN(UNNH0030_IF_COPY_B_NEBIKI_DIR_SHINKI)+COLUMNS(UNNH0030_IF_COPY_B_NEBIKI_DIR_SHINKI)-1),
"")))</f>
        <v>UNNH0030_IF!$BF$5:$BY$5</v>
      </c>
      <c r="E44" s="162"/>
    </row>
    <row r="45" spans="2:5">
      <c r="B45" s="43" t="s">
        <v>685</v>
      </c>
      <c r="C45" s="44" t="s">
        <v>686</v>
      </c>
      <c r="D45" s="48" t="str">
        <f ca="1">IF(UNNH0030_B_GYO_COUNT=0,"",
ADDRESS(ROW(INDIRECT(UNNH0030_B_LIST_START)),COLUMN(UNNH0030_B_GYO))&amp;":"&amp;
ADDRESS(ROW(INDIRECT(UNNH0030_B_LIST_START))+UNNH0030_B_GYO_COUNT-1,COLUMN(UNNH0030_B_GYO)))</f>
        <v/>
      </c>
    </row>
    <row r="46" spans="2:5">
      <c r="B46" s="43" t="s">
        <v>687</v>
      </c>
      <c r="C46" s="44" t="s">
        <v>688</v>
      </c>
      <c r="D46" s="48" t="str">
        <f>ADDRESS(ROW(UNNH0030_B_GYO)+1,COLUMN(UNNH0030_B_GYO))&amp;":"&amp;
ADDRESS(ROW(UNNH0030_B_GYO)+1+IF(UNNH0030_B_GYO_COUNT=0,UNNH0030_B_GYO_COUNT,UNNH0030_B_GYO_COUNT-1),COLUMN(UNNH0030_B_GYO)+COLUMNS(UNNH0030_IF_COPY_B_LIST_CLEAR)-1)</f>
        <v>$G$23:$Z$23</v>
      </c>
    </row>
    <row r="48" spans="2:5">
      <c r="B48" s="43" t="s">
        <v>689</v>
      </c>
      <c r="C48" s="44" t="s">
        <v>690</v>
      </c>
      <c r="D48" s="48" t="str">
        <f ca="1">IF(OR(UNNH0030_B_GYO_COUNT=0,UNNH0030_IF_ACTIVE_ROW&lt;ROW(INDIRECT(UNNH0030_B_LIST_START))),
"UNNH0030_B!"&amp;ADDRESS(ROW(INDIRECT(UNNH0030_B_LIST_START)),COLUMN(INDIRECT(UNNH0030_B_LIST_START)))&amp;":"&amp;ADDRESS(ROW(INDIRECT(UNNH0030_B_LIST_START)),COLUMN(INDIRECT(UNNH0030_B_LIST_START))+COLUMNS(UNNH0030_IF_COPY_B_MEISAI_SHINKI)-1),
"UNNH0030_B!"&amp;ADDRESS(UNNH0030_IF_ACTIVE_ROW+1,COLUMN(INDIRECT(UNNH0030_B_LIST_START)))&amp;":"&amp;ADDRESS(UNNH0030_IF_ACTIVE_ROW+1,COLUMN(INDIRECT(UNNH0030_B_LIST_START))+COLUMNS(UNNH0030_IF_COPY_B_MEISAI_SHINKI)-1))</f>
        <v>UNNH0030_B!$G$23:$Z$23</v>
      </c>
    </row>
    <row r="49" spans="2:4">
      <c r="B49" s="43" t="s">
        <v>691</v>
      </c>
      <c r="C49" s="44" t="s">
        <v>692</v>
      </c>
      <c r="D49" s="48" t="str">
        <f ca="1">IF(OR(UNNH0030_B_GYO_COUNT=0,UNNH0030_IF_ACTIVE_ROW&lt;ROW(INDIRECT(UNNH0030_B_LIST_START))),
"",
"UNNH0030_B!"&amp;ADDRESS(UNNH0030_IF_ACTIVE_ROW,COLUMN(INDIRECT(UNNH0030_B_LIST_START)))&amp;":"&amp;ADDRESS(UNNH0030_IF_ACTIVE_ROW,COLUMN(INDIRECT(UNNH0030_B_LIST_START))+COLUMNS(UNNH0030_IF_COPY_B_MEISAI_SHINKI)-1))</f>
        <v/>
      </c>
    </row>
    <row r="51" spans="2:4">
      <c r="B51" s="4" t="s">
        <v>693</v>
      </c>
      <c r="C51" s="44" t="s">
        <v>694</v>
      </c>
      <c r="D51" s="48" t="str">
        <f ca="1">"UNNH0030_B!"&amp;
ADDRESS(ROW(INDIRECT(UNNH0030_B_LIST_START))+UNNH0030_B_GYO_COUNT,COLUMN(UNNH0030_B_GYO))
&amp;":"&amp;ADDRESS(ROW(INDIRECT(UNNH0030_B_LIST_START))+UNNH0030_B_GYO_COUNT+UNNH0030_IF_MULTI_SELECT_TENKAI_KENSU-1,COLUMN(UNNH0030_B_GYO)+COLUMNS(UNNH0030_IF_COPY_B_MEISAI_SHINKI)-1)</f>
        <v>UNNH0030_B!$G$23:$Z$22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L81"/>
  <sheetViews>
    <sheetView topLeftCell="L1" zoomScale="85" zoomScaleNormal="85" workbookViewId="0">
      <selection activeCell="AB4" sqref="AB4"/>
    </sheetView>
  </sheetViews>
  <sheetFormatPr defaultRowHeight="13.5"/>
  <cols>
    <col min="1" max="15" width="9" style="162"/>
    <col min="16" max="23" width="9" style="329"/>
    <col min="24" max="24" width="9" style="425"/>
    <col min="25" max="26" width="9" style="329"/>
    <col min="27" max="28" width="9" style="425"/>
    <col min="29" max="30" width="9" style="329"/>
    <col min="31" max="37" width="9" style="162"/>
    <col min="38" max="49" width="4.875" style="162" customWidth="1"/>
    <col min="50" max="50" width="9" style="329" customWidth="1"/>
    <col min="51" max="51" width="4.875" style="329" customWidth="1"/>
    <col min="52" max="52" width="4.875" style="162" customWidth="1"/>
    <col min="53" max="54" width="4.875" style="329" customWidth="1"/>
    <col min="55" max="59" width="9" style="162"/>
    <col min="60" max="60" width="9" style="329"/>
    <col min="61" max="83" width="9" style="162"/>
    <col min="84" max="84" width="13.5" style="162" customWidth="1"/>
    <col min="85" max="85" width="17.375" style="162" customWidth="1"/>
    <col min="86" max="88" width="9" style="162"/>
    <col min="89" max="89" width="23.875" style="162" customWidth="1"/>
    <col min="90" max="90" width="19.125" style="162" customWidth="1"/>
    <col min="91" max="104" width="9" style="162"/>
    <col min="105" max="106" width="9" style="329"/>
    <col min="107" max="109" width="9" style="162"/>
    <col min="110" max="110" width="9" style="329"/>
    <col min="111" max="111" width="19.875" style="162" bestFit="1" customWidth="1"/>
    <col min="112" max="176" width="9" style="162"/>
    <col min="177" max="177" width="9" style="329"/>
    <col min="178" max="16384" width="9" style="162"/>
  </cols>
  <sheetData>
    <row r="1" spans="1:194">
      <c r="A1" s="259" t="s">
        <v>695</v>
      </c>
      <c r="J1" s="165" t="s">
        <v>246</v>
      </c>
      <c r="Z1" s="165" t="s">
        <v>1677</v>
      </c>
      <c r="AA1" s="329"/>
      <c r="AE1" s="162" t="s">
        <v>1297</v>
      </c>
      <c r="AJ1" s="57" t="s">
        <v>696</v>
      </c>
      <c r="CE1" s="259" t="s">
        <v>697</v>
      </c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FL1" s="165" t="s">
        <v>698</v>
      </c>
    </row>
    <row r="2" spans="1:194" ht="16.5">
      <c r="A2" s="259"/>
      <c r="B2" s="57"/>
      <c r="C2" s="57"/>
      <c r="D2" s="57"/>
      <c r="E2" s="57"/>
      <c r="F2" s="57"/>
      <c r="AA2" s="329"/>
      <c r="AH2" s="162" t="s">
        <v>699</v>
      </c>
      <c r="AK2" s="57" t="s">
        <v>700</v>
      </c>
      <c r="BC2" s="57" t="s">
        <v>701</v>
      </c>
      <c r="BD2" s="57"/>
      <c r="BE2" s="57"/>
      <c r="BF2" s="221" t="s">
        <v>16</v>
      </c>
      <c r="BG2" s="256" t="s">
        <v>651</v>
      </c>
      <c r="BH2" s="256" t="s">
        <v>1432</v>
      </c>
      <c r="BI2" s="257" t="s">
        <v>21</v>
      </c>
      <c r="BJ2" s="257" t="s">
        <v>17</v>
      </c>
      <c r="BK2" s="257" t="s">
        <v>115</v>
      </c>
      <c r="BL2" s="221" t="s">
        <v>117</v>
      </c>
      <c r="BM2" s="257" t="s">
        <v>75</v>
      </c>
      <c r="BN2" s="221" t="s">
        <v>63</v>
      </c>
      <c r="BO2" s="221" t="s">
        <v>18</v>
      </c>
      <c r="BP2" s="221" t="s">
        <v>20</v>
      </c>
      <c r="BQ2" s="221" t="s">
        <v>89</v>
      </c>
      <c r="BR2" s="221" t="s">
        <v>64</v>
      </c>
      <c r="BS2" s="221" t="s">
        <v>65</v>
      </c>
      <c r="BT2" s="221" t="s">
        <v>652</v>
      </c>
      <c r="BU2" s="221" t="s">
        <v>66</v>
      </c>
      <c r="BV2" s="221" t="s">
        <v>116</v>
      </c>
      <c r="BW2" s="221" t="s">
        <v>67</v>
      </c>
      <c r="BX2" s="221" t="s">
        <v>19</v>
      </c>
      <c r="BY2" s="221" t="s">
        <v>7</v>
      </c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S2" s="162" t="s">
        <v>702</v>
      </c>
      <c r="CX2" s="162" t="s">
        <v>703</v>
      </c>
      <c r="EL2" s="162" t="s">
        <v>704</v>
      </c>
      <c r="FS2" s="72" t="s">
        <v>705</v>
      </c>
      <c r="FU2" s="72" t="s">
        <v>1433</v>
      </c>
      <c r="GA2" s="72" t="s">
        <v>706</v>
      </c>
      <c r="GH2" s="72" t="s">
        <v>707</v>
      </c>
      <c r="GJ2" s="72" t="s">
        <v>708</v>
      </c>
      <c r="GK2" s="72"/>
      <c r="GL2" s="72"/>
    </row>
    <row r="3" spans="1:194" ht="16.5">
      <c r="A3" s="57"/>
      <c r="B3" s="57" t="s">
        <v>239</v>
      </c>
      <c r="C3" s="57" t="s">
        <v>709</v>
      </c>
      <c r="D3" s="220"/>
      <c r="E3" s="57" t="s">
        <v>710</v>
      </c>
      <c r="F3" s="57" t="s">
        <v>711</v>
      </c>
      <c r="K3" s="260" t="s">
        <v>712</v>
      </c>
      <c r="L3" s="260" t="s">
        <v>96</v>
      </c>
      <c r="N3" s="260" t="s">
        <v>712</v>
      </c>
      <c r="O3" s="260" t="s">
        <v>713</v>
      </c>
      <c r="Q3" s="260" t="s">
        <v>712</v>
      </c>
      <c r="R3" s="260" t="s">
        <v>131</v>
      </c>
      <c r="T3" s="260" t="s">
        <v>712</v>
      </c>
      <c r="U3" s="260" t="s">
        <v>1420</v>
      </c>
      <c r="W3" s="260" t="s">
        <v>712</v>
      </c>
      <c r="X3" s="426" t="s">
        <v>1413</v>
      </c>
      <c r="AA3" s="260"/>
      <c r="AB3" s="426" t="s">
        <v>1416</v>
      </c>
      <c r="AF3" s="4" t="s">
        <v>623</v>
      </c>
      <c r="AG3" s="4" t="s">
        <v>714</v>
      </c>
      <c r="AH3" s="49" t="b">
        <v>1</v>
      </c>
      <c r="CE3" s="57"/>
      <c r="CF3" s="259" t="s">
        <v>248</v>
      </c>
      <c r="CG3" s="57"/>
      <c r="CH3" s="57"/>
      <c r="CI3" s="57"/>
      <c r="CJ3" s="57"/>
      <c r="CK3" s="4" t="s">
        <v>715</v>
      </c>
      <c r="CL3" s="4"/>
      <c r="CM3" s="57"/>
      <c r="CN3" s="57"/>
      <c r="CP3" s="162" t="s">
        <v>716</v>
      </c>
      <c r="CQ3" s="57" t="s">
        <v>717</v>
      </c>
      <c r="CR3" s="72" t="str">
        <f ca="1">IF(AND(EM3&lt;&gt;"",EM3&gt;1),ROW(),"")</f>
        <v/>
      </c>
      <c r="CS3" s="72">
        <f>UNNH0030_IF_W_USER_ID</f>
        <v>0</v>
      </c>
      <c r="CT3" s="72">
        <f>UNNH0030_IF_W_SERIAL</f>
        <v>0</v>
      </c>
      <c r="CU3" s="72">
        <f>IF(UNNH0030_H_PAGE_NO=0,1,UNNH0030_H_PAGE_NO)</f>
        <v>1</v>
      </c>
      <c r="CV3" s="72">
        <f>ROW()-ROW(UNNH0030_IF_SAVE_W_ROW)</f>
        <v>-2</v>
      </c>
      <c r="CW3" s="72">
        <f>UNNH0030_IF_W_MODE</f>
        <v>0</v>
      </c>
      <c r="CX3" s="72" t="str">
        <f>IF(UNNH0030_H_URIAGE_NO="","",UNNH0030_H_URIAGE_NO)</f>
        <v/>
      </c>
      <c r="CY3" s="72" t="str">
        <f ca="1">IF(UNNH0030_H_DEMPYO_KBN_CD=0,"",UNNH0030_H_DEMPYO_KBN_CD)</f>
        <v/>
      </c>
      <c r="CZ3" s="72">
        <f ca="1">IF(UNNH0030_H_RENDO_KBN_CD=0,"",UNNH0030_H_RENDO_KBN_CD)</f>
        <v>2</v>
      </c>
      <c r="DA3" s="72" t="str">
        <f ca="1">IF(UNNH0030_H_DENKU_CD="","",UNNH0030_H_DENKU_CD)</f>
        <v/>
      </c>
      <c r="DB3" s="72" t="str">
        <f ca="1">IF(UNNH0030_H_KANJO_KAMOKU_CD="","",UNNH0030_H_KANJO_KAMOKU_CD)</f>
        <v/>
      </c>
      <c r="DC3" s="261" t="str">
        <f>IF(UNNH0030_H_URIAGE_DATE=0,"",UNNH0030_H_URIAGE_DATE)</f>
        <v/>
      </c>
      <c r="DD3" s="72" t="str">
        <f>IF(OR(UNNH0030_H_BUSHO_CD=0,UNNH0030_H_BUSHO_MEI=""),"",UNNH0030_H_BUSHO_CD)</f>
        <v/>
      </c>
      <c r="DE3" s="72" t="str">
        <f>IF(OR(UNNH0030_H_NYURYOKUSHA_CD=0,UNNH0030_H_NYURYOKUSHA_MEI=""),"",UNNH0030_H_NYURYOKUSHA_CD)</f>
        <v/>
      </c>
      <c r="DF3" s="72" t="str">
        <f>IF(OR(UNNH0030_H_EIGYO_TANTO_CD=0,UNNH0030_H_EIGYO_TANTO_MEI=""),"",UNNH0030_H_EIGYO_TANTO_CD)</f>
        <v/>
      </c>
      <c r="DG3" s="262">
        <f ca="1">IF(UNNH0030_H_NYURYOKU_DATETIME="",NOW(),UNNH0030_H_NYURYOKU_DATETIME)</f>
        <v>43004.547110763888</v>
      </c>
      <c r="DH3" s="72" t="str">
        <f>IF(UNNH0030_H_JUCHU_KBN_CD=0,"",UNNH0030_H_JUCHU_KBN_CD)</f>
        <v/>
      </c>
      <c r="DI3" s="72" t="str">
        <f>IF(UNNH0030_H_JURI_NO=0,"",UNNH0030_H_JURI_NO)</f>
        <v/>
      </c>
      <c r="DJ3" s="72" t="str">
        <f>IF(UNNH0030_H_MITSU_NO=0,"",UNNH0030_H_MITSU_NO)</f>
        <v/>
      </c>
      <c r="DK3" s="72" t="str">
        <f>IF(UNNH0030_H_SAKI_URIAGE_NO=0,"",UNNH0030_H_SAKI_URIAGE_NO)</f>
        <v/>
      </c>
      <c r="DL3" s="261"/>
      <c r="DM3" s="72" t="str">
        <f>IF(OR(UNNH0030_H_STS_CD=0,UNNH0030_H_STS=""),"",UNNH0030_H_STS_CD)</f>
        <v/>
      </c>
      <c r="DN3" s="72" t="b">
        <f>IF(UNNH0030_H_DOJI_FLG=TRUE,TRUE,FALSE)</f>
        <v>1</v>
      </c>
      <c r="DO3" s="72" t="str">
        <f>IF(UNNH0030_H_SEIKYUSAKI_CD=0,"",UNNH0030_H_SEIKYUSAKI_CD)</f>
        <v/>
      </c>
      <c r="DP3" s="261" t="str">
        <f>IF(UNNH0030_H_KAISHU_DATE=0,"",UNNH0030_H_KAISHU_DATE)</f>
        <v/>
      </c>
      <c r="DQ3" s="261" t="str">
        <f>IF(UNNH0030_H_BUNSEKI_HOHO=0,"",UNNH0030_H_BUNSEKI_HOHO)</f>
        <v/>
      </c>
      <c r="DR3" s="72" t="str">
        <f>IF(UNNH0030_H_TEKIYO=0,"",UNNH0030_H_TEKIYO)</f>
        <v/>
      </c>
      <c r="DS3" s="72" t="str">
        <f>IF(UNNH0030_H_DEMPYO_MEI=0,"",UNNH0030_H_DEMPYO_MEI)</f>
        <v/>
      </c>
      <c r="DT3" s="72" t="str">
        <f>IF(UNNH0030_H_KEISHO=0,"",UNNH0030_H_KEISHO)</f>
        <v/>
      </c>
      <c r="DU3" s="72" t="str">
        <f>IF(UNNH0030_H_SOFU_YUBIN=0,"",UNNH0030_H_SOFU_YUBIN)</f>
        <v/>
      </c>
      <c r="DV3" s="72" t="str">
        <f>IF(UNNH0030_H_SOFU_JUSHO_1=0,"",UNNH0030_H_SOFU_JUSHO_1)</f>
        <v/>
      </c>
      <c r="DW3" s="72" t="str">
        <f>IF(UNNH0030_H_SOFU_JUSHO_2=0,"",UNNH0030_H_SOFU_JUSHO_2)</f>
        <v/>
      </c>
      <c r="DX3" s="72" t="str">
        <f>IF(UNNH0030_H_SOFU_TEL=0,"",UNNH0030_H_SOFU_TEL)</f>
        <v/>
      </c>
      <c r="DY3" s="72" t="str">
        <f>IF(UNNH0030_H_SOFU_FAX=0,"",UNNH0030_H_SOFU_FAX)</f>
        <v/>
      </c>
      <c r="DZ3" s="72" t="str">
        <f>IF(UNNH0030_H_SOFU_TANTOSHA_MEI=0,"",UNNH0030_H_SOFU_TANTOSHA_MEI)</f>
        <v/>
      </c>
      <c r="EA3" s="72" t="str">
        <f>IF(UNNH0030_H_BIKO=0,"",UNNH0030_H_BIKO)</f>
        <v/>
      </c>
      <c r="EB3" s="72" t="b">
        <f>IF(UNNH0030_H_JUSHO_NO_PRINT_FLG=TRUE,TRUE,FALSE)</f>
        <v>0</v>
      </c>
      <c r="EC3" s="263">
        <f>UNNH0030_H_TAX_RATE</f>
        <v>0</v>
      </c>
      <c r="ED3" s="72">
        <f ca="1">UNNH0030_H_NUKI_TOTAL</f>
        <v>0</v>
      </c>
      <c r="EE3" s="72">
        <f ca="1">UNNH0030_H_TAX</f>
        <v>0</v>
      </c>
      <c r="EF3" s="72">
        <f>UNNH0030_H_KOMI_TOTAL</f>
        <v>0</v>
      </c>
      <c r="EG3" s="72">
        <f ca="1">UNNH0030_H_GENKA_TOTAL</f>
        <v>0</v>
      </c>
      <c r="EH3" s="72">
        <f>UNNH0030_H_ARARIEKI</f>
        <v>0</v>
      </c>
      <c r="EI3" s="264">
        <f>UNNH0030_H_RIEKI_RATE</f>
        <v>0</v>
      </c>
      <c r="EJ3" s="72" t="str">
        <f>IF(UNNH0030_H_SHOKON_NO=0,"",UNNH0030_H_SHOKON_NO)</f>
        <v/>
      </c>
      <c r="EK3" s="262" t="str">
        <f>IF(UNNH0030_H_SHOKON_LIST_DATE_TIME=0,"",UNNH0030_H_SHOKON_LIST_DATE_TIME)</f>
        <v/>
      </c>
      <c r="EL3" s="72">
        <f ca="1">OFFSET(UNNH0030_B_GYO,1+ROW()-ROW(UNNH0030_IF_SAVE_START),0)</f>
        <v>0</v>
      </c>
      <c r="EM3" s="72" t="str">
        <f ca="1">IF(OFFSET(UNNH0030_B_ROW_KBN,1+ROW()-ROW(UNNH0030_IF_SAVE_START),0)=0,"",
OFFSET(UNNH0030_B_ROW_KBN,1+ROW()-ROW(UNNH0030_IF_SAVE_START),0))</f>
        <v/>
      </c>
      <c r="EN3" s="72" t="str">
        <f ca="1">IF(OFFSET(UNNH0030_B_SHOHIN_CD,1+ROW()-ROW(UNNH0030_IF_SAVE_START),0)=0,"",
OFFSET(UNNH0030_B_SHOHIN_CD,1+ROW()-ROW(UNNH0030_IF_SAVE_START),0))</f>
        <v/>
      </c>
      <c r="EO3" s="72" t="str">
        <f ca="1">IF(OFFSET(UNNH0030_B_SHOHIN_MEI,1+ROW()-ROW(UNNH0030_IF_SAVE_START),0)=0,"",
OFFSET(UNNH0030_B_SHOHIN_MEI,1+ROW()-ROW(UNNH0030_IF_SAVE_START),0))</f>
        <v/>
      </c>
      <c r="EP3" s="72" t="str">
        <f ca="1">IF(OFFSET(UNNH0030_B_SURYO,1+ROW()-ROW(UNNH0030_IF_SAVE_START),0)=0,"",
OFFSET(UNNH0030_B_SURYO,1+ROW()-ROW(UNNH0030_IF_SAVE_START),0))</f>
        <v/>
      </c>
      <c r="EQ3" s="72" t="str">
        <f ca="1">IF(OFFSET(UNNH0030_B_TANI,1+ROW()-ROW(UNNH0030_IF_SAVE_START),0)=0,"",
OFFSET(UNNH0030_B_TANI,1+ROW()-ROW(UNNH0030_IF_SAVE_START),0))</f>
        <v/>
      </c>
      <c r="ER3" s="72" t="str">
        <f ca="1">IF(OFFSET(UNNH0030_B_HAMBAI_TANKA,1+ROW()-ROW(UNNH0030_IF_SAVE_START),0)="","",
OFFSET(UNNH0030_B_HAMBAI_TANKA,1+ROW()-ROW(UNNH0030_IF_SAVE_START),0))</f>
        <v/>
      </c>
      <c r="ES3" s="72" t="str">
        <f ca="1">IF(OFFSET(UNNH0030_B_HAMBAI_KINGAKU,1+ROW()-ROW(UNNH0030_IF_SAVE_START),0)="","",
OFFSET(UNNH0030_B_HAMBAI_KINGAKU,1+ROW()-ROW(UNNH0030_IF_SAVE_START),0))</f>
        <v/>
      </c>
      <c r="ET3" s="72" t="str">
        <f ca="1">IF(OFFSET(UNNH0030_B_TEKIYO,1+ROW()-ROW(UNNH0030_IF_SAVE_START),0)=0,"",
OFFSET(UNNH0030_B_TEKIYO,1+ROW()-ROW(UNNH0030_IF_SAVE_START),0))</f>
        <v/>
      </c>
      <c r="EU3" s="72" t="str">
        <f ca="1">IF(OFFSET(UNNH0030_B_GENTANKA,1+ROW()-ROW(UNNH0030_IF_SAVE_START),0)="","",
OFFSET(UNNH0030_B_GENTANKA,1+ROW()-ROW(UNNH0030_IF_SAVE_START),0))</f>
        <v/>
      </c>
      <c r="EV3" s="72" t="str">
        <f ca="1">EP3</f>
        <v/>
      </c>
      <c r="EW3" s="72" t="str">
        <f ca="1">IF(OFFSET(UNNH0030_B_IRISU_TANI,1+ROW()-ROW(UNNH0030_IF_SAVE_START),0)=0,"",
OFFSET(UNNH0030_B_IRISU_TANI,1+ROW()-ROW(UNNH0030_IF_SAVE_START),0))</f>
        <v/>
      </c>
      <c r="EX3" s="72" t="str">
        <f ca="1">IF(OFFSET(UNNH0030_B_SOSU,1+ROW()-ROW(UNNH0030_IF_SAVE_START),0)="","",
OFFSET(UNNH0030_B_SOSU,1+ROW()-ROW(UNNH0030_IF_SAVE_START),0))</f>
        <v/>
      </c>
      <c r="EY3" s="72" t="str">
        <f ca="1">IF(OFFSET(UNNH0030_B_BARA_TANI,1+ROW()-ROW(UNNH0030_IF_SAVE_START),0)=0,"",
OFFSET(UNNH0030_B_BARA_TANI,1+ROW()-ROW(UNNH0030_IF_SAVE_START),0))</f>
        <v/>
      </c>
      <c r="EZ3" s="72" t="str">
        <f ca="1">IF(OFFSET(UNNH0030_B_GENKA_KINGAKU,1+ROW()-ROW(UNNH0030_IF_SAVE_START),0)="","",
OFFSET(UNNH0030_B_GENKA_KINGAKU,1+ROW()-ROW(UNNH0030_IF_SAVE_START),0))</f>
        <v/>
      </c>
      <c r="FA3" s="263" t="str">
        <f ca="1">IF(OFFSET(UNNH0030_B_ARARIRITSU,1+ROW()-ROW(UNNH0030_IF_SAVE_START),0)=0,"",
OFFSET(UNNH0030_B_ARARIRITSU,1+ROW()-ROW(UNNH0030_IF_SAVE_START),0))</f>
        <v/>
      </c>
      <c r="FB3" s="72" t="str">
        <f ca="1">IF(OFFSET(UNNH0030_B_ARARIEKI,1+ROW()-ROW(UNNH0030_IF_SAVE_START),0)=0,"",
OFFSET(UNNH0030_B_ARARIEKI,1+ROW()-ROW(UNNH0030_IF_SAVE_START),0))</f>
        <v/>
      </c>
      <c r="FC3" s="72" t="str">
        <f ca="1">IF(OFFSET(UNNH0030_B_TEIKA,1+ROW()-ROW(UNNH0030_IF_SAVE_START),0)=0,"",
OFFSET(UNNH0030_B_TEIKA,1+ROW()-ROW(UNNH0030_IF_SAVE_START),0))</f>
        <v/>
      </c>
      <c r="FD3" s="72" t="b">
        <v>0</v>
      </c>
      <c r="FE3" s="72"/>
      <c r="FF3" s="72"/>
      <c r="FG3" s="72"/>
      <c r="FH3" s="72"/>
      <c r="FI3" s="72"/>
      <c r="FM3" s="162" t="s">
        <v>718</v>
      </c>
      <c r="FN3" s="162" t="s">
        <v>719</v>
      </c>
      <c r="FO3" s="72"/>
      <c r="FS3" s="221" t="s">
        <v>16</v>
      </c>
      <c r="FT3" s="256" t="s">
        <v>651</v>
      </c>
      <c r="FU3" s="256" t="s">
        <v>1432</v>
      </c>
      <c r="FV3" s="257" t="s">
        <v>21</v>
      </c>
      <c r="FW3" s="221" t="s">
        <v>17</v>
      </c>
      <c r="FX3" s="257" t="s">
        <v>115</v>
      </c>
      <c r="FY3" s="221" t="s">
        <v>117</v>
      </c>
      <c r="FZ3" s="257" t="s">
        <v>75</v>
      </c>
      <c r="GA3" s="221" t="s">
        <v>63</v>
      </c>
      <c r="GB3" s="221" t="s">
        <v>18</v>
      </c>
      <c r="GC3" s="221" t="s">
        <v>20</v>
      </c>
      <c r="GD3" s="221" t="s">
        <v>89</v>
      </c>
      <c r="GE3" s="221" t="s">
        <v>64</v>
      </c>
      <c r="GF3" s="221" t="s">
        <v>65</v>
      </c>
      <c r="GG3" s="221" t="s">
        <v>652</v>
      </c>
      <c r="GH3" s="221" t="s">
        <v>66</v>
      </c>
      <c r="GI3" s="221" t="s">
        <v>116</v>
      </c>
      <c r="GJ3" s="221" t="s">
        <v>67</v>
      </c>
      <c r="GK3" s="221" t="s">
        <v>19</v>
      </c>
      <c r="GL3" s="221" t="s">
        <v>7</v>
      </c>
    </row>
    <row r="4" spans="1:194" ht="16.5">
      <c r="A4" s="57"/>
      <c r="B4" s="57" t="s">
        <v>720</v>
      </c>
      <c r="C4" s="57" t="s">
        <v>721</v>
      </c>
      <c r="D4" s="220" t="s">
        <v>722</v>
      </c>
      <c r="E4" s="57"/>
      <c r="F4" s="57"/>
      <c r="K4" s="260" t="s">
        <v>723</v>
      </c>
      <c r="L4" s="265">
        <v>5</v>
      </c>
      <c r="N4" s="260" t="s">
        <v>723</v>
      </c>
      <c r="O4" s="265">
        <v>2</v>
      </c>
      <c r="Q4" s="260" t="s">
        <v>723</v>
      </c>
      <c r="R4" s="265">
        <v>3</v>
      </c>
      <c r="T4" s="260" t="s">
        <v>723</v>
      </c>
      <c r="U4" s="265">
        <v>2</v>
      </c>
      <c r="W4" s="260" t="s">
        <v>723</v>
      </c>
      <c r="X4" s="427">
        <v>3</v>
      </c>
      <c r="AA4" s="260" t="s">
        <v>723</v>
      </c>
      <c r="AB4" s="427">
        <v>3</v>
      </c>
      <c r="AF4" s="4" t="s">
        <v>625</v>
      </c>
      <c r="AG4" s="4" t="s">
        <v>724</v>
      </c>
      <c r="AH4" s="49" t="b">
        <v>0</v>
      </c>
      <c r="AK4" s="162" t="s">
        <v>725</v>
      </c>
      <c r="AL4" s="352"/>
      <c r="AM4" s="183"/>
      <c r="AN4" s="15" t="s">
        <v>113</v>
      </c>
      <c r="AO4" s="240"/>
      <c r="AP4" s="183"/>
      <c r="AQ4" s="5" t="s">
        <v>124</v>
      </c>
      <c r="AR4" s="241"/>
      <c r="AS4" s="183"/>
      <c r="AT4" s="15" t="s">
        <v>1456</v>
      </c>
      <c r="AU4" s="240"/>
      <c r="AW4" s="15" t="s">
        <v>98</v>
      </c>
      <c r="AX4" s="329" t="s">
        <v>1285</v>
      </c>
      <c r="AY4" s="351"/>
      <c r="BD4" s="162" t="s">
        <v>725</v>
      </c>
      <c r="BE4" s="162" t="s">
        <v>726</v>
      </c>
      <c r="BF4" s="162" t="s">
        <v>727</v>
      </c>
      <c r="BH4" s="72" t="s">
        <v>1436</v>
      </c>
      <c r="BN4" s="72" t="s">
        <v>728</v>
      </c>
      <c r="BU4" s="72" t="s">
        <v>729</v>
      </c>
      <c r="BW4" s="72" t="s">
        <v>730</v>
      </c>
      <c r="BX4" s="72"/>
      <c r="BY4" s="72"/>
      <c r="CE4" s="57"/>
      <c r="CF4" s="57" t="s">
        <v>731</v>
      </c>
      <c r="CG4" s="57" t="s">
        <v>732</v>
      </c>
      <c r="CH4" s="220"/>
      <c r="CI4" s="57"/>
      <c r="CJ4" s="57"/>
      <c r="CK4" s="266" t="s">
        <v>733</v>
      </c>
      <c r="CL4" s="266"/>
      <c r="CM4" s="57"/>
      <c r="CN4" s="57"/>
      <c r="CQ4" s="162" t="s">
        <v>734</v>
      </c>
      <c r="CR4" s="162" t="s">
        <v>735</v>
      </c>
      <c r="CS4" s="267" t="s">
        <v>736</v>
      </c>
      <c r="CT4" s="267" t="s">
        <v>737</v>
      </c>
      <c r="CU4" s="267" t="s">
        <v>738</v>
      </c>
      <c r="CV4" s="267" t="s">
        <v>739</v>
      </c>
      <c r="CW4" s="267" t="s">
        <v>740</v>
      </c>
      <c r="CX4" s="267" t="s">
        <v>741</v>
      </c>
      <c r="CY4" s="267" t="s">
        <v>742</v>
      </c>
      <c r="CZ4" s="267" t="s">
        <v>743</v>
      </c>
      <c r="DA4" s="267" t="s">
        <v>1426</v>
      </c>
      <c r="DB4" s="267" t="s">
        <v>1415</v>
      </c>
      <c r="DC4" s="267" t="s">
        <v>744</v>
      </c>
      <c r="DD4" s="267" t="s">
        <v>745</v>
      </c>
      <c r="DE4" s="267" t="s">
        <v>746</v>
      </c>
      <c r="DF4" s="267" t="s">
        <v>1462</v>
      </c>
      <c r="DG4" s="267" t="s">
        <v>747</v>
      </c>
      <c r="DH4" s="267" t="s">
        <v>748</v>
      </c>
      <c r="DI4" s="267" t="s">
        <v>749</v>
      </c>
      <c r="DJ4" s="267" t="s">
        <v>750</v>
      </c>
      <c r="DK4" s="267" t="s">
        <v>751</v>
      </c>
      <c r="DL4" s="267" t="s">
        <v>752</v>
      </c>
      <c r="DM4" s="267" t="s">
        <v>753</v>
      </c>
      <c r="DN4" s="267" t="s">
        <v>754</v>
      </c>
      <c r="DO4" s="267" t="s">
        <v>755</v>
      </c>
      <c r="DP4" s="267" t="s">
        <v>756</v>
      </c>
      <c r="DQ4" s="267" t="s">
        <v>1697</v>
      </c>
      <c r="DR4" s="267" t="s">
        <v>757</v>
      </c>
      <c r="DS4" s="267" t="s">
        <v>758</v>
      </c>
      <c r="DT4" s="267" t="s">
        <v>759</v>
      </c>
      <c r="DU4" s="267" t="s">
        <v>760</v>
      </c>
      <c r="DV4" s="267" t="s">
        <v>761</v>
      </c>
      <c r="DW4" s="267" t="s">
        <v>762</v>
      </c>
      <c r="DX4" s="267" t="s">
        <v>763</v>
      </c>
      <c r="DY4" s="267" t="s">
        <v>764</v>
      </c>
      <c r="DZ4" s="267" t="s">
        <v>765</v>
      </c>
      <c r="EA4" s="267" t="s">
        <v>766</v>
      </c>
      <c r="EB4" s="267" t="s">
        <v>767</v>
      </c>
      <c r="EC4" s="267" t="s">
        <v>768</v>
      </c>
      <c r="ED4" s="267" t="s">
        <v>769</v>
      </c>
      <c r="EE4" s="267" t="s">
        <v>770</v>
      </c>
      <c r="EF4" s="267" t="s">
        <v>771</v>
      </c>
      <c r="EG4" s="267" t="s">
        <v>772</v>
      </c>
      <c r="EH4" s="267" t="s">
        <v>773</v>
      </c>
      <c r="EI4" s="267" t="s">
        <v>774</v>
      </c>
      <c r="EJ4" s="267" t="s">
        <v>775</v>
      </c>
      <c r="EK4" s="267" t="s">
        <v>776</v>
      </c>
      <c r="EL4" s="267" t="s">
        <v>777</v>
      </c>
      <c r="EM4" s="267" t="s">
        <v>778</v>
      </c>
      <c r="EN4" s="267" t="s">
        <v>779</v>
      </c>
      <c r="EO4" s="267" t="s">
        <v>780</v>
      </c>
      <c r="EP4" s="267" t="s">
        <v>781</v>
      </c>
      <c r="EQ4" s="267" t="s">
        <v>782</v>
      </c>
      <c r="ER4" s="267" t="s">
        <v>783</v>
      </c>
      <c r="ES4" s="267" t="s">
        <v>784</v>
      </c>
      <c r="ET4" s="267" t="s">
        <v>785</v>
      </c>
      <c r="EU4" s="267" t="s">
        <v>786</v>
      </c>
      <c r="EV4" s="267" t="s">
        <v>787</v>
      </c>
      <c r="EW4" s="267" t="s">
        <v>788</v>
      </c>
      <c r="EX4" s="267" t="s">
        <v>789</v>
      </c>
      <c r="EY4" s="267" t="s">
        <v>790</v>
      </c>
      <c r="EZ4" s="267" t="s">
        <v>791</v>
      </c>
      <c r="FA4" s="267" t="s">
        <v>792</v>
      </c>
      <c r="FB4" s="267" t="s">
        <v>793</v>
      </c>
      <c r="FC4" s="267" t="s">
        <v>794</v>
      </c>
      <c r="FD4" s="267" t="s">
        <v>795</v>
      </c>
      <c r="FE4" s="267" t="s">
        <v>796</v>
      </c>
      <c r="FF4" s="267" t="s">
        <v>797</v>
      </c>
      <c r="FG4" s="267" t="s">
        <v>798</v>
      </c>
      <c r="FH4" s="267" t="s">
        <v>799</v>
      </c>
      <c r="FI4" s="267" t="s">
        <v>800</v>
      </c>
      <c r="FQ4" s="162" t="s">
        <v>801</v>
      </c>
      <c r="FR4" s="162" t="s">
        <v>802</v>
      </c>
      <c r="FS4" s="72"/>
    </row>
    <row r="5" spans="1:194" ht="16.5">
      <c r="A5" s="57"/>
      <c r="B5" s="57" t="s">
        <v>803</v>
      </c>
      <c r="C5" s="57" t="s">
        <v>804</v>
      </c>
      <c r="D5" s="220"/>
      <c r="K5" s="260" t="s">
        <v>805</v>
      </c>
      <c r="L5" s="260" t="s">
        <v>806</v>
      </c>
      <c r="N5" s="260" t="s">
        <v>807</v>
      </c>
      <c r="O5" s="260" t="s">
        <v>808</v>
      </c>
      <c r="Q5" s="260" t="s">
        <v>1280</v>
      </c>
      <c r="R5" s="260" t="s">
        <v>806</v>
      </c>
      <c r="T5" s="260" t="s">
        <v>1421</v>
      </c>
      <c r="U5" s="260" t="s">
        <v>1422</v>
      </c>
      <c r="W5" s="260" t="s">
        <v>1695</v>
      </c>
      <c r="X5" s="426" t="s">
        <v>1414</v>
      </c>
      <c r="AA5" s="260" t="s">
        <v>1683</v>
      </c>
      <c r="AB5" s="426" t="s">
        <v>1685</v>
      </c>
      <c r="AK5" s="162" t="s">
        <v>809</v>
      </c>
      <c r="AL5" s="11"/>
      <c r="AM5" s="183"/>
      <c r="AN5" s="15" t="s">
        <v>121</v>
      </c>
      <c r="AO5" s="240"/>
      <c r="AP5" s="183"/>
      <c r="AQ5" s="5" t="s">
        <v>125</v>
      </c>
      <c r="AR5" s="241"/>
      <c r="AS5" s="183"/>
      <c r="AT5" s="15" t="s">
        <v>1653</v>
      </c>
      <c r="AU5" s="528"/>
      <c r="AW5" s="15" t="s">
        <v>133</v>
      </c>
      <c r="AX5" s="329" t="s">
        <v>1286</v>
      </c>
      <c r="AY5" s="351"/>
      <c r="BD5" s="162" t="s">
        <v>284</v>
      </c>
      <c r="BE5" s="162" t="s">
        <v>810</v>
      </c>
      <c r="BF5" s="9">
        <f ca="1">1+ROW()-ROW(INDIRECT(UNNH0030_B_LIST_START))</f>
        <v>-17</v>
      </c>
      <c r="BG5" s="9">
        <v>1</v>
      </c>
      <c r="BH5" s="9">
        <f>ROUNDDOWN(BN5*UNNH0030_H_TAX_RATE,0)</f>
        <v>0</v>
      </c>
      <c r="BI5" s="240"/>
      <c r="BJ5" s="492"/>
      <c r="BK5" s="268"/>
      <c r="BL5" s="357"/>
      <c r="BM5" s="268"/>
      <c r="BN5" s="269">
        <f>IF(UNNH0030_H_SEIKYUSAKI_HASU=1,ROUNDDOWN(IF(BK5=0,1,BK5)*BM5,0),
IF(UNNH0030_H_SEIKYUSAKI_HASU=2,ROUNDUP(IF(BK5=0,1,BK5)*BM5,0),
ROUND(IF(BK5=0,1,BK5)*BM5,0)))</f>
        <v>0</v>
      </c>
      <c r="BO5" s="247"/>
      <c r="BP5" s="269"/>
      <c r="BQ5" s="359"/>
      <c r="BR5" s="269"/>
      <c r="BS5" s="359"/>
      <c r="BT5" s="357"/>
      <c r="BU5" s="269">
        <f>IF(BK5=0,1,BK5)*BR5</f>
        <v>0</v>
      </c>
      <c r="BV5" s="357"/>
      <c r="BW5" s="270">
        <f>ROUND(BQ5*IF(BK5=0,1,BK5),0)</f>
        <v>0</v>
      </c>
      <c r="BX5" s="271">
        <f>IF(ISERROR(BY5/BN5)=TRUE,0,
IF(BN5&lt;0,0,
IF(BN5&lt;BW5,BY5/BW5,
BY5/BN5)))</f>
        <v>0</v>
      </c>
      <c r="BY5" s="269">
        <f>IF(BW5=0,0,BN5-BW5)</f>
        <v>0</v>
      </c>
      <c r="CE5" s="57"/>
      <c r="CF5" s="57" t="s">
        <v>250</v>
      </c>
      <c r="CG5" s="57" t="s">
        <v>811</v>
      </c>
      <c r="CH5" s="272"/>
      <c r="CI5" s="57"/>
      <c r="CJ5" s="57"/>
      <c r="CK5" s="7" t="s">
        <v>812</v>
      </c>
      <c r="CL5" s="7" t="s">
        <v>813</v>
      </c>
      <c r="CM5" s="57"/>
      <c r="CN5" s="57"/>
      <c r="CR5" s="72" t="s">
        <v>814</v>
      </c>
      <c r="CS5" s="273" t="s">
        <v>815</v>
      </c>
      <c r="CT5" s="273" t="s">
        <v>816</v>
      </c>
      <c r="CU5" s="273" t="s">
        <v>194</v>
      </c>
      <c r="CV5" s="273" t="s">
        <v>817</v>
      </c>
      <c r="CW5" s="273" t="s">
        <v>818</v>
      </c>
      <c r="CX5" s="273" t="s">
        <v>819</v>
      </c>
      <c r="CY5" s="273" t="s">
        <v>820</v>
      </c>
      <c r="CZ5" s="273" t="s">
        <v>821</v>
      </c>
      <c r="DA5" s="273" t="s">
        <v>1425</v>
      </c>
      <c r="DB5" s="273" t="s">
        <v>1416</v>
      </c>
      <c r="DC5" s="273" t="s">
        <v>822</v>
      </c>
      <c r="DD5" s="273" t="s">
        <v>823</v>
      </c>
      <c r="DE5" s="273" t="s">
        <v>824</v>
      </c>
      <c r="DF5" s="273" t="s">
        <v>1461</v>
      </c>
      <c r="DG5" s="273" t="s">
        <v>825</v>
      </c>
      <c r="DH5" s="273" t="s">
        <v>826</v>
      </c>
      <c r="DI5" s="273" t="s">
        <v>827</v>
      </c>
      <c r="DJ5" s="273" t="s">
        <v>828</v>
      </c>
      <c r="DK5" s="273" t="s">
        <v>829</v>
      </c>
      <c r="DL5" s="273" t="s">
        <v>830</v>
      </c>
      <c r="DM5" s="273" t="s">
        <v>831</v>
      </c>
      <c r="DN5" s="273" t="s">
        <v>832</v>
      </c>
      <c r="DO5" s="273" t="s">
        <v>833</v>
      </c>
      <c r="DP5" s="273" t="s">
        <v>834</v>
      </c>
      <c r="DQ5" s="273" t="s">
        <v>835</v>
      </c>
      <c r="DR5" s="273" t="s">
        <v>836</v>
      </c>
      <c r="DS5" s="273" t="s">
        <v>837</v>
      </c>
      <c r="DT5" s="273" t="s">
        <v>838</v>
      </c>
      <c r="DU5" s="273" t="s">
        <v>839</v>
      </c>
      <c r="DV5" s="273" t="s">
        <v>840</v>
      </c>
      <c r="DW5" s="273" t="s">
        <v>841</v>
      </c>
      <c r="DX5" s="273" t="s">
        <v>842</v>
      </c>
      <c r="DY5" s="273" t="s">
        <v>843</v>
      </c>
      <c r="DZ5" s="273" t="s">
        <v>844</v>
      </c>
      <c r="EA5" s="273" t="s">
        <v>845</v>
      </c>
      <c r="EB5" s="273" t="s">
        <v>846</v>
      </c>
      <c r="EC5" s="273" t="s">
        <v>847</v>
      </c>
      <c r="ED5" s="273" t="s">
        <v>848</v>
      </c>
      <c r="EE5" s="273" t="s">
        <v>849</v>
      </c>
      <c r="EF5" s="273" t="s">
        <v>850</v>
      </c>
      <c r="EG5" s="273" t="s">
        <v>851</v>
      </c>
      <c r="EH5" s="273" t="s">
        <v>852</v>
      </c>
      <c r="EI5" s="273" t="s">
        <v>853</v>
      </c>
      <c r="EJ5" s="273" t="s">
        <v>854</v>
      </c>
      <c r="EK5" s="273" t="s">
        <v>855</v>
      </c>
      <c r="EL5" s="273" t="s">
        <v>856</v>
      </c>
      <c r="EM5" s="273" t="s">
        <v>857</v>
      </c>
      <c r="EN5" s="274" t="s">
        <v>858</v>
      </c>
      <c r="EO5" s="273" t="s">
        <v>859</v>
      </c>
      <c r="EP5" s="274" t="s">
        <v>860</v>
      </c>
      <c r="EQ5" s="273" t="s">
        <v>861</v>
      </c>
      <c r="ER5" s="274" t="s">
        <v>862</v>
      </c>
      <c r="ES5" s="273" t="s">
        <v>863</v>
      </c>
      <c r="ET5" s="273" t="s">
        <v>836</v>
      </c>
      <c r="EU5" s="273" t="s">
        <v>864</v>
      </c>
      <c r="EV5" s="273" t="s">
        <v>865</v>
      </c>
      <c r="EW5" s="273" t="s">
        <v>866</v>
      </c>
      <c r="EX5" s="273" t="s">
        <v>867</v>
      </c>
      <c r="EY5" s="273" t="s">
        <v>868</v>
      </c>
      <c r="EZ5" s="273" t="s">
        <v>869</v>
      </c>
      <c r="FA5" s="273" t="s">
        <v>853</v>
      </c>
      <c r="FB5" s="273" t="s">
        <v>852</v>
      </c>
      <c r="FC5" s="273" t="s">
        <v>870</v>
      </c>
      <c r="FD5" s="273" t="s">
        <v>871</v>
      </c>
      <c r="FE5" s="273" t="s">
        <v>872</v>
      </c>
      <c r="FF5" s="273" t="s">
        <v>873</v>
      </c>
      <c r="FG5" s="273" t="s">
        <v>874</v>
      </c>
      <c r="FH5" s="273" t="s">
        <v>875</v>
      </c>
      <c r="FI5" s="273" t="s">
        <v>876</v>
      </c>
      <c r="FM5" s="162" t="s">
        <v>877</v>
      </c>
      <c r="FN5" s="162" t="s">
        <v>878</v>
      </c>
      <c r="FO5" s="72">
        <f>IF(UNNH0030_IF_MULTI_SELECT_KENSU+UNNH0030_B_GYO_COUNT&gt;99,99-UNNH0030_B_GYO_COUNT,UNNH0030_IF_MULTI_SELECT_KENSU)</f>
        <v>0</v>
      </c>
    </row>
    <row r="6" spans="1:194" ht="16.5">
      <c r="A6" s="57"/>
      <c r="B6" s="57" t="s">
        <v>879</v>
      </c>
      <c r="C6" s="57" t="s">
        <v>880</v>
      </c>
      <c r="D6" s="220"/>
      <c r="E6" s="57" t="s">
        <v>710</v>
      </c>
      <c r="F6" s="57" t="s">
        <v>881</v>
      </c>
      <c r="K6" s="260" t="s">
        <v>882</v>
      </c>
      <c r="L6" s="260" t="s">
        <v>883</v>
      </c>
      <c r="N6" s="260" t="s">
        <v>882</v>
      </c>
      <c r="O6" s="260" t="s">
        <v>884</v>
      </c>
      <c r="Q6" s="260" t="s">
        <v>882</v>
      </c>
      <c r="R6" s="260" t="s">
        <v>883</v>
      </c>
      <c r="T6" s="260" t="s">
        <v>882</v>
      </c>
      <c r="U6" s="260" t="s">
        <v>883</v>
      </c>
      <c r="W6" s="260" t="s">
        <v>882</v>
      </c>
      <c r="X6" s="426" t="s">
        <v>883</v>
      </c>
      <c r="AA6" s="260" t="s">
        <v>1684</v>
      </c>
      <c r="AB6" s="426" t="s">
        <v>1686</v>
      </c>
      <c r="AF6" s="329" t="s">
        <v>1298</v>
      </c>
      <c r="AG6" s="4" t="s">
        <v>1301</v>
      </c>
      <c r="AH6" s="352">
        <f ca="1">TODAY()</f>
        <v>43004</v>
      </c>
      <c r="AL6" s="242"/>
      <c r="AM6" s="183"/>
      <c r="AN6" s="5" t="s">
        <v>53</v>
      </c>
      <c r="AO6" s="662"/>
      <c r="AP6" s="663"/>
      <c r="AQ6" s="20" t="s">
        <v>136</v>
      </c>
      <c r="AR6" s="243"/>
      <c r="AS6" s="183"/>
      <c r="AT6" s="15" t="s">
        <v>92</v>
      </c>
      <c r="AU6" s="241"/>
      <c r="CE6" s="57"/>
      <c r="CF6" s="57" t="s">
        <v>885</v>
      </c>
      <c r="CG6" s="57" t="s">
        <v>886</v>
      </c>
      <c r="CH6" s="272">
        <v>0</v>
      </c>
      <c r="CI6" s="57"/>
      <c r="CJ6" s="57"/>
      <c r="CK6" s="7" t="s">
        <v>887</v>
      </c>
      <c r="CL6" s="7" t="str">
        <f>ADDRESS(ROW(UNNH0030_IF_SAVE_CHECK_RESULT),COLUMN(UNNH0030_IF_SAVE_CHECK_RESULT))</f>
        <v>$CL$30</v>
      </c>
      <c r="CM6" s="57"/>
      <c r="CN6" s="57"/>
      <c r="CP6" s="162" t="s">
        <v>888</v>
      </c>
      <c r="CQ6" s="57" t="s">
        <v>889</v>
      </c>
      <c r="CR6" s="72"/>
      <c r="CS6" s="72"/>
      <c r="EN6" s="72"/>
      <c r="FM6" s="162" t="s">
        <v>890</v>
      </c>
      <c r="FN6" s="162" t="s">
        <v>891</v>
      </c>
      <c r="FO6" s="72">
        <f>IF(UNNH0030_IF_MULTI_SELECT_KENSU&gt;0,1,2)</f>
        <v>2</v>
      </c>
      <c r="FP6" s="162" t="s">
        <v>892</v>
      </c>
      <c r="GH6" s="329"/>
    </row>
    <row r="7" spans="1:194" ht="16.5">
      <c r="B7" s="57" t="s">
        <v>893</v>
      </c>
      <c r="C7" s="57" t="s">
        <v>894</v>
      </c>
      <c r="D7" s="220">
        <f>IF(AND(UNNH0030_H_PAGE_NO&gt;1,UNNH0030_H_PAGE_NO&gt;=UNNH0030_H_PAGE_TOTAL),1,2)</f>
        <v>2</v>
      </c>
      <c r="E7" s="57" t="s">
        <v>895</v>
      </c>
      <c r="K7" s="275" t="s">
        <v>78</v>
      </c>
      <c r="L7" s="276">
        <v>1</v>
      </c>
      <c r="N7" s="275" t="s">
        <v>11</v>
      </c>
      <c r="O7" s="276">
        <v>1</v>
      </c>
      <c r="Q7" s="275" t="s">
        <v>1281</v>
      </c>
      <c r="R7" s="329">
        <v>1</v>
      </c>
      <c r="T7" s="275" t="s">
        <v>1423</v>
      </c>
      <c r="U7" s="276">
        <v>1</v>
      </c>
      <c r="W7" s="275" t="s">
        <v>127</v>
      </c>
      <c r="X7" s="425">
        <v>1</v>
      </c>
      <c r="AA7" s="260" t="s">
        <v>1678</v>
      </c>
      <c r="AB7" s="426" t="s">
        <v>1679</v>
      </c>
      <c r="AF7" s="162" t="s">
        <v>1299</v>
      </c>
      <c r="AG7" s="4" t="s">
        <v>1303</v>
      </c>
      <c r="AH7" s="72"/>
      <c r="AL7" s="183"/>
      <c r="AM7" s="183"/>
      <c r="AN7" s="183"/>
      <c r="AO7" s="183"/>
      <c r="AP7" s="183"/>
      <c r="AQ7" s="183"/>
      <c r="AR7" s="183"/>
      <c r="AS7" s="183"/>
      <c r="AT7" s="5" t="s">
        <v>54</v>
      </c>
      <c r="AU7" s="183"/>
      <c r="AW7" s="5" t="s">
        <v>124</v>
      </c>
      <c r="AX7" s="329" t="s">
        <v>1579</v>
      </c>
      <c r="AY7" s="421"/>
      <c r="BE7" s="162" t="s">
        <v>896</v>
      </c>
      <c r="BF7" s="162" t="s">
        <v>897</v>
      </c>
      <c r="CE7" s="57"/>
      <c r="CF7" s="57" t="s">
        <v>252</v>
      </c>
      <c r="CG7" s="57" t="s">
        <v>898</v>
      </c>
      <c r="CH7" s="220"/>
      <c r="CI7" s="57" t="s">
        <v>899</v>
      </c>
      <c r="CJ7" s="57"/>
      <c r="CK7" s="266" t="s">
        <v>900</v>
      </c>
      <c r="CL7" s="266" t="s">
        <v>901</v>
      </c>
      <c r="CM7" s="57"/>
      <c r="CN7" s="57"/>
      <c r="FM7" s="162" t="s">
        <v>902</v>
      </c>
      <c r="FN7" s="162" t="s">
        <v>903</v>
      </c>
      <c r="FO7" s="72">
        <f>UNNH0030_B_GYO_COUNT+UNNH0030_IF_MULTI_SELECT_TENKAI_KENSU</f>
        <v>0</v>
      </c>
    </row>
    <row r="8" spans="1:194" ht="16.5">
      <c r="B8" s="57" t="s">
        <v>1266</v>
      </c>
      <c r="C8" s="57" t="s">
        <v>1267</v>
      </c>
      <c r="D8" s="72">
        <f>IF(UNNH0030_H_SHOKON_NO="",2,1)</f>
        <v>2</v>
      </c>
      <c r="E8" s="57" t="s">
        <v>710</v>
      </c>
      <c r="F8" s="57" t="s">
        <v>881</v>
      </c>
      <c r="K8" s="276" t="s">
        <v>79</v>
      </c>
      <c r="L8" s="162">
        <v>2</v>
      </c>
      <c r="N8" s="276" t="s">
        <v>905</v>
      </c>
      <c r="O8" s="162">
        <v>2</v>
      </c>
      <c r="Q8" s="276" t="s">
        <v>1282</v>
      </c>
      <c r="R8" s="329">
        <v>2</v>
      </c>
      <c r="T8" s="276" t="s">
        <v>1424</v>
      </c>
      <c r="U8" s="276">
        <v>2</v>
      </c>
      <c r="W8" s="276" t="s">
        <v>128</v>
      </c>
      <c r="X8" s="425">
        <v>2</v>
      </c>
      <c r="AA8" s="529" t="s">
        <v>1692</v>
      </c>
      <c r="AB8" s="425" t="s">
        <v>1681</v>
      </c>
      <c r="AF8" s="329" t="s">
        <v>1302</v>
      </c>
      <c r="AG8" s="4" t="s">
        <v>1304</v>
      </c>
      <c r="AH8" s="72"/>
      <c r="AL8" s="245"/>
      <c r="AM8" s="664" t="str">
        <f>IF(UNNH0030_H_SEIKYUSAKI_CD="","",UNNH0030_H_SEIKYUSAKI_MEI)</f>
        <v/>
      </c>
      <c r="AN8" s="665"/>
      <c r="AO8" s="666"/>
      <c r="AP8" s="183"/>
      <c r="AQ8" s="15" t="s">
        <v>1417</v>
      </c>
      <c r="AR8" s="429"/>
      <c r="AS8" s="183"/>
      <c r="AT8" s="15" t="s">
        <v>98</v>
      </c>
      <c r="AU8" s="478"/>
      <c r="AW8" s="5" t="s">
        <v>124</v>
      </c>
      <c r="AX8" s="329" t="s">
        <v>1580</v>
      </c>
      <c r="AY8" s="241"/>
      <c r="BF8" s="9">
        <f ca="1">1+ROW()-ROW(INDIRECT(UNNH0030_B_LIST_START))</f>
        <v>-14</v>
      </c>
      <c r="BG8" s="9">
        <v>2</v>
      </c>
      <c r="BH8" s="9"/>
      <c r="BI8" s="242" t="s">
        <v>906</v>
      </c>
      <c r="BJ8" s="475"/>
      <c r="BK8" s="277"/>
      <c r="BL8" s="277"/>
      <c r="BM8" s="277"/>
      <c r="BN8" s="277"/>
      <c r="BO8" s="277"/>
      <c r="BP8" s="277"/>
      <c r="BQ8" s="277"/>
      <c r="BR8" s="277"/>
      <c r="BS8" s="277"/>
      <c r="BT8" s="277"/>
      <c r="BU8" s="277"/>
      <c r="BV8" s="277"/>
      <c r="BW8" s="277"/>
      <c r="BX8" s="277"/>
      <c r="BY8" s="278"/>
      <c r="CE8" s="57"/>
      <c r="CF8" s="57" t="s">
        <v>1396</v>
      </c>
      <c r="CG8" s="57" t="s">
        <v>1395</v>
      </c>
      <c r="CH8" s="220"/>
      <c r="CI8" s="57" t="s">
        <v>914</v>
      </c>
      <c r="CJ8" s="57"/>
      <c r="CK8" s="7" t="s">
        <v>907</v>
      </c>
      <c r="CL8" s="7" t="s">
        <v>908</v>
      </c>
      <c r="CM8" s="57"/>
      <c r="CN8" s="57"/>
      <c r="CP8" s="57"/>
    </row>
    <row r="9" spans="1:194" ht="16.5">
      <c r="K9" s="276" t="s">
        <v>80</v>
      </c>
      <c r="L9" s="162">
        <v>3</v>
      </c>
      <c r="N9" s="276"/>
      <c r="Q9" s="276" t="s">
        <v>1283</v>
      </c>
      <c r="R9" s="329">
        <v>3</v>
      </c>
      <c r="T9" s="276"/>
      <c r="W9" s="276" t="s">
        <v>129</v>
      </c>
      <c r="X9" s="425">
        <v>3</v>
      </c>
      <c r="AA9" s="530" t="s">
        <v>1693</v>
      </c>
      <c r="AB9" s="425" t="s">
        <v>1680</v>
      </c>
      <c r="AF9" s="329"/>
      <c r="AL9" s="667"/>
      <c r="AM9" s="668"/>
      <c r="AN9" s="668"/>
      <c r="AO9" s="669"/>
      <c r="AP9" s="183"/>
      <c r="AQ9" s="15" t="s">
        <v>1410</v>
      </c>
      <c r="AR9" s="690" t="str">
        <f>IFERROR(IF(UNNH0030_H_BUNSEKI_HOHO="","",INDEX(UNNH0030_IF_SET_KANJO_KAMOKU,MATCH(UNNH0030_H_BUNSEKI_HOHO,UNNH0030_IF_SET_KANJO_KAMOKU2,0),2)),"")</f>
        <v/>
      </c>
      <c r="AS9" s="690"/>
      <c r="AT9" s="15" t="s">
        <v>133</v>
      </c>
      <c r="AU9" s="478"/>
      <c r="CE9" s="57"/>
      <c r="CF9" s="57" t="s">
        <v>912</v>
      </c>
      <c r="CG9" s="57" t="s">
        <v>913</v>
      </c>
      <c r="CH9" s="220"/>
      <c r="CI9" s="57" t="s">
        <v>914</v>
      </c>
      <c r="CJ9" s="57"/>
      <c r="CK9" s="7" t="s">
        <v>915</v>
      </c>
      <c r="CL9" s="280" t="s">
        <v>1541</v>
      </c>
      <c r="CM9" s="57"/>
      <c r="CN9" s="57"/>
      <c r="CO9" s="57"/>
      <c r="CP9" s="57"/>
      <c r="FM9" s="162" t="s">
        <v>916</v>
      </c>
      <c r="FN9" s="162" t="s">
        <v>917</v>
      </c>
      <c r="FO9" s="72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&amp;":"&amp;ADDRESS(ROW(UNNH0030_IF_MULTI_SELECT_TENKAI_START)+UNNH0030_IF_MULTI_SELECT_TENKAI_KENSU-1,COLUMN(UNNH0030_IF_MULTI_SELECT_LIST_GYO)+COLUMNS(UNNH0030_IF_COPY_B_MEISAI_SHINKI)-1)</f>
        <v>UNNH0030_IF!$FS$4:$GL$3</v>
      </c>
    </row>
    <row r="10" spans="1:194" ht="16.5">
      <c r="A10" s="329"/>
      <c r="B10" s="329"/>
      <c r="C10" s="329"/>
      <c r="D10" s="329"/>
      <c r="E10" s="329"/>
      <c r="F10" s="329"/>
      <c r="G10" s="329"/>
      <c r="H10" s="329"/>
      <c r="I10" s="329"/>
      <c r="K10" s="276" t="s">
        <v>81</v>
      </c>
      <c r="L10" s="162">
        <v>4</v>
      </c>
      <c r="AA10" s="530" t="s">
        <v>1694</v>
      </c>
      <c r="AB10" s="425" t="s">
        <v>1682</v>
      </c>
      <c r="AF10" s="329"/>
      <c r="AL10" s="670"/>
      <c r="AM10" s="671"/>
      <c r="AN10" s="671"/>
      <c r="AO10" s="672"/>
      <c r="AP10" s="183"/>
      <c r="AQ10" s="15" t="s">
        <v>1659</v>
      </c>
      <c r="AR10" s="531"/>
      <c r="AS10" s="691" t="str">
        <f>IFERROR(IF(UNNH0030_H_BUNSEKI_HOHO="","",INDEX(UNNH_BUNSEKI_HOHO_IF_LIST,MATCH(UNNH0030_H_BUNSEKI_HOHO,UNNH_BUNSEKI_HOHO_IF_LIST2,0),2)),"")</f>
        <v/>
      </c>
      <c r="AT10" s="692"/>
      <c r="AU10" s="693"/>
      <c r="AW10" s="162" t="s">
        <v>1288</v>
      </c>
      <c r="AX10" s="329" t="s">
        <v>1289</v>
      </c>
      <c r="AY10" s="72">
        <f ca="1">IF(AND(UNNH0030_IF_MODE&lt;&gt;0,UNNH0030_H_DEMPYO_KBN_CD=5),1,2)</f>
        <v>2</v>
      </c>
      <c r="AZ10" s="329" t="s">
        <v>1292</v>
      </c>
      <c r="BE10" s="162" t="s">
        <v>920</v>
      </c>
      <c r="BF10" s="162" t="s">
        <v>921</v>
      </c>
      <c r="CE10" s="57"/>
      <c r="CF10" s="57"/>
      <c r="CG10" s="57"/>
      <c r="CH10" s="57"/>
      <c r="CI10" s="57"/>
      <c r="CJ10" s="57"/>
      <c r="CK10" s="7" t="s">
        <v>922</v>
      </c>
      <c r="CL10" s="280" t="s">
        <v>1542</v>
      </c>
      <c r="CM10" s="57"/>
      <c r="CN10" s="57"/>
      <c r="CP10" s="57"/>
      <c r="FM10" s="162" t="s">
        <v>923</v>
      </c>
      <c r="FN10" s="162" t="s">
        <v>924</v>
      </c>
      <c r="FO10" s="72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&amp;":"&amp;ADDRESS(ROW(UNNH0030_IF_MULTI_SELECT_TENKAI_START)+UNNH0030_IF_MULTI_SELECT_TENKAI_KENSU-1,COLUMN(UNNH0030_IF_MULTI_SELECT_LIST_GYO))</f>
        <v>UNNH0030_IF!$FS$4:$FS$3</v>
      </c>
    </row>
    <row r="11" spans="1:194" ht="16.5">
      <c r="A11" s="259" t="s">
        <v>904</v>
      </c>
      <c r="B11" s="57"/>
      <c r="C11" s="57"/>
      <c r="D11" s="57"/>
      <c r="E11" s="57"/>
      <c r="K11" s="276" t="s">
        <v>925</v>
      </c>
      <c r="L11" s="162">
        <v>5</v>
      </c>
      <c r="AF11" s="329"/>
      <c r="AL11" s="670"/>
      <c r="AM11" s="671"/>
      <c r="AN11" s="671"/>
      <c r="AO11" s="672"/>
      <c r="AP11" s="183"/>
      <c r="AQ11" s="5" t="s">
        <v>137</v>
      </c>
      <c r="AR11" s="676"/>
      <c r="AS11" s="677"/>
      <c r="AT11" s="677"/>
      <c r="AU11" s="678"/>
      <c r="AW11" s="329" t="s">
        <v>1290</v>
      </c>
      <c r="AX11" s="329" t="s">
        <v>1291</v>
      </c>
      <c r="AY11" s="72">
        <f>IF(AND(UNNH0030_IF_MODE=2,UNNH0030_H_SAKI_URIAGE_NO&lt;&gt;""),1,2)</f>
        <v>2</v>
      </c>
      <c r="AZ11" s="329" t="s">
        <v>1293</v>
      </c>
      <c r="BF11" s="9">
        <f ca="1">1+ROW()-ROW(INDIRECT(UNNH0030_B_LIST_START))</f>
        <v>-11</v>
      </c>
      <c r="BG11" s="9">
        <v>3</v>
      </c>
      <c r="BH11" s="9">
        <f>ROUNDDOWN(BN11*UNNH0030_H_TAX_RATE,0)</f>
        <v>0</v>
      </c>
      <c r="BI11" s="242" t="s">
        <v>926</v>
      </c>
      <c r="BJ11" s="491" t="s">
        <v>927</v>
      </c>
      <c r="BK11" s="270"/>
      <c r="BL11" s="242"/>
      <c r="BM11" s="270"/>
      <c r="BN11" s="281"/>
      <c r="BO11" s="358"/>
      <c r="BP11" s="270"/>
      <c r="BQ11" s="270"/>
      <c r="BR11" s="282"/>
      <c r="BS11" s="361"/>
      <c r="BT11" s="242"/>
      <c r="BU11" s="269"/>
      <c r="BV11" s="242"/>
      <c r="BW11" s="9"/>
      <c r="BX11" s="9"/>
      <c r="BY11" s="9"/>
      <c r="CE11" s="57"/>
      <c r="CF11" s="259" t="s">
        <v>254</v>
      </c>
      <c r="CG11" s="57"/>
      <c r="CH11" s="57"/>
      <c r="CI11" s="57"/>
      <c r="CJ11" s="57"/>
      <c r="CK11" s="694" t="s">
        <v>928</v>
      </c>
      <c r="CL11" s="694"/>
      <c r="CM11" s="57"/>
      <c r="CN11" s="57"/>
      <c r="CP11" s="57"/>
      <c r="FM11" s="162" t="s">
        <v>929</v>
      </c>
      <c r="FN11" s="162" t="s">
        <v>930</v>
      </c>
      <c r="FO11" s="72" t="str">
        <f>"UNNH0030_IF!"&amp;
ADDRESS(ROW(UNNH0030_IF_MULTI_SELECT_TENKAI_START),COLUMN(UNNH0030_IF_MULTI_SELECT_LIST_KINGAKU))
&amp;":"&amp;ADDRESS(ROW(UNNH0030_IF_MULTI_SELECT_TENKAI_START)+UNNH0030_IF_MULTI_SELECT_TENKAI_KENSU-1,COLUMN(UNNH0030_IF_MULTI_SELECT_LIST_KINGAKU))</f>
        <v>UNNH0030_IF!$GA$4:$GA$3</v>
      </c>
    </row>
    <row r="12" spans="1:194" ht="16.5">
      <c r="A12" s="57"/>
      <c r="B12" s="57" t="s">
        <v>909</v>
      </c>
      <c r="C12" s="57" t="s">
        <v>910</v>
      </c>
      <c r="D12" s="220">
        <v>0</v>
      </c>
      <c r="E12" s="57" t="s">
        <v>911</v>
      </c>
      <c r="AF12" s="329"/>
      <c r="AL12" s="673"/>
      <c r="AM12" s="674"/>
      <c r="AN12" s="674"/>
      <c r="AO12" s="675"/>
      <c r="AP12" s="183"/>
      <c r="AQ12" s="5"/>
      <c r="AR12" s="679"/>
      <c r="AS12" s="680"/>
      <c r="AT12" s="680"/>
      <c r="AU12" s="681"/>
      <c r="CE12" s="57"/>
      <c r="CF12" s="162" t="s">
        <v>255</v>
      </c>
      <c r="CG12" s="57" t="s">
        <v>931</v>
      </c>
      <c r="CH12" s="220" t="str">
        <f>"UNNH0030_IF!"&amp;ADDRESS(ROW(UNNH0030_IF_SAVE_COPY_START),COLUMN(UNNH0030_IF_SAVE_COPY_START))&amp;":"&amp;ADDRESS(ROW(UNNH0030_IF_SAVE_COPY_START)+IF(UNNH0030_IF_SAVE_KENSU=0,0,UNNH0030_IF_SAVE_KENSU-1),COLUMN(UNNH0030_IF_SAVE_COPY_START)+COLUMNS(UNNH0030_IF_SAVE_COPY_MOTO)-1)</f>
        <v>UNNH0030_IF!$CR$6:$FI$6</v>
      </c>
      <c r="CI12" s="57"/>
      <c r="CJ12" s="57"/>
      <c r="CK12" s="237" t="s">
        <v>907</v>
      </c>
      <c r="CL12" s="237" t="s">
        <v>813</v>
      </c>
      <c r="CM12" s="57"/>
      <c r="CN12" s="57"/>
      <c r="CP12" s="57"/>
      <c r="FM12" s="162" t="s">
        <v>932</v>
      </c>
      <c r="FN12" s="162" t="s">
        <v>933</v>
      </c>
      <c r="FO12" s="72" t="str">
        <f>"UNNH0030_IF!"&amp;
ADDRESS(ROW(UNNH0030_IF_MULTI_SELECT_TENKAI_START),COLUMN(UNNH0030_IF_MULTI_SELECT_LIST_SOSU))
&amp;":"&amp;ADDRESS(ROW(UNNH0030_IF_MULTI_SELECT_TENKAI_START)+UNNH0030_IF_MULTI_SELECT_TENKAI_KENSU-1,COLUMN(UNNH0030_IF_MULTI_SELECT_LIST_SOSU))</f>
        <v>UNNH0030_IF!$GH$4:$GH$3</v>
      </c>
    </row>
    <row r="13" spans="1:194" ht="16.5">
      <c r="A13" s="57"/>
      <c r="B13" s="57" t="s">
        <v>918</v>
      </c>
      <c r="C13" s="57" t="s">
        <v>919</v>
      </c>
      <c r="D13" s="220">
        <v>0</v>
      </c>
      <c r="E13" s="57" t="s">
        <v>710</v>
      </c>
      <c r="F13" s="57" t="s">
        <v>711</v>
      </c>
      <c r="AL13" s="5"/>
      <c r="AM13" s="183"/>
      <c r="AN13" s="183"/>
      <c r="AO13" s="183"/>
      <c r="AP13" s="183"/>
      <c r="AQ13" s="183"/>
      <c r="AR13" s="183"/>
      <c r="AS13" s="183"/>
      <c r="AT13" s="183"/>
      <c r="AU13" s="183"/>
      <c r="AW13" s="329" t="s">
        <v>1581</v>
      </c>
      <c r="AX13" s="329" t="s">
        <v>1582</v>
      </c>
      <c r="AY13" s="72">
        <f ca="1">IF(AND(UNNH0030_IF_MODE&lt;&gt;0,OR(UNNH0030_H_JURI_NO_CNT&gt;=1,UNNH0030_H_DEMPYO_KBN_CD=5)),1,2)</f>
        <v>2</v>
      </c>
      <c r="AZ13" s="329" t="s">
        <v>1588</v>
      </c>
      <c r="CE13" s="57"/>
      <c r="CF13" s="162" t="s">
        <v>256</v>
      </c>
      <c r="CG13" s="57" t="s">
        <v>936</v>
      </c>
      <c r="CH13" s="220">
        <f>IF(UNNH0030_B_GYO_COUNT&lt;=0,1,UNNH0030_B_GYO_COUNT)</f>
        <v>1</v>
      </c>
      <c r="CI13" s="57"/>
      <c r="CJ13" s="57"/>
      <c r="CK13" s="284" t="s">
        <v>937</v>
      </c>
      <c r="CL13" s="7" t="str">
        <f>ADDRESS(ROW(UNNH0030_IF_SAVE_CHECK_START),COLUMN(UNNH0030_IF_SAVE_CHECK_START))</f>
        <v>$EN$6</v>
      </c>
      <c r="CM13" s="57"/>
      <c r="CN13" s="57"/>
      <c r="CP13" s="57"/>
      <c r="FM13" s="162" t="s">
        <v>938</v>
      </c>
      <c r="FN13" s="162" t="s">
        <v>939</v>
      </c>
      <c r="FO13" s="72" t="str">
        <f>"UNNH0030_IF!"&amp;
ADDRESS(ROW(UNNH0030_IF_MULTI_SELECT_TENKAI_START),COLUMN(UNNH0030_IF_MULTI_SELECT_LIST_ARARI_AREA))
&amp;":"&amp;ADDRESS(ROW(UNNH0030_IF_MULTI_SELECT_TENKAI_START)+UNNH0030_IF_MULTI_SELECT_TENKAI_KENSU-1,COLUMN(UNNH0030_IF_MULTI_SELECT_LIST_ARARI_AREA)+COLUMNS(UNNH0030_IF_MULTI_SELECT_LIST_ARARI_AREA)-1)</f>
        <v>UNNH0030_IF!$GJ$4:$GL$3</v>
      </c>
    </row>
    <row r="14" spans="1:194" ht="16.5">
      <c r="B14" s="57" t="s">
        <v>1252</v>
      </c>
      <c r="C14" s="57" t="s">
        <v>1251</v>
      </c>
      <c r="D14" s="72"/>
      <c r="AL14" s="682"/>
      <c r="AM14" s="683"/>
      <c r="AN14" s="684"/>
      <c r="AO14" s="247"/>
      <c r="AP14" s="183"/>
      <c r="AQ14" s="183"/>
      <c r="AR14" s="183"/>
      <c r="AS14" s="183"/>
      <c r="AT14" s="5" t="s">
        <v>118</v>
      </c>
      <c r="AU14" s="183"/>
      <c r="CE14" s="57"/>
      <c r="CF14" s="57"/>
      <c r="CG14" s="57"/>
      <c r="CH14" s="57"/>
      <c r="CI14" s="57"/>
      <c r="CJ14" s="57"/>
      <c r="CK14" s="284" t="s">
        <v>941</v>
      </c>
      <c r="CL14" s="284">
        <v>5</v>
      </c>
      <c r="CM14" s="57"/>
      <c r="CN14" s="57"/>
      <c r="CP14" s="57"/>
      <c r="FM14" s="329" t="s">
        <v>1434</v>
      </c>
      <c r="FN14" s="329" t="s">
        <v>1435</v>
      </c>
      <c r="FO14" s="72" t="str">
        <f>"UNNH0030_IF!"&amp;
ADDRESS(ROW(UNNH0030_IF_MULTI_SELECT_TENKAI_START),COLUMN(UNNH0030_IF_MULTI_SELECT_LIST_TAX))
&amp;":"&amp;ADDRESS(ROW(UNNH0030_IF_MULTI_SELECT_TENKAI_START)+UNNH0030_IF_MULTI_SELECT_TENKAI_KENSU-1,COLUMN(UNNH0030_IF_MULTI_SELECT_LIST_TAX))</f>
        <v>UNNH0030_IF!$FU$4:$FU$3</v>
      </c>
    </row>
    <row r="15" spans="1:194" ht="16.5">
      <c r="AL15" s="688"/>
      <c r="AM15" s="689"/>
      <c r="AN15" s="183"/>
      <c r="AO15" s="183"/>
      <c r="AP15" s="183"/>
      <c r="AQ15" s="183"/>
      <c r="AR15" s="183"/>
      <c r="AS15" s="5" t="s">
        <v>57</v>
      </c>
      <c r="AT15" s="685"/>
      <c r="AU15" s="686"/>
      <c r="CE15" s="57"/>
      <c r="CF15" s="57"/>
      <c r="CG15" s="57"/>
      <c r="CH15" s="57"/>
      <c r="CI15" s="57"/>
      <c r="CJ15" s="57"/>
      <c r="CK15" s="284" t="s">
        <v>943</v>
      </c>
      <c r="CL15" s="284">
        <f>UNNH0030_IF_SAVE_KENSU</f>
        <v>1</v>
      </c>
      <c r="CM15" s="57"/>
      <c r="CN15" s="57"/>
      <c r="CP15" s="57"/>
    </row>
    <row r="16" spans="1:194" ht="16.5">
      <c r="A16" s="162" t="s">
        <v>1314</v>
      </c>
      <c r="H16" s="329"/>
      <c r="I16" s="329"/>
      <c r="AL16" s="248"/>
      <c r="AM16" s="183"/>
      <c r="AN16" s="5"/>
      <c r="AO16" s="183"/>
      <c r="AP16" s="183"/>
      <c r="AQ16" s="183"/>
      <c r="AR16" s="183"/>
      <c r="AS16" s="5" t="s">
        <v>59</v>
      </c>
      <c r="AT16" s="685"/>
      <c r="AU16" s="686"/>
      <c r="BD16" s="162" t="s">
        <v>946</v>
      </c>
      <c r="BE16" s="162" t="s">
        <v>726</v>
      </c>
      <c r="BF16" s="162" t="s">
        <v>947</v>
      </c>
      <c r="CE16" s="57"/>
      <c r="CJ16" s="57"/>
      <c r="CK16" s="284" t="s">
        <v>948</v>
      </c>
      <c r="CL16" s="284" t="s">
        <v>949</v>
      </c>
      <c r="CM16" s="57"/>
      <c r="CN16" s="57"/>
      <c r="CO16" s="57"/>
      <c r="CP16" s="57"/>
    </row>
    <row r="17" spans="1:171" ht="16.5">
      <c r="B17" s="57" t="s">
        <v>1316</v>
      </c>
      <c r="C17" s="57" t="s">
        <v>1315</v>
      </c>
      <c r="D17" s="72">
        <f>IF(AND(UNNH0030_IF_MODE=1,UNNH0030_H_DOJI_FLG=TRUE),1,2)</f>
        <v>2</v>
      </c>
      <c r="E17" s="162" t="s">
        <v>1317</v>
      </c>
      <c r="H17" s="329"/>
      <c r="I17" s="329"/>
      <c r="AL17" s="687"/>
      <c r="AM17" s="687"/>
      <c r="AN17" s="687"/>
      <c r="AO17" s="687"/>
      <c r="AP17" s="687"/>
      <c r="AQ17" s="687"/>
      <c r="AR17" s="687"/>
      <c r="AS17" s="183"/>
      <c r="AT17" s="183"/>
      <c r="AU17" s="183"/>
      <c r="BF17" s="9">
        <f ca="1">1+ROW()-ROW(INDIRECT(UNNH0030_B_LIST_START))</f>
        <v>-5</v>
      </c>
      <c r="BG17" s="9">
        <v>1</v>
      </c>
      <c r="BH17" s="9">
        <f>ROUNDDOWN(BN17*UNNH0030_H_TAX_RATE,0)</f>
        <v>0</v>
      </c>
      <c r="BI17" s="240"/>
      <c r="BJ17" s="492"/>
      <c r="BK17" s="268"/>
      <c r="BL17" s="357"/>
      <c r="BM17" s="268"/>
      <c r="BN17" s="269">
        <f>IF(UNNH0030_H_SEIKYUSAKI_HASU=1,ROUNDDOWN(IF(BK17=0,1,BK17)*BM17,0),
IF(UNNH0030_H_SEIKYUSAKI_HASU=2,ROUNDUP(IF(BK17=0,1,BK17)*BM17,0),
ROUND(IF(BK17=0,1,BK17)*BM17,0)))</f>
        <v>0</v>
      </c>
      <c r="BO17" s="247"/>
      <c r="BP17" s="269"/>
      <c r="BQ17" s="359"/>
      <c r="BR17" s="269"/>
      <c r="BS17" s="359"/>
      <c r="BT17" s="357"/>
      <c r="BU17" s="269">
        <f>IF(BK17=0,1,BK17)*BR17</f>
        <v>0</v>
      </c>
      <c r="BV17" s="357"/>
      <c r="BW17" s="270">
        <f>ROUND(BQ17*IF(BK17=0,1,BK17),0)</f>
        <v>0</v>
      </c>
      <c r="BX17" s="271">
        <f>IF(ISERROR(BY17/BN17)=TRUE,0,
IF(BN17&lt;0,0,
IF(BN17&lt;BW17,BY17/BW17,
BY17/BN17)))</f>
        <v>0</v>
      </c>
      <c r="BY17" s="269">
        <f>IF(BW17=0,0,BN17-BW17)</f>
        <v>0</v>
      </c>
      <c r="CE17" s="57"/>
      <c r="CJ17" s="57"/>
      <c r="CK17" s="284" t="s">
        <v>952</v>
      </c>
      <c r="CL17" s="284"/>
      <c r="CM17" s="57"/>
      <c r="CN17" s="57"/>
      <c r="CO17" s="57"/>
      <c r="CP17" s="57"/>
      <c r="FM17" s="162" t="s">
        <v>944</v>
      </c>
      <c r="FN17" s="162" t="s">
        <v>945</v>
      </c>
      <c r="FO17" s="72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&amp;":"&amp;ADDRESS(ROW(UNNH0030_IF_MULTI_SELECT_TENKAI_START)+UNNH0030_IF_MULTI_SELECT_TENKAI_KENSU-1,COLUMN(UNNH0030_IF_MULTI_SELECT_LIST_GYO)+COLUMNS(UNNH0030_IF_COPY_B_MEISAI_SHINKI)-1)</f>
        <v>UNNH0030_IF!$FS$4:$GL$3</v>
      </c>
    </row>
    <row r="18" spans="1:171" ht="16.5">
      <c r="A18" s="329"/>
      <c r="B18" s="57" t="s">
        <v>1334</v>
      </c>
      <c r="C18" s="57" t="s">
        <v>1335</v>
      </c>
      <c r="D18" s="72">
        <f>IF(OR(UNNH0030_H_URIAGE_DATE="",UNNH0030_H_SEIKYUSAKI_CD=""),2,1)</f>
        <v>2</v>
      </c>
      <c r="E18" s="329" t="s">
        <v>1336</v>
      </c>
      <c r="F18" s="329"/>
      <c r="G18" s="329"/>
      <c r="H18" s="329"/>
      <c r="I18" s="329"/>
      <c r="J18" s="329"/>
      <c r="AL18" s="687"/>
      <c r="AM18" s="687"/>
      <c r="AN18" s="687"/>
      <c r="AO18" s="687"/>
      <c r="AP18" s="687"/>
      <c r="AQ18" s="687"/>
      <c r="AR18" s="687"/>
      <c r="AS18" s="5" t="s">
        <v>82</v>
      </c>
      <c r="AT18" s="656"/>
      <c r="AU18" s="657"/>
      <c r="CE18" s="57"/>
      <c r="CJ18" s="57"/>
      <c r="CK18" s="284" t="s">
        <v>953</v>
      </c>
      <c r="CL18" s="284" t="str">
        <f>COLUMN(UNNH0030_IF_SAVE_SHOHIN_MEI)&amp;","&amp;COLUMN(UNNH0030_IF_SAVE_URIAGE_SURYO_TANI)</f>
        <v>145,147</v>
      </c>
      <c r="CM18" s="57"/>
      <c r="CN18" s="57"/>
      <c r="CO18" s="57"/>
      <c r="CP18" s="57"/>
    </row>
    <row r="19" spans="1:171" ht="16.5">
      <c r="A19" s="329"/>
      <c r="B19" s="329"/>
      <c r="C19" s="329"/>
      <c r="D19" s="329"/>
      <c r="E19" s="329"/>
      <c r="F19" s="329"/>
      <c r="G19" s="329"/>
      <c r="H19" s="329"/>
      <c r="I19" s="329"/>
      <c r="J19" s="329"/>
      <c r="AL19" s="10" t="s">
        <v>12</v>
      </c>
      <c r="AM19" s="10" t="s">
        <v>6</v>
      </c>
      <c r="AN19" s="10" t="s">
        <v>13</v>
      </c>
      <c r="AO19" s="10" t="s">
        <v>14</v>
      </c>
      <c r="AP19" s="10" t="s">
        <v>15</v>
      </c>
      <c r="AQ19" s="10" t="s">
        <v>61</v>
      </c>
      <c r="AR19" s="10" t="s">
        <v>62</v>
      </c>
      <c r="AS19" s="183"/>
      <c r="AT19" s="658"/>
      <c r="AU19" s="659"/>
      <c r="BE19" s="162" t="s">
        <v>896</v>
      </c>
      <c r="BF19" s="162" t="s">
        <v>954</v>
      </c>
      <c r="CE19" s="57"/>
      <c r="CJ19" s="57"/>
      <c r="CK19" s="284" t="s">
        <v>955</v>
      </c>
      <c r="CL19" s="284" t="str">
        <f ca="1">func_文字列連結(OFFSET(UNNH0030_IF_SAVE_JOGAI_GYO,1,0,UNNH0030_IF_SAVE_KENSU),",")</f>
        <v/>
      </c>
      <c r="CM19" s="57"/>
      <c r="CN19" s="57"/>
      <c r="CO19" s="57"/>
      <c r="CP19" s="57"/>
    </row>
    <row r="20" spans="1:171" ht="16.5">
      <c r="A20" s="329"/>
      <c r="B20" s="329"/>
      <c r="C20" s="329"/>
      <c r="D20" s="329"/>
      <c r="E20" s="329"/>
      <c r="F20" s="329"/>
      <c r="G20" s="329"/>
      <c r="H20" s="329"/>
      <c r="I20" s="329"/>
      <c r="J20" s="329"/>
      <c r="AL20" s="249">
        <f>UNNH0030_H_TAX_RATE</f>
        <v>0</v>
      </c>
      <c r="AM20" s="250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N20" s="250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O20" s="251">
        <f>IF(UNNH0030_B_GYO_COUNT=0,0,UNNH0030_H_NUKI_TOTAL+UNNH0030_H_TAX)</f>
        <v>0</v>
      </c>
      <c r="AP20" s="251">
        <f ca="1">IF(UNNH0030_B_GYO_COUNT=0,0,ROUND(SUM(OFFSET(UNNH0030_B_GENKA_KINGAKU,1,0,UNNH0030_B_GYO_COUNT)),0))</f>
        <v>0</v>
      </c>
      <c r="AQ20" s="251">
        <f>IF(UNNH0030_B_GYO_COUNT=0,0,UNNH0030_H_NUKI_TOTAL-UNNH0030_H_GENKA_TOTAL)</f>
        <v>0</v>
      </c>
      <c r="AR20" s="252">
        <f>IF(UNNH0030_B_GYO_COUNT=0,0,IF(ISERROR(UNNH0030_H_ARARIEKI/UNNH0030_H_NUKI_TOTAL)=TRUE,0,UNNH0030_H_ARARIEKI/UNNH0030_H_NUKI_TOTAL))</f>
        <v>0</v>
      </c>
      <c r="AS20" s="183"/>
      <c r="AT20" s="660"/>
      <c r="AU20" s="661"/>
      <c r="BF20" s="9">
        <f ca="1">1+ROW()-ROW(INDIRECT(UNNH0030_B_LIST_START))</f>
        <v>-2</v>
      </c>
      <c r="BG20" s="9">
        <v>2</v>
      </c>
      <c r="BH20" s="9"/>
      <c r="BI20" s="242" t="s">
        <v>68</v>
      </c>
      <c r="BJ20" s="475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8"/>
      <c r="CE20" s="57"/>
      <c r="CK20" s="4" t="s">
        <v>959</v>
      </c>
      <c r="CL20" s="26"/>
    </row>
    <row r="21" spans="1:171" ht="16.5">
      <c r="A21" s="329"/>
      <c r="B21" s="329"/>
      <c r="C21" s="329"/>
      <c r="D21" s="329"/>
      <c r="E21" s="329"/>
      <c r="F21" s="329"/>
      <c r="G21" s="329"/>
      <c r="H21" s="329"/>
      <c r="I21" s="329"/>
      <c r="J21" s="329"/>
      <c r="CE21" s="57"/>
      <c r="CJ21" s="57"/>
      <c r="CK21" s="285" t="s">
        <v>963</v>
      </c>
      <c r="CL21" s="286"/>
      <c r="CM21" s="57"/>
      <c r="CN21" s="57"/>
      <c r="CO21" s="57"/>
      <c r="CP21" s="57"/>
    </row>
    <row r="22" spans="1:171" ht="16.5">
      <c r="A22" s="329"/>
      <c r="B22" s="329"/>
      <c r="C22" s="329"/>
      <c r="D22" s="329"/>
      <c r="E22" s="329"/>
      <c r="F22" s="329"/>
      <c r="G22" s="329"/>
      <c r="H22" s="329"/>
      <c r="I22" s="329"/>
      <c r="J22" s="329"/>
      <c r="AK22" s="162" t="s">
        <v>946</v>
      </c>
      <c r="AL22" s="352"/>
      <c r="AM22" s="183"/>
      <c r="AN22" s="15" t="s">
        <v>113</v>
      </c>
      <c r="AO22" s="240"/>
      <c r="AP22" s="183"/>
      <c r="AQ22" s="5" t="s">
        <v>124</v>
      </c>
      <c r="AR22" s="241"/>
      <c r="AS22" s="183"/>
      <c r="AT22" s="15" t="s">
        <v>1456</v>
      </c>
      <c r="AU22" s="240"/>
      <c r="BE22" s="162" t="s">
        <v>920</v>
      </c>
      <c r="BF22" s="162" t="s">
        <v>968</v>
      </c>
      <c r="CE22" s="57"/>
      <c r="CF22" s="57"/>
      <c r="CG22" s="57"/>
      <c r="CH22" s="57"/>
      <c r="CI22" s="57"/>
      <c r="CJ22" s="57"/>
      <c r="CK22" s="285" t="s">
        <v>969</v>
      </c>
      <c r="CL22" s="286"/>
      <c r="CM22" s="57"/>
      <c r="CN22" s="57"/>
      <c r="CO22" s="57"/>
      <c r="CP22" s="57"/>
    </row>
    <row r="23" spans="1:171" ht="16.5">
      <c r="A23" s="329"/>
      <c r="B23" s="329"/>
      <c r="C23" s="329"/>
      <c r="D23" s="329"/>
      <c r="E23" s="329"/>
      <c r="F23" s="329"/>
      <c r="G23" s="329"/>
      <c r="H23" s="329"/>
      <c r="I23" s="329"/>
      <c r="J23" s="329"/>
      <c r="AK23" s="162" t="s">
        <v>970</v>
      </c>
      <c r="AL23" s="11"/>
      <c r="AM23" s="183"/>
      <c r="AN23" s="15" t="s">
        <v>121</v>
      </c>
      <c r="AO23" s="240"/>
      <c r="AP23" s="183"/>
      <c r="AQ23" s="5" t="s">
        <v>125</v>
      </c>
      <c r="AR23" s="241"/>
      <c r="AS23" s="183"/>
      <c r="AT23" s="15" t="s">
        <v>1653</v>
      </c>
      <c r="AU23" s="528"/>
      <c r="BF23" s="9">
        <f ca="1">1+ROW()-ROW(INDIRECT(UNNH0030_B_LIST_START))</f>
        <v>1</v>
      </c>
      <c r="BG23" s="9">
        <v>3</v>
      </c>
      <c r="BH23" s="9">
        <f>ROUNDDOWN(BN23*UNNH0030_H_TAX_RATE,0)</f>
        <v>0</v>
      </c>
      <c r="BI23" s="242" t="s">
        <v>971</v>
      </c>
      <c r="BJ23" s="491" t="s">
        <v>927</v>
      </c>
      <c r="BK23" s="270"/>
      <c r="BL23" s="242"/>
      <c r="BM23" s="270"/>
      <c r="BN23" s="281"/>
      <c r="BO23" s="358"/>
      <c r="BP23" s="270"/>
      <c r="BQ23" s="270"/>
      <c r="BR23" s="282"/>
      <c r="BS23" s="361"/>
      <c r="BT23" s="242"/>
      <c r="BU23" s="269"/>
      <c r="BV23" s="242"/>
      <c r="BW23" s="9"/>
      <c r="BX23" s="9"/>
      <c r="BY23" s="9"/>
      <c r="CE23" s="57"/>
      <c r="CF23" s="57"/>
      <c r="CG23" s="57"/>
      <c r="CH23" s="57"/>
      <c r="CI23" s="57"/>
      <c r="CJ23" s="57"/>
      <c r="CK23" s="4" t="s">
        <v>972</v>
      </c>
      <c r="CL23" s="26"/>
      <c r="CM23" s="57"/>
      <c r="CN23" s="57"/>
      <c r="CO23" s="57"/>
      <c r="CP23" s="57"/>
    </row>
    <row r="24" spans="1:171" ht="16.5">
      <c r="A24" s="329"/>
      <c r="B24" s="329"/>
      <c r="C24" s="329"/>
      <c r="D24" s="329"/>
      <c r="E24" s="329"/>
      <c r="F24" s="329"/>
      <c r="G24" s="329"/>
      <c r="H24" s="329"/>
      <c r="I24" s="329"/>
      <c r="J24" s="329"/>
      <c r="AL24" s="242"/>
      <c r="AM24" s="183"/>
      <c r="AN24" s="5" t="s">
        <v>53</v>
      </c>
      <c r="AO24" s="662"/>
      <c r="AP24" s="663"/>
      <c r="AQ24" s="20" t="s">
        <v>136</v>
      </c>
      <c r="AR24" s="243"/>
      <c r="AS24" s="183"/>
      <c r="AT24" s="15" t="s">
        <v>1536</v>
      </c>
      <c r="AU24" s="241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</row>
    <row r="25" spans="1:171" ht="16.5">
      <c r="A25" s="329"/>
      <c r="B25" s="329"/>
      <c r="C25" s="329"/>
      <c r="D25" s="329"/>
      <c r="E25" s="329"/>
      <c r="F25" s="329"/>
      <c r="G25" s="329"/>
      <c r="H25" s="329"/>
      <c r="I25" s="329"/>
      <c r="J25" s="329"/>
      <c r="AL25" s="183"/>
      <c r="AM25" s="183"/>
      <c r="AN25" s="183"/>
      <c r="AO25" s="183"/>
      <c r="AP25" s="183"/>
      <c r="AQ25" s="183"/>
      <c r="AR25" s="183"/>
      <c r="AS25" s="183"/>
      <c r="AT25" s="5" t="s">
        <v>54</v>
      </c>
      <c r="AU25" s="183"/>
      <c r="CE25" s="57"/>
      <c r="CF25" s="57"/>
      <c r="CG25" s="57"/>
      <c r="CH25" s="57"/>
      <c r="CI25" s="57"/>
      <c r="CJ25" s="57"/>
      <c r="CK25" s="165" t="s">
        <v>973</v>
      </c>
      <c r="CN25" s="57"/>
      <c r="CO25" s="57"/>
      <c r="CP25" s="57"/>
    </row>
    <row r="26" spans="1:171" ht="16.5">
      <c r="A26" s="329"/>
      <c r="B26" s="329"/>
      <c r="C26" s="329"/>
      <c r="D26" s="329"/>
      <c r="E26" s="329"/>
      <c r="F26" s="329"/>
      <c r="G26" s="329"/>
      <c r="H26" s="329"/>
      <c r="I26" s="329"/>
      <c r="J26" s="329"/>
      <c r="AL26" s="245"/>
      <c r="AM26" s="664" t="str">
        <f>IF(UNNH0030_H_SEIKYUSAKI_CD="","",UNNH0030_H_SEIKYUSAKI_MEI)</f>
        <v/>
      </c>
      <c r="AN26" s="665"/>
      <c r="AO26" s="666"/>
      <c r="AP26" s="183"/>
      <c r="AQ26" s="15" t="s">
        <v>1417</v>
      </c>
      <c r="AR26" s="429"/>
      <c r="AS26" s="183"/>
      <c r="AT26" s="15" t="s">
        <v>98</v>
      </c>
      <c r="AU26" s="478"/>
      <c r="CE26" s="57"/>
      <c r="CF26" s="57"/>
      <c r="CG26" s="57"/>
      <c r="CH26" s="57"/>
      <c r="CI26" s="57"/>
      <c r="CJ26" s="57"/>
      <c r="CK26" s="57" t="s">
        <v>974</v>
      </c>
      <c r="CL26" s="57" t="s">
        <v>975</v>
      </c>
      <c r="CM26" s="72">
        <f>IF(ISBLANK(UNNH0030_IF_SAVE_CHECK_RESULT)=TRUE,2,1)</f>
        <v>2</v>
      </c>
      <c r="CN26" s="162" t="s">
        <v>261</v>
      </c>
      <c r="CP26" s="57"/>
    </row>
    <row r="27" spans="1:171" ht="16.5">
      <c r="A27" s="329"/>
      <c r="B27" s="329"/>
      <c r="C27" s="329"/>
      <c r="D27" s="329"/>
      <c r="E27" s="329"/>
      <c r="F27" s="329"/>
      <c r="G27" s="329"/>
      <c r="H27" s="329"/>
      <c r="I27" s="329"/>
      <c r="J27" s="329"/>
      <c r="AL27" s="667"/>
      <c r="AM27" s="668"/>
      <c r="AN27" s="668"/>
      <c r="AO27" s="669"/>
      <c r="AP27" s="183"/>
      <c r="AQ27" s="15" t="s">
        <v>1410</v>
      </c>
      <c r="AR27" s="690" t="str">
        <f>IFERROR(IF(UNNH0030_H_BUNSEKI_HOHO="","",INDEX(UNNH0030_IF_SET_KANJO_KAMOKU,MATCH(UNNH0030_H_BUNSEKI_HOHO,UNNH0030_IF_SET_KANJO_KAMOKU2,0),2)),"")</f>
        <v/>
      </c>
      <c r="AS27" s="690"/>
      <c r="AT27" s="15" t="s">
        <v>133</v>
      </c>
      <c r="AU27" s="478"/>
      <c r="CE27" s="57"/>
      <c r="CF27" s="57"/>
      <c r="CG27" s="57"/>
      <c r="CH27" s="57"/>
      <c r="CI27" s="57"/>
      <c r="CJ27" s="57"/>
      <c r="CK27" s="162" t="s">
        <v>976</v>
      </c>
      <c r="CL27" s="57" t="s">
        <v>977</v>
      </c>
      <c r="CM27" s="72" t="str">
        <f>"以下の項目が入力されていません。"&amp;
IF(UNNH0030_IF_SAVE_CHECK_RESULT&gt;=1,"
行番号："&amp;UNNH0030_IF_SAVE_CHECK_RESULT-ROW(UNNH0030_IF_SAVE_CHECK_START)+1,"")&amp;
"
項目名："&amp;UNNH0030_IF_SAVE_CHECK_ERROR_KOMOKU</f>
        <v>以下の項目が入力されていません。
項目名：</v>
      </c>
      <c r="CN27" s="57"/>
      <c r="CO27" s="57"/>
      <c r="CP27" s="57"/>
    </row>
    <row r="28" spans="1:171" ht="16.5">
      <c r="A28" s="329"/>
      <c r="B28" s="329"/>
      <c r="C28" s="329"/>
      <c r="D28" s="329"/>
      <c r="E28" s="329"/>
      <c r="F28" s="329"/>
      <c r="G28" s="329"/>
      <c r="H28" s="329"/>
      <c r="I28" s="329"/>
      <c r="J28" s="329"/>
      <c r="AL28" s="670"/>
      <c r="AM28" s="671"/>
      <c r="AN28" s="671"/>
      <c r="AO28" s="672"/>
      <c r="AP28" s="183"/>
      <c r="AQ28" s="15" t="s">
        <v>1659</v>
      </c>
      <c r="AR28" s="531"/>
      <c r="AS28" s="691" t="str">
        <f>IFERROR(IF(UNNH0030_H_BUNSEKI_HOHO="","",INDEX(UNNH_BUNSEKI_HOHO_IF_LIST,MATCH(UNNH0030_H_BUNSEKI_HOHO,UNNH_BUNSEKI_HOHO_IF_LIST2,0),2)),"")</f>
        <v/>
      </c>
      <c r="AT28" s="692"/>
      <c r="AU28" s="693"/>
      <c r="BD28" s="162" t="s">
        <v>979</v>
      </c>
      <c r="BE28" s="162" t="s">
        <v>726</v>
      </c>
      <c r="BF28" s="162" t="s">
        <v>980</v>
      </c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</row>
    <row r="29" spans="1:171" ht="16.5">
      <c r="A29" s="329"/>
      <c r="B29" s="329"/>
      <c r="C29" s="329"/>
      <c r="D29" s="329"/>
      <c r="E29" s="329"/>
      <c r="F29" s="329"/>
      <c r="G29" s="329"/>
      <c r="H29" s="329"/>
      <c r="I29" s="329"/>
      <c r="J29" s="329"/>
      <c r="AL29" s="670"/>
      <c r="AM29" s="671"/>
      <c r="AN29" s="671"/>
      <c r="AO29" s="672"/>
      <c r="AP29" s="183"/>
      <c r="AQ29" s="5" t="s">
        <v>137</v>
      </c>
      <c r="AR29" s="676"/>
      <c r="AS29" s="677"/>
      <c r="AT29" s="677"/>
      <c r="AU29" s="678"/>
      <c r="BF29" s="287">
        <f ca="1">1+ROW()-ROW(INDIRECT(UNNH0030_B_LIST_START))</f>
        <v>7</v>
      </c>
      <c r="BG29" s="287">
        <v>1</v>
      </c>
      <c r="BH29" s="9">
        <f>ROUNDDOWN(BN29*UNNH0030_H_TAX_RATE,0)</f>
        <v>0</v>
      </c>
      <c r="BI29" s="288"/>
      <c r="BJ29" s="489"/>
      <c r="BK29" s="282"/>
      <c r="BL29" s="279"/>
      <c r="BM29" s="282"/>
      <c r="BN29" s="282">
        <f>IF(UNNH0030_H_SEIKYUSAKI_HASU=1,ROUNDDOWN(IF(BK29=0,1,BK29)*BM29,0),
IF(UNNH0030_H_SEIKYUSAKI_HASU=2,ROUNDUP(IF(BK29=0,1,BK29)*BM29,0),
ROUND(IF(BK29=0,1,BK29)*BM29,0)))</f>
        <v>0</v>
      </c>
      <c r="BO29" s="294"/>
      <c r="BP29" s="282"/>
      <c r="BQ29" s="360"/>
      <c r="BR29" s="282"/>
      <c r="BS29" s="461"/>
      <c r="BT29" s="279"/>
      <c r="BU29" s="269">
        <f>IF(BK29=0,1,BK29)*BR29</f>
        <v>0</v>
      </c>
      <c r="BV29" s="279"/>
      <c r="BW29" s="270">
        <f>ROUND(BQ29*IF(BK29=0,1,BK29),0)</f>
        <v>0</v>
      </c>
      <c r="BX29" s="271">
        <f>IF(ISERROR(BY29/BN29)=TRUE,0,
IF(BN29&lt;0,0,
IF(BN29&lt;BW29,BY29/BW29,
BY29/BN29)))</f>
        <v>0</v>
      </c>
      <c r="BY29" s="269">
        <f>IF(BW29=0,0,BN29-BW29)</f>
        <v>0</v>
      </c>
      <c r="CF29" s="57"/>
      <c r="CG29" s="57"/>
      <c r="CK29" s="57"/>
      <c r="CL29" s="57" t="s">
        <v>985</v>
      </c>
      <c r="CM29" s="57" t="s">
        <v>986</v>
      </c>
    </row>
    <row r="30" spans="1:171" ht="16.5">
      <c r="A30" s="329"/>
      <c r="B30" s="329"/>
      <c r="C30" s="329"/>
      <c r="D30" s="329"/>
      <c r="E30" s="329"/>
      <c r="F30" s="329"/>
      <c r="G30" s="329"/>
      <c r="H30" s="329"/>
      <c r="I30" s="329"/>
      <c r="J30" s="329"/>
      <c r="AL30" s="673"/>
      <c r="AM30" s="674"/>
      <c r="AN30" s="674"/>
      <c r="AO30" s="675"/>
      <c r="AP30" s="183"/>
      <c r="AQ30" s="5"/>
      <c r="AR30" s="679"/>
      <c r="AS30" s="680"/>
      <c r="AT30" s="680"/>
      <c r="AU30" s="681"/>
      <c r="CF30" s="57"/>
      <c r="CG30" s="57"/>
      <c r="CK30" s="162" t="s">
        <v>992</v>
      </c>
      <c r="CL30" s="72"/>
      <c r="CM30" s="220"/>
    </row>
    <row r="31" spans="1:171" ht="16.5">
      <c r="A31" s="329"/>
      <c r="B31" s="329"/>
      <c r="C31" s="329"/>
      <c r="D31" s="329"/>
      <c r="E31" s="329"/>
      <c r="F31" s="329"/>
      <c r="G31" s="329"/>
      <c r="H31" s="329"/>
      <c r="I31" s="329"/>
      <c r="J31" s="329"/>
      <c r="AL31" s="5"/>
      <c r="AM31" s="183"/>
      <c r="AN31" s="183"/>
      <c r="AO31" s="183"/>
      <c r="AP31" s="183"/>
      <c r="AQ31" s="183"/>
      <c r="AR31" s="183"/>
      <c r="AS31" s="183"/>
      <c r="AT31" s="183"/>
      <c r="AU31" s="183"/>
      <c r="BE31" s="162" t="s">
        <v>896</v>
      </c>
      <c r="BF31" s="162" t="s">
        <v>995</v>
      </c>
    </row>
    <row r="32" spans="1:171" ht="16.5">
      <c r="H32" s="329"/>
      <c r="I32" s="329"/>
      <c r="AL32" s="682"/>
      <c r="AM32" s="683"/>
      <c r="AN32" s="684"/>
      <c r="AO32" s="247"/>
      <c r="AP32" s="183"/>
      <c r="AQ32" s="183"/>
      <c r="AR32" s="183"/>
      <c r="AS32" s="183"/>
      <c r="AT32" s="5" t="s">
        <v>118</v>
      </c>
      <c r="AU32" s="183"/>
      <c r="BF32" s="287">
        <f ca="1">1+ROW()-ROW(INDIRECT(UNNH0030_B_LIST_START))</f>
        <v>10</v>
      </c>
      <c r="BG32" s="287">
        <v>2</v>
      </c>
      <c r="BH32" s="9"/>
      <c r="BI32" s="279" t="s">
        <v>997</v>
      </c>
      <c r="BJ32" s="476"/>
      <c r="BK32" s="289"/>
      <c r="BL32" s="289"/>
      <c r="BM32" s="289"/>
      <c r="BN32" s="289"/>
      <c r="BO32" s="289"/>
      <c r="BP32" s="289"/>
      <c r="BQ32" s="289"/>
      <c r="BR32" s="289"/>
      <c r="BS32" s="289"/>
      <c r="BT32" s="289"/>
      <c r="BU32" s="289"/>
      <c r="BV32" s="289"/>
      <c r="BW32" s="289"/>
      <c r="BX32" s="289"/>
      <c r="BY32" s="290"/>
    </row>
    <row r="33" spans="1:87" ht="16.5">
      <c r="A33" s="259" t="s">
        <v>1271</v>
      </c>
      <c r="B33" s="329"/>
      <c r="C33" s="329"/>
      <c r="D33" s="329"/>
      <c r="E33" s="329"/>
      <c r="F33" s="329"/>
      <c r="G33" s="329"/>
      <c r="H33" s="329"/>
      <c r="I33" s="329"/>
      <c r="AL33" s="688"/>
      <c r="AM33" s="689"/>
      <c r="AN33" s="183"/>
      <c r="AO33" s="183"/>
      <c r="AP33" s="183"/>
      <c r="AQ33" s="183"/>
      <c r="AR33" s="183"/>
      <c r="AS33" s="5" t="s">
        <v>57</v>
      </c>
      <c r="AT33" s="685"/>
      <c r="AU33" s="686"/>
      <c r="CF33" s="165" t="s">
        <v>257</v>
      </c>
      <c r="CH33" s="57"/>
      <c r="CI33" s="57"/>
    </row>
    <row r="34" spans="1:87" ht="16.5">
      <c r="A34" s="329"/>
      <c r="B34" s="57" t="s">
        <v>1269</v>
      </c>
      <c r="C34" s="57" t="s">
        <v>1270</v>
      </c>
      <c r="D34" s="72"/>
      <c r="F34" s="329"/>
      <c r="G34" s="329"/>
      <c r="H34" s="329"/>
      <c r="I34" s="329"/>
      <c r="AL34" s="248"/>
      <c r="AM34" s="183"/>
      <c r="AN34" s="5"/>
      <c r="AO34" s="183"/>
      <c r="AP34" s="183"/>
      <c r="AQ34" s="183"/>
      <c r="AR34" s="183"/>
      <c r="AS34" s="5" t="s">
        <v>59</v>
      </c>
      <c r="AT34" s="685"/>
      <c r="AU34" s="686"/>
      <c r="BE34" s="162" t="s">
        <v>920</v>
      </c>
      <c r="BF34" s="162" t="s">
        <v>1002</v>
      </c>
      <c r="CF34" s="57" t="s">
        <v>256</v>
      </c>
      <c r="CG34" s="57" t="s">
        <v>1259</v>
      </c>
      <c r="CH34" s="72"/>
    </row>
    <row r="35" spans="1:87" ht="16.5">
      <c r="A35" s="329"/>
      <c r="B35" s="57" t="s">
        <v>1272</v>
      </c>
      <c r="C35" s="57" t="s">
        <v>1273</v>
      </c>
      <c r="D35" s="72" t="str">
        <f>"結合を解除します。
よろしいですか？
対象売上No.："&amp;UNNH0030_IF_MOTO_URIAGE_NO</f>
        <v>結合を解除します。
よろしいですか？
対象売上No.：</v>
      </c>
      <c r="E35" s="329"/>
      <c r="F35" s="329"/>
      <c r="G35" s="329"/>
      <c r="H35" s="329"/>
      <c r="I35" s="329"/>
      <c r="AL35" s="687"/>
      <c r="AM35" s="687"/>
      <c r="AN35" s="687"/>
      <c r="AO35" s="687"/>
      <c r="AP35" s="687"/>
      <c r="AQ35" s="687"/>
      <c r="AR35" s="687"/>
      <c r="AS35" s="183"/>
      <c r="AT35" s="183"/>
      <c r="AU35" s="183"/>
      <c r="BF35" s="287">
        <f ca="1">1+ROW()-ROW(INDIRECT(UNNH0030_B_LIST_START))</f>
        <v>13</v>
      </c>
      <c r="BG35" s="287">
        <v>3</v>
      </c>
      <c r="BH35" s="9">
        <f>ROUNDDOWN(BN35*UNNH0030_H_TAX_RATE,0)</f>
        <v>0</v>
      </c>
      <c r="BI35" s="279" t="s">
        <v>1007</v>
      </c>
      <c r="BJ35" s="490" t="s">
        <v>927</v>
      </c>
      <c r="BK35" s="282"/>
      <c r="BL35" s="279"/>
      <c r="BM35" s="282"/>
      <c r="BN35" s="282"/>
      <c r="BO35" s="354"/>
      <c r="BP35" s="282"/>
      <c r="BQ35" s="282"/>
      <c r="BR35" s="282"/>
      <c r="BS35" s="360"/>
      <c r="BT35" s="279"/>
      <c r="BU35" s="282"/>
      <c r="BV35" s="279"/>
      <c r="BW35" s="287"/>
      <c r="BX35" s="287"/>
      <c r="BY35" s="287"/>
      <c r="CG35" s="57"/>
    </row>
    <row r="36" spans="1:87" ht="16.5">
      <c r="A36" s="329"/>
      <c r="B36" s="57" t="s">
        <v>1275</v>
      </c>
      <c r="C36" s="57" t="s">
        <v>1276</v>
      </c>
      <c r="D36" s="72">
        <f>IF(UNNH0030_H_SAKI_URIAGE_NO="",2,1)</f>
        <v>2</v>
      </c>
      <c r="E36" s="329"/>
      <c r="F36" s="329"/>
      <c r="G36" s="329"/>
      <c r="H36" s="329"/>
      <c r="I36" s="329"/>
      <c r="AL36" s="687"/>
      <c r="AM36" s="687"/>
      <c r="AN36" s="687"/>
      <c r="AO36" s="687"/>
      <c r="AP36" s="687"/>
      <c r="AQ36" s="687"/>
      <c r="AR36" s="687"/>
      <c r="AS36" s="5" t="s">
        <v>1537</v>
      </c>
      <c r="AT36" s="656"/>
      <c r="AU36" s="657"/>
      <c r="CF36" s="57" t="s">
        <v>1003</v>
      </c>
      <c r="CG36" s="57" t="s">
        <v>1004</v>
      </c>
      <c r="CH36" s="220"/>
      <c r="CI36" s="57"/>
    </row>
    <row r="37" spans="1:87" ht="16.5">
      <c r="A37" s="329"/>
      <c r="B37" s="57" t="s">
        <v>1279</v>
      </c>
      <c r="C37" s="57" t="s">
        <v>1274</v>
      </c>
      <c r="D37" s="72" t="str">
        <f>"本伝票は商魂連動済みの為、解除する場合、
商魂の伝票が重複する可能性があります。
本当によろしいですか？
対象売上No.："&amp;UNNH0030_IF_MOTO_URIAGE_NO</f>
        <v>本伝票は商魂連動済みの為、解除する場合、
商魂の伝票が重複する可能性があります。
本当によろしいですか？
対象売上No.：</v>
      </c>
      <c r="F37" s="329"/>
      <c r="G37" s="329"/>
      <c r="H37" s="329"/>
      <c r="I37" s="329"/>
      <c r="AL37" s="10" t="s">
        <v>12</v>
      </c>
      <c r="AM37" s="10" t="s">
        <v>6</v>
      </c>
      <c r="AN37" s="10" t="s">
        <v>13</v>
      </c>
      <c r="AO37" s="10" t="s">
        <v>14</v>
      </c>
      <c r="AP37" s="10" t="s">
        <v>15</v>
      </c>
      <c r="AQ37" s="10" t="s">
        <v>61</v>
      </c>
      <c r="AR37" s="10" t="s">
        <v>62</v>
      </c>
      <c r="AS37" s="183"/>
      <c r="AT37" s="658"/>
      <c r="AU37" s="659"/>
      <c r="CF37" s="162" t="s">
        <v>258</v>
      </c>
      <c r="CG37" s="57" t="s">
        <v>1008</v>
      </c>
      <c r="CH37" s="220"/>
      <c r="CI37" s="57"/>
    </row>
    <row r="38" spans="1:87" ht="16.5">
      <c r="A38" s="329"/>
      <c r="B38" s="57" t="s">
        <v>1277</v>
      </c>
      <c r="C38" s="57" t="s">
        <v>1278</v>
      </c>
      <c r="D38" s="72" t="str">
        <f>"結合を解除しました。
対象売上No.："&amp;UNNH0030_IF_MOTO_URIAGE_NO&amp;
IF(UNNH0030_IF_MERGE_RELEASE_WARNING_CHECK=2,"","
※商魂側で伝票重複が発生しないよう、ご注意ください。")</f>
        <v>結合を解除しました。
対象売上No.：</v>
      </c>
      <c r="F38" s="329"/>
      <c r="G38" s="329"/>
      <c r="H38" s="329"/>
      <c r="I38" s="329"/>
      <c r="AL38" s="249">
        <f>UNNH0030_H_TAX_RATE</f>
        <v>0</v>
      </c>
      <c r="AM38" s="250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N38" s="250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O38" s="251">
        <f>IF(UNNH0030_B_GYO_COUNT=0,0,UNNH0030_H_NUKI_TOTAL+UNNH0030_H_TAX)</f>
        <v>0</v>
      </c>
      <c r="AP38" s="251">
        <f ca="1">IF(UNNH0030_B_GYO_COUNT=0,0,ROUND(SUM(OFFSET(UNNH0030_B_GENKA_KINGAKU,1,0,UNNH0030_B_GYO_COUNT)),0))</f>
        <v>0</v>
      </c>
      <c r="AQ38" s="251">
        <f>IF(UNNH0030_B_GYO_COUNT=0,0,UNNH0030_H_NUKI_TOTAL-UNNH0030_H_GENKA_TOTAL)</f>
        <v>0</v>
      </c>
      <c r="AR38" s="252">
        <f>IF(UNNH0030_B_GYO_COUNT=0,0,IF(ISERROR(UNNH0030_H_ARARIEKI/UNNH0030_H_NUKI_TOTAL)=TRUE,0,UNNH0030_H_ARARIEKI/UNNH0030_H_NUKI_TOTAL))</f>
        <v>0</v>
      </c>
      <c r="AS38" s="183"/>
      <c r="AT38" s="660"/>
      <c r="AU38" s="661"/>
      <c r="CF38" s="162" t="s">
        <v>259</v>
      </c>
      <c r="CG38" s="57" t="s">
        <v>1010</v>
      </c>
      <c r="CH38" s="220"/>
      <c r="CI38" s="57"/>
    </row>
    <row r="39" spans="1:87">
      <c r="A39" s="329"/>
      <c r="B39" s="329"/>
      <c r="C39" s="329"/>
      <c r="D39" s="329"/>
      <c r="E39" s="329"/>
      <c r="F39" s="329"/>
      <c r="G39" s="329"/>
      <c r="H39" s="329"/>
      <c r="I39" s="329"/>
      <c r="K39" s="291"/>
      <c r="BE39" s="162" t="s">
        <v>1020</v>
      </c>
      <c r="BF39" s="162" t="s">
        <v>1021</v>
      </c>
      <c r="CF39" s="162" t="s">
        <v>260</v>
      </c>
      <c r="CG39" s="57" t="s">
        <v>1013</v>
      </c>
      <c r="CH39" s="220">
        <f>IF(UNNH0030_IF_SAVE_RESULT_CD=0,2,1)</f>
        <v>2</v>
      </c>
      <c r="CI39" s="162" t="s">
        <v>261</v>
      </c>
    </row>
    <row r="40" spans="1:87" ht="16.5">
      <c r="A40" s="329"/>
      <c r="B40" s="329"/>
      <c r="C40" s="329"/>
      <c r="D40" s="329"/>
      <c r="E40" s="329"/>
      <c r="F40" s="329"/>
      <c r="G40" s="329"/>
      <c r="H40" s="329"/>
      <c r="I40" s="329"/>
      <c r="K40" s="291"/>
      <c r="AK40" s="162" t="s">
        <v>979</v>
      </c>
      <c r="AL40" s="353"/>
      <c r="AM40" s="418"/>
      <c r="AN40" s="422" t="s">
        <v>113</v>
      </c>
      <c r="AO40" s="420"/>
      <c r="AP40" s="418"/>
      <c r="AQ40" s="419" t="s">
        <v>124</v>
      </c>
      <c r="AR40" s="421"/>
      <c r="AS40" s="418"/>
      <c r="AT40" s="422" t="s">
        <v>1456</v>
      </c>
      <c r="AU40" s="420"/>
      <c r="BD40" s="162" t="s">
        <v>1024</v>
      </c>
      <c r="BF40" s="292"/>
      <c r="BG40" s="292"/>
      <c r="BH40" s="292"/>
      <c r="BI40" s="292"/>
      <c r="BJ40" s="488"/>
      <c r="BK40" s="292"/>
      <c r="BL40" s="292"/>
      <c r="BM40" s="292"/>
      <c r="BN40" s="292"/>
      <c r="BO40" s="292"/>
      <c r="BP40" s="292"/>
      <c r="BQ40" s="292"/>
      <c r="BR40" s="292"/>
      <c r="BS40" s="292"/>
      <c r="BT40" s="292"/>
      <c r="BU40" s="292"/>
      <c r="BV40" s="292"/>
      <c r="BW40" s="292"/>
      <c r="BX40" s="292"/>
      <c r="BY40" s="292"/>
      <c r="CF40" s="162" t="s">
        <v>262</v>
      </c>
      <c r="CG40" s="57" t="s">
        <v>1016</v>
      </c>
      <c r="CH40" s="220" t="s">
        <v>1017</v>
      </c>
      <c r="CI40" s="57"/>
    </row>
    <row r="41" spans="1:87" ht="16.5">
      <c r="A41" s="165" t="s">
        <v>241</v>
      </c>
      <c r="B41" s="57"/>
      <c r="C41" s="283"/>
      <c r="AK41" s="162" t="s">
        <v>1028</v>
      </c>
      <c r="AL41" s="420"/>
      <c r="AM41" s="418"/>
      <c r="AN41" s="422" t="s">
        <v>121</v>
      </c>
      <c r="AO41" s="420"/>
      <c r="AP41" s="418"/>
      <c r="AQ41" s="419" t="s">
        <v>125</v>
      </c>
      <c r="AR41" s="421"/>
      <c r="AS41" s="418"/>
      <c r="AT41" s="422" t="s">
        <v>1653</v>
      </c>
      <c r="AU41" s="423"/>
    </row>
    <row r="42" spans="1:87" ht="16.5">
      <c r="B42" s="162" t="s">
        <v>242</v>
      </c>
      <c r="C42" s="57" t="s">
        <v>934</v>
      </c>
      <c r="D42" s="74" t="s">
        <v>935</v>
      </c>
      <c r="AL42" s="351"/>
      <c r="AM42" s="418"/>
      <c r="AN42" s="419" t="s">
        <v>53</v>
      </c>
      <c r="AO42" s="695"/>
      <c r="AP42" s="696"/>
      <c r="AQ42" s="424" t="s">
        <v>136</v>
      </c>
      <c r="AR42" s="421"/>
      <c r="AS42" s="418"/>
      <c r="AT42" s="422" t="s">
        <v>92</v>
      </c>
      <c r="AU42" s="421"/>
    </row>
    <row r="43" spans="1:87" ht="16.5">
      <c r="B43" s="162" t="s">
        <v>243</v>
      </c>
      <c r="C43" s="57" t="s">
        <v>940</v>
      </c>
      <c r="D43" s="74">
        <v>16</v>
      </c>
      <c r="AL43" s="418"/>
      <c r="AM43" s="418"/>
      <c r="AN43" s="418"/>
      <c r="AO43" s="418"/>
      <c r="AP43" s="418"/>
      <c r="AQ43" s="418"/>
      <c r="AR43" s="418"/>
      <c r="AS43" s="418"/>
      <c r="AT43" s="419" t="s">
        <v>54</v>
      </c>
      <c r="AU43" s="418"/>
      <c r="CF43" s="329" t="s">
        <v>1260</v>
      </c>
    </row>
    <row r="44" spans="1:87" ht="16.5">
      <c r="B44" s="162" t="s">
        <v>244</v>
      </c>
      <c r="C44" s="57" t="s">
        <v>942</v>
      </c>
      <c r="D44" s="74">
        <v>11</v>
      </c>
      <c r="AL44" s="351"/>
      <c r="AM44" s="697" t="str">
        <f>IF(UNNH0030_H_SEIKYUSAKI_CD="","",UNNH0030_H_SEIKYUSAKI_MEI)</f>
        <v/>
      </c>
      <c r="AN44" s="698"/>
      <c r="AO44" s="699"/>
      <c r="AP44" s="418"/>
      <c r="AQ44" s="422" t="s">
        <v>1417</v>
      </c>
      <c r="AR44" s="430"/>
      <c r="AS44" s="418"/>
      <c r="AT44" s="422" t="s">
        <v>98</v>
      </c>
      <c r="AU44" s="420"/>
      <c r="CF44" s="162" t="s">
        <v>1261</v>
      </c>
      <c r="CG44" s="162" t="s">
        <v>1337</v>
      </c>
      <c r="CH44" s="72"/>
    </row>
    <row r="45" spans="1:87" ht="16.5">
      <c r="C45" s="57"/>
      <c r="AL45" s="700"/>
      <c r="AM45" s="701"/>
      <c r="AN45" s="701"/>
      <c r="AO45" s="702"/>
      <c r="AP45" s="418"/>
      <c r="AQ45" s="422" t="s">
        <v>1410</v>
      </c>
      <c r="AR45" s="715" t="str">
        <f>IFERROR(IF(UNNH0030_H_BUNSEKI_HOHO="","",INDEX(UNNH0030_IF_SET_KANJO_KAMOKU,MATCH(UNNH0030_H_BUNSEKI_HOHO,UNNH0030_IF_SET_KANJO_KAMOKU2,0),2)),"")</f>
        <v/>
      </c>
      <c r="AS45" s="715"/>
      <c r="AT45" s="422" t="s">
        <v>133</v>
      </c>
      <c r="AU45" s="420"/>
      <c r="CF45" s="162" t="s">
        <v>1262</v>
      </c>
      <c r="CG45" s="329" t="s">
        <v>1338</v>
      </c>
      <c r="CH45" s="72" t="str">
        <f ca="1">IF(UNNH0030_IF_SAVE_BAT_LOOP_CNT=0,"",
OFFSET(UNNH0030_IF_SAVE_RESULT_URIAGE_NO,0,UNNH0030_IF_SAVE_BAT_LOOP_CNT-1))</f>
        <v/>
      </c>
    </row>
    <row r="46" spans="1:87" ht="16.5">
      <c r="B46" s="162" t="s">
        <v>245</v>
      </c>
      <c r="C46" s="57" t="s">
        <v>950</v>
      </c>
      <c r="D46" s="74" t="s">
        <v>951</v>
      </c>
      <c r="AL46" s="703"/>
      <c r="AM46" s="704"/>
      <c r="AN46" s="704"/>
      <c r="AO46" s="705"/>
      <c r="AP46" s="418"/>
      <c r="AQ46" s="422" t="s">
        <v>1659</v>
      </c>
      <c r="AR46" s="533"/>
      <c r="AS46" s="691" t="str">
        <f>IFERROR(IF(UNNH0030_H_BUNSEKI_HOHO="","",INDEX(UNNH_BUNSEKI_HOHO_IF_LIST,MATCH(UNNH0030_H_BUNSEKI_HOHO,UNNH_BUNSEKI_HOHO_IF_LIST2,0),2)),"")</f>
        <v/>
      </c>
      <c r="AT46" s="692"/>
      <c r="AU46" s="693"/>
    </row>
    <row r="47" spans="1:87" ht="16.5">
      <c r="AL47" s="703"/>
      <c r="AM47" s="704"/>
      <c r="AN47" s="704"/>
      <c r="AO47" s="705"/>
      <c r="AP47" s="418"/>
      <c r="AQ47" s="419" t="s">
        <v>137</v>
      </c>
      <c r="AR47" s="709"/>
      <c r="AS47" s="710"/>
      <c r="AT47" s="710"/>
      <c r="AU47" s="711"/>
    </row>
    <row r="48" spans="1:87" ht="16.5">
      <c r="A48" s="165" t="s">
        <v>956</v>
      </c>
      <c r="C48" s="57"/>
      <c r="D48" s="283"/>
      <c r="E48" s="165" t="s">
        <v>957</v>
      </c>
      <c r="F48" s="165" t="s">
        <v>8</v>
      </c>
      <c r="G48" s="165" t="s">
        <v>958</v>
      </c>
      <c r="AL48" s="706"/>
      <c r="AM48" s="707"/>
      <c r="AN48" s="707"/>
      <c r="AO48" s="708"/>
      <c r="AP48" s="418"/>
      <c r="AQ48" s="419"/>
      <c r="AR48" s="712"/>
      <c r="AS48" s="713"/>
      <c r="AT48" s="713"/>
      <c r="AU48" s="714"/>
    </row>
    <row r="49" spans="1:47" ht="16.5">
      <c r="B49" s="162" t="s">
        <v>960</v>
      </c>
      <c r="C49" s="57" t="s">
        <v>961</v>
      </c>
      <c r="D49" s="74" t="str">
        <f>IF(UNNH0030_IF_MODE=1,"-",IF(UNNH0030_IF_MODE=2,"修正キャンセル","修正"))</f>
        <v>修正</v>
      </c>
      <c r="E49" s="57" t="s">
        <v>962</v>
      </c>
      <c r="F49" s="162" t="s">
        <v>958</v>
      </c>
      <c r="G49" s="162" t="s">
        <v>8</v>
      </c>
      <c r="AL49" s="419"/>
      <c r="AM49" s="418"/>
      <c r="AN49" s="418"/>
      <c r="AO49" s="418"/>
      <c r="AP49" s="418"/>
      <c r="AQ49" s="418"/>
      <c r="AR49" s="418"/>
      <c r="AS49" s="418"/>
      <c r="AT49" s="418"/>
      <c r="AU49" s="418"/>
    </row>
    <row r="50" spans="1:47" ht="16.5">
      <c r="A50" s="57"/>
      <c r="B50" s="57" t="s">
        <v>964</v>
      </c>
      <c r="C50" s="57" t="s">
        <v>965</v>
      </c>
      <c r="D50" s="74" t="str">
        <f>IF(UNNH0030_IF_MODE=1,"新規登録",IF(UNNH0030_IF_MODE=2,"保存","-"))</f>
        <v>-</v>
      </c>
      <c r="E50" s="57" t="s">
        <v>10</v>
      </c>
      <c r="F50" s="57" t="s">
        <v>966</v>
      </c>
      <c r="G50" s="57" t="s">
        <v>967</v>
      </c>
      <c r="AL50" s="722"/>
      <c r="AM50" s="723"/>
      <c r="AN50" s="724"/>
      <c r="AO50" s="487"/>
      <c r="AP50" s="418"/>
      <c r="AQ50" s="418"/>
      <c r="AR50" s="418"/>
      <c r="AS50" s="418"/>
      <c r="AT50" s="419" t="s">
        <v>118</v>
      </c>
      <c r="AU50" s="418"/>
    </row>
    <row r="51" spans="1:47" ht="16.5">
      <c r="A51" s="57"/>
      <c r="B51" s="57" t="s">
        <v>1574</v>
      </c>
      <c r="C51" s="57" t="s">
        <v>1590</v>
      </c>
      <c r="D51" s="74" t="str">
        <f>IF(UNNH0030_IF_MODE=1,"受理No.複数選択",IF(UNNH0030_IF_MODE=2,"受理No.複数選択","受理No.表示"))</f>
        <v>受理No.表示</v>
      </c>
      <c r="E51" s="57" t="s">
        <v>1603</v>
      </c>
      <c r="F51" s="57" t="s">
        <v>1603</v>
      </c>
      <c r="G51" s="57" t="s">
        <v>1602</v>
      </c>
      <c r="H51" s="329"/>
      <c r="I51" s="329"/>
      <c r="AL51" s="728"/>
      <c r="AM51" s="729"/>
      <c r="AN51" s="418"/>
      <c r="AO51" s="418"/>
      <c r="AP51" s="418"/>
      <c r="AQ51" s="418"/>
      <c r="AR51" s="418"/>
      <c r="AS51" s="419" t="s">
        <v>57</v>
      </c>
      <c r="AT51" s="725"/>
      <c r="AU51" s="726"/>
    </row>
    <row r="52" spans="1:47" ht="16.5">
      <c r="A52" s="165"/>
      <c r="B52" s="57"/>
      <c r="C52" s="57"/>
      <c r="D52" s="57"/>
      <c r="E52" s="165"/>
      <c r="F52" s="165"/>
      <c r="G52" s="165"/>
      <c r="AL52" s="457"/>
      <c r="AM52" s="418"/>
      <c r="AN52" s="419"/>
      <c r="AO52" s="418"/>
      <c r="AP52" s="418"/>
      <c r="AQ52" s="418"/>
      <c r="AR52" s="418"/>
      <c r="AS52" s="419" t="s">
        <v>59</v>
      </c>
      <c r="AT52" s="725"/>
      <c r="AU52" s="726"/>
    </row>
    <row r="53" spans="1:47" ht="16.5">
      <c r="A53" s="57"/>
      <c r="G53" s="57"/>
      <c r="AL53" s="727"/>
      <c r="AM53" s="727"/>
      <c r="AN53" s="727"/>
      <c r="AO53" s="727"/>
      <c r="AP53" s="727"/>
      <c r="AQ53" s="727"/>
      <c r="AR53" s="727"/>
      <c r="AS53" s="418"/>
      <c r="AT53" s="418"/>
      <c r="AU53" s="418"/>
    </row>
    <row r="54" spans="1:47" ht="16.5">
      <c r="A54" s="57"/>
      <c r="G54" s="57"/>
      <c r="AL54" s="727"/>
      <c r="AM54" s="727"/>
      <c r="AN54" s="727"/>
      <c r="AO54" s="727"/>
      <c r="AP54" s="727"/>
      <c r="AQ54" s="727"/>
      <c r="AR54" s="727"/>
      <c r="AS54" s="419" t="s">
        <v>82</v>
      </c>
      <c r="AT54" s="716"/>
      <c r="AU54" s="717"/>
    </row>
    <row r="55" spans="1:47" ht="16.5">
      <c r="A55" s="57"/>
      <c r="B55" s="57"/>
      <c r="C55" s="57"/>
      <c r="D55" s="57"/>
      <c r="E55" s="57"/>
      <c r="F55" s="57"/>
      <c r="G55" s="57"/>
      <c r="AL55" s="10" t="s">
        <v>12</v>
      </c>
      <c r="AM55" s="10" t="s">
        <v>6</v>
      </c>
      <c r="AN55" s="10" t="s">
        <v>13</v>
      </c>
      <c r="AO55" s="10" t="s">
        <v>14</v>
      </c>
      <c r="AP55" s="10" t="s">
        <v>15</v>
      </c>
      <c r="AQ55" s="10" t="s">
        <v>61</v>
      </c>
      <c r="AR55" s="10" t="s">
        <v>62</v>
      </c>
      <c r="AS55" s="418"/>
      <c r="AT55" s="718"/>
      <c r="AU55" s="719"/>
    </row>
    <row r="56" spans="1:47" ht="16.5">
      <c r="A56" s="259" t="s">
        <v>978</v>
      </c>
      <c r="B56" s="57"/>
      <c r="C56" s="57"/>
      <c r="D56" s="57"/>
      <c r="E56" s="165" t="s">
        <v>957</v>
      </c>
      <c r="F56" s="165" t="s">
        <v>8</v>
      </c>
      <c r="G56" s="165" t="s">
        <v>958</v>
      </c>
      <c r="H56" s="165" t="s">
        <v>918</v>
      </c>
      <c r="I56" s="165"/>
      <c r="AL56" s="483">
        <f>UNNH0030_H_TAX_RATE</f>
        <v>0</v>
      </c>
      <c r="AM56" s="484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N56" s="484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O56" s="485">
        <f>IF(UNNH0030_B_GYO_COUNT=0,0,UNNH0030_H_NUKI_TOTAL+UNNH0030_H_TAX)</f>
        <v>0</v>
      </c>
      <c r="AP56" s="485">
        <f ca="1">IF(UNNH0030_B_GYO_COUNT=0,0,ROUND(SUM(OFFSET(UNNH0030_B_GENKA_KINGAKU,1,0,UNNH0030_B_GYO_COUNT)),0))</f>
        <v>0</v>
      </c>
      <c r="AQ56" s="485">
        <f>IF(UNNH0030_B_GYO_COUNT=0,0,UNNH0030_H_NUKI_TOTAL-UNNH0030_H_GENKA_TOTAL)</f>
        <v>0</v>
      </c>
      <c r="AR56" s="486">
        <f>IF(UNNH0030_B_GYO_COUNT=0,0,IF(ISERROR(UNNH0030_H_ARARIEKI/UNNH0030_H_NUKI_TOTAL)=TRUE,0,UNNH0030_H_ARARIEKI/UNNH0030_H_NUKI_TOTAL))</f>
        <v>0</v>
      </c>
      <c r="AS56" s="418"/>
      <c r="AT56" s="720"/>
      <c r="AU56" s="721"/>
    </row>
    <row r="57" spans="1:47">
      <c r="A57" s="259"/>
      <c r="B57" s="57" t="s">
        <v>981</v>
      </c>
      <c r="C57" s="57" t="s">
        <v>982</v>
      </c>
      <c r="D57" s="220">
        <f>IF(UNNH0030_IF_JUCHU_MODE=1,2,1)</f>
        <v>1</v>
      </c>
      <c r="E57" s="162" t="s">
        <v>983</v>
      </c>
      <c r="F57" s="162" t="s">
        <v>983</v>
      </c>
      <c r="G57" s="162" t="s">
        <v>983</v>
      </c>
      <c r="H57" s="162" t="s">
        <v>984</v>
      </c>
      <c r="I57" s="165"/>
      <c r="J57" s="291"/>
    </row>
    <row r="58" spans="1:47">
      <c r="A58" s="57"/>
      <c r="B58" s="57" t="s">
        <v>987</v>
      </c>
      <c r="C58" s="57" t="s">
        <v>988</v>
      </c>
      <c r="D58" s="220">
        <f>IF(UNNH0030_IF_MODE=1,2,IF(UNNH0030_IF_MODE=2,2,1))</f>
        <v>1</v>
      </c>
      <c r="E58" s="162" t="s">
        <v>989</v>
      </c>
      <c r="F58" s="162" t="s">
        <v>989</v>
      </c>
      <c r="G58" s="162" t="s">
        <v>990</v>
      </c>
      <c r="H58" s="162" t="s">
        <v>991</v>
      </c>
      <c r="J58" s="291"/>
    </row>
    <row r="59" spans="1:47">
      <c r="A59" s="57"/>
      <c r="B59" s="57" t="s">
        <v>993</v>
      </c>
      <c r="C59" s="57" t="s">
        <v>994</v>
      </c>
      <c r="D59" s="220">
        <f>IF(UNNH0030_IF_MODE=1,2,IF(UNNH0030_IF_MODE=2,2,1))</f>
        <v>1</v>
      </c>
      <c r="E59" s="162" t="s">
        <v>989</v>
      </c>
      <c r="F59" s="162" t="s">
        <v>989</v>
      </c>
      <c r="G59" s="162" t="s">
        <v>990</v>
      </c>
      <c r="H59" s="162" t="s">
        <v>991</v>
      </c>
    </row>
    <row r="60" spans="1:47">
      <c r="A60" s="57"/>
      <c r="B60" s="162" t="s">
        <v>960</v>
      </c>
      <c r="C60" s="57" t="s">
        <v>996</v>
      </c>
      <c r="D60" s="220">
        <f>IF(UNNH0030_IF_MODE=1,2,IF(UNNH0030_IF_MODE=2,1,1))</f>
        <v>1</v>
      </c>
      <c r="E60" s="162" t="s">
        <v>989</v>
      </c>
      <c r="F60" s="162" t="s">
        <v>990</v>
      </c>
      <c r="G60" s="162" t="s">
        <v>990</v>
      </c>
      <c r="H60" s="162" t="s">
        <v>991</v>
      </c>
    </row>
    <row r="61" spans="1:47">
      <c r="A61" s="57"/>
      <c r="B61" s="57" t="s">
        <v>998</v>
      </c>
      <c r="C61" s="57" t="s">
        <v>999</v>
      </c>
      <c r="D61" s="220">
        <f>IF(UNNH0030_IF_MODE=1,2,IF(UNNH0030_IF_MODE=2,1,2))</f>
        <v>2</v>
      </c>
      <c r="E61" s="162" t="s">
        <v>989</v>
      </c>
      <c r="F61" s="162" t="s">
        <v>990</v>
      </c>
      <c r="G61" s="162" t="s">
        <v>989</v>
      </c>
      <c r="H61" s="162" t="s">
        <v>991</v>
      </c>
    </row>
    <row r="62" spans="1:47">
      <c r="A62" s="57"/>
      <c r="B62" s="57" t="s">
        <v>1000</v>
      </c>
      <c r="C62" s="57" t="s">
        <v>1001</v>
      </c>
      <c r="D62" s="220">
        <f>IF(UNNH0030_IF_JUCHU_MODE=1,1,2)</f>
        <v>2</v>
      </c>
      <c r="E62" s="162" t="s">
        <v>989</v>
      </c>
      <c r="F62" s="162" t="s">
        <v>989</v>
      </c>
      <c r="G62" s="162" t="s">
        <v>989</v>
      </c>
      <c r="H62" s="162" t="s">
        <v>990</v>
      </c>
    </row>
    <row r="63" spans="1:47">
      <c r="A63" s="57"/>
      <c r="B63" s="57" t="s">
        <v>1005</v>
      </c>
      <c r="C63" s="57" t="s">
        <v>1006</v>
      </c>
      <c r="D63" s="220">
        <f t="shared" ref="D63:D68" si="0">IF(UNNH0030_IF_MODE=1,1,IF(UNNH0030_IF_MODE=2,1,2))</f>
        <v>2</v>
      </c>
      <c r="E63" s="162" t="s">
        <v>990</v>
      </c>
      <c r="F63" s="162" t="s">
        <v>990</v>
      </c>
      <c r="G63" s="162" t="s">
        <v>989</v>
      </c>
      <c r="H63" s="162" t="s">
        <v>962</v>
      </c>
    </row>
    <row r="64" spans="1:47">
      <c r="A64" s="57"/>
      <c r="B64" s="57" t="s">
        <v>964</v>
      </c>
      <c r="C64" s="57" t="s">
        <v>1009</v>
      </c>
      <c r="D64" s="220">
        <f t="shared" si="0"/>
        <v>2</v>
      </c>
      <c r="E64" s="162" t="s">
        <v>990</v>
      </c>
      <c r="F64" s="162" t="s">
        <v>990</v>
      </c>
      <c r="G64" s="162" t="s">
        <v>989</v>
      </c>
      <c r="H64" s="162" t="s">
        <v>991</v>
      </c>
    </row>
    <row r="65" spans="1:9">
      <c r="A65" s="57"/>
      <c r="B65" s="57" t="s">
        <v>1011</v>
      </c>
      <c r="C65" s="57" t="s">
        <v>1012</v>
      </c>
      <c r="D65" s="220">
        <f t="shared" si="0"/>
        <v>2</v>
      </c>
      <c r="E65" s="162" t="s">
        <v>990</v>
      </c>
      <c r="F65" s="162" t="s">
        <v>990</v>
      </c>
      <c r="G65" s="162" t="s">
        <v>989</v>
      </c>
      <c r="H65" s="162" t="s">
        <v>991</v>
      </c>
    </row>
    <row r="66" spans="1:9">
      <c r="A66" s="57"/>
      <c r="B66" s="57" t="s">
        <v>1014</v>
      </c>
      <c r="C66" s="57" t="s">
        <v>1015</v>
      </c>
      <c r="D66" s="220">
        <f t="shared" si="0"/>
        <v>2</v>
      </c>
      <c r="E66" s="162" t="s">
        <v>990</v>
      </c>
      <c r="F66" s="162" t="s">
        <v>990</v>
      </c>
      <c r="G66" s="162" t="s">
        <v>989</v>
      </c>
      <c r="H66" s="162" t="s">
        <v>962</v>
      </c>
    </row>
    <row r="67" spans="1:9">
      <c r="A67" s="57"/>
      <c r="B67" s="57" t="s">
        <v>1018</v>
      </c>
      <c r="C67" s="57" t="s">
        <v>1019</v>
      </c>
      <c r="D67" s="220">
        <f t="shared" si="0"/>
        <v>2</v>
      </c>
      <c r="E67" s="162" t="s">
        <v>990</v>
      </c>
      <c r="F67" s="162" t="s">
        <v>990</v>
      </c>
      <c r="G67" s="162" t="s">
        <v>989</v>
      </c>
      <c r="H67" s="162" t="s">
        <v>962</v>
      </c>
    </row>
    <row r="68" spans="1:9">
      <c r="A68" s="57"/>
      <c r="B68" s="57" t="s">
        <v>1022</v>
      </c>
      <c r="C68" s="57" t="s">
        <v>1023</v>
      </c>
      <c r="D68" s="220">
        <f t="shared" si="0"/>
        <v>2</v>
      </c>
      <c r="E68" s="162" t="s">
        <v>990</v>
      </c>
      <c r="F68" s="162" t="s">
        <v>990</v>
      </c>
      <c r="G68" s="162" t="s">
        <v>989</v>
      </c>
      <c r="H68" s="162" t="s">
        <v>962</v>
      </c>
    </row>
    <row r="69" spans="1:9">
      <c r="A69" s="57"/>
      <c r="B69" s="57" t="s">
        <v>1025</v>
      </c>
      <c r="C69" s="57" t="s">
        <v>1026</v>
      </c>
      <c r="D69" s="220">
        <f>IF(AND(UNNH0030_IF_JUCHU_MODE=1,UNNH0030_H_PAGE_NO&gt;1),1,2)</f>
        <v>2</v>
      </c>
      <c r="E69" s="162" t="s">
        <v>989</v>
      </c>
      <c r="F69" s="162" t="s">
        <v>989</v>
      </c>
      <c r="G69" s="162" t="s">
        <v>989</v>
      </c>
      <c r="H69" s="291" t="s">
        <v>1027</v>
      </c>
      <c r="I69" s="291"/>
    </row>
    <row r="70" spans="1:9">
      <c r="A70" s="57"/>
      <c r="B70" s="57" t="s">
        <v>1029</v>
      </c>
      <c r="C70" s="57" t="s">
        <v>1030</v>
      </c>
      <c r="D70" s="220">
        <f>IF(AND(UNNH0030_IF_JUCHU_MODE=1,UNNH0030_H_PAGE_NO&lt;UNNH0030_H_PAGE_TOTAL),1,2)</f>
        <v>2</v>
      </c>
      <c r="E70" s="162" t="s">
        <v>989</v>
      </c>
      <c r="F70" s="162" t="s">
        <v>989</v>
      </c>
      <c r="G70" s="162" t="s">
        <v>989</v>
      </c>
      <c r="H70" s="291" t="s">
        <v>1031</v>
      </c>
      <c r="I70" s="291"/>
    </row>
    <row r="71" spans="1:9">
      <c r="A71" s="57"/>
      <c r="B71" s="57" t="s">
        <v>1574</v>
      </c>
      <c r="C71" s="57" t="s">
        <v>1032</v>
      </c>
      <c r="D71" s="220">
        <f ca="1">IF(UNNH0030_H_DEMPYO_KBN_CD=5,2,IF(AND(UNNH0030_IF_MODE=0,UNNH0030_H_JURI_NO_CNT=0),2,1))</f>
        <v>2</v>
      </c>
      <c r="E71" s="329" t="s">
        <v>990</v>
      </c>
      <c r="F71" s="329" t="s">
        <v>990</v>
      </c>
      <c r="G71" s="329" t="s">
        <v>1591</v>
      </c>
      <c r="H71" s="329" t="s">
        <v>962</v>
      </c>
      <c r="I71" s="162" t="s">
        <v>1575</v>
      </c>
    </row>
    <row r="72" spans="1:9">
      <c r="A72" s="57"/>
      <c r="B72" s="57" t="s">
        <v>1033</v>
      </c>
      <c r="C72" s="57" t="s">
        <v>1034</v>
      </c>
      <c r="D72" s="220">
        <f ca="1">IF(UNNH0030_IF_PREVIOUS_ID="UNNH0080",2,IF(AND(UNNH0030_H_DEMPYO_KBN_CD=5,UNNH0030_IF_MODE=0),1,2))</f>
        <v>2</v>
      </c>
      <c r="E72" s="162" t="s">
        <v>989</v>
      </c>
      <c r="F72" s="162" t="s">
        <v>989</v>
      </c>
      <c r="G72" s="162" t="s">
        <v>990</v>
      </c>
      <c r="H72" s="162" t="s">
        <v>962</v>
      </c>
      <c r="I72" s="162" t="s">
        <v>1296</v>
      </c>
    </row>
    <row r="73" spans="1:9">
      <c r="A73" s="57"/>
      <c r="B73" s="57" t="s">
        <v>1035</v>
      </c>
      <c r="C73" s="57" t="s">
        <v>1036</v>
      </c>
      <c r="D73" s="220">
        <f>IF(UNNH0030_IF_PREVIOUS_ID="UNNH0080",2,IF(UNNH0030_IF_MODE=1,2,IF(UNNH0030_IF_MODE=2,2,1)))</f>
        <v>1</v>
      </c>
      <c r="E73" s="162" t="s">
        <v>989</v>
      </c>
      <c r="F73" s="162" t="s">
        <v>989</v>
      </c>
      <c r="G73" s="162" t="s">
        <v>990</v>
      </c>
      <c r="H73" s="162" t="s">
        <v>962</v>
      </c>
      <c r="I73" s="329" t="s">
        <v>1296</v>
      </c>
    </row>
    <row r="74" spans="1:9">
      <c r="A74" s="57"/>
      <c r="B74" s="57" t="s">
        <v>1037</v>
      </c>
      <c r="C74" s="57" t="s">
        <v>1038</v>
      </c>
      <c r="D74" s="220">
        <f>IF(UNNH0030_IF_MODE=1,2,IF(UNNH0030_IF_MODE=2,2,1))</f>
        <v>1</v>
      </c>
      <c r="E74" s="162" t="s">
        <v>989</v>
      </c>
      <c r="F74" s="162" t="s">
        <v>989</v>
      </c>
      <c r="G74" s="162" t="s">
        <v>990</v>
      </c>
      <c r="H74" s="162" t="s">
        <v>962</v>
      </c>
    </row>
    <row r="75" spans="1:9">
      <c r="A75" s="57"/>
      <c r="B75" s="57"/>
      <c r="C75" s="57"/>
    </row>
    <row r="76" spans="1:9">
      <c r="A76" s="57"/>
      <c r="B76" s="57"/>
      <c r="C76" s="57"/>
    </row>
    <row r="77" spans="1:9">
      <c r="A77" s="165" t="s">
        <v>1039</v>
      </c>
    </row>
    <row r="78" spans="1:9">
      <c r="B78" s="162" t="s">
        <v>1040</v>
      </c>
      <c r="C78" s="57" t="s">
        <v>1041</v>
      </c>
      <c r="D78" s="72">
        <f>IF(UNNH0030_IF_ACTIVE_ROW&lt;=ROW(UNNH0030_B_GYO),1,0)</f>
        <v>1</v>
      </c>
      <c r="E78" s="293" t="s">
        <v>1042</v>
      </c>
      <c r="F78" s="293" t="s">
        <v>1043</v>
      </c>
    </row>
    <row r="79" spans="1:9">
      <c r="B79" s="57"/>
    </row>
    <row r="80" spans="1:9">
      <c r="A80" s="165" t="s">
        <v>1044</v>
      </c>
    </row>
    <row r="81" spans="2:4">
      <c r="B81" s="162" t="s">
        <v>1045</v>
      </c>
      <c r="C81" s="57" t="s">
        <v>1046</v>
      </c>
      <c r="D81" s="72" t="str">
        <f ca="1">"売上入力画面_"&amp;UNNH0030_IF_REF_NO&amp;"_"&amp;TEXT(NOW(),"YYYYMMDD")</f>
        <v>売上入力画面_U16-010001_20170926</v>
      </c>
    </row>
  </sheetData>
  <mergeCells count="40">
    <mergeCell ref="AT54:AU56"/>
    <mergeCell ref="AL50:AN50"/>
    <mergeCell ref="AT51:AU51"/>
    <mergeCell ref="AT52:AU52"/>
    <mergeCell ref="AL53:AR53"/>
    <mergeCell ref="AL51:AM51"/>
    <mergeCell ref="AL54:AR54"/>
    <mergeCell ref="AT36:AU38"/>
    <mergeCell ref="AO42:AP42"/>
    <mergeCell ref="AM44:AO44"/>
    <mergeCell ref="AL45:AO48"/>
    <mergeCell ref="AR47:AU48"/>
    <mergeCell ref="AR45:AS45"/>
    <mergeCell ref="AL36:AR36"/>
    <mergeCell ref="AS46:AU46"/>
    <mergeCell ref="AL32:AN32"/>
    <mergeCell ref="AT33:AU33"/>
    <mergeCell ref="AT34:AU34"/>
    <mergeCell ref="AL35:AR35"/>
    <mergeCell ref="AL33:AM33"/>
    <mergeCell ref="AT18:AU20"/>
    <mergeCell ref="AO24:AP24"/>
    <mergeCell ref="AM26:AO26"/>
    <mergeCell ref="AL27:AO30"/>
    <mergeCell ref="AR29:AU30"/>
    <mergeCell ref="AR27:AS27"/>
    <mergeCell ref="AL18:AR18"/>
    <mergeCell ref="AS28:AU28"/>
    <mergeCell ref="AL14:AN14"/>
    <mergeCell ref="AT15:AU15"/>
    <mergeCell ref="AT16:AU16"/>
    <mergeCell ref="AL17:AR17"/>
    <mergeCell ref="AL15:AM15"/>
    <mergeCell ref="CK11:CL11"/>
    <mergeCell ref="AO6:AP6"/>
    <mergeCell ref="AM8:AO8"/>
    <mergeCell ref="AL9:AO12"/>
    <mergeCell ref="AR11:AU12"/>
    <mergeCell ref="AR9:AS9"/>
    <mergeCell ref="AS10:AU10"/>
  </mergeCells>
  <phoneticPr fontId="2"/>
  <conditionalFormatting sqref="BK5">
    <cfRule type="expression" dxfId="282" priority="79">
      <formula>INDIRECT(ADDRESS(ROW(),COLUMN(UNMT0020_B_ROW_KBN)))&lt;&gt;2</formula>
    </cfRule>
  </conditionalFormatting>
  <conditionalFormatting sqref="BK5">
    <cfRule type="expression" dxfId="281" priority="80">
      <formula>INDIRECT(ADDRESS(ROW(),COLUMN()))=TRUNC(INDIRECT(ADDRESS(ROW(),COLUMN())))</formula>
    </cfRule>
  </conditionalFormatting>
  <conditionalFormatting sqref="BM5">
    <cfRule type="expression" dxfId="280" priority="77">
      <formula>INDIRECT(ADDRESS(ROW(),COLUMN(UNMT0020_B_ROW_KBN)))&lt;&gt;2</formula>
    </cfRule>
  </conditionalFormatting>
  <conditionalFormatting sqref="BM5">
    <cfRule type="expression" dxfId="279" priority="78">
      <formula>INDIRECT(ADDRESS(ROW(),COLUMN()))=TRUNC(INDIRECT(ADDRESS(ROW(),COLUMN())))</formula>
    </cfRule>
  </conditionalFormatting>
  <conditionalFormatting sqref="BN5">
    <cfRule type="expression" dxfId="278" priority="75">
      <formula>INDIRECT(ADDRESS(ROW(),COLUMN(UNMT0020_B_ROW_KBN)))&lt;&gt;2</formula>
    </cfRule>
  </conditionalFormatting>
  <conditionalFormatting sqref="BN5">
    <cfRule type="expression" dxfId="277" priority="76">
      <formula>INDIRECT(ADDRESS(ROW(),COLUMN()))=TRUNC(INDIRECT(ADDRESS(ROW(),COLUMN())))</formula>
    </cfRule>
  </conditionalFormatting>
  <conditionalFormatting sqref="BR5">
    <cfRule type="expression" dxfId="276" priority="73">
      <formula>INDIRECT(ADDRESS(ROW(),COLUMN(UNMT0020_B_ROW_KBN)))&lt;&gt;2</formula>
    </cfRule>
  </conditionalFormatting>
  <conditionalFormatting sqref="BR5">
    <cfRule type="expression" dxfId="275" priority="74">
      <formula>INDIRECT(ADDRESS(ROW(),COLUMN()))=TRUNC(INDIRECT(ADDRESS(ROW(),COLUMN())))</formula>
    </cfRule>
  </conditionalFormatting>
  <conditionalFormatting sqref="BP5">
    <cfRule type="expression" dxfId="274" priority="71">
      <formula>INDIRECT(ADDRESS(ROW(),COLUMN(UNMT0020_B_ROW_KBN)))&lt;&gt;2</formula>
    </cfRule>
  </conditionalFormatting>
  <conditionalFormatting sqref="BP5">
    <cfRule type="expression" dxfId="273" priority="72">
      <formula>INDIRECT(ADDRESS(ROW(),COLUMN()))=TRUNC(INDIRECT(ADDRESS(ROW(),COLUMN())))</formula>
    </cfRule>
  </conditionalFormatting>
  <conditionalFormatting sqref="BU5">
    <cfRule type="expression" dxfId="272" priority="69">
      <formula>INDIRECT(ADDRESS(ROW(),COLUMN(UNMT0020_B_ROW_KBN)))&lt;&gt;2</formula>
    </cfRule>
  </conditionalFormatting>
  <conditionalFormatting sqref="BU5">
    <cfRule type="expression" dxfId="271" priority="70">
      <formula>INDIRECT(ADDRESS(ROW(),COLUMN()))=TRUNC(INDIRECT(ADDRESS(ROW(),COLUMN())))</formula>
    </cfRule>
  </conditionalFormatting>
  <conditionalFormatting sqref="BX5:BY5">
    <cfRule type="expression" dxfId="270" priority="65">
      <formula>INDIRECT(ADDRESS(ROW(),COLUMN(UNMT0020_B_ROW_KBN)))&lt;&gt;2</formula>
    </cfRule>
  </conditionalFormatting>
  <conditionalFormatting sqref="BY5">
    <cfRule type="expression" dxfId="269" priority="66">
      <formula>INDIRECT(ADDRESS(ROW(),COLUMN()))=TRUNC(INDIRECT(ADDRESS(ROW(),COLUMN())))</formula>
    </cfRule>
  </conditionalFormatting>
  <conditionalFormatting sqref="BW5">
    <cfRule type="expression" dxfId="268" priority="67">
      <formula>INDIRECT(ADDRESS(ROW(),COLUMN(UNMT0020_B_ROW_KBN)))&lt;&gt;2</formula>
    </cfRule>
  </conditionalFormatting>
  <conditionalFormatting sqref="BW5">
    <cfRule type="expression" dxfId="267" priority="68">
      <formula>INDIRECT(ADDRESS(ROW(),COLUMN()))=TRUNC(INDIRECT(ADDRESS(ROW(),COLUMN())))</formula>
    </cfRule>
  </conditionalFormatting>
  <conditionalFormatting sqref="BU11">
    <cfRule type="expression" dxfId="266" priority="61">
      <formula>INDIRECT(ADDRESS(ROW(),COLUMN(UNMT0020_B_ROW_KBN)))&lt;&gt;2</formula>
    </cfRule>
  </conditionalFormatting>
  <conditionalFormatting sqref="BN11">
    <cfRule type="expression" dxfId="265" priority="63">
      <formula>INDIRECT(ADDRESS(ROW(),COLUMN(UNMT0020_B_ROW_KBN)))&lt;&gt;2</formula>
    </cfRule>
  </conditionalFormatting>
  <conditionalFormatting sqref="BN11">
    <cfRule type="expression" dxfId="264" priority="64">
      <formula>INDIRECT(ADDRESS(ROW(),COLUMN()))=TRUNC(INDIRECT(ADDRESS(ROW(),COLUMN())))</formula>
    </cfRule>
  </conditionalFormatting>
  <conditionalFormatting sqref="BU11">
    <cfRule type="expression" dxfId="263" priority="62">
      <formula>INDIRECT(ADDRESS(ROW(),COLUMN()))=TRUNC(INDIRECT(ADDRESS(ROW(),COLUMN())))</formula>
    </cfRule>
  </conditionalFormatting>
  <conditionalFormatting sqref="BK17">
    <cfRule type="expression" dxfId="262" priority="59">
      <formula>INDIRECT(ADDRESS(ROW(),COLUMN(UNMT0020_B_ROW_KBN)))&lt;&gt;2</formula>
    </cfRule>
  </conditionalFormatting>
  <conditionalFormatting sqref="BK17">
    <cfRule type="expression" dxfId="261" priority="60">
      <formula>INDIRECT(ADDRESS(ROW(),COLUMN()))=TRUNC(INDIRECT(ADDRESS(ROW(),COLUMN())))</formula>
    </cfRule>
  </conditionalFormatting>
  <conditionalFormatting sqref="BM17">
    <cfRule type="expression" dxfId="260" priority="57">
      <formula>INDIRECT(ADDRESS(ROW(),COLUMN(UNMT0020_B_ROW_KBN)))&lt;&gt;2</formula>
    </cfRule>
  </conditionalFormatting>
  <conditionalFormatting sqref="BM17">
    <cfRule type="expression" dxfId="259" priority="58">
      <formula>INDIRECT(ADDRESS(ROW(),COLUMN()))=TRUNC(INDIRECT(ADDRESS(ROW(),COLUMN())))</formula>
    </cfRule>
  </conditionalFormatting>
  <conditionalFormatting sqref="BN17">
    <cfRule type="expression" dxfId="258" priority="55">
      <formula>INDIRECT(ADDRESS(ROW(),COLUMN(UNMT0020_B_ROW_KBN)))&lt;&gt;2</formula>
    </cfRule>
  </conditionalFormatting>
  <conditionalFormatting sqref="BN17">
    <cfRule type="expression" dxfId="257" priority="56">
      <formula>INDIRECT(ADDRESS(ROW(),COLUMN()))=TRUNC(INDIRECT(ADDRESS(ROW(),COLUMN())))</formula>
    </cfRule>
  </conditionalFormatting>
  <conditionalFormatting sqref="BR17">
    <cfRule type="expression" dxfId="256" priority="53">
      <formula>INDIRECT(ADDRESS(ROW(),COLUMN(UNMT0020_B_ROW_KBN)))&lt;&gt;2</formula>
    </cfRule>
  </conditionalFormatting>
  <conditionalFormatting sqref="BR17">
    <cfRule type="expression" dxfId="255" priority="54">
      <formula>INDIRECT(ADDRESS(ROW(),COLUMN()))=TRUNC(INDIRECT(ADDRESS(ROW(),COLUMN())))</formula>
    </cfRule>
  </conditionalFormatting>
  <conditionalFormatting sqref="BP17">
    <cfRule type="expression" dxfId="254" priority="51">
      <formula>INDIRECT(ADDRESS(ROW(),COLUMN(UNMT0020_B_ROW_KBN)))&lt;&gt;2</formula>
    </cfRule>
  </conditionalFormatting>
  <conditionalFormatting sqref="BP17">
    <cfRule type="expression" dxfId="253" priority="52">
      <formula>INDIRECT(ADDRESS(ROW(),COLUMN()))=TRUNC(INDIRECT(ADDRESS(ROW(),COLUMN())))</formula>
    </cfRule>
  </conditionalFormatting>
  <conditionalFormatting sqref="BU23">
    <cfRule type="expression" dxfId="252" priority="41">
      <formula>INDIRECT(ADDRESS(ROW(),COLUMN(UNMT0020_B_ROW_KBN)))&lt;&gt;2</formula>
    </cfRule>
  </conditionalFormatting>
  <conditionalFormatting sqref="BN23">
    <cfRule type="expression" dxfId="251" priority="43">
      <formula>INDIRECT(ADDRESS(ROW(),COLUMN(UNMT0020_B_ROW_KBN)))&lt;&gt;2</formula>
    </cfRule>
  </conditionalFormatting>
  <conditionalFormatting sqref="BN23">
    <cfRule type="expression" dxfId="250" priority="44">
      <formula>INDIRECT(ADDRESS(ROW(),COLUMN()))=TRUNC(INDIRECT(ADDRESS(ROW(),COLUMN())))</formula>
    </cfRule>
  </conditionalFormatting>
  <conditionalFormatting sqref="BU23">
    <cfRule type="expression" dxfId="249" priority="42">
      <formula>INDIRECT(ADDRESS(ROW(),COLUMN()))=TRUNC(INDIRECT(ADDRESS(ROW(),COLUMN())))</formula>
    </cfRule>
  </conditionalFormatting>
  <conditionalFormatting sqref="BK29">
    <cfRule type="expression" dxfId="248" priority="39">
      <formula>INDIRECT(ADDRESS(ROW(),COLUMN(UNMT0020_B_ROW_KBN)))&lt;&gt;2</formula>
    </cfRule>
  </conditionalFormatting>
  <conditionalFormatting sqref="BK29">
    <cfRule type="expression" dxfId="247" priority="40">
      <formula>INDIRECT(ADDRESS(ROW(),COLUMN()))=TRUNC(INDIRECT(ADDRESS(ROW(),COLUMN())))</formula>
    </cfRule>
  </conditionalFormatting>
  <conditionalFormatting sqref="BM29">
    <cfRule type="expression" dxfId="246" priority="37">
      <formula>INDIRECT(ADDRESS(ROW(),COLUMN(UNMT0020_B_ROW_KBN)))&lt;&gt;2</formula>
    </cfRule>
  </conditionalFormatting>
  <conditionalFormatting sqref="BM29">
    <cfRule type="expression" dxfId="245" priority="38">
      <formula>INDIRECT(ADDRESS(ROW(),COLUMN()))=TRUNC(INDIRECT(ADDRESS(ROW(),COLUMN())))</formula>
    </cfRule>
  </conditionalFormatting>
  <conditionalFormatting sqref="BN29">
    <cfRule type="expression" dxfId="244" priority="35">
      <formula>INDIRECT(ADDRESS(ROW(),COLUMN(UNMT0020_B_ROW_KBN)))&lt;&gt;2</formula>
    </cfRule>
  </conditionalFormatting>
  <conditionalFormatting sqref="BN29">
    <cfRule type="expression" dxfId="243" priority="36">
      <formula>INDIRECT(ADDRESS(ROW(),COLUMN()))=TRUNC(INDIRECT(ADDRESS(ROW(),COLUMN())))</formula>
    </cfRule>
  </conditionalFormatting>
  <conditionalFormatting sqref="BR29">
    <cfRule type="expression" dxfId="242" priority="33">
      <formula>INDIRECT(ADDRESS(ROW(),COLUMN(UNMT0020_B_ROW_KBN)))&lt;&gt;2</formula>
    </cfRule>
  </conditionalFormatting>
  <conditionalFormatting sqref="BR29">
    <cfRule type="expression" dxfId="241" priority="34">
      <formula>INDIRECT(ADDRESS(ROW(),COLUMN()))=TRUNC(INDIRECT(ADDRESS(ROW(),COLUMN())))</formula>
    </cfRule>
  </conditionalFormatting>
  <conditionalFormatting sqref="BP29">
    <cfRule type="expression" dxfId="240" priority="31">
      <formula>INDIRECT(ADDRESS(ROW(),COLUMN(UNMT0020_B_ROW_KBN)))&lt;&gt;2</formula>
    </cfRule>
  </conditionalFormatting>
  <conditionalFormatting sqref="BP29">
    <cfRule type="expression" dxfId="239" priority="32">
      <formula>INDIRECT(ADDRESS(ROW(),COLUMN()))=TRUNC(INDIRECT(ADDRESS(ROW(),COLUMN())))</formula>
    </cfRule>
  </conditionalFormatting>
  <conditionalFormatting sqref="BU35">
    <cfRule type="expression" dxfId="238" priority="21">
      <formula>INDIRECT(ADDRESS(ROW(),COLUMN(UNMT0020_B_ROW_KBN)))&lt;&gt;2</formula>
    </cfRule>
  </conditionalFormatting>
  <conditionalFormatting sqref="BN35">
    <cfRule type="expression" dxfId="237" priority="23">
      <formula>INDIRECT(ADDRESS(ROW(),COLUMN(UNMT0020_B_ROW_KBN)))&lt;&gt;2</formula>
    </cfRule>
  </conditionalFormatting>
  <conditionalFormatting sqref="BN35">
    <cfRule type="expression" dxfId="236" priority="24">
      <formula>INDIRECT(ADDRESS(ROW(),COLUMN()))=TRUNC(INDIRECT(ADDRESS(ROW(),COLUMN())))</formula>
    </cfRule>
  </conditionalFormatting>
  <conditionalFormatting sqref="BU35">
    <cfRule type="expression" dxfId="235" priority="22">
      <formula>INDIRECT(ADDRESS(ROW(),COLUMN()))=TRUNC(INDIRECT(ADDRESS(ROW(),COLUMN())))</formula>
    </cfRule>
  </conditionalFormatting>
  <conditionalFormatting sqref="BY17">
    <cfRule type="expression" dxfId="234" priority="13">
      <formula>INDIRECT(ADDRESS(ROW(),COLUMN(UNMT0020_B_ROW_KBN)))&lt;&gt;2</formula>
    </cfRule>
  </conditionalFormatting>
  <conditionalFormatting sqref="BY17">
    <cfRule type="expression" dxfId="233" priority="14">
      <formula>INDIRECT(ADDRESS(ROW(),COLUMN()))=TRUNC(INDIRECT(ADDRESS(ROW(),COLUMN())))</formula>
    </cfRule>
  </conditionalFormatting>
  <conditionalFormatting sqref="BW17">
    <cfRule type="expression" dxfId="232" priority="15">
      <formula>INDIRECT(ADDRESS(ROW(),COLUMN(UNMT0020_B_ROW_KBN)))&lt;&gt;2</formula>
    </cfRule>
  </conditionalFormatting>
  <conditionalFormatting sqref="BW17">
    <cfRule type="expression" dxfId="231" priority="16">
      <formula>INDIRECT(ADDRESS(ROW(),COLUMN()))=TRUNC(INDIRECT(ADDRESS(ROW(),COLUMN())))</formula>
    </cfRule>
  </conditionalFormatting>
  <conditionalFormatting sqref="BY29">
    <cfRule type="expression" dxfId="230" priority="9">
      <formula>INDIRECT(ADDRESS(ROW(),COLUMN(UNMT0020_B_ROW_KBN)))&lt;&gt;2</formula>
    </cfRule>
  </conditionalFormatting>
  <conditionalFormatting sqref="BY29">
    <cfRule type="expression" dxfId="229" priority="10">
      <formula>INDIRECT(ADDRESS(ROW(),COLUMN()))=TRUNC(INDIRECT(ADDRESS(ROW(),COLUMN())))</formula>
    </cfRule>
  </conditionalFormatting>
  <conditionalFormatting sqref="BW29">
    <cfRule type="expression" dxfId="228" priority="11">
      <formula>INDIRECT(ADDRESS(ROW(),COLUMN(UNMT0020_B_ROW_KBN)))&lt;&gt;2</formula>
    </cfRule>
  </conditionalFormatting>
  <conditionalFormatting sqref="BW29">
    <cfRule type="expression" dxfId="227" priority="12">
      <formula>INDIRECT(ADDRESS(ROW(),COLUMN()))=TRUNC(INDIRECT(ADDRESS(ROW(),COLUMN())))</formula>
    </cfRule>
  </conditionalFormatting>
  <conditionalFormatting sqref="BU17">
    <cfRule type="expression" dxfId="226" priority="7">
      <formula>INDIRECT(ADDRESS(ROW(),COLUMN(UNMT0020_B_ROW_KBN)))&lt;&gt;2</formula>
    </cfRule>
  </conditionalFormatting>
  <conditionalFormatting sqref="BU17">
    <cfRule type="expression" dxfId="225" priority="8">
      <formula>INDIRECT(ADDRESS(ROW(),COLUMN()))=TRUNC(INDIRECT(ADDRESS(ROW(),COLUMN())))</formula>
    </cfRule>
  </conditionalFormatting>
  <conditionalFormatting sqref="BU29">
    <cfRule type="expression" dxfId="224" priority="5">
      <formula>INDIRECT(ADDRESS(ROW(),COLUMN(UNMT0020_B_ROW_KBN)))&lt;&gt;2</formula>
    </cfRule>
  </conditionalFormatting>
  <conditionalFormatting sqref="BU29">
    <cfRule type="expression" dxfId="223" priority="6">
      <formula>INDIRECT(ADDRESS(ROW(),COLUMN()))=TRUNC(INDIRECT(ADDRESS(ROW(),COLUMN())))</formula>
    </cfRule>
  </conditionalFormatting>
  <conditionalFormatting sqref="BX17">
    <cfRule type="expression" dxfId="222" priority="2">
      <formula>INDIRECT(ADDRESS(ROW(),COLUMN(UNMT0020_B_ROW_KBN)))&lt;&gt;2</formula>
    </cfRule>
  </conditionalFormatting>
  <conditionalFormatting sqref="BX29">
    <cfRule type="expression" dxfId="221" priority="1">
      <formula>INDIRECT(ADDRESS(ROW(),COLUMN(UNMT0020_B_ROW_KBN)))&lt;&gt;2</formula>
    </cfRule>
  </conditionalFormatting>
  <dataValidations count="19">
    <dataValidation type="custom" allowBlank="1" showInputMessage="1" showErrorMessage="1" sqref="AR29:AU30 AL17:AR18 AL35:AR36 AR47:AU48 AR11:AU12 AL53:AR54">
      <formula1>LENB(AL11)&lt;=100</formula1>
    </dataValidation>
    <dataValidation type="custom" allowBlank="1" showInputMessage="1" showErrorMessage="1" sqref="AL16 AL34 AL52">
      <formula1>AND(LEN(AL16)=LENB(AL16),LEN(AL16)&lt;=8)</formula1>
    </dataValidation>
    <dataValidation type="custom" allowBlank="1" showInputMessage="1" showErrorMessage="1" sqref="AT15:AU16 AT33:AU34 AT51:AU52">
      <formula1>AND(LEN(AT15)=LENB(AT15),LEN(AT15)&lt;=13)</formula1>
    </dataValidation>
    <dataValidation type="custom" allowBlank="1" showInputMessage="1" showErrorMessage="1" sqref="AL15:AM15 AL33:AM33 AL51:AM51">
      <formula1>LENB(AL15)&lt;=40</formula1>
    </dataValidation>
    <dataValidation type="custom" allowBlank="1" showInputMessage="1" showErrorMessage="1" sqref="AT18:AU20 AT36:AU38 AT54:AU56">
      <formula1>LENB(AT18)&lt;=80</formula1>
    </dataValidation>
    <dataValidation type="list" allowBlank="1" showInputMessage="1" showErrorMessage="1" sqref="AY4 AU26 AU8 AU44">
      <formula1>UNNH0030_IF_LIST_DEMPYO_KBN</formula1>
    </dataValidation>
    <dataValidation type="list" allowBlank="1" showInputMessage="1" showErrorMessage="1" sqref="AO32 AO14 AO50">
      <formula1>UNNH0030_IF_LIST_KEISHO_KBN</formula1>
    </dataValidation>
    <dataValidation type="custom" allowBlank="1" showInputMessage="1" showErrorMessage="1" sqref="BJ5 BJ17 BJ29 AL32:AN32 AL14:AN14 AL50:AN50">
      <formula1>LEN(AL5)&lt;=50</formula1>
    </dataValidation>
    <dataValidation type="custom" allowBlank="1" showInputMessage="1" showErrorMessage="1" sqref="BK5 BK29 BK17">
      <formula1>AND(NOT(ISERROR(INT(BK5))),ROUND(BK5,2)=BK5,AND(BK5&lt;100000,BK5&gt;-100000))</formula1>
    </dataValidation>
    <dataValidation type="custom" allowBlank="1" showInputMessage="1" showErrorMessage="1" sqref="BL5 BV5 BL17 BV17 BL29 BV29 BT5 BT17 BT29">
      <formula1>LENB(BL5)&lt;=10</formula1>
    </dataValidation>
    <dataValidation type="custom" allowBlank="1" showInputMessage="1" showErrorMessage="1" sqref="BM5 BQ5 BM17 BQ17 BM29 BQ29">
      <formula1>AND(NOT(ISERROR(INT(BM5))),ROUND(BM5,2)=BM5,AND(BM5&lt;10000000,BM5&gt;-10000000))</formula1>
    </dataValidation>
    <dataValidation type="custom" allowBlank="1" showInputMessage="1" showErrorMessage="1" sqref="BO5 BO17 BO29">
      <formula1>LENB(BO5)&lt;=50</formula1>
    </dataValidation>
    <dataValidation type="list" allowBlank="1" showInputMessage="1" showErrorMessage="1" sqref="AY5 AU9 AU27 AU45">
      <formula1>UNNH0030_IF_LIST_RENDO_KBN</formula1>
    </dataValidation>
    <dataValidation type="list" allowBlank="1" showInputMessage="1" showErrorMessage="1" sqref="AR8 AR26 AR44">
      <formula1>UNNH0030_IF_LIST_DENKU</formula1>
    </dataValidation>
    <dataValidation type="custom" allowBlank="1" showInputMessage="1" showErrorMessage="1" sqref="BS5 BS17 BS29">
      <formula1>AND(NOT(ISERROR(INT(BS5))),ROUND(BS5,2)=BS5,AND(BS5&lt;100000,BS5&gt;=0))</formula1>
    </dataValidation>
    <dataValidation type="date" allowBlank="1" showInputMessage="1" showErrorMessage="1" sqref="AU5 AU23">
      <formula1>36526</formula1>
      <formula2>73415</formula2>
    </dataValidation>
    <dataValidation type="list" allowBlank="1" showDropDown="1" showInputMessage="1" showErrorMessage="1" sqref="AR10 AR28 AR46">
      <formula1>UNNH_BUNSEKI_HOHO_IF_LIST2</formula1>
    </dataValidation>
    <dataValidation type="list" allowBlank="1" showInputMessage="1" showErrorMessage="1" sqref="AR27:AS27">
      <formula1>UNNH0030_IF_LIST_KANJO_KAMOKU</formula1>
    </dataValidation>
    <dataValidation type="list" allowBlank="1" showInputMessage="1" showErrorMessage="1" sqref="AR9:AS9">
      <formula1>UNNH0030_IF_LIST_KANJO_KAMOKU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B1:I83"/>
  <sheetViews>
    <sheetView topLeftCell="A64" zoomScale="70" zoomScaleNormal="70" workbookViewId="0">
      <selection activeCell="F84" sqref="F84"/>
    </sheetView>
  </sheetViews>
  <sheetFormatPr defaultRowHeight="13.5"/>
  <cols>
    <col min="1" max="1" width="9" style="162"/>
    <col min="2" max="2" width="3.5" style="162" customWidth="1"/>
    <col min="3" max="3" width="3.125" style="162" customWidth="1"/>
    <col min="4" max="4" width="25.125" style="162" bestFit="1" customWidth="1"/>
    <col min="5" max="5" width="4.375" style="162" customWidth="1"/>
    <col min="6" max="6" width="82.5" style="162" bestFit="1" customWidth="1"/>
    <col min="7" max="7" width="9" style="162"/>
    <col min="8" max="8" width="40.375" style="162" bestFit="1" customWidth="1"/>
    <col min="9" max="16384" width="9" style="162"/>
  </cols>
  <sheetData>
    <row r="1" spans="2:8" ht="18.75">
      <c r="D1" s="295" t="s">
        <v>253</v>
      </c>
      <c r="E1" s="295"/>
      <c r="F1" s="296">
        <f>UNNH0030_IF_W_USER_ID</f>
        <v>0</v>
      </c>
      <c r="G1" s="297"/>
      <c r="H1" s="298" t="s">
        <v>1047</v>
      </c>
    </row>
    <row r="2" spans="2:8" ht="18.75">
      <c r="D2" s="295" t="s">
        <v>286</v>
      </c>
      <c r="E2" s="295"/>
      <c r="F2" s="296">
        <f>UNNH0030_IF_W_SERIAL</f>
        <v>0</v>
      </c>
      <c r="G2" s="297"/>
      <c r="H2" s="298" t="s">
        <v>1048</v>
      </c>
    </row>
    <row r="3" spans="2:8" ht="18.75">
      <c r="D3" s="295" t="s">
        <v>1049</v>
      </c>
      <c r="E3" s="295"/>
      <c r="F3" s="296">
        <f>UNNH0030_H_PAGE_NO</f>
        <v>0</v>
      </c>
      <c r="G3" s="297"/>
      <c r="H3" s="298" t="s">
        <v>1050</v>
      </c>
    </row>
    <row r="4" spans="2:8" ht="18.75">
      <c r="D4" s="295" t="s">
        <v>1051</v>
      </c>
      <c r="E4" s="295"/>
      <c r="F4" s="296" t="str">
        <f>UNNH0030_IF_REF_NO</f>
        <v>U16-010001</v>
      </c>
      <c r="G4" s="297"/>
      <c r="H4" s="298" t="s">
        <v>1052</v>
      </c>
    </row>
    <row r="5" spans="2:8" ht="18.75">
      <c r="D5" s="295" t="s">
        <v>1053</v>
      </c>
      <c r="E5" s="295"/>
      <c r="F5" s="296">
        <f>UNNH0030_IF_RIREKI_NO</f>
        <v>0</v>
      </c>
      <c r="G5" s="297"/>
      <c r="H5" s="298" t="s">
        <v>1054</v>
      </c>
    </row>
    <row r="7" spans="2:8" ht="18.75">
      <c r="B7" s="730" t="s">
        <v>1055</v>
      </c>
      <c r="C7" s="730"/>
      <c r="D7" s="730"/>
      <c r="E7" s="299"/>
      <c r="F7" s="300"/>
      <c r="G7" s="300"/>
      <c r="H7" s="301" t="s">
        <v>1056</v>
      </c>
    </row>
    <row r="8" spans="2:8" ht="18" customHeight="1">
      <c r="B8" s="302"/>
      <c r="C8" s="731" t="s">
        <v>1057</v>
      </c>
      <c r="D8" s="732"/>
      <c r="E8" s="303"/>
      <c r="F8" s="298" t="str">
        <f>VLOOKUP(UNNH0030_IF_W_MODE,UNNH0030_SQL_PROC_SEARCH_AREA,2)</f>
        <v>EXEC SP_SAVE_T_URIAGE '0' ,'0' ,0 ,0 ,'U16-010001' ,'0'</v>
      </c>
      <c r="G8" s="297"/>
      <c r="H8" s="298" t="s">
        <v>1058</v>
      </c>
    </row>
    <row r="9" spans="2:8" ht="18" customHeight="1">
      <c r="B9" s="302"/>
      <c r="C9" s="304"/>
      <c r="D9" s="295" t="s">
        <v>1059</v>
      </c>
      <c r="E9" s="305">
        <v>0</v>
      </c>
      <c r="F9" s="306" t="str">
        <f>"EXEC SP_SAVE_T_URIAGE '"&amp;UNNH0030_SQL_USER_ID&amp;"' ,'"&amp;UNNH0030_SQL_SERIAL&amp;"' ,0 ,0 ,'"&amp;UNNH0030_SQL_REF_NO&amp;"' ,'0'"</f>
        <v>EXEC SP_SAVE_T_URIAGE '0' ,'0' ,0 ,0 ,'U16-010001' ,'0'</v>
      </c>
      <c r="G9" s="297"/>
      <c r="H9" s="298" t="s">
        <v>958</v>
      </c>
    </row>
    <row r="10" spans="2:8" ht="18" customHeight="1">
      <c r="B10" s="302"/>
      <c r="C10" s="304"/>
      <c r="D10" s="295" t="s">
        <v>1060</v>
      </c>
      <c r="E10" s="305">
        <v>1</v>
      </c>
      <c r="F10" s="306" t="str">
        <f>"EXEC SP_SAVE_T_URIAGE '"&amp;UNNH0030_SQL_USER_ID&amp;"' ,'"&amp;UNNH0030_SQL_SERIAL&amp;"' ,1 ,"&amp;UNNH0030_SQL_PAGE&amp;" ,'0' ,'0'"</f>
        <v>EXEC SP_SAVE_T_URIAGE '0' ,'0' ,1 ,0 ,'0' ,'0'</v>
      </c>
      <c r="G10" s="297"/>
      <c r="H10" s="298" t="s">
        <v>958</v>
      </c>
    </row>
    <row r="11" spans="2:8" ht="18" customHeight="1">
      <c r="B11" s="302"/>
      <c r="C11" s="304"/>
      <c r="D11" s="295" t="s">
        <v>1061</v>
      </c>
      <c r="E11" s="305">
        <v>2</v>
      </c>
      <c r="F11" s="306" t="str">
        <f>"EXEC SP_SAVE_T_URIAGE '"&amp;UNNH0030_SQL_USER_ID&amp;"' ,'"&amp;UNNH0030_SQL_SERIAL&amp;"' ,2 ,"&amp;UNNH0030_SQL_PAGE&amp;" ,'"&amp;UNNH0030_SQL_REF_NO&amp;"' ,'0'"</f>
        <v>EXEC SP_SAVE_T_URIAGE '0' ,'0' ,2 ,0 ,'U16-010001' ,'0'</v>
      </c>
      <c r="G11" s="297"/>
      <c r="H11" s="298" t="s">
        <v>958</v>
      </c>
    </row>
    <row r="12" spans="2:8" ht="18" customHeight="1">
      <c r="B12" s="302"/>
      <c r="C12" s="304"/>
      <c r="D12" s="295" t="s">
        <v>1062</v>
      </c>
      <c r="E12" s="305">
        <v>3</v>
      </c>
      <c r="F12" s="306" t="str">
        <f>"EXEC SP_SAVE_T_URIAGE '"&amp;UNNH0030_SQL_USER_ID&amp;"' ,'"&amp;UNNH0030_SQL_SERIAL&amp;"' ,3 ,0 ,'"&amp;UNNH0030_SQL_REF_NO&amp;"' ,'0'"</f>
        <v>EXEC SP_SAVE_T_URIAGE '0' ,'0' ,3 ,0 ,'U16-010001' ,'0'</v>
      </c>
      <c r="G12" s="297"/>
      <c r="H12" s="298" t="s">
        <v>958</v>
      </c>
    </row>
    <row r="13" spans="2:8" ht="18" customHeight="1">
      <c r="B13" s="302"/>
      <c r="C13" s="304"/>
      <c r="D13" s="295" t="s">
        <v>1063</v>
      </c>
      <c r="E13" s="305">
        <v>4</v>
      </c>
      <c r="F13" s="306" t="str">
        <f>"EXEC SP_SAVE_T_URIAGE '"&amp;UNNH0030_SQL_USER_ID&amp;"' ,'"&amp;UNNH0030_SQL_SERIAL&amp;"' ,4 ,0 ,'0' ,'0'"</f>
        <v>EXEC SP_SAVE_T_URIAGE '0' ,'0' ,4 ,0 ,'0' ,'0'</v>
      </c>
      <c r="G13" s="297"/>
      <c r="H13" s="298" t="s">
        <v>958</v>
      </c>
    </row>
    <row r="14" spans="2:8" ht="18" customHeight="1">
      <c r="B14" s="302"/>
      <c r="C14" s="304"/>
      <c r="D14" s="295" t="s">
        <v>1064</v>
      </c>
      <c r="E14" s="305">
        <v>5</v>
      </c>
      <c r="F14" s="306" t="str">
        <f>"EXEC SP_SAVE_T_URIAGE '"&amp;UNNH0030_SQL_USER_ID&amp;"' ,'"&amp;UNNH0030_SQL_SERIAL&amp;"' ,5 ,0 ,'"&amp;UNNH0030_SQL_REF_NO&amp;"' ,'0'"</f>
        <v>EXEC SP_SAVE_T_URIAGE '0' ,'0' ,5 ,0 ,'U16-010001' ,'0'</v>
      </c>
      <c r="G14" s="297"/>
      <c r="H14" s="298" t="s">
        <v>958</v>
      </c>
    </row>
    <row r="15" spans="2:8" ht="18" customHeight="1">
      <c r="B15" s="302"/>
      <c r="C15" s="304"/>
      <c r="D15" s="295" t="s">
        <v>1065</v>
      </c>
      <c r="E15" s="305">
        <v>6</v>
      </c>
      <c r="F15" s="306" t="str">
        <f>"EXEC SP_SAVE_T_URIAGE '"&amp;UNNH0030_SQL_USER_ID&amp;"' ,'"&amp;UNNH0030_SQL_SERIAL&amp;"' ,6 ,0 ,'"&amp;UNNH0030_SQL_REF_NO&amp;"' ,'0'"</f>
        <v>EXEC SP_SAVE_T_URIAGE '0' ,'0' ,6 ,0 ,'U16-010001' ,'0'</v>
      </c>
      <c r="G15" s="297"/>
      <c r="H15" s="298" t="s">
        <v>958</v>
      </c>
    </row>
    <row r="16" spans="2:8" ht="18" customHeight="1">
      <c r="B16" s="302"/>
      <c r="C16" s="304"/>
      <c r="D16" s="295" t="s">
        <v>1066</v>
      </c>
      <c r="E16" s="305">
        <v>7</v>
      </c>
      <c r="F16" s="306" t="str">
        <f>"EXEC SP_SAVE_T_URIAGE '"&amp;UNNH0030_SQL_USER_ID&amp;"' ,'"&amp;UNNH0030_SQL_SERIAL&amp;"' ,7 ,"&amp;UNNH0030_SQL_RIREKI_NO&amp;" ,'"&amp;UNNH0030_SQL_REF_NO&amp;"' ,'0'"</f>
        <v>EXEC SP_SAVE_T_URIAGE '0' ,'0' ,7 ,0 ,'U16-010001' ,'0'</v>
      </c>
      <c r="G16" s="297"/>
      <c r="H16" s="298" t="s">
        <v>958</v>
      </c>
    </row>
    <row r="17" spans="2:8" ht="18" customHeight="1">
      <c r="B17" s="302"/>
      <c r="C17" s="304"/>
      <c r="D17" s="295" t="s">
        <v>1067</v>
      </c>
      <c r="E17" s="305">
        <v>8</v>
      </c>
      <c r="F17" s="306" t="str">
        <f>"EXEC SP_SAVE_T_URIAGE '"&amp;UNNH0030_SQL_USER_ID&amp;"' ,'"&amp;UNNH0030_SQL_SERIAL&amp;"' ,8 ,0 ,'"&amp;IF(UNNH0030_SAVE_BAT_FLG=1,UNNH0030_IF_SAVE_BAT_URIAGE_NO,UNNH0030_SQL_REF_NO)&amp;"' ,'0'"</f>
        <v>EXEC SP_SAVE_T_URIAGE '0' ,'0' ,8 ,0 ,'U16-010001' ,'0'</v>
      </c>
      <c r="G17" s="297"/>
      <c r="H17" s="298" t="s">
        <v>958</v>
      </c>
    </row>
    <row r="18" spans="2:8" s="329" customFormat="1" ht="18" customHeight="1">
      <c r="B18" s="302"/>
      <c r="C18" s="304"/>
      <c r="D18" s="295" t="s">
        <v>1255</v>
      </c>
      <c r="E18" s="305">
        <v>9</v>
      </c>
      <c r="F18" s="306" t="str">
        <f>"EXEC SP_SAVE_T_URIAGE '"&amp;UNNH0030_SQL_USER_ID&amp;"' ,'"&amp;UNNH0030_SQL_SERIAL&amp;"' ,9 ,0 ,'0' ,'0'"</f>
        <v>EXEC SP_SAVE_T_URIAGE '0' ,'0' ,9 ,0 ,'0' ,'0'</v>
      </c>
      <c r="G18" s="297"/>
      <c r="H18" s="298" t="s">
        <v>958</v>
      </c>
    </row>
    <row r="19" spans="2:8" s="329" customFormat="1" ht="18" customHeight="1">
      <c r="B19" s="302"/>
      <c r="C19" s="304"/>
      <c r="D19" s="295" t="s">
        <v>1268</v>
      </c>
      <c r="E19" s="305">
        <v>10</v>
      </c>
      <c r="F19" s="306" t="str">
        <f>"EXEC SP_SAVE_T_URIAGE '"&amp;UNNH0030_SQL_USER_ID&amp;"' ,'"&amp;UNNH0030_SQL_SERIAL&amp;"' ,10 ,0 ,'"&amp;UNNH0030_SQL_REF_NO&amp;"' ,'"&amp;UNNH0030_IF_MOTO_URIAGE_NO&amp;"'"</f>
        <v>EXEC SP_SAVE_T_URIAGE '0' ,'0' ,10 ,0 ,'U16-010001' ,''</v>
      </c>
      <c r="G19" s="297"/>
      <c r="H19" s="298" t="s">
        <v>958</v>
      </c>
    </row>
    <row r="20" spans="2:8" ht="18" customHeight="1">
      <c r="B20" s="302"/>
      <c r="C20" s="304"/>
      <c r="D20" s="295" t="s">
        <v>1254</v>
      </c>
      <c r="E20" s="305">
        <v>99</v>
      </c>
      <c r="F20" s="306" t="str">
        <f>"EXEC SP_SAVE_T_URIAGE '"&amp;UNNH0030_SQL_USER_ID&amp;"' ,'"&amp;UNNH0030_SQL_SERIAL&amp;"' ,99 ,0 ,'0' ,'0'"</f>
        <v>EXEC SP_SAVE_T_URIAGE '0' ,'0' ,99 ,0 ,'0' ,'0'</v>
      </c>
      <c r="G20" s="297"/>
      <c r="H20" s="298" t="s">
        <v>958</v>
      </c>
    </row>
    <row r="21" spans="2:8">
      <c r="E21" s="162" t="s">
        <v>1068</v>
      </c>
    </row>
    <row r="24" spans="2:8" ht="18.75">
      <c r="B24" s="730" t="s">
        <v>1069</v>
      </c>
      <c r="C24" s="730"/>
      <c r="D24" s="730"/>
      <c r="E24" s="299"/>
      <c r="F24" s="300"/>
      <c r="G24" s="300"/>
      <c r="H24" s="301" t="s">
        <v>1056</v>
      </c>
    </row>
    <row r="25" spans="2:8" ht="17.25" customHeight="1">
      <c r="B25" s="302"/>
      <c r="C25" s="731" t="s">
        <v>1057</v>
      </c>
      <c r="D25" s="732"/>
      <c r="E25" s="303"/>
      <c r="F25" s="297" t="str">
        <f>F26&amp;F27</f>
        <v>SELECT W_URIAGE.URIAGE_NO                   AS URIAGE_NO
      ,J_DEMPYO.DATA_1                      AS DEMPYO_KBN
      ,J_RENDO.DATA_1                       AS RENDO_KBN
      ,W_URIAGE.URIAGE_DATE                 AS URIAGE_DATE
      ,J_DENKU.DATA_1                       AS DENKU
      ,J_KANJO_KAMOKU.DATA_1                AS KANJO_KAMOKU
      ,W_URIAGE.BUSHO_CD                    AS BUSHO_CD
      ,J_BUSHO.DATA_1                       AS BUSHO_MEI
      ,W_URIAGE.URIAGE_NYURYOKUSHA_CD       AS URIAGE_NYURYOKUSHA_CD
      ,J_NYURYOKUSHA.SHIMEI                 AS URIAGE_NYURYOKUSHA_MEI
      ,W_URIAGE.EIGYO_TANTO_CD              AS EIGYO_TANTO_CD
      ,J_EIGYO_TANTO.SHIMEI                 AS EIGYO_TANTO_MEI
      ,J_NYURYOKUSHA.SHIMEI                 AS URIAGE_NYURYOKUSHA_MEI
      ,W_URIAGE.NYURYOKU_DATE_TIME          AS NYURYOKU_DATE_TIME
      ,W_URIAGE.JUCHU_KBN                   AS JUCHU_KBN
      ,W_URIAGE.JURI_NO                     AS JURI_NO
      ,W_URIAGE.MITSU_NO                    AS MITSU_NO
      ,W_URIAGE.SAKI_URIAGE_NO              AS SAKI_URIAGE_NO
      ,W_URIAGE.NOHIN_DATE                  AS NOHIN_DATE
      ,W_URIAGE.URIAGE_STS                  AS STS_CD
      ,J_STS.DATA_1                         AS STS
      ,W_URIAGE.DOJI_FLG                    AS DOJI_FLG
      ,W_URIAGE.SEIKYU_CD                   AS SEIKYU_CD
      ,J_SEIKYUSAKI.AITE_MEI                AS SEIKYU_MEI
      ,J_SEIKYUSAKI.SEIKYU_CHUKI            AS SEIKYU_CHUKI
      ,W_URIAGE.KAISHU_DATE                 AS KAISHU_DATE
      ,W_URIAGE.BUNSEKI_HOHO_CD              AS BUNSEKI_HOHO
      ,W_URIAGE.TEKIYO_H                    AS TEKIYO_H
      ,W_URIAGE.DEMPYO_SOFU_MEI             AS DEMPYO_SOFU_MEI
      ,W_URIAGE.KEISHO                      AS KEISHO
      ,W_URIAGE.YUBIN_NO                    AS YUBIN_NO
      ,W_URIAGE.ADDRESS_1                   AS ADDRESS_1
      ,W_URIAGE.ADDRESS_2                   AS ADDRESS_2
      ,W_URIAGE.TEL                         AS TEL
      ,W_URIAGE.FAX                         AS FAX
      ,W_URIAGE.SOFU_TANTO                  AS SOFU_TANTO
      ,W_URIAGE.TEISEI_BIKO                 AS TEISEI_BIKO
      ,W_URIAGE.JUSHO_NO_PRINT_FLG          AS JUSHO_NO_PRINT_FLG
      ,W_URIAGE.TAX_RATE                    AS TAX_RATE
      ,W_URIAGE.NUKI_TOTAL                  AS NUKI_TOTAL
      ,W_URIAGE.TAX                         AS TAX
      ,W_URIAGE.KOMI_TOTAL                  AS KOMI_TOTAL
      ,W_URIAGE.GENKA_TOTAL                 AS GENKA_TOTAL
      ,W_URIAGE.ARARIEKI_H                  AS ARARIEKI_H
      ,W_URIAGE.ARARIRITSU_H                AS ARARIRITSU_H
      ,W_URIAGE.SHOKON_NO                   AS SHOKON_NO
      ,W_URIAGE.SHOKON_LIST_DATE_TIME       AS SHOKON_LIST_DATE_TIME
      ,J_SEIKYUSAKI.SEIKYU_HASU_KBN         AS SEIKYU_HASU_KBN
      ,J_SEIKYUSAKI.TAX_KBN                 AS TAX_KBN
  FROM W_URIAGE
  LEFT JOIN
       M_MEISHO_B AS J_DEMPYO
    ON J_DEMPYO.MEISHO_KBN = 'K023'
   AND J_DEMPYO.MEISHO_CD  = W_URIAGE.DEMPYO_KBN
  LEFT JOIN
       M_MEISHO_B AS J_RENDO
    ON J_RENDO.MEISHO_KBN = 'K029'
   AND J_RENDO.MEISHO_CD  = W_URIAGE.RENDO_KBN
  LEFT JOIN
       M_MEISHO_B AS J_STS
    ON J_STS.MEISHO_KBN = 'S007'
   AND J_STS.MEISHO_CD  = W_URIAGE.URIAGE_STS
  LEFT JOIN
       M_MEISHO_B AS J_BUSHO
    ON J_BUSHO.MEISHO_KBN = 'M001'
   AND J_BUSHO.MEISHO_CD  = W_URIAGE.BUSHO_CD
  LEFT JOIN
       M_SHAIN AS J_NYURYOKUSHA
    ON J_NYURYOKUSHA.SHAIN_CD = W_URIAGE.URIAGE_NYURYOKUSHA_CD
  LEFT JOIN
       M_SHAIN AS J_EIGYO_TANTO
    ON J_EIGYO_TANTO.SHAIN_CD = W_URIAGE.EIGYO_TANTO_CD
  LEFT JOIN
       M_AITESAKI AS J_SEIKYUSAKI
    ON J_SEIKYUSAKI.AITE_CD = W_URIAGE.SEIKYU_CD
  LEFT JOIN
       M_MEISHO_B AS J_DENKU
    ON J_DENKU.MEISHO_KBN = 'K032'
   AND J_DENKU.MEISHO_CD  = W_URIAGE.DENKU
  LEFT JOIN
       M_MEISHO_B AS J_KANJO_KAMOKU
    ON J_KANJO_KAMOKU.MEISHO_KBN = 'K033'
   AND J_KANJO_KAMOKU.MEISHO_CD  = W_URIAGE.KANJO_KAMOKU
 WHERE W_URIAGE.W_USER_ID = '0'
   AND W_URIAGE.W_SERIAL  = '0'
   AND W_URIAGE.W_PAGE    = 0
   AND W_URIAGE.W_ROW     = 1</v>
      </c>
      <c r="G25" s="297"/>
      <c r="H25" s="298" t="s">
        <v>1070</v>
      </c>
    </row>
    <row r="26" spans="2:8" ht="17.25" customHeight="1">
      <c r="B26" s="302"/>
      <c r="C26" s="304"/>
      <c r="D26" s="295" t="s">
        <v>1071</v>
      </c>
      <c r="E26" s="295"/>
      <c r="F26" s="297" t="s">
        <v>1696</v>
      </c>
      <c r="G26" s="297"/>
      <c r="H26" s="298" t="s">
        <v>958</v>
      </c>
    </row>
    <row r="27" spans="2:8" ht="17.25" customHeight="1">
      <c r="B27" s="302"/>
      <c r="C27" s="304"/>
      <c r="D27" s="295" t="s">
        <v>1072</v>
      </c>
      <c r="E27" s="295"/>
      <c r="F27" s="297" t="str">
        <f>" WHERE W_URIAGE.W_USER_ID = '"&amp;UNNH0030_SQL_USER_ID&amp;"'
   AND W_URIAGE.W_SERIAL  = '"&amp;UNNH0030_SQL_SERIAL&amp;"'
   AND W_URIAGE.W_PAGE    = "&amp;UNNH0030_SQL_PAGE&amp;"
   AND W_URIAGE.W_ROW     = 1"</f>
        <v xml:space="preserve"> WHERE W_URIAGE.W_USER_ID = '0'
   AND W_URIAGE.W_SERIAL  = '0'
   AND W_URIAGE.W_PAGE    = 0
   AND W_URIAGE.W_ROW     = 1</v>
      </c>
      <c r="G27" s="297"/>
      <c r="H27" s="298" t="s">
        <v>958</v>
      </c>
    </row>
    <row r="28" spans="2:8" ht="18.75">
      <c r="B28" s="733" t="s">
        <v>1073</v>
      </c>
      <c r="C28" s="734"/>
      <c r="D28" s="735"/>
      <c r="E28" s="307"/>
      <c r="F28" s="300"/>
      <c r="G28" s="300"/>
      <c r="H28" s="301" t="s">
        <v>1056</v>
      </c>
    </row>
    <row r="29" spans="2:8" ht="17.25" customHeight="1">
      <c r="B29" s="302"/>
      <c r="C29" s="731" t="s">
        <v>1057</v>
      </c>
      <c r="D29" s="732"/>
      <c r="E29" s="303"/>
      <c r="F29" s="297" t="str">
        <f>F30&amp;F31</f>
        <v>SELECT W_URIAGE.GYO_NO
      ,W_URIAGE.ROW_KBN
      ,NULL
      ,W_URIAGE.SHOHIN_CD
      ,W_URIAGE.SHOHIN_MEI
      ,W_URIAGE.URIAGE_SURYO
      ,W_URIAGE.URIAGE_SURYO_TANI
      ,W_URIAGE.HAMBAI_TANKA
      ,W_URIAGE.HAMBAI_KINGAKU
      ,W_URIAGE.TEKIYO_B
      ,W_URIAGE.TEIKA
      ,W_URIAGE.GENTANKA
      ,M_SHOHIN.SHIIRE_IRISU
      ,W_URIAGE.GENKA_SURYO
      ,W_URIAGE.IRISU_TANI
      ,W_URIAGE.SOSU
      ,W_URIAGE.BARA_TANI
      ,W_URIAGE.GENKA_KINGAKU
      ,W_URIAGE.ARARIRITSU_B
      ,W_URIAGE.ARARIEKI_B
  FROM W_URIAGE
  LEFT JOIN
       M_SHOHIN
    ON M_SHOHIN.SHOHIN_CD = W_URIAGE.SHOHIN_CD
 WHERE W_URIAGE.W_USER_ID = '0'
   AND W_URIAGE.W_SERIAL  = '0'
   AND W_URIAGE.W_PAGE    = 0
   AND W_URIAGE.ROW_KBN   IS NOT NULL</v>
      </c>
      <c r="G29" s="297"/>
      <c r="H29" s="298" t="s">
        <v>1074</v>
      </c>
    </row>
    <row r="30" spans="2:8" ht="17.25" customHeight="1">
      <c r="B30" s="302"/>
      <c r="C30" s="304"/>
      <c r="D30" s="295" t="s">
        <v>1075</v>
      </c>
      <c r="E30" s="295"/>
      <c r="F30" s="297" t="s">
        <v>1438</v>
      </c>
      <c r="G30" s="297"/>
      <c r="H30" s="298" t="s">
        <v>958</v>
      </c>
    </row>
    <row r="31" spans="2:8" ht="17.25" customHeight="1">
      <c r="B31" s="302"/>
      <c r="C31" s="304"/>
      <c r="D31" s="295" t="s">
        <v>1076</v>
      </c>
      <c r="E31" s="295"/>
      <c r="F31" s="297" t="str">
        <f>" WHERE W_URIAGE.W_USER_ID = '"&amp;UNNH0030_SQL_USER_ID&amp;"'
   AND W_URIAGE.W_SERIAL  = '"&amp;UNNH0030_SQL_SERIAL&amp;"'
   AND W_URIAGE.W_PAGE    = "&amp;UNNH0030_SQL_PAGE&amp;"
   AND W_URIAGE.ROW_KBN   IS NOT NULL"</f>
        <v xml:space="preserve"> WHERE W_URIAGE.W_USER_ID = '0'
   AND W_URIAGE.W_SERIAL  = '0'
   AND W_URIAGE.W_PAGE    = 0
   AND W_URIAGE.ROW_KBN   IS NOT NULL</v>
      </c>
      <c r="G31" s="297"/>
      <c r="H31" s="298" t="s">
        <v>958</v>
      </c>
    </row>
    <row r="32" spans="2:8" ht="17.25" customHeight="1">
      <c r="B32" s="733" t="s">
        <v>1077</v>
      </c>
      <c r="C32" s="734"/>
      <c r="D32" s="735"/>
      <c r="E32" s="307"/>
      <c r="F32" s="300"/>
      <c r="G32" s="300"/>
      <c r="H32" s="301" t="s">
        <v>1056</v>
      </c>
    </row>
    <row r="33" spans="2:8" ht="17.25" customHeight="1">
      <c r="B33" s="302"/>
      <c r="C33" s="731" t="s">
        <v>1057</v>
      </c>
      <c r="D33" s="732"/>
      <c r="E33" s="303"/>
      <c r="F33" s="297" t="str">
        <f>F34&amp;F35</f>
        <v>SELECT *
  FROM W_URIAGE
 WHERE W_URIAGE.W_USER_ID = '0'
   AND W_URIAGE.W_SERIAL  = '0'
   AND W_URIAGE.W_PAGE    = 0</v>
      </c>
      <c r="G33" s="297"/>
      <c r="H33" s="298" t="s">
        <v>1078</v>
      </c>
    </row>
    <row r="34" spans="2:8" ht="17.25" customHeight="1">
      <c r="B34" s="302"/>
      <c r="C34" s="304"/>
      <c r="D34" s="295" t="s">
        <v>1075</v>
      </c>
      <c r="E34" s="295"/>
      <c r="F34" s="297" t="s">
        <v>1079</v>
      </c>
      <c r="G34" s="297"/>
      <c r="H34" s="298" t="s">
        <v>958</v>
      </c>
    </row>
    <row r="35" spans="2:8" ht="17.25" customHeight="1">
      <c r="B35" s="302"/>
      <c r="C35" s="304"/>
      <c r="D35" s="295" t="s">
        <v>1076</v>
      </c>
      <c r="E35" s="295"/>
      <c r="F35" s="297" t="str">
        <f>" WHERE W_URIAGE.W_USER_ID = '"&amp;UNNH0030_SQL_USER_ID&amp;"'
   AND W_URIAGE.W_SERIAL  = '"&amp;UNNH0030_SQL_SERIAL&amp;"'
   AND W_URIAGE.W_PAGE    = "&amp;UNNH0030_SQL_PAGE</f>
        <v xml:space="preserve"> WHERE W_URIAGE.W_USER_ID = '0'
   AND W_URIAGE.W_SERIAL  = '0'
   AND W_URIAGE.W_PAGE    = 0</v>
      </c>
      <c r="G35" s="297"/>
      <c r="H35" s="298" t="s">
        <v>958</v>
      </c>
    </row>
    <row r="36" spans="2:8" ht="17.25" customHeight="1">
      <c r="B36" s="733" t="s">
        <v>1080</v>
      </c>
      <c r="C36" s="734"/>
      <c r="D36" s="735"/>
      <c r="E36" s="307"/>
      <c r="F36" s="300"/>
      <c r="G36" s="300"/>
      <c r="H36" s="301" t="s">
        <v>1056</v>
      </c>
    </row>
    <row r="37" spans="2:8" ht="17.25" customHeight="1">
      <c r="B37" s="302"/>
      <c r="C37" s="731" t="s">
        <v>1057</v>
      </c>
      <c r="D37" s="732"/>
      <c r="E37" s="303"/>
      <c r="F37" s="297" t="str">
        <f>F38&amp;F39</f>
        <v xml:space="preserve">SELECT ISNULL(MAX(W_URIAGE.W_PAGE),0) AS MAX_PAGE
  FROM W_URIAGE WHERE W_URIAGE.W_USER_ID = '0'
   AND W_URIAGE.W_SERIAL  = '0'
</v>
      </c>
      <c r="G37" s="297"/>
      <c r="H37" s="298" t="s">
        <v>1081</v>
      </c>
    </row>
    <row r="38" spans="2:8" ht="17.25" customHeight="1">
      <c r="B38" s="302"/>
      <c r="C38" s="304"/>
      <c r="D38" s="295" t="s">
        <v>1075</v>
      </c>
      <c r="E38" s="295"/>
      <c r="F38" s="297" t="s">
        <v>1329</v>
      </c>
      <c r="G38" s="297"/>
      <c r="H38" s="298" t="s">
        <v>958</v>
      </c>
    </row>
    <row r="39" spans="2:8" ht="17.25" customHeight="1">
      <c r="B39" s="302"/>
      <c r="C39" s="304"/>
      <c r="D39" s="295" t="s">
        <v>1076</v>
      </c>
      <c r="E39" s="295"/>
      <c r="F39" s="297" t="str">
        <f>" WHERE W_URIAGE.W_USER_ID = '"&amp;UNNH0030_SQL_USER_ID&amp;"'
   AND W_URIAGE.W_SERIAL  = '"&amp;UNNH0030_SQL_SERIAL&amp;"'
"</f>
        <v xml:space="preserve"> WHERE W_URIAGE.W_USER_ID = '0'
   AND W_URIAGE.W_SERIAL  = '0'
</v>
      </c>
      <c r="G39" s="297"/>
      <c r="H39" s="298" t="s">
        <v>958</v>
      </c>
    </row>
    <row r="40" spans="2:8" ht="17.25" customHeight="1">
      <c r="B40" s="733" t="s">
        <v>1082</v>
      </c>
      <c r="C40" s="734"/>
      <c r="D40" s="735"/>
      <c r="E40" s="307"/>
      <c r="F40" s="300"/>
      <c r="G40" s="300"/>
      <c r="H40" s="301" t="s">
        <v>1056</v>
      </c>
    </row>
    <row r="41" spans="2:8" ht="17.25" customHeight="1">
      <c r="B41" s="302"/>
      <c r="C41" s="731" t="s">
        <v>1057</v>
      </c>
      <c r="D41" s="732"/>
      <c r="E41" s="303"/>
      <c r="F41" s="297" t="str">
        <f>F42&amp;F43</f>
        <v>SELECT MOTO_URIAGE_NO               AS '売上No.'
      ,J_DEMPYO_KBN.DATA_1          AS '伝票区分'
      ,T_URIAGE_H.URIAGE_DATE       AS '売上日'
      ,J_SEIKYU.AITE_MEI            AS '請求先名'
      ,T_URIAGE_H.DEMPYO_SOFU_MEI   AS '伝票送付先名'
      ,J_NYURYOKUSHA.SHIMEI         AS '売上入力者名'
      ,T_URIAGE_H.JURI_NO           AS '対象受理No.'
  FROM T_URIAGE_MERGE
  LEFT JOIN
       T_URIAGE_H
    ON T_URIAGE_H.URIAGE_NO = T_URIAGE_MERGE.MOTO_URIAGE_NO
  LEFT JOIN
       M_MEISHO_B AS J_DEMPYO_KBN
    ON J_DEMPYO_KBN.MEISHO_KBN = 'K023'
   AND J_DEMPYO_KBN.MEISHO_CD  = T_URIAGE_H.DEMPYO_KBN
  LEFT JOIN
       M_AITESAKI AS J_SEIKYU
    ON J_SEIKYU.AITE_CD = T_URIAGE_H.SEIKYU_CD
  LEFT JOIN
       M_SHAIN AS J_NYURYOKUSHA
    ON J_NYURYOKUSHA.SHAIN_CD = T_URIAGE_H.URIAGE_NYURYOKUSHA_CD
 WHERE T_URIAGE_MERGE.URIAGE_NO = 'U16-010001'</v>
      </c>
      <c r="G41" s="297"/>
      <c r="H41" s="298" t="s">
        <v>1083</v>
      </c>
    </row>
    <row r="42" spans="2:8" ht="17.25" customHeight="1">
      <c r="B42" s="302"/>
      <c r="C42" s="304"/>
      <c r="D42" s="295" t="s">
        <v>1075</v>
      </c>
      <c r="E42" s="295"/>
      <c r="F42" s="297" t="s">
        <v>1318</v>
      </c>
      <c r="G42" s="297"/>
      <c r="H42" s="298" t="s">
        <v>958</v>
      </c>
    </row>
    <row r="43" spans="2:8" ht="17.25" customHeight="1">
      <c r="B43" s="302"/>
      <c r="C43" s="304"/>
      <c r="D43" s="295" t="s">
        <v>1076</v>
      </c>
      <c r="E43" s="295"/>
      <c r="F43" s="297" t="str">
        <f>"
 WHERE T_URIAGE_MERGE.URIAGE_NO = '"&amp;UNNH0030_SQL_REF_NO&amp;"'"</f>
        <v xml:space="preserve">
 WHERE T_URIAGE_MERGE.URIAGE_NO = 'U16-010001'</v>
      </c>
      <c r="G43" s="297"/>
      <c r="H43" s="298" t="s">
        <v>958</v>
      </c>
    </row>
    <row r="44" spans="2:8" ht="17.25" customHeight="1">
      <c r="B44" s="730" t="s">
        <v>1084</v>
      </c>
      <c r="C44" s="730"/>
      <c r="D44" s="730"/>
      <c r="E44" s="299"/>
      <c r="F44" s="300"/>
      <c r="G44" s="300"/>
      <c r="H44" s="301" t="s">
        <v>1056</v>
      </c>
    </row>
    <row r="45" spans="2:8" ht="17.25" customHeight="1">
      <c r="B45" s="308"/>
      <c r="C45" s="731" t="s">
        <v>1085</v>
      </c>
      <c r="D45" s="732"/>
      <c r="E45" s="303"/>
      <c r="F45" s="297" t="str">
        <f>F46&amp;F47</f>
        <v>SELECT T_URIAGE_H.URIAGE_NO
      ,T_URIAGE_H.SEIKYU_CD
      ,T_URIAGE_H.YUBIN_NO
      ,T_URIAGE_H.ADDRESS_1
      ,T_URIAGE_H.ADDRESS_2
      ,T_URIAGE_H.DEMPYO_SOFU_MEI
      ,T_URIAGE_H.SOFU_TANTO
      ,T_URIAGE_H.KEISHO
      ,T_URIAGE_H.URIAGE_DATE
      ,T_URIAGE_H.TEKIYO
      ,T_URIAGE_H.TAX
      ,T_URIAGE_H.NUKI_TOTAL
      ,J_NYURYOKUSHA.SHIMEI             AS NYURYOKUSHA_MEI
      ,J_EIGYO.SHIMEI                   AS EIGYO_MEI
      ,M_AITESAKI.TAX_KBN
      ,M_AITESAKI.SEIKYUHOHO_KBN
      ,T_URIAGE_H.JUSHO_NO_PRINT_FLG
      ,M_AITESAKI.SEIKYUSHO_FLG
      ,M_AITESAKI.JURYOSHO_FLG
      ,M_AITESAKI.NOHINSHO_FLG
      ,M_AITESAKI.HIKAE_FLG
      ,CASE T_URIAGE_H.JUCHU_KBN
       WHEN 1 THEN
            T_BUN_JUCHU_H.DEMPYO_HAKKO_KBN
       WHEN 2 THEN
            T_HAN_JUCHU_H.DEMPYO_HAKKO_KBN
       END
      ,CASE T_URIAGE_H.DEMPYO_KBN
       WHEN 5 THEN
            T_URIAGE_H.JURI_NO + 
            ( SELECT IIF( ISNULL(TBL_A.JURI_NO,'')='','', TBL_A.JURI_NO  + ',')
                FROM T_URIAGE_MERGE
                LEFT JOIN
                     T_URIAGE_H AS TBL_A
                  ON TBL_A.URIAGE_NO = T_URIAGE_MERGE.MOTO_URIAGE_NO
               WHERE T_URIAGE_MERGE.URIAGE_NO = T_URIAGE_H.URIAGE_NO
                 FOR XML PATH ('')
            )
       ELSE
         CASE WHEN
              ( SELECT COUNT(*)
                  FROM T_URIAGE_JUCHU_SELECT
                 WHERE T_URIAGE_JUCHU_SELECT.URIAGE_NO = T_URIAGE_H.URIAGE_NO ) &gt; 0 THEN
                ( SELECT IIF( ISNULL(T_URIAGE_JUCHU_SELECT.JURI_NO,'')='','',  T_URIAGE_JUCHU_SELECT.JURI_NO + ',')
                    FROM T_URIAGE_JUCHU_SELECT
                   WHERE T_URIAGE_JUCHU_SELECT.URIAGE_NO = T_URIAGE_H.URIAGE_NO
                     FOR XML PATH ('')
                )
         ELSE
              T_URIAGE_H.JURI_NO
         END
       END AS JURI_NO
  FROM T_URIAGE_H
  LEFT JOIN
       M_AITESAKI
    ON M_AITESAKI.AITE_CD = T_URIAGE_H.SEIKYU_CD
  LEFT JOIN
       M_SHAIN AS J_NYURYOKUSHA
    ON J_NYURYOKUSHA.SHAIN_CD = T_URIAGE_H.URIAGE_NYURYOKUSHA_CD
  LEFT JOIN
       M_SHAIN AS J_EIGYO
    ON J_EIGYO.SHAIN_CD = T_URIAGE_H.EIGYO_TANTO_CD
  LEFT JOIN
       T_BUN_JUCHU_H
    ON T_BUN_JUCHU_H.JURI_NO = T_URIAGE_H.JURI_NO
  LEFT JOIN
       T_HAN_JUCHU_H
    ON T_HAN_JUCHU_H.JURI_NO = T_URIAGE_H.JURI_NO
 WHERE T_URIAGE_H.URIAGE_NO = 'U16-010001'</v>
      </c>
      <c r="G45" s="309"/>
      <c r="H45" s="298" t="s">
        <v>1086</v>
      </c>
    </row>
    <row r="46" spans="2:8" ht="17.25" customHeight="1">
      <c r="B46" s="308"/>
      <c r="C46" s="310"/>
      <c r="D46" s="295" t="s">
        <v>1075</v>
      </c>
      <c r="E46" s="311"/>
      <c r="F46" s="312" t="s">
        <v>1608</v>
      </c>
      <c r="G46" s="312"/>
      <c r="H46" s="298"/>
    </row>
    <row r="47" spans="2:8" ht="17.25" customHeight="1">
      <c r="B47" s="308"/>
      <c r="C47" s="313"/>
      <c r="D47" s="295" t="s">
        <v>1076</v>
      </c>
      <c r="E47" s="295"/>
      <c r="F47" s="297" t="str">
        <f>"
 WHERE T_URIAGE_H.URIAGE_NO = '"&amp;UNNH0030_SQL_REF_NO&amp;"'"</f>
        <v xml:space="preserve">
 WHERE T_URIAGE_H.URIAGE_NO = 'U16-010001'</v>
      </c>
      <c r="G47" s="309"/>
      <c r="H47" s="298"/>
    </row>
    <row r="48" spans="2:8" ht="17.25" customHeight="1">
      <c r="B48" s="308"/>
      <c r="C48" s="731" t="s">
        <v>1087</v>
      </c>
      <c r="D48" s="732"/>
      <c r="E48" s="303"/>
      <c r="F48" s="297" t="str">
        <f>F49&amp;F50</f>
        <v xml:space="preserve">SELECT ROW_NUMBER() OVER (ORDER BY T_URIAGE_B.GYO_NO)
      ,T_URIAGE_B.ROW_KBN
      ,T_URIAGE_B.SHOHIN_CD
      ,T_URIAGE_B.SHOHIN_MEI
      ,T_URIAGE_B.URIAGE_SURYO
      ,T_URIAGE_B.URIAGE_SURYO_TANI
      ,T_URIAGE_B.HAMBAI_TANKA
      ,T_URIAGE_B.HAMBAI_KINGAKU
  FROM T_URIAGE_B
 WHERE 1 = 1
   AND (  ISNULL(T_URIAGE_B.HAMBAI_KINGAKU,0) &lt;&gt; 0
       OR T_URIAGE_B.ROW_KBN = '2' )
   AND T_URIAGE_B.URIAGE_NO = 'U16-010001'
</v>
      </c>
      <c r="G48" s="309"/>
      <c r="H48" s="298" t="s">
        <v>1088</v>
      </c>
    </row>
    <row r="49" spans="2:8" ht="17.25" customHeight="1">
      <c r="B49" s="302"/>
      <c r="C49" s="304"/>
      <c r="D49" s="295" t="s">
        <v>1075</v>
      </c>
      <c r="E49" s="295"/>
      <c r="F49" s="297" t="s">
        <v>1524</v>
      </c>
      <c r="G49" s="297"/>
      <c r="H49" s="298"/>
    </row>
    <row r="50" spans="2:8" ht="17.25" customHeight="1">
      <c r="B50" s="302"/>
      <c r="C50" s="304"/>
      <c r="D50" s="295" t="s">
        <v>1076</v>
      </c>
      <c r="E50" s="295"/>
      <c r="F50" s="297" t="str">
        <f>"
   AND (  ISNULL(T_URIAGE_B.HAMBAI_KINGAKU,0) &lt;&gt; 0
       OR T_URIAGE_B.ROW_KBN = '2' )
   AND T_URIAGE_B.URIAGE_NO = '"&amp;UNNH0030_SQL_REF_NO&amp;"'
"</f>
        <v xml:space="preserve">
   AND (  ISNULL(T_URIAGE_B.HAMBAI_KINGAKU,0) &lt;&gt; 0
       OR T_URIAGE_B.ROW_KBN = '2' )
   AND T_URIAGE_B.URIAGE_NO = 'U16-010001'
</v>
      </c>
      <c r="G50" s="298"/>
      <c r="H50" s="298"/>
    </row>
    <row r="51" spans="2:8" s="329" customFormat="1" ht="17.25" customHeight="1">
      <c r="B51" s="730" t="s">
        <v>1263</v>
      </c>
      <c r="C51" s="730"/>
      <c r="D51" s="730"/>
      <c r="E51" s="338"/>
      <c r="F51" s="300"/>
      <c r="G51" s="300"/>
      <c r="H51" s="301" t="s">
        <v>1056</v>
      </c>
    </row>
    <row r="52" spans="2:8" s="329" customFormat="1" ht="17.25" customHeight="1">
      <c r="B52" s="308"/>
      <c r="C52" s="731" t="s">
        <v>1085</v>
      </c>
      <c r="D52" s="732"/>
      <c r="E52" s="337"/>
      <c r="F52" s="297" t="str">
        <f ca="1">F53&amp;F54</f>
        <v>SELECT T_URIAGE_H.URIAGE_NO
      ,T_URIAGE_H.SEIKYU_CD
      ,T_URIAGE_H.YUBIN_NO
      ,T_URIAGE_H.ADDRESS_1
      ,T_URIAGE_H.ADDRESS_2
      ,T_URIAGE_H.DEMPYO_SOFU_MEI
      ,T_URIAGE_H.SOFU_TANTO
      ,T_URIAGE_H.KEISHO
      ,T_URIAGE_H.URIAGE_DATE
      ,T_URIAGE_H.TEKIYO
      ,T_URIAGE_H.TAX
      ,T_URIAGE_H.NUKI_TOTAL
      ,M_SHAIN.SHIMEI
      ,M_AITESAKI.TAX_KBN
      ,M_AITESAKI.SEIKYUHOHO_KBN
      ,T_URIAGE_H.JUSHO_NO_PRINT_FLG
      ,M_AITESAKI.SEIKYUSHO_FLG
      ,M_AITESAKI.JURYOSHO_FLG
      ,M_AITESAKI.NOHINSHO_FLG
      ,M_AITESAKI.HIKAE_FLG
      ,CASE T_URIAGE_H.JUCHU_KBN
       WHEN 1 THEN
            T_BUN_JUCHU_H.DEMPYO_HAKKO_KBN
       WHEN 2 THEN
            T_HAN_JUCHU_H.DEMPYO_HAKKO_KBN
       END
      ,CASE T_URIAGE_H.DEMPYO_KBN
       WHEN 5 THEN
            T_URIAGE_H.JURI_NO + 
            ( SELECT IIF( ISNULL(TBL_A.JURI_NO,'')='','', TBL_A.JURI_NO  + ',')
                FROM T_URIAGE_MERGE
                LEFT JOIN
                     T_URIAGE_H AS TBL_A
                  ON TBL_A.URIAGE_NO = T_URIAGE_MERGE.MOTO_URIAGE_NO
               WHERE T_URIAGE_MERGE.URIAGE_NO = T_URIAGE_H.URIAGE_NO
                 FOR XML PATH ('')
            )
       ELSE
         CASE WHEN
              ( SELECT COUNT(*)
                  FROM T_URIAGE_JUCHU_SELECT
                 WHERE T_URIAGE_JUCHU_SELECT.URIAGE_NO = T_URIAGE_H.URIAGE_NO ) &gt; 0 THEN
                ( SELECT IIF( ISNULL(T_URIAGE_JUCHU_SELECT.JURI_NO,'')='','',  T_URIAGE_JUCHU_SELECT.JURI_NO + ',')
                    FROM T_URIAGE_JUCHU_SELECT
                   WHERE T_URIAGE_JUCHU_SELECT.URIAGE_NO = T_URIAGE_H.URIAGE_NO
                     FOR XML PATH ('')
                )
         ELSE
              T_URIAGE_H.JURI_NO
         END
       END AS JURI_NO
  FROM T_URIAGE_H
  LEFT JOIN
       M_AITESAKI
    ON M_AITESAKI.AITE_CD = T_URIAGE_H.SEIKYU_CD
  LEFT JOIN
       M_SHAIN
    ON M_SHAIN.SHAIN_CD = T_URIAGE_H.URIAGE_NYURYOKUSHA_CD
  LEFT JOIN
       T_BUN_JUCHU_H
    ON T_BUN_JUCHU_H.JURI_NO = T_URIAGE_H.JURI_NO
  LEFT JOIN
       T_HAN_JUCHU_H
    ON T_HAN_JUCHU_H.JURI_NO = T_URIAGE_H.JURI_NO
 WHERE T_URIAGE_H.URIAGE_NO = ''</v>
      </c>
      <c r="G52" s="309"/>
      <c r="H52" s="298" t="s">
        <v>1264</v>
      </c>
    </row>
    <row r="53" spans="2:8" s="329" customFormat="1" ht="17.25" customHeight="1">
      <c r="B53" s="308"/>
      <c r="C53" s="310"/>
      <c r="D53" s="295" t="s">
        <v>1075</v>
      </c>
      <c r="E53" s="311"/>
      <c r="F53" s="312" t="s">
        <v>1607</v>
      </c>
      <c r="G53" s="312"/>
      <c r="H53" s="298"/>
    </row>
    <row r="54" spans="2:8" s="329" customFormat="1" ht="17.25" customHeight="1">
      <c r="B54" s="308"/>
      <c r="C54" s="313"/>
      <c r="D54" s="295" t="s">
        <v>1076</v>
      </c>
      <c r="E54" s="295"/>
      <c r="F54" s="297" t="str">
        <f ca="1">"
 WHERE T_URIAGE_H.URIAGE_NO = '"&amp;UNNH0030_IF_SAVE_BAT_URIAGE_NO&amp;"'"</f>
        <v xml:space="preserve">
 WHERE T_URIAGE_H.URIAGE_NO = ''</v>
      </c>
      <c r="G54" s="309"/>
      <c r="H54" s="298"/>
    </row>
    <row r="55" spans="2:8" s="329" customFormat="1" ht="17.25" customHeight="1">
      <c r="B55" s="308"/>
      <c r="C55" s="731" t="s">
        <v>1087</v>
      </c>
      <c r="D55" s="732"/>
      <c r="E55" s="337"/>
      <c r="F55" s="297" t="str">
        <f ca="1">F56&amp;F57</f>
        <v xml:space="preserve">SELECT ROW_NUMBER() OVER (ORDER BY T_URIAGE_B.GYO_NO)
      ,T_URIAGE_B.ROW_KBN
      ,T_URIAGE_B.SHOHIN_CD
      ,T_URIAGE_B.SHOHIN_MEI
      ,T_URIAGE_B.URIAGE_SURYO
      ,T_URIAGE_B.URIAGE_SURYO_TANI
      ,T_URIAGE_B.HAMBAI_TANKA
      ,T_URIAGE_B.HAMBAI_KINGAKU
  FROM T_URIAGE_B
 WHERE 1 = 1
   AND (  ISNULL(T_URIAGE_B.HAMBAI_KINGAKU,0) &lt;&gt; 0
       OR T_URIAGE_B.ROW_KBN = '2' )
   AND T_URIAGE_B.URIAGE_NO = ''
</v>
      </c>
      <c r="G55" s="309"/>
      <c r="H55" s="298" t="s">
        <v>1265</v>
      </c>
    </row>
    <row r="56" spans="2:8" s="329" customFormat="1" ht="17.25" customHeight="1">
      <c r="B56" s="302"/>
      <c r="C56" s="304"/>
      <c r="D56" s="295" t="s">
        <v>1075</v>
      </c>
      <c r="E56" s="295"/>
      <c r="F56" s="297" t="s">
        <v>1525</v>
      </c>
      <c r="G56" s="297"/>
      <c r="H56" s="298"/>
    </row>
    <row r="57" spans="2:8" s="329" customFormat="1" ht="17.25" customHeight="1">
      <c r="B57" s="302"/>
      <c r="C57" s="304"/>
      <c r="D57" s="295" t="s">
        <v>1076</v>
      </c>
      <c r="E57" s="295"/>
      <c r="F57" s="297" t="str">
        <f ca="1">"
   AND (  ISNULL(T_URIAGE_B.HAMBAI_KINGAKU,0) &lt;&gt; 0
       OR T_URIAGE_B.ROW_KBN = '2' )
   AND T_URIAGE_B.URIAGE_NO = '"&amp;UNNH0030_IF_SAVE_BAT_URIAGE_NO&amp;"'
"</f>
        <v xml:space="preserve">
   AND (  ISNULL(T_URIAGE_B.HAMBAI_KINGAKU,0) &lt;&gt; 0
       OR T_URIAGE_B.ROW_KBN = '2' )
   AND T_URIAGE_B.URIAGE_NO = ''
</v>
      </c>
      <c r="G57" s="298"/>
      <c r="H57" s="298"/>
    </row>
    <row r="58" spans="2:8" s="329" customFormat="1" ht="18.75">
      <c r="B58" s="730" t="s">
        <v>1585</v>
      </c>
      <c r="C58" s="730"/>
      <c r="D58" s="730"/>
      <c r="E58" s="515"/>
      <c r="F58" s="300"/>
      <c r="G58" s="300"/>
      <c r="H58" s="301" t="s">
        <v>1056</v>
      </c>
    </row>
    <row r="59" spans="2:8" s="329" customFormat="1" ht="17.25" customHeight="1">
      <c r="B59" s="302"/>
      <c r="C59" s="731" t="s">
        <v>1057</v>
      </c>
      <c r="D59" s="732"/>
      <c r="E59" s="513"/>
      <c r="F59" s="297" t="str">
        <f>F60&amp;F61</f>
        <v xml:space="preserve">SELECT
       COUNT(*)
  FROM W_URIAGE_JUCHU_SELECT AS TBL_W
 WHERE TBL_W.W_USER_ID = '0'
   AND TBL_W.W_SERIAL  = '0'
</v>
      </c>
      <c r="G59" s="297"/>
      <c r="H59" s="298" t="s">
        <v>1587</v>
      </c>
    </row>
    <row r="60" spans="2:8" s="329" customFormat="1" ht="17.25" customHeight="1">
      <c r="B60" s="302"/>
      <c r="C60" s="304"/>
      <c r="D60" s="295" t="s">
        <v>1071</v>
      </c>
      <c r="E60" s="295"/>
      <c r="F60" s="297" t="s">
        <v>1586</v>
      </c>
      <c r="G60" s="297"/>
      <c r="H60" s="298" t="s">
        <v>958</v>
      </c>
    </row>
    <row r="61" spans="2:8" s="329" customFormat="1" ht="17.25" customHeight="1">
      <c r="B61" s="499"/>
      <c r="C61" s="500"/>
      <c r="D61" s="295" t="s">
        <v>1072</v>
      </c>
      <c r="E61" s="295"/>
      <c r="F61" s="297" t="str">
        <f>" WHERE TBL_W.W_USER_ID = '"&amp;UNNH0030_SQL_USER_ID&amp;"'
   AND TBL_W.W_SERIAL  = '"&amp;UNNH0030_SQL_SERIAL&amp;"'
"</f>
        <v xml:space="preserve"> WHERE TBL_W.W_USER_ID = '0'
   AND TBL_W.W_SERIAL  = '0'
</v>
      </c>
      <c r="G61" s="297"/>
      <c r="H61" s="298" t="s">
        <v>958</v>
      </c>
    </row>
    <row r="64" spans="2:8" s="329" customFormat="1" ht="18.75">
      <c r="B64" s="733" t="s">
        <v>1089</v>
      </c>
      <c r="C64" s="734"/>
      <c r="D64" s="735"/>
      <c r="E64" s="512"/>
      <c r="F64" s="300"/>
      <c r="G64" s="300"/>
      <c r="H64" s="301" t="s">
        <v>1056</v>
      </c>
    </row>
    <row r="65" spans="2:8" s="329" customFormat="1" ht="18.75" customHeight="1">
      <c r="B65" s="302"/>
      <c r="C65" s="736" t="s">
        <v>96</v>
      </c>
      <c r="D65" s="737"/>
      <c r="E65" s="510"/>
      <c r="F65" s="297" t="s">
        <v>1487</v>
      </c>
      <c r="G65" s="297"/>
      <c r="H65" s="298" t="s">
        <v>1090</v>
      </c>
    </row>
    <row r="66" spans="2:8" s="329" customFormat="1" ht="18.75" customHeight="1">
      <c r="B66" s="302"/>
      <c r="C66" s="736" t="s">
        <v>713</v>
      </c>
      <c r="D66" s="737"/>
      <c r="E66" s="339"/>
      <c r="F66" s="297" t="s">
        <v>1488</v>
      </c>
      <c r="G66" s="297"/>
      <c r="H66" s="298" t="s">
        <v>1091</v>
      </c>
    </row>
    <row r="67" spans="2:8" s="329" customFormat="1" ht="18.75" customHeight="1">
      <c r="B67" s="302"/>
      <c r="C67" s="736" t="s">
        <v>1306</v>
      </c>
      <c r="D67" s="737"/>
      <c r="E67" s="350"/>
      <c r="F67" s="297" t="s">
        <v>1489</v>
      </c>
      <c r="G67" s="297"/>
      <c r="H67" s="298" t="s">
        <v>1284</v>
      </c>
    </row>
    <row r="68" spans="2:8" s="329" customFormat="1" ht="18.75" customHeight="1">
      <c r="B68" s="302"/>
      <c r="C68" s="736" t="s">
        <v>1420</v>
      </c>
      <c r="D68" s="737"/>
      <c r="E68" s="416"/>
      <c r="F68" s="297" t="s">
        <v>1490</v>
      </c>
      <c r="G68" s="297"/>
      <c r="H68" s="298" t="s">
        <v>1427</v>
      </c>
    </row>
    <row r="69" spans="2:8" s="329" customFormat="1" ht="18.75" customHeight="1">
      <c r="B69" s="302"/>
      <c r="C69" s="736" t="s">
        <v>1416</v>
      </c>
      <c r="D69" s="737"/>
      <c r="E69" s="414"/>
      <c r="F69" s="297" t="s">
        <v>1491</v>
      </c>
      <c r="G69" s="297"/>
      <c r="H69" s="298" t="s">
        <v>1698</v>
      </c>
    </row>
    <row r="71" spans="2:8" s="329" customFormat="1" ht="18.75">
      <c r="B71" s="733" t="s">
        <v>1092</v>
      </c>
      <c r="C71" s="734"/>
      <c r="D71" s="735"/>
      <c r="E71" s="338"/>
      <c r="F71" s="300"/>
      <c r="G71" s="300"/>
      <c r="H71" s="301" t="s">
        <v>1056</v>
      </c>
    </row>
    <row r="72" spans="2:8" ht="18.75" customHeight="1">
      <c r="B72" s="302"/>
      <c r="C72" s="731" t="s">
        <v>1093</v>
      </c>
      <c r="D72" s="732"/>
      <c r="E72" s="303"/>
      <c r="F72" s="297" t="str">
        <f>"SELECT SHAIN_CD
      ,SHIMEI
  FROM M_SHAIN
 WHERE M_SHAIN.SHAIN_CD = '"&amp;UNNH0030_SQL_USER_ID&amp;"'
"</f>
        <v xml:space="preserve">SELECT SHAIN_CD
      ,SHIMEI
  FROM M_SHAIN
 WHERE M_SHAIN.SHAIN_CD = '0'
</v>
      </c>
      <c r="G72" s="297"/>
      <c r="H72" s="298" t="s">
        <v>1094</v>
      </c>
    </row>
    <row r="73" spans="2:8" ht="18.75" customHeight="1">
      <c r="B73" s="302"/>
      <c r="C73" s="736" t="s">
        <v>44</v>
      </c>
      <c r="D73" s="737"/>
      <c r="E73" s="314"/>
      <c r="F73" s="297" t="s">
        <v>1095</v>
      </c>
      <c r="G73" s="297"/>
      <c r="H73" s="298" t="s">
        <v>1096</v>
      </c>
    </row>
    <row r="74" spans="2:8" s="329" customFormat="1" ht="18.75" customHeight="1">
      <c r="B74" s="302"/>
      <c r="C74" s="736" t="s">
        <v>1299</v>
      </c>
      <c r="D74" s="737"/>
      <c r="E74" s="355"/>
      <c r="F74" s="297" t="s">
        <v>1305</v>
      </c>
      <c r="G74" s="297"/>
      <c r="H74" s="298" t="s">
        <v>1308</v>
      </c>
    </row>
    <row r="75" spans="2:8" s="329" customFormat="1" ht="18.75" customHeight="1">
      <c r="B75" s="302"/>
      <c r="C75" s="736" t="s">
        <v>1300</v>
      </c>
      <c r="D75" s="737"/>
      <c r="E75" s="355"/>
      <c r="F75" s="297" t="s">
        <v>1307</v>
      </c>
      <c r="G75" s="297"/>
      <c r="H75" s="298" t="s">
        <v>1309</v>
      </c>
    </row>
    <row r="76" spans="2:8" s="329" customFormat="1" ht="18.75" customHeight="1">
      <c r="B76" s="302"/>
      <c r="C76" s="736" t="s">
        <v>1420</v>
      </c>
      <c r="D76" s="737"/>
      <c r="E76" s="417"/>
      <c r="F76" s="297" t="s">
        <v>1429</v>
      </c>
      <c r="G76" s="297"/>
      <c r="H76" s="298" t="s">
        <v>1428</v>
      </c>
    </row>
    <row r="77" spans="2:8" s="329" customFormat="1" ht="18.75" customHeight="1">
      <c r="B77" s="302"/>
      <c r="C77" s="736" t="s">
        <v>1494</v>
      </c>
      <c r="D77" s="737"/>
      <c r="E77" s="454"/>
      <c r="F77" s="297" t="s">
        <v>1495</v>
      </c>
      <c r="G77" s="297"/>
      <c r="H77" s="298" t="s">
        <v>1496</v>
      </c>
    </row>
    <row r="79" spans="2:8" ht="18.75">
      <c r="B79" s="730" t="s">
        <v>1097</v>
      </c>
      <c r="C79" s="730"/>
      <c r="D79" s="730"/>
      <c r="E79" s="299"/>
      <c r="F79" s="300"/>
      <c r="G79" s="300"/>
      <c r="H79" s="301" t="s">
        <v>1056</v>
      </c>
    </row>
    <row r="80" spans="2:8" ht="19.5" customHeight="1">
      <c r="B80" s="302"/>
      <c r="C80" s="731" t="s">
        <v>1098</v>
      </c>
      <c r="D80" s="732"/>
      <c r="E80" s="303"/>
      <c r="F80" s="297" t="s">
        <v>1644</v>
      </c>
      <c r="G80" s="297"/>
      <c r="H80" s="298" t="s">
        <v>1099</v>
      </c>
    </row>
    <row r="81" spans="2:9" ht="19.5" customHeight="1">
      <c r="B81" s="302"/>
      <c r="C81" s="731" t="s">
        <v>1333</v>
      </c>
      <c r="D81" s="732"/>
      <c r="E81" s="363"/>
      <c r="F81" s="297" t="str">
        <f>"SELECT CASE
         WHEN ISNULL(SEIKYUHOHO_KBN,0) = 0
              THEN '"&amp;TEXT(UNNH0030_H_URIAGE_DATE,"YYYY/MM/DD")&amp;"'
         WHEN SEIKYUHOHO_KBN = 31
              THEN CONVERT(VARCHAR(10), DATEADD(MONTH ,KAISHU_MONTH+1 ,CONCAT(YEAR('"&amp;TEXT(UNNH0030_H_URIAGE_DATE,"YYYY/MM/DD")&amp;"'),'/',MONTH('"&amp;TEXT(UNNH0030_H_URIAGE_DATE,"YYYY/MM/DD")&amp;"'),'/',KAISHU_DAY)),111)
         ELSE
              CASE
                WHEN DAY('"&amp;TEXT(UNNH0030_H_URIAGE_DATE,"YYYY/MM/DD")&amp;"') &gt; SEIKYUHOHO_KBN
                     THEN CONVERT(VARCHAR(10), DATEADD(MONTH ,KAISHU_MONTH+1 ,CONCAT(YEAR('"&amp;TEXT(UNNH0030_H_URIAGE_DATE,"YYYY/MM/DD")&amp;"'),'/',MONTH('"&amp;TEXT(UNNH0030_H_URIAGE_DATE,"YYYY/MM/DD")&amp;"'),'/',KAISHU_DAY)),111)
                ELSE
                     CONVERT(VARCHAR(10), DATEADD(MONTH ,KAISHU_MONTH ,CONCAT(YEAR('"&amp;TEXT(UNNH0030_H_URIAGE_DATE,"YYYY/MM/DD")&amp;"'),'/',MONTH('"&amp;TEXT(UNNH0030_H_URIAGE_DATE,"YYYY/MM/DD")&amp;"'),'/',KAISHU_DAY)),111)
              END
       END                                  AS  回収日
  FROM M_AITESAKI
 WHERE M_AITESAKI.AITE_CD = '"&amp;UNNH0030_H_SEIKYUSAKI_CD&amp;"'"</f>
        <v>SELECT CASE
         WHEN ISNULL(SEIKYUHOHO_KBN,0) = 0
              THEN '1900/01/00'
         WHEN SEIKYUHOHO_KBN = 31
              THEN CONVERT(VARCHAR(10), DATEADD(MONTH ,KAISHU_MONTH+1 ,CONCAT(YEAR('1900/01/00'),'/',MONTH('1900/01/00'),'/',KAISHU_DAY)),111)
         ELSE
              CASE
                WHEN DAY('1900/01/00') &gt; SEIKYUHOHO_KBN
                     THEN CONVERT(VARCHAR(10), DATEADD(MONTH ,KAISHU_MONTH+1 ,CONCAT(YEAR('1900/01/00'),'/',MONTH('1900/01/00'),'/',KAISHU_DAY)),111)
                ELSE
                     CONVERT(VARCHAR(10), DATEADD(MONTH ,KAISHU_MONTH ,CONCAT(YEAR('1900/01/00'),'/',MONTH('1900/01/00'),'/',KAISHU_DAY)),111)
              END
       END                                  AS  回収日
  FROM M_AITESAKI
 WHERE M_AITESAKI.AITE_CD = ''</v>
      </c>
      <c r="G81" s="297"/>
      <c r="H81" s="298" t="s">
        <v>1331</v>
      </c>
    </row>
    <row r="82" spans="2:9" s="329" customFormat="1" ht="19.5" customHeight="1">
      <c r="B82" s="499"/>
      <c r="C82" s="736" t="s">
        <v>1605</v>
      </c>
      <c r="D82" s="737"/>
      <c r="E82" s="514"/>
      <c r="F82" s="297" t="str">
        <f>"SELECT
       TBL_B.JURI_NO         AS '受理No'
      ,TBL_B.JUCHU_KBN_MEI   AS '受注区分'
      ,TBL_B.STS             AS 'ステータス'"&amp;"
      ,TBL_B.BUN_HAN_KBN_MEI AS '分析販売区分'
      ,TBL_B.SEIKYU_MEI      AS '請求先名'
      ,TBL_B.NOHIN_DATE      AS '納品日'
  FROM T_URIAGE_JUCHU_SELECT AS TBL_A"&amp;"
 INNER JOIN
       V_URIAGE_JUCHU_SELECT AS TBL_B
    ON TBL_B.JURI_NO         =  TBL_A.JURI_NO
 WHERE TBL_A.URIAGE_NO       =  '"&amp;UNNH0030_IF_REF_NO&amp;"'
 ORDER BY TBL_B.JURI_NO      ASC
"</f>
        <v xml:space="preserve">SELECT
       TBL_B.JURI_NO         AS '受理No'
      ,TBL_B.JUCHU_KBN_MEI   AS '受注区分'
      ,TBL_B.STS             AS 'ステータス'
      ,TBL_B.BUN_HAN_KBN_MEI AS '分析販売区分'
      ,TBL_B.SEIKYU_MEI      AS '請求先名'
      ,TBL_B.NOHIN_DATE      AS '納品日'
  FROM T_URIAGE_JUCHU_SELECT AS TBL_A
 INNER JOIN
       V_URIAGE_JUCHU_SELECT AS TBL_B
    ON TBL_B.JURI_NO         =  TBL_A.JURI_NO
 WHERE TBL_A.URIAGE_NO       =  'U16-010001'
 ORDER BY TBL_B.JURI_NO      ASC
</v>
      </c>
      <c r="G82" s="297"/>
      <c r="H82" s="298" t="s">
        <v>1594</v>
      </c>
    </row>
    <row r="83" spans="2:9" s="329" customFormat="1" ht="19.5" customHeight="1">
      <c r="B83" s="499"/>
      <c r="C83" s="736" t="s">
        <v>1674</v>
      </c>
      <c r="D83" s="737"/>
      <c r="E83" s="532"/>
      <c r="F83" s="297" t="s">
        <v>1699</v>
      </c>
      <c r="G83" s="297"/>
      <c r="H83" s="298" t="s">
        <v>1676</v>
      </c>
      <c r="I83" s="329" t="s">
        <v>1675</v>
      </c>
    </row>
  </sheetData>
  <mergeCells count="38">
    <mergeCell ref="C83:D83"/>
    <mergeCell ref="C72:D72"/>
    <mergeCell ref="C73:D73"/>
    <mergeCell ref="B79:D79"/>
    <mergeCell ref="C80:D80"/>
    <mergeCell ref="C74:D74"/>
    <mergeCell ref="C75:D75"/>
    <mergeCell ref="C76:D76"/>
    <mergeCell ref="C77:D77"/>
    <mergeCell ref="C82:D82"/>
    <mergeCell ref="C81:D81"/>
    <mergeCell ref="C52:D52"/>
    <mergeCell ref="C55:D55"/>
    <mergeCell ref="B71:D71"/>
    <mergeCell ref="C68:D68"/>
    <mergeCell ref="C69:D69"/>
    <mergeCell ref="B58:D58"/>
    <mergeCell ref="C59:D59"/>
    <mergeCell ref="C67:D67"/>
    <mergeCell ref="C66:D66"/>
    <mergeCell ref="B64:D64"/>
    <mergeCell ref="C65:D65"/>
    <mergeCell ref="B51:D51"/>
    <mergeCell ref="B7:D7"/>
    <mergeCell ref="C8:D8"/>
    <mergeCell ref="B24:D24"/>
    <mergeCell ref="C25:D25"/>
    <mergeCell ref="B28:D28"/>
    <mergeCell ref="C29:D29"/>
    <mergeCell ref="B32:D32"/>
    <mergeCell ref="C33:D33"/>
    <mergeCell ref="B36:D36"/>
    <mergeCell ref="C37:D37"/>
    <mergeCell ref="B40:D40"/>
    <mergeCell ref="C41:D41"/>
    <mergeCell ref="B44:D44"/>
    <mergeCell ref="C45:D45"/>
    <mergeCell ref="C48:D48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B1:AO28"/>
  <sheetViews>
    <sheetView zoomScale="85" zoomScaleNormal="85" workbookViewId="0">
      <selection activeCell="H27" sqref="H27"/>
    </sheetView>
  </sheetViews>
  <sheetFormatPr defaultRowHeight="13.5"/>
  <cols>
    <col min="1" max="1" width="6.125" style="162" customWidth="1"/>
    <col min="2" max="2" width="7.125" style="162" customWidth="1"/>
    <col min="3" max="3" width="13.125" style="162" bestFit="1" customWidth="1"/>
    <col min="4" max="4" width="39.5" style="162" customWidth="1"/>
    <col min="5" max="5" width="34.375" style="162" bestFit="1" customWidth="1"/>
    <col min="6" max="6" width="6.125" style="162" customWidth="1"/>
    <col min="7" max="7" width="8.375" style="162" bestFit="1" customWidth="1"/>
    <col min="8" max="8" width="15.125" style="162" bestFit="1" customWidth="1"/>
    <col min="9" max="9" width="32.625" style="162" customWidth="1"/>
    <col min="10" max="10" width="9" style="162" bestFit="1" customWidth="1"/>
    <col min="11" max="12" width="6.5" style="162" bestFit="1" customWidth="1"/>
    <col min="13" max="13" width="13" style="162" bestFit="1" customWidth="1"/>
    <col min="14" max="14" width="15.125" style="162" bestFit="1" customWidth="1"/>
    <col min="15" max="15" width="5.25" style="162" bestFit="1" customWidth="1"/>
    <col min="16" max="16" width="7.125" style="162" bestFit="1" customWidth="1"/>
    <col min="17" max="17" width="5.25" style="162" bestFit="1" customWidth="1"/>
    <col min="18" max="18" width="7.125" style="162" bestFit="1" customWidth="1"/>
    <col min="19" max="19" width="13.875" style="162" bestFit="1" customWidth="1"/>
    <col min="20" max="20" width="13" style="162" bestFit="1" customWidth="1"/>
    <col min="21" max="21" width="13" style="329" customWidth="1"/>
    <col min="22" max="22" width="17.875" style="162" bestFit="1" customWidth="1"/>
    <col min="23" max="23" width="15.875" style="162" bestFit="1" customWidth="1"/>
    <col min="24" max="24" width="18.125" style="162" bestFit="1" customWidth="1"/>
    <col min="25" max="25" width="16.125" style="162" bestFit="1" customWidth="1"/>
    <col min="26" max="27" width="11.875" style="162" bestFit="1" customWidth="1"/>
    <col min="28" max="28" width="8.125" style="162" bestFit="1" customWidth="1"/>
    <col min="29" max="29" width="18.625" style="329" bestFit="1" customWidth="1"/>
    <col min="30" max="30" width="18.625" style="329" customWidth="1"/>
    <col min="31" max="31" width="9" style="162"/>
    <col min="32" max="32" width="41.5" style="162" bestFit="1" customWidth="1"/>
    <col min="33" max="33" width="16.375" style="162" bestFit="1" customWidth="1"/>
    <col min="34" max="34" width="40" style="162" bestFit="1" customWidth="1"/>
    <col min="35" max="35" width="15.875" style="162" bestFit="1" customWidth="1"/>
    <col min="36" max="36" width="16.125" style="425" customWidth="1"/>
    <col min="37" max="38" width="5.25" style="162" bestFit="1" customWidth="1"/>
    <col min="39" max="39" width="5.5" style="162" bestFit="1" customWidth="1"/>
    <col min="40" max="40" width="11.625" style="162" bestFit="1" customWidth="1"/>
    <col min="41" max="16384" width="9" style="162"/>
  </cols>
  <sheetData>
    <row r="1" spans="2:41" s="329" customFormat="1">
      <c r="AJ1" s="495"/>
    </row>
    <row r="2" spans="2:41">
      <c r="B2" s="162" t="s">
        <v>1110</v>
      </c>
      <c r="G2" s="162" t="s">
        <v>1111</v>
      </c>
      <c r="AF2" s="162" t="s">
        <v>1112</v>
      </c>
      <c r="AJ2" s="495"/>
    </row>
    <row r="3" spans="2:41">
      <c r="C3" s="329" t="s">
        <v>1258</v>
      </c>
      <c r="D3" s="329" t="s">
        <v>1257</v>
      </c>
      <c r="E3" s="72">
        <f>IF(UNNH0030_REPORT_IF_H_DEMPYO_HAKKO_KBN=1,2,
IF(UNNH0030_REPORT_IF_B_KENSU=0,2,
IF(OR(UNNH0030_REPORT_IF_SEIKYUSHO_CHECK=1,UNNH0030_REPORT_IF_JURYOSHO_CHECK=1,UNNH0030_REPORT_IF_NOHINSHO_CHECK=1,UNNH0030_REPORT_IF_HIKAE_CHECK=1),1,2)))</f>
        <v>2</v>
      </c>
      <c r="H3" s="162" t="s">
        <v>1115</v>
      </c>
      <c r="I3" s="162" t="s">
        <v>1116</v>
      </c>
      <c r="J3" s="72" t="str">
        <f>IF(UNNH0030_REPORT_IF_H_SEIKYUHOHO_KBN=0,"都度",
IF(UNNH0030_REPORT_IF_H_SEIKYUHOHO_KBN=5,"5日",
IF(UNNH0030_REPORT_IF_H_SEIKYUHOHO_KBN=10,"10日",
IF(UNNH0030_REPORT_IF_H_SEIKYUHOHO_KBN=15,"15日",
IF(UNNH0030_REPORT_IF_H_SEIKYUHOHO_KBN=20,"20日",
IF(UNNH0030_REPORT_IF_H_SEIKYUHOHO_KBN=25,"25日",
IF(UNNH0030_REPORT_IF_H_SEIKYUHOHO_KBN=31,"末日")))))))</f>
        <v>都度</v>
      </c>
      <c r="AG3" s="162" t="s">
        <v>1117</v>
      </c>
      <c r="AH3" s="162" t="s">
        <v>1118</v>
      </c>
      <c r="AI3" s="72"/>
      <c r="AJ3" s="495"/>
    </row>
    <row r="4" spans="2:41">
      <c r="C4" s="162" t="s">
        <v>1113</v>
      </c>
      <c r="D4" s="162" t="s">
        <v>1114</v>
      </c>
      <c r="E4" s="72">
        <f>IF(UNNH0030_REPORT_IF_H_SEIKYUSHO_FLG=TRUE,1,2)</f>
        <v>2</v>
      </c>
      <c r="H4" s="329" t="s">
        <v>1500</v>
      </c>
      <c r="I4" s="329" t="s">
        <v>1501</v>
      </c>
      <c r="J4" s="72" t="str">
        <f>IF(UNNH0030_REPORT_IF_H_SEIKYUHOHO_KBN=0,"*","")</f>
        <v>*</v>
      </c>
      <c r="K4" s="329" t="s">
        <v>1502</v>
      </c>
      <c r="L4" s="329"/>
      <c r="M4" s="329"/>
      <c r="N4" s="329"/>
      <c r="O4" s="329"/>
      <c r="P4" s="329"/>
      <c r="Q4" s="329"/>
      <c r="R4" s="329"/>
      <c r="S4" s="329"/>
      <c r="T4" s="329"/>
      <c r="V4" s="329"/>
      <c r="W4" s="329"/>
      <c r="X4" s="329"/>
      <c r="Y4" s="329"/>
      <c r="Z4" s="329"/>
      <c r="AA4" s="329"/>
      <c r="AB4" s="329"/>
      <c r="AE4" s="329"/>
      <c r="AF4" s="329"/>
      <c r="AG4" s="329" t="s">
        <v>1532</v>
      </c>
      <c r="AH4" s="329" t="s">
        <v>1531</v>
      </c>
      <c r="AI4" s="72">
        <v>20</v>
      </c>
      <c r="AJ4" s="495"/>
      <c r="AK4" s="329"/>
      <c r="AL4" s="329"/>
      <c r="AM4" s="329"/>
      <c r="AN4" s="329"/>
      <c r="AO4" s="329"/>
    </row>
    <row r="5" spans="2:41">
      <c r="C5" s="162" t="s">
        <v>1119</v>
      </c>
      <c r="D5" s="162" t="s">
        <v>1120</v>
      </c>
      <c r="E5" s="72">
        <f>IF(UNNH0030_REPORT_IF_H_JURYOSHO_FLG=TRUE,1,2)</f>
        <v>2</v>
      </c>
      <c r="H5" s="162" t="s">
        <v>1121</v>
      </c>
      <c r="I5" s="162" t="s">
        <v>1122</v>
      </c>
      <c r="J5" s="72" t="str">
        <f>IF(UNNH0030_REPORT_IF_H_TAX_KBN=1,"*","")</f>
        <v/>
      </c>
      <c r="K5" s="162" t="s">
        <v>1503</v>
      </c>
      <c r="AG5" s="162" t="s">
        <v>195</v>
      </c>
      <c r="AH5" s="162" t="s">
        <v>1123</v>
      </c>
      <c r="AI5" s="72">
        <f>IF(UNNH0030_REPORT_IF_B_KENSU=0,1,ROUNDUP(UNNH0030_REPORT_IF_B_KENSU/UNNH0030_REPORT_IF_B_PAGE_MEISAI_SU,0))</f>
        <v>1</v>
      </c>
      <c r="AJ5" s="495"/>
    </row>
    <row r="6" spans="2:41">
      <c r="C6" s="162" t="s">
        <v>1124</v>
      </c>
      <c r="D6" s="162" t="s">
        <v>1125</v>
      </c>
      <c r="E6" s="72">
        <f>IF(UNNH0030_REPORT_IF_H_NOHINSHO_FLG=TRUE,1,2)</f>
        <v>2</v>
      </c>
      <c r="H6" s="162" t="s">
        <v>1126</v>
      </c>
      <c r="I6" s="162" t="s">
        <v>1127</v>
      </c>
      <c r="J6" s="72">
        <f>ROUNDDOWN(IF(UNNH0030_REPORT_IF_H_TAX_KBN_MARK="*",UNNH0030_REPORT_IF_H_NUKI_TOTAL,UNNH0030_REPORT_IF_H_TAX+UNNH0030_REPORT_IF_H_NUKI_TOTAL),0)</f>
        <v>0</v>
      </c>
      <c r="AG6" s="162" t="s">
        <v>1504</v>
      </c>
      <c r="AH6" s="329" t="s">
        <v>1505</v>
      </c>
      <c r="AI6" s="72">
        <f>UNNH0030_REPORT_IF_B_KENSU+1</f>
        <v>1</v>
      </c>
      <c r="AJ6" s="495"/>
    </row>
    <row r="7" spans="2:41">
      <c r="C7" s="162" t="s">
        <v>1128</v>
      </c>
      <c r="D7" s="162" t="s">
        <v>1129</v>
      </c>
      <c r="E7" s="72">
        <f>IF(UNNH0030_REPORT_IF_H_HIKAE_FLG=TRUE,1,2)</f>
        <v>2</v>
      </c>
      <c r="AG7" s="162" t="s">
        <v>1130</v>
      </c>
      <c r="AH7" s="162" t="s">
        <v>1131</v>
      </c>
      <c r="AI7" s="72" t="str">
        <f>IF(UNNH0030_REPORT_IF_B_KENSU=0,"",
ADDRESS(ROW(UNNH0030_REPORT_IF_B_START),COLUMN(UNNH0030_REPORT_IF_B_START))&amp;":"&amp;ADDRESS(ROW(UNNH0030_REPORT_IF_B_START)+UNNH0030_REPORT_IF_B_KENSU-1,COLUMN(UNNH0030_REPORT_IF_B_START)+COLUMNS(UNNH0030_REPORT_IF_B_COPY_MOTO)-1))</f>
        <v/>
      </c>
      <c r="AJ7" s="495"/>
    </row>
    <row r="8" spans="2:41">
      <c r="H8" s="316" t="s">
        <v>76</v>
      </c>
      <c r="I8" s="316" t="s">
        <v>3</v>
      </c>
      <c r="J8" s="316" t="s">
        <v>1132</v>
      </c>
      <c r="K8" s="316" t="s">
        <v>1133</v>
      </c>
      <c r="L8" s="316" t="s">
        <v>1134</v>
      </c>
      <c r="M8" s="316" t="s">
        <v>1135</v>
      </c>
      <c r="N8" s="316" t="s">
        <v>1136</v>
      </c>
      <c r="O8" s="316" t="s">
        <v>713</v>
      </c>
      <c r="P8" s="316" t="s">
        <v>95</v>
      </c>
      <c r="Q8" s="316" t="s">
        <v>18</v>
      </c>
      <c r="R8" s="316" t="s">
        <v>13</v>
      </c>
      <c r="S8" s="316" t="s">
        <v>1137</v>
      </c>
      <c r="T8" s="316" t="s">
        <v>1138</v>
      </c>
      <c r="U8" s="316" t="s">
        <v>1497</v>
      </c>
      <c r="V8" s="316" t="s">
        <v>1139</v>
      </c>
      <c r="W8" s="316" t="s">
        <v>1140</v>
      </c>
      <c r="X8" s="316" t="s">
        <v>1141</v>
      </c>
      <c r="Y8" s="316" t="s">
        <v>1142</v>
      </c>
      <c r="Z8" s="316" t="s">
        <v>1143</v>
      </c>
      <c r="AA8" s="316" t="s">
        <v>1144</v>
      </c>
      <c r="AB8" s="316" t="s">
        <v>1145</v>
      </c>
      <c r="AC8" s="316" t="s">
        <v>1256</v>
      </c>
      <c r="AD8" s="316" t="s">
        <v>1383</v>
      </c>
      <c r="AG8" s="458" t="s">
        <v>687</v>
      </c>
      <c r="AH8" s="162" t="s">
        <v>1146</v>
      </c>
      <c r="AI8" s="72" t="str">
        <f>ADDRESS(ROW(UNNH0030_REPORT_IF_B_START),COLUMN(UNNH0030_REPORT_IF_B_START))&amp;":"&amp;ADDRESS(ROW(UNNH0030_REPORT_IF_B_START)+99,COLUMN(UNNH0030_REPORT_IF_B_START)+COLUMNS(UNNH0030_REPORT_IF_B_COPY_MOTO)-1)</f>
        <v>$AG$17:$AN$116</v>
      </c>
      <c r="AJ8" s="495"/>
    </row>
    <row r="9" spans="2:41"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  <c r="S9" s="317"/>
      <c r="T9" s="317"/>
      <c r="U9" s="317"/>
      <c r="V9" s="317"/>
      <c r="W9" s="317"/>
      <c r="X9" s="317"/>
      <c r="Y9" s="317"/>
      <c r="Z9" s="317"/>
      <c r="AA9" s="317"/>
      <c r="AB9" s="317"/>
      <c r="AC9" s="317"/>
      <c r="AD9" s="317"/>
      <c r="AJ9" s="495"/>
    </row>
    <row r="10" spans="2:41">
      <c r="B10" s="329" t="s">
        <v>1401</v>
      </c>
      <c r="AG10" s="162" t="s">
        <v>1147</v>
      </c>
      <c r="AH10" s="162" t="s">
        <v>1341</v>
      </c>
      <c r="AI10" s="72" t="str">
        <f>ADDRESS(ROW(UNNH0030_REPORT_IF_B_START)+UNNH0030_REPORT_IF_B_KENSU,COLUMN(UNNH0030_REPORT_IF_B_START))&amp;":"&amp;
ADDRESS(ROW(UNNH0030_REPORT_IF_B_START)+UNNH0030_REPORT_IF_B_KENSU,COLUMN(UNNH0030_REPORT_IF_B_START)+COLUMNS(UNNH0030_REPORT_IF_B_COPY_MOTO)-1)</f>
        <v>$AG$17:$AN$17</v>
      </c>
      <c r="AJ10" s="495"/>
    </row>
    <row r="11" spans="2:41">
      <c r="C11" s="329" t="s">
        <v>1402</v>
      </c>
      <c r="D11" s="329" t="s">
        <v>1406</v>
      </c>
      <c r="E11" s="378" t="str">
        <f>"UNNH0030_SEIKYUSHO!"&amp;ADDRESS(ROW(UNNH0030_SEIKYUSHO_PAGE_AREA),COLUMN(UNNH0030_SEIKYUSHO_PAGE_AREA))&amp;":"&amp;ADDRESS(ROW(UNNH0030_SEIKYUSHO_PAGE_AREA)+(ROWS(UNNH0030_SEIKYUSHO_PAGE_AREA)*UNNH0030_REPORT_IF_B_PAGE_TOTAL)-1,COLUMN(UNNH0030_SEIKYUSHO_PAGE_AREA)+COLUMNS(UNNH0030_SEIKYUSHO_PAGE_AREA)-1)</f>
        <v>UNNH0030_SEIKYUSHO!$A$1:$AZ$37</v>
      </c>
      <c r="H11" s="329" t="s">
        <v>135</v>
      </c>
      <c r="I11" s="329" t="s">
        <v>1339</v>
      </c>
      <c r="J11" s="72" t="str">
        <f>IF(UNNH0030_REPORT_IF_H_JURI_NO="","",
IF(LEFT(UNNH0030_REPORT_IF_H_JURI_NO,1)=",",LEFT(RIGHT(UNNH0030_REPORT_IF_H_JURI_NO,LEN(UNNH0030_REPORT_IF_H_JURI_NO)-1),242-1),
LEFT(UNNH0030_REPORT_IF_H_JURI_NO,242-1))&amp;
IF(LEN(UNNH0030_REPORT_IF_H_JURI_NO)&gt;242,"他",""))</f>
        <v/>
      </c>
      <c r="AG11" s="329" t="s">
        <v>1506</v>
      </c>
      <c r="AH11" s="329" t="s">
        <v>1507</v>
      </c>
      <c r="AI11" s="72">
        <f>IF(UNNH0030_REPORT_IF_H_TAX_KBN_MARK="*",2,1)</f>
        <v>1</v>
      </c>
      <c r="AJ11" s="495"/>
    </row>
    <row r="12" spans="2:41">
      <c r="C12" s="162" t="s">
        <v>1403</v>
      </c>
      <c r="D12" s="329" t="s">
        <v>1407</v>
      </c>
      <c r="E12" s="378" t="str">
        <f>"UNNH0030_JURYOSHO!"&amp;ADDRESS(ROW(UNNH0030_JURYOSHO_PAGE_AREA),COLUMN(UNNH0030_JURYOSHO_PAGE_AREA))&amp;":"&amp;ADDRESS(ROW(UNNH0030_JURYOSHO_PAGE_AREA)+(ROWS(UNNH0030_JURYOSHO_PAGE_AREA)*UNNH0030_REPORT_IF_B_PAGE_TOTAL)-1,COLUMN(UNNH0030_JURYOSHO_PAGE_AREA)+COLUMNS(UNNH0030_JURYOSHO_PAGE_AREA)-1)</f>
        <v>UNNH0030_JURYOSHO!$A$1:$AZ$37</v>
      </c>
      <c r="AJ12" s="495"/>
    </row>
    <row r="13" spans="2:41">
      <c r="C13" s="162" t="s">
        <v>1404</v>
      </c>
      <c r="D13" s="329" t="s">
        <v>1408</v>
      </c>
      <c r="E13" s="378" t="str">
        <f>"UNNH0030_NOHINSHO!"&amp;ADDRESS(ROW(UNNH0030_NOHINSHO_PAGE_AREA),COLUMN(UNNH0030_NOHINSHO_PAGE_AREA))&amp;":"&amp;ADDRESS(ROW(UNNH0030_NOHINSHO_PAGE_AREA)+(ROWS(UNNH0030_NOHINSHO_PAGE_AREA)*UNNH0030_REPORT_IF_B_PAGE_TOTAL)-1,COLUMN(UNNH0030_NOHINSHO_PAGE_AREA)+COLUMNS(UNNH0030_NOHINSHO_PAGE_AREA)-1)</f>
        <v>UNNH0030_NOHINSHO!$A$1:$AZ$37</v>
      </c>
      <c r="I13" s="329"/>
      <c r="AJ13" s="495"/>
    </row>
    <row r="14" spans="2:41">
      <c r="C14" s="162" t="s">
        <v>1405</v>
      </c>
      <c r="D14" s="329" t="s">
        <v>1409</v>
      </c>
      <c r="E14" s="378" t="str">
        <f>"UNNH0030_HIKAE!"&amp;ADDRESS(ROW(UNNH0030_HIKAE_PAGE_AREA),COLUMN(UNNH0030_HIKAE_PAGE_AREA))&amp;":"&amp;ADDRESS(ROW(UNNH0030_HIKAE_PAGE_AREA)+(ROWS(UNNH0030_HIKAE_PAGE_AREA)*UNNH0030_REPORT_IF_B_PAGE_TOTAL)-1,COLUMN(UNNH0030_HIKAE_PAGE_AREA)+COLUMNS(UNNH0030_HIKAE_PAGE_AREA)-1)</f>
        <v>UNNH0030_HIKAE!$A$1:$AZ$37</v>
      </c>
      <c r="AF14" s="162" t="s">
        <v>1340</v>
      </c>
      <c r="AG14" s="317">
        <f>ROW()+1-ROW(UNNH0030_REPORT_IF_B_START)</f>
        <v>-2</v>
      </c>
      <c r="AH14" s="317"/>
      <c r="AI14" s="317"/>
      <c r="AJ14" s="493" t="s">
        <v>13</v>
      </c>
      <c r="AK14" s="317"/>
      <c r="AL14" s="317"/>
      <c r="AM14" s="317"/>
      <c r="AN14" s="317">
        <f>UNNH0030_REPORT_IF_H_TAX</f>
        <v>0</v>
      </c>
    </row>
    <row r="15" spans="2:41">
      <c r="AF15" s="162" t="s">
        <v>1148</v>
      </c>
      <c r="AG15" s="317"/>
      <c r="AH15" s="317"/>
      <c r="AI15" s="317"/>
      <c r="AJ15" s="493"/>
      <c r="AK15" s="317"/>
      <c r="AL15" s="317"/>
      <c r="AM15" s="317"/>
      <c r="AN15" s="317"/>
    </row>
    <row r="16" spans="2:41">
      <c r="B16" s="329"/>
      <c r="AG16" s="318" t="s">
        <v>1149</v>
      </c>
      <c r="AH16" s="318" t="s">
        <v>1319</v>
      </c>
      <c r="AI16" s="318" t="s">
        <v>21</v>
      </c>
      <c r="AJ16" s="494" t="s">
        <v>17</v>
      </c>
      <c r="AK16" s="318" t="s">
        <v>1150</v>
      </c>
      <c r="AL16" s="318" t="s">
        <v>1151</v>
      </c>
      <c r="AM16" s="318" t="s">
        <v>1152</v>
      </c>
      <c r="AN16" s="318" t="s">
        <v>1153</v>
      </c>
    </row>
    <row r="17" spans="2:35">
      <c r="B17" s="329"/>
      <c r="C17" s="329"/>
      <c r="D17" s="329"/>
      <c r="E17" s="329"/>
      <c r="AF17" s="162" t="s">
        <v>1154</v>
      </c>
      <c r="AG17" s="72"/>
      <c r="AH17" s="33"/>
    </row>
    <row r="18" spans="2:35">
      <c r="B18" s="329"/>
      <c r="C18" s="329"/>
      <c r="D18" s="329"/>
      <c r="E18" s="329"/>
      <c r="W18" s="162" t="str">
        <f>TEXT(LEFT(TEXT(W19,"000000000"),4),"####")</f>
        <v/>
      </c>
    </row>
    <row r="19" spans="2:35">
      <c r="B19" s="329"/>
      <c r="C19" s="329"/>
      <c r="D19" s="329"/>
      <c r="E19" s="329"/>
    </row>
    <row r="20" spans="2:35">
      <c r="B20" s="329"/>
      <c r="C20" s="329"/>
      <c r="D20" s="329"/>
      <c r="E20" s="329"/>
      <c r="AI20" s="329"/>
    </row>
    <row r="21" spans="2:35">
      <c r="B21" s="329"/>
      <c r="C21" s="329"/>
      <c r="D21" s="329"/>
      <c r="E21" s="329"/>
      <c r="AI21" s="329"/>
    </row>
    <row r="22" spans="2:35">
      <c r="B22" s="329"/>
      <c r="C22" s="329"/>
      <c r="D22" s="329"/>
      <c r="E22" s="329"/>
      <c r="AI22" s="329"/>
    </row>
    <row r="23" spans="2:35">
      <c r="AI23" s="329"/>
    </row>
    <row r="24" spans="2:35">
      <c r="AI24" s="329"/>
    </row>
    <row r="25" spans="2:35">
      <c r="AI25" s="329"/>
    </row>
    <row r="26" spans="2:35">
      <c r="AI26" s="329"/>
    </row>
    <row r="27" spans="2:35">
      <c r="AI27" s="329"/>
    </row>
    <row r="28" spans="2:35">
      <c r="AI28" s="329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160"/>
  <sheetViews>
    <sheetView zoomScale="85" zoomScaleNormal="85" workbookViewId="0">
      <selection activeCell="D31" sqref="D31:AB31"/>
    </sheetView>
  </sheetViews>
  <sheetFormatPr defaultRowHeight="13.5"/>
  <cols>
    <col min="1" max="1" width="2.625" customWidth="1"/>
    <col min="2" max="2" width="2.375" customWidth="1"/>
    <col min="3" max="35" width="2.875" customWidth="1"/>
    <col min="36" max="52" width="2.75" customWidth="1"/>
  </cols>
  <sheetData>
    <row r="1" spans="1:52" s="329" customFormat="1"/>
    <row r="2" spans="1:52" s="329" customFormat="1">
      <c r="B2" s="329" t="s">
        <v>1516</v>
      </c>
      <c r="C2" s="329" t="s">
        <v>1520</v>
      </c>
      <c r="D2" s="72" t="str">
        <f>"UNNH0030_REPORT_RAYOUT!"&amp;ROW(UNNH0030_REPORT_RAYOUT_SEIKYUSHO)&amp;":"&amp;ROW(UNNH0030_REPORT_RAYOUT_SEIKYUSHO)+ROWS(UNNH0030_REPORT_RAYOUT_SEIKYUSHO)-1</f>
        <v>UNNH0030_REPORT_RAYOUT!9:45</v>
      </c>
    </row>
    <row r="3" spans="1:52" s="329" customFormat="1">
      <c r="B3" s="329" t="s">
        <v>1517</v>
      </c>
      <c r="C3" s="329" t="s">
        <v>1521</v>
      </c>
      <c r="D3" s="72" t="str">
        <f>"UNNH0030_REPORT_RAYOUT!"&amp;ROW(UNNH0030_REPORT_RAYOUT_NOHINSHO)&amp;":"&amp;ROW(UNNH0030_REPORT_RAYOUT_NOHINSHO)+ROWS(UNNH0030_REPORT_RAYOUT_NOHINSHO)-1</f>
        <v>UNNH0030_REPORT_RAYOUT!47:83</v>
      </c>
    </row>
    <row r="4" spans="1:52" s="329" customFormat="1">
      <c r="B4" s="329" t="s">
        <v>1518</v>
      </c>
      <c r="C4" s="329" t="s">
        <v>1522</v>
      </c>
      <c r="D4" s="72" t="str">
        <f>"UNNH0030_REPORT_RAYOUT!"&amp;ROW(UNNH0030_REPORT_RAYOUT_JURYOSHO)&amp;":"&amp;ROW(UNNH0030_REPORT_RAYOUT_JURYOSHO)+ROWS(UNNH0030_REPORT_RAYOUT_JURYOSHO)-1</f>
        <v>UNNH0030_REPORT_RAYOUT!85:121</v>
      </c>
    </row>
    <row r="5" spans="1:52" s="329" customFormat="1">
      <c r="B5" s="329" t="s">
        <v>1519</v>
      </c>
      <c r="C5" s="329" t="s">
        <v>1523</v>
      </c>
      <c r="D5" s="72" t="str">
        <f>"UNNH0030_REPORT_RAYOUT!"&amp;ROW(UNNH0030_REPORT_RAYOUT_HIKAE)&amp;":"&amp;ROW(UNNH0030_REPORT_RAYOUT_HIKAE)+ROWS(UNNH0030_REPORT_RAYOUT_HIKAE)-1</f>
        <v>UNNH0030_REPORT_RAYOUT!123:159</v>
      </c>
    </row>
    <row r="6" spans="1:52" s="329" customFormat="1"/>
    <row r="7" spans="1:52" s="329" customFormat="1"/>
    <row r="8" spans="1:52" s="329" customFormat="1">
      <c r="A8" s="72" t="s">
        <v>1509</v>
      </c>
      <c r="B8" s="72" t="s">
        <v>1508</v>
      </c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</row>
    <row r="9" spans="1:52" s="403" customFormat="1" ht="12">
      <c r="C9" s="404"/>
      <c r="D9" s="404"/>
      <c r="E9" s="465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6"/>
      <c r="W9" s="466"/>
      <c r="X9" s="466"/>
      <c r="Y9" s="467"/>
      <c r="AA9" s="744" t="s">
        <v>1100</v>
      </c>
      <c r="AB9" s="744"/>
      <c r="AC9" s="744"/>
      <c r="AD9" s="744"/>
      <c r="AE9" s="744"/>
      <c r="AF9" s="744"/>
      <c r="AG9" s="744"/>
      <c r="AH9" s="744"/>
      <c r="AI9" s="744"/>
      <c r="AJ9" s="744"/>
      <c r="AK9" s="744"/>
      <c r="AL9" s="744"/>
      <c r="AP9" s="774" t="str">
        <f>"No."&amp;UNNH0030_REPORT_IF_H_URIAGE_NO&amp;"-"&amp;ROUNDUP(ROW()/ROWS(UNNH0030_SEIKYUSHO_PAGE_AREA),0)&amp;"/"&amp;UNNH0030_REPORT_IF_B_PAGE_TOTAL</f>
        <v>No.-1/1</v>
      </c>
      <c r="AQ9" s="774"/>
      <c r="AR9" s="774"/>
      <c r="AS9" s="774"/>
      <c r="AT9" s="774"/>
      <c r="AU9" s="774"/>
      <c r="AV9" s="774"/>
      <c r="AW9" s="774"/>
      <c r="AX9" s="774"/>
      <c r="AY9" s="774"/>
    </row>
    <row r="10" spans="1:52" s="403" customFormat="1" ht="24.75" customHeight="1">
      <c r="C10" s="404"/>
      <c r="E10" s="468"/>
      <c r="F10" s="775" t="str">
        <f>IF(UNNH0030_REPORT_IF_H_JUSHO_NO_PRINT_FLG=TRUE,"","〒")</f>
        <v>〒</v>
      </c>
      <c r="G10" s="775"/>
      <c r="H10" s="776" t="str">
        <f>IF(UNNH0030_REPORT_IF_H_JUSHO_NO_PRINT_FLG=TRUE,"",IF(UNNH0030_REPORT_IF_H_YUBIN_NO="","",UNNH0030_REPORT_IF_H_YUBIN_NO))</f>
        <v/>
      </c>
      <c r="I10" s="776"/>
      <c r="J10" s="776"/>
      <c r="K10" s="776"/>
      <c r="L10" s="776"/>
      <c r="M10" s="776"/>
      <c r="N10" s="776"/>
      <c r="O10" s="776"/>
      <c r="P10" s="776"/>
      <c r="Q10" s="776"/>
      <c r="R10" s="776"/>
      <c r="S10" s="776"/>
      <c r="T10" s="776"/>
      <c r="U10" s="776"/>
      <c r="V10" s="776"/>
      <c r="W10" s="776"/>
      <c r="X10" s="776"/>
      <c r="Y10" s="469"/>
      <c r="AA10" s="744"/>
      <c r="AB10" s="744"/>
      <c r="AC10" s="744"/>
      <c r="AD10" s="744"/>
      <c r="AE10" s="744"/>
      <c r="AF10" s="744"/>
      <c r="AG10" s="744"/>
      <c r="AH10" s="744"/>
      <c r="AI10" s="744"/>
      <c r="AJ10" s="744"/>
      <c r="AK10" s="744"/>
      <c r="AL10" s="744"/>
      <c r="AP10" s="774"/>
      <c r="AQ10" s="774"/>
      <c r="AR10" s="774"/>
      <c r="AS10" s="774"/>
      <c r="AT10" s="774"/>
      <c r="AU10" s="774"/>
      <c r="AV10" s="774"/>
      <c r="AW10" s="774"/>
      <c r="AX10" s="774"/>
      <c r="AY10" s="774"/>
    </row>
    <row r="11" spans="1:52" s="403" customFormat="1" ht="24.75" customHeight="1">
      <c r="C11" s="404"/>
      <c r="E11" s="468"/>
      <c r="F11" s="745" t="str">
        <f>IF(UNNH0030_REPORT_IF_H_JUSHO_NO_PRINT_FLG="","",IF(UNNH0030_REPORT_IF_H_ADDRESS_1="","",UNNH0030_REPORT_IF_H_ADDRESS_1))</f>
        <v/>
      </c>
      <c r="G11" s="745"/>
      <c r="H11" s="745"/>
      <c r="I11" s="745"/>
      <c r="J11" s="745"/>
      <c r="K11" s="745"/>
      <c r="L11" s="745"/>
      <c r="M11" s="745"/>
      <c r="N11" s="745"/>
      <c r="O11" s="745"/>
      <c r="P11" s="745"/>
      <c r="Q11" s="745"/>
      <c r="R11" s="745"/>
      <c r="S11" s="745"/>
      <c r="T11" s="745"/>
      <c r="U11" s="745"/>
      <c r="V11" s="745"/>
      <c r="W11" s="745"/>
      <c r="X11" s="745"/>
      <c r="Y11" s="469"/>
      <c r="AP11" s="748">
        <f>UNNH0030_REPORT_IF_H_URIAGE_DATE</f>
        <v>0</v>
      </c>
      <c r="AQ11" s="748"/>
      <c r="AR11" s="748"/>
      <c r="AS11" s="748"/>
      <c r="AT11" s="748"/>
      <c r="AU11" s="748"/>
      <c r="AV11" s="748"/>
      <c r="AW11" s="748"/>
      <c r="AX11" s="748"/>
      <c r="AY11" s="748"/>
    </row>
    <row r="12" spans="1:52" s="403" customFormat="1" ht="24.75" customHeight="1">
      <c r="C12" s="404"/>
      <c r="E12" s="468"/>
      <c r="F12" s="745" t="str">
        <f>IF(UNNH0030_REPORT_IF_H_JUSHO_NO_PRINT_FLG="","",IF(UNNH0030_REPORT_IF_H_ADDRESS_2="","",UNNH0030_REPORT_IF_H_ADDRESS_2))</f>
        <v/>
      </c>
      <c r="G12" s="745"/>
      <c r="H12" s="745"/>
      <c r="I12" s="745"/>
      <c r="J12" s="745"/>
      <c r="K12" s="745"/>
      <c r="L12" s="745"/>
      <c r="M12" s="745"/>
      <c r="N12" s="745"/>
      <c r="O12" s="745"/>
      <c r="P12" s="745"/>
      <c r="Q12" s="745"/>
      <c r="R12" s="745"/>
      <c r="S12" s="745"/>
      <c r="T12" s="745"/>
      <c r="U12" s="745"/>
      <c r="V12" s="745"/>
      <c r="W12" s="745"/>
      <c r="X12" s="745"/>
      <c r="Y12" s="469"/>
    </row>
    <row r="13" spans="1:52" s="403" customFormat="1" ht="24.75" customHeight="1">
      <c r="C13" s="404"/>
      <c r="E13" s="468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69"/>
    </row>
    <row r="14" spans="1:52" s="403" customFormat="1" ht="26.25" customHeight="1">
      <c r="C14" s="404"/>
      <c r="E14" s="470"/>
      <c r="F14" s="745" t="str">
        <f>IF(TRIM(UNNH0030_REPORT_IF_H_SOFU_TANTO)="","",
IF(TRIM(UNNH0030_REPORT_IF_H_DEMPYO_SOFU_MEI)="","",
TRIM(UNNH0030_REPORT_IF_H_DEMPYO_SOFU_MEI)))</f>
        <v/>
      </c>
      <c r="G14" s="745"/>
      <c r="H14" s="745"/>
      <c r="I14" s="745"/>
      <c r="J14" s="745"/>
      <c r="K14" s="745"/>
      <c r="L14" s="745"/>
      <c r="M14" s="745"/>
      <c r="N14" s="745"/>
      <c r="O14" s="745"/>
      <c r="P14" s="745"/>
      <c r="Q14" s="745"/>
      <c r="R14" s="745"/>
      <c r="S14" s="745"/>
      <c r="T14" s="745"/>
      <c r="U14" s="745"/>
      <c r="V14" s="745"/>
      <c r="W14" s="745"/>
      <c r="X14" s="745"/>
      <c r="Y14" s="469"/>
    </row>
    <row r="15" spans="1:52" s="403" customFormat="1" ht="26.25" customHeight="1">
      <c r="C15" s="404"/>
      <c r="E15" s="468"/>
      <c r="F15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  <c r="T15" s="746"/>
      <c r="U15" s="746"/>
      <c r="V15" s="746"/>
      <c r="W15" s="746"/>
      <c r="X15" s="746"/>
      <c r="Y15" s="469"/>
      <c r="Z15" s="459" t="str">
        <f>UNNH0030_REPORT_IF_H_SHIMEBI_MARK</f>
        <v>*</v>
      </c>
    </row>
    <row r="16" spans="1:52" s="403" customFormat="1" ht="25.5" customHeight="1">
      <c r="C16" s="404"/>
      <c r="E16" s="471"/>
      <c r="F16" s="747">
        <f>UNNH0030_REPORT_IF_H_SEIKYU_CD</f>
        <v>0</v>
      </c>
      <c r="G16" s="747"/>
      <c r="H16" s="747"/>
      <c r="I16" s="747"/>
      <c r="J16" s="747"/>
      <c r="K16" s="747"/>
      <c r="L16" s="747"/>
      <c r="M16" s="747"/>
      <c r="N16" s="747"/>
      <c r="O16" s="747"/>
      <c r="P16" s="747"/>
      <c r="Q16" s="747"/>
      <c r="R16" s="747"/>
      <c r="S16" s="747"/>
      <c r="T16" s="747"/>
      <c r="U16" s="747"/>
      <c r="V16" s="747"/>
      <c r="W16" s="747"/>
      <c r="X16" s="747"/>
      <c r="Y16" s="472"/>
    </row>
    <row r="17" spans="1:52" s="403" customFormat="1" ht="30" customHeight="1">
      <c r="C17" s="404"/>
    </row>
    <row r="18" spans="1:52" s="403" customFormat="1" ht="30" customHeight="1"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04"/>
      <c r="N18" s="404"/>
      <c r="O18" s="404"/>
    </row>
    <row r="19" spans="1:52" s="403" customFormat="1" ht="29.25" customHeight="1">
      <c r="B19" s="474" t="s">
        <v>1101</v>
      </c>
      <c r="C19" s="404"/>
      <c r="D19" s="404"/>
      <c r="E19" s="404"/>
      <c r="F19" s="404"/>
      <c r="G19" s="404"/>
      <c r="H19" s="404"/>
      <c r="I19" s="404"/>
      <c r="J19" s="404"/>
      <c r="K19" s="404"/>
      <c r="L19" s="404"/>
      <c r="M19" s="404"/>
      <c r="N19" s="404"/>
      <c r="O19" s="404"/>
    </row>
    <row r="20" spans="1:52" s="403" customFormat="1" ht="36.75" customHeight="1">
      <c r="B20" s="742"/>
      <c r="C20" s="742"/>
      <c r="D20" s="742" t="s">
        <v>1102</v>
      </c>
      <c r="E20" s="742"/>
      <c r="F20" s="742"/>
      <c r="G20" s="742"/>
      <c r="H20" s="742"/>
      <c r="I20" s="742"/>
      <c r="J20" s="742"/>
      <c r="K20" s="742"/>
      <c r="L20" s="742"/>
      <c r="M20" s="742"/>
      <c r="N20" s="742"/>
      <c r="O20" s="742"/>
      <c r="P20" s="742"/>
      <c r="Q20" s="742"/>
      <c r="R20" s="742"/>
      <c r="S20" s="742"/>
      <c r="T20" s="742"/>
      <c r="U20" s="742"/>
      <c r="V20" s="742"/>
      <c r="W20" s="742"/>
      <c r="X20" s="742"/>
      <c r="Y20" s="742"/>
      <c r="Z20" s="742"/>
      <c r="AA20" s="742"/>
      <c r="AB20" s="742"/>
      <c r="AC20" s="742" t="s">
        <v>1103</v>
      </c>
      <c r="AD20" s="742"/>
      <c r="AE20" s="742"/>
      <c r="AF20" s="742"/>
      <c r="AG20" s="742"/>
      <c r="AH20" s="742"/>
      <c r="AI20" s="742"/>
      <c r="AJ20" s="742" t="s">
        <v>1104</v>
      </c>
      <c r="AK20" s="742"/>
      <c r="AL20" s="742" t="s">
        <v>1105</v>
      </c>
      <c r="AM20" s="742"/>
      <c r="AN20" s="742"/>
      <c r="AO20" s="742"/>
      <c r="AP20" s="742"/>
      <c r="AQ20" s="742"/>
      <c r="AR20" s="742"/>
      <c r="AS20" s="742" t="s">
        <v>1106</v>
      </c>
      <c r="AT20" s="742"/>
      <c r="AU20" s="742"/>
      <c r="AV20" s="742"/>
      <c r="AW20" s="742"/>
      <c r="AX20" s="742"/>
      <c r="AY20" s="742"/>
    </row>
    <row r="21" spans="1:52" s="403" customFormat="1" ht="36.75" customHeight="1">
      <c r="B21" s="742">
        <f>ROUNDDOWN(ROW()/ROWS(UNNH0030_REPORT_RAYOUT_SEIKYUSHO),0)*UNNH0030_REPORT_IF_B_PAGE_MEISAI_SU+1</f>
        <v>1</v>
      </c>
      <c r="C21" s="742"/>
      <c r="D21" s="743" t="str">
        <f t="shared" ref="D21:D40" ca="1" si="0">IF(OFFSET(UNNH0030_REPORT_IF_B_SHOHIN_MEI,$B21,0)="","",OFFSET(UNNH0030_REPORT_IF_B_SHOHIN_MEI,$B21,0))</f>
        <v/>
      </c>
      <c r="E21" s="743"/>
      <c r="F21" s="743"/>
      <c r="G21" s="743"/>
      <c r="H21" s="743"/>
      <c r="I21" s="743"/>
      <c r="J21" s="743"/>
      <c r="K21" s="743"/>
      <c r="L21" s="743"/>
      <c r="M21" s="743"/>
      <c r="N21" s="743"/>
      <c r="O21" s="743"/>
      <c r="P21" s="743"/>
      <c r="Q21" s="743"/>
      <c r="R21" s="743"/>
      <c r="S21" s="743"/>
      <c r="T21" s="743"/>
      <c r="U21" s="743"/>
      <c r="V21" s="743"/>
      <c r="W21" s="743"/>
      <c r="X21" s="743"/>
      <c r="Y21" s="743"/>
      <c r="Z21" s="743"/>
      <c r="AA21" s="743"/>
      <c r="AB21" s="743"/>
      <c r="AC21" s="741" t="str">
        <f t="shared" ref="AC21:AC40" ca="1" si="1">IF(OR(OFFSET(UNNH0030_REPORT_IF_B_ROW_KBN,$B21,0)&lt;&gt;1,$D21="",$D21="消費税"),"",
OFFSET(UNNH0030_REPORT_IF_B_SURYO,$B21,0))</f>
        <v/>
      </c>
      <c r="AD21" s="741"/>
      <c r="AE21" s="741"/>
      <c r="AF21" s="741"/>
      <c r="AG21" s="741"/>
      <c r="AH21" s="741"/>
      <c r="AI21" s="741"/>
      <c r="AJ21" s="742" t="str">
        <f t="shared" ref="AJ21:AJ40" ca="1" si="2">IF(OFFSET(UNNH0030_REPORT_IF_B_TANI,$B21,0)="","",OFFSET(UNNH0030_REPORT_IF_B_TANI,$B21,0))</f>
        <v/>
      </c>
      <c r="AK21" s="742"/>
      <c r="AL21" s="741" t="str">
        <f t="shared" ref="AL21:AL40" ca="1" si="3">IF(OR(OFFSET(UNNH0030_REPORT_IF_B_ROW_KBN,$B21,0)&lt;&gt;1,$D21="",$D21="消費税"),"",
OFFSET(UNNH0030_REPORT_IF_B_TANKA,$B21,0))</f>
        <v/>
      </c>
      <c r="AM21" s="741"/>
      <c r="AN21" s="741"/>
      <c r="AO21" s="741"/>
      <c r="AP21" s="741"/>
      <c r="AQ21" s="741"/>
      <c r="AR21" s="741"/>
      <c r="AS21" s="741" t="str">
        <f t="shared" ref="AS21:AS40" ca="1" si="4">IF(OR(OFFSET(UNNH0030_REPORT_IF_B_KINGAKU,$B21,0)=0,$D21=""),"",
OFFSET(UNNH0030_REPORT_IF_B_KINGAKU,$B21,0))</f>
        <v/>
      </c>
      <c r="AT21" s="741"/>
      <c r="AU21" s="741"/>
      <c r="AV21" s="741"/>
      <c r="AW21" s="741"/>
      <c r="AX21" s="741"/>
      <c r="AY21" s="741"/>
    </row>
    <row r="22" spans="1:52" s="403" customFormat="1" ht="36.75" customHeight="1">
      <c r="B22" s="742">
        <f>B21+1</f>
        <v>2</v>
      </c>
      <c r="C22" s="742"/>
      <c r="D22" s="743" t="str">
        <f t="shared" ca="1" si="0"/>
        <v/>
      </c>
      <c r="E22" s="743"/>
      <c r="F22" s="743"/>
      <c r="G22" s="743"/>
      <c r="H22" s="743"/>
      <c r="I22" s="743"/>
      <c r="J22" s="743"/>
      <c r="K22" s="743"/>
      <c r="L22" s="743"/>
      <c r="M22" s="743"/>
      <c r="N22" s="743"/>
      <c r="O22" s="743"/>
      <c r="P22" s="743"/>
      <c r="Q22" s="743"/>
      <c r="R22" s="743"/>
      <c r="S22" s="743"/>
      <c r="T22" s="743"/>
      <c r="U22" s="743"/>
      <c r="V22" s="743"/>
      <c r="W22" s="743"/>
      <c r="X22" s="743"/>
      <c r="Y22" s="743"/>
      <c r="Z22" s="743"/>
      <c r="AA22" s="743"/>
      <c r="AB22" s="743"/>
      <c r="AC22" s="741" t="str">
        <f t="shared" ca="1" si="1"/>
        <v/>
      </c>
      <c r="AD22" s="741"/>
      <c r="AE22" s="741"/>
      <c r="AF22" s="741"/>
      <c r="AG22" s="741"/>
      <c r="AH22" s="741"/>
      <c r="AI22" s="741"/>
      <c r="AJ22" s="742" t="str">
        <f t="shared" ca="1" si="2"/>
        <v/>
      </c>
      <c r="AK22" s="742"/>
      <c r="AL22" s="741" t="str">
        <f t="shared" ca="1" si="3"/>
        <v/>
      </c>
      <c r="AM22" s="741"/>
      <c r="AN22" s="741"/>
      <c r="AO22" s="741"/>
      <c r="AP22" s="741"/>
      <c r="AQ22" s="741"/>
      <c r="AR22" s="741"/>
      <c r="AS22" s="741" t="str">
        <f t="shared" ca="1" si="4"/>
        <v/>
      </c>
      <c r="AT22" s="741"/>
      <c r="AU22" s="741"/>
      <c r="AV22" s="741"/>
      <c r="AW22" s="741"/>
      <c r="AX22" s="741"/>
      <c r="AY22" s="741"/>
    </row>
    <row r="23" spans="1:52" s="403" customFormat="1" ht="36.75" customHeight="1">
      <c r="B23" s="742">
        <f>B22+1</f>
        <v>3</v>
      </c>
      <c r="C23" s="742"/>
      <c r="D23" s="743" t="str">
        <f t="shared" ca="1" si="0"/>
        <v/>
      </c>
      <c r="E23" s="743"/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41" t="str">
        <f t="shared" ca="1" si="1"/>
        <v/>
      </c>
      <c r="AD23" s="741"/>
      <c r="AE23" s="741"/>
      <c r="AF23" s="741"/>
      <c r="AG23" s="741"/>
      <c r="AH23" s="741"/>
      <c r="AI23" s="741"/>
      <c r="AJ23" s="742" t="str">
        <f t="shared" ca="1" si="2"/>
        <v/>
      </c>
      <c r="AK23" s="742"/>
      <c r="AL23" s="741" t="str">
        <f t="shared" ca="1" si="3"/>
        <v/>
      </c>
      <c r="AM23" s="741"/>
      <c r="AN23" s="741"/>
      <c r="AO23" s="741"/>
      <c r="AP23" s="741"/>
      <c r="AQ23" s="741"/>
      <c r="AR23" s="741"/>
      <c r="AS23" s="741" t="str">
        <f t="shared" ca="1" si="4"/>
        <v/>
      </c>
      <c r="AT23" s="741"/>
      <c r="AU23" s="741"/>
      <c r="AV23" s="741"/>
      <c r="AW23" s="741"/>
      <c r="AX23" s="741"/>
      <c r="AY23" s="741"/>
    </row>
    <row r="24" spans="1:52" s="403" customFormat="1" ht="36.75" customHeight="1">
      <c r="B24" s="742">
        <f t="shared" ref="B24:B40" si="5">B23+1</f>
        <v>4</v>
      </c>
      <c r="C24" s="742"/>
      <c r="D24" s="743" t="str">
        <f t="shared" ca="1" si="0"/>
        <v/>
      </c>
      <c r="E24" s="743"/>
      <c r="F24" s="743"/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3"/>
      <c r="S24" s="743"/>
      <c r="T24" s="743"/>
      <c r="U24" s="743"/>
      <c r="V24" s="743"/>
      <c r="W24" s="743"/>
      <c r="X24" s="743"/>
      <c r="Y24" s="743"/>
      <c r="Z24" s="743"/>
      <c r="AA24" s="743"/>
      <c r="AB24" s="743"/>
      <c r="AC24" s="741" t="str">
        <f t="shared" ca="1" si="1"/>
        <v/>
      </c>
      <c r="AD24" s="741"/>
      <c r="AE24" s="741"/>
      <c r="AF24" s="741"/>
      <c r="AG24" s="741"/>
      <c r="AH24" s="741"/>
      <c r="AI24" s="741"/>
      <c r="AJ24" s="742" t="str">
        <f t="shared" ca="1" si="2"/>
        <v/>
      </c>
      <c r="AK24" s="742"/>
      <c r="AL24" s="741" t="str">
        <f t="shared" ca="1" si="3"/>
        <v/>
      </c>
      <c r="AM24" s="741"/>
      <c r="AN24" s="741"/>
      <c r="AO24" s="741"/>
      <c r="AP24" s="741"/>
      <c r="AQ24" s="741"/>
      <c r="AR24" s="741"/>
      <c r="AS24" s="741" t="str">
        <f t="shared" ca="1" si="4"/>
        <v/>
      </c>
      <c r="AT24" s="741"/>
      <c r="AU24" s="741"/>
      <c r="AV24" s="741"/>
      <c r="AW24" s="741"/>
      <c r="AX24" s="741"/>
      <c r="AY24" s="741"/>
    </row>
    <row r="25" spans="1:52" s="403" customFormat="1" ht="36.75" customHeight="1">
      <c r="A25" s="403" t="s">
        <v>1529</v>
      </c>
      <c r="B25" s="742">
        <f t="shared" si="5"/>
        <v>5</v>
      </c>
      <c r="C25" s="742"/>
      <c r="D25" s="743" t="str">
        <f t="shared" ca="1" si="0"/>
        <v/>
      </c>
      <c r="E25" s="743"/>
      <c r="F25" s="743"/>
      <c r="G25" s="743"/>
      <c r="H25" s="743"/>
      <c r="I25" s="743"/>
      <c r="J25" s="743"/>
      <c r="K25" s="743"/>
      <c r="L25" s="743"/>
      <c r="M25" s="743"/>
      <c r="N25" s="743"/>
      <c r="O25" s="743"/>
      <c r="P25" s="743"/>
      <c r="Q25" s="743"/>
      <c r="R25" s="743"/>
      <c r="S25" s="743"/>
      <c r="T25" s="743"/>
      <c r="U25" s="743"/>
      <c r="V25" s="743"/>
      <c r="W25" s="743"/>
      <c r="X25" s="743"/>
      <c r="Y25" s="743"/>
      <c r="Z25" s="743"/>
      <c r="AA25" s="743"/>
      <c r="AB25" s="743"/>
      <c r="AC25" s="741" t="str">
        <f t="shared" ca="1" si="1"/>
        <v/>
      </c>
      <c r="AD25" s="741"/>
      <c r="AE25" s="741"/>
      <c r="AF25" s="741"/>
      <c r="AG25" s="741"/>
      <c r="AH25" s="741"/>
      <c r="AI25" s="741"/>
      <c r="AJ25" s="742" t="str">
        <f t="shared" ca="1" si="2"/>
        <v/>
      </c>
      <c r="AK25" s="742"/>
      <c r="AL25" s="741" t="str">
        <f t="shared" ca="1" si="3"/>
        <v/>
      </c>
      <c r="AM25" s="741"/>
      <c r="AN25" s="741"/>
      <c r="AO25" s="741"/>
      <c r="AP25" s="741"/>
      <c r="AQ25" s="741"/>
      <c r="AR25" s="741"/>
      <c r="AS25" s="741" t="str">
        <f t="shared" ca="1" si="4"/>
        <v/>
      </c>
      <c r="AT25" s="741"/>
      <c r="AU25" s="741"/>
      <c r="AV25" s="741"/>
      <c r="AW25" s="741"/>
      <c r="AX25" s="741"/>
      <c r="AY25" s="741"/>
      <c r="AZ25" s="473" t="s">
        <v>1530</v>
      </c>
    </row>
    <row r="26" spans="1:52" s="403" customFormat="1" ht="36.75" customHeight="1">
      <c r="B26" s="742">
        <f t="shared" si="5"/>
        <v>6</v>
      </c>
      <c r="C26" s="742"/>
      <c r="D26" s="743" t="str">
        <f t="shared" ca="1" si="0"/>
        <v/>
      </c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43"/>
      <c r="S26" s="743"/>
      <c r="T26" s="743"/>
      <c r="U26" s="743"/>
      <c r="V26" s="743"/>
      <c r="W26" s="743"/>
      <c r="X26" s="743"/>
      <c r="Y26" s="743"/>
      <c r="Z26" s="743"/>
      <c r="AA26" s="743"/>
      <c r="AB26" s="743"/>
      <c r="AC26" s="741" t="str">
        <f t="shared" ca="1" si="1"/>
        <v/>
      </c>
      <c r="AD26" s="741"/>
      <c r="AE26" s="741"/>
      <c r="AF26" s="741"/>
      <c r="AG26" s="741"/>
      <c r="AH26" s="741"/>
      <c r="AI26" s="741"/>
      <c r="AJ26" s="742" t="str">
        <f t="shared" ca="1" si="2"/>
        <v/>
      </c>
      <c r="AK26" s="742"/>
      <c r="AL26" s="741" t="str">
        <f t="shared" ca="1" si="3"/>
        <v/>
      </c>
      <c r="AM26" s="741"/>
      <c r="AN26" s="741"/>
      <c r="AO26" s="741"/>
      <c r="AP26" s="741"/>
      <c r="AQ26" s="741"/>
      <c r="AR26" s="741"/>
      <c r="AS26" s="741" t="str">
        <f t="shared" ca="1" si="4"/>
        <v/>
      </c>
      <c r="AT26" s="741"/>
      <c r="AU26" s="741"/>
      <c r="AV26" s="741"/>
      <c r="AW26" s="741"/>
      <c r="AX26" s="741"/>
      <c r="AY26" s="741"/>
      <c r="AZ26" s="473"/>
    </row>
    <row r="27" spans="1:52" s="403" customFormat="1" ht="36.75" customHeight="1">
      <c r="B27" s="742">
        <f t="shared" si="5"/>
        <v>7</v>
      </c>
      <c r="C27" s="742"/>
      <c r="D27" s="743" t="str">
        <f t="shared" ca="1" si="0"/>
        <v/>
      </c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43"/>
      <c r="S27" s="743"/>
      <c r="T27" s="743"/>
      <c r="U27" s="743"/>
      <c r="V27" s="743"/>
      <c r="W27" s="743"/>
      <c r="X27" s="743"/>
      <c r="Y27" s="743"/>
      <c r="Z27" s="743"/>
      <c r="AA27" s="743"/>
      <c r="AB27" s="743"/>
      <c r="AC27" s="741" t="str">
        <f t="shared" ca="1" si="1"/>
        <v/>
      </c>
      <c r="AD27" s="741"/>
      <c r="AE27" s="741"/>
      <c r="AF27" s="741"/>
      <c r="AG27" s="741"/>
      <c r="AH27" s="741"/>
      <c r="AI27" s="741"/>
      <c r="AJ27" s="742" t="str">
        <f t="shared" ca="1" si="2"/>
        <v/>
      </c>
      <c r="AK27" s="742"/>
      <c r="AL27" s="741" t="str">
        <f t="shared" ca="1" si="3"/>
        <v/>
      </c>
      <c r="AM27" s="741"/>
      <c r="AN27" s="741"/>
      <c r="AO27" s="741"/>
      <c r="AP27" s="741"/>
      <c r="AQ27" s="741"/>
      <c r="AR27" s="741"/>
      <c r="AS27" s="741" t="str">
        <f t="shared" ca="1" si="4"/>
        <v/>
      </c>
      <c r="AT27" s="741"/>
      <c r="AU27" s="741"/>
      <c r="AV27" s="741"/>
      <c r="AW27" s="741"/>
      <c r="AX27" s="741"/>
      <c r="AY27" s="741"/>
      <c r="AZ27" s="473"/>
    </row>
    <row r="28" spans="1:52" s="403" customFormat="1" ht="36.75" customHeight="1">
      <c r="B28" s="742">
        <f t="shared" si="5"/>
        <v>8</v>
      </c>
      <c r="C28" s="742"/>
      <c r="D28" s="743" t="str">
        <f t="shared" ca="1" si="0"/>
        <v/>
      </c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43"/>
      <c r="S28" s="743"/>
      <c r="T28" s="743"/>
      <c r="U28" s="743"/>
      <c r="V28" s="743"/>
      <c r="W28" s="743"/>
      <c r="X28" s="743"/>
      <c r="Y28" s="743"/>
      <c r="Z28" s="743"/>
      <c r="AA28" s="743"/>
      <c r="AB28" s="743"/>
      <c r="AC28" s="741" t="str">
        <f t="shared" ca="1" si="1"/>
        <v/>
      </c>
      <c r="AD28" s="741"/>
      <c r="AE28" s="741"/>
      <c r="AF28" s="741"/>
      <c r="AG28" s="741"/>
      <c r="AH28" s="741"/>
      <c r="AI28" s="741"/>
      <c r="AJ28" s="742" t="str">
        <f t="shared" ca="1" si="2"/>
        <v/>
      </c>
      <c r="AK28" s="742"/>
      <c r="AL28" s="741" t="str">
        <f t="shared" ca="1" si="3"/>
        <v/>
      </c>
      <c r="AM28" s="741"/>
      <c r="AN28" s="741"/>
      <c r="AO28" s="741"/>
      <c r="AP28" s="741"/>
      <c r="AQ28" s="741"/>
      <c r="AR28" s="741"/>
      <c r="AS28" s="741" t="str">
        <f t="shared" ca="1" si="4"/>
        <v/>
      </c>
      <c r="AT28" s="741"/>
      <c r="AU28" s="741"/>
      <c r="AV28" s="741"/>
      <c r="AW28" s="741"/>
      <c r="AX28" s="741"/>
      <c r="AY28" s="741"/>
    </row>
    <row r="29" spans="1:52" s="403" customFormat="1" ht="36.75" customHeight="1">
      <c r="B29" s="742">
        <f t="shared" si="5"/>
        <v>9</v>
      </c>
      <c r="C29" s="742"/>
      <c r="D29" s="743" t="str">
        <f t="shared" ca="1" si="0"/>
        <v/>
      </c>
      <c r="E29" s="743"/>
      <c r="F29" s="743"/>
      <c r="G29" s="743"/>
      <c r="H29" s="743"/>
      <c r="I29" s="743"/>
      <c r="J29" s="743"/>
      <c r="K29" s="743"/>
      <c r="L29" s="743"/>
      <c r="M29" s="743"/>
      <c r="N29" s="743"/>
      <c r="O29" s="743"/>
      <c r="P29" s="743"/>
      <c r="Q29" s="743"/>
      <c r="R29" s="743"/>
      <c r="S29" s="743"/>
      <c r="T29" s="743"/>
      <c r="U29" s="743"/>
      <c r="V29" s="743"/>
      <c r="W29" s="743"/>
      <c r="X29" s="743"/>
      <c r="Y29" s="743"/>
      <c r="Z29" s="743"/>
      <c r="AA29" s="743"/>
      <c r="AB29" s="743"/>
      <c r="AC29" s="741" t="str">
        <f t="shared" ca="1" si="1"/>
        <v/>
      </c>
      <c r="AD29" s="741"/>
      <c r="AE29" s="741"/>
      <c r="AF29" s="741"/>
      <c r="AG29" s="741"/>
      <c r="AH29" s="741"/>
      <c r="AI29" s="741"/>
      <c r="AJ29" s="742" t="str">
        <f t="shared" ca="1" si="2"/>
        <v/>
      </c>
      <c r="AK29" s="742"/>
      <c r="AL29" s="741" t="str">
        <f t="shared" ca="1" si="3"/>
        <v/>
      </c>
      <c r="AM29" s="741"/>
      <c r="AN29" s="741"/>
      <c r="AO29" s="741"/>
      <c r="AP29" s="741"/>
      <c r="AQ29" s="741"/>
      <c r="AR29" s="741"/>
      <c r="AS29" s="741" t="str">
        <f t="shared" ca="1" si="4"/>
        <v/>
      </c>
      <c r="AT29" s="741"/>
      <c r="AU29" s="741"/>
      <c r="AV29" s="741"/>
      <c r="AW29" s="741"/>
      <c r="AX29" s="741"/>
      <c r="AY29" s="741"/>
    </row>
    <row r="30" spans="1:52" s="403" customFormat="1" ht="36.75" customHeight="1">
      <c r="B30" s="742">
        <f t="shared" si="5"/>
        <v>10</v>
      </c>
      <c r="C30" s="742"/>
      <c r="D30" s="743" t="str">
        <f t="shared" ca="1" si="0"/>
        <v/>
      </c>
      <c r="E30" s="743"/>
      <c r="F30" s="743"/>
      <c r="G30" s="743"/>
      <c r="H30" s="743"/>
      <c r="I30" s="743"/>
      <c r="J30" s="743"/>
      <c r="K30" s="743"/>
      <c r="L30" s="743"/>
      <c r="M30" s="743"/>
      <c r="N30" s="743"/>
      <c r="O30" s="743"/>
      <c r="P30" s="743"/>
      <c r="Q30" s="743"/>
      <c r="R30" s="743"/>
      <c r="S30" s="743"/>
      <c r="T30" s="743"/>
      <c r="U30" s="743"/>
      <c r="V30" s="743"/>
      <c r="W30" s="743"/>
      <c r="X30" s="743"/>
      <c r="Y30" s="743"/>
      <c r="Z30" s="743"/>
      <c r="AA30" s="743"/>
      <c r="AB30" s="743"/>
      <c r="AC30" s="741" t="str">
        <f t="shared" ca="1" si="1"/>
        <v/>
      </c>
      <c r="AD30" s="741"/>
      <c r="AE30" s="741"/>
      <c r="AF30" s="741"/>
      <c r="AG30" s="741"/>
      <c r="AH30" s="741"/>
      <c r="AI30" s="741"/>
      <c r="AJ30" s="742" t="str">
        <f t="shared" ca="1" si="2"/>
        <v/>
      </c>
      <c r="AK30" s="742"/>
      <c r="AL30" s="741" t="str">
        <f t="shared" ca="1" si="3"/>
        <v/>
      </c>
      <c r="AM30" s="741"/>
      <c r="AN30" s="741"/>
      <c r="AO30" s="741"/>
      <c r="AP30" s="741"/>
      <c r="AQ30" s="741"/>
      <c r="AR30" s="741"/>
      <c r="AS30" s="741" t="str">
        <f t="shared" ca="1" si="4"/>
        <v/>
      </c>
      <c r="AT30" s="741"/>
      <c r="AU30" s="741"/>
      <c r="AV30" s="741"/>
      <c r="AW30" s="741"/>
      <c r="AX30" s="741"/>
      <c r="AY30" s="741"/>
    </row>
    <row r="31" spans="1:52" s="403" customFormat="1" ht="36.75" customHeight="1">
      <c r="B31" s="742">
        <f t="shared" si="5"/>
        <v>11</v>
      </c>
      <c r="C31" s="742"/>
      <c r="D31" s="743" t="str">
        <f t="shared" ca="1" si="0"/>
        <v/>
      </c>
      <c r="E31" s="743"/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3"/>
      <c r="R31" s="743"/>
      <c r="S31" s="743"/>
      <c r="T31" s="743"/>
      <c r="U31" s="743"/>
      <c r="V31" s="743"/>
      <c r="W31" s="743"/>
      <c r="X31" s="743"/>
      <c r="Y31" s="743"/>
      <c r="Z31" s="743"/>
      <c r="AA31" s="743"/>
      <c r="AB31" s="743"/>
      <c r="AC31" s="741" t="str">
        <f t="shared" ca="1" si="1"/>
        <v/>
      </c>
      <c r="AD31" s="741"/>
      <c r="AE31" s="741"/>
      <c r="AF31" s="741"/>
      <c r="AG31" s="741"/>
      <c r="AH31" s="741"/>
      <c r="AI31" s="741"/>
      <c r="AJ31" s="742" t="str">
        <f t="shared" ca="1" si="2"/>
        <v/>
      </c>
      <c r="AK31" s="742"/>
      <c r="AL31" s="741" t="str">
        <f t="shared" ca="1" si="3"/>
        <v/>
      </c>
      <c r="AM31" s="741"/>
      <c r="AN31" s="741"/>
      <c r="AO31" s="741"/>
      <c r="AP31" s="741"/>
      <c r="AQ31" s="741"/>
      <c r="AR31" s="741"/>
      <c r="AS31" s="741" t="str">
        <f t="shared" ca="1" si="4"/>
        <v/>
      </c>
      <c r="AT31" s="741"/>
      <c r="AU31" s="741"/>
      <c r="AV31" s="741"/>
      <c r="AW31" s="741"/>
      <c r="AX31" s="741"/>
      <c r="AY31" s="741"/>
    </row>
    <row r="32" spans="1:52" s="403" customFormat="1" ht="36.75" customHeight="1">
      <c r="B32" s="742">
        <f t="shared" si="5"/>
        <v>12</v>
      </c>
      <c r="C32" s="742"/>
      <c r="D32" s="743" t="str">
        <f t="shared" ca="1" si="0"/>
        <v/>
      </c>
      <c r="E32" s="743"/>
      <c r="F32" s="743"/>
      <c r="G32" s="743"/>
      <c r="H32" s="743"/>
      <c r="I32" s="743"/>
      <c r="J32" s="743"/>
      <c r="K32" s="743"/>
      <c r="L32" s="743"/>
      <c r="M32" s="743"/>
      <c r="N32" s="743"/>
      <c r="O32" s="743"/>
      <c r="P32" s="743"/>
      <c r="Q32" s="743"/>
      <c r="R32" s="743"/>
      <c r="S32" s="743"/>
      <c r="T32" s="743"/>
      <c r="U32" s="743"/>
      <c r="V32" s="743"/>
      <c r="W32" s="743"/>
      <c r="X32" s="743"/>
      <c r="Y32" s="743"/>
      <c r="Z32" s="743"/>
      <c r="AA32" s="743"/>
      <c r="AB32" s="743"/>
      <c r="AC32" s="741" t="str">
        <f t="shared" ca="1" si="1"/>
        <v/>
      </c>
      <c r="AD32" s="741"/>
      <c r="AE32" s="741"/>
      <c r="AF32" s="741"/>
      <c r="AG32" s="741"/>
      <c r="AH32" s="741"/>
      <c r="AI32" s="741"/>
      <c r="AJ32" s="742" t="str">
        <f t="shared" ca="1" si="2"/>
        <v/>
      </c>
      <c r="AK32" s="742"/>
      <c r="AL32" s="741" t="str">
        <f t="shared" ca="1" si="3"/>
        <v/>
      </c>
      <c r="AM32" s="741"/>
      <c r="AN32" s="741"/>
      <c r="AO32" s="741"/>
      <c r="AP32" s="741"/>
      <c r="AQ32" s="741"/>
      <c r="AR32" s="741"/>
      <c r="AS32" s="741" t="str">
        <f t="shared" ca="1" si="4"/>
        <v/>
      </c>
      <c r="AT32" s="741"/>
      <c r="AU32" s="741"/>
      <c r="AV32" s="741"/>
      <c r="AW32" s="741"/>
      <c r="AX32" s="741"/>
      <c r="AY32" s="741"/>
    </row>
    <row r="33" spans="1:52" s="403" customFormat="1" ht="36.75" customHeight="1">
      <c r="B33" s="742">
        <f t="shared" si="5"/>
        <v>13</v>
      </c>
      <c r="C33" s="742"/>
      <c r="D33" s="743" t="str">
        <f t="shared" ca="1" si="0"/>
        <v/>
      </c>
      <c r="E33" s="743"/>
      <c r="F33" s="743"/>
      <c r="G33" s="743"/>
      <c r="H33" s="743"/>
      <c r="I33" s="743"/>
      <c r="J33" s="743"/>
      <c r="K33" s="743"/>
      <c r="L33" s="743"/>
      <c r="M33" s="743"/>
      <c r="N33" s="743"/>
      <c r="O33" s="743"/>
      <c r="P33" s="743"/>
      <c r="Q33" s="743"/>
      <c r="R33" s="743"/>
      <c r="S33" s="743"/>
      <c r="T33" s="743"/>
      <c r="U33" s="743"/>
      <c r="V33" s="743"/>
      <c r="W33" s="743"/>
      <c r="X33" s="743"/>
      <c r="Y33" s="743"/>
      <c r="Z33" s="743"/>
      <c r="AA33" s="743"/>
      <c r="AB33" s="743"/>
      <c r="AC33" s="741" t="str">
        <f t="shared" ca="1" si="1"/>
        <v/>
      </c>
      <c r="AD33" s="741"/>
      <c r="AE33" s="741"/>
      <c r="AF33" s="741"/>
      <c r="AG33" s="741"/>
      <c r="AH33" s="741"/>
      <c r="AI33" s="741"/>
      <c r="AJ33" s="742" t="str">
        <f t="shared" ca="1" si="2"/>
        <v/>
      </c>
      <c r="AK33" s="742"/>
      <c r="AL33" s="741" t="str">
        <f t="shared" ca="1" si="3"/>
        <v/>
      </c>
      <c r="AM33" s="741"/>
      <c r="AN33" s="741"/>
      <c r="AO33" s="741"/>
      <c r="AP33" s="741"/>
      <c r="AQ33" s="741"/>
      <c r="AR33" s="741"/>
      <c r="AS33" s="741" t="str">
        <f t="shared" ca="1" si="4"/>
        <v/>
      </c>
      <c r="AT33" s="741"/>
      <c r="AU33" s="741"/>
      <c r="AV33" s="741"/>
      <c r="AW33" s="741"/>
      <c r="AX33" s="741"/>
      <c r="AY33" s="741"/>
    </row>
    <row r="34" spans="1:52" s="403" customFormat="1" ht="36.75" customHeight="1">
      <c r="B34" s="742">
        <f t="shared" si="5"/>
        <v>14</v>
      </c>
      <c r="C34" s="742"/>
      <c r="D34" s="743" t="str">
        <f t="shared" ca="1" si="0"/>
        <v/>
      </c>
      <c r="E34" s="743"/>
      <c r="F34" s="743"/>
      <c r="G34" s="743"/>
      <c r="H34" s="743"/>
      <c r="I34" s="743"/>
      <c r="J34" s="743"/>
      <c r="K34" s="743"/>
      <c r="L34" s="743"/>
      <c r="M34" s="743"/>
      <c r="N34" s="743"/>
      <c r="O34" s="743"/>
      <c r="P34" s="743"/>
      <c r="Q34" s="743"/>
      <c r="R34" s="743"/>
      <c r="S34" s="743"/>
      <c r="T34" s="743"/>
      <c r="U34" s="743"/>
      <c r="V34" s="743"/>
      <c r="W34" s="743"/>
      <c r="X34" s="743"/>
      <c r="Y34" s="743"/>
      <c r="Z34" s="743"/>
      <c r="AA34" s="743"/>
      <c r="AB34" s="743"/>
      <c r="AC34" s="741" t="str">
        <f t="shared" ca="1" si="1"/>
        <v/>
      </c>
      <c r="AD34" s="741"/>
      <c r="AE34" s="741"/>
      <c r="AF34" s="741"/>
      <c r="AG34" s="741"/>
      <c r="AH34" s="741"/>
      <c r="AI34" s="741"/>
      <c r="AJ34" s="742" t="str">
        <f t="shared" ca="1" si="2"/>
        <v/>
      </c>
      <c r="AK34" s="742"/>
      <c r="AL34" s="741" t="str">
        <f t="shared" ca="1" si="3"/>
        <v/>
      </c>
      <c r="AM34" s="741"/>
      <c r="AN34" s="741"/>
      <c r="AO34" s="741"/>
      <c r="AP34" s="741"/>
      <c r="AQ34" s="741"/>
      <c r="AR34" s="741"/>
      <c r="AS34" s="741" t="str">
        <f t="shared" ca="1" si="4"/>
        <v/>
      </c>
      <c r="AT34" s="741"/>
      <c r="AU34" s="741"/>
      <c r="AV34" s="741"/>
      <c r="AW34" s="741"/>
      <c r="AX34" s="741"/>
      <c r="AY34" s="741"/>
    </row>
    <row r="35" spans="1:52" s="403" customFormat="1" ht="36.75" customHeight="1">
      <c r="B35" s="742">
        <f t="shared" si="5"/>
        <v>15</v>
      </c>
      <c r="C35" s="742"/>
      <c r="D35" s="743" t="str">
        <f t="shared" ca="1" si="0"/>
        <v/>
      </c>
      <c r="E35" s="743"/>
      <c r="F35" s="743"/>
      <c r="G35" s="743"/>
      <c r="H35" s="743"/>
      <c r="I35" s="743"/>
      <c r="J35" s="743"/>
      <c r="K35" s="743"/>
      <c r="L35" s="743"/>
      <c r="M35" s="743"/>
      <c r="N35" s="743"/>
      <c r="O35" s="743"/>
      <c r="P35" s="743"/>
      <c r="Q35" s="743"/>
      <c r="R35" s="743"/>
      <c r="S35" s="743"/>
      <c r="T35" s="743"/>
      <c r="U35" s="743"/>
      <c r="V35" s="743"/>
      <c r="W35" s="743"/>
      <c r="X35" s="743"/>
      <c r="Y35" s="743"/>
      <c r="Z35" s="743"/>
      <c r="AA35" s="743"/>
      <c r="AB35" s="743"/>
      <c r="AC35" s="741" t="str">
        <f t="shared" ca="1" si="1"/>
        <v/>
      </c>
      <c r="AD35" s="741"/>
      <c r="AE35" s="741"/>
      <c r="AF35" s="741"/>
      <c r="AG35" s="741"/>
      <c r="AH35" s="741"/>
      <c r="AI35" s="741"/>
      <c r="AJ35" s="742" t="str">
        <f t="shared" ca="1" si="2"/>
        <v/>
      </c>
      <c r="AK35" s="742"/>
      <c r="AL35" s="741" t="str">
        <f t="shared" ca="1" si="3"/>
        <v/>
      </c>
      <c r="AM35" s="741"/>
      <c r="AN35" s="741"/>
      <c r="AO35" s="741"/>
      <c r="AP35" s="741"/>
      <c r="AQ35" s="741"/>
      <c r="AR35" s="741"/>
      <c r="AS35" s="741" t="str">
        <f t="shared" ca="1" si="4"/>
        <v/>
      </c>
      <c r="AT35" s="741"/>
      <c r="AU35" s="741"/>
      <c r="AV35" s="741"/>
      <c r="AW35" s="741"/>
      <c r="AX35" s="741"/>
      <c r="AY35" s="741"/>
    </row>
    <row r="36" spans="1:52" s="403" customFormat="1" ht="36.75" customHeight="1">
      <c r="B36" s="742">
        <f t="shared" si="5"/>
        <v>16</v>
      </c>
      <c r="C36" s="742"/>
      <c r="D36" s="743" t="str">
        <f t="shared" ca="1" si="0"/>
        <v/>
      </c>
      <c r="E36" s="743"/>
      <c r="F36" s="743"/>
      <c r="G36" s="743"/>
      <c r="H36" s="743"/>
      <c r="I36" s="743"/>
      <c r="J36" s="743"/>
      <c r="K36" s="743"/>
      <c r="L36" s="743"/>
      <c r="M36" s="743"/>
      <c r="N36" s="743"/>
      <c r="O36" s="743"/>
      <c r="P36" s="743"/>
      <c r="Q36" s="743"/>
      <c r="R36" s="743"/>
      <c r="S36" s="743"/>
      <c r="T36" s="743"/>
      <c r="U36" s="743"/>
      <c r="V36" s="743"/>
      <c r="W36" s="743"/>
      <c r="X36" s="743"/>
      <c r="Y36" s="743"/>
      <c r="Z36" s="743"/>
      <c r="AA36" s="743"/>
      <c r="AB36" s="743"/>
      <c r="AC36" s="741" t="str">
        <f t="shared" ca="1" si="1"/>
        <v/>
      </c>
      <c r="AD36" s="741"/>
      <c r="AE36" s="741"/>
      <c r="AF36" s="741"/>
      <c r="AG36" s="741"/>
      <c r="AH36" s="741"/>
      <c r="AI36" s="741"/>
      <c r="AJ36" s="742" t="str">
        <f t="shared" ca="1" si="2"/>
        <v/>
      </c>
      <c r="AK36" s="742"/>
      <c r="AL36" s="741" t="str">
        <f t="shared" ca="1" si="3"/>
        <v/>
      </c>
      <c r="AM36" s="741"/>
      <c r="AN36" s="741"/>
      <c r="AO36" s="741"/>
      <c r="AP36" s="741"/>
      <c r="AQ36" s="741"/>
      <c r="AR36" s="741"/>
      <c r="AS36" s="741" t="str">
        <f t="shared" ca="1" si="4"/>
        <v/>
      </c>
      <c r="AT36" s="741"/>
      <c r="AU36" s="741"/>
      <c r="AV36" s="741"/>
      <c r="AW36" s="741"/>
      <c r="AX36" s="741"/>
      <c r="AY36" s="741"/>
    </row>
    <row r="37" spans="1:52" s="403" customFormat="1" ht="36.75" customHeight="1">
      <c r="B37" s="742">
        <f t="shared" si="5"/>
        <v>17</v>
      </c>
      <c r="C37" s="742"/>
      <c r="D37" s="743" t="str">
        <f t="shared" ca="1" si="0"/>
        <v/>
      </c>
      <c r="E37" s="743"/>
      <c r="F37" s="743"/>
      <c r="G37" s="743"/>
      <c r="H37" s="743"/>
      <c r="I37" s="743"/>
      <c r="J37" s="743"/>
      <c r="K37" s="743"/>
      <c r="L37" s="743"/>
      <c r="M37" s="743"/>
      <c r="N37" s="743"/>
      <c r="O37" s="743"/>
      <c r="P37" s="743"/>
      <c r="Q37" s="743"/>
      <c r="R37" s="743"/>
      <c r="S37" s="743"/>
      <c r="T37" s="743"/>
      <c r="U37" s="743"/>
      <c r="V37" s="743"/>
      <c r="W37" s="743"/>
      <c r="X37" s="743"/>
      <c r="Y37" s="743"/>
      <c r="Z37" s="743"/>
      <c r="AA37" s="743"/>
      <c r="AB37" s="743"/>
      <c r="AC37" s="741" t="str">
        <f t="shared" ca="1" si="1"/>
        <v/>
      </c>
      <c r="AD37" s="741"/>
      <c r="AE37" s="741"/>
      <c r="AF37" s="741"/>
      <c r="AG37" s="741"/>
      <c r="AH37" s="741"/>
      <c r="AI37" s="741"/>
      <c r="AJ37" s="742" t="str">
        <f t="shared" ca="1" si="2"/>
        <v/>
      </c>
      <c r="AK37" s="742"/>
      <c r="AL37" s="741" t="str">
        <f t="shared" ca="1" si="3"/>
        <v/>
      </c>
      <c r="AM37" s="741"/>
      <c r="AN37" s="741"/>
      <c r="AO37" s="741"/>
      <c r="AP37" s="741"/>
      <c r="AQ37" s="741"/>
      <c r="AR37" s="741"/>
      <c r="AS37" s="741" t="str">
        <f t="shared" ca="1" si="4"/>
        <v/>
      </c>
      <c r="AT37" s="741"/>
      <c r="AU37" s="741"/>
      <c r="AV37" s="741"/>
      <c r="AW37" s="741"/>
      <c r="AX37" s="741"/>
      <c r="AY37" s="741"/>
    </row>
    <row r="38" spans="1:52" s="403" customFormat="1" ht="36.75" customHeight="1">
      <c r="B38" s="742">
        <f t="shared" si="5"/>
        <v>18</v>
      </c>
      <c r="C38" s="742"/>
      <c r="D38" s="743" t="str">
        <f t="shared" ca="1" si="0"/>
        <v/>
      </c>
      <c r="E38" s="743"/>
      <c r="F38" s="743"/>
      <c r="G38" s="743"/>
      <c r="H38" s="743"/>
      <c r="I38" s="743"/>
      <c r="J38" s="743"/>
      <c r="K38" s="743"/>
      <c r="L38" s="743"/>
      <c r="M38" s="743"/>
      <c r="N38" s="743"/>
      <c r="O38" s="743"/>
      <c r="P38" s="743"/>
      <c r="Q38" s="743"/>
      <c r="R38" s="743"/>
      <c r="S38" s="743"/>
      <c r="T38" s="743"/>
      <c r="U38" s="743"/>
      <c r="V38" s="743"/>
      <c r="W38" s="743"/>
      <c r="X38" s="743"/>
      <c r="Y38" s="743"/>
      <c r="Z38" s="743"/>
      <c r="AA38" s="743"/>
      <c r="AB38" s="743"/>
      <c r="AC38" s="741" t="str">
        <f t="shared" ca="1" si="1"/>
        <v/>
      </c>
      <c r="AD38" s="741"/>
      <c r="AE38" s="741"/>
      <c r="AF38" s="741"/>
      <c r="AG38" s="741"/>
      <c r="AH38" s="741"/>
      <c r="AI38" s="741"/>
      <c r="AJ38" s="742" t="str">
        <f t="shared" ca="1" si="2"/>
        <v/>
      </c>
      <c r="AK38" s="742"/>
      <c r="AL38" s="741" t="str">
        <f t="shared" ca="1" si="3"/>
        <v/>
      </c>
      <c r="AM38" s="741"/>
      <c r="AN38" s="741"/>
      <c r="AO38" s="741"/>
      <c r="AP38" s="741"/>
      <c r="AQ38" s="741"/>
      <c r="AR38" s="741"/>
      <c r="AS38" s="741" t="str">
        <f t="shared" ca="1" si="4"/>
        <v/>
      </c>
      <c r="AT38" s="741"/>
      <c r="AU38" s="741"/>
      <c r="AV38" s="741"/>
      <c r="AW38" s="741"/>
      <c r="AX38" s="741"/>
      <c r="AY38" s="741"/>
    </row>
    <row r="39" spans="1:52" s="403" customFormat="1" ht="36.75" customHeight="1">
      <c r="A39" s="403" t="s">
        <v>1529</v>
      </c>
      <c r="B39" s="742">
        <f t="shared" si="5"/>
        <v>19</v>
      </c>
      <c r="C39" s="742"/>
      <c r="D39" s="743" t="str">
        <f t="shared" ca="1" si="0"/>
        <v/>
      </c>
      <c r="E39" s="743"/>
      <c r="F39" s="743"/>
      <c r="G39" s="743"/>
      <c r="H39" s="743"/>
      <c r="I39" s="743"/>
      <c r="J39" s="743"/>
      <c r="K39" s="743"/>
      <c r="L39" s="743"/>
      <c r="M39" s="743"/>
      <c r="N39" s="743"/>
      <c r="O39" s="743"/>
      <c r="P39" s="743"/>
      <c r="Q39" s="743"/>
      <c r="R39" s="743"/>
      <c r="S39" s="743"/>
      <c r="T39" s="743"/>
      <c r="U39" s="743"/>
      <c r="V39" s="743"/>
      <c r="W39" s="743"/>
      <c r="X39" s="743"/>
      <c r="Y39" s="743"/>
      <c r="Z39" s="743"/>
      <c r="AA39" s="743"/>
      <c r="AB39" s="743"/>
      <c r="AC39" s="741" t="str">
        <f t="shared" ca="1" si="1"/>
        <v/>
      </c>
      <c r="AD39" s="741"/>
      <c r="AE39" s="741"/>
      <c r="AF39" s="741"/>
      <c r="AG39" s="741"/>
      <c r="AH39" s="741"/>
      <c r="AI39" s="741"/>
      <c r="AJ39" s="742" t="str">
        <f t="shared" ca="1" si="2"/>
        <v/>
      </c>
      <c r="AK39" s="742"/>
      <c r="AL39" s="741" t="str">
        <f t="shared" ca="1" si="3"/>
        <v/>
      </c>
      <c r="AM39" s="741"/>
      <c r="AN39" s="741"/>
      <c r="AO39" s="741"/>
      <c r="AP39" s="741"/>
      <c r="AQ39" s="741"/>
      <c r="AR39" s="741"/>
      <c r="AS39" s="741" t="str">
        <f t="shared" ca="1" si="4"/>
        <v/>
      </c>
      <c r="AT39" s="741"/>
      <c r="AU39" s="741"/>
      <c r="AV39" s="741"/>
      <c r="AW39" s="741"/>
      <c r="AX39" s="741"/>
      <c r="AY39" s="741"/>
      <c r="AZ39" s="473" t="s">
        <v>1530</v>
      </c>
    </row>
    <row r="40" spans="1:52" s="403" customFormat="1" ht="36.75" customHeight="1">
      <c r="B40" s="742">
        <f t="shared" si="5"/>
        <v>20</v>
      </c>
      <c r="C40" s="742"/>
      <c r="D40" s="743" t="str">
        <f t="shared" ca="1" si="0"/>
        <v/>
      </c>
      <c r="E40" s="743"/>
      <c r="F40" s="743"/>
      <c r="G40" s="743"/>
      <c r="H40" s="743"/>
      <c r="I40" s="743"/>
      <c r="J40" s="743"/>
      <c r="K40" s="743"/>
      <c r="L40" s="743"/>
      <c r="M40" s="743"/>
      <c r="N40" s="743"/>
      <c r="O40" s="743"/>
      <c r="P40" s="743"/>
      <c r="Q40" s="743"/>
      <c r="R40" s="743"/>
      <c r="S40" s="743"/>
      <c r="T40" s="743"/>
      <c r="U40" s="743"/>
      <c r="V40" s="743"/>
      <c r="W40" s="743"/>
      <c r="X40" s="743"/>
      <c r="Y40" s="743"/>
      <c r="Z40" s="743"/>
      <c r="AA40" s="743"/>
      <c r="AB40" s="743"/>
      <c r="AC40" s="741" t="str">
        <f t="shared" ca="1" si="1"/>
        <v/>
      </c>
      <c r="AD40" s="741"/>
      <c r="AE40" s="741"/>
      <c r="AF40" s="741"/>
      <c r="AG40" s="741"/>
      <c r="AH40" s="741"/>
      <c r="AI40" s="741"/>
      <c r="AJ40" s="742" t="str">
        <f t="shared" ca="1" si="2"/>
        <v/>
      </c>
      <c r="AK40" s="742"/>
      <c r="AL40" s="741" t="str">
        <f t="shared" ca="1" si="3"/>
        <v/>
      </c>
      <c r="AM40" s="741"/>
      <c r="AN40" s="741"/>
      <c r="AO40" s="741"/>
      <c r="AP40" s="741"/>
      <c r="AQ40" s="741"/>
      <c r="AR40" s="741"/>
      <c r="AS40" s="741" t="str">
        <f t="shared" ca="1" si="4"/>
        <v/>
      </c>
      <c r="AT40" s="741"/>
      <c r="AU40" s="741"/>
      <c r="AV40" s="741"/>
      <c r="AW40" s="741"/>
      <c r="AX40" s="741"/>
      <c r="AY40" s="741"/>
    </row>
    <row r="41" spans="1:52" s="403" customFormat="1" ht="45" customHeight="1">
      <c r="B41" s="749" t="s">
        <v>1527</v>
      </c>
      <c r="C41" s="750"/>
      <c r="D41" s="750"/>
      <c r="E41" s="751" t="str">
        <f>IF(UNNH0030_REPORT_IF_H_EIGYO_MEI="","",UNNH0030_REPORT_IF_H_EIGYO_MEI)</f>
        <v/>
      </c>
      <c r="F41" s="751"/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  <c r="U41" s="751"/>
      <c r="V41" s="751"/>
      <c r="W41" s="751"/>
      <c r="X41" s="751"/>
      <c r="Y41" s="751"/>
      <c r="Z41" s="751"/>
      <c r="AA41" s="751"/>
      <c r="AB41" s="751"/>
      <c r="AC41" s="751"/>
      <c r="AD41" s="751"/>
      <c r="AE41" s="751"/>
      <c r="AF41" s="751"/>
      <c r="AG41" s="752"/>
      <c r="AH41" s="742" t="s">
        <v>1107</v>
      </c>
      <c r="AI41" s="742"/>
      <c r="AJ41" s="742"/>
      <c r="AK41" s="742"/>
      <c r="AL41" s="742"/>
      <c r="AM41" s="742"/>
      <c r="AN41" s="742"/>
      <c r="AO41" s="742"/>
      <c r="AP41" s="742"/>
      <c r="AQ41" s="753" t="str">
        <f>IF(ROUNDUP(ROW()/ROWS(UNNH0030_SEIKYUSHO_PAGE_AREA),0)=UNNH0030_REPORT_IF_B_PAGE_TOTAL,UNNH0030_REPORT_IF_H_TOTAL,"")</f>
        <v/>
      </c>
      <c r="AR41" s="754"/>
      <c r="AS41" s="754"/>
      <c r="AT41" s="754"/>
      <c r="AU41" s="754"/>
      <c r="AV41" s="754"/>
      <c r="AW41" s="754"/>
      <c r="AX41" s="754"/>
      <c r="AY41" s="755"/>
    </row>
    <row r="42" spans="1:52" s="403" customFormat="1" ht="33.75" customHeight="1"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</row>
    <row r="43" spans="1:52" s="403" customFormat="1" ht="38.25" customHeight="1">
      <c r="B43" s="756" t="s">
        <v>1528</v>
      </c>
      <c r="C43" s="757"/>
      <c r="D43" s="758"/>
      <c r="E43" s="738" t="str">
        <f>IF(UNNH0030_REPORT_IF_H_TEKIYO="","",UNNH0030_REPORT_IF_H_TEKIYO)</f>
        <v/>
      </c>
      <c r="F43" s="738"/>
      <c r="G43" s="738"/>
      <c r="H43" s="738"/>
      <c r="I43" s="738"/>
      <c r="J43" s="738"/>
      <c r="K43" s="738"/>
      <c r="L43" s="738"/>
      <c r="M43" s="738"/>
      <c r="N43" s="738"/>
      <c r="O43" s="738"/>
      <c r="P43" s="738"/>
      <c r="Q43" s="738"/>
      <c r="R43" s="738"/>
      <c r="S43" s="738"/>
      <c r="T43" s="738"/>
      <c r="U43" s="738"/>
      <c r="V43" s="738"/>
      <c r="W43" s="738"/>
      <c r="X43" s="738"/>
      <c r="Y43" s="738"/>
      <c r="Z43" s="738"/>
      <c r="AA43" s="738"/>
      <c r="AB43" s="738"/>
      <c r="AC43" s="738"/>
      <c r="AD43" s="738"/>
      <c r="AE43" s="738"/>
      <c r="AF43" s="738"/>
      <c r="AG43" s="738"/>
      <c r="AH43" s="738"/>
      <c r="AI43" s="738"/>
      <c r="AJ43" s="738"/>
      <c r="AK43" s="738"/>
      <c r="AL43" s="738"/>
      <c r="AM43" s="738"/>
      <c r="AN43" s="738"/>
      <c r="AO43" s="738"/>
      <c r="AP43" s="738"/>
      <c r="AQ43" s="738"/>
      <c r="AR43" s="738"/>
      <c r="AS43" s="738"/>
      <c r="AU43" s="739" t="str">
        <f>IF(UNNH0030_REPORT_IF_H_SEIKYUHOHO_KBN=0,"","締日 "&amp;UNNH0030_REPORT_IF_H_SHIMEBI)</f>
        <v/>
      </c>
      <c r="AV43" s="739"/>
      <c r="AW43" s="739"/>
      <c r="AX43" s="739"/>
      <c r="AY43" s="740" t="str">
        <f>UNNH0030_REPORT_IF_H_SHIMEBI_MARK</f>
        <v>*</v>
      </c>
    </row>
    <row r="44" spans="1:52" s="403" customFormat="1" ht="38.25" customHeight="1">
      <c r="B44" s="759"/>
      <c r="C44" s="760"/>
      <c r="D44" s="761"/>
      <c r="E44" s="738"/>
      <c r="F44" s="738"/>
      <c r="G44" s="738"/>
      <c r="H44" s="738"/>
      <c r="I44" s="738"/>
      <c r="J44" s="738"/>
      <c r="K44" s="738"/>
      <c r="L44" s="738"/>
      <c r="M44" s="738"/>
      <c r="N44" s="738"/>
      <c r="O44" s="738"/>
      <c r="P44" s="738"/>
      <c r="Q44" s="738"/>
      <c r="R44" s="738"/>
      <c r="S44" s="738"/>
      <c r="T44" s="738"/>
      <c r="U44" s="738"/>
      <c r="V44" s="738"/>
      <c r="W44" s="738"/>
      <c r="X44" s="738"/>
      <c r="Y44" s="738"/>
      <c r="Z44" s="738"/>
      <c r="AA44" s="738"/>
      <c r="AB44" s="738"/>
      <c r="AC44" s="738"/>
      <c r="AD44" s="738"/>
      <c r="AE44" s="738"/>
      <c r="AF44" s="738"/>
      <c r="AG44" s="738"/>
      <c r="AH44" s="738"/>
      <c r="AI44" s="738"/>
      <c r="AJ44" s="738"/>
      <c r="AK44" s="738"/>
      <c r="AL44" s="738"/>
      <c r="AM44" s="738"/>
      <c r="AN44" s="738"/>
      <c r="AO44" s="738"/>
      <c r="AP44" s="738"/>
      <c r="AQ44" s="738"/>
      <c r="AR44" s="738"/>
      <c r="AS44" s="738"/>
      <c r="AU44" s="739"/>
      <c r="AV44" s="739"/>
      <c r="AW44" s="739"/>
      <c r="AX44" s="739"/>
      <c r="AY44" s="740"/>
    </row>
    <row r="45" spans="1:52" s="403" customFormat="1" ht="30" customHeight="1">
      <c r="B45" s="777" t="str">
        <f>IF(UNNH0030_REPORT_IF_JURI_NO="","",UNNH0030_REPORT_IF_JURI_NO)</f>
        <v/>
      </c>
      <c r="C45" s="777"/>
      <c r="D45" s="777"/>
      <c r="E45" s="777"/>
      <c r="F45" s="777"/>
      <c r="G45" s="777"/>
      <c r="H45" s="777"/>
      <c r="I45" s="777"/>
      <c r="J45" s="777"/>
      <c r="K45" s="777"/>
      <c r="L45" s="777"/>
      <c r="M45" s="777"/>
      <c r="N45" s="777"/>
      <c r="O45" s="777"/>
      <c r="P45" s="777"/>
      <c r="Q45" s="777"/>
      <c r="R45" s="777"/>
      <c r="S45" s="777"/>
      <c r="T45" s="777"/>
      <c r="U45" s="777"/>
      <c r="V45" s="777"/>
      <c r="W45" s="777"/>
      <c r="X45" s="777"/>
      <c r="Y45" s="777"/>
      <c r="Z45" s="777"/>
      <c r="AA45" s="777"/>
      <c r="AB45" s="777"/>
      <c r="AC45" s="777"/>
      <c r="AD45" s="777"/>
      <c r="AE45" s="777"/>
      <c r="AF45" s="777"/>
      <c r="AG45" s="777"/>
      <c r="AH45" s="777"/>
      <c r="AI45" s="777"/>
      <c r="AJ45" s="777"/>
      <c r="AK45" s="777"/>
      <c r="AL45" s="777"/>
      <c r="AM45" s="777"/>
      <c r="AN45" s="777"/>
      <c r="AO45" s="777"/>
      <c r="AP45" s="777"/>
      <c r="AQ45" s="777"/>
      <c r="AR45" s="777"/>
      <c r="AS45" s="777"/>
      <c r="AT45" s="777"/>
      <c r="AU45" s="777"/>
      <c r="AV45" s="777"/>
      <c r="AW45" s="777"/>
      <c r="AX45" s="777"/>
      <c r="AY45" s="777"/>
    </row>
    <row r="46" spans="1:52" s="329" customFormat="1">
      <c r="A46" s="72" t="s">
        <v>1511</v>
      </c>
      <c r="B46" s="72" t="s">
        <v>1510</v>
      </c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</row>
    <row r="47" spans="1:52" s="403" customFormat="1" ht="12" customHeight="1">
      <c r="C47" s="404"/>
      <c r="D47" s="404"/>
      <c r="E47" s="465"/>
      <c r="F47" s="466"/>
      <c r="G47" s="466"/>
      <c r="H47" s="466"/>
      <c r="I47" s="466"/>
      <c r="J47" s="466"/>
      <c r="K47" s="466"/>
      <c r="L47" s="466"/>
      <c r="M47" s="466"/>
      <c r="N47" s="466"/>
      <c r="O47" s="466"/>
      <c r="P47" s="466"/>
      <c r="Q47" s="466"/>
      <c r="R47" s="466"/>
      <c r="S47" s="466"/>
      <c r="T47" s="466"/>
      <c r="U47" s="466"/>
      <c r="V47" s="466"/>
      <c r="W47" s="466"/>
      <c r="X47" s="466"/>
      <c r="Y47" s="467"/>
      <c r="AA47" s="744" t="s">
        <v>1108</v>
      </c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P47" s="774" t="str">
        <f>"No."&amp;UNNH0030_REPORT_IF_H_URIAGE_NO&amp;"-"&amp;ROUNDUP(ROW()/ROWS(UNNH0030_SEIKYUSHO_PAGE_AREA),0)&amp;"/"&amp;UNNH0030_REPORT_IF_B_PAGE_TOTAL</f>
        <v>No.-2/1</v>
      </c>
      <c r="AQ47" s="774"/>
      <c r="AR47" s="774"/>
      <c r="AS47" s="774"/>
      <c r="AT47" s="774"/>
      <c r="AU47" s="774"/>
      <c r="AV47" s="774"/>
      <c r="AW47" s="774"/>
      <c r="AX47" s="774"/>
      <c r="AY47" s="774"/>
    </row>
    <row r="48" spans="1:52" s="403" customFormat="1" ht="24.75" customHeight="1">
      <c r="C48" s="404"/>
      <c r="E48" s="468"/>
      <c r="F48" s="775" t="str">
        <f>IF(UNNH0030_REPORT_IF_H_JUSHO_NO_PRINT_FLG=TRUE,"","〒")</f>
        <v>〒</v>
      </c>
      <c r="G48" s="775"/>
      <c r="H48" s="776" t="str">
        <f>IF(UNNH0030_REPORT_IF_H_JUSHO_NO_PRINT_FLG=TRUE,"",IF(UNNH0030_REPORT_IF_H_YUBIN_NO="","",UNNH0030_REPORT_IF_H_YUBIN_NO))</f>
        <v/>
      </c>
      <c r="I48" s="776"/>
      <c r="J48" s="776"/>
      <c r="K48" s="776"/>
      <c r="L48" s="776"/>
      <c r="M48" s="776"/>
      <c r="N48" s="776"/>
      <c r="O48" s="776"/>
      <c r="P48" s="776"/>
      <c r="Q48" s="776"/>
      <c r="R48" s="776"/>
      <c r="S48" s="776"/>
      <c r="T48" s="776"/>
      <c r="U48" s="776"/>
      <c r="V48" s="776"/>
      <c r="W48" s="776"/>
      <c r="X48" s="776"/>
      <c r="Y48" s="469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P48" s="774"/>
      <c r="AQ48" s="774"/>
      <c r="AR48" s="774"/>
      <c r="AS48" s="774"/>
      <c r="AT48" s="774"/>
      <c r="AU48" s="774"/>
      <c r="AV48" s="774"/>
      <c r="AW48" s="774"/>
      <c r="AX48" s="774"/>
      <c r="AY48" s="774"/>
    </row>
    <row r="49" spans="1:52" s="403" customFormat="1" ht="24.75" customHeight="1">
      <c r="C49" s="404"/>
      <c r="E49" s="468"/>
      <c r="F49" s="745" t="str">
        <f>IF(UNNH0030_REPORT_IF_H_JUSHO_NO_PRINT_FLG="","",IF(UNNH0030_REPORT_IF_H_ADDRESS_1="","",UNNH0030_REPORT_IF_H_ADDRESS_1))</f>
        <v/>
      </c>
      <c r="G49" s="745"/>
      <c r="H49" s="745"/>
      <c r="I49" s="745"/>
      <c r="J49" s="745"/>
      <c r="K49" s="745"/>
      <c r="L49" s="745"/>
      <c r="M49" s="745"/>
      <c r="N49" s="745"/>
      <c r="O49" s="745"/>
      <c r="P49" s="745"/>
      <c r="Q49" s="745"/>
      <c r="R49" s="745"/>
      <c r="S49" s="745"/>
      <c r="T49" s="745"/>
      <c r="U49" s="745"/>
      <c r="V49" s="745"/>
      <c r="W49" s="745"/>
      <c r="X49" s="745"/>
      <c r="Y49" s="469"/>
      <c r="AP49" s="748">
        <f>UNNH0030_REPORT_IF_H_URIAGE_DATE</f>
        <v>0</v>
      </c>
      <c r="AQ49" s="748"/>
      <c r="AR49" s="748"/>
      <c r="AS49" s="748"/>
      <c r="AT49" s="748"/>
      <c r="AU49" s="748"/>
      <c r="AV49" s="748"/>
      <c r="AW49" s="748"/>
      <c r="AX49" s="748"/>
      <c r="AY49" s="748"/>
    </row>
    <row r="50" spans="1:52" s="403" customFormat="1" ht="24.75" customHeight="1">
      <c r="C50" s="404"/>
      <c r="E50" s="468"/>
      <c r="F50" s="745" t="str">
        <f>IF(UNNH0030_REPORT_IF_H_JUSHO_NO_PRINT_FLG="","",IF(UNNH0030_REPORT_IF_H_ADDRESS_2="","",UNNH0030_REPORT_IF_H_ADDRESS_2))</f>
        <v/>
      </c>
      <c r="G50" s="745"/>
      <c r="H50" s="745"/>
      <c r="I50" s="745"/>
      <c r="J50" s="745"/>
      <c r="K50" s="745"/>
      <c r="L50" s="745"/>
      <c r="M50" s="745"/>
      <c r="N50" s="745"/>
      <c r="O50" s="745"/>
      <c r="P50" s="745"/>
      <c r="Q50" s="745"/>
      <c r="R50" s="745"/>
      <c r="S50" s="745"/>
      <c r="T50" s="745"/>
      <c r="U50" s="745"/>
      <c r="V50" s="745"/>
      <c r="W50" s="745"/>
      <c r="X50" s="745"/>
      <c r="Y50" s="469"/>
    </row>
    <row r="51" spans="1:52" s="403" customFormat="1" ht="24.75" customHeight="1">
      <c r="C51" s="404"/>
      <c r="E51" s="468"/>
      <c r="F51" s="409"/>
      <c r="G51" s="409"/>
      <c r="H51" s="409"/>
      <c r="I51" s="409"/>
      <c r="J51" s="409"/>
      <c r="K51" s="409"/>
      <c r="L51" s="409"/>
      <c r="M51" s="409"/>
      <c r="N51" s="409"/>
      <c r="O51" s="409"/>
      <c r="P51" s="409"/>
      <c r="Q51" s="409"/>
      <c r="R51" s="409"/>
      <c r="S51" s="409"/>
      <c r="T51" s="409"/>
      <c r="U51" s="409"/>
      <c r="V51" s="409"/>
      <c r="W51" s="409"/>
      <c r="X51" s="409"/>
      <c r="Y51" s="469"/>
    </row>
    <row r="52" spans="1:52" s="403" customFormat="1" ht="26.25" customHeight="1">
      <c r="C52" s="404"/>
      <c r="E52" s="470"/>
      <c r="F52" s="745" t="str">
        <f>IF(TRIM(UNNH0030_REPORT_IF_H_SOFU_TANTO)="","",
IF(TRIM(UNNH0030_REPORT_IF_H_DEMPYO_SOFU_MEI)="","",
TRIM(UNNH0030_REPORT_IF_H_DEMPYO_SOFU_MEI)))</f>
        <v/>
      </c>
      <c r="G52" s="745"/>
      <c r="H52" s="745"/>
      <c r="I52" s="745"/>
      <c r="J52" s="745"/>
      <c r="K52" s="745"/>
      <c r="L52" s="745"/>
      <c r="M52" s="745"/>
      <c r="N52" s="745"/>
      <c r="O52" s="745"/>
      <c r="P52" s="745"/>
      <c r="Q52" s="745"/>
      <c r="R52" s="745"/>
      <c r="S52" s="745"/>
      <c r="T52" s="745"/>
      <c r="U52" s="745"/>
      <c r="V52" s="745"/>
      <c r="W52" s="745"/>
      <c r="X52" s="745"/>
      <c r="Y52" s="469"/>
    </row>
    <row r="53" spans="1:52" s="403" customFormat="1" ht="26.25" customHeight="1">
      <c r="C53" s="404"/>
      <c r="E53" s="468"/>
      <c r="F53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6"/>
      <c r="R53" s="746"/>
      <c r="S53" s="746"/>
      <c r="T53" s="746"/>
      <c r="U53" s="746"/>
      <c r="V53" s="746"/>
      <c r="W53" s="746"/>
      <c r="X53" s="746"/>
      <c r="Y53" s="469"/>
      <c r="Z53" s="464" t="str">
        <f>UNNH0030_REPORT_IF_H_SHIMEBI_MARK</f>
        <v>*</v>
      </c>
    </row>
    <row r="54" spans="1:52" s="403" customFormat="1" ht="25.5" customHeight="1">
      <c r="C54" s="404"/>
      <c r="E54" s="471"/>
      <c r="F54" s="747">
        <f>UNNH0030_REPORT_IF_H_SEIKYU_CD</f>
        <v>0</v>
      </c>
      <c r="G54" s="747"/>
      <c r="H54" s="747"/>
      <c r="I54" s="747"/>
      <c r="J54" s="747"/>
      <c r="K54" s="747"/>
      <c r="L54" s="747"/>
      <c r="M54" s="747"/>
      <c r="N54" s="747"/>
      <c r="O54" s="747"/>
      <c r="P54" s="747"/>
      <c r="Q54" s="747"/>
      <c r="R54" s="747"/>
      <c r="S54" s="747"/>
      <c r="T54" s="747"/>
      <c r="U54" s="747"/>
      <c r="V54" s="747"/>
      <c r="W54" s="747"/>
      <c r="X54" s="747"/>
      <c r="Y54" s="472"/>
    </row>
    <row r="55" spans="1:52" s="403" customFormat="1" ht="30" customHeight="1">
      <c r="C55" s="404"/>
    </row>
    <row r="56" spans="1:52" s="403" customFormat="1" ht="30" customHeight="1">
      <c r="C56" s="404"/>
      <c r="D56" s="404"/>
      <c r="E56" s="404"/>
      <c r="F56" s="404"/>
      <c r="G56" s="404"/>
      <c r="H56" s="404"/>
      <c r="I56" s="404"/>
      <c r="J56" s="404"/>
      <c r="K56" s="404"/>
      <c r="L56" s="404"/>
      <c r="M56" s="404"/>
      <c r="N56" s="404"/>
      <c r="O56" s="404"/>
    </row>
    <row r="57" spans="1:52" s="403" customFormat="1" ht="29.25" customHeight="1">
      <c r="B57" s="474" t="s">
        <v>1101</v>
      </c>
      <c r="C57" s="404"/>
      <c r="D57" s="404"/>
      <c r="E57" s="404"/>
      <c r="F57" s="404"/>
      <c r="G57" s="404"/>
      <c r="H57" s="404"/>
      <c r="I57" s="404"/>
      <c r="J57" s="404"/>
      <c r="K57" s="404"/>
      <c r="L57" s="404"/>
      <c r="M57" s="404"/>
      <c r="N57" s="404"/>
      <c r="O57" s="404"/>
    </row>
    <row r="58" spans="1:52" s="403" customFormat="1" ht="36.75" customHeight="1">
      <c r="B58" s="742"/>
      <c r="C58" s="742"/>
      <c r="D58" s="742" t="s">
        <v>1102</v>
      </c>
      <c r="E58" s="742"/>
      <c r="F58" s="742"/>
      <c r="G58" s="742"/>
      <c r="H58" s="742"/>
      <c r="I58" s="742"/>
      <c r="J58" s="742"/>
      <c r="K58" s="742"/>
      <c r="L58" s="742"/>
      <c r="M58" s="742"/>
      <c r="N58" s="742"/>
      <c r="O58" s="742"/>
      <c r="P58" s="742"/>
      <c r="Q58" s="742"/>
      <c r="R58" s="742"/>
      <c r="S58" s="742"/>
      <c r="T58" s="742"/>
      <c r="U58" s="742"/>
      <c r="V58" s="742"/>
      <c r="W58" s="742"/>
      <c r="X58" s="742"/>
      <c r="Y58" s="742"/>
      <c r="Z58" s="742"/>
      <c r="AA58" s="742"/>
      <c r="AB58" s="742"/>
      <c r="AC58" s="742" t="s">
        <v>1103</v>
      </c>
      <c r="AD58" s="742"/>
      <c r="AE58" s="742"/>
      <c r="AF58" s="742"/>
      <c r="AG58" s="742"/>
      <c r="AH58" s="742"/>
      <c r="AI58" s="742"/>
      <c r="AJ58" s="742" t="s">
        <v>1104</v>
      </c>
      <c r="AK58" s="742"/>
      <c r="AL58" s="742" t="s">
        <v>1105</v>
      </c>
      <c r="AM58" s="742"/>
      <c r="AN58" s="742"/>
      <c r="AO58" s="742"/>
      <c r="AP58" s="742"/>
      <c r="AQ58" s="742"/>
      <c r="AR58" s="742"/>
      <c r="AS58" s="742" t="s">
        <v>1106</v>
      </c>
      <c r="AT58" s="742"/>
      <c r="AU58" s="742"/>
      <c r="AV58" s="742"/>
      <c r="AW58" s="742"/>
      <c r="AX58" s="742"/>
      <c r="AY58" s="742"/>
    </row>
    <row r="59" spans="1:52" s="403" customFormat="1" ht="36.75" customHeight="1">
      <c r="B59" s="742">
        <f>ROUNDDOWN(ROW()/ROWS(UNNH0030_REPORT_RAYOUT_SEIKYUSHO),0)*UNNH0030_REPORT_IF_B_PAGE_MEISAI_SU+1</f>
        <v>21</v>
      </c>
      <c r="C59" s="742"/>
      <c r="D59" s="743" t="str">
        <f t="shared" ref="D59:D78" ca="1" si="6">IF(OFFSET(UNNH0030_REPORT_IF_B_SHOHIN_MEI,$B59,0)="","",OFFSET(UNNH0030_REPORT_IF_B_SHOHIN_MEI,$B59,0))</f>
        <v/>
      </c>
      <c r="E59" s="743"/>
      <c r="F59" s="743"/>
      <c r="G59" s="743"/>
      <c r="H59" s="743"/>
      <c r="I59" s="743"/>
      <c r="J59" s="743"/>
      <c r="K59" s="743"/>
      <c r="L59" s="743"/>
      <c r="M59" s="743"/>
      <c r="N59" s="743"/>
      <c r="O59" s="743"/>
      <c r="P59" s="743"/>
      <c r="Q59" s="743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41" t="str">
        <f t="shared" ref="AC59:AC78" ca="1" si="7">IF(OR(OFFSET(UNNH0030_REPORT_IF_B_ROW_KBN,$B59,0)&lt;&gt;1,$D59="",$D59="消費税"),"",
OFFSET(UNNH0030_REPORT_IF_B_SURYO,$B59,0))</f>
        <v/>
      </c>
      <c r="AD59" s="741"/>
      <c r="AE59" s="741"/>
      <c r="AF59" s="741"/>
      <c r="AG59" s="741"/>
      <c r="AH59" s="741"/>
      <c r="AI59" s="741"/>
      <c r="AJ59" s="742" t="str">
        <f t="shared" ref="AJ59:AJ78" ca="1" si="8">IF(OFFSET(UNNH0030_REPORT_IF_B_TANI,$B59,0)="","",OFFSET(UNNH0030_REPORT_IF_B_TANI,$B59,0))</f>
        <v/>
      </c>
      <c r="AK59" s="742"/>
      <c r="AL59" s="741" t="str">
        <f t="shared" ref="AL59:AL78" ca="1" si="9">IF(OR(OFFSET(UNNH0030_REPORT_IF_B_ROW_KBN,$B59,0)&lt;&gt;1,$D59="",$D59="消費税"),"",
OFFSET(UNNH0030_REPORT_IF_B_TANKA,$B59,0))</f>
        <v/>
      </c>
      <c r="AM59" s="741"/>
      <c r="AN59" s="741"/>
      <c r="AO59" s="741"/>
      <c r="AP59" s="741"/>
      <c r="AQ59" s="741"/>
      <c r="AR59" s="741"/>
      <c r="AS59" s="741" t="str">
        <f t="shared" ref="AS59:AS78" ca="1" si="10">IF(OR(OFFSET(UNNH0030_REPORT_IF_B_KINGAKU,$B59,0)=0,$D59=""),"",
OFFSET(UNNH0030_REPORT_IF_B_KINGAKU,$B59,0))</f>
        <v/>
      </c>
      <c r="AT59" s="741"/>
      <c r="AU59" s="741"/>
      <c r="AV59" s="741"/>
      <c r="AW59" s="741"/>
      <c r="AX59" s="741"/>
      <c r="AY59" s="741"/>
    </row>
    <row r="60" spans="1:52" s="403" customFormat="1" ht="36.75" customHeight="1">
      <c r="B60" s="742">
        <f>B59+1</f>
        <v>22</v>
      </c>
      <c r="C60" s="742"/>
      <c r="D60" s="743" t="str">
        <f t="shared" ca="1" si="6"/>
        <v/>
      </c>
      <c r="E60" s="743"/>
      <c r="F60" s="743"/>
      <c r="G60" s="743"/>
      <c r="H60" s="743"/>
      <c r="I60" s="743"/>
      <c r="J60" s="743"/>
      <c r="K60" s="743"/>
      <c r="L60" s="743"/>
      <c r="M60" s="743"/>
      <c r="N60" s="743"/>
      <c r="O60" s="743"/>
      <c r="P60" s="743"/>
      <c r="Q60" s="743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41" t="str">
        <f t="shared" ca="1" si="7"/>
        <v/>
      </c>
      <c r="AD60" s="741"/>
      <c r="AE60" s="741"/>
      <c r="AF60" s="741"/>
      <c r="AG60" s="741"/>
      <c r="AH60" s="741"/>
      <c r="AI60" s="741"/>
      <c r="AJ60" s="742" t="str">
        <f t="shared" ca="1" si="8"/>
        <v/>
      </c>
      <c r="AK60" s="742"/>
      <c r="AL60" s="741" t="str">
        <f t="shared" ca="1" si="9"/>
        <v/>
      </c>
      <c r="AM60" s="741"/>
      <c r="AN60" s="741"/>
      <c r="AO60" s="741"/>
      <c r="AP60" s="741"/>
      <c r="AQ60" s="741"/>
      <c r="AR60" s="741"/>
      <c r="AS60" s="741" t="str">
        <f t="shared" ca="1" si="10"/>
        <v/>
      </c>
      <c r="AT60" s="741"/>
      <c r="AU60" s="741"/>
      <c r="AV60" s="741"/>
      <c r="AW60" s="741"/>
      <c r="AX60" s="741"/>
      <c r="AY60" s="741"/>
    </row>
    <row r="61" spans="1:52" s="403" customFormat="1" ht="36.75" customHeight="1">
      <c r="B61" s="742">
        <f>B60+1</f>
        <v>23</v>
      </c>
      <c r="C61" s="742"/>
      <c r="D61" s="743" t="str">
        <f t="shared" ca="1" si="6"/>
        <v/>
      </c>
      <c r="E61" s="743"/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3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41" t="str">
        <f t="shared" ca="1" si="7"/>
        <v/>
      </c>
      <c r="AD61" s="741"/>
      <c r="AE61" s="741"/>
      <c r="AF61" s="741"/>
      <c r="AG61" s="741"/>
      <c r="AH61" s="741"/>
      <c r="AI61" s="741"/>
      <c r="AJ61" s="742" t="str">
        <f t="shared" ca="1" si="8"/>
        <v/>
      </c>
      <c r="AK61" s="742"/>
      <c r="AL61" s="741" t="str">
        <f t="shared" ca="1" si="9"/>
        <v/>
      </c>
      <c r="AM61" s="741"/>
      <c r="AN61" s="741"/>
      <c r="AO61" s="741"/>
      <c r="AP61" s="741"/>
      <c r="AQ61" s="741"/>
      <c r="AR61" s="741"/>
      <c r="AS61" s="741" t="str">
        <f t="shared" ca="1" si="10"/>
        <v/>
      </c>
      <c r="AT61" s="741"/>
      <c r="AU61" s="741"/>
      <c r="AV61" s="741"/>
      <c r="AW61" s="741"/>
      <c r="AX61" s="741"/>
      <c r="AY61" s="741"/>
    </row>
    <row r="62" spans="1:52" s="403" customFormat="1" ht="36.75" customHeight="1">
      <c r="B62" s="742">
        <f t="shared" ref="B62:B78" si="11">B61+1</f>
        <v>24</v>
      </c>
      <c r="C62" s="742"/>
      <c r="D62" s="743" t="str">
        <f t="shared" ca="1" si="6"/>
        <v/>
      </c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41" t="str">
        <f t="shared" ca="1" si="7"/>
        <v/>
      </c>
      <c r="AD62" s="741"/>
      <c r="AE62" s="741"/>
      <c r="AF62" s="741"/>
      <c r="AG62" s="741"/>
      <c r="AH62" s="741"/>
      <c r="AI62" s="741"/>
      <c r="AJ62" s="742" t="str">
        <f t="shared" ca="1" si="8"/>
        <v/>
      </c>
      <c r="AK62" s="742"/>
      <c r="AL62" s="741" t="str">
        <f t="shared" ca="1" si="9"/>
        <v/>
      </c>
      <c r="AM62" s="741"/>
      <c r="AN62" s="741"/>
      <c r="AO62" s="741"/>
      <c r="AP62" s="741"/>
      <c r="AQ62" s="741"/>
      <c r="AR62" s="741"/>
      <c r="AS62" s="741" t="str">
        <f t="shared" ca="1" si="10"/>
        <v/>
      </c>
      <c r="AT62" s="741"/>
      <c r="AU62" s="741"/>
      <c r="AV62" s="741"/>
      <c r="AW62" s="741"/>
      <c r="AX62" s="741"/>
      <c r="AY62" s="741"/>
    </row>
    <row r="63" spans="1:52" s="403" customFormat="1" ht="36.75" customHeight="1">
      <c r="A63" s="403" t="s">
        <v>1529</v>
      </c>
      <c r="B63" s="742">
        <f t="shared" si="11"/>
        <v>25</v>
      </c>
      <c r="C63" s="742"/>
      <c r="D63" s="743" t="str">
        <f t="shared" ca="1" si="6"/>
        <v/>
      </c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41" t="str">
        <f t="shared" ca="1" si="7"/>
        <v/>
      </c>
      <c r="AD63" s="741"/>
      <c r="AE63" s="741"/>
      <c r="AF63" s="741"/>
      <c r="AG63" s="741"/>
      <c r="AH63" s="741"/>
      <c r="AI63" s="741"/>
      <c r="AJ63" s="742" t="str">
        <f t="shared" ca="1" si="8"/>
        <v/>
      </c>
      <c r="AK63" s="742"/>
      <c r="AL63" s="741" t="str">
        <f t="shared" ca="1" si="9"/>
        <v/>
      </c>
      <c r="AM63" s="741"/>
      <c r="AN63" s="741"/>
      <c r="AO63" s="741"/>
      <c r="AP63" s="741"/>
      <c r="AQ63" s="741"/>
      <c r="AR63" s="741"/>
      <c r="AS63" s="741" t="str">
        <f t="shared" ca="1" si="10"/>
        <v/>
      </c>
      <c r="AT63" s="741"/>
      <c r="AU63" s="741"/>
      <c r="AV63" s="741"/>
      <c r="AW63" s="741"/>
      <c r="AX63" s="741"/>
      <c r="AY63" s="741"/>
      <c r="AZ63" s="473" t="s">
        <v>1530</v>
      </c>
    </row>
    <row r="64" spans="1:52" s="403" customFormat="1" ht="36.75" customHeight="1">
      <c r="B64" s="742">
        <f t="shared" si="11"/>
        <v>26</v>
      </c>
      <c r="C64" s="742"/>
      <c r="D64" s="743" t="str">
        <f t="shared" ca="1" si="6"/>
        <v/>
      </c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41" t="str">
        <f t="shared" ca="1" si="7"/>
        <v/>
      </c>
      <c r="AD64" s="741"/>
      <c r="AE64" s="741"/>
      <c r="AF64" s="741"/>
      <c r="AG64" s="741"/>
      <c r="AH64" s="741"/>
      <c r="AI64" s="741"/>
      <c r="AJ64" s="742" t="str">
        <f t="shared" ca="1" si="8"/>
        <v/>
      </c>
      <c r="AK64" s="742"/>
      <c r="AL64" s="741" t="str">
        <f t="shared" ca="1" si="9"/>
        <v/>
      </c>
      <c r="AM64" s="741"/>
      <c r="AN64" s="741"/>
      <c r="AO64" s="741"/>
      <c r="AP64" s="741"/>
      <c r="AQ64" s="741"/>
      <c r="AR64" s="741"/>
      <c r="AS64" s="741" t="str">
        <f t="shared" ca="1" si="10"/>
        <v/>
      </c>
      <c r="AT64" s="741"/>
      <c r="AU64" s="741"/>
      <c r="AV64" s="741"/>
      <c r="AW64" s="741"/>
      <c r="AX64" s="741"/>
      <c r="AY64" s="741"/>
      <c r="AZ64" s="473"/>
    </row>
    <row r="65" spans="1:52" s="403" customFormat="1" ht="36.75" customHeight="1">
      <c r="B65" s="742">
        <f t="shared" si="11"/>
        <v>27</v>
      </c>
      <c r="C65" s="742"/>
      <c r="D65" s="743" t="str">
        <f t="shared" ca="1" si="6"/>
        <v/>
      </c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41" t="str">
        <f t="shared" ca="1" si="7"/>
        <v/>
      </c>
      <c r="AD65" s="741"/>
      <c r="AE65" s="741"/>
      <c r="AF65" s="741"/>
      <c r="AG65" s="741"/>
      <c r="AH65" s="741"/>
      <c r="AI65" s="741"/>
      <c r="AJ65" s="742" t="str">
        <f t="shared" ca="1" si="8"/>
        <v/>
      </c>
      <c r="AK65" s="742"/>
      <c r="AL65" s="741" t="str">
        <f t="shared" ca="1" si="9"/>
        <v/>
      </c>
      <c r="AM65" s="741"/>
      <c r="AN65" s="741"/>
      <c r="AO65" s="741"/>
      <c r="AP65" s="741"/>
      <c r="AQ65" s="741"/>
      <c r="AR65" s="741"/>
      <c r="AS65" s="741" t="str">
        <f t="shared" ca="1" si="10"/>
        <v/>
      </c>
      <c r="AT65" s="741"/>
      <c r="AU65" s="741"/>
      <c r="AV65" s="741"/>
      <c r="AW65" s="741"/>
      <c r="AX65" s="741"/>
      <c r="AY65" s="741"/>
      <c r="AZ65" s="473"/>
    </row>
    <row r="66" spans="1:52" s="403" customFormat="1" ht="36.75" customHeight="1">
      <c r="B66" s="742">
        <f t="shared" si="11"/>
        <v>28</v>
      </c>
      <c r="C66" s="742"/>
      <c r="D66" s="743" t="str">
        <f t="shared" ca="1" si="6"/>
        <v/>
      </c>
      <c r="E66" s="743"/>
      <c r="F66" s="743"/>
      <c r="G66" s="743"/>
      <c r="H66" s="743"/>
      <c r="I66" s="743"/>
      <c r="J66" s="743"/>
      <c r="K66" s="743"/>
      <c r="L66" s="743"/>
      <c r="M66" s="743"/>
      <c r="N66" s="743"/>
      <c r="O66" s="743"/>
      <c r="P66" s="743"/>
      <c r="Q66" s="743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41" t="str">
        <f t="shared" ca="1" si="7"/>
        <v/>
      </c>
      <c r="AD66" s="741"/>
      <c r="AE66" s="741"/>
      <c r="AF66" s="741"/>
      <c r="AG66" s="741"/>
      <c r="AH66" s="741"/>
      <c r="AI66" s="741"/>
      <c r="AJ66" s="742" t="str">
        <f t="shared" ca="1" si="8"/>
        <v/>
      </c>
      <c r="AK66" s="742"/>
      <c r="AL66" s="741" t="str">
        <f t="shared" ca="1" si="9"/>
        <v/>
      </c>
      <c r="AM66" s="741"/>
      <c r="AN66" s="741"/>
      <c r="AO66" s="741"/>
      <c r="AP66" s="741"/>
      <c r="AQ66" s="741"/>
      <c r="AR66" s="741"/>
      <c r="AS66" s="741" t="str">
        <f t="shared" ca="1" si="10"/>
        <v/>
      </c>
      <c r="AT66" s="741"/>
      <c r="AU66" s="741"/>
      <c r="AV66" s="741"/>
      <c r="AW66" s="741"/>
      <c r="AX66" s="741"/>
      <c r="AY66" s="741"/>
    </row>
    <row r="67" spans="1:52" s="403" customFormat="1" ht="36.75" customHeight="1">
      <c r="B67" s="742">
        <f t="shared" si="11"/>
        <v>29</v>
      </c>
      <c r="C67" s="742"/>
      <c r="D67" s="743" t="str">
        <f t="shared" ca="1" si="6"/>
        <v/>
      </c>
      <c r="E67" s="743"/>
      <c r="F67" s="743"/>
      <c r="G67" s="743"/>
      <c r="H67" s="743"/>
      <c r="I67" s="743"/>
      <c r="J67" s="743"/>
      <c r="K67" s="743"/>
      <c r="L67" s="743"/>
      <c r="M67" s="743"/>
      <c r="N67" s="743"/>
      <c r="O67" s="743"/>
      <c r="P67" s="743"/>
      <c r="Q67" s="743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41" t="str">
        <f t="shared" ca="1" si="7"/>
        <v/>
      </c>
      <c r="AD67" s="741"/>
      <c r="AE67" s="741"/>
      <c r="AF67" s="741"/>
      <c r="AG67" s="741"/>
      <c r="AH67" s="741"/>
      <c r="AI67" s="741"/>
      <c r="AJ67" s="742" t="str">
        <f t="shared" ca="1" si="8"/>
        <v/>
      </c>
      <c r="AK67" s="742"/>
      <c r="AL67" s="741" t="str">
        <f t="shared" ca="1" si="9"/>
        <v/>
      </c>
      <c r="AM67" s="741"/>
      <c r="AN67" s="741"/>
      <c r="AO67" s="741"/>
      <c r="AP67" s="741"/>
      <c r="AQ67" s="741"/>
      <c r="AR67" s="741"/>
      <c r="AS67" s="741" t="str">
        <f t="shared" ca="1" si="10"/>
        <v/>
      </c>
      <c r="AT67" s="741"/>
      <c r="AU67" s="741"/>
      <c r="AV67" s="741"/>
      <c r="AW67" s="741"/>
      <c r="AX67" s="741"/>
      <c r="AY67" s="741"/>
    </row>
    <row r="68" spans="1:52" s="403" customFormat="1" ht="36.75" customHeight="1">
      <c r="B68" s="742">
        <f t="shared" si="11"/>
        <v>30</v>
      </c>
      <c r="C68" s="742"/>
      <c r="D68" s="743" t="str">
        <f t="shared" ca="1" si="6"/>
        <v/>
      </c>
      <c r="E68" s="743"/>
      <c r="F68" s="743"/>
      <c r="G68" s="743"/>
      <c r="H68" s="743"/>
      <c r="I68" s="743"/>
      <c r="J68" s="743"/>
      <c r="K68" s="743"/>
      <c r="L68" s="743"/>
      <c r="M68" s="743"/>
      <c r="N68" s="743"/>
      <c r="O68" s="743"/>
      <c r="P68" s="743"/>
      <c r="Q68" s="743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41" t="str">
        <f t="shared" ca="1" si="7"/>
        <v/>
      </c>
      <c r="AD68" s="741"/>
      <c r="AE68" s="741"/>
      <c r="AF68" s="741"/>
      <c r="AG68" s="741"/>
      <c r="AH68" s="741"/>
      <c r="AI68" s="741"/>
      <c r="AJ68" s="742" t="str">
        <f t="shared" ca="1" si="8"/>
        <v/>
      </c>
      <c r="AK68" s="742"/>
      <c r="AL68" s="741" t="str">
        <f t="shared" ca="1" si="9"/>
        <v/>
      </c>
      <c r="AM68" s="741"/>
      <c r="AN68" s="741"/>
      <c r="AO68" s="741"/>
      <c r="AP68" s="741"/>
      <c r="AQ68" s="741"/>
      <c r="AR68" s="741"/>
      <c r="AS68" s="741" t="str">
        <f t="shared" ca="1" si="10"/>
        <v/>
      </c>
      <c r="AT68" s="741"/>
      <c r="AU68" s="741"/>
      <c r="AV68" s="741"/>
      <c r="AW68" s="741"/>
      <c r="AX68" s="741"/>
      <c r="AY68" s="741"/>
    </row>
    <row r="69" spans="1:52" s="403" customFormat="1" ht="36.75" customHeight="1">
      <c r="B69" s="742">
        <f t="shared" si="11"/>
        <v>31</v>
      </c>
      <c r="C69" s="742"/>
      <c r="D69" s="743" t="str">
        <f t="shared" ca="1" si="6"/>
        <v/>
      </c>
      <c r="E69" s="743"/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3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41" t="str">
        <f t="shared" ca="1" si="7"/>
        <v/>
      </c>
      <c r="AD69" s="741"/>
      <c r="AE69" s="741"/>
      <c r="AF69" s="741"/>
      <c r="AG69" s="741"/>
      <c r="AH69" s="741"/>
      <c r="AI69" s="741"/>
      <c r="AJ69" s="742" t="str">
        <f t="shared" ca="1" si="8"/>
        <v/>
      </c>
      <c r="AK69" s="742"/>
      <c r="AL69" s="741" t="str">
        <f t="shared" ca="1" si="9"/>
        <v/>
      </c>
      <c r="AM69" s="741"/>
      <c r="AN69" s="741"/>
      <c r="AO69" s="741"/>
      <c r="AP69" s="741"/>
      <c r="AQ69" s="741"/>
      <c r="AR69" s="741"/>
      <c r="AS69" s="741" t="str">
        <f t="shared" ca="1" si="10"/>
        <v/>
      </c>
      <c r="AT69" s="741"/>
      <c r="AU69" s="741"/>
      <c r="AV69" s="741"/>
      <c r="AW69" s="741"/>
      <c r="AX69" s="741"/>
      <c r="AY69" s="741"/>
    </row>
    <row r="70" spans="1:52" s="403" customFormat="1" ht="36.75" customHeight="1">
      <c r="B70" s="742">
        <f t="shared" si="11"/>
        <v>32</v>
      </c>
      <c r="C70" s="742"/>
      <c r="D70" s="743" t="str">
        <f t="shared" ca="1" si="6"/>
        <v/>
      </c>
      <c r="E70" s="743"/>
      <c r="F70" s="743"/>
      <c r="G70" s="743"/>
      <c r="H70" s="743"/>
      <c r="I70" s="743"/>
      <c r="J70" s="743"/>
      <c r="K70" s="743"/>
      <c r="L70" s="743"/>
      <c r="M70" s="743"/>
      <c r="N70" s="743"/>
      <c r="O70" s="743"/>
      <c r="P70" s="743"/>
      <c r="Q70" s="743"/>
      <c r="R70" s="743"/>
      <c r="S70" s="743"/>
      <c r="T70" s="743"/>
      <c r="U70" s="743"/>
      <c r="V70" s="743"/>
      <c r="W70" s="743"/>
      <c r="X70" s="743"/>
      <c r="Y70" s="743"/>
      <c r="Z70" s="743"/>
      <c r="AA70" s="743"/>
      <c r="AB70" s="743"/>
      <c r="AC70" s="741" t="str">
        <f t="shared" ca="1" si="7"/>
        <v/>
      </c>
      <c r="AD70" s="741"/>
      <c r="AE70" s="741"/>
      <c r="AF70" s="741"/>
      <c r="AG70" s="741"/>
      <c r="AH70" s="741"/>
      <c r="AI70" s="741"/>
      <c r="AJ70" s="742" t="str">
        <f t="shared" ca="1" si="8"/>
        <v/>
      </c>
      <c r="AK70" s="742"/>
      <c r="AL70" s="741" t="str">
        <f t="shared" ca="1" si="9"/>
        <v/>
      </c>
      <c r="AM70" s="741"/>
      <c r="AN70" s="741"/>
      <c r="AO70" s="741"/>
      <c r="AP70" s="741"/>
      <c r="AQ70" s="741"/>
      <c r="AR70" s="741"/>
      <c r="AS70" s="741" t="str">
        <f t="shared" ca="1" si="10"/>
        <v/>
      </c>
      <c r="AT70" s="741"/>
      <c r="AU70" s="741"/>
      <c r="AV70" s="741"/>
      <c r="AW70" s="741"/>
      <c r="AX70" s="741"/>
      <c r="AY70" s="741"/>
    </row>
    <row r="71" spans="1:52" s="403" customFormat="1" ht="36.75" customHeight="1">
      <c r="B71" s="742">
        <f t="shared" si="11"/>
        <v>33</v>
      </c>
      <c r="C71" s="742"/>
      <c r="D71" s="743" t="str">
        <f t="shared" ca="1" si="6"/>
        <v/>
      </c>
      <c r="E71" s="743"/>
      <c r="F71" s="743"/>
      <c r="G71" s="743"/>
      <c r="H71" s="743"/>
      <c r="I71" s="743"/>
      <c r="J71" s="743"/>
      <c r="K71" s="743"/>
      <c r="L71" s="743"/>
      <c r="M71" s="743"/>
      <c r="N71" s="743"/>
      <c r="O71" s="743"/>
      <c r="P71" s="743"/>
      <c r="Q71" s="743"/>
      <c r="R71" s="743"/>
      <c r="S71" s="743"/>
      <c r="T71" s="743"/>
      <c r="U71" s="743"/>
      <c r="V71" s="743"/>
      <c r="W71" s="743"/>
      <c r="X71" s="743"/>
      <c r="Y71" s="743"/>
      <c r="Z71" s="743"/>
      <c r="AA71" s="743"/>
      <c r="AB71" s="743"/>
      <c r="AC71" s="741" t="str">
        <f t="shared" ca="1" si="7"/>
        <v/>
      </c>
      <c r="AD71" s="741"/>
      <c r="AE71" s="741"/>
      <c r="AF71" s="741"/>
      <c r="AG71" s="741"/>
      <c r="AH71" s="741"/>
      <c r="AI71" s="741"/>
      <c r="AJ71" s="742" t="str">
        <f t="shared" ca="1" si="8"/>
        <v/>
      </c>
      <c r="AK71" s="742"/>
      <c r="AL71" s="741" t="str">
        <f t="shared" ca="1" si="9"/>
        <v/>
      </c>
      <c r="AM71" s="741"/>
      <c r="AN71" s="741"/>
      <c r="AO71" s="741"/>
      <c r="AP71" s="741"/>
      <c r="AQ71" s="741"/>
      <c r="AR71" s="741"/>
      <c r="AS71" s="741" t="str">
        <f t="shared" ca="1" si="10"/>
        <v/>
      </c>
      <c r="AT71" s="741"/>
      <c r="AU71" s="741"/>
      <c r="AV71" s="741"/>
      <c r="AW71" s="741"/>
      <c r="AX71" s="741"/>
      <c r="AY71" s="741"/>
    </row>
    <row r="72" spans="1:52" s="403" customFormat="1" ht="36.75" customHeight="1">
      <c r="B72" s="742">
        <f t="shared" si="11"/>
        <v>34</v>
      </c>
      <c r="C72" s="742"/>
      <c r="D72" s="743" t="str">
        <f t="shared" ca="1" si="6"/>
        <v/>
      </c>
      <c r="E72" s="743"/>
      <c r="F72" s="743"/>
      <c r="G72" s="743"/>
      <c r="H72" s="743"/>
      <c r="I72" s="743"/>
      <c r="J72" s="743"/>
      <c r="K72" s="743"/>
      <c r="L72" s="743"/>
      <c r="M72" s="743"/>
      <c r="N72" s="743"/>
      <c r="O72" s="743"/>
      <c r="P72" s="743"/>
      <c r="Q72" s="743"/>
      <c r="R72" s="743"/>
      <c r="S72" s="743"/>
      <c r="T72" s="743"/>
      <c r="U72" s="743"/>
      <c r="V72" s="743"/>
      <c r="W72" s="743"/>
      <c r="X72" s="743"/>
      <c r="Y72" s="743"/>
      <c r="Z72" s="743"/>
      <c r="AA72" s="743"/>
      <c r="AB72" s="743"/>
      <c r="AC72" s="741" t="str">
        <f t="shared" ca="1" si="7"/>
        <v/>
      </c>
      <c r="AD72" s="741"/>
      <c r="AE72" s="741"/>
      <c r="AF72" s="741"/>
      <c r="AG72" s="741"/>
      <c r="AH72" s="741"/>
      <c r="AI72" s="741"/>
      <c r="AJ72" s="742" t="str">
        <f t="shared" ca="1" si="8"/>
        <v/>
      </c>
      <c r="AK72" s="742"/>
      <c r="AL72" s="741" t="str">
        <f t="shared" ca="1" si="9"/>
        <v/>
      </c>
      <c r="AM72" s="741"/>
      <c r="AN72" s="741"/>
      <c r="AO72" s="741"/>
      <c r="AP72" s="741"/>
      <c r="AQ72" s="741"/>
      <c r="AR72" s="741"/>
      <c r="AS72" s="741" t="str">
        <f t="shared" ca="1" si="10"/>
        <v/>
      </c>
      <c r="AT72" s="741"/>
      <c r="AU72" s="741"/>
      <c r="AV72" s="741"/>
      <c r="AW72" s="741"/>
      <c r="AX72" s="741"/>
      <c r="AY72" s="741"/>
    </row>
    <row r="73" spans="1:52" s="403" customFormat="1" ht="36.75" customHeight="1">
      <c r="B73" s="742">
        <f t="shared" si="11"/>
        <v>35</v>
      </c>
      <c r="C73" s="742"/>
      <c r="D73" s="743" t="str">
        <f t="shared" ca="1" si="6"/>
        <v/>
      </c>
      <c r="E73" s="743"/>
      <c r="F73" s="743"/>
      <c r="G73" s="743"/>
      <c r="H73" s="743"/>
      <c r="I73" s="743"/>
      <c r="J73" s="743"/>
      <c r="K73" s="743"/>
      <c r="L73" s="743"/>
      <c r="M73" s="743"/>
      <c r="N73" s="743"/>
      <c r="O73" s="743"/>
      <c r="P73" s="743"/>
      <c r="Q73" s="743"/>
      <c r="R73" s="743"/>
      <c r="S73" s="743"/>
      <c r="T73" s="743"/>
      <c r="U73" s="743"/>
      <c r="V73" s="743"/>
      <c r="W73" s="743"/>
      <c r="X73" s="743"/>
      <c r="Y73" s="743"/>
      <c r="Z73" s="743"/>
      <c r="AA73" s="743"/>
      <c r="AB73" s="743"/>
      <c r="AC73" s="741" t="str">
        <f t="shared" ca="1" si="7"/>
        <v/>
      </c>
      <c r="AD73" s="741"/>
      <c r="AE73" s="741"/>
      <c r="AF73" s="741"/>
      <c r="AG73" s="741"/>
      <c r="AH73" s="741"/>
      <c r="AI73" s="741"/>
      <c r="AJ73" s="742" t="str">
        <f t="shared" ca="1" si="8"/>
        <v/>
      </c>
      <c r="AK73" s="742"/>
      <c r="AL73" s="741" t="str">
        <f t="shared" ca="1" si="9"/>
        <v/>
      </c>
      <c r="AM73" s="741"/>
      <c r="AN73" s="741"/>
      <c r="AO73" s="741"/>
      <c r="AP73" s="741"/>
      <c r="AQ73" s="741"/>
      <c r="AR73" s="741"/>
      <c r="AS73" s="741" t="str">
        <f t="shared" ca="1" si="10"/>
        <v/>
      </c>
      <c r="AT73" s="741"/>
      <c r="AU73" s="741"/>
      <c r="AV73" s="741"/>
      <c r="AW73" s="741"/>
      <c r="AX73" s="741"/>
      <c r="AY73" s="741"/>
    </row>
    <row r="74" spans="1:52" s="403" customFormat="1" ht="36.75" customHeight="1">
      <c r="B74" s="742">
        <f t="shared" si="11"/>
        <v>36</v>
      </c>
      <c r="C74" s="742"/>
      <c r="D74" s="743" t="str">
        <f t="shared" ca="1" si="6"/>
        <v/>
      </c>
      <c r="E74" s="743"/>
      <c r="F74" s="743"/>
      <c r="G74" s="743"/>
      <c r="H74" s="743"/>
      <c r="I74" s="743"/>
      <c r="J74" s="743"/>
      <c r="K74" s="743"/>
      <c r="L74" s="743"/>
      <c r="M74" s="743"/>
      <c r="N74" s="743"/>
      <c r="O74" s="743"/>
      <c r="P74" s="743"/>
      <c r="Q74" s="743"/>
      <c r="R74" s="743"/>
      <c r="S74" s="743"/>
      <c r="T74" s="743"/>
      <c r="U74" s="743"/>
      <c r="V74" s="743"/>
      <c r="W74" s="743"/>
      <c r="X74" s="743"/>
      <c r="Y74" s="743"/>
      <c r="Z74" s="743"/>
      <c r="AA74" s="743"/>
      <c r="AB74" s="743"/>
      <c r="AC74" s="741" t="str">
        <f t="shared" ca="1" si="7"/>
        <v/>
      </c>
      <c r="AD74" s="741"/>
      <c r="AE74" s="741"/>
      <c r="AF74" s="741"/>
      <c r="AG74" s="741"/>
      <c r="AH74" s="741"/>
      <c r="AI74" s="741"/>
      <c r="AJ74" s="742" t="str">
        <f t="shared" ca="1" si="8"/>
        <v/>
      </c>
      <c r="AK74" s="742"/>
      <c r="AL74" s="741" t="str">
        <f t="shared" ca="1" si="9"/>
        <v/>
      </c>
      <c r="AM74" s="741"/>
      <c r="AN74" s="741"/>
      <c r="AO74" s="741"/>
      <c r="AP74" s="741"/>
      <c r="AQ74" s="741"/>
      <c r="AR74" s="741"/>
      <c r="AS74" s="741" t="str">
        <f t="shared" ca="1" si="10"/>
        <v/>
      </c>
      <c r="AT74" s="741"/>
      <c r="AU74" s="741"/>
      <c r="AV74" s="741"/>
      <c r="AW74" s="741"/>
      <c r="AX74" s="741"/>
      <c r="AY74" s="741"/>
    </row>
    <row r="75" spans="1:52" s="403" customFormat="1" ht="36.75" customHeight="1">
      <c r="B75" s="742">
        <f t="shared" si="11"/>
        <v>37</v>
      </c>
      <c r="C75" s="742"/>
      <c r="D75" s="743" t="str">
        <f t="shared" ca="1" si="6"/>
        <v/>
      </c>
      <c r="E75" s="743"/>
      <c r="F75" s="743"/>
      <c r="G75" s="743"/>
      <c r="H75" s="743"/>
      <c r="I75" s="743"/>
      <c r="J75" s="743"/>
      <c r="K75" s="743"/>
      <c r="L75" s="743"/>
      <c r="M75" s="743"/>
      <c r="N75" s="743"/>
      <c r="O75" s="743"/>
      <c r="P75" s="743"/>
      <c r="Q75" s="743"/>
      <c r="R75" s="743"/>
      <c r="S75" s="743"/>
      <c r="T75" s="743"/>
      <c r="U75" s="743"/>
      <c r="V75" s="743"/>
      <c r="W75" s="743"/>
      <c r="X75" s="743"/>
      <c r="Y75" s="743"/>
      <c r="Z75" s="743"/>
      <c r="AA75" s="743"/>
      <c r="AB75" s="743"/>
      <c r="AC75" s="741" t="str">
        <f t="shared" ca="1" si="7"/>
        <v/>
      </c>
      <c r="AD75" s="741"/>
      <c r="AE75" s="741"/>
      <c r="AF75" s="741"/>
      <c r="AG75" s="741"/>
      <c r="AH75" s="741"/>
      <c r="AI75" s="741"/>
      <c r="AJ75" s="742" t="str">
        <f t="shared" ca="1" si="8"/>
        <v/>
      </c>
      <c r="AK75" s="742"/>
      <c r="AL75" s="741" t="str">
        <f t="shared" ca="1" si="9"/>
        <v/>
      </c>
      <c r="AM75" s="741"/>
      <c r="AN75" s="741"/>
      <c r="AO75" s="741"/>
      <c r="AP75" s="741"/>
      <c r="AQ75" s="741"/>
      <c r="AR75" s="741"/>
      <c r="AS75" s="741" t="str">
        <f t="shared" ca="1" si="10"/>
        <v/>
      </c>
      <c r="AT75" s="741"/>
      <c r="AU75" s="741"/>
      <c r="AV75" s="741"/>
      <c r="AW75" s="741"/>
      <c r="AX75" s="741"/>
      <c r="AY75" s="741"/>
    </row>
    <row r="76" spans="1:52" s="403" customFormat="1" ht="36.75" customHeight="1">
      <c r="B76" s="742">
        <f t="shared" si="11"/>
        <v>38</v>
      </c>
      <c r="C76" s="742"/>
      <c r="D76" s="743" t="str">
        <f t="shared" ca="1" si="6"/>
        <v/>
      </c>
      <c r="E76" s="743"/>
      <c r="F76" s="743"/>
      <c r="G76" s="743"/>
      <c r="H76" s="743"/>
      <c r="I76" s="743"/>
      <c r="J76" s="743"/>
      <c r="K76" s="743"/>
      <c r="L76" s="743"/>
      <c r="M76" s="743"/>
      <c r="N76" s="743"/>
      <c r="O76" s="743"/>
      <c r="P76" s="743"/>
      <c r="Q76" s="743"/>
      <c r="R76" s="743"/>
      <c r="S76" s="743"/>
      <c r="T76" s="743"/>
      <c r="U76" s="743"/>
      <c r="V76" s="743"/>
      <c r="W76" s="743"/>
      <c r="X76" s="743"/>
      <c r="Y76" s="743"/>
      <c r="Z76" s="743"/>
      <c r="AA76" s="743"/>
      <c r="AB76" s="743"/>
      <c r="AC76" s="741" t="str">
        <f t="shared" ca="1" si="7"/>
        <v/>
      </c>
      <c r="AD76" s="741"/>
      <c r="AE76" s="741"/>
      <c r="AF76" s="741"/>
      <c r="AG76" s="741"/>
      <c r="AH76" s="741"/>
      <c r="AI76" s="741"/>
      <c r="AJ76" s="742" t="str">
        <f t="shared" ca="1" si="8"/>
        <v/>
      </c>
      <c r="AK76" s="742"/>
      <c r="AL76" s="741" t="str">
        <f t="shared" ca="1" si="9"/>
        <v/>
      </c>
      <c r="AM76" s="741"/>
      <c r="AN76" s="741"/>
      <c r="AO76" s="741"/>
      <c r="AP76" s="741"/>
      <c r="AQ76" s="741"/>
      <c r="AR76" s="741"/>
      <c r="AS76" s="741" t="str">
        <f t="shared" ca="1" si="10"/>
        <v/>
      </c>
      <c r="AT76" s="741"/>
      <c r="AU76" s="741"/>
      <c r="AV76" s="741"/>
      <c r="AW76" s="741"/>
      <c r="AX76" s="741"/>
      <c r="AY76" s="741"/>
    </row>
    <row r="77" spans="1:52" s="403" customFormat="1" ht="36.75" customHeight="1">
      <c r="A77" s="403" t="s">
        <v>1529</v>
      </c>
      <c r="B77" s="742">
        <f t="shared" si="11"/>
        <v>39</v>
      </c>
      <c r="C77" s="742"/>
      <c r="D77" s="743" t="str">
        <f t="shared" ca="1" si="6"/>
        <v/>
      </c>
      <c r="E77" s="743"/>
      <c r="F77" s="743"/>
      <c r="G77" s="743"/>
      <c r="H77" s="743"/>
      <c r="I77" s="743"/>
      <c r="J77" s="743"/>
      <c r="K77" s="743"/>
      <c r="L77" s="743"/>
      <c r="M77" s="743"/>
      <c r="N77" s="743"/>
      <c r="O77" s="743"/>
      <c r="P77" s="743"/>
      <c r="Q77" s="743"/>
      <c r="R77" s="743"/>
      <c r="S77" s="743"/>
      <c r="T77" s="743"/>
      <c r="U77" s="743"/>
      <c r="V77" s="743"/>
      <c r="W77" s="743"/>
      <c r="X77" s="743"/>
      <c r="Y77" s="743"/>
      <c r="Z77" s="743"/>
      <c r="AA77" s="743"/>
      <c r="AB77" s="743"/>
      <c r="AC77" s="741" t="str">
        <f t="shared" ca="1" si="7"/>
        <v/>
      </c>
      <c r="AD77" s="741"/>
      <c r="AE77" s="741"/>
      <c r="AF77" s="741"/>
      <c r="AG77" s="741"/>
      <c r="AH77" s="741"/>
      <c r="AI77" s="741"/>
      <c r="AJ77" s="742" t="str">
        <f t="shared" ca="1" si="8"/>
        <v/>
      </c>
      <c r="AK77" s="742"/>
      <c r="AL77" s="741" t="str">
        <f t="shared" ca="1" si="9"/>
        <v/>
      </c>
      <c r="AM77" s="741"/>
      <c r="AN77" s="741"/>
      <c r="AO77" s="741"/>
      <c r="AP77" s="741"/>
      <c r="AQ77" s="741"/>
      <c r="AR77" s="741"/>
      <c r="AS77" s="741" t="str">
        <f t="shared" ca="1" si="10"/>
        <v/>
      </c>
      <c r="AT77" s="741"/>
      <c r="AU77" s="741"/>
      <c r="AV77" s="741"/>
      <c r="AW77" s="741"/>
      <c r="AX77" s="741"/>
      <c r="AY77" s="741"/>
      <c r="AZ77" s="473" t="s">
        <v>1530</v>
      </c>
    </row>
    <row r="78" spans="1:52" s="403" customFormat="1" ht="36.75" customHeight="1">
      <c r="B78" s="742">
        <f t="shared" si="11"/>
        <v>40</v>
      </c>
      <c r="C78" s="742"/>
      <c r="D78" s="743" t="str">
        <f t="shared" ca="1" si="6"/>
        <v/>
      </c>
      <c r="E78" s="743"/>
      <c r="F78" s="743"/>
      <c r="G78" s="743"/>
      <c r="H78" s="743"/>
      <c r="I78" s="743"/>
      <c r="J78" s="743"/>
      <c r="K78" s="743"/>
      <c r="L78" s="743"/>
      <c r="M78" s="743"/>
      <c r="N78" s="743"/>
      <c r="O78" s="743"/>
      <c r="P78" s="743"/>
      <c r="Q78" s="743"/>
      <c r="R78" s="743"/>
      <c r="S78" s="743"/>
      <c r="T78" s="743"/>
      <c r="U78" s="743"/>
      <c r="V78" s="743"/>
      <c r="W78" s="743"/>
      <c r="X78" s="743"/>
      <c r="Y78" s="743"/>
      <c r="Z78" s="743"/>
      <c r="AA78" s="743"/>
      <c r="AB78" s="743"/>
      <c r="AC78" s="741" t="str">
        <f t="shared" ca="1" si="7"/>
        <v/>
      </c>
      <c r="AD78" s="741"/>
      <c r="AE78" s="741"/>
      <c r="AF78" s="741"/>
      <c r="AG78" s="741"/>
      <c r="AH78" s="741"/>
      <c r="AI78" s="741"/>
      <c r="AJ78" s="742" t="str">
        <f t="shared" ca="1" si="8"/>
        <v/>
      </c>
      <c r="AK78" s="742"/>
      <c r="AL78" s="741" t="str">
        <f t="shared" ca="1" si="9"/>
        <v/>
      </c>
      <c r="AM78" s="741"/>
      <c r="AN78" s="741"/>
      <c r="AO78" s="741"/>
      <c r="AP78" s="741"/>
      <c r="AQ78" s="741"/>
      <c r="AR78" s="741"/>
      <c r="AS78" s="741" t="str">
        <f t="shared" ca="1" si="10"/>
        <v/>
      </c>
      <c r="AT78" s="741"/>
      <c r="AU78" s="741"/>
      <c r="AV78" s="741"/>
      <c r="AW78" s="741"/>
      <c r="AX78" s="741"/>
      <c r="AY78" s="741"/>
    </row>
    <row r="79" spans="1:52" s="403" customFormat="1" ht="45" customHeight="1">
      <c r="B79" s="749" t="s">
        <v>1527</v>
      </c>
      <c r="C79" s="750"/>
      <c r="D79" s="750"/>
      <c r="E79" s="751" t="str">
        <f>IF(UNNH0030_REPORT_IF_H_EIGYO_MEI="","",UNNH0030_REPORT_IF_H_EIGYO_MEI)</f>
        <v/>
      </c>
      <c r="F79" s="751"/>
      <c r="G79" s="751"/>
      <c r="H79" s="751"/>
      <c r="I79" s="751"/>
      <c r="J79" s="751"/>
      <c r="K79" s="751"/>
      <c r="L79" s="751"/>
      <c r="M79" s="751"/>
      <c r="N79" s="751"/>
      <c r="O79" s="751"/>
      <c r="P79" s="751"/>
      <c r="Q79" s="751"/>
      <c r="R79" s="751"/>
      <c r="S79" s="751"/>
      <c r="T79" s="751"/>
      <c r="U79" s="751"/>
      <c r="V79" s="751"/>
      <c r="W79" s="751"/>
      <c r="X79" s="751"/>
      <c r="Y79" s="751"/>
      <c r="Z79" s="751"/>
      <c r="AA79" s="751"/>
      <c r="AB79" s="751"/>
      <c r="AC79" s="751"/>
      <c r="AD79" s="751"/>
      <c r="AE79" s="751"/>
      <c r="AF79" s="751"/>
      <c r="AG79" s="752"/>
      <c r="AH79" s="742" t="s">
        <v>1107</v>
      </c>
      <c r="AI79" s="742"/>
      <c r="AJ79" s="742"/>
      <c r="AK79" s="742"/>
      <c r="AL79" s="742"/>
      <c r="AM79" s="742"/>
      <c r="AN79" s="742"/>
      <c r="AO79" s="742"/>
      <c r="AP79" s="742"/>
      <c r="AQ79" s="753" t="str">
        <f>IF(ROUNDUP(ROW()/ROWS(UNNH0030_SEIKYUSHO_PAGE_AREA),0)=UNNH0030_REPORT_IF_B_PAGE_TOTAL,UNNH0030_REPORT_IF_H_TOTAL,"")</f>
        <v/>
      </c>
      <c r="AR79" s="754"/>
      <c r="AS79" s="754"/>
      <c r="AT79" s="754"/>
      <c r="AU79" s="754"/>
      <c r="AV79" s="754"/>
      <c r="AW79" s="754"/>
      <c r="AX79" s="754"/>
      <c r="AY79" s="755"/>
    </row>
    <row r="80" spans="1:52" s="403" customFormat="1" ht="33.75" customHeight="1">
      <c r="C80" s="404"/>
      <c r="D80" s="404"/>
      <c r="E80" s="404"/>
      <c r="F80" s="404"/>
      <c r="G80" s="404"/>
      <c r="H80" s="404"/>
      <c r="I80" s="404"/>
      <c r="J80" s="404"/>
      <c r="K80" s="404"/>
      <c r="L80" s="404"/>
      <c r="M80" s="404"/>
      <c r="N80" s="404"/>
      <c r="O80" s="404"/>
    </row>
    <row r="81" spans="1:52" s="403" customFormat="1" ht="38.25" customHeight="1">
      <c r="B81" s="756" t="s">
        <v>1528</v>
      </c>
      <c r="C81" s="757"/>
      <c r="D81" s="758"/>
      <c r="E81" s="738" t="str">
        <f>IF(UNNH0030_REPORT_IF_H_TEKIYO="","",UNNH0030_REPORT_IF_H_TEKIYO)</f>
        <v/>
      </c>
      <c r="F81" s="738"/>
      <c r="G81" s="738"/>
      <c r="H81" s="738"/>
      <c r="I81" s="738"/>
      <c r="J81" s="738"/>
      <c r="K81" s="738"/>
      <c r="L81" s="738"/>
      <c r="M81" s="738"/>
      <c r="N81" s="738"/>
      <c r="O81" s="738"/>
      <c r="P81" s="738"/>
      <c r="Q81" s="738"/>
      <c r="R81" s="738"/>
      <c r="S81" s="738"/>
      <c r="T81" s="738"/>
      <c r="U81" s="738"/>
      <c r="V81" s="738"/>
      <c r="W81" s="738"/>
      <c r="X81" s="738"/>
      <c r="Y81" s="738"/>
      <c r="Z81" s="738"/>
      <c r="AA81" s="738"/>
      <c r="AB81" s="738"/>
      <c r="AC81" s="738"/>
      <c r="AD81" s="738"/>
      <c r="AE81" s="738"/>
      <c r="AF81" s="738"/>
      <c r="AG81" s="738"/>
      <c r="AH81" s="738"/>
      <c r="AI81" s="738"/>
      <c r="AJ81" s="738"/>
      <c r="AK81" s="738"/>
      <c r="AL81" s="738"/>
      <c r="AM81" s="738"/>
      <c r="AN81" s="738"/>
      <c r="AO81" s="738"/>
      <c r="AP81" s="738"/>
      <c r="AQ81" s="738"/>
      <c r="AR81" s="738"/>
      <c r="AS81" s="738"/>
      <c r="AU81" s="739" t="str">
        <f>IF(UNNH0030_REPORT_IF_H_SEIKYUHOHO_KBN=0,"","締日 "&amp;UNNH0030_REPORT_IF_H_SHIMEBI)</f>
        <v/>
      </c>
      <c r="AV81" s="739"/>
      <c r="AW81" s="739"/>
      <c r="AX81" s="739"/>
      <c r="AY81" s="740" t="str">
        <f>UNNH0030_REPORT_IF_H_SHIMEBI_MARK</f>
        <v>*</v>
      </c>
    </row>
    <row r="82" spans="1:52" s="403" customFormat="1" ht="38.25" customHeight="1">
      <c r="B82" s="759"/>
      <c r="C82" s="760"/>
      <c r="D82" s="761"/>
      <c r="E82" s="738"/>
      <c r="F82" s="738"/>
      <c r="G82" s="738"/>
      <c r="H82" s="738"/>
      <c r="I82" s="738"/>
      <c r="J82" s="738"/>
      <c r="K82" s="738"/>
      <c r="L82" s="738"/>
      <c r="M82" s="738"/>
      <c r="N82" s="738"/>
      <c r="O82" s="738"/>
      <c r="P82" s="738"/>
      <c r="Q82" s="738"/>
      <c r="R82" s="738"/>
      <c r="S82" s="738"/>
      <c r="T82" s="738"/>
      <c r="U82" s="738"/>
      <c r="V82" s="738"/>
      <c r="W82" s="738"/>
      <c r="X82" s="738"/>
      <c r="Y82" s="738"/>
      <c r="Z82" s="738"/>
      <c r="AA82" s="738"/>
      <c r="AB82" s="738"/>
      <c r="AC82" s="738"/>
      <c r="AD82" s="738"/>
      <c r="AE82" s="738"/>
      <c r="AF82" s="738"/>
      <c r="AG82" s="738"/>
      <c r="AH82" s="738"/>
      <c r="AI82" s="738"/>
      <c r="AJ82" s="738"/>
      <c r="AK82" s="738"/>
      <c r="AL82" s="738"/>
      <c r="AM82" s="738"/>
      <c r="AN82" s="738"/>
      <c r="AO82" s="738"/>
      <c r="AP82" s="738"/>
      <c r="AQ82" s="738"/>
      <c r="AR82" s="738"/>
      <c r="AS82" s="738"/>
      <c r="AU82" s="739"/>
      <c r="AV82" s="739"/>
      <c r="AW82" s="739"/>
      <c r="AX82" s="739"/>
      <c r="AY82" s="740"/>
    </row>
    <row r="83" spans="1:52" s="403" customFormat="1" ht="30" customHeight="1">
      <c r="B83" s="777" t="str">
        <f>IF(UNNH0030_REPORT_IF_JURI_NO="","",UNNH0030_REPORT_IF_JURI_NO)</f>
        <v/>
      </c>
      <c r="C83" s="777"/>
      <c r="D83" s="777"/>
      <c r="E83" s="777"/>
      <c r="F83" s="777"/>
      <c r="G83" s="777"/>
      <c r="H83" s="777"/>
      <c r="I83" s="777"/>
      <c r="J83" s="777"/>
      <c r="K83" s="777"/>
      <c r="L83" s="777"/>
      <c r="M83" s="777"/>
      <c r="N83" s="777"/>
      <c r="O83" s="777"/>
      <c r="P83" s="777"/>
      <c r="Q83" s="777"/>
      <c r="R83" s="777"/>
      <c r="S83" s="777"/>
      <c r="T83" s="777"/>
      <c r="U83" s="777"/>
      <c r="V83" s="777"/>
      <c r="W83" s="777"/>
      <c r="X83" s="777"/>
      <c r="Y83" s="777"/>
      <c r="Z83" s="777"/>
      <c r="AA83" s="777"/>
      <c r="AB83" s="777"/>
      <c r="AC83" s="777"/>
      <c r="AD83" s="777"/>
      <c r="AE83" s="777"/>
      <c r="AF83" s="777"/>
      <c r="AG83" s="777"/>
      <c r="AH83" s="777"/>
      <c r="AI83" s="777"/>
      <c r="AJ83" s="777"/>
      <c r="AK83" s="777"/>
      <c r="AL83" s="777"/>
      <c r="AM83" s="777"/>
      <c r="AN83" s="777"/>
      <c r="AO83" s="777"/>
      <c r="AP83" s="777"/>
      <c r="AQ83" s="777"/>
      <c r="AR83" s="777"/>
      <c r="AS83" s="777"/>
      <c r="AT83" s="777"/>
      <c r="AU83" s="777"/>
      <c r="AV83" s="777"/>
      <c r="AW83" s="777"/>
      <c r="AX83" s="777"/>
      <c r="AY83" s="777"/>
    </row>
    <row r="84" spans="1:52" s="329" customFormat="1">
      <c r="A84" s="72" t="s">
        <v>1513</v>
      </c>
      <c r="B84" s="72" t="s">
        <v>1512</v>
      </c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</row>
    <row r="85" spans="1:52" s="403" customFormat="1" ht="12" customHeight="1">
      <c r="C85" s="404"/>
      <c r="D85" s="404"/>
      <c r="E85" s="465"/>
      <c r="F85" s="466"/>
      <c r="G85" s="466"/>
      <c r="H85" s="466"/>
      <c r="I85" s="466"/>
      <c r="J85" s="466"/>
      <c r="K85" s="466"/>
      <c r="L85" s="466"/>
      <c r="M85" s="466"/>
      <c r="N85" s="466"/>
      <c r="O85" s="466"/>
      <c r="P85" s="466"/>
      <c r="Q85" s="466"/>
      <c r="R85" s="466"/>
      <c r="S85" s="466"/>
      <c r="T85" s="466"/>
      <c r="U85" s="466"/>
      <c r="V85" s="466"/>
      <c r="W85" s="466"/>
      <c r="X85" s="466"/>
      <c r="Y85" s="467"/>
      <c r="AA85" s="744" t="s">
        <v>1535</v>
      </c>
      <c r="AB85" s="744"/>
      <c r="AC85" s="744"/>
      <c r="AD85" s="744"/>
      <c r="AE85" s="744"/>
      <c r="AF85" s="744"/>
      <c r="AG85" s="744"/>
      <c r="AH85" s="744"/>
      <c r="AI85" s="744"/>
      <c r="AJ85" s="744"/>
      <c r="AK85" s="744"/>
      <c r="AL85" s="744"/>
      <c r="AP85" s="774" t="str">
        <f>"No."&amp;UNNH0030_REPORT_IF_H_URIAGE_NO&amp;"-"&amp;ROUNDUP(ROW()/ROWS(UNNH0030_SEIKYUSHO_PAGE_AREA),0)&amp;"/"&amp;UNNH0030_REPORT_IF_B_PAGE_TOTAL</f>
        <v>No.-3/1</v>
      </c>
      <c r="AQ85" s="774"/>
      <c r="AR85" s="774"/>
      <c r="AS85" s="774"/>
      <c r="AT85" s="774"/>
      <c r="AU85" s="774"/>
      <c r="AV85" s="774"/>
      <c r="AW85" s="774"/>
      <c r="AX85" s="774"/>
      <c r="AY85" s="774"/>
    </row>
    <row r="86" spans="1:52" s="403" customFormat="1" ht="24.75" customHeight="1">
      <c r="C86" s="404"/>
      <c r="E86" s="468"/>
      <c r="F86" s="775" t="str">
        <f>IF(UNNH0030_REPORT_IF_H_JUSHO_NO_PRINT_FLG=TRUE,"","〒")</f>
        <v>〒</v>
      </c>
      <c r="G86" s="775"/>
      <c r="H86" s="776" t="str">
        <f>IF(UNNH0030_REPORT_IF_H_JUSHO_NO_PRINT_FLG=TRUE,"",IF(UNNH0030_REPORT_IF_H_YUBIN_NO="","",UNNH0030_REPORT_IF_H_YUBIN_NO))</f>
        <v/>
      </c>
      <c r="I86" s="776"/>
      <c r="J86" s="776"/>
      <c r="K86" s="776"/>
      <c r="L86" s="776"/>
      <c r="M86" s="776"/>
      <c r="N86" s="776"/>
      <c r="O86" s="776"/>
      <c r="P86" s="776"/>
      <c r="Q86" s="776"/>
      <c r="R86" s="776"/>
      <c r="S86" s="776"/>
      <c r="T86" s="776"/>
      <c r="U86" s="776"/>
      <c r="V86" s="776"/>
      <c r="W86" s="776"/>
      <c r="X86" s="776"/>
      <c r="Y86" s="469"/>
      <c r="AA86" s="744"/>
      <c r="AB86" s="744"/>
      <c r="AC86" s="744"/>
      <c r="AD86" s="744"/>
      <c r="AE86" s="744"/>
      <c r="AF86" s="744"/>
      <c r="AG86" s="744"/>
      <c r="AH86" s="744"/>
      <c r="AI86" s="744"/>
      <c r="AJ86" s="744"/>
      <c r="AK86" s="744"/>
      <c r="AL86" s="744"/>
      <c r="AP86" s="774"/>
      <c r="AQ86" s="774"/>
      <c r="AR86" s="774"/>
      <c r="AS86" s="774"/>
      <c r="AT86" s="774"/>
      <c r="AU86" s="774"/>
      <c r="AV86" s="774"/>
      <c r="AW86" s="774"/>
      <c r="AX86" s="774"/>
      <c r="AY86" s="774"/>
    </row>
    <row r="87" spans="1:52" s="403" customFormat="1" ht="24.75" customHeight="1">
      <c r="C87" s="404"/>
      <c r="E87" s="468"/>
      <c r="F87" s="745" t="str">
        <f>IF(UNNH0030_REPORT_IF_H_JUSHO_NO_PRINT_FLG="","",IF(UNNH0030_REPORT_IF_H_ADDRESS_1="","",UNNH0030_REPORT_IF_H_ADDRESS_1))</f>
        <v/>
      </c>
      <c r="G87" s="745"/>
      <c r="H87" s="745"/>
      <c r="I87" s="745"/>
      <c r="J87" s="745"/>
      <c r="K87" s="745"/>
      <c r="L87" s="745"/>
      <c r="M87" s="745"/>
      <c r="N87" s="745"/>
      <c r="O87" s="745"/>
      <c r="P87" s="745"/>
      <c r="Q87" s="745"/>
      <c r="R87" s="745"/>
      <c r="S87" s="745"/>
      <c r="T87" s="745"/>
      <c r="U87" s="745"/>
      <c r="V87" s="745"/>
      <c r="W87" s="745"/>
      <c r="X87" s="745"/>
      <c r="Y87" s="469"/>
      <c r="AP87" s="748">
        <f>UNNH0030_REPORT_IF_H_URIAGE_DATE</f>
        <v>0</v>
      </c>
      <c r="AQ87" s="748"/>
      <c r="AR87" s="748"/>
      <c r="AS87" s="748"/>
      <c r="AT87" s="748"/>
      <c r="AU87" s="748"/>
      <c r="AV87" s="748"/>
      <c r="AW87" s="748"/>
      <c r="AX87" s="748"/>
      <c r="AY87" s="748"/>
    </row>
    <row r="88" spans="1:52" s="403" customFormat="1" ht="24.75" customHeight="1">
      <c r="C88" s="404"/>
      <c r="E88" s="468"/>
      <c r="F88" s="745" t="str">
        <f>IF(UNNH0030_REPORT_IF_H_JUSHO_NO_PRINT_FLG="","",IF(UNNH0030_REPORT_IF_H_ADDRESS_2="","",UNNH0030_REPORT_IF_H_ADDRESS_2))</f>
        <v/>
      </c>
      <c r="G88" s="745"/>
      <c r="H88" s="745"/>
      <c r="I88" s="745"/>
      <c r="J88" s="745"/>
      <c r="K88" s="745"/>
      <c r="L88" s="745"/>
      <c r="M88" s="745"/>
      <c r="N88" s="745"/>
      <c r="O88" s="745"/>
      <c r="P88" s="745"/>
      <c r="Q88" s="745"/>
      <c r="R88" s="745"/>
      <c r="S88" s="745"/>
      <c r="T88" s="745"/>
      <c r="U88" s="745"/>
      <c r="V88" s="745"/>
      <c r="W88" s="745"/>
      <c r="X88" s="745"/>
      <c r="Y88" s="469"/>
    </row>
    <row r="89" spans="1:52" s="403" customFormat="1" ht="24.75" customHeight="1">
      <c r="C89" s="404"/>
      <c r="E89" s="468"/>
      <c r="F89" s="409"/>
      <c r="G89" s="409"/>
      <c r="H89" s="409"/>
      <c r="I89" s="409"/>
      <c r="J89" s="409"/>
      <c r="K89" s="409"/>
      <c r="L89" s="409"/>
      <c r="M89" s="409"/>
      <c r="N89" s="409"/>
      <c r="O89" s="409"/>
      <c r="P89" s="409"/>
      <c r="Q89" s="409"/>
      <c r="R89" s="409"/>
      <c r="S89" s="409"/>
      <c r="T89" s="409"/>
      <c r="U89" s="409"/>
      <c r="V89" s="409"/>
      <c r="W89" s="409"/>
      <c r="X89" s="409"/>
      <c r="Y89" s="469"/>
    </row>
    <row r="90" spans="1:52" s="403" customFormat="1" ht="26.25" customHeight="1">
      <c r="C90" s="404"/>
      <c r="E90" s="470"/>
      <c r="F90" s="745" t="str">
        <f>IF(TRIM(UNNH0030_REPORT_IF_H_SOFU_TANTO)="","",
IF(TRIM(UNNH0030_REPORT_IF_H_DEMPYO_SOFU_MEI)="","",
TRIM(UNNH0030_REPORT_IF_H_DEMPYO_SOFU_MEI)))</f>
        <v/>
      </c>
      <c r="G90" s="745"/>
      <c r="H90" s="745"/>
      <c r="I90" s="745"/>
      <c r="J90" s="745"/>
      <c r="K90" s="745"/>
      <c r="L90" s="745"/>
      <c r="M90" s="745"/>
      <c r="N90" s="745"/>
      <c r="O90" s="745"/>
      <c r="P90" s="745"/>
      <c r="Q90" s="745"/>
      <c r="R90" s="745"/>
      <c r="S90" s="745"/>
      <c r="T90" s="745"/>
      <c r="U90" s="745"/>
      <c r="V90" s="745"/>
      <c r="W90" s="745"/>
      <c r="X90" s="745"/>
      <c r="Y90" s="469"/>
    </row>
    <row r="91" spans="1:52" s="403" customFormat="1" ht="26.25" customHeight="1">
      <c r="C91" s="404"/>
      <c r="E91" s="468"/>
      <c r="F91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91" s="746"/>
      <c r="H91" s="746"/>
      <c r="I91" s="746"/>
      <c r="J91" s="746"/>
      <c r="K91" s="746"/>
      <c r="L91" s="746"/>
      <c r="M91" s="746"/>
      <c r="N91" s="746"/>
      <c r="O91" s="746"/>
      <c r="P91" s="746"/>
      <c r="Q91" s="746"/>
      <c r="R91" s="746"/>
      <c r="S91" s="746"/>
      <c r="T91" s="746"/>
      <c r="U91" s="746"/>
      <c r="V91" s="746"/>
      <c r="W91" s="746"/>
      <c r="X91" s="746"/>
      <c r="Y91" s="469"/>
      <c r="Z91" s="464" t="str">
        <f>UNNH0030_REPORT_IF_H_SHIMEBI_MARK</f>
        <v>*</v>
      </c>
    </row>
    <row r="92" spans="1:52" s="403" customFormat="1" ht="25.5" customHeight="1">
      <c r="C92" s="404"/>
      <c r="E92" s="471"/>
      <c r="F92" s="747">
        <f>UNNH0030_REPORT_IF_H_SEIKYU_CD</f>
        <v>0</v>
      </c>
      <c r="G92" s="747"/>
      <c r="H92" s="747"/>
      <c r="I92" s="747"/>
      <c r="J92" s="747"/>
      <c r="K92" s="747"/>
      <c r="L92" s="747"/>
      <c r="M92" s="747"/>
      <c r="N92" s="747"/>
      <c r="O92" s="747"/>
      <c r="P92" s="747"/>
      <c r="Q92" s="747"/>
      <c r="R92" s="747"/>
      <c r="S92" s="747"/>
      <c r="T92" s="747"/>
      <c r="U92" s="747"/>
      <c r="V92" s="747"/>
      <c r="W92" s="747"/>
      <c r="X92" s="747"/>
      <c r="Y92" s="472"/>
    </row>
    <row r="93" spans="1:52" s="403" customFormat="1" ht="30" customHeight="1">
      <c r="C93" s="404"/>
    </row>
    <row r="94" spans="1:52" s="403" customFormat="1" ht="30" customHeight="1">
      <c r="C94" s="404"/>
      <c r="D94" s="404"/>
      <c r="E94" s="404"/>
      <c r="F94" s="404"/>
      <c r="G94" s="404"/>
      <c r="H94" s="404"/>
      <c r="I94" s="404"/>
      <c r="J94" s="404"/>
      <c r="K94" s="404"/>
      <c r="L94" s="404"/>
      <c r="M94" s="404"/>
      <c r="N94" s="404"/>
      <c r="O94" s="404"/>
    </row>
    <row r="95" spans="1:52" s="403" customFormat="1" ht="29.25" customHeight="1">
      <c r="B95" s="474" t="s">
        <v>1101</v>
      </c>
      <c r="C95" s="404"/>
      <c r="D95" s="404"/>
      <c r="E95" s="404"/>
      <c r="F95" s="404"/>
      <c r="G95" s="404"/>
      <c r="H95" s="404"/>
      <c r="I95" s="404"/>
      <c r="J95" s="404"/>
      <c r="K95" s="404"/>
      <c r="L95" s="404"/>
      <c r="M95" s="404"/>
      <c r="N95" s="404"/>
      <c r="O95" s="404"/>
    </row>
    <row r="96" spans="1:52" s="403" customFormat="1" ht="36.75" customHeight="1">
      <c r="B96" s="742"/>
      <c r="C96" s="742"/>
      <c r="D96" s="742" t="s">
        <v>1102</v>
      </c>
      <c r="E96" s="742"/>
      <c r="F96" s="742"/>
      <c r="G96" s="742"/>
      <c r="H96" s="742"/>
      <c r="I96" s="742"/>
      <c r="J96" s="742"/>
      <c r="K96" s="742"/>
      <c r="L96" s="742"/>
      <c r="M96" s="742"/>
      <c r="N96" s="742"/>
      <c r="O96" s="742"/>
      <c r="P96" s="742"/>
      <c r="Q96" s="742"/>
      <c r="R96" s="742"/>
      <c r="S96" s="742"/>
      <c r="T96" s="742"/>
      <c r="U96" s="742"/>
      <c r="V96" s="742"/>
      <c r="W96" s="742"/>
      <c r="X96" s="742"/>
      <c r="Y96" s="742"/>
      <c r="Z96" s="742"/>
      <c r="AA96" s="742"/>
      <c r="AB96" s="742"/>
      <c r="AC96" s="742" t="s">
        <v>1103</v>
      </c>
      <c r="AD96" s="742"/>
      <c r="AE96" s="742"/>
      <c r="AF96" s="742"/>
      <c r="AG96" s="742"/>
      <c r="AH96" s="742"/>
      <c r="AI96" s="742"/>
      <c r="AJ96" s="742" t="s">
        <v>1104</v>
      </c>
      <c r="AK96" s="742"/>
      <c r="AL96" s="762" t="s">
        <v>1498</v>
      </c>
      <c r="AM96" s="763"/>
      <c r="AN96" s="763"/>
      <c r="AO96" s="763"/>
      <c r="AP96" s="763"/>
      <c r="AQ96" s="763"/>
      <c r="AR96" s="763"/>
      <c r="AS96" s="763"/>
      <c r="AT96" s="763"/>
      <c r="AU96" s="763"/>
      <c r="AV96" s="763"/>
      <c r="AW96" s="763"/>
      <c r="AX96" s="763"/>
      <c r="AY96" s="764"/>
    </row>
    <row r="97" spans="1:52" s="403" customFormat="1" ht="36.75" customHeight="1">
      <c r="B97" s="742">
        <f>ROUNDDOWN(ROW()/ROWS(UNNH0030_REPORT_RAYOUT_SEIKYUSHO),0)*UNNH0030_REPORT_IF_B_PAGE_MEISAI_SU+1</f>
        <v>41</v>
      </c>
      <c r="C97" s="742"/>
      <c r="D97" s="743" t="str">
        <f t="shared" ref="D97:D116" ca="1" si="12">IF(OFFSET(UNNH0030_REPORT_IF_B_SHOHIN_MEI,$B97,0)="","",OFFSET(UNNH0030_REPORT_IF_B_SHOHIN_MEI,$B97,0))</f>
        <v/>
      </c>
      <c r="E97" s="743"/>
      <c r="F97" s="743"/>
      <c r="G97" s="743"/>
      <c r="H97" s="743"/>
      <c r="I97" s="743"/>
      <c r="J97" s="743"/>
      <c r="K97" s="743"/>
      <c r="L97" s="743"/>
      <c r="M97" s="743"/>
      <c r="N97" s="743"/>
      <c r="O97" s="743"/>
      <c r="P97" s="743"/>
      <c r="Q97" s="743"/>
      <c r="R97" s="743"/>
      <c r="S97" s="743"/>
      <c r="T97" s="743"/>
      <c r="U97" s="743"/>
      <c r="V97" s="743"/>
      <c r="W97" s="743"/>
      <c r="X97" s="743"/>
      <c r="Y97" s="743"/>
      <c r="Z97" s="743"/>
      <c r="AA97" s="743"/>
      <c r="AB97" s="743"/>
      <c r="AC97" s="741" t="str">
        <f t="shared" ref="AC97:AC116" ca="1" si="13">IF(OR(OFFSET(UNNH0030_REPORT_IF_B_ROW_KBN,$B97,0)&lt;&gt;1,$D97="",$D97="消費税"),"",
OFFSET(UNNH0030_REPORT_IF_B_SURYO,$B97,0))</f>
        <v/>
      </c>
      <c r="AD97" s="741"/>
      <c r="AE97" s="741"/>
      <c r="AF97" s="741"/>
      <c r="AG97" s="741"/>
      <c r="AH97" s="741"/>
      <c r="AI97" s="741"/>
      <c r="AJ97" s="742" t="str">
        <f t="shared" ref="AJ97:AJ116" ca="1" si="14">IF(OFFSET(UNNH0030_REPORT_IF_B_TANI,$B97,0)="","",OFFSET(UNNH0030_REPORT_IF_B_TANI,$B97,0))</f>
        <v/>
      </c>
      <c r="AK97" s="742"/>
      <c r="AL97" s="765"/>
      <c r="AM97" s="766"/>
      <c r="AN97" s="766"/>
      <c r="AO97" s="766"/>
      <c r="AP97" s="766"/>
      <c r="AQ97" s="766"/>
      <c r="AR97" s="766"/>
      <c r="AS97" s="766"/>
      <c r="AT97" s="766"/>
      <c r="AU97" s="766"/>
      <c r="AV97" s="766"/>
      <c r="AW97" s="766"/>
      <c r="AX97" s="766"/>
      <c r="AY97" s="767"/>
    </row>
    <row r="98" spans="1:52" s="403" customFormat="1" ht="36.75" customHeight="1">
      <c r="B98" s="742">
        <f>B97+1</f>
        <v>42</v>
      </c>
      <c r="C98" s="742"/>
      <c r="D98" s="743" t="str">
        <f t="shared" ca="1" si="12"/>
        <v/>
      </c>
      <c r="E98" s="743"/>
      <c r="F98" s="743"/>
      <c r="G98" s="743"/>
      <c r="H98" s="743"/>
      <c r="I98" s="743"/>
      <c r="J98" s="743"/>
      <c r="K98" s="743"/>
      <c r="L98" s="743"/>
      <c r="M98" s="743"/>
      <c r="N98" s="743"/>
      <c r="O98" s="743"/>
      <c r="P98" s="743"/>
      <c r="Q98" s="743"/>
      <c r="R98" s="743"/>
      <c r="S98" s="743"/>
      <c r="T98" s="743"/>
      <c r="U98" s="743"/>
      <c r="V98" s="743"/>
      <c r="W98" s="743"/>
      <c r="X98" s="743"/>
      <c r="Y98" s="743"/>
      <c r="Z98" s="743"/>
      <c r="AA98" s="743"/>
      <c r="AB98" s="743"/>
      <c r="AC98" s="741" t="str">
        <f t="shared" ca="1" si="13"/>
        <v/>
      </c>
      <c r="AD98" s="741"/>
      <c r="AE98" s="741"/>
      <c r="AF98" s="741"/>
      <c r="AG98" s="741"/>
      <c r="AH98" s="741"/>
      <c r="AI98" s="741"/>
      <c r="AJ98" s="742" t="str">
        <f t="shared" ca="1" si="14"/>
        <v/>
      </c>
      <c r="AK98" s="742"/>
      <c r="AL98" s="768"/>
      <c r="AM98" s="769"/>
      <c r="AN98" s="769"/>
      <c r="AO98" s="769"/>
      <c r="AP98" s="769"/>
      <c r="AQ98" s="769"/>
      <c r="AR98" s="769"/>
      <c r="AS98" s="769"/>
      <c r="AT98" s="769"/>
      <c r="AU98" s="769"/>
      <c r="AV98" s="769"/>
      <c r="AW98" s="769"/>
      <c r="AX98" s="769"/>
      <c r="AY98" s="770"/>
    </row>
    <row r="99" spans="1:52" s="403" customFormat="1" ht="36.75" customHeight="1">
      <c r="B99" s="742">
        <f>B98+1</f>
        <v>43</v>
      </c>
      <c r="C99" s="742"/>
      <c r="D99" s="743" t="str">
        <f t="shared" ca="1" si="12"/>
        <v/>
      </c>
      <c r="E99" s="743"/>
      <c r="F99" s="743"/>
      <c r="G99" s="743"/>
      <c r="H99" s="743"/>
      <c r="I99" s="743"/>
      <c r="J99" s="743"/>
      <c r="K99" s="743"/>
      <c r="L99" s="743"/>
      <c r="M99" s="743"/>
      <c r="N99" s="743"/>
      <c r="O99" s="743"/>
      <c r="P99" s="743"/>
      <c r="Q99" s="743"/>
      <c r="R99" s="743"/>
      <c r="S99" s="743"/>
      <c r="T99" s="743"/>
      <c r="U99" s="743"/>
      <c r="V99" s="743"/>
      <c r="W99" s="743"/>
      <c r="X99" s="743"/>
      <c r="Y99" s="743"/>
      <c r="Z99" s="743"/>
      <c r="AA99" s="743"/>
      <c r="AB99" s="743"/>
      <c r="AC99" s="741" t="str">
        <f t="shared" ca="1" si="13"/>
        <v/>
      </c>
      <c r="AD99" s="741"/>
      <c r="AE99" s="741"/>
      <c r="AF99" s="741"/>
      <c r="AG99" s="741"/>
      <c r="AH99" s="741"/>
      <c r="AI99" s="741"/>
      <c r="AJ99" s="742" t="str">
        <f t="shared" ca="1" si="14"/>
        <v/>
      </c>
      <c r="AK99" s="742"/>
      <c r="AL99" s="768"/>
      <c r="AM99" s="769"/>
      <c r="AN99" s="769"/>
      <c r="AO99" s="769"/>
      <c r="AP99" s="769"/>
      <c r="AQ99" s="769"/>
      <c r="AR99" s="769"/>
      <c r="AS99" s="769"/>
      <c r="AT99" s="769"/>
      <c r="AU99" s="769"/>
      <c r="AV99" s="769"/>
      <c r="AW99" s="769"/>
      <c r="AX99" s="769"/>
      <c r="AY99" s="770"/>
    </row>
    <row r="100" spans="1:52" s="403" customFormat="1" ht="36.75" customHeight="1">
      <c r="B100" s="742">
        <f t="shared" ref="B100:B116" si="15">B99+1</f>
        <v>44</v>
      </c>
      <c r="C100" s="742"/>
      <c r="D100" s="743" t="str">
        <f t="shared" ca="1" si="12"/>
        <v/>
      </c>
      <c r="E100" s="743"/>
      <c r="F100" s="743"/>
      <c r="G100" s="743"/>
      <c r="H100" s="743"/>
      <c r="I100" s="743"/>
      <c r="J100" s="743"/>
      <c r="K100" s="743"/>
      <c r="L100" s="743"/>
      <c r="M100" s="743"/>
      <c r="N100" s="743"/>
      <c r="O100" s="743"/>
      <c r="P100" s="743"/>
      <c r="Q100" s="743"/>
      <c r="R100" s="743"/>
      <c r="S100" s="743"/>
      <c r="T100" s="743"/>
      <c r="U100" s="743"/>
      <c r="V100" s="743"/>
      <c r="W100" s="743"/>
      <c r="X100" s="743"/>
      <c r="Y100" s="743"/>
      <c r="Z100" s="743"/>
      <c r="AA100" s="743"/>
      <c r="AB100" s="743"/>
      <c r="AC100" s="741" t="str">
        <f t="shared" ca="1" si="13"/>
        <v/>
      </c>
      <c r="AD100" s="741"/>
      <c r="AE100" s="741"/>
      <c r="AF100" s="741"/>
      <c r="AG100" s="741"/>
      <c r="AH100" s="741"/>
      <c r="AI100" s="741"/>
      <c r="AJ100" s="742" t="str">
        <f t="shared" ca="1" si="14"/>
        <v/>
      </c>
      <c r="AK100" s="742"/>
      <c r="AL100" s="768"/>
      <c r="AM100" s="769"/>
      <c r="AN100" s="769"/>
      <c r="AO100" s="769"/>
      <c r="AP100" s="769"/>
      <c r="AQ100" s="769"/>
      <c r="AR100" s="769"/>
      <c r="AS100" s="769"/>
      <c r="AT100" s="769"/>
      <c r="AU100" s="769"/>
      <c r="AV100" s="769"/>
      <c r="AW100" s="769"/>
      <c r="AX100" s="769"/>
      <c r="AY100" s="770"/>
    </row>
    <row r="101" spans="1:52" s="403" customFormat="1" ht="36.75" customHeight="1">
      <c r="A101" s="403" t="s">
        <v>1529</v>
      </c>
      <c r="B101" s="742">
        <f t="shared" si="15"/>
        <v>45</v>
      </c>
      <c r="C101" s="742"/>
      <c r="D101" s="743" t="str">
        <f t="shared" ca="1" si="12"/>
        <v/>
      </c>
      <c r="E101" s="743"/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3"/>
      <c r="R101" s="743"/>
      <c r="S101" s="743"/>
      <c r="T101" s="743"/>
      <c r="U101" s="743"/>
      <c r="V101" s="743"/>
      <c r="W101" s="743"/>
      <c r="X101" s="743"/>
      <c r="Y101" s="743"/>
      <c r="Z101" s="743"/>
      <c r="AA101" s="743"/>
      <c r="AB101" s="743"/>
      <c r="AC101" s="741" t="str">
        <f t="shared" ca="1" si="13"/>
        <v/>
      </c>
      <c r="AD101" s="741"/>
      <c r="AE101" s="741"/>
      <c r="AF101" s="741"/>
      <c r="AG101" s="741"/>
      <c r="AH101" s="741"/>
      <c r="AI101" s="741"/>
      <c r="AJ101" s="742" t="str">
        <f t="shared" ca="1" si="14"/>
        <v/>
      </c>
      <c r="AK101" s="742"/>
      <c r="AL101" s="768"/>
      <c r="AM101" s="769"/>
      <c r="AN101" s="769"/>
      <c r="AO101" s="769"/>
      <c r="AP101" s="769"/>
      <c r="AQ101" s="769"/>
      <c r="AR101" s="769"/>
      <c r="AS101" s="769"/>
      <c r="AT101" s="769"/>
      <c r="AU101" s="769"/>
      <c r="AV101" s="769"/>
      <c r="AW101" s="769"/>
      <c r="AX101" s="769"/>
      <c r="AY101" s="770"/>
      <c r="AZ101" s="473" t="s">
        <v>1530</v>
      </c>
    </row>
    <row r="102" spans="1:52" s="403" customFormat="1" ht="36.75" customHeight="1">
      <c r="B102" s="742">
        <f t="shared" si="15"/>
        <v>46</v>
      </c>
      <c r="C102" s="742"/>
      <c r="D102" s="743" t="str">
        <f t="shared" ca="1" si="12"/>
        <v/>
      </c>
      <c r="E102" s="743"/>
      <c r="F102" s="743"/>
      <c r="G102" s="743"/>
      <c r="H102" s="743"/>
      <c r="I102" s="743"/>
      <c r="J102" s="743"/>
      <c r="K102" s="743"/>
      <c r="L102" s="743"/>
      <c r="M102" s="743"/>
      <c r="N102" s="743"/>
      <c r="O102" s="743"/>
      <c r="P102" s="743"/>
      <c r="Q102" s="743"/>
      <c r="R102" s="743"/>
      <c r="S102" s="743"/>
      <c r="T102" s="743"/>
      <c r="U102" s="743"/>
      <c r="V102" s="743"/>
      <c r="W102" s="743"/>
      <c r="X102" s="743"/>
      <c r="Y102" s="743"/>
      <c r="Z102" s="743"/>
      <c r="AA102" s="743"/>
      <c r="AB102" s="743"/>
      <c r="AC102" s="741" t="str">
        <f t="shared" ca="1" si="13"/>
        <v/>
      </c>
      <c r="AD102" s="741"/>
      <c r="AE102" s="741"/>
      <c r="AF102" s="741"/>
      <c r="AG102" s="741"/>
      <c r="AH102" s="741"/>
      <c r="AI102" s="741"/>
      <c r="AJ102" s="742" t="str">
        <f t="shared" ca="1" si="14"/>
        <v/>
      </c>
      <c r="AK102" s="742"/>
      <c r="AL102" s="768"/>
      <c r="AM102" s="769"/>
      <c r="AN102" s="769"/>
      <c r="AO102" s="769"/>
      <c r="AP102" s="769"/>
      <c r="AQ102" s="769"/>
      <c r="AR102" s="769"/>
      <c r="AS102" s="769"/>
      <c r="AT102" s="769"/>
      <c r="AU102" s="769"/>
      <c r="AV102" s="769"/>
      <c r="AW102" s="769"/>
      <c r="AX102" s="769"/>
      <c r="AY102" s="770"/>
      <c r="AZ102" s="473"/>
    </row>
    <row r="103" spans="1:52" s="403" customFormat="1" ht="36.75" customHeight="1">
      <c r="B103" s="742">
        <f t="shared" si="15"/>
        <v>47</v>
      </c>
      <c r="C103" s="742"/>
      <c r="D103" s="743" t="str">
        <f t="shared" ca="1" si="12"/>
        <v/>
      </c>
      <c r="E103" s="743"/>
      <c r="F103" s="743"/>
      <c r="G103" s="743"/>
      <c r="H103" s="743"/>
      <c r="I103" s="743"/>
      <c r="J103" s="743"/>
      <c r="K103" s="743"/>
      <c r="L103" s="743"/>
      <c r="M103" s="743"/>
      <c r="N103" s="743"/>
      <c r="O103" s="743"/>
      <c r="P103" s="743"/>
      <c r="Q103" s="743"/>
      <c r="R103" s="743"/>
      <c r="S103" s="743"/>
      <c r="T103" s="743"/>
      <c r="U103" s="743"/>
      <c r="V103" s="743"/>
      <c r="W103" s="743"/>
      <c r="X103" s="743"/>
      <c r="Y103" s="743"/>
      <c r="Z103" s="743"/>
      <c r="AA103" s="743"/>
      <c r="AB103" s="743"/>
      <c r="AC103" s="741" t="str">
        <f t="shared" ca="1" si="13"/>
        <v/>
      </c>
      <c r="AD103" s="741"/>
      <c r="AE103" s="741"/>
      <c r="AF103" s="741"/>
      <c r="AG103" s="741"/>
      <c r="AH103" s="741"/>
      <c r="AI103" s="741"/>
      <c r="AJ103" s="742" t="str">
        <f t="shared" ca="1" si="14"/>
        <v/>
      </c>
      <c r="AK103" s="742"/>
      <c r="AL103" s="768"/>
      <c r="AM103" s="769"/>
      <c r="AN103" s="769"/>
      <c r="AO103" s="769"/>
      <c r="AP103" s="769"/>
      <c r="AQ103" s="769"/>
      <c r="AR103" s="769"/>
      <c r="AS103" s="769"/>
      <c r="AT103" s="769"/>
      <c r="AU103" s="769"/>
      <c r="AV103" s="769"/>
      <c r="AW103" s="769"/>
      <c r="AX103" s="769"/>
      <c r="AY103" s="770"/>
      <c r="AZ103" s="473"/>
    </row>
    <row r="104" spans="1:52" s="403" customFormat="1" ht="36.75" customHeight="1">
      <c r="B104" s="742">
        <f t="shared" si="15"/>
        <v>48</v>
      </c>
      <c r="C104" s="742"/>
      <c r="D104" s="743" t="str">
        <f t="shared" ca="1" si="12"/>
        <v/>
      </c>
      <c r="E104" s="743"/>
      <c r="F104" s="743"/>
      <c r="G104" s="743"/>
      <c r="H104" s="743"/>
      <c r="I104" s="743"/>
      <c r="J104" s="743"/>
      <c r="K104" s="743"/>
      <c r="L104" s="743"/>
      <c r="M104" s="743"/>
      <c r="N104" s="743"/>
      <c r="O104" s="743"/>
      <c r="P104" s="743"/>
      <c r="Q104" s="743"/>
      <c r="R104" s="743"/>
      <c r="S104" s="743"/>
      <c r="T104" s="743"/>
      <c r="U104" s="743"/>
      <c r="V104" s="743"/>
      <c r="W104" s="743"/>
      <c r="X104" s="743"/>
      <c r="Y104" s="743"/>
      <c r="Z104" s="743"/>
      <c r="AA104" s="743"/>
      <c r="AB104" s="743"/>
      <c r="AC104" s="741" t="str">
        <f t="shared" ca="1" si="13"/>
        <v/>
      </c>
      <c r="AD104" s="741"/>
      <c r="AE104" s="741"/>
      <c r="AF104" s="741"/>
      <c r="AG104" s="741"/>
      <c r="AH104" s="741"/>
      <c r="AI104" s="741"/>
      <c r="AJ104" s="742" t="str">
        <f t="shared" ca="1" si="14"/>
        <v/>
      </c>
      <c r="AK104" s="742"/>
      <c r="AL104" s="768"/>
      <c r="AM104" s="769"/>
      <c r="AN104" s="769"/>
      <c r="AO104" s="769"/>
      <c r="AP104" s="769"/>
      <c r="AQ104" s="769"/>
      <c r="AR104" s="769"/>
      <c r="AS104" s="769"/>
      <c r="AT104" s="769"/>
      <c r="AU104" s="769"/>
      <c r="AV104" s="769"/>
      <c r="AW104" s="769"/>
      <c r="AX104" s="769"/>
      <c r="AY104" s="770"/>
    </row>
    <row r="105" spans="1:52" s="403" customFormat="1" ht="36.75" customHeight="1">
      <c r="B105" s="742">
        <f t="shared" si="15"/>
        <v>49</v>
      </c>
      <c r="C105" s="742"/>
      <c r="D105" s="743" t="str">
        <f t="shared" ca="1" si="12"/>
        <v/>
      </c>
      <c r="E105" s="743"/>
      <c r="F105" s="743"/>
      <c r="G105" s="743"/>
      <c r="H105" s="743"/>
      <c r="I105" s="743"/>
      <c r="J105" s="743"/>
      <c r="K105" s="743"/>
      <c r="L105" s="743"/>
      <c r="M105" s="743"/>
      <c r="N105" s="743"/>
      <c r="O105" s="743"/>
      <c r="P105" s="743"/>
      <c r="Q105" s="743"/>
      <c r="R105" s="743"/>
      <c r="S105" s="743"/>
      <c r="T105" s="743"/>
      <c r="U105" s="743"/>
      <c r="V105" s="743"/>
      <c r="W105" s="743"/>
      <c r="X105" s="743"/>
      <c r="Y105" s="743"/>
      <c r="Z105" s="743"/>
      <c r="AA105" s="743"/>
      <c r="AB105" s="743"/>
      <c r="AC105" s="741" t="str">
        <f t="shared" ca="1" si="13"/>
        <v/>
      </c>
      <c r="AD105" s="741"/>
      <c r="AE105" s="741"/>
      <c r="AF105" s="741"/>
      <c r="AG105" s="741"/>
      <c r="AH105" s="741"/>
      <c r="AI105" s="741"/>
      <c r="AJ105" s="742" t="str">
        <f t="shared" ca="1" si="14"/>
        <v/>
      </c>
      <c r="AK105" s="742"/>
      <c r="AL105" s="768"/>
      <c r="AM105" s="769"/>
      <c r="AN105" s="769"/>
      <c r="AO105" s="769"/>
      <c r="AP105" s="769"/>
      <c r="AQ105" s="769"/>
      <c r="AR105" s="769"/>
      <c r="AS105" s="769"/>
      <c r="AT105" s="769"/>
      <c r="AU105" s="769"/>
      <c r="AV105" s="769"/>
      <c r="AW105" s="769"/>
      <c r="AX105" s="769"/>
      <c r="AY105" s="770"/>
    </row>
    <row r="106" spans="1:52" s="403" customFormat="1" ht="36.75" customHeight="1">
      <c r="B106" s="742">
        <f t="shared" si="15"/>
        <v>50</v>
      </c>
      <c r="C106" s="742"/>
      <c r="D106" s="743" t="str">
        <f t="shared" ca="1" si="12"/>
        <v/>
      </c>
      <c r="E106" s="743"/>
      <c r="F106" s="743"/>
      <c r="G106" s="743"/>
      <c r="H106" s="743"/>
      <c r="I106" s="743"/>
      <c r="J106" s="743"/>
      <c r="K106" s="743"/>
      <c r="L106" s="743"/>
      <c r="M106" s="743"/>
      <c r="N106" s="743"/>
      <c r="O106" s="743"/>
      <c r="P106" s="743"/>
      <c r="Q106" s="743"/>
      <c r="R106" s="743"/>
      <c r="S106" s="743"/>
      <c r="T106" s="743"/>
      <c r="U106" s="743"/>
      <c r="V106" s="743"/>
      <c r="W106" s="743"/>
      <c r="X106" s="743"/>
      <c r="Y106" s="743"/>
      <c r="Z106" s="743"/>
      <c r="AA106" s="743"/>
      <c r="AB106" s="743"/>
      <c r="AC106" s="741" t="str">
        <f t="shared" ca="1" si="13"/>
        <v/>
      </c>
      <c r="AD106" s="741"/>
      <c r="AE106" s="741"/>
      <c r="AF106" s="741"/>
      <c r="AG106" s="741"/>
      <c r="AH106" s="741"/>
      <c r="AI106" s="741"/>
      <c r="AJ106" s="742" t="str">
        <f t="shared" ca="1" si="14"/>
        <v/>
      </c>
      <c r="AK106" s="742"/>
      <c r="AL106" s="768"/>
      <c r="AM106" s="769"/>
      <c r="AN106" s="769"/>
      <c r="AO106" s="769"/>
      <c r="AP106" s="769"/>
      <c r="AQ106" s="769"/>
      <c r="AR106" s="769"/>
      <c r="AS106" s="769"/>
      <c r="AT106" s="769"/>
      <c r="AU106" s="769"/>
      <c r="AV106" s="769"/>
      <c r="AW106" s="769"/>
      <c r="AX106" s="769"/>
      <c r="AY106" s="770"/>
    </row>
    <row r="107" spans="1:52" s="403" customFormat="1" ht="36.75" customHeight="1">
      <c r="B107" s="742">
        <f t="shared" si="15"/>
        <v>51</v>
      </c>
      <c r="C107" s="742"/>
      <c r="D107" s="743" t="str">
        <f t="shared" ca="1" si="12"/>
        <v/>
      </c>
      <c r="E107" s="743"/>
      <c r="F107" s="743"/>
      <c r="G107" s="743"/>
      <c r="H107" s="743"/>
      <c r="I107" s="743"/>
      <c r="J107" s="743"/>
      <c r="K107" s="743"/>
      <c r="L107" s="743"/>
      <c r="M107" s="743"/>
      <c r="N107" s="743"/>
      <c r="O107" s="743"/>
      <c r="P107" s="743"/>
      <c r="Q107" s="743"/>
      <c r="R107" s="743"/>
      <c r="S107" s="743"/>
      <c r="T107" s="743"/>
      <c r="U107" s="743"/>
      <c r="V107" s="743"/>
      <c r="W107" s="743"/>
      <c r="X107" s="743"/>
      <c r="Y107" s="743"/>
      <c r="Z107" s="743"/>
      <c r="AA107" s="743"/>
      <c r="AB107" s="743"/>
      <c r="AC107" s="741" t="str">
        <f t="shared" ca="1" si="13"/>
        <v/>
      </c>
      <c r="AD107" s="741"/>
      <c r="AE107" s="741"/>
      <c r="AF107" s="741"/>
      <c r="AG107" s="741"/>
      <c r="AH107" s="741"/>
      <c r="AI107" s="741"/>
      <c r="AJ107" s="742" t="str">
        <f t="shared" ca="1" si="14"/>
        <v/>
      </c>
      <c r="AK107" s="742"/>
      <c r="AL107" s="768"/>
      <c r="AM107" s="769"/>
      <c r="AN107" s="769"/>
      <c r="AO107" s="769"/>
      <c r="AP107" s="769"/>
      <c r="AQ107" s="769"/>
      <c r="AR107" s="769"/>
      <c r="AS107" s="769"/>
      <c r="AT107" s="769"/>
      <c r="AU107" s="769"/>
      <c r="AV107" s="769"/>
      <c r="AW107" s="769"/>
      <c r="AX107" s="769"/>
      <c r="AY107" s="770"/>
    </row>
    <row r="108" spans="1:52" s="403" customFormat="1" ht="36.75" customHeight="1">
      <c r="B108" s="742">
        <f t="shared" si="15"/>
        <v>52</v>
      </c>
      <c r="C108" s="742"/>
      <c r="D108" s="743" t="str">
        <f t="shared" ca="1" si="12"/>
        <v/>
      </c>
      <c r="E108" s="743"/>
      <c r="F108" s="743"/>
      <c r="G108" s="743"/>
      <c r="H108" s="743"/>
      <c r="I108" s="743"/>
      <c r="J108" s="743"/>
      <c r="K108" s="743"/>
      <c r="L108" s="743"/>
      <c r="M108" s="743"/>
      <c r="N108" s="743"/>
      <c r="O108" s="743"/>
      <c r="P108" s="743"/>
      <c r="Q108" s="743"/>
      <c r="R108" s="743"/>
      <c r="S108" s="743"/>
      <c r="T108" s="743"/>
      <c r="U108" s="743"/>
      <c r="V108" s="743"/>
      <c r="W108" s="743"/>
      <c r="X108" s="743"/>
      <c r="Y108" s="743"/>
      <c r="Z108" s="743"/>
      <c r="AA108" s="743"/>
      <c r="AB108" s="743"/>
      <c r="AC108" s="741" t="str">
        <f t="shared" ca="1" si="13"/>
        <v/>
      </c>
      <c r="AD108" s="741"/>
      <c r="AE108" s="741"/>
      <c r="AF108" s="741"/>
      <c r="AG108" s="741"/>
      <c r="AH108" s="741"/>
      <c r="AI108" s="741"/>
      <c r="AJ108" s="742" t="str">
        <f t="shared" ca="1" si="14"/>
        <v/>
      </c>
      <c r="AK108" s="742"/>
      <c r="AL108" s="768"/>
      <c r="AM108" s="769"/>
      <c r="AN108" s="769"/>
      <c r="AO108" s="769"/>
      <c r="AP108" s="769"/>
      <c r="AQ108" s="769"/>
      <c r="AR108" s="769"/>
      <c r="AS108" s="769"/>
      <c r="AT108" s="769"/>
      <c r="AU108" s="769"/>
      <c r="AV108" s="769"/>
      <c r="AW108" s="769"/>
      <c r="AX108" s="769"/>
      <c r="AY108" s="770"/>
    </row>
    <row r="109" spans="1:52" s="403" customFormat="1" ht="36.75" customHeight="1">
      <c r="B109" s="742">
        <f t="shared" si="15"/>
        <v>53</v>
      </c>
      <c r="C109" s="742"/>
      <c r="D109" s="743" t="str">
        <f t="shared" ca="1" si="12"/>
        <v/>
      </c>
      <c r="E109" s="743"/>
      <c r="F109" s="743"/>
      <c r="G109" s="743"/>
      <c r="H109" s="743"/>
      <c r="I109" s="743"/>
      <c r="J109" s="743"/>
      <c r="K109" s="743"/>
      <c r="L109" s="743"/>
      <c r="M109" s="743"/>
      <c r="N109" s="743"/>
      <c r="O109" s="743"/>
      <c r="P109" s="743"/>
      <c r="Q109" s="743"/>
      <c r="R109" s="743"/>
      <c r="S109" s="743"/>
      <c r="T109" s="743"/>
      <c r="U109" s="743"/>
      <c r="V109" s="743"/>
      <c r="W109" s="743"/>
      <c r="X109" s="743"/>
      <c r="Y109" s="743"/>
      <c r="Z109" s="743"/>
      <c r="AA109" s="743"/>
      <c r="AB109" s="743"/>
      <c r="AC109" s="741" t="str">
        <f t="shared" ca="1" si="13"/>
        <v/>
      </c>
      <c r="AD109" s="741"/>
      <c r="AE109" s="741"/>
      <c r="AF109" s="741"/>
      <c r="AG109" s="741"/>
      <c r="AH109" s="741"/>
      <c r="AI109" s="741"/>
      <c r="AJ109" s="742" t="str">
        <f t="shared" ca="1" si="14"/>
        <v/>
      </c>
      <c r="AK109" s="742"/>
      <c r="AL109" s="768"/>
      <c r="AM109" s="769"/>
      <c r="AN109" s="769"/>
      <c r="AO109" s="769"/>
      <c r="AP109" s="769"/>
      <c r="AQ109" s="769"/>
      <c r="AR109" s="769"/>
      <c r="AS109" s="769"/>
      <c r="AT109" s="769"/>
      <c r="AU109" s="769"/>
      <c r="AV109" s="769"/>
      <c r="AW109" s="769"/>
      <c r="AX109" s="769"/>
      <c r="AY109" s="770"/>
    </row>
    <row r="110" spans="1:52" s="403" customFormat="1" ht="36.75" customHeight="1">
      <c r="B110" s="742">
        <f t="shared" si="15"/>
        <v>54</v>
      </c>
      <c r="C110" s="742"/>
      <c r="D110" s="743" t="str">
        <f t="shared" ca="1" si="12"/>
        <v/>
      </c>
      <c r="E110" s="743"/>
      <c r="F110" s="743"/>
      <c r="G110" s="743"/>
      <c r="H110" s="743"/>
      <c r="I110" s="743"/>
      <c r="J110" s="743"/>
      <c r="K110" s="743"/>
      <c r="L110" s="743"/>
      <c r="M110" s="743"/>
      <c r="N110" s="743"/>
      <c r="O110" s="743"/>
      <c r="P110" s="743"/>
      <c r="Q110" s="743"/>
      <c r="R110" s="743"/>
      <c r="S110" s="743"/>
      <c r="T110" s="743"/>
      <c r="U110" s="743"/>
      <c r="V110" s="743"/>
      <c r="W110" s="743"/>
      <c r="X110" s="743"/>
      <c r="Y110" s="743"/>
      <c r="Z110" s="743"/>
      <c r="AA110" s="743"/>
      <c r="AB110" s="743"/>
      <c r="AC110" s="741" t="str">
        <f t="shared" ca="1" si="13"/>
        <v/>
      </c>
      <c r="AD110" s="741"/>
      <c r="AE110" s="741"/>
      <c r="AF110" s="741"/>
      <c r="AG110" s="741"/>
      <c r="AH110" s="741"/>
      <c r="AI110" s="741"/>
      <c r="AJ110" s="742" t="str">
        <f t="shared" ca="1" si="14"/>
        <v/>
      </c>
      <c r="AK110" s="742"/>
      <c r="AL110" s="768"/>
      <c r="AM110" s="769"/>
      <c r="AN110" s="769"/>
      <c r="AO110" s="769"/>
      <c r="AP110" s="769"/>
      <c r="AQ110" s="769"/>
      <c r="AR110" s="769"/>
      <c r="AS110" s="769"/>
      <c r="AT110" s="769"/>
      <c r="AU110" s="769"/>
      <c r="AV110" s="769"/>
      <c r="AW110" s="769"/>
      <c r="AX110" s="769"/>
      <c r="AY110" s="770"/>
    </row>
    <row r="111" spans="1:52" s="403" customFormat="1" ht="36.75" customHeight="1">
      <c r="B111" s="742">
        <f t="shared" si="15"/>
        <v>55</v>
      </c>
      <c r="C111" s="742"/>
      <c r="D111" s="743" t="str">
        <f t="shared" ca="1" si="12"/>
        <v/>
      </c>
      <c r="E111" s="743"/>
      <c r="F111" s="743"/>
      <c r="G111" s="743"/>
      <c r="H111" s="743"/>
      <c r="I111" s="743"/>
      <c r="J111" s="743"/>
      <c r="K111" s="743"/>
      <c r="L111" s="743"/>
      <c r="M111" s="743"/>
      <c r="N111" s="743"/>
      <c r="O111" s="743"/>
      <c r="P111" s="743"/>
      <c r="Q111" s="743"/>
      <c r="R111" s="743"/>
      <c r="S111" s="743"/>
      <c r="T111" s="743"/>
      <c r="U111" s="743"/>
      <c r="V111" s="743"/>
      <c r="W111" s="743"/>
      <c r="X111" s="743"/>
      <c r="Y111" s="743"/>
      <c r="Z111" s="743"/>
      <c r="AA111" s="743"/>
      <c r="AB111" s="743"/>
      <c r="AC111" s="741" t="str">
        <f t="shared" ca="1" si="13"/>
        <v/>
      </c>
      <c r="AD111" s="741"/>
      <c r="AE111" s="741"/>
      <c r="AF111" s="741"/>
      <c r="AG111" s="741"/>
      <c r="AH111" s="741"/>
      <c r="AI111" s="741"/>
      <c r="AJ111" s="742" t="str">
        <f t="shared" ca="1" si="14"/>
        <v/>
      </c>
      <c r="AK111" s="742"/>
      <c r="AL111" s="768"/>
      <c r="AM111" s="769"/>
      <c r="AN111" s="769"/>
      <c r="AO111" s="769"/>
      <c r="AP111" s="769"/>
      <c r="AQ111" s="769"/>
      <c r="AR111" s="769"/>
      <c r="AS111" s="769"/>
      <c r="AT111" s="769"/>
      <c r="AU111" s="769"/>
      <c r="AV111" s="769"/>
      <c r="AW111" s="769"/>
      <c r="AX111" s="769"/>
      <c r="AY111" s="770"/>
    </row>
    <row r="112" spans="1:52" s="403" customFormat="1" ht="36.75" customHeight="1">
      <c r="B112" s="742">
        <f t="shared" si="15"/>
        <v>56</v>
      </c>
      <c r="C112" s="742"/>
      <c r="D112" s="743" t="str">
        <f t="shared" ca="1" si="12"/>
        <v/>
      </c>
      <c r="E112" s="743"/>
      <c r="F112" s="743"/>
      <c r="G112" s="743"/>
      <c r="H112" s="743"/>
      <c r="I112" s="743"/>
      <c r="J112" s="743"/>
      <c r="K112" s="743"/>
      <c r="L112" s="743"/>
      <c r="M112" s="743"/>
      <c r="N112" s="743"/>
      <c r="O112" s="743"/>
      <c r="P112" s="743"/>
      <c r="Q112" s="743"/>
      <c r="R112" s="743"/>
      <c r="S112" s="743"/>
      <c r="T112" s="743"/>
      <c r="U112" s="743"/>
      <c r="V112" s="743"/>
      <c r="W112" s="743"/>
      <c r="X112" s="743"/>
      <c r="Y112" s="743"/>
      <c r="Z112" s="743"/>
      <c r="AA112" s="743"/>
      <c r="AB112" s="743"/>
      <c r="AC112" s="741" t="str">
        <f t="shared" ca="1" si="13"/>
        <v/>
      </c>
      <c r="AD112" s="741"/>
      <c r="AE112" s="741"/>
      <c r="AF112" s="741"/>
      <c r="AG112" s="741"/>
      <c r="AH112" s="741"/>
      <c r="AI112" s="741"/>
      <c r="AJ112" s="742" t="str">
        <f t="shared" ca="1" si="14"/>
        <v/>
      </c>
      <c r="AK112" s="742"/>
      <c r="AL112" s="768"/>
      <c r="AM112" s="769"/>
      <c r="AN112" s="769"/>
      <c r="AO112" s="769"/>
      <c r="AP112" s="769"/>
      <c r="AQ112" s="769"/>
      <c r="AR112" s="769"/>
      <c r="AS112" s="769"/>
      <c r="AT112" s="769"/>
      <c r="AU112" s="769"/>
      <c r="AV112" s="769"/>
      <c r="AW112" s="769"/>
      <c r="AX112" s="769"/>
      <c r="AY112" s="770"/>
    </row>
    <row r="113" spans="1:52" s="403" customFormat="1" ht="36.75" customHeight="1">
      <c r="B113" s="742">
        <f t="shared" si="15"/>
        <v>57</v>
      </c>
      <c r="C113" s="742"/>
      <c r="D113" s="743" t="str">
        <f t="shared" ca="1" si="12"/>
        <v/>
      </c>
      <c r="E113" s="743"/>
      <c r="F113" s="743"/>
      <c r="G113" s="743"/>
      <c r="H113" s="743"/>
      <c r="I113" s="743"/>
      <c r="J113" s="743"/>
      <c r="K113" s="743"/>
      <c r="L113" s="743"/>
      <c r="M113" s="743"/>
      <c r="N113" s="743"/>
      <c r="O113" s="743"/>
      <c r="P113" s="743"/>
      <c r="Q113" s="743"/>
      <c r="R113" s="743"/>
      <c r="S113" s="743"/>
      <c r="T113" s="743"/>
      <c r="U113" s="743"/>
      <c r="V113" s="743"/>
      <c r="W113" s="743"/>
      <c r="X113" s="743"/>
      <c r="Y113" s="743"/>
      <c r="Z113" s="743"/>
      <c r="AA113" s="743"/>
      <c r="AB113" s="743"/>
      <c r="AC113" s="741" t="str">
        <f t="shared" ca="1" si="13"/>
        <v/>
      </c>
      <c r="AD113" s="741"/>
      <c r="AE113" s="741"/>
      <c r="AF113" s="741"/>
      <c r="AG113" s="741"/>
      <c r="AH113" s="741"/>
      <c r="AI113" s="741"/>
      <c r="AJ113" s="742" t="str">
        <f t="shared" ca="1" si="14"/>
        <v/>
      </c>
      <c r="AK113" s="742"/>
      <c r="AL113" s="768"/>
      <c r="AM113" s="769"/>
      <c r="AN113" s="769"/>
      <c r="AO113" s="769"/>
      <c r="AP113" s="769"/>
      <c r="AQ113" s="769"/>
      <c r="AR113" s="769"/>
      <c r="AS113" s="769"/>
      <c r="AT113" s="769"/>
      <c r="AU113" s="769"/>
      <c r="AV113" s="769"/>
      <c r="AW113" s="769"/>
      <c r="AX113" s="769"/>
      <c r="AY113" s="770"/>
    </row>
    <row r="114" spans="1:52" s="403" customFormat="1" ht="36.75" customHeight="1">
      <c r="B114" s="742">
        <f t="shared" si="15"/>
        <v>58</v>
      </c>
      <c r="C114" s="742"/>
      <c r="D114" s="743" t="str">
        <f t="shared" ca="1" si="12"/>
        <v/>
      </c>
      <c r="E114" s="743"/>
      <c r="F114" s="743"/>
      <c r="G114" s="743"/>
      <c r="H114" s="743"/>
      <c r="I114" s="743"/>
      <c r="J114" s="743"/>
      <c r="K114" s="743"/>
      <c r="L114" s="743"/>
      <c r="M114" s="743"/>
      <c r="N114" s="743"/>
      <c r="O114" s="743"/>
      <c r="P114" s="743"/>
      <c r="Q114" s="743"/>
      <c r="R114" s="743"/>
      <c r="S114" s="743"/>
      <c r="T114" s="743"/>
      <c r="U114" s="743"/>
      <c r="V114" s="743"/>
      <c r="W114" s="743"/>
      <c r="X114" s="743"/>
      <c r="Y114" s="743"/>
      <c r="Z114" s="743"/>
      <c r="AA114" s="743"/>
      <c r="AB114" s="743"/>
      <c r="AC114" s="741" t="str">
        <f t="shared" ca="1" si="13"/>
        <v/>
      </c>
      <c r="AD114" s="741"/>
      <c r="AE114" s="741"/>
      <c r="AF114" s="741"/>
      <c r="AG114" s="741"/>
      <c r="AH114" s="741"/>
      <c r="AI114" s="741"/>
      <c r="AJ114" s="742" t="str">
        <f t="shared" ca="1" si="14"/>
        <v/>
      </c>
      <c r="AK114" s="742"/>
      <c r="AL114" s="768"/>
      <c r="AM114" s="769"/>
      <c r="AN114" s="769"/>
      <c r="AO114" s="769"/>
      <c r="AP114" s="769"/>
      <c r="AQ114" s="769"/>
      <c r="AR114" s="769"/>
      <c r="AS114" s="769"/>
      <c r="AT114" s="769"/>
      <c r="AU114" s="769"/>
      <c r="AV114" s="769"/>
      <c r="AW114" s="769"/>
      <c r="AX114" s="769"/>
      <c r="AY114" s="770"/>
    </row>
    <row r="115" spans="1:52" s="403" customFormat="1" ht="36.75" customHeight="1">
      <c r="A115" s="403" t="s">
        <v>1529</v>
      </c>
      <c r="B115" s="742">
        <f t="shared" si="15"/>
        <v>59</v>
      </c>
      <c r="C115" s="742"/>
      <c r="D115" s="743" t="str">
        <f t="shared" ca="1" si="12"/>
        <v/>
      </c>
      <c r="E115" s="743"/>
      <c r="F115" s="743"/>
      <c r="G115" s="743"/>
      <c r="H115" s="743"/>
      <c r="I115" s="743"/>
      <c r="J115" s="743"/>
      <c r="K115" s="743"/>
      <c r="L115" s="743"/>
      <c r="M115" s="743"/>
      <c r="N115" s="743"/>
      <c r="O115" s="743"/>
      <c r="P115" s="743"/>
      <c r="Q115" s="743"/>
      <c r="R115" s="743"/>
      <c r="S115" s="743"/>
      <c r="T115" s="743"/>
      <c r="U115" s="743"/>
      <c r="V115" s="743"/>
      <c r="W115" s="743"/>
      <c r="X115" s="743"/>
      <c r="Y115" s="743"/>
      <c r="Z115" s="743"/>
      <c r="AA115" s="743"/>
      <c r="AB115" s="743"/>
      <c r="AC115" s="741" t="str">
        <f t="shared" ca="1" si="13"/>
        <v/>
      </c>
      <c r="AD115" s="741"/>
      <c r="AE115" s="741"/>
      <c r="AF115" s="741"/>
      <c r="AG115" s="741"/>
      <c r="AH115" s="741"/>
      <c r="AI115" s="741"/>
      <c r="AJ115" s="742" t="str">
        <f t="shared" ca="1" si="14"/>
        <v/>
      </c>
      <c r="AK115" s="742"/>
      <c r="AL115" s="768"/>
      <c r="AM115" s="769"/>
      <c r="AN115" s="769"/>
      <c r="AO115" s="769"/>
      <c r="AP115" s="769"/>
      <c r="AQ115" s="769"/>
      <c r="AR115" s="769"/>
      <c r="AS115" s="769"/>
      <c r="AT115" s="769"/>
      <c r="AU115" s="769"/>
      <c r="AV115" s="769"/>
      <c r="AW115" s="769"/>
      <c r="AX115" s="769"/>
      <c r="AY115" s="770"/>
      <c r="AZ115" s="473" t="s">
        <v>1530</v>
      </c>
    </row>
    <row r="116" spans="1:52" s="403" customFormat="1" ht="36.75" customHeight="1">
      <c r="B116" s="742">
        <f t="shared" si="15"/>
        <v>60</v>
      </c>
      <c r="C116" s="742"/>
      <c r="D116" s="743" t="str">
        <f t="shared" ca="1" si="12"/>
        <v/>
      </c>
      <c r="E116" s="743"/>
      <c r="F116" s="743"/>
      <c r="G116" s="743"/>
      <c r="H116" s="743"/>
      <c r="I116" s="743"/>
      <c r="J116" s="743"/>
      <c r="K116" s="743"/>
      <c r="L116" s="743"/>
      <c r="M116" s="743"/>
      <c r="N116" s="743"/>
      <c r="O116" s="743"/>
      <c r="P116" s="743"/>
      <c r="Q116" s="743"/>
      <c r="R116" s="743"/>
      <c r="S116" s="743"/>
      <c r="T116" s="743"/>
      <c r="U116" s="743"/>
      <c r="V116" s="743"/>
      <c r="W116" s="743"/>
      <c r="X116" s="743"/>
      <c r="Y116" s="743"/>
      <c r="Z116" s="743"/>
      <c r="AA116" s="743"/>
      <c r="AB116" s="743"/>
      <c r="AC116" s="741" t="str">
        <f t="shared" ca="1" si="13"/>
        <v/>
      </c>
      <c r="AD116" s="741"/>
      <c r="AE116" s="741"/>
      <c r="AF116" s="741"/>
      <c r="AG116" s="741"/>
      <c r="AH116" s="741"/>
      <c r="AI116" s="741"/>
      <c r="AJ116" s="742" t="str">
        <f t="shared" ca="1" si="14"/>
        <v/>
      </c>
      <c r="AK116" s="742"/>
      <c r="AL116" s="768"/>
      <c r="AM116" s="769"/>
      <c r="AN116" s="769"/>
      <c r="AO116" s="769"/>
      <c r="AP116" s="769"/>
      <c r="AQ116" s="769"/>
      <c r="AR116" s="769"/>
      <c r="AS116" s="769"/>
      <c r="AT116" s="769"/>
      <c r="AU116" s="769"/>
      <c r="AV116" s="769"/>
      <c r="AW116" s="769"/>
      <c r="AX116" s="769"/>
      <c r="AY116" s="770"/>
    </row>
    <row r="117" spans="1:52" s="403" customFormat="1" ht="45" customHeight="1">
      <c r="B117" s="749" t="s">
        <v>1527</v>
      </c>
      <c r="C117" s="750"/>
      <c r="D117" s="750"/>
      <c r="E117" s="778" t="str">
        <f>IF(UNNH0030_REPORT_IF_H_EIGYO_MEI="","",UNNH0030_REPORT_IF_H_EIGYO_MEI)</f>
        <v/>
      </c>
      <c r="F117" s="779"/>
      <c r="G117" s="779"/>
      <c r="H117" s="779"/>
      <c r="I117" s="779"/>
      <c r="J117" s="779"/>
      <c r="K117" s="779"/>
      <c r="L117" s="779"/>
      <c r="M117" s="779"/>
      <c r="N117" s="779"/>
      <c r="O117" s="779"/>
      <c r="P117" s="779"/>
      <c r="Q117" s="779"/>
      <c r="R117" s="779"/>
      <c r="S117" s="779"/>
      <c r="T117" s="779"/>
      <c r="U117" s="779"/>
      <c r="V117" s="779"/>
      <c r="W117" s="779"/>
      <c r="X117" s="779"/>
      <c r="Y117" s="779"/>
      <c r="Z117" s="779"/>
      <c r="AA117" s="779"/>
      <c r="AB117" s="779"/>
      <c r="AC117" s="779"/>
      <c r="AD117" s="779"/>
      <c r="AE117" s="779"/>
      <c r="AF117" s="779"/>
      <c r="AG117" s="779"/>
      <c r="AH117" s="779"/>
      <c r="AI117" s="779"/>
      <c r="AJ117" s="779"/>
      <c r="AK117" s="780"/>
      <c r="AL117" s="771"/>
      <c r="AM117" s="772"/>
      <c r="AN117" s="772"/>
      <c r="AO117" s="772"/>
      <c r="AP117" s="772"/>
      <c r="AQ117" s="772"/>
      <c r="AR117" s="772"/>
      <c r="AS117" s="772"/>
      <c r="AT117" s="772"/>
      <c r="AU117" s="772"/>
      <c r="AV117" s="772"/>
      <c r="AW117" s="772"/>
      <c r="AX117" s="772"/>
      <c r="AY117" s="773"/>
    </row>
    <row r="118" spans="1:52" s="403" customFormat="1" ht="33.75" customHeight="1">
      <c r="C118" s="404"/>
      <c r="D118" s="404"/>
      <c r="E118" s="404"/>
      <c r="F118" s="404"/>
      <c r="G118" s="404"/>
      <c r="H118" s="404"/>
      <c r="I118" s="404"/>
      <c r="J118" s="404"/>
      <c r="K118" s="404"/>
      <c r="L118" s="404"/>
      <c r="M118" s="404"/>
      <c r="N118" s="404"/>
      <c r="O118" s="404"/>
    </row>
    <row r="119" spans="1:52" s="403" customFormat="1" ht="38.25" customHeight="1">
      <c r="B119" s="756" t="s">
        <v>1528</v>
      </c>
      <c r="C119" s="757"/>
      <c r="D119" s="758"/>
      <c r="E119" s="738" t="str">
        <f>IF(UNNH0030_REPORT_IF_H_TEKIYO="","",UNNH0030_REPORT_IF_H_TEKIYO)</f>
        <v/>
      </c>
      <c r="F119" s="738"/>
      <c r="G119" s="738"/>
      <c r="H119" s="738"/>
      <c r="I119" s="738"/>
      <c r="J119" s="738"/>
      <c r="K119" s="738"/>
      <c r="L119" s="738"/>
      <c r="M119" s="738"/>
      <c r="N119" s="738"/>
      <c r="O119" s="738"/>
      <c r="P119" s="738"/>
      <c r="Q119" s="738"/>
      <c r="R119" s="738"/>
      <c r="S119" s="738"/>
      <c r="T119" s="738"/>
      <c r="U119" s="738"/>
      <c r="V119" s="738"/>
      <c r="W119" s="738"/>
      <c r="X119" s="738"/>
      <c r="Y119" s="738"/>
      <c r="Z119" s="738"/>
      <c r="AA119" s="738"/>
      <c r="AB119" s="738"/>
      <c r="AC119" s="738"/>
      <c r="AD119" s="738"/>
      <c r="AE119" s="738"/>
      <c r="AF119" s="738"/>
      <c r="AG119" s="738"/>
      <c r="AH119" s="738"/>
      <c r="AI119" s="738"/>
      <c r="AJ119" s="738"/>
      <c r="AK119" s="738"/>
      <c r="AL119" s="738"/>
      <c r="AM119" s="738"/>
      <c r="AN119" s="738"/>
      <c r="AO119" s="738"/>
      <c r="AP119" s="738"/>
      <c r="AQ119" s="738"/>
      <c r="AR119" s="738"/>
      <c r="AS119" s="738"/>
      <c r="AU119" s="739" t="str">
        <f>IF(UNNH0030_REPORT_IF_H_SEIKYUHOHO_KBN=0,"","締日 "&amp;UNNH0030_REPORT_IF_H_SHIMEBI)</f>
        <v/>
      </c>
      <c r="AV119" s="739"/>
      <c r="AW119" s="739"/>
      <c r="AX119" s="739"/>
      <c r="AY119" s="740" t="str">
        <f>UNNH0030_REPORT_IF_H_SHIMEBI_MARK</f>
        <v>*</v>
      </c>
    </row>
    <row r="120" spans="1:52" s="403" customFormat="1" ht="38.25" customHeight="1">
      <c r="B120" s="759"/>
      <c r="C120" s="760"/>
      <c r="D120" s="761"/>
      <c r="E120" s="738"/>
      <c r="F120" s="738"/>
      <c r="G120" s="738"/>
      <c r="H120" s="738"/>
      <c r="I120" s="738"/>
      <c r="J120" s="738"/>
      <c r="K120" s="738"/>
      <c r="L120" s="738"/>
      <c r="M120" s="738"/>
      <c r="N120" s="738"/>
      <c r="O120" s="738"/>
      <c r="P120" s="738"/>
      <c r="Q120" s="738"/>
      <c r="R120" s="738"/>
      <c r="S120" s="738"/>
      <c r="T120" s="738"/>
      <c r="U120" s="738"/>
      <c r="V120" s="738"/>
      <c r="W120" s="738"/>
      <c r="X120" s="738"/>
      <c r="Y120" s="738"/>
      <c r="Z120" s="738"/>
      <c r="AA120" s="738"/>
      <c r="AB120" s="738"/>
      <c r="AC120" s="738"/>
      <c r="AD120" s="738"/>
      <c r="AE120" s="738"/>
      <c r="AF120" s="738"/>
      <c r="AG120" s="738"/>
      <c r="AH120" s="738"/>
      <c r="AI120" s="738"/>
      <c r="AJ120" s="738"/>
      <c r="AK120" s="738"/>
      <c r="AL120" s="738"/>
      <c r="AM120" s="738"/>
      <c r="AN120" s="738"/>
      <c r="AO120" s="738"/>
      <c r="AP120" s="738"/>
      <c r="AQ120" s="738"/>
      <c r="AR120" s="738"/>
      <c r="AS120" s="738"/>
      <c r="AU120" s="739"/>
      <c r="AV120" s="739"/>
      <c r="AW120" s="739"/>
      <c r="AX120" s="739"/>
      <c r="AY120" s="740"/>
    </row>
    <row r="121" spans="1:52" s="403" customFormat="1" ht="30" customHeight="1">
      <c r="B121" s="777" t="str">
        <f>IF(UNNH0030_REPORT_IF_JURI_NO="","",UNNH0030_REPORT_IF_JURI_NO)</f>
        <v/>
      </c>
      <c r="C121" s="777"/>
      <c r="D121" s="777"/>
      <c r="E121" s="777"/>
      <c r="F121" s="777"/>
      <c r="G121" s="777"/>
      <c r="H121" s="777"/>
      <c r="I121" s="777"/>
      <c r="J121" s="777"/>
      <c r="K121" s="777"/>
      <c r="L121" s="777"/>
      <c r="M121" s="777"/>
      <c r="N121" s="777"/>
      <c r="O121" s="777"/>
      <c r="P121" s="777"/>
      <c r="Q121" s="777"/>
      <c r="R121" s="777"/>
      <c r="S121" s="777"/>
      <c r="T121" s="777"/>
      <c r="U121" s="777"/>
      <c r="V121" s="777"/>
      <c r="W121" s="777"/>
      <c r="X121" s="777"/>
      <c r="Y121" s="777"/>
      <c r="Z121" s="777"/>
      <c r="AA121" s="777"/>
      <c r="AB121" s="777"/>
      <c r="AC121" s="777"/>
      <c r="AD121" s="777"/>
      <c r="AE121" s="777"/>
      <c r="AF121" s="777"/>
      <c r="AG121" s="777"/>
      <c r="AH121" s="777"/>
      <c r="AI121" s="777"/>
      <c r="AJ121" s="777"/>
      <c r="AK121" s="777"/>
      <c r="AL121" s="777"/>
      <c r="AM121" s="777"/>
      <c r="AN121" s="777"/>
      <c r="AO121" s="777"/>
      <c r="AP121" s="777"/>
      <c r="AQ121" s="777"/>
      <c r="AR121" s="777"/>
      <c r="AS121" s="777"/>
      <c r="AT121" s="777"/>
      <c r="AU121" s="777"/>
      <c r="AV121" s="777"/>
      <c r="AW121" s="777"/>
      <c r="AX121" s="777"/>
      <c r="AY121" s="777"/>
    </row>
    <row r="122" spans="1:52" s="329" customFormat="1">
      <c r="A122" s="72" t="s">
        <v>1514</v>
      </c>
      <c r="B122" s="72" t="s">
        <v>1515</v>
      </c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</row>
    <row r="123" spans="1:52" s="403" customFormat="1" ht="12" customHeight="1">
      <c r="C123" s="404"/>
      <c r="D123" s="404"/>
      <c r="E123" s="465"/>
      <c r="F123" s="466"/>
      <c r="G123" s="466"/>
      <c r="H123" s="466"/>
      <c r="I123" s="466"/>
      <c r="J123" s="466"/>
      <c r="K123" s="466"/>
      <c r="L123" s="466"/>
      <c r="M123" s="466"/>
      <c r="N123" s="466"/>
      <c r="O123" s="466"/>
      <c r="P123" s="466"/>
      <c r="Q123" s="466"/>
      <c r="R123" s="466"/>
      <c r="S123" s="466"/>
      <c r="T123" s="466"/>
      <c r="U123" s="466"/>
      <c r="V123" s="466"/>
      <c r="W123" s="466"/>
      <c r="X123" s="466"/>
      <c r="Y123" s="467"/>
      <c r="AA123" s="744" t="s">
        <v>1320</v>
      </c>
      <c r="AB123" s="744"/>
      <c r="AC123" s="744"/>
      <c r="AD123" s="744"/>
      <c r="AE123" s="744"/>
      <c r="AF123" s="744"/>
      <c r="AG123" s="744"/>
      <c r="AH123" s="744"/>
      <c r="AI123" s="744"/>
      <c r="AJ123" s="744"/>
      <c r="AK123" s="744"/>
      <c r="AL123" s="744"/>
      <c r="AP123" s="774" t="str">
        <f>"No."&amp;UNNH0030_REPORT_IF_H_URIAGE_NO&amp;"-"&amp;ROUNDUP(ROW()/ROWS(UNNH0030_SEIKYUSHO_PAGE_AREA),0)&amp;"/"&amp;UNNH0030_REPORT_IF_B_PAGE_TOTAL</f>
        <v>No.-4/1</v>
      </c>
      <c r="AQ123" s="774"/>
      <c r="AR123" s="774"/>
      <c r="AS123" s="774"/>
      <c r="AT123" s="774"/>
      <c r="AU123" s="774"/>
      <c r="AV123" s="774"/>
      <c r="AW123" s="774"/>
      <c r="AX123" s="774"/>
      <c r="AY123" s="774"/>
    </row>
    <row r="124" spans="1:52" s="403" customFormat="1" ht="24.75" customHeight="1">
      <c r="C124" s="404"/>
      <c r="E124" s="468"/>
      <c r="F124" s="775" t="str">
        <f>IF(UNNH0030_REPORT_IF_H_JUSHO_NO_PRINT_FLG=TRUE,"","〒")</f>
        <v>〒</v>
      </c>
      <c r="G124" s="775"/>
      <c r="H124" s="776" t="str">
        <f>IF(UNNH0030_REPORT_IF_H_JUSHO_NO_PRINT_FLG=TRUE,"",IF(UNNH0030_REPORT_IF_H_YUBIN_NO="","",UNNH0030_REPORT_IF_H_YUBIN_NO))</f>
        <v/>
      </c>
      <c r="I124" s="776"/>
      <c r="J124" s="776"/>
      <c r="K124" s="776"/>
      <c r="L124" s="776"/>
      <c r="M124" s="776"/>
      <c r="N124" s="776"/>
      <c r="O124" s="776"/>
      <c r="P124" s="776"/>
      <c r="Q124" s="776"/>
      <c r="R124" s="776"/>
      <c r="S124" s="776"/>
      <c r="T124" s="776"/>
      <c r="U124" s="776"/>
      <c r="V124" s="776"/>
      <c r="W124" s="776"/>
      <c r="X124" s="776"/>
      <c r="Y124" s="469"/>
      <c r="AA124" s="744"/>
      <c r="AB124" s="744"/>
      <c r="AC124" s="744"/>
      <c r="AD124" s="744"/>
      <c r="AE124" s="744"/>
      <c r="AF124" s="744"/>
      <c r="AG124" s="744"/>
      <c r="AH124" s="744"/>
      <c r="AI124" s="744"/>
      <c r="AJ124" s="744"/>
      <c r="AK124" s="744"/>
      <c r="AL124" s="744"/>
      <c r="AP124" s="774"/>
      <c r="AQ124" s="774"/>
      <c r="AR124" s="774"/>
      <c r="AS124" s="774"/>
      <c r="AT124" s="774"/>
      <c r="AU124" s="774"/>
      <c r="AV124" s="774"/>
      <c r="AW124" s="774"/>
      <c r="AX124" s="774"/>
      <c r="AY124" s="774"/>
    </row>
    <row r="125" spans="1:52" s="403" customFormat="1" ht="24.75" customHeight="1">
      <c r="C125" s="404"/>
      <c r="E125" s="468"/>
      <c r="F125" s="745" t="str">
        <f>IF(UNNH0030_REPORT_IF_H_JUSHO_NO_PRINT_FLG="","",IF(UNNH0030_REPORT_IF_H_ADDRESS_1="","",UNNH0030_REPORT_IF_H_ADDRESS_1))</f>
        <v/>
      </c>
      <c r="G125" s="745"/>
      <c r="H125" s="745"/>
      <c r="I125" s="745"/>
      <c r="J125" s="745"/>
      <c r="K125" s="745"/>
      <c r="L125" s="745"/>
      <c r="M125" s="745"/>
      <c r="N125" s="745"/>
      <c r="O125" s="745"/>
      <c r="P125" s="745"/>
      <c r="Q125" s="745"/>
      <c r="R125" s="745"/>
      <c r="S125" s="745"/>
      <c r="T125" s="745"/>
      <c r="U125" s="745"/>
      <c r="V125" s="745"/>
      <c r="W125" s="745"/>
      <c r="X125" s="745"/>
      <c r="Y125" s="469"/>
      <c r="AP125" s="748">
        <f>UNNH0030_REPORT_IF_H_URIAGE_DATE</f>
        <v>0</v>
      </c>
      <c r="AQ125" s="748"/>
      <c r="AR125" s="748"/>
      <c r="AS125" s="748"/>
      <c r="AT125" s="748"/>
      <c r="AU125" s="748"/>
      <c r="AV125" s="748"/>
      <c r="AW125" s="748"/>
      <c r="AX125" s="748"/>
      <c r="AY125" s="748"/>
    </row>
    <row r="126" spans="1:52" s="403" customFormat="1" ht="24.75" customHeight="1">
      <c r="C126" s="404"/>
      <c r="E126" s="468"/>
      <c r="F126" s="745" t="str">
        <f>IF(UNNH0030_REPORT_IF_H_JUSHO_NO_PRINT_FLG="","",IF(UNNH0030_REPORT_IF_H_ADDRESS_2="","",UNNH0030_REPORT_IF_H_ADDRESS_2))</f>
        <v/>
      </c>
      <c r="G126" s="745"/>
      <c r="H126" s="745"/>
      <c r="I126" s="745"/>
      <c r="J126" s="745"/>
      <c r="K126" s="745"/>
      <c r="L126" s="745"/>
      <c r="M126" s="745"/>
      <c r="N126" s="745"/>
      <c r="O126" s="745"/>
      <c r="P126" s="745"/>
      <c r="Q126" s="745"/>
      <c r="R126" s="745"/>
      <c r="S126" s="745"/>
      <c r="T126" s="745"/>
      <c r="U126" s="745"/>
      <c r="V126" s="745"/>
      <c r="W126" s="745"/>
      <c r="X126" s="745"/>
      <c r="Y126" s="469"/>
    </row>
    <row r="127" spans="1:52" s="403" customFormat="1" ht="24.75" customHeight="1">
      <c r="C127" s="404"/>
      <c r="E127" s="468"/>
      <c r="F127" s="409"/>
      <c r="G127" s="409"/>
      <c r="H127" s="409"/>
      <c r="I127" s="409"/>
      <c r="J127" s="409"/>
      <c r="K127" s="409"/>
      <c r="L127" s="409"/>
      <c r="M127" s="409"/>
      <c r="N127" s="409"/>
      <c r="O127" s="409"/>
      <c r="P127" s="409"/>
      <c r="Q127" s="409"/>
      <c r="R127" s="409"/>
      <c r="S127" s="409"/>
      <c r="T127" s="409"/>
      <c r="U127" s="409"/>
      <c r="V127" s="409"/>
      <c r="W127" s="409"/>
      <c r="X127" s="409"/>
      <c r="Y127" s="469"/>
    </row>
    <row r="128" spans="1:52" s="403" customFormat="1" ht="26.25" customHeight="1">
      <c r="C128" s="404"/>
      <c r="E128" s="470"/>
      <c r="F128" s="745" t="str">
        <f>IF(TRIM(UNNH0030_REPORT_IF_H_SOFU_TANTO)="","",
IF(TRIM(UNNH0030_REPORT_IF_H_DEMPYO_SOFU_MEI)="","",
TRIM(UNNH0030_REPORT_IF_H_DEMPYO_SOFU_MEI)))</f>
        <v/>
      </c>
      <c r="G128" s="745"/>
      <c r="H128" s="745"/>
      <c r="I128" s="745"/>
      <c r="J128" s="745"/>
      <c r="K128" s="745"/>
      <c r="L128" s="745"/>
      <c r="M128" s="745"/>
      <c r="N128" s="745"/>
      <c r="O128" s="745"/>
      <c r="P128" s="745"/>
      <c r="Q128" s="745"/>
      <c r="R128" s="745"/>
      <c r="S128" s="745"/>
      <c r="T128" s="745"/>
      <c r="U128" s="745"/>
      <c r="V128" s="745"/>
      <c r="W128" s="745"/>
      <c r="X128" s="745"/>
      <c r="Y128" s="469"/>
    </row>
    <row r="129" spans="1:52" s="403" customFormat="1" ht="26.25" customHeight="1">
      <c r="C129" s="404"/>
      <c r="E129" s="468"/>
      <c r="F129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29" s="746"/>
      <c r="H129" s="746"/>
      <c r="I129" s="746"/>
      <c r="J129" s="746"/>
      <c r="K129" s="746"/>
      <c r="L129" s="746"/>
      <c r="M129" s="746"/>
      <c r="N129" s="746"/>
      <c r="O129" s="746"/>
      <c r="P129" s="746"/>
      <c r="Q129" s="746"/>
      <c r="R129" s="746"/>
      <c r="S129" s="746"/>
      <c r="T129" s="746"/>
      <c r="U129" s="746"/>
      <c r="V129" s="746"/>
      <c r="W129" s="746"/>
      <c r="X129" s="746"/>
      <c r="Y129" s="469"/>
      <c r="Z129" s="464" t="str">
        <f>UNNH0030_REPORT_IF_H_SHIMEBI_MARK</f>
        <v>*</v>
      </c>
    </row>
    <row r="130" spans="1:52" s="403" customFormat="1" ht="25.5" customHeight="1">
      <c r="C130" s="404"/>
      <c r="E130" s="471"/>
      <c r="F130" s="747">
        <f>UNNH0030_REPORT_IF_H_SEIKYU_CD</f>
        <v>0</v>
      </c>
      <c r="G130" s="747"/>
      <c r="H130" s="747"/>
      <c r="I130" s="747"/>
      <c r="J130" s="747"/>
      <c r="K130" s="747"/>
      <c r="L130" s="747"/>
      <c r="M130" s="747"/>
      <c r="N130" s="747"/>
      <c r="O130" s="747"/>
      <c r="P130" s="747"/>
      <c r="Q130" s="747"/>
      <c r="R130" s="747"/>
      <c r="S130" s="747"/>
      <c r="T130" s="747"/>
      <c r="U130" s="747"/>
      <c r="V130" s="747"/>
      <c r="W130" s="747"/>
      <c r="X130" s="747"/>
      <c r="Y130" s="472"/>
    </row>
    <row r="131" spans="1:52" s="403" customFormat="1" ht="30" customHeight="1">
      <c r="C131" s="404"/>
    </row>
    <row r="132" spans="1:52" s="403" customFormat="1" ht="30" customHeight="1">
      <c r="C132" s="404"/>
      <c r="D132" s="404"/>
      <c r="E132" s="404"/>
      <c r="F132" s="404"/>
      <c r="G132" s="404"/>
      <c r="H132" s="404"/>
      <c r="I132" s="404"/>
      <c r="J132" s="404"/>
      <c r="K132" s="404"/>
      <c r="L132" s="404"/>
      <c r="M132" s="404"/>
      <c r="N132" s="404"/>
      <c r="O132" s="404"/>
    </row>
    <row r="133" spans="1:52" s="403" customFormat="1" ht="29.25" customHeight="1">
      <c r="B133" s="474" t="s">
        <v>1101</v>
      </c>
      <c r="C133" s="404"/>
      <c r="D133" s="404"/>
      <c r="E133" s="404"/>
      <c r="F133" s="404"/>
      <c r="G133" s="404"/>
      <c r="H133" s="404"/>
      <c r="I133" s="404"/>
      <c r="J133" s="404"/>
      <c r="K133" s="404"/>
      <c r="L133" s="404"/>
      <c r="M133" s="404"/>
      <c r="N133" s="404"/>
      <c r="O133" s="404"/>
    </row>
    <row r="134" spans="1:52" s="403" customFormat="1" ht="36.75" customHeight="1">
      <c r="B134" s="742"/>
      <c r="C134" s="742"/>
      <c r="D134" s="742" t="s">
        <v>1102</v>
      </c>
      <c r="E134" s="742"/>
      <c r="F134" s="742"/>
      <c r="G134" s="742"/>
      <c r="H134" s="742"/>
      <c r="I134" s="742"/>
      <c r="J134" s="742"/>
      <c r="K134" s="742"/>
      <c r="L134" s="742"/>
      <c r="M134" s="742"/>
      <c r="N134" s="742"/>
      <c r="O134" s="742"/>
      <c r="P134" s="742"/>
      <c r="Q134" s="742"/>
      <c r="R134" s="742"/>
      <c r="S134" s="742"/>
      <c r="T134" s="742"/>
      <c r="U134" s="742"/>
      <c r="V134" s="742"/>
      <c r="W134" s="742"/>
      <c r="X134" s="742"/>
      <c r="Y134" s="742"/>
      <c r="Z134" s="742"/>
      <c r="AA134" s="742"/>
      <c r="AB134" s="742"/>
      <c r="AC134" s="742" t="s">
        <v>1103</v>
      </c>
      <c r="AD134" s="742"/>
      <c r="AE134" s="742"/>
      <c r="AF134" s="742"/>
      <c r="AG134" s="742"/>
      <c r="AH134" s="742"/>
      <c r="AI134" s="742"/>
      <c r="AJ134" s="742" t="s">
        <v>1104</v>
      </c>
      <c r="AK134" s="742"/>
      <c r="AL134" s="742" t="s">
        <v>1105</v>
      </c>
      <c r="AM134" s="742"/>
      <c r="AN134" s="742"/>
      <c r="AO134" s="742"/>
      <c r="AP134" s="742"/>
      <c r="AQ134" s="742"/>
      <c r="AR134" s="742"/>
      <c r="AS134" s="742" t="s">
        <v>1106</v>
      </c>
      <c r="AT134" s="742"/>
      <c r="AU134" s="742"/>
      <c r="AV134" s="742"/>
      <c r="AW134" s="742"/>
      <c r="AX134" s="742"/>
      <c r="AY134" s="742"/>
    </row>
    <row r="135" spans="1:52" s="403" customFormat="1" ht="36.75" customHeight="1">
      <c r="B135" s="742">
        <f>ROUNDDOWN(ROW()/ROWS(UNNH0030_REPORT_RAYOUT_SEIKYUSHO),0)*UNNH0030_REPORT_IF_B_PAGE_MEISAI_SU+1</f>
        <v>61</v>
      </c>
      <c r="C135" s="742"/>
      <c r="D135" s="743" t="str">
        <f t="shared" ref="D135:D154" ca="1" si="16">IF(OFFSET(UNNH0030_REPORT_IF_B_SHOHIN_MEI,$B135,0)="","",OFFSET(UNNH0030_REPORT_IF_B_SHOHIN_MEI,$B135,0))</f>
        <v/>
      </c>
      <c r="E135" s="743"/>
      <c r="F135" s="743"/>
      <c r="G135" s="743"/>
      <c r="H135" s="743"/>
      <c r="I135" s="743"/>
      <c r="J135" s="743"/>
      <c r="K135" s="743"/>
      <c r="L135" s="743"/>
      <c r="M135" s="743"/>
      <c r="N135" s="743"/>
      <c r="O135" s="743"/>
      <c r="P135" s="743"/>
      <c r="Q135" s="743"/>
      <c r="R135" s="743"/>
      <c r="S135" s="743"/>
      <c r="T135" s="743"/>
      <c r="U135" s="743"/>
      <c r="V135" s="743"/>
      <c r="W135" s="743"/>
      <c r="X135" s="743"/>
      <c r="Y135" s="743"/>
      <c r="Z135" s="743"/>
      <c r="AA135" s="743"/>
      <c r="AB135" s="743"/>
      <c r="AC135" s="741" t="str">
        <f t="shared" ref="AC135:AC154" ca="1" si="17">IF(OR(OFFSET(UNNH0030_REPORT_IF_B_ROW_KBN,$B135,0)&lt;&gt;1,$D135="",$D135="消費税"),"",
OFFSET(UNNH0030_REPORT_IF_B_SURYO,$B135,0))</f>
        <v/>
      </c>
      <c r="AD135" s="741"/>
      <c r="AE135" s="741"/>
      <c r="AF135" s="741"/>
      <c r="AG135" s="741"/>
      <c r="AH135" s="741"/>
      <c r="AI135" s="741"/>
      <c r="AJ135" s="742" t="str">
        <f t="shared" ref="AJ135:AJ154" ca="1" si="18">IF(OFFSET(UNNH0030_REPORT_IF_B_TANI,$B135,0)="","",OFFSET(UNNH0030_REPORT_IF_B_TANI,$B135,0))</f>
        <v/>
      </c>
      <c r="AK135" s="742"/>
      <c r="AL135" s="741" t="str">
        <f t="shared" ref="AL135:AL154" ca="1" si="19">IF(OR(OFFSET(UNNH0030_REPORT_IF_B_ROW_KBN,$B135,0)&lt;&gt;1,$D135="",$D135="消費税"),"",
OFFSET(UNNH0030_REPORT_IF_B_TANKA,$B135,0))</f>
        <v/>
      </c>
      <c r="AM135" s="741"/>
      <c r="AN135" s="741"/>
      <c r="AO135" s="741"/>
      <c r="AP135" s="741"/>
      <c r="AQ135" s="741"/>
      <c r="AR135" s="741"/>
      <c r="AS135" s="741" t="str">
        <f t="shared" ref="AS135:AS154" ca="1" si="20">IF(OR(OFFSET(UNNH0030_REPORT_IF_B_KINGAKU,$B135,0)=0,$D135=""),"",
OFFSET(UNNH0030_REPORT_IF_B_KINGAKU,$B135,0))</f>
        <v/>
      </c>
      <c r="AT135" s="741"/>
      <c r="AU135" s="741"/>
      <c r="AV135" s="741"/>
      <c r="AW135" s="741"/>
      <c r="AX135" s="741"/>
      <c r="AY135" s="741"/>
    </row>
    <row r="136" spans="1:52" s="403" customFormat="1" ht="36.75" customHeight="1">
      <c r="B136" s="742">
        <f>B135+1</f>
        <v>62</v>
      </c>
      <c r="C136" s="742"/>
      <c r="D136" s="743" t="str">
        <f t="shared" ca="1" si="16"/>
        <v/>
      </c>
      <c r="E136" s="743"/>
      <c r="F136" s="743"/>
      <c r="G136" s="743"/>
      <c r="H136" s="743"/>
      <c r="I136" s="743"/>
      <c r="J136" s="743"/>
      <c r="K136" s="743"/>
      <c r="L136" s="743"/>
      <c r="M136" s="743"/>
      <c r="N136" s="743"/>
      <c r="O136" s="743"/>
      <c r="P136" s="743"/>
      <c r="Q136" s="743"/>
      <c r="R136" s="743"/>
      <c r="S136" s="743"/>
      <c r="T136" s="743"/>
      <c r="U136" s="743"/>
      <c r="V136" s="743"/>
      <c r="W136" s="743"/>
      <c r="X136" s="743"/>
      <c r="Y136" s="743"/>
      <c r="Z136" s="743"/>
      <c r="AA136" s="743"/>
      <c r="AB136" s="743"/>
      <c r="AC136" s="741" t="str">
        <f t="shared" ca="1" si="17"/>
        <v/>
      </c>
      <c r="AD136" s="741"/>
      <c r="AE136" s="741"/>
      <c r="AF136" s="741"/>
      <c r="AG136" s="741"/>
      <c r="AH136" s="741"/>
      <c r="AI136" s="741"/>
      <c r="AJ136" s="742" t="str">
        <f t="shared" ca="1" si="18"/>
        <v/>
      </c>
      <c r="AK136" s="742"/>
      <c r="AL136" s="741" t="str">
        <f t="shared" ca="1" si="19"/>
        <v/>
      </c>
      <c r="AM136" s="741"/>
      <c r="AN136" s="741"/>
      <c r="AO136" s="741"/>
      <c r="AP136" s="741"/>
      <c r="AQ136" s="741"/>
      <c r="AR136" s="741"/>
      <c r="AS136" s="741" t="str">
        <f t="shared" ca="1" si="20"/>
        <v/>
      </c>
      <c r="AT136" s="741"/>
      <c r="AU136" s="741"/>
      <c r="AV136" s="741"/>
      <c r="AW136" s="741"/>
      <c r="AX136" s="741"/>
      <c r="AY136" s="741"/>
    </row>
    <row r="137" spans="1:52" s="403" customFormat="1" ht="36.75" customHeight="1">
      <c r="B137" s="742">
        <f>B136+1</f>
        <v>63</v>
      </c>
      <c r="C137" s="742"/>
      <c r="D137" s="743" t="str">
        <f t="shared" ca="1" si="16"/>
        <v/>
      </c>
      <c r="E137" s="743"/>
      <c r="F137" s="743"/>
      <c r="G137" s="743"/>
      <c r="H137" s="743"/>
      <c r="I137" s="743"/>
      <c r="J137" s="743"/>
      <c r="K137" s="743"/>
      <c r="L137" s="743"/>
      <c r="M137" s="743"/>
      <c r="N137" s="743"/>
      <c r="O137" s="743"/>
      <c r="P137" s="743"/>
      <c r="Q137" s="743"/>
      <c r="R137" s="743"/>
      <c r="S137" s="743"/>
      <c r="T137" s="743"/>
      <c r="U137" s="743"/>
      <c r="V137" s="743"/>
      <c r="W137" s="743"/>
      <c r="X137" s="743"/>
      <c r="Y137" s="743"/>
      <c r="Z137" s="743"/>
      <c r="AA137" s="743"/>
      <c r="AB137" s="743"/>
      <c r="AC137" s="741" t="str">
        <f t="shared" ca="1" si="17"/>
        <v/>
      </c>
      <c r="AD137" s="741"/>
      <c r="AE137" s="741"/>
      <c r="AF137" s="741"/>
      <c r="AG137" s="741"/>
      <c r="AH137" s="741"/>
      <c r="AI137" s="741"/>
      <c r="AJ137" s="742" t="str">
        <f t="shared" ca="1" si="18"/>
        <v/>
      </c>
      <c r="AK137" s="742"/>
      <c r="AL137" s="741" t="str">
        <f t="shared" ca="1" si="19"/>
        <v/>
      </c>
      <c r="AM137" s="741"/>
      <c r="AN137" s="741"/>
      <c r="AO137" s="741"/>
      <c r="AP137" s="741"/>
      <c r="AQ137" s="741"/>
      <c r="AR137" s="741"/>
      <c r="AS137" s="741" t="str">
        <f t="shared" ca="1" si="20"/>
        <v/>
      </c>
      <c r="AT137" s="741"/>
      <c r="AU137" s="741"/>
      <c r="AV137" s="741"/>
      <c r="AW137" s="741"/>
      <c r="AX137" s="741"/>
      <c r="AY137" s="741"/>
    </row>
    <row r="138" spans="1:52" s="403" customFormat="1" ht="36.75" customHeight="1">
      <c r="B138" s="742">
        <f t="shared" ref="B138:B154" si="21">B137+1</f>
        <v>64</v>
      </c>
      <c r="C138" s="742"/>
      <c r="D138" s="743" t="str">
        <f t="shared" ca="1" si="16"/>
        <v/>
      </c>
      <c r="E138" s="743"/>
      <c r="F138" s="743"/>
      <c r="G138" s="743"/>
      <c r="H138" s="743"/>
      <c r="I138" s="743"/>
      <c r="J138" s="743"/>
      <c r="K138" s="743"/>
      <c r="L138" s="743"/>
      <c r="M138" s="743"/>
      <c r="N138" s="743"/>
      <c r="O138" s="743"/>
      <c r="P138" s="743"/>
      <c r="Q138" s="743"/>
      <c r="R138" s="743"/>
      <c r="S138" s="743"/>
      <c r="T138" s="743"/>
      <c r="U138" s="743"/>
      <c r="V138" s="743"/>
      <c r="W138" s="743"/>
      <c r="X138" s="743"/>
      <c r="Y138" s="743"/>
      <c r="Z138" s="743"/>
      <c r="AA138" s="743"/>
      <c r="AB138" s="743"/>
      <c r="AC138" s="741" t="str">
        <f t="shared" ca="1" si="17"/>
        <v/>
      </c>
      <c r="AD138" s="741"/>
      <c r="AE138" s="741"/>
      <c r="AF138" s="741"/>
      <c r="AG138" s="741"/>
      <c r="AH138" s="741"/>
      <c r="AI138" s="741"/>
      <c r="AJ138" s="742" t="str">
        <f t="shared" ca="1" si="18"/>
        <v/>
      </c>
      <c r="AK138" s="742"/>
      <c r="AL138" s="741" t="str">
        <f t="shared" ca="1" si="19"/>
        <v/>
      </c>
      <c r="AM138" s="741"/>
      <c r="AN138" s="741"/>
      <c r="AO138" s="741"/>
      <c r="AP138" s="741"/>
      <c r="AQ138" s="741"/>
      <c r="AR138" s="741"/>
      <c r="AS138" s="741" t="str">
        <f t="shared" ca="1" si="20"/>
        <v/>
      </c>
      <c r="AT138" s="741"/>
      <c r="AU138" s="741"/>
      <c r="AV138" s="741"/>
      <c r="AW138" s="741"/>
      <c r="AX138" s="741"/>
      <c r="AY138" s="741"/>
    </row>
    <row r="139" spans="1:52" s="403" customFormat="1" ht="36.75" customHeight="1">
      <c r="A139" s="403" t="s">
        <v>1529</v>
      </c>
      <c r="B139" s="742">
        <f t="shared" si="21"/>
        <v>65</v>
      </c>
      <c r="C139" s="742"/>
      <c r="D139" s="743" t="str">
        <f t="shared" ca="1" si="16"/>
        <v/>
      </c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R139" s="743"/>
      <c r="S139" s="743"/>
      <c r="T139" s="743"/>
      <c r="U139" s="743"/>
      <c r="V139" s="743"/>
      <c r="W139" s="743"/>
      <c r="X139" s="743"/>
      <c r="Y139" s="743"/>
      <c r="Z139" s="743"/>
      <c r="AA139" s="743"/>
      <c r="AB139" s="743"/>
      <c r="AC139" s="741" t="str">
        <f t="shared" ca="1" si="17"/>
        <v/>
      </c>
      <c r="AD139" s="741"/>
      <c r="AE139" s="741"/>
      <c r="AF139" s="741"/>
      <c r="AG139" s="741"/>
      <c r="AH139" s="741"/>
      <c r="AI139" s="741"/>
      <c r="AJ139" s="742" t="str">
        <f t="shared" ca="1" si="18"/>
        <v/>
      </c>
      <c r="AK139" s="742"/>
      <c r="AL139" s="741" t="str">
        <f t="shared" ca="1" si="19"/>
        <v/>
      </c>
      <c r="AM139" s="741"/>
      <c r="AN139" s="741"/>
      <c r="AO139" s="741"/>
      <c r="AP139" s="741"/>
      <c r="AQ139" s="741"/>
      <c r="AR139" s="741"/>
      <c r="AS139" s="741" t="str">
        <f t="shared" ca="1" si="20"/>
        <v/>
      </c>
      <c r="AT139" s="741"/>
      <c r="AU139" s="741"/>
      <c r="AV139" s="741"/>
      <c r="AW139" s="741"/>
      <c r="AX139" s="741"/>
      <c r="AY139" s="741"/>
      <c r="AZ139" s="473" t="s">
        <v>1530</v>
      </c>
    </row>
    <row r="140" spans="1:52" s="403" customFormat="1" ht="36.75" customHeight="1">
      <c r="B140" s="742">
        <f t="shared" si="21"/>
        <v>66</v>
      </c>
      <c r="C140" s="742"/>
      <c r="D140" s="743" t="str">
        <f t="shared" ca="1" si="16"/>
        <v/>
      </c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R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41" t="str">
        <f t="shared" ca="1" si="17"/>
        <v/>
      </c>
      <c r="AD140" s="741"/>
      <c r="AE140" s="741"/>
      <c r="AF140" s="741"/>
      <c r="AG140" s="741"/>
      <c r="AH140" s="741"/>
      <c r="AI140" s="741"/>
      <c r="AJ140" s="742" t="str">
        <f t="shared" ca="1" si="18"/>
        <v/>
      </c>
      <c r="AK140" s="742"/>
      <c r="AL140" s="741" t="str">
        <f t="shared" ca="1" si="19"/>
        <v/>
      </c>
      <c r="AM140" s="741"/>
      <c r="AN140" s="741"/>
      <c r="AO140" s="741"/>
      <c r="AP140" s="741"/>
      <c r="AQ140" s="741"/>
      <c r="AR140" s="741"/>
      <c r="AS140" s="741" t="str">
        <f t="shared" ca="1" si="20"/>
        <v/>
      </c>
      <c r="AT140" s="741"/>
      <c r="AU140" s="741"/>
      <c r="AV140" s="741"/>
      <c r="AW140" s="741"/>
      <c r="AX140" s="741"/>
      <c r="AY140" s="741"/>
      <c r="AZ140" s="473"/>
    </row>
    <row r="141" spans="1:52" s="403" customFormat="1" ht="36.75" customHeight="1">
      <c r="B141" s="742">
        <f t="shared" si="21"/>
        <v>67</v>
      </c>
      <c r="C141" s="742"/>
      <c r="D141" s="743" t="str">
        <f t="shared" ca="1" si="16"/>
        <v/>
      </c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R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41" t="str">
        <f t="shared" ca="1" si="17"/>
        <v/>
      </c>
      <c r="AD141" s="741"/>
      <c r="AE141" s="741"/>
      <c r="AF141" s="741"/>
      <c r="AG141" s="741"/>
      <c r="AH141" s="741"/>
      <c r="AI141" s="741"/>
      <c r="AJ141" s="742" t="str">
        <f t="shared" ca="1" si="18"/>
        <v/>
      </c>
      <c r="AK141" s="742"/>
      <c r="AL141" s="741" t="str">
        <f t="shared" ca="1" si="19"/>
        <v/>
      </c>
      <c r="AM141" s="741"/>
      <c r="AN141" s="741"/>
      <c r="AO141" s="741"/>
      <c r="AP141" s="741"/>
      <c r="AQ141" s="741"/>
      <c r="AR141" s="741"/>
      <c r="AS141" s="741" t="str">
        <f t="shared" ca="1" si="20"/>
        <v/>
      </c>
      <c r="AT141" s="741"/>
      <c r="AU141" s="741"/>
      <c r="AV141" s="741"/>
      <c r="AW141" s="741"/>
      <c r="AX141" s="741"/>
      <c r="AY141" s="741"/>
      <c r="AZ141" s="473"/>
    </row>
    <row r="142" spans="1:52" s="403" customFormat="1" ht="36.75" customHeight="1">
      <c r="B142" s="742">
        <f t="shared" si="21"/>
        <v>68</v>
      </c>
      <c r="C142" s="742"/>
      <c r="D142" s="743" t="str">
        <f t="shared" ca="1" si="16"/>
        <v/>
      </c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R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41" t="str">
        <f t="shared" ca="1" si="17"/>
        <v/>
      </c>
      <c r="AD142" s="741"/>
      <c r="AE142" s="741"/>
      <c r="AF142" s="741"/>
      <c r="AG142" s="741"/>
      <c r="AH142" s="741"/>
      <c r="AI142" s="741"/>
      <c r="AJ142" s="742" t="str">
        <f t="shared" ca="1" si="18"/>
        <v/>
      </c>
      <c r="AK142" s="742"/>
      <c r="AL142" s="741" t="str">
        <f t="shared" ca="1" si="19"/>
        <v/>
      </c>
      <c r="AM142" s="741"/>
      <c r="AN142" s="741"/>
      <c r="AO142" s="741"/>
      <c r="AP142" s="741"/>
      <c r="AQ142" s="741"/>
      <c r="AR142" s="741"/>
      <c r="AS142" s="741" t="str">
        <f t="shared" ca="1" si="20"/>
        <v/>
      </c>
      <c r="AT142" s="741"/>
      <c r="AU142" s="741"/>
      <c r="AV142" s="741"/>
      <c r="AW142" s="741"/>
      <c r="AX142" s="741"/>
      <c r="AY142" s="741"/>
    </row>
    <row r="143" spans="1:52" s="403" customFormat="1" ht="36.75" customHeight="1">
      <c r="B143" s="742">
        <f t="shared" si="21"/>
        <v>69</v>
      </c>
      <c r="C143" s="742"/>
      <c r="D143" s="743" t="str">
        <f t="shared" ca="1" si="16"/>
        <v/>
      </c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R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41" t="str">
        <f t="shared" ca="1" si="17"/>
        <v/>
      </c>
      <c r="AD143" s="741"/>
      <c r="AE143" s="741"/>
      <c r="AF143" s="741"/>
      <c r="AG143" s="741"/>
      <c r="AH143" s="741"/>
      <c r="AI143" s="741"/>
      <c r="AJ143" s="742" t="str">
        <f t="shared" ca="1" si="18"/>
        <v/>
      </c>
      <c r="AK143" s="742"/>
      <c r="AL143" s="741" t="str">
        <f t="shared" ca="1" si="19"/>
        <v/>
      </c>
      <c r="AM143" s="741"/>
      <c r="AN143" s="741"/>
      <c r="AO143" s="741"/>
      <c r="AP143" s="741"/>
      <c r="AQ143" s="741"/>
      <c r="AR143" s="741"/>
      <c r="AS143" s="741" t="str">
        <f t="shared" ca="1" si="20"/>
        <v/>
      </c>
      <c r="AT143" s="741"/>
      <c r="AU143" s="741"/>
      <c r="AV143" s="741"/>
      <c r="AW143" s="741"/>
      <c r="AX143" s="741"/>
      <c r="AY143" s="741"/>
    </row>
    <row r="144" spans="1:52" s="403" customFormat="1" ht="36.75" customHeight="1">
      <c r="B144" s="742">
        <f t="shared" si="21"/>
        <v>70</v>
      </c>
      <c r="C144" s="742"/>
      <c r="D144" s="743" t="str">
        <f t="shared" ca="1" si="16"/>
        <v/>
      </c>
      <c r="E144" s="743"/>
      <c r="F144" s="743"/>
      <c r="G144" s="743"/>
      <c r="H144" s="743"/>
      <c r="I144" s="743"/>
      <c r="J144" s="743"/>
      <c r="K144" s="743"/>
      <c r="L144" s="743"/>
      <c r="M144" s="743"/>
      <c r="N144" s="743"/>
      <c r="O144" s="743"/>
      <c r="P144" s="743"/>
      <c r="Q144" s="743"/>
      <c r="R144" s="743"/>
      <c r="S144" s="743"/>
      <c r="T144" s="743"/>
      <c r="U144" s="743"/>
      <c r="V144" s="743"/>
      <c r="W144" s="743"/>
      <c r="X144" s="743"/>
      <c r="Y144" s="743"/>
      <c r="Z144" s="743"/>
      <c r="AA144" s="743"/>
      <c r="AB144" s="743"/>
      <c r="AC144" s="741" t="str">
        <f t="shared" ca="1" si="17"/>
        <v/>
      </c>
      <c r="AD144" s="741"/>
      <c r="AE144" s="741"/>
      <c r="AF144" s="741"/>
      <c r="AG144" s="741"/>
      <c r="AH144" s="741"/>
      <c r="AI144" s="741"/>
      <c r="AJ144" s="742" t="str">
        <f t="shared" ca="1" si="18"/>
        <v/>
      </c>
      <c r="AK144" s="742"/>
      <c r="AL144" s="741" t="str">
        <f t="shared" ca="1" si="19"/>
        <v/>
      </c>
      <c r="AM144" s="741"/>
      <c r="AN144" s="741"/>
      <c r="AO144" s="741"/>
      <c r="AP144" s="741"/>
      <c r="AQ144" s="741"/>
      <c r="AR144" s="741"/>
      <c r="AS144" s="741" t="str">
        <f t="shared" ca="1" si="20"/>
        <v/>
      </c>
      <c r="AT144" s="741"/>
      <c r="AU144" s="741"/>
      <c r="AV144" s="741"/>
      <c r="AW144" s="741"/>
      <c r="AX144" s="741"/>
      <c r="AY144" s="741"/>
    </row>
    <row r="145" spans="1:52" s="403" customFormat="1" ht="36.75" customHeight="1">
      <c r="B145" s="742">
        <f t="shared" si="21"/>
        <v>71</v>
      </c>
      <c r="C145" s="742"/>
      <c r="D145" s="743" t="str">
        <f t="shared" ca="1" si="16"/>
        <v/>
      </c>
      <c r="E145" s="743"/>
      <c r="F145" s="743"/>
      <c r="G145" s="743"/>
      <c r="H145" s="743"/>
      <c r="I145" s="743"/>
      <c r="J145" s="743"/>
      <c r="K145" s="743"/>
      <c r="L145" s="743"/>
      <c r="M145" s="743"/>
      <c r="N145" s="743"/>
      <c r="O145" s="743"/>
      <c r="P145" s="743"/>
      <c r="Q145" s="743"/>
      <c r="R145" s="743"/>
      <c r="S145" s="743"/>
      <c r="T145" s="743"/>
      <c r="U145" s="743"/>
      <c r="V145" s="743"/>
      <c r="W145" s="743"/>
      <c r="X145" s="743"/>
      <c r="Y145" s="743"/>
      <c r="Z145" s="743"/>
      <c r="AA145" s="743"/>
      <c r="AB145" s="743"/>
      <c r="AC145" s="741" t="str">
        <f t="shared" ca="1" si="17"/>
        <v/>
      </c>
      <c r="AD145" s="741"/>
      <c r="AE145" s="741"/>
      <c r="AF145" s="741"/>
      <c r="AG145" s="741"/>
      <c r="AH145" s="741"/>
      <c r="AI145" s="741"/>
      <c r="AJ145" s="742" t="str">
        <f t="shared" ca="1" si="18"/>
        <v/>
      </c>
      <c r="AK145" s="742"/>
      <c r="AL145" s="741" t="str">
        <f t="shared" ca="1" si="19"/>
        <v/>
      </c>
      <c r="AM145" s="741"/>
      <c r="AN145" s="741"/>
      <c r="AO145" s="741"/>
      <c r="AP145" s="741"/>
      <c r="AQ145" s="741"/>
      <c r="AR145" s="741"/>
      <c r="AS145" s="741" t="str">
        <f t="shared" ca="1" si="20"/>
        <v/>
      </c>
      <c r="AT145" s="741"/>
      <c r="AU145" s="741"/>
      <c r="AV145" s="741"/>
      <c r="AW145" s="741"/>
      <c r="AX145" s="741"/>
      <c r="AY145" s="741"/>
    </row>
    <row r="146" spans="1:52" s="403" customFormat="1" ht="36.75" customHeight="1">
      <c r="B146" s="742">
        <f t="shared" si="21"/>
        <v>72</v>
      </c>
      <c r="C146" s="742"/>
      <c r="D146" s="743" t="str">
        <f t="shared" ca="1" si="16"/>
        <v/>
      </c>
      <c r="E146" s="743"/>
      <c r="F146" s="743"/>
      <c r="G146" s="743"/>
      <c r="H146" s="743"/>
      <c r="I146" s="743"/>
      <c r="J146" s="743"/>
      <c r="K146" s="743"/>
      <c r="L146" s="743"/>
      <c r="M146" s="743"/>
      <c r="N146" s="743"/>
      <c r="O146" s="743"/>
      <c r="P146" s="743"/>
      <c r="Q146" s="743"/>
      <c r="R146" s="743"/>
      <c r="S146" s="743"/>
      <c r="T146" s="743"/>
      <c r="U146" s="743"/>
      <c r="V146" s="743"/>
      <c r="W146" s="743"/>
      <c r="X146" s="743"/>
      <c r="Y146" s="743"/>
      <c r="Z146" s="743"/>
      <c r="AA146" s="743"/>
      <c r="AB146" s="743"/>
      <c r="AC146" s="741" t="str">
        <f t="shared" ca="1" si="17"/>
        <v/>
      </c>
      <c r="AD146" s="741"/>
      <c r="AE146" s="741"/>
      <c r="AF146" s="741"/>
      <c r="AG146" s="741"/>
      <c r="AH146" s="741"/>
      <c r="AI146" s="741"/>
      <c r="AJ146" s="742" t="str">
        <f t="shared" ca="1" si="18"/>
        <v/>
      </c>
      <c r="AK146" s="742"/>
      <c r="AL146" s="741" t="str">
        <f t="shared" ca="1" si="19"/>
        <v/>
      </c>
      <c r="AM146" s="741"/>
      <c r="AN146" s="741"/>
      <c r="AO146" s="741"/>
      <c r="AP146" s="741"/>
      <c r="AQ146" s="741"/>
      <c r="AR146" s="741"/>
      <c r="AS146" s="741" t="str">
        <f t="shared" ca="1" si="20"/>
        <v/>
      </c>
      <c r="AT146" s="741"/>
      <c r="AU146" s="741"/>
      <c r="AV146" s="741"/>
      <c r="AW146" s="741"/>
      <c r="AX146" s="741"/>
      <c r="AY146" s="741"/>
    </row>
    <row r="147" spans="1:52" s="403" customFormat="1" ht="36.75" customHeight="1">
      <c r="B147" s="742">
        <f t="shared" si="21"/>
        <v>73</v>
      </c>
      <c r="C147" s="742"/>
      <c r="D147" s="743" t="str">
        <f t="shared" ca="1" si="16"/>
        <v/>
      </c>
      <c r="E147" s="743"/>
      <c r="F147" s="743"/>
      <c r="G147" s="743"/>
      <c r="H147" s="743"/>
      <c r="I147" s="743"/>
      <c r="J147" s="743"/>
      <c r="K147" s="743"/>
      <c r="L147" s="743"/>
      <c r="M147" s="743"/>
      <c r="N147" s="743"/>
      <c r="O147" s="743"/>
      <c r="P147" s="743"/>
      <c r="Q147" s="743"/>
      <c r="R147" s="743"/>
      <c r="S147" s="743"/>
      <c r="T147" s="743"/>
      <c r="U147" s="743"/>
      <c r="V147" s="743"/>
      <c r="W147" s="743"/>
      <c r="X147" s="743"/>
      <c r="Y147" s="743"/>
      <c r="Z147" s="743"/>
      <c r="AA147" s="743"/>
      <c r="AB147" s="743"/>
      <c r="AC147" s="741" t="str">
        <f t="shared" ca="1" si="17"/>
        <v/>
      </c>
      <c r="AD147" s="741"/>
      <c r="AE147" s="741"/>
      <c r="AF147" s="741"/>
      <c r="AG147" s="741"/>
      <c r="AH147" s="741"/>
      <c r="AI147" s="741"/>
      <c r="AJ147" s="742" t="str">
        <f t="shared" ca="1" si="18"/>
        <v/>
      </c>
      <c r="AK147" s="742"/>
      <c r="AL147" s="741" t="str">
        <f t="shared" ca="1" si="19"/>
        <v/>
      </c>
      <c r="AM147" s="741"/>
      <c r="AN147" s="741"/>
      <c r="AO147" s="741"/>
      <c r="AP147" s="741"/>
      <c r="AQ147" s="741"/>
      <c r="AR147" s="741"/>
      <c r="AS147" s="741" t="str">
        <f t="shared" ca="1" si="20"/>
        <v/>
      </c>
      <c r="AT147" s="741"/>
      <c r="AU147" s="741"/>
      <c r="AV147" s="741"/>
      <c r="AW147" s="741"/>
      <c r="AX147" s="741"/>
      <c r="AY147" s="741"/>
    </row>
    <row r="148" spans="1:52" s="403" customFormat="1" ht="36.75" customHeight="1">
      <c r="B148" s="742">
        <f t="shared" si="21"/>
        <v>74</v>
      </c>
      <c r="C148" s="742"/>
      <c r="D148" s="743" t="str">
        <f t="shared" ca="1" si="16"/>
        <v/>
      </c>
      <c r="E148" s="743"/>
      <c r="F148" s="743"/>
      <c r="G148" s="743"/>
      <c r="H148" s="743"/>
      <c r="I148" s="743"/>
      <c r="J148" s="743"/>
      <c r="K148" s="743"/>
      <c r="L148" s="743"/>
      <c r="M148" s="743"/>
      <c r="N148" s="743"/>
      <c r="O148" s="743"/>
      <c r="P148" s="743"/>
      <c r="Q148" s="743"/>
      <c r="R148" s="743"/>
      <c r="S148" s="743"/>
      <c r="T148" s="743"/>
      <c r="U148" s="743"/>
      <c r="V148" s="743"/>
      <c r="W148" s="743"/>
      <c r="X148" s="743"/>
      <c r="Y148" s="743"/>
      <c r="Z148" s="743"/>
      <c r="AA148" s="743"/>
      <c r="AB148" s="743"/>
      <c r="AC148" s="741" t="str">
        <f t="shared" ca="1" si="17"/>
        <v/>
      </c>
      <c r="AD148" s="741"/>
      <c r="AE148" s="741"/>
      <c r="AF148" s="741"/>
      <c r="AG148" s="741"/>
      <c r="AH148" s="741"/>
      <c r="AI148" s="741"/>
      <c r="AJ148" s="742" t="str">
        <f t="shared" ca="1" si="18"/>
        <v/>
      </c>
      <c r="AK148" s="742"/>
      <c r="AL148" s="741" t="str">
        <f t="shared" ca="1" si="19"/>
        <v/>
      </c>
      <c r="AM148" s="741"/>
      <c r="AN148" s="741"/>
      <c r="AO148" s="741"/>
      <c r="AP148" s="741"/>
      <c r="AQ148" s="741"/>
      <c r="AR148" s="741"/>
      <c r="AS148" s="741" t="str">
        <f t="shared" ca="1" si="20"/>
        <v/>
      </c>
      <c r="AT148" s="741"/>
      <c r="AU148" s="741"/>
      <c r="AV148" s="741"/>
      <c r="AW148" s="741"/>
      <c r="AX148" s="741"/>
      <c r="AY148" s="741"/>
    </row>
    <row r="149" spans="1:52" s="403" customFormat="1" ht="36.75" customHeight="1">
      <c r="B149" s="742">
        <f t="shared" si="21"/>
        <v>75</v>
      </c>
      <c r="C149" s="742"/>
      <c r="D149" s="743" t="str">
        <f t="shared" ca="1" si="16"/>
        <v/>
      </c>
      <c r="E149" s="743"/>
      <c r="F149" s="743"/>
      <c r="G149" s="743"/>
      <c r="H149" s="743"/>
      <c r="I149" s="743"/>
      <c r="J149" s="743"/>
      <c r="K149" s="743"/>
      <c r="L149" s="743"/>
      <c r="M149" s="743"/>
      <c r="N149" s="743"/>
      <c r="O149" s="743"/>
      <c r="P149" s="743"/>
      <c r="Q149" s="743"/>
      <c r="R149" s="743"/>
      <c r="S149" s="743"/>
      <c r="T149" s="743"/>
      <c r="U149" s="743"/>
      <c r="V149" s="743"/>
      <c r="W149" s="743"/>
      <c r="X149" s="743"/>
      <c r="Y149" s="743"/>
      <c r="Z149" s="743"/>
      <c r="AA149" s="743"/>
      <c r="AB149" s="743"/>
      <c r="AC149" s="741" t="str">
        <f t="shared" ca="1" si="17"/>
        <v/>
      </c>
      <c r="AD149" s="741"/>
      <c r="AE149" s="741"/>
      <c r="AF149" s="741"/>
      <c r="AG149" s="741"/>
      <c r="AH149" s="741"/>
      <c r="AI149" s="741"/>
      <c r="AJ149" s="742" t="str">
        <f t="shared" ca="1" si="18"/>
        <v/>
      </c>
      <c r="AK149" s="742"/>
      <c r="AL149" s="741" t="str">
        <f t="shared" ca="1" si="19"/>
        <v/>
      </c>
      <c r="AM149" s="741"/>
      <c r="AN149" s="741"/>
      <c r="AO149" s="741"/>
      <c r="AP149" s="741"/>
      <c r="AQ149" s="741"/>
      <c r="AR149" s="741"/>
      <c r="AS149" s="741" t="str">
        <f t="shared" ca="1" si="20"/>
        <v/>
      </c>
      <c r="AT149" s="741"/>
      <c r="AU149" s="741"/>
      <c r="AV149" s="741"/>
      <c r="AW149" s="741"/>
      <c r="AX149" s="741"/>
      <c r="AY149" s="741"/>
    </row>
    <row r="150" spans="1:52" s="403" customFormat="1" ht="36.75" customHeight="1">
      <c r="B150" s="742">
        <f t="shared" si="21"/>
        <v>76</v>
      </c>
      <c r="C150" s="742"/>
      <c r="D150" s="743" t="str">
        <f t="shared" ca="1" si="16"/>
        <v/>
      </c>
      <c r="E150" s="743"/>
      <c r="F150" s="743"/>
      <c r="G150" s="743"/>
      <c r="H150" s="743"/>
      <c r="I150" s="743"/>
      <c r="J150" s="743"/>
      <c r="K150" s="743"/>
      <c r="L150" s="743"/>
      <c r="M150" s="743"/>
      <c r="N150" s="743"/>
      <c r="O150" s="743"/>
      <c r="P150" s="743"/>
      <c r="Q150" s="743"/>
      <c r="R150" s="743"/>
      <c r="S150" s="743"/>
      <c r="T150" s="743"/>
      <c r="U150" s="743"/>
      <c r="V150" s="743"/>
      <c r="W150" s="743"/>
      <c r="X150" s="743"/>
      <c r="Y150" s="743"/>
      <c r="Z150" s="743"/>
      <c r="AA150" s="743"/>
      <c r="AB150" s="743"/>
      <c r="AC150" s="741" t="str">
        <f t="shared" ca="1" si="17"/>
        <v/>
      </c>
      <c r="AD150" s="741"/>
      <c r="AE150" s="741"/>
      <c r="AF150" s="741"/>
      <c r="AG150" s="741"/>
      <c r="AH150" s="741"/>
      <c r="AI150" s="741"/>
      <c r="AJ150" s="742" t="str">
        <f t="shared" ca="1" si="18"/>
        <v/>
      </c>
      <c r="AK150" s="742"/>
      <c r="AL150" s="741" t="str">
        <f t="shared" ca="1" si="19"/>
        <v/>
      </c>
      <c r="AM150" s="741"/>
      <c r="AN150" s="741"/>
      <c r="AO150" s="741"/>
      <c r="AP150" s="741"/>
      <c r="AQ150" s="741"/>
      <c r="AR150" s="741"/>
      <c r="AS150" s="741" t="str">
        <f t="shared" ca="1" si="20"/>
        <v/>
      </c>
      <c r="AT150" s="741"/>
      <c r="AU150" s="741"/>
      <c r="AV150" s="741"/>
      <c r="AW150" s="741"/>
      <c r="AX150" s="741"/>
      <c r="AY150" s="741"/>
    </row>
    <row r="151" spans="1:52" s="403" customFormat="1" ht="36.75" customHeight="1">
      <c r="B151" s="742">
        <f t="shared" si="21"/>
        <v>77</v>
      </c>
      <c r="C151" s="742"/>
      <c r="D151" s="743" t="str">
        <f t="shared" ca="1" si="16"/>
        <v/>
      </c>
      <c r="E151" s="743"/>
      <c r="F151" s="743"/>
      <c r="G151" s="743"/>
      <c r="H151" s="743"/>
      <c r="I151" s="743"/>
      <c r="J151" s="743"/>
      <c r="K151" s="743"/>
      <c r="L151" s="743"/>
      <c r="M151" s="743"/>
      <c r="N151" s="743"/>
      <c r="O151" s="743"/>
      <c r="P151" s="743"/>
      <c r="Q151" s="743"/>
      <c r="R151" s="743"/>
      <c r="S151" s="743"/>
      <c r="T151" s="743"/>
      <c r="U151" s="743"/>
      <c r="V151" s="743"/>
      <c r="W151" s="743"/>
      <c r="X151" s="743"/>
      <c r="Y151" s="743"/>
      <c r="Z151" s="743"/>
      <c r="AA151" s="743"/>
      <c r="AB151" s="743"/>
      <c r="AC151" s="741" t="str">
        <f t="shared" ca="1" si="17"/>
        <v/>
      </c>
      <c r="AD151" s="741"/>
      <c r="AE151" s="741"/>
      <c r="AF151" s="741"/>
      <c r="AG151" s="741"/>
      <c r="AH151" s="741"/>
      <c r="AI151" s="741"/>
      <c r="AJ151" s="742" t="str">
        <f t="shared" ca="1" si="18"/>
        <v/>
      </c>
      <c r="AK151" s="742"/>
      <c r="AL151" s="741" t="str">
        <f t="shared" ca="1" si="19"/>
        <v/>
      </c>
      <c r="AM151" s="741"/>
      <c r="AN151" s="741"/>
      <c r="AO151" s="741"/>
      <c r="AP151" s="741"/>
      <c r="AQ151" s="741"/>
      <c r="AR151" s="741"/>
      <c r="AS151" s="741" t="str">
        <f t="shared" ca="1" si="20"/>
        <v/>
      </c>
      <c r="AT151" s="741"/>
      <c r="AU151" s="741"/>
      <c r="AV151" s="741"/>
      <c r="AW151" s="741"/>
      <c r="AX151" s="741"/>
      <c r="AY151" s="741"/>
    </row>
    <row r="152" spans="1:52" s="403" customFormat="1" ht="36.75" customHeight="1">
      <c r="B152" s="742">
        <f t="shared" si="21"/>
        <v>78</v>
      </c>
      <c r="C152" s="742"/>
      <c r="D152" s="743" t="str">
        <f t="shared" ca="1" si="16"/>
        <v/>
      </c>
      <c r="E152" s="743"/>
      <c r="F152" s="743"/>
      <c r="G152" s="743"/>
      <c r="H152" s="743"/>
      <c r="I152" s="743"/>
      <c r="J152" s="743"/>
      <c r="K152" s="743"/>
      <c r="L152" s="743"/>
      <c r="M152" s="743"/>
      <c r="N152" s="743"/>
      <c r="O152" s="743"/>
      <c r="P152" s="743"/>
      <c r="Q152" s="743"/>
      <c r="R152" s="743"/>
      <c r="S152" s="743"/>
      <c r="T152" s="743"/>
      <c r="U152" s="743"/>
      <c r="V152" s="743"/>
      <c r="W152" s="743"/>
      <c r="X152" s="743"/>
      <c r="Y152" s="743"/>
      <c r="Z152" s="743"/>
      <c r="AA152" s="743"/>
      <c r="AB152" s="743"/>
      <c r="AC152" s="741" t="str">
        <f t="shared" ca="1" si="17"/>
        <v/>
      </c>
      <c r="AD152" s="741"/>
      <c r="AE152" s="741"/>
      <c r="AF152" s="741"/>
      <c r="AG152" s="741"/>
      <c r="AH152" s="741"/>
      <c r="AI152" s="741"/>
      <c r="AJ152" s="742" t="str">
        <f t="shared" ca="1" si="18"/>
        <v/>
      </c>
      <c r="AK152" s="742"/>
      <c r="AL152" s="741" t="str">
        <f t="shared" ca="1" si="19"/>
        <v/>
      </c>
      <c r="AM152" s="741"/>
      <c r="AN152" s="741"/>
      <c r="AO152" s="741"/>
      <c r="AP152" s="741"/>
      <c r="AQ152" s="741"/>
      <c r="AR152" s="741"/>
      <c r="AS152" s="741" t="str">
        <f t="shared" ca="1" si="20"/>
        <v/>
      </c>
      <c r="AT152" s="741"/>
      <c r="AU152" s="741"/>
      <c r="AV152" s="741"/>
      <c r="AW152" s="741"/>
      <c r="AX152" s="741"/>
      <c r="AY152" s="741"/>
    </row>
    <row r="153" spans="1:52" s="403" customFormat="1" ht="36.75" customHeight="1">
      <c r="A153" s="403" t="s">
        <v>1529</v>
      </c>
      <c r="B153" s="742">
        <f t="shared" si="21"/>
        <v>79</v>
      </c>
      <c r="C153" s="742"/>
      <c r="D153" s="743" t="str">
        <f t="shared" ca="1" si="16"/>
        <v/>
      </c>
      <c r="E153" s="743"/>
      <c r="F153" s="743"/>
      <c r="G153" s="743"/>
      <c r="H153" s="743"/>
      <c r="I153" s="743"/>
      <c r="J153" s="743"/>
      <c r="K153" s="743"/>
      <c r="L153" s="743"/>
      <c r="M153" s="743"/>
      <c r="N153" s="743"/>
      <c r="O153" s="743"/>
      <c r="P153" s="743"/>
      <c r="Q153" s="743"/>
      <c r="R153" s="743"/>
      <c r="S153" s="743"/>
      <c r="T153" s="743"/>
      <c r="U153" s="743"/>
      <c r="V153" s="743"/>
      <c r="W153" s="743"/>
      <c r="X153" s="743"/>
      <c r="Y153" s="743"/>
      <c r="Z153" s="743"/>
      <c r="AA153" s="743"/>
      <c r="AB153" s="743"/>
      <c r="AC153" s="741" t="str">
        <f t="shared" ca="1" si="17"/>
        <v/>
      </c>
      <c r="AD153" s="741"/>
      <c r="AE153" s="741"/>
      <c r="AF153" s="741"/>
      <c r="AG153" s="741"/>
      <c r="AH153" s="741"/>
      <c r="AI153" s="741"/>
      <c r="AJ153" s="742" t="str">
        <f t="shared" ca="1" si="18"/>
        <v/>
      </c>
      <c r="AK153" s="742"/>
      <c r="AL153" s="741" t="str">
        <f t="shared" ca="1" si="19"/>
        <v/>
      </c>
      <c r="AM153" s="741"/>
      <c r="AN153" s="741"/>
      <c r="AO153" s="741"/>
      <c r="AP153" s="741"/>
      <c r="AQ153" s="741"/>
      <c r="AR153" s="741"/>
      <c r="AS153" s="741" t="str">
        <f t="shared" ca="1" si="20"/>
        <v/>
      </c>
      <c r="AT153" s="741"/>
      <c r="AU153" s="741"/>
      <c r="AV153" s="741"/>
      <c r="AW153" s="741"/>
      <c r="AX153" s="741"/>
      <c r="AY153" s="741"/>
      <c r="AZ153" s="473" t="s">
        <v>1530</v>
      </c>
    </row>
    <row r="154" spans="1:52" s="403" customFormat="1" ht="36.75" customHeight="1">
      <c r="B154" s="742">
        <f t="shared" si="21"/>
        <v>80</v>
      </c>
      <c r="C154" s="742"/>
      <c r="D154" s="743" t="str">
        <f t="shared" ca="1" si="16"/>
        <v/>
      </c>
      <c r="E154" s="743"/>
      <c r="F154" s="743"/>
      <c r="G154" s="743"/>
      <c r="H154" s="743"/>
      <c r="I154" s="743"/>
      <c r="J154" s="743"/>
      <c r="K154" s="743"/>
      <c r="L154" s="743"/>
      <c r="M154" s="743"/>
      <c r="N154" s="743"/>
      <c r="O154" s="743"/>
      <c r="P154" s="743"/>
      <c r="Q154" s="743"/>
      <c r="R154" s="743"/>
      <c r="S154" s="743"/>
      <c r="T154" s="743"/>
      <c r="U154" s="743"/>
      <c r="V154" s="743"/>
      <c r="W154" s="743"/>
      <c r="X154" s="743"/>
      <c r="Y154" s="743"/>
      <c r="Z154" s="743"/>
      <c r="AA154" s="743"/>
      <c r="AB154" s="743"/>
      <c r="AC154" s="741" t="str">
        <f t="shared" ca="1" si="17"/>
        <v/>
      </c>
      <c r="AD154" s="741"/>
      <c r="AE154" s="741"/>
      <c r="AF154" s="741"/>
      <c r="AG154" s="741"/>
      <c r="AH154" s="741"/>
      <c r="AI154" s="741"/>
      <c r="AJ154" s="742" t="str">
        <f t="shared" ca="1" si="18"/>
        <v/>
      </c>
      <c r="AK154" s="742"/>
      <c r="AL154" s="741" t="str">
        <f t="shared" ca="1" si="19"/>
        <v/>
      </c>
      <c r="AM154" s="741"/>
      <c r="AN154" s="741"/>
      <c r="AO154" s="741"/>
      <c r="AP154" s="741"/>
      <c r="AQ154" s="741"/>
      <c r="AR154" s="741"/>
      <c r="AS154" s="741" t="str">
        <f t="shared" ca="1" si="20"/>
        <v/>
      </c>
      <c r="AT154" s="741"/>
      <c r="AU154" s="741"/>
      <c r="AV154" s="741"/>
      <c r="AW154" s="741"/>
      <c r="AX154" s="741"/>
      <c r="AY154" s="741"/>
    </row>
    <row r="155" spans="1:52" s="403" customFormat="1" ht="45" customHeight="1">
      <c r="B155" s="749" t="s">
        <v>1527</v>
      </c>
      <c r="C155" s="750"/>
      <c r="D155" s="750"/>
      <c r="E155" s="751" t="str">
        <f>IF(UNNH0030_REPORT_IF_H_EIGYO_MEI="","",UNNH0030_REPORT_IF_H_EIGYO_MEI)</f>
        <v/>
      </c>
      <c r="F155" s="751"/>
      <c r="G155" s="751"/>
      <c r="H155" s="751"/>
      <c r="I155" s="751"/>
      <c r="J155" s="751"/>
      <c r="K155" s="751"/>
      <c r="L155" s="751"/>
      <c r="M155" s="751"/>
      <c r="N155" s="751"/>
      <c r="O155" s="751"/>
      <c r="P155" s="751"/>
      <c r="Q155" s="751"/>
      <c r="R155" s="751"/>
      <c r="S155" s="751"/>
      <c r="T155" s="751"/>
      <c r="U155" s="751"/>
      <c r="V155" s="751"/>
      <c r="W155" s="751"/>
      <c r="X155" s="751"/>
      <c r="Y155" s="751"/>
      <c r="Z155" s="751"/>
      <c r="AA155" s="751"/>
      <c r="AB155" s="751"/>
      <c r="AC155" s="751"/>
      <c r="AD155" s="751"/>
      <c r="AE155" s="751"/>
      <c r="AF155" s="751"/>
      <c r="AG155" s="752"/>
      <c r="AH155" s="742" t="s">
        <v>1107</v>
      </c>
      <c r="AI155" s="742"/>
      <c r="AJ155" s="742"/>
      <c r="AK155" s="742"/>
      <c r="AL155" s="742"/>
      <c r="AM155" s="742"/>
      <c r="AN155" s="742"/>
      <c r="AO155" s="742"/>
      <c r="AP155" s="742"/>
      <c r="AQ155" s="753" t="str">
        <f>IF(ROUNDUP(ROW()/ROWS(UNNH0030_SEIKYUSHO_PAGE_AREA),0)=UNNH0030_REPORT_IF_B_PAGE_TOTAL,UNNH0030_REPORT_IF_H_TOTAL,"")</f>
        <v/>
      </c>
      <c r="AR155" s="754"/>
      <c r="AS155" s="754"/>
      <c r="AT155" s="754"/>
      <c r="AU155" s="754"/>
      <c r="AV155" s="754"/>
      <c r="AW155" s="754"/>
      <c r="AX155" s="754"/>
      <c r="AY155" s="755"/>
    </row>
    <row r="156" spans="1:52" s="403" customFormat="1" ht="33.75" customHeight="1">
      <c r="C156" s="404"/>
      <c r="D156" s="404"/>
      <c r="E156" s="404"/>
      <c r="F156" s="404"/>
      <c r="G156" s="404"/>
      <c r="H156" s="404"/>
      <c r="I156" s="404"/>
      <c r="J156" s="404"/>
      <c r="K156" s="404"/>
      <c r="L156" s="404"/>
      <c r="M156" s="404"/>
      <c r="N156" s="404"/>
      <c r="O156" s="404"/>
    </row>
    <row r="157" spans="1:52" s="403" customFormat="1" ht="38.25" customHeight="1">
      <c r="B157" s="756" t="s">
        <v>1528</v>
      </c>
      <c r="C157" s="757"/>
      <c r="D157" s="758"/>
      <c r="E157" s="738" t="str">
        <f>IF(UNNH0030_REPORT_IF_H_TEKIYO="","",UNNH0030_REPORT_IF_H_TEKIYO)</f>
        <v/>
      </c>
      <c r="F157" s="738"/>
      <c r="G157" s="738"/>
      <c r="H157" s="738"/>
      <c r="I157" s="738"/>
      <c r="J157" s="738"/>
      <c r="K157" s="738"/>
      <c r="L157" s="738"/>
      <c r="M157" s="738"/>
      <c r="N157" s="738"/>
      <c r="O157" s="738"/>
      <c r="P157" s="738"/>
      <c r="Q157" s="738"/>
      <c r="R157" s="738"/>
      <c r="S157" s="738"/>
      <c r="T157" s="738"/>
      <c r="U157" s="738"/>
      <c r="V157" s="738"/>
      <c r="W157" s="738"/>
      <c r="X157" s="738"/>
      <c r="Y157" s="738"/>
      <c r="Z157" s="738"/>
      <c r="AA157" s="738"/>
      <c r="AB157" s="738"/>
      <c r="AC157" s="738"/>
      <c r="AD157" s="738"/>
      <c r="AE157" s="738"/>
      <c r="AF157" s="738"/>
      <c r="AG157" s="738"/>
      <c r="AH157" s="738"/>
      <c r="AI157" s="738"/>
      <c r="AJ157" s="738"/>
      <c r="AK157" s="738"/>
      <c r="AL157" s="738"/>
      <c r="AM157" s="738"/>
      <c r="AN157" s="738"/>
      <c r="AO157" s="738"/>
      <c r="AP157" s="738"/>
      <c r="AQ157" s="738"/>
      <c r="AR157" s="738"/>
      <c r="AS157" s="738"/>
      <c r="AU157" s="739" t="str">
        <f>IF(UNNH0030_REPORT_IF_H_SEIKYUHOHO_KBN=0,"","締日 "&amp;UNNH0030_REPORT_IF_H_SHIMEBI)</f>
        <v/>
      </c>
      <c r="AV157" s="739"/>
      <c r="AW157" s="739"/>
      <c r="AX157" s="739"/>
      <c r="AY157" s="740" t="str">
        <f>UNNH0030_REPORT_IF_H_SHIMEBI_MARK</f>
        <v>*</v>
      </c>
    </row>
    <row r="158" spans="1:52" s="403" customFormat="1" ht="38.25" customHeight="1">
      <c r="B158" s="759"/>
      <c r="C158" s="760"/>
      <c r="D158" s="761"/>
      <c r="E158" s="738"/>
      <c r="F158" s="738"/>
      <c r="G158" s="738"/>
      <c r="H158" s="738"/>
      <c r="I158" s="738"/>
      <c r="J158" s="738"/>
      <c r="K158" s="738"/>
      <c r="L158" s="738"/>
      <c r="M158" s="738"/>
      <c r="N158" s="738"/>
      <c r="O158" s="738"/>
      <c r="P158" s="738"/>
      <c r="Q158" s="738"/>
      <c r="R158" s="738"/>
      <c r="S158" s="738"/>
      <c r="T158" s="738"/>
      <c r="U158" s="738"/>
      <c r="V158" s="738"/>
      <c r="W158" s="738"/>
      <c r="X158" s="738"/>
      <c r="Y158" s="738"/>
      <c r="Z158" s="738"/>
      <c r="AA158" s="738"/>
      <c r="AB158" s="738"/>
      <c r="AC158" s="738"/>
      <c r="AD158" s="738"/>
      <c r="AE158" s="738"/>
      <c r="AF158" s="738"/>
      <c r="AG158" s="738"/>
      <c r="AH158" s="738"/>
      <c r="AI158" s="738"/>
      <c r="AJ158" s="738"/>
      <c r="AK158" s="738"/>
      <c r="AL158" s="738"/>
      <c r="AM158" s="738"/>
      <c r="AN158" s="738"/>
      <c r="AO158" s="738"/>
      <c r="AP158" s="738"/>
      <c r="AQ158" s="738"/>
      <c r="AR158" s="738"/>
      <c r="AS158" s="738"/>
      <c r="AU158" s="739"/>
      <c r="AV158" s="739"/>
      <c r="AW158" s="739"/>
      <c r="AX158" s="739"/>
      <c r="AY158" s="740"/>
    </row>
    <row r="159" spans="1:52" s="403" customFormat="1" ht="30" customHeight="1">
      <c r="B159" s="777" t="str">
        <f>IF(UNNH0030_REPORT_IF_JURI_NO="","",UNNH0030_REPORT_IF_JURI_NO)</f>
        <v/>
      </c>
      <c r="C159" s="777"/>
      <c r="D159" s="777"/>
      <c r="E159" s="777"/>
      <c r="F159" s="777"/>
      <c r="G159" s="777"/>
      <c r="H159" s="777"/>
      <c r="I159" s="777"/>
      <c r="J159" s="777"/>
      <c r="K159" s="777"/>
      <c r="L159" s="777"/>
      <c r="M159" s="777"/>
      <c r="N159" s="777"/>
      <c r="O159" s="777"/>
      <c r="P159" s="777"/>
      <c r="Q159" s="777"/>
      <c r="R159" s="777"/>
      <c r="S159" s="777"/>
      <c r="T159" s="777"/>
      <c r="U159" s="777"/>
      <c r="V159" s="777"/>
      <c r="W159" s="777"/>
      <c r="X159" s="777"/>
      <c r="Y159" s="777"/>
      <c r="Z159" s="777"/>
      <c r="AA159" s="777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777"/>
      <c r="AO159" s="777"/>
      <c r="AP159" s="777"/>
      <c r="AQ159" s="777"/>
      <c r="AR159" s="777"/>
      <c r="AS159" s="777"/>
      <c r="AT159" s="777"/>
      <c r="AU159" s="777"/>
      <c r="AV159" s="777"/>
      <c r="AW159" s="777"/>
      <c r="AX159" s="777"/>
      <c r="AY159" s="777"/>
    </row>
    <row r="160" spans="1:52" s="329" customFormat="1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</row>
  </sheetData>
  <mergeCells count="538">
    <mergeCell ref="D113:AB113"/>
    <mergeCell ref="AC113:AI113"/>
    <mergeCell ref="AJ113:AK113"/>
    <mergeCell ref="F91:X91"/>
    <mergeCell ref="F92:X92"/>
    <mergeCell ref="B98:C98"/>
    <mergeCell ref="D98:AB98"/>
    <mergeCell ref="F124:G124"/>
    <mergeCell ref="H124:X124"/>
    <mergeCell ref="B121:AY121"/>
    <mergeCell ref="B119:D120"/>
    <mergeCell ref="B105:C105"/>
    <mergeCell ref="D105:AB105"/>
    <mergeCell ref="AC105:AI105"/>
    <mergeCell ref="AJ105:AK105"/>
    <mergeCell ref="B107:C107"/>
    <mergeCell ref="D107:AB107"/>
    <mergeCell ref="AC107:AI107"/>
    <mergeCell ref="AJ107:AK107"/>
    <mergeCell ref="B108:C108"/>
    <mergeCell ref="D108:AB108"/>
    <mergeCell ref="AC108:AI108"/>
    <mergeCell ref="AJ108:AK108"/>
    <mergeCell ref="AP123:AY124"/>
    <mergeCell ref="AC104:AI104"/>
    <mergeCell ref="AJ104:AK104"/>
    <mergeCell ref="B83:AY83"/>
    <mergeCell ref="B102:C102"/>
    <mergeCell ref="D102:AB102"/>
    <mergeCell ref="AC102:AI102"/>
    <mergeCell ref="AJ102:AK102"/>
    <mergeCell ref="B103:C103"/>
    <mergeCell ref="AA85:AL86"/>
    <mergeCell ref="AP85:AY86"/>
    <mergeCell ref="AP87:AY87"/>
    <mergeCell ref="F86:G86"/>
    <mergeCell ref="H86:X86"/>
    <mergeCell ref="B100:C100"/>
    <mergeCell ref="D100:AB100"/>
    <mergeCell ref="AC100:AI100"/>
    <mergeCell ref="AJ100:AK100"/>
    <mergeCell ref="B101:C101"/>
    <mergeCell ref="D101:AB101"/>
    <mergeCell ref="AC101:AI101"/>
    <mergeCell ref="AJ101:AK101"/>
    <mergeCell ref="F90:X90"/>
    <mergeCell ref="B113:C113"/>
    <mergeCell ref="D142:AB142"/>
    <mergeCell ref="AC142:AI142"/>
    <mergeCell ref="AJ142:AK142"/>
    <mergeCell ref="AL142:AR142"/>
    <mergeCell ref="B139:C139"/>
    <mergeCell ref="D139:AB139"/>
    <mergeCell ref="AC139:AI139"/>
    <mergeCell ref="AJ139:AK139"/>
    <mergeCell ref="AL139:AR139"/>
    <mergeCell ref="B141:C141"/>
    <mergeCell ref="D141:AB141"/>
    <mergeCell ref="AC141:AI141"/>
    <mergeCell ref="AJ141:AK141"/>
    <mergeCell ref="AL141:AR141"/>
    <mergeCell ref="D115:AB115"/>
    <mergeCell ref="AC115:AI115"/>
    <mergeCell ref="AJ115:AK115"/>
    <mergeCell ref="B116:C116"/>
    <mergeCell ref="D116:AB116"/>
    <mergeCell ref="AC116:AI116"/>
    <mergeCell ref="AJ116:AK116"/>
    <mergeCell ref="B136:C136"/>
    <mergeCell ref="D136:AB136"/>
    <mergeCell ref="B111:C111"/>
    <mergeCell ref="B109:C109"/>
    <mergeCell ref="B110:C110"/>
    <mergeCell ref="B104:C104"/>
    <mergeCell ref="D146:AB146"/>
    <mergeCell ref="AC146:AI146"/>
    <mergeCell ref="AJ146:AK146"/>
    <mergeCell ref="AL146:AR146"/>
    <mergeCell ref="AJ109:AK109"/>
    <mergeCell ref="D110:AB110"/>
    <mergeCell ref="D111:AB111"/>
    <mergeCell ref="AC111:AI111"/>
    <mergeCell ref="AJ111:AK111"/>
    <mergeCell ref="D104:AB104"/>
    <mergeCell ref="B112:C112"/>
    <mergeCell ref="D112:AB112"/>
    <mergeCell ref="B117:D117"/>
    <mergeCell ref="E117:AK117"/>
    <mergeCell ref="B106:C106"/>
    <mergeCell ref="D106:AB106"/>
    <mergeCell ref="AC106:AI106"/>
    <mergeCell ref="AJ106:AK106"/>
    <mergeCell ref="B115:C115"/>
    <mergeCell ref="B142:C142"/>
    <mergeCell ref="AQ155:AY155"/>
    <mergeCell ref="B157:D158"/>
    <mergeCell ref="B155:D155"/>
    <mergeCell ref="E155:AG155"/>
    <mergeCell ref="AH155:AP155"/>
    <mergeCell ref="B137:C137"/>
    <mergeCell ref="D137:AB137"/>
    <mergeCell ref="AC137:AI137"/>
    <mergeCell ref="AJ137:AK137"/>
    <mergeCell ref="AS141:AY141"/>
    <mergeCell ref="B140:C140"/>
    <mergeCell ref="D140:AB140"/>
    <mergeCell ref="AC140:AI140"/>
    <mergeCell ref="AJ140:AK140"/>
    <mergeCell ref="AL140:AR140"/>
    <mergeCell ref="AS140:AY140"/>
    <mergeCell ref="AS139:AY139"/>
    <mergeCell ref="B138:C138"/>
    <mergeCell ref="D138:AB138"/>
    <mergeCell ref="AC138:AI138"/>
    <mergeCell ref="AJ138:AK138"/>
    <mergeCell ref="AL138:AR138"/>
    <mergeCell ref="AS138:AY138"/>
    <mergeCell ref="AL148:AR148"/>
    <mergeCell ref="B159:AY159"/>
    <mergeCell ref="B144:C144"/>
    <mergeCell ref="D144:AB144"/>
    <mergeCell ref="AC144:AI144"/>
    <mergeCell ref="AJ144:AK144"/>
    <mergeCell ref="AL144:AR144"/>
    <mergeCell ref="AS144:AY144"/>
    <mergeCell ref="B143:C143"/>
    <mergeCell ref="D143:AB143"/>
    <mergeCell ref="AC143:AI143"/>
    <mergeCell ref="AJ143:AK143"/>
    <mergeCell ref="AL143:AR143"/>
    <mergeCell ref="AS143:AY143"/>
    <mergeCell ref="B145:C145"/>
    <mergeCell ref="D145:AB145"/>
    <mergeCell ref="AC145:AI145"/>
    <mergeCell ref="AJ145:AK145"/>
    <mergeCell ref="AL145:AR145"/>
    <mergeCell ref="AS145:AY145"/>
    <mergeCell ref="B146:C146"/>
    <mergeCell ref="B148:C148"/>
    <mergeCell ref="D148:AB148"/>
    <mergeCell ref="AC148:AI148"/>
    <mergeCell ref="AJ148:AK148"/>
    <mergeCell ref="B68:C68"/>
    <mergeCell ref="D68:AB68"/>
    <mergeCell ref="AC68:AI68"/>
    <mergeCell ref="AJ68:AK68"/>
    <mergeCell ref="AL68:AR68"/>
    <mergeCell ref="AS68:AY68"/>
    <mergeCell ref="B67:C67"/>
    <mergeCell ref="D67:AB67"/>
    <mergeCell ref="AC67:AI67"/>
    <mergeCell ref="AJ67:AK67"/>
    <mergeCell ref="AL67:AR67"/>
    <mergeCell ref="AS67:AY67"/>
    <mergeCell ref="B66:C66"/>
    <mergeCell ref="D66:AB66"/>
    <mergeCell ref="AC66:AI66"/>
    <mergeCell ref="AJ66:AK66"/>
    <mergeCell ref="AL66:AR66"/>
    <mergeCell ref="AS66:AY66"/>
    <mergeCell ref="B65:C65"/>
    <mergeCell ref="D65:AB65"/>
    <mergeCell ref="AC65:AI65"/>
    <mergeCell ref="AJ65:AK65"/>
    <mergeCell ref="AL65:AR65"/>
    <mergeCell ref="AS65:AY65"/>
    <mergeCell ref="B64:C64"/>
    <mergeCell ref="D64:AB64"/>
    <mergeCell ref="AC64:AI64"/>
    <mergeCell ref="AJ64:AK64"/>
    <mergeCell ref="AL64:AR64"/>
    <mergeCell ref="AS64:AY64"/>
    <mergeCell ref="B63:C63"/>
    <mergeCell ref="D63:AB63"/>
    <mergeCell ref="AC63:AI63"/>
    <mergeCell ref="AJ63:AK63"/>
    <mergeCell ref="AL63:AR63"/>
    <mergeCell ref="AS63:AY63"/>
    <mergeCell ref="B62:C62"/>
    <mergeCell ref="D62:AB62"/>
    <mergeCell ref="AC62:AI62"/>
    <mergeCell ref="AJ62:AK62"/>
    <mergeCell ref="AL62:AR62"/>
    <mergeCell ref="AS62:AY62"/>
    <mergeCell ref="B61:C61"/>
    <mergeCell ref="D61:AB61"/>
    <mergeCell ref="AC61:AI61"/>
    <mergeCell ref="AJ61:AK61"/>
    <mergeCell ref="AL61:AR61"/>
    <mergeCell ref="AS61:AY61"/>
    <mergeCell ref="B60:C60"/>
    <mergeCell ref="D60:AB60"/>
    <mergeCell ref="AC60:AI60"/>
    <mergeCell ref="AJ60:AK60"/>
    <mergeCell ref="AL60:AR60"/>
    <mergeCell ref="AS60:AY60"/>
    <mergeCell ref="B59:C59"/>
    <mergeCell ref="D59:AB59"/>
    <mergeCell ref="AC59:AI59"/>
    <mergeCell ref="AJ59:AK59"/>
    <mergeCell ref="AL59:AR59"/>
    <mergeCell ref="AS59:AY59"/>
    <mergeCell ref="B58:C58"/>
    <mergeCell ref="D58:AB58"/>
    <mergeCell ref="AC58:AI58"/>
    <mergeCell ref="AJ58:AK58"/>
    <mergeCell ref="AL58:AR58"/>
    <mergeCell ref="AS58:AY58"/>
    <mergeCell ref="F49:X49"/>
    <mergeCell ref="F50:X50"/>
    <mergeCell ref="F52:X52"/>
    <mergeCell ref="F53:X53"/>
    <mergeCell ref="F54:X54"/>
    <mergeCell ref="AP49:AY49"/>
    <mergeCell ref="B41:D41"/>
    <mergeCell ref="E41:AG41"/>
    <mergeCell ref="AH41:AP41"/>
    <mergeCell ref="AQ41:AY41"/>
    <mergeCell ref="AA47:AL48"/>
    <mergeCell ref="AP47:AY48"/>
    <mergeCell ref="B43:D44"/>
    <mergeCell ref="F48:G48"/>
    <mergeCell ref="H48:X48"/>
    <mergeCell ref="B45:AY45"/>
    <mergeCell ref="AU43:AX44"/>
    <mergeCell ref="AY43:AY44"/>
    <mergeCell ref="E43:AS44"/>
    <mergeCell ref="B30:C30"/>
    <mergeCell ref="D30:AB30"/>
    <mergeCell ref="AC30:AI30"/>
    <mergeCell ref="AJ30:AK30"/>
    <mergeCell ref="AL30:AR30"/>
    <mergeCell ref="AS30:AY30"/>
    <mergeCell ref="B29:C29"/>
    <mergeCell ref="D29:AB29"/>
    <mergeCell ref="AC29:AI29"/>
    <mergeCell ref="AJ29:AK29"/>
    <mergeCell ref="AL29:AR29"/>
    <mergeCell ref="AS29:AY29"/>
    <mergeCell ref="B28:C28"/>
    <mergeCell ref="D28:AB28"/>
    <mergeCell ref="AC28:AI28"/>
    <mergeCell ref="AJ28:AK28"/>
    <mergeCell ref="AL28:AR28"/>
    <mergeCell ref="AS28:AY28"/>
    <mergeCell ref="B27:C27"/>
    <mergeCell ref="D27:AB27"/>
    <mergeCell ref="AC27:AI27"/>
    <mergeCell ref="AJ27:AK27"/>
    <mergeCell ref="AL27:AR27"/>
    <mergeCell ref="AS27:AY27"/>
    <mergeCell ref="B26:C26"/>
    <mergeCell ref="D26:AB26"/>
    <mergeCell ref="AC26:AI26"/>
    <mergeCell ref="AJ26:AK26"/>
    <mergeCell ref="AL26:AR26"/>
    <mergeCell ref="AS26:AY26"/>
    <mergeCell ref="B25:C25"/>
    <mergeCell ref="D25:AB25"/>
    <mergeCell ref="AC25:AI25"/>
    <mergeCell ref="AJ25:AK25"/>
    <mergeCell ref="AL25:AR25"/>
    <mergeCell ref="AS25:AY25"/>
    <mergeCell ref="B24:C24"/>
    <mergeCell ref="D24:AB24"/>
    <mergeCell ref="AC24:AI24"/>
    <mergeCell ref="AJ24:AK24"/>
    <mergeCell ref="AL24:AR24"/>
    <mergeCell ref="AS24:AY24"/>
    <mergeCell ref="B23:C23"/>
    <mergeCell ref="D23:AB23"/>
    <mergeCell ref="AC23:AI23"/>
    <mergeCell ref="AJ23:AK23"/>
    <mergeCell ref="AL23:AR23"/>
    <mergeCell ref="AS23:AY23"/>
    <mergeCell ref="B22:C22"/>
    <mergeCell ref="D22:AB22"/>
    <mergeCell ref="AC22:AI22"/>
    <mergeCell ref="AJ22:AK22"/>
    <mergeCell ref="AL22:AR22"/>
    <mergeCell ref="AS22:AY22"/>
    <mergeCell ref="AJ20:AK20"/>
    <mergeCell ref="AL20:AR20"/>
    <mergeCell ref="AS20:AY20"/>
    <mergeCell ref="B21:C21"/>
    <mergeCell ref="D21:AB21"/>
    <mergeCell ref="AC21:AI21"/>
    <mergeCell ref="AJ21:AK21"/>
    <mergeCell ref="AL21:AR21"/>
    <mergeCell ref="AS21:AY21"/>
    <mergeCell ref="F14:X14"/>
    <mergeCell ref="F15:X15"/>
    <mergeCell ref="F16:X16"/>
    <mergeCell ref="B20:C20"/>
    <mergeCell ref="D20:AB20"/>
    <mergeCell ref="AC20:AI20"/>
    <mergeCell ref="AA9:AL10"/>
    <mergeCell ref="AP9:AY10"/>
    <mergeCell ref="F11:X11"/>
    <mergeCell ref="AP11:AY11"/>
    <mergeCell ref="F12:X12"/>
    <mergeCell ref="F10:G10"/>
    <mergeCell ref="H10:X10"/>
    <mergeCell ref="B31:C31"/>
    <mergeCell ref="D31:AB31"/>
    <mergeCell ref="AC31:AI31"/>
    <mergeCell ref="AJ31:AK31"/>
    <mergeCell ref="AL31:AR31"/>
    <mergeCell ref="AS31:AY31"/>
    <mergeCell ref="B32:C32"/>
    <mergeCell ref="D32:AB32"/>
    <mergeCell ref="AC32:AI32"/>
    <mergeCell ref="AJ32:AK32"/>
    <mergeCell ref="AL32:AR32"/>
    <mergeCell ref="AS32:AY32"/>
    <mergeCell ref="B33:C33"/>
    <mergeCell ref="D33:AB33"/>
    <mergeCell ref="AC33:AI33"/>
    <mergeCell ref="AJ33:AK33"/>
    <mergeCell ref="AL33:AR33"/>
    <mergeCell ref="AS33:AY33"/>
    <mergeCell ref="B34:C34"/>
    <mergeCell ref="D34:AB34"/>
    <mergeCell ref="AC34:AI34"/>
    <mergeCell ref="AJ34:AK34"/>
    <mergeCell ref="AL34:AR34"/>
    <mergeCell ref="AS34:AY34"/>
    <mergeCell ref="B35:C35"/>
    <mergeCell ref="D35:AB35"/>
    <mergeCell ref="AC35:AI35"/>
    <mergeCell ref="AJ35:AK35"/>
    <mergeCell ref="AL35:AR35"/>
    <mergeCell ref="AS35:AY35"/>
    <mergeCell ref="B36:C36"/>
    <mergeCell ref="D36:AB36"/>
    <mergeCell ref="AC36:AI36"/>
    <mergeCell ref="AJ36:AK36"/>
    <mergeCell ref="AL36:AR36"/>
    <mergeCell ref="AS36:AY36"/>
    <mergeCell ref="B37:C37"/>
    <mergeCell ref="D37:AB37"/>
    <mergeCell ref="AC37:AI37"/>
    <mergeCell ref="AJ37:AK37"/>
    <mergeCell ref="AL37:AR37"/>
    <mergeCell ref="AS37:AY37"/>
    <mergeCell ref="B38:C38"/>
    <mergeCell ref="D38:AB38"/>
    <mergeCell ref="AC38:AI38"/>
    <mergeCell ref="AJ38:AK38"/>
    <mergeCell ref="AL38:AR38"/>
    <mergeCell ref="AS38:AY38"/>
    <mergeCell ref="B39:C39"/>
    <mergeCell ref="D39:AB39"/>
    <mergeCell ref="AC39:AI39"/>
    <mergeCell ref="AJ39:AK39"/>
    <mergeCell ref="AL39:AR39"/>
    <mergeCell ref="AS39:AY39"/>
    <mergeCell ref="B40:C40"/>
    <mergeCell ref="D40:AB40"/>
    <mergeCell ref="AC40:AI40"/>
    <mergeCell ref="AJ40:AK40"/>
    <mergeCell ref="AL40:AR40"/>
    <mergeCell ref="AS40:AY40"/>
    <mergeCell ref="B69:C69"/>
    <mergeCell ref="D69:AB69"/>
    <mergeCell ref="AC69:AI69"/>
    <mergeCell ref="AJ69:AK69"/>
    <mergeCell ref="AL69:AR69"/>
    <mergeCell ref="AS69:AY69"/>
    <mergeCell ref="B70:C70"/>
    <mergeCell ref="D70:AB70"/>
    <mergeCell ref="AC70:AI70"/>
    <mergeCell ref="AJ70:AK70"/>
    <mergeCell ref="AL70:AR70"/>
    <mergeCell ref="AS70:AY70"/>
    <mergeCell ref="B71:C71"/>
    <mergeCell ref="D71:AB71"/>
    <mergeCell ref="AC71:AI71"/>
    <mergeCell ref="AJ71:AK71"/>
    <mergeCell ref="AL71:AR71"/>
    <mergeCell ref="AS71:AY71"/>
    <mergeCell ref="B72:C72"/>
    <mergeCell ref="D72:AB72"/>
    <mergeCell ref="AC72:AI72"/>
    <mergeCell ref="AJ72:AK72"/>
    <mergeCell ref="AL72:AR72"/>
    <mergeCell ref="AS72:AY72"/>
    <mergeCell ref="B73:C73"/>
    <mergeCell ref="D73:AB73"/>
    <mergeCell ref="AC73:AI73"/>
    <mergeCell ref="AJ73:AK73"/>
    <mergeCell ref="AL73:AR73"/>
    <mergeCell ref="AS73:AY73"/>
    <mergeCell ref="B74:C74"/>
    <mergeCell ref="D74:AB74"/>
    <mergeCell ref="AC74:AI74"/>
    <mergeCell ref="AJ74:AK74"/>
    <mergeCell ref="AL74:AR74"/>
    <mergeCell ref="AS74:AY74"/>
    <mergeCell ref="B75:C75"/>
    <mergeCell ref="D75:AB75"/>
    <mergeCell ref="AC75:AI75"/>
    <mergeCell ref="AJ75:AK75"/>
    <mergeCell ref="AL75:AR75"/>
    <mergeCell ref="AS75:AY75"/>
    <mergeCell ref="B76:C76"/>
    <mergeCell ref="D76:AB76"/>
    <mergeCell ref="AC76:AI76"/>
    <mergeCell ref="AJ76:AK76"/>
    <mergeCell ref="AL76:AR76"/>
    <mergeCell ref="AS76:AY76"/>
    <mergeCell ref="B77:C77"/>
    <mergeCell ref="D77:AB77"/>
    <mergeCell ref="AC77:AI77"/>
    <mergeCell ref="AJ77:AK77"/>
    <mergeCell ref="AL77:AR77"/>
    <mergeCell ref="AS77:AY77"/>
    <mergeCell ref="B78:C78"/>
    <mergeCell ref="D78:AB78"/>
    <mergeCell ref="AC78:AI78"/>
    <mergeCell ref="AJ78:AK78"/>
    <mergeCell ref="AL78:AR78"/>
    <mergeCell ref="AS78:AY78"/>
    <mergeCell ref="B79:D79"/>
    <mergeCell ref="E79:AG79"/>
    <mergeCell ref="AH79:AP79"/>
    <mergeCell ref="AQ79:AY79"/>
    <mergeCell ref="B81:D82"/>
    <mergeCell ref="AL96:AY96"/>
    <mergeCell ref="B97:C97"/>
    <mergeCell ref="D97:AB97"/>
    <mergeCell ref="AC97:AI97"/>
    <mergeCell ref="AJ97:AK97"/>
    <mergeCell ref="AL97:AY117"/>
    <mergeCell ref="F87:X87"/>
    <mergeCell ref="F88:X88"/>
    <mergeCell ref="AC98:AI98"/>
    <mergeCell ref="AJ98:AK98"/>
    <mergeCell ref="B99:C99"/>
    <mergeCell ref="D99:AB99"/>
    <mergeCell ref="AC99:AI99"/>
    <mergeCell ref="AJ99:AK99"/>
    <mergeCell ref="B96:C96"/>
    <mergeCell ref="B114:C114"/>
    <mergeCell ref="D114:AB114"/>
    <mergeCell ref="AC114:AI114"/>
    <mergeCell ref="AJ114:AK114"/>
    <mergeCell ref="B134:C134"/>
    <mergeCell ref="D134:AB134"/>
    <mergeCell ref="AC134:AI134"/>
    <mergeCell ref="AJ134:AK134"/>
    <mergeCell ref="AA123:AL124"/>
    <mergeCell ref="AL134:AR134"/>
    <mergeCell ref="AS134:AY134"/>
    <mergeCell ref="F125:X125"/>
    <mergeCell ref="F126:X126"/>
    <mergeCell ref="F128:X128"/>
    <mergeCell ref="F129:X129"/>
    <mergeCell ref="F130:X130"/>
    <mergeCell ref="AP125:AY125"/>
    <mergeCell ref="B147:C147"/>
    <mergeCell ref="D147:AB147"/>
    <mergeCell ref="AC147:AI147"/>
    <mergeCell ref="AJ147:AK147"/>
    <mergeCell ref="AL147:AR147"/>
    <mergeCell ref="AS147:AY147"/>
    <mergeCell ref="AS136:AY136"/>
    <mergeCell ref="B135:C135"/>
    <mergeCell ref="D135:AB135"/>
    <mergeCell ref="AC135:AI135"/>
    <mergeCell ref="AJ135:AK135"/>
    <mergeCell ref="AL135:AR135"/>
    <mergeCell ref="AS135:AY135"/>
    <mergeCell ref="AJ136:AK136"/>
    <mergeCell ref="AL136:AR136"/>
    <mergeCell ref="AL137:AR137"/>
    <mergeCell ref="AC136:AI136"/>
    <mergeCell ref="AS148:AY148"/>
    <mergeCell ref="B149:C149"/>
    <mergeCell ref="D149:AB149"/>
    <mergeCell ref="AC149:AI149"/>
    <mergeCell ref="AJ149:AK149"/>
    <mergeCell ref="AL149:AR149"/>
    <mergeCell ref="AS149:AY149"/>
    <mergeCell ref="B150:C150"/>
    <mergeCell ref="D150:AB150"/>
    <mergeCell ref="AC150:AI150"/>
    <mergeCell ref="AJ150:AK150"/>
    <mergeCell ref="AL150:AR150"/>
    <mergeCell ref="AS150:AY150"/>
    <mergeCell ref="B151:C151"/>
    <mergeCell ref="D151:AB151"/>
    <mergeCell ref="AC151:AI151"/>
    <mergeCell ref="AJ151:AK151"/>
    <mergeCell ref="AL151:AR151"/>
    <mergeCell ref="AS151:AY151"/>
    <mergeCell ref="B152:C152"/>
    <mergeCell ref="D152:AB152"/>
    <mergeCell ref="AC152:AI152"/>
    <mergeCell ref="AJ152:AK152"/>
    <mergeCell ref="AL152:AR152"/>
    <mergeCell ref="AS152:AY152"/>
    <mergeCell ref="B153:C153"/>
    <mergeCell ref="D153:AB153"/>
    <mergeCell ref="AC153:AI153"/>
    <mergeCell ref="AJ153:AK153"/>
    <mergeCell ref="AL153:AR153"/>
    <mergeCell ref="AS153:AY153"/>
    <mergeCell ref="B154:C154"/>
    <mergeCell ref="D154:AB154"/>
    <mergeCell ref="AC154:AI154"/>
    <mergeCell ref="AJ154:AK154"/>
    <mergeCell ref="AL154:AR154"/>
    <mergeCell ref="AS154:AY154"/>
    <mergeCell ref="E81:AS82"/>
    <mergeCell ref="AU81:AX82"/>
    <mergeCell ref="AY81:AY82"/>
    <mergeCell ref="E119:AS120"/>
    <mergeCell ref="AU119:AX120"/>
    <mergeCell ref="AY119:AY120"/>
    <mergeCell ref="E157:AS158"/>
    <mergeCell ref="AU157:AX158"/>
    <mergeCell ref="AY157:AY158"/>
    <mergeCell ref="AS146:AY146"/>
    <mergeCell ref="AS142:AY142"/>
    <mergeCell ref="D96:AB96"/>
    <mergeCell ref="AC96:AI96"/>
    <mergeCell ref="AJ96:AK96"/>
    <mergeCell ref="AS137:AY137"/>
    <mergeCell ref="AC112:AI112"/>
    <mergeCell ref="AJ112:AK112"/>
    <mergeCell ref="D103:AB103"/>
    <mergeCell ref="AC103:AI103"/>
    <mergeCell ref="AJ103:AK103"/>
    <mergeCell ref="AC110:AI110"/>
    <mergeCell ref="AJ110:AK110"/>
    <mergeCell ref="D109:AB109"/>
    <mergeCell ref="AC109:AI109"/>
  </mergeCells>
  <phoneticPr fontId="2"/>
  <conditionalFormatting sqref="AL21">
    <cfRule type="expression" dxfId="220" priority="191">
      <formula>INDIRECT(ADDRESS(ROW(),COLUMN()))=TRUNC(INDIRECT(ADDRESS(ROW(),COLUMN())))</formula>
    </cfRule>
  </conditionalFormatting>
  <conditionalFormatting sqref="AC21">
    <cfRule type="expression" dxfId="219" priority="189">
      <formula>INDIRECT(ADDRESS(ROW(),COLUMN()))=TRUNC(INDIRECT(ADDRESS(ROW(),COLUMN())))</formula>
    </cfRule>
  </conditionalFormatting>
  <conditionalFormatting sqref="AS21">
    <cfRule type="expression" dxfId="218" priority="187">
      <formula>INDIRECT(ADDRESS(ROW(),COLUMN()))=TRUNC(INDIRECT(ADDRESS(ROW(),COLUMN())))</formula>
    </cfRule>
  </conditionalFormatting>
  <conditionalFormatting sqref="AQ41">
    <cfRule type="expression" dxfId="217" priority="184">
      <formula>INDIRECT(ADDRESS(ROW(),COLUMN(UNMT0020_B_ROW_KBN)))&lt;&gt;2</formula>
    </cfRule>
  </conditionalFormatting>
  <conditionalFormatting sqref="AQ41">
    <cfRule type="expression" dxfId="216" priority="185">
      <formula>INDIRECT(ADDRESS(ROW(),COLUMN()))=TRUNC(INDIRECT(ADDRESS(ROW(),COLUMN())))</formula>
    </cfRule>
  </conditionalFormatting>
  <conditionalFormatting sqref="AL22:AL30">
    <cfRule type="expression" dxfId="215" priority="121">
      <formula>INDIRECT(ADDRESS(ROW(),COLUMN()))=TRUNC(INDIRECT(ADDRESS(ROW(),COLUMN())))</formula>
    </cfRule>
  </conditionalFormatting>
  <conditionalFormatting sqref="AC22:AC30">
    <cfRule type="expression" dxfId="214" priority="120">
      <formula>INDIRECT(ADDRESS(ROW(),COLUMN()))=TRUNC(INDIRECT(ADDRESS(ROW(),COLUMN())))</formula>
    </cfRule>
  </conditionalFormatting>
  <conditionalFormatting sqref="AS22:AS30">
    <cfRule type="expression" dxfId="213" priority="119">
      <formula>INDIRECT(ADDRESS(ROW(),COLUMN()))=TRUNC(INDIRECT(ADDRESS(ROW(),COLUMN())))</formula>
    </cfRule>
  </conditionalFormatting>
  <conditionalFormatting sqref="AL31:AL40">
    <cfRule type="expression" dxfId="212" priority="104">
      <formula>INDIRECT(ADDRESS(ROW(),COLUMN()))=TRUNC(INDIRECT(ADDRESS(ROW(),COLUMN())))</formula>
    </cfRule>
  </conditionalFormatting>
  <conditionalFormatting sqref="AC31:AC40">
    <cfRule type="expression" dxfId="211" priority="103">
      <formula>INDIRECT(ADDRESS(ROW(),COLUMN()))=TRUNC(INDIRECT(ADDRESS(ROW(),COLUMN())))</formula>
    </cfRule>
  </conditionalFormatting>
  <conditionalFormatting sqref="AS31:AS40">
    <cfRule type="expression" dxfId="210" priority="102">
      <formula>INDIRECT(ADDRESS(ROW(),COLUMN()))=TRUNC(INDIRECT(ADDRESS(ROW(),COLUMN())))</formula>
    </cfRule>
  </conditionalFormatting>
  <conditionalFormatting sqref="AL59">
    <cfRule type="expression" dxfId="209" priority="29">
      <formula>INDIRECT(ADDRESS(ROW(),COLUMN()))=TRUNC(INDIRECT(ADDRESS(ROW(),COLUMN())))</formula>
    </cfRule>
  </conditionalFormatting>
  <conditionalFormatting sqref="AC59">
    <cfRule type="expression" dxfId="208" priority="28">
      <formula>INDIRECT(ADDRESS(ROW(),COLUMN()))=TRUNC(INDIRECT(ADDRESS(ROW(),COLUMN())))</formula>
    </cfRule>
  </conditionalFormatting>
  <conditionalFormatting sqref="AS59">
    <cfRule type="expression" dxfId="207" priority="27">
      <formula>INDIRECT(ADDRESS(ROW(),COLUMN()))=TRUNC(INDIRECT(ADDRESS(ROW(),COLUMN())))</formula>
    </cfRule>
  </conditionalFormatting>
  <conditionalFormatting sqref="AL60:AL68">
    <cfRule type="expression" dxfId="206" priority="26">
      <formula>INDIRECT(ADDRESS(ROW(),COLUMN()))=TRUNC(INDIRECT(ADDRESS(ROW(),COLUMN())))</formula>
    </cfRule>
  </conditionalFormatting>
  <conditionalFormatting sqref="AC60:AC68">
    <cfRule type="expression" dxfId="205" priority="25">
      <formula>INDIRECT(ADDRESS(ROW(),COLUMN()))=TRUNC(INDIRECT(ADDRESS(ROW(),COLUMN())))</formula>
    </cfRule>
  </conditionalFormatting>
  <conditionalFormatting sqref="AS60:AS68">
    <cfRule type="expression" dxfId="204" priority="24">
      <formula>INDIRECT(ADDRESS(ROW(),COLUMN()))=TRUNC(INDIRECT(ADDRESS(ROW(),COLUMN())))</formula>
    </cfRule>
  </conditionalFormatting>
  <conditionalFormatting sqref="AL69:AL78">
    <cfRule type="expression" dxfId="203" priority="23">
      <formula>INDIRECT(ADDRESS(ROW(),COLUMN()))=TRUNC(INDIRECT(ADDRESS(ROW(),COLUMN())))</formula>
    </cfRule>
  </conditionalFormatting>
  <conditionalFormatting sqref="AC69:AC78">
    <cfRule type="expression" dxfId="202" priority="22">
      <formula>INDIRECT(ADDRESS(ROW(),COLUMN()))=TRUNC(INDIRECT(ADDRESS(ROW(),COLUMN())))</formula>
    </cfRule>
  </conditionalFormatting>
  <conditionalFormatting sqref="AS69:AS78">
    <cfRule type="expression" dxfId="201" priority="21">
      <formula>INDIRECT(ADDRESS(ROW(),COLUMN()))=TRUNC(INDIRECT(ADDRESS(ROW(),COLUMN())))</formula>
    </cfRule>
  </conditionalFormatting>
  <conditionalFormatting sqref="AC97">
    <cfRule type="expression" dxfId="200" priority="18">
      <formula>INDIRECT(ADDRESS(ROW(),COLUMN()))=TRUNC(INDIRECT(ADDRESS(ROW(),COLUMN())))</formula>
    </cfRule>
  </conditionalFormatting>
  <conditionalFormatting sqref="AC98:AC106">
    <cfRule type="expression" dxfId="199" priority="17">
      <formula>INDIRECT(ADDRESS(ROW(),COLUMN()))=TRUNC(INDIRECT(ADDRESS(ROW(),COLUMN())))</formula>
    </cfRule>
  </conditionalFormatting>
  <conditionalFormatting sqref="AC107:AC116">
    <cfRule type="expression" dxfId="198" priority="16">
      <formula>INDIRECT(ADDRESS(ROW(),COLUMN()))=TRUNC(INDIRECT(ADDRESS(ROW(),COLUMN())))</formula>
    </cfRule>
  </conditionalFormatting>
  <conditionalFormatting sqref="AL135">
    <cfRule type="expression" dxfId="197" priority="15">
      <formula>INDIRECT(ADDRESS(ROW(),COLUMN()))=TRUNC(INDIRECT(ADDRESS(ROW(),COLUMN())))</formula>
    </cfRule>
  </conditionalFormatting>
  <conditionalFormatting sqref="AC135">
    <cfRule type="expression" dxfId="196" priority="14">
      <formula>INDIRECT(ADDRESS(ROW(),COLUMN()))=TRUNC(INDIRECT(ADDRESS(ROW(),COLUMN())))</formula>
    </cfRule>
  </conditionalFormatting>
  <conditionalFormatting sqref="AS135">
    <cfRule type="expression" dxfId="195" priority="13">
      <formula>INDIRECT(ADDRESS(ROW(),COLUMN()))=TRUNC(INDIRECT(ADDRESS(ROW(),COLUMN())))</formula>
    </cfRule>
  </conditionalFormatting>
  <conditionalFormatting sqref="AL136:AL144">
    <cfRule type="expression" dxfId="194" priority="12">
      <formula>INDIRECT(ADDRESS(ROW(),COLUMN()))=TRUNC(INDIRECT(ADDRESS(ROW(),COLUMN())))</formula>
    </cfRule>
  </conditionalFormatting>
  <conditionalFormatting sqref="AC136:AC144">
    <cfRule type="expression" dxfId="193" priority="11">
      <formula>INDIRECT(ADDRESS(ROW(),COLUMN()))=TRUNC(INDIRECT(ADDRESS(ROW(),COLUMN())))</formula>
    </cfRule>
  </conditionalFormatting>
  <conditionalFormatting sqref="AS136:AS144">
    <cfRule type="expression" dxfId="192" priority="10">
      <formula>INDIRECT(ADDRESS(ROW(),COLUMN()))=TRUNC(INDIRECT(ADDRESS(ROW(),COLUMN())))</formula>
    </cfRule>
  </conditionalFormatting>
  <conditionalFormatting sqref="AL145:AL154">
    <cfRule type="expression" dxfId="191" priority="9">
      <formula>INDIRECT(ADDRESS(ROW(),COLUMN()))=TRUNC(INDIRECT(ADDRESS(ROW(),COLUMN())))</formula>
    </cfRule>
  </conditionalFormatting>
  <conditionalFormatting sqref="AC145:AC154">
    <cfRule type="expression" dxfId="190" priority="8">
      <formula>INDIRECT(ADDRESS(ROW(),COLUMN()))=TRUNC(INDIRECT(ADDRESS(ROW(),COLUMN())))</formula>
    </cfRule>
  </conditionalFormatting>
  <conditionalFormatting sqref="AS145:AS154">
    <cfRule type="expression" dxfId="189" priority="7">
      <formula>INDIRECT(ADDRESS(ROW(),COLUMN()))=TRUNC(INDIRECT(ADDRESS(ROW(),COLUMN())))</formula>
    </cfRule>
  </conditionalFormatting>
  <conditionalFormatting sqref="AQ79">
    <cfRule type="expression" dxfId="188" priority="3">
      <formula>INDIRECT(ADDRESS(ROW(),COLUMN(UNMT0020_B_ROW_KBN)))&lt;&gt;2</formula>
    </cfRule>
  </conditionalFormatting>
  <conditionalFormatting sqref="AQ79">
    <cfRule type="expression" dxfId="187" priority="4">
      <formula>INDIRECT(ADDRESS(ROW(),COLUMN()))=TRUNC(INDIRECT(ADDRESS(ROW(),COLUMN())))</formula>
    </cfRule>
  </conditionalFormatting>
  <conditionalFormatting sqref="AQ155">
    <cfRule type="expression" dxfId="186" priority="1">
      <formula>INDIRECT(ADDRESS(ROW(),COLUMN(UNMT0020_B_ROW_KBN)))&lt;&gt;2</formula>
    </cfRule>
  </conditionalFormatting>
  <conditionalFormatting sqref="AQ155">
    <cfRule type="expression" dxfId="185" priority="2">
      <formula>INDIRECT(ADDRESS(ROW(),COLUMN()))=TRUNC(INDIRECT(ADDRESS(ROW(),COLUMN())))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59999389629810485"/>
    <pageSetUpPr fitToPage="1"/>
  </sheetPr>
  <dimension ref="A1:AZ240"/>
  <sheetViews>
    <sheetView view="pageBreakPreview" zoomScale="85" zoomScaleNormal="100" zoomScaleSheetLayoutView="85" zoomScalePageLayoutView="70" workbookViewId="0">
      <selection activeCell="D31" sqref="D31:AB31"/>
    </sheetView>
  </sheetViews>
  <sheetFormatPr defaultRowHeight="12"/>
  <cols>
    <col min="1" max="1" width="2.625" style="403" customWidth="1"/>
    <col min="2" max="2" width="2.375" style="403" customWidth="1"/>
    <col min="3" max="15" width="2.875" style="404" customWidth="1"/>
    <col min="16" max="35" width="2.875" style="403" customWidth="1"/>
    <col min="36" max="108" width="2.75" style="403" customWidth="1"/>
    <col min="109" max="16384" width="9" style="403"/>
  </cols>
  <sheetData>
    <row r="1" spans="2:51">
      <c r="E1" s="465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7"/>
      <c r="AA1" s="744" t="s">
        <v>1100</v>
      </c>
      <c r="AB1" s="744"/>
      <c r="AC1" s="744"/>
      <c r="AD1" s="744"/>
      <c r="AE1" s="744"/>
      <c r="AF1" s="744"/>
      <c r="AG1" s="744"/>
      <c r="AH1" s="744"/>
      <c r="AI1" s="744"/>
      <c r="AJ1" s="744"/>
      <c r="AK1" s="744"/>
      <c r="AL1" s="744"/>
      <c r="AP1" s="774" t="str">
        <f>"No."&amp;UNNH0030_REPORT_IF_H_URIAGE_NO&amp;"-"&amp;ROUNDUP(ROW()/ROWS(UNNH0030_SEIKYUSHO_PAGE_AREA),0)&amp;"/"&amp;UNNH0030_REPORT_IF_B_PAGE_TOTAL</f>
        <v>No.-1/1</v>
      </c>
      <c r="AQ1" s="774"/>
      <c r="AR1" s="774"/>
      <c r="AS1" s="774"/>
      <c r="AT1" s="774"/>
      <c r="AU1" s="774"/>
      <c r="AV1" s="774"/>
      <c r="AW1" s="774"/>
      <c r="AX1" s="774"/>
      <c r="AY1" s="774"/>
    </row>
    <row r="2" spans="2:51" ht="24.75" customHeight="1">
      <c r="D2" s="403"/>
      <c r="E2" s="468"/>
      <c r="F2" s="775" t="str">
        <f>IF(UNNH0030_REPORT_IF_H_JUSHO_NO_PRINT_FLG=TRUE,"","〒")</f>
        <v>〒</v>
      </c>
      <c r="G2" s="775"/>
      <c r="H2" s="776" t="str">
        <f>IF(UNNH0030_REPORT_IF_H_JUSHO_NO_PRINT_FLG=TRUE,"",IF(UNNH0030_REPORT_IF_H_YUBIN_NO="","",UNNH0030_REPORT_IF_H_YUBIN_NO))</f>
        <v/>
      </c>
      <c r="I2" s="776"/>
      <c r="J2" s="776"/>
      <c r="K2" s="776"/>
      <c r="L2" s="776"/>
      <c r="M2" s="776"/>
      <c r="N2" s="776"/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469"/>
      <c r="AA2" s="744"/>
      <c r="AB2" s="744"/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P2" s="774"/>
      <c r="AQ2" s="774"/>
      <c r="AR2" s="774"/>
      <c r="AS2" s="774"/>
      <c r="AT2" s="774"/>
      <c r="AU2" s="774"/>
      <c r="AV2" s="774"/>
      <c r="AW2" s="774"/>
      <c r="AX2" s="774"/>
      <c r="AY2" s="774"/>
    </row>
    <row r="3" spans="2:51" ht="24.75" customHeight="1">
      <c r="D3" s="403"/>
      <c r="E3" s="468"/>
      <c r="F3" s="745" t="str">
        <f>IF(UNNH0030_REPORT_IF_H_JUSHO_NO_PRINT_FLG="","",IF(UNNH0030_REPORT_IF_H_ADDRESS_1="","",UNNH0030_REPORT_IF_H_ADDRESS_1))</f>
        <v/>
      </c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469"/>
      <c r="AP3" s="748">
        <f>UNNH0030_REPORT_IF_H_URIAGE_DATE</f>
        <v>0</v>
      </c>
      <c r="AQ3" s="748"/>
      <c r="AR3" s="748"/>
      <c r="AS3" s="748"/>
      <c r="AT3" s="748"/>
      <c r="AU3" s="748"/>
      <c r="AV3" s="748"/>
      <c r="AW3" s="748"/>
      <c r="AX3" s="748"/>
      <c r="AY3" s="748"/>
    </row>
    <row r="4" spans="2:51" ht="24.75" customHeight="1">
      <c r="D4" s="403"/>
      <c r="E4" s="468"/>
      <c r="F4" s="745" t="str">
        <f>IF(UNNH0030_REPORT_IF_H_JUSHO_NO_PRINT_FLG="","",IF(UNNH0030_REPORT_IF_H_ADDRESS_2="","",UNNH0030_REPORT_IF_H_ADDRESS_2))</f>
        <v/>
      </c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469"/>
    </row>
    <row r="5" spans="2:51" ht="24.75" customHeight="1">
      <c r="D5" s="403"/>
      <c r="E5" s="468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69"/>
    </row>
    <row r="6" spans="2:51" ht="26.25" customHeight="1">
      <c r="D6" s="403"/>
      <c r="E6" s="470"/>
      <c r="F6" s="745" t="str">
        <f>IF(TRIM(UNNH0030_REPORT_IF_H_SOFU_TANTO)="","",
IF(TRIM(UNNH0030_REPORT_IF_H_DEMPYO_SOFU_MEI)="","",
TRIM(UNNH0030_REPORT_IF_H_DEMPYO_SOFU_MEI)))</f>
        <v/>
      </c>
      <c r="G6" s="745"/>
      <c r="H6" s="745"/>
      <c r="I6" s="745"/>
      <c r="J6" s="745"/>
      <c r="K6" s="745"/>
      <c r="L6" s="745"/>
      <c r="M6" s="745"/>
      <c r="N6" s="745"/>
      <c r="O6" s="745"/>
      <c r="P6" s="745"/>
      <c r="Q6" s="745"/>
      <c r="R6" s="745"/>
      <c r="S6" s="745"/>
      <c r="T6" s="745"/>
      <c r="U6" s="745"/>
      <c r="V6" s="745"/>
      <c r="W6" s="745"/>
      <c r="X6" s="745"/>
      <c r="Y6" s="469"/>
    </row>
    <row r="7" spans="2:51" ht="26.25" customHeight="1">
      <c r="D7" s="403"/>
      <c r="E7" s="468"/>
      <c r="F7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469"/>
      <c r="Z7" s="477" t="str">
        <f>UNNH0030_REPORT_IF_H_SHIMEBI_MARK</f>
        <v>*</v>
      </c>
    </row>
    <row r="8" spans="2:51" ht="25.5" customHeight="1">
      <c r="D8" s="403"/>
      <c r="E8" s="471"/>
      <c r="F8" s="747">
        <f>UNNH0030_REPORT_IF_H_SEIKYU_CD</f>
        <v>0</v>
      </c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  <c r="W8" s="747"/>
      <c r="X8" s="747"/>
      <c r="Y8" s="472"/>
    </row>
    <row r="9" spans="2:51" ht="30" customHeight="1"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</row>
    <row r="10" spans="2:51" ht="30" customHeight="1"/>
    <row r="11" spans="2:51" ht="29.25" customHeight="1">
      <c r="B11" s="474" t="s">
        <v>1101</v>
      </c>
    </row>
    <row r="12" spans="2:51" ht="36.75" customHeight="1">
      <c r="B12" s="742"/>
      <c r="C12" s="742"/>
      <c r="D12" s="742" t="s">
        <v>1102</v>
      </c>
      <c r="E12" s="742"/>
      <c r="F12" s="742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  <c r="U12" s="742"/>
      <c r="V12" s="742"/>
      <c r="W12" s="742"/>
      <c r="X12" s="742"/>
      <c r="Y12" s="742"/>
      <c r="Z12" s="742"/>
      <c r="AA12" s="742"/>
      <c r="AB12" s="742"/>
      <c r="AC12" s="742" t="s">
        <v>1103</v>
      </c>
      <c r="AD12" s="742"/>
      <c r="AE12" s="742"/>
      <c r="AF12" s="742"/>
      <c r="AG12" s="742"/>
      <c r="AH12" s="742"/>
      <c r="AI12" s="742"/>
      <c r="AJ12" s="742" t="s">
        <v>1104</v>
      </c>
      <c r="AK12" s="742"/>
      <c r="AL12" s="742" t="s">
        <v>1105</v>
      </c>
      <c r="AM12" s="742"/>
      <c r="AN12" s="742"/>
      <c r="AO12" s="742"/>
      <c r="AP12" s="742"/>
      <c r="AQ12" s="742"/>
      <c r="AR12" s="742"/>
      <c r="AS12" s="742" t="s">
        <v>1106</v>
      </c>
      <c r="AT12" s="742"/>
      <c r="AU12" s="742"/>
      <c r="AV12" s="742"/>
      <c r="AW12" s="742"/>
      <c r="AX12" s="742"/>
      <c r="AY12" s="742"/>
    </row>
    <row r="13" spans="2:51" ht="36.75" customHeight="1">
      <c r="B13" s="742">
        <f>ROUNDDOWN(ROW()/ROWS(UNNH0030_REPORT_RAYOUT_SEIKYUSHO),0)*UNNH0030_REPORT_IF_B_PAGE_MEISAI_SU+1</f>
        <v>1</v>
      </c>
      <c r="C13" s="742"/>
      <c r="D13" s="743" t="str">
        <f t="shared" ref="D13:D32" ca="1" si="0">IF(OFFSET(UNNH0030_REPORT_IF_B_SHOHIN_MEI,$B13,0)="","",OFFSET(UNNH0030_REPORT_IF_B_SHOHIN_MEI,$B13,0))</f>
        <v/>
      </c>
      <c r="E13" s="743"/>
      <c r="F13" s="743"/>
      <c r="G13" s="743"/>
      <c r="H13" s="743"/>
      <c r="I13" s="743"/>
      <c r="J13" s="743"/>
      <c r="K13" s="743"/>
      <c r="L13" s="743"/>
      <c r="M13" s="743"/>
      <c r="N13" s="743"/>
      <c r="O13" s="743"/>
      <c r="P13" s="743"/>
      <c r="Q13" s="743"/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81" t="str">
        <f t="shared" ref="AC13:AC32" ca="1" si="1">IF(OR(OFFSET(UNNH0030_REPORT_IF_B_ROW_KBN,$B13,0)&lt;&gt;1,$D13="",$D13="消費税"),"",
OFFSET(UNNH0030_REPORT_IF_B_SURYO,$B13,0))</f>
        <v/>
      </c>
      <c r="AD13" s="781"/>
      <c r="AE13" s="781"/>
      <c r="AF13" s="781"/>
      <c r="AG13" s="781"/>
      <c r="AH13" s="781"/>
      <c r="AI13" s="781"/>
      <c r="AJ13" s="742" t="str">
        <f t="shared" ref="AJ13:AJ32" ca="1" si="2">IF(OFFSET(UNNH0030_REPORT_IF_B_TANI,$B13,0)="","",OFFSET(UNNH0030_REPORT_IF_B_TANI,$B13,0))</f>
        <v/>
      </c>
      <c r="AK13" s="742"/>
      <c r="AL13" s="781" t="str">
        <f t="shared" ref="AL13:AL32" ca="1" si="3">IF(OR(OFFSET(UNNH0030_REPORT_IF_B_ROW_KBN,$B13,0)&lt;&gt;1,$D13="",$D13="消費税"),"",
OFFSET(UNNH0030_REPORT_IF_B_TANKA,$B13,0))</f>
        <v/>
      </c>
      <c r="AM13" s="781"/>
      <c r="AN13" s="781"/>
      <c r="AO13" s="781"/>
      <c r="AP13" s="781"/>
      <c r="AQ13" s="781"/>
      <c r="AR13" s="781"/>
      <c r="AS13" s="741" t="str">
        <f t="shared" ref="AS13:AS32" ca="1" si="4">IF(OR(OFFSET(UNNH0030_REPORT_IF_B_KINGAKU,$B13,0)=0,$D13=""),"",
OFFSET(UNNH0030_REPORT_IF_B_KINGAKU,$B13,0))</f>
        <v/>
      </c>
      <c r="AT13" s="741"/>
      <c r="AU13" s="741"/>
      <c r="AV13" s="741"/>
      <c r="AW13" s="741"/>
      <c r="AX13" s="741"/>
      <c r="AY13" s="741"/>
    </row>
    <row r="14" spans="2:51" ht="36.75" customHeight="1">
      <c r="B14" s="742">
        <f>B13+1</f>
        <v>2</v>
      </c>
      <c r="C14" s="742"/>
      <c r="D14" s="743" t="str">
        <f t="shared" ca="1" si="0"/>
        <v/>
      </c>
      <c r="E14" s="743"/>
      <c r="F14" s="743"/>
      <c r="G14" s="743"/>
      <c r="H14" s="743"/>
      <c r="I14" s="743"/>
      <c r="J14" s="743"/>
      <c r="K14" s="743"/>
      <c r="L14" s="743"/>
      <c r="M14" s="743"/>
      <c r="N14" s="743"/>
      <c r="O14" s="743"/>
      <c r="P14" s="743"/>
      <c r="Q14" s="743"/>
      <c r="R14" s="743"/>
      <c r="S14" s="743"/>
      <c r="T14" s="743"/>
      <c r="U14" s="743"/>
      <c r="V14" s="743"/>
      <c r="W14" s="743"/>
      <c r="X14" s="743"/>
      <c r="Y14" s="743"/>
      <c r="Z14" s="743"/>
      <c r="AA14" s="743"/>
      <c r="AB14" s="743"/>
      <c r="AC14" s="781" t="str">
        <f t="shared" ca="1" si="1"/>
        <v/>
      </c>
      <c r="AD14" s="781"/>
      <c r="AE14" s="781"/>
      <c r="AF14" s="781"/>
      <c r="AG14" s="781"/>
      <c r="AH14" s="781"/>
      <c r="AI14" s="781"/>
      <c r="AJ14" s="742" t="str">
        <f t="shared" ca="1" si="2"/>
        <v/>
      </c>
      <c r="AK14" s="742"/>
      <c r="AL14" s="781" t="str">
        <f t="shared" ca="1" si="3"/>
        <v/>
      </c>
      <c r="AM14" s="781"/>
      <c r="AN14" s="781"/>
      <c r="AO14" s="781"/>
      <c r="AP14" s="781"/>
      <c r="AQ14" s="781"/>
      <c r="AR14" s="781"/>
      <c r="AS14" s="741" t="str">
        <f t="shared" ca="1" si="4"/>
        <v/>
      </c>
      <c r="AT14" s="741"/>
      <c r="AU14" s="741"/>
      <c r="AV14" s="741"/>
      <c r="AW14" s="741"/>
      <c r="AX14" s="741"/>
      <c r="AY14" s="741"/>
    </row>
    <row r="15" spans="2:51" ht="36.75" customHeight="1">
      <c r="B15" s="742">
        <f>B14+1</f>
        <v>3</v>
      </c>
      <c r="C15" s="742"/>
      <c r="D15" s="743" t="str">
        <f t="shared" ca="1" si="0"/>
        <v/>
      </c>
      <c r="E15" s="743"/>
      <c r="F15" s="743"/>
      <c r="G15" s="743"/>
      <c r="H15" s="743"/>
      <c r="I15" s="743"/>
      <c r="J15" s="743"/>
      <c r="K15" s="743"/>
      <c r="L15" s="743"/>
      <c r="M15" s="743"/>
      <c r="N15" s="743"/>
      <c r="O15" s="743"/>
      <c r="P15" s="743"/>
      <c r="Q15" s="743"/>
      <c r="R15" s="743"/>
      <c r="S15" s="743"/>
      <c r="T15" s="743"/>
      <c r="U15" s="743"/>
      <c r="V15" s="743"/>
      <c r="W15" s="743"/>
      <c r="X15" s="743"/>
      <c r="Y15" s="743"/>
      <c r="Z15" s="743"/>
      <c r="AA15" s="743"/>
      <c r="AB15" s="743"/>
      <c r="AC15" s="781" t="str">
        <f t="shared" ca="1" si="1"/>
        <v/>
      </c>
      <c r="AD15" s="781"/>
      <c r="AE15" s="781"/>
      <c r="AF15" s="781"/>
      <c r="AG15" s="781"/>
      <c r="AH15" s="781"/>
      <c r="AI15" s="781"/>
      <c r="AJ15" s="742" t="str">
        <f t="shared" ca="1" si="2"/>
        <v/>
      </c>
      <c r="AK15" s="742"/>
      <c r="AL15" s="781" t="str">
        <f t="shared" ca="1" si="3"/>
        <v/>
      </c>
      <c r="AM15" s="781"/>
      <c r="AN15" s="781"/>
      <c r="AO15" s="781"/>
      <c r="AP15" s="781"/>
      <c r="AQ15" s="781"/>
      <c r="AR15" s="781"/>
      <c r="AS15" s="741" t="str">
        <f t="shared" ca="1" si="4"/>
        <v/>
      </c>
      <c r="AT15" s="741"/>
      <c r="AU15" s="741"/>
      <c r="AV15" s="741"/>
      <c r="AW15" s="741"/>
      <c r="AX15" s="741"/>
      <c r="AY15" s="741"/>
    </row>
    <row r="16" spans="2:51" ht="36.75" customHeight="1">
      <c r="B16" s="742">
        <f t="shared" ref="B16:B32" si="5">B15+1</f>
        <v>4</v>
      </c>
      <c r="C16" s="742"/>
      <c r="D16" s="743" t="str">
        <f t="shared" ca="1" si="0"/>
        <v/>
      </c>
      <c r="E16" s="743"/>
      <c r="F16" s="743"/>
      <c r="G16" s="743"/>
      <c r="H16" s="743"/>
      <c r="I16" s="743"/>
      <c r="J16" s="743"/>
      <c r="K16" s="743"/>
      <c r="L16" s="743"/>
      <c r="M16" s="743"/>
      <c r="N16" s="743"/>
      <c r="O16" s="743"/>
      <c r="P16" s="743"/>
      <c r="Q16" s="743"/>
      <c r="R16" s="743"/>
      <c r="S16" s="743"/>
      <c r="T16" s="743"/>
      <c r="U16" s="743"/>
      <c r="V16" s="743"/>
      <c r="W16" s="743"/>
      <c r="X16" s="743"/>
      <c r="Y16" s="743"/>
      <c r="Z16" s="743"/>
      <c r="AA16" s="743"/>
      <c r="AB16" s="743"/>
      <c r="AC16" s="781" t="str">
        <f t="shared" ca="1" si="1"/>
        <v/>
      </c>
      <c r="AD16" s="781"/>
      <c r="AE16" s="781"/>
      <c r="AF16" s="781"/>
      <c r="AG16" s="781"/>
      <c r="AH16" s="781"/>
      <c r="AI16" s="781"/>
      <c r="AJ16" s="742" t="str">
        <f t="shared" ca="1" si="2"/>
        <v/>
      </c>
      <c r="AK16" s="742"/>
      <c r="AL16" s="781" t="str">
        <f t="shared" ca="1" si="3"/>
        <v/>
      </c>
      <c r="AM16" s="781"/>
      <c r="AN16" s="781"/>
      <c r="AO16" s="781"/>
      <c r="AP16" s="781"/>
      <c r="AQ16" s="781"/>
      <c r="AR16" s="781"/>
      <c r="AS16" s="741" t="str">
        <f t="shared" ca="1" si="4"/>
        <v/>
      </c>
      <c r="AT16" s="741"/>
      <c r="AU16" s="741"/>
      <c r="AV16" s="741"/>
      <c r="AW16" s="741"/>
      <c r="AX16" s="741"/>
      <c r="AY16" s="741"/>
    </row>
    <row r="17" spans="1:52" ht="36.75" customHeight="1">
      <c r="A17" s="403" t="s">
        <v>1529</v>
      </c>
      <c r="B17" s="742">
        <f t="shared" si="5"/>
        <v>5</v>
      </c>
      <c r="C17" s="742"/>
      <c r="D17" s="743" t="str">
        <f t="shared" ca="1" si="0"/>
        <v/>
      </c>
      <c r="E17" s="743"/>
      <c r="F17" s="743"/>
      <c r="G17" s="743"/>
      <c r="H17" s="743"/>
      <c r="I17" s="743"/>
      <c r="J17" s="743"/>
      <c r="K17" s="743"/>
      <c r="L17" s="743"/>
      <c r="M17" s="743"/>
      <c r="N17" s="743"/>
      <c r="O17" s="743"/>
      <c r="P17" s="743"/>
      <c r="Q17" s="743"/>
      <c r="R17" s="743"/>
      <c r="S17" s="743"/>
      <c r="T17" s="743"/>
      <c r="U17" s="743"/>
      <c r="V17" s="743"/>
      <c r="W17" s="743"/>
      <c r="X17" s="743"/>
      <c r="Y17" s="743"/>
      <c r="Z17" s="743"/>
      <c r="AA17" s="743"/>
      <c r="AB17" s="743"/>
      <c r="AC17" s="781" t="str">
        <f t="shared" ca="1" si="1"/>
        <v/>
      </c>
      <c r="AD17" s="781"/>
      <c r="AE17" s="781"/>
      <c r="AF17" s="781"/>
      <c r="AG17" s="781"/>
      <c r="AH17" s="781"/>
      <c r="AI17" s="781"/>
      <c r="AJ17" s="742" t="str">
        <f t="shared" ca="1" si="2"/>
        <v/>
      </c>
      <c r="AK17" s="742"/>
      <c r="AL17" s="781" t="str">
        <f t="shared" ca="1" si="3"/>
        <v/>
      </c>
      <c r="AM17" s="781"/>
      <c r="AN17" s="781"/>
      <c r="AO17" s="781"/>
      <c r="AP17" s="781"/>
      <c r="AQ17" s="781"/>
      <c r="AR17" s="781"/>
      <c r="AS17" s="741" t="str">
        <f t="shared" ca="1" si="4"/>
        <v/>
      </c>
      <c r="AT17" s="741"/>
      <c r="AU17" s="741"/>
      <c r="AV17" s="741"/>
      <c r="AW17" s="741"/>
      <c r="AX17" s="741"/>
      <c r="AY17" s="741"/>
      <c r="AZ17" s="473" t="s">
        <v>1530</v>
      </c>
    </row>
    <row r="18" spans="1:52" ht="36.75" customHeight="1">
      <c r="B18" s="742">
        <f t="shared" si="5"/>
        <v>6</v>
      </c>
      <c r="C18" s="742"/>
      <c r="D18" s="743" t="str">
        <f t="shared" ca="1" si="0"/>
        <v/>
      </c>
      <c r="E18" s="743"/>
      <c r="F18" s="743"/>
      <c r="G18" s="743"/>
      <c r="H18" s="743"/>
      <c r="I18" s="743"/>
      <c r="J18" s="743"/>
      <c r="K18" s="743"/>
      <c r="L18" s="743"/>
      <c r="M18" s="743"/>
      <c r="N18" s="743"/>
      <c r="O18" s="743"/>
      <c r="P18" s="743"/>
      <c r="Q18" s="743"/>
      <c r="R18" s="743"/>
      <c r="S18" s="743"/>
      <c r="T18" s="743"/>
      <c r="U18" s="743"/>
      <c r="V18" s="743"/>
      <c r="W18" s="743"/>
      <c r="X18" s="743"/>
      <c r="Y18" s="743"/>
      <c r="Z18" s="743"/>
      <c r="AA18" s="743"/>
      <c r="AB18" s="743"/>
      <c r="AC18" s="781" t="str">
        <f t="shared" ca="1" si="1"/>
        <v/>
      </c>
      <c r="AD18" s="781"/>
      <c r="AE18" s="781"/>
      <c r="AF18" s="781"/>
      <c r="AG18" s="781"/>
      <c r="AH18" s="781"/>
      <c r="AI18" s="781"/>
      <c r="AJ18" s="742" t="str">
        <f t="shared" ca="1" si="2"/>
        <v/>
      </c>
      <c r="AK18" s="742"/>
      <c r="AL18" s="781" t="str">
        <f t="shared" ca="1" si="3"/>
        <v/>
      </c>
      <c r="AM18" s="781"/>
      <c r="AN18" s="781"/>
      <c r="AO18" s="781"/>
      <c r="AP18" s="781"/>
      <c r="AQ18" s="781"/>
      <c r="AR18" s="781"/>
      <c r="AS18" s="741" t="str">
        <f t="shared" ca="1" si="4"/>
        <v/>
      </c>
      <c r="AT18" s="741"/>
      <c r="AU18" s="741"/>
      <c r="AV18" s="741"/>
      <c r="AW18" s="741"/>
      <c r="AX18" s="741"/>
      <c r="AY18" s="741"/>
      <c r="AZ18" s="473"/>
    </row>
    <row r="19" spans="1:52" ht="36.75" customHeight="1">
      <c r="B19" s="742">
        <f t="shared" si="5"/>
        <v>7</v>
      </c>
      <c r="C19" s="742"/>
      <c r="D19" s="743" t="str">
        <f t="shared" ca="1" si="0"/>
        <v/>
      </c>
      <c r="E19" s="743"/>
      <c r="F19" s="743"/>
      <c r="G19" s="743"/>
      <c r="H19" s="743"/>
      <c r="I19" s="743"/>
      <c r="J19" s="743"/>
      <c r="K19" s="743"/>
      <c r="L19" s="743"/>
      <c r="M19" s="743"/>
      <c r="N19" s="743"/>
      <c r="O19" s="743"/>
      <c r="P19" s="743"/>
      <c r="Q19" s="743"/>
      <c r="R19" s="743"/>
      <c r="S19" s="743"/>
      <c r="T19" s="743"/>
      <c r="U19" s="743"/>
      <c r="V19" s="743"/>
      <c r="W19" s="743"/>
      <c r="X19" s="743"/>
      <c r="Y19" s="743"/>
      <c r="Z19" s="743"/>
      <c r="AA19" s="743"/>
      <c r="AB19" s="743"/>
      <c r="AC19" s="781" t="str">
        <f t="shared" ca="1" si="1"/>
        <v/>
      </c>
      <c r="AD19" s="781"/>
      <c r="AE19" s="781"/>
      <c r="AF19" s="781"/>
      <c r="AG19" s="781"/>
      <c r="AH19" s="781"/>
      <c r="AI19" s="781"/>
      <c r="AJ19" s="742" t="str">
        <f t="shared" ca="1" si="2"/>
        <v/>
      </c>
      <c r="AK19" s="742"/>
      <c r="AL19" s="781" t="str">
        <f t="shared" ca="1" si="3"/>
        <v/>
      </c>
      <c r="AM19" s="781"/>
      <c r="AN19" s="781"/>
      <c r="AO19" s="781"/>
      <c r="AP19" s="781"/>
      <c r="AQ19" s="781"/>
      <c r="AR19" s="781"/>
      <c r="AS19" s="741" t="str">
        <f t="shared" ca="1" si="4"/>
        <v/>
      </c>
      <c r="AT19" s="741"/>
      <c r="AU19" s="741"/>
      <c r="AV19" s="741"/>
      <c r="AW19" s="741"/>
      <c r="AX19" s="741"/>
      <c r="AY19" s="741"/>
      <c r="AZ19" s="473"/>
    </row>
    <row r="20" spans="1:52" ht="36.75" customHeight="1">
      <c r="B20" s="742">
        <f t="shared" si="5"/>
        <v>8</v>
      </c>
      <c r="C20" s="742"/>
      <c r="D20" s="743" t="str">
        <f t="shared" ca="1" si="0"/>
        <v/>
      </c>
      <c r="E20" s="743"/>
      <c r="F20" s="743"/>
      <c r="G20" s="743"/>
      <c r="H20" s="743"/>
      <c r="I20" s="743"/>
      <c r="J20" s="743"/>
      <c r="K20" s="743"/>
      <c r="L20" s="743"/>
      <c r="M20" s="743"/>
      <c r="N20" s="743"/>
      <c r="O20" s="743"/>
      <c r="P20" s="743"/>
      <c r="Q20" s="743"/>
      <c r="R20" s="743"/>
      <c r="S20" s="743"/>
      <c r="T20" s="743"/>
      <c r="U20" s="743"/>
      <c r="V20" s="743"/>
      <c r="W20" s="743"/>
      <c r="X20" s="743"/>
      <c r="Y20" s="743"/>
      <c r="Z20" s="743"/>
      <c r="AA20" s="743"/>
      <c r="AB20" s="743"/>
      <c r="AC20" s="781" t="str">
        <f t="shared" ca="1" si="1"/>
        <v/>
      </c>
      <c r="AD20" s="781"/>
      <c r="AE20" s="781"/>
      <c r="AF20" s="781"/>
      <c r="AG20" s="781"/>
      <c r="AH20" s="781"/>
      <c r="AI20" s="781"/>
      <c r="AJ20" s="742" t="str">
        <f t="shared" ca="1" si="2"/>
        <v/>
      </c>
      <c r="AK20" s="742"/>
      <c r="AL20" s="781" t="str">
        <f t="shared" ca="1" si="3"/>
        <v/>
      </c>
      <c r="AM20" s="781"/>
      <c r="AN20" s="781"/>
      <c r="AO20" s="781"/>
      <c r="AP20" s="781"/>
      <c r="AQ20" s="781"/>
      <c r="AR20" s="781"/>
      <c r="AS20" s="741" t="str">
        <f t="shared" ca="1" si="4"/>
        <v/>
      </c>
      <c r="AT20" s="741"/>
      <c r="AU20" s="741"/>
      <c r="AV20" s="741"/>
      <c r="AW20" s="741"/>
      <c r="AX20" s="741"/>
      <c r="AY20" s="741"/>
    </row>
    <row r="21" spans="1:52" ht="36.75" customHeight="1">
      <c r="B21" s="742">
        <f t="shared" si="5"/>
        <v>9</v>
      </c>
      <c r="C21" s="742"/>
      <c r="D21" s="743" t="str">
        <f t="shared" ca="1" si="0"/>
        <v/>
      </c>
      <c r="E21" s="743"/>
      <c r="F21" s="743"/>
      <c r="G21" s="743"/>
      <c r="H21" s="743"/>
      <c r="I21" s="743"/>
      <c r="J21" s="743"/>
      <c r="K21" s="743"/>
      <c r="L21" s="743"/>
      <c r="M21" s="743"/>
      <c r="N21" s="743"/>
      <c r="O21" s="743"/>
      <c r="P21" s="743"/>
      <c r="Q21" s="743"/>
      <c r="R21" s="743"/>
      <c r="S21" s="743"/>
      <c r="T21" s="743"/>
      <c r="U21" s="743"/>
      <c r="V21" s="743"/>
      <c r="W21" s="743"/>
      <c r="X21" s="743"/>
      <c r="Y21" s="743"/>
      <c r="Z21" s="743"/>
      <c r="AA21" s="743"/>
      <c r="AB21" s="743"/>
      <c r="AC21" s="781" t="str">
        <f t="shared" ca="1" si="1"/>
        <v/>
      </c>
      <c r="AD21" s="781"/>
      <c r="AE21" s="781"/>
      <c r="AF21" s="781"/>
      <c r="AG21" s="781"/>
      <c r="AH21" s="781"/>
      <c r="AI21" s="781"/>
      <c r="AJ21" s="742" t="str">
        <f t="shared" ca="1" si="2"/>
        <v/>
      </c>
      <c r="AK21" s="742"/>
      <c r="AL21" s="781" t="str">
        <f t="shared" ca="1" si="3"/>
        <v/>
      </c>
      <c r="AM21" s="781"/>
      <c r="AN21" s="781"/>
      <c r="AO21" s="781"/>
      <c r="AP21" s="781"/>
      <c r="AQ21" s="781"/>
      <c r="AR21" s="781"/>
      <c r="AS21" s="741" t="str">
        <f t="shared" ca="1" si="4"/>
        <v/>
      </c>
      <c r="AT21" s="741"/>
      <c r="AU21" s="741"/>
      <c r="AV21" s="741"/>
      <c r="AW21" s="741"/>
      <c r="AX21" s="741"/>
      <c r="AY21" s="741"/>
    </row>
    <row r="22" spans="1:52" ht="36.75" customHeight="1">
      <c r="B22" s="742">
        <f t="shared" si="5"/>
        <v>10</v>
      </c>
      <c r="C22" s="742"/>
      <c r="D22" s="743" t="str">
        <f t="shared" ca="1" si="0"/>
        <v/>
      </c>
      <c r="E22" s="743"/>
      <c r="F22" s="743"/>
      <c r="G22" s="743"/>
      <c r="H22" s="743"/>
      <c r="I22" s="743"/>
      <c r="J22" s="743"/>
      <c r="K22" s="743"/>
      <c r="L22" s="743"/>
      <c r="M22" s="743"/>
      <c r="N22" s="743"/>
      <c r="O22" s="743"/>
      <c r="P22" s="743"/>
      <c r="Q22" s="743"/>
      <c r="R22" s="743"/>
      <c r="S22" s="743"/>
      <c r="T22" s="743"/>
      <c r="U22" s="743"/>
      <c r="V22" s="743"/>
      <c r="W22" s="743"/>
      <c r="X22" s="743"/>
      <c r="Y22" s="743"/>
      <c r="Z22" s="743"/>
      <c r="AA22" s="743"/>
      <c r="AB22" s="743"/>
      <c r="AC22" s="781" t="str">
        <f t="shared" ca="1" si="1"/>
        <v/>
      </c>
      <c r="AD22" s="781"/>
      <c r="AE22" s="781"/>
      <c r="AF22" s="781"/>
      <c r="AG22" s="781"/>
      <c r="AH22" s="781"/>
      <c r="AI22" s="781"/>
      <c r="AJ22" s="742" t="str">
        <f t="shared" ca="1" si="2"/>
        <v/>
      </c>
      <c r="AK22" s="742"/>
      <c r="AL22" s="781" t="str">
        <f t="shared" ca="1" si="3"/>
        <v/>
      </c>
      <c r="AM22" s="781"/>
      <c r="AN22" s="781"/>
      <c r="AO22" s="781"/>
      <c r="AP22" s="781"/>
      <c r="AQ22" s="781"/>
      <c r="AR22" s="781"/>
      <c r="AS22" s="741" t="str">
        <f t="shared" ca="1" si="4"/>
        <v/>
      </c>
      <c r="AT22" s="741"/>
      <c r="AU22" s="741"/>
      <c r="AV22" s="741"/>
      <c r="AW22" s="741"/>
      <c r="AX22" s="741"/>
      <c r="AY22" s="741"/>
    </row>
    <row r="23" spans="1:52" ht="36.75" customHeight="1">
      <c r="B23" s="742">
        <f t="shared" si="5"/>
        <v>11</v>
      </c>
      <c r="C23" s="742"/>
      <c r="D23" s="743" t="str">
        <f t="shared" ca="1" si="0"/>
        <v/>
      </c>
      <c r="E23" s="743"/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81" t="str">
        <f t="shared" ca="1" si="1"/>
        <v/>
      </c>
      <c r="AD23" s="781"/>
      <c r="AE23" s="781"/>
      <c r="AF23" s="781"/>
      <c r="AG23" s="781"/>
      <c r="AH23" s="781"/>
      <c r="AI23" s="781"/>
      <c r="AJ23" s="742" t="str">
        <f t="shared" ca="1" si="2"/>
        <v/>
      </c>
      <c r="AK23" s="742"/>
      <c r="AL23" s="781" t="str">
        <f t="shared" ca="1" si="3"/>
        <v/>
      </c>
      <c r="AM23" s="781"/>
      <c r="AN23" s="781"/>
      <c r="AO23" s="781"/>
      <c r="AP23" s="781"/>
      <c r="AQ23" s="781"/>
      <c r="AR23" s="781"/>
      <c r="AS23" s="741" t="str">
        <f t="shared" ca="1" si="4"/>
        <v/>
      </c>
      <c r="AT23" s="741"/>
      <c r="AU23" s="741"/>
      <c r="AV23" s="741"/>
      <c r="AW23" s="741"/>
      <c r="AX23" s="741"/>
      <c r="AY23" s="741"/>
    </row>
    <row r="24" spans="1:52" ht="36.75" customHeight="1">
      <c r="B24" s="742">
        <f t="shared" si="5"/>
        <v>12</v>
      </c>
      <c r="C24" s="742"/>
      <c r="D24" s="743" t="str">
        <f t="shared" ca="1" si="0"/>
        <v/>
      </c>
      <c r="E24" s="743"/>
      <c r="F24" s="743"/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3"/>
      <c r="S24" s="743"/>
      <c r="T24" s="743"/>
      <c r="U24" s="743"/>
      <c r="V24" s="743"/>
      <c r="W24" s="743"/>
      <c r="X24" s="743"/>
      <c r="Y24" s="743"/>
      <c r="Z24" s="743"/>
      <c r="AA24" s="743"/>
      <c r="AB24" s="743"/>
      <c r="AC24" s="781" t="str">
        <f t="shared" ca="1" si="1"/>
        <v/>
      </c>
      <c r="AD24" s="781"/>
      <c r="AE24" s="781"/>
      <c r="AF24" s="781"/>
      <c r="AG24" s="781"/>
      <c r="AH24" s="781"/>
      <c r="AI24" s="781"/>
      <c r="AJ24" s="742" t="str">
        <f t="shared" ca="1" si="2"/>
        <v/>
      </c>
      <c r="AK24" s="742"/>
      <c r="AL24" s="781" t="str">
        <f t="shared" ca="1" si="3"/>
        <v/>
      </c>
      <c r="AM24" s="781"/>
      <c r="AN24" s="781"/>
      <c r="AO24" s="781"/>
      <c r="AP24" s="781"/>
      <c r="AQ24" s="781"/>
      <c r="AR24" s="781"/>
      <c r="AS24" s="741" t="str">
        <f t="shared" ca="1" si="4"/>
        <v/>
      </c>
      <c r="AT24" s="741"/>
      <c r="AU24" s="741"/>
      <c r="AV24" s="741"/>
      <c r="AW24" s="741"/>
      <c r="AX24" s="741"/>
      <c r="AY24" s="741"/>
    </row>
    <row r="25" spans="1:52" ht="36.75" customHeight="1">
      <c r="B25" s="742">
        <f t="shared" si="5"/>
        <v>13</v>
      </c>
      <c r="C25" s="742"/>
      <c r="D25" s="743" t="str">
        <f t="shared" ca="1" si="0"/>
        <v/>
      </c>
      <c r="E25" s="743"/>
      <c r="F25" s="743"/>
      <c r="G25" s="743"/>
      <c r="H25" s="743"/>
      <c r="I25" s="743"/>
      <c r="J25" s="743"/>
      <c r="K25" s="743"/>
      <c r="L25" s="743"/>
      <c r="M25" s="743"/>
      <c r="N25" s="743"/>
      <c r="O25" s="743"/>
      <c r="P25" s="743"/>
      <c r="Q25" s="743"/>
      <c r="R25" s="743"/>
      <c r="S25" s="743"/>
      <c r="T25" s="743"/>
      <c r="U25" s="743"/>
      <c r="V25" s="743"/>
      <c r="W25" s="743"/>
      <c r="X25" s="743"/>
      <c r="Y25" s="743"/>
      <c r="Z25" s="743"/>
      <c r="AA25" s="743"/>
      <c r="AB25" s="743"/>
      <c r="AC25" s="781" t="str">
        <f t="shared" ca="1" si="1"/>
        <v/>
      </c>
      <c r="AD25" s="781"/>
      <c r="AE25" s="781"/>
      <c r="AF25" s="781"/>
      <c r="AG25" s="781"/>
      <c r="AH25" s="781"/>
      <c r="AI25" s="781"/>
      <c r="AJ25" s="742" t="str">
        <f t="shared" ca="1" si="2"/>
        <v/>
      </c>
      <c r="AK25" s="742"/>
      <c r="AL25" s="781" t="str">
        <f t="shared" ca="1" si="3"/>
        <v/>
      </c>
      <c r="AM25" s="781"/>
      <c r="AN25" s="781"/>
      <c r="AO25" s="781"/>
      <c r="AP25" s="781"/>
      <c r="AQ25" s="781"/>
      <c r="AR25" s="781"/>
      <c r="AS25" s="741" t="str">
        <f t="shared" ca="1" si="4"/>
        <v/>
      </c>
      <c r="AT25" s="741"/>
      <c r="AU25" s="741"/>
      <c r="AV25" s="741"/>
      <c r="AW25" s="741"/>
      <c r="AX25" s="741"/>
      <c r="AY25" s="741"/>
    </row>
    <row r="26" spans="1:52" ht="36.75" customHeight="1">
      <c r="B26" s="742">
        <f t="shared" si="5"/>
        <v>14</v>
      </c>
      <c r="C26" s="742"/>
      <c r="D26" s="743" t="str">
        <f t="shared" ca="1" si="0"/>
        <v/>
      </c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43"/>
      <c r="S26" s="743"/>
      <c r="T26" s="743"/>
      <c r="U26" s="743"/>
      <c r="V26" s="743"/>
      <c r="W26" s="743"/>
      <c r="X26" s="743"/>
      <c r="Y26" s="743"/>
      <c r="Z26" s="743"/>
      <c r="AA26" s="743"/>
      <c r="AB26" s="743"/>
      <c r="AC26" s="781" t="str">
        <f t="shared" ca="1" si="1"/>
        <v/>
      </c>
      <c r="AD26" s="781"/>
      <c r="AE26" s="781"/>
      <c r="AF26" s="781"/>
      <c r="AG26" s="781"/>
      <c r="AH26" s="781"/>
      <c r="AI26" s="781"/>
      <c r="AJ26" s="742" t="str">
        <f t="shared" ca="1" si="2"/>
        <v/>
      </c>
      <c r="AK26" s="742"/>
      <c r="AL26" s="781" t="str">
        <f t="shared" ca="1" si="3"/>
        <v/>
      </c>
      <c r="AM26" s="781"/>
      <c r="AN26" s="781"/>
      <c r="AO26" s="781"/>
      <c r="AP26" s="781"/>
      <c r="AQ26" s="781"/>
      <c r="AR26" s="781"/>
      <c r="AS26" s="741" t="str">
        <f t="shared" ca="1" si="4"/>
        <v/>
      </c>
      <c r="AT26" s="741"/>
      <c r="AU26" s="741"/>
      <c r="AV26" s="741"/>
      <c r="AW26" s="741"/>
      <c r="AX26" s="741"/>
      <c r="AY26" s="741"/>
    </row>
    <row r="27" spans="1:52" ht="36.75" customHeight="1">
      <c r="B27" s="742">
        <f t="shared" si="5"/>
        <v>15</v>
      </c>
      <c r="C27" s="742"/>
      <c r="D27" s="743" t="str">
        <f t="shared" ca="1" si="0"/>
        <v/>
      </c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43"/>
      <c r="S27" s="743"/>
      <c r="T27" s="743"/>
      <c r="U27" s="743"/>
      <c r="V27" s="743"/>
      <c r="W27" s="743"/>
      <c r="X27" s="743"/>
      <c r="Y27" s="743"/>
      <c r="Z27" s="743"/>
      <c r="AA27" s="743"/>
      <c r="AB27" s="743"/>
      <c r="AC27" s="781" t="str">
        <f t="shared" ca="1" si="1"/>
        <v/>
      </c>
      <c r="AD27" s="781"/>
      <c r="AE27" s="781"/>
      <c r="AF27" s="781"/>
      <c r="AG27" s="781"/>
      <c r="AH27" s="781"/>
      <c r="AI27" s="781"/>
      <c r="AJ27" s="742" t="str">
        <f t="shared" ca="1" si="2"/>
        <v/>
      </c>
      <c r="AK27" s="742"/>
      <c r="AL27" s="781" t="str">
        <f t="shared" ca="1" si="3"/>
        <v/>
      </c>
      <c r="AM27" s="781"/>
      <c r="AN27" s="781"/>
      <c r="AO27" s="781"/>
      <c r="AP27" s="781"/>
      <c r="AQ27" s="781"/>
      <c r="AR27" s="781"/>
      <c r="AS27" s="741" t="str">
        <f t="shared" ca="1" si="4"/>
        <v/>
      </c>
      <c r="AT27" s="741"/>
      <c r="AU27" s="741"/>
      <c r="AV27" s="741"/>
      <c r="AW27" s="741"/>
      <c r="AX27" s="741"/>
      <c r="AY27" s="741"/>
    </row>
    <row r="28" spans="1:52" ht="36.75" customHeight="1">
      <c r="B28" s="742">
        <f t="shared" si="5"/>
        <v>16</v>
      </c>
      <c r="C28" s="742"/>
      <c r="D28" s="743" t="str">
        <f t="shared" ca="1" si="0"/>
        <v/>
      </c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43"/>
      <c r="S28" s="743"/>
      <c r="T28" s="743"/>
      <c r="U28" s="743"/>
      <c r="V28" s="743"/>
      <c r="W28" s="743"/>
      <c r="X28" s="743"/>
      <c r="Y28" s="743"/>
      <c r="Z28" s="743"/>
      <c r="AA28" s="743"/>
      <c r="AB28" s="743"/>
      <c r="AC28" s="781" t="str">
        <f t="shared" ca="1" si="1"/>
        <v/>
      </c>
      <c r="AD28" s="781"/>
      <c r="AE28" s="781"/>
      <c r="AF28" s="781"/>
      <c r="AG28" s="781"/>
      <c r="AH28" s="781"/>
      <c r="AI28" s="781"/>
      <c r="AJ28" s="742" t="str">
        <f t="shared" ca="1" si="2"/>
        <v/>
      </c>
      <c r="AK28" s="742"/>
      <c r="AL28" s="781" t="str">
        <f t="shared" ca="1" si="3"/>
        <v/>
      </c>
      <c r="AM28" s="781"/>
      <c r="AN28" s="781"/>
      <c r="AO28" s="781"/>
      <c r="AP28" s="781"/>
      <c r="AQ28" s="781"/>
      <c r="AR28" s="781"/>
      <c r="AS28" s="741" t="str">
        <f t="shared" ca="1" si="4"/>
        <v/>
      </c>
      <c r="AT28" s="741"/>
      <c r="AU28" s="741"/>
      <c r="AV28" s="741"/>
      <c r="AW28" s="741"/>
      <c r="AX28" s="741"/>
      <c r="AY28" s="741"/>
    </row>
    <row r="29" spans="1:52" ht="36.75" customHeight="1">
      <c r="B29" s="742">
        <f t="shared" si="5"/>
        <v>17</v>
      </c>
      <c r="C29" s="742"/>
      <c r="D29" s="743" t="str">
        <f t="shared" ca="1" si="0"/>
        <v/>
      </c>
      <c r="E29" s="743"/>
      <c r="F29" s="743"/>
      <c r="G29" s="743"/>
      <c r="H29" s="743"/>
      <c r="I29" s="743"/>
      <c r="J29" s="743"/>
      <c r="K29" s="743"/>
      <c r="L29" s="743"/>
      <c r="M29" s="743"/>
      <c r="N29" s="743"/>
      <c r="O29" s="743"/>
      <c r="P29" s="743"/>
      <c r="Q29" s="743"/>
      <c r="R29" s="743"/>
      <c r="S29" s="743"/>
      <c r="T29" s="743"/>
      <c r="U29" s="743"/>
      <c r="V29" s="743"/>
      <c r="W29" s="743"/>
      <c r="X29" s="743"/>
      <c r="Y29" s="743"/>
      <c r="Z29" s="743"/>
      <c r="AA29" s="743"/>
      <c r="AB29" s="743"/>
      <c r="AC29" s="781" t="str">
        <f t="shared" ca="1" si="1"/>
        <v/>
      </c>
      <c r="AD29" s="781"/>
      <c r="AE29" s="781"/>
      <c r="AF29" s="781"/>
      <c r="AG29" s="781"/>
      <c r="AH29" s="781"/>
      <c r="AI29" s="781"/>
      <c r="AJ29" s="742" t="str">
        <f t="shared" ca="1" si="2"/>
        <v/>
      </c>
      <c r="AK29" s="742"/>
      <c r="AL29" s="781" t="str">
        <f t="shared" ca="1" si="3"/>
        <v/>
      </c>
      <c r="AM29" s="781"/>
      <c r="AN29" s="781"/>
      <c r="AO29" s="781"/>
      <c r="AP29" s="781"/>
      <c r="AQ29" s="781"/>
      <c r="AR29" s="781"/>
      <c r="AS29" s="741" t="str">
        <f t="shared" ca="1" si="4"/>
        <v/>
      </c>
      <c r="AT29" s="741"/>
      <c r="AU29" s="741"/>
      <c r="AV29" s="741"/>
      <c r="AW29" s="741"/>
      <c r="AX29" s="741"/>
      <c r="AY29" s="741"/>
    </row>
    <row r="30" spans="1:52" ht="36.75" customHeight="1">
      <c r="B30" s="742">
        <f t="shared" si="5"/>
        <v>18</v>
      </c>
      <c r="C30" s="742"/>
      <c r="D30" s="743" t="str">
        <f t="shared" ca="1" si="0"/>
        <v/>
      </c>
      <c r="E30" s="743"/>
      <c r="F30" s="743"/>
      <c r="G30" s="743"/>
      <c r="H30" s="743"/>
      <c r="I30" s="743"/>
      <c r="J30" s="743"/>
      <c r="K30" s="743"/>
      <c r="L30" s="743"/>
      <c r="M30" s="743"/>
      <c r="N30" s="743"/>
      <c r="O30" s="743"/>
      <c r="P30" s="743"/>
      <c r="Q30" s="743"/>
      <c r="R30" s="743"/>
      <c r="S30" s="743"/>
      <c r="T30" s="743"/>
      <c r="U30" s="743"/>
      <c r="V30" s="743"/>
      <c r="W30" s="743"/>
      <c r="X30" s="743"/>
      <c r="Y30" s="743"/>
      <c r="Z30" s="743"/>
      <c r="AA30" s="743"/>
      <c r="AB30" s="743"/>
      <c r="AC30" s="781" t="str">
        <f t="shared" ca="1" si="1"/>
        <v/>
      </c>
      <c r="AD30" s="781"/>
      <c r="AE30" s="781"/>
      <c r="AF30" s="781"/>
      <c r="AG30" s="781"/>
      <c r="AH30" s="781"/>
      <c r="AI30" s="781"/>
      <c r="AJ30" s="742" t="str">
        <f t="shared" ca="1" si="2"/>
        <v/>
      </c>
      <c r="AK30" s="742"/>
      <c r="AL30" s="781" t="str">
        <f t="shared" ca="1" si="3"/>
        <v/>
      </c>
      <c r="AM30" s="781"/>
      <c r="AN30" s="781"/>
      <c r="AO30" s="781"/>
      <c r="AP30" s="781"/>
      <c r="AQ30" s="781"/>
      <c r="AR30" s="781"/>
      <c r="AS30" s="741" t="str">
        <f t="shared" ca="1" si="4"/>
        <v/>
      </c>
      <c r="AT30" s="741"/>
      <c r="AU30" s="741"/>
      <c r="AV30" s="741"/>
      <c r="AW30" s="741"/>
      <c r="AX30" s="741"/>
      <c r="AY30" s="741"/>
    </row>
    <row r="31" spans="1:52" ht="36.75" customHeight="1">
      <c r="A31" s="403" t="s">
        <v>1529</v>
      </c>
      <c r="B31" s="742">
        <f t="shared" si="5"/>
        <v>19</v>
      </c>
      <c r="C31" s="742"/>
      <c r="D31" s="743" t="str">
        <f t="shared" ca="1" si="0"/>
        <v/>
      </c>
      <c r="E31" s="743"/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3"/>
      <c r="R31" s="743"/>
      <c r="S31" s="743"/>
      <c r="T31" s="743"/>
      <c r="U31" s="743"/>
      <c r="V31" s="743"/>
      <c r="W31" s="743"/>
      <c r="X31" s="743"/>
      <c r="Y31" s="743"/>
      <c r="Z31" s="743"/>
      <c r="AA31" s="743"/>
      <c r="AB31" s="743"/>
      <c r="AC31" s="781" t="str">
        <f t="shared" ca="1" si="1"/>
        <v/>
      </c>
      <c r="AD31" s="781"/>
      <c r="AE31" s="781"/>
      <c r="AF31" s="781"/>
      <c r="AG31" s="781"/>
      <c r="AH31" s="781"/>
      <c r="AI31" s="781"/>
      <c r="AJ31" s="742" t="str">
        <f t="shared" ca="1" si="2"/>
        <v/>
      </c>
      <c r="AK31" s="742"/>
      <c r="AL31" s="781" t="str">
        <f t="shared" ca="1" si="3"/>
        <v/>
      </c>
      <c r="AM31" s="781"/>
      <c r="AN31" s="781"/>
      <c r="AO31" s="781"/>
      <c r="AP31" s="781"/>
      <c r="AQ31" s="781"/>
      <c r="AR31" s="781"/>
      <c r="AS31" s="741" t="str">
        <f t="shared" ca="1" si="4"/>
        <v/>
      </c>
      <c r="AT31" s="741"/>
      <c r="AU31" s="741"/>
      <c r="AV31" s="741"/>
      <c r="AW31" s="741"/>
      <c r="AX31" s="741"/>
      <c r="AY31" s="741"/>
      <c r="AZ31" s="473" t="s">
        <v>1530</v>
      </c>
    </row>
    <row r="32" spans="1:52" ht="36.75" customHeight="1">
      <c r="B32" s="742">
        <f t="shared" si="5"/>
        <v>20</v>
      </c>
      <c r="C32" s="742"/>
      <c r="D32" s="743" t="str">
        <f t="shared" ca="1" si="0"/>
        <v/>
      </c>
      <c r="E32" s="743"/>
      <c r="F32" s="743"/>
      <c r="G32" s="743"/>
      <c r="H32" s="743"/>
      <c r="I32" s="743"/>
      <c r="J32" s="743"/>
      <c r="K32" s="743"/>
      <c r="L32" s="743"/>
      <c r="M32" s="743"/>
      <c r="N32" s="743"/>
      <c r="O32" s="743"/>
      <c r="P32" s="743"/>
      <c r="Q32" s="743"/>
      <c r="R32" s="743"/>
      <c r="S32" s="743"/>
      <c r="T32" s="743"/>
      <c r="U32" s="743"/>
      <c r="V32" s="743"/>
      <c r="W32" s="743"/>
      <c r="X32" s="743"/>
      <c r="Y32" s="743"/>
      <c r="Z32" s="743"/>
      <c r="AA32" s="743"/>
      <c r="AB32" s="743"/>
      <c r="AC32" s="781" t="str">
        <f t="shared" ca="1" si="1"/>
        <v/>
      </c>
      <c r="AD32" s="781"/>
      <c r="AE32" s="781"/>
      <c r="AF32" s="781"/>
      <c r="AG32" s="781"/>
      <c r="AH32" s="781"/>
      <c r="AI32" s="781"/>
      <c r="AJ32" s="742" t="str">
        <f t="shared" ca="1" si="2"/>
        <v/>
      </c>
      <c r="AK32" s="742"/>
      <c r="AL32" s="781" t="str">
        <f t="shared" ca="1" si="3"/>
        <v/>
      </c>
      <c r="AM32" s="781"/>
      <c r="AN32" s="781"/>
      <c r="AO32" s="781"/>
      <c r="AP32" s="781"/>
      <c r="AQ32" s="781"/>
      <c r="AR32" s="781"/>
      <c r="AS32" s="741" t="str">
        <f t="shared" ca="1" si="4"/>
        <v/>
      </c>
      <c r="AT32" s="741"/>
      <c r="AU32" s="741"/>
      <c r="AV32" s="741"/>
      <c r="AW32" s="741"/>
      <c r="AX32" s="741"/>
      <c r="AY32" s="741"/>
    </row>
    <row r="33" spans="2:51" ht="45" customHeight="1">
      <c r="B33" s="749" t="s">
        <v>1527</v>
      </c>
      <c r="C33" s="750"/>
      <c r="D33" s="750"/>
      <c r="E33" s="751" t="str">
        <f>IF(UNNH0030_REPORT_IF_H_EIGYO_MEI="","",UNNH0030_REPORT_IF_H_EIGYO_MEI)</f>
        <v/>
      </c>
      <c r="F33" s="751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  <c r="U33" s="751"/>
      <c r="V33" s="751"/>
      <c r="W33" s="751"/>
      <c r="X33" s="751"/>
      <c r="Y33" s="751"/>
      <c r="Z33" s="751"/>
      <c r="AA33" s="751"/>
      <c r="AB33" s="751"/>
      <c r="AC33" s="751"/>
      <c r="AD33" s="751"/>
      <c r="AE33" s="751"/>
      <c r="AF33" s="751"/>
      <c r="AG33" s="752"/>
      <c r="AH33" s="742" t="s">
        <v>1107</v>
      </c>
      <c r="AI33" s="742"/>
      <c r="AJ33" s="742"/>
      <c r="AK33" s="742"/>
      <c r="AL33" s="742"/>
      <c r="AM33" s="742"/>
      <c r="AN33" s="742"/>
      <c r="AO33" s="742"/>
      <c r="AP33" s="742"/>
      <c r="AQ33" s="782">
        <f>IF(ROUNDUP(ROW()/ROWS(UNNH0030_SEIKYUSHO_PAGE_AREA),0)=UNNH0030_REPORT_IF_B_PAGE_TOTAL,UNNH0030_REPORT_IF_H_TOTAL,"")</f>
        <v>0</v>
      </c>
      <c r="AR33" s="783"/>
      <c r="AS33" s="783"/>
      <c r="AT33" s="783"/>
      <c r="AU33" s="783"/>
      <c r="AV33" s="783"/>
      <c r="AW33" s="783"/>
      <c r="AX33" s="783"/>
      <c r="AY33" s="784"/>
    </row>
    <row r="34" spans="2:51" ht="33.75" customHeight="1"/>
    <row r="35" spans="2:51" ht="38.25" customHeight="1">
      <c r="B35" s="756" t="s">
        <v>1528</v>
      </c>
      <c r="C35" s="757"/>
      <c r="D35" s="758"/>
      <c r="E35" s="738" t="str">
        <f>IF(UNNH0030_REPORT_IF_H_TEKIYO="","",UNNH0030_REPORT_IF_H_TEKIYO)</f>
        <v/>
      </c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8"/>
      <c r="Y35" s="738"/>
      <c r="Z35" s="738"/>
      <c r="AA35" s="738"/>
      <c r="AB35" s="738"/>
      <c r="AC35" s="738"/>
      <c r="AD35" s="738"/>
      <c r="AE35" s="738"/>
      <c r="AF35" s="738"/>
      <c r="AG35" s="738"/>
      <c r="AH35" s="738"/>
      <c r="AI35" s="738"/>
      <c r="AJ35" s="738"/>
      <c r="AK35" s="738"/>
      <c r="AL35" s="738"/>
      <c r="AM35" s="738"/>
      <c r="AN35" s="738"/>
      <c r="AO35" s="738"/>
      <c r="AP35" s="738"/>
      <c r="AQ35" s="738"/>
      <c r="AR35" s="738"/>
      <c r="AS35" s="738"/>
      <c r="AU35" s="739" t="str">
        <f>IF(UNNH0030_REPORT_IF_H_SEIKYUHOHO_KBN=0,"","締日 "&amp;UNNH0030_REPORT_IF_H_SHIMEBI)</f>
        <v/>
      </c>
      <c r="AV35" s="739"/>
      <c r="AW35" s="739"/>
      <c r="AX35" s="739"/>
      <c r="AY35" s="740" t="str">
        <f>UNNH0030_REPORT_IF_H_SHIMEBI_MARK</f>
        <v>*</v>
      </c>
    </row>
    <row r="36" spans="2:51" ht="38.25" customHeight="1">
      <c r="B36" s="759"/>
      <c r="C36" s="760"/>
      <c r="D36" s="761"/>
      <c r="E36" s="738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8"/>
      <c r="Y36" s="738"/>
      <c r="Z36" s="738"/>
      <c r="AA36" s="738"/>
      <c r="AB36" s="738"/>
      <c r="AC36" s="738"/>
      <c r="AD36" s="738"/>
      <c r="AE36" s="738"/>
      <c r="AF36" s="738"/>
      <c r="AG36" s="738"/>
      <c r="AH36" s="738"/>
      <c r="AI36" s="738"/>
      <c r="AJ36" s="738"/>
      <c r="AK36" s="738"/>
      <c r="AL36" s="738"/>
      <c r="AM36" s="738"/>
      <c r="AN36" s="738"/>
      <c r="AO36" s="738"/>
      <c r="AP36" s="738"/>
      <c r="AQ36" s="738"/>
      <c r="AR36" s="738"/>
      <c r="AS36" s="738"/>
      <c r="AU36" s="739"/>
      <c r="AV36" s="739"/>
      <c r="AW36" s="739"/>
      <c r="AX36" s="739"/>
      <c r="AY36" s="740"/>
    </row>
    <row r="37" spans="2:51" ht="30" customHeight="1">
      <c r="B37" s="777" t="str">
        <f>IF(UNNH0030_REPORT_IF_JURI_NO="","",UNNH0030_REPORT_IF_JURI_NO)</f>
        <v/>
      </c>
      <c r="C37" s="777"/>
      <c r="D37" s="777"/>
      <c r="E37" s="777"/>
      <c r="F37" s="777"/>
      <c r="G37" s="777"/>
      <c r="H37" s="777"/>
      <c r="I37" s="777"/>
      <c r="J37" s="777"/>
      <c r="K37" s="777"/>
      <c r="L37" s="777"/>
      <c r="M37" s="777"/>
      <c r="N37" s="777"/>
      <c r="O37" s="777"/>
      <c r="P37" s="777"/>
      <c r="Q37" s="777"/>
      <c r="R37" s="777"/>
      <c r="S37" s="777"/>
      <c r="T37" s="777"/>
      <c r="U37" s="777"/>
      <c r="V37" s="777"/>
      <c r="W37" s="777"/>
      <c r="X37" s="777"/>
      <c r="Y37" s="777"/>
      <c r="Z37" s="777"/>
      <c r="AA37" s="777"/>
      <c r="AB37" s="777"/>
      <c r="AC37" s="777"/>
      <c r="AD37" s="777"/>
      <c r="AE37" s="777"/>
      <c r="AF37" s="777"/>
      <c r="AG37" s="777"/>
      <c r="AH37" s="777"/>
      <c r="AI37" s="777"/>
      <c r="AJ37" s="777"/>
      <c r="AK37" s="777"/>
      <c r="AL37" s="777"/>
      <c r="AM37" s="777"/>
      <c r="AN37" s="777"/>
      <c r="AO37" s="777"/>
      <c r="AP37" s="777"/>
      <c r="AQ37" s="777"/>
      <c r="AR37" s="777"/>
      <c r="AS37" s="777"/>
      <c r="AT37" s="777"/>
      <c r="AU37" s="777"/>
      <c r="AV37" s="777"/>
      <c r="AW37" s="777"/>
      <c r="AX37" s="777"/>
      <c r="AY37" s="777"/>
    </row>
    <row r="38" spans="2:51">
      <c r="E38" s="465"/>
      <c r="F38" s="466"/>
      <c r="G38" s="466"/>
      <c r="H38" s="466"/>
      <c r="I38" s="466"/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7"/>
      <c r="AA38" s="744" t="s">
        <v>1100</v>
      </c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P38" s="774" t="str">
        <f>"No."&amp;UNNH0030_REPORT_IF_H_URIAGE_NO&amp;"-"&amp;ROUNDUP(ROW()/ROWS(UNNH0030_SEIKYUSHO_PAGE_AREA),0)&amp;"/"&amp;UNNH0030_REPORT_IF_B_PAGE_TOTAL</f>
        <v>No.-2/1</v>
      </c>
      <c r="AQ38" s="774"/>
      <c r="AR38" s="774"/>
      <c r="AS38" s="774"/>
      <c r="AT38" s="774"/>
      <c r="AU38" s="774"/>
      <c r="AV38" s="774"/>
      <c r="AW38" s="774"/>
      <c r="AX38" s="774"/>
      <c r="AY38" s="774"/>
    </row>
    <row r="39" spans="2:51" ht="24.75" customHeight="1">
      <c r="D39" s="403"/>
      <c r="E39" s="468"/>
      <c r="F39" s="775" t="str">
        <f>IF(UNNH0030_REPORT_IF_H_JUSHO_NO_PRINT_FLG=TRUE,"","〒")</f>
        <v>〒</v>
      </c>
      <c r="G39" s="775"/>
      <c r="H39" s="776" t="str">
        <f>IF(UNNH0030_REPORT_IF_H_JUSHO_NO_PRINT_FLG=TRUE,"",IF(UNNH0030_REPORT_IF_H_YUBIN_NO="","",UNNH0030_REPORT_IF_H_YUBIN_NO))</f>
        <v/>
      </c>
      <c r="I39" s="776"/>
      <c r="J39" s="776"/>
      <c r="K39" s="776"/>
      <c r="L39" s="776"/>
      <c r="M39" s="776"/>
      <c r="N39" s="776"/>
      <c r="O39" s="776"/>
      <c r="P39" s="776"/>
      <c r="Q39" s="776"/>
      <c r="R39" s="776"/>
      <c r="S39" s="776"/>
      <c r="T39" s="776"/>
      <c r="U39" s="776"/>
      <c r="V39" s="776"/>
      <c r="W39" s="776"/>
      <c r="X39" s="776"/>
      <c r="Y39" s="469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P39" s="774"/>
      <c r="AQ39" s="774"/>
      <c r="AR39" s="774"/>
      <c r="AS39" s="774"/>
      <c r="AT39" s="774"/>
      <c r="AU39" s="774"/>
      <c r="AV39" s="774"/>
      <c r="AW39" s="774"/>
      <c r="AX39" s="774"/>
      <c r="AY39" s="774"/>
    </row>
    <row r="40" spans="2:51" ht="24.75" customHeight="1">
      <c r="D40" s="403"/>
      <c r="E40" s="468"/>
      <c r="F40" s="745" t="str">
        <f>IF(UNNH0030_REPORT_IF_H_JUSHO_NO_PRINT_FLG="","",IF(UNNH0030_REPORT_IF_H_ADDRESS_1="","",UNNH0030_REPORT_IF_H_ADDRESS_1))</f>
        <v/>
      </c>
      <c r="G40" s="745"/>
      <c r="H40" s="745"/>
      <c r="I40" s="745"/>
      <c r="J40" s="745"/>
      <c r="K40" s="745"/>
      <c r="L40" s="745"/>
      <c r="M40" s="745"/>
      <c r="N40" s="745"/>
      <c r="O40" s="745"/>
      <c r="P40" s="745"/>
      <c r="Q40" s="745"/>
      <c r="R40" s="745"/>
      <c r="S40" s="745"/>
      <c r="T40" s="745"/>
      <c r="U40" s="745"/>
      <c r="V40" s="745"/>
      <c r="W40" s="745"/>
      <c r="X40" s="745"/>
      <c r="Y40" s="469"/>
      <c r="AP40" s="748">
        <f>UNNH0030_REPORT_IF_H_URIAGE_DATE</f>
        <v>0</v>
      </c>
      <c r="AQ40" s="748"/>
      <c r="AR40" s="748"/>
      <c r="AS40" s="748"/>
      <c r="AT40" s="748"/>
      <c r="AU40" s="748"/>
      <c r="AV40" s="748"/>
      <c r="AW40" s="748"/>
      <c r="AX40" s="748"/>
      <c r="AY40" s="748"/>
    </row>
    <row r="41" spans="2:51" ht="24.75" customHeight="1">
      <c r="D41" s="403"/>
      <c r="E41" s="468"/>
      <c r="F41" s="745" t="str">
        <f>IF(UNNH0030_REPORT_IF_H_JUSHO_NO_PRINT_FLG="","",IF(UNNH0030_REPORT_IF_H_ADDRESS_2="","",UNNH0030_REPORT_IF_H_ADDRESS_2))</f>
        <v/>
      </c>
      <c r="G41" s="745"/>
      <c r="H41" s="745"/>
      <c r="I41" s="745"/>
      <c r="J41" s="745"/>
      <c r="K41" s="745"/>
      <c r="L41" s="745"/>
      <c r="M41" s="745"/>
      <c r="N41" s="745"/>
      <c r="O41" s="745"/>
      <c r="P41" s="745"/>
      <c r="Q41" s="745"/>
      <c r="R41" s="745"/>
      <c r="S41" s="745"/>
      <c r="T41" s="745"/>
      <c r="U41" s="745"/>
      <c r="V41" s="745"/>
      <c r="W41" s="745"/>
      <c r="X41" s="745"/>
      <c r="Y41" s="469"/>
    </row>
    <row r="42" spans="2:51" ht="24.75" customHeight="1">
      <c r="D42" s="403"/>
      <c r="E42" s="468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  <c r="Q42" s="409"/>
      <c r="R42" s="409"/>
      <c r="S42" s="409"/>
      <c r="T42" s="409"/>
      <c r="U42" s="409"/>
      <c r="V42" s="409"/>
      <c r="W42" s="409"/>
      <c r="X42" s="409"/>
      <c r="Y42" s="469"/>
    </row>
    <row r="43" spans="2:51" ht="26.25" customHeight="1">
      <c r="D43" s="403"/>
      <c r="E43" s="470"/>
      <c r="F43" s="745" t="str">
        <f>IF(TRIM(UNNH0030_REPORT_IF_H_SOFU_TANTO)="","",
IF(TRIM(UNNH0030_REPORT_IF_H_DEMPYO_SOFU_MEI)="","",
TRIM(UNNH0030_REPORT_IF_H_DEMPYO_SOFU_MEI)))</f>
        <v/>
      </c>
      <c r="G43" s="745"/>
      <c r="H43" s="745"/>
      <c r="I43" s="745"/>
      <c r="J43" s="745"/>
      <c r="K43" s="745"/>
      <c r="L43" s="745"/>
      <c r="M43" s="745"/>
      <c r="N43" s="745"/>
      <c r="O43" s="745"/>
      <c r="P43" s="745"/>
      <c r="Q43" s="745"/>
      <c r="R43" s="745"/>
      <c r="S43" s="745"/>
      <c r="T43" s="745"/>
      <c r="U43" s="745"/>
      <c r="V43" s="745"/>
      <c r="W43" s="745"/>
      <c r="X43" s="745"/>
      <c r="Y43" s="469"/>
    </row>
    <row r="44" spans="2:51" ht="26.25" customHeight="1">
      <c r="D44" s="403"/>
      <c r="E44" s="468"/>
      <c r="F44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  <c r="U44" s="746"/>
      <c r="V44" s="746"/>
      <c r="W44" s="746"/>
      <c r="X44" s="746"/>
      <c r="Y44" s="469"/>
      <c r="Z44" s="477" t="str">
        <f>UNNH0030_REPORT_IF_H_SHIMEBI_MARK</f>
        <v>*</v>
      </c>
    </row>
    <row r="45" spans="2:51" ht="25.5" customHeight="1">
      <c r="D45" s="403"/>
      <c r="E45" s="471"/>
      <c r="F45" s="747">
        <f>UNNH0030_REPORT_IF_H_SEIKYU_CD</f>
        <v>0</v>
      </c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  <c r="U45" s="747"/>
      <c r="V45" s="747"/>
      <c r="W45" s="747"/>
      <c r="X45" s="747"/>
      <c r="Y45" s="472"/>
    </row>
    <row r="46" spans="2:51" ht="30" customHeight="1">
      <c r="D46" s="403"/>
      <c r="E46" s="403"/>
      <c r="F46" s="403"/>
      <c r="G46" s="403"/>
      <c r="H46" s="403"/>
      <c r="I46" s="403"/>
      <c r="J46" s="403"/>
      <c r="K46" s="403"/>
      <c r="L46" s="403"/>
      <c r="M46" s="403"/>
      <c r="N46" s="403"/>
      <c r="O46" s="403"/>
    </row>
    <row r="47" spans="2:51" ht="30" customHeight="1"/>
    <row r="48" spans="2:51" ht="29.25" customHeight="1">
      <c r="B48" s="474" t="s">
        <v>1101</v>
      </c>
    </row>
    <row r="49" spans="1:52" ht="36.75" customHeight="1">
      <c r="B49" s="742"/>
      <c r="C49" s="742"/>
      <c r="D49" s="742" t="s">
        <v>1102</v>
      </c>
      <c r="E49" s="742"/>
      <c r="F49" s="742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  <c r="R49" s="742"/>
      <c r="S49" s="742"/>
      <c r="T49" s="742"/>
      <c r="U49" s="742"/>
      <c r="V49" s="742"/>
      <c r="W49" s="742"/>
      <c r="X49" s="742"/>
      <c r="Y49" s="742"/>
      <c r="Z49" s="742"/>
      <c r="AA49" s="742"/>
      <c r="AB49" s="742"/>
      <c r="AC49" s="742" t="s">
        <v>1103</v>
      </c>
      <c r="AD49" s="742"/>
      <c r="AE49" s="742"/>
      <c r="AF49" s="742"/>
      <c r="AG49" s="742"/>
      <c r="AH49" s="742"/>
      <c r="AI49" s="742"/>
      <c r="AJ49" s="742" t="s">
        <v>1104</v>
      </c>
      <c r="AK49" s="742"/>
      <c r="AL49" s="742" t="s">
        <v>1105</v>
      </c>
      <c r="AM49" s="742"/>
      <c r="AN49" s="742"/>
      <c r="AO49" s="742"/>
      <c r="AP49" s="742"/>
      <c r="AQ49" s="742"/>
      <c r="AR49" s="742"/>
      <c r="AS49" s="742" t="s">
        <v>1106</v>
      </c>
      <c r="AT49" s="742"/>
      <c r="AU49" s="742"/>
      <c r="AV49" s="742"/>
      <c r="AW49" s="742"/>
      <c r="AX49" s="742"/>
      <c r="AY49" s="742"/>
    </row>
    <row r="50" spans="1:52" ht="36.75" customHeight="1">
      <c r="B50" s="742">
        <f>ROUNDDOWN(ROW()/ROWS(UNNH0030_REPORT_RAYOUT_SEIKYUSHO),0)*UNNH0030_REPORT_IF_B_PAGE_MEISAI_SU+1</f>
        <v>21</v>
      </c>
      <c r="C50" s="742"/>
      <c r="D50" s="743" t="str">
        <f t="shared" ref="D50:D69" ca="1" si="6">IF(OFFSET(UNNH0030_REPORT_IF_B_SHOHIN_MEI,$B50,0)="","",OFFSET(UNNH0030_REPORT_IF_B_SHOHIN_MEI,$B50,0))</f>
        <v/>
      </c>
      <c r="E50" s="743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81" t="str">
        <f t="shared" ref="AC50:AC69" ca="1" si="7">IF(OR(OFFSET(UNNH0030_REPORT_IF_B_ROW_KBN,$B50,0)&lt;&gt;1,$D50="",$D50="消費税"),"",
OFFSET(UNNH0030_REPORT_IF_B_SURYO,$B50,0))</f>
        <v/>
      </c>
      <c r="AD50" s="781"/>
      <c r="AE50" s="781"/>
      <c r="AF50" s="781"/>
      <c r="AG50" s="781"/>
      <c r="AH50" s="781"/>
      <c r="AI50" s="781"/>
      <c r="AJ50" s="742" t="str">
        <f t="shared" ref="AJ50:AJ69" ca="1" si="8">IF(OFFSET(UNNH0030_REPORT_IF_B_TANI,$B50,0)="","",OFFSET(UNNH0030_REPORT_IF_B_TANI,$B50,0))</f>
        <v/>
      </c>
      <c r="AK50" s="742"/>
      <c r="AL50" s="781" t="str">
        <f t="shared" ref="AL50:AL69" ca="1" si="9">IF(OR(OFFSET(UNNH0030_REPORT_IF_B_ROW_KBN,$B50,0)&lt;&gt;1,$D50="",$D50="消費税"),"",
OFFSET(UNNH0030_REPORT_IF_B_TANKA,$B50,0))</f>
        <v/>
      </c>
      <c r="AM50" s="781"/>
      <c r="AN50" s="781"/>
      <c r="AO50" s="781"/>
      <c r="AP50" s="781"/>
      <c r="AQ50" s="781"/>
      <c r="AR50" s="781"/>
      <c r="AS50" s="741" t="str">
        <f t="shared" ref="AS50:AS69" ca="1" si="10">IF(OR(OFFSET(UNNH0030_REPORT_IF_B_KINGAKU,$B50,0)=0,$D50=""),"",
OFFSET(UNNH0030_REPORT_IF_B_KINGAKU,$B50,0))</f>
        <v/>
      </c>
      <c r="AT50" s="741"/>
      <c r="AU50" s="741"/>
      <c r="AV50" s="741"/>
      <c r="AW50" s="741"/>
      <c r="AX50" s="741"/>
      <c r="AY50" s="741"/>
    </row>
    <row r="51" spans="1:52" ht="36.75" customHeight="1">
      <c r="B51" s="742">
        <f>B50+1</f>
        <v>22</v>
      </c>
      <c r="C51" s="742"/>
      <c r="D51" s="743" t="str">
        <f t="shared" ca="1" si="6"/>
        <v/>
      </c>
      <c r="E51" s="743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81" t="str">
        <f t="shared" ca="1" si="7"/>
        <v/>
      </c>
      <c r="AD51" s="781"/>
      <c r="AE51" s="781"/>
      <c r="AF51" s="781"/>
      <c r="AG51" s="781"/>
      <c r="AH51" s="781"/>
      <c r="AI51" s="781"/>
      <c r="AJ51" s="742" t="str">
        <f t="shared" ca="1" si="8"/>
        <v/>
      </c>
      <c r="AK51" s="742"/>
      <c r="AL51" s="781" t="str">
        <f t="shared" ca="1" si="9"/>
        <v/>
      </c>
      <c r="AM51" s="781"/>
      <c r="AN51" s="781"/>
      <c r="AO51" s="781"/>
      <c r="AP51" s="781"/>
      <c r="AQ51" s="781"/>
      <c r="AR51" s="781"/>
      <c r="AS51" s="741" t="str">
        <f t="shared" ca="1" si="10"/>
        <v/>
      </c>
      <c r="AT51" s="741"/>
      <c r="AU51" s="741"/>
      <c r="AV51" s="741"/>
      <c r="AW51" s="741"/>
      <c r="AX51" s="741"/>
      <c r="AY51" s="741"/>
    </row>
    <row r="52" spans="1:52" ht="36.75" customHeight="1">
      <c r="B52" s="742">
        <f>B51+1</f>
        <v>23</v>
      </c>
      <c r="C52" s="742"/>
      <c r="D52" s="743" t="str">
        <f t="shared" ca="1" si="6"/>
        <v/>
      </c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3"/>
      <c r="R52" s="743"/>
      <c r="S52" s="743"/>
      <c r="T52" s="743"/>
      <c r="U52" s="743"/>
      <c r="V52" s="743"/>
      <c r="W52" s="743"/>
      <c r="X52" s="743"/>
      <c r="Y52" s="743"/>
      <c r="Z52" s="743"/>
      <c r="AA52" s="743"/>
      <c r="AB52" s="743"/>
      <c r="AC52" s="781" t="str">
        <f t="shared" ca="1" si="7"/>
        <v/>
      </c>
      <c r="AD52" s="781"/>
      <c r="AE52" s="781"/>
      <c r="AF52" s="781"/>
      <c r="AG52" s="781"/>
      <c r="AH52" s="781"/>
      <c r="AI52" s="781"/>
      <c r="AJ52" s="742" t="str">
        <f t="shared" ca="1" si="8"/>
        <v/>
      </c>
      <c r="AK52" s="742"/>
      <c r="AL52" s="781" t="str">
        <f t="shared" ca="1" si="9"/>
        <v/>
      </c>
      <c r="AM52" s="781"/>
      <c r="AN52" s="781"/>
      <c r="AO52" s="781"/>
      <c r="AP52" s="781"/>
      <c r="AQ52" s="781"/>
      <c r="AR52" s="781"/>
      <c r="AS52" s="741" t="str">
        <f t="shared" ca="1" si="10"/>
        <v/>
      </c>
      <c r="AT52" s="741"/>
      <c r="AU52" s="741"/>
      <c r="AV52" s="741"/>
      <c r="AW52" s="741"/>
      <c r="AX52" s="741"/>
      <c r="AY52" s="741"/>
    </row>
    <row r="53" spans="1:52" ht="36.75" customHeight="1">
      <c r="B53" s="742">
        <f t="shared" ref="B53:B69" si="11">B52+1</f>
        <v>24</v>
      </c>
      <c r="C53" s="742"/>
      <c r="D53" s="743" t="str">
        <f t="shared" ca="1" si="6"/>
        <v/>
      </c>
      <c r="E53" s="743"/>
      <c r="F53" s="743"/>
      <c r="G53" s="743"/>
      <c r="H53" s="743"/>
      <c r="I53" s="743"/>
      <c r="J53" s="743"/>
      <c r="K53" s="743"/>
      <c r="L53" s="743"/>
      <c r="M53" s="743"/>
      <c r="N53" s="743"/>
      <c r="O53" s="743"/>
      <c r="P53" s="743"/>
      <c r="Q53" s="743"/>
      <c r="R53" s="743"/>
      <c r="S53" s="743"/>
      <c r="T53" s="743"/>
      <c r="U53" s="743"/>
      <c r="V53" s="743"/>
      <c r="W53" s="743"/>
      <c r="X53" s="743"/>
      <c r="Y53" s="743"/>
      <c r="Z53" s="743"/>
      <c r="AA53" s="743"/>
      <c r="AB53" s="743"/>
      <c r="AC53" s="781" t="str">
        <f t="shared" ca="1" si="7"/>
        <v/>
      </c>
      <c r="AD53" s="781"/>
      <c r="AE53" s="781"/>
      <c r="AF53" s="781"/>
      <c r="AG53" s="781"/>
      <c r="AH53" s="781"/>
      <c r="AI53" s="781"/>
      <c r="AJ53" s="742" t="str">
        <f t="shared" ca="1" si="8"/>
        <v/>
      </c>
      <c r="AK53" s="742"/>
      <c r="AL53" s="781" t="str">
        <f t="shared" ca="1" si="9"/>
        <v/>
      </c>
      <c r="AM53" s="781"/>
      <c r="AN53" s="781"/>
      <c r="AO53" s="781"/>
      <c r="AP53" s="781"/>
      <c r="AQ53" s="781"/>
      <c r="AR53" s="781"/>
      <c r="AS53" s="741" t="str">
        <f t="shared" ca="1" si="10"/>
        <v/>
      </c>
      <c r="AT53" s="741"/>
      <c r="AU53" s="741"/>
      <c r="AV53" s="741"/>
      <c r="AW53" s="741"/>
      <c r="AX53" s="741"/>
      <c r="AY53" s="741"/>
    </row>
    <row r="54" spans="1:52" ht="36.75" customHeight="1">
      <c r="A54" s="403" t="s">
        <v>1529</v>
      </c>
      <c r="B54" s="742">
        <f t="shared" si="11"/>
        <v>25</v>
      </c>
      <c r="C54" s="742"/>
      <c r="D54" s="743" t="str">
        <f t="shared" ca="1" si="6"/>
        <v/>
      </c>
      <c r="E54" s="743"/>
      <c r="F54" s="743"/>
      <c r="G54" s="743"/>
      <c r="H54" s="743"/>
      <c r="I54" s="743"/>
      <c r="J54" s="743"/>
      <c r="K54" s="743"/>
      <c r="L54" s="743"/>
      <c r="M54" s="743"/>
      <c r="N54" s="743"/>
      <c r="O54" s="743"/>
      <c r="P54" s="743"/>
      <c r="Q54" s="743"/>
      <c r="R54" s="743"/>
      <c r="S54" s="743"/>
      <c r="T54" s="743"/>
      <c r="U54" s="743"/>
      <c r="V54" s="743"/>
      <c r="W54" s="743"/>
      <c r="X54" s="743"/>
      <c r="Y54" s="743"/>
      <c r="Z54" s="743"/>
      <c r="AA54" s="743"/>
      <c r="AB54" s="743"/>
      <c r="AC54" s="781" t="str">
        <f t="shared" ca="1" si="7"/>
        <v/>
      </c>
      <c r="AD54" s="781"/>
      <c r="AE54" s="781"/>
      <c r="AF54" s="781"/>
      <c r="AG54" s="781"/>
      <c r="AH54" s="781"/>
      <c r="AI54" s="781"/>
      <c r="AJ54" s="742" t="str">
        <f t="shared" ca="1" si="8"/>
        <v/>
      </c>
      <c r="AK54" s="742"/>
      <c r="AL54" s="781" t="str">
        <f t="shared" ca="1" si="9"/>
        <v/>
      </c>
      <c r="AM54" s="781"/>
      <c r="AN54" s="781"/>
      <c r="AO54" s="781"/>
      <c r="AP54" s="781"/>
      <c r="AQ54" s="781"/>
      <c r="AR54" s="781"/>
      <c r="AS54" s="741" t="str">
        <f t="shared" ca="1" si="10"/>
        <v/>
      </c>
      <c r="AT54" s="741"/>
      <c r="AU54" s="741"/>
      <c r="AV54" s="741"/>
      <c r="AW54" s="741"/>
      <c r="AX54" s="741"/>
      <c r="AY54" s="741"/>
      <c r="AZ54" s="473" t="s">
        <v>1530</v>
      </c>
    </row>
    <row r="55" spans="1:52" ht="36.75" customHeight="1">
      <c r="B55" s="742">
        <f t="shared" si="11"/>
        <v>26</v>
      </c>
      <c r="C55" s="742"/>
      <c r="D55" s="743" t="str">
        <f t="shared" ca="1" si="6"/>
        <v/>
      </c>
      <c r="E55" s="743"/>
      <c r="F55" s="743"/>
      <c r="G55" s="743"/>
      <c r="H55" s="743"/>
      <c r="I55" s="743"/>
      <c r="J55" s="743"/>
      <c r="K55" s="743"/>
      <c r="L55" s="743"/>
      <c r="M55" s="743"/>
      <c r="N55" s="743"/>
      <c r="O55" s="743"/>
      <c r="P55" s="743"/>
      <c r="Q55" s="743"/>
      <c r="R55" s="743"/>
      <c r="S55" s="743"/>
      <c r="T55" s="743"/>
      <c r="U55" s="743"/>
      <c r="V55" s="743"/>
      <c r="W55" s="743"/>
      <c r="X55" s="743"/>
      <c r="Y55" s="743"/>
      <c r="Z55" s="743"/>
      <c r="AA55" s="743"/>
      <c r="AB55" s="743"/>
      <c r="AC55" s="781" t="str">
        <f t="shared" ca="1" si="7"/>
        <v/>
      </c>
      <c r="AD55" s="781"/>
      <c r="AE55" s="781"/>
      <c r="AF55" s="781"/>
      <c r="AG55" s="781"/>
      <c r="AH55" s="781"/>
      <c r="AI55" s="781"/>
      <c r="AJ55" s="742" t="str">
        <f t="shared" ca="1" si="8"/>
        <v/>
      </c>
      <c r="AK55" s="742"/>
      <c r="AL55" s="781" t="str">
        <f t="shared" ca="1" si="9"/>
        <v/>
      </c>
      <c r="AM55" s="781"/>
      <c r="AN55" s="781"/>
      <c r="AO55" s="781"/>
      <c r="AP55" s="781"/>
      <c r="AQ55" s="781"/>
      <c r="AR55" s="781"/>
      <c r="AS55" s="741" t="str">
        <f t="shared" ca="1" si="10"/>
        <v/>
      </c>
      <c r="AT55" s="741"/>
      <c r="AU55" s="741"/>
      <c r="AV55" s="741"/>
      <c r="AW55" s="741"/>
      <c r="AX55" s="741"/>
      <c r="AY55" s="741"/>
      <c r="AZ55" s="473"/>
    </row>
    <row r="56" spans="1:52" ht="36.75" customHeight="1">
      <c r="B56" s="742">
        <f t="shared" si="11"/>
        <v>27</v>
      </c>
      <c r="C56" s="742"/>
      <c r="D56" s="743" t="str">
        <f t="shared" ca="1" si="6"/>
        <v/>
      </c>
      <c r="E56" s="743"/>
      <c r="F56" s="743"/>
      <c r="G56" s="743"/>
      <c r="H56" s="743"/>
      <c r="I56" s="743"/>
      <c r="J56" s="743"/>
      <c r="K56" s="743"/>
      <c r="L56" s="743"/>
      <c r="M56" s="743"/>
      <c r="N56" s="743"/>
      <c r="O56" s="743"/>
      <c r="P56" s="743"/>
      <c r="Q56" s="743"/>
      <c r="R56" s="743"/>
      <c r="S56" s="743"/>
      <c r="T56" s="743"/>
      <c r="U56" s="743"/>
      <c r="V56" s="743"/>
      <c r="W56" s="743"/>
      <c r="X56" s="743"/>
      <c r="Y56" s="743"/>
      <c r="Z56" s="743"/>
      <c r="AA56" s="743"/>
      <c r="AB56" s="743"/>
      <c r="AC56" s="781" t="str">
        <f t="shared" ca="1" si="7"/>
        <v/>
      </c>
      <c r="AD56" s="781"/>
      <c r="AE56" s="781"/>
      <c r="AF56" s="781"/>
      <c r="AG56" s="781"/>
      <c r="AH56" s="781"/>
      <c r="AI56" s="781"/>
      <c r="AJ56" s="742" t="str">
        <f t="shared" ca="1" si="8"/>
        <v/>
      </c>
      <c r="AK56" s="742"/>
      <c r="AL56" s="781" t="str">
        <f t="shared" ca="1" si="9"/>
        <v/>
      </c>
      <c r="AM56" s="781"/>
      <c r="AN56" s="781"/>
      <c r="AO56" s="781"/>
      <c r="AP56" s="781"/>
      <c r="AQ56" s="781"/>
      <c r="AR56" s="781"/>
      <c r="AS56" s="741" t="str">
        <f t="shared" ca="1" si="10"/>
        <v/>
      </c>
      <c r="AT56" s="741"/>
      <c r="AU56" s="741"/>
      <c r="AV56" s="741"/>
      <c r="AW56" s="741"/>
      <c r="AX56" s="741"/>
      <c r="AY56" s="741"/>
      <c r="AZ56" s="473"/>
    </row>
    <row r="57" spans="1:52" ht="36.75" customHeight="1">
      <c r="B57" s="742">
        <f t="shared" si="11"/>
        <v>28</v>
      </c>
      <c r="C57" s="742"/>
      <c r="D57" s="743" t="str">
        <f t="shared" ca="1" si="6"/>
        <v/>
      </c>
      <c r="E57" s="743"/>
      <c r="F57" s="743"/>
      <c r="G57" s="743"/>
      <c r="H57" s="743"/>
      <c r="I57" s="743"/>
      <c r="J57" s="743"/>
      <c r="K57" s="743"/>
      <c r="L57" s="743"/>
      <c r="M57" s="743"/>
      <c r="N57" s="743"/>
      <c r="O57" s="743"/>
      <c r="P57" s="743"/>
      <c r="Q57" s="743"/>
      <c r="R57" s="743"/>
      <c r="S57" s="743"/>
      <c r="T57" s="743"/>
      <c r="U57" s="743"/>
      <c r="V57" s="743"/>
      <c r="W57" s="743"/>
      <c r="X57" s="743"/>
      <c r="Y57" s="743"/>
      <c r="Z57" s="743"/>
      <c r="AA57" s="743"/>
      <c r="AB57" s="743"/>
      <c r="AC57" s="781" t="str">
        <f t="shared" ca="1" si="7"/>
        <v/>
      </c>
      <c r="AD57" s="781"/>
      <c r="AE57" s="781"/>
      <c r="AF57" s="781"/>
      <c r="AG57" s="781"/>
      <c r="AH57" s="781"/>
      <c r="AI57" s="781"/>
      <c r="AJ57" s="742" t="str">
        <f t="shared" ca="1" si="8"/>
        <v/>
      </c>
      <c r="AK57" s="742"/>
      <c r="AL57" s="781" t="str">
        <f t="shared" ca="1" si="9"/>
        <v/>
      </c>
      <c r="AM57" s="781"/>
      <c r="AN57" s="781"/>
      <c r="AO57" s="781"/>
      <c r="AP57" s="781"/>
      <c r="AQ57" s="781"/>
      <c r="AR57" s="781"/>
      <c r="AS57" s="741" t="str">
        <f t="shared" ca="1" si="10"/>
        <v/>
      </c>
      <c r="AT57" s="741"/>
      <c r="AU57" s="741"/>
      <c r="AV57" s="741"/>
      <c r="AW57" s="741"/>
      <c r="AX57" s="741"/>
      <c r="AY57" s="741"/>
    </row>
    <row r="58" spans="1:52" ht="36.75" customHeight="1">
      <c r="B58" s="742">
        <f t="shared" si="11"/>
        <v>29</v>
      </c>
      <c r="C58" s="742"/>
      <c r="D58" s="743" t="str">
        <f t="shared" ca="1" si="6"/>
        <v/>
      </c>
      <c r="E58" s="743"/>
      <c r="F58" s="743"/>
      <c r="G58" s="743"/>
      <c r="H58" s="743"/>
      <c r="I58" s="743"/>
      <c r="J58" s="743"/>
      <c r="K58" s="743"/>
      <c r="L58" s="743"/>
      <c r="M58" s="743"/>
      <c r="N58" s="743"/>
      <c r="O58" s="743"/>
      <c r="P58" s="743"/>
      <c r="Q58" s="743"/>
      <c r="R58" s="743"/>
      <c r="S58" s="743"/>
      <c r="T58" s="743"/>
      <c r="U58" s="743"/>
      <c r="V58" s="743"/>
      <c r="W58" s="743"/>
      <c r="X58" s="743"/>
      <c r="Y58" s="743"/>
      <c r="Z58" s="743"/>
      <c r="AA58" s="743"/>
      <c r="AB58" s="743"/>
      <c r="AC58" s="781" t="str">
        <f t="shared" ca="1" si="7"/>
        <v/>
      </c>
      <c r="AD58" s="781"/>
      <c r="AE58" s="781"/>
      <c r="AF58" s="781"/>
      <c r="AG58" s="781"/>
      <c r="AH58" s="781"/>
      <c r="AI58" s="781"/>
      <c r="AJ58" s="742" t="str">
        <f t="shared" ca="1" si="8"/>
        <v/>
      </c>
      <c r="AK58" s="742"/>
      <c r="AL58" s="781" t="str">
        <f t="shared" ca="1" si="9"/>
        <v/>
      </c>
      <c r="AM58" s="781"/>
      <c r="AN58" s="781"/>
      <c r="AO58" s="781"/>
      <c r="AP58" s="781"/>
      <c r="AQ58" s="781"/>
      <c r="AR58" s="781"/>
      <c r="AS58" s="741" t="str">
        <f t="shared" ca="1" si="10"/>
        <v/>
      </c>
      <c r="AT58" s="741"/>
      <c r="AU58" s="741"/>
      <c r="AV58" s="741"/>
      <c r="AW58" s="741"/>
      <c r="AX58" s="741"/>
      <c r="AY58" s="741"/>
    </row>
    <row r="59" spans="1:52" ht="36.75" customHeight="1">
      <c r="B59" s="742">
        <f t="shared" si="11"/>
        <v>30</v>
      </c>
      <c r="C59" s="742"/>
      <c r="D59" s="743" t="str">
        <f t="shared" ca="1" si="6"/>
        <v/>
      </c>
      <c r="E59" s="743"/>
      <c r="F59" s="743"/>
      <c r="G59" s="743"/>
      <c r="H59" s="743"/>
      <c r="I59" s="743"/>
      <c r="J59" s="743"/>
      <c r="K59" s="743"/>
      <c r="L59" s="743"/>
      <c r="M59" s="743"/>
      <c r="N59" s="743"/>
      <c r="O59" s="743"/>
      <c r="P59" s="743"/>
      <c r="Q59" s="743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81" t="str">
        <f t="shared" ca="1" si="7"/>
        <v/>
      </c>
      <c r="AD59" s="781"/>
      <c r="AE59" s="781"/>
      <c r="AF59" s="781"/>
      <c r="AG59" s="781"/>
      <c r="AH59" s="781"/>
      <c r="AI59" s="781"/>
      <c r="AJ59" s="742" t="str">
        <f t="shared" ca="1" si="8"/>
        <v/>
      </c>
      <c r="AK59" s="742"/>
      <c r="AL59" s="781" t="str">
        <f t="shared" ca="1" si="9"/>
        <v/>
      </c>
      <c r="AM59" s="781"/>
      <c r="AN59" s="781"/>
      <c r="AO59" s="781"/>
      <c r="AP59" s="781"/>
      <c r="AQ59" s="781"/>
      <c r="AR59" s="781"/>
      <c r="AS59" s="741" t="str">
        <f t="shared" ca="1" si="10"/>
        <v/>
      </c>
      <c r="AT59" s="741"/>
      <c r="AU59" s="741"/>
      <c r="AV59" s="741"/>
      <c r="AW59" s="741"/>
      <c r="AX59" s="741"/>
      <c r="AY59" s="741"/>
    </row>
    <row r="60" spans="1:52" ht="36.75" customHeight="1">
      <c r="B60" s="742">
        <f t="shared" si="11"/>
        <v>31</v>
      </c>
      <c r="C60" s="742"/>
      <c r="D60" s="743" t="str">
        <f t="shared" ca="1" si="6"/>
        <v/>
      </c>
      <c r="E60" s="743"/>
      <c r="F60" s="743"/>
      <c r="G60" s="743"/>
      <c r="H60" s="743"/>
      <c r="I60" s="743"/>
      <c r="J60" s="743"/>
      <c r="K60" s="743"/>
      <c r="L60" s="743"/>
      <c r="M60" s="743"/>
      <c r="N60" s="743"/>
      <c r="O60" s="743"/>
      <c r="P60" s="743"/>
      <c r="Q60" s="743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81" t="str">
        <f t="shared" ca="1" si="7"/>
        <v/>
      </c>
      <c r="AD60" s="781"/>
      <c r="AE60" s="781"/>
      <c r="AF60" s="781"/>
      <c r="AG60" s="781"/>
      <c r="AH60" s="781"/>
      <c r="AI60" s="781"/>
      <c r="AJ60" s="742" t="str">
        <f t="shared" ca="1" si="8"/>
        <v/>
      </c>
      <c r="AK60" s="742"/>
      <c r="AL60" s="781" t="str">
        <f t="shared" ca="1" si="9"/>
        <v/>
      </c>
      <c r="AM60" s="781"/>
      <c r="AN60" s="781"/>
      <c r="AO60" s="781"/>
      <c r="AP60" s="781"/>
      <c r="AQ60" s="781"/>
      <c r="AR60" s="781"/>
      <c r="AS60" s="741" t="str">
        <f t="shared" ca="1" si="10"/>
        <v/>
      </c>
      <c r="AT60" s="741"/>
      <c r="AU60" s="741"/>
      <c r="AV60" s="741"/>
      <c r="AW60" s="741"/>
      <c r="AX60" s="741"/>
      <c r="AY60" s="741"/>
    </row>
    <row r="61" spans="1:52" ht="36.75" customHeight="1">
      <c r="B61" s="742">
        <f t="shared" si="11"/>
        <v>32</v>
      </c>
      <c r="C61" s="742"/>
      <c r="D61" s="743" t="str">
        <f t="shared" ca="1" si="6"/>
        <v/>
      </c>
      <c r="E61" s="743"/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3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81" t="str">
        <f t="shared" ca="1" si="7"/>
        <v/>
      </c>
      <c r="AD61" s="781"/>
      <c r="AE61" s="781"/>
      <c r="AF61" s="781"/>
      <c r="AG61" s="781"/>
      <c r="AH61" s="781"/>
      <c r="AI61" s="781"/>
      <c r="AJ61" s="742" t="str">
        <f t="shared" ca="1" si="8"/>
        <v/>
      </c>
      <c r="AK61" s="742"/>
      <c r="AL61" s="781" t="str">
        <f t="shared" ca="1" si="9"/>
        <v/>
      </c>
      <c r="AM61" s="781"/>
      <c r="AN61" s="781"/>
      <c r="AO61" s="781"/>
      <c r="AP61" s="781"/>
      <c r="AQ61" s="781"/>
      <c r="AR61" s="781"/>
      <c r="AS61" s="741" t="str">
        <f t="shared" ca="1" si="10"/>
        <v/>
      </c>
      <c r="AT61" s="741"/>
      <c r="AU61" s="741"/>
      <c r="AV61" s="741"/>
      <c r="AW61" s="741"/>
      <c r="AX61" s="741"/>
      <c r="AY61" s="741"/>
    </row>
    <row r="62" spans="1:52" ht="36.75" customHeight="1">
      <c r="B62" s="742">
        <f t="shared" si="11"/>
        <v>33</v>
      </c>
      <c r="C62" s="742"/>
      <c r="D62" s="743" t="str">
        <f t="shared" ca="1" si="6"/>
        <v/>
      </c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81" t="str">
        <f t="shared" ca="1" si="7"/>
        <v/>
      </c>
      <c r="AD62" s="781"/>
      <c r="AE62" s="781"/>
      <c r="AF62" s="781"/>
      <c r="AG62" s="781"/>
      <c r="AH62" s="781"/>
      <c r="AI62" s="781"/>
      <c r="AJ62" s="742" t="str">
        <f t="shared" ca="1" si="8"/>
        <v/>
      </c>
      <c r="AK62" s="742"/>
      <c r="AL62" s="781" t="str">
        <f t="shared" ca="1" si="9"/>
        <v/>
      </c>
      <c r="AM62" s="781"/>
      <c r="AN62" s="781"/>
      <c r="AO62" s="781"/>
      <c r="AP62" s="781"/>
      <c r="AQ62" s="781"/>
      <c r="AR62" s="781"/>
      <c r="AS62" s="741" t="str">
        <f t="shared" ca="1" si="10"/>
        <v/>
      </c>
      <c r="AT62" s="741"/>
      <c r="AU62" s="741"/>
      <c r="AV62" s="741"/>
      <c r="AW62" s="741"/>
      <c r="AX62" s="741"/>
      <c r="AY62" s="741"/>
    </row>
    <row r="63" spans="1:52" ht="36.75" customHeight="1">
      <c r="B63" s="742">
        <f t="shared" si="11"/>
        <v>34</v>
      </c>
      <c r="C63" s="742"/>
      <c r="D63" s="743" t="str">
        <f t="shared" ca="1" si="6"/>
        <v/>
      </c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81" t="str">
        <f t="shared" ca="1" si="7"/>
        <v/>
      </c>
      <c r="AD63" s="781"/>
      <c r="AE63" s="781"/>
      <c r="AF63" s="781"/>
      <c r="AG63" s="781"/>
      <c r="AH63" s="781"/>
      <c r="AI63" s="781"/>
      <c r="AJ63" s="742" t="str">
        <f t="shared" ca="1" si="8"/>
        <v/>
      </c>
      <c r="AK63" s="742"/>
      <c r="AL63" s="781" t="str">
        <f t="shared" ca="1" si="9"/>
        <v/>
      </c>
      <c r="AM63" s="781"/>
      <c r="AN63" s="781"/>
      <c r="AO63" s="781"/>
      <c r="AP63" s="781"/>
      <c r="AQ63" s="781"/>
      <c r="AR63" s="781"/>
      <c r="AS63" s="741" t="str">
        <f t="shared" ca="1" si="10"/>
        <v/>
      </c>
      <c r="AT63" s="741"/>
      <c r="AU63" s="741"/>
      <c r="AV63" s="741"/>
      <c r="AW63" s="741"/>
      <c r="AX63" s="741"/>
      <c r="AY63" s="741"/>
    </row>
    <row r="64" spans="1:52" ht="36.75" customHeight="1">
      <c r="B64" s="742">
        <f t="shared" si="11"/>
        <v>35</v>
      </c>
      <c r="C64" s="742"/>
      <c r="D64" s="743" t="str">
        <f t="shared" ca="1" si="6"/>
        <v/>
      </c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81" t="str">
        <f t="shared" ca="1" si="7"/>
        <v/>
      </c>
      <c r="AD64" s="781"/>
      <c r="AE64" s="781"/>
      <c r="AF64" s="781"/>
      <c r="AG64" s="781"/>
      <c r="AH64" s="781"/>
      <c r="AI64" s="781"/>
      <c r="AJ64" s="742" t="str">
        <f t="shared" ca="1" si="8"/>
        <v/>
      </c>
      <c r="AK64" s="742"/>
      <c r="AL64" s="781" t="str">
        <f t="shared" ca="1" si="9"/>
        <v/>
      </c>
      <c r="AM64" s="781"/>
      <c r="AN64" s="781"/>
      <c r="AO64" s="781"/>
      <c r="AP64" s="781"/>
      <c r="AQ64" s="781"/>
      <c r="AR64" s="781"/>
      <c r="AS64" s="741" t="str">
        <f t="shared" ca="1" si="10"/>
        <v/>
      </c>
      <c r="AT64" s="741"/>
      <c r="AU64" s="741"/>
      <c r="AV64" s="741"/>
      <c r="AW64" s="741"/>
      <c r="AX64" s="741"/>
      <c r="AY64" s="741"/>
    </row>
    <row r="65" spans="1:52" ht="36.75" customHeight="1">
      <c r="B65" s="742">
        <f t="shared" si="11"/>
        <v>36</v>
      </c>
      <c r="C65" s="742"/>
      <c r="D65" s="743" t="str">
        <f t="shared" ca="1" si="6"/>
        <v/>
      </c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81" t="str">
        <f t="shared" ca="1" si="7"/>
        <v/>
      </c>
      <c r="AD65" s="781"/>
      <c r="AE65" s="781"/>
      <c r="AF65" s="781"/>
      <c r="AG65" s="781"/>
      <c r="AH65" s="781"/>
      <c r="AI65" s="781"/>
      <c r="AJ65" s="742" t="str">
        <f t="shared" ca="1" si="8"/>
        <v/>
      </c>
      <c r="AK65" s="742"/>
      <c r="AL65" s="781" t="str">
        <f t="shared" ca="1" si="9"/>
        <v/>
      </c>
      <c r="AM65" s="781"/>
      <c r="AN65" s="781"/>
      <c r="AO65" s="781"/>
      <c r="AP65" s="781"/>
      <c r="AQ65" s="781"/>
      <c r="AR65" s="781"/>
      <c r="AS65" s="741" t="str">
        <f t="shared" ca="1" si="10"/>
        <v/>
      </c>
      <c r="AT65" s="741"/>
      <c r="AU65" s="741"/>
      <c r="AV65" s="741"/>
      <c r="AW65" s="741"/>
      <c r="AX65" s="741"/>
      <c r="AY65" s="741"/>
    </row>
    <row r="66" spans="1:52" ht="36.75" customHeight="1">
      <c r="B66" s="742">
        <f t="shared" si="11"/>
        <v>37</v>
      </c>
      <c r="C66" s="742"/>
      <c r="D66" s="743" t="str">
        <f t="shared" ca="1" si="6"/>
        <v/>
      </c>
      <c r="E66" s="743"/>
      <c r="F66" s="743"/>
      <c r="G66" s="743"/>
      <c r="H66" s="743"/>
      <c r="I66" s="743"/>
      <c r="J66" s="743"/>
      <c r="K66" s="743"/>
      <c r="L66" s="743"/>
      <c r="M66" s="743"/>
      <c r="N66" s="743"/>
      <c r="O66" s="743"/>
      <c r="P66" s="743"/>
      <c r="Q66" s="743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81" t="str">
        <f t="shared" ca="1" si="7"/>
        <v/>
      </c>
      <c r="AD66" s="781"/>
      <c r="AE66" s="781"/>
      <c r="AF66" s="781"/>
      <c r="AG66" s="781"/>
      <c r="AH66" s="781"/>
      <c r="AI66" s="781"/>
      <c r="AJ66" s="742" t="str">
        <f t="shared" ca="1" si="8"/>
        <v/>
      </c>
      <c r="AK66" s="742"/>
      <c r="AL66" s="781" t="str">
        <f t="shared" ca="1" si="9"/>
        <v/>
      </c>
      <c r="AM66" s="781"/>
      <c r="AN66" s="781"/>
      <c r="AO66" s="781"/>
      <c r="AP66" s="781"/>
      <c r="AQ66" s="781"/>
      <c r="AR66" s="781"/>
      <c r="AS66" s="741" t="str">
        <f t="shared" ca="1" si="10"/>
        <v/>
      </c>
      <c r="AT66" s="741"/>
      <c r="AU66" s="741"/>
      <c r="AV66" s="741"/>
      <c r="AW66" s="741"/>
      <c r="AX66" s="741"/>
      <c r="AY66" s="741"/>
    </row>
    <row r="67" spans="1:52" ht="36.75" customHeight="1">
      <c r="B67" s="742">
        <f t="shared" si="11"/>
        <v>38</v>
      </c>
      <c r="C67" s="742"/>
      <c r="D67" s="743" t="str">
        <f t="shared" ca="1" si="6"/>
        <v/>
      </c>
      <c r="E67" s="743"/>
      <c r="F67" s="743"/>
      <c r="G67" s="743"/>
      <c r="H67" s="743"/>
      <c r="I67" s="743"/>
      <c r="J67" s="743"/>
      <c r="K67" s="743"/>
      <c r="L67" s="743"/>
      <c r="M67" s="743"/>
      <c r="N67" s="743"/>
      <c r="O67" s="743"/>
      <c r="P67" s="743"/>
      <c r="Q67" s="743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81" t="str">
        <f t="shared" ca="1" si="7"/>
        <v/>
      </c>
      <c r="AD67" s="781"/>
      <c r="AE67" s="781"/>
      <c r="AF67" s="781"/>
      <c r="AG67" s="781"/>
      <c r="AH67" s="781"/>
      <c r="AI67" s="781"/>
      <c r="AJ67" s="742" t="str">
        <f t="shared" ca="1" si="8"/>
        <v/>
      </c>
      <c r="AK67" s="742"/>
      <c r="AL67" s="781" t="str">
        <f t="shared" ca="1" si="9"/>
        <v/>
      </c>
      <c r="AM67" s="781"/>
      <c r="AN67" s="781"/>
      <c r="AO67" s="781"/>
      <c r="AP67" s="781"/>
      <c r="AQ67" s="781"/>
      <c r="AR67" s="781"/>
      <c r="AS67" s="741" t="str">
        <f t="shared" ca="1" si="10"/>
        <v/>
      </c>
      <c r="AT67" s="741"/>
      <c r="AU67" s="741"/>
      <c r="AV67" s="741"/>
      <c r="AW67" s="741"/>
      <c r="AX67" s="741"/>
      <c r="AY67" s="741"/>
    </row>
    <row r="68" spans="1:52" ht="36.75" customHeight="1">
      <c r="A68" s="403" t="s">
        <v>1529</v>
      </c>
      <c r="B68" s="742">
        <f t="shared" si="11"/>
        <v>39</v>
      </c>
      <c r="C68" s="742"/>
      <c r="D68" s="743" t="str">
        <f t="shared" ca="1" si="6"/>
        <v/>
      </c>
      <c r="E68" s="743"/>
      <c r="F68" s="743"/>
      <c r="G68" s="743"/>
      <c r="H68" s="743"/>
      <c r="I68" s="743"/>
      <c r="J68" s="743"/>
      <c r="K68" s="743"/>
      <c r="L68" s="743"/>
      <c r="M68" s="743"/>
      <c r="N68" s="743"/>
      <c r="O68" s="743"/>
      <c r="P68" s="743"/>
      <c r="Q68" s="743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81" t="str">
        <f t="shared" ca="1" si="7"/>
        <v/>
      </c>
      <c r="AD68" s="781"/>
      <c r="AE68" s="781"/>
      <c r="AF68" s="781"/>
      <c r="AG68" s="781"/>
      <c r="AH68" s="781"/>
      <c r="AI68" s="781"/>
      <c r="AJ68" s="742" t="str">
        <f t="shared" ca="1" si="8"/>
        <v/>
      </c>
      <c r="AK68" s="742"/>
      <c r="AL68" s="781" t="str">
        <f t="shared" ca="1" si="9"/>
        <v/>
      </c>
      <c r="AM68" s="781"/>
      <c r="AN68" s="781"/>
      <c r="AO68" s="781"/>
      <c r="AP68" s="781"/>
      <c r="AQ68" s="781"/>
      <c r="AR68" s="781"/>
      <c r="AS68" s="741" t="str">
        <f t="shared" ca="1" si="10"/>
        <v/>
      </c>
      <c r="AT68" s="741"/>
      <c r="AU68" s="741"/>
      <c r="AV68" s="741"/>
      <c r="AW68" s="741"/>
      <c r="AX68" s="741"/>
      <c r="AY68" s="741"/>
      <c r="AZ68" s="473" t="s">
        <v>1530</v>
      </c>
    </row>
    <row r="69" spans="1:52" ht="36.75" customHeight="1">
      <c r="B69" s="742">
        <f t="shared" si="11"/>
        <v>40</v>
      </c>
      <c r="C69" s="742"/>
      <c r="D69" s="743" t="str">
        <f t="shared" ca="1" si="6"/>
        <v/>
      </c>
      <c r="E69" s="743"/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3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81" t="str">
        <f t="shared" ca="1" si="7"/>
        <v/>
      </c>
      <c r="AD69" s="781"/>
      <c r="AE69" s="781"/>
      <c r="AF69" s="781"/>
      <c r="AG69" s="781"/>
      <c r="AH69" s="781"/>
      <c r="AI69" s="781"/>
      <c r="AJ69" s="742" t="str">
        <f t="shared" ca="1" si="8"/>
        <v/>
      </c>
      <c r="AK69" s="742"/>
      <c r="AL69" s="781" t="str">
        <f t="shared" ca="1" si="9"/>
        <v/>
      </c>
      <c r="AM69" s="781"/>
      <c r="AN69" s="781"/>
      <c r="AO69" s="781"/>
      <c r="AP69" s="781"/>
      <c r="AQ69" s="781"/>
      <c r="AR69" s="781"/>
      <c r="AS69" s="741" t="str">
        <f t="shared" ca="1" si="10"/>
        <v/>
      </c>
      <c r="AT69" s="741"/>
      <c r="AU69" s="741"/>
      <c r="AV69" s="741"/>
      <c r="AW69" s="741"/>
      <c r="AX69" s="741"/>
      <c r="AY69" s="741"/>
    </row>
    <row r="70" spans="1:52" ht="45" customHeight="1">
      <c r="B70" s="749" t="s">
        <v>1527</v>
      </c>
      <c r="C70" s="750"/>
      <c r="D70" s="750"/>
      <c r="E70" s="751" t="str">
        <f>IF(UNNH0030_REPORT_IF_H_EIGYO_MEI="","",UNNH0030_REPORT_IF_H_EIGYO_MEI)</f>
        <v/>
      </c>
      <c r="F70" s="751"/>
      <c r="G70" s="751"/>
      <c r="H70" s="751"/>
      <c r="I70" s="751"/>
      <c r="J70" s="751"/>
      <c r="K70" s="751"/>
      <c r="L70" s="751"/>
      <c r="M70" s="751"/>
      <c r="N70" s="751"/>
      <c r="O70" s="751"/>
      <c r="P70" s="751"/>
      <c r="Q70" s="751"/>
      <c r="R70" s="751"/>
      <c r="S70" s="751"/>
      <c r="T70" s="751"/>
      <c r="U70" s="751"/>
      <c r="V70" s="751"/>
      <c r="W70" s="751"/>
      <c r="X70" s="751"/>
      <c r="Y70" s="751"/>
      <c r="Z70" s="751"/>
      <c r="AA70" s="751"/>
      <c r="AB70" s="751"/>
      <c r="AC70" s="751"/>
      <c r="AD70" s="751"/>
      <c r="AE70" s="751"/>
      <c r="AF70" s="751"/>
      <c r="AG70" s="752"/>
      <c r="AH70" s="742" t="s">
        <v>1107</v>
      </c>
      <c r="AI70" s="742"/>
      <c r="AJ70" s="742"/>
      <c r="AK70" s="742"/>
      <c r="AL70" s="742"/>
      <c r="AM70" s="742"/>
      <c r="AN70" s="742"/>
      <c r="AO70" s="742"/>
      <c r="AP70" s="742"/>
      <c r="AQ70" s="782" t="str">
        <f>IF(ROUNDUP(ROW()/ROWS(UNNH0030_SEIKYUSHO_PAGE_AREA),0)=UNNH0030_REPORT_IF_B_PAGE_TOTAL,UNNH0030_REPORT_IF_H_TOTAL,"")</f>
        <v/>
      </c>
      <c r="AR70" s="783"/>
      <c r="AS70" s="783"/>
      <c r="AT70" s="783"/>
      <c r="AU70" s="783"/>
      <c r="AV70" s="783"/>
      <c r="AW70" s="783"/>
      <c r="AX70" s="783"/>
      <c r="AY70" s="784"/>
    </row>
    <row r="71" spans="1:52" ht="33.75" customHeight="1"/>
    <row r="72" spans="1:52" ht="38.25" customHeight="1">
      <c r="B72" s="756" t="s">
        <v>1528</v>
      </c>
      <c r="C72" s="757"/>
      <c r="D72" s="758"/>
      <c r="E72" s="738" t="str">
        <f>IF(UNNH0030_REPORT_IF_H_TEKIYO="","",UNNH0030_REPORT_IF_H_TEKIYO)</f>
        <v/>
      </c>
      <c r="F72" s="738"/>
      <c r="G72" s="738"/>
      <c r="H72" s="738"/>
      <c r="I72" s="738"/>
      <c r="J72" s="738"/>
      <c r="K72" s="738"/>
      <c r="L72" s="738"/>
      <c r="M72" s="738"/>
      <c r="N72" s="738"/>
      <c r="O72" s="738"/>
      <c r="P72" s="738"/>
      <c r="Q72" s="738"/>
      <c r="R72" s="738"/>
      <c r="S72" s="738"/>
      <c r="T72" s="738"/>
      <c r="U72" s="738"/>
      <c r="V72" s="738"/>
      <c r="W72" s="738"/>
      <c r="X72" s="738"/>
      <c r="Y72" s="738"/>
      <c r="Z72" s="738"/>
      <c r="AA72" s="738"/>
      <c r="AB72" s="738"/>
      <c r="AC72" s="738"/>
      <c r="AD72" s="738"/>
      <c r="AE72" s="738"/>
      <c r="AF72" s="738"/>
      <c r="AG72" s="738"/>
      <c r="AH72" s="738"/>
      <c r="AI72" s="738"/>
      <c r="AJ72" s="738"/>
      <c r="AK72" s="738"/>
      <c r="AL72" s="738"/>
      <c r="AM72" s="738"/>
      <c r="AN72" s="738"/>
      <c r="AO72" s="738"/>
      <c r="AP72" s="738"/>
      <c r="AQ72" s="738"/>
      <c r="AR72" s="738"/>
      <c r="AS72" s="738"/>
      <c r="AU72" s="739" t="str">
        <f>IF(UNNH0030_REPORT_IF_H_SEIKYUHOHO_KBN=0,"","締日 "&amp;UNNH0030_REPORT_IF_H_SHIMEBI)</f>
        <v/>
      </c>
      <c r="AV72" s="739"/>
      <c r="AW72" s="739"/>
      <c r="AX72" s="739"/>
      <c r="AY72" s="740" t="str">
        <f>UNNH0030_REPORT_IF_H_SHIMEBI_MARK</f>
        <v>*</v>
      </c>
    </row>
    <row r="73" spans="1:52" ht="38.25" customHeight="1">
      <c r="B73" s="759"/>
      <c r="C73" s="760"/>
      <c r="D73" s="761"/>
      <c r="E73" s="738"/>
      <c r="F73" s="738"/>
      <c r="G73" s="738"/>
      <c r="H73" s="738"/>
      <c r="I73" s="738"/>
      <c r="J73" s="738"/>
      <c r="K73" s="738"/>
      <c r="L73" s="738"/>
      <c r="M73" s="738"/>
      <c r="N73" s="738"/>
      <c r="O73" s="738"/>
      <c r="P73" s="738"/>
      <c r="Q73" s="738"/>
      <c r="R73" s="738"/>
      <c r="S73" s="738"/>
      <c r="T73" s="738"/>
      <c r="U73" s="738"/>
      <c r="V73" s="738"/>
      <c r="W73" s="738"/>
      <c r="X73" s="738"/>
      <c r="Y73" s="738"/>
      <c r="Z73" s="738"/>
      <c r="AA73" s="738"/>
      <c r="AB73" s="738"/>
      <c r="AC73" s="738"/>
      <c r="AD73" s="738"/>
      <c r="AE73" s="738"/>
      <c r="AF73" s="738"/>
      <c r="AG73" s="738"/>
      <c r="AH73" s="738"/>
      <c r="AI73" s="738"/>
      <c r="AJ73" s="738"/>
      <c r="AK73" s="738"/>
      <c r="AL73" s="738"/>
      <c r="AM73" s="738"/>
      <c r="AN73" s="738"/>
      <c r="AO73" s="738"/>
      <c r="AP73" s="738"/>
      <c r="AQ73" s="738"/>
      <c r="AR73" s="738"/>
      <c r="AS73" s="738"/>
      <c r="AU73" s="739"/>
      <c r="AV73" s="739"/>
      <c r="AW73" s="739"/>
      <c r="AX73" s="739"/>
      <c r="AY73" s="740"/>
    </row>
    <row r="74" spans="1:52" ht="30" customHeight="1">
      <c r="B74" s="777" t="str">
        <f>IF(UNNH0030_REPORT_IF_JURI_NO="","",UNNH0030_REPORT_IF_JURI_NO)</f>
        <v/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7"/>
      <c r="P74" s="777"/>
      <c r="Q74" s="777"/>
      <c r="R74" s="777"/>
      <c r="S74" s="777"/>
      <c r="T74" s="777"/>
      <c r="U74" s="777"/>
      <c r="V74" s="777"/>
      <c r="W74" s="777"/>
      <c r="X74" s="777"/>
      <c r="Y74" s="777"/>
      <c r="Z74" s="777"/>
      <c r="AA74" s="777"/>
      <c r="AB74" s="777"/>
      <c r="AC74" s="777"/>
      <c r="AD74" s="777"/>
      <c r="AE74" s="777"/>
      <c r="AF74" s="777"/>
      <c r="AG74" s="777"/>
      <c r="AH74" s="777"/>
      <c r="AI74" s="777"/>
      <c r="AJ74" s="777"/>
      <c r="AK74" s="777"/>
      <c r="AL74" s="777"/>
      <c r="AM74" s="777"/>
      <c r="AN74" s="777"/>
      <c r="AO74" s="777"/>
      <c r="AP74" s="777"/>
      <c r="AQ74" s="777"/>
      <c r="AR74" s="777"/>
      <c r="AS74" s="777"/>
      <c r="AT74" s="777"/>
      <c r="AU74" s="777"/>
      <c r="AV74" s="777"/>
      <c r="AW74" s="777"/>
      <c r="AX74" s="777"/>
      <c r="AY74" s="777"/>
    </row>
    <row r="75" spans="1:52">
      <c r="E75" s="465"/>
      <c r="F75" s="466"/>
      <c r="G75" s="466"/>
      <c r="H75" s="466"/>
      <c r="I75" s="466"/>
      <c r="J75" s="466"/>
      <c r="K75" s="466"/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7"/>
      <c r="AA75" s="744" t="s">
        <v>1100</v>
      </c>
      <c r="AB75" s="744"/>
      <c r="AC75" s="744"/>
      <c r="AD75" s="744"/>
      <c r="AE75" s="744"/>
      <c r="AF75" s="744"/>
      <c r="AG75" s="744"/>
      <c r="AH75" s="744"/>
      <c r="AI75" s="744"/>
      <c r="AJ75" s="744"/>
      <c r="AK75" s="744"/>
      <c r="AL75" s="744"/>
      <c r="AP75" s="774" t="str">
        <f>"No."&amp;UNNH0030_REPORT_IF_H_URIAGE_NO&amp;"-"&amp;ROUNDUP(ROW()/ROWS(UNNH0030_SEIKYUSHO_PAGE_AREA),0)&amp;"/"&amp;UNNH0030_REPORT_IF_B_PAGE_TOTAL</f>
        <v>No.-3/1</v>
      </c>
      <c r="AQ75" s="774"/>
      <c r="AR75" s="774"/>
      <c r="AS75" s="774"/>
      <c r="AT75" s="774"/>
      <c r="AU75" s="774"/>
      <c r="AV75" s="774"/>
      <c r="AW75" s="774"/>
      <c r="AX75" s="774"/>
      <c r="AY75" s="774"/>
    </row>
    <row r="76" spans="1:52" ht="24.75" customHeight="1">
      <c r="D76" s="403"/>
      <c r="E76" s="468"/>
      <c r="F76" s="775" t="str">
        <f>IF(UNNH0030_REPORT_IF_H_JUSHO_NO_PRINT_FLG=TRUE,"","〒")</f>
        <v>〒</v>
      </c>
      <c r="G76" s="775"/>
      <c r="H76" s="776" t="str">
        <f>IF(UNNH0030_REPORT_IF_H_JUSHO_NO_PRINT_FLG=TRUE,"",IF(UNNH0030_REPORT_IF_H_YUBIN_NO="","",UNNH0030_REPORT_IF_H_YUBIN_NO))</f>
        <v/>
      </c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469"/>
      <c r="AA76" s="744"/>
      <c r="AB76" s="744"/>
      <c r="AC76" s="744"/>
      <c r="AD76" s="744"/>
      <c r="AE76" s="744"/>
      <c r="AF76" s="744"/>
      <c r="AG76" s="744"/>
      <c r="AH76" s="744"/>
      <c r="AI76" s="744"/>
      <c r="AJ76" s="744"/>
      <c r="AK76" s="744"/>
      <c r="AL76" s="744"/>
      <c r="AP76" s="774"/>
      <c r="AQ76" s="774"/>
      <c r="AR76" s="774"/>
      <c r="AS76" s="774"/>
      <c r="AT76" s="774"/>
      <c r="AU76" s="774"/>
      <c r="AV76" s="774"/>
      <c r="AW76" s="774"/>
      <c r="AX76" s="774"/>
      <c r="AY76" s="774"/>
    </row>
    <row r="77" spans="1:52" ht="24.75" customHeight="1">
      <c r="D77" s="403"/>
      <c r="E77" s="468"/>
      <c r="F77" s="745" t="str">
        <f>IF(UNNH0030_REPORT_IF_H_JUSHO_NO_PRINT_FLG="","",IF(UNNH0030_REPORT_IF_H_ADDRESS_1="","",UNNH0030_REPORT_IF_H_ADDRESS_1))</f>
        <v/>
      </c>
      <c r="G77" s="745"/>
      <c r="H77" s="745"/>
      <c r="I77" s="745"/>
      <c r="J77" s="745"/>
      <c r="K77" s="745"/>
      <c r="L77" s="745"/>
      <c r="M77" s="745"/>
      <c r="N77" s="745"/>
      <c r="O77" s="745"/>
      <c r="P77" s="745"/>
      <c r="Q77" s="745"/>
      <c r="R77" s="745"/>
      <c r="S77" s="745"/>
      <c r="T77" s="745"/>
      <c r="U77" s="745"/>
      <c r="V77" s="745"/>
      <c r="W77" s="745"/>
      <c r="X77" s="745"/>
      <c r="Y77" s="469"/>
      <c r="AP77" s="748">
        <f>UNNH0030_REPORT_IF_H_URIAGE_DATE</f>
        <v>0</v>
      </c>
      <c r="AQ77" s="748"/>
      <c r="AR77" s="748"/>
      <c r="AS77" s="748"/>
      <c r="AT77" s="748"/>
      <c r="AU77" s="748"/>
      <c r="AV77" s="748"/>
      <c r="AW77" s="748"/>
      <c r="AX77" s="748"/>
      <c r="AY77" s="748"/>
    </row>
    <row r="78" spans="1:52" ht="24.75" customHeight="1">
      <c r="D78" s="403"/>
      <c r="E78" s="468"/>
      <c r="F78" s="745" t="str">
        <f>IF(UNNH0030_REPORT_IF_H_JUSHO_NO_PRINT_FLG="","",IF(UNNH0030_REPORT_IF_H_ADDRESS_2="","",UNNH0030_REPORT_IF_H_ADDRESS_2))</f>
        <v/>
      </c>
      <c r="G78" s="745"/>
      <c r="H78" s="745"/>
      <c r="I78" s="745"/>
      <c r="J78" s="745"/>
      <c r="K78" s="745"/>
      <c r="L78" s="745"/>
      <c r="M78" s="745"/>
      <c r="N78" s="745"/>
      <c r="O78" s="745"/>
      <c r="P78" s="745"/>
      <c r="Q78" s="745"/>
      <c r="R78" s="745"/>
      <c r="S78" s="745"/>
      <c r="T78" s="745"/>
      <c r="U78" s="745"/>
      <c r="V78" s="745"/>
      <c r="W78" s="745"/>
      <c r="X78" s="745"/>
      <c r="Y78" s="469"/>
    </row>
    <row r="79" spans="1:52" ht="24.75" customHeight="1">
      <c r="D79" s="403"/>
      <c r="E79" s="468"/>
      <c r="F79" s="409"/>
      <c r="G79" s="409"/>
      <c r="H79" s="409"/>
      <c r="I79" s="409"/>
      <c r="J79" s="409"/>
      <c r="K79" s="409"/>
      <c r="L79" s="409"/>
      <c r="M79" s="409"/>
      <c r="N79" s="409"/>
      <c r="O79" s="409"/>
      <c r="P79" s="409"/>
      <c r="Q79" s="409"/>
      <c r="R79" s="409"/>
      <c r="S79" s="409"/>
      <c r="T79" s="409"/>
      <c r="U79" s="409"/>
      <c r="V79" s="409"/>
      <c r="W79" s="409"/>
      <c r="X79" s="409"/>
      <c r="Y79" s="469"/>
    </row>
    <row r="80" spans="1:52" ht="26.25" customHeight="1">
      <c r="D80" s="403"/>
      <c r="E80" s="470"/>
      <c r="F80" s="745" t="str">
        <f>IF(TRIM(UNNH0030_REPORT_IF_H_SOFU_TANTO)="","",
IF(TRIM(UNNH0030_REPORT_IF_H_DEMPYO_SOFU_MEI)="","",
TRIM(UNNH0030_REPORT_IF_H_DEMPYO_SOFU_MEI)))</f>
        <v/>
      </c>
      <c r="G80" s="745"/>
      <c r="H80" s="745"/>
      <c r="I80" s="745"/>
      <c r="J80" s="745"/>
      <c r="K80" s="745"/>
      <c r="L80" s="745"/>
      <c r="M80" s="745"/>
      <c r="N80" s="745"/>
      <c r="O80" s="745"/>
      <c r="P80" s="745"/>
      <c r="Q80" s="745"/>
      <c r="R80" s="745"/>
      <c r="S80" s="745"/>
      <c r="T80" s="745"/>
      <c r="U80" s="745"/>
      <c r="V80" s="745"/>
      <c r="W80" s="745"/>
      <c r="X80" s="745"/>
      <c r="Y80" s="469"/>
    </row>
    <row r="81" spans="1:52" ht="26.25" customHeight="1">
      <c r="D81" s="403"/>
      <c r="E81" s="468"/>
      <c r="F81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6"/>
      <c r="T81" s="746"/>
      <c r="U81" s="746"/>
      <c r="V81" s="746"/>
      <c r="W81" s="746"/>
      <c r="X81" s="746"/>
      <c r="Y81" s="469"/>
      <c r="Z81" s="477" t="str">
        <f>UNNH0030_REPORT_IF_H_SHIMEBI_MARK</f>
        <v>*</v>
      </c>
    </row>
    <row r="82" spans="1:52" ht="25.5" customHeight="1">
      <c r="D82" s="403"/>
      <c r="E82" s="471"/>
      <c r="F82" s="747">
        <f>UNNH0030_REPORT_IF_H_SEIKYU_CD</f>
        <v>0</v>
      </c>
      <c r="G82" s="747"/>
      <c r="H82" s="747"/>
      <c r="I82" s="747"/>
      <c r="J82" s="747"/>
      <c r="K82" s="747"/>
      <c r="L82" s="747"/>
      <c r="M82" s="747"/>
      <c r="N82" s="747"/>
      <c r="O82" s="747"/>
      <c r="P82" s="747"/>
      <c r="Q82" s="747"/>
      <c r="R82" s="747"/>
      <c r="S82" s="747"/>
      <c r="T82" s="747"/>
      <c r="U82" s="747"/>
      <c r="V82" s="747"/>
      <c r="W82" s="747"/>
      <c r="X82" s="747"/>
      <c r="Y82" s="472"/>
    </row>
    <row r="83" spans="1:52" ht="30" customHeight="1">
      <c r="D83" s="403"/>
      <c r="E83" s="403"/>
      <c r="F83" s="403"/>
      <c r="G83" s="403"/>
      <c r="H83" s="403"/>
      <c r="I83" s="403"/>
      <c r="J83" s="403"/>
      <c r="K83" s="403"/>
      <c r="L83" s="403"/>
      <c r="M83" s="403"/>
      <c r="N83" s="403"/>
      <c r="O83" s="403"/>
    </row>
    <row r="84" spans="1:52" ht="30" customHeight="1"/>
    <row r="85" spans="1:52" ht="29.25" customHeight="1">
      <c r="B85" s="474" t="s">
        <v>1101</v>
      </c>
    </row>
    <row r="86" spans="1:52" ht="36.75" customHeight="1">
      <c r="B86" s="742"/>
      <c r="C86" s="742"/>
      <c r="D86" s="742" t="s">
        <v>1102</v>
      </c>
      <c r="E86" s="742"/>
      <c r="F86" s="742"/>
      <c r="G86" s="742"/>
      <c r="H86" s="742"/>
      <c r="I86" s="742"/>
      <c r="J86" s="742"/>
      <c r="K86" s="742"/>
      <c r="L86" s="742"/>
      <c r="M86" s="742"/>
      <c r="N86" s="742"/>
      <c r="O86" s="742"/>
      <c r="P86" s="742"/>
      <c r="Q86" s="742"/>
      <c r="R86" s="742"/>
      <c r="S86" s="742"/>
      <c r="T86" s="742"/>
      <c r="U86" s="742"/>
      <c r="V86" s="742"/>
      <c r="W86" s="742"/>
      <c r="X86" s="742"/>
      <c r="Y86" s="742"/>
      <c r="Z86" s="742"/>
      <c r="AA86" s="742"/>
      <c r="AB86" s="742"/>
      <c r="AC86" s="742" t="s">
        <v>1103</v>
      </c>
      <c r="AD86" s="742"/>
      <c r="AE86" s="742"/>
      <c r="AF86" s="742"/>
      <c r="AG86" s="742"/>
      <c r="AH86" s="742"/>
      <c r="AI86" s="742"/>
      <c r="AJ86" s="742" t="s">
        <v>1104</v>
      </c>
      <c r="AK86" s="742"/>
      <c r="AL86" s="742" t="s">
        <v>1105</v>
      </c>
      <c r="AM86" s="742"/>
      <c r="AN86" s="742"/>
      <c r="AO86" s="742"/>
      <c r="AP86" s="742"/>
      <c r="AQ86" s="742"/>
      <c r="AR86" s="742"/>
      <c r="AS86" s="742" t="s">
        <v>1106</v>
      </c>
      <c r="AT86" s="742"/>
      <c r="AU86" s="742"/>
      <c r="AV86" s="742"/>
      <c r="AW86" s="742"/>
      <c r="AX86" s="742"/>
      <c r="AY86" s="742"/>
    </row>
    <row r="87" spans="1:52" ht="36.75" customHeight="1">
      <c r="B87" s="742">
        <f>ROUNDDOWN(ROW()/ROWS(UNNH0030_REPORT_RAYOUT_SEIKYUSHO),0)*UNNH0030_REPORT_IF_B_PAGE_MEISAI_SU+1</f>
        <v>41</v>
      </c>
      <c r="C87" s="742"/>
      <c r="D87" s="743" t="str">
        <f t="shared" ref="D87:D106" ca="1" si="12">IF(OFFSET(UNNH0030_REPORT_IF_B_SHOHIN_MEI,$B87,0)="","",OFFSET(UNNH0030_REPORT_IF_B_SHOHIN_MEI,$B87,0))</f>
        <v/>
      </c>
      <c r="E87" s="743"/>
      <c r="F87" s="743"/>
      <c r="G87" s="743"/>
      <c r="H87" s="743"/>
      <c r="I87" s="743"/>
      <c r="J87" s="743"/>
      <c r="K87" s="743"/>
      <c r="L87" s="743"/>
      <c r="M87" s="743"/>
      <c r="N87" s="743"/>
      <c r="O87" s="743"/>
      <c r="P87" s="743"/>
      <c r="Q87" s="743"/>
      <c r="R87" s="743"/>
      <c r="S87" s="743"/>
      <c r="T87" s="743"/>
      <c r="U87" s="743"/>
      <c r="V87" s="743"/>
      <c r="W87" s="743"/>
      <c r="X87" s="743"/>
      <c r="Y87" s="743"/>
      <c r="Z87" s="743"/>
      <c r="AA87" s="743"/>
      <c r="AB87" s="743"/>
      <c r="AC87" s="781" t="str">
        <f t="shared" ref="AC87:AC106" ca="1" si="13">IF(OR(OFFSET(UNNH0030_REPORT_IF_B_ROW_KBN,$B87,0)&lt;&gt;1,$D87="",$D87="消費税"),"",
OFFSET(UNNH0030_REPORT_IF_B_SURYO,$B87,0))</f>
        <v/>
      </c>
      <c r="AD87" s="781"/>
      <c r="AE87" s="781"/>
      <c r="AF87" s="781"/>
      <c r="AG87" s="781"/>
      <c r="AH87" s="781"/>
      <c r="AI87" s="781"/>
      <c r="AJ87" s="742" t="str">
        <f t="shared" ref="AJ87:AJ106" ca="1" si="14">IF(OFFSET(UNNH0030_REPORT_IF_B_TANI,$B87,0)="","",OFFSET(UNNH0030_REPORT_IF_B_TANI,$B87,0))</f>
        <v/>
      </c>
      <c r="AK87" s="742"/>
      <c r="AL87" s="781" t="str">
        <f t="shared" ref="AL87:AL106" ca="1" si="15">IF(OR(OFFSET(UNNH0030_REPORT_IF_B_ROW_KBN,$B87,0)&lt;&gt;1,$D87="",$D87="消費税"),"",
OFFSET(UNNH0030_REPORT_IF_B_TANKA,$B87,0))</f>
        <v/>
      </c>
      <c r="AM87" s="781"/>
      <c r="AN87" s="781"/>
      <c r="AO87" s="781"/>
      <c r="AP87" s="781"/>
      <c r="AQ87" s="781"/>
      <c r="AR87" s="781"/>
      <c r="AS87" s="741" t="str">
        <f t="shared" ref="AS87:AS106" ca="1" si="16">IF(OR(OFFSET(UNNH0030_REPORT_IF_B_KINGAKU,$B87,0)=0,$D87=""),"",
OFFSET(UNNH0030_REPORT_IF_B_KINGAKU,$B87,0))</f>
        <v/>
      </c>
      <c r="AT87" s="741"/>
      <c r="AU87" s="741"/>
      <c r="AV87" s="741"/>
      <c r="AW87" s="741"/>
      <c r="AX87" s="741"/>
      <c r="AY87" s="741"/>
    </row>
    <row r="88" spans="1:52" ht="36.75" customHeight="1">
      <c r="B88" s="742">
        <f>B87+1</f>
        <v>42</v>
      </c>
      <c r="C88" s="742"/>
      <c r="D88" s="743" t="str">
        <f t="shared" ca="1" si="12"/>
        <v/>
      </c>
      <c r="E88" s="743"/>
      <c r="F88" s="743"/>
      <c r="G88" s="743"/>
      <c r="H88" s="743"/>
      <c r="I88" s="743"/>
      <c r="J88" s="743"/>
      <c r="K88" s="743"/>
      <c r="L88" s="743"/>
      <c r="M88" s="743"/>
      <c r="N88" s="743"/>
      <c r="O88" s="743"/>
      <c r="P88" s="743"/>
      <c r="Q88" s="743"/>
      <c r="R88" s="743"/>
      <c r="S88" s="743"/>
      <c r="T88" s="743"/>
      <c r="U88" s="743"/>
      <c r="V88" s="743"/>
      <c r="W88" s="743"/>
      <c r="X88" s="743"/>
      <c r="Y88" s="743"/>
      <c r="Z88" s="743"/>
      <c r="AA88" s="743"/>
      <c r="AB88" s="743"/>
      <c r="AC88" s="781" t="str">
        <f t="shared" ca="1" si="13"/>
        <v/>
      </c>
      <c r="AD88" s="781"/>
      <c r="AE88" s="781"/>
      <c r="AF88" s="781"/>
      <c r="AG88" s="781"/>
      <c r="AH88" s="781"/>
      <c r="AI88" s="781"/>
      <c r="AJ88" s="742" t="str">
        <f t="shared" ca="1" si="14"/>
        <v/>
      </c>
      <c r="AK88" s="742"/>
      <c r="AL88" s="781" t="str">
        <f t="shared" ca="1" si="15"/>
        <v/>
      </c>
      <c r="AM88" s="781"/>
      <c r="AN88" s="781"/>
      <c r="AO88" s="781"/>
      <c r="AP88" s="781"/>
      <c r="AQ88" s="781"/>
      <c r="AR88" s="781"/>
      <c r="AS88" s="741" t="str">
        <f t="shared" ca="1" si="16"/>
        <v/>
      </c>
      <c r="AT88" s="741"/>
      <c r="AU88" s="741"/>
      <c r="AV88" s="741"/>
      <c r="AW88" s="741"/>
      <c r="AX88" s="741"/>
      <c r="AY88" s="741"/>
    </row>
    <row r="89" spans="1:52" ht="36.75" customHeight="1">
      <c r="B89" s="742">
        <f>B88+1</f>
        <v>43</v>
      </c>
      <c r="C89" s="742"/>
      <c r="D89" s="743" t="str">
        <f t="shared" ca="1" si="12"/>
        <v/>
      </c>
      <c r="E89" s="743"/>
      <c r="F89" s="743"/>
      <c r="G89" s="743"/>
      <c r="H89" s="743"/>
      <c r="I89" s="743"/>
      <c r="J89" s="743"/>
      <c r="K89" s="743"/>
      <c r="L89" s="743"/>
      <c r="M89" s="743"/>
      <c r="N89" s="743"/>
      <c r="O89" s="743"/>
      <c r="P89" s="743"/>
      <c r="Q89" s="743"/>
      <c r="R89" s="743"/>
      <c r="S89" s="743"/>
      <c r="T89" s="743"/>
      <c r="U89" s="743"/>
      <c r="V89" s="743"/>
      <c r="W89" s="743"/>
      <c r="X89" s="743"/>
      <c r="Y89" s="743"/>
      <c r="Z89" s="743"/>
      <c r="AA89" s="743"/>
      <c r="AB89" s="743"/>
      <c r="AC89" s="781" t="str">
        <f t="shared" ca="1" si="13"/>
        <v/>
      </c>
      <c r="AD89" s="781"/>
      <c r="AE89" s="781"/>
      <c r="AF89" s="781"/>
      <c r="AG89" s="781"/>
      <c r="AH89" s="781"/>
      <c r="AI89" s="781"/>
      <c r="AJ89" s="742" t="str">
        <f t="shared" ca="1" si="14"/>
        <v/>
      </c>
      <c r="AK89" s="742"/>
      <c r="AL89" s="781" t="str">
        <f t="shared" ca="1" si="15"/>
        <v/>
      </c>
      <c r="AM89" s="781"/>
      <c r="AN89" s="781"/>
      <c r="AO89" s="781"/>
      <c r="AP89" s="781"/>
      <c r="AQ89" s="781"/>
      <c r="AR89" s="781"/>
      <c r="AS89" s="741" t="str">
        <f t="shared" ca="1" si="16"/>
        <v/>
      </c>
      <c r="AT89" s="741"/>
      <c r="AU89" s="741"/>
      <c r="AV89" s="741"/>
      <c r="AW89" s="741"/>
      <c r="AX89" s="741"/>
      <c r="AY89" s="741"/>
    </row>
    <row r="90" spans="1:52" ht="36.75" customHeight="1">
      <c r="B90" s="742">
        <f t="shared" ref="B90:B106" si="17">B89+1</f>
        <v>44</v>
      </c>
      <c r="C90" s="742"/>
      <c r="D90" s="743" t="str">
        <f t="shared" ca="1" si="12"/>
        <v/>
      </c>
      <c r="E90" s="743"/>
      <c r="F90" s="743"/>
      <c r="G90" s="743"/>
      <c r="H90" s="743"/>
      <c r="I90" s="743"/>
      <c r="J90" s="743"/>
      <c r="K90" s="743"/>
      <c r="L90" s="743"/>
      <c r="M90" s="743"/>
      <c r="N90" s="743"/>
      <c r="O90" s="743"/>
      <c r="P90" s="743"/>
      <c r="Q90" s="743"/>
      <c r="R90" s="743"/>
      <c r="S90" s="743"/>
      <c r="T90" s="743"/>
      <c r="U90" s="743"/>
      <c r="V90" s="743"/>
      <c r="W90" s="743"/>
      <c r="X90" s="743"/>
      <c r="Y90" s="743"/>
      <c r="Z90" s="743"/>
      <c r="AA90" s="743"/>
      <c r="AB90" s="743"/>
      <c r="AC90" s="781" t="str">
        <f t="shared" ca="1" si="13"/>
        <v/>
      </c>
      <c r="AD90" s="781"/>
      <c r="AE90" s="781"/>
      <c r="AF90" s="781"/>
      <c r="AG90" s="781"/>
      <c r="AH90" s="781"/>
      <c r="AI90" s="781"/>
      <c r="AJ90" s="742" t="str">
        <f t="shared" ca="1" si="14"/>
        <v/>
      </c>
      <c r="AK90" s="742"/>
      <c r="AL90" s="781" t="str">
        <f t="shared" ca="1" si="15"/>
        <v/>
      </c>
      <c r="AM90" s="781"/>
      <c r="AN90" s="781"/>
      <c r="AO90" s="781"/>
      <c r="AP90" s="781"/>
      <c r="AQ90" s="781"/>
      <c r="AR90" s="781"/>
      <c r="AS90" s="741" t="str">
        <f t="shared" ca="1" si="16"/>
        <v/>
      </c>
      <c r="AT90" s="741"/>
      <c r="AU90" s="741"/>
      <c r="AV90" s="741"/>
      <c r="AW90" s="741"/>
      <c r="AX90" s="741"/>
      <c r="AY90" s="741"/>
    </row>
    <row r="91" spans="1:52" ht="36.75" customHeight="1">
      <c r="A91" s="403" t="s">
        <v>1529</v>
      </c>
      <c r="B91" s="742">
        <f t="shared" si="17"/>
        <v>45</v>
      </c>
      <c r="C91" s="742"/>
      <c r="D91" s="743" t="str">
        <f t="shared" ca="1" si="12"/>
        <v/>
      </c>
      <c r="E91" s="743"/>
      <c r="F91" s="743"/>
      <c r="G91" s="743"/>
      <c r="H91" s="743"/>
      <c r="I91" s="743"/>
      <c r="J91" s="743"/>
      <c r="K91" s="743"/>
      <c r="L91" s="743"/>
      <c r="M91" s="743"/>
      <c r="N91" s="743"/>
      <c r="O91" s="743"/>
      <c r="P91" s="743"/>
      <c r="Q91" s="743"/>
      <c r="R91" s="743"/>
      <c r="S91" s="743"/>
      <c r="T91" s="743"/>
      <c r="U91" s="743"/>
      <c r="V91" s="743"/>
      <c r="W91" s="743"/>
      <c r="X91" s="743"/>
      <c r="Y91" s="743"/>
      <c r="Z91" s="743"/>
      <c r="AA91" s="743"/>
      <c r="AB91" s="743"/>
      <c r="AC91" s="781" t="str">
        <f t="shared" ca="1" si="13"/>
        <v/>
      </c>
      <c r="AD91" s="781"/>
      <c r="AE91" s="781"/>
      <c r="AF91" s="781"/>
      <c r="AG91" s="781"/>
      <c r="AH91" s="781"/>
      <c r="AI91" s="781"/>
      <c r="AJ91" s="742" t="str">
        <f t="shared" ca="1" si="14"/>
        <v/>
      </c>
      <c r="AK91" s="742"/>
      <c r="AL91" s="781" t="str">
        <f t="shared" ca="1" si="15"/>
        <v/>
      </c>
      <c r="AM91" s="781"/>
      <c r="AN91" s="781"/>
      <c r="AO91" s="781"/>
      <c r="AP91" s="781"/>
      <c r="AQ91" s="781"/>
      <c r="AR91" s="781"/>
      <c r="AS91" s="741" t="str">
        <f t="shared" ca="1" si="16"/>
        <v/>
      </c>
      <c r="AT91" s="741"/>
      <c r="AU91" s="741"/>
      <c r="AV91" s="741"/>
      <c r="AW91" s="741"/>
      <c r="AX91" s="741"/>
      <c r="AY91" s="741"/>
      <c r="AZ91" s="473" t="s">
        <v>1530</v>
      </c>
    </row>
    <row r="92" spans="1:52" ht="36.75" customHeight="1">
      <c r="B92" s="742">
        <f t="shared" si="17"/>
        <v>46</v>
      </c>
      <c r="C92" s="742"/>
      <c r="D92" s="743" t="str">
        <f t="shared" ca="1" si="12"/>
        <v/>
      </c>
      <c r="E92" s="743"/>
      <c r="F92" s="743"/>
      <c r="G92" s="743"/>
      <c r="H92" s="743"/>
      <c r="I92" s="743"/>
      <c r="J92" s="743"/>
      <c r="K92" s="743"/>
      <c r="L92" s="743"/>
      <c r="M92" s="743"/>
      <c r="N92" s="743"/>
      <c r="O92" s="743"/>
      <c r="P92" s="743"/>
      <c r="Q92" s="743"/>
      <c r="R92" s="743"/>
      <c r="S92" s="743"/>
      <c r="T92" s="743"/>
      <c r="U92" s="743"/>
      <c r="V92" s="743"/>
      <c r="W92" s="743"/>
      <c r="X92" s="743"/>
      <c r="Y92" s="743"/>
      <c r="Z92" s="743"/>
      <c r="AA92" s="743"/>
      <c r="AB92" s="743"/>
      <c r="AC92" s="781" t="str">
        <f t="shared" ca="1" si="13"/>
        <v/>
      </c>
      <c r="AD92" s="781"/>
      <c r="AE92" s="781"/>
      <c r="AF92" s="781"/>
      <c r="AG92" s="781"/>
      <c r="AH92" s="781"/>
      <c r="AI92" s="781"/>
      <c r="AJ92" s="742" t="str">
        <f t="shared" ca="1" si="14"/>
        <v/>
      </c>
      <c r="AK92" s="742"/>
      <c r="AL92" s="781" t="str">
        <f t="shared" ca="1" si="15"/>
        <v/>
      </c>
      <c r="AM92" s="781"/>
      <c r="AN92" s="781"/>
      <c r="AO92" s="781"/>
      <c r="AP92" s="781"/>
      <c r="AQ92" s="781"/>
      <c r="AR92" s="781"/>
      <c r="AS92" s="741" t="str">
        <f t="shared" ca="1" si="16"/>
        <v/>
      </c>
      <c r="AT92" s="741"/>
      <c r="AU92" s="741"/>
      <c r="AV92" s="741"/>
      <c r="AW92" s="741"/>
      <c r="AX92" s="741"/>
      <c r="AY92" s="741"/>
      <c r="AZ92" s="473"/>
    </row>
    <row r="93" spans="1:52" ht="36.75" customHeight="1">
      <c r="B93" s="742">
        <f t="shared" si="17"/>
        <v>47</v>
      </c>
      <c r="C93" s="742"/>
      <c r="D93" s="743" t="str">
        <f t="shared" ca="1" si="12"/>
        <v/>
      </c>
      <c r="E93" s="743"/>
      <c r="F93" s="743"/>
      <c r="G93" s="743"/>
      <c r="H93" s="743"/>
      <c r="I93" s="743"/>
      <c r="J93" s="743"/>
      <c r="K93" s="743"/>
      <c r="L93" s="743"/>
      <c r="M93" s="743"/>
      <c r="N93" s="743"/>
      <c r="O93" s="743"/>
      <c r="P93" s="743"/>
      <c r="Q93" s="743"/>
      <c r="R93" s="743"/>
      <c r="S93" s="743"/>
      <c r="T93" s="743"/>
      <c r="U93" s="743"/>
      <c r="V93" s="743"/>
      <c r="W93" s="743"/>
      <c r="X93" s="743"/>
      <c r="Y93" s="743"/>
      <c r="Z93" s="743"/>
      <c r="AA93" s="743"/>
      <c r="AB93" s="743"/>
      <c r="AC93" s="781" t="str">
        <f t="shared" ca="1" si="13"/>
        <v/>
      </c>
      <c r="AD93" s="781"/>
      <c r="AE93" s="781"/>
      <c r="AF93" s="781"/>
      <c r="AG93" s="781"/>
      <c r="AH93" s="781"/>
      <c r="AI93" s="781"/>
      <c r="AJ93" s="742" t="str">
        <f t="shared" ca="1" si="14"/>
        <v/>
      </c>
      <c r="AK93" s="742"/>
      <c r="AL93" s="781" t="str">
        <f t="shared" ca="1" si="15"/>
        <v/>
      </c>
      <c r="AM93" s="781"/>
      <c r="AN93" s="781"/>
      <c r="AO93" s="781"/>
      <c r="AP93" s="781"/>
      <c r="AQ93" s="781"/>
      <c r="AR93" s="781"/>
      <c r="AS93" s="741" t="str">
        <f t="shared" ca="1" si="16"/>
        <v/>
      </c>
      <c r="AT93" s="741"/>
      <c r="AU93" s="741"/>
      <c r="AV93" s="741"/>
      <c r="AW93" s="741"/>
      <c r="AX93" s="741"/>
      <c r="AY93" s="741"/>
      <c r="AZ93" s="473"/>
    </row>
    <row r="94" spans="1:52" ht="36.75" customHeight="1">
      <c r="B94" s="742">
        <f t="shared" si="17"/>
        <v>48</v>
      </c>
      <c r="C94" s="742"/>
      <c r="D94" s="743" t="str">
        <f t="shared" ca="1" si="12"/>
        <v/>
      </c>
      <c r="E94" s="743"/>
      <c r="F94" s="743"/>
      <c r="G94" s="743"/>
      <c r="H94" s="743"/>
      <c r="I94" s="743"/>
      <c r="J94" s="743"/>
      <c r="K94" s="743"/>
      <c r="L94" s="743"/>
      <c r="M94" s="743"/>
      <c r="N94" s="743"/>
      <c r="O94" s="743"/>
      <c r="P94" s="743"/>
      <c r="Q94" s="743"/>
      <c r="R94" s="743"/>
      <c r="S94" s="743"/>
      <c r="T94" s="743"/>
      <c r="U94" s="743"/>
      <c r="V94" s="743"/>
      <c r="W94" s="743"/>
      <c r="X94" s="743"/>
      <c r="Y94" s="743"/>
      <c r="Z94" s="743"/>
      <c r="AA94" s="743"/>
      <c r="AB94" s="743"/>
      <c r="AC94" s="781" t="str">
        <f t="shared" ca="1" si="13"/>
        <v/>
      </c>
      <c r="AD94" s="781"/>
      <c r="AE94" s="781"/>
      <c r="AF94" s="781"/>
      <c r="AG94" s="781"/>
      <c r="AH94" s="781"/>
      <c r="AI94" s="781"/>
      <c r="AJ94" s="742" t="str">
        <f t="shared" ca="1" si="14"/>
        <v/>
      </c>
      <c r="AK94" s="742"/>
      <c r="AL94" s="781" t="str">
        <f t="shared" ca="1" si="15"/>
        <v/>
      </c>
      <c r="AM94" s="781"/>
      <c r="AN94" s="781"/>
      <c r="AO94" s="781"/>
      <c r="AP94" s="781"/>
      <c r="AQ94" s="781"/>
      <c r="AR94" s="781"/>
      <c r="AS94" s="741" t="str">
        <f t="shared" ca="1" si="16"/>
        <v/>
      </c>
      <c r="AT94" s="741"/>
      <c r="AU94" s="741"/>
      <c r="AV94" s="741"/>
      <c r="AW94" s="741"/>
      <c r="AX94" s="741"/>
      <c r="AY94" s="741"/>
    </row>
    <row r="95" spans="1:52" ht="36.75" customHeight="1">
      <c r="B95" s="742">
        <f t="shared" si="17"/>
        <v>49</v>
      </c>
      <c r="C95" s="742"/>
      <c r="D95" s="743" t="str">
        <f t="shared" ca="1" si="12"/>
        <v/>
      </c>
      <c r="E95" s="743"/>
      <c r="F95" s="743"/>
      <c r="G95" s="743"/>
      <c r="H95" s="743"/>
      <c r="I95" s="743"/>
      <c r="J95" s="743"/>
      <c r="K95" s="743"/>
      <c r="L95" s="743"/>
      <c r="M95" s="743"/>
      <c r="N95" s="743"/>
      <c r="O95" s="743"/>
      <c r="P95" s="743"/>
      <c r="Q95" s="743"/>
      <c r="R95" s="743"/>
      <c r="S95" s="743"/>
      <c r="T95" s="743"/>
      <c r="U95" s="743"/>
      <c r="V95" s="743"/>
      <c r="W95" s="743"/>
      <c r="X95" s="743"/>
      <c r="Y95" s="743"/>
      <c r="Z95" s="743"/>
      <c r="AA95" s="743"/>
      <c r="AB95" s="743"/>
      <c r="AC95" s="781" t="str">
        <f t="shared" ca="1" si="13"/>
        <v/>
      </c>
      <c r="AD95" s="781"/>
      <c r="AE95" s="781"/>
      <c r="AF95" s="781"/>
      <c r="AG95" s="781"/>
      <c r="AH95" s="781"/>
      <c r="AI95" s="781"/>
      <c r="AJ95" s="742" t="str">
        <f t="shared" ca="1" si="14"/>
        <v/>
      </c>
      <c r="AK95" s="742"/>
      <c r="AL95" s="781" t="str">
        <f t="shared" ca="1" si="15"/>
        <v/>
      </c>
      <c r="AM95" s="781"/>
      <c r="AN95" s="781"/>
      <c r="AO95" s="781"/>
      <c r="AP95" s="781"/>
      <c r="AQ95" s="781"/>
      <c r="AR95" s="781"/>
      <c r="AS95" s="741" t="str">
        <f t="shared" ca="1" si="16"/>
        <v/>
      </c>
      <c r="AT95" s="741"/>
      <c r="AU95" s="741"/>
      <c r="AV95" s="741"/>
      <c r="AW95" s="741"/>
      <c r="AX95" s="741"/>
      <c r="AY95" s="741"/>
    </row>
    <row r="96" spans="1:52" ht="36.75" customHeight="1">
      <c r="B96" s="742">
        <f t="shared" si="17"/>
        <v>50</v>
      </c>
      <c r="C96" s="742"/>
      <c r="D96" s="743" t="str">
        <f t="shared" ca="1" si="12"/>
        <v/>
      </c>
      <c r="E96" s="743"/>
      <c r="F96" s="743"/>
      <c r="G96" s="743"/>
      <c r="H96" s="743"/>
      <c r="I96" s="743"/>
      <c r="J96" s="743"/>
      <c r="K96" s="743"/>
      <c r="L96" s="743"/>
      <c r="M96" s="743"/>
      <c r="N96" s="743"/>
      <c r="O96" s="743"/>
      <c r="P96" s="743"/>
      <c r="Q96" s="743"/>
      <c r="R96" s="743"/>
      <c r="S96" s="743"/>
      <c r="T96" s="743"/>
      <c r="U96" s="743"/>
      <c r="V96" s="743"/>
      <c r="W96" s="743"/>
      <c r="X96" s="743"/>
      <c r="Y96" s="743"/>
      <c r="Z96" s="743"/>
      <c r="AA96" s="743"/>
      <c r="AB96" s="743"/>
      <c r="AC96" s="781" t="str">
        <f t="shared" ca="1" si="13"/>
        <v/>
      </c>
      <c r="AD96" s="781"/>
      <c r="AE96" s="781"/>
      <c r="AF96" s="781"/>
      <c r="AG96" s="781"/>
      <c r="AH96" s="781"/>
      <c r="AI96" s="781"/>
      <c r="AJ96" s="742" t="str">
        <f t="shared" ca="1" si="14"/>
        <v/>
      </c>
      <c r="AK96" s="742"/>
      <c r="AL96" s="781" t="str">
        <f t="shared" ca="1" si="15"/>
        <v/>
      </c>
      <c r="AM96" s="781"/>
      <c r="AN96" s="781"/>
      <c r="AO96" s="781"/>
      <c r="AP96" s="781"/>
      <c r="AQ96" s="781"/>
      <c r="AR96" s="781"/>
      <c r="AS96" s="741" t="str">
        <f t="shared" ca="1" si="16"/>
        <v/>
      </c>
      <c r="AT96" s="741"/>
      <c r="AU96" s="741"/>
      <c r="AV96" s="741"/>
      <c r="AW96" s="741"/>
      <c r="AX96" s="741"/>
      <c r="AY96" s="741"/>
    </row>
    <row r="97" spans="1:52" ht="36.75" customHeight="1">
      <c r="B97" s="742">
        <f t="shared" si="17"/>
        <v>51</v>
      </c>
      <c r="C97" s="742"/>
      <c r="D97" s="743" t="str">
        <f t="shared" ca="1" si="12"/>
        <v/>
      </c>
      <c r="E97" s="743"/>
      <c r="F97" s="743"/>
      <c r="G97" s="743"/>
      <c r="H97" s="743"/>
      <c r="I97" s="743"/>
      <c r="J97" s="743"/>
      <c r="K97" s="743"/>
      <c r="L97" s="743"/>
      <c r="M97" s="743"/>
      <c r="N97" s="743"/>
      <c r="O97" s="743"/>
      <c r="P97" s="743"/>
      <c r="Q97" s="743"/>
      <c r="R97" s="743"/>
      <c r="S97" s="743"/>
      <c r="T97" s="743"/>
      <c r="U97" s="743"/>
      <c r="V97" s="743"/>
      <c r="W97" s="743"/>
      <c r="X97" s="743"/>
      <c r="Y97" s="743"/>
      <c r="Z97" s="743"/>
      <c r="AA97" s="743"/>
      <c r="AB97" s="743"/>
      <c r="AC97" s="781" t="str">
        <f t="shared" ca="1" si="13"/>
        <v/>
      </c>
      <c r="AD97" s="781"/>
      <c r="AE97" s="781"/>
      <c r="AF97" s="781"/>
      <c r="AG97" s="781"/>
      <c r="AH97" s="781"/>
      <c r="AI97" s="781"/>
      <c r="AJ97" s="742" t="str">
        <f t="shared" ca="1" si="14"/>
        <v/>
      </c>
      <c r="AK97" s="742"/>
      <c r="AL97" s="781" t="str">
        <f t="shared" ca="1" si="15"/>
        <v/>
      </c>
      <c r="AM97" s="781"/>
      <c r="AN97" s="781"/>
      <c r="AO97" s="781"/>
      <c r="AP97" s="781"/>
      <c r="AQ97" s="781"/>
      <c r="AR97" s="781"/>
      <c r="AS97" s="741" t="str">
        <f t="shared" ca="1" si="16"/>
        <v/>
      </c>
      <c r="AT97" s="741"/>
      <c r="AU97" s="741"/>
      <c r="AV97" s="741"/>
      <c r="AW97" s="741"/>
      <c r="AX97" s="741"/>
      <c r="AY97" s="741"/>
    </row>
    <row r="98" spans="1:52" ht="36.75" customHeight="1">
      <c r="B98" s="742">
        <f t="shared" si="17"/>
        <v>52</v>
      </c>
      <c r="C98" s="742"/>
      <c r="D98" s="743" t="str">
        <f t="shared" ca="1" si="12"/>
        <v/>
      </c>
      <c r="E98" s="743"/>
      <c r="F98" s="743"/>
      <c r="G98" s="743"/>
      <c r="H98" s="743"/>
      <c r="I98" s="743"/>
      <c r="J98" s="743"/>
      <c r="K98" s="743"/>
      <c r="L98" s="743"/>
      <c r="M98" s="743"/>
      <c r="N98" s="743"/>
      <c r="O98" s="743"/>
      <c r="P98" s="743"/>
      <c r="Q98" s="743"/>
      <c r="R98" s="743"/>
      <c r="S98" s="743"/>
      <c r="T98" s="743"/>
      <c r="U98" s="743"/>
      <c r="V98" s="743"/>
      <c r="W98" s="743"/>
      <c r="X98" s="743"/>
      <c r="Y98" s="743"/>
      <c r="Z98" s="743"/>
      <c r="AA98" s="743"/>
      <c r="AB98" s="743"/>
      <c r="AC98" s="781" t="str">
        <f t="shared" ca="1" si="13"/>
        <v/>
      </c>
      <c r="AD98" s="781"/>
      <c r="AE98" s="781"/>
      <c r="AF98" s="781"/>
      <c r="AG98" s="781"/>
      <c r="AH98" s="781"/>
      <c r="AI98" s="781"/>
      <c r="AJ98" s="742" t="str">
        <f t="shared" ca="1" si="14"/>
        <v/>
      </c>
      <c r="AK98" s="742"/>
      <c r="AL98" s="781" t="str">
        <f t="shared" ca="1" si="15"/>
        <v/>
      </c>
      <c r="AM98" s="781"/>
      <c r="AN98" s="781"/>
      <c r="AO98" s="781"/>
      <c r="AP98" s="781"/>
      <c r="AQ98" s="781"/>
      <c r="AR98" s="781"/>
      <c r="AS98" s="741" t="str">
        <f t="shared" ca="1" si="16"/>
        <v/>
      </c>
      <c r="AT98" s="741"/>
      <c r="AU98" s="741"/>
      <c r="AV98" s="741"/>
      <c r="AW98" s="741"/>
      <c r="AX98" s="741"/>
      <c r="AY98" s="741"/>
    </row>
    <row r="99" spans="1:52" ht="36.75" customHeight="1">
      <c r="B99" s="742">
        <f t="shared" si="17"/>
        <v>53</v>
      </c>
      <c r="C99" s="742"/>
      <c r="D99" s="743" t="str">
        <f t="shared" ca="1" si="12"/>
        <v/>
      </c>
      <c r="E99" s="743"/>
      <c r="F99" s="743"/>
      <c r="G99" s="743"/>
      <c r="H99" s="743"/>
      <c r="I99" s="743"/>
      <c r="J99" s="743"/>
      <c r="K99" s="743"/>
      <c r="L99" s="743"/>
      <c r="M99" s="743"/>
      <c r="N99" s="743"/>
      <c r="O99" s="743"/>
      <c r="P99" s="743"/>
      <c r="Q99" s="743"/>
      <c r="R99" s="743"/>
      <c r="S99" s="743"/>
      <c r="T99" s="743"/>
      <c r="U99" s="743"/>
      <c r="V99" s="743"/>
      <c r="W99" s="743"/>
      <c r="X99" s="743"/>
      <c r="Y99" s="743"/>
      <c r="Z99" s="743"/>
      <c r="AA99" s="743"/>
      <c r="AB99" s="743"/>
      <c r="AC99" s="781" t="str">
        <f t="shared" ca="1" si="13"/>
        <v/>
      </c>
      <c r="AD99" s="781"/>
      <c r="AE99" s="781"/>
      <c r="AF99" s="781"/>
      <c r="AG99" s="781"/>
      <c r="AH99" s="781"/>
      <c r="AI99" s="781"/>
      <c r="AJ99" s="742" t="str">
        <f t="shared" ca="1" si="14"/>
        <v/>
      </c>
      <c r="AK99" s="742"/>
      <c r="AL99" s="781" t="str">
        <f t="shared" ca="1" si="15"/>
        <v/>
      </c>
      <c r="AM99" s="781"/>
      <c r="AN99" s="781"/>
      <c r="AO99" s="781"/>
      <c r="AP99" s="781"/>
      <c r="AQ99" s="781"/>
      <c r="AR99" s="781"/>
      <c r="AS99" s="741" t="str">
        <f t="shared" ca="1" si="16"/>
        <v/>
      </c>
      <c r="AT99" s="741"/>
      <c r="AU99" s="741"/>
      <c r="AV99" s="741"/>
      <c r="AW99" s="741"/>
      <c r="AX99" s="741"/>
      <c r="AY99" s="741"/>
    </row>
    <row r="100" spans="1:52" ht="36.75" customHeight="1">
      <c r="B100" s="742">
        <f t="shared" si="17"/>
        <v>54</v>
      </c>
      <c r="C100" s="742"/>
      <c r="D100" s="743" t="str">
        <f t="shared" ca="1" si="12"/>
        <v/>
      </c>
      <c r="E100" s="743"/>
      <c r="F100" s="743"/>
      <c r="G100" s="743"/>
      <c r="H100" s="743"/>
      <c r="I100" s="743"/>
      <c r="J100" s="743"/>
      <c r="K100" s="743"/>
      <c r="L100" s="743"/>
      <c r="M100" s="743"/>
      <c r="N100" s="743"/>
      <c r="O100" s="743"/>
      <c r="P100" s="743"/>
      <c r="Q100" s="743"/>
      <c r="R100" s="743"/>
      <c r="S100" s="743"/>
      <c r="T100" s="743"/>
      <c r="U100" s="743"/>
      <c r="V100" s="743"/>
      <c r="W100" s="743"/>
      <c r="X100" s="743"/>
      <c r="Y100" s="743"/>
      <c r="Z100" s="743"/>
      <c r="AA100" s="743"/>
      <c r="AB100" s="743"/>
      <c r="AC100" s="781" t="str">
        <f t="shared" ca="1" si="13"/>
        <v/>
      </c>
      <c r="AD100" s="781"/>
      <c r="AE100" s="781"/>
      <c r="AF100" s="781"/>
      <c r="AG100" s="781"/>
      <c r="AH100" s="781"/>
      <c r="AI100" s="781"/>
      <c r="AJ100" s="742" t="str">
        <f t="shared" ca="1" si="14"/>
        <v/>
      </c>
      <c r="AK100" s="742"/>
      <c r="AL100" s="781" t="str">
        <f t="shared" ca="1" si="15"/>
        <v/>
      </c>
      <c r="AM100" s="781"/>
      <c r="AN100" s="781"/>
      <c r="AO100" s="781"/>
      <c r="AP100" s="781"/>
      <c r="AQ100" s="781"/>
      <c r="AR100" s="781"/>
      <c r="AS100" s="741" t="str">
        <f t="shared" ca="1" si="16"/>
        <v/>
      </c>
      <c r="AT100" s="741"/>
      <c r="AU100" s="741"/>
      <c r="AV100" s="741"/>
      <c r="AW100" s="741"/>
      <c r="AX100" s="741"/>
      <c r="AY100" s="741"/>
    </row>
    <row r="101" spans="1:52" ht="36.75" customHeight="1">
      <c r="B101" s="742">
        <f t="shared" si="17"/>
        <v>55</v>
      </c>
      <c r="C101" s="742"/>
      <c r="D101" s="743" t="str">
        <f t="shared" ca="1" si="12"/>
        <v/>
      </c>
      <c r="E101" s="743"/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3"/>
      <c r="R101" s="743"/>
      <c r="S101" s="743"/>
      <c r="T101" s="743"/>
      <c r="U101" s="743"/>
      <c r="V101" s="743"/>
      <c r="W101" s="743"/>
      <c r="X101" s="743"/>
      <c r="Y101" s="743"/>
      <c r="Z101" s="743"/>
      <c r="AA101" s="743"/>
      <c r="AB101" s="743"/>
      <c r="AC101" s="781" t="str">
        <f t="shared" ca="1" si="13"/>
        <v/>
      </c>
      <c r="AD101" s="781"/>
      <c r="AE101" s="781"/>
      <c r="AF101" s="781"/>
      <c r="AG101" s="781"/>
      <c r="AH101" s="781"/>
      <c r="AI101" s="781"/>
      <c r="AJ101" s="742" t="str">
        <f t="shared" ca="1" si="14"/>
        <v/>
      </c>
      <c r="AK101" s="742"/>
      <c r="AL101" s="781" t="str">
        <f t="shared" ca="1" si="15"/>
        <v/>
      </c>
      <c r="AM101" s="781"/>
      <c r="AN101" s="781"/>
      <c r="AO101" s="781"/>
      <c r="AP101" s="781"/>
      <c r="AQ101" s="781"/>
      <c r="AR101" s="781"/>
      <c r="AS101" s="741" t="str">
        <f t="shared" ca="1" si="16"/>
        <v/>
      </c>
      <c r="AT101" s="741"/>
      <c r="AU101" s="741"/>
      <c r="AV101" s="741"/>
      <c r="AW101" s="741"/>
      <c r="AX101" s="741"/>
      <c r="AY101" s="741"/>
    </row>
    <row r="102" spans="1:52" ht="36.75" customHeight="1">
      <c r="B102" s="742">
        <f t="shared" si="17"/>
        <v>56</v>
      </c>
      <c r="C102" s="742"/>
      <c r="D102" s="743" t="str">
        <f t="shared" ca="1" si="12"/>
        <v/>
      </c>
      <c r="E102" s="743"/>
      <c r="F102" s="743"/>
      <c r="G102" s="743"/>
      <c r="H102" s="743"/>
      <c r="I102" s="743"/>
      <c r="J102" s="743"/>
      <c r="K102" s="743"/>
      <c r="L102" s="743"/>
      <c r="M102" s="743"/>
      <c r="N102" s="743"/>
      <c r="O102" s="743"/>
      <c r="P102" s="743"/>
      <c r="Q102" s="743"/>
      <c r="R102" s="743"/>
      <c r="S102" s="743"/>
      <c r="T102" s="743"/>
      <c r="U102" s="743"/>
      <c r="V102" s="743"/>
      <c r="W102" s="743"/>
      <c r="X102" s="743"/>
      <c r="Y102" s="743"/>
      <c r="Z102" s="743"/>
      <c r="AA102" s="743"/>
      <c r="AB102" s="743"/>
      <c r="AC102" s="781" t="str">
        <f t="shared" ca="1" si="13"/>
        <v/>
      </c>
      <c r="AD102" s="781"/>
      <c r="AE102" s="781"/>
      <c r="AF102" s="781"/>
      <c r="AG102" s="781"/>
      <c r="AH102" s="781"/>
      <c r="AI102" s="781"/>
      <c r="AJ102" s="742" t="str">
        <f t="shared" ca="1" si="14"/>
        <v/>
      </c>
      <c r="AK102" s="742"/>
      <c r="AL102" s="781" t="str">
        <f t="shared" ca="1" si="15"/>
        <v/>
      </c>
      <c r="AM102" s="781"/>
      <c r="AN102" s="781"/>
      <c r="AO102" s="781"/>
      <c r="AP102" s="781"/>
      <c r="AQ102" s="781"/>
      <c r="AR102" s="781"/>
      <c r="AS102" s="741" t="str">
        <f t="shared" ca="1" si="16"/>
        <v/>
      </c>
      <c r="AT102" s="741"/>
      <c r="AU102" s="741"/>
      <c r="AV102" s="741"/>
      <c r="AW102" s="741"/>
      <c r="AX102" s="741"/>
      <c r="AY102" s="741"/>
    </row>
    <row r="103" spans="1:52" ht="36.75" customHeight="1">
      <c r="B103" s="742">
        <f t="shared" si="17"/>
        <v>57</v>
      </c>
      <c r="C103" s="742"/>
      <c r="D103" s="743" t="str">
        <f t="shared" ca="1" si="12"/>
        <v/>
      </c>
      <c r="E103" s="743"/>
      <c r="F103" s="743"/>
      <c r="G103" s="743"/>
      <c r="H103" s="743"/>
      <c r="I103" s="743"/>
      <c r="J103" s="743"/>
      <c r="K103" s="743"/>
      <c r="L103" s="743"/>
      <c r="M103" s="743"/>
      <c r="N103" s="743"/>
      <c r="O103" s="743"/>
      <c r="P103" s="743"/>
      <c r="Q103" s="743"/>
      <c r="R103" s="743"/>
      <c r="S103" s="743"/>
      <c r="T103" s="743"/>
      <c r="U103" s="743"/>
      <c r="V103" s="743"/>
      <c r="W103" s="743"/>
      <c r="X103" s="743"/>
      <c r="Y103" s="743"/>
      <c r="Z103" s="743"/>
      <c r="AA103" s="743"/>
      <c r="AB103" s="743"/>
      <c r="AC103" s="781" t="str">
        <f t="shared" ca="1" si="13"/>
        <v/>
      </c>
      <c r="AD103" s="781"/>
      <c r="AE103" s="781"/>
      <c r="AF103" s="781"/>
      <c r="AG103" s="781"/>
      <c r="AH103" s="781"/>
      <c r="AI103" s="781"/>
      <c r="AJ103" s="742" t="str">
        <f t="shared" ca="1" si="14"/>
        <v/>
      </c>
      <c r="AK103" s="742"/>
      <c r="AL103" s="781" t="str">
        <f t="shared" ca="1" si="15"/>
        <v/>
      </c>
      <c r="AM103" s="781"/>
      <c r="AN103" s="781"/>
      <c r="AO103" s="781"/>
      <c r="AP103" s="781"/>
      <c r="AQ103" s="781"/>
      <c r="AR103" s="781"/>
      <c r="AS103" s="741" t="str">
        <f t="shared" ca="1" si="16"/>
        <v/>
      </c>
      <c r="AT103" s="741"/>
      <c r="AU103" s="741"/>
      <c r="AV103" s="741"/>
      <c r="AW103" s="741"/>
      <c r="AX103" s="741"/>
      <c r="AY103" s="741"/>
    </row>
    <row r="104" spans="1:52" ht="36.75" customHeight="1">
      <c r="B104" s="742">
        <f t="shared" si="17"/>
        <v>58</v>
      </c>
      <c r="C104" s="742"/>
      <c r="D104" s="743" t="str">
        <f t="shared" ca="1" si="12"/>
        <v/>
      </c>
      <c r="E104" s="743"/>
      <c r="F104" s="743"/>
      <c r="G104" s="743"/>
      <c r="H104" s="743"/>
      <c r="I104" s="743"/>
      <c r="J104" s="743"/>
      <c r="K104" s="743"/>
      <c r="L104" s="743"/>
      <c r="M104" s="743"/>
      <c r="N104" s="743"/>
      <c r="O104" s="743"/>
      <c r="P104" s="743"/>
      <c r="Q104" s="743"/>
      <c r="R104" s="743"/>
      <c r="S104" s="743"/>
      <c r="T104" s="743"/>
      <c r="U104" s="743"/>
      <c r="V104" s="743"/>
      <c r="W104" s="743"/>
      <c r="X104" s="743"/>
      <c r="Y104" s="743"/>
      <c r="Z104" s="743"/>
      <c r="AA104" s="743"/>
      <c r="AB104" s="743"/>
      <c r="AC104" s="781" t="str">
        <f t="shared" ca="1" si="13"/>
        <v/>
      </c>
      <c r="AD104" s="781"/>
      <c r="AE104" s="781"/>
      <c r="AF104" s="781"/>
      <c r="AG104" s="781"/>
      <c r="AH104" s="781"/>
      <c r="AI104" s="781"/>
      <c r="AJ104" s="742" t="str">
        <f t="shared" ca="1" si="14"/>
        <v/>
      </c>
      <c r="AK104" s="742"/>
      <c r="AL104" s="781" t="str">
        <f t="shared" ca="1" si="15"/>
        <v/>
      </c>
      <c r="AM104" s="781"/>
      <c r="AN104" s="781"/>
      <c r="AO104" s="781"/>
      <c r="AP104" s="781"/>
      <c r="AQ104" s="781"/>
      <c r="AR104" s="781"/>
      <c r="AS104" s="741" t="str">
        <f t="shared" ca="1" si="16"/>
        <v/>
      </c>
      <c r="AT104" s="741"/>
      <c r="AU104" s="741"/>
      <c r="AV104" s="741"/>
      <c r="AW104" s="741"/>
      <c r="AX104" s="741"/>
      <c r="AY104" s="741"/>
    </row>
    <row r="105" spans="1:52" ht="36.75" customHeight="1">
      <c r="A105" s="403" t="s">
        <v>1529</v>
      </c>
      <c r="B105" s="742">
        <f t="shared" si="17"/>
        <v>59</v>
      </c>
      <c r="C105" s="742"/>
      <c r="D105" s="743" t="str">
        <f t="shared" ca="1" si="12"/>
        <v/>
      </c>
      <c r="E105" s="743"/>
      <c r="F105" s="743"/>
      <c r="G105" s="743"/>
      <c r="H105" s="743"/>
      <c r="I105" s="743"/>
      <c r="J105" s="743"/>
      <c r="K105" s="743"/>
      <c r="L105" s="743"/>
      <c r="M105" s="743"/>
      <c r="N105" s="743"/>
      <c r="O105" s="743"/>
      <c r="P105" s="743"/>
      <c r="Q105" s="743"/>
      <c r="R105" s="743"/>
      <c r="S105" s="743"/>
      <c r="T105" s="743"/>
      <c r="U105" s="743"/>
      <c r="V105" s="743"/>
      <c r="W105" s="743"/>
      <c r="X105" s="743"/>
      <c r="Y105" s="743"/>
      <c r="Z105" s="743"/>
      <c r="AA105" s="743"/>
      <c r="AB105" s="743"/>
      <c r="AC105" s="781" t="str">
        <f t="shared" ca="1" si="13"/>
        <v/>
      </c>
      <c r="AD105" s="781"/>
      <c r="AE105" s="781"/>
      <c r="AF105" s="781"/>
      <c r="AG105" s="781"/>
      <c r="AH105" s="781"/>
      <c r="AI105" s="781"/>
      <c r="AJ105" s="742" t="str">
        <f t="shared" ca="1" si="14"/>
        <v/>
      </c>
      <c r="AK105" s="742"/>
      <c r="AL105" s="781" t="str">
        <f t="shared" ca="1" si="15"/>
        <v/>
      </c>
      <c r="AM105" s="781"/>
      <c r="AN105" s="781"/>
      <c r="AO105" s="781"/>
      <c r="AP105" s="781"/>
      <c r="AQ105" s="781"/>
      <c r="AR105" s="781"/>
      <c r="AS105" s="741" t="str">
        <f t="shared" ca="1" si="16"/>
        <v/>
      </c>
      <c r="AT105" s="741"/>
      <c r="AU105" s="741"/>
      <c r="AV105" s="741"/>
      <c r="AW105" s="741"/>
      <c r="AX105" s="741"/>
      <c r="AY105" s="741"/>
      <c r="AZ105" s="473" t="s">
        <v>1530</v>
      </c>
    </row>
    <row r="106" spans="1:52" ht="36.75" customHeight="1">
      <c r="B106" s="742">
        <f t="shared" si="17"/>
        <v>60</v>
      </c>
      <c r="C106" s="742"/>
      <c r="D106" s="743" t="str">
        <f t="shared" ca="1" si="12"/>
        <v/>
      </c>
      <c r="E106" s="743"/>
      <c r="F106" s="743"/>
      <c r="G106" s="743"/>
      <c r="H106" s="743"/>
      <c r="I106" s="743"/>
      <c r="J106" s="743"/>
      <c r="K106" s="743"/>
      <c r="L106" s="743"/>
      <c r="M106" s="743"/>
      <c r="N106" s="743"/>
      <c r="O106" s="743"/>
      <c r="P106" s="743"/>
      <c r="Q106" s="743"/>
      <c r="R106" s="743"/>
      <c r="S106" s="743"/>
      <c r="T106" s="743"/>
      <c r="U106" s="743"/>
      <c r="V106" s="743"/>
      <c r="W106" s="743"/>
      <c r="X106" s="743"/>
      <c r="Y106" s="743"/>
      <c r="Z106" s="743"/>
      <c r="AA106" s="743"/>
      <c r="AB106" s="743"/>
      <c r="AC106" s="781" t="str">
        <f t="shared" ca="1" si="13"/>
        <v/>
      </c>
      <c r="AD106" s="781"/>
      <c r="AE106" s="781"/>
      <c r="AF106" s="781"/>
      <c r="AG106" s="781"/>
      <c r="AH106" s="781"/>
      <c r="AI106" s="781"/>
      <c r="AJ106" s="742" t="str">
        <f t="shared" ca="1" si="14"/>
        <v/>
      </c>
      <c r="AK106" s="742"/>
      <c r="AL106" s="781" t="str">
        <f t="shared" ca="1" si="15"/>
        <v/>
      </c>
      <c r="AM106" s="781"/>
      <c r="AN106" s="781"/>
      <c r="AO106" s="781"/>
      <c r="AP106" s="781"/>
      <c r="AQ106" s="781"/>
      <c r="AR106" s="781"/>
      <c r="AS106" s="741" t="str">
        <f t="shared" ca="1" si="16"/>
        <v/>
      </c>
      <c r="AT106" s="741"/>
      <c r="AU106" s="741"/>
      <c r="AV106" s="741"/>
      <c r="AW106" s="741"/>
      <c r="AX106" s="741"/>
      <c r="AY106" s="741"/>
    </row>
    <row r="107" spans="1:52" ht="45" customHeight="1">
      <c r="B107" s="749" t="s">
        <v>1527</v>
      </c>
      <c r="C107" s="750"/>
      <c r="D107" s="750"/>
      <c r="E107" s="751" t="str">
        <f>IF(UNNH0030_REPORT_IF_H_EIGYO_MEI="","",UNNH0030_REPORT_IF_H_EIGYO_MEI)</f>
        <v/>
      </c>
      <c r="F107" s="751"/>
      <c r="G107" s="751"/>
      <c r="H107" s="751"/>
      <c r="I107" s="751"/>
      <c r="J107" s="751"/>
      <c r="K107" s="751"/>
      <c r="L107" s="751"/>
      <c r="M107" s="751"/>
      <c r="N107" s="751"/>
      <c r="O107" s="751"/>
      <c r="P107" s="751"/>
      <c r="Q107" s="751"/>
      <c r="R107" s="751"/>
      <c r="S107" s="751"/>
      <c r="T107" s="751"/>
      <c r="U107" s="751"/>
      <c r="V107" s="751"/>
      <c r="W107" s="751"/>
      <c r="X107" s="751"/>
      <c r="Y107" s="751"/>
      <c r="Z107" s="751"/>
      <c r="AA107" s="751"/>
      <c r="AB107" s="751"/>
      <c r="AC107" s="751"/>
      <c r="AD107" s="751"/>
      <c r="AE107" s="751"/>
      <c r="AF107" s="751"/>
      <c r="AG107" s="752"/>
      <c r="AH107" s="742" t="s">
        <v>1107</v>
      </c>
      <c r="AI107" s="742"/>
      <c r="AJ107" s="742"/>
      <c r="AK107" s="742"/>
      <c r="AL107" s="742"/>
      <c r="AM107" s="742"/>
      <c r="AN107" s="742"/>
      <c r="AO107" s="742"/>
      <c r="AP107" s="742"/>
      <c r="AQ107" s="782" t="str">
        <f>IF(ROUNDUP(ROW()/ROWS(UNNH0030_SEIKYUSHO_PAGE_AREA),0)=UNNH0030_REPORT_IF_B_PAGE_TOTAL,UNNH0030_REPORT_IF_H_TOTAL,"")</f>
        <v/>
      </c>
      <c r="AR107" s="783"/>
      <c r="AS107" s="783"/>
      <c r="AT107" s="783"/>
      <c r="AU107" s="783"/>
      <c r="AV107" s="783"/>
      <c r="AW107" s="783"/>
      <c r="AX107" s="783"/>
      <c r="AY107" s="784"/>
    </row>
    <row r="108" spans="1:52" ht="33.75" customHeight="1"/>
    <row r="109" spans="1:52" ht="38.25" customHeight="1">
      <c r="B109" s="756" t="s">
        <v>1528</v>
      </c>
      <c r="C109" s="757"/>
      <c r="D109" s="758"/>
      <c r="E109" s="738" t="str">
        <f>IF(UNNH0030_REPORT_IF_H_TEKIYO="","",UNNH0030_REPORT_IF_H_TEKIYO)</f>
        <v/>
      </c>
      <c r="F109" s="738"/>
      <c r="G109" s="738"/>
      <c r="H109" s="738"/>
      <c r="I109" s="738"/>
      <c r="J109" s="738"/>
      <c r="K109" s="738"/>
      <c r="L109" s="738"/>
      <c r="M109" s="738"/>
      <c r="N109" s="738"/>
      <c r="O109" s="738"/>
      <c r="P109" s="738"/>
      <c r="Q109" s="738"/>
      <c r="R109" s="738"/>
      <c r="S109" s="738"/>
      <c r="T109" s="738"/>
      <c r="U109" s="738"/>
      <c r="V109" s="738"/>
      <c r="W109" s="738"/>
      <c r="X109" s="738"/>
      <c r="Y109" s="738"/>
      <c r="Z109" s="738"/>
      <c r="AA109" s="738"/>
      <c r="AB109" s="738"/>
      <c r="AC109" s="738"/>
      <c r="AD109" s="738"/>
      <c r="AE109" s="738"/>
      <c r="AF109" s="738"/>
      <c r="AG109" s="738"/>
      <c r="AH109" s="738"/>
      <c r="AI109" s="738"/>
      <c r="AJ109" s="738"/>
      <c r="AK109" s="738"/>
      <c r="AL109" s="738"/>
      <c r="AM109" s="738"/>
      <c r="AN109" s="738"/>
      <c r="AO109" s="738"/>
      <c r="AP109" s="738"/>
      <c r="AQ109" s="738"/>
      <c r="AR109" s="738"/>
      <c r="AS109" s="738"/>
      <c r="AU109" s="739" t="str">
        <f>IF(UNNH0030_REPORT_IF_H_SEIKYUHOHO_KBN=0,"","締日 "&amp;UNNH0030_REPORT_IF_H_SHIMEBI)</f>
        <v/>
      </c>
      <c r="AV109" s="739"/>
      <c r="AW109" s="739"/>
      <c r="AX109" s="739"/>
      <c r="AY109" s="740" t="str">
        <f>UNNH0030_REPORT_IF_H_SHIMEBI_MARK</f>
        <v>*</v>
      </c>
    </row>
    <row r="110" spans="1:52" ht="38.25" customHeight="1">
      <c r="B110" s="759"/>
      <c r="C110" s="760"/>
      <c r="D110" s="761"/>
      <c r="E110" s="738"/>
      <c r="F110" s="738"/>
      <c r="G110" s="738"/>
      <c r="H110" s="738"/>
      <c r="I110" s="738"/>
      <c r="J110" s="738"/>
      <c r="K110" s="738"/>
      <c r="L110" s="738"/>
      <c r="M110" s="738"/>
      <c r="N110" s="738"/>
      <c r="O110" s="738"/>
      <c r="P110" s="738"/>
      <c r="Q110" s="738"/>
      <c r="R110" s="738"/>
      <c r="S110" s="738"/>
      <c r="T110" s="738"/>
      <c r="U110" s="738"/>
      <c r="V110" s="738"/>
      <c r="W110" s="738"/>
      <c r="X110" s="738"/>
      <c r="Y110" s="738"/>
      <c r="Z110" s="738"/>
      <c r="AA110" s="738"/>
      <c r="AB110" s="738"/>
      <c r="AC110" s="738"/>
      <c r="AD110" s="738"/>
      <c r="AE110" s="738"/>
      <c r="AF110" s="738"/>
      <c r="AG110" s="738"/>
      <c r="AH110" s="738"/>
      <c r="AI110" s="738"/>
      <c r="AJ110" s="738"/>
      <c r="AK110" s="738"/>
      <c r="AL110" s="738"/>
      <c r="AM110" s="738"/>
      <c r="AN110" s="738"/>
      <c r="AO110" s="738"/>
      <c r="AP110" s="738"/>
      <c r="AQ110" s="738"/>
      <c r="AR110" s="738"/>
      <c r="AS110" s="738"/>
      <c r="AU110" s="739"/>
      <c r="AV110" s="739"/>
      <c r="AW110" s="739"/>
      <c r="AX110" s="739"/>
      <c r="AY110" s="740"/>
    </row>
    <row r="111" spans="1:52" ht="30" customHeight="1">
      <c r="B111" s="777" t="str">
        <f>IF(UNNH0030_REPORT_IF_JURI_NO="","",UNNH0030_REPORT_IF_JURI_NO)</f>
        <v/>
      </c>
      <c r="C111" s="777"/>
      <c r="D111" s="777"/>
      <c r="E111" s="777"/>
      <c r="F111" s="777"/>
      <c r="G111" s="777"/>
      <c r="H111" s="777"/>
      <c r="I111" s="777"/>
      <c r="J111" s="777"/>
      <c r="K111" s="777"/>
      <c r="L111" s="777"/>
      <c r="M111" s="777"/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</row>
    <row r="112" spans="1:52">
      <c r="E112" s="465"/>
      <c r="F112" s="466"/>
      <c r="G112" s="466"/>
      <c r="H112" s="466"/>
      <c r="I112" s="466"/>
      <c r="J112" s="466"/>
      <c r="K112" s="466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7"/>
      <c r="AA112" s="744" t="s">
        <v>1100</v>
      </c>
      <c r="AB112" s="744"/>
      <c r="AC112" s="744"/>
      <c r="AD112" s="744"/>
      <c r="AE112" s="744"/>
      <c r="AF112" s="744"/>
      <c r="AG112" s="744"/>
      <c r="AH112" s="744"/>
      <c r="AI112" s="744"/>
      <c r="AJ112" s="744"/>
      <c r="AK112" s="744"/>
      <c r="AL112" s="744"/>
      <c r="AP112" s="774" t="str">
        <f>"No."&amp;UNNH0030_REPORT_IF_H_URIAGE_NO&amp;"-"&amp;ROUNDUP(ROW()/ROWS(UNNH0030_SEIKYUSHO_PAGE_AREA),0)&amp;"/"&amp;UNNH0030_REPORT_IF_B_PAGE_TOTAL</f>
        <v>No.-4/1</v>
      </c>
      <c r="AQ112" s="774"/>
      <c r="AR112" s="774"/>
      <c r="AS112" s="774"/>
      <c r="AT112" s="774"/>
      <c r="AU112" s="774"/>
      <c r="AV112" s="774"/>
      <c r="AW112" s="774"/>
      <c r="AX112" s="774"/>
      <c r="AY112" s="774"/>
    </row>
    <row r="113" spans="1:52" ht="24.75" customHeight="1">
      <c r="D113" s="403"/>
      <c r="E113" s="468"/>
      <c r="F113" s="775" t="str">
        <f>IF(UNNH0030_REPORT_IF_H_JUSHO_NO_PRINT_FLG=TRUE,"","〒")</f>
        <v>〒</v>
      </c>
      <c r="G113" s="775"/>
      <c r="H113" s="776" t="str">
        <f>IF(UNNH0030_REPORT_IF_H_JUSHO_NO_PRINT_FLG=TRUE,"",IF(UNNH0030_REPORT_IF_H_YUBIN_NO="","",UNNH0030_REPORT_IF_H_YUBIN_NO))</f>
        <v/>
      </c>
      <c r="I113" s="776"/>
      <c r="J113" s="776"/>
      <c r="K113" s="776"/>
      <c r="L113" s="776"/>
      <c r="M113" s="776"/>
      <c r="N113" s="776"/>
      <c r="O113" s="776"/>
      <c r="P113" s="776"/>
      <c r="Q113" s="776"/>
      <c r="R113" s="776"/>
      <c r="S113" s="776"/>
      <c r="T113" s="776"/>
      <c r="U113" s="776"/>
      <c r="V113" s="776"/>
      <c r="W113" s="776"/>
      <c r="X113" s="776"/>
      <c r="Y113" s="469"/>
      <c r="AA113" s="744"/>
      <c r="AB113" s="744"/>
      <c r="AC113" s="744"/>
      <c r="AD113" s="744"/>
      <c r="AE113" s="744"/>
      <c r="AF113" s="744"/>
      <c r="AG113" s="744"/>
      <c r="AH113" s="744"/>
      <c r="AI113" s="744"/>
      <c r="AJ113" s="744"/>
      <c r="AK113" s="744"/>
      <c r="AL113" s="744"/>
      <c r="AP113" s="774"/>
      <c r="AQ113" s="774"/>
      <c r="AR113" s="774"/>
      <c r="AS113" s="774"/>
      <c r="AT113" s="774"/>
      <c r="AU113" s="774"/>
      <c r="AV113" s="774"/>
      <c r="AW113" s="774"/>
      <c r="AX113" s="774"/>
      <c r="AY113" s="774"/>
    </row>
    <row r="114" spans="1:52" ht="24.75" customHeight="1">
      <c r="D114" s="403"/>
      <c r="E114" s="468"/>
      <c r="F114" s="745" t="str">
        <f>IF(UNNH0030_REPORT_IF_H_JUSHO_NO_PRINT_FLG="","",IF(UNNH0030_REPORT_IF_H_ADDRESS_1="","",UNNH0030_REPORT_IF_H_ADDRESS_1))</f>
        <v/>
      </c>
      <c r="G114" s="745"/>
      <c r="H114" s="745"/>
      <c r="I114" s="745"/>
      <c r="J114" s="745"/>
      <c r="K114" s="745"/>
      <c r="L114" s="745"/>
      <c r="M114" s="745"/>
      <c r="N114" s="745"/>
      <c r="O114" s="745"/>
      <c r="P114" s="745"/>
      <c r="Q114" s="745"/>
      <c r="R114" s="745"/>
      <c r="S114" s="745"/>
      <c r="T114" s="745"/>
      <c r="U114" s="745"/>
      <c r="V114" s="745"/>
      <c r="W114" s="745"/>
      <c r="X114" s="745"/>
      <c r="Y114" s="469"/>
      <c r="AP114" s="748">
        <f>UNNH0030_REPORT_IF_H_URIAGE_DATE</f>
        <v>0</v>
      </c>
      <c r="AQ114" s="748"/>
      <c r="AR114" s="748"/>
      <c r="AS114" s="748"/>
      <c r="AT114" s="748"/>
      <c r="AU114" s="748"/>
      <c r="AV114" s="748"/>
      <c r="AW114" s="748"/>
      <c r="AX114" s="748"/>
      <c r="AY114" s="748"/>
    </row>
    <row r="115" spans="1:52" ht="24.75" customHeight="1">
      <c r="D115" s="403"/>
      <c r="E115" s="468"/>
      <c r="F115" s="745" t="str">
        <f>IF(UNNH0030_REPORT_IF_H_JUSHO_NO_PRINT_FLG="","",IF(UNNH0030_REPORT_IF_H_ADDRESS_2="","",UNNH0030_REPORT_IF_H_ADDRESS_2))</f>
        <v/>
      </c>
      <c r="G115" s="745"/>
      <c r="H115" s="745"/>
      <c r="I115" s="745"/>
      <c r="J115" s="745"/>
      <c r="K115" s="745"/>
      <c r="L115" s="745"/>
      <c r="M115" s="745"/>
      <c r="N115" s="745"/>
      <c r="O115" s="745"/>
      <c r="P115" s="745"/>
      <c r="Q115" s="745"/>
      <c r="R115" s="745"/>
      <c r="S115" s="745"/>
      <c r="T115" s="745"/>
      <c r="U115" s="745"/>
      <c r="V115" s="745"/>
      <c r="W115" s="745"/>
      <c r="X115" s="745"/>
      <c r="Y115" s="469"/>
    </row>
    <row r="116" spans="1:52" ht="24.75" customHeight="1">
      <c r="D116" s="403"/>
      <c r="E116" s="468"/>
      <c r="F116" s="409"/>
      <c r="G116" s="409"/>
      <c r="H116" s="409"/>
      <c r="I116" s="409"/>
      <c r="J116" s="409"/>
      <c r="K116" s="409"/>
      <c r="L116" s="409"/>
      <c r="M116" s="409"/>
      <c r="N116" s="409"/>
      <c r="O116" s="409"/>
      <c r="P116" s="409"/>
      <c r="Q116" s="409"/>
      <c r="R116" s="409"/>
      <c r="S116" s="409"/>
      <c r="T116" s="409"/>
      <c r="U116" s="409"/>
      <c r="V116" s="409"/>
      <c r="W116" s="409"/>
      <c r="X116" s="409"/>
      <c r="Y116" s="469"/>
    </row>
    <row r="117" spans="1:52" ht="26.25" customHeight="1">
      <c r="D117" s="403"/>
      <c r="E117" s="470"/>
      <c r="F117" s="745" t="str">
        <f>IF(TRIM(UNNH0030_REPORT_IF_H_SOFU_TANTO)="","",
IF(TRIM(UNNH0030_REPORT_IF_H_DEMPYO_SOFU_MEI)="","",
TRIM(UNNH0030_REPORT_IF_H_DEMPYO_SOFU_MEI)))</f>
        <v/>
      </c>
      <c r="G117" s="745"/>
      <c r="H117" s="745"/>
      <c r="I117" s="745"/>
      <c r="J117" s="745"/>
      <c r="K117" s="745"/>
      <c r="L117" s="745"/>
      <c r="M117" s="745"/>
      <c r="N117" s="745"/>
      <c r="O117" s="745"/>
      <c r="P117" s="745"/>
      <c r="Q117" s="745"/>
      <c r="R117" s="745"/>
      <c r="S117" s="745"/>
      <c r="T117" s="745"/>
      <c r="U117" s="745"/>
      <c r="V117" s="745"/>
      <c r="W117" s="745"/>
      <c r="X117" s="745"/>
      <c r="Y117" s="469"/>
    </row>
    <row r="118" spans="1:52" ht="26.25" customHeight="1">
      <c r="D118" s="403"/>
      <c r="E118" s="468"/>
      <c r="F118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18" s="746"/>
      <c r="H118" s="746"/>
      <c r="I118" s="746"/>
      <c r="J118" s="746"/>
      <c r="K118" s="746"/>
      <c r="L118" s="746"/>
      <c r="M118" s="746"/>
      <c r="N118" s="746"/>
      <c r="O118" s="746"/>
      <c r="P118" s="746"/>
      <c r="Q118" s="746"/>
      <c r="R118" s="746"/>
      <c r="S118" s="746"/>
      <c r="T118" s="746"/>
      <c r="U118" s="746"/>
      <c r="V118" s="746"/>
      <c r="W118" s="746"/>
      <c r="X118" s="746"/>
      <c r="Y118" s="469"/>
      <c r="Z118" s="477" t="str">
        <f>UNNH0030_REPORT_IF_H_SHIMEBI_MARK</f>
        <v>*</v>
      </c>
    </row>
    <row r="119" spans="1:52" ht="25.5" customHeight="1">
      <c r="D119" s="403"/>
      <c r="E119" s="471"/>
      <c r="F119" s="747">
        <f>UNNH0030_REPORT_IF_H_SEIKYU_CD</f>
        <v>0</v>
      </c>
      <c r="G119" s="747"/>
      <c r="H119" s="747"/>
      <c r="I119" s="747"/>
      <c r="J119" s="747"/>
      <c r="K119" s="747"/>
      <c r="L119" s="747"/>
      <c r="M119" s="747"/>
      <c r="N119" s="747"/>
      <c r="O119" s="747"/>
      <c r="P119" s="747"/>
      <c r="Q119" s="747"/>
      <c r="R119" s="747"/>
      <c r="S119" s="747"/>
      <c r="T119" s="747"/>
      <c r="U119" s="747"/>
      <c r="V119" s="747"/>
      <c r="W119" s="747"/>
      <c r="X119" s="747"/>
      <c r="Y119" s="472"/>
    </row>
    <row r="120" spans="1:52" ht="30" customHeight="1"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  <c r="N120" s="403"/>
      <c r="O120" s="403"/>
    </row>
    <row r="121" spans="1:52" ht="30" customHeight="1"/>
    <row r="122" spans="1:52" ht="29.25" customHeight="1">
      <c r="B122" s="474" t="s">
        <v>1101</v>
      </c>
    </row>
    <row r="123" spans="1:52" ht="36.75" customHeight="1">
      <c r="B123" s="742"/>
      <c r="C123" s="742"/>
      <c r="D123" s="742" t="s">
        <v>1102</v>
      </c>
      <c r="E123" s="742"/>
      <c r="F123" s="742"/>
      <c r="G123" s="742"/>
      <c r="H123" s="742"/>
      <c r="I123" s="742"/>
      <c r="J123" s="742"/>
      <c r="K123" s="742"/>
      <c r="L123" s="742"/>
      <c r="M123" s="742"/>
      <c r="N123" s="742"/>
      <c r="O123" s="742"/>
      <c r="P123" s="742"/>
      <c r="Q123" s="742"/>
      <c r="R123" s="742"/>
      <c r="S123" s="742"/>
      <c r="T123" s="742"/>
      <c r="U123" s="742"/>
      <c r="V123" s="742"/>
      <c r="W123" s="742"/>
      <c r="X123" s="742"/>
      <c r="Y123" s="742"/>
      <c r="Z123" s="742"/>
      <c r="AA123" s="742"/>
      <c r="AB123" s="742"/>
      <c r="AC123" s="742" t="s">
        <v>1103</v>
      </c>
      <c r="AD123" s="742"/>
      <c r="AE123" s="742"/>
      <c r="AF123" s="742"/>
      <c r="AG123" s="742"/>
      <c r="AH123" s="742"/>
      <c r="AI123" s="742"/>
      <c r="AJ123" s="742" t="s">
        <v>1104</v>
      </c>
      <c r="AK123" s="742"/>
      <c r="AL123" s="742" t="s">
        <v>1105</v>
      </c>
      <c r="AM123" s="742"/>
      <c r="AN123" s="742"/>
      <c r="AO123" s="742"/>
      <c r="AP123" s="742"/>
      <c r="AQ123" s="742"/>
      <c r="AR123" s="742"/>
      <c r="AS123" s="742" t="s">
        <v>1106</v>
      </c>
      <c r="AT123" s="742"/>
      <c r="AU123" s="742"/>
      <c r="AV123" s="742"/>
      <c r="AW123" s="742"/>
      <c r="AX123" s="742"/>
      <c r="AY123" s="742"/>
    </row>
    <row r="124" spans="1:52" ht="36.75" customHeight="1">
      <c r="B124" s="742">
        <f>ROUNDDOWN(ROW()/ROWS(UNNH0030_REPORT_RAYOUT_SEIKYUSHO),0)*UNNH0030_REPORT_IF_B_PAGE_MEISAI_SU+1</f>
        <v>61</v>
      </c>
      <c r="C124" s="742"/>
      <c r="D124" s="743" t="str">
        <f t="shared" ref="D124:D143" ca="1" si="18">IF(OFFSET(UNNH0030_REPORT_IF_B_SHOHIN_MEI,$B124,0)="","",OFFSET(UNNH0030_REPORT_IF_B_SHOHIN_MEI,$B124,0))</f>
        <v/>
      </c>
      <c r="E124" s="743"/>
      <c r="F124" s="743"/>
      <c r="G124" s="743"/>
      <c r="H124" s="743"/>
      <c r="I124" s="743"/>
      <c r="J124" s="743"/>
      <c r="K124" s="743"/>
      <c r="L124" s="743"/>
      <c r="M124" s="743"/>
      <c r="N124" s="743"/>
      <c r="O124" s="743"/>
      <c r="P124" s="743"/>
      <c r="Q124" s="743"/>
      <c r="R124" s="743"/>
      <c r="S124" s="743"/>
      <c r="T124" s="743"/>
      <c r="U124" s="743"/>
      <c r="V124" s="743"/>
      <c r="W124" s="743"/>
      <c r="X124" s="743"/>
      <c r="Y124" s="743"/>
      <c r="Z124" s="743"/>
      <c r="AA124" s="743"/>
      <c r="AB124" s="743"/>
      <c r="AC124" s="781" t="str">
        <f t="shared" ref="AC124:AC143" ca="1" si="19">IF(OR(OFFSET(UNNH0030_REPORT_IF_B_ROW_KBN,$B124,0)&lt;&gt;1,$D124="",$D124="消費税"),"",
OFFSET(UNNH0030_REPORT_IF_B_SURYO,$B124,0))</f>
        <v/>
      </c>
      <c r="AD124" s="781"/>
      <c r="AE124" s="781"/>
      <c r="AF124" s="781"/>
      <c r="AG124" s="781"/>
      <c r="AH124" s="781"/>
      <c r="AI124" s="781"/>
      <c r="AJ124" s="742" t="str">
        <f t="shared" ref="AJ124:AJ143" ca="1" si="20">IF(OFFSET(UNNH0030_REPORT_IF_B_TANI,$B124,0)="","",OFFSET(UNNH0030_REPORT_IF_B_TANI,$B124,0))</f>
        <v/>
      </c>
      <c r="AK124" s="742"/>
      <c r="AL124" s="781" t="str">
        <f t="shared" ref="AL124:AL143" ca="1" si="21">IF(OR(OFFSET(UNNH0030_REPORT_IF_B_ROW_KBN,$B124,0)&lt;&gt;1,$D124="",$D124="消費税"),"",
OFFSET(UNNH0030_REPORT_IF_B_TANKA,$B124,0))</f>
        <v/>
      </c>
      <c r="AM124" s="781"/>
      <c r="AN124" s="781"/>
      <c r="AO124" s="781"/>
      <c r="AP124" s="781"/>
      <c r="AQ124" s="781"/>
      <c r="AR124" s="781"/>
      <c r="AS124" s="741" t="str">
        <f t="shared" ref="AS124:AS143" ca="1" si="22">IF(OR(OFFSET(UNNH0030_REPORT_IF_B_KINGAKU,$B124,0)=0,$D124=""),"",
OFFSET(UNNH0030_REPORT_IF_B_KINGAKU,$B124,0))</f>
        <v/>
      </c>
      <c r="AT124" s="741"/>
      <c r="AU124" s="741"/>
      <c r="AV124" s="741"/>
      <c r="AW124" s="741"/>
      <c r="AX124" s="741"/>
      <c r="AY124" s="741"/>
    </row>
    <row r="125" spans="1:52" ht="36.75" customHeight="1">
      <c r="B125" s="742">
        <f>B124+1</f>
        <v>62</v>
      </c>
      <c r="C125" s="742"/>
      <c r="D125" s="743" t="str">
        <f t="shared" ca="1" si="18"/>
        <v/>
      </c>
      <c r="E125" s="743"/>
      <c r="F125" s="743"/>
      <c r="G125" s="743"/>
      <c r="H125" s="743"/>
      <c r="I125" s="743"/>
      <c r="J125" s="743"/>
      <c r="K125" s="743"/>
      <c r="L125" s="743"/>
      <c r="M125" s="743"/>
      <c r="N125" s="743"/>
      <c r="O125" s="743"/>
      <c r="P125" s="743"/>
      <c r="Q125" s="743"/>
      <c r="R125" s="743"/>
      <c r="S125" s="743"/>
      <c r="T125" s="743"/>
      <c r="U125" s="743"/>
      <c r="V125" s="743"/>
      <c r="W125" s="743"/>
      <c r="X125" s="743"/>
      <c r="Y125" s="743"/>
      <c r="Z125" s="743"/>
      <c r="AA125" s="743"/>
      <c r="AB125" s="743"/>
      <c r="AC125" s="781" t="str">
        <f t="shared" ca="1" si="19"/>
        <v/>
      </c>
      <c r="AD125" s="781"/>
      <c r="AE125" s="781"/>
      <c r="AF125" s="781"/>
      <c r="AG125" s="781"/>
      <c r="AH125" s="781"/>
      <c r="AI125" s="781"/>
      <c r="AJ125" s="742" t="str">
        <f t="shared" ca="1" si="20"/>
        <v/>
      </c>
      <c r="AK125" s="742"/>
      <c r="AL125" s="781" t="str">
        <f t="shared" ca="1" si="21"/>
        <v/>
      </c>
      <c r="AM125" s="781"/>
      <c r="AN125" s="781"/>
      <c r="AO125" s="781"/>
      <c r="AP125" s="781"/>
      <c r="AQ125" s="781"/>
      <c r="AR125" s="781"/>
      <c r="AS125" s="741" t="str">
        <f t="shared" ca="1" si="22"/>
        <v/>
      </c>
      <c r="AT125" s="741"/>
      <c r="AU125" s="741"/>
      <c r="AV125" s="741"/>
      <c r="AW125" s="741"/>
      <c r="AX125" s="741"/>
      <c r="AY125" s="741"/>
    </row>
    <row r="126" spans="1:52" ht="36.75" customHeight="1">
      <c r="B126" s="742">
        <f>B125+1</f>
        <v>63</v>
      </c>
      <c r="C126" s="742"/>
      <c r="D126" s="743" t="str">
        <f t="shared" ca="1" si="18"/>
        <v/>
      </c>
      <c r="E126" s="743"/>
      <c r="F126" s="743"/>
      <c r="G126" s="743"/>
      <c r="H126" s="743"/>
      <c r="I126" s="743"/>
      <c r="J126" s="743"/>
      <c r="K126" s="743"/>
      <c r="L126" s="743"/>
      <c r="M126" s="743"/>
      <c r="N126" s="743"/>
      <c r="O126" s="743"/>
      <c r="P126" s="743"/>
      <c r="Q126" s="743"/>
      <c r="R126" s="743"/>
      <c r="S126" s="743"/>
      <c r="T126" s="743"/>
      <c r="U126" s="743"/>
      <c r="V126" s="743"/>
      <c r="W126" s="743"/>
      <c r="X126" s="743"/>
      <c r="Y126" s="743"/>
      <c r="Z126" s="743"/>
      <c r="AA126" s="743"/>
      <c r="AB126" s="743"/>
      <c r="AC126" s="781" t="str">
        <f t="shared" ca="1" si="19"/>
        <v/>
      </c>
      <c r="AD126" s="781"/>
      <c r="AE126" s="781"/>
      <c r="AF126" s="781"/>
      <c r="AG126" s="781"/>
      <c r="AH126" s="781"/>
      <c r="AI126" s="781"/>
      <c r="AJ126" s="742" t="str">
        <f t="shared" ca="1" si="20"/>
        <v/>
      </c>
      <c r="AK126" s="742"/>
      <c r="AL126" s="781" t="str">
        <f t="shared" ca="1" si="21"/>
        <v/>
      </c>
      <c r="AM126" s="781"/>
      <c r="AN126" s="781"/>
      <c r="AO126" s="781"/>
      <c r="AP126" s="781"/>
      <c r="AQ126" s="781"/>
      <c r="AR126" s="781"/>
      <c r="AS126" s="741" t="str">
        <f t="shared" ca="1" si="22"/>
        <v/>
      </c>
      <c r="AT126" s="741"/>
      <c r="AU126" s="741"/>
      <c r="AV126" s="741"/>
      <c r="AW126" s="741"/>
      <c r="AX126" s="741"/>
      <c r="AY126" s="741"/>
    </row>
    <row r="127" spans="1:52" ht="36.75" customHeight="1">
      <c r="B127" s="742">
        <f t="shared" ref="B127:B143" si="23">B126+1</f>
        <v>64</v>
      </c>
      <c r="C127" s="742"/>
      <c r="D127" s="743" t="str">
        <f t="shared" ca="1" si="18"/>
        <v/>
      </c>
      <c r="E127" s="743"/>
      <c r="F127" s="743"/>
      <c r="G127" s="743"/>
      <c r="H127" s="743"/>
      <c r="I127" s="743"/>
      <c r="J127" s="743"/>
      <c r="K127" s="743"/>
      <c r="L127" s="743"/>
      <c r="M127" s="743"/>
      <c r="N127" s="743"/>
      <c r="O127" s="743"/>
      <c r="P127" s="743"/>
      <c r="Q127" s="743"/>
      <c r="R127" s="743"/>
      <c r="S127" s="743"/>
      <c r="T127" s="743"/>
      <c r="U127" s="743"/>
      <c r="V127" s="743"/>
      <c r="W127" s="743"/>
      <c r="X127" s="743"/>
      <c r="Y127" s="743"/>
      <c r="Z127" s="743"/>
      <c r="AA127" s="743"/>
      <c r="AB127" s="743"/>
      <c r="AC127" s="781" t="str">
        <f t="shared" ca="1" si="19"/>
        <v/>
      </c>
      <c r="AD127" s="781"/>
      <c r="AE127" s="781"/>
      <c r="AF127" s="781"/>
      <c r="AG127" s="781"/>
      <c r="AH127" s="781"/>
      <c r="AI127" s="781"/>
      <c r="AJ127" s="742" t="str">
        <f t="shared" ca="1" si="20"/>
        <v/>
      </c>
      <c r="AK127" s="742"/>
      <c r="AL127" s="781" t="str">
        <f t="shared" ca="1" si="21"/>
        <v/>
      </c>
      <c r="AM127" s="781"/>
      <c r="AN127" s="781"/>
      <c r="AO127" s="781"/>
      <c r="AP127" s="781"/>
      <c r="AQ127" s="781"/>
      <c r="AR127" s="781"/>
      <c r="AS127" s="741" t="str">
        <f t="shared" ca="1" si="22"/>
        <v/>
      </c>
      <c r="AT127" s="741"/>
      <c r="AU127" s="741"/>
      <c r="AV127" s="741"/>
      <c r="AW127" s="741"/>
      <c r="AX127" s="741"/>
      <c r="AY127" s="741"/>
    </row>
    <row r="128" spans="1:52" ht="36.75" customHeight="1">
      <c r="A128" s="403" t="s">
        <v>1529</v>
      </c>
      <c r="B128" s="742">
        <f t="shared" si="23"/>
        <v>65</v>
      </c>
      <c r="C128" s="742"/>
      <c r="D128" s="743" t="str">
        <f t="shared" ca="1" si="18"/>
        <v/>
      </c>
      <c r="E128" s="743"/>
      <c r="F128" s="743"/>
      <c r="G128" s="743"/>
      <c r="H128" s="743"/>
      <c r="I128" s="743"/>
      <c r="J128" s="743"/>
      <c r="K128" s="743"/>
      <c r="L128" s="743"/>
      <c r="M128" s="743"/>
      <c r="N128" s="743"/>
      <c r="O128" s="743"/>
      <c r="P128" s="743"/>
      <c r="Q128" s="743"/>
      <c r="R128" s="743"/>
      <c r="S128" s="743"/>
      <c r="T128" s="743"/>
      <c r="U128" s="743"/>
      <c r="V128" s="743"/>
      <c r="W128" s="743"/>
      <c r="X128" s="743"/>
      <c r="Y128" s="743"/>
      <c r="Z128" s="743"/>
      <c r="AA128" s="743"/>
      <c r="AB128" s="743"/>
      <c r="AC128" s="781" t="str">
        <f t="shared" ca="1" si="19"/>
        <v/>
      </c>
      <c r="AD128" s="781"/>
      <c r="AE128" s="781"/>
      <c r="AF128" s="781"/>
      <c r="AG128" s="781"/>
      <c r="AH128" s="781"/>
      <c r="AI128" s="781"/>
      <c r="AJ128" s="742" t="str">
        <f t="shared" ca="1" si="20"/>
        <v/>
      </c>
      <c r="AK128" s="742"/>
      <c r="AL128" s="781" t="str">
        <f t="shared" ca="1" si="21"/>
        <v/>
      </c>
      <c r="AM128" s="781"/>
      <c r="AN128" s="781"/>
      <c r="AO128" s="781"/>
      <c r="AP128" s="781"/>
      <c r="AQ128" s="781"/>
      <c r="AR128" s="781"/>
      <c r="AS128" s="741" t="str">
        <f t="shared" ca="1" si="22"/>
        <v/>
      </c>
      <c r="AT128" s="741"/>
      <c r="AU128" s="741"/>
      <c r="AV128" s="741"/>
      <c r="AW128" s="741"/>
      <c r="AX128" s="741"/>
      <c r="AY128" s="741"/>
      <c r="AZ128" s="473" t="s">
        <v>1530</v>
      </c>
    </row>
    <row r="129" spans="1:52" ht="36.75" customHeight="1">
      <c r="B129" s="742">
        <f t="shared" si="23"/>
        <v>66</v>
      </c>
      <c r="C129" s="742"/>
      <c r="D129" s="743" t="str">
        <f t="shared" ca="1" si="18"/>
        <v/>
      </c>
      <c r="E129" s="743"/>
      <c r="F129" s="743"/>
      <c r="G129" s="743"/>
      <c r="H129" s="743"/>
      <c r="I129" s="743"/>
      <c r="J129" s="743"/>
      <c r="K129" s="743"/>
      <c r="L129" s="743"/>
      <c r="M129" s="743"/>
      <c r="N129" s="743"/>
      <c r="O129" s="743"/>
      <c r="P129" s="743"/>
      <c r="Q129" s="743"/>
      <c r="R129" s="743"/>
      <c r="S129" s="743"/>
      <c r="T129" s="743"/>
      <c r="U129" s="743"/>
      <c r="V129" s="743"/>
      <c r="W129" s="743"/>
      <c r="X129" s="743"/>
      <c r="Y129" s="743"/>
      <c r="Z129" s="743"/>
      <c r="AA129" s="743"/>
      <c r="AB129" s="743"/>
      <c r="AC129" s="781" t="str">
        <f t="shared" ca="1" si="19"/>
        <v/>
      </c>
      <c r="AD129" s="781"/>
      <c r="AE129" s="781"/>
      <c r="AF129" s="781"/>
      <c r="AG129" s="781"/>
      <c r="AH129" s="781"/>
      <c r="AI129" s="781"/>
      <c r="AJ129" s="742" t="str">
        <f t="shared" ca="1" si="20"/>
        <v/>
      </c>
      <c r="AK129" s="742"/>
      <c r="AL129" s="781" t="str">
        <f t="shared" ca="1" si="21"/>
        <v/>
      </c>
      <c r="AM129" s="781"/>
      <c r="AN129" s="781"/>
      <c r="AO129" s="781"/>
      <c r="AP129" s="781"/>
      <c r="AQ129" s="781"/>
      <c r="AR129" s="781"/>
      <c r="AS129" s="741" t="str">
        <f t="shared" ca="1" si="22"/>
        <v/>
      </c>
      <c r="AT129" s="741"/>
      <c r="AU129" s="741"/>
      <c r="AV129" s="741"/>
      <c r="AW129" s="741"/>
      <c r="AX129" s="741"/>
      <c r="AY129" s="741"/>
      <c r="AZ129" s="473"/>
    </row>
    <row r="130" spans="1:52" ht="36.75" customHeight="1">
      <c r="B130" s="742">
        <f t="shared" si="23"/>
        <v>67</v>
      </c>
      <c r="C130" s="742"/>
      <c r="D130" s="743" t="str">
        <f t="shared" ca="1" si="18"/>
        <v/>
      </c>
      <c r="E130" s="743"/>
      <c r="F130" s="743"/>
      <c r="G130" s="743"/>
      <c r="H130" s="743"/>
      <c r="I130" s="743"/>
      <c r="J130" s="743"/>
      <c r="K130" s="743"/>
      <c r="L130" s="743"/>
      <c r="M130" s="743"/>
      <c r="N130" s="743"/>
      <c r="O130" s="743"/>
      <c r="P130" s="743"/>
      <c r="Q130" s="743"/>
      <c r="R130" s="743"/>
      <c r="S130" s="743"/>
      <c r="T130" s="743"/>
      <c r="U130" s="743"/>
      <c r="V130" s="743"/>
      <c r="W130" s="743"/>
      <c r="X130" s="743"/>
      <c r="Y130" s="743"/>
      <c r="Z130" s="743"/>
      <c r="AA130" s="743"/>
      <c r="AB130" s="743"/>
      <c r="AC130" s="781" t="str">
        <f t="shared" ca="1" si="19"/>
        <v/>
      </c>
      <c r="AD130" s="781"/>
      <c r="AE130" s="781"/>
      <c r="AF130" s="781"/>
      <c r="AG130" s="781"/>
      <c r="AH130" s="781"/>
      <c r="AI130" s="781"/>
      <c r="AJ130" s="742" t="str">
        <f t="shared" ca="1" si="20"/>
        <v/>
      </c>
      <c r="AK130" s="742"/>
      <c r="AL130" s="781" t="str">
        <f t="shared" ca="1" si="21"/>
        <v/>
      </c>
      <c r="AM130" s="781"/>
      <c r="AN130" s="781"/>
      <c r="AO130" s="781"/>
      <c r="AP130" s="781"/>
      <c r="AQ130" s="781"/>
      <c r="AR130" s="781"/>
      <c r="AS130" s="741" t="str">
        <f t="shared" ca="1" si="22"/>
        <v/>
      </c>
      <c r="AT130" s="741"/>
      <c r="AU130" s="741"/>
      <c r="AV130" s="741"/>
      <c r="AW130" s="741"/>
      <c r="AX130" s="741"/>
      <c r="AY130" s="741"/>
      <c r="AZ130" s="473"/>
    </row>
    <row r="131" spans="1:52" ht="36.75" customHeight="1">
      <c r="B131" s="742">
        <f t="shared" si="23"/>
        <v>68</v>
      </c>
      <c r="C131" s="742"/>
      <c r="D131" s="743" t="str">
        <f t="shared" ca="1" si="18"/>
        <v/>
      </c>
      <c r="E131" s="743"/>
      <c r="F131" s="743"/>
      <c r="G131" s="743"/>
      <c r="H131" s="743"/>
      <c r="I131" s="743"/>
      <c r="J131" s="743"/>
      <c r="K131" s="743"/>
      <c r="L131" s="743"/>
      <c r="M131" s="743"/>
      <c r="N131" s="743"/>
      <c r="O131" s="743"/>
      <c r="P131" s="743"/>
      <c r="Q131" s="743"/>
      <c r="R131" s="743"/>
      <c r="S131" s="743"/>
      <c r="T131" s="743"/>
      <c r="U131" s="743"/>
      <c r="V131" s="743"/>
      <c r="W131" s="743"/>
      <c r="X131" s="743"/>
      <c r="Y131" s="743"/>
      <c r="Z131" s="743"/>
      <c r="AA131" s="743"/>
      <c r="AB131" s="743"/>
      <c r="AC131" s="781" t="str">
        <f t="shared" ca="1" si="19"/>
        <v/>
      </c>
      <c r="AD131" s="781"/>
      <c r="AE131" s="781"/>
      <c r="AF131" s="781"/>
      <c r="AG131" s="781"/>
      <c r="AH131" s="781"/>
      <c r="AI131" s="781"/>
      <c r="AJ131" s="742" t="str">
        <f t="shared" ca="1" si="20"/>
        <v/>
      </c>
      <c r="AK131" s="742"/>
      <c r="AL131" s="781" t="str">
        <f t="shared" ca="1" si="21"/>
        <v/>
      </c>
      <c r="AM131" s="781"/>
      <c r="AN131" s="781"/>
      <c r="AO131" s="781"/>
      <c r="AP131" s="781"/>
      <c r="AQ131" s="781"/>
      <c r="AR131" s="781"/>
      <c r="AS131" s="741" t="str">
        <f t="shared" ca="1" si="22"/>
        <v/>
      </c>
      <c r="AT131" s="741"/>
      <c r="AU131" s="741"/>
      <c r="AV131" s="741"/>
      <c r="AW131" s="741"/>
      <c r="AX131" s="741"/>
      <c r="AY131" s="741"/>
    </row>
    <row r="132" spans="1:52" ht="36.75" customHeight="1">
      <c r="B132" s="742">
        <f t="shared" si="23"/>
        <v>69</v>
      </c>
      <c r="C132" s="742"/>
      <c r="D132" s="743" t="str">
        <f t="shared" ca="1" si="18"/>
        <v/>
      </c>
      <c r="E132" s="743"/>
      <c r="F132" s="743"/>
      <c r="G132" s="743"/>
      <c r="H132" s="743"/>
      <c r="I132" s="743"/>
      <c r="J132" s="743"/>
      <c r="K132" s="743"/>
      <c r="L132" s="743"/>
      <c r="M132" s="743"/>
      <c r="N132" s="743"/>
      <c r="O132" s="743"/>
      <c r="P132" s="743"/>
      <c r="Q132" s="743"/>
      <c r="R132" s="743"/>
      <c r="S132" s="743"/>
      <c r="T132" s="743"/>
      <c r="U132" s="743"/>
      <c r="V132" s="743"/>
      <c r="W132" s="743"/>
      <c r="X132" s="743"/>
      <c r="Y132" s="743"/>
      <c r="Z132" s="743"/>
      <c r="AA132" s="743"/>
      <c r="AB132" s="743"/>
      <c r="AC132" s="781" t="str">
        <f t="shared" ca="1" si="19"/>
        <v/>
      </c>
      <c r="AD132" s="781"/>
      <c r="AE132" s="781"/>
      <c r="AF132" s="781"/>
      <c r="AG132" s="781"/>
      <c r="AH132" s="781"/>
      <c r="AI132" s="781"/>
      <c r="AJ132" s="742" t="str">
        <f t="shared" ca="1" si="20"/>
        <v/>
      </c>
      <c r="AK132" s="742"/>
      <c r="AL132" s="781" t="str">
        <f t="shared" ca="1" si="21"/>
        <v/>
      </c>
      <c r="AM132" s="781"/>
      <c r="AN132" s="781"/>
      <c r="AO132" s="781"/>
      <c r="AP132" s="781"/>
      <c r="AQ132" s="781"/>
      <c r="AR132" s="781"/>
      <c r="AS132" s="741" t="str">
        <f t="shared" ca="1" si="22"/>
        <v/>
      </c>
      <c r="AT132" s="741"/>
      <c r="AU132" s="741"/>
      <c r="AV132" s="741"/>
      <c r="AW132" s="741"/>
      <c r="AX132" s="741"/>
      <c r="AY132" s="741"/>
    </row>
    <row r="133" spans="1:52" ht="36.75" customHeight="1">
      <c r="B133" s="742">
        <f t="shared" si="23"/>
        <v>70</v>
      </c>
      <c r="C133" s="742"/>
      <c r="D133" s="743" t="str">
        <f t="shared" ca="1" si="18"/>
        <v/>
      </c>
      <c r="E133" s="743"/>
      <c r="F133" s="743"/>
      <c r="G133" s="743"/>
      <c r="H133" s="743"/>
      <c r="I133" s="743"/>
      <c r="J133" s="743"/>
      <c r="K133" s="743"/>
      <c r="L133" s="743"/>
      <c r="M133" s="743"/>
      <c r="N133" s="743"/>
      <c r="O133" s="743"/>
      <c r="P133" s="743"/>
      <c r="Q133" s="743"/>
      <c r="R133" s="743"/>
      <c r="S133" s="743"/>
      <c r="T133" s="743"/>
      <c r="U133" s="743"/>
      <c r="V133" s="743"/>
      <c r="W133" s="743"/>
      <c r="X133" s="743"/>
      <c r="Y133" s="743"/>
      <c r="Z133" s="743"/>
      <c r="AA133" s="743"/>
      <c r="AB133" s="743"/>
      <c r="AC133" s="781" t="str">
        <f t="shared" ca="1" si="19"/>
        <v/>
      </c>
      <c r="AD133" s="781"/>
      <c r="AE133" s="781"/>
      <c r="AF133" s="781"/>
      <c r="AG133" s="781"/>
      <c r="AH133" s="781"/>
      <c r="AI133" s="781"/>
      <c r="AJ133" s="742" t="str">
        <f t="shared" ca="1" si="20"/>
        <v/>
      </c>
      <c r="AK133" s="742"/>
      <c r="AL133" s="781" t="str">
        <f t="shared" ca="1" si="21"/>
        <v/>
      </c>
      <c r="AM133" s="781"/>
      <c r="AN133" s="781"/>
      <c r="AO133" s="781"/>
      <c r="AP133" s="781"/>
      <c r="AQ133" s="781"/>
      <c r="AR133" s="781"/>
      <c r="AS133" s="741" t="str">
        <f t="shared" ca="1" si="22"/>
        <v/>
      </c>
      <c r="AT133" s="741"/>
      <c r="AU133" s="741"/>
      <c r="AV133" s="741"/>
      <c r="AW133" s="741"/>
      <c r="AX133" s="741"/>
      <c r="AY133" s="741"/>
    </row>
    <row r="134" spans="1:52" ht="36.75" customHeight="1">
      <c r="B134" s="742">
        <f t="shared" si="23"/>
        <v>71</v>
      </c>
      <c r="C134" s="742"/>
      <c r="D134" s="743" t="str">
        <f t="shared" ca="1" si="18"/>
        <v/>
      </c>
      <c r="E134" s="743"/>
      <c r="F134" s="743"/>
      <c r="G134" s="743"/>
      <c r="H134" s="743"/>
      <c r="I134" s="743"/>
      <c r="J134" s="743"/>
      <c r="K134" s="743"/>
      <c r="L134" s="743"/>
      <c r="M134" s="743"/>
      <c r="N134" s="743"/>
      <c r="O134" s="743"/>
      <c r="P134" s="743"/>
      <c r="Q134" s="743"/>
      <c r="R134" s="743"/>
      <c r="S134" s="743"/>
      <c r="T134" s="743"/>
      <c r="U134" s="743"/>
      <c r="V134" s="743"/>
      <c r="W134" s="743"/>
      <c r="X134" s="743"/>
      <c r="Y134" s="743"/>
      <c r="Z134" s="743"/>
      <c r="AA134" s="743"/>
      <c r="AB134" s="743"/>
      <c r="AC134" s="781" t="str">
        <f t="shared" ca="1" si="19"/>
        <v/>
      </c>
      <c r="AD134" s="781"/>
      <c r="AE134" s="781"/>
      <c r="AF134" s="781"/>
      <c r="AG134" s="781"/>
      <c r="AH134" s="781"/>
      <c r="AI134" s="781"/>
      <c r="AJ134" s="742" t="str">
        <f t="shared" ca="1" si="20"/>
        <v/>
      </c>
      <c r="AK134" s="742"/>
      <c r="AL134" s="781" t="str">
        <f t="shared" ca="1" si="21"/>
        <v/>
      </c>
      <c r="AM134" s="781"/>
      <c r="AN134" s="781"/>
      <c r="AO134" s="781"/>
      <c r="AP134" s="781"/>
      <c r="AQ134" s="781"/>
      <c r="AR134" s="781"/>
      <c r="AS134" s="741" t="str">
        <f t="shared" ca="1" si="22"/>
        <v/>
      </c>
      <c r="AT134" s="741"/>
      <c r="AU134" s="741"/>
      <c r="AV134" s="741"/>
      <c r="AW134" s="741"/>
      <c r="AX134" s="741"/>
      <c r="AY134" s="741"/>
    </row>
    <row r="135" spans="1:52" ht="36.75" customHeight="1">
      <c r="B135" s="742">
        <f t="shared" si="23"/>
        <v>72</v>
      </c>
      <c r="C135" s="742"/>
      <c r="D135" s="743" t="str">
        <f t="shared" ca="1" si="18"/>
        <v/>
      </c>
      <c r="E135" s="743"/>
      <c r="F135" s="743"/>
      <c r="G135" s="743"/>
      <c r="H135" s="743"/>
      <c r="I135" s="743"/>
      <c r="J135" s="743"/>
      <c r="K135" s="743"/>
      <c r="L135" s="743"/>
      <c r="M135" s="743"/>
      <c r="N135" s="743"/>
      <c r="O135" s="743"/>
      <c r="P135" s="743"/>
      <c r="Q135" s="743"/>
      <c r="R135" s="743"/>
      <c r="S135" s="743"/>
      <c r="T135" s="743"/>
      <c r="U135" s="743"/>
      <c r="V135" s="743"/>
      <c r="W135" s="743"/>
      <c r="X135" s="743"/>
      <c r="Y135" s="743"/>
      <c r="Z135" s="743"/>
      <c r="AA135" s="743"/>
      <c r="AB135" s="743"/>
      <c r="AC135" s="781" t="str">
        <f t="shared" ca="1" si="19"/>
        <v/>
      </c>
      <c r="AD135" s="781"/>
      <c r="AE135" s="781"/>
      <c r="AF135" s="781"/>
      <c r="AG135" s="781"/>
      <c r="AH135" s="781"/>
      <c r="AI135" s="781"/>
      <c r="AJ135" s="742" t="str">
        <f t="shared" ca="1" si="20"/>
        <v/>
      </c>
      <c r="AK135" s="742"/>
      <c r="AL135" s="781" t="str">
        <f t="shared" ca="1" si="21"/>
        <v/>
      </c>
      <c r="AM135" s="781"/>
      <c r="AN135" s="781"/>
      <c r="AO135" s="781"/>
      <c r="AP135" s="781"/>
      <c r="AQ135" s="781"/>
      <c r="AR135" s="781"/>
      <c r="AS135" s="741" t="str">
        <f t="shared" ca="1" si="22"/>
        <v/>
      </c>
      <c r="AT135" s="741"/>
      <c r="AU135" s="741"/>
      <c r="AV135" s="741"/>
      <c r="AW135" s="741"/>
      <c r="AX135" s="741"/>
      <c r="AY135" s="741"/>
    </row>
    <row r="136" spans="1:52" ht="36.75" customHeight="1">
      <c r="B136" s="742">
        <f t="shared" si="23"/>
        <v>73</v>
      </c>
      <c r="C136" s="742"/>
      <c r="D136" s="743" t="str">
        <f t="shared" ca="1" si="18"/>
        <v/>
      </c>
      <c r="E136" s="743"/>
      <c r="F136" s="743"/>
      <c r="G136" s="743"/>
      <c r="H136" s="743"/>
      <c r="I136" s="743"/>
      <c r="J136" s="743"/>
      <c r="K136" s="743"/>
      <c r="L136" s="743"/>
      <c r="M136" s="743"/>
      <c r="N136" s="743"/>
      <c r="O136" s="743"/>
      <c r="P136" s="743"/>
      <c r="Q136" s="743"/>
      <c r="R136" s="743"/>
      <c r="S136" s="743"/>
      <c r="T136" s="743"/>
      <c r="U136" s="743"/>
      <c r="V136" s="743"/>
      <c r="W136" s="743"/>
      <c r="X136" s="743"/>
      <c r="Y136" s="743"/>
      <c r="Z136" s="743"/>
      <c r="AA136" s="743"/>
      <c r="AB136" s="743"/>
      <c r="AC136" s="781" t="str">
        <f t="shared" ca="1" si="19"/>
        <v/>
      </c>
      <c r="AD136" s="781"/>
      <c r="AE136" s="781"/>
      <c r="AF136" s="781"/>
      <c r="AG136" s="781"/>
      <c r="AH136" s="781"/>
      <c r="AI136" s="781"/>
      <c r="AJ136" s="742" t="str">
        <f t="shared" ca="1" si="20"/>
        <v/>
      </c>
      <c r="AK136" s="742"/>
      <c r="AL136" s="781" t="str">
        <f t="shared" ca="1" si="21"/>
        <v/>
      </c>
      <c r="AM136" s="781"/>
      <c r="AN136" s="781"/>
      <c r="AO136" s="781"/>
      <c r="AP136" s="781"/>
      <c r="AQ136" s="781"/>
      <c r="AR136" s="781"/>
      <c r="AS136" s="741" t="str">
        <f t="shared" ca="1" si="22"/>
        <v/>
      </c>
      <c r="AT136" s="741"/>
      <c r="AU136" s="741"/>
      <c r="AV136" s="741"/>
      <c r="AW136" s="741"/>
      <c r="AX136" s="741"/>
      <c r="AY136" s="741"/>
    </row>
    <row r="137" spans="1:52" ht="36.75" customHeight="1">
      <c r="B137" s="742">
        <f t="shared" si="23"/>
        <v>74</v>
      </c>
      <c r="C137" s="742"/>
      <c r="D137" s="743" t="str">
        <f t="shared" ca="1" si="18"/>
        <v/>
      </c>
      <c r="E137" s="743"/>
      <c r="F137" s="743"/>
      <c r="G137" s="743"/>
      <c r="H137" s="743"/>
      <c r="I137" s="743"/>
      <c r="J137" s="743"/>
      <c r="K137" s="743"/>
      <c r="L137" s="743"/>
      <c r="M137" s="743"/>
      <c r="N137" s="743"/>
      <c r="O137" s="743"/>
      <c r="P137" s="743"/>
      <c r="Q137" s="743"/>
      <c r="R137" s="743"/>
      <c r="S137" s="743"/>
      <c r="T137" s="743"/>
      <c r="U137" s="743"/>
      <c r="V137" s="743"/>
      <c r="W137" s="743"/>
      <c r="X137" s="743"/>
      <c r="Y137" s="743"/>
      <c r="Z137" s="743"/>
      <c r="AA137" s="743"/>
      <c r="AB137" s="743"/>
      <c r="AC137" s="781" t="str">
        <f t="shared" ca="1" si="19"/>
        <v/>
      </c>
      <c r="AD137" s="781"/>
      <c r="AE137" s="781"/>
      <c r="AF137" s="781"/>
      <c r="AG137" s="781"/>
      <c r="AH137" s="781"/>
      <c r="AI137" s="781"/>
      <c r="AJ137" s="742" t="str">
        <f t="shared" ca="1" si="20"/>
        <v/>
      </c>
      <c r="AK137" s="742"/>
      <c r="AL137" s="781" t="str">
        <f t="shared" ca="1" si="21"/>
        <v/>
      </c>
      <c r="AM137" s="781"/>
      <c r="AN137" s="781"/>
      <c r="AO137" s="781"/>
      <c r="AP137" s="781"/>
      <c r="AQ137" s="781"/>
      <c r="AR137" s="781"/>
      <c r="AS137" s="741" t="str">
        <f t="shared" ca="1" si="22"/>
        <v/>
      </c>
      <c r="AT137" s="741"/>
      <c r="AU137" s="741"/>
      <c r="AV137" s="741"/>
      <c r="AW137" s="741"/>
      <c r="AX137" s="741"/>
      <c r="AY137" s="741"/>
    </row>
    <row r="138" spans="1:52" ht="36.75" customHeight="1">
      <c r="B138" s="742">
        <f t="shared" si="23"/>
        <v>75</v>
      </c>
      <c r="C138" s="742"/>
      <c r="D138" s="743" t="str">
        <f t="shared" ca="1" si="18"/>
        <v/>
      </c>
      <c r="E138" s="743"/>
      <c r="F138" s="743"/>
      <c r="G138" s="743"/>
      <c r="H138" s="743"/>
      <c r="I138" s="743"/>
      <c r="J138" s="743"/>
      <c r="K138" s="743"/>
      <c r="L138" s="743"/>
      <c r="M138" s="743"/>
      <c r="N138" s="743"/>
      <c r="O138" s="743"/>
      <c r="P138" s="743"/>
      <c r="Q138" s="743"/>
      <c r="R138" s="743"/>
      <c r="S138" s="743"/>
      <c r="T138" s="743"/>
      <c r="U138" s="743"/>
      <c r="V138" s="743"/>
      <c r="W138" s="743"/>
      <c r="X138" s="743"/>
      <c r="Y138" s="743"/>
      <c r="Z138" s="743"/>
      <c r="AA138" s="743"/>
      <c r="AB138" s="743"/>
      <c r="AC138" s="781" t="str">
        <f t="shared" ca="1" si="19"/>
        <v/>
      </c>
      <c r="AD138" s="781"/>
      <c r="AE138" s="781"/>
      <c r="AF138" s="781"/>
      <c r="AG138" s="781"/>
      <c r="AH138" s="781"/>
      <c r="AI138" s="781"/>
      <c r="AJ138" s="742" t="str">
        <f t="shared" ca="1" si="20"/>
        <v/>
      </c>
      <c r="AK138" s="742"/>
      <c r="AL138" s="781" t="str">
        <f t="shared" ca="1" si="21"/>
        <v/>
      </c>
      <c r="AM138" s="781"/>
      <c r="AN138" s="781"/>
      <c r="AO138" s="781"/>
      <c r="AP138" s="781"/>
      <c r="AQ138" s="781"/>
      <c r="AR138" s="781"/>
      <c r="AS138" s="741" t="str">
        <f t="shared" ca="1" si="22"/>
        <v/>
      </c>
      <c r="AT138" s="741"/>
      <c r="AU138" s="741"/>
      <c r="AV138" s="741"/>
      <c r="AW138" s="741"/>
      <c r="AX138" s="741"/>
      <c r="AY138" s="741"/>
    </row>
    <row r="139" spans="1:52" ht="36.75" customHeight="1">
      <c r="B139" s="742">
        <f t="shared" si="23"/>
        <v>76</v>
      </c>
      <c r="C139" s="742"/>
      <c r="D139" s="743" t="str">
        <f t="shared" ca="1" si="18"/>
        <v/>
      </c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R139" s="743"/>
      <c r="S139" s="743"/>
      <c r="T139" s="743"/>
      <c r="U139" s="743"/>
      <c r="V139" s="743"/>
      <c r="W139" s="743"/>
      <c r="X139" s="743"/>
      <c r="Y139" s="743"/>
      <c r="Z139" s="743"/>
      <c r="AA139" s="743"/>
      <c r="AB139" s="743"/>
      <c r="AC139" s="781" t="str">
        <f t="shared" ca="1" si="19"/>
        <v/>
      </c>
      <c r="AD139" s="781"/>
      <c r="AE139" s="781"/>
      <c r="AF139" s="781"/>
      <c r="AG139" s="781"/>
      <c r="AH139" s="781"/>
      <c r="AI139" s="781"/>
      <c r="AJ139" s="742" t="str">
        <f t="shared" ca="1" si="20"/>
        <v/>
      </c>
      <c r="AK139" s="742"/>
      <c r="AL139" s="781" t="str">
        <f t="shared" ca="1" si="21"/>
        <v/>
      </c>
      <c r="AM139" s="781"/>
      <c r="AN139" s="781"/>
      <c r="AO139" s="781"/>
      <c r="AP139" s="781"/>
      <c r="AQ139" s="781"/>
      <c r="AR139" s="781"/>
      <c r="AS139" s="741" t="str">
        <f t="shared" ca="1" si="22"/>
        <v/>
      </c>
      <c r="AT139" s="741"/>
      <c r="AU139" s="741"/>
      <c r="AV139" s="741"/>
      <c r="AW139" s="741"/>
      <c r="AX139" s="741"/>
      <c r="AY139" s="741"/>
    </row>
    <row r="140" spans="1:52" ht="36.75" customHeight="1">
      <c r="B140" s="742">
        <f t="shared" si="23"/>
        <v>77</v>
      </c>
      <c r="C140" s="742"/>
      <c r="D140" s="743" t="str">
        <f t="shared" ca="1" si="18"/>
        <v/>
      </c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R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81" t="str">
        <f t="shared" ca="1" si="19"/>
        <v/>
      </c>
      <c r="AD140" s="781"/>
      <c r="AE140" s="781"/>
      <c r="AF140" s="781"/>
      <c r="AG140" s="781"/>
      <c r="AH140" s="781"/>
      <c r="AI140" s="781"/>
      <c r="AJ140" s="742" t="str">
        <f t="shared" ca="1" si="20"/>
        <v/>
      </c>
      <c r="AK140" s="742"/>
      <c r="AL140" s="781" t="str">
        <f t="shared" ca="1" si="21"/>
        <v/>
      </c>
      <c r="AM140" s="781"/>
      <c r="AN140" s="781"/>
      <c r="AO140" s="781"/>
      <c r="AP140" s="781"/>
      <c r="AQ140" s="781"/>
      <c r="AR140" s="781"/>
      <c r="AS140" s="741" t="str">
        <f t="shared" ca="1" si="22"/>
        <v/>
      </c>
      <c r="AT140" s="741"/>
      <c r="AU140" s="741"/>
      <c r="AV140" s="741"/>
      <c r="AW140" s="741"/>
      <c r="AX140" s="741"/>
      <c r="AY140" s="741"/>
    </row>
    <row r="141" spans="1:52" ht="36.75" customHeight="1">
      <c r="B141" s="742">
        <f t="shared" si="23"/>
        <v>78</v>
      </c>
      <c r="C141" s="742"/>
      <c r="D141" s="743" t="str">
        <f t="shared" ca="1" si="18"/>
        <v/>
      </c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R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81" t="str">
        <f t="shared" ca="1" si="19"/>
        <v/>
      </c>
      <c r="AD141" s="781"/>
      <c r="AE141" s="781"/>
      <c r="AF141" s="781"/>
      <c r="AG141" s="781"/>
      <c r="AH141" s="781"/>
      <c r="AI141" s="781"/>
      <c r="AJ141" s="742" t="str">
        <f t="shared" ca="1" si="20"/>
        <v/>
      </c>
      <c r="AK141" s="742"/>
      <c r="AL141" s="781" t="str">
        <f t="shared" ca="1" si="21"/>
        <v/>
      </c>
      <c r="AM141" s="781"/>
      <c r="AN141" s="781"/>
      <c r="AO141" s="781"/>
      <c r="AP141" s="781"/>
      <c r="AQ141" s="781"/>
      <c r="AR141" s="781"/>
      <c r="AS141" s="741" t="str">
        <f t="shared" ca="1" si="22"/>
        <v/>
      </c>
      <c r="AT141" s="741"/>
      <c r="AU141" s="741"/>
      <c r="AV141" s="741"/>
      <c r="AW141" s="741"/>
      <c r="AX141" s="741"/>
      <c r="AY141" s="741"/>
    </row>
    <row r="142" spans="1:52" ht="36.75" customHeight="1">
      <c r="A142" s="403" t="s">
        <v>1529</v>
      </c>
      <c r="B142" s="742">
        <f t="shared" si="23"/>
        <v>79</v>
      </c>
      <c r="C142" s="742"/>
      <c r="D142" s="743" t="str">
        <f t="shared" ca="1" si="18"/>
        <v/>
      </c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R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81" t="str">
        <f t="shared" ca="1" si="19"/>
        <v/>
      </c>
      <c r="AD142" s="781"/>
      <c r="AE142" s="781"/>
      <c r="AF142" s="781"/>
      <c r="AG142" s="781"/>
      <c r="AH142" s="781"/>
      <c r="AI142" s="781"/>
      <c r="AJ142" s="742" t="str">
        <f t="shared" ca="1" si="20"/>
        <v/>
      </c>
      <c r="AK142" s="742"/>
      <c r="AL142" s="781" t="str">
        <f t="shared" ca="1" si="21"/>
        <v/>
      </c>
      <c r="AM142" s="781"/>
      <c r="AN142" s="781"/>
      <c r="AO142" s="781"/>
      <c r="AP142" s="781"/>
      <c r="AQ142" s="781"/>
      <c r="AR142" s="781"/>
      <c r="AS142" s="741" t="str">
        <f t="shared" ca="1" si="22"/>
        <v/>
      </c>
      <c r="AT142" s="741"/>
      <c r="AU142" s="741"/>
      <c r="AV142" s="741"/>
      <c r="AW142" s="741"/>
      <c r="AX142" s="741"/>
      <c r="AY142" s="741"/>
      <c r="AZ142" s="473" t="s">
        <v>1530</v>
      </c>
    </row>
    <row r="143" spans="1:52" ht="36.75" customHeight="1">
      <c r="B143" s="742">
        <f t="shared" si="23"/>
        <v>80</v>
      </c>
      <c r="C143" s="742"/>
      <c r="D143" s="743" t="str">
        <f t="shared" ca="1" si="18"/>
        <v/>
      </c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R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81" t="str">
        <f t="shared" ca="1" si="19"/>
        <v/>
      </c>
      <c r="AD143" s="781"/>
      <c r="AE143" s="781"/>
      <c r="AF143" s="781"/>
      <c r="AG143" s="781"/>
      <c r="AH143" s="781"/>
      <c r="AI143" s="781"/>
      <c r="AJ143" s="742" t="str">
        <f t="shared" ca="1" si="20"/>
        <v/>
      </c>
      <c r="AK143" s="742"/>
      <c r="AL143" s="781" t="str">
        <f t="shared" ca="1" si="21"/>
        <v/>
      </c>
      <c r="AM143" s="781"/>
      <c r="AN143" s="781"/>
      <c r="AO143" s="781"/>
      <c r="AP143" s="781"/>
      <c r="AQ143" s="781"/>
      <c r="AR143" s="781"/>
      <c r="AS143" s="741" t="str">
        <f t="shared" ca="1" si="22"/>
        <v/>
      </c>
      <c r="AT143" s="741"/>
      <c r="AU143" s="741"/>
      <c r="AV143" s="741"/>
      <c r="AW143" s="741"/>
      <c r="AX143" s="741"/>
      <c r="AY143" s="741"/>
    </row>
    <row r="144" spans="1:52" ht="45" customHeight="1">
      <c r="B144" s="749" t="s">
        <v>1527</v>
      </c>
      <c r="C144" s="750"/>
      <c r="D144" s="750"/>
      <c r="E144" s="751" t="str">
        <f>IF(UNNH0030_REPORT_IF_H_EIGYO_MEI="","",UNNH0030_REPORT_IF_H_EIGYO_MEI)</f>
        <v/>
      </c>
      <c r="F144" s="751"/>
      <c r="G144" s="751"/>
      <c r="H144" s="751"/>
      <c r="I144" s="751"/>
      <c r="J144" s="751"/>
      <c r="K144" s="751"/>
      <c r="L144" s="751"/>
      <c r="M144" s="751"/>
      <c r="N144" s="751"/>
      <c r="O144" s="751"/>
      <c r="P144" s="751"/>
      <c r="Q144" s="751"/>
      <c r="R144" s="751"/>
      <c r="S144" s="751"/>
      <c r="T144" s="751"/>
      <c r="U144" s="751"/>
      <c r="V144" s="751"/>
      <c r="W144" s="751"/>
      <c r="X144" s="751"/>
      <c r="Y144" s="751"/>
      <c r="Z144" s="751"/>
      <c r="AA144" s="751"/>
      <c r="AB144" s="751"/>
      <c r="AC144" s="751"/>
      <c r="AD144" s="751"/>
      <c r="AE144" s="751"/>
      <c r="AF144" s="751"/>
      <c r="AG144" s="752"/>
      <c r="AH144" s="742" t="s">
        <v>1107</v>
      </c>
      <c r="AI144" s="742"/>
      <c r="AJ144" s="742"/>
      <c r="AK144" s="742"/>
      <c r="AL144" s="742"/>
      <c r="AM144" s="742"/>
      <c r="AN144" s="742"/>
      <c r="AO144" s="742"/>
      <c r="AP144" s="742"/>
      <c r="AQ144" s="782" t="str">
        <f>IF(ROUNDUP(ROW()/ROWS(UNNH0030_SEIKYUSHO_PAGE_AREA),0)=UNNH0030_REPORT_IF_B_PAGE_TOTAL,UNNH0030_REPORT_IF_H_TOTAL,"")</f>
        <v/>
      </c>
      <c r="AR144" s="783"/>
      <c r="AS144" s="783"/>
      <c r="AT144" s="783"/>
      <c r="AU144" s="783"/>
      <c r="AV144" s="783"/>
      <c r="AW144" s="783"/>
      <c r="AX144" s="783"/>
      <c r="AY144" s="784"/>
    </row>
    <row r="145" spans="2:51" ht="33.75" customHeight="1"/>
    <row r="146" spans="2:51" ht="38.25" customHeight="1">
      <c r="B146" s="756" t="s">
        <v>1528</v>
      </c>
      <c r="C146" s="757"/>
      <c r="D146" s="758"/>
      <c r="E146" s="738" t="str">
        <f>IF(UNNH0030_REPORT_IF_H_TEKIYO="","",UNNH0030_REPORT_IF_H_TEKIYO)</f>
        <v/>
      </c>
      <c r="F146" s="738"/>
      <c r="G146" s="738"/>
      <c r="H146" s="738"/>
      <c r="I146" s="738"/>
      <c r="J146" s="738"/>
      <c r="K146" s="738"/>
      <c r="L146" s="738"/>
      <c r="M146" s="738"/>
      <c r="N146" s="738"/>
      <c r="O146" s="738"/>
      <c r="P146" s="738"/>
      <c r="Q146" s="738"/>
      <c r="R146" s="738"/>
      <c r="S146" s="738"/>
      <c r="T146" s="738"/>
      <c r="U146" s="738"/>
      <c r="V146" s="738"/>
      <c r="W146" s="738"/>
      <c r="X146" s="738"/>
      <c r="Y146" s="738"/>
      <c r="Z146" s="738"/>
      <c r="AA146" s="738"/>
      <c r="AB146" s="738"/>
      <c r="AC146" s="738"/>
      <c r="AD146" s="738"/>
      <c r="AE146" s="738"/>
      <c r="AF146" s="738"/>
      <c r="AG146" s="738"/>
      <c r="AH146" s="738"/>
      <c r="AI146" s="738"/>
      <c r="AJ146" s="738"/>
      <c r="AK146" s="738"/>
      <c r="AL146" s="738"/>
      <c r="AM146" s="738"/>
      <c r="AN146" s="738"/>
      <c r="AO146" s="738"/>
      <c r="AP146" s="738"/>
      <c r="AQ146" s="738"/>
      <c r="AR146" s="738"/>
      <c r="AS146" s="738"/>
      <c r="AU146" s="739" t="str">
        <f>IF(UNNH0030_REPORT_IF_H_SEIKYUHOHO_KBN=0,"","締日 "&amp;UNNH0030_REPORT_IF_H_SHIMEBI)</f>
        <v/>
      </c>
      <c r="AV146" s="739"/>
      <c r="AW146" s="739"/>
      <c r="AX146" s="739"/>
      <c r="AY146" s="740" t="str">
        <f>UNNH0030_REPORT_IF_H_SHIMEBI_MARK</f>
        <v>*</v>
      </c>
    </row>
    <row r="147" spans="2:51" ht="38.25" customHeight="1">
      <c r="B147" s="759"/>
      <c r="C147" s="760"/>
      <c r="D147" s="761"/>
      <c r="E147" s="738"/>
      <c r="F147" s="738"/>
      <c r="G147" s="738"/>
      <c r="H147" s="738"/>
      <c r="I147" s="738"/>
      <c r="J147" s="738"/>
      <c r="K147" s="738"/>
      <c r="L147" s="738"/>
      <c r="M147" s="738"/>
      <c r="N147" s="738"/>
      <c r="O147" s="738"/>
      <c r="P147" s="738"/>
      <c r="Q147" s="738"/>
      <c r="R147" s="738"/>
      <c r="S147" s="738"/>
      <c r="T147" s="738"/>
      <c r="U147" s="738"/>
      <c r="V147" s="738"/>
      <c r="W147" s="738"/>
      <c r="X147" s="738"/>
      <c r="Y147" s="738"/>
      <c r="Z147" s="738"/>
      <c r="AA147" s="738"/>
      <c r="AB147" s="738"/>
      <c r="AC147" s="738"/>
      <c r="AD147" s="738"/>
      <c r="AE147" s="738"/>
      <c r="AF147" s="738"/>
      <c r="AG147" s="738"/>
      <c r="AH147" s="738"/>
      <c r="AI147" s="738"/>
      <c r="AJ147" s="738"/>
      <c r="AK147" s="738"/>
      <c r="AL147" s="738"/>
      <c r="AM147" s="738"/>
      <c r="AN147" s="738"/>
      <c r="AO147" s="738"/>
      <c r="AP147" s="738"/>
      <c r="AQ147" s="738"/>
      <c r="AR147" s="738"/>
      <c r="AS147" s="738"/>
      <c r="AU147" s="739"/>
      <c r="AV147" s="739"/>
      <c r="AW147" s="739"/>
      <c r="AX147" s="739"/>
      <c r="AY147" s="740"/>
    </row>
    <row r="148" spans="2:51" ht="30" customHeight="1">
      <c r="B148" s="777" t="str">
        <f>IF(UNNH0030_REPORT_IF_JURI_NO="","",UNNH0030_REPORT_IF_JURI_NO)</f>
        <v/>
      </c>
      <c r="C148" s="777"/>
      <c r="D148" s="777"/>
      <c r="E148" s="777"/>
      <c r="F148" s="777"/>
      <c r="G148" s="777"/>
      <c r="H148" s="777"/>
      <c r="I148" s="777"/>
      <c r="J148" s="777"/>
      <c r="K148" s="777"/>
      <c r="L148" s="777"/>
      <c r="M148" s="777"/>
      <c r="N148" s="777"/>
      <c r="O148" s="777"/>
      <c r="P148" s="777"/>
      <c r="Q148" s="777"/>
      <c r="R148" s="777"/>
      <c r="S148" s="777"/>
      <c r="T148" s="777"/>
      <c r="U148" s="777"/>
      <c r="V148" s="777"/>
      <c r="W148" s="777"/>
      <c r="X148" s="777"/>
      <c r="Y148" s="777"/>
      <c r="Z148" s="777"/>
      <c r="AA148" s="777"/>
      <c r="AB148" s="777"/>
      <c r="AC148" s="777"/>
      <c r="AD148" s="777"/>
      <c r="AE148" s="777"/>
      <c r="AF148" s="777"/>
      <c r="AG148" s="777"/>
      <c r="AH148" s="777"/>
      <c r="AI148" s="777"/>
      <c r="AJ148" s="777"/>
      <c r="AK148" s="777"/>
      <c r="AL148" s="777"/>
      <c r="AM148" s="777"/>
      <c r="AN148" s="777"/>
      <c r="AO148" s="777"/>
      <c r="AP148" s="777"/>
      <c r="AQ148" s="777"/>
      <c r="AR148" s="777"/>
      <c r="AS148" s="777"/>
      <c r="AT148" s="777"/>
      <c r="AU148" s="777"/>
      <c r="AV148" s="777"/>
      <c r="AW148" s="777"/>
      <c r="AX148" s="777"/>
      <c r="AY148" s="777"/>
    </row>
    <row r="149" spans="2:51">
      <c r="E149" s="465"/>
      <c r="F149" s="466"/>
      <c r="G149" s="466"/>
      <c r="H149" s="466"/>
      <c r="I149" s="466"/>
      <c r="J149" s="466"/>
      <c r="K149" s="466"/>
      <c r="L149" s="466"/>
      <c r="M149" s="466"/>
      <c r="N149" s="466"/>
      <c r="O149" s="466"/>
      <c r="P149" s="466"/>
      <c r="Q149" s="466"/>
      <c r="R149" s="466"/>
      <c r="S149" s="466"/>
      <c r="T149" s="466"/>
      <c r="U149" s="466"/>
      <c r="V149" s="466"/>
      <c r="W149" s="466"/>
      <c r="X149" s="466"/>
      <c r="Y149" s="467"/>
      <c r="AA149" s="744" t="s">
        <v>1100</v>
      </c>
      <c r="AB149" s="744"/>
      <c r="AC149" s="744"/>
      <c r="AD149" s="744"/>
      <c r="AE149" s="744"/>
      <c r="AF149" s="744"/>
      <c r="AG149" s="744"/>
      <c r="AH149" s="744"/>
      <c r="AI149" s="744"/>
      <c r="AJ149" s="744"/>
      <c r="AK149" s="744"/>
      <c r="AL149" s="744"/>
      <c r="AP149" s="774" t="str">
        <f>"No."&amp;UNNH0030_REPORT_IF_H_URIAGE_NO&amp;"-"&amp;ROUNDUP(ROW()/ROWS(UNNH0030_SEIKYUSHO_PAGE_AREA),0)&amp;"/"&amp;UNNH0030_REPORT_IF_B_PAGE_TOTAL</f>
        <v>No.-5/1</v>
      </c>
      <c r="AQ149" s="774"/>
      <c r="AR149" s="774"/>
      <c r="AS149" s="774"/>
      <c r="AT149" s="774"/>
      <c r="AU149" s="774"/>
      <c r="AV149" s="774"/>
      <c r="AW149" s="774"/>
      <c r="AX149" s="774"/>
      <c r="AY149" s="774"/>
    </row>
    <row r="150" spans="2:51" ht="24.75" customHeight="1">
      <c r="D150" s="403"/>
      <c r="E150" s="468"/>
      <c r="F150" s="775" t="str">
        <f>IF(UNNH0030_REPORT_IF_H_JUSHO_NO_PRINT_FLG=TRUE,"","〒")</f>
        <v>〒</v>
      </c>
      <c r="G150" s="775"/>
      <c r="H150" s="776" t="str">
        <f>IF(UNNH0030_REPORT_IF_H_JUSHO_NO_PRINT_FLG=TRUE,"",IF(UNNH0030_REPORT_IF_H_YUBIN_NO="","",UNNH0030_REPORT_IF_H_YUBIN_NO))</f>
        <v/>
      </c>
      <c r="I150" s="776"/>
      <c r="J150" s="776"/>
      <c r="K150" s="776"/>
      <c r="L150" s="776"/>
      <c r="M150" s="776"/>
      <c r="N150" s="776"/>
      <c r="O150" s="776"/>
      <c r="P150" s="776"/>
      <c r="Q150" s="776"/>
      <c r="R150" s="776"/>
      <c r="S150" s="776"/>
      <c r="T150" s="776"/>
      <c r="U150" s="776"/>
      <c r="V150" s="776"/>
      <c r="W150" s="776"/>
      <c r="X150" s="776"/>
      <c r="Y150" s="469"/>
      <c r="AA150" s="744"/>
      <c r="AB150" s="744"/>
      <c r="AC150" s="744"/>
      <c r="AD150" s="744"/>
      <c r="AE150" s="744"/>
      <c r="AF150" s="744"/>
      <c r="AG150" s="744"/>
      <c r="AH150" s="744"/>
      <c r="AI150" s="744"/>
      <c r="AJ150" s="744"/>
      <c r="AK150" s="744"/>
      <c r="AL150" s="744"/>
      <c r="AP150" s="774"/>
      <c r="AQ150" s="774"/>
      <c r="AR150" s="774"/>
      <c r="AS150" s="774"/>
      <c r="AT150" s="774"/>
      <c r="AU150" s="774"/>
      <c r="AV150" s="774"/>
      <c r="AW150" s="774"/>
      <c r="AX150" s="774"/>
      <c r="AY150" s="774"/>
    </row>
    <row r="151" spans="2:51" ht="24.75" customHeight="1">
      <c r="D151" s="403"/>
      <c r="E151" s="468"/>
      <c r="F151" s="745" t="str">
        <f>IF(UNNH0030_REPORT_IF_H_JUSHO_NO_PRINT_FLG="","",IF(UNNH0030_REPORT_IF_H_ADDRESS_1="","",UNNH0030_REPORT_IF_H_ADDRESS_1))</f>
        <v/>
      </c>
      <c r="G151" s="745"/>
      <c r="H151" s="745"/>
      <c r="I151" s="745"/>
      <c r="J151" s="745"/>
      <c r="K151" s="745"/>
      <c r="L151" s="745"/>
      <c r="M151" s="745"/>
      <c r="N151" s="745"/>
      <c r="O151" s="745"/>
      <c r="P151" s="745"/>
      <c r="Q151" s="745"/>
      <c r="R151" s="745"/>
      <c r="S151" s="745"/>
      <c r="T151" s="745"/>
      <c r="U151" s="745"/>
      <c r="V151" s="745"/>
      <c r="W151" s="745"/>
      <c r="X151" s="745"/>
      <c r="Y151" s="469"/>
      <c r="AP151" s="748">
        <f>UNNH0030_REPORT_IF_H_URIAGE_DATE</f>
        <v>0</v>
      </c>
      <c r="AQ151" s="748"/>
      <c r="AR151" s="748"/>
      <c r="AS151" s="748"/>
      <c r="AT151" s="748"/>
      <c r="AU151" s="748"/>
      <c r="AV151" s="748"/>
      <c r="AW151" s="748"/>
      <c r="AX151" s="748"/>
      <c r="AY151" s="748"/>
    </row>
    <row r="152" spans="2:51" ht="24.75" customHeight="1">
      <c r="D152" s="403"/>
      <c r="E152" s="468"/>
      <c r="F152" s="745" t="str">
        <f>IF(UNNH0030_REPORT_IF_H_JUSHO_NO_PRINT_FLG="","",IF(UNNH0030_REPORT_IF_H_ADDRESS_2="","",UNNH0030_REPORT_IF_H_ADDRESS_2))</f>
        <v/>
      </c>
      <c r="G152" s="745"/>
      <c r="H152" s="745"/>
      <c r="I152" s="745"/>
      <c r="J152" s="745"/>
      <c r="K152" s="745"/>
      <c r="L152" s="745"/>
      <c r="M152" s="745"/>
      <c r="N152" s="745"/>
      <c r="O152" s="745"/>
      <c r="P152" s="745"/>
      <c r="Q152" s="745"/>
      <c r="R152" s="745"/>
      <c r="S152" s="745"/>
      <c r="T152" s="745"/>
      <c r="U152" s="745"/>
      <c r="V152" s="745"/>
      <c r="W152" s="745"/>
      <c r="X152" s="745"/>
      <c r="Y152" s="469"/>
    </row>
    <row r="153" spans="2:51" ht="24.75" customHeight="1">
      <c r="D153" s="403"/>
      <c r="E153" s="468"/>
      <c r="F153" s="409"/>
      <c r="G153" s="409"/>
      <c r="H153" s="409"/>
      <c r="I153" s="409"/>
      <c r="J153" s="409"/>
      <c r="K153" s="409"/>
      <c r="L153" s="409"/>
      <c r="M153" s="409"/>
      <c r="N153" s="409"/>
      <c r="O153" s="409"/>
      <c r="P153" s="409"/>
      <c r="Q153" s="409"/>
      <c r="R153" s="409"/>
      <c r="S153" s="409"/>
      <c r="T153" s="409"/>
      <c r="U153" s="409"/>
      <c r="V153" s="409"/>
      <c r="W153" s="409"/>
      <c r="X153" s="409"/>
      <c r="Y153" s="469"/>
    </row>
    <row r="154" spans="2:51" ht="26.25" customHeight="1">
      <c r="D154" s="403"/>
      <c r="E154" s="470"/>
      <c r="F154" s="745" t="str">
        <f>IF(TRIM(UNNH0030_REPORT_IF_H_SOFU_TANTO)="","",
IF(TRIM(UNNH0030_REPORT_IF_H_DEMPYO_SOFU_MEI)="","",
TRIM(UNNH0030_REPORT_IF_H_DEMPYO_SOFU_MEI)))</f>
        <v/>
      </c>
      <c r="G154" s="745"/>
      <c r="H154" s="745"/>
      <c r="I154" s="745"/>
      <c r="J154" s="745"/>
      <c r="K154" s="745"/>
      <c r="L154" s="745"/>
      <c r="M154" s="745"/>
      <c r="N154" s="745"/>
      <c r="O154" s="745"/>
      <c r="P154" s="745"/>
      <c r="Q154" s="745"/>
      <c r="R154" s="745"/>
      <c r="S154" s="745"/>
      <c r="T154" s="745"/>
      <c r="U154" s="745"/>
      <c r="V154" s="745"/>
      <c r="W154" s="745"/>
      <c r="X154" s="745"/>
      <c r="Y154" s="469"/>
    </row>
    <row r="155" spans="2:51" ht="26.25" customHeight="1">
      <c r="D155" s="403"/>
      <c r="E155" s="468"/>
      <c r="F155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55" s="746"/>
      <c r="H155" s="746"/>
      <c r="I155" s="746"/>
      <c r="J155" s="746"/>
      <c r="K155" s="746"/>
      <c r="L155" s="746"/>
      <c r="M155" s="746"/>
      <c r="N155" s="746"/>
      <c r="O155" s="746"/>
      <c r="P155" s="746"/>
      <c r="Q155" s="746"/>
      <c r="R155" s="746"/>
      <c r="S155" s="746"/>
      <c r="T155" s="746"/>
      <c r="U155" s="746"/>
      <c r="V155" s="746"/>
      <c r="W155" s="746"/>
      <c r="X155" s="746"/>
      <c r="Y155" s="469"/>
      <c r="Z155" s="477" t="str">
        <f>UNNH0030_REPORT_IF_H_SHIMEBI_MARK</f>
        <v>*</v>
      </c>
    </row>
    <row r="156" spans="2:51" ht="25.5" customHeight="1">
      <c r="D156" s="403"/>
      <c r="E156" s="471"/>
      <c r="F156" s="747">
        <f>UNNH0030_REPORT_IF_H_SEIKYU_CD</f>
        <v>0</v>
      </c>
      <c r="G156" s="747"/>
      <c r="H156" s="747"/>
      <c r="I156" s="747"/>
      <c r="J156" s="747"/>
      <c r="K156" s="747"/>
      <c r="L156" s="747"/>
      <c r="M156" s="747"/>
      <c r="N156" s="747"/>
      <c r="O156" s="747"/>
      <c r="P156" s="747"/>
      <c r="Q156" s="747"/>
      <c r="R156" s="747"/>
      <c r="S156" s="747"/>
      <c r="T156" s="747"/>
      <c r="U156" s="747"/>
      <c r="V156" s="747"/>
      <c r="W156" s="747"/>
      <c r="X156" s="747"/>
      <c r="Y156" s="472"/>
    </row>
    <row r="157" spans="2:51" ht="30" customHeight="1">
      <c r="D157" s="403"/>
      <c r="E157" s="403"/>
      <c r="F157" s="403"/>
      <c r="G157" s="403"/>
      <c r="H157" s="403"/>
      <c r="I157" s="403"/>
      <c r="J157" s="403"/>
      <c r="K157" s="403"/>
      <c r="L157" s="403"/>
      <c r="M157" s="403"/>
      <c r="N157" s="403"/>
      <c r="O157" s="403"/>
    </row>
    <row r="158" spans="2:51" ht="30" customHeight="1"/>
    <row r="159" spans="2:51" ht="29.25" customHeight="1">
      <c r="B159" s="474" t="s">
        <v>1101</v>
      </c>
    </row>
    <row r="160" spans="2:51" ht="36.75" customHeight="1">
      <c r="B160" s="742"/>
      <c r="C160" s="742"/>
      <c r="D160" s="742" t="s">
        <v>1102</v>
      </c>
      <c r="E160" s="742"/>
      <c r="F160" s="742"/>
      <c r="G160" s="742"/>
      <c r="H160" s="742"/>
      <c r="I160" s="742"/>
      <c r="J160" s="742"/>
      <c r="K160" s="742"/>
      <c r="L160" s="742"/>
      <c r="M160" s="742"/>
      <c r="N160" s="742"/>
      <c r="O160" s="742"/>
      <c r="P160" s="742"/>
      <c r="Q160" s="742"/>
      <c r="R160" s="742"/>
      <c r="S160" s="742"/>
      <c r="T160" s="742"/>
      <c r="U160" s="742"/>
      <c r="V160" s="742"/>
      <c r="W160" s="742"/>
      <c r="X160" s="742"/>
      <c r="Y160" s="742"/>
      <c r="Z160" s="742"/>
      <c r="AA160" s="742"/>
      <c r="AB160" s="742"/>
      <c r="AC160" s="742" t="s">
        <v>1103</v>
      </c>
      <c r="AD160" s="742"/>
      <c r="AE160" s="742"/>
      <c r="AF160" s="742"/>
      <c r="AG160" s="742"/>
      <c r="AH160" s="742"/>
      <c r="AI160" s="742"/>
      <c r="AJ160" s="742" t="s">
        <v>1104</v>
      </c>
      <c r="AK160" s="742"/>
      <c r="AL160" s="742" t="s">
        <v>1105</v>
      </c>
      <c r="AM160" s="742"/>
      <c r="AN160" s="742"/>
      <c r="AO160" s="742"/>
      <c r="AP160" s="742"/>
      <c r="AQ160" s="742"/>
      <c r="AR160" s="742"/>
      <c r="AS160" s="742" t="s">
        <v>1106</v>
      </c>
      <c r="AT160" s="742"/>
      <c r="AU160" s="742"/>
      <c r="AV160" s="742"/>
      <c r="AW160" s="742"/>
      <c r="AX160" s="742"/>
      <c r="AY160" s="742"/>
    </row>
    <row r="161" spans="1:52" ht="36.75" customHeight="1">
      <c r="B161" s="742">
        <f>ROUNDDOWN(ROW()/ROWS(UNNH0030_REPORT_RAYOUT_SEIKYUSHO),0)*UNNH0030_REPORT_IF_B_PAGE_MEISAI_SU+1</f>
        <v>81</v>
      </c>
      <c r="C161" s="742"/>
      <c r="D161" s="743" t="str">
        <f t="shared" ref="D161:D180" ca="1" si="24">IF(OFFSET(UNNH0030_REPORT_IF_B_SHOHIN_MEI,$B161,0)="","",OFFSET(UNNH0030_REPORT_IF_B_SHOHIN_MEI,$B161,0))</f>
        <v/>
      </c>
      <c r="E161" s="743"/>
      <c r="F161" s="743"/>
      <c r="G161" s="743"/>
      <c r="H161" s="743"/>
      <c r="I161" s="743"/>
      <c r="J161" s="743"/>
      <c r="K161" s="743"/>
      <c r="L161" s="743"/>
      <c r="M161" s="743"/>
      <c r="N161" s="743"/>
      <c r="O161" s="743"/>
      <c r="P161" s="743"/>
      <c r="Q161" s="743"/>
      <c r="R161" s="743"/>
      <c r="S161" s="743"/>
      <c r="T161" s="743"/>
      <c r="U161" s="743"/>
      <c r="V161" s="743"/>
      <c r="W161" s="743"/>
      <c r="X161" s="743"/>
      <c r="Y161" s="743"/>
      <c r="Z161" s="743"/>
      <c r="AA161" s="743"/>
      <c r="AB161" s="743"/>
      <c r="AC161" s="781" t="str">
        <f t="shared" ref="AC161:AC180" ca="1" si="25">IF(OR(OFFSET(UNNH0030_REPORT_IF_B_ROW_KBN,$B161,0)&lt;&gt;1,$D161="",$D161="消費税"),"",
OFFSET(UNNH0030_REPORT_IF_B_SURYO,$B161,0))</f>
        <v/>
      </c>
      <c r="AD161" s="781"/>
      <c r="AE161" s="781"/>
      <c r="AF161" s="781"/>
      <c r="AG161" s="781"/>
      <c r="AH161" s="781"/>
      <c r="AI161" s="781"/>
      <c r="AJ161" s="742" t="str">
        <f t="shared" ref="AJ161:AJ180" ca="1" si="26">IF(OFFSET(UNNH0030_REPORT_IF_B_TANI,$B161,0)="","",OFFSET(UNNH0030_REPORT_IF_B_TANI,$B161,0))</f>
        <v/>
      </c>
      <c r="AK161" s="742"/>
      <c r="AL161" s="781" t="str">
        <f t="shared" ref="AL161:AL180" ca="1" si="27">IF(OR(OFFSET(UNNH0030_REPORT_IF_B_ROW_KBN,$B161,0)&lt;&gt;1,$D161="",$D161="消費税"),"",
OFFSET(UNNH0030_REPORT_IF_B_TANKA,$B161,0))</f>
        <v/>
      </c>
      <c r="AM161" s="781"/>
      <c r="AN161" s="781"/>
      <c r="AO161" s="781"/>
      <c r="AP161" s="781"/>
      <c r="AQ161" s="781"/>
      <c r="AR161" s="781"/>
      <c r="AS161" s="741" t="str">
        <f t="shared" ref="AS161:AS180" ca="1" si="28">IF(OR(OFFSET(UNNH0030_REPORT_IF_B_KINGAKU,$B161,0)=0,$D161=""),"",
OFFSET(UNNH0030_REPORT_IF_B_KINGAKU,$B161,0))</f>
        <v/>
      </c>
      <c r="AT161" s="741"/>
      <c r="AU161" s="741"/>
      <c r="AV161" s="741"/>
      <c r="AW161" s="741"/>
      <c r="AX161" s="741"/>
      <c r="AY161" s="741"/>
    </row>
    <row r="162" spans="1:52" ht="36.75" customHeight="1">
      <c r="B162" s="742">
        <f>B161+1</f>
        <v>82</v>
      </c>
      <c r="C162" s="742"/>
      <c r="D162" s="743" t="str">
        <f t="shared" ca="1" si="24"/>
        <v/>
      </c>
      <c r="E162" s="743"/>
      <c r="F162" s="743"/>
      <c r="G162" s="743"/>
      <c r="H162" s="743"/>
      <c r="I162" s="743"/>
      <c r="J162" s="743"/>
      <c r="K162" s="743"/>
      <c r="L162" s="743"/>
      <c r="M162" s="743"/>
      <c r="N162" s="743"/>
      <c r="O162" s="743"/>
      <c r="P162" s="743"/>
      <c r="Q162" s="743"/>
      <c r="R162" s="743"/>
      <c r="S162" s="743"/>
      <c r="T162" s="743"/>
      <c r="U162" s="743"/>
      <c r="V162" s="743"/>
      <c r="W162" s="743"/>
      <c r="X162" s="743"/>
      <c r="Y162" s="743"/>
      <c r="Z162" s="743"/>
      <c r="AA162" s="743"/>
      <c r="AB162" s="743"/>
      <c r="AC162" s="781" t="str">
        <f t="shared" ca="1" si="25"/>
        <v/>
      </c>
      <c r="AD162" s="781"/>
      <c r="AE162" s="781"/>
      <c r="AF162" s="781"/>
      <c r="AG162" s="781"/>
      <c r="AH162" s="781"/>
      <c r="AI162" s="781"/>
      <c r="AJ162" s="742" t="str">
        <f t="shared" ca="1" si="26"/>
        <v/>
      </c>
      <c r="AK162" s="742"/>
      <c r="AL162" s="781" t="str">
        <f t="shared" ca="1" si="27"/>
        <v/>
      </c>
      <c r="AM162" s="781"/>
      <c r="AN162" s="781"/>
      <c r="AO162" s="781"/>
      <c r="AP162" s="781"/>
      <c r="AQ162" s="781"/>
      <c r="AR162" s="781"/>
      <c r="AS162" s="741" t="str">
        <f t="shared" ca="1" si="28"/>
        <v/>
      </c>
      <c r="AT162" s="741"/>
      <c r="AU162" s="741"/>
      <c r="AV162" s="741"/>
      <c r="AW162" s="741"/>
      <c r="AX162" s="741"/>
      <c r="AY162" s="741"/>
    </row>
    <row r="163" spans="1:52" ht="36.75" customHeight="1">
      <c r="B163" s="742">
        <f>B162+1</f>
        <v>83</v>
      </c>
      <c r="C163" s="742"/>
      <c r="D163" s="743" t="str">
        <f t="shared" ca="1" si="24"/>
        <v/>
      </c>
      <c r="E163" s="743"/>
      <c r="F163" s="743"/>
      <c r="G163" s="743"/>
      <c r="H163" s="743"/>
      <c r="I163" s="743"/>
      <c r="J163" s="743"/>
      <c r="K163" s="743"/>
      <c r="L163" s="743"/>
      <c r="M163" s="743"/>
      <c r="N163" s="743"/>
      <c r="O163" s="743"/>
      <c r="P163" s="743"/>
      <c r="Q163" s="743"/>
      <c r="R163" s="743"/>
      <c r="S163" s="743"/>
      <c r="T163" s="743"/>
      <c r="U163" s="743"/>
      <c r="V163" s="743"/>
      <c r="W163" s="743"/>
      <c r="X163" s="743"/>
      <c r="Y163" s="743"/>
      <c r="Z163" s="743"/>
      <c r="AA163" s="743"/>
      <c r="AB163" s="743"/>
      <c r="AC163" s="781" t="str">
        <f t="shared" ca="1" si="25"/>
        <v/>
      </c>
      <c r="AD163" s="781"/>
      <c r="AE163" s="781"/>
      <c r="AF163" s="781"/>
      <c r="AG163" s="781"/>
      <c r="AH163" s="781"/>
      <c r="AI163" s="781"/>
      <c r="AJ163" s="742" t="str">
        <f t="shared" ca="1" si="26"/>
        <v/>
      </c>
      <c r="AK163" s="742"/>
      <c r="AL163" s="781" t="str">
        <f t="shared" ca="1" si="27"/>
        <v/>
      </c>
      <c r="AM163" s="781"/>
      <c r="AN163" s="781"/>
      <c r="AO163" s="781"/>
      <c r="AP163" s="781"/>
      <c r="AQ163" s="781"/>
      <c r="AR163" s="781"/>
      <c r="AS163" s="741" t="str">
        <f t="shared" ca="1" si="28"/>
        <v/>
      </c>
      <c r="AT163" s="741"/>
      <c r="AU163" s="741"/>
      <c r="AV163" s="741"/>
      <c r="AW163" s="741"/>
      <c r="AX163" s="741"/>
      <c r="AY163" s="741"/>
    </row>
    <row r="164" spans="1:52" ht="36.75" customHeight="1">
      <c r="B164" s="742">
        <f t="shared" ref="B164:B180" si="29">B163+1</f>
        <v>84</v>
      </c>
      <c r="C164" s="742"/>
      <c r="D164" s="743" t="str">
        <f t="shared" ca="1" si="24"/>
        <v/>
      </c>
      <c r="E164" s="743"/>
      <c r="F164" s="743"/>
      <c r="G164" s="743"/>
      <c r="H164" s="743"/>
      <c r="I164" s="743"/>
      <c r="J164" s="743"/>
      <c r="K164" s="743"/>
      <c r="L164" s="743"/>
      <c r="M164" s="743"/>
      <c r="N164" s="743"/>
      <c r="O164" s="743"/>
      <c r="P164" s="743"/>
      <c r="Q164" s="743"/>
      <c r="R164" s="743"/>
      <c r="S164" s="743"/>
      <c r="T164" s="743"/>
      <c r="U164" s="743"/>
      <c r="V164" s="743"/>
      <c r="W164" s="743"/>
      <c r="X164" s="743"/>
      <c r="Y164" s="743"/>
      <c r="Z164" s="743"/>
      <c r="AA164" s="743"/>
      <c r="AB164" s="743"/>
      <c r="AC164" s="781" t="str">
        <f t="shared" ca="1" si="25"/>
        <v/>
      </c>
      <c r="AD164" s="781"/>
      <c r="AE164" s="781"/>
      <c r="AF164" s="781"/>
      <c r="AG164" s="781"/>
      <c r="AH164" s="781"/>
      <c r="AI164" s="781"/>
      <c r="AJ164" s="742" t="str">
        <f t="shared" ca="1" si="26"/>
        <v/>
      </c>
      <c r="AK164" s="742"/>
      <c r="AL164" s="781" t="str">
        <f t="shared" ca="1" si="27"/>
        <v/>
      </c>
      <c r="AM164" s="781"/>
      <c r="AN164" s="781"/>
      <c r="AO164" s="781"/>
      <c r="AP164" s="781"/>
      <c r="AQ164" s="781"/>
      <c r="AR164" s="781"/>
      <c r="AS164" s="741" t="str">
        <f t="shared" ca="1" si="28"/>
        <v/>
      </c>
      <c r="AT164" s="741"/>
      <c r="AU164" s="741"/>
      <c r="AV164" s="741"/>
      <c r="AW164" s="741"/>
      <c r="AX164" s="741"/>
      <c r="AY164" s="741"/>
    </row>
    <row r="165" spans="1:52" ht="36.75" customHeight="1">
      <c r="A165" s="403" t="s">
        <v>1529</v>
      </c>
      <c r="B165" s="742">
        <f t="shared" si="29"/>
        <v>85</v>
      </c>
      <c r="C165" s="742"/>
      <c r="D165" s="743" t="str">
        <f t="shared" ca="1" si="24"/>
        <v/>
      </c>
      <c r="E165" s="743"/>
      <c r="F165" s="743"/>
      <c r="G165" s="743"/>
      <c r="H165" s="743"/>
      <c r="I165" s="743"/>
      <c r="J165" s="743"/>
      <c r="K165" s="743"/>
      <c r="L165" s="743"/>
      <c r="M165" s="743"/>
      <c r="N165" s="743"/>
      <c r="O165" s="743"/>
      <c r="P165" s="743"/>
      <c r="Q165" s="743"/>
      <c r="R165" s="743"/>
      <c r="S165" s="743"/>
      <c r="T165" s="743"/>
      <c r="U165" s="743"/>
      <c r="V165" s="743"/>
      <c r="W165" s="743"/>
      <c r="X165" s="743"/>
      <c r="Y165" s="743"/>
      <c r="Z165" s="743"/>
      <c r="AA165" s="743"/>
      <c r="AB165" s="743"/>
      <c r="AC165" s="781" t="str">
        <f t="shared" ca="1" si="25"/>
        <v/>
      </c>
      <c r="AD165" s="781"/>
      <c r="AE165" s="781"/>
      <c r="AF165" s="781"/>
      <c r="AG165" s="781"/>
      <c r="AH165" s="781"/>
      <c r="AI165" s="781"/>
      <c r="AJ165" s="742" t="str">
        <f t="shared" ca="1" si="26"/>
        <v/>
      </c>
      <c r="AK165" s="742"/>
      <c r="AL165" s="781" t="str">
        <f t="shared" ca="1" si="27"/>
        <v/>
      </c>
      <c r="AM165" s="781"/>
      <c r="AN165" s="781"/>
      <c r="AO165" s="781"/>
      <c r="AP165" s="781"/>
      <c r="AQ165" s="781"/>
      <c r="AR165" s="781"/>
      <c r="AS165" s="741" t="str">
        <f t="shared" ca="1" si="28"/>
        <v/>
      </c>
      <c r="AT165" s="741"/>
      <c r="AU165" s="741"/>
      <c r="AV165" s="741"/>
      <c r="AW165" s="741"/>
      <c r="AX165" s="741"/>
      <c r="AY165" s="741"/>
      <c r="AZ165" s="473" t="s">
        <v>1530</v>
      </c>
    </row>
    <row r="166" spans="1:52" ht="36.75" customHeight="1">
      <c r="B166" s="742">
        <f t="shared" si="29"/>
        <v>86</v>
      </c>
      <c r="C166" s="742"/>
      <c r="D166" s="743" t="str">
        <f t="shared" ca="1" si="24"/>
        <v/>
      </c>
      <c r="E166" s="743"/>
      <c r="F166" s="743"/>
      <c r="G166" s="743"/>
      <c r="H166" s="743"/>
      <c r="I166" s="743"/>
      <c r="J166" s="743"/>
      <c r="K166" s="743"/>
      <c r="L166" s="743"/>
      <c r="M166" s="743"/>
      <c r="N166" s="743"/>
      <c r="O166" s="743"/>
      <c r="P166" s="743"/>
      <c r="Q166" s="743"/>
      <c r="R166" s="743"/>
      <c r="S166" s="743"/>
      <c r="T166" s="743"/>
      <c r="U166" s="743"/>
      <c r="V166" s="743"/>
      <c r="W166" s="743"/>
      <c r="X166" s="743"/>
      <c r="Y166" s="743"/>
      <c r="Z166" s="743"/>
      <c r="AA166" s="743"/>
      <c r="AB166" s="743"/>
      <c r="AC166" s="781" t="str">
        <f t="shared" ca="1" si="25"/>
        <v/>
      </c>
      <c r="AD166" s="781"/>
      <c r="AE166" s="781"/>
      <c r="AF166" s="781"/>
      <c r="AG166" s="781"/>
      <c r="AH166" s="781"/>
      <c r="AI166" s="781"/>
      <c r="AJ166" s="742" t="str">
        <f t="shared" ca="1" si="26"/>
        <v/>
      </c>
      <c r="AK166" s="742"/>
      <c r="AL166" s="781" t="str">
        <f t="shared" ca="1" si="27"/>
        <v/>
      </c>
      <c r="AM166" s="781"/>
      <c r="AN166" s="781"/>
      <c r="AO166" s="781"/>
      <c r="AP166" s="781"/>
      <c r="AQ166" s="781"/>
      <c r="AR166" s="781"/>
      <c r="AS166" s="741" t="str">
        <f t="shared" ca="1" si="28"/>
        <v/>
      </c>
      <c r="AT166" s="741"/>
      <c r="AU166" s="741"/>
      <c r="AV166" s="741"/>
      <c r="AW166" s="741"/>
      <c r="AX166" s="741"/>
      <c r="AY166" s="741"/>
      <c r="AZ166" s="473"/>
    </row>
    <row r="167" spans="1:52" ht="36.75" customHeight="1">
      <c r="B167" s="742">
        <f t="shared" si="29"/>
        <v>87</v>
      </c>
      <c r="C167" s="742"/>
      <c r="D167" s="743" t="str">
        <f t="shared" ca="1" si="24"/>
        <v/>
      </c>
      <c r="E167" s="743"/>
      <c r="F167" s="743"/>
      <c r="G167" s="743"/>
      <c r="H167" s="743"/>
      <c r="I167" s="743"/>
      <c r="J167" s="743"/>
      <c r="K167" s="743"/>
      <c r="L167" s="743"/>
      <c r="M167" s="743"/>
      <c r="N167" s="743"/>
      <c r="O167" s="743"/>
      <c r="P167" s="743"/>
      <c r="Q167" s="743"/>
      <c r="R167" s="743"/>
      <c r="S167" s="743"/>
      <c r="T167" s="743"/>
      <c r="U167" s="743"/>
      <c r="V167" s="743"/>
      <c r="W167" s="743"/>
      <c r="X167" s="743"/>
      <c r="Y167" s="743"/>
      <c r="Z167" s="743"/>
      <c r="AA167" s="743"/>
      <c r="AB167" s="743"/>
      <c r="AC167" s="781" t="str">
        <f t="shared" ca="1" si="25"/>
        <v/>
      </c>
      <c r="AD167" s="781"/>
      <c r="AE167" s="781"/>
      <c r="AF167" s="781"/>
      <c r="AG167" s="781"/>
      <c r="AH167" s="781"/>
      <c r="AI167" s="781"/>
      <c r="AJ167" s="742" t="str">
        <f t="shared" ca="1" si="26"/>
        <v/>
      </c>
      <c r="AK167" s="742"/>
      <c r="AL167" s="781" t="str">
        <f t="shared" ca="1" si="27"/>
        <v/>
      </c>
      <c r="AM167" s="781"/>
      <c r="AN167" s="781"/>
      <c r="AO167" s="781"/>
      <c r="AP167" s="781"/>
      <c r="AQ167" s="781"/>
      <c r="AR167" s="781"/>
      <c r="AS167" s="741" t="str">
        <f t="shared" ca="1" si="28"/>
        <v/>
      </c>
      <c r="AT167" s="741"/>
      <c r="AU167" s="741"/>
      <c r="AV167" s="741"/>
      <c r="AW167" s="741"/>
      <c r="AX167" s="741"/>
      <c r="AY167" s="741"/>
      <c r="AZ167" s="473"/>
    </row>
    <row r="168" spans="1:52" ht="36.75" customHeight="1">
      <c r="B168" s="742">
        <f t="shared" si="29"/>
        <v>88</v>
      </c>
      <c r="C168" s="742"/>
      <c r="D168" s="743" t="str">
        <f t="shared" ca="1" si="24"/>
        <v/>
      </c>
      <c r="E168" s="743"/>
      <c r="F168" s="743"/>
      <c r="G168" s="743"/>
      <c r="H168" s="743"/>
      <c r="I168" s="743"/>
      <c r="J168" s="743"/>
      <c r="K168" s="743"/>
      <c r="L168" s="743"/>
      <c r="M168" s="743"/>
      <c r="N168" s="743"/>
      <c r="O168" s="743"/>
      <c r="P168" s="743"/>
      <c r="Q168" s="743"/>
      <c r="R168" s="743"/>
      <c r="S168" s="743"/>
      <c r="T168" s="743"/>
      <c r="U168" s="743"/>
      <c r="V168" s="743"/>
      <c r="W168" s="743"/>
      <c r="X168" s="743"/>
      <c r="Y168" s="743"/>
      <c r="Z168" s="743"/>
      <c r="AA168" s="743"/>
      <c r="AB168" s="743"/>
      <c r="AC168" s="781" t="str">
        <f t="shared" ca="1" si="25"/>
        <v/>
      </c>
      <c r="AD168" s="781"/>
      <c r="AE168" s="781"/>
      <c r="AF168" s="781"/>
      <c r="AG168" s="781"/>
      <c r="AH168" s="781"/>
      <c r="AI168" s="781"/>
      <c r="AJ168" s="742" t="str">
        <f t="shared" ca="1" si="26"/>
        <v/>
      </c>
      <c r="AK168" s="742"/>
      <c r="AL168" s="781" t="str">
        <f t="shared" ca="1" si="27"/>
        <v/>
      </c>
      <c r="AM168" s="781"/>
      <c r="AN168" s="781"/>
      <c r="AO168" s="781"/>
      <c r="AP168" s="781"/>
      <c r="AQ168" s="781"/>
      <c r="AR168" s="781"/>
      <c r="AS168" s="741" t="str">
        <f t="shared" ca="1" si="28"/>
        <v/>
      </c>
      <c r="AT168" s="741"/>
      <c r="AU168" s="741"/>
      <c r="AV168" s="741"/>
      <c r="AW168" s="741"/>
      <c r="AX168" s="741"/>
      <c r="AY168" s="741"/>
    </row>
    <row r="169" spans="1:52" ht="36.75" customHeight="1">
      <c r="B169" s="742">
        <f t="shared" si="29"/>
        <v>89</v>
      </c>
      <c r="C169" s="742"/>
      <c r="D169" s="743" t="str">
        <f t="shared" ca="1" si="24"/>
        <v/>
      </c>
      <c r="E169" s="743"/>
      <c r="F169" s="743"/>
      <c r="G169" s="743"/>
      <c r="H169" s="743"/>
      <c r="I169" s="743"/>
      <c r="J169" s="743"/>
      <c r="K169" s="743"/>
      <c r="L169" s="743"/>
      <c r="M169" s="743"/>
      <c r="N169" s="743"/>
      <c r="O169" s="743"/>
      <c r="P169" s="743"/>
      <c r="Q169" s="743"/>
      <c r="R169" s="743"/>
      <c r="S169" s="743"/>
      <c r="T169" s="743"/>
      <c r="U169" s="743"/>
      <c r="V169" s="743"/>
      <c r="W169" s="743"/>
      <c r="X169" s="743"/>
      <c r="Y169" s="743"/>
      <c r="Z169" s="743"/>
      <c r="AA169" s="743"/>
      <c r="AB169" s="743"/>
      <c r="AC169" s="781" t="str">
        <f t="shared" ca="1" si="25"/>
        <v/>
      </c>
      <c r="AD169" s="781"/>
      <c r="AE169" s="781"/>
      <c r="AF169" s="781"/>
      <c r="AG169" s="781"/>
      <c r="AH169" s="781"/>
      <c r="AI169" s="781"/>
      <c r="AJ169" s="742" t="str">
        <f t="shared" ca="1" si="26"/>
        <v/>
      </c>
      <c r="AK169" s="742"/>
      <c r="AL169" s="781" t="str">
        <f t="shared" ca="1" si="27"/>
        <v/>
      </c>
      <c r="AM169" s="781"/>
      <c r="AN169" s="781"/>
      <c r="AO169" s="781"/>
      <c r="AP169" s="781"/>
      <c r="AQ169" s="781"/>
      <c r="AR169" s="781"/>
      <c r="AS169" s="741" t="str">
        <f t="shared" ca="1" si="28"/>
        <v/>
      </c>
      <c r="AT169" s="741"/>
      <c r="AU169" s="741"/>
      <c r="AV169" s="741"/>
      <c r="AW169" s="741"/>
      <c r="AX169" s="741"/>
      <c r="AY169" s="741"/>
    </row>
    <row r="170" spans="1:52" ht="36.75" customHeight="1">
      <c r="B170" s="742">
        <f t="shared" si="29"/>
        <v>90</v>
      </c>
      <c r="C170" s="742"/>
      <c r="D170" s="743" t="str">
        <f t="shared" ca="1" si="24"/>
        <v/>
      </c>
      <c r="E170" s="743"/>
      <c r="F170" s="743"/>
      <c r="G170" s="743"/>
      <c r="H170" s="743"/>
      <c r="I170" s="743"/>
      <c r="J170" s="743"/>
      <c r="K170" s="743"/>
      <c r="L170" s="743"/>
      <c r="M170" s="743"/>
      <c r="N170" s="743"/>
      <c r="O170" s="743"/>
      <c r="P170" s="743"/>
      <c r="Q170" s="743"/>
      <c r="R170" s="743"/>
      <c r="S170" s="743"/>
      <c r="T170" s="743"/>
      <c r="U170" s="743"/>
      <c r="V170" s="743"/>
      <c r="W170" s="743"/>
      <c r="X170" s="743"/>
      <c r="Y170" s="743"/>
      <c r="Z170" s="743"/>
      <c r="AA170" s="743"/>
      <c r="AB170" s="743"/>
      <c r="AC170" s="781" t="str">
        <f t="shared" ca="1" si="25"/>
        <v/>
      </c>
      <c r="AD170" s="781"/>
      <c r="AE170" s="781"/>
      <c r="AF170" s="781"/>
      <c r="AG170" s="781"/>
      <c r="AH170" s="781"/>
      <c r="AI170" s="781"/>
      <c r="AJ170" s="742" t="str">
        <f t="shared" ca="1" si="26"/>
        <v/>
      </c>
      <c r="AK170" s="742"/>
      <c r="AL170" s="781" t="str">
        <f t="shared" ca="1" si="27"/>
        <v/>
      </c>
      <c r="AM170" s="781"/>
      <c r="AN170" s="781"/>
      <c r="AO170" s="781"/>
      <c r="AP170" s="781"/>
      <c r="AQ170" s="781"/>
      <c r="AR170" s="781"/>
      <c r="AS170" s="741" t="str">
        <f t="shared" ca="1" si="28"/>
        <v/>
      </c>
      <c r="AT170" s="741"/>
      <c r="AU170" s="741"/>
      <c r="AV170" s="741"/>
      <c r="AW170" s="741"/>
      <c r="AX170" s="741"/>
      <c r="AY170" s="741"/>
    </row>
    <row r="171" spans="1:52" ht="36.75" customHeight="1">
      <c r="B171" s="742">
        <f t="shared" si="29"/>
        <v>91</v>
      </c>
      <c r="C171" s="742"/>
      <c r="D171" s="743" t="str">
        <f t="shared" ca="1" si="24"/>
        <v/>
      </c>
      <c r="E171" s="743"/>
      <c r="F171" s="743"/>
      <c r="G171" s="743"/>
      <c r="H171" s="743"/>
      <c r="I171" s="743"/>
      <c r="J171" s="743"/>
      <c r="K171" s="743"/>
      <c r="L171" s="743"/>
      <c r="M171" s="743"/>
      <c r="N171" s="743"/>
      <c r="O171" s="743"/>
      <c r="P171" s="743"/>
      <c r="Q171" s="743"/>
      <c r="R171" s="743"/>
      <c r="S171" s="743"/>
      <c r="T171" s="743"/>
      <c r="U171" s="743"/>
      <c r="V171" s="743"/>
      <c r="W171" s="743"/>
      <c r="X171" s="743"/>
      <c r="Y171" s="743"/>
      <c r="Z171" s="743"/>
      <c r="AA171" s="743"/>
      <c r="AB171" s="743"/>
      <c r="AC171" s="781" t="str">
        <f t="shared" ca="1" si="25"/>
        <v/>
      </c>
      <c r="AD171" s="781"/>
      <c r="AE171" s="781"/>
      <c r="AF171" s="781"/>
      <c r="AG171" s="781"/>
      <c r="AH171" s="781"/>
      <c r="AI171" s="781"/>
      <c r="AJ171" s="742" t="str">
        <f t="shared" ca="1" si="26"/>
        <v/>
      </c>
      <c r="AK171" s="742"/>
      <c r="AL171" s="781" t="str">
        <f t="shared" ca="1" si="27"/>
        <v/>
      </c>
      <c r="AM171" s="781"/>
      <c r="AN171" s="781"/>
      <c r="AO171" s="781"/>
      <c r="AP171" s="781"/>
      <c r="AQ171" s="781"/>
      <c r="AR171" s="781"/>
      <c r="AS171" s="741" t="str">
        <f t="shared" ca="1" si="28"/>
        <v/>
      </c>
      <c r="AT171" s="741"/>
      <c r="AU171" s="741"/>
      <c r="AV171" s="741"/>
      <c r="AW171" s="741"/>
      <c r="AX171" s="741"/>
      <c r="AY171" s="741"/>
    </row>
    <row r="172" spans="1:52" ht="36.75" customHeight="1">
      <c r="B172" s="742">
        <f t="shared" si="29"/>
        <v>92</v>
      </c>
      <c r="C172" s="742"/>
      <c r="D172" s="743" t="str">
        <f t="shared" ca="1" si="24"/>
        <v/>
      </c>
      <c r="E172" s="743"/>
      <c r="F172" s="743"/>
      <c r="G172" s="743"/>
      <c r="H172" s="743"/>
      <c r="I172" s="743"/>
      <c r="J172" s="743"/>
      <c r="K172" s="743"/>
      <c r="L172" s="743"/>
      <c r="M172" s="743"/>
      <c r="N172" s="743"/>
      <c r="O172" s="743"/>
      <c r="P172" s="743"/>
      <c r="Q172" s="743"/>
      <c r="R172" s="743"/>
      <c r="S172" s="743"/>
      <c r="T172" s="743"/>
      <c r="U172" s="743"/>
      <c r="V172" s="743"/>
      <c r="W172" s="743"/>
      <c r="X172" s="743"/>
      <c r="Y172" s="743"/>
      <c r="Z172" s="743"/>
      <c r="AA172" s="743"/>
      <c r="AB172" s="743"/>
      <c r="AC172" s="781" t="str">
        <f t="shared" ca="1" si="25"/>
        <v/>
      </c>
      <c r="AD172" s="781"/>
      <c r="AE172" s="781"/>
      <c r="AF172" s="781"/>
      <c r="AG172" s="781"/>
      <c r="AH172" s="781"/>
      <c r="AI172" s="781"/>
      <c r="AJ172" s="742" t="str">
        <f t="shared" ca="1" si="26"/>
        <v/>
      </c>
      <c r="AK172" s="742"/>
      <c r="AL172" s="781" t="str">
        <f t="shared" ca="1" si="27"/>
        <v/>
      </c>
      <c r="AM172" s="781"/>
      <c r="AN172" s="781"/>
      <c r="AO172" s="781"/>
      <c r="AP172" s="781"/>
      <c r="AQ172" s="781"/>
      <c r="AR172" s="781"/>
      <c r="AS172" s="741" t="str">
        <f t="shared" ca="1" si="28"/>
        <v/>
      </c>
      <c r="AT172" s="741"/>
      <c r="AU172" s="741"/>
      <c r="AV172" s="741"/>
      <c r="AW172" s="741"/>
      <c r="AX172" s="741"/>
      <c r="AY172" s="741"/>
    </row>
    <row r="173" spans="1:52" ht="36.75" customHeight="1">
      <c r="B173" s="742">
        <f t="shared" si="29"/>
        <v>93</v>
      </c>
      <c r="C173" s="742"/>
      <c r="D173" s="743" t="str">
        <f t="shared" ca="1" si="24"/>
        <v/>
      </c>
      <c r="E173" s="743"/>
      <c r="F173" s="743"/>
      <c r="G173" s="743"/>
      <c r="H173" s="743"/>
      <c r="I173" s="743"/>
      <c r="J173" s="743"/>
      <c r="K173" s="743"/>
      <c r="L173" s="743"/>
      <c r="M173" s="743"/>
      <c r="N173" s="743"/>
      <c r="O173" s="743"/>
      <c r="P173" s="743"/>
      <c r="Q173" s="743"/>
      <c r="R173" s="743"/>
      <c r="S173" s="743"/>
      <c r="T173" s="743"/>
      <c r="U173" s="743"/>
      <c r="V173" s="743"/>
      <c r="W173" s="743"/>
      <c r="X173" s="743"/>
      <c r="Y173" s="743"/>
      <c r="Z173" s="743"/>
      <c r="AA173" s="743"/>
      <c r="AB173" s="743"/>
      <c r="AC173" s="781" t="str">
        <f t="shared" ca="1" si="25"/>
        <v/>
      </c>
      <c r="AD173" s="781"/>
      <c r="AE173" s="781"/>
      <c r="AF173" s="781"/>
      <c r="AG173" s="781"/>
      <c r="AH173" s="781"/>
      <c r="AI173" s="781"/>
      <c r="AJ173" s="742" t="str">
        <f t="shared" ca="1" si="26"/>
        <v/>
      </c>
      <c r="AK173" s="742"/>
      <c r="AL173" s="781" t="str">
        <f t="shared" ca="1" si="27"/>
        <v/>
      </c>
      <c r="AM173" s="781"/>
      <c r="AN173" s="781"/>
      <c r="AO173" s="781"/>
      <c r="AP173" s="781"/>
      <c r="AQ173" s="781"/>
      <c r="AR173" s="781"/>
      <c r="AS173" s="741" t="str">
        <f t="shared" ca="1" si="28"/>
        <v/>
      </c>
      <c r="AT173" s="741"/>
      <c r="AU173" s="741"/>
      <c r="AV173" s="741"/>
      <c r="AW173" s="741"/>
      <c r="AX173" s="741"/>
      <c r="AY173" s="741"/>
    </row>
    <row r="174" spans="1:52" ht="36.75" customHeight="1">
      <c r="B174" s="742">
        <f t="shared" si="29"/>
        <v>94</v>
      </c>
      <c r="C174" s="742"/>
      <c r="D174" s="743" t="str">
        <f t="shared" ca="1" si="24"/>
        <v/>
      </c>
      <c r="E174" s="743"/>
      <c r="F174" s="743"/>
      <c r="G174" s="743"/>
      <c r="H174" s="743"/>
      <c r="I174" s="743"/>
      <c r="J174" s="743"/>
      <c r="K174" s="743"/>
      <c r="L174" s="743"/>
      <c r="M174" s="743"/>
      <c r="N174" s="743"/>
      <c r="O174" s="743"/>
      <c r="P174" s="743"/>
      <c r="Q174" s="743"/>
      <c r="R174" s="743"/>
      <c r="S174" s="743"/>
      <c r="T174" s="743"/>
      <c r="U174" s="743"/>
      <c r="V174" s="743"/>
      <c r="W174" s="743"/>
      <c r="X174" s="743"/>
      <c r="Y174" s="743"/>
      <c r="Z174" s="743"/>
      <c r="AA174" s="743"/>
      <c r="AB174" s="743"/>
      <c r="AC174" s="781" t="str">
        <f t="shared" ca="1" si="25"/>
        <v/>
      </c>
      <c r="AD174" s="781"/>
      <c r="AE174" s="781"/>
      <c r="AF174" s="781"/>
      <c r="AG174" s="781"/>
      <c r="AH174" s="781"/>
      <c r="AI174" s="781"/>
      <c r="AJ174" s="742" t="str">
        <f t="shared" ca="1" si="26"/>
        <v/>
      </c>
      <c r="AK174" s="742"/>
      <c r="AL174" s="781" t="str">
        <f t="shared" ca="1" si="27"/>
        <v/>
      </c>
      <c r="AM174" s="781"/>
      <c r="AN174" s="781"/>
      <c r="AO174" s="781"/>
      <c r="AP174" s="781"/>
      <c r="AQ174" s="781"/>
      <c r="AR174" s="781"/>
      <c r="AS174" s="741" t="str">
        <f t="shared" ca="1" si="28"/>
        <v/>
      </c>
      <c r="AT174" s="741"/>
      <c r="AU174" s="741"/>
      <c r="AV174" s="741"/>
      <c r="AW174" s="741"/>
      <c r="AX174" s="741"/>
      <c r="AY174" s="741"/>
    </row>
    <row r="175" spans="1:52" ht="36.75" customHeight="1">
      <c r="B175" s="742">
        <f t="shared" si="29"/>
        <v>95</v>
      </c>
      <c r="C175" s="742"/>
      <c r="D175" s="743" t="str">
        <f t="shared" ca="1" si="24"/>
        <v/>
      </c>
      <c r="E175" s="743"/>
      <c r="F175" s="743"/>
      <c r="G175" s="743"/>
      <c r="H175" s="743"/>
      <c r="I175" s="743"/>
      <c r="J175" s="743"/>
      <c r="K175" s="743"/>
      <c r="L175" s="743"/>
      <c r="M175" s="743"/>
      <c r="N175" s="743"/>
      <c r="O175" s="743"/>
      <c r="P175" s="743"/>
      <c r="Q175" s="743"/>
      <c r="R175" s="743"/>
      <c r="S175" s="743"/>
      <c r="T175" s="743"/>
      <c r="U175" s="743"/>
      <c r="V175" s="743"/>
      <c r="W175" s="743"/>
      <c r="X175" s="743"/>
      <c r="Y175" s="743"/>
      <c r="Z175" s="743"/>
      <c r="AA175" s="743"/>
      <c r="AB175" s="743"/>
      <c r="AC175" s="781" t="str">
        <f t="shared" ca="1" si="25"/>
        <v/>
      </c>
      <c r="AD175" s="781"/>
      <c r="AE175" s="781"/>
      <c r="AF175" s="781"/>
      <c r="AG175" s="781"/>
      <c r="AH175" s="781"/>
      <c r="AI175" s="781"/>
      <c r="AJ175" s="742" t="str">
        <f t="shared" ca="1" si="26"/>
        <v/>
      </c>
      <c r="AK175" s="742"/>
      <c r="AL175" s="781" t="str">
        <f t="shared" ca="1" si="27"/>
        <v/>
      </c>
      <c r="AM175" s="781"/>
      <c r="AN175" s="781"/>
      <c r="AO175" s="781"/>
      <c r="AP175" s="781"/>
      <c r="AQ175" s="781"/>
      <c r="AR175" s="781"/>
      <c r="AS175" s="741" t="str">
        <f t="shared" ca="1" si="28"/>
        <v/>
      </c>
      <c r="AT175" s="741"/>
      <c r="AU175" s="741"/>
      <c r="AV175" s="741"/>
      <c r="AW175" s="741"/>
      <c r="AX175" s="741"/>
      <c r="AY175" s="741"/>
    </row>
    <row r="176" spans="1:52" ht="36.75" customHeight="1">
      <c r="B176" s="742">
        <f t="shared" si="29"/>
        <v>96</v>
      </c>
      <c r="C176" s="742"/>
      <c r="D176" s="743" t="str">
        <f t="shared" ca="1" si="24"/>
        <v/>
      </c>
      <c r="E176" s="743"/>
      <c r="F176" s="743"/>
      <c r="G176" s="743"/>
      <c r="H176" s="743"/>
      <c r="I176" s="743"/>
      <c r="J176" s="743"/>
      <c r="K176" s="743"/>
      <c r="L176" s="743"/>
      <c r="M176" s="743"/>
      <c r="N176" s="743"/>
      <c r="O176" s="743"/>
      <c r="P176" s="743"/>
      <c r="Q176" s="743"/>
      <c r="R176" s="743"/>
      <c r="S176" s="743"/>
      <c r="T176" s="743"/>
      <c r="U176" s="743"/>
      <c r="V176" s="743"/>
      <c r="W176" s="743"/>
      <c r="X176" s="743"/>
      <c r="Y176" s="743"/>
      <c r="Z176" s="743"/>
      <c r="AA176" s="743"/>
      <c r="AB176" s="743"/>
      <c r="AC176" s="781" t="str">
        <f t="shared" ca="1" si="25"/>
        <v/>
      </c>
      <c r="AD176" s="781"/>
      <c r="AE176" s="781"/>
      <c r="AF176" s="781"/>
      <c r="AG176" s="781"/>
      <c r="AH176" s="781"/>
      <c r="AI176" s="781"/>
      <c r="AJ176" s="742" t="str">
        <f t="shared" ca="1" si="26"/>
        <v/>
      </c>
      <c r="AK176" s="742"/>
      <c r="AL176" s="781" t="str">
        <f t="shared" ca="1" si="27"/>
        <v/>
      </c>
      <c r="AM176" s="781"/>
      <c r="AN176" s="781"/>
      <c r="AO176" s="781"/>
      <c r="AP176" s="781"/>
      <c r="AQ176" s="781"/>
      <c r="AR176" s="781"/>
      <c r="AS176" s="741" t="str">
        <f t="shared" ca="1" si="28"/>
        <v/>
      </c>
      <c r="AT176" s="741"/>
      <c r="AU176" s="741"/>
      <c r="AV176" s="741"/>
      <c r="AW176" s="741"/>
      <c r="AX176" s="741"/>
      <c r="AY176" s="741"/>
    </row>
    <row r="177" spans="1:52" ht="36.75" customHeight="1">
      <c r="B177" s="742">
        <f t="shared" si="29"/>
        <v>97</v>
      </c>
      <c r="C177" s="742"/>
      <c r="D177" s="743" t="str">
        <f t="shared" ca="1" si="24"/>
        <v/>
      </c>
      <c r="E177" s="743"/>
      <c r="F177" s="743"/>
      <c r="G177" s="743"/>
      <c r="H177" s="743"/>
      <c r="I177" s="743"/>
      <c r="J177" s="743"/>
      <c r="K177" s="743"/>
      <c r="L177" s="743"/>
      <c r="M177" s="743"/>
      <c r="N177" s="743"/>
      <c r="O177" s="743"/>
      <c r="P177" s="743"/>
      <c r="Q177" s="743"/>
      <c r="R177" s="743"/>
      <c r="S177" s="743"/>
      <c r="T177" s="743"/>
      <c r="U177" s="743"/>
      <c r="V177" s="743"/>
      <c r="W177" s="743"/>
      <c r="X177" s="743"/>
      <c r="Y177" s="743"/>
      <c r="Z177" s="743"/>
      <c r="AA177" s="743"/>
      <c r="AB177" s="743"/>
      <c r="AC177" s="781" t="str">
        <f t="shared" ca="1" si="25"/>
        <v/>
      </c>
      <c r="AD177" s="781"/>
      <c r="AE177" s="781"/>
      <c r="AF177" s="781"/>
      <c r="AG177" s="781"/>
      <c r="AH177" s="781"/>
      <c r="AI177" s="781"/>
      <c r="AJ177" s="742" t="str">
        <f t="shared" ca="1" si="26"/>
        <v/>
      </c>
      <c r="AK177" s="742"/>
      <c r="AL177" s="781" t="str">
        <f t="shared" ca="1" si="27"/>
        <v/>
      </c>
      <c r="AM177" s="781"/>
      <c r="AN177" s="781"/>
      <c r="AO177" s="781"/>
      <c r="AP177" s="781"/>
      <c r="AQ177" s="781"/>
      <c r="AR177" s="781"/>
      <c r="AS177" s="741" t="str">
        <f t="shared" ca="1" si="28"/>
        <v/>
      </c>
      <c r="AT177" s="741"/>
      <c r="AU177" s="741"/>
      <c r="AV177" s="741"/>
      <c r="AW177" s="741"/>
      <c r="AX177" s="741"/>
      <c r="AY177" s="741"/>
    </row>
    <row r="178" spans="1:52" ht="36.75" customHeight="1">
      <c r="B178" s="742">
        <f t="shared" si="29"/>
        <v>98</v>
      </c>
      <c r="C178" s="742"/>
      <c r="D178" s="743" t="str">
        <f t="shared" ca="1" si="24"/>
        <v/>
      </c>
      <c r="E178" s="743"/>
      <c r="F178" s="743"/>
      <c r="G178" s="743"/>
      <c r="H178" s="743"/>
      <c r="I178" s="743"/>
      <c r="J178" s="743"/>
      <c r="K178" s="743"/>
      <c r="L178" s="743"/>
      <c r="M178" s="743"/>
      <c r="N178" s="743"/>
      <c r="O178" s="743"/>
      <c r="P178" s="743"/>
      <c r="Q178" s="743"/>
      <c r="R178" s="743"/>
      <c r="S178" s="743"/>
      <c r="T178" s="743"/>
      <c r="U178" s="743"/>
      <c r="V178" s="743"/>
      <c r="W178" s="743"/>
      <c r="X178" s="743"/>
      <c r="Y178" s="743"/>
      <c r="Z178" s="743"/>
      <c r="AA178" s="743"/>
      <c r="AB178" s="743"/>
      <c r="AC178" s="781" t="str">
        <f t="shared" ca="1" si="25"/>
        <v/>
      </c>
      <c r="AD178" s="781"/>
      <c r="AE178" s="781"/>
      <c r="AF178" s="781"/>
      <c r="AG178" s="781"/>
      <c r="AH178" s="781"/>
      <c r="AI178" s="781"/>
      <c r="AJ178" s="742" t="str">
        <f t="shared" ca="1" si="26"/>
        <v/>
      </c>
      <c r="AK178" s="742"/>
      <c r="AL178" s="781" t="str">
        <f t="shared" ca="1" si="27"/>
        <v/>
      </c>
      <c r="AM178" s="781"/>
      <c r="AN178" s="781"/>
      <c r="AO178" s="781"/>
      <c r="AP178" s="781"/>
      <c r="AQ178" s="781"/>
      <c r="AR178" s="781"/>
      <c r="AS178" s="741" t="str">
        <f t="shared" ca="1" si="28"/>
        <v/>
      </c>
      <c r="AT178" s="741"/>
      <c r="AU178" s="741"/>
      <c r="AV178" s="741"/>
      <c r="AW178" s="741"/>
      <c r="AX178" s="741"/>
      <c r="AY178" s="741"/>
    </row>
    <row r="179" spans="1:52" ht="36.75" customHeight="1">
      <c r="A179" s="403" t="s">
        <v>1529</v>
      </c>
      <c r="B179" s="742">
        <f t="shared" si="29"/>
        <v>99</v>
      </c>
      <c r="C179" s="742"/>
      <c r="D179" s="743" t="str">
        <f t="shared" ca="1" si="24"/>
        <v/>
      </c>
      <c r="E179" s="743"/>
      <c r="F179" s="743"/>
      <c r="G179" s="743"/>
      <c r="H179" s="743"/>
      <c r="I179" s="743"/>
      <c r="J179" s="743"/>
      <c r="K179" s="743"/>
      <c r="L179" s="743"/>
      <c r="M179" s="743"/>
      <c r="N179" s="743"/>
      <c r="O179" s="743"/>
      <c r="P179" s="743"/>
      <c r="Q179" s="743"/>
      <c r="R179" s="743"/>
      <c r="S179" s="743"/>
      <c r="T179" s="743"/>
      <c r="U179" s="743"/>
      <c r="V179" s="743"/>
      <c r="W179" s="743"/>
      <c r="X179" s="743"/>
      <c r="Y179" s="743"/>
      <c r="Z179" s="743"/>
      <c r="AA179" s="743"/>
      <c r="AB179" s="743"/>
      <c r="AC179" s="781" t="str">
        <f t="shared" ca="1" si="25"/>
        <v/>
      </c>
      <c r="AD179" s="781"/>
      <c r="AE179" s="781"/>
      <c r="AF179" s="781"/>
      <c r="AG179" s="781"/>
      <c r="AH179" s="781"/>
      <c r="AI179" s="781"/>
      <c r="AJ179" s="742" t="str">
        <f t="shared" ca="1" si="26"/>
        <v/>
      </c>
      <c r="AK179" s="742"/>
      <c r="AL179" s="781" t="str">
        <f t="shared" ca="1" si="27"/>
        <v/>
      </c>
      <c r="AM179" s="781"/>
      <c r="AN179" s="781"/>
      <c r="AO179" s="781"/>
      <c r="AP179" s="781"/>
      <c r="AQ179" s="781"/>
      <c r="AR179" s="781"/>
      <c r="AS179" s="741" t="str">
        <f t="shared" ca="1" si="28"/>
        <v/>
      </c>
      <c r="AT179" s="741"/>
      <c r="AU179" s="741"/>
      <c r="AV179" s="741"/>
      <c r="AW179" s="741"/>
      <c r="AX179" s="741"/>
      <c r="AY179" s="741"/>
      <c r="AZ179" s="473" t="s">
        <v>1530</v>
      </c>
    </row>
    <row r="180" spans="1:52" ht="36.75" customHeight="1">
      <c r="B180" s="742">
        <f t="shared" si="29"/>
        <v>100</v>
      </c>
      <c r="C180" s="742"/>
      <c r="D180" s="743" t="str">
        <f t="shared" ca="1" si="24"/>
        <v/>
      </c>
      <c r="E180" s="743"/>
      <c r="F180" s="743"/>
      <c r="G180" s="743"/>
      <c r="H180" s="743"/>
      <c r="I180" s="743"/>
      <c r="J180" s="743"/>
      <c r="K180" s="743"/>
      <c r="L180" s="743"/>
      <c r="M180" s="743"/>
      <c r="N180" s="743"/>
      <c r="O180" s="743"/>
      <c r="P180" s="743"/>
      <c r="Q180" s="743"/>
      <c r="R180" s="743"/>
      <c r="S180" s="743"/>
      <c r="T180" s="743"/>
      <c r="U180" s="743"/>
      <c r="V180" s="743"/>
      <c r="W180" s="743"/>
      <c r="X180" s="743"/>
      <c r="Y180" s="743"/>
      <c r="Z180" s="743"/>
      <c r="AA180" s="743"/>
      <c r="AB180" s="743"/>
      <c r="AC180" s="781" t="str">
        <f t="shared" ca="1" si="25"/>
        <v/>
      </c>
      <c r="AD180" s="781"/>
      <c r="AE180" s="781"/>
      <c r="AF180" s="781"/>
      <c r="AG180" s="781"/>
      <c r="AH180" s="781"/>
      <c r="AI180" s="781"/>
      <c r="AJ180" s="742" t="str">
        <f t="shared" ca="1" si="26"/>
        <v/>
      </c>
      <c r="AK180" s="742"/>
      <c r="AL180" s="781" t="str">
        <f t="shared" ca="1" si="27"/>
        <v/>
      </c>
      <c r="AM180" s="781"/>
      <c r="AN180" s="781"/>
      <c r="AO180" s="781"/>
      <c r="AP180" s="781"/>
      <c r="AQ180" s="781"/>
      <c r="AR180" s="781"/>
      <c r="AS180" s="741" t="str">
        <f t="shared" ca="1" si="28"/>
        <v/>
      </c>
      <c r="AT180" s="741"/>
      <c r="AU180" s="741"/>
      <c r="AV180" s="741"/>
      <c r="AW180" s="741"/>
      <c r="AX180" s="741"/>
      <c r="AY180" s="741"/>
    </row>
    <row r="181" spans="1:52" ht="45" customHeight="1">
      <c r="B181" s="749" t="s">
        <v>1527</v>
      </c>
      <c r="C181" s="750"/>
      <c r="D181" s="750"/>
      <c r="E181" s="751" t="str">
        <f>IF(UNNH0030_REPORT_IF_H_EIGYO_MEI="","",UNNH0030_REPORT_IF_H_EIGYO_MEI)</f>
        <v/>
      </c>
      <c r="F181" s="751"/>
      <c r="G181" s="751"/>
      <c r="H181" s="751"/>
      <c r="I181" s="751"/>
      <c r="J181" s="751"/>
      <c r="K181" s="751"/>
      <c r="L181" s="751"/>
      <c r="M181" s="751"/>
      <c r="N181" s="751"/>
      <c r="O181" s="751"/>
      <c r="P181" s="751"/>
      <c r="Q181" s="751"/>
      <c r="R181" s="751"/>
      <c r="S181" s="751"/>
      <c r="T181" s="751"/>
      <c r="U181" s="751"/>
      <c r="V181" s="751"/>
      <c r="W181" s="751"/>
      <c r="X181" s="751"/>
      <c r="Y181" s="751"/>
      <c r="Z181" s="751"/>
      <c r="AA181" s="751"/>
      <c r="AB181" s="751"/>
      <c r="AC181" s="751"/>
      <c r="AD181" s="751"/>
      <c r="AE181" s="751"/>
      <c r="AF181" s="751"/>
      <c r="AG181" s="752"/>
      <c r="AH181" s="742" t="s">
        <v>1107</v>
      </c>
      <c r="AI181" s="742"/>
      <c r="AJ181" s="742"/>
      <c r="AK181" s="742"/>
      <c r="AL181" s="742"/>
      <c r="AM181" s="742"/>
      <c r="AN181" s="742"/>
      <c r="AO181" s="742"/>
      <c r="AP181" s="742"/>
      <c r="AQ181" s="782" t="str">
        <f>IF(ROUNDUP(ROW()/ROWS(UNNH0030_SEIKYUSHO_PAGE_AREA),0)=UNNH0030_REPORT_IF_B_PAGE_TOTAL,UNNH0030_REPORT_IF_H_TOTAL,"")</f>
        <v/>
      </c>
      <c r="AR181" s="783"/>
      <c r="AS181" s="783"/>
      <c r="AT181" s="783"/>
      <c r="AU181" s="783"/>
      <c r="AV181" s="783"/>
      <c r="AW181" s="783"/>
      <c r="AX181" s="783"/>
      <c r="AY181" s="784"/>
    </row>
    <row r="182" spans="1:52" ht="33.75" customHeight="1"/>
    <row r="183" spans="1:52" ht="38.25" customHeight="1">
      <c r="B183" s="756" t="s">
        <v>1528</v>
      </c>
      <c r="C183" s="757"/>
      <c r="D183" s="758"/>
      <c r="E183" s="738" t="str">
        <f>IF(UNNH0030_REPORT_IF_H_TEKIYO="","",UNNH0030_REPORT_IF_H_TEKIYO)</f>
        <v/>
      </c>
      <c r="F183" s="738"/>
      <c r="G183" s="738"/>
      <c r="H183" s="738"/>
      <c r="I183" s="738"/>
      <c r="J183" s="738"/>
      <c r="K183" s="738"/>
      <c r="L183" s="738"/>
      <c r="M183" s="738"/>
      <c r="N183" s="738"/>
      <c r="O183" s="738"/>
      <c r="P183" s="738"/>
      <c r="Q183" s="738"/>
      <c r="R183" s="738"/>
      <c r="S183" s="738"/>
      <c r="T183" s="738"/>
      <c r="U183" s="738"/>
      <c r="V183" s="738"/>
      <c r="W183" s="738"/>
      <c r="X183" s="738"/>
      <c r="Y183" s="738"/>
      <c r="Z183" s="738"/>
      <c r="AA183" s="738"/>
      <c r="AB183" s="738"/>
      <c r="AC183" s="738"/>
      <c r="AD183" s="738"/>
      <c r="AE183" s="738"/>
      <c r="AF183" s="738"/>
      <c r="AG183" s="738"/>
      <c r="AH183" s="738"/>
      <c r="AI183" s="738"/>
      <c r="AJ183" s="738"/>
      <c r="AK183" s="738"/>
      <c r="AL183" s="738"/>
      <c r="AM183" s="738"/>
      <c r="AN183" s="738"/>
      <c r="AO183" s="738"/>
      <c r="AP183" s="738"/>
      <c r="AQ183" s="738"/>
      <c r="AR183" s="738"/>
      <c r="AS183" s="738"/>
      <c r="AU183" s="739" t="str">
        <f>IF(UNNH0030_REPORT_IF_H_SEIKYUHOHO_KBN=0,"","締日 "&amp;UNNH0030_REPORT_IF_H_SHIMEBI)</f>
        <v/>
      </c>
      <c r="AV183" s="739"/>
      <c r="AW183" s="739"/>
      <c r="AX183" s="739"/>
      <c r="AY183" s="740" t="str">
        <f>UNNH0030_REPORT_IF_H_SHIMEBI_MARK</f>
        <v>*</v>
      </c>
    </row>
    <row r="184" spans="1:52" ht="38.25" customHeight="1">
      <c r="B184" s="759"/>
      <c r="C184" s="760"/>
      <c r="D184" s="761"/>
      <c r="E184" s="738"/>
      <c r="F184" s="738"/>
      <c r="G184" s="738"/>
      <c r="H184" s="738"/>
      <c r="I184" s="738"/>
      <c r="J184" s="738"/>
      <c r="K184" s="738"/>
      <c r="L184" s="738"/>
      <c r="M184" s="738"/>
      <c r="N184" s="738"/>
      <c r="O184" s="738"/>
      <c r="P184" s="738"/>
      <c r="Q184" s="738"/>
      <c r="R184" s="738"/>
      <c r="S184" s="738"/>
      <c r="T184" s="738"/>
      <c r="U184" s="738"/>
      <c r="V184" s="738"/>
      <c r="W184" s="738"/>
      <c r="X184" s="738"/>
      <c r="Y184" s="738"/>
      <c r="Z184" s="738"/>
      <c r="AA184" s="738"/>
      <c r="AB184" s="738"/>
      <c r="AC184" s="738"/>
      <c r="AD184" s="738"/>
      <c r="AE184" s="738"/>
      <c r="AF184" s="738"/>
      <c r="AG184" s="738"/>
      <c r="AH184" s="738"/>
      <c r="AI184" s="738"/>
      <c r="AJ184" s="738"/>
      <c r="AK184" s="738"/>
      <c r="AL184" s="738"/>
      <c r="AM184" s="738"/>
      <c r="AN184" s="738"/>
      <c r="AO184" s="738"/>
      <c r="AP184" s="738"/>
      <c r="AQ184" s="738"/>
      <c r="AR184" s="738"/>
      <c r="AS184" s="738"/>
      <c r="AU184" s="739"/>
      <c r="AV184" s="739"/>
      <c r="AW184" s="739"/>
      <c r="AX184" s="739"/>
      <c r="AY184" s="740"/>
    </row>
    <row r="185" spans="1:52" ht="30" customHeight="1">
      <c r="B185" s="777" t="str">
        <f>IF(UNNH0030_REPORT_IF_JURI_NO="","",UNNH0030_REPORT_IF_JURI_NO)</f>
        <v/>
      </c>
      <c r="C185" s="777"/>
      <c r="D185" s="777"/>
      <c r="E185" s="777"/>
      <c r="F185" s="777"/>
      <c r="G185" s="777"/>
      <c r="H185" s="777"/>
      <c r="I185" s="777"/>
      <c r="J185" s="777"/>
      <c r="K185" s="777"/>
      <c r="L185" s="777"/>
      <c r="M185" s="777"/>
      <c r="N185" s="777"/>
      <c r="O185" s="777"/>
      <c r="P185" s="777"/>
      <c r="Q185" s="777"/>
      <c r="R185" s="777"/>
      <c r="S185" s="777"/>
      <c r="T185" s="777"/>
      <c r="U185" s="777"/>
      <c r="V185" s="777"/>
      <c r="W185" s="777"/>
      <c r="X185" s="777"/>
      <c r="Y185" s="777"/>
      <c r="Z185" s="777"/>
      <c r="AA185" s="777"/>
      <c r="AB185" s="777"/>
      <c r="AC185" s="777"/>
      <c r="AD185" s="777"/>
      <c r="AE185" s="777"/>
      <c r="AF185" s="777"/>
      <c r="AG185" s="777"/>
      <c r="AH185" s="777"/>
      <c r="AI185" s="777"/>
      <c r="AJ185" s="777"/>
      <c r="AK185" s="777"/>
      <c r="AL185" s="777"/>
      <c r="AM185" s="777"/>
      <c r="AN185" s="777"/>
      <c r="AO185" s="777"/>
      <c r="AP185" s="777"/>
      <c r="AQ185" s="777"/>
      <c r="AR185" s="777"/>
      <c r="AS185" s="777"/>
      <c r="AT185" s="777"/>
      <c r="AU185" s="777"/>
      <c r="AV185" s="777"/>
      <c r="AW185" s="777"/>
      <c r="AX185" s="777"/>
      <c r="AY185" s="777"/>
    </row>
    <row r="186" spans="1:52" ht="33.75" customHeight="1"/>
    <row r="187" spans="1:52" ht="33.75" customHeight="1"/>
    <row r="188" spans="1:52" ht="33.75" customHeight="1"/>
    <row r="189" spans="1:52" ht="33.75" customHeight="1"/>
    <row r="190" spans="1:52" ht="33.75" customHeight="1"/>
    <row r="191" spans="1:52" ht="33.75" customHeight="1"/>
    <row r="192" spans="1:52" ht="33.75" customHeight="1"/>
    <row r="193" ht="33.75" customHeight="1"/>
    <row r="194" ht="45" customHeight="1"/>
    <row r="196" ht="16.5" customHeight="1"/>
    <row r="197" ht="19.5" customHeight="1"/>
    <row r="198" ht="22.5" customHeight="1"/>
    <row r="200" ht="16.5" customHeight="1"/>
    <row r="201" ht="18.75" customHeight="1"/>
    <row r="202" ht="24.75" customHeight="1"/>
    <row r="203" ht="24.75" customHeight="1"/>
    <row r="204" ht="11.25" customHeight="1"/>
    <row r="205" ht="26.25" customHeight="1"/>
    <row r="206" ht="25.5" customHeight="1"/>
    <row r="207" ht="30" customHeight="1"/>
    <row r="210" ht="33.75" customHeight="1"/>
    <row r="211" ht="33.75" customHeight="1"/>
    <row r="212" ht="33.75" customHeight="1"/>
    <row r="213" ht="33.75" customHeight="1"/>
    <row r="214" ht="33.75" customHeight="1"/>
    <row r="215" ht="33.75" customHeight="1"/>
    <row r="216" ht="33.75" customHeight="1"/>
    <row r="217" ht="33.75" customHeight="1"/>
    <row r="218" ht="33.75" customHeight="1"/>
    <row r="219" ht="33.75" customHeight="1"/>
    <row r="220" ht="33.75" customHeight="1"/>
    <row r="221" ht="33.75" customHeight="1"/>
    <row r="222" ht="33.75" customHeight="1"/>
    <row r="223" ht="33.75" customHeight="1"/>
    <row r="224" ht="33.75" customHeight="1"/>
    <row r="225" ht="33.75" customHeight="1"/>
    <row r="226" ht="33.75" customHeight="1"/>
    <row r="227" ht="33.75" customHeight="1"/>
    <row r="228" ht="33.75" customHeight="1"/>
    <row r="229" ht="33.75" customHeight="1"/>
    <row r="230" ht="33.75" customHeight="1"/>
    <row r="231" ht="33.75" customHeight="1"/>
    <row r="232" ht="33.75" customHeight="1"/>
    <row r="233" ht="33.75" customHeight="1"/>
    <row r="234" ht="33.75" customHeight="1"/>
    <row r="235" ht="33.75" customHeight="1"/>
    <row r="236" ht="45" customHeight="1"/>
    <row r="238" ht="16.5" customHeight="1"/>
    <row r="239" ht="19.5" customHeight="1"/>
    <row r="240" ht="22.5" customHeight="1"/>
  </sheetData>
  <mergeCells count="725">
    <mergeCell ref="F45:X45"/>
    <mergeCell ref="B183:D184"/>
    <mergeCell ref="B178:C178"/>
    <mergeCell ref="D178:AB178"/>
    <mergeCell ref="AC178:AI178"/>
    <mergeCell ref="AJ178:AK178"/>
    <mergeCell ref="AL178:AR178"/>
    <mergeCell ref="AS178:AY178"/>
    <mergeCell ref="B179:C179"/>
    <mergeCell ref="D179:AB179"/>
    <mergeCell ref="AC179:AI179"/>
    <mergeCell ref="AJ179:AK179"/>
    <mergeCell ref="AL179:AR179"/>
    <mergeCell ref="AS179:AY179"/>
    <mergeCell ref="B176:C176"/>
    <mergeCell ref="D176:AB176"/>
    <mergeCell ref="AC176:AI176"/>
    <mergeCell ref="AJ176:AK176"/>
    <mergeCell ref="AL176:AR176"/>
    <mergeCell ref="AS176:AY176"/>
    <mergeCell ref="B177:C177"/>
    <mergeCell ref="D177:AB177"/>
    <mergeCell ref="AC177:AI177"/>
    <mergeCell ref="AJ177:AK177"/>
    <mergeCell ref="B185:AY185"/>
    <mergeCell ref="B180:C180"/>
    <mergeCell ref="D180:AB180"/>
    <mergeCell ref="AC180:AI180"/>
    <mergeCell ref="AJ180:AK180"/>
    <mergeCell ref="AL180:AR180"/>
    <mergeCell ref="AS180:AY180"/>
    <mergeCell ref="B181:D181"/>
    <mergeCell ref="E181:AG181"/>
    <mergeCell ref="AH181:AP181"/>
    <mergeCell ref="AQ181:AY181"/>
    <mergeCell ref="E183:AS184"/>
    <mergeCell ref="AU183:AX184"/>
    <mergeCell ref="AY183:AY184"/>
    <mergeCell ref="AL177:AR177"/>
    <mergeCell ref="AS177:AY177"/>
    <mergeCell ref="B174:C174"/>
    <mergeCell ref="D174:AB174"/>
    <mergeCell ref="AC174:AI174"/>
    <mergeCell ref="AJ174:AK174"/>
    <mergeCell ref="AL174:AR174"/>
    <mergeCell ref="AS174:AY174"/>
    <mergeCell ref="B175:C175"/>
    <mergeCell ref="D175:AB175"/>
    <mergeCell ref="AC175:AI175"/>
    <mergeCell ref="AJ175:AK175"/>
    <mergeCell ref="AL175:AR175"/>
    <mergeCell ref="AS175:AY175"/>
    <mergeCell ref="B172:C172"/>
    <mergeCell ref="D172:AB172"/>
    <mergeCell ref="AC172:AI172"/>
    <mergeCell ref="AJ172:AK172"/>
    <mergeCell ref="AL172:AR172"/>
    <mergeCell ref="AS172:AY172"/>
    <mergeCell ref="B173:C173"/>
    <mergeCell ref="D173:AB173"/>
    <mergeCell ref="AC173:AI173"/>
    <mergeCell ref="AJ173:AK173"/>
    <mergeCell ref="AL173:AR173"/>
    <mergeCell ref="AS173:AY173"/>
    <mergeCell ref="B170:C170"/>
    <mergeCell ref="D170:AB170"/>
    <mergeCell ref="AC170:AI170"/>
    <mergeCell ref="AJ170:AK170"/>
    <mergeCell ref="AL170:AR170"/>
    <mergeCell ref="AS170:AY170"/>
    <mergeCell ref="B171:C171"/>
    <mergeCell ref="D171:AB171"/>
    <mergeCell ref="AC171:AI171"/>
    <mergeCell ref="AJ171:AK171"/>
    <mergeCell ref="AL171:AR171"/>
    <mergeCell ref="AS171:AY171"/>
    <mergeCell ref="B168:C168"/>
    <mergeCell ref="D168:AB168"/>
    <mergeCell ref="AC168:AI168"/>
    <mergeCell ref="AJ168:AK168"/>
    <mergeCell ref="AL168:AR168"/>
    <mergeCell ref="AS168:AY168"/>
    <mergeCell ref="B169:C169"/>
    <mergeCell ref="D169:AB169"/>
    <mergeCell ref="AC169:AI169"/>
    <mergeCell ref="AJ169:AK169"/>
    <mergeCell ref="AL169:AR169"/>
    <mergeCell ref="AS169:AY169"/>
    <mergeCell ref="B166:C166"/>
    <mergeCell ref="D166:AB166"/>
    <mergeCell ref="AC166:AI166"/>
    <mergeCell ref="AJ166:AK166"/>
    <mergeCell ref="AL166:AR166"/>
    <mergeCell ref="AS166:AY166"/>
    <mergeCell ref="B167:C167"/>
    <mergeCell ref="D167:AB167"/>
    <mergeCell ref="AC167:AI167"/>
    <mergeCell ref="AJ167:AK167"/>
    <mergeCell ref="AL167:AR167"/>
    <mergeCell ref="AS167:AY167"/>
    <mergeCell ref="B137:C137"/>
    <mergeCell ref="D137:AB137"/>
    <mergeCell ref="AC137:AI137"/>
    <mergeCell ref="AJ137:AK137"/>
    <mergeCell ref="AL137:AR137"/>
    <mergeCell ref="AS137:AY137"/>
    <mergeCell ref="B165:C165"/>
    <mergeCell ref="D165:AB165"/>
    <mergeCell ref="AC165:AI165"/>
    <mergeCell ref="AJ165:AK165"/>
    <mergeCell ref="AL165:AR165"/>
    <mergeCell ref="AS165:AY165"/>
    <mergeCell ref="AL139:AR139"/>
    <mergeCell ref="AS139:AY139"/>
    <mergeCell ref="AJ140:AK140"/>
    <mergeCell ref="AL140:AR140"/>
    <mergeCell ref="AS140:AY140"/>
    <mergeCell ref="AJ143:AK143"/>
    <mergeCell ref="AL143:AR143"/>
    <mergeCell ref="AS143:AY143"/>
    <mergeCell ref="B140:C140"/>
    <mergeCell ref="D141:AB141"/>
    <mergeCell ref="D140:AB140"/>
    <mergeCell ref="AC140:AI140"/>
    <mergeCell ref="B135:C135"/>
    <mergeCell ref="D135:AB135"/>
    <mergeCell ref="AC135:AI135"/>
    <mergeCell ref="AJ135:AK135"/>
    <mergeCell ref="AL135:AR135"/>
    <mergeCell ref="AS135:AY135"/>
    <mergeCell ref="B136:C136"/>
    <mergeCell ref="D136:AB136"/>
    <mergeCell ref="AC136:AI136"/>
    <mergeCell ref="AJ136:AK136"/>
    <mergeCell ref="AL136:AR136"/>
    <mergeCell ref="AS136:AY136"/>
    <mergeCell ref="B133:C133"/>
    <mergeCell ref="D133:AB133"/>
    <mergeCell ref="AC133:AI133"/>
    <mergeCell ref="AJ133:AK133"/>
    <mergeCell ref="AL133:AR133"/>
    <mergeCell ref="AS133:AY133"/>
    <mergeCell ref="B134:C134"/>
    <mergeCell ref="D134:AB134"/>
    <mergeCell ref="AC134:AI134"/>
    <mergeCell ref="AJ134:AK134"/>
    <mergeCell ref="AL134:AR134"/>
    <mergeCell ref="AS134:AY134"/>
    <mergeCell ref="B131:C131"/>
    <mergeCell ref="D131:AB131"/>
    <mergeCell ref="AC131:AI131"/>
    <mergeCell ref="AJ131:AK131"/>
    <mergeCell ref="AL131:AR131"/>
    <mergeCell ref="AS131:AY131"/>
    <mergeCell ref="B132:C132"/>
    <mergeCell ref="D132:AB132"/>
    <mergeCell ref="AC132:AI132"/>
    <mergeCell ref="AJ132:AK132"/>
    <mergeCell ref="AL132:AR132"/>
    <mergeCell ref="AS132:AY132"/>
    <mergeCell ref="B129:C129"/>
    <mergeCell ref="D129:AB129"/>
    <mergeCell ref="AC129:AI129"/>
    <mergeCell ref="AJ129:AK129"/>
    <mergeCell ref="AL129:AR129"/>
    <mergeCell ref="AS129:AY129"/>
    <mergeCell ref="B130:C130"/>
    <mergeCell ref="D130:AB130"/>
    <mergeCell ref="AC130:AI130"/>
    <mergeCell ref="AJ130:AK130"/>
    <mergeCell ref="AL130:AR130"/>
    <mergeCell ref="AS130:AY130"/>
    <mergeCell ref="B127:C127"/>
    <mergeCell ref="D127:AB127"/>
    <mergeCell ref="AC127:AI127"/>
    <mergeCell ref="AJ127:AK127"/>
    <mergeCell ref="AL127:AR127"/>
    <mergeCell ref="AS127:AY127"/>
    <mergeCell ref="B128:C128"/>
    <mergeCell ref="D128:AB128"/>
    <mergeCell ref="AC128:AI128"/>
    <mergeCell ref="AJ128:AK128"/>
    <mergeCell ref="AL128:AR128"/>
    <mergeCell ref="AS128:AY128"/>
    <mergeCell ref="F118:X118"/>
    <mergeCell ref="F119:X119"/>
    <mergeCell ref="B123:C123"/>
    <mergeCell ref="D123:AB123"/>
    <mergeCell ref="AC123:AI123"/>
    <mergeCell ref="AJ123:AK123"/>
    <mergeCell ref="AL123:AR123"/>
    <mergeCell ref="AS123:AY123"/>
    <mergeCell ref="B126:C126"/>
    <mergeCell ref="D126:AB126"/>
    <mergeCell ref="AC126:AI126"/>
    <mergeCell ref="AJ126:AK126"/>
    <mergeCell ref="AL126:AR126"/>
    <mergeCell ref="AS126:AY126"/>
    <mergeCell ref="B124:C124"/>
    <mergeCell ref="D124:AB124"/>
    <mergeCell ref="AC124:AI124"/>
    <mergeCell ref="AJ124:AK124"/>
    <mergeCell ref="AL124:AR124"/>
    <mergeCell ref="AS124:AY124"/>
    <mergeCell ref="B125:C125"/>
    <mergeCell ref="D125:AB125"/>
    <mergeCell ref="AC125:AI125"/>
    <mergeCell ref="AJ125:AK125"/>
    <mergeCell ref="B107:D107"/>
    <mergeCell ref="E107:AG107"/>
    <mergeCell ref="AH107:AP107"/>
    <mergeCell ref="AQ107:AY107"/>
    <mergeCell ref="B109:D110"/>
    <mergeCell ref="E109:AS110"/>
    <mergeCell ref="AU109:AX110"/>
    <mergeCell ref="AY109:AY110"/>
    <mergeCell ref="F117:X117"/>
    <mergeCell ref="B94:C94"/>
    <mergeCell ref="D94:AB94"/>
    <mergeCell ref="AC94:AI94"/>
    <mergeCell ref="AJ94:AK94"/>
    <mergeCell ref="AL94:AR94"/>
    <mergeCell ref="AS94:AY94"/>
    <mergeCell ref="B95:C95"/>
    <mergeCell ref="D95:AB95"/>
    <mergeCell ref="AC95:AI95"/>
    <mergeCell ref="AJ95:AK95"/>
    <mergeCell ref="AL95:AR95"/>
    <mergeCell ref="AS95:AY95"/>
    <mergeCell ref="B92:C92"/>
    <mergeCell ref="D92:AB92"/>
    <mergeCell ref="AC92:AI92"/>
    <mergeCell ref="AJ92:AK92"/>
    <mergeCell ref="AL92:AR92"/>
    <mergeCell ref="AS92:AY92"/>
    <mergeCell ref="B93:C93"/>
    <mergeCell ref="D93:AB93"/>
    <mergeCell ref="AC93:AI93"/>
    <mergeCell ref="AJ93:AK93"/>
    <mergeCell ref="AL93:AR93"/>
    <mergeCell ref="AS93:AY93"/>
    <mergeCell ref="B90:C90"/>
    <mergeCell ref="D90:AB90"/>
    <mergeCell ref="AC90:AI90"/>
    <mergeCell ref="AJ90:AK90"/>
    <mergeCell ref="AL90:AR90"/>
    <mergeCell ref="AS90:AY90"/>
    <mergeCell ref="B91:C91"/>
    <mergeCell ref="D91:AB91"/>
    <mergeCell ref="AC91:AI91"/>
    <mergeCell ref="AJ91:AK91"/>
    <mergeCell ref="AL91:AR91"/>
    <mergeCell ref="AS91:AY91"/>
    <mergeCell ref="D86:AB86"/>
    <mergeCell ref="AC86:AI86"/>
    <mergeCell ref="AJ86:AK86"/>
    <mergeCell ref="AL86:AR86"/>
    <mergeCell ref="AS86:AY86"/>
    <mergeCell ref="B87:C87"/>
    <mergeCell ref="D87:AB87"/>
    <mergeCell ref="AC87:AI87"/>
    <mergeCell ref="AJ87:AK87"/>
    <mergeCell ref="AL87:AR87"/>
    <mergeCell ref="AS87:AY87"/>
    <mergeCell ref="F41:X41"/>
    <mergeCell ref="F43:X43"/>
    <mergeCell ref="B33:D33"/>
    <mergeCell ref="E33:AG33"/>
    <mergeCell ref="AH33:AP33"/>
    <mergeCell ref="AQ33:AY33"/>
    <mergeCell ref="B35:D36"/>
    <mergeCell ref="E35:AS36"/>
    <mergeCell ref="AU35:AX36"/>
    <mergeCell ref="AY35:AY36"/>
    <mergeCell ref="AP3:AY3"/>
    <mergeCell ref="D142:AB142"/>
    <mergeCell ref="AC142:AI142"/>
    <mergeCell ref="AJ142:AK142"/>
    <mergeCell ref="AL142:AR142"/>
    <mergeCell ref="AS142:AY142"/>
    <mergeCell ref="AJ141:AK141"/>
    <mergeCell ref="AL141:AR141"/>
    <mergeCell ref="AS141:AY141"/>
    <mergeCell ref="AJ139:AK139"/>
    <mergeCell ref="AC138:AI138"/>
    <mergeCell ref="AJ138:AK138"/>
    <mergeCell ref="AL138:AR138"/>
    <mergeCell ref="AS138:AY138"/>
    <mergeCell ref="D139:AB139"/>
    <mergeCell ref="AJ65:AK65"/>
    <mergeCell ref="AL65:AR65"/>
    <mergeCell ref="AS65:AY65"/>
    <mergeCell ref="AC56:AI56"/>
    <mergeCell ref="AJ56:AK56"/>
    <mergeCell ref="AL56:AR56"/>
    <mergeCell ref="B37:AY37"/>
    <mergeCell ref="AA38:AL39"/>
    <mergeCell ref="AP38:AY39"/>
    <mergeCell ref="AJ63:AK63"/>
    <mergeCell ref="AL63:AR63"/>
    <mergeCell ref="AS63:AY63"/>
    <mergeCell ref="AL15:AR15"/>
    <mergeCell ref="AS15:AY15"/>
    <mergeCell ref="D16:AB16"/>
    <mergeCell ref="AC16:AI16"/>
    <mergeCell ref="AJ16:AK16"/>
    <mergeCell ref="AL16:AR16"/>
    <mergeCell ref="AS16:AY16"/>
    <mergeCell ref="AJ62:AK62"/>
    <mergeCell ref="AL62:AR62"/>
    <mergeCell ref="AS62:AY62"/>
    <mergeCell ref="AL17:AR17"/>
    <mergeCell ref="AS17:AY17"/>
    <mergeCell ref="D18:AB18"/>
    <mergeCell ref="D17:AB17"/>
    <mergeCell ref="AJ58:AK58"/>
    <mergeCell ref="AL58:AR58"/>
    <mergeCell ref="F44:X44"/>
    <mergeCell ref="F39:G39"/>
    <mergeCell ref="H39:X39"/>
    <mergeCell ref="F40:X40"/>
    <mergeCell ref="AP40:AY40"/>
    <mergeCell ref="AL66:AR66"/>
    <mergeCell ref="AS66:AY66"/>
    <mergeCell ref="AC139:AI139"/>
    <mergeCell ref="AS125:AY125"/>
    <mergeCell ref="B74:AY74"/>
    <mergeCell ref="AA75:AL76"/>
    <mergeCell ref="AP75:AY76"/>
    <mergeCell ref="F76:G76"/>
    <mergeCell ref="H76:X76"/>
    <mergeCell ref="AL67:AR67"/>
    <mergeCell ref="AS67:AY67"/>
    <mergeCell ref="AS68:AY68"/>
    <mergeCell ref="AL68:AR68"/>
    <mergeCell ref="B69:C69"/>
    <mergeCell ref="D69:AB69"/>
    <mergeCell ref="F113:G113"/>
    <mergeCell ref="H113:X113"/>
    <mergeCell ref="F114:X114"/>
    <mergeCell ref="AP114:AY114"/>
    <mergeCell ref="F115:X115"/>
    <mergeCell ref="B139:C139"/>
    <mergeCell ref="B138:C138"/>
    <mergeCell ref="D138:AB138"/>
    <mergeCell ref="B86:C86"/>
    <mergeCell ref="AS58:AY58"/>
    <mergeCell ref="D56:AB56"/>
    <mergeCell ref="AJ57:AK57"/>
    <mergeCell ref="AL57:AR57"/>
    <mergeCell ref="AS57:AY57"/>
    <mergeCell ref="AJ60:AK60"/>
    <mergeCell ref="AL60:AR60"/>
    <mergeCell ref="AS60:AY60"/>
    <mergeCell ref="AJ61:AK61"/>
    <mergeCell ref="AL61:AR61"/>
    <mergeCell ref="AS61:AY61"/>
    <mergeCell ref="AJ59:AK59"/>
    <mergeCell ref="AL59:AR59"/>
    <mergeCell ref="AS56:AY56"/>
    <mergeCell ref="D57:AB57"/>
    <mergeCell ref="AL22:AR22"/>
    <mergeCell ref="AS22:AY22"/>
    <mergeCell ref="B22:C22"/>
    <mergeCell ref="B21:C21"/>
    <mergeCell ref="D21:AB21"/>
    <mergeCell ref="AC21:AI21"/>
    <mergeCell ref="AJ21:AK21"/>
    <mergeCell ref="AH144:AP144"/>
    <mergeCell ref="AQ144:AY144"/>
    <mergeCell ref="B56:C56"/>
    <mergeCell ref="AS59:AY59"/>
    <mergeCell ref="D60:AB60"/>
    <mergeCell ref="AC60:AI60"/>
    <mergeCell ref="B63:C63"/>
    <mergeCell ref="B62:C62"/>
    <mergeCell ref="B61:C61"/>
    <mergeCell ref="B60:C60"/>
    <mergeCell ref="B64:C64"/>
    <mergeCell ref="AJ64:AK64"/>
    <mergeCell ref="AL64:AR64"/>
    <mergeCell ref="AS64:AY64"/>
    <mergeCell ref="B111:AY111"/>
    <mergeCell ref="AA112:AL113"/>
    <mergeCell ref="AP112:AY113"/>
    <mergeCell ref="B23:C23"/>
    <mergeCell ref="D23:AB23"/>
    <mergeCell ref="AC23:AI23"/>
    <mergeCell ref="AJ23:AK23"/>
    <mergeCell ref="AL18:AR18"/>
    <mergeCell ref="AS18:AY18"/>
    <mergeCell ref="D19:AB19"/>
    <mergeCell ref="AC19:AI19"/>
    <mergeCell ref="AJ19:AK19"/>
    <mergeCell ref="AL19:AR19"/>
    <mergeCell ref="AS19:AY19"/>
    <mergeCell ref="D20:AB20"/>
    <mergeCell ref="AC20:AI20"/>
    <mergeCell ref="AJ20:AK20"/>
    <mergeCell ref="AL20:AR20"/>
    <mergeCell ref="AS20:AY20"/>
    <mergeCell ref="B20:C20"/>
    <mergeCell ref="B19:C19"/>
    <mergeCell ref="B18:C18"/>
    <mergeCell ref="AL21:AR21"/>
    <mergeCell ref="AS21:AY21"/>
    <mergeCell ref="D22:AB22"/>
    <mergeCell ref="AC22:AI22"/>
    <mergeCell ref="AJ22:AK22"/>
    <mergeCell ref="AC141:AI141"/>
    <mergeCell ref="D143:AB143"/>
    <mergeCell ref="AC143:AI143"/>
    <mergeCell ref="B143:C143"/>
    <mergeCell ref="B142:C142"/>
    <mergeCell ref="B141:C141"/>
    <mergeCell ref="F151:X151"/>
    <mergeCell ref="AP151:AY151"/>
    <mergeCell ref="F152:X152"/>
    <mergeCell ref="B144:D144"/>
    <mergeCell ref="E144:AG144"/>
    <mergeCell ref="B146:D147"/>
    <mergeCell ref="B148:AY148"/>
    <mergeCell ref="AA149:AL150"/>
    <mergeCell ref="AP149:AY150"/>
    <mergeCell ref="F150:G150"/>
    <mergeCell ref="H150:X150"/>
    <mergeCell ref="E146:AS147"/>
    <mergeCell ref="AU146:AX147"/>
    <mergeCell ref="AY146:AY147"/>
    <mergeCell ref="F154:X154"/>
    <mergeCell ref="B160:C160"/>
    <mergeCell ref="D162:AB162"/>
    <mergeCell ref="AC162:AI162"/>
    <mergeCell ref="B161:C161"/>
    <mergeCell ref="D161:AB161"/>
    <mergeCell ref="F155:X155"/>
    <mergeCell ref="F156:X156"/>
    <mergeCell ref="D160:AB160"/>
    <mergeCell ref="AC160:AI160"/>
    <mergeCell ref="B68:C68"/>
    <mergeCell ref="D68:AB68"/>
    <mergeCell ref="AC68:AI68"/>
    <mergeCell ref="AJ68:AK68"/>
    <mergeCell ref="B66:C66"/>
    <mergeCell ref="D66:AB66"/>
    <mergeCell ref="AC66:AI66"/>
    <mergeCell ref="AJ66:AK66"/>
    <mergeCell ref="B67:C67"/>
    <mergeCell ref="D67:AB67"/>
    <mergeCell ref="AC67:AI67"/>
    <mergeCell ref="AJ67:AK67"/>
    <mergeCell ref="B65:C65"/>
    <mergeCell ref="B59:C59"/>
    <mergeCell ref="B58:C58"/>
    <mergeCell ref="B57:C57"/>
    <mergeCell ref="D59:AB59"/>
    <mergeCell ref="AC59:AI59"/>
    <mergeCell ref="D58:AB58"/>
    <mergeCell ref="AC58:AI58"/>
    <mergeCell ref="D62:AB62"/>
    <mergeCell ref="AC62:AI62"/>
    <mergeCell ref="AC57:AI57"/>
    <mergeCell ref="D61:AB61"/>
    <mergeCell ref="AC61:AI61"/>
    <mergeCell ref="D64:AB64"/>
    <mergeCell ref="D65:AB65"/>
    <mergeCell ref="D63:AB63"/>
    <mergeCell ref="AC63:AI63"/>
    <mergeCell ref="AC64:AI64"/>
    <mergeCell ref="AC65:AI65"/>
    <mergeCell ref="B55:C55"/>
    <mergeCell ref="B54:C54"/>
    <mergeCell ref="D54:AB54"/>
    <mergeCell ref="AC54:AI54"/>
    <mergeCell ref="D49:AB49"/>
    <mergeCell ref="AC49:AI49"/>
    <mergeCell ref="B50:C50"/>
    <mergeCell ref="D50:AB50"/>
    <mergeCell ref="AC50:AI50"/>
    <mergeCell ref="B51:C51"/>
    <mergeCell ref="D51:AB51"/>
    <mergeCell ref="AC51:AI51"/>
    <mergeCell ref="B49:C49"/>
    <mergeCell ref="B52:C52"/>
    <mergeCell ref="D52:AB52"/>
    <mergeCell ref="AC52:AI52"/>
    <mergeCell ref="B53:C53"/>
    <mergeCell ref="D53:AB53"/>
    <mergeCell ref="AC53:AI53"/>
    <mergeCell ref="AJ54:AK54"/>
    <mergeCell ref="AL54:AR54"/>
    <mergeCell ref="D55:AB55"/>
    <mergeCell ref="AC55:AI55"/>
    <mergeCell ref="AJ55:AK55"/>
    <mergeCell ref="AL55:AR55"/>
    <mergeCell ref="AS54:AY54"/>
    <mergeCell ref="AS55:AY55"/>
    <mergeCell ref="AJ49:AK49"/>
    <mergeCell ref="AL49:AR49"/>
    <mergeCell ref="AS49:AY49"/>
    <mergeCell ref="AJ50:AK50"/>
    <mergeCell ref="AL50:AR50"/>
    <mergeCell ref="AS50:AY50"/>
    <mergeCell ref="AJ51:AK51"/>
    <mergeCell ref="AL51:AR51"/>
    <mergeCell ref="AS51:AY51"/>
    <mergeCell ref="AJ52:AK52"/>
    <mergeCell ref="AL52:AR52"/>
    <mergeCell ref="AS52:AY52"/>
    <mergeCell ref="AJ53:AK53"/>
    <mergeCell ref="AL53:AR53"/>
    <mergeCell ref="AS53:AY53"/>
    <mergeCell ref="F8:X8"/>
    <mergeCell ref="B17:C17"/>
    <mergeCell ref="B15:C15"/>
    <mergeCell ref="B16:C16"/>
    <mergeCell ref="AJ13:AK13"/>
    <mergeCell ref="B12:C12"/>
    <mergeCell ref="AC18:AI18"/>
    <mergeCell ref="AJ18:AK18"/>
    <mergeCell ref="AC17:AI17"/>
    <mergeCell ref="AJ17:AK17"/>
    <mergeCell ref="AC13:AI13"/>
    <mergeCell ref="D13:AB13"/>
    <mergeCell ref="D12:AB12"/>
    <mergeCell ref="AC12:AI12"/>
    <mergeCell ref="D14:AB14"/>
    <mergeCell ref="D15:AB15"/>
    <mergeCell ref="AC15:AI15"/>
    <mergeCell ref="AJ15:AK15"/>
    <mergeCell ref="B14:C14"/>
    <mergeCell ref="B13:C13"/>
    <mergeCell ref="AJ12:AK12"/>
    <mergeCell ref="AA1:AL2"/>
    <mergeCell ref="AP1:AY2"/>
    <mergeCell ref="F2:G2"/>
    <mergeCell ref="H2:X2"/>
    <mergeCell ref="AL23:AR23"/>
    <mergeCell ref="AS23:AY23"/>
    <mergeCell ref="B24:C24"/>
    <mergeCell ref="D24:AB24"/>
    <mergeCell ref="AC24:AI24"/>
    <mergeCell ref="AJ24:AK24"/>
    <mergeCell ref="AL24:AR24"/>
    <mergeCell ref="AS24:AY24"/>
    <mergeCell ref="AS12:AY12"/>
    <mergeCell ref="AS13:AY13"/>
    <mergeCell ref="AL13:AR13"/>
    <mergeCell ref="AL12:AR12"/>
    <mergeCell ref="AC14:AI14"/>
    <mergeCell ref="AJ14:AK14"/>
    <mergeCell ref="AL14:AR14"/>
    <mergeCell ref="AS14:AY14"/>
    <mergeCell ref="F3:X3"/>
    <mergeCell ref="F4:X4"/>
    <mergeCell ref="F6:X6"/>
    <mergeCell ref="F7:X7"/>
    <mergeCell ref="B25:C25"/>
    <mergeCell ref="D25:AB25"/>
    <mergeCell ref="AC25:AI25"/>
    <mergeCell ref="AJ25:AK25"/>
    <mergeCell ref="AL25:AR25"/>
    <mergeCell ref="AS25:AY25"/>
    <mergeCell ref="B26:C26"/>
    <mergeCell ref="D26:AB26"/>
    <mergeCell ref="AC26:AI26"/>
    <mergeCell ref="AJ26:AK26"/>
    <mergeCell ref="AL26:AR26"/>
    <mergeCell ref="AS26:AY26"/>
    <mergeCell ref="B27:C27"/>
    <mergeCell ref="D27:AB27"/>
    <mergeCell ref="AC27:AI27"/>
    <mergeCell ref="AJ27:AK27"/>
    <mergeCell ref="AL27:AR27"/>
    <mergeCell ref="AS27:AY27"/>
    <mergeCell ref="B28:C28"/>
    <mergeCell ref="D28:AB28"/>
    <mergeCell ref="AC28:AI28"/>
    <mergeCell ref="AJ28:AK28"/>
    <mergeCell ref="AL28:AR28"/>
    <mergeCell ref="AS28:AY28"/>
    <mergeCell ref="B29:C29"/>
    <mergeCell ref="D29:AB29"/>
    <mergeCell ref="AC29:AI29"/>
    <mergeCell ref="AJ29:AK29"/>
    <mergeCell ref="AL29:AR29"/>
    <mergeCell ref="AS29:AY29"/>
    <mergeCell ref="B30:C30"/>
    <mergeCell ref="D30:AB30"/>
    <mergeCell ref="AC30:AI30"/>
    <mergeCell ref="AJ30:AK30"/>
    <mergeCell ref="AL30:AR30"/>
    <mergeCell ref="AS30:AY30"/>
    <mergeCell ref="B31:C31"/>
    <mergeCell ref="D31:AB31"/>
    <mergeCell ref="AC31:AI31"/>
    <mergeCell ref="AJ31:AK31"/>
    <mergeCell ref="AL31:AR31"/>
    <mergeCell ref="AS31:AY31"/>
    <mergeCell ref="B32:C32"/>
    <mergeCell ref="D32:AB32"/>
    <mergeCell ref="AC32:AI32"/>
    <mergeCell ref="AJ32:AK32"/>
    <mergeCell ref="AL32:AR32"/>
    <mergeCell ref="AS32:AY32"/>
    <mergeCell ref="AC69:AI69"/>
    <mergeCell ref="AJ69:AK69"/>
    <mergeCell ref="AL69:AR69"/>
    <mergeCell ref="AS69:AY69"/>
    <mergeCell ref="AQ70:AY70"/>
    <mergeCell ref="B72:D73"/>
    <mergeCell ref="B70:D70"/>
    <mergeCell ref="E70:AG70"/>
    <mergeCell ref="AH70:AP70"/>
    <mergeCell ref="E72:AS73"/>
    <mergeCell ref="AU72:AX73"/>
    <mergeCell ref="AY72:AY73"/>
    <mergeCell ref="F77:X77"/>
    <mergeCell ref="AP77:AY77"/>
    <mergeCell ref="F78:X78"/>
    <mergeCell ref="F80:X80"/>
    <mergeCell ref="B96:C96"/>
    <mergeCell ref="D96:AB96"/>
    <mergeCell ref="AC96:AI96"/>
    <mergeCell ref="AJ96:AK96"/>
    <mergeCell ref="AL96:AR96"/>
    <mergeCell ref="AS96:AY96"/>
    <mergeCell ref="B88:C88"/>
    <mergeCell ref="D88:AB88"/>
    <mergeCell ref="AC88:AI88"/>
    <mergeCell ref="AJ88:AK88"/>
    <mergeCell ref="AL88:AR88"/>
    <mergeCell ref="AS88:AY88"/>
    <mergeCell ref="B89:C89"/>
    <mergeCell ref="D89:AB89"/>
    <mergeCell ref="AC89:AI89"/>
    <mergeCell ref="AJ89:AK89"/>
    <mergeCell ref="AL89:AR89"/>
    <mergeCell ref="AS89:AY89"/>
    <mergeCell ref="F81:X81"/>
    <mergeCell ref="F82:X82"/>
    <mergeCell ref="B97:C97"/>
    <mergeCell ref="D97:AB97"/>
    <mergeCell ref="AC97:AI97"/>
    <mergeCell ref="AJ97:AK97"/>
    <mergeCell ref="AL97:AR97"/>
    <mergeCell ref="AS97:AY97"/>
    <mergeCell ref="B98:C98"/>
    <mergeCell ref="D98:AB98"/>
    <mergeCell ref="AC98:AI98"/>
    <mergeCell ref="AJ98:AK98"/>
    <mergeCell ref="AL98:AR98"/>
    <mergeCell ref="AS98:AY98"/>
    <mergeCell ref="AJ99:AK99"/>
    <mergeCell ref="AL99:AR99"/>
    <mergeCell ref="AS99:AY99"/>
    <mergeCell ref="B100:C100"/>
    <mergeCell ref="D100:AB100"/>
    <mergeCell ref="AC100:AI100"/>
    <mergeCell ref="AJ100:AK100"/>
    <mergeCell ref="AL100:AR100"/>
    <mergeCell ref="AS100:AY100"/>
    <mergeCell ref="B99:C99"/>
    <mergeCell ref="D99:AB99"/>
    <mergeCell ref="AC99:AI99"/>
    <mergeCell ref="B101:C101"/>
    <mergeCell ref="D101:AB101"/>
    <mergeCell ref="AC101:AI101"/>
    <mergeCell ref="AJ101:AK101"/>
    <mergeCell ref="AL101:AR101"/>
    <mergeCell ref="AS101:AY101"/>
    <mergeCell ref="B102:C102"/>
    <mergeCell ref="D102:AB102"/>
    <mergeCell ref="AC102:AI102"/>
    <mergeCell ref="AJ102:AK102"/>
    <mergeCell ref="AL102:AR102"/>
    <mergeCell ref="AS102:AY102"/>
    <mergeCell ref="B103:C103"/>
    <mergeCell ref="D103:AB103"/>
    <mergeCell ref="AC103:AI103"/>
    <mergeCell ref="AJ103:AK103"/>
    <mergeCell ref="AL103:AR103"/>
    <mergeCell ref="AS103:AY103"/>
    <mergeCell ref="B104:C104"/>
    <mergeCell ref="D104:AB104"/>
    <mergeCell ref="AC104:AI104"/>
    <mergeCell ref="AJ104:AK104"/>
    <mergeCell ref="AL104:AR104"/>
    <mergeCell ref="AS104:AY104"/>
    <mergeCell ref="B105:C105"/>
    <mergeCell ref="D105:AB105"/>
    <mergeCell ref="AC105:AI105"/>
    <mergeCell ref="AJ105:AK105"/>
    <mergeCell ref="AL105:AR105"/>
    <mergeCell ref="AS105:AY105"/>
    <mergeCell ref="B106:C106"/>
    <mergeCell ref="D106:AB106"/>
    <mergeCell ref="AC106:AI106"/>
    <mergeCell ref="AJ106:AK106"/>
    <mergeCell ref="AL106:AR106"/>
    <mergeCell ref="AS106:AY106"/>
    <mergeCell ref="AL125:AR125"/>
    <mergeCell ref="B164:C164"/>
    <mergeCell ref="AJ160:AK160"/>
    <mergeCell ref="AL160:AR160"/>
    <mergeCell ref="AS160:AY160"/>
    <mergeCell ref="AC161:AI161"/>
    <mergeCell ref="AJ161:AK161"/>
    <mergeCell ref="AL161:AR161"/>
    <mergeCell ref="AS161:AY161"/>
    <mergeCell ref="AJ162:AK162"/>
    <mergeCell ref="AS162:AY162"/>
    <mergeCell ref="D164:AB164"/>
    <mergeCell ref="AC164:AI164"/>
    <mergeCell ref="AJ164:AK164"/>
    <mergeCell ref="AL164:AR164"/>
    <mergeCell ref="AS164:AY164"/>
    <mergeCell ref="B163:C163"/>
    <mergeCell ref="B162:C162"/>
    <mergeCell ref="D163:AB163"/>
    <mergeCell ref="AC163:AI163"/>
    <mergeCell ref="AJ163:AK163"/>
    <mergeCell ref="AL163:AR163"/>
    <mergeCell ref="AS163:AY163"/>
    <mergeCell ref="AL162:AR162"/>
  </mergeCells>
  <phoneticPr fontId="2"/>
  <conditionalFormatting sqref="AL13">
    <cfRule type="expression" dxfId="184" priority="55">
      <formula>INDIRECT(ADDRESS(ROW(),COLUMN()))=TRUNC(INDIRECT(ADDRESS(ROW(),COLUMN())))</formula>
    </cfRule>
  </conditionalFormatting>
  <conditionalFormatting sqref="AC13">
    <cfRule type="expression" dxfId="183" priority="54">
      <formula>INDIRECT(ADDRESS(ROW(),COLUMN()))=TRUNC(INDIRECT(ADDRESS(ROW(),COLUMN())))</formula>
    </cfRule>
  </conditionalFormatting>
  <conditionalFormatting sqref="AS13">
    <cfRule type="expression" dxfId="182" priority="53">
      <formula>INDIRECT(ADDRESS(ROW(),COLUMN()))=TRUNC(INDIRECT(ADDRESS(ROW(),COLUMN())))</formula>
    </cfRule>
  </conditionalFormatting>
  <conditionalFormatting sqref="AQ33">
    <cfRule type="expression" dxfId="181" priority="51">
      <formula>INDIRECT(ADDRESS(ROW(),COLUMN(UNMT0020_B_ROW_KBN)))&lt;&gt;2</formula>
    </cfRule>
  </conditionalFormatting>
  <conditionalFormatting sqref="AQ33">
    <cfRule type="expression" dxfId="180" priority="52">
      <formula>INDIRECT(ADDRESS(ROW(),COLUMN()))=TRUNC(INDIRECT(ADDRESS(ROW(),COLUMN())))</formula>
    </cfRule>
  </conditionalFormatting>
  <conditionalFormatting sqref="AL14:AL22">
    <cfRule type="expression" dxfId="179" priority="50">
      <formula>INDIRECT(ADDRESS(ROW(),COLUMN()))=TRUNC(INDIRECT(ADDRESS(ROW(),COLUMN())))</formula>
    </cfRule>
  </conditionalFormatting>
  <conditionalFormatting sqref="AC14:AC22">
    <cfRule type="expression" dxfId="178" priority="49">
      <formula>INDIRECT(ADDRESS(ROW(),COLUMN()))=TRUNC(INDIRECT(ADDRESS(ROW(),COLUMN())))</formula>
    </cfRule>
  </conditionalFormatting>
  <conditionalFormatting sqref="AS14:AS22">
    <cfRule type="expression" dxfId="177" priority="48">
      <formula>INDIRECT(ADDRESS(ROW(),COLUMN()))=TRUNC(INDIRECT(ADDRESS(ROW(),COLUMN())))</formula>
    </cfRule>
  </conditionalFormatting>
  <conditionalFormatting sqref="AL23:AL32">
    <cfRule type="expression" dxfId="176" priority="47">
      <formula>INDIRECT(ADDRESS(ROW(),COLUMN()))=TRUNC(INDIRECT(ADDRESS(ROW(),COLUMN())))</formula>
    </cfRule>
  </conditionalFormatting>
  <conditionalFormatting sqref="AC23:AC32">
    <cfRule type="expression" dxfId="175" priority="46">
      <formula>INDIRECT(ADDRESS(ROW(),COLUMN()))=TRUNC(INDIRECT(ADDRESS(ROW(),COLUMN())))</formula>
    </cfRule>
  </conditionalFormatting>
  <conditionalFormatting sqref="AS23:AS32">
    <cfRule type="expression" dxfId="174" priority="45">
      <formula>INDIRECT(ADDRESS(ROW(),COLUMN()))=TRUNC(INDIRECT(ADDRESS(ROW(),COLUMN())))</formula>
    </cfRule>
  </conditionalFormatting>
  <conditionalFormatting sqref="AL50">
    <cfRule type="expression" dxfId="173" priority="44">
      <formula>INDIRECT(ADDRESS(ROW(),COLUMN()))=TRUNC(INDIRECT(ADDRESS(ROW(),COLUMN())))</formula>
    </cfRule>
  </conditionalFormatting>
  <conditionalFormatting sqref="AC50">
    <cfRule type="expression" dxfId="172" priority="43">
      <formula>INDIRECT(ADDRESS(ROW(),COLUMN()))=TRUNC(INDIRECT(ADDRESS(ROW(),COLUMN())))</formula>
    </cfRule>
  </conditionalFormatting>
  <conditionalFormatting sqref="AS50">
    <cfRule type="expression" dxfId="171" priority="42">
      <formula>INDIRECT(ADDRESS(ROW(),COLUMN()))=TRUNC(INDIRECT(ADDRESS(ROW(),COLUMN())))</formula>
    </cfRule>
  </conditionalFormatting>
  <conditionalFormatting sqref="AQ70">
    <cfRule type="expression" dxfId="170" priority="40">
      <formula>INDIRECT(ADDRESS(ROW(),COLUMN(UNMT0020_B_ROW_KBN)))&lt;&gt;2</formula>
    </cfRule>
  </conditionalFormatting>
  <conditionalFormatting sqref="AQ70">
    <cfRule type="expression" dxfId="169" priority="41">
      <formula>INDIRECT(ADDRESS(ROW(),COLUMN()))=TRUNC(INDIRECT(ADDRESS(ROW(),COLUMN())))</formula>
    </cfRule>
  </conditionalFormatting>
  <conditionalFormatting sqref="AL51:AL59">
    <cfRule type="expression" dxfId="168" priority="39">
      <formula>INDIRECT(ADDRESS(ROW(),COLUMN()))=TRUNC(INDIRECT(ADDRESS(ROW(),COLUMN())))</formula>
    </cfRule>
  </conditionalFormatting>
  <conditionalFormatting sqref="AC51:AC59">
    <cfRule type="expression" dxfId="167" priority="38">
      <formula>INDIRECT(ADDRESS(ROW(),COLUMN()))=TRUNC(INDIRECT(ADDRESS(ROW(),COLUMN())))</formula>
    </cfRule>
  </conditionalFormatting>
  <conditionalFormatting sqref="AS51:AS59">
    <cfRule type="expression" dxfId="166" priority="37">
      <formula>INDIRECT(ADDRESS(ROW(),COLUMN()))=TRUNC(INDIRECT(ADDRESS(ROW(),COLUMN())))</formula>
    </cfRule>
  </conditionalFormatting>
  <conditionalFormatting sqref="AL60:AL69">
    <cfRule type="expression" dxfId="165" priority="36">
      <formula>INDIRECT(ADDRESS(ROW(),COLUMN()))=TRUNC(INDIRECT(ADDRESS(ROW(),COLUMN())))</formula>
    </cfRule>
  </conditionalFormatting>
  <conditionalFormatting sqref="AC60:AC69">
    <cfRule type="expression" dxfId="164" priority="35">
      <formula>INDIRECT(ADDRESS(ROW(),COLUMN()))=TRUNC(INDIRECT(ADDRESS(ROW(),COLUMN())))</formula>
    </cfRule>
  </conditionalFormatting>
  <conditionalFormatting sqref="AS60:AS69">
    <cfRule type="expression" dxfId="163" priority="34">
      <formula>INDIRECT(ADDRESS(ROW(),COLUMN()))=TRUNC(INDIRECT(ADDRESS(ROW(),COLUMN())))</formula>
    </cfRule>
  </conditionalFormatting>
  <conditionalFormatting sqref="AL87">
    <cfRule type="expression" dxfId="162" priority="33">
      <formula>INDIRECT(ADDRESS(ROW(),COLUMN()))=TRUNC(INDIRECT(ADDRESS(ROW(),COLUMN())))</formula>
    </cfRule>
  </conditionalFormatting>
  <conditionalFormatting sqref="AC87">
    <cfRule type="expression" dxfId="161" priority="32">
      <formula>INDIRECT(ADDRESS(ROW(),COLUMN()))=TRUNC(INDIRECT(ADDRESS(ROW(),COLUMN())))</formula>
    </cfRule>
  </conditionalFormatting>
  <conditionalFormatting sqref="AS87">
    <cfRule type="expression" dxfId="160" priority="31">
      <formula>INDIRECT(ADDRESS(ROW(),COLUMN()))=TRUNC(INDIRECT(ADDRESS(ROW(),COLUMN())))</formula>
    </cfRule>
  </conditionalFormatting>
  <conditionalFormatting sqref="AQ107">
    <cfRule type="expression" dxfId="159" priority="29">
      <formula>INDIRECT(ADDRESS(ROW(),COLUMN(UNMT0020_B_ROW_KBN)))&lt;&gt;2</formula>
    </cfRule>
  </conditionalFormatting>
  <conditionalFormatting sqref="AQ107">
    <cfRule type="expression" dxfId="158" priority="30">
      <formula>INDIRECT(ADDRESS(ROW(),COLUMN()))=TRUNC(INDIRECT(ADDRESS(ROW(),COLUMN())))</formula>
    </cfRule>
  </conditionalFormatting>
  <conditionalFormatting sqref="AL88:AL96">
    <cfRule type="expression" dxfId="157" priority="28">
      <formula>INDIRECT(ADDRESS(ROW(),COLUMN()))=TRUNC(INDIRECT(ADDRESS(ROW(),COLUMN())))</formula>
    </cfRule>
  </conditionalFormatting>
  <conditionalFormatting sqref="AC88:AC96">
    <cfRule type="expression" dxfId="156" priority="27">
      <formula>INDIRECT(ADDRESS(ROW(),COLUMN()))=TRUNC(INDIRECT(ADDRESS(ROW(),COLUMN())))</formula>
    </cfRule>
  </conditionalFormatting>
  <conditionalFormatting sqref="AS88:AS96">
    <cfRule type="expression" dxfId="155" priority="26">
      <formula>INDIRECT(ADDRESS(ROW(),COLUMN()))=TRUNC(INDIRECT(ADDRESS(ROW(),COLUMN())))</formula>
    </cfRule>
  </conditionalFormatting>
  <conditionalFormatting sqref="AL97:AL106">
    <cfRule type="expression" dxfId="154" priority="25">
      <formula>INDIRECT(ADDRESS(ROW(),COLUMN()))=TRUNC(INDIRECT(ADDRESS(ROW(),COLUMN())))</formula>
    </cfRule>
  </conditionalFormatting>
  <conditionalFormatting sqref="AC97:AC106">
    <cfRule type="expression" dxfId="153" priority="24">
      <formula>INDIRECT(ADDRESS(ROW(),COLUMN()))=TRUNC(INDIRECT(ADDRESS(ROW(),COLUMN())))</formula>
    </cfRule>
  </conditionalFormatting>
  <conditionalFormatting sqref="AS97:AS106">
    <cfRule type="expression" dxfId="152" priority="23">
      <formula>INDIRECT(ADDRESS(ROW(),COLUMN()))=TRUNC(INDIRECT(ADDRESS(ROW(),COLUMN())))</formula>
    </cfRule>
  </conditionalFormatting>
  <conditionalFormatting sqref="AL124">
    <cfRule type="expression" dxfId="151" priority="22">
      <formula>INDIRECT(ADDRESS(ROW(),COLUMN()))=TRUNC(INDIRECT(ADDRESS(ROW(),COLUMN())))</formula>
    </cfRule>
  </conditionalFormatting>
  <conditionalFormatting sqref="AC124">
    <cfRule type="expression" dxfId="150" priority="21">
      <formula>INDIRECT(ADDRESS(ROW(),COLUMN()))=TRUNC(INDIRECT(ADDRESS(ROW(),COLUMN())))</formula>
    </cfRule>
  </conditionalFormatting>
  <conditionalFormatting sqref="AS124">
    <cfRule type="expression" dxfId="149" priority="20">
      <formula>INDIRECT(ADDRESS(ROW(),COLUMN()))=TRUNC(INDIRECT(ADDRESS(ROW(),COLUMN())))</formula>
    </cfRule>
  </conditionalFormatting>
  <conditionalFormatting sqref="AQ144">
    <cfRule type="expression" dxfId="148" priority="18">
      <formula>INDIRECT(ADDRESS(ROW(),COLUMN(UNMT0020_B_ROW_KBN)))&lt;&gt;2</formula>
    </cfRule>
  </conditionalFormatting>
  <conditionalFormatting sqref="AQ144">
    <cfRule type="expression" dxfId="147" priority="19">
      <formula>INDIRECT(ADDRESS(ROW(),COLUMN()))=TRUNC(INDIRECT(ADDRESS(ROW(),COLUMN())))</formula>
    </cfRule>
  </conditionalFormatting>
  <conditionalFormatting sqref="AL125:AL133">
    <cfRule type="expression" dxfId="146" priority="17">
      <formula>INDIRECT(ADDRESS(ROW(),COLUMN()))=TRUNC(INDIRECT(ADDRESS(ROW(),COLUMN())))</formula>
    </cfRule>
  </conditionalFormatting>
  <conditionalFormatting sqref="AC125:AC133">
    <cfRule type="expression" dxfId="145" priority="16">
      <formula>INDIRECT(ADDRESS(ROW(),COLUMN()))=TRUNC(INDIRECT(ADDRESS(ROW(),COLUMN())))</formula>
    </cfRule>
  </conditionalFormatting>
  <conditionalFormatting sqref="AS125:AS133">
    <cfRule type="expression" dxfId="144" priority="15">
      <formula>INDIRECT(ADDRESS(ROW(),COLUMN()))=TRUNC(INDIRECT(ADDRESS(ROW(),COLUMN())))</formula>
    </cfRule>
  </conditionalFormatting>
  <conditionalFormatting sqref="AL134:AL143">
    <cfRule type="expression" dxfId="143" priority="14">
      <formula>INDIRECT(ADDRESS(ROW(),COLUMN()))=TRUNC(INDIRECT(ADDRESS(ROW(),COLUMN())))</formula>
    </cfRule>
  </conditionalFormatting>
  <conditionalFormatting sqref="AC134:AC143">
    <cfRule type="expression" dxfId="142" priority="13">
      <formula>INDIRECT(ADDRESS(ROW(),COLUMN()))=TRUNC(INDIRECT(ADDRESS(ROW(),COLUMN())))</formula>
    </cfRule>
  </conditionalFormatting>
  <conditionalFormatting sqref="AS134:AS143">
    <cfRule type="expression" dxfId="141" priority="12">
      <formula>INDIRECT(ADDRESS(ROW(),COLUMN()))=TRUNC(INDIRECT(ADDRESS(ROW(),COLUMN())))</formula>
    </cfRule>
  </conditionalFormatting>
  <conditionalFormatting sqref="AL161">
    <cfRule type="expression" dxfId="140" priority="11">
      <formula>INDIRECT(ADDRESS(ROW(),COLUMN()))=TRUNC(INDIRECT(ADDRESS(ROW(),COLUMN())))</formula>
    </cfRule>
  </conditionalFormatting>
  <conditionalFormatting sqref="AC161">
    <cfRule type="expression" dxfId="139" priority="10">
      <formula>INDIRECT(ADDRESS(ROW(),COLUMN()))=TRUNC(INDIRECT(ADDRESS(ROW(),COLUMN())))</formula>
    </cfRule>
  </conditionalFormatting>
  <conditionalFormatting sqref="AS161">
    <cfRule type="expression" dxfId="138" priority="9">
      <formula>INDIRECT(ADDRESS(ROW(),COLUMN()))=TRUNC(INDIRECT(ADDRESS(ROW(),COLUMN())))</formula>
    </cfRule>
  </conditionalFormatting>
  <conditionalFormatting sqref="AQ181">
    <cfRule type="expression" dxfId="137" priority="7">
      <formula>INDIRECT(ADDRESS(ROW(),COLUMN(UNMT0020_B_ROW_KBN)))&lt;&gt;2</formula>
    </cfRule>
  </conditionalFormatting>
  <conditionalFormatting sqref="AQ181">
    <cfRule type="expression" dxfId="136" priority="8">
      <formula>INDIRECT(ADDRESS(ROW(),COLUMN()))=TRUNC(INDIRECT(ADDRESS(ROW(),COLUMN())))</formula>
    </cfRule>
  </conditionalFormatting>
  <conditionalFormatting sqref="AL162:AL170">
    <cfRule type="expression" dxfId="135" priority="6">
      <formula>INDIRECT(ADDRESS(ROW(),COLUMN()))=TRUNC(INDIRECT(ADDRESS(ROW(),COLUMN())))</formula>
    </cfRule>
  </conditionalFormatting>
  <conditionalFormatting sqref="AC162:AC170">
    <cfRule type="expression" dxfId="134" priority="5">
      <formula>INDIRECT(ADDRESS(ROW(),COLUMN()))=TRUNC(INDIRECT(ADDRESS(ROW(),COLUMN())))</formula>
    </cfRule>
  </conditionalFormatting>
  <conditionalFormatting sqref="AS162:AS170">
    <cfRule type="expression" dxfId="133" priority="4">
      <formula>INDIRECT(ADDRESS(ROW(),COLUMN()))=TRUNC(INDIRECT(ADDRESS(ROW(),COLUMN())))</formula>
    </cfRule>
  </conditionalFormatting>
  <conditionalFormatting sqref="AL171:AL180">
    <cfRule type="expression" dxfId="132" priority="3">
      <formula>INDIRECT(ADDRESS(ROW(),COLUMN()))=TRUNC(INDIRECT(ADDRESS(ROW(),COLUMN())))</formula>
    </cfRule>
  </conditionalFormatting>
  <conditionalFormatting sqref="AC171:AC180">
    <cfRule type="expression" dxfId="131" priority="2">
      <formula>INDIRECT(ADDRESS(ROW(),COLUMN()))=TRUNC(INDIRECT(ADDRESS(ROW(),COLUMN())))</formula>
    </cfRule>
  </conditionalFormatting>
  <conditionalFormatting sqref="AS171:AS180">
    <cfRule type="expression" dxfId="130" priority="1">
      <formula>INDIRECT(ADDRESS(ROW(),COLUMN()))=TRUNC(INDIRECT(ADDRESS(ROW(),COLUMN())))</formula>
    </cfRule>
  </conditionalFormatting>
  <pageMargins left="0.27559055118110237" right="0.15748031496062992" top="0.39370078740157483" bottom="0.39370078740157483" header="0.31496062992125984" footer="0.31496062992125984"/>
  <pageSetup paperSize="9" scale="70" fitToHeight="0" orientation="portrait" r:id="rId1"/>
  <rowBreaks count="4" manualBreakCount="4">
    <brk id="37" max="16383" man="1"/>
    <brk id="74" max="16383" man="1"/>
    <brk id="111" max="16383" man="1"/>
    <brk id="148" max="16383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9" tint="0.59999389629810485"/>
    <pageSetUpPr fitToPage="1"/>
  </sheetPr>
  <dimension ref="A1:AZ185"/>
  <sheetViews>
    <sheetView view="pageBreakPreview" zoomScale="85" zoomScaleNormal="100" zoomScaleSheetLayoutView="85" workbookViewId="0">
      <selection activeCell="D31" sqref="D31:AB31"/>
    </sheetView>
  </sheetViews>
  <sheetFormatPr defaultRowHeight="16.5"/>
  <cols>
    <col min="1" max="1" width="2.625" style="4" customWidth="1"/>
    <col min="2" max="2" width="2.375" style="403" customWidth="1"/>
    <col min="3" max="15" width="2.875" style="404" customWidth="1"/>
    <col min="16" max="35" width="2.875" style="403" customWidth="1"/>
    <col min="36" max="51" width="2.75" style="403" customWidth="1"/>
    <col min="52" max="108" width="2.75" style="4" customWidth="1"/>
    <col min="109" max="16384" width="9" style="4"/>
  </cols>
  <sheetData>
    <row r="1" spans="2:51" s="403" customFormat="1" ht="12" customHeight="1">
      <c r="C1" s="404"/>
      <c r="D1" s="404"/>
      <c r="E1" s="465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7"/>
      <c r="AA1" s="744" t="s">
        <v>1108</v>
      </c>
      <c r="AB1" s="744"/>
      <c r="AC1" s="744"/>
      <c r="AD1" s="744"/>
      <c r="AE1" s="744"/>
      <c r="AF1" s="744"/>
      <c r="AG1" s="744"/>
      <c r="AH1" s="744"/>
      <c r="AI1" s="744"/>
      <c r="AJ1" s="744"/>
      <c r="AK1" s="744"/>
      <c r="AL1" s="744"/>
      <c r="AP1" s="774" t="str">
        <f>"No."&amp;UNNH0030_REPORT_IF_H_URIAGE_NO&amp;"-"&amp;ROUNDUP(ROW()/ROWS(UNNH0030_SEIKYUSHO_PAGE_AREA),0)&amp;"/"&amp;UNNH0030_REPORT_IF_B_PAGE_TOTAL</f>
        <v>No.-1/1</v>
      </c>
      <c r="AQ1" s="774"/>
      <c r="AR1" s="774"/>
      <c r="AS1" s="774"/>
      <c r="AT1" s="774"/>
      <c r="AU1" s="774"/>
      <c r="AV1" s="774"/>
      <c r="AW1" s="774"/>
      <c r="AX1" s="774"/>
      <c r="AY1" s="774"/>
    </row>
    <row r="2" spans="2:51" s="403" customFormat="1" ht="24.75" customHeight="1">
      <c r="C2" s="404"/>
      <c r="E2" s="468"/>
      <c r="F2" s="775" t="str">
        <f>IF(UNNH0030_REPORT_IF_H_JUSHO_NO_PRINT_FLG=TRUE,"","〒")</f>
        <v>〒</v>
      </c>
      <c r="G2" s="775"/>
      <c r="H2" s="776" t="str">
        <f>IF(UNNH0030_REPORT_IF_H_JUSHO_NO_PRINT_FLG=TRUE,"",IF(UNNH0030_REPORT_IF_H_YUBIN_NO="","",UNNH0030_REPORT_IF_H_YUBIN_NO))</f>
        <v/>
      </c>
      <c r="I2" s="776"/>
      <c r="J2" s="776"/>
      <c r="K2" s="776"/>
      <c r="L2" s="776"/>
      <c r="M2" s="776"/>
      <c r="N2" s="776"/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469"/>
      <c r="AA2" s="744"/>
      <c r="AB2" s="744"/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P2" s="774"/>
      <c r="AQ2" s="774"/>
      <c r="AR2" s="774"/>
      <c r="AS2" s="774"/>
      <c r="AT2" s="774"/>
      <c r="AU2" s="774"/>
      <c r="AV2" s="774"/>
      <c r="AW2" s="774"/>
      <c r="AX2" s="774"/>
      <c r="AY2" s="774"/>
    </row>
    <row r="3" spans="2:51" s="403" customFormat="1" ht="24.75" customHeight="1">
      <c r="C3" s="404"/>
      <c r="E3" s="468"/>
      <c r="F3" s="745" t="str">
        <f>IF(UNNH0030_REPORT_IF_H_JUSHO_NO_PRINT_FLG="","",IF(UNNH0030_REPORT_IF_H_ADDRESS_1="","",UNNH0030_REPORT_IF_H_ADDRESS_1))</f>
        <v/>
      </c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469"/>
      <c r="AP3" s="748">
        <f>UNNH0030_REPORT_IF_H_URIAGE_DATE</f>
        <v>0</v>
      </c>
      <c r="AQ3" s="748"/>
      <c r="AR3" s="748"/>
      <c r="AS3" s="748"/>
      <c r="AT3" s="748"/>
      <c r="AU3" s="748"/>
      <c r="AV3" s="748"/>
      <c r="AW3" s="748"/>
      <c r="AX3" s="748"/>
      <c r="AY3" s="748"/>
    </row>
    <row r="4" spans="2:51" s="403" customFormat="1" ht="24.75" customHeight="1">
      <c r="C4" s="404"/>
      <c r="E4" s="468"/>
      <c r="F4" s="745" t="str">
        <f>IF(UNNH0030_REPORT_IF_H_JUSHO_NO_PRINT_FLG="","",IF(UNNH0030_REPORT_IF_H_ADDRESS_2="","",UNNH0030_REPORT_IF_H_ADDRESS_2))</f>
        <v/>
      </c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469"/>
    </row>
    <row r="5" spans="2:51" s="403" customFormat="1" ht="24.75" customHeight="1">
      <c r="C5" s="404"/>
      <c r="E5" s="468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69"/>
    </row>
    <row r="6" spans="2:51" s="403" customFormat="1" ht="26.25" customHeight="1">
      <c r="C6" s="404"/>
      <c r="E6" s="470"/>
      <c r="F6" s="745" t="str">
        <f>IF(TRIM(UNNH0030_REPORT_IF_H_SOFU_TANTO)="","",
IF(TRIM(UNNH0030_REPORT_IF_H_DEMPYO_SOFU_MEI)="","",
TRIM(UNNH0030_REPORT_IF_H_DEMPYO_SOFU_MEI)))</f>
        <v/>
      </c>
      <c r="G6" s="745"/>
      <c r="H6" s="745"/>
      <c r="I6" s="745"/>
      <c r="J6" s="745"/>
      <c r="K6" s="745"/>
      <c r="L6" s="745"/>
      <c r="M6" s="745"/>
      <c r="N6" s="745"/>
      <c r="O6" s="745"/>
      <c r="P6" s="745"/>
      <c r="Q6" s="745"/>
      <c r="R6" s="745"/>
      <c r="S6" s="745"/>
      <c r="T6" s="745"/>
      <c r="U6" s="745"/>
      <c r="V6" s="745"/>
      <c r="W6" s="745"/>
      <c r="X6" s="745"/>
      <c r="Y6" s="469"/>
    </row>
    <row r="7" spans="2:51" s="403" customFormat="1" ht="26.25" customHeight="1">
      <c r="C7" s="404"/>
      <c r="E7" s="468"/>
      <c r="F7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469"/>
      <c r="Z7" s="477" t="str">
        <f>UNNH0030_REPORT_IF_H_SHIMEBI_MARK</f>
        <v>*</v>
      </c>
    </row>
    <row r="8" spans="2:51" s="403" customFormat="1" ht="25.5" customHeight="1">
      <c r="C8" s="404"/>
      <c r="E8" s="471"/>
      <c r="F8" s="747">
        <f>UNNH0030_REPORT_IF_H_SEIKYU_CD</f>
        <v>0</v>
      </c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  <c r="W8" s="747"/>
      <c r="X8" s="747"/>
      <c r="Y8" s="472"/>
    </row>
    <row r="9" spans="2:51" s="403" customFormat="1" ht="30" customHeight="1">
      <c r="C9" s="404"/>
    </row>
    <row r="10" spans="2:51" s="403" customFormat="1" ht="30" customHeight="1"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</row>
    <row r="11" spans="2:51" s="403" customFormat="1" ht="29.25" customHeight="1">
      <c r="B11" s="474" t="s">
        <v>1101</v>
      </c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</row>
    <row r="12" spans="2:51" s="403" customFormat="1" ht="36.75" customHeight="1">
      <c r="B12" s="742"/>
      <c r="C12" s="742"/>
      <c r="D12" s="742" t="s">
        <v>1102</v>
      </c>
      <c r="E12" s="742"/>
      <c r="F12" s="742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  <c r="U12" s="742"/>
      <c r="V12" s="742"/>
      <c r="W12" s="742"/>
      <c r="X12" s="742"/>
      <c r="Y12" s="742"/>
      <c r="Z12" s="742"/>
      <c r="AA12" s="742"/>
      <c r="AB12" s="742"/>
      <c r="AC12" s="742" t="s">
        <v>1103</v>
      </c>
      <c r="AD12" s="742"/>
      <c r="AE12" s="742"/>
      <c r="AF12" s="742"/>
      <c r="AG12" s="742"/>
      <c r="AH12" s="742"/>
      <c r="AI12" s="742"/>
      <c r="AJ12" s="742" t="s">
        <v>1104</v>
      </c>
      <c r="AK12" s="742"/>
      <c r="AL12" s="742" t="s">
        <v>1105</v>
      </c>
      <c r="AM12" s="742"/>
      <c r="AN12" s="742"/>
      <c r="AO12" s="742"/>
      <c r="AP12" s="742"/>
      <c r="AQ12" s="742"/>
      <c r="AR12" s="742"/>
      <c r="AS12" s="742" t="s">
        <v>1106</v>
      </c>
      <c r="AT12" s="742"/>
      <c r="AU12" s="742"/>
      <c r="AV12" s="742"/>
      <c r="AW12" s="742"/>
      <c r="AX12" s="742"/>
      <c r="AY12" s="742"/>
    </row>
    <row r="13" spans="2:51" s="403" customFormat="1" ht="36.75" customHeight="1">
      <c r="B13" s="742">
        <f>ROUNDDOWN(ROW()/ROWS(UNNH0030_REPORT_RAYOUT_SEIKYUSHO),0)*UNNH0030_REPORT_IF_B_PAGE_MEISAI_SU+1</f>
        <v>1</v>
      </c>
      <c r="C13" s="742"/>
      <c r="D13" s="743" t="str">
        <f t="shared" ref="D13:D32" ca="1" si="0">IF(OFFSET(UNNH0030_REPORT_IF_B_SHOHIN_MEI,$B13,0)="","",OFFSET(UNNH0030_REPORT_IF_B_SHOHIN_MEI,$B13,0))</f>
        <v/>
      </c>
      <c r="E13" s="743"/>
      <c r="F13" s="743"/>
      <c r="G13" s="743"/>
      <c r="H13" s="743"/>
      <c r="I13" s="743"/>
      <c r="J13" s="743"/>
      <c r="K13" s="743"/>
      <c r="L13" s="743"/>
      <c r="M13" s="743"/>
      <c r="N13" s="743"/>
      <c r="O13" s="743"/>
      <c r="P13" s="743"/>
      <c r="Q13" s="743"/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81" t="str">
        <f t="shared" ref="AC13:AC32" ca="1" si="1">IF(OR(OFFSET(UNNH0030_REPORT_IF_B_ROW_KBN,$B13,0)&lt;&gt;1,$D13="",$D13="消費税"),"",
OFFSET(UNNH0030_REPORT_IF_B_SURYO,$B13,0))</f>
        <v/>
      </c>
      <c r="AD13" s="781"/>
      <c r="AE13" s="781"/>
      <c r="AF13" s="781"/>
      <c r="AG13" s="781"/>
      <c r="AH13" s="781"/>
      <c r="AI13" s="781"/>
      <c r="AJ13" s="742" t="str">
        <f t="shared" ref="AJ13:AJ32" ca="1" si="2">IF(OFFSET(UNNH0030_REPORT_IF_B_TANI,$B13,0)="","",OFFSET(UNNH0030_REPORT_IF_B_TANI,$B13,0))</f>
        <v/>
      </c>
      <c r="AK13" s="742"/>
      <c r="AL13" s="781" t="str">
        <f t="shared" ref="AL13:AL32" ca="1" si="3">IF(OR(OFFSET(UNNH0030_REPORT_IF_B_ROW_KBN,$B13,0)&lt;&gt;1,$D13="",$D13="消費税"),"",
OFFSET(UNNH0030_REPORT_IF_B_TANKA,$B13,0))</f>
        <v/>
      </c>
      <c r="AM13" s="781"/>
      <c r="AN13" s="781"/>
      <c r="AO13" s="781"/>
      <c r="AP13" s="781"/>
      <c r="AQ13" s="781"/>
      <c r="AR13" s="781"/>
      <c r="AS13" s="741" t="str">
        <f t="shared" ref="AS13:AS32" ca="1" si="4">IF(OR(OFFSET(UNNH0030_REPORT_IF_B_KINGAKU,$B13,0)=0,$D13=""),"",
OFFSET(UNNH0030_REPORT_IF_B_KINGAKU,$B13,0))</f>
        <v/>
      </c>
      <c r="AT13" s="741"/>
      <c r="AU13" s="741"/>
      <c r="AV13" s="741"/>
      <c r="AW13" s="741"/>
      <c r="AX13" s="741"/>
      <c r="AY13" s="741"/>
    </row>
    <row r="14" spans="2:51" s="403" customFormat="1" ht="36.75" customHeight="1">
      <c r="B14" s="742">
        <f>B13+1</f>
        <v>2</v>
      </c>
      <c r="C14" s="742"/>
      <c r="D14" s="743" t="str">
        <f t="shared" ca="1" si="0"/>
        <v/>
      </c>
      <c r="E14" s="743"/>
      <c r="F14" s="743"/>
      <c r="G14" s="743"/>
      <c r="H14" s="743"/>
      <c r="I14" s="743"/>
      <c r="J14" s="743"/>
      <c r="K14" s="743"/>
      <c r="L14" s="743"/>
      <c r="M14" s="743"/>
      <c r="N14" s="743"/>
      <c r="O14" s="743"/>
      <c r="P14" s="743"/>
      <c r="Q14" s="743"/>
      <c r="R14" s="743"/>
      <c r="S14" s="743"/>
      <c r="T14" s="743"/>
      <c r="U14" s="743"/>
      <c r="V14" s="743"/>
      <c r="W14" s="743"/>
      <c r="X14" s="743"/>
      <c r="Y14" s="743"/>
      <c r="Z14" s="743"/>
      <c r="AA14" s="743"/>
      <c r="AB14" s="743"/>
      <c r="AC14" s="781" t="str">
        <f t="shared" ca="1" si="1"/>
        <v/>
      </c>
      <c r="AD14" s="781"/>
      <c r="AE14" s="781"/>
      <c r="AF14" s="781"/>
      <c r="AG14" s="781"/>
      <c r="AH14" s="781"/>
      <c r="AI14" s="781"/>
      <c r="AJ14" s="742" t="str">
        <f t="shared" ca="1" si="2"/>
        <v/>
      </c>
      <c r="AK14" s="742"/>
      <c r="AL14" s="781" t="str">
        <f t="shared" ca="1" si="3"/>
        <v/>
      </c>
      <c r="AM14" s="781"/>
      <c r="AN14" s="781"/>
      <c r="AO14" s="781"/>
      <c r="AP14" s="781"/>
      <c r="AQ14" s="781"/>
      <c r="AR14" s="781"/>
      <c r="AS14" s="741" t="str">
        <f t="shared" ca="1" si="4"/>
        <v/>
      </c>
      <c r="AT14" s="741"/>
      <c r="AU14" s="741"/>
      <c r="AV14" s="741"/>
      <c r="AW14" s="741"/>
      <c r="AX14" s="741"/>
      <c r="AY14" s="741"/>
    </row>
    <row r="15" spans="2:51" s="403" customFormat="1" ht="36.75" customHeight="1">
      <c r="B15" s="742">
        <f>B14+1</f>
        <v>3</v>
      </c>
      <c r="C15" s="742"/>
      <c r="D15" s="743" t="str">
        <f t="shared" ca="1" si="0"/>
        <v/>
      </c>
      <c r="E15" s="743"/>
      <c r="F15" s="743"/>
      <c r="G15" s="743"/>
      <c r="H15" s="743"/>
      <c r="I15" s="743"/>
      <c r="J15" s="743"/>
      <c r="K15" s="743"/>
      <c r="L15" s="743"/>
      <c r="M15" s="743"/>
      <c r="N15" s="743"/>
      <c r="O15" s="743"/>
      <c r="P15" s="743"/>
      <c r="Q15" s="743"/>
      <c r="R15" s="743"/>
      <c r="S15" s="743"/>
      <c r="T15" s="743"/>
      <c r="U15" s="743"/>
      <c r="V15" s="743"/>
      <c r="W15" s="743"/>
      <c r="X15" s="743"/>
      <c r="Y15" s="743"/>
      <c r="Z15" s="743"/>
      <c r="AA15" s="743"/>
      <c r="AB15" s="743"/>
      <c r="AC15" s="781" t="str">
        <f t="shared" ca="1" si="1"/>
        <v/>
      </c>
      <c r="AD15" s="781"/>
      <c r="AE15" s="781"/>
      <c r="AF15" s="781"/>
      <c r="AG15" s="781"/>
      <c r="AH15" s="781"/>
      <c r="AI15" s="781"/>
      <c r="AJ15" s="742" t="str">
        <f t="shared" ca="1" si="2"/>
        <v/>
      </c>
      <c r="AK15" s="742"/>
      <c r="AL15" s="781" t="str">
        <f t="shared" ca="1" si="3"/>
        <v/>
      </c>
      <c r="AM15" s="781"/>
      <c r="AN15" s="781"/>
      <c r="AO15" s="781"/>
      <c r="AP15" s="781"/>
      <c r="AQ15" s="781"/>
      <c r="AR15" s="781"/>
      <c r="AS15" s="741" t="str">
        <f t="shared" ca="1" si="4"/>
        <v/>
      </c>
      <c r="AT15" s="741"/>
      <c r="AU15" s="741"/>
      <c r="AV15" s="741"/>
      <c r="AW15" s="741"/>
      <c r="AX15" s="741"/>
      <c r="AY15" s="741"/>
    </row>
    <row r="16" spans="2:51" s="403" customFormat="1" ht="36.75" customHeight="1">
      <c r="B16" s="742">
        <f t="shared" ref="B16:B32" si="5">B15+1</f>
        <v>4</v>
      </c>
      <c r="C16" s="742"/>
      <c r="D16" s="743" t="str">
        <f t="shared" ca="1" si="0"/>
        <v/>
      </c>
      <c r="E16" s="743"/>
      <c r="F16" s="743"/>
      <c r="G16" s="743"/>
      <c r="H16" s="743"/>
      <c r="I16" s="743"/>
      <c r="J16" s="743"/>
      <c r="K16" s="743"/>
      <c r="L16" s="743"/>
      <c r="M16" s="743"/>
      <c r="N16" s="743"/>
      <c r="O16" s="743"/>
      <c r="P16" s="743"/>
      <c r="Q16" s="743"/>
      <c r="R16" s="743"/>
      <c r="S16" s="743"/>
      <c r="T16" s="743"/>
      <c r="U16" s="743"/>
      <c r="V16" s="743"/>
      <c r="W16" s="743"/>
      <c r="X16" s="743"/>
      <c r="Y16" s="743"/>
      <c r="Z16" s="743"/>
      <c r="AA16" s="743"/>
      <c r="AB16" s="743"/>
      <c r="AC16" s="781" t="str">
        <f t="shared" ca="1" si="1"/>
        <v/>
      </c>
      <c r="AD16" s="781"/>
      <c r="AE16" s="781"/>
      <c r="AF16" s="781"/>
      <c r="AG16" s="781"/>
      <c r="AH16" s="781"/>
      <c r="AI16" s="781"/>
      <c r="AJ16" s="742" t="str">
        <f t="shared" ca="1" si="2"/>
        <v/>
      </c>
      <c r="AK16" s="742"/>
      <c r="AL16" s="781" t="str">
        <f t="shared" ca="1" si="3"/>
        <v/>
      </c>
      <c r="AM16" s="781"/>
      <c r="AN16" s="781"/>
      <c r="AO16" s="781"/>
      <c r="AP16" s="781"/>
      <c r="AQ16" s="781"/>
      <c r="AR16" s="781"/>
      <c r="AS16" s="741" t="str">
        <f t="shared" ca="1" si="4"/>
        <v/>
      </c>
      <c r="AT16" s="741"/>
      <c r="AU16" s="741"/>
      <c r="AV16" s="741"/>
      <c r="AW16" s="741"/>
      <c r="AX16" s="741"/>
      <c r="AY16" s="741"/>
    </row>
    <row r="17" spans="1:52" s="403" customFormat="1" ht="36.75" customHeight="1">
      <c r="A17" s="403" t="s">
        <v>1529</v>
      </c>
      <c r="B17" s="742">
        <f t="shared" si="5"/>
        <v>5</v>
      </c>
      <c r="C17" s="742"/>
      <c r="D17" s="743" t="str">
        <f t="shared" ca="1" si="0"/>
        <v/>
      </c>
      <c r="E17" s="743"/>
      <c r="F17" s="743"/>
      <c r="G17" s="743"/>
      <c r="H17" s="743"/>
      <c r="I17" s="743"/>
      <c r="J17" s="743"/>
      <c r="K17" s="743"/>
      <c r="L17" s="743"/>
      <c r="M17" s="743"/>
      <c r="N17" s="743"/>
      <c r="O17" s="743"/>
      <c r="P17" s="743"/>
      <c r="Q17" s="743"/>
      <c r="R17" s="743"/>
      <c r="S17" s="743"/>
      <c r="T17" s="743"/>
      <c r="U17" s="743"/>
      <c r="V17" s="743"/>
      <c r="W17" s="743"/>
      <c r="X17" s="743"/>
      <c r="Y17" s="743"/>
      <c r="Z17" s="743"/>
      <c r="AA17" s="743"/>
      <c r="AB17" s="743"/>
      <c r="AC17" s="781" t="str">
        <f t="shared" ca="1" si="1"/>
        <v/>
      </c>
      <c r="AD17" s="781"/>
      <c r="AE17" s="781"/>
      <c r="AF17" s="781"/>
      <c r="AG17" s="781"/>
      <c r="AH17" s="781"/>
      <c r="AI17" s="781"/>
      <c r="AJ17" s="742" t="str">
        <f t="shared" ca="1" si="2"/>
        <v/>
      </c>
      <c r="AK17" s="742"/>
      <c r="AL17" s="781" t="str">
        <f t="shared" ca="1" si="3"/>
        <v/>
      </c>
      <c r="AM17" s="781"/>
      <c r="AN17" s="781"/>
      <c r="AO17" s="781"/>
      <c r="AP17" s="781"/>
      <c r="AQ17" s="781"/>
      <c r="AR17" s="781"/>
      <c r="AS17" s="741" t="str">
        <f t="shared" ca="1" si="4"/>
        <v/>
      </c>
      <c r="AT17" s="741"/>
      <c r="AU17" s="741"/>
      <c r="AV17" s="741"/>
      <c r="AW17" s="741"/>
      <c r="AX17" s="741"/>
      <c r="AY17" s="741"/>
      <c r="AZ17" s="473" t="s">
        <v>1530</v>
      </c>
    </row>
    <row r="18" spans="1:52" s="403" customFormat="1" ht="36.75" customHeight="1">
      <c r="B18" s="742">
        <f t="shared" si="5"/>
        <v>6</v>
      </c>
      <c r="C18" s="742"/>
      <c r="D18" s="743" t="str">
        <f t="shared" ca="1" si="0"/>
        <v/>
      </c>
      <c r="E18" s="743"/>
      <c r="F18" s="743"/>
      <c r="G18" s="743"/>
      <c r="H18" s="743"/>
      <c r="I18" s="743"/>
      <c r="J18" s="743"/>
      <c r="K18" s="743"/>
      <c r="L18" s="743"/>
      <c r="M18" s="743"/>
      <c r="N18" s="743"/>
      <c r="O18" s="743"/>
      <c r="P18" s="743"/>
      <c r="Q18" s="743"/>
      <c r="R18" s="743"/>
      <c r="S18" s="743"/>
      <c r="T18" s="743"/>
      <c r="U18" s="743"/>
      <c r="V18" s="743"/>
      <c r="W18" s="743"/>
      <c r="X18" s="743"/>
      <c r="Y18" s="743"/>
      <c r="Z18" s="743"/>
      <c r="AA18" s="743"/>
      <c r="AB18" s="743"/>
      <c r="AC18" s="781" t="str">
        <f t="shared" ca="1" si="1"/>
        <v/>
      </c>
      <c r="AD18" s="781"/>
      <c r="AE18" s="781"/>
      <c r="AF18" s="781"/>
      <c r="AG18" s="781"/>
      <c r="AH18" s="781"/>
      <c r="AI18" s="781"/>
      <c r="AJ18" s="742" t="str">
        <f t="shared" ca="1" si="2"/>
        <v/>
      </c>
      <c r="AK18" s="742"/>
      <c r="AL18" s="781" t="str">
        <f t="shared" ca="1" si="3"/>
        <v/>
      </c>
      <c r="AM18" s="781"/>
      <c r="AN18" s="781"/>
      <c r="AO18" s="781"/>
      <c r="AP18" s="781"/>
      <c r="AQ18" s="781"/>
      <c r="AR18" s="781"/>
      <c r="AS18" s="741" t="str">
        <f t="shared" ca="1" si="4"/>
        <v/>
      </c>
      <c r="AT18" s="741"/>
      <c r="AU18" s="741"/>
      <c r="AV18" s="741"/>
      <c r="AW18" s="741"/>
      <c r="AX18" s="741"/>
      <c r="AY18" s="741"/>
      <c r="AZ18" s="473"/>
    </row>
    <row r="19" spans="1:52" s="403" customFormat="1" ht="36.75" customHeight="1">
      <c r="B19" s="742">
        <f t="shared" si="5"/>
        <v>7</v>
      </c>
      <c r="C19" s="742"/>
      <c r="D19" s="743" t="str">
        <f t="shared" ca="1" si="0"/>
        <v/>
      </c>
      <c r="E19" s="743"/>
      <c r="F19" s="743"/>
      <c r="G19" s="743"/>
      <c r="H19" s="743"/>
      <c r="I19" s="743"/>
      <c r="J19" s="743"/>
      <c r="K19" s="743"/>
      <c r="L19" s="743"/>
      <c r="M19" s="743"/>
      <c r="N19" s="743"/>
      <c r="O19" s="743"/>
      <c r="P19" s="743"/>
      <c r="Q19" s="743"/>
      <c r="R19" s="743"/>
      <c r="S19" s="743"/>
      <c r="T19" s="743"/>
      <c r="U19" s="743"/>
      <c r="V19" s="743"/>
      <c r="W19" s="743"/>
      <c r="X19" s="743"/>
      <c r="Y19" s="743"/>
      <c r="Z19" s="743"/>
      <c r="AA19" s="743"/>
      <c r="AB19" s="743"/>
      <c r="AC19" s="781" t="str">
        <f t="shared" ca="1" si="1"/>
        <v/>
      </c>
      <c r="AD19" s="781"/>
      <c r="AE19" s="781"/>
      <c r="AF19" s="781"/>
      <c r="AG19" s="781"/>
      <c r="AH19" s="781"/>
      <c r="AI19" s="781"/>
      <c r="AJ19" s="742" t="str">
        <f t="shared" ca="1" si="2"/>
        <v/>
      </c>
      <c r="AK19" s="742"/>
      <c r="AL19" s="781" t="str">
        <f t="shared" ca="1" si="3"/>
        <v/>
      </c>
      <c r="AM19" s="781"/>
      <c r="AN19" s="781"/>
      <c r="AO19" s="781"/>
      <c r="AP19" s="781"/>
      <c r="AQ19" s="781"/>
      <c r="AR19" s="781"/>
      <c r="AS19" s="741" t="str">
        <f t="shared" ca="1" si="4"/>
        <v/>
      </c>
      <c r="AT19" s="741"/>
      <c r="AU19" s="741"/>
      <c r="AV19" s="741"/>
      <c r="AW19" s="741"/>
      <c r="AX19" s="741"/>
      <c r="AY19" s="741"/>
      <c r="AZ19" s="473"/>
    </row>
    <row r="20" spans="1:52" s="403" customFormat="1" ht="36.75" customHeight="1">
      <c r="B20" s="742">
        <f t="shared" si="5"/>
        <v>8</v>
      </c>
      <c r="C20" s="742"/>
      <c r="D20" s="743" t="str">
        <f t="shared" ca="1" si="0"/>
        <v/>
      </c>
      <c r="E20" s="743"/>
      <c r="F20" s="743"/>
      <c r="G20" s="743"/>
      <c r="H20" s="743"/>
      <c r="I20" s="743"/>
      <c r="J20" s="743"/>
      <c r="K20" s="743"/>
      <c r="L20" s="743"/>
      <c r="M20" s="743"/>
      <c r="N20" s="743"/>
      <c r="O20" s="743"/>
      <c r="P20" s="743"/>
      <c r="Q20" s="743"/>
      <c r="R20" s="743"/>
      <c r="S20" s="743"/>
      <c r="T20" s="743"/>
      <c r="U20" s="743"/>
      <c r="V20" s="743"/>
      <c r="W20" s="743"/>
      <c r="X20" s="743"/>
      <c r="Y20" s="743"/>
      <c r="Z20" s="743"/>
      <c r="AA20" s="743"/>
      <c r="AB20" s="743"/>
      <c r="AC20" s="781" t="str">
        <f t="shared" ca="1" si="1"/>
        <v/>
      </c>
      <c r="AD20" s="781"/>
      <c r="AE20" s="781"/>
      <c r="AF20" s="781"/>
      <c r="AG20" s="781"/>
      <c r="AH20" s="781"/>
      <c r="AI20" s="781"/>
      <c r="AJ20" s="742" t="str">
        <f t="shared" ca="1" si="2"/>
        <v/>
      </c>
      <c r="AK20" s="742"/>
      <c r="AL20" s="781" t="str">
        <f t="shared" ca="1" si="3"/>
        <v/>
      </c>
      <c r="AM20" s="781"/>
      <c r="AN20" s="781"/>
      <c r="AO20" s="781"/>
      <c r="AP20" s="781"/>
      <c r="AQ20" s="781"/>
      <c r="AR20" s="781"/>
      <c r="AS20" s="741" t="str">
        <f t="shared" ca="1" si="4"/>
        <v/>
      </c>
      <c r="AT20" s="741"/>
      <c r="AU20" s="741"/>
      <c r="AV20" s="741"/>
      <c r="AW20" s="741"/>
      <c r="AX20" s="741"/>
      <c r="AY20" s="741"/>
    </row>
    <row r="21" spans="1:52" s="403" customFormat="1" ht="36.75" customHeight="1">
      <c r="B21" s="742">
        <f t="shared" si="5"/>
        <v>9</v>
      </c>
      <c r="C21" s="742"/>
      <c r="D21" s="743" t="str">
        <f t="shared" ca="1" si="0"/>
        <v/>
      </c>
      <c r="E21" s="743"/>
      <c r="F21" s="743"/>
      <c r="G21" s="743"/>
      <c r="H21" s="743"/>
      <c r="I21" s="743"/>
      <c r="J21" s="743"/>
      <c r="K21" s="743"/>
      <c r="L21" s="743"/>
      <c r="M21" s="743"/>
      <c r="N21" s="743"/>
      <c r="O21" s="743"/>
      <c r="P21" s="743"/>
      <c r="Q21" s="743"/>
      <c r="R21" s="743"/>
      <c r="S21" s="743"/>
      <c r="T21" s="743"/>
      <c r="U21" s="743"/>
      <c r="V21" s="743"/>
      <c r="W21" s="743"/>
      <c r="X21" s="743"/>
      <c r="Y21" s="743"/>
      <c r="Z21" s="743"/>
      <c r="AA21" s="743"/>
      <c r="AB21" s="743"/>
      <c r="AC21" s="781" t="str">
        <f t="shared" ca="1" si="1"/>
        <v/>
      </c>
      <c r="AD21" s="781"/>
      <c r="AE21" s="781"/>
      <c r="AF21" s="781"/>
      <c r="AG21" s="781"/>
      <c r="AH21" s="781"/>
      <c r="AI21" s="781"/>
      <c r="AJ21" s="742" t="str">
        <f t="shared" ca="1" si="2"/>
        <v/>
      </c>
      <c r="AK21" s="742"/>
      <c r="AL21" s="781" t="str">
        <f t="shared" ca="1" si="3"/>
        <v/>
      </c>
      <c r="AM21" s="781"/>
      <c r="AN21" s="781"/>
      <c r="AO21" s="781"/>
      <c r="AP21" s="781"/>
      <c r="AQ21" s="781"/>
      <c r="AR21" s="781"/>
      <c r="AS21" s="741" t="str">
        <f t="shared" ca="1" si="4"/>
        <v/>
      </c>
      <c r="AT21" s="741"/>
      <c r="AU21" s="741"/>
      <c r="AV21" s="741"/>
      <c r="AW21" s="741"/>
      <c r="AX21" s="741"/>
      <c r="AY21" s="741"/>
    </row>
    <row r="22" spans="1:52" s="403" customFormat="1" ht="36.75" customHeight="1">
      <c r="B22" s="742">
        <f t="shared" si="5"/>
        <v>10</v>
      </c>
      <c r="C22" s="742"/>
      <c r="D22" s="743" t="str">
        <f t="shared" ca="1" si="0"/>
        <v/>
      </c>
      <c r="E22" s="743"/>
      <c r="F22" s="743"/>
      <c r="G22" s="743"/>
      <c r="H22" s="743"/>
      <c r="I22" s="743"/>
      <c r="J22" s="743"/>
      <c r="K22" s="743"/>
      <c r="L22" s="743"/>
      <c r="M22" s="743"/>
      <c r="N22" s="743"/>
      <c r="O22" s="743"/>
      <c r="P22" s="743"/>
      <c r="Q22" s="743"/>
      <c r="R22" s="743"/>
      <c r="S22" s="743"/>
      <c r="T22" s="743"/>
      <c r="U22" s="743"/>
      <c r="V22" s="743"/>
      <c r="W22" s="743"/>
      <c r="X22" s="743"/>
      <c r="Y22" s="743"/>
      <c r="Z22" s="743"/>
      <c r="AA22" s="743"/>
      <c r="AB22" s="743"/>
      <c r="AC22" s="781" t="str">
        <f t="shared" ca="1" si="1"/>
        <v/>
      </c>
      <c r="AD22" s="781"/>
      <c r="AE22" s="781"/>
      <c r="AF22" s="781"/>
      <c r="AG22" s="781"/>
      <c r="AH22" s="781"/>
      <c r="AI22" s="781"/>
      <c r="AJ22" s="742" t="str">
        <f t="shared" ca="1" si="2"/>
        <v/>
      </c>
      <c r="AK22" s="742"/>
      <c r="AL22" s="781" t="str">
        <f t="shared" ca="1" si="3"/>
        <v/>
      </c>
      <c r="AM22" s="781"/>
      <c r="AN22" s="781"/>
      <c r="AO22" s="781"/>
      <c r="AP22" s="781"/>
      <c r="AQ22" s="781"/>
      <c r="AR22" s="781"/>
      <c r="AS22" s="741" t="str">
        <f t="shared" ca="1" si="4"/>
        <v/>
      </c>
      <c r="AT22" s="741"/>
      <c r="AU22" s="741"/>
      <c r="AV22" s="741"/>
      <c r="AW22" s="741"/>
      <c r="AX22" s="741"/>
      <c r="AY22" s="741"/>
    </row>
    <row r="23" spans="1:52" s="403" customFormat="1" ht="36.75" customHeight="1">
      <c r="B23" s="742">
        <f t="shared" si="5"/>
        <v>11</v>
      </c>
      <c r="C23" s="742"/>
      <c r="D23" s="743" t="str">
        <f t="shared" ca="1" si="0"/>
        <v/>
      </c>
      <c r="E23" s="743"/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81" t="str">
        <f t="shared" ca="1" si="1"/>
        <v/>
      </c>
      <c r="AD23" s="781"/>
      <c r="AE23" s="781"/>
      <c r="AF23" s="781"/>
      <c r="AG23" s="781"/>
      <c r="AH23" s="781"/>
      <c r="AI23" s="781"/>
      <c r="AJ23" s="742" t="str">
        <f t="shared" ca="1" si="2"/>
        <v/>
      </c>
      <c r="AK23" s="742"/>
      <c r="AL23" s="781" t="str">
        <f t="shared" ca="1" si="3"/>
        <v/>
      </c>
      <c r="AM23" s="781"/>
      <c r="AN23" s="781"/>
      <c r="AO23" s="781"/>
      <c r="AP23" s="781"/>
      <c r="AQ23" s="781"/>
      <c r="AR23" s="781"/>
      <c r="AS23" s="741" t="str">
        <f t="shared" ca="1" si="4"/>
        <v/>
      </c>
      <c r="AT23" s="741"/>
      <c r="AU23" s="741"/>
      <c r="AV23" s="741"/>
      <c r="AW23" s="741"/>
      <c r="AX23" s="741"/>
      <c r="AY23" s="741"/>
    </row>
    <row r="24" spans="1:52" s="403" customFormat="1" ht="36.75" customHeight="1">
      <c r="B24" s="742">
        <f t="shared" si="5"/>
        <v>12</v>
      </c>
      <c r="C24" s="742"/>
      <c r="D24" s="743" t="str">
        <f t="shared" ca="1" si="0"/>
        <v/>
      </c>
      <c r="E24" s="743"/>
      <c r="F24" s="743"/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3"/>
      <c r="S24" s="743"/>
      <c r="T24" s="743"/>
      <c r="U24" s="743"/>
      <c r="V24" s="743"/>
      <c r="W24" s="743"/>
      <c r="X24" s="743"/>
      <c r="Y24" s="743"/>
      <c r="Z24" s="743"/>
      <c r="AA24" s="743"/>
      <c r="AB24" s="743"/>
      <c r="AC24" s="781" t="str">
        <f t="shared" ca="1" si="1"/>
        <v/>
      </c>
      <c r="AD24" s="781"/>
      <c r="AE24" s="781"/>
      <c r="AF24" s="781"/>
      <c r="AG24" s="781"/>
      <c r="AH24" s="781"/>
      <c r="AI24" s="781"/>
      <c r="AJ24" s="742" t="str">
        <f t="shared" ca="1" si="2"/>
        <v/>
      </c>
      <c r="AK24" s="742"/>
      <c r="AL24" s="781" t="str">
        <f t="shared" ca="1" si="3"/>
        <v/>
      </c>
      <c r="AM24" s="781"/>
      <c r="AN24" s="781"/>
      <c r="AO24" s="781"/>
      <c r="AP24" s="781"/>
      <c r="AQ24" s="781"/>
      <c r="AR24" s="781"/>
      <c r="AS24" s="741" t="str">
        <f t="shared" ca="1" si="4"/>
        <v/>
      </c>
      <c r="AT24" s="741"/>
      <c r="AU24" s="741"/>
      <c r="AV24" s="741"/>
      <c r="AW24" s="741"/>
      <c r="AX24" s="741"/>
      <c r="AY24" s="741"/>
    </row>
    <row r="25" spans="1:52" s="403" customFormat="1" ht="36.75" customHeight="1">
      <c r="B25" s="742">
        <f t="shared" si="5"/>
        <v>13</v>
      </c>
      <c r="C25" s="742"/>
      <c r="D25" s="743" t="str">
        <f t="shared" ca="1" si="0"/>
        <v/>
      </c>
      <c r="E25" s="743"/>
      <c r="F25" s="743"/>
      <c r="G25" s="743"/>
      <c r="H25" s="743"/>
      <c r="I25" s="743"/>
      <c r="J25" s="743"/>
      <c r="K25" s="743"/>
      <c r="L25" s="743"/>
      <c r="M25" s="743"/>
      <c r="N25" s="743"/>
      <c r="O25" s="743"/>
      <c r="P25" s="743"/>
      <c r="Q25" s="743"/>
      <c r="R25" s="743"/>
      <c r="S25" s="743"/>
      <c r="T25" s="743"/>
      <c r="U25" s="743"/>
      <c r="V25" s="743"/>
      <c r="W25" s="743"/>
      <c r="X25" s="743"/>
      <c r="Y25" s="743"/>
      <c r="Z25" s="743"/>
      <c r="AA25" s="743"/>
      <c r="AB25" s="743"/>
      <c r="AC25" s="781" t="str">
        <f t="shared" ca="1" si="1"/>
        <v/>
      </c>
      <c r="AD25" s="781"/>
      <c r="AE25" s="781"/>
      <c r="AF25" s="781"/>
      <c r="AG25" s="781"/>
      <c r="AH25" s="781"/>
      <c r="AI25" s="781"/>
      <c r="AJ25" s="742" t="str">
        <f t="shared" ca="1" si="2"/>
        <v/>
      </c>
      <c r="AK25" s="742"/>
      <c r="AL25" s="781" t="str">
        <f t="shared" ca="1" si="3"/>
        <v/>
      </c>
      <c r="AM25" s="781"/>
      <c r="AN25" s="781"/>
      <c r="AO25" s="781"/>
      <c r="AP25" s="781"/>
      <c r="AQ25" s="781"/>
      <c r="AR25" s="781"/>
      <c r="AS25" s="741" t="str">
        <f t="shared" ca="1" si="4"/>
        <v/>
      </c>
      <c r="AT25" s="741"/>
      <c r="AU25" s="741"/>
      <c r="AV25" s="741"/>
      <c r="AW25" s="741"/>
      <c r="AX25" s="741"/>
      <c r="AY25" s="741"/>
    </row>
    <row r="26" spans="1:52" s="403" customFormat="1" ht="36.75" customHeight="1">
      <c r="B26" s="742">
        <f t="shared" si="5"/>
        <v>14</v>
      </c>
      <c r="C26" s="742"/>
      <c r="D26" s="743" t="str">
        <f t="shared" ca="1" si="0"/>
        <v/>
      </c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43"/>
      <c r="S26" s="743"/>
      <c r="T26" s="743"/>
      <c r="U26" s="743"/>
      <c r="V26" s="743"/>
      <c r="W26" s="743"/>
      <c r="X26" s="743"/>
      <c r="Y26" s="743"/>
      <c r="Z26" s="743"/>
      <c r="AA26" s="743"/>
      <c r="AB26" s="743"/>
      <c r="AC26" s="781" t="str">
        <f t="shared" ca="1" si="1"/>
        <v/>
      </c>
      <c r="AD26" s="781"/>
      <c r="AE26" s="781"/>
      <c r="AF26" s="781"/>
      <c r="AG26" s="781"/>
      <c r="AH26" s="781"/>
      <c r="AI26" s="781"/>
      <c r="AJ26" s="742" t="str">
        <f t="shared" ca="1" si="2"/>
        <v/>
      </c>
      <c r="AK26" s="742"/>
      <c r="AL26" s="781" t="str">
        <f t="shared" ca="1" si="3"/>
        <v/>
      </c>
      <c r="AM26" s="781"/>
      <c r="AN26" s="781"/>
      <c r="AO26" s="781"/>
      <c r="AP26" s="781"/>
      <c r="AQ26" s="781"/>
      <c r="AR26" s="781"/>
      <c r="AS26" s="741" t="str">
        <f t="shared" ca="1" si="4"/>
        <v/>
      </c>
      <c r="AT26" s="741"/>
      <c r="AU26" s="741"/>
      <c r="AV26" s="741"/>
      <c r="AW26" s="741"/>
      <c r="AX26" s="741"/>
      <c r="AY26" s="741"/>
    </row>
    <row r="27" spans="1:52" s="403" customFormat="1" ht="36.75" customHeight="1">
      <c r="B27" s="742">
        <f t="shared" si="5"/>
        <v>15</v>
      </c>
      <c r="C27" s="742"/>
      <c r="D27" s="743" t="str">
        <f t="shared" ca="1" si="0"/>
        <v/>
      </c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43"/>
      <c r="S27" s="743"/>
      <c r="T27" s="743"/>
      <c r="U27" s="743"/>
      <c r="V27" s="743"/>
      <c r="W27" s="743"/>
      <c r="X27" s="743"/>
      <c r="Y27" s="743"/>
      <c r="Z27" s="743"/>
      <c r="AA27" s="743"/>
      <c r="AB27" s="743"/>
      <c r="AC27" s="781" t="str">
        <f t="shared" ca="1" si="1"/>
        <v/>
      </c>
      <c r="AD27" s="781"/>
      <c r="AE27" s="781"/>
      <c r="AF27" s="781"/>
      <c r="AG27" s="781"/>
      <c r="AH27" s="781"/>
      <c r="AI27" s="781"/>
      <c r="AJ27" s="742" t="str">
        <f t="shared" ca="1" si="2"/>
        <v/>
      </c>
      <c r="AK27" s="742"/>
      <c r="AL27" s="781" t="str">
        <f t="shared" ca="1" si="3"/>
        <v/>
      </c>
      <c r="AM27" s="781"/>
      <c r="AN27" s="781"/>
      <c r="AO27" s="781"/>
      <c r="AP27" s="781"/>
      <c r="AQ27" s="781"/>
      <c r="AR27" s="781"/>
      <c r="AS27" s="741" t="str">
        <f t="shared" ca="1" si="4"/>
        <v/>
      </c>
      <c r="AT27" s="741"/>
      <c r="AU27" s="741"/>
      <c r="AV27" s="741"/>
      <c r="AW27" s="741"/>
      <c r="AX27" s="741"/>
      <c r="AY27" s="741"/>
    </row>
    <row r="28" spans="1:52" s="403" customFormat="1" ht="36.75" customHeight="1">
      <c r="B28" s="742">
        <f t="shared" si="5"/>
        <v>16</v>
      </c>
      <c r="C28" s="742"/>
      <c r="D28" s="743" t="str">
        <f t="shared" ca="1" si="0"/>
        <v/>
      </c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43"/>
      <c r="S28" s="743"/>
      <c r="T28" s="743"/>
      <c r="U28" s="743"/>
      <c r="V28" s="743"/>
      <c r="W28" s="743"/>
      <c r="X28" s="743"/>
      <c r="Y28" s="743"/>
      <c r="Z28" s="743"/>
      <c r="AA28" s="743"/>
      <c r="AB28" s="743"/>
      <c r="AC28" s="781" t="str">
        <f t="shared" ca="1" si="1"/>
        <v/>
      </c>
      <c r="AD28" s="781"/>
      <c r="AE28" s="781"/>
      <c r="AF28" s="781"/>
      <c r="AG28" s="781"/>
      <c r="AH28" s="781"/>
      <c r="AI28" s="781"/>
      <c r="AJ28" s="742" t="str">
        <f t="shared" ca="1" si="2"/>
        <v/>
      </c>
      <c r="AK28" s="742"/>
      <c r="AL28" s="781" t="str">
        <f t="shared" ca="1" si="3"/>
        <v/>
      </c>
      <c r="AM28" s="781"/>
      <c r="AN28" s="781"/>
      <c r="AO28" s="781"/>
      <c r="AP28" s="781"/>
      <c r="AQ28" s="781"/>
      <c r="AR28" s="781"/>
      <c r="AS28" s="741" t="str">
        <f t="shared" ca="1" si="4"/>
        <v/>
      </c>
      <c r="AT28" s="741"/>
      <c r="AU28" s="741"/>
      <c r="AV28" s="741"/>
      <c r="AW28" s="741"/>
      <c r="AX28" s="741"/>
      <c r="AY28" s="741"/>
    </row>
    <row r="29" spans="1:52" s="403" customFormat="1" ht="36.75" customHeight="1">
      <c r="B29" s="742">
        <f t="shared" si="5"/>
        <v>17</v>
      </c>
      <c r="C29" s="742"/>
      <c r="D29" s="743" t="str">
        <f t="shared" ca="1" si="0"/>
        <v/>
      </c>
      <c r="E29" s="743"/>
      <c r="F29" s="743"/>
      <c r="G29" s="743"/>
      <c r="H29" s="743"/>
      <c r="I29" s="743"/>
      <c r="J29" s="743"/>
      <c r="K29" s="743"/>
      <c r="L29" s="743"/>
      <c r="M29" s="743"/>
      <c r="N29" s="743"/>
      <c r="O29" s="743"/>
      <c r="P29" s="743"/>
      <c r="Q29" s="743"/>
      <c r="R29" s="743"/>
      <c r="S29" s="743"/>
      <c r="T29" s="743"/>
      <c r="U29" s="743"/>
      <c r="V29" s="743"/>
      <c r="W29" s="743"/>
      <c r="X29" s="743"/>
      <c r="Y29" s="743"/>
      <c r="Z29" s="743"/>
      <c r="AA29" s="743"/>
      <c r="AB29" s="743"/>
      <c r="AC29" s="781" t="str">
        <f t="shared" ca="1" si="1"/>
        <v/>
      </c>
      <c r="AD29" s="781"/>
      <c r="AE29" s="781"/>
      <c r="AF29" s="781"/>
      <c r="AG29" s="781"/>
      <c r="AH29" s="781"/>
      <c r="AI29" s="781"/>
      <c r="AJ29" s="742" t="str">
        <f t="shared" ca="1" si="2"/>
        <v/>
      </c>
      <c r="AK29" s="742"/>
      <c r="AL29" s="781" t="str">
        <f t="shared" ca="1" si="3"/>
        <v/>
      </c>
      <c r="AM29" s="781"/>
      <c r="AN29" s="781"/>
      <c r="AO29" s="781"/>
      <c r="AP29" s="781"/>
      <c r="AQ29" s="781"/>
      <c r="AR29" s="781"/>
      <c r="AS29" s="741" t="str">
        <f t="shared" ca="1" si="4"/>
        <v/>
      </c>
      <c r="AT29" s="741"/>
      <c r="AU29" s="741"/>
      <c r="AV29" s="741"/>
      <c r="AW29" s="741"/>
      <c r="AX29" s="741"/>
      <c r="AY29" s="741"/>
    </row>
    <row r="30" spans="1:52" s="403" customFormat="1" ht="36.75" customHeight="1">
      <c r="B30" s="742">
        <f t="shared" si="5"/>
        <v>18</v>
      </c>
      <c r="C30" s="742"/>
      <c r="D30" s="743" t="str">
        <f t="shared" ca="1" si="0"/>
        <v/>
      </c>
      <c r="E30" s="743"/>
      <c r="F30" s="743"/>
      <c r="G30" s="743"/>
      <c r="H30" s="743"/>
      <c r="I30" s="743"/>
      <c r="J30" s="743"/>
      <c r="K30" s="743"/>
      <c r="L30" s="743"/>
      <c r="M30" s="743"/>
      <c r="N30" s="743"/>
      <c r="O30" s="743"/>
      <c r="P30" s="743"/>
      <c r="Q30" s="743"/>
      <c r="R30" s="743"/>
      <c r="S30" s="743"/>
      <c r="T30" s="743"/>
      <c r="U30" s="743"/>
      <c r="V30" s="743"/>
      <c r="W30" s="743"/>
      <c r="X30" s="743"/>
      <c r="Y30" s="743"/>
      <c r="Z30" s="743"/>
      <c r="AA30" s="743"/>
      <c r="AB30" s="743"/>
      <c r="AC30" s="781" t="str">
        <f t="shared" ca="1" si="1"/>
        <v/>
      </c>
      <c r="AD30" s="781"/>
      <c r="AE30" s="781"/>
      <c r="AF30" s="781"/>
      <c r="AG30" s="781"/>
      <c r="AH30" s="781"/>
      <c r="AI30" s="781"/>
      <c r="AJ30" s="742" t="str">
        <f t="shared" ca="1" si="2"/>
        <v/>
      </c>
      <c r="AK30" s="742"/>
      <c r="AL30" s="781" t="str">
        <f t="shared" ca="1" si="3"/>
        <v/>
      </c>
      <c r="AM30" s="781"/>
      <c r="AN30" s="781"/>
      <c r="AO30" s="781"/>
      <c r="AP30" s="781"/>
      <c r="AQ30" s="781"/>
      <c r="AR30" s="781"/>
      <c r="AS30" s="741" t="str">
        <f t="shared" ca="1" si="4"/>
        <v/>
      </c>
      <c r="AT30" s="741"/>
      <c r="AU30" s="741"/>
      <c r="AV30" s="741"/>
      <c r="AW30" s="741"/>
      <c r="AX30" s="741"/>
      <c r="AY30" s="741"/>
    </row>
    <row r="31" spans="1:52" s="403" customFormat="1" ht="36.75" customHeight="1">
      <c r="A31" s="403" t="s">
        <v>1529</v>
      </c>
      <c r="B31" s="742">
        <f t="shared" si="5"/>
        <v>19</v>
      </c>
      <c r="C31" s="742"/>
      <c r="D31" s="743" t="str">
        <f t="shared" ca="1" si="0"/>
        <v/>
      </c>
      <c r="E31" s="743"/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3"/>
      <c r="R31" s="743"/>
      <c r="S31" s="743"/>
      <c r="T31" s="743"/>
      <c r="U31" s="743"/>
      <c r="V31" s="743"/>
      <c r="W31" s="743"/>
      <c r="X31" s="743"/>
      <c r="Y31" s="743"/>
      <c r="Z31" s="743"/>
      <c r="AA31" s="743"/>
      <c r="AB31" s="743"/>
      <c r="AC31" s="781" t="str">
        <f t="shared" ca="1" si="1"/>
        <v/>
      </c>
      <c r="AD31" s="781"/>
      <c r="AE31" s="781"/>
      <c r="AF31" s="781"/>
      <c r="AG31" s="781"/>
      <c r="AH31" s="781"/>
      <c r="AI31" s="781"/>
      <c r="AJ31" s="742" t="str">
        <f t="shared" ca="1" si="2"/>
        <v/>
      </c>
      <c r="AK31" s="742"/>
      <c r="AL31" s="781" t="str">
        <f t="shared" ca="1" si="3"/>
        <v/>
      </c>
      <c r="AM31" s="781"/>
      <c r="AN31" s="781"/>
      <c r="AO31" s="781"/>
      <c r="AP31" s="781"/>
      <c r="AQ31" s="781"/>
      <c r="AR31" s="781"/>
      <c r="AS31" s="741" t="str">
        <f t="shared" ca="1" si="4"/>
        <v/>
      </c>
      <c r="AT31" s="741"/>
      <c r="AU31" s="741"/>
      <c r="AV31" s="741"/>
      <c r="AW31" s="741"/>
      <c r="AX31" s="741"/>
      <c r="AY31" s="741"/>
      <c r="AZ31" s="473" t="s">
        <v>1530</v>
      </c>
    </row>
    <row r="32" spans="1:52" s="403" customFormat="1" ht="36.75" customHeight="1">
      <c r="B32" s="742">
        <f t="shared" si="5"/>
        <v>20</v>
      </c>
      <c r="C32" s="742"/>
      <c r="D32" s="743" t="str">
        <f t="shared" ca="1" si="0"/>
        <v/>
      </c>
      <c r="E32" s="743"/>
      <c r="F32" s="743"/>
      <c r="G32" s="743"/>
      <c r="H32" s="743"/>
      <c r="I32" s="743"/>
      <c r="J32" s="743"/>
      <c r="K32" s="743"/>
      <c r="L32" s="743"/>
      <c r="M32" s="743"/>
      <c r="N32" s="743"/>
      <c r="O32" s="743"/>
      <c r="P32" s="743"/>
      <c r="Q32" s="743"/>
      <c r="R32" s="743"/>
      <c r="S32" s="743"/>
      <c r="T32" s="743"/>
      <c r="U32" s="743"/>
      <c r="V32" s="743"/>
      <c r="W32" s="743"/>
      <c r="X32" s="743"/>
      <c r="Y32" s="743"/>
      <c r="Z32" s="743"/>
      <c r="AA32" s="743"/>
      <c r="AB32" s="743"/>
      <c r="AC32" s="781" t="str">
        <f t="shared" ca="1" si="1"/>
        <v/>
      </c>
      <c r="AD32" s="781"/>
      <c r="AE32" s="781"/>
      <c r="AF32" s="781"/>
      <c r="AG32" s="781"/>
      <c r="AH32" s="781"/>
      <c r="AI32" s="781"/>
      <c r="AJ32" s="742" t="str">
        <f t="shared" ca="1" si="2"/>
        <v/>
      </c>
      <c r="AK32" s="742"/>
      <c r="AL32" s="781" t="str">
        <f t="shared" ca="1" si="3"/>
        <v/>
      </c>
      <c r="AM32" s="781"/>
      <c r="AN32" s="781"/>
      <c r="AO32" s="781"/>
      <c r="AP32" s="781"/>
      <c r="AQ32" s="781"/>
      <c r="AR32" s="781"/>
      <c r="AS32" s="741" t="str">
        <f t="shared" ca="1" si="4"/>
        <v/>
      </c>
      <c r="AT32" s="741"/>
      <c r="AU32" s="741"/>
      <c r="AV32" s="741"/>
      <c r="AW32" s="741"/>
      <c r="AX32" s="741"/>
      <c r="AY32" s="741"/>
    </row>
    <row r="33" spans="2:51" s="403" customFormat="1" ht="45" customHeight="1">
      <c r="B33" s="749" t="s">
        <v>1527</v>
      </c>
      <c r="C33" s="750"/>
      <c r="D33" s="750"/>
      <c r="E33" s="751" t="str">
        <f>IF(UNNH0030_REPORT_IF_H_EIGYO_MEI="","",UNNH0030_REPORT_IF_H_EIGYO_MEI)</f>
        <v/>
      </c>
      <c r="F33" s="751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  <c r="U33" s="751"/>
      <c r="V33" s="751"/>
      <c r="W33" s="751"/>
      <c r="X33" s="751"/>
      <c r="Y33" s="751"/>
      <c r="Z33" s="751"/>
      <c r="AA33" s="751"/>
      <c r="AB33" s="751"/>
      <c r="AC33" s="751"/>
      <c r="AD33" s="751"/>
      <c r="AE33" s="751"/>
      <c r="AF33" s="751"/>
      <c r="AG33" s="752"/>
      <c r="AH33" s="742" t="s">
        <v>1107</v>
      </c>
      <c r="AI33" s="742"/>
      <c r="AJ33" s="742"/>
      <c r="AK33" s="742"/>
      <c r="AL33" s="742"/>
      <c r="AM33" s="742"/>
      <c r="AN33" s="742"/>
      <c r="AO33" s="742"/>
      <c r="AP33" s="742"/>
      <c r="AQ33" s="782">
        <f>IF(ROUNDUP(ROW()/ROWS(UNNH0030_SEIKYUSHO_PAGE_AREA),0)=UNNH0030_REPORT_IF_B_PAGE_TOTAL,UNNH0030_REPORT_IF_H_TOTAL,"")</f>
        <v>0</v>
      </c>
      <c r="AR33" s="783"/>
      <c r="AS33" s="783"/>
      <c r="AT33" s="783"/>
      <c r="AU33" s="783"/>
      <c r="AV33" s="783"/>
      <c r="AW33" s="783"/>
      <c r="AX33" s="783"/>
      <c r="AY33" s="784"/>
    </row>
    <row r="34" spans="2:51" s="403" customFormat="1" ht="33.75" customHeight="1"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</row>
    <row r="35" spans="2:51" s="403" customFormat="1" ht="38.25" customHeight="1">
      <c r="B35" s="756" t="s">
        <v>1528</v>
      </c>
      <c r="C35" s="757"/>
      <c r="D35" s="758"/>
      <c r="E35" s="738" t="str">
        <f>IF(UNNH0030_REPORT_IF_H_TEKIYO="","",UNNH0030_REPORT_IF_H_TEKIYO)</f>
        <v/>
      </c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8"/>
      <c r="Y35" s="738"/>
      <c r="Z35" s="738"/>
      <c r="AA35" s="738"/>
      <c r="AB35" s="738"/>
      <c r="AC35" s="738"/>
      <c r="AD35" s="738"/>
      <c r="AE35" s="738"/>
      <c r="AF35" s="738"/>
      <c r="AG35" s="738"/>
      <c r="AH35" s="738"/>
      <c r="AI35" s="738"/>
      <c r="AJ35" s="738"/>
      <c r="AK35" s="738"/>
      <c r="AL35" s="738"/>
      <c r="AM35" s="738"/>
      <c r="AN35" s="738"/>
      <c r="AO35" s="738"/>
      <c r="AP35" s="738"/>
      <c r="AQ35" s="738"/>
      <c r="AR35" s="738"/>
      <c r="AS35" s="738"/>
      <c r="AU35" s="739" t="str">
        <f>IF(UNNH0030_REPORT_IF_H_SEIKYUHOHO_KBN=0,"","締日 "&amp;UNNH0030_REPORT_IF_H_SHIMEBI)</f>
        <v/>
      </c>
      <c r="AV35" s="739"/>
      <c r="AW35" s="739"/>
      <c r="AX35" s="739"/>
      <c r="AY35" s="740" t="str">
        <f>UNNH0030_REPORT_IF_H_SHIMEBI_MARK</f>
        <v>*</v>
      </c>
    </row>
    <row r="36" spans="2:51" s="403" customFormat="1" ht="38.25" customHeight="1">
      <c r="B36" s="759"/>
      <c r="C36" s="760"/>
      <c r="D36" s="761"/>
      <c r="E36" s="738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8"/>
      <c r="Y36" s="738"/>
      <c r="Z36" s="738"/>
      <c r="AA36" s="738"/>
      <c r="AB36" s="738"/>
      <c r="AC36" s="738"/>
      <c r="AD36" s="738"/>
      <c r="AE36" s="738"/>
      <c r="AF36" s="738"/>
      <c r="AG36" s="738"/>
      <c r="AH36" s="738"/>
      <c r="AI36" s="738"/>
      <c r="AJ36" s="738"/>
      <c r="AK36" s="738"/>
      <c r="AL36" s="738"/>
      <c r="AM36" s="738"/>
      <c r="AN36" s="738"/>
      <c r="AO36" s="738"/>
      <c r="AP36" s="738"/>
      <c r="AQ36" s="738"/>
      <c r="AR36" s="738"/>
      <c r="AS36" s="738"/>
      <c r="AU36" s="739"/>
      <c r="AV36" s="739"/>
      <c r="AW36" s="739"/>
      <c r="AX36" s="739"/>
      <c r="AY36" s="740"/>
    </row>
    <row r="37" spans="2:51" s="403" customFormat="1" ht="30" customHeight="1">
      <c r="B37" s="777" t="str">
        <f>IF(UNNH0030_REPORT_IF_JURI_NO="","",UNNH0030_REPORT_IF_JURI_NO)</f>
        <v/>
      </c>
      <c r="C37" s="777"/>
      <c r="D37" s="777"/>
      <c r="E37" s="777"/>
      <c r="F37" s="777"/>
      <c r="G37" s="777"/>
      <c r="H37" s="777"/>
      <c r="I37" s="777"/>
      <c r="J37" s="777"/>
      <c r="K37" s="777"/>
      <c r="L37" s="777"/>
      <c r="M37" s="777"/>
      <c r="N37" s="777"/>
      <c r="O37" s="777"/>
      <c r="P37" s="777"/>
      <c r="Q37" s="777"/>
      <c r="R37" s="777"/>
      <c r="S37" s="777"/>
      <c r="T37" s="777"/>
      <c r="U37" s="777"/>
      <c r="V37" s="777"/>
      <c r="W37" s="777"/>
      <c r="X37" s="777"/>
      <c r="Y37" s="777"/>
      <c r="Z37" s="777"/>
      <c r="AA37" s="777"/>
      <c r="AB37" s="777"/>
      <c r="AC37" s="777"/>
      <c r="AD37" s="777"/>
      <c r="AE37" s="777"/>
      <c r="AF37" s="777"/>
      <c r="AG37" s="777"/>
      <c r="AH37" s="777"/>
      <c r="AI37" s="777"/>
      <c r="AJ37" s="777"/>
      <c r="AK37" s="777"/>
      <c r="AL37" s="777"/>
      <c r="AM37" s="777"/>
      <c r="AN37" s="777"/>
      <c r="AO37" s="777"/>
      <c r="AP37" s="777"/>
      <c r="AQ37" s="777"/>
      <c r="AR37" s="777"/>
      <c r="AS37" s="777"/>
      <c r="AT37" s="777"/>
      <c r="AU37" s="777"/>
      <c r="AV37" s="777"/>
      <c r="AW37" s="777"/>
      <c r="AX37" s="777"/>
      <c r="AY37" s="777"/>
    </row>
    <row r="38" spans="2:51" s="403" customFormat="1" ht="12" customHeight="1">
      <c r="C38" s="404"/>
      <c r="D38" s="404"/>
      <c r="E38" s="465"/>
      <c r="F38" s="466"/>
      <c r="G38" s="466"/>
      <c r="H38" s="466"/>
      <c r="I38" s="466"/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7"/>
      <c r="AA38" s="744" t="s">
        <v>1108</v>
      </c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P38" s="774" t="str">
        <f>"No."&amp;UNNH0030_REPORT_IF_H_URIAGE_NO&amp;"-"&amp;ROUNDUP(ROW()/ROWS(UNNH0030_SEIKYUSHO_PAGE_AREA),0)&amp;"/"&amp;UNNH0030_REPORT_IF_B_PAGE_TOTAL</f>
        <v>No.-2/1</v>
      </c>
      <c r="AQ38" s="774"/>
      <c r="AR38" s="774"/>
      <c r="AS38" s="774"/>
      <c r="AT38" s="774"/>
      <c r="AU38" s="774"/>
      <c r="AV38" s="774"/>
      <c r="AW38" s="774"/>
      <c r="AX38" s="774"/>
      <c r="AY38" s="774"/>
    </row>
    <row r="39" spans="2:51" s="403" customFormat="1" ht="24.75" customHeight="1">
      <c r="C39" s="404"/>
      <c r="E39" s="468"/>
      <c r="F39" s="775" t="str">
        <f>IF(UNNH0030_REPORT_IF_H_JUSHO_NO_PRINT_FLG=TRUE,"","〒")</f>
        <v>〒</v>
      </c>
      <c r="G39" s="775"/>
      <c r="H39" s="776" t="str">
        <f>IF(UNNH0030_REPORT_IF_H_JUSHO_NO_PRINT_FLG=TRUE,"",IF(UNNH0030_REPORT_IF_H_YUBIN_NO="","",UNNH0030_REPORT_IF_H_YUBIN_NO))</f>
        <v/>
      </c>
      <c r="I39" s="776"/>
      <c r="J39" s="776"/>
      <c r="K39" s="776"/>
      <c r="L39" s="776"/>
      <c r="M39" s="776"/>
      <c r="N39" s="776"/>
      <c r="O39" s="776"/>
      <c r="P39" s="776"/>
      <c r="Q39" s="776"/>
      <c r="R39" s="776"/>
      <c r="S39" s="776"/>
      <c r="T39" s="776"/>
      <c r="U39" s="776"/>
      <c r="V39" s="776"/>
      <c r="W39" s="776"/>
      <c r="X39" s="776"/>
      <c r="Y39" s="469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P39" s="774"/>
      <c r="AQ39" s="774"/>
      <c r="AR39" s="774"/>
      <c r="AS39" s="774"/>
      <c r="AT39" s="774"/>
      <c r="AU39" s="774"/>
      <c r="AV39" s="774"/>
      <c r="AW39" s="774"/>
      <c r="AX39" s="774"/>
      <c r="AY39" s="774"/>
    </row>
    <row r="40" spans="2:51" s="403" customFormat="1" ht="24.75" customHeight="1">
      <c r="C40" s="404"/>
      <c r="E40" s="468"/>
      <c r="F40" s="745" t="str">
        <f>IF(UNNH0030_REPORT_IF_H_JUSHO_NO_PRINT_FLG="","",IF(UNNH0030_REPORT_IF_H_ADDRESS_1="","",UNNH0030_REPORT_IF_H_ADDRESS_1))</f>
        <v/>
      </c>
      <c r="G40" s="745"/>
      <c r="H40" s="745"/>
      <c r="I40" s="745"/>
      <c r="J40" s="745"/>
      <c r="K40" s="745"/>
      <c r="L40" s="745"/>
      <c r="M40" s="745"/>
      <c r="N40" s="745"/>
      <c r="O40" s="745"/>
      <c r="P40" s="745"/>
      <c r="Q40" s="745"/>
      <c r="R40" s="745"/>
      <c r="S40" s="745"/>
      <c r="T40" s="745"/>
      <c r="U40" s="745"/>
      <c r="V40" s="745"/>
      <c r="W40" s="745"/>
      <c r="X40" s="745"/>
      <c r="Y40" s="469"/>
      <c r="AP40" s="748">
        <f>UNNH0030_REPORT_IF_H_URIAGE_DATE</f>
        <v>0</v>
      </c>
      <c r="AQ40" s="748"/>
      <c r="AR40" s="748"/>
      <c r="AS40" s="748"/>
      <c r="AT40" s="748"/>
      <c r="AU40" s="748"/>
      <c r="AV40" s="748"/>
      <c r="AW40" s="748"/>
      <c r="AX40" s="748"/>
      <c r="AY40" s="748"/>
    </row>
    <row r="41" spans="2:51" s="403" customFormat="1" ht="24.75" customHeight="1">
      <c r="C41" s="404"/>
      <c r="E41" s="468"/>
      <c r="F41" s="745" t="str">
        <f>IF(UNNH0030_REPORT_IF_H_JUSHO_NO_PRINT_FLG="","",IF(UNNH0030_REPORT_IF_H_ADDRESS_2="","",UNNH0030_REPORT_IF_H_ADDRESS_2))</f>
        <v/>
      </c>
      <c r="G41" s="745"/>
      <c r="H41" s="745"/>
      <c r="I41" s="745"/>
      <c r="J41" s="745"/>
      <c r="K41" s="745"/>
      <c r="L41" s="745"/>
      <c r="M41" s="745"/>
      <c r="N41" s="745"/>
      <c r="O41" s="745"/>
      <c r="P41" s="745"/>
      <c r="Q41" s="745"/>
      <c r="R41" s="745"/>
      <c r="S41" s="745"/>
      <c r="T41" s="745"/>
      <c r="U41" s="745"/>
      <c r="V41" s="745"/>
      <c r="W41" s="745"/>
      <c r="X41" s="745"/>
      <c r="Y41" s="469"/>
    </row>
    <row r="42" spans="2:51" s="403" customFormat="1" ht="24.75" customHeight="1">
      <c r="C42" s="404"/>
      <c r="E42" s="468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  <c r="Q42" s="409"/>
      <c r="R42" s="409"/>
      <c r="S42" s="409"/>
      <c r="T42" s="409"/>
      <c r="U42" s="409"/>
      <c r="V42" s="409"/>
      <c r="W42" s="409"/>
      <c r="X42" s="409"/>
      <c r="Y42" s="469"/>
    </row>
    <row r="43" spans="2:51" s="403" customFormat="1" ht="26.25" customHeight="1">
      <c r="C43" s="404"/>
      <c r="E43" s="470"/>
      <c r="F43" s="745" t="str">
        <f>IF(TRIM(UNNH0030_REPORT_IF_H_SOFU_TANTO)="","",
IF(TRIM(UNNH0030_REPORT_IF_H_DEMPYO_SOFU_MEI)="","",
TRIM(UNNH0030_REPORT_IF_H_DEMPYO_SOFU_MEI)))</f>
        <v/>
      </c>
      <c r="G43" s="745"/>
      <c r="H43" s="745"/>
      <c r="I43" s="745"/>
      <c r="J43" s="745"/>
      <c r="K43" s="745"/>
      <c r="L43" s="745"/>
      <c r="M43" s="745"/>
      <c r="N43" s="745"/>
      <c r="O43" s="745"/>
      <c r="P43" s="745"/>
      <c r="Q43" s="745"/>
      <c r="R43" s="745"/>
      <c r="S43" s="745"/>
      <c r="T43" s="745"/>
      <c r="U43" s="745"/>
      <c r="V43" s="745"/>
      <c r="W43" s="745"/>
      <c r="X43" s="745"/>
      <c r="Y43" s="469"/>
    </row>
    <row r="44" spans="2:51" s="403" customFormat="1" ht="26.25" customHeight="1">
      <c r="C44" s="404"/>
      <c r="E44" s="468"/>
      <c r="F44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  <c r="U44" s="746"/>
      <c r="V44" s="746"/>
      <c r="W44" s="746"/>
      <c r="X44" s="746"/>
      <c r="Y44" s="469"/>
      <c r="Z44" s="477" t="str">
        <f>UNNH0030_REPORT_IF_H_SHIMEBI_MARK</f>
        <v>*</v>
      </c>
    </row>
    <row r="45" spans="2:51" s="403" customFormat="1" ht="25.5" customHeight="1">
      <c r="C45" s="404"/>
      <c r="E45" s="471"/>
      <c r="F45" s="747">
        <f>UNNH0030_REPORT_IF_H_SEIKYU_CD</f>
        <v>0</v>
      </c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  <c r="U45" s="747"/>
      <c r="V45" s="747"/>
      <c r="W45" s="747"/>
      <c r="X45" s="747"/>
      <c r="Y45" s="472"/>
    </row>
    <row r="46" spans="2:51" s="403" customFormat="1" ht="30" customHeight="1">
      <c r="C46" s="404"/>
    </row>
    <row r="47" spans="2:51" s="403" customFormat="1" ht="30" customHeight="1"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</row>
    <row r="48" spans="2:51" s="403" customFormat="1" ht="29.25" customHeight="1">
      <c r="B48" s="474" t="s">
        <v>1101</v>
      </c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</row>
    <row r="49" spans="1:52" s="403" customFormat="1" ht="36.75" customHeight="1">
      <c r="B49" s="742"/>
      <c r="C49" s="742"/>
      <c r="D49" s="742" t="s">
        <v>1102</v>
      </c>
      <c r="E49" s="742"/>
      <c r="F49" s="742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  <c r="R49" s="742"/>
      <c r="S49" s="742"/>
      <c r="T49" s="742"/>
      <c r="U49" s="742"/>
      <c r="V49" s="742"/>
      <c r="W49" s="742"/>
      <c r="X49" s="742"/>
      <c r="Y49" s="742"/>
      <c r="Z49" s="742"/>
      <c r="AA49" s="742"/>
      <c r="AB49" s="742"/>
      <c r="AC49" s="742" t="s">
        <v>1103</v>
      </c>
      <c r="AD49" s="742"/>
      <c r="AE49" s="742"/>
      <c r="AF49" s="742"/>
      <c r="AG49" s="742"/>
      <c r="AH49" s="742"/>
      <c r="AI49" s="742"/>
      <c r="AJ49" s="742" t="s">
        <v>1104</v>
      </c>
      <c r="AK49" s="742"/>
      <c r="AL49" s="742" t="s">
        <v>1105</v>
      </c>
      <c r="AM49" s="742"/>
      <c r="AN49" s="742"/>
      <c r="AO49" s="742"/>
      <c r="AP49" s="742"/>
      <c r="AQ49" s="742"/>
      <c r="AR49" s="742"/>
      <c r="AS49" s="742" t="s">
        <v>1106</v>
      </c>
      <c r="AT49" s="742"/>
      <c r="AU49" s="742"/>
      <c r="AV49" s="742"/>
      <c r="AW49" s="742"/>
      <c r="AX49" s="742"/>
      <c r="AY49" s="742"/>
    </row>
    <row r="50" spans="1:52" s="403" customFormat="1" ht="36.75" customHeight="1">
      <c r="B50" s="742">
        <f>ROUNDDOWN(ROW()/ROWS(UNNH0030_REPORT_RAYOUT_SEIKYUSHO),0)*UNNH0030_REPORT_IF_B_PAGE_MEISAI_SU+1</f>
        <v>21</v>
      </c>
      <c r="C50" s="742"/>
      <c r="D50" s="743" t="str">
        <f t="shared" ref="D50:D69" ca="1" si="6">IF(OFFSET(UNNH0030_REPORT_IF_B_SHOHIN_MEI,$B50,0)="","",OFFSET(UNNH0030_REPORT_IF_B_SHOHIN_MEI,$B50,0))</f>
        <v/>
      </c>
      <c r="E50" s="743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81" t="str">
        <f t="shared" ref="AC50:AC69" ca="1" si="7">IF(OR(OFFSET(UNNH0030_REPORT_IF_B_ROW_KBN,$B50,0)&lt;&gt;1,$D50="",$D50="消費税"),"",
OFFSET(UNNH0030_REPORT_IF_B_SURYO,$B50,0))</f>
        <v/>
      </c>
      <c r="AD50" s="781"/>
      <c r="AE50" s="781"/>
      <c r="AF50" s="781"/>
      <c r="AG50" s="781"/>
      <c r="AH50" s="781"/>
      <c r="AI50" s="781"/>
      <c r="AJ50" s="742" t="str">
        <f t="shared" ref="AJ50:AJ69" ca="1" si="8">IF(OFFSET(UNNH0030_REPORT_IF_B_TANI,$B50,0)="","",OFFSET(UNNH0030_REPORT_IF_B_TANI,$B50,0))</f>
        <v/>
      </c>
      <c r="AK50" s="742"/>
      <c r="AL50" s="781" t="str">
        <f t="shared" ref="AL50:AL69" ca="1" si="9">IF(OR(OFFSET(UNNH0030_REPORT_IF_B_ROW_KBN,$B50,0)&lt;&gt;1,$D50="",$D50="消費税"),"",
OFFSET(UNNH0030_REPORT_IF_B_TANKA,$B50,0))</f>
        <v/>
      </c>
      <c r="AM50" s="781"/>
      <c r="AN50" s="781"/>
      <c r="AO50" s="781"/>
      <c r="AP50" s="781"/>
      <c r="AQ50" s="781"/>
      <c r="AR50" s="781"/>
      <c r="AS50" s="741" t="str">
        <f t="shared" ref="AS50:AS69" ca="1" si="10">IF(OR(OFFSET(UNNH0030_REPORT_IF_B_KINGAKU,$B50,0)=0,$D50=""),"",
OFFSET(UNNH0030_REPORT_IF_B_KINGAKU,$B50,0))</f>
        <v/>
      </c>
      <c r="AT50" s="741"/>
      <c r="AU50" s="741"/>
      <c r="AV50" s="741"/>
      <c r="AW50" s="741"/>
      <c r="AX50" s="741"/>
      <c r="AY50" s="741"/>
    </row>
    <row r="51" spans="1:52" s="403" customFormat="1" ht="36.75" customHeight="1">
      <c r="B51" s="742">
        <f>B50+1</f>
        <v>22</v>
      </c>
      <c r="C51" s="742"/>
      <c r="D51" s="743" t="str">
        <f t="shared" ca="1" si="6"/>
        <v/>
      </c>
      <c r="E51" s="743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81" t="str">
        <f t="shared" ca="1" si="7"/>
        <v/>
      </c>
      <c r="AD51" s="781"/>
      <c r="AE51" s="781"/>
      <c r="AF51" s="781"/>
      <c r="AG51" s="781"/>
      <c r="AH51" s="781"/>
      <c r="AI51" s="781"/>
      <c r="AJ51" s="742" t="str">
        <f t="shared" ca="1" si="8"/>
        <v/>
      </c>
      <c r="AK51" s="742"/>
      <c r="AL51" s="781" t="str">
        <f t="shared" ca="1" si="9"/>
        <v/>
      </c>
      <c r="AM51" s="781"/>
      <c r="AN51" s="781"/>
      <c r="AO51" s="781"/>
      <c r="AP51" s="781"/>
      <c r="AQ51" s="781"/>
      <c r="AR51" s="781"/>
      <c r="AS51" s="741" t="str">
        <f t="shared" ca="1" si="10"/>
        <v/>
      </c>
      <c r="AT51" s="741"/>
      <c r="AU51" s="741"/>
      <c r="AV51" s="741"/>
      <c r="AW51" s="741"/>
      <c r="AX51" s="741"/>
      <c r="AY51" s="741"/>
    </row>
    <row r="52" spans="1:52" s="403" customFormat="1" ht="36.75" customHeight="1">
      <c r="B52" s="742">
        <f>B51+1</f>
        <v>23</v>
      </c>
      <c r="C52" s="742"/>
      <c r="D52" s="743" t="str">
        <f t="shared" ca="1" si="6"/>
        <v/>
      </c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3"/>
      <c r="R52" s="743"/>
      <c r="S52" s="743"/>
      <c r="T52" s="743"/>
      <c r="U52" s="743"/>
      <c r="V52" s="743"/>
      <c r="W52" s="743"/>
      <c r="X52" s="743"/>
      <c r="Y52" s="743"/>
      <c r="Z52" s="743"/>
      <c r="AA52" s="743"/>
      <c r="AB52" s="743"/>
      <c r="AC52" s="781" t="str">
        <f t="shared" ca="1" si="7"/>
        <v/>
      </c>
      <c r="AD52" s="781"/>
      <c r="AE52" s="781"/>
      <c r="AF52" s="781"/>
      <c r="AG52" s="781"/>
      <c r="AH52" s="781"/>
      <c r="AI52" s="781"/>
      <c r="AJ52" s="742" t="str">
        <f t="shared" ca="1" si="8"/>
        <v/>
      </c>
      <c r="AK52" s="742"/>
      <c r="AL52" s="781" t="str">
        <f t="shared" ca="1" si="9"/>
        <v/>
      </c>
      <c r="AM52" s="781"/>
      <c r="AN52" s="781"/>
      <c r="AO52" s="781"/>
      <c r="AP52" s="781"/>
      <c r="AQ52" s="781"/>
      <c r="AR52" s="781"/>
      <c r="AS52" s="741" t="str">
        <f t="shared" ca="1" si="10"/>
        <v/>
      </c>
      <c r="AT52" s="741"/>
      <c r="AU52" s="741"/>
      <c r="AV52" s="741"/>
      <c r="AW52" s="741"/>
      <c r="AX52" s="741"/>
      <c r="AY52" s="741"/>
    </row>
    <row r="53" spans="1:52" s="403" customFormat="1" ht="36.75" customHeight="1">
      <c r="B53" s="742">
        <f t="shared" ref="B53:B69" si="11">B52+1</f>
        <v>24</v>
      </c>
      <c r="C53" s="742"/>
      <c r="D53" s="743" t="str">
        <f t="shared" ca="1" si="6"/>
        <v/>
      </c>
      <c r="E53" s="743"/>
      <c r="F53" s="743"/>
      <c r="G53" s="743"/>
      <c r="H53" s="743"/>
      <c r="I53" s="743"/>
      <c r="J53" s="743"/>
      <c r="K53" s="743"/>
      <c r="L53" s="743"/>
      <c r="M53" s="743"/>
      <c r="N53" s="743"/>
      <c r="O53" s="743"/>
      <c r="P53" s="743"/>
      <c r="Q53" s="743"/>
      <c r="R53" s="743"/>
      <c r="S53" s="743"/>
      <c r="T53" s="743"/>
      <c r="U53" s="743"/>
      <c r="V53" s="743"/>
      <c r="W53" s="743"/>
      <c r="X53" s="743"/>
      <c r="Y53" s="743"/>
      <c r="Z53" s="743"/>
      <c r="AA53" s="743"/>
      <c r="AB53" s="743"/>
      <c r="AC53" s="781" t="str">
        <f t="shared" ca="1" si="7"/>
        <v/>
      </c>
      <c r="AD53" s="781"/>
      <c r="AE53" s="781"/>
      <c r="AF53" s="781"/>
      <c r="AG53" s="781"/>
      <c r="AH53" s="781"/>
      <c r="AI53" s="781"/>
      <c r="AJ53" s="742" t="str">
        <f t="shared" ca="1" si="8"/>
        <v/>
      </c>
      <c r="AK53" s="742"/>
      <c r="AL53" s="781" t="str">
        <f t="shared" ca="1" si="9"/>
        <v/>
      </c>
      <c r="AM53" s="781"/>
      <c r="AN53" s="781"/>
      <c r="AO53" s="781"/>
      <c r="AP53" s="781"/>
      <c r="AQ53" s="781"/>
      <c r="AR53" s="781"/>
      <c r="AS53" s="741" t="str">
        <f t="shared" ca="1" si="10"/>
        <v/>
      </c>
      <c r="AT53" s="741"/>
      <c r="AU53" s="741"/>
      <c r="AV53" s="741"/>
      <c r="AW53" s="741"/>
      <c r="AX53" s="741"/>
      <c r="AY53" s="741"/>
    </row>
    <row r="54" spans="1:52" s="403" customFormat="1" ht="36.75" customHeight="1">
      <c r="A54" s="403" t="s">
        <v>1529</v>
      </c>
      <c r="B54" s="742">
        <f t="shared" si="11"/>
        <v>25</v>
      </c>
      <c r="C54" s="742"/>
      <c r="D54" s="743" t="str">
        <f t="shared" ca="1" si="6"/>
        <v/>
      </c>
      <c r="E54" s="743"/>
      <c r="F54" s="743"/>
      <c r="G54" s="743"/>
      <c r="H54" s="743"/>
      <c r="I54" s="743"/>
      <c r="J54" s="743"/>
      <c r="K54" s="743"/>
      <c r="L54" s="743"/>
      <c r="M54" s="743"/>
      <c r="N54" s="743"/>
      <c r="O54" s="743"/>
      <c r="P54" s="743"/>
      <c r="Q54" s="743"/>
      <c r="R54" s="743"/>
      <c r="S54" s="743"/>
      <c r="T54" s="743"/>
      <c r="U54" s="743"/>
      <c r="V54" s="743"/>
      <c r="W54" s="743"/>
      <c r="X54" s="743"/>
      <c r="Y54" s="743"/>
      <c r="Z54" s="743"/>
      <c r="AA54" s="743"/>
      <c r="AB54" s="743"/>
      <c r="AC54" s="781" t="str">
        <f t="shared" ca="1" si="7"/>
        <v/>
      </c>
      <c r="AD54" s="781"/>
      <c r="AE54" s="781"/>
      <c r="AF54" s="781"/>
      <c r="AG54" s="781"/>
      <c r="AH54" s="781"/>
      <c r="AI54" s="781"/>
      <c r="AJ54" s="742" t="str">
        <f t="shared" ca="1" si="8"/>
        <v/>
      </c>
      <c r="AK54" s="742"/>
      <c r="AL54" s="781" t="str">
        <f t="shared" ca="1" si="9"/>
        <v/>
      </c>
      <c r="AM54" s="781"/>
      <c r="AN54" s="781"/>
      <c r="AO54" s="781"/>
      <c r="AP54" s="781"/>
      <c r="AQ54" s="781"/>
      <c r="AR54" s="781"/>
      <c r="AS54" s="741" t="str">
        <f t="shared" ca="1" si="10"/>
        <v/>
      </c>
      <c r="AT54" s="741"/>
      <c r="AU54" s="741"/>
      <c r="AV54" s="741"/>
      <c r="AW54" s="741"/>
      <c r="AX54" s="741"/>
      <c r="AY54" s="741"/>
      <c r="AZ54" s="473" t="s">
        <v>1530</v>
      </c>
    </row>
    <row r="55" spans="1:52" s="403" customFormat="1" ht="36.75" customHeight="1">
      <c r="B55" s="742">
        <f t="shared" si="11"/>
        <v>26</v>
      </c>
      <c r="C55" s="742"/>
      <c r="D55" s="743" t="str">
        <f t="shared" ca="1" si="6"/>
        <v/>
      </c>
      <c r="E55" s="743"/>
      <c r="F55" s="743"/>
      <c r="G55" s="743"/>
      <c r="H55" s="743"/>
      <c r="I55" s="743"/>
      <c r="J55" s="743"/>
      <c r="K55" s="743"/>
      <c r="L55" s="743"/>
      <c r="M55" s="743"/>
      <c r="N55" s="743"/>
      <c r="O55" s="743"/>
      <c r="P55" s="743"/>
      <c r="Q55" s="743"/>
      <c r="R55" s="743"/>
      <c r="S55" s="743"/>
      <c r="T55" s="743"/>
      <c r="U55" s="743"/>
      <c r="V55" s="743"/>
      <c r="W55" s="743"/>
      <c r="X55" s="743"/>
      <c r="Y55" s="743"/>
      <c r="Z55" s="743"/>
      <c r="AA55" s="743"/>
      <c r="AB55" s="743"/>
      <c r="AC55" s="781" t="str">
        <f t="shared" ca="1" si="7"/>
        <v/>
      </c>
      <c r="AD55" s="781"/>
      <c r="AE55" s="781"/>
      <c r="AF55" s="781"/>
      <c r="AG55" s="781"/>
      <c r="AH55" s="781"/>
      <c r="AI55" s="781"/>
      <c r="AJ55" s="742" t="str">
        <f t="shared" ca="1" si="8"/>
        <v/>
      </c>
      <c r="AK55" s="742"/>
      <c r="AL55" s="781" t="str">
        <f t="shared" ca="1" si="9"/>
        <v/>
      </c>
      <c r="AM55" s="781"/>
      <c r="AN55" s="781"/>
      <c r="AO55" s="781"/>
      <c r="AP55" s="781"/>
      <c r="AQ55" s="781"/>
      <c r="AR55" s="781"/>
      <c r="AS55" s="741" t="str">
        <f t="shared" ca="1" si="10"/>
        <v/>
      </c>
      <c r="AT55" s="741"/>
      <c r="AU55" s="741"/>
      <c r="AV55" s="741"/>
      <c r="AW55" s="741"/>
      <c r="AX55" s="741"/>
      <c r="AY55" s="741"/>
      <c r="AZ55" s="473"/>
    </row>
    <row r="56" spans="1:52" s="403" customFormat="1" ht="36.75" customHeight="1">
      <c r="B56" s="742">
        <f t="shared" si="11"/>
        <v>27</v>
      </c>
      <c r="C56" s="742"/>
      <c r="D56" s="743" t="str">
        <f t="shared" ca="1" si="6"/>
        <v/>
      </c>
      <c r="E56" s="743"/>
      <c r="F56" s="743"/>
      <c r="G56" s="743"/>
      <c r="H56" s="743"/>
      <c r="I56" s="743"/>
      <c r="J56" s="743"/>
      <c r="K56" s="743"/>
      <c r="L56" s="743"/>
      <c r="M56" s="743"/>
      <c r="N56" s="743"/>
      <c r="O56" s="743"/>
      <c r="P56" s="743"/>
      <c r="Q56" s="743"/>
      <c r="R56" s="743"/>
      <c r="S56" s="743"/>
      <c r="T56" s="743"/>
      <c r="U56" s="743"/>
      <c r="V56" s="743"/>
      <c r="W56" s="743"/>
      <c r="X56" s="743"/>
      <c r="Y56" s="743"/>
      <c r="Z56" s="743"/>
      <c r="AA56" s="743"/>
      <c r="AB56" s="743"/>
      <c r="AC56" s="781" t="str">
        <f t="shared" ca="1" si="7"/>
        <v/>
      </c>
      <c r="AD56" s="781"/>
      <c r="AE56" s="781"/>
      <c r="AF56" s="781"/>
      <c r="AG56" s="781"/>
      <c r="AH56" s="781"/>
      <c r="AI56" s="781"/>
      <c r="AJ56" s="742" t="str">
        <f t="shared" ca="1" si="8"/>
        <v/>
      </c>
      <c r="AK56" s="742"/>
      <c r="AL56" s="781" t="str">
        <f t="shared" ca="1" si="9"/>
        <v/>
      </c>
      <c r="AM56" s="781"/>
      <c r="AN56" s="781"/>
      <c r="AO56" s="781"/>
      <c r="AP56" s="781"/>
      <c r="AQ56" s="781"/>
      <c r="AR56" s="781"/>
      <c r="AS56" s="741" t="str">
        <f t="shared" ca="1" si="10"/>
        <v/>
      </c>
      <c r="AT56" s="741"/>
      <c r="AU56" s="741"/>
      <c r="AV56" s="741"/>
      <c r="AW56" s="741"/>
      <c r="AX56" s="741"/>
      <c r="AY56" s="741"/>
      <c r="AZ56" s="473"/>
    </row>
    <row r="57" spans="1:52" s="403" customFormat="1" ht="36.75" customHeight="1">
      <c r="B57" s="742">
        <f t="shared" si="11"/>
        <v>28</v>
      </c>
      <c r="C57" s="742"/>
      <c r="D57" s="743" t="str">
        <f t="shared" ca="1" si="6"/>
        <v/>
      </c>
      <c r="E57" s="743"/>
      <c r="F57" s="743"/>
      <c r="G57" s="743"/>
      <c r="H57" s="743"/>
      <c r="I57" s="743"/>
      <c r="J57" s="743"/>
      <c r="K57" s="743"/>
      <c r="L57" s="743"/>
      <c r="M57" s="743"/>
      <c r="N57" s="743"/>
      <c r="O57" s="743"/>
      <c r="P57" s="743"/>
      <c r="Q57" s="743"/>
      <c r="R57" s="743"/>
      <c r="S57" s="743"/>
      <c r="T57" s="743"/>
      <c r="U57" s="743"/>
      <c r="V57" s="743"/>
      <c r="W57" s="743"/>
      <c r="X57" s="743"/>
      <c r="Y57" s="743"/>
      <c r="Z57" s="743"/>
      <c r="AA57" s="743"/>
      <c r="AB57" s="743"/>
      <c r="AC57" s="781" t="str">
        <f t="shared" ca="1" si="7"/>
        <v/>
      </c>
      <c r="AD57" s="781"/>
      <c r="AE57" s="781"/>
      <c r="AF57" s="781"/>
      <c r="AG57" s="781"/>
      <c r="AH57" s="781"/>
      <c r="AI57" s="781"/>
      <c r="AJ57" s="742" t="str">
        <f t="shared" ca="1" si="8"/>
        <v/>
      </c>
      <c r="AK57" s="742"/>
      <c r="AL57" s="781" t="str">
        <f t="shared" ca="1" si="9"/>
        <v/>
      </c>
      <c r="AM57" s="781"/>
      <c r="AN57" s="781"/>
      <c r="AO57" s="781"/>
      <c r="AP57" s="781"/>
      <c r="AQ57" s="781"/>
      <c r="AR57" s="781"/>
      <c r="AS57" s="741" t="str">
        <f t="shared" ca="1" si="10"/>
        <v/>
      </c>
      <c r="AT57" s="741"/>
      <c r="AU57" s="741"/>
      <c r="AV57" s="741"/>
      <c r="AW57" s="741"/>
      <c r="AX57" s="741"/>
      <c r="AY57" s="741"/>
    </row>
    <row r="58" spans="1:52" s="403" customFormat="1" ht="36.75" customHeight="1">
      <c r="B58" s="742">
        <f t="shared" si="11"/>
        <v>29</v>
      </c>
      <c r="C58" s="742"/>
      <c r="D58" s="743" t="str">
        <f t="shared" ca="1" si="6"/>
        <v/>
      </c>
      <c r="E58" s="743"/>
      <c r="F58" s="743"/>
      <c r="G58" s="743"/>
      <c r="H58" s="743"/>
      <c r="I58" s="743"/>
      <c r="J58" s="743"/>
      <c r="K58" s="743"/>
      <c r="L58" s="743"/>
      <c r="M58" s="743"/>
      <c r="N58" s="743"/>
      <c r="O58" s="743"/>
      <c r="P58" s="743"/>
      <c r="Q58" s="743"/>
      <c r="R58" s="743"/>
      <c r="S58" s="743"/>
      <c r="T58" s="743"/>
      <c r="U58" s="743"/>
      <c r="V58" s="743"/>
      <c r="W58" s="743"/>
      <c r="X58" s="743"/>
      <c r="Y58" s="743"/>
      <c r="Z58" s="743"/>
      <c r="AA58" s="743"/>
      <c r="AB58" s="743"/>
      <c r="AC58" s="781" t="str">
        <f t="shared" ca="1" si="7"/>
        <v/>
      </c>
      <c r="AD58" s="781"/>
      <c r="AE58" s="781"/>
      <c r="AF58" s="781"/>
      <c r="AG58" s="781"/>
      <c r="AH58" s="781"/>
      <c r="AI58" s="781"/>
      <c r="AJ58" s="742" t="str">
        <f t="shared" ca="1" si="8"/>
        <v/>
      </c>
      <c r="AK58" s="742"/>
      <c r="AL58" s="781" t="str">
        <f t="shared" ca="1" si="9"/>
        <v/>
      </c>
      <c r="AM58" s="781"/>
      <c r="AN58" s="781"/>
      <c r="AO58" s="781"/>
      <c r="AP58" s="781"/>
      <c r="AQ58" s="781"/>
      <c r="AR58" s="781"/>
      <c r="AS58" s="741" t="str">
        <f t="shared" ca="1" si="10"/>
        <v/>
      </c>
      <c r="AT58" s="741"/>
      <c r="AU58" s="741"/>
      <c r="AV58" s="741"/>
      <c r="AW58" s="741"/>
      <c r="AX58" s="741"/>
      <c r="AY58" s="741"/>
    </row>
    <row r="59" spans="1:52" s="403" customFormat="1" ht="36.75" customHeight="1">
      <c r="B59" s="742">
        <f t="shared" si="11"/>
        <v>30</v>
      </c>
      <c r="C59" s="742"/>
      <c r="D59" s="743" t="str">
        <f t="shared" ca="1" si="6"/>
        <v/>
      </c>
      <c r="E59" s="743"/>
      <c r="F59" s="743"/>
      <c r="G59" s="743"/>
      <c r="H59" s="743"/>
      <c r="I59" s="743"/>
      <c r="J59" s="743"/>
      <c r="K59" s="743"/>
      <c r="L59" s="743"/>
      <c r="M59" s="743"/>
      <c r="N59" s="743"/>
      <c r="O59" s="743"/>
      <c r="P59" s="743"/>
      <c r="Q59" s="743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81" t="str">
        <f t="shared" ca="1" si="7"/>
        <v/>
      </c>
      <c r="AD59" s="781"/>
      <c r="AE59" s="781"/>
      <c r="AF59" s="781"/>
      <c r="AG59" s="781"/>
      <c r="AH59" s="781"/>
      <c r="AI59" s="781"/>
      <c r="AJ59" s="742" t="str">
        <f t="shared" ca="1" si="8"/>
        <v/>
      </c>
      <c r="AK59" s="742"/>
      <c r="AL59" s="781" t="str">
        <f t="shared" ca="1" si="9"/>
        <v/>
      </c>
      <c r="AM59" s="781"/>
      <c r="AN59" s="781"/>
      <c r="AO59" s="781"/>
      <c r="AP59" s="781"/>
      <c r="AQ59" s="781"/>
      <c r="AR59" s="781"/>
      <c r="AS59" s="741" t="str">
        <f t="shared" ca="1" si="10"/>
        <v/>
      </c>
      <c r="AT59" s="741"/>
      <c r="AU59" s="741"/>
      <c r="AV59" s="741"/>
      <c r="AW59" s="741"/>
      <c r="AX59" s="741"/>
      <c r="AY59" s="741"/>
    </row>
    <row r="60" spans="1:52" s="403" customFormat="1" ht="36.75" customHeight="1">
      <c r="B60" s="742">
        <f t="shared" si="11"/>
        <v>31</v>
      </c>
      <c r="C60" s="742"/>
      <c r="D60" s="743" t="str">
        <f t="shared" ca="1" si="6"/>
        <v/>
      </c>
      <c r="E60" s="743"/>
      <c r="F60" s="743"/>
      <c r="G60" s="743"/>
      <c r="H60" s="743"/>
      <c r="I60" s="743"/>
      <c r="J60" s="743"/>
      <c r="K60" s="743"/>
      <c r="L60" s="743"/>
      <c r="M60" s="743"/>
      <c r="N60" s="743"/>
      <c r="O60" s="743"/>
      <c r="P60" s="743"/>
      <c r="Q60" s="743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81" t="str">
        <f t="shared" ca="1" si="7"/>
        <v/>
      </c>
      <c r="AD60" s="781"/>
      <c r="AE60" s="781"/>
      <c r="AF60" s="781"/>
      <c r="AG60" s="781"/>
      <c r="AH60" s="781"/>
      <c r="AI60" s="781"/>
      <c r="AJ60" s="742" t="str">
        <f t="shared" ca="1" si="8"/>
        <v/>
      </c>
      <c r="AK60" s="742"/>
      <c r="AL60" s="781" t="str">
        <f t="shared" ca="1" si="9"/>
        <v/>
      </c>
      <c r="AM60" s="781"/>
      <c r="AN60" s="781"/>
      <c r="AO60" s="781"/>
      <c r="AP60" s="781"/>
      <c r="AQ60" s="781"/>
      <c r="AR60" s="781"/>
      <c r="AS60" s="741" t="str">
        <f t="shared" ca="1" si="10"/>
        <v/>
      </c>
      <c r="AT60" s="741"/>
      <c r="AU60" s="741"/>
      <c r="AV60" s="741"/>
      <c r="AW60" s="741"/>
      <c r="AX60" s="741"/>
      <c r="AY60" s="741"/>
    </row>
    <row r="61" spans="1:52" s="403" customFormat="1" ht="36.75" customHeight="1">
      <c r="B61" s="742">
        <f t="shared" si="11"/>
        <v>32</v>
      </c>
      <c r="C61" s="742"/>
      <c r="D61" s="743" t="str">
        <f t="shared" ca="1" si="6"/>
        <v/>
      </c>
      <c r="E61" s="743"/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3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81" t="str">
        <f t="shared" ca="1" si="7"/>
        <v/>
      </c>
      <c r="AD61" s="781"/>
      <c r="AE61" s="781"/>
      <c r="AF61" s="781"/>
      <c r="AG61" s="781"/>
      <c r="AH61" s="781"/>
      <c r="AI61" s="781"/>
      <c r="AJ61" s="742" t="str">
        <f t="shared" ca="1" si="8"/>
        <v/>
      </c>
      <c r="AK61" s="742"/>
      <c r="AL61" s="781" t="str">
        <f t="shared" ca="1" si="9"/>
        <v/>
      </c>
      <c r="AM61" s="781"/>
      <c r="AN61" s="781"/>
      <c r="AO61" s="781"/>
      <c r="AP61" s="781"/>
      <c r="AQ61" s="781"/>
      <c r="AR61" s="781"/>
      <c r="AS61" s="741" t="str">
        <f t="shared" ca="1" si="10"/>
        <v/>
      </c>
      <c r="AT61" s="741"/>
      <c r="AU61" s="741"/>
      <c r="AV61" s="741"/>
      <c r="AW61" s="741"/>
      <c r="AX61" s="741"/>
      <c r="AY61" s="741"/>
    </row>
    <row r="62" spans="1:52" s="403" customFormat="1" ht="36.75" customHeight="1">
      <c r="B62" s="742">
        <f t="shared" si="11"/>
        <v>33</v>
      </c>
      <c r="C62" s="742"/>
      <c r="D62" s="743" t="str">
        <f t="shared" ca="1" si="6"/>
        <v/>
      </c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81" t="str">
        <f t="shared" ca="1" si="7"/>
        <v/>
      </c>
      <c r="AD62" s="781"/>
      <c r="AE62" s="781"/>
      <c r="AF62" s="781"/>
      <c r="AG62" s="781"/>
      <c r="AH62" s="781"/>
      <c r="AI62" s="781"/>
      <c r="AJ62" s="742" t="str">
        <f t="shared" ca="1" si="8"/>
        <v/>
      </c>
      <c r="AK62" s="742"/>
      <c r="AL62" s="781" t="str">
        <f t="shared" ca="1" si="9"/>
        <v/>
      </c>
      <c r="AM62" s="781"/>
      <c r="AN62" s="781"/>
      <c r="AO62" s="781"/>
      <c r="AP62" s="781"/>
      <c r="AQ62" s="781"/>
      <c r="AR62" s="781"/>
      <c r="AS62" s="741" t="str">
        <f t="shared" ca="1" si="10"/>
        <v/>
      </c>
      <c r="AT62" s="741"/>
      <c r="AU62" s="741"/>
      <c r="AV62" s="741"/>
      <c r="AW62" s="741"/>
      <c r="AX62" s="741"/>
      <c r="AY62" s="741"/>
    </row>
    <row r="63" spans="1:52" s="403" customFormat="1" ht="36.75" customHeight="1">
      <c r="B63" s="742">
        <f t="shared" si="11"/>
        <v>34</v>
      </c>
      <c r="C63" s="742"/>
      <c r="D63" s="743" t="str">
        <f t="shared" ca="1" si="6"/>
        <v/>
      </c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81" t="str">
        <f t="shared" ca="1" si="7"/>
        <v/>
      </c>
      <c r="AD63" s="781"/>
      <c r="AE63" s="781"/>
      <c r="AF63" s="781"/>
      <c r="AG63" s="781"/>
      <c r="AH63" s="781"/>
      <c r="AI63" s="781"/>
      <c r="AJ63" s="742" t="str">
        <f t="shared" ca="1" si="8"/>
        <v/>
      </c>
      <c r="AK63" s="742"/>
      <c r="AL63" s="781" t="str">
        <f t="shared" ca="1" si="9"/>
        <v/>
      </c>
      <c r="AM63" s="781"/>
      <c r="AN63" s="781"/>
      <c r="AO63" s="781"/>
      <c r="AP63" s="781"/>
      <c r="AQ63" s="781"/>
      <c r="AR63" s="781"/>
      <c r="AS63" s="741" t="str">
        <f t="shared" ca="1" si="10"/>
        <v/>
      </c>
      <c r="AT63" s="741"/>
      <c r="AU63" s="741"/>
      <c r="AV63" s="741"/>
      <c r="AW63" s="741"/>
      <c r="AX63" s="741"/>
      <c r="AY63" s="741"/>
    </row>
    <row r="64" spans="1:52" s="403" customFormat="1" ht="36.75" customHeight="1">
      <c r="B64" s="742">
        <f t="shared" si="11"/>
        <v>35</v>
      </c>
      <c r="C64" s="742"/>
      <c r="D64" s="743" t="str">
        <f t="shared" ca="1" si="6"/>
        <v/>
      </c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81" t="str">
        <f t="shared" ca="1" si="7"/>
        <v/>
      </c>
      <c r="AD64" s="781"/>
      <c r="AE64" s="781"/>
      <c r="AF64" s="781"/>
      <c r="AG64" s="781"/>
      <c r="AH64" s="781"/>
      <c r="AI64" s="781"/>
      <c r="AJ64" s="742" t="str">
        <f t="shared" ca="1" si="8"/>
        <v/>
      </c>
      <c r="AK64" s="742"/>
      <c r="AL64" s="781" t="str">
        <f t="shared" ca="1" si="9"/>
        <v/>
      </c>
      <c r="AM64" s="781"/>
      <c r="AN64" s="781"/>
      <c r="AO64" s="781"/>
      <c r="AP64" s="781"/>
      <c r="AQ64" s="781"/>
      <c r="AR64" s="781"/>
      <c r="AS64" s="741" t="str">
        <f t="shared" ca="1" si="10"/>
        <v/>
      </c>
      <c r="AT64" s="741"/>
      <c r="AU64" s="741"/>
      <c r="AV64" s="741"/>
      <c r="AW64" s="741"/>
      <c r="AX64" s="741"/>
      <c r="AY64" s="741"/>
    </row>
    <row r="65" spans="1:52" s="403" customFormat="1" ht="36.75" customHeight="1">
      <c r="B65" s="742">
        <f t="shared" si="11"/>
        <v>36</v>
      </c>
      <c r="C65" s="742"/>
      <c r="D65" s="743" t="str">
        <f t="shared" ca="1" si="6"/>
        <v/>
      </c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81" t="str">
        <f t="shared" ca="1" si="7"/>
        <v/>
      </c>
      <c r="AD65" s="781"/>
      <c r="AE65" s="781"/>
      <c r="AF65" s="781"/>
      <c r="AG65" s="781"/>
      <c r="AH65" s="781"/>
      <c r="AI65" s="781"/>
      <c r="AJ65" s="742" t="str">
        <f t="shared" ca="1" si="8"/>
        <v/>
      </c>
      <c r="AK65" s="742"/>
      <c r="AL65" s="781" t="str">
        <f t="shared" ca="1" si="9"/>
        <v/>
      </c>
      <c r="AM65" s="781"/>
      <c r="AN65" s="781"/>
      <c r="AO65" s="781"/>
      <c r="AP65" s="781"/>
      <c r="AQ65" s="781"/>
      <c r="AR65" s="781"/>
      <c r="AS65" s="741" t="str">
        <f t="shared" ca="1" si="10"/>
        <v/>
      </c>
      <c r="AT65" s="741"/>
      <c r="AU65" s="741"/>
      <c r="AV65" s="741"/>
      <c r="AW65" s="741"/>
      <c r="AX65" s="741"/>
      <c r="AY65" s="741"/>
    </row>
    <row r="66" spans="1:52" s="403" customFormat="1" ht="36.75" customHeight="1">
      <c r="B66" s="742">
        <f t="shared" si="11"/>
        <v>37</v>
      </c>
      <c r="C66" s="742"/>
      <c r="D66" s="743" t="str">
        <f t="shared" ca="1" si="6"/>
        <v/>
      </c>
      <c r="E66" s="743"/>
      <c r="F66" s="743"/>
      <c r="G66" s="743"/>
      <c r="H66" s="743"/>
      <c r="I66" s="743"/>
      <c r="J66" s="743"/>
      <c r="K66" s="743"/>
      <c r="L66" s="743"/>
      <c r="M66" s="743"/>
      <c r="N66" s="743"/>
      <c r="O66" s="743"/>
      <c r="P66" s="743"/>
      <c r="Q66" s="743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81" t="str">
        <f t="shared" ca="1" si="7"/>
        <v/>
      </c>
      <c r="AD66" s="781"/>
      <c r="AE66" s="781"/>
      <c r="AF66" s="781"/>
      <c r="AG66" s="781"/>
      <c r="AH66" s="781"/>
      <c r="AI66" s="781"/>
      <c r="AJ66" s="742" t="str">
        <f t="shared" ca="1" si="8"/>
        <v/>
      </c>
      <c r="AK66" s="742"/>
      <c r="AL66" s="781" t="str">
        <f t="shared" ca="1" si="9"/>
        <v/>
      </c>
      <c r="AM66" s="781"/>
      <c r="AN66" s="781"/>
      <c r="AO66" s="781"/>
      <c r="AP66" s="781"/>
      <c r="AQ66" s="781"/>
      <c r="AR66" s="781"/>
      <c r="AS66" s="741" t="str">
        <f t="shared" ca="1" si="10"/>
        <v/>
      </c>
      <c r="AT66" s="741"/>
      <c r="AU66" s="741"/>
      <c r="AV66" s="741"/>
      <c r="AW66" s="741"/>
      <c r="AX66" s="741"/>
      <c r="AY66" s="741"/>
    </row>
    <row r="67" spans="1:52" s="403" customFormat="1" ht="36.75" customHeight="1">
      <c r="B67" s="742">
        <f t="shared" si="11"/>
        <v>38</v>
      </c>
      <c r="C67" s="742"/>
      <c r="D67" s="743" t="str">
        <f t="shared" ca="1" si="6"/>
        <v/>
      </c>
      <c r="E67" s="743"/>
      <c r="F67" s="743"/>
      <c r="G67" s="743"/>
      <c r="H67" s="743"/>
      <c r="I67" s="743"/>
      <c r="J67" s="743"/>
      <c r="K67" s="743"/>
      <c r="L67" s="743"/>
      <c r="M67" s="743"/>
      <c r="N67" s="743"/>
      <c r="O67" s="743"/>
      <c r="P67" s="743"/>
      <c r="Q67" s="743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81" t="str">
        <f t="shared" ca="1" si="7"/>
        <v/>
      </c>
      <c r="AD67" s="781"/>
      <c r="AE67" s="781"/>
      <c r="AF67" s="781"/>
      <c r="AG67" s="781"/>
      <c r="AH67" s="781"/>
      <c r="AI67" s="781"/>
      <c r="AJ67" s="742" t="str">
        <f t="shared" ca="1" si="8"/>
        <v/>
      </c>
      <c r="AK67" s="742"/>
      <c r="AL67" s="781" t="str">
        <f t="shared" ca="1" si="9"/>
        <v/>
      </c>
      <c r="AM67" s="781"/>
      <c r="AN67" s="781"/>
      <c r="AO67" s="781"/>
      <c r="AP67" s="781"/>
      <c r="AQ67" s="781"/>
      <c r="AR67" s="781"/>
      <c r="AS67" s="741" t="str">
        <f t="shared" ca="1" si="10"/>
        <v/>
      </c>
      <c r="AT67" s="741"/>
      <c r="AU67" s="741"/>
      <c r="AV67" s="741"/>
      <c r="AW67" s="741"/>
      <c r="AX67" s="741"/>
      <c r="AY67" s="741"/>
    </row>
    <row r="68" spans="1:52" s="403" customFormat="1" ht="36.75" customHeight="1">
      <c r="A68" s="403" t="s">
        <v>1529</v>
      </c>
      <c r="B68" s="742">
        <f t="shared" si="11"/>
        <v>39</v>
      </c>
      <c r="C68" s="742"/>
      <c r="D68" s="743" t="str">
        <f t="shared" ca="1" si="6"/>
        <v/>
      </c>
      <c r="E68" s="743"/>
      <c r="F68" s="743"/>
      <c r="G68" s="743"/>
      <c r="H68" s="743"/>
      <c r="I68" s="743"/>
      <c r="J68" s="743"/>
      <c r="K68" s="743"/>
      <c r="L68" s="743"/>
      <c r="M68" s="743"/>
      <c r="N68" s="743"/>
      <c r="O68" s="743"/>
      <c r="P68" s="743"/>
      <c r="Q68" s="743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81" t="str">
        <f t="shared" ca="1" si="7"/>
        <v/>
      </c>
      <c r="AD68" s="781"/>
      <c r="AE68" s="781"/>
      <c r="AF68" s="781"/>
      <c r="AG68" s="781"/>
      <c r="AH68" s="781"/>
      <c r="AI68" s="781"/>
      <c r="AJ68" s="742" t="str">
        <f t="shared" ca="1" si="8"/>
        <v/>
      </c>
      <c r="AK68" s="742"/>
      <c r="AL68" s="781" t="str">
        <f t="shared" ca="1" si="9"/>
        <v/>
      </c>
      <c r="AM68" s="781"/>
      <c r="AN68" s="781"/>
      <c r="AO68" s="781"/>
      <c r="AP68" s="781"/>
      <c r="AQ68" s="781"/>
      <c r="AR68" s="781"/>
      <c r="AS68" s="741" t="str">
        <f t="shared" ca="1" si="10"/>
        <v/>
      </c>
      <c r="AT68" s="741"/>
      <c r="AU68" s="741"/>
      <c r="AV68" s="741"/>
      <c r="AW68" s="741"/>
      <c r="AX68" s="741"/>
      <c r="AY68" s="741"/>
      <c r="AZ68" s="473" t="s">
        <v>1530</v>
      </c>
    </row>
    <row r="69" spans="1:52" s="403" customFormat="1" ht="36.75" customHeight="1">
      <c r="B69" s="742">
        <f t="shared" si="11"/>
        <v>40</v>
      </c>
      <c r="C69" s="742"/>
      <c r="D69" s="743" t="str">
        <f t="shared" ca="1" si="6"/>
        <v/>
      </c>
      <c r="E69" s="743"/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3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81" t="str">
        <f t="shared" ca="1" si="7"/>
        <v/>
      </c>
      <c r="AD69" s="781"/>
      <c r="AE69" s="781"/>
      <c r="AF69" s="781"/>
      <c r="AG69" s="781"/>
      <c r="AH69" s="781"/>
      <c r="AI69" s="781"/>
      <c r="AJ69" s="742" t="str">
        <f t="shared" ca="1" si="8"/>
        <v/>
      </c>
      <c r="AK69" s="742"/>
      <c r="AL69" s="781" t="str">
        <f t="shared" ca="1" si="9"/>
        <v/>
      </c>
      <c r="AM69" s="781"/>
      <c r="AN69" s="781"/>
      <c r="AO69" s="781"/>
      <c r="AP69" s="781"/>
      <c r="AQ69" s="781"/>
      <c r="AR69" s="781"/>
      <c r="AS69" s="741" t="str">
        <f t="shared" ca="1" si="10"/>
        <v/>
      </c>
      <c r="AT69" s="741"/>
      <c r="AU69" s="741"/>
      <c r="AV69" s="741"/>
      <c r="AW69" s="741"/>
      <c r="AX69" s="741"/>
      <c r="AY69" s="741"/>
    </row>
    <row r="70" spans="1:52" s="403" customFormat="1" ht="45" customHeight="1">
      <c r="B70" s="749" t="s">
        <v>1527</v>
      </c>
      <c r="C70" s="750"/>
      <c r="D70" s="750"/>
      <c r="E70" s="751" t="str">
        <f>IF(UNNH0030_REPORT_IF_H_EIGYO_MEI="","",UNNH0030_REPORT_IF_H_EIGYO_MEI)</f>
        <v/>
      </c>
      <c r="F70" s="751"/>
      <c r="G70" s="751"/>
      <c r="H70" s="751"/>
      <c r="I70" s="751"/>
      <c r="J70" s="751"/>
      <c r="K70" s="751"/>
      <c r="L70" s="751"/>
      <c r="M70" s="751"/>
      <c r="N70" s="751"/>
      <c r="O70" s="751"/>
      <c r="P70" s="751"/>
      <c r="Q70" s="751"/>
      <c r="R70" s="751"/>
      <c r="S70" s="751"/>
      <c r="T70" s="751"/>
      <c r="U70" s="751"/>
      <c r="V70" s="751"/>
      <c r="W70" s="751"/>
      <c r="X70" s="751"/>
      <c r="Y70" s="751"/>
      <c r="Z70" s="751"/>
      <c r="AA70" s="751"/>
      <c r="AB70" s="751"/>
      <c r="AC70" s="751"/>
      <c r="AD70" s="751"/>
      <c r="AE70" s="751"/>
      <c r="AF70" s="751"/>
      <c r="AG70" s="752"/>
      <c r="AH70" s="742" t="s">
        <v>1107</v>
      </c>
      <c r="AI70" s="742"/>
      <c r="AJ70" s="742"/>
      <c r="AK70" s="742"/>
      <c r="AL70" s="742"/>
      <c r="AM70" s="742"/>
      <c r="AN70" s="742"/>
      <c r="AO70" s="742"/>
      <c r="AP70" s="742"/>
      <c r="AQ70" s="782" t="str">
        <f>IF(ROUNDUP(ROW()/ROWS(UNNH0030_SEIKYUSHO_PAGE_AREA),0)=UNNH0030_REPORT_IF_B_PAGE_TOTAL,UNNH0030_REPORT_IF_H_TOTAL,"")</f>
        <v/>
      </c>
      <c r="AR70" s="783"/>
      <c r="AS70" s="783"/>
      <c r="AT70" s="783"/>
      <c r="AU70" s="783"/>
      <c r="AV70" s="783"/>
      <c r="AW70" s="783"/>
      <c r="AX70" s="783"/>
      <c r="AY70" s="784"/>
    </row>
    <row r="71" spans="1:52" s="403" customFormat="1" ht="33.75" customHeight="1"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</row>
    <row r="72" spans="1:52" s="403" customFormat="1" ht="38.25" customHeight="1">
      <c r="B72" s="756" t="s">
        <v>1528</v>
      </c>
      <c r="C72" s="757"/>
      <c r="D72" s="758"/>
      <c r="E72" s="738" t="str">
        <f>IF(UNNH0030_REPORT_IF_H_TEKIYO="","",UNNH0030_REPORT_IF_H_TEKIYO)</f>
        <v/>
      </c>
      <c r="F72" s="738"/>
      <c r="G72" s="738"/>
      <c r="H72" s="738"/>
      <c r="I72" s="738"/>
      <c r="J72" s="738"/>
      <c r="K72" s="738"/>
      <c r="L72" s="738"/>
      <c r="M72" s="738"/>
      <c r="N72" s="738"/>
      <c r="O72" s="738"/>
      <c r="P72" s="738"/>
      <c r="Q72" s="738"/>
      <c r="R72" s="738"/>
      <c r="S72" s="738"/>
      <c r="T72" s="738"/>
      <c r="U72" s="738"/>
      <c r="V72" s="738"/>
      <c r="W72" s="738"/>
      <c r="X72" s="738"/>
      <c r="Y72" s="738"/>
      <c r="Z72" s="738"/>
      <c r="AA72" s="738"/>
      <c r="AB72" s="738"/>
      <c r="AC72" s="738"/>
      <c r="AD72" s="738"/>
      <c r="AE72" s="738"/>
      <c r="AF72" s="738"/>
      <c r="AG72" s="738"/>
      <c r="AH72" s="738"/>
      <c r="AI72" s="738"/>
      <c r="AJ72" s="738"/>
      <c r="AK72" s="738"/>
      <c r="AL72" s="738"/>
      <c r="AM72" s="738"/>
      <c r="AN72" s="738"/>
      <c r="AO72" s="738"/>
      <c r="AP72" s="738"/>
      <c r="AQ72" s="738"/>
      <c r="AR72" s="738"/>
      <c r="AS72" s="738"/>
      <c r="AU72" s="739" t="str">
        <f>IF(UNNH0030_REPORT_IF_H_SEIKYUHOHO_KBN=0,"","締日 "&amp;UNNH0030_REPORT_IF_H_SHIMEBI)</f>
        <v/>
      </c>
      <c r="AV72" s="739"/>
      <c r="AW72" s="739"/>
      <c r="AX72" s="739"/>
      <c r="AY72" s="740" t="str">
        <f>UNNH0030_REPORT_IF_H_SHIMEBI_MARK</f>
        <v>*</v>
      </c>
    </row>
    <row r="73" spans="1:52" s="403" customFormat="1" ht="38.25" customHeight="1">
      <c r="B73" s="759"/>
      <c r="C73" s="760"/>
      <c r="D73" s="761"/>
      <c r="E73" s="738"/>
      <c r="F73" s="738"/>
      <c r="G73" s="738"/>
      <c r="H73" s="738"/>
      <c r="I73" s="738"/>
      <c r="J73" s="738"/>
      <c r="K73" s="738"/>
      <c r="L73" s="738"/>
      <c r="M73" s="738"/>
      <c r="N73" s="738"/>
      <c r="O73" s="738"/>
      <c r="P73" s="738"/>
      <c r="Q73" s="738"/>
      <c r="R73" s="738"/>
      <c r="S73" s="738"/>
      <c r="T73" s="738"/>
      <c r="U73" s="738"/>
      <c r="V73" s="738"/>
      <c r="W73" s="738"/>
      <c r="X73" s="738"/>
      <c r="Y73" s="738"/>
      <c r="Z73" s="738"/>
      <c r="AA73" s="738"/>
      <c r="AB73" s="738"/>
      <c r="AC73" s="738"/>
      <c r="AD73" s="738"/>
      <c r="AE73" s="738"/>
      <c r="AF73" s="738"/>
      <c r="AG73" s="738"/>
      <c r="AH73" s="738"/>
      <c r="AI73" s="738"/>
      <c r="AJ73" s="738"/>
      <c r="AK73" s="738"/>
      <c r="AL73" s="738"/>
      <c r="AM73" s="738"/>
      <c r="AN73" s="738"/>
      <c r="AO73" s="738"/>
      <c r="AP73" s="738"/>
      <c r="AQ73" s="738"/>
      <c r="AR73" s="738"/>
      <c r="AS73" s="738"/>
      <c r="AU73" s="739"/>
      <c r="AV73" s="739"/>
      <c r="AW73" s="739"/>
      <c r="AX73" s="739"/>
      <c r="AY73" s="740"/>
    </row>
    <row r="74" spans="1:52" s="403" customFormat="1" ht="30" customHeight="1">
      <c r="B74" s="777" t="str">
        <f>IF(UNNH0030_REPORT_IF_JURI_NO="","",UNNH0030_REPORT_IF_JURI_NO)</f>
        <v/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7"/>
      <c r="P74" s="777"/>
      <c r="Q74" s="777"/>
      <c r="R74" s="777"/>
      <c r="S74" s="777"/>
      <c r="T74" s="777"/>
      <c r="U74" s="777"/>
      <c r="V74" s="777"/>
      <c r="W74" s="777"/>
      <c r="X74" s="777"/>
      <c r="Y74" s="777"/>
      <c r="Z74" s="777"/>
      <c r="AA74" s="777"/>
      <c r="AB74" s="777"/>
      <c r="AC74" s="777"/>
      <c r="AD74" s="777"/>
      <c r="AE74" s="777"/>
      <c r="AF74" s="777"/>
      <c r="AG74" s="777"/>
      <c r="AH74" s="777"/>
      <c r="AI74" s="777"/>
      <c r="AJ74" s="777"/>
      <c r="AK74" s="777"/>
      <c r="AL74" s="777"/>
      <c r="AM74" s="777"/>
      <c r="AN74" s="777"/>
      <c r="AO74" s="777"/>
      <c r="AP74" s="777"/>
      <c r="AQ74" s="777"/>
      <c r="AR74" s="777"/>
      <c r="AS74" s="777"/>
      <c r="AT74" s="777"/>
      <c r="AU74" s="777"/>
      <c r="AV74" s="777"/>
      <c r="AW74" s="777"/>
      <c r="AX74" s="777"/>
      <c r="AY74" s="777"/>
    </row>
    <row r="75" spans="1:52" s="403" customFormat="1" ht="12" customHeight="1">
      <c r="C75" s="404"/>
      <c r="D75" s="404"/>
      <c r="E75" s="465"/>
      <c r="F75" s="466"/>
      <c r="G75" s="466"/>
      <c r="H75" s="466"/>
      <c r="I75" s="466"/>
      <c r="J75" s="466"/>
      <c r="K75" s="466"/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7"/>
      <c r="AA75" s="744" t="s">
        <v>1108</v>
      </c>
      <c r="AB75" s="744"/>
      <c r="AC75" s="744"/>
      <c r="AD75" s="744"/>
      <c r="AE75" s="744"/>
      <c r="AF75" s="744"/>
      <c r="AG75" s="744"/>
      <c r="AH75" s="744"/>
      <c r="AI75" s="744"/>
      <c r="AJ75" s="744"/>
      <c r="AK75" s="744"/>
      <c r="AL75" s="744"/>
      <c r="AP75" s="774" t="str">
        <f>"No."&amp;UNNH0030_REPORT_IF_H_URIAGE_NO&amp;"-"&amp;ROUNDUP(ROW()/ROWS(UNNH0030_SEIKYUSHO_PAGE_AREA),0)&amp;"/"&amp;UNNH0030_REPORT_IF_B_PAGE_TOTAL</f>
        <v>No.-3/1</v>
      </c>
      <c r="AQ75" s="774"/>
      <c r="AR75" s="774"/>
      <c r="AS75" s="774"/>
      <c r="AT75" s="774"/>
      <c r="AU75" s="774"/>
      <c r="AV75" s="774"/>
      <c r="AW75" s="774"/>
      <c r="AX75" s="774"/>
      <c r="AY75" s="774"/>
    </row>
    <row r="76" spans="1:52" s="403" customFormat="1" ht="24.75" customHeight="1">
      <c r="C76" s="404"/>
      <c r="E76" s="468"/>
      <c r="F76" s="775" t="str">
        <f>IF(UNNH0030_REPORT_IF_H_JUSHO_NO_PRINT_FLG=TRUE,"","〒")</f>
        <v>〒</v>
      </c>
      <c r="G76" s="775"/>
      <c r="H76" s="776" t="str">
        <f>IF(UNNH0030_REPORT_IF_H_JUSHO_NO_PRINT_FLG=TRUE,"",IF(UNNH0030_REPORT_IF_H_YUBIN_NO="","",UNNH0030_REPORT_IF_H_YUBIN_NO))</f>
        <v/>
      </c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469"/>
      <c r="AA76" s="744"/>
      <c r="AB76" s="744"/>
      <c r="AC76" s="744"/>
      <c r="AD76" s="744"/>
      <c r="AE76" s="744"/>
      <c r="AF76" s="744"/>
      <c r="AG76" s="744"/>
      <c r="AH76" s="744"/>
      <c r="AI76" s="744"/>
      <c r="AJ76" s="744"/>
      <c r="AK76" s="744"/>
      <c r="AL76" s="744"/>
      <c r="AP76" s="774"/>
      <c r="AQ76" s="774"/>
      <c r="AR76" s="774"/>
      <c r="AS76" s="774"/>
      <c r="AT76" s="774"/>
      <c r="AU76" s="774"/>
      <c r="AV76" s="774"/>
      <c r="AW76" s="774"/>
      <c r="AX76" s="774"/>
      <c r="AY76" s="774"/>
    </row>
    <row r="77" spans="1:52" s="403" customFormat="1" ht="24.75" customHeight="1">
      <c r="C77" s="404"/>
      <c r="E77" s="468"/>
      <c r="F77" s="745" t="str">
        <f>IF(UNNH0030_REPORT_IF_H_JUSHO_NO_PRINT_FLG="","",IF(UNNH0030_REPORT_IF_H_ADDRESS_1="","",UNNH0030_REPORT_IF_H_ADDRESS_1))</f>
        <v/>
      </c>
      <c r="G77" s="745"/>
      <c r="H77" s="745"/>
      <c r="I77" s="745"/>
      <c r="J77" s="745"/>
      <c r="K77" s="745"/>
      <c r="L77" s="745"/>
      <c r="M77" s="745"/>
      <c r="N77" s="745"/>
      <c r="O77" s="745"/>
      <c r="P77" s="745"/>
      <c r="Q77" s="745"/>
      <c r="R77" s="745"/>
      <c r="S77" s="745"/>
      <c r="T77" s="745"/>
      <c r="U77" s="745"/>
      <c r="V77" s="745"/>
      <c r="W77" s="745"/>
      <c r="X77" s="745"/>
      <c r="Y77" s="469"/>
      <c r="AP77" s="748">
        <f>UNNH0030_REPORT_IF_H_URIAGE_DATE</f>
        <v>0</v>
      </c>
      <c r="AQ77" s="748"/>
      <c r="AR77" s="748"/>
      <c r="AS77" s="748"/>
      <c r="AT77" s="748"/>
      <c r="AU77" s="748"/>
      <c r="AV77" s="748"/>
      <c r="AW77" s="748"/>
      <c r="AX77" s="748"/>
      <c r="AY77" s="748"/>
    </row>
    <row r="78" spans="1:52" s="403" customFormat="1" ht="24.75" customHeight="1">
      <c r="C78" s="404"/>
      <c r="E78" s="468"/>
      <c r="F78" s="745" t="str">
        <f>IF(UNNH0030_REPORT_IF_H_JUSHO_NO_PRINT_FLG="","",IF(UNNH0030_REPORT_IF_H_ADDRESS_2="","",UNNH0030_REPORT_IF_H_ADDRESS_2))</f>
        <v/>
      </c>
      <c r="G78" s="745"/>
      <c r="H78" s="745"/>
      <c r="I78" s="745"/>
      <c r="J78" s="745"/>
      <c r="K78" s="745"/>
      <c r="L78" s="745"/>
      <c r="M78" s="745"/>
      <c r="N78" s="745"/>
      <c r="O78" s="745"/>
      <c r="P78" s="745"/>
      <c r="Q78" s="745"/>
      <c r="R78" s="745"/>
      <c r="S78" s="745"/>
      <c r="T78" s="745"/>
      <c r="U78" s="745"/>
      <c r="V78" s="745"/>
      <c r="W78" s="745"/>
      <c r="X78" s="745"/>
      <c r="Y78" s="469"/>
    </row>
    <row r="79" spans="1:52" s="403" customFormat="1" ht="24.75" customHeight="1">
      <c r="C79" s="404"/>
      <c r="E79" s="468"/>
      <c r="F79" s="409"/>
      <c r="G79" s="409"/>
      <c r="H79" s="409"/>
      <c r="I79" s="409"/>
      <c r="J79" s="409"/>
      <c r="K79" s="409"/>
      <c r="L79" s="409"/>
      <c r="M79" s="409"/>
      <c r="N79" s="409"/>
      <c r="O79" s="409"/>
      <c r="P79" s="409"/>
      <c r="Q79" s="409"/>
      <c r="R79" s="409"/>
      <c r="S79" s="409"/>
      <c r="T79" s="409"/>
      <c r="U79" s="409"/>
      <c r="V79" s="409"/>
      <c r="W79" s="409"/>
      <c r="X79" s="409"/>
      <c r="Y79" s="469"/>
    </row>
    <row r="80" spans="1:52" s="403" customFormat="1" ht="26.25" customHeight="1">
      <c r="C80" s="404"/>
      <c r="E80" s="470"/>
      <c r="F80" s="745" t="str">
        <f>IF(TRIM(UNNH0030_REPORT_IF_H_SOFU_TANTO)="","",
IF(TRIM(UNNH0030_REPORT_IF_H_DEMPYO_SOFU_MEI)="","",
TRIM(UNNH0030_REPORT_IF_H_DEMPYO_SOFU_MEI)))</f>
        <v/>
      </c>
      <c r="G80" s="745"/>
      <c r="H80" s="745"/>
      <c r="I80" s="745"/>
      <c r="J80" s="745"/>
      <c r="K80" s="745"/>
      <c r="L80" s="745"/>
      <c r="M80" s="745"/>
      <c r="N80" s="745"/>
      <c r="O80" s="745"/>
      <c r="P80" s="745"/>
      <c r="Q80" s="745"/>
      <c r="R80" s="745"/>
      <c r="S80" s="745"/>
      <c r="T80" s="745"/>
      <c r="U80" s="745"/>
      <c r="V80" s="745"/>
      <c r="W80" s="745"/>
      <c r="X80" s="745"/>
      <c r="Y80" s="469"/>
    </row>
    <row r="81" spans="1:52" s="403" customFormat="1" ht="26.25" customHeight="1">
      <c r="C81" s="404"/>
      <c r="E81" s="468"/>
      <c r="F81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6"/>
      <c r="T81" s="746"/>
      <c r="U81" s="746"/>
      <c r="V81" s="746"/>
      <c r="W81" s="746"/>
      <c r="X81" s="746"/>
      <c r="Y81" s="469"/>
      <c r="Z81" s="477" t="str">
        <f>UNNH0030_REPORT_IF_H_SHIMEBI_MARK</f>
        <v>*</v>
      </c>
    </row>
    <row r="82" spans="1:52" s="403" customFormat="1" ht="25.5" customHeight="1">
      <c r="C82" s="404"/>
      <c r="E82" s="471"/>
      <c r="F82" s="747">
        <f>UNNH0030_REPORT_IF_H_SEIKYU_CD</f>
        <v>0</v>
      </c>
      <c r="G82" s="747"/>
      <c r="H82" s="747"/>
      <c r="I82" s="747"/>
      <c r="J82" s="747"/>
      <c r="K82" s="747"/>
      <c r="L82" s="747"/>
      <c r="M82" s="747"/>
      <c r="N82" s="747"/>
      <c r="O82" s="747"/>
      <c r="P82" s="747"/>
      <c r="Q82" s="747"/>
      <c r="R82" s="747"/>
      <c r="S82" s="747"/>
      <c r="T82" s="747"/>
      <c r="U82" s="747"/>
      <c r="V82" s="747"/>
      <c r="W82" s="747"/>
      <c r="X82" s="747"/>
      <c r="Y82" s="472"/>
    </row>
    <row r="83" spans="1:52" s="403" customFormat="1" ht="30" customHeight="1">
      <c r="C83" s="404"/>
    </row>
    <row r="84" spans="1:52" s="403" customFormat="1" ht="30" customHeight="1"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</row>
    <row r="85" spans="1:52" s="403" customFormat="1" ht="29.25" customHeight="1">
      <c r="B85" s="474" t="s">
        <v>1101</v>
      </c>
      <c r="C85" s="404"/>
      <c r="D85" s="404"/>
      <c r="E85" s="404"/>
      <c r="F85" s="404"/>
      <c r="G85" s="404"/>
      <c r="H85" s="404"/>
      <c r="I85" s="404"/>
      <c r="J85" s="404"/>
      <c r="K85" s="404"/>
      <c r="L85" s="404"/>
      <c r="M85" s="404"/>
      <c r="N85" s="404"/>
      <c r="O85" s="404"/>
    </row>
    <row r="86" spans="1:52" s="403" customFormat="1" ht="36.75" customHeight="1">
      <c r="B86" s="742"/>
      <c r="C86" s="742"/>
      <c r="D86" s="742" t="s">
        <v>1102</v>
      </c>
      <c r="E86" s="742"/>
      <c r="F86" s="742"/>
      <c r="G86" s="742"/>
      <c r="H86" s="742"/>
      <c r="I86" s="742"/>
      <c r="J86" s="742"/>
      <c r="K86" s="742"/>
      <c r="L86" s="742"/>
      <c r="M86" s="742"/>
      <c r="N86" s="742"/>
      <c r="O86" s="742"/>
      <c r="P86" s="742"/>
      <c r="Q86" s="742"/>
      <c r="R86" s="742"/>
      <c r="S86" s="742"/>
      <c r="T86" s="742"/>
      <c r="U86" s="742"/>
      <c r="V86" s="742"/>
      <c r="W86" s="742"/>
      <c r="X86" s="742"/>
      <c r="Y86" s="742"/>
      <c r="Z86" s="742"/>
      <c r="AA86" s="742"/>
      <c r="AB86" s="742"/>
      <c r="AC86" s="742" t="s">
        <v>1103</v>
      </c>
      <c r="AD86" s="742"/>
      <c r="AE86" s="742"/>
      <c r="AF86" s="742"/>
      <c r="AG86" s="742"/>
      <c r="AH86" s="742"/>
      <c r="AI86" s="742"/>
      <c r="AJ86" s="742" t="s">
        <v>1104</v>
      </c>
      <c r="AK86" s="742"/>
      <c r="AL86" s="742" t="s">
        <v>1105</v>
      </c>
      <c r="AM86" s="742"/>
      <c r="AN86" s="742"/>
      <c r="AO86" s="742"/>
      <c r="AP86" s="742"/>
      <c r="AQ86" s="742"/>
      <c r="AR86" s="742"/>
      <c r="AS86" s="742" t="s">
        <v>1106</v>
      </c>
      <c r="AT86" s="742"/>
      <c r="AU86" s="742"/>
      <c r="AV86" s="742"/>
      <c r="AW86" s="742"/>
      <c r="AX86" s="742"/>
      <c r="AY86" s="742"/>
    </row>
    <row r="87" spans="1:52" s="403" customFormat="1" ht="36.75" customHeight="1">
      <c r="B87" s="742">
        <f>ROUNDDOWN(ROW()/ROWS(UNNH0030_REPORT_RAYOUT_SEIKYUSHO),0)*UNNH0030_REPORT_IF_B_PAGE_MEISAI_SU+1</f>
        <v>41</v>
      </c>
      <c r="C87" s="742"/>
      <c r="D87" s="743" t="str">
        <f t="shared" ref="D87:D106" ca="1" si="12">IF(OFFSET(UNNH0030_REPORT_IF_B_SHOHIN_MEI,$B87,0)="","",OFFSET(UNNH0030_REPORT_IF_B_SHOHIN_MEI,$B87,0))</f>
        <v/>
      </c>
      <c r="E87" s="743"/>
      <c r="F87" s="743"/>
      <c r="G87" s="743"/>
      <c r="H87" s="743"/>
      <c r="I87" s="743"/>
      <c r="J87" s="743"/>
      <c r="K87" s="743"/>
      <c r="L87" s="743"/>
      <c r="M87" s="743"/>
      <c r="N87" s="743"/>
      <c r="O87" s="743"/>
      <c r="P87" s="743"/>
      <c r="Q87" s="743"/>
      <c r="R87" s="743"/>
      <c r="S87" s="743"/>
      <c r="T87" s="743"/>
      <c r="U87" s="743"/>
      <c r="V87" s="743"/>
      <c r="W87" s="743"/>
      <c r="X87" s="743"/>
      <c r="Y87" s="743"/>
      <c r="Z87" s="743"/>
      <c r="AA87" s="743"/>
      <c r="AB87" s="743"/>
      <c r="AC87" s="781" t="str">
        <f t="shared" ref="AC87:AC106" ca="1" si="13">IF(OR(OFFSET(UNNH0030_REPORT_IF_B_ROW_KBN,$B87,0)&lt;&gt;1,$D87="",$D87="消費税"),"",
OFFSET(UNNH0030_REPORT_IF_B_SURYO,$B87,0))</f>
        <v/>
      </c>
      <c r="AD87" s="781"/>
      <c r="AE87" s="781"/>
      <c r="AF87" s="781"/>
      <c r="AG87" s="781"/>
      <c r="AH87" s="781"/>
      <c r="AI87" s="781"/>
      <c r="AJ87" s="742" t="str">
        <f t="shared" ref="AJ87:AJ106" ca="1" si="14">IF(OFFSET(UNNH0030_REPORT_IF_B_TANI,$B87,0)="","",OFFSET(UNNH0030_REPORT_IF_B_TANI,$B87,0))</f>
        <v/>
      </c>
      <c r="AK87" s="742"/>
      <c r="AL87" s="781" t="str">
        <f t="shared" ref="AL87:AL106" ca="1" si="15">IF(OR(OFFSET(UNNH0030_REPORT_IF_B_ROW_KBN,$B87,0)&lt;&gt;1,$D87="",$D87="消費税"),"",
OFFSET(UNNH0030_REPORT_IF_B_TANKA,$B87,0))</f>
        <v/>
      </c>
      <c r="AM87" s="781"/>
      <c r="AN87" s="781"/>
      <c r="AO87" s="781"/>
      <c r="AP87" s="781"/>
      <c r="AQ87" s="781"/>
      <c r="AR87" s="781"/>
      <c r="AS87" s="741" t="str">
        <f t="shared" ref="AS87:AS106" ca="1" si="16">IF(OR(OFFSET(UNNH0030_REPORT_IF_B_KINGAKU,$B87,0)=0,$D87=""),"",
OFFSET(UNNH0030_REPORT_IF_B_KINGAKU,$B87,0))</f>
        <v/>
      </c>
      <c r="AT87" s="741"/>
      <c r="AU87" s="741"/>
      <c r="AV87" s="741"/>
      <c r="AW87" s="741"/>
      <c r="AX87" s="741"/>
      <c r="AY87" s="741"/>
    </row>
    <row r="88" spans="1:52" s="403" customFormat="1" ht="36.75" customHeight="1">
      <c r="B88" s="742">
        <f>B87+1</f>
        <v>42</v>
      </c>
      <c r="C88" s="742"/>
      <c r="D88" s="743" t="str">
        <f t="shared" ca="1" si="12"/>
        <v/>
      </c>
      <c r="E88" s="743"/>
      <c r="F88" s="743"/>
      <c r="G88" s="743"/>
      <c r="H88" s="743"/>
      <c r="I88" s="743"/>
      <c r="J88" s="743"/>
      <c r="K88" s="743"/>
      <c r="L88" s="743"/>
      <c r="M88" s="743"/>
      <c r="N88" s="743"/>
      <c r="O88" s="743"/>
      <c r="P88" s="743"/>
      <c r="Q88" s="743"/>
      <c r="R88" s="743"/>
      <c r="S88" s="743"/>
      <c r="T88" s="743"/>
      <c r="U88" s="743"/>
      <c r="V88" s="743"/>
      <c r="W88" s="743"/>
      <c r="X88" s="743"/>
      <c r="Y88" s="743"/>
      <c r="Z88" s="743"/>
      <c r="AA88" s="743"/>
      <c r="AB88" s="743"/>
      <c r="AC88" s="781" t="str">
        <f t="shared" ca="1" si="13"/>
        <v/>
      </c>
      <c r="AD88" s="781"/>
      <c r="AE88" s="781"/>
      <c r="AF88" s="781"/>
      <c r="AG88" s="781"/>
      <c r="AH88" s="781"/>
      <c r="AI88" s="781"/>
      <c r="AJ88" s="742" t="str">
        <f t="shared" ca="1" si="14"/>
        <v/>
      </c>
      <c r="AK88" s="742"/>
      <c r="AL88" s="781" t="str">
        <f t="shared" ca="1" si="15"/>
        <v/>
      </c>
      <c r="AM88" s="781"/>
      <c r="AN88" s="781"/>
      <c r="AO88" s="781"/>
      <c r="AP88" s="781"/>
      <c r="AQ88" s="781"/>
      <c r="AR88" s="781"/>
      <c r="AS88" s="741" t="str">
        <f t="shared" ca="1" si="16"/>
        <v/>
      </c>
      <c r="AT88" s="741"/>
      <c r="AU88" s="741"/>
      <c r="AV88" s="741"/>
      <c r="AW88" s="741"/>
      <c r="AX88" s="741"/>
      <c r="AY88" s="741"/>
    </row>
    <row r="89" spans="1:52" s="403" customFormat="1" ht="36.75" customHeight="1">
      <c r="B89" s="742">
        <f>B88+1</f>
        <v>43</v>
      </c>
      <c r="C89" s="742"/>
      <c r="D89" s="743" t="str">
        <f t="shared" ca="1" si="12"/>
        <v/>
      </c>
      <c r="E89" s="743"/>
      <c r="F89" s="743"/>
      <c r="G89" s="743"/>
      <c r="H89" s="743"/>
      <c r="I89" s="743"/>
      <c r="J89" s="743"/>
      <c r="K89" s="743"/>
      <c r="L89" s="743"/>
      <c r="M89" s="743"/>
      <c r="N89" s="743"/>
      <c r="O89" s="743"/>
      <c r="P89" s="743"/>
      <c r="Q89" s="743"/>
      <c r="R89" s="743"/>
      <c r="S89" s="743"/>
      <c r="T89" s="743"/>
      <c r="U89" s="743"/>
      <c r="V89" s="743"/>
      <c r="W89" s="743"/>
      <c r="X89" s="743"/>
      <c r="Y89" s="743"/>
      <c r="Z89" s="743"/>
      <c r="AA89" s="743"/>
      <c r="AB89" s="743"/>
      <c r="AC89" s="781" t="str">
        <f t="shared" ca="1" si="13"/>
        <v/>
      </c>
      <c r="AD89" s="781"/>
      <c r="AE89" s="781"/>
      <c r="AF89" s="781"/>
      <c r="AG89" s="781"/>
      <c r="AH89" s="781"/>
      <c r="AI89" s="781"/>
      <c r="AJ89" s="742" t="str">
        <f t="shared" ca="1" si="14"/>
        <v/>
      </c>
      <c r="AK89" s="742"/>
      <c r="AL89" s="781" t="str">
        <f t="shared" ca="1" si="15"/>
        <v/>
      </c>
      <c r="AM89" s="781"/>
      <c r="AN89" s="781"/>
      <c r="AO89" s="781"/>
      <c r="AP89" s="781"/>
      <c r="AQ89" s="781"/>
      <c r="AR89" s="781"/>
      <c r="AS89" s="741" t="str">
        <f t="shared" ca="1" si="16"/>
        <v/>
      </c>
      <c r="AT89" s="741"/>
      <c r="AU89" s="741"/>
      <c r="AV89" s="741"/>
      <c r="AW89" s="741"/>
      <c r="AX89" s="741"/>
      <c r="AY89" s="741"/>
    </row>
    <row r="90" spans="1:52" s="403" customFormat="1" ht="36.75" customHeight="1">
      <c r="B90" s="742">
        <f t="shared" ref="B90:B106" si="17">B89+1</f>
        <v>44</v>
      </c>
      <c r="C90" s="742"/>
      <c r="D90" s="743" t="str">
        <f t="shared" ca="1" si="12"/>
        <v/>
      </c>
      <c r="E90" s="743"/>
      <c r="F90" s="743"/>
      <c r="G90" s="743"/>
      <c r="H90" s="743"/>
      <c r="I90" s="743"/>
      <c r="J90" s="743"/>
      <c r="K90" s="743"/>
      <c r="L90" s="743"/>
      <c r="M90" s="743"/>
      <c r="N90" s="743"/>
      <c r="O90" s="743"/>
      <c r="P90" s="743"/>
      <c r="Q90" s="743"/>
      <c r="R90" s="743"/>
      <c r="S90" s="743"/>
      <c r="T90" s="743"/>
      <c r="U90" s="743"/>
      <c r="V90" s="743"/>
      <c r="W90" s="743"/>
      <c r="X90" s="743"/>
      <c r="Y90" s="743"/>
      <c r="Z90" s="743"/>
      <c r="AA90" s="743"/>
      <c r="AB90" s="743"/>
      <c r="AC90" s="781" t="str">
        <f t="shared" ca="1" si="13"/>
        <v/>
      </c>
      <c r="AD90" s="781"/>
      <c r="AE90" s="781"/>
      <c r="AF90" s="781"/>
      <c r="AG90" s="781"/>
      <c r="AH90" s="781"/>
      <c r="AI90" s="781"/>
      <c r="AJ90" s="742" t="str">
        <f t="shared" ca="1" si="14"/>
        <v/>
      </c>
      <c r="AK90" s="742"/>
      <c r="AL90" s="781" t="str">
        <f t="shared" ca="1" si="15"/>
        <v/>
      </c>
      <c r="AM90" s="781"/>
      <c r="AN90" s="781"/>
      <c r="AO90" s="781"/>
      <c r="AP90" s="781"/>
      <c r="AQ90" s="781"/>
      <c r="AR90" s="781"/>
      <c r="AS90" s="741" t="str">
        <f t="shared" ca="1" si="16"/>
        <v/>
      </c>
      <c r="AT90" s="741"/>
      <c r="AU90" s="741"/>
      <c r="AV90" s="741"/>
      <c r="AW90" s="741"/>
      <c r="AX90" s="741"/>
      <c r="AY90" s="741"/>
    </row>
    <row r="91" spans="1:52" s="403" customFormat="1" ht="36.75" customHeight="1">
      <c r="A91" s="403" t="s">
        <v>1529</v>
      </c>
      <c r="B91" s="742">
        <f t="shared" si="17"/>
        <v>45</v>
      </c>
      <c r="C91" s="742"/>
      <c r="D91" s="743" t="str">
        <f t="shared" ca="1" si="12"/>
        <v/>
      </c>
      <c r="E91" s="743"/>
      <c r="F91" s="743"/>
      <c r="G91" s="743"/>
      <c r="H91" s="743"/>
      <c r="I91" s="743"/>
      <c r="J91" s="743"/>
      <c r="K91" s="743"/>
      <c r="L91" s="743"/>
      <c r="M91" s="743"/>
      <c r="N91" s="743"/>
      <c r="O91" s="743"/>
      <c r="P91" s="743"/>
      <c r="Q91" s="743"/>
      <c r="R91" s="743"/>
      <c r="S91" s="743"/>
      <c r="T91" s="743"/>
      <c r="U91" s="743"/>
      <c r="V91" s="743"/>
      <c r="W91" s="743"/>
      <c r="X91" s="743"/>
      <c r="Y91" s="743"/>
      <c r="Z91" s="743"/>
      <c r="AA91" s="743"/>
      <c r="AB91" s="743"/>
      <c r="AC91" s="781" t="str">
        <f t="shared" ca="1" si="13"/>
        <v/>
      </c>
      <c r="AD91" s="781"/>
      <c r="AE91" s="781"/>
      <c r="AF91" s="781"/>
      <c r="AG91" s="781"/>
      <c r="AH91" s="781"/>
      <c r="AI91" s="781"/>
      <c r="AJ91" s="742" t="str">
        <f t="shared" ca="1" si="14"/>
        <v/>
      </c>
      <c r="AK91" s="742"/>
      <c r="AL91" s="781" t="str">
        <f t="shared" ca="1" si="15"/>
        <v/>
      </c>
      <c r="AM91" s="781"/>
      <c r="AN91" s="781"/>
      <c r="AO91" s="781"/>
      <c r="AP91" s="781"/>
      <c r="AQ91" s="781"/>
      <c r="AR91" s="781"/>
      <c r="AS91" s="741" t="str">
        <f t="shared" ca="1" si="16"/>
        <v/>
      </c>
      <c r="AT91" s="741"/>
      <c r="AU91" s="741"/>
      <c r="AV91" s="741"/>
      <c r="AW91" s="741"/>
      <c r="AX91" s="741"/>
      <c r="AY91" s="741"/>
      <c r="AZ91" s="473" t="s">
        <v>1530</v>
      </c>
    </row>
    <row r="92" spans="1:52" s="403" customFormat="1" ht="36.75" customHeight="1">
      <c r="B92" s="742">
        <f t="shared" si="17"/>
        <v>46</v>
      </c>
      <c r="C92" s="742"/>
      <c r="D92" s="743" t="str">
        <f t="shared" ca="1" si="12"/>
        <v/>
      </c>
      <c r="E92" s="743"/>
      <c r="F92" s="743"/>
      <c r="G92" s="743"/>
      <c r="H92" s="743"/>
      <c r="I92" s="743"/>
      <c r="J92" s="743"/>
      <c r="K92" s="743"/>
      <c r="L92" s="743"/>
      <c r="M92" s="743"/>
      <c r="N92" s="743"/>
      <c r="O92" s="743"/>
      <c r="P92" s="743"/>
      <c r="Q92" s="743"/>
      <c r="R92" s="743"/>
      <c r="S92" s="743"/>
      <c r="T92" s="743"/>
      <c r="U92" s="743"/>
      <c r="V92" s="743"/>
      <c r="W92" s="743"/>
      <c r="X92" s="743"/>
      <c r="Y92" s="743"/>
      <c r="Z92" s="743"/>
      <c r="AA92" s="743"/>
      <c r="AB92" s="743"/>
      <c r="AC92" s="781" t="str">
        <f t="shared" ca="1" si="13"/>
        <v/>
      </c>
      <c r="AD92" s="781"/>
      <c r="AE92" s="781"/>
      <c r="AF92" s="781"/>
      <c r="AG92" s="781"/>
      <c r="AH92" s="781"/>
      <c r="AI92" s="781"/>
      <c r="AJ92" s="742" t="str">
        <f t="shared" ca="1" si="14"/>
        <v/>
      </c>
      <c r="AK92" s="742"/>
      <c r="AL92" s="781" t="str">
        <f t="shared" ca="1" si="15"/>
        <v/>
      </c>
      <c r="AM92" s="781"/>
      <c r="AN92" s="781"/>
      <c r="AO92" s="781"/>
      <c r="AP92" s="781"/>
      <c r="AQ92" s="781"/>
      <c r="AR92" s="781"/>
      <c r="AS92" s="741" t="str">
        <f t="shared" ca="1" si="16"/>
        <v/>
      </c>
      <c r="AT92" s="741"/>
      <c r="AU92" s="741"/>
      <c r="AV92" s="741"/>
      <c r="AW92" s="741"/>
      <c r="AX92" s="741"/>
      <c r="AY92" s="741"/>
      <c r="AZ92" s="473"/>
    </row>
    <row r="93" spans="1:52" s="403" customFormat="1" ht="36.75" customHeight="1">
      <c r="B93" s="742">
        <f t="shared" si="17"/>
        <v>47</v>
      </c>
      <c r="C93" s="742"/>
      <c r="D93" s="743" t="str">
        <f t="shared" ca="1" si="12"/>
        <v/>
      </c>
      <c r="E93" s="743"/>
      <c r="F93" s="743"/>
      <c r="G93" s="743"/>
      <c r="H93" s="743"/>
      <c r="I93" s="743"/>
      <c r="J93" s="743"/>
      <c r="K93" s="743"/>
      <c r="L93" s="743"/>
      <c r="M93" s="743"/>
      <c r="N93" s="743"/>
      <c r="O93" s="743"/>
      <c r="P93" s="743"/>
      <c r="Q93" s="743"/>
      <c r="R93" s="743"/>
      <c r="S93" s="743"/>
      <c r="T93" s="743"/>
      <c r="U93" s="743"/>
      <c r="V93" s="743"/>
      <c r="W93" s="743"/>
      <c r="X93" s="743"/>
      <c r="Y93" s="743"/>
      <c r="Z93" s="743"/>
      <c r="AA93" s="743"/>
      <c r="AB93" s="743"/>
      <c r="AC93" s="781" t="str">
        <f t="shared" ca="1" si="13"/>
        <v/>
      </c>
      <c r="AD93" s="781"/>
      <c r="AE93" s="781"/>
      <c r="AF93" s="781"/>
      <c r="AG93" s="781"/>
      <c r="AH93" s="781"/>
      <c r="AI93" s="781"/>
      <c r="AJ93" s="742" t="str">
        <f t="shared" ca="1" si="14"/>
        <v/>
      </c>
      <c r="AK93" s="742"/>
      <c r="AL93" s="781" t="str">
        <f t="shared" ca="1" si="15"/>
        <v/>
      </c>
      <c r="AM93" s="781"/>
      <c r="AN93" s="781"/>
      <c r="AO93" s="781"/>
      <c r="AP93" s="781"/>
      <c r="AQ93" s="781"/>
      <c r="AR93" s="781"/>
      <c r="AS93" s="741" t="str">
        <f t="shared" ca="1" si="16"/>
        <v/>
      </c>
      <c r="AT93" s="741"/>
      <c r="AU93" s="741"/>
      <c r="AV93" s="741"/>
      <c r="AW93" s="741"/>
      <c r="AX93" s="741"/>
      <c r="AY93" s="741"/>
      <c r="AZ93" s="473"/>
    </row>
    <row r="94" spans="1:52" s="403" customFormat="1" ht="36.75" customHeight="1">
      <c r="B94" s="742">
        <f t="shared" si="17"/>
        <v>48</v>
      </c>
      <c r="C94" s="742"/>
      <c r="D94" s="743" t="str">
        <f t="shared" ca="1" si="12"/>
        <v/>
      </c>
      <c r="E94" s="743"/>
      <c r="F94" s="743"/>
      <c r="G94" s="743"/>
      <c r="H94" s="743"/>
      <c r="I94" s="743"/>
      <c r="J94" s="743"/>
      <c r="K94" s="743"/>
      <c r="L94" s="743"/>
      <c r="M94" s="743"/>
      <c r="N94" s="743"/>
      <c r="O94" s="743"/>
      <c r="P94" s="743"/>
      <c r="Q94" s="743"/>
      <c r="R94" s="743"/>
      <c r="S94" s="743"/>
      <c r="T94" s="743"/>
      <c r="U94" s="743"/>
      <c r="V94" s="743"/>
      <c r="W94" s="743"/>
      <c r="X94" s="743"/>
      <c r="Y94" s="743"/>
      <c r="Z94" s="743"/>
      <c r="AA94" s="743"/>
      <c r="AB94" s="743"/>
      <c r="AC94" s="781" t="str">
        <f t="shared" ca="1" si="13"/>
        <v/>
      </c>
      <c r="AD94" s="781"/>
      <c r="AE94" s="781"/>
      <c r="AF94" s="781"/>
      <c r="AG94" s="781"/>
      <c r="AH94" s="781"/>
      <c r="AI94" s="781"/>
      <c r="AJ94" s="742" t="str">
        <f t="shared" ca="1" si="14"/>
        <v/>
      </c>
      <c r="AK94" s="742"/>
      <c r="AL94" s="781" t="str">
        <f t="shared" ca="1" si="15"/>
        <v/>
      </c>
      <c r="AM94" s="781"/>
      <c r="AN94" s="781"/>
      <c r="AO94" s="781"/>
      <c r="AP94" s="781"/>
      <c r="AQ94" s="781"/>
      <c r="AR94" s="781"/>
      <c r="AS94" s="741" t="str">
        <f t="shared" ca="1" si="16"/>
        <v/>
      </c>
      <c r="AT94" s="741"/>
      <c r="AU94" s="741"/>
      <c r="AV94" s="741"/>
      <c r="AW94" s="741"/>
      <c r="AX94" s="741"/>
      <c r="AY94" s="741"/>
    </row>
    <row r="95" spans="1:52" s="403" customFormat="1" ht="36.75" customHeight="1">
      <c r="B95" s="742">
        <f t="shared" si="17"/>
        <v>49</v>
      </c>
      <c r="C95" s="742"/>
      <c r="D95" s="743" t="str">
        <f t="shared" ca="1" si="12"/>
        <v/>
      </c>
      <c r="E95" s="743"/>
      <c r="F95" s="743"/>
      <c r="G95" s="743"/>
      <c r="H95" s="743"/>
      <c r="I95" s="743"/>
      <c r="J95" s="743"/>
      <c r="K95" s="743"/>
      <c r="L95" s="743"/>
      <c r="M95" s="743"/>
      <c r="N95" s="743"/>
      <c r="O95" s="743"/>
      <c r="P95" s="743"/>
      <c r="Q95" s="743"/>
      <c r="R95" s="743"/>
      <c r="S95" s="743"/>
      <c r="T95" s="743"/>
      <c r="U95" s="743"/>
      <c r="V95" s="743"/>
      <c r="W95" s="743"/>
      <c r="X95" s="743"/>
      <c r="Y95" s="743"/>
      <c r="Z95" s="743"/>
      <c r="AA95" s="743"/>
      <c r="AB95" s="743"/>
      <c r="AC95" s="781" t="str">
        <f t="shared" ca="1" si="13"/>
        <v/>
      </c>
      <c r="AD95" s="781"/>
      <c r="AE95" s="781"/>
      <c r="AF95" s="781"/>
      <c r="AG95" s="781"/>
      <c r="AH95" s="781"/>
      <c r="AI95" s="781"/>
      <c r="AJ95" s="742" t="str">
        <f t="shared" ca="1" si="14"/>
        <v/>
      </c>
      <c r="AK95" s="742"/>
      <c r="AL95" s="781" t="str">
        <f t="shared" ca="1" si="15"/>
        <v/>
      </c>
      <c r="AM95" s="781"/>
      <c r="AN95" s="781"/>
      <c r="AO95" s="781"/>
      <c r="AP95" s="781"/>
      <c r="AQ95" s="781"/>
      <c r="AR95" s="781"/>
      <c r="AS95" s="741" t="str">
        <f t="shared" ca="1" si="16"/>
        <v/>
      </c>
      <c r="AT95" s="741"/>
      <c r="AU95" s="741"/>
      <c r="AV95" s="741"/>
      <c r="AW95" s="741"/>
      <c r="AX95" s="741"/>
      <c r="AY95" s="741"/>
    </row>
    <row r="96" spans="1:52" s="403" customFormat="1" ht="36.75" customHeight="1">
      <c r="B96" s="742">
        <f t="shared" si="17"/>
        <v>50</v>
      </c>
      <c r="C96" s="742"/>
      <c r="D96" s="743" t="str">
        <f t="shared" ca="1" si="12"/>
        <v/>
      </c>
      <c r="E96" s="743"/>
      <c r="F96" s="743"/>
      <c r="G96" s="743"/>
      <c r="H96" s="743"/>
      <c r="I96" s="743"/>
      <c r="J96" s="743"/>
      <c r="K96" s="743"/>
      <c r="L96" s="743"/>
      <c r="M96" s="743"/>
      <c r="N96" s="743"/>
      <c r="O96" s="743"/>
      <c r="P96" s="743"/>
      <c r="Q96" s="743"/>
      <c r="R96" s="743"/>
      <c r="S96" s="743"/>
      <c r="T96" s="743"/>
      <c r="U96" s="743"/>
      <c r="V96" s="743"/>
      <c r="W96" s="743"/>
      <c r="X96" s="743"/>
      <c r="Y96" s="743"/>
      <c r="Z96" s="743"/>
      <c r="AA96" s="743"/>
      <c r="AB96" s="743"/>
      <c r="AC96" s="781" t="str">
        <f t="shared" ca="1" si="13"/>
        <v/>
      </c>
      <c r="AD96" s="781"/>
      <c r="AE96" s="781"/>
      <c r="AF96" s="781"/>
      <c r="AG96" s="781"/>
      <c r="AH96" s="781"/>
      <c r="AI96" s="781"/>
      <c r="AJ96" s="742" t="str">
        <f t="shared" ca="1" si="14"/>
        <v/>
      </c>
      <c r="AK96" s="742"/>
      <c r="AL96" s="781" t="str">
        <f t="shared" ca="1" si="15"/>
        <v/>
      </c>
      <c r="AM96" s="781"/>
      <c r="AN96" s="781"/>
      <c r="AO96" s="781"/>
      <c r="AP96" s="781"/>
      <c r="AQ96" s="781"/>
      <c r="AR96" s="781"/>
      <c r="AS96" s="741" t="str">
        <f t="shared" ca="1" si="16"/>
        <v/>
      </c>
      <c r="AT96" s="741"/>
      <c r="AU96" s="741"/>
      <c r="AV96" s="741"/>
      <c r="AW96" s="741"/>
      <c r="AX96" s="741"/>
      <c r="AY96" s="741"/>
    </row>
    <row r="97" spans="1:52" s="403" customFormat="1" ht="36.75" customHeight="1">
      <c r="B97" s="742">
        <f t="shared" si="17"/>
        <v>51</v>
      </c>
      <c r="C97" s="742"/>
      <c r="D97" s="743" t="str">
        <f t="shared" ca="1" si="12"/>
        <v/>
      </c>
      <c r="E97" s="743"/>
      <c r="F97" s="743"/>
      <c r="G97" s="743"/>
      <c r="H97" s="743"/>
      <c r="I97" s="743"/>
      <c r="J97" s="743"/>
      <c r="K97" s="743"/>
      <c r="L97" s="743"/>
      <c r="M97" s="743"/>
      <c r="N97" s="743"/>
      <c r="O97" s="743"/>
      <c r="P97" s="743"/>
      <c r="Q97" s="743"/>
      <c r="R97" s="743"/>
      <c r="S97" s="743"/>
      <c r="T97" s="743"/>
      <c r="U97" s="743"/>
      <c r="V97" s="743"/>
      <c r="W97" s="743"/>
      <c r="X97" s="743"/>
      <c r="Y97" s="743"/>
      <c r="Z97" s="743"/>
      <c r="AA97" s="743"/>
      <c r="AB97" s="743"/>
      <c r="AC97" s="781" t="str">
        <f t="shared" ca="1" si="13"/>
        <v/>
      </c>
      <c r="AD97" s="781"/>
      <c r="AE97" s="781"/>
      <c r="AF97" s="781"/>
      <c r="AG97" s="781"/>
      <c r="AH97" s="781"/>
      <c r="AI97" s="781"/>
      <c r="AJ97" s="742" t="str">
        <f t="shared" ca="1" si="14"/>
        <v/>
      </c>
      <c r="AK97" s="742"/>
      <c r="AL97" s="781" t="str">
        <f t="shared" ca="1" si="15"/>
        <v/>
      </c>
      <c r="AM97" s="781"/>
      <c r="AN97" s="781"/>
      <c r="AO97" s="781"/>
      <c r="AP97" s="781"/>
      <c r="AQ97" s="781"/>
      <c r="AR97" s="781"/>
      <c r="AS97" s="741" t="str">
        <f t="shared" ca="1" si="16"/>
        <v/>
      </c>
      <c r="AT97" s="741"/>
      <c r="AU97" s="741"/>
      <c r="AV97" s="741"/>
      <c r="AW97" s="741"/>
      <c r="AX97" s="741"/>
      <c r="AY97" s="741"/>
    </row>
    <row r="98" spans="1:52" s="403" customFormat="1" ht="36.75" customHeight="1">
      <c r="B98" s="742">
        <f t="shared" si="17"/>
        <v>52</v>
      </c>
      <c r="C98" s="742"/>
      <c r="D98" s="743" t="str">
        <f t="shared" ca="1" si="12"/>
        <v/>
      </c>
      <c r="E98" s="743"/>
      <c r="F98" s="743"/>
      <c r="G98" s="743"/>
      <c r="H98" s="743"/>
      <c r="I98" s="743"/>
      <c r="J98" s="743"/>
      <c r="K98" s="743"/>
      <c r="L98" s="743"/>
      <c r="M98" s="743"/>
      <c r="N98" s="743"/>
      <c r="O98" s="743"/>
      <c r="P98" s="743"/>
      <c r="Q98" s="743"/>
      <c r="R98" s="743"/>
      <c r="S98" s="743"/>
      <c r="T98" s="743"/>
      <c r="U98" s="743"/>
      <c r="V98" s="743"/>
      <c r="W98" s="743"/>
      <c r="X98" s="743"/>
      <c r="Y98" s="743"/>
      <c r="Z98" s="743"/>
      <c r="AA98" s="743"/>
      <c r="AB98" s="743"/>
      <c r="AC98" s="781" t="str">
        <f t="shared" ca="1" si="13"/>
        <v/>
      </c>
      <c r="AD98" s="781"/>
      <c r="AE98" s="781"/>
      <c r="AF98" s="781"/>
      <c r="AG98" s="781"/>
      <c r="AH98" s="781"/>
      <c r="AI98" s="781"/>
      <c r="AJ98" s="742" t="str">
        <f t="shared" ca="1" si="14"/>
        <v/>
      </c>
      <c r="AK98" s="742"/>
      <c r="AL98" s="781" t="str">
        <f t="shared" ca="1" si="15"/>
        <v/>
      </c>
      <c r="AM98" s="781"/>
      <c r="AN98" s="781"/>
      <c r="AO98" s="781"/>
      <c r="AP98" s="781"/>
      <c r="AQ98" s="781"/>
      <c r="AR98" s="781"/>
      <c r="AS98" s="741" t="str">
        <f t="shared" ca="1" si="16"/>
        <v/>
      </c>
      <c r="AT98" s="741"/>
      <c r="AU98" s="741"/>
      <c r="AV98" s="741"/>
      <c r="AW98" s="741"/>
      <c r="AX98" s="741"/>
      <c r="AY98" s="741"/>
    </row>
    <row r="99" spans="1:52" s="403" customFormat="1" ht="36.75" customHeight="1">
      <c r="B99" s="742">
        <f t="shared" si="17"/>
        <v>53</v>
      </c>
      <c r="C99" s="742"/>
      <c r="D99" s="743" t="str">
        <f t="shared" ca="1" si="12"/>
        <v/>
      </c>
      <c r="E99" s="743"/>
      <c r="F99" s="743"/>
      <c r="G99" s="743"/>
      <c r="H99" s="743"/>
      <c r="I99" s="743"/>
      <c r="J99" s="743"/>
      <c r="K99" s="743"/>
      <c r="L99" s="743"/>
      <c r="M99" s="743"/>
      <c r="N99" s="743"/>
      <c r="O99" s="743"/>
      <c r="P99" s="743"/>
      <c r="Q99" s="743"/>
      <c r="R99" s="743"/>
      <c r="S99" s="743"/>
      <c r="T99" s="743"/>
      <c r="U99" s="743"/>
      <c r="V99" s="743"/>
      <c r="W99" s="743"/>
      <c r="X99" s="743"/>
      <c r="Y99" s="743"/>
      <c r="Z99" s="743"/>
      <c r="AA99" s="743"/>
      <c r="AB99" s="743"/>
      <c r="AC99" s="781" t="str">
        <f t="shared" ca="1" si="13"/>
        <v/>
      </c>
      <c r="AD99" s="781"/>
      <c r="AE99" s="781"/>
      <c r="AF99" s="781"/>
      <c r="AG99" s="781"/>
      <c r="AH99" s="781"/>
      <c r="AI99" s="781"/>
      <c r="AJ99" s="742" t="str">
        <f t="shared" ca="1" si="14"/>
        <v/>
      </c>
      <c r="AK99" s="742"/>
      <c r="AL99" s="781" t="str">
        <f t="shared" ca="1" si="15"/>
        <v/>
      </c>
      <c r="AM99" s="781"/>
      <c r="AN99" s="781"/>
      <c r="AO99" s="781"/>
      <c r="AP99" s="781"/>
      <c r="AQ99" s="781"/>
      <c r="AR99" s="781"/>
      <c r="AS99" s="741" t="str">
        <f t="shared" ca="1" si="16"/>
        <v/>
      </c>
      <c r="AT99" s="741"/>
      <c r="AU99" s="741"/>
      <c r="AV99" s="741"/>
      <c r="AW99" s="741"/>
      <c r="AX99" s="741"/>
      <c r="AY99" s="741"/>
    </row>
    <row r="100" spans="1:52" s="403" customFormat="1" ht="36.75" customHeight="1">
      <c r="B100" s="742">
        <f t="shared" si="17"/>
        <v>54</v>
      </c>
      <c r="C100" s="742"/>
      <c r="D100" s="743" t="str">
        <f t="shared" ca="1" si="12"/>
        <v/>
      </c>
      <c r="E100" s="743"/>
      <c r="F100" s="743"/>
      <c r="G100" s="743"/>
      <c r="H100" s="743"/>
      <c r="I100" s="743"/>
      <c r="J100" s="743"/>
      <c r="K100" s="743"/>
      <c r="L100" s="743"/>
      <c r="M100" s="743"/>
      <c r="N100" s="743"/>
      <c r="O100" s="743"/>
      <c r="P100" s="743"/>
      <c r="Q100" s="743"/>
      <c r="R100" s="743"/>
      <c r="S100" s="743"/>
      <c r="T100" s="743"/>
      <c r="U100" s="743"/>
      <c r="V100" s="743"/>
      <c r="W100" s="743"/>
      <c r="X100" s="743"/>
      <c r="Y100" s="743"/>
      <c r="Z100" s="743"/>
      <c r="AA100" s="743"/>
      <c r="AB100" s="743"/>
      <c r="AC100" s="781" t="str">
        <f t="shared" ca="1" si="13"/>
        <v/>
      </c>
      <c r="AD100" s="781"/>
      <c r="AE100" s="781"/>
      <c r="AF100" s="781"/>
      <c r="AG100" s="781"/>
      <c r="AH100" s="781"/>
      <c r="AI100" s="781"/>
      <c r="AJ100" s="742" t="str">
        <f t="shared" ca="1" si="14"/>
        <v/>
      </c>
      <c r="AK100" s="742"/>
      <c r="AL100" s="781" t="str">
        <f t="shared" ca="1" si="15"/>
        <v/>
      </c>
      <c r="AM100" s="781"/>
      <c r="AN100" s="781"/>
      <c r="AO100" s="781"/>
      <c r="AP100" s="781"/>
      <c r="AQ100" s="781"/>
      <c r="AR100" s="781"/>
      <c r="AS100" s="741" t="str">
        <f t="shared" ca="1" si="16"/>
        <v/>
      </c>
      <c r="AT100" s="741"/>
      <c r="AU100" s="741"/>
      <c r="AV100" s="741"/>
      <c r="AW100" s="741"/>
      <c r="AX100" s="741"/>
      <c r="AY100" s="741"/>
    </row>
    <row r="101" spans="1:52" s="403" customFormat="1" ht="36.75" customHeight="1">
      <c r="B101" s="742">
        <f t="shared" si="17"/>
        <v>55</v>
      </c>
      <c r="C101" s="742"/>
      <c r="D101" s="743" t="str">
        <f t="shared" ca="1" si="12"/>
        <v/>
      </c>
      <c r="E101" s="743"/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3"/>
      <c r="R101" s="743"/>
      <c r="S101" s="743"/>
      <c r="T101" s="743"/>
      <c r="U101" s="743"/>
      <c r="V101" s="743"/>
      <c r="W101" s="743"/>
      <c r="X101" s="743"/>
      <c r="Y101" s="743"/>
      <c r="Z101" s="743"/>
      <c r="AA101" s="743"/>
      <c r="AB101" s="743"/>
      <c r="AC101" s="781" t="str">
        <f t="shared" ca="1" si="13"/>
        <v/>
      </c>
      <c r="AD101" s="781"/>
      <c r="AE101" s="781"/>
      <c r="AF101" s="781"/>
      <c r="AG101" s="781"/>
      <c r="AH101" s="781"/>
      <c r="AI101" s="781"/>
      <c r="AJ101" s="742" t="str">
        <f t="shared" ca="1" si="14"/>
        <v/>
      </c>
      <c r="AK101" s="742"/>
      <c r="AL101" s="781" t="str">
        <f t="shared" ca="1" si="15"/>
        <v/>
      </c>
      <c r="AM101" s="781"/>
      <c r="AN101" s="781"/>
      <c r="AO101" s="781"/>
      <c r="AP101" s="781"/>
      <c r="AQ101" s="781"/>
      <c r="AR101" s="781"/>
      <c r="AS101" s="741" t="str">
        <f t="shared" ca="1" si="16"/>
        <v/>
      </c>
      <c r="AT101" s="741"/>
      <c r="AU101" s="741"/>
      <c r="AV101" s="741"/>
      <c r="AW101" s="741"/>
      <c r="AX101" s="741"/>
      <c r="AY101" s="741"/>
    </row>
    <row r="102" spans="1:52" s="403" customFormat="1" ht="36.75" customHeight="1">
      <c r="B102" s="742">
        <f t="shared" si="17"/>
        <v>56</v>
      </c>
      <c r="C102" s="742"/>
      <c r="D102" s="743" t="str">
        <f t="shared" ca="1" si="12"/>
        <v/>
      </c>
      <c r="E102" s="743"/>
      <c r="F102" s="743"/>
      <c r="G102" s="743"/>
      <c r="H102" s="743"/>
      <c r="I102" s="743"/>
      <c r="J102" s="743"/>
      <c r="K102" s="743"/>
      <c r="L102" s="743"/>
      <c r="M102" s="743"/>
      <c r="N102" s="743"/>
      <c r="O102" s="743"/>
      <c r="P102" s="743"/>
      <c r="Q102" s="743"/>
      <c r="R102" s="743"/>
      <c r="S102" s="743"/>
      <c r="T102" s="743"/>
      <c r="U102" s="743"/>
      <c r="V102" s="743"/>
      <c r="W102" s="743"/>
      <c r="X102" s="743"/>
      <c r="Y102" s="743"/>
      <c r="Z102" s="743"/>
      <c r="AA102" s="743"/>
      <c r="AB102" s="743"/>
      <c r="AC102" s="781" t="str">
        <f t="shared" ca="1" si="13"/>
        <v/>
      </c>
      <c r="AD102" s="781"/>
      <c r="AE102" s="781"/>
      <c r="AF102" s="781"/>
      <c r="AG102" s="781"/>
      <c r="AH102" s="781"/>
      <c r="AI102" s="781"/>
      <c r="AJ102" s="742" t="str">
        <f t="shared" ca="1" si="14"/>
        <v/>
      </c>
      <c r="AK102" s="742"/>
      <c r="AL102" s="781" t="str">
        <f t="shared" ca="1" si="15"/>
        <v/>
      </c>
      <c r="AM102" s="781"/>
      <c r="AN102" s="781"/>
      <c r="AO102" s="781"/>
      <c r="AP102" s="781"/>
      <c r="AQ102" s="781"/>
      <c r="AR102" s="781"/>
      <c r="AS102" s="741" t="str">
        <f t="shared" ca="1" si="16"/>
        <v/>
      </c>
      <c r="AT102" s="741"/>
      <c r="AU102" s="741"/>
      <c r="AV102" s="741"/>
      <c r="AW102" s="741"/>
      <c r="AX102" s="741"/>
      <c r="AY102" s="741"/>
    </row>
    <row r="103" spans="1:52" s="403" customFormat="1" ht="36.75" customHeight="1">
      <c r="B103" s="742">
        <f t="shared" si="17"/>
        <v>57</v>
      </c>
      <c r="C103" s="742"/>
      <c r="D103" s="743" t="str">
        <f t="shared" ca="1" si="12"/>
        <v/>
      </c>
      <c r="E103" s="743"/>
      <c r="F103" s="743"/>
      <c r="G103" s="743"/>
      <c r="H103" s="743"/>
      <c r="I103" s="743"/>
      <c r="J103" s="743"/>
      <c r="K103" s="743"/>
      <c r="L103" s="743"/>
      <c r="M103" s="743"/>
      <c r="N103" s="743"/>
      <c r="O103" s="743"/>
      <c r="P103" s="743"/>
      <c r="Q103" s="743"/>
      <c r="R103" s="743"/>
      <c r="S103" s="743"/>
      <c r="T103" s="743"/>
      <c r="U103" s="743"/>
      <c r="V103" s="743"/>
      <c r="W103" s="743"/>
      <c r="X103" s="743"/>
      <c r="Y103" s="743"/>
      <c r="Z103" s="743"/>
      <c r="AA103" s="743"/>
      <c r="AB103" s="743"/>
      <c r="AC103" s="781" t="str">
        <f t="shared" ca="1" si="13"/>
        <v/>
      </c>
      <c r="AD103" s="781"/>
      <c r="AE103" s="781"/>
      <c r="AF103" s="781"/>
      <c r="AG103" s="781"/>
      <c r="AH103" s="781"/>
      <c r="AI103" s="781"/>
      <c r="AJ103" s="742" t="str">
        <f t="shared" ca="1" si="14"/>
        <v/>
      </c>
      <c r="AK103" s="742"/>
      <c r="AL103" s="781" t="str">
        <f t="shared" ca="1" si="15"/>
        <v/>
      </c>
      <c r="AM103" s="781"/>
      <c r="AN103" s="781"/>
      <c r="AO103" s="781"/>
      <c r="AP103" s="781"/>
      <c r="AQ103" s="781"/>
      <c r="AR103" s="781"/>
      <c r="AS103" s="741" t="str">
        <f t="shared" ca="1" si="16"/>
        <v/>
      </c>
      <c r="AT103" s="741"/>
      <c r="AU103" s="741"/>
      <c r="AV103" s="741"/>
      <c r="AW103" s="741"/>
      <c r="AX103" s="741"/>
      <c r="AY103" s="741"/>
    </row>
    <row r="104" spans="1:52" s="403" customFormat="1" ht="36.75" customHeight="1">
      <c r="B104" s="742">
        <f t="shared" si="17"/>
        <v>58</v>
      </c>
      <c r="C104" s="742"/>
      <c r="D104" s="743" t="str">
        <f t="shared" ca="1" si="12"/>
        <v/>
      </c>
      <c r="E104" s="743"/>
      <c r="F104" s="743"/>
      <c r="G104" s="743"/>
      <c r="H104" s="743"/>
      <c r="I104" s="743"/>
      <c r="J104" s="743"/>
      <c r="K104" s="743"/>
      <c r="L104" s="743"/>
      <c r="M104" s="743"/>
      <c r="N104" s="743"/>
      <c r="O104" s="743"/>
      <c r="P104" s="743"/>
      <c r="Q104" s="743"/>
      <c r="R104" s="743"/>
      <c r="S104" s="743"/>
      <c r="T104" s="743"/>
      <c r="U104" s="743"/>
      <c r="V104" s="743"/>
      <c r="W104" s="743"/>
      <c r="X104" s="743"/>
      <c r="Y104" s="743"/>
      <c r="Z104" s="743"/>
      <c r="AA104" s="743"/>
      <c r="AB104" s="743"/>
      <c r="AC104" s="781" t="str">
        <f t="shared" ca="1" si="13"/>
        <v/>
      </c>
      <c r="AD104" s="781"/>
      <c r="AE104" s="781"/>
      <c r="AF104" s="781"/>
      <c r="AG104" s="781"/>
      <c r="AH104" s="781"/>
      <c r="AI104" s="781"/>
      <c r="AJ104" s="742" t="str">
        <f t="shared" ca="1" si="14"/>
        <v/>
      </c>
      <c r="AK104" s="742"/>
      <c r="AL104" s="781" t="str">
        <f t="shared" ca="1" si="15"/>
        <v/>
      </c>
      <c r="AM104" s="781"/>
      <c r="AN104" s="781"/>
      <c r="AO104" s="781"/>
      <c r="AP104" s="781"/>
      <c r="AQ104" s="781"/>
      <c r="AR104" s="781"/>
      <c r="AS104" s="741" t="str">
        <f t="shared" ca="1" si="16"/>
        <v/>
      </c>
      <c r="AT104" s="741"/>
      <c r="AU104" s="741"/>
      <c r="AV104" s="741"/>
      <c r="AW104" s="741"/>
      <c r="AX104" s="741"/>
      <c r="AY104" s="741"/>
    </row>
    <row r="105" spans="1:52" s="403" customFormat="1" ht="36.75" customHeight="1">
      <c r="A105" s="403" t="s">
        <v>1529</v>
      </c>
      <c r="B105" s="742">
        <f t="shared" si="17"/>
        <v>59</v>
      </c>
      <c r="C105" s="742"/>
      <c r="D105" s="743" t="str">
        <f t="shared" ca="1" si="12"/>
        <v/>
      </c>
      <c r="E105" s="743"/>
      <c r="F105" s="743"/>
      <c r="G105" s="743"/>
      <c r="H105" s="743"/>
      <c r="I105" s="743"/>
      <c r="J105" s="743"/>
      <c r="K105" s="743"/>
      <c r="L105" s="743"/>
      <c r="M105" s="743"/>
      <c r="N105" s="743"/>
      <c r="O105" s="743"/>
      <c r="P105" s="743"/>
      <c r="Q105" s="743"/>
      <c r="R105" s="743"/>
      <c r="S105" s="743"/>
      <c r="T105" s="743"/>
      <c r="U105" s="743"/>
      <c r="V105" s="743"/>
      <c r="W105" s="743"/>
      <c r="X105" s="743"/>
      <c r="Y105" s="743"/>
      <c r="Z105" s="743"/>
      <c r="AA105" s="743"/>
      <c r="AB105" s="743"/>
      <c r="AC105" s="781" t="str">
        <f t="shared" ca="1" si="13"/>
        <v/>
      </c>
      <c r="AD105" s="781"/>
      <c r="AE105" s="781"/>
      <c r="AF105" s="781"/>
      <c r="AG105" s="781"/>
      <c r="AH105" s="781"/>
      <c r="AI105" s="781"/>
      <c r="AJ105" s="742" t="str">
        <f t="shared" ca="1" si="14"/>
        <v/>
      </c>
      <c r="AK105" s="742"/>
      <c r="AL105" s="781" t="str">
        <f t="shared" ca="1" si="15"/>
        <v/>
      </c>
      <c r="AM105" s="781"/>
      <c r="AN105" s="781"/>
      <c r="AO105" s="781"/>
      <c r="AP105" s="781"/>
      <c r="AQ105" s="781"/>
      <c r="AR105" s="781"/>
      <c r="AS105" s="741" t="str">
        <f t="shared" ca="1" si="16"/>
        <v/>
      </c>
      <c r="AT105" s="741"/>
      <c r="AU105" s="741"/>
      <c r="AV105" s="741"/>
      <c r="AW105" s="741"/>
      <c r="AX105" s="741"/>
      <c r="AY105" s="741"/>
      <c r="AZ105" s="473" t="s">
        <v>1530</v>
      </c>
    </row>
    <row r="106" spans="1:52" s="403" customFormat="1" ht="36.75" customHeight="1">
      <c r="B106" s="742">
        <f t="shared" si="17"/>
        <v>60</v>
      </c>
      <c r="C106" s="742"/>
      <c r="D106" s="743" t="str">
        <f t="shared" ca="1" si="12"/>
        <v/>
      </c>
      <c r="E106" s="743"/>
      <c r="F106" s="743"/>
      <c r="G106" s="743"/>
      <c r="H106" s="743"/>
      <c r="I106" s="743"/>
      <c r="J106" s="743"/>
      <c r="K106" s="743"/>
      <c r="L106" s="743"/>
      <c r="M106" s="743"/>
      <c r="N106" s="743"/>
      <c r="O106" s="743"/>
      <c r="P106" s="743"/>
      <c r="Q106" s="743"/>
      <c r="R106" s="743"/>
      <c r="S106" s="743"/>
      <c r="T106" s="743"/>
      <c r="U106" s="743"/>
      <c r="V106" s="743"/>
      <c r="W106" s="743"/>
      <c r="X106" s="743"/>
      <c r="Y106" s="743"/>
      <c r="Z106" s="743"/>
      <c r="AA106" s="743"/>
      <c r="AB106" s="743"/>
      <c r="AC106" s="781" t="str">
        <f t="shared" ca="1" si="13"/>
        <v/>
      </c>
      <c r="AD106" s="781"/>
      <c r="AE106" s="781"/>
      <c r="AF106" s="781"/>
      <c r="AG106" s="781"/>
      <c r="AH106" s="781"/>
      <c r="AI106" s="781"/>
      <c r="AJ106" s="742" t="str">
        <f t="shared" ca="1" si="14"/>
        <v/>
      </c>
      <c r="AK106" s="742"/>
      <c r="AL106" s="781" t="str">
        <f t="shared" ca="1" si="15"/>
        <v/>
      </c>
      <c r="AM106" s="781"/>
      <c r="AN106" s="781"/>
      <c r="AO106" s="781"/>
      <c r="AP106" s="781"/>
      <c r="AQ106" s="781"/>
      <c r="AR106" s="781"/>
      <c r="AS106" s="741" t="str">
        <f t="shared" ca="1" si="16"/>
        <v/>
      </c>
      <c r="AT106" s="741"/>
      <c r="AU106" s="741"/>
      <c r="AV106" s="741"/>
      <c r="AW106" s="741"/>
      <c r="AX106" s="741"/>
      <c r="AY106" s="741"/>
    </row>
    <row r="107" spans="1:52" s="403" customFormat="1" ht="45" customHeight="1">
      <c r="B107" s="749" t="s">
        <v>1527</v>
      </c>
      <c r="C107" s="750"/>
      <c r="D107" s="750"/>
      <c r="E107" s="751" t="str">
        <f>IF(UNNH0030_REPORT_IF_H_EIGYO_MEI="","",UNNH0030_REPORT_IF_H_EIGYO_MEI)</f>
        <v/>
      </c>
      <c r="F107" s="751"/>
      <c r="G107" s="751"/>
      <c r="H107" s="751"/>
      <c r="I107" s="751"/>
      <c r="J107" s="751"/>
      <c r="K107" s="751"/>
      <c r="L107" s="751"/>
      <c r="M107" s="751"/>
      <c r="N107" s="751"/>
      <c r="O107" s="751"/>
      <c r="P107" s="751"/>
      <c r="Q107" s="751"/>
      <c r="R107" s="751"/>
      <c r="S107" s="751"/>
      <c r="T107" s="751"/>
      <c r="U107" s="751"/>
      <c r="V107" s="751"/>
      <c r="W107" s="751"/>
      <c r="X107" s="751"/>
      <c r="Y107" s="751"/>
      <c r="Z107" s="751"/>
      <c r="AA107" s="751"/>
      <c r="AB107" s="751"/>
      <c r="AC107" s="751"/>
      <c r="AD107" s="751"/>
      <c r="AE107" s="751"/>
      <c r="AF107" s="751"/>
      <c r="AG107" s="752"/>
      <c r="AH107" s="742" t="s">
        <v>1107</v>
      </c>
      <c r="AI107" s="742"/>
      <c r="AJ107" s="742"/>
      <c r="AK107" s="742"/>
      <c r="AL107" s="742"/>
      <c r="AM107" s="742"/>
      <c r="AN107" s="742"/>
      <c r="AO107" s="742"/>
      <c r="AP107" s="742"/>
      <c r="AQ107" s="782" t="str">
        <f>IF(ROUNDUP(ROW()/ROWS(UNNH0030_SEIKYUSHO_PAGE_AREA),0)=UNNH0030_REPORT_IF_B_PAGE_TOTAL,UNNH0030_REPORT_IF_H_TOTAL,"")</f>
        <v/>
      </c>
      <c r="AR107" s="783"/>
      <c r="AS107" s="783"/>
      <c r="AT107" s="783"/>
      <c r="AU107" s="783"/>
      <c r="AV107" s="783"/>
      <c r="AW107" s="783"/>
      <c r="AX107" s="783"/>
      <c r="AY107" s="784"/>
    </row>
    <row r="108" spans="1:52" s="403" customFormat="1" ht="33.75" customHeight="1">
      <c r="C108" s="404"/>
      <c r="D108" s="404"/>
      <c r="E108" s="404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</row>
    <row r="109" spans="1:52" s="403" customFormat="1" ht="38.25" customHeight="1">
      <c r="B109" s="756" t="s">
        <v>1528</v>
      </c>
      <c r="C109" s="757"/>
      <c r="D109" s="758"/>
      <c r="E109" s="738" t="str">
        <f>IF(UNNH0030_REPORT_IF_H_TEKIYO="","",UNNH0030_REPORT_IF_H_TEKIYO)</f>
        <v/>
      </c>
      <c r="F109" s="738"/>
      <c r="G109" s="738"/>
      <c r="H109" s="738"/>
      <c r="I109" s="738"/>
      <c r="J109" s="738"/>
      <c r="K109" s="738"/>
      <c r="L109" s="738"/>
      <c r="M109" s="738"/>
      <c r="N109" s="738"/>
      <c r="O109" s="738"/>
      <c r="P109" s="738"/>
      <c r="Q109" s="738"/>
      <c r="R109" s="738"/>
      <c r="S109" s="738"/>
      <c r="T109" s="738"/>
      <c r="U109" s="738"/>
      <c r="V109" s="738"/>
      <c r="W109" s="738"/>
      <c r="X109" s="738"/>
      <c r="Y109" s="738"/>
      <c r="Z109" s="738"/>
      <c r="AA109" s="738"/>
      <c r="AB109" s="738"/>
      <c r="AC109" s="738"/>
      <c r="AD109" s="738"/>
      <c r="AE109" s="738"/>
      <c r="AF109" s="738"/>
      <c r="AG109" s="738"/>
      <c r="AH109" s="738"/>
      <c r="AI109" s="738"/>
      <c r="AJ109" s="738"/>
      <c r="AK109" s="738"/>
      <c r="AL109" s="738"/>
      <c r="AM109" s="738"/>
      <c r="AN109" s="738"/>
      <c r="AO109" s="738"/>
      <c r="AP109" s="738"/>
      <c r="AQ109" s="738"/>
      <c r="AR109" s="738"/>
      <c r="AS109" s="738"/>
      <c r="AU109" s="739" t="str">
        <f>IF(UNNH0030_REPORT_IF_H_SEIKYUHOHO_KBN=0,"","締日 "&amp;UNNH0030_REPORT_IF_H_SHIMEBI)</f>
        <v/>
      </c>
      <c r="AV109" s="739"/>
      <c r="AW109" s="739"/>
      <c r="AX109" s="739"/>
      <c r="AY109" s="740" t="str">
        <f>UNNH0030_REPORT_IF_H_SHIMEBI_MARK</f>
        <v>*</v>
      </c>
    </row>
    <row r="110" spans="1:52" s="403" customFormat="1" ht="38.25" customHeight="1">
      <c r="B110" s="759"/>
      <c r="C110" s="760"/>
      <c r="D110" s="761"/>
      <c r="E110" s="738"/>
      <c r="F110" s="738"/>
      <c r="G110" s="738"/>
      <c r="H110" s="738"/>
      <c r="I110" s="738"/>
      <c r="J110" s="738"/>
      <c r="K110" s="738"/>
      <c r="L110" s="738"/>
      <c r="M110" s="738"/>
      <c r="N110" s="738"/>
      <c r="O110" s="738"/>
      <c r="P110" s="738"/>
      <c r="Q110" s="738"/>
      <c r="R110" s="738"/>
      <c r="S110" s="738"/>
      <c r="T110" s="738"/>
      <c r="U110" s="738"/>
      <c r="V110" s="738"/>
      <c r="W110" s="738"/>
      <c r="X110" s="738"/>
      <c r="Y110" s="738"/>
      <c r="Z110" s="738"/>
      <c r="AA110" s="738"/>
      <c r="AB110" s="738"/>
      <c r="AC110" s="738"/>
      <c r="AD110" s="738"/>
      <c r="AE110" s="738"/>
      <c r="AF110" s="738"/>
      <c r="AG110" s="738"/>
      <c r="AH110" s="738"/>
      <c r="AI110" s="738"/>
      <c r="AJ110" s="738"/>
      <c r="AK110" s="738"/>
      <c r="AL110" s="738"/>
      <c r="AM110" s="738"/>
      <c r="AN110" s="738"/>
      <c r="AO110" s="738"/>
      <c r="AP110" s="738"/>
      <c r="AQ110" s="738"/>
      <c r="AR110" s="738"/>
      <c r="AS110" s="738"/>
      <c r="AU110" s="739"/>
      <c r="AV110" s="739"/>
      <c r="AW110" s="739"/>
      <c r="AX110" s="739"/>
      <c r="AY110" s="740"/>
    </row>
    <row r="111" spans="1:52" s="403" customFormat="1" ht="30" customHeight="1">
      <c r="B111" s="777" t="str">
        <f>IF(UNNH0030_REPORT_IF_JURI_NO="","",UNNH0030_REPORT_IF_JURI_NO)</f>
        <v/>
      </c>
      <c r="C111" s="777"/>
      <c r="D111" s="777"/>
      <c r="E111" s="777"/>
      <c r="F111" s="777"/>
      <c r="G111" s="777"/>
      <c r="H111" s="777"/>
      <c r="I111" s="777"/>
      <c r="J111" s="777"/>
      <c r="K111" s="777"/>
      <c r="L111" s="777"/>
      <c r="M111" s="777"/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</row>
    <row r="112" spans="1:52" s="403" customFormat="1" ht="12" customHeight="1">
      <c r="C112" s="404"/>
      <c r="D112" s="404"/>
      <c r="E112" s="465"/>
      <c r="F112" s="466"/>
      <c r="G112" s="466"/>
      <c r="H112" s="466"/>
      <c r="I112" s="466"/>
      <c r="J112" s="466"/>
      <c r="K112" s="466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7"/>
      <c r="AA112" s="744" t="s">
        <v>1108</v>
      </c>
      <c r="AB112" s="744"/>
      <c r="AC112" s="744"/>
      <c r="AD112" s="744"/>
      <c r="AE112" s="744"/>
      <c r="AF112" s="744"/>
      <c r="AG112" s="744"/>
      <c r="AH112" s="744"/>
      <c r="AI112" s="744"/>
      <c r="AJ112" s="744"/>
      <c r="AK112" s="744"/>
      <c r="AL112" s="744"/>
      <c r="AP112" s="774" t="str">
        <f>"No."&amp;UNNH0030_REPORT_IF_H_URIAGE_NO&amp;"-"&amp;ROUNDUP(ROW()/ROWS(UNNH0030_SEIKYUSHO_PAGE_AREA),0)&amp;"/"&amp;UNNH0030_REPORT_IF_B_PAGE_TOTAL</f>
        <v>No.-4/1</v>
      </c>
      <c r="AQ112" s="774"/>
      <c r="AR112" s="774"/>
      <c r="AS112" s="774"/>
      <c r="AT112" s="774"/>
      <c r="AU112" s="774"/>
      <c r="AV112" s="774"/>
      <c r="AW112" s="774"/>
      <c r="AX112" s="774"/>
      <c r="AY112" s="774"/>
    </row>
    <row r="113" spans="1:52" s="403" customFormat="1" ht="24.75" customHeight="1">
      <c r="C113" s="404"/>
      <c r="E113" s="468"/>
      <c r="F113" s="775" t="str">
        <f>IF(UNNH0030_REPORT_IF_H_JUSHO_NO_PRINT_FLG=TRUE,"","〒")</f>
        <v>〒</v>
      </c>
      <c r="G113" s="775"/>
      <c r="H113" s="776" t="str">
        <f>IF(UNNH0030_REPORT_IF_H_JUSHO_NO_PRINT_FLG=TRUE,"",IF(UNNH0030_REPORT_IF_H_YUBIN_NO="","",UNNH0030_REPORT_IF_H_YUBIN_NO))</f>
        <v/>
      </c>
      <c r="I113" s="776"/>
      <c r="J113" s="776"/>
      <c r="K113" s="776"/>
      <c r="L113" s="776"/>
      <c r="M113" s="776"/>
      <c r="N113" s="776"/>
      <c r="O113" s="776"/>
      <c r="P113" s="776"/>
      <c r="Q113" s="776"/>
      <c r="R113" s="776"/>
      <c r="S113" s="776"/>
      <c r="T113" s="776"/>
      <c r="U113" s="776"/>
      <c r="V113" s="776"/>
      <c r="W113" s="776"/>
      <c r="X113" s="776"/>
      <c r="Y113" s="469"/>
      <c r="AA113" s="744"/>
      <c r="AB113" s="744"/>
      <c r="AC113" s="744"/>
      <c r="AD113" s="744"/>
      <c r="AE113" s="744"/>
      <c r="AF113" s="744"/>
      <c r="AG113" s="744"/>
      <c r="AH113" s="744"/>
      <c r="AI113" s="744"/>
      <c r="AJ113" s="744"/>
      <c r="AK113" s="744"/>
      <c r="AL113" s="744"/>
      <c r="AP113" s="774"/>
      <c r="AQ113" s="774"/>
      <c r="AR113" s="774"/>
      <c r="AS113" s="774"/>
      <c r="AT113" s="774"/>
      <c r="AU113" s="774"/>
      <c r="AV113" s="774"/>
      <c r="AW113" s="774"/>
      <c r="AX113" s="774"/>
      <c r="AY113" s="774"/>
    </row>
    <row r="114" spans="1:52" s="403" customFormat="1" ht="24.75" customHeight="1">
      <c r="C114" s="404"/>
      <c r="E114" s="468"/>
      <c r="F114" s="745" t="str">
        <f>IF(UNNH0030_REPORT_IF_H_JUSHO_NO_PRINT_FLG="","",IF(UNNH0030_REPORT_IF_H_ADDRESS_1="","",UNNH0030_REPORT_IF_H_ADDRESS_1))</f>
        <v/>
      </c>
      <c r="G114" s="745"/>
      <c r="H114" s="745"/>
      <c r="I114" s="745"/>
      <c r="J114" s="745"/>
      <c r="K114" s="745"/>
      <c r="L114" s="745"/>
      <c r="M114" s="745"/>
      <c r="N114" s="745"/>
      <c r="O114" s="745"/>
      <c r="P114" s="745"/>
      <c r="Q114" s="745"/>
      <c r="R114" s="745"/>
      <c r="S114" s="745"/>
      <c r="T114" s="745"/>
      <c r="U114" s="745"/>
      <c r="V114" s="745"/>
      <c r="W114" s="745"/>
      <c r="X114" s="745"/>
      <c r="Y114" s="469"/>
      <c r="AP114" s="748">
        <f>UNNH0030_REPORT_IF_H_URIAGE_DATE</f>
        <v>0</v>
      </c>
      <c r="AQ114" s="748"/>
      <c r="AR114" s="748"/>
      <c r="AS114" s="748"/>
      <c r="AT114" s="748"/>
      <c r="AU114" s="748"/>
      <c r="AV114" s="748"/>
      <c r="AW114" s="748"/>
      <c r="AX114" s="748"/>
      <c r="AY114" s="748"/>
    </row>
    <row r="115" spans="1:52" s="403" customFormat="1" ht="24.75" customHeight="1">
      <c r="C115" s="404"/>
      <c r="E115" s="468"/>
      <c r="F115" s="745" t="str">
        <f>IF(UNNH0030_REPORT_IF_H_JUSHO_NO_PRINT_FLG="","",IF(UNNH0030_REPORT_IF_H_ADDRESS_2="","",UNNH0030_REPORT_IF_H_ADDRESS_2))</f>
        <v/>
      </c>
      <c r="G115" s="745"/>
      <c r="H115" s="745"/>
      <c r="I115" s="745"/>
      <c r="J115" s="745"/>
      <c r="K115" s="745"/>
      <c r="L115" s="745"/>
      <c r="M115" s="745"/>
      <c r="N115" s="745"/>
      <c r="O115" s="745"/>
      <c r="P115" s="745"/>
      <c r="Q115" s="745"/>
      <c r="R115" s="745"/>
      <c r="S115" s="745"/>
      <c r="T115" s="745"/>
      <c r="U115" s="745"/>
      <c r="V115" s="745"/>
      <c r="W115" s="745"/>
      <c r="X115" s="745"/>
      <c r="Y115" s="469"/>
    </row>
    <row r="116" spans="1:52" s="403" customFormat="1" ht="24.75" customHeight="1">
      <c r="C116" s="404"/>
      <c r="E116" s="468"/>
      <c r="F116" s="409"/>
      <c r="G116" s="409"/>
      <c r="H116" s="409"/>
      <c r="I116" s="409"/>
      <c r="J116" s="409"/>
      <c r="K116" s="409"/>
      <c r="L116" s="409"/>
      <c r="M116" s="409"/>
      <c r="N116" s="409"/>
      <c r="O116" s="409"/>
      <c r="P116" s="409"/>
      <c r="Q116" s="409"/>
      <c r="R116" s="409"/>
      <c r="S116" s="409"/>
      <c r="T116" s="409"/>
      <c r="U116" s="409"/>
      <c r="V116" s="409"/>
      <c r="W116" s="409"/>
      <c r="X116" s="409"/>
      <c r="Y116" s="469"/>
    </row>
    <row r="117" spans="1:52" s="403" customFormat="1" ht="26.25" customHeight="1">
      <c r="C117" s="404"/>
      <c r="E117" s="470"/>
      <c r="F117" s="745" t="str">
        <f>IF(TRIM(UNNH0030_REPORT_IF_H_SOFU_TANTO)="","",
IF(TRIM(UNNH0030_REPORT_IF_H_DEMPYO_SOFU_MEI)="","",
TRIM(UNNH0030_REPORT_IF_H_DEMPYO_SOFU_MEI)))</f>
        <v/>
      </c>
      <c r="G117" s="745"/>
      <c r="H117" s="745"/>
      <c r="I117" s="745"/>
      <c r="J117" s="745"/>
      <c r="K117" s="745"/>
      <c r="L117" s="745"/>
      <c r="M117" s="745"/>
      <c r="N117" s="745"/>
      <c r="O117" s="745"/>
      <c r="P117" s="745"/>
      <c r="Q117" s="745"/>
      <c r="R117" s="745"/>
      <c r="S117" s="745"/>
      <c r="T117" s="745"/>
      <c r="U117" s="745"/>
      <c r="V117" s="745"/>
      <c r="W117" s="745"/>
      <c r="X117" s="745"/>
      <c r="Y117" s="469"/>
    </row>
    <row r="118" spans="1:52" s="403" customFormat="1" ht="26.25" customHeight="1">
      <c r="C118" s="404"/>
      <c r="E118" s="468"/>
      <c r="F118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18" s="746"/>
      <c r="H118" s="746"/>
      <c r="I118" s="746"/>
      <c r="J118" s="746"/>
      <c r="K118" s="746"/>
      <c r="L118" s="746"/>
      <c r="M118" s="746"/>
      <c r="N118" s="746"/>
      <c r="O118" s="746"/>
      <c r="P118" s="746"/>
      <c r="Q118" s="746"/>
      <c r="R118" s="746"/>
      <c r="S118" s="746"/>
      <c r="T118" s="746"/>
      <c r="U118" s="746"/>
      <c r="V118" s="746"/>
      <c r="W118" s="746"/>
      <c r="X118" s="746"/>
      <c r="Y118" s="469"/>
      <c r="Z118" s="477" t="str">
        <f>UNNH0030_REPORT_IF_H_SHIMEBI_MARK</f>
        <v>*</v>
      </c>
    </row>
    <row r="119" spans="1:52" s="403" customFormat="1" ht="25.5" customHeight="1">
      <c r="C119" s="404"/>
      <c r="E119" s="471"/>
      <c r="F119" s="747">
        <f>UNNH0030_REPORT_IF_H_SEIKYU_CD</f>
        <v>0</v>
      </c>
      <c r="G119" s="747"/>
      <c r="H119" s="747"/>
      <c r="I119" s="747"/>
      <c r="J119" s="747"/>
      <c r="K119" s="747"/>
      <c r="L119" s="747"/>
      <c r="M119" s="747"/>
      <c r="N119" s="747"/>
      <c r="O119" s="747"/>
      <c r="P119" s="747"/>
      <c r="Q119" s="747"/>
      <c r="R119" s="747"/>
      <c r="S119" s="747"/>
      <c r="T119" s="747"/>
      <c r="U119" s="747"/>
      <c r="V119" s="747"/>
      <c r="W119" s="747"/>
      <c r="X119" s="747"/>
      <c r="Y119" s="472"/>
    </row>
    <row r="120" spans="1:52" s="403" customFormat="1" ht="30" customHeight="1">
      <c r="C120" s="404"/>
    </row>
    <row r="121" spans="1:52" s="403" customFormat="1" ht="30" customHeight="1">
      <c r="C121" s="404"/>
      <c r="D121" s="404"/>
      <c r="E121" s="404"/>
      <c r="F121" s="404"/>
      <c r="G121" s="404"/>
      <c r="H121" s="404"/>
      <c r="I121" s="404"/>
      <c r="J121" s="404"/>
      <c r="K121" s="404"/>
      <c r="L121" s="404"/>
      <c r="M121" s="404"/>
      <c r="N121" s="404"/>
      <c r="O121" s="404"/>
    </row>
    <row r="122" spans="1:52" s="403" customFormat="1" ht="29.25" customHeight="1">
      <c r="B122" s="474" t="s">
        <v>1101</v>
      </c>
      <c r="C122" s="404"/>
      <c r="D122" s="404"/>
      <c r="E122" s="404"/>
      <c r="F122" s="404"/>
      <c r="G122" s="404"/>
      <c r="H122" s="404"/>
      <c r="I122" s="404"/>
      <c r="J122" s="404"/>
      <c r="K122" s="404"/>
      <c r="L122" s="404"/>
      <c r="M122" s="404"/>
      <c r="N122" s="404"/>
      <c r="O122" s="404"/>
    </row>
    <row r="123" spans="1:52" s="403" customFormat="1" ht="36.75" customHeight="1">
      <c r="B123" s="742"/>
      <c r="C123" s="742"/>
      <c r="D123" s="742" t="s">
        <v>1102</v>
      </c>
      <c r="E123" s="742"/>
      <c r="F123" s="742"/>
      <c r="G123" s="742"/>
      <c r="H123" s="742"/>
      <c r="I123" s="742"/>
      <c r="J123" s="742"/>
      <c r="K123" s="742"/>
      <c r="L123" s="742"/>
      <c r="M123" s="742"/>
      <c r="N123" s="742"/>
      <c r="O123" s="742"/>
      <c r="P123" s="742"/>
      <c r="Q123" s="742"/>
      <c r="R123" s="742"/>
      <c r="S123" s="742"/>
      <c r="T123" s="742"/>
      <c r="U123" s="742"/>
      <c r="V123" s="742"/>
      <c r="W123" s="742"/>
      <c r="X123" s="742"/>
      <c r="Y123" s="742"/>
      <c r="Z123" s="742"/>
      <c r="AA123" s="742"/>
      <c r="AB123" s="742"/>
      <c r="AC123" s="742" t="s">
        <v>1103</v>
      </c>
      <c r="AD123" s="742"/>
      <c r="AE123" s="742"/>
      <c r="AF123" s="742"/>
      <c r="AG123" s="742"/>
      <c r="AH123" s="742"/>
      <c r="AI123" s="742"/>
      <c r="AJ123" s="742" t="s">
        <v>1104</v>
      </c>
      <c r="AK123" s="742"/>
      <c r="AL123" s="742" t="s">
        <v>1105</v>
      </c>
      <c r="AM123" s="742"/>
      <c r="AN123" s="742"/>
      <c r="AO123" s="742"/>
      <c r="AP123" s="742"/>
      <c r="AQ123" s="742"/>
      <c r="AR123" s="742"/>
      <c r="AS123" s="742" t="s">
        <v>1106</v>
      </c>
      <c r="AT123" s="742"/>
      <c r="AU123" s="742"/>
      <c r="AV123" s="742"/>
      <c r="AW123" s="742"/>
      <c r="AX123" s="742"/>
      <c r="AY123" s="742"/>
    </row>
    <row r="124" spans="1:52" s="403" customFormat="1" ht="36.75" customHeight="1">
      <c r="B124" s="742">
        <f>ROUNDDOWN(ROW()/ROWS(UNNH0030_REPORT_RAYOUT_SEIKYUSHO),0)*UNNH0030_REPORT_IF_B_PAGE_MEISAI_SU+1</f>
        <v>61</v>
      </c>
      <c r="C124" s="742"/>
      <c r="D124" s="743" t="str">
        <f t="shared" ref="D124:D143" ca="1" si="18">IF(OFFSET(UNNH0030_REPORT_IF_B_SHOHIN_MEI,$B124,0)="","",OFFSET(UNNH0030_REPORT_IF_B_SHOHIN_MEI,$B124,0))</f>
        <v/>
      </c>
      <c r="E124" s="743"/>
      <c r="F124" s="743"/>
      <c r="G124" s="743"/>
      <c r="H124" s="743"/>
      <c r="I124" s="743"/>
      <c r="J124" s="743"/>
      <c r="K124" s="743"/>
      <c r="L124" s="743"/>
      <c r="M124" s="743"/>
      <c r="N124" s="743"/>
      <c r="O124" s="743"/>
      <c r="P124" s="743"/>
      <c r="Q124" s="743"/>
      <c r="R124" s="743"/>
      <c r="S124" s="743"/>
      <c r="T124" s="743"/>
      <c r="U124" s="743"/>
      <c r="V124" s="743"/>
      <c r="W124" s="743"/>
      <c r="X124" s="743"/>
      <c r="Y124" s="743"/>
      <c r="Z124" s="743"/>
      <c r="AA124" s="743"/>
      <c r="AB124" s="743"/>
      <c r="AC124" s="781" t="str">
        <f t="shared" ref="AC124:AC143" ca="1" si="19">IF(OR(OFFSET(UNNH0030_REPORT_IF_B_ROW_KBN,$B124,0)&lt;&gt;1,$D124="",$D124="消費税"),"",
OFFSET(UNNH0030_REPORT_IF_B_SURYO,$B124,0))</f>
        <v/>
      </c>
      <c r="AD124" s="781"/>
      <c r="AE124" s="781"/>
      <c r="AF124" s="781"/>
      <c r="AG124" s="781"/>
      <c r="AH124" s="781"/>
      <c r="AI124" s="781"/>
      <c r="AJ124" s="742" t="str">
        <f t="shared" ref="AJ124:AJ143" ca="1" si="20">IF(OFFSET(UNNH0030_REPORT_IF_B_TANI,$B124,0)="","",OFFSET(UNNH0030_REPORT_IF_B_TANI,$B124,0))</f>
        <v/>
      </c>
      <c r="AK124" s="742"/>
      <c r="AL124" s="781" t="str">
        <f t="shared" ref="AL124:AL143" ca="1" si="21">IF(OR(OFFSET(UNNH0030_REPORT_IF_B_ROW_KBN,$B124,0)&lt;&gt;1,$D124="",$D124="消費税"),"",
OFFSET(UNNH0030_REPORT_IF_B_TANKA,$B124,0))</f>
        <v/>
      </c>
      <c r="AM124" s="781"/>
      <c r="AN124" s="781"/>
      <c r="AO124" s="781"/>
      <c r="AP124" s="781"/>
      <c r="AQ124" s="781"/>
      <c r="AR124" s="781"/>
      <c r="AS124" s="741" t="str">
        <f t="shared" ref="AS124:AS143" ca="1" si="22">IF(OR(OFFSET(UNNH0030_REPORT_IF_B_KINGAKU,$B124,0)=0,$D124=""),"",
OFFSET(UNNH0030_REPORT_IF_B_KINGAKU,$B124,0))</f>
        <v/>
      </c>
      <c r="AT124" s="741"/>
      <c r="AU124" s="741"/>
      <c r="AV124" s="741"/>
      <c r="AW124" s="741"/>
      <c r="AX124" s="741"/>
      <c r="AY124" s="741"/>
    </row>
    <row r="125" spans="1:52" s="403" customFormat="1" ht="36.75" customHeight="1">
      <c r="B125" s="742">
        <f>B124+1</f>
        <v>62</v>
      </c>
      <c r="C125" s="742"/>
      <c r="D125" s="743" t="str">
        <f t="shared" ca="1" si="18"/>
        <v/>
      </c>
      <c r="E125" s="743"/>
      <c r="F125" s="743"/>
      <c r="G125" s="743"/>
      <c r="H125" s="743"/>
      <c r="I125" s="743"/>
      <c r="J125" s="743"/>
      <c r="K125" s="743"/>
      <c r="L125" s="743"/>
      <c r="M125" s="743"/>
      <c r="N125" s="743"/>
      <c r="O125" s="743"/>
      <c r="P125" s="743"/>
      <c r="Q125" s="743"/>
      <c r="R125" s="743"/>
      <c r="S125" s="743"/>
      <c r="T125" s="743"/>
      <c r="U125" s="743"/>
      <c r="V125" s="743"/>
      <c r="W125" s="743"/>
      <c r="X125" s="743"/>
      <c r="Y125" s="743"/>
      <c r="Z125" s="743"/>
      <c r="AA125" s="743"/>
      <c r="AB125" s="743"/>
      <c r="AC125" s="781" t="str">
        <f t="shared" ca="1" si="19"/>
        <v/>
      </c>
      <c r="AD125" s="781"/>
      <c r="AE125" s="781"/>
      <c r="AF125" s="781"/>
      <c r="AG125" s="781"/>
      <c r="AH125" s="781"/>
      <c r="AI125" s="781"/>
      <c r="AJ125" s="742" t="str">
        <f t="shared" ca="1" si="20"/>
        <v/>
      </c>
      <c r="AK125" s="742"/>
      <c r="AL125" s="781" t="str">
        <f t="shared" ca="1" si="21"/>
        <v/>
      </c>
      <c r="AM125" s="781"/>
      <c r="AN125" s="781"/>
      <c r="AO125" s="781"/>
      <c r="AP125" s="781"/>
      <c r="AQ125" s="781"/>
      <c r="AR125" s="781"/>
      <c r="AS125" s="741" t="str">
        <f t="shared" ca="1" si="22"/>
        <v/>
      </c>
      <c r="AT125" s="741"/>
      <c r="AU125" s="741"/>
      <c r="AV125" s="741"/>
      <c r="AW125" s="741"/>
      <c r="AX125" s="741"/>
      <c r="AY125" s="741"/>
    </row>
    <row r="126" spans="1:52" s="403" customFormat="1" ht="36.75" customHeight="1">
      <c r="B126" s="742">
        <f>B125+1</f>
        <v>63</v>
      </c>
      <c r="C126" s="742"/>
      <c r="D126" s="743" t="str">
        <f t="shared" ca="1" si="18"/>
        <v/>
      </c>
      <c r="E126" s="743"/>
      <c r="F126" s="743"/>
      <c r="G126" s="743"/>
      <c r="H126" s="743"/>
      <c r="I126" s="743"/>
      <c r="J126" s="743"/>
      <c r="K126" s="743"/>
      <c r="L126" s="743"/>
      <c r="M126" s="743"/>
      <c r="N126" s="743"/>
      <c r="O126" s="743"/>
      <c r="P126" s="743"/>
      <c r="Q126" s="743"/>
      <c r="R126" s="743"/>
      <c r="S126" s="743"/>
      <c r="T126" s="743"/>
      <c r="U126" s="743"/>
      <c r="V126" s="743"/>
      <c r="W126" s="743"/>
      <c r="X126" s="743"/>
      <c r="Y126" s="743"/>
      <c r="Z126" s="743"/>
      <c r="AA126" s="743"/>
      <c r="AB126" s="743"/>
      <c r="AC126" s="781" t="str">
        <f t="shared" ca="1" si="19"/>
        <v/>
      </c>
      <c r="AD126" s="781"/>
      <c r="AE126" s="781"/>
      <c r="AF126" s="781"/>
      <c r="AG126" s="781"/>
      <c r="AH126" s="781"/>
      <c r="AI126" s="781"/>
      <c r="AJ126" s="742" t="str">
        <f t="shared" ca="1" si="20"/>
        <v/>
      </c>
      <c r="AK126" s="742"/>
      <c r="AL126" s="781" t="str">
        <f t="shared" ca="1" si="21"/>
        <v/>
      </c>
      <c r="AM126" s="781"/>
      <c r="AN126" s="781"/>
      <c r="AO126" s="781"/>
      <c r="AP126" s="781"/>
      <c r="AQ126" s="781"/>
      <c r="AR126" s="781"/>
      <c r="AS126" s="741" t="str">
        <f t="shared" ca="1" si="22"/>
        <v/>
      </c>
      <c r="AT126" s="741"/>
      <c r="AU126" s="741"/>
      <c r="AV126" s="741"/>
      <c r="AW126" s="741"/>
      <c r="AX126" s="741"/>
      <c r="AY126" s="741"/>
    </row>
    <row r="127" spans="1:52" s="403" customFormat="1" ht="36.75" customHeight="1">
      <c r="B127" s="742">
        <f t="shared" ref="B127:B143" si="23">B126+1</f>
        <v>64</v>
      </c>
      <c r="C127" s="742"/>
      <c r="D127" s="743" t="str">
        <f t="shared" ca="1" si="18"/>
        <v/>
      </c>
      <c r="E127" s="743"/>
      <c r="F127" s="743"/>
      <c r="G127" s="743"/>
      <c r="H127" s="743"/>
      <c r="I127" s="743"/>
      <c r="J127" s="743"/>
      <c r="K127" s="743"/>
      <c r="L127" s="743"/>
      <c r="M127" s="743"/>
      <c r="N127" s="743"/>
      <c r="O127" s="743"/>
      <c r="P127" s="743"/>
      <c r="Q127" s="743"/>
      <c r="R127" s="743"/>
      <c r="S127" s="743"/>
      <c r="T127" s="743"/>
      <c r="U127" s="743"/>
      <c r="V127" s="743"/>
      <c r="W127" s="743"/>
      <c r="X127" s="743"/>
      <c r="Y127" s="743"/>
      <c r="Z127" s="743"/>
      <c r="AA127" s="743"/>
      <c r="AB127" s="743"/>
      <c r="AC127" s="781" t="str">
        <f t="shared" ca="1" si="19"/>
        <v/>
      </c>
      <c r="AD127" s="781"/>
      <c r="AE127" s="781"/>
      <c r="AF127" s="781"/>
      <c r="AG127" s="781"/>
      <c r="AH127" s="781"/>
      <c r="AI127" s="781"/>
      <c r="AJ127" s="742" t="str">
        <f t="shared" ca="1" si="20"/>
        <v/>
      </c>
      <c r="AK127" s="742"/>
      <c r="AL127" s="781" t="str">
        <f t="shared" ca="1" si="21"/>
        <v/>
      </c>
      <c r="AM127" s="781"/>
      <c r="AN127" s="781"/>
      <c r="AO127" s="781"/>
      <c r="AP127" s="781"/>
      <c r="AQ127" s="781"/>
      <c r="AR127" s="781"/>
      <c r="AS127" s="741" t="str">
        <f t="shared" ca="1" si="22"/>
        <v/>
      </c>
      <c r="AT127" s="741"/>
      <c r="AU127" s="741"/>
      <c r="AV127" s="741"/>
      <c r="AW127" s="741"/>
      <c r="AX127" s="741"/>
      <c r="AY127" s="741"/>
    </row>
    <row r="128" spans="1:52" s="403" customFormat="1" ht="36.75" customHeight="1">
      <c r="A128" s="403" t="s">
        <v>1529</v>
      </c>
      <c r="B128" s="742">
        <f t="shared" si="23"/>
        <v>65</v>
      </c>
      <c r="C128" s="742"/>
      <c r="D128" s="743" t="str">
        <f t="shared" ca="1" si="18"/>
        <v/>
      </c>
      <c r="E128" s="743"/>
      <c r="F128" s="743"/>
      <c r="G128" s="743"/>
      <c r="H128" s="743"/>
      <c r="I128" s="743"/>
      <c r="J128" s="743"/>
      <c r="K128" s="743"/>
      <c r="L128" s="743"/>
      <c r="M128" s="743"/>
      <c r="N128" s="743"/>
      <c r="O128" s="743"/>
      <c r="P128" s="743"/>
      <c r="Q128" s="743"/>
      <c r="R128" s="743"/>
      <c r="S128" s="743"/>
      <c r="T128" s="743"/>
      <c r="U128" s="743"/>
      <c r="V128" s="743"/>
      <c r="W128" s="743"/>
      <c r="X128" s="743"/>
      <c r="Y128" s="743"/>
      <c r="Z128" s="743"/>
      <c r="AA128" s="743"/>
      <c r="AB128" s="743"/>
      <c r="AC128" s="781" t="str">
        <f t="shared" ca="1" si="19"/>
        <v/>
      </c>
      <c r="AD128" s="781"/>
      <c r="AE128" s="781"/>
      <c r="AF128" s="781"/>
      <c r="AG128" s="781"/>
      <c r="AH128" s="781"/>
      <c r="AI128" s="781"/>
      <c r="AJ128" s="742" t="str">
        <f t="shared" ca="1" si="20"/>
        <v/>
      </c>
      <c r="AK128" s="742"/>
      <c r="AL128" s="781" t="str">
        <f t="shared" ca="1" si="21"/>
        <v/>
      </c>
      <c r="AM128" s="781"/>
      <c r="AN128" s="781"/>
      <c r="AO128" s="781"/>
      <c r="AP128" s="781"/>
      <c r="AQ128" s="781"/>
      <c r="AR128" s="781"/>
      <c r="AS128" s="741" t="str">
        <f t="shared" ca="1" si="22"/>
        <v/>
      </c>
      <c r="AT128" s="741"/>
      <c r="AU128" s="741"/>
      <c r="AV128" s="741"/>
      <c r="AW128" s="741"/>
      <c r="AX128" s="741"/>
      <c r="AY128" s="741"/>
      <c r="AZ128" s="473" t="s">
        <v>1530</v>
      </c>
    </row>
    <row r="129" spans="1:52" s="403" customFormat="1" ht="36.75" customHeight="1">
      <c r="B129" s="742">
        <f t="shared" si="23"/>
        <v>66</v>
      </c>
      <c r="C129" s="742"/>
      <c r="D129" s="743" t="str">
        <f t="shared" ca="1" si="18"/>
        <v/>
      </c>
      <c r="E129" s="743"/>
      <c r="F129" s="743"/>
      <c r="G129" s="743"/>
      <c r="H129" s="743"/>
      <c r="I129" s="743"/>
      <c r="J129" s="743"/>
      <c r="K129" s="743"/>
      <c r="L129" s="743"/>
      <c r="M129" s="743"/>
      <c r="N129" s="743"/>
      <c r="O129" s="743"/>
      <c r="P129" s="743"/>
      <c r="Q129" s="743"/>
      <c r="R129" s="743"/>
      <c r="S129" s="743"/>
      <c r="T129" s="743"/>
      <c r="U129" s="743"/>
      <c r="V129" s="743"/>
      <c r="W129" s="743"/>
      <c r="X129" s="743"/>
      <c r="Y129" s="743"/>
      <c r="Z129" s="743"/>
      <c r="AA129" s="743"/>
      <c r="AB129" s="743"/>
      <c r="AC129" s="781" t="str">
        <f t="shared" ca="1" si="19"/>
        <v/>
      </c>
      <c r="AD129" s="781"/>
      <c r="AE129" s="781"/>
      <c r="AF129" s="781"/>
      <c r="AG129" s="781"/>
      <c r="AH129" s="781"/>
      <c r="AI129" s="781"/>
      <c r="AJ129" s="742" t="str">
        <f t="shared" ca="1" si="20"/>
        <v/>
      </c>
      <c r="AK129" s="742"/>
      <c r="AL129" s="781" t="str">
        <f t="shared" ca="1" si="21"/>
        <v/>
      </c>
      <c r="AM129" s="781"/>
      <c r="AN129" s="781"/>
      <c r="AO129" s="781"/>
      <c r="AP129" s="781"/>
      <c r="AQ129" s="781"/>
      <c r="AR129" s="781"/>
      <c r="AS129" s="741" t="str">
        <f t="shared" ca="1" si="22"/>
        <v/>
      </c>
      <c r="AT129" s="741"/>
      <c r="AU129" s="741"/>
      <c r="AV129" s="741"/>
      <c r="AW129" s="741"/>
      <c r="AX129" s="741"/>
      <c r="AY129" s="741"/>
      <c r="AZ129" s="473"/>
    </row>
    <row r="130" spans="1:52" s="403" customFormat="1" ht="36.75" customHeight="1">
      <c r="B130" s="742">
        <f t="shared" si="23"/>
        <v>67</v>
      </c>
      <c r="C130" s="742"/>
      <c r="D130" s="743" t="str">
        <f t="shared" ca="1" si="18"/>
        <v/>
      </c>
      <c r="E130" s="743"/>
      <c r="F130" s="743"/>
      <c r="G130" s="743"/>
      <c r="H130" s="743"/>
      <c r="I130" s="743"/>
      <c r="J130" s="743"/>
      <c r="K130" s="743"/>
      <c r="L130" s="743"/>
      <c r="M130" s="743"/>
      <c r="N130" s="743"/>
      <c r="O130" s="743"/>
      <c r="P130" s="743"/>
      <c r="Q130" s="743"/>
      <c r="R130" s="743"/>
      <c r="S130" s="743"/>
      <c r="T130" s="743"/>
      <c r="U130" s="743"/>
      <c r="V130" s="743"/>
      <c r="W130" s="743"/>
      <c r="X130" s="743"/>
      <c r="Y130" s="743"/>
      <c r="Z130" s="743"/>
      <c r="AA130" s="743"/>
      <c r="AB130" s="743"/>
      <c r="AC130" s="781" t="str">
        <f t="shared" ca="1" si="19"/>
        <v/>
      </c>
      <c r="AD130" s="781"/>
      <c r="AE130" s="781"/>
      <c r="AF130" s="781"/>
      <c r="AG130" s="781"/>
      <c r="AH130" s="781"/>
      <c r="AI130" s="781"/>
      <c r="AJ130" s="742" t="str">
        <f t="shared" ca="1" si="20"/>
        <v/>
      </c>
      <c r="AK130" s="742"/>
      <c r="AL130" s="781" t="str">
        <f t="shared" ca="1" si="21"/>
        <v/>
      </c>
      <c r="AM130" s="781"/>
      <c r="AN130" s="781"/>
      <c r="AO130" s="781"/>
      <c r="AP130" s="781"/>
      <c r="AQ130" s="781"/>
      <c r="AR130" s="781"/>
      <c r="AS130" s="741" t="str">
        <f t="shared" ca="1" si="22"/>
        <v/>
      </c>
      <c r="AT130" s="741"/>
      <c r="AU130" s="741"/>
      <c r="AV130" s="741"/>
      <c r="AW130" s="741"/>
      <c r="AX130" s="741"/>
      <c r="AY130" s="741"/>
      <c r="AZ130" s="473"/>
    </row>
    <row r="131" spans="1:52" s="403" customFormat="1" ht="36.75" customHeight="1">
      <c r="B131" s="742">
        <f t="shared" si="23"/>
        <v>68</v>
      </c>
      <c r="C131" s="742"/>
      <c r="D131" s="743" t="str">
        <f t="shared" ca="1" si="18"/>
        <v/>
      </c>
      <c r="E131" s="743"/>
      <c r="F131" s="743"/>
      <c r="G131" s="743"/>
      <c r="H131" s="743"/>
      <c r="I131" s="743"/>
      <c r="J131" s="743"/>
      <c r="K131" s="743"/>
      <c r="L131" s="743"/>
      <c r="M131" s="743"/>
      <c r="N131" s="743"/>
      <c r="O131" s="743"/>
      <c r="P131" s="743"/>
      <c r="Q131" s="743"/>
      <c r="R131" s="743"/>
      <c r="S131" s="743"/>
      <c r="T131" s="743"/>
      <c r="U131" s="743"/>
      <c r="V131" s="743"/>
      <c r="W131" s="743"/>
      <c r="X131" s="743"/>
      <c r="Y131" s="743"/>
      <c r="Z131" s="743"/>
      <c r="AA131" s="743"/>
      <c r="AB131" s="743"/>
      <c r="AC131" s="781" t="str">
        <f t="shared" ca="1" si="19"/>
        <v/>
      </c>
      <c r="AD131" s="781"/>
      <c r="AE131" s="781"/>
      <c r="AF131" s="781"/>
      <c r="AG131" s="781"/>
      <c r="AH131" s="781"/>
      <c r="AI131" s="781"/>
      <c r="AJ131" s="742" t="str">
        <f t="shared" ca="1" si="20"/>
        <v/>
      </c>
      <c r="AK131" s="742"/>
      <c r="AL131" s="781" t="str">
        <f t="shared" ca="1" si="21"/>
        <v/>
      </c>
      <c r="AM131" s="781"/>
      <c r="AN131" s="781"/>
      <c r="AO131" s="781"/>
      <c r="AP131" s="781"/>
      <c r="AQ131" s="781"/>
      <c r="AR131" s="781"/>
      <c r="AS131" s="741" t="str">
        <f t="shared" ca="1" si="22"/>
        <v/>
      </c>
      <c r="AT131" s="741"/>
      <c r="AU131" s="741"/>
      <c r="AV131" s="741"/>
      <c r="AW131" s="741"/>
      <c r="AX131" s="741"/>
      <c r="AY131" s="741"/>
    </row>
    <row r="132" spans="1:52" s="403" customFormat="1" ht="36.75" customHeight="1">
      <c r="B132" s="742">
        <f t="shared" si="23"/>
        <v>69</v>
      </c>
      <c r="C132" s="742"/>
      <c r="D132" s="743" t="str">
        <f t="shared" ca="1" si="18"/>
        <v/>
      </c>
      <c r="E132" s="743"/>
      <c r="F132" s="743"/>
      <c r="G132" s="743"/>
      <c r="H132" s="743"/>
      <c r="I132" s="743"/>
      <c r="J132" s="743"/>
      <c r="K132" s="743"/>
      <c r="L132" s="743"/>
      <c r="M132" s="743"/>
      <c r="N132" s="743"/>
      <c r="O132" s="743"/>
      <c r="P132" s="743"/>
      <c r="Q132" s="743"/>
      <c r="R132" s="743"/>
      <c r="S132" s="743"/>
      <c r="T132" s="743"/>
      <c r="U132" s="743"/>
      <c r="V132" s="743"/>
      <c r="W132" s="743"/>
      <c r="X132" s="743"/>
      <c r="Y132" s="743"/>
      <c r="Z132" s="743"/>
      <c r="AA132" s="743"/>
      <c r="AB132" s="743"/>
      <c r="AC132" s="781" t="str">
        <f t="shared" ca="1" si="19"/>
        <v/>
      </c>
      <c r="AD132" s="781"/>
      <c r="AE132" s="781"/>
      <c r="AF132" s="781"/>
      <c r="AG132" s="781"/>
      <c r="AH132" s="781"/>
      <c r="AI132" s="781"/>
      <c r="AJ132" s="742" t="str">
        <f t="shared" ca="1" si="20"/>
        <v/>
      </c>
      <c r="AK132" s="742"/>
      <c r="AL132" s="781" t="str">
        <f t="shared" ca="1" si="21"/>
        <v/>
      </c>
      <c r="AM132" s="781"/>
      <c r="AN132" s="781"/>
      <c r="AO132" s="781"/>
      <c r="AP132" s="781"/>
      <c r="AQ132" s="781"/>
      <c r="AR132" s="781"/>
      <c r="AS132" s="741" t="str">
        <f t="shared" ca="1" si="22"/>
        <v/>
      </c>
      <c r="AT132" s="741"/>
      <c r="AU132" s="741"/>
      <c r="AV132" s="741"/>
      <c r="AW132" s="741"/>
      <c r="AX132" s="741"/>
      <c r="AY132" s="741"/>
    </row>
    <row r="133" spans="1:52" s="403" customFormat="1" ht="36.75" customHeight="1">
      <c r="B133" s="742">
        <f t="shared" si="23"/>
        <v>70</v>
      </c>
      <c r="C133" s="742"/>
      <c r="D133" s="743" t="str">
        <f t="shared" ca="1" si="18"/>
        <v/>
      </c>
      <c r="E133" s="743"/>
      <c r="F133" s="743"/>
      <c r="G133" s="743"/>
      <c r="H133" s="743"/>
      <c r="I133" s="743"/>
      <c r="J133" s="743"/>
      <c r="K133" s="743"/>
      <c r="L133" s="743"/>
      <c r="M133" s="743"/>
      <c r="N133" s="743"/>
      <c r="O133" s="743"/>
      <c r="P133" s="743"/>
      <c r="Q133" s="743"/>
      <c r="R133" s="743"/>
      <c r="S133" s="743"/>
      <c r="T133" s="743"/>
      <c r="U133" s="743"/>
      <c r="V133" s="743"/>
      <c r="W133" s="743"/>
      <c r="X133" s="743"/>
      <c r="Y133" s="743"/>
      <c r="Z133" s="743"/>
      <c r="AA133" s="743"/>
      <c r="AB133" s="743"/>
      <c r="AC133" s="781" t="str">
        <f t="shared" ca="1" si="19"/>
        <v/>
      </c>
      <c r="AD133" s="781"/>
      <c r="AE133" s="781"/>
      <c r="AF133" s="781"/>
      <c r="AG133" s="781"/>
      <c r="AH133" s="781"/>
      <c r="AI133" s="781"/>
      <c r="AJ133" s="742" t="str">
        <f t="shared" ca="1" si="20"/>
        <v/>
      </c>
      <c r="AK133" s="742"/>
      <c r="AL133" s="781" t="str">
        <f t="shared" ca="1" si="21"/>
        <v/>
      </c>
      <c r="AM133" s="781"/>
      <c r="AN133" s="781"/>
      <c r="AO133" s="781"/>
      <c r="AP133" s="781"/>
      <c r="AQ133" s="781"/>
      <c r="AR133" s="781"/>
      <c r="AS133" s="741" t="str">
        <f t="shared" ca="1" si="22"/>
        <v/>
      </c>
      <c r="AT133" s="741"/>
      <c r="AU133" s="741"/>
      <c r="AV133" s="741"/>
      <c r="AW133" s="741"/>
      <c r="AX133" s="741"/>
      <c r="AY133" s="741"/>
    </row>
    <row r="134" spans="1:52" s="403" customFormat="1" ht="36.75" customHeight="1">
      <c r="B134" s="742">
        <f t="shared" si="23"/>
        <v>71</v>
      </c>
      <c r="C134" s="742"/>
      <c r="D134" s="743" t="str">
        <f t="shared" ca="1" si="18"/>
        <v/>
      </c>
      <c r="E134" s="743"/>
      <c r="F134" s="743"/>
      <c r="G134" s="743"/>
      <c r="H134" s="743"/>
      <c r="I134" s="743"/>
      <c r="J134" s="743"/>
      <c r="K134" s="743"/>
      <c r="L134" s="743"/>
      <c r="M134" s="743"/>
      <c r="N134" s="743"/>
      <c r="O134" s="743"/>
      <c r="P134" s="743"/>
      <c r="Q134" s="743"/>
      <c r="R134" s="743"/>
      <c r="S134" s="743"/>
      <c r="T134" s="743"/>
      <c r="U134" s="743"/>
      <c r="V134" s="743"/>
      <c r="W134" s="743"/>
      <c r="X134" s="743"/>
      <c r="Y134" s="743"/>
      <c r="Z134" s="743"/>
      <c r="AA134" s="743"/>
      <c r="AB134" s="743"/>
      <c r="AC134" s="781" t="str">
        <f t="shared" ca="1" si="19"/>
        <v/>
      </c>
      <c r="AD134" s="781"/>
      <c r="AE134" s="781"/>
      <c r="AF134" s="781"/>
      <c r="AG134" s="781"/>
      <c r="AH134" s="781"/>
      <c r="AI134" s="781"/>
      <c r="AJ134" s="742" t="str">
        <f t="shared" ca="1" si="20"/>
        <v/>
      </c>
      <c r="AK134" s="742"/>
      <c r="AL134" s="781" t="str">
        <f t="shared" ca="1" si="21"/>
        <v/>
      </c>
      <c r="AM134" s="781"/>
      <c r="AN134" s="781"/>
      <c r="AO134" s="781"/>
      <c r="AP134" s="781"/>
      <c r="AQ134" s="781"/>
      <c r="AR134" s="781"/>
      <c r="AS134" s="741" t="str">
        <f t="shared" ca="1" si="22"/>
        <v/>
      </c>
      <c r="AT134" s="741"/>
      <c r="AU134" s="741"/>
      <c r="AV134" s="741"/>
      <c r="AW134" s="741"/>
      <c r="AX134" s="741"/>
      <c r="AY134" s="741"/>
    </row>
    <row r="135" spans="1:52" s="403" customFormat="1" ht="36.75" customHeight="1">
      <c r="B135" s="742">
        <f t="shared" si="23"/>
        <v>72</v>
      </c>
      <c r="C135" s="742"/>
      <c r="D135" s="743" t="str">
        <f t="shared" ca="1" si="18"/>
        <v/>
      </c>
      <c r="E135" s="743"/>
      <c r="F135" s="743"/>
      <c r="G135" s="743"/>
      <c r="H135" s="743"/>
      <c r="I135" s="743"/>
      <c r="J135" s="743"/>
      <c r="K135" s="743"/>
      <c r="L135" s="743"/>
      <c r="M135" s="743"/>
      <c r="N135" s="743"/>
      <c r="O135" s="743"/>
      <c r="P135" s="743"/>
      <c r="Q135" s="743"/>
      <c r="R135" s="743"/>
      <c r="S135" s="743"/>
      <c r="T135" s="743"/>
      <c r="U135" s="743"/>
      <c r="V135" s="743"/>
      <c r="W135" s="743"/>
      <c r="X135" s="743"/>
      <c r="Y135" s="743"/>
      <c r="Z135" s="743"/>
      <c r="AA135" s="743"/>
      <c r="AB135" s="743"/>
      <c r="AC135" s="781" t="str">
        <f t="shared" ca="1" si="19"/>
        <v/>
      </c>
      <c r="AD135" s="781"/>
      <c r="AE135" s="781"/>
      <c r="AF135" s="781"/>
      <c r="AG135" s="781"/>
      <c r="AH135" s="781"/>
      <c r="AI135" s="781"/>
      <c r="AJ135" s="742" t="str">
        <f t="shared" ca="1" si="20"/>
        <v/>
      </c>
      <c r="AK135" s="742"/>
      <c r="AL135" s="781" t="str">
        <f t="shared" ca="1" si="21"/>
        <v/>
      </c>
      <c r="AM135" s="781"/>
      <c r="AN135" s="781"/>
      <c r="AO135" s="781"/>
      <c r="AP135" s="781"/>
      <c r="AQ135" s="781"/>
      <c r="AR135" s="781"/>
      <c r="AS135" s="741" t="str">
        <f t="shared" ca="1" si="22"/>
        <v/>
      </c>
      <c r="AT135" s="741"/>
      <c r="AU135" s="741"/>
      <c r="AV135" s="741"/>
      <c r="AW135" s="741"/>
      <c r="AX135" s="741"/>
      <c r="AY135" s="741"/>
    </row>
    <row r="136" spans="1:52" s="403" customFormat="1" ht="36.75" customHeight="1">
      <c r="B136" s="742">
        <f t="shared" si="23"/>
        <v>73</v>
      </c>
      <c r="C136" s="742"/>
      <c r="D136" s="743" t="str">
        <f t="shared" ca="1" si="18"/>
        <v/>
      </c>
      <c r="E136" s="743"/>
      <c r="F136" s="743"/>
      <c r="G136" s="743"/>
      <c r="H136" s="743"/>
      <c r="I136" s="743"/>
      <c r="J136" s="743"/>
      <c r="K136" s="743"/>
      <c r="L136" s="743"/>
      <c r="M136" s="743"/>
      <c r="N136" s="743"/>
      <c r="O136" s="743"/>
      <c r="P136" s="743"/>
      <c r="Q136" s="743"/>
      <c r="R136" s="743"/>
      <c r="S136" s="743"/>
      <c r="T136" s="743"/>
      <c r="U136" s="743"/>
      <c r="V136" s="743"/>
      <c r="W136" s="743"/>
      <c r="X136" s="743"/>
      <c r="Y136" s="743"/>
      <c r="Z136" s="743"/>
      <c r="AA136" s="743"/>
      <c r="AB136" s="743"/>
      <c r="AC136" s="781" t="str">
        <f t="shared" ca="1" si="19"/>
        <v/>
      </c>
      <c r="AD136" s="781"/>
      <c r="AE136" s="781"/>
      <c r="AF136" s="781"/>
      <c r="AG136" s="781"/>
      <c r="AH136" s="781"/>
      <c r="AI136" s="781"/>
      <c r="AJ136" s="742" t="str">
        <f t="shared" ca="1" si="20"/>
        <v/>
      </c>
      <c r="AK136" s="742"/>
      <c r="AL136" s="781" t="str">
        <f t="shared" ca="1" si="21"/>
        <v/>
      </c>
      <c r="AM136" s="781"/>
      <c r="AN136" s="781"/>
      <c r="AO136" s="781"/>
      <c r="AP136" s="781"/>
      <c r="AQ136" s="781"/>
      <c r="AR136" s="781"/>
      <c r="AS136" s="741" t="str">
        <f t="shared" ca="1" si="22"/>
        <v/>
      </c>
      <c r="AT136" s="741"/>
      <c r="AU136" s="741"/>
      <c r="AV136" s="741"/>
      <c r="AW136" s="741"/>
      <c r="AX136" s="741"/>
      <c r="AY136" s="741"/>
    </row>
    <row r="137" spans="1:52" s="403" customFormat="1" ht="36.75" customHeight="1">
      <c r="B137" s="742">
        <f t="shared" si="23"/>
        <v>74</v>
      </c>
      <c r="C137" s="742"/>
      <c r="D137" s="743" t="str">
        <f t="shared" ca="1" si="18"/>
        <v/>
      </c>
      <c r="E137" s="743"/>
      <c r="F137" s="743"/>
      <c r="G137" s="743"/>
      <c r="H137" s="743"/>
      <c r="I137" s="743"/>
      <c r="J137" s="743"/>
      <c r="K137" s="743"/>
      <c r="L137" s="743"/>
      <c r="M137" s="743"/>
      <c r="N137" s="743"/>
      <c r="O137" s="743"/>
      <c r="P137" s="743"/>
      <c r="Q137" s="743"/>
      <c r="R137" s="743"/>
      <c r="S137" s="743"/>
      <c r="T137" s="743"/>
      <c r="U137" s="743"/>
      <c r="V137" s="743"/>
      <c r="W137" s="743"/>
      <c r="X137" s="743"/>
      <c r="Y137" s="743"/>
      <c r="Z137" s="743"/>
      <c r="AA137" s="743"/>
      <c r="AB137" s="743"/>
      <c r="AC137" s="781" t="str">
        <f t="shared" ca="1" si="19"/>
        <v/>
      </c>
      <c r="AD137" s="781"/>
      <c r="AE137" s="781"/>
      <c r="AF137" s="781"/>
      <c r="AG137" s="781"/>
      <c r="AH137" s="781"/>
      <c r="AI137" s="781"/>
      <c r="AJ137" s="742" t="str">
        <f t="shared" ca="1" si="20"/>
        <v/>
      </c>
      <c r="AK137" s="742"/>
      <c r="AL137" s="781" t="str">
        <f t="shared" ca="1" si="21"/>
        <v/>
      </c>
      <c r="AM137" s="781"/>
      <c r="AN137" s="781"/>
      <c r="AO137" s="781"/>
      <c r="AP137" s="781"/>
      <c r="AQ137" s="781"/>
      <c r="AR137" s="781"/>
      <c r="AS137" s="741" t="str">
        <f t="shared" ca="1" si="22"/>
        <v/>
      </c>
      <c r="AT137" s="741"/>
      <c r="AU137" s="741"/>
      <c r="AV137" s="741"/>
      <c r="AW137" s="741"/>
      <c r="AX137" s="741"/>
      <c r="AY137" s="741"/>
    </row>
    <row r="138" spans="1:52" s="403" customFormat="1" ht="36.75" customHeight="1">
      <c r="B138" s="742">
        <f t="shared" si="23"/>
        <v>75</v>
      </c>
      <c r="C138" s="742"/>
      <c r="D138" s="743" t="str">
        <f t="shared" ca="1" si="18"/>
        <v/>
      </c>
      <c r="E138" s="743"/>
      <c r="F138" s="743"/>
      <c r="G138" s="743"/>
      <c r="H138" s="743"/>
      <c r="I138" s="743"/>
      <c r="J138" s="743"/>
      <c r="K138" s="743"/>
      <c r="L138" s="743"/>
      <c r="M138" s="743"/>
      <c r="N138" s="743"/>
      <c r="O138" s="743"/>
      <c r="P138" s="743"/>
      <c r="Q138" s="743"/>
      <c r="R138" s="743"/>
      <c r="S138" s="743"/>
      <c r="T138" s="743"/>
      <c r="U138" s="743"/>
      <c r="V138" s="743"/>
      <c r="W138" s="743"/>
      <c r="X138" s="743"/>
      <c r="Y138" s="743"/>
      <c r="Z138" s="743"/>
      <c r="AA138" s="743"/>
      <c r="AB138" s="743"/>
      <c r="AC138" s="781" t="str">
        <f t="shared" ca="1" si="19"/>
        <v/>
      </c>
      <c r="AD138" s="781"/>
      <c r="AE138" s="781"/>
      <c r="AF138" s="781"/>
      <c r="AG138" s="781"/>
      <c r="AH138" s="781"/>
      <c r="AI138" s="781"/>
      <c r="AJ138" s="742" t="str">
        <f t="shared" ca="1" si="20"/>
        <v/>
      </c>
      <c r="AK138" s="742"/>
      <c r="AL138" s="781" t="str">
        <f t="shared" ca="1" si="21"/>
        <v/>
      </c>
      <c r="AM138" s="781"/>
      <c r="AN138" s="781"/>
      <c r="AO138" s="781"/>
      <c r="AP138" s="781"/>
      <c r="AQ138" s="781"/>
      <c r="AR138" s="781"/>
      <c r="AS138" s="741" t="str">
        <f t="shared" ca="1" si="22"/>
        <v/>
      </c>
      <c r="AT138" s="741"/>
      <c r="AU138" s="741"/>
      <c r="AV138" s="741"/>
      <c r="AW138" s="741"/>
      <c r="AX138" s="741"/>
      <c r="AY138" s="741"/>
    </row>
    <row r="139" spans="1:52" s="403" customFormat="1" ht="36.75" customHeight="1">
      <c r="B139" s="742">
        <f t="shared" si="23"/>
        <v>76</v>
      </c>
      <c r="C139" s="742"/>
      <c r="D139" s="743" t="str">
        <f t="shared" ca="1" si="18"/>
        <v/>
      </c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R139" s="743"/>
      <c r="S139" s="743"/>
      <c r="T139" s="743"/>
      <c r="U139" s="743"/>
      <c r="V139" s="743"/>
      <c r="W139" s="743"/>
      <c r="X139" s="743"/>
      <c r="Y139" s="743"/>
      <c r="Z139" s="743"/>
      <c r="AA139" s="743"/>
      <c r="AB139" s="743"/>
      <c r="AC139" s="781" t="str">
        <f t="shared" ca="1" si="19"/>
        <v/>
      </c>
      <c r="AD139" s="781"/>
      <c r="AE139" s="781"/>
      <c r="AF139" s="781"/>
      <c r="AG139" s="781"/>
      <c r="AH139" s="781"/>
      <c r="AI139" s="781"/>
      <c r="AJ139" s="742" t="str">
        <f t="shared" ca="1" si="20"/>
        <v/>
      </c>
      <c r="AK139" s="742"/>
      <c r="AL139" s="781" t="str">
        <f t="shared" ca="1" si="21"/>
        <v/>
      </c>
      <c r="AM139" s="781"/>
      <c r="AN139" s="781"/>
      <c r="AO139" s="781"/>
      <c r="AP139" s="781"/>
      <c r="AQ139" s="781"/>
      <c r="AR139" s="781"/>
      <c r="AS139" s="741" t="str">
        <f t="shared" ca="1" si="22"/>
        <v/>
      </c>
      <c r="AT139" s="741"/>
      <c r="AU139" s="741"/>
      <c r="AV139" s="741"/>
      <c r="AW139" s="741"/>
      <c r="AX139" s="741"/>
      <c r="AY139" s="741"/>
    </row>
    <row r="140" spans="1:52" s="403" customFormat="1" ht="36.75" customHeight="1">
      <c r="B140" s="742">
        <f t="shared" si="23"/>
        <v>77</v>
      </c>
      <c r="C140" s="742"/>
      <c r="D140" s="743" t="str">
        <f t="shared" ca="1" si="18"/>
        <v/>
      </c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R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81" t="str">
        <f t="shared" ca="1" si="19"/>
        <v/>
      </c>
      <c r="AD140" s="781"/>
      <c r="AE140" s="781"/>
      <c r="AF140" s="781"/>
      <c r="AG140" s="781"/>
      <c r="AH140" s="781"/>
      <c r="AI140" s="781"/>
      <c r="AJ140" s="742" t="str">
        <f t="shared" ca="1" si="20"/>
        <v/>
      </c>
      <c r="AK140" s="742"/>
      <c r="AL140" s="781" t="str">
        <f t="shared" ca="1" si="21"/>
        <v/>
      </c>
      <c r="AM140" s="781"/>
      <c r="AN140" s="781"/>
      <c r="AO140" s="781"/>
      <c r="AP140" s="781"/>
      <c r="AQ140" s="781"/>
      <c r="AR140" s="781"/>
      <c r="AS140" s="741" t="str">
        <f t="shared" ca="1" si="22"/>
        <v/>
      </c>
      <c r="AT140" s="741"/>
      <c r="AU140" s="741"/>
      <c r="AV140" s="741"/>
      <c r="AW140" s="741"/>
      <c r="AX140" s="741"/>
      <c r="AY140" s="741"/>
    </row>
    <row r="141" spans="1:52" s="403" customFormat="1" ht="36.75" customHeight="1">
      <c r="B141" s="742">
        <f t="shared" si="23"/>
        <v>78</v>
      </c>
      <c r="C141" s="742"/>
      <c r="D141" s="743" t="str">
        <f t="shared" ca="1" si="18"/>
        <v/>
      </c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R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81" t="str">
        <f t="shared" ca="1" si="19"/>
        <v/>
      </c>
      <c r="AD141" s="781"/>
      <c r="AE141" s="781"/>
      <c r="AF141" s="781"/>
      <c r="AG141" s="781"/>
      <c r="AH141" s="781"/>
      <c r="AI141" s="781"/>
      <c r="AJ141" s="742" t="str">
        <f t="shared" ca="1" si="20"/>
        <v/>
      </c>
      <c r="AK141" s="742"/>
      <c r="AL141" s="781" t="str">
        <f t="shared" ca="1" si="21"/>
        <v/>
      </c>
      <c r="AM141" s="781"/>
      <c r="AN141" s="781"/>
      <c r="AO141" s="781"/>
      <c r="AP141" s="781"/>
      <c r="AQ141" s="781"/>
      <c r="AR141" s="781"/>
      <c r="AS141" s="741" t="str">
        <f t="shared" ca="1" si="22"/>
        <v/>
      </c>
      <c r="AT141" s="741"/>
      <c r="AU141" s="741"/>
      <c r="AV141" s="741"/>
      <c r="AW141" s="741"/>
      <c r="AX141" s="741"/>
      <c r="AY141" s="741"/>
    </row>
    <row r="142" spans="1:52" s="403" customFormat="1" ht="36.75" customHeight="1">
      <c r="A142" s="403" t="s">
        <v>1529</v>
      </c>
      <c r="B142" s="742">
        <f t="shared" si="23"/>
        <v>79</v>
      </c>
      <c r="C142" s="742"/>
      <c r="D142" s="743" t="str">
        <f t="shared" ca="1" si="18"/>
        <v/>
      </c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R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81" t="str">
        <f t="shared" ca="1" si="19"/>
        <v/>
      </c>
      <c r="AD142" s="781"/>
      <c r="AE142" s="781"/>
      <c r="AF142" s="781"/>
      <c r="AG142" s="781"/>
      <c r="AH142" s="781"/>
      <c r="AI142" s="781"/>
      <c r="AJ142" s="742" t="str">
        <f t="shared" ca="1" si="20"/>
        <v/>
      </c>
      <c r="AK142" s="742"/>
      <c r="AL142" s="781" t="str">
        <f t="shared" ca="1" si="21"/>
        <v/>
      </c>
      <c r="AM142" s="781"/>
      <c r="AN142" s="781"/>
      <c r="AO142" s="781"/>
      <c r="AP142" s="781"/>
      <c r="AQ142" s="781"/>
      <c r="AR142" s="781"/>
      <c r="AS142" s="741" t="str">
        <f t="shared" ca="1" si="22"/>
        <v/>
      </c>
      <c r="AT142" s="741"/>
      <c r="AU142" s="741"/>
      <c r="AV142" s="741"/>
      <c r="AW142" s="741"/>
      <c r="AX142" s="741"/>
      <c r="AY142" s="741"/>
      <c r="AZ142" s="473" t="s">
        <v>1530</v>
      </c>
    </row>
    <row r="143" spans="1:52" s="403" customFormat="1" ht="36.75" customHeight="1">
      <c r="B143" s="742">
        <f t="shared" si="23"/>
        <v>80</v>
      </c>
      <c r="C143" s="742"/>
      <c r="D143" s="743" t="str">
        <f t="shared" ca="1" si="18"/>
        <v/>
      </c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R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81" t="str">
        <f t="shared" ca="1" si="19"/>
        <v/>
      </c>
      <c r="AD143" s="781"/>
      <c r="AE143" s="781"/>
      <c r="AF143" s="781"/>
      <c r="AG143" s="781"/>
      <c r="AH143" s="781"/>
      <c r="AI143" s="781"/>
      <c r="AJ143" s="742" t="str">
        <f t="shared" ca="1" si="20"/>
        <v/>
      </c>
      <c r="AK143" s="742"/>
      <c r="AL143" s="781" t="str">
        <f t="shared" ca="1" si="21"/>
        <v/>
      </c>
      <c r="AM143" s="781"/>
      <c r="AN143" s="781"/>
      <c r="AO143" s="781"/>
      <c r="AP143" s="781"/>
      <c r="AQ143" s="781"/>
      <c r="AR143" s="781"/>
      <c r="AS143" s="741" t="str">
        <f t="shared" ca="1" si="22"/>
        <v/>
      </c>
      <c r="AT143" s="741"/>
      <c r="AU143" s="741"/>
      <c r="AV143" s="741"/>
      <c r="AW143" s="741"/>
      <c r="AX143" s="741"/>
      <c r="AY143" s="741"/>
    </row>
    <row r="144" spans="1:52" s="403" customFormat="1" ht="45" customHeight="1">
      <c r="B144" s="749" t="s">
        <v>1527</v>
      </c>
      <c r="C144" s="750"/>
      <c r="D144" s="750"/>
      <c r="E144" s="751" t="str">
        <f>IF(UNNH0030_REPORT_IF_H_EIGYO_MEI="","",UNNH0030_REPORT_IF_H_EIGYO_MEI)</f>
        <v/>
      </c>
      <c r="F144" s="751"/>
      <c r="G144" s="751"/>
      <c r="H144" s="751"/>
      <c r="I144" s="751"/>
      <c r="J144" s="751"/>
      <c r="K144" s="751"/>
      <c r="L144" s="751"/>
      <c r="M144" s="751"/>
      <c r="N144" s="751"/>
      <c r="O144" s="751"/>
      <c r="P144" s="751"/>
      <c r="Q144" s="751"/>
      <c r="R144" s="751"/>
      <c r="S144" s="751"/>
      <c r="T144" s="751"/>
      <c r="U144" s="751"/>
      <c r="V144" s="751"/>
      <c r="W144" s="751"/>
      <c r="X144" s="751"/>
      <c r="Y144" s="751"/>
      <c r="Z144" s="751"/>
      <c r="AA144" s="751"/>
      <c r="AB144" s="751"/>
      <c r="AC144" s="751"/>
      <c r="AD144" s="751"/>
      <c r="AE144" s="751"/>
      <c r="AF144" s="751"/>
      <c r="AG144" s="752"/>
      <c r="AH144" s="742" t="s">
        <v>1107</v>
      </c>
      <c r="AI144" s="742"/>
      <c r="AJ144" s="742"/>
      <c r="AK144" s="742"/>
      <c r="AL144" s="742"/>
      <c r="AM144" s="742"/>
      <c r="AN144" s="742"/>
      <c r="AO144" s="742"/>
      <c r="AP144" s="742"/>
      <c r="AQ144" s="782" t="str">
        <f>IF(ROUNDUP(ROW()/ROWS(UNNH0030_SEIKYUSHO_PAGE_AREA),0)=UNNH0030_REPORT_IF_B_PAGE_TOTAL,UNNH0030_REPORT_IF_H_TOTAL,"")</f>
        <v/>
      </c>
      <c r="AR144" s="783"/>
      <c r="AS144" s="783"/>
      <c r="AT144" s="783"/>
      <c r="AU144" s="783"/>
      <c r="AV144" s="783"/>
      <c r="AW144" s="783"/>
      <c r="AX144" s="783"/>
      <c r="AY144" s="784"/>
    </row>
    <row r="145" spans="2:51" s="403" customFormat="1" ht="33.75" customHeight="1">
      <c r="C145" s="404"/>
      <c r="D145" s="404"/>
      <c r="E145" s="404"/>
      <c r="F145" s="404"/>
      <c r="G145" s="404"/>
      <c r="H145" s="404"/>
      <c r="I145" s="404"/>
      <c r="J145" s="404"/>
      <c r="K145" s="404"/>
      <c r="L145" s="404"/>
      <c r="M145" s="404"/>
      <c r="N145" s="404"/>
      <c r="O145" s="404"/>
    </row>
    <row r="146" spans="2:51" s="403" customFormat="1" ht="38.25" customHeight="1">
      <c r="B146" s="756" t="s">
        <v>1528</v>
      </c>
      <c r="C146" s="757"/>
      <c r="D146" s="758"/>
      <c r="E146" s="738" t="str">
        <f>IF(UNNH0030_REPORT_IF_H_TEKIYO="","",UNNH0030_REPORT_IF_H_TEKIYO)</f>
        <v/>
      </c>
      <c r="F146" s="738"/>
      <c r="G146" s="738"/>
      <c r="H146" s="738"/>
      <c r="I146" s="738"/>
      <c r="J146" s="738"/>
      <c r="K146" s="738"/>
      <c r="L146" s="738"/>
      <c r="M146" s="738"/>
      <c r="N146" s="738"/>
      <c r="O146" s="738"/>
      <c r="P146" s="738"/>
      <c r="Q146" s="738"/>
      <c r="R146" s="738"/>
      <c r="S146" s="738"/>
      <c r="T146" s="738"/>
      <c r="U146" s="738"/>
      <c r="V146" s="738"/>
      <c r="W146" s="738"/>
      <c r="X146" s="738"/>
      <c r="Y146" s="738"/>
      <c r="Z146" s="738"/>
      <c r="AA146" s="738"/>
      <c r="AB146" s="738"/>
      <c r="AC146" s="738"/>
      <c r="AD146" s="738"/>
      <c r="AE146" s="738"/>
      <c r="AF146" s="738"/>
      <c r="AG146" s="738"/>
      <c r="AH146" s="738"/>
      <c r="AI146" s="738"/>
      <c r="AJ146" s="738"/>
      <c r="AK146" s="738"/>
      <c r="AL146" s="738"/>
      <c r="AM146" s="738"/>
      <c r="AN146" s="738"/>
      <c r="AO146" s="738"/>
      <c r="AP146" s="738"/>
      <c r="AQ146" s="738"/>
      <c r="AR146" s="738"/>
      <c r="AS146" s="738"/>
      <c r="AU146" s="739" t="str">
        <f>IF(UNNH0030_REPORT_IF_H_SEIKYUHOHO_KBN=0,"","締日 "&amp;UNNH0030_REPORT_IF_H_SHIMEBI)</f>
        <v/>
      </c>
      <c r="AV146" s="739"/>
      <c r="AW146" s="739"/>
      <c r="AX146" s="739"/>
      <c r="AY146" s="740" t="str">
        <f>UNNH0030_REPORT_IF_H_SHIMEBI_MARK</f>
        <v>*</v>
      </c>
    </row>
    <row r="147" spans="2:51" s="403" customFormat="1" ht="38.25" customHeight="1">
      <c r="B147" s="759"/>
      <c r="C147" s="760"/>
      <c r="D147" s="761"/>
      <c r="E147" s="738"/>
      <c r="F147" s="738"/>
      <c r="G147" s="738"/>
      <c r="H147" s="738"/>
      <c r="I147" s="738"/>
      <c r="J147" s="738"/>
      <c r="K147" s="738"/>
      <c r="L147" s="738"/>
      <c r="M147" s="738"/>
      <c r="N147" s="738"/>
      <c r="O147" s="738"/>
      <c r="P147" s="738"/>
      <c r="Q147" s="738"/>
      <c r="R147" s="738"/>
      <c r="S147" s="738"/>
      <c r="T147" s="738"/>
      <c r="U147" s="738"/>
      <c r="V147" s="738"/>
      <c r="W147" s="738"/>
      <c r="X147" s="738"/>
      <c r="Y147" s="738"/>
      <c r="Z147" s="738"/>
      <c r="AA147" s="738"/>
      <c r="AB147" s="738"/>
      <c r="AC147" s="738"/>
      <c r="AD147" s="738"/>
      <c r="AE147" s="738"/>
      <c r="AF147" s="738"/>
      <c r="AG147" s="738"/>
      <c r="AH147" s="738"/>
      <c r="AI147" s="738"/>
      <c r="AJ147" s="738"/>
      <c r="AK147" s="738"/>
      <c r="AL147" s="738"/>
      <c r="AM147" s="738"/>
      <c r="AN147" s="738"/>
      <c r="AO147" s="738"/>
      <c r="AP147" s="738"/>
      <c r="AQ147" s="738"/>
      <c r="AR147" s="738"/>
      <c r="AS147" s="738"/>
      <c r="AU147" s="739"/>
      <c r="AV147" s="739"/>
      <c r="AW147" s="739"/>
      <c r="AX147" s="739"/>
      <c r="AY147" s="740"/>
    </row>
    <row r="148" spans="2:51" s="403" customFormat="1" ht="30" customHeight="1">
      <c r="B148" s="777" t="str">
        <f>IF(UNNH0030_REPORT_IF_JURI_NO="","",UNNH0030_REPORT_IF_JURI_NO)</f>
        <v/>
      </c>
      <c r="C148" s="777"/>
      <c r="D148" s="777"/>
      <c r="E148" s="777"/>
      <c r="F148" s="777"/>
      <c r="G148" s="777"/>
      <c r="H148" s="777"/>
      <c r="I148" s="777"/>
      <c r="J148" s="777"/>
      <c r="K148" s="777"/>
      <c r="L148" s="777"/>
      <c r="M148" s="777"/>
      <c r="N148" s="777"/>
      <c r="O148" s="777"/>
      <c r="P148" s="777"/>
      <c r="Q148" s="777"/>
      <c r="R148" s="777"/>
      <c r="S148" s="777"/>
      <c r="T148" s="777"/>
      <c r="U148" s="777"/>
      <c r="V148" s="777"/>
      <c r="W148" s="777"/>
      <c r="X148" s="777"/>
      <c r="Y148" s="777"/>
      <c r="Z148" s="777"/>
      <c r="AA148" s="777"/>
      <c r="AB148" s="777"/>
      <c r="AC148" s="777"/>
      <c r="AD148" s="777"/>
      <c r="AE148" s="777"/>
      <c r="AF148" s="777"/>
      <c r="AG148" s="777"/>
      <c r="AH148" s="777"/>
      <c r="AI148" s="777"/>
      <c r="AJ148" s="777"/>
      <c r="AK148" s="777"/>
      <c r="AL148" s="777"/>
      <c r="AM148" s="777"/>
      <c r="AN148" s="777"/>
      <c r="AO148" s="777"/>
      <c r="AP148" s="777"/>
      <c r="AQ148" s="777"/>
      <c r="AR148" s="777"/>
      <c r="AS148" s="777"/>
      <c r="AT148" s="777"/>
      <c r="AU148" s="777"/>
      <c r="AV148" s="777"/>
      <c r="AW148" s="777"/>
      <c r="AX148" s="777"/>
      <c r="AY148" s="777"/>
    </row>
    <row r="149" spans="2:51" s="403" customFormat="1" ht="12" customHeight="1">
      <c r="C149" s="404"/>
      <c r="D149" s="404"/>
      <c r="E149" s="465"/>
      <c r="F149" s="466"/>
      <c r="G149" s="466"/>
      <c r="H149" s="466"/>
      <c r="I149" s="466"/>
      <c r="J149" s="466"/>
      <c r="K149" s="466"/>
      <c r="L149" s="466"/>
      <c r="M149" s="466"/>
      <c r="N149" s="466"/>
      <c r="O149" s="466"/>
      <c r="P149" s="466"/>
      <c r="Q149" s="466"/>
      <c r="R149" s="466"/>
      <c r="S149" s="466"/>
      <c r="T149" s="466"/>
      <c r="U149" s="466"/>
      <c r="V149" s="466"/>
      <c r="W149" s="466"/>
      <c r="X149" s="466"/>
      <c r="Y149" s="467"/>
      <c r="AA149" s="744" t="s">
        <v>1108</v>
      </c>
      <c r="AB149" s="744"/>
      <c r="AC149" s="744"/>
      <c r="AD149" s="744"/>
      <c r="AE149" s="744"/>
      <c r="AF149" s="744"/>
      <c r="AG149" s="744"/>
      <c r="AH149" s="744"/>
      <c r="AI149" s="744"/>
      <c r="AJ149" s="744"/>
      <c r="AK149" s="744"/>
      <c r="AL149" s="744"/>
      <c r="AP149" s="774" t="str">
        <f>"No."&amp;UNNH0030_REPORT_IF_H_URIAGE_NO&amp;"-"&amp;ROUNDUP(ROW()/ROWS(UNNH0030_SEIKYUSHO_PAGE_AREA),0)&amp;"/"&amp;UNNH0030_REPORT_IF_B_PAGE_TOTAL</f>
        <v>No.-5/1</v>
      </c>
      <c r="AQ149" s="774"/>
      <c r="AR149" s="774"/>
      <c r="AS149" s="774"/>
      <c r="AT149" s="774"/>
      <c r="AU149" s="774"/>
      <c r="AV149" s="774"/>
      <c r="AW149" s="774"/>
      <c r="AX149" s="774"/>
      <c r="AY149" s="774"/>
    </row>
    <row r="150" spans="2:51" s="403" customFormat="1" ht="24.75" customHeight="1">
      <c r="C150" s="404"/>
      <c r="E150" s="468"/>
      <c r="F150" s="775" t="str">
        <f>IF(UNNH0030_REPORT_IF_H_JUSHO_NO_PRINT_FLG=TRUE,"","〒")</f>
        <v>〒</v>
      </c>
      <c r="G150" s="775"/>
      <c r="H150" s="776" t="str">
        <f>IF(UNNH0030_REPORT_IF_H_JUSHO_NO_PRINT_FLG=TRUE,"",IF(UNNH0030_REPORT_IF_H_YUBIN_NO="","",UNNH0030_REPORT_IF_H_YUBIN_NO))</f>
        <v/>
      </c>
      <c r="I150" s="776"/>
      <c r="J150" s="776"/>
      <c r="K150" s="776"/>
      <c r="L150" s="776"/>
      <c r="M150" s="776"/>
      <c r="N150" s="776"/>
      <c r="O150" s="776"/>
      <c r="P150" s="776"/>
      <c r="Q150" s="776"/>
      <c r="R150" s="776"/>
      <c r="S150" s="776"/>
      <c r="T150" s="776"/>
      <c r="U150" s="776"/>
      <c r="V150" s="776"/>
      <c r="W150" s="776"/>
      <c r="X150" s="776"/>
      <c r="Y150" s="469"/>
      <c r="AA150" s="744"/>
      <c r="AB150" s="744"/>
      <c r="AC150" s="744"/>
      <c r="AD150" s="744"/>
      <c r="AE150" s="744"/>
      <c r="AF150" s="744"/>
      <c r="AG150" s="744"/>
      <c r="AH150" s="744"/>
      <c r="AI150" s="744"/>
      <c r="AJ150" s="744"/>
      <c r="AK150" s="744"/>
      <c r="AL150" s="744"/>
      <c r="AP150" s="774"/>
      <c r="AQ150" s="774"/>
      <c r="AR150" s="774"/>
      <c r="AS150" s="774"/>
      <c r="AT150" s="774"/>
      <c r="AU150" s="774"/>
      <c r="AV150" s="774"/>
      <c r="AW150" s="774"/>
      <c r="AX150" s="774"/>
      <c r="AY150" s="774"/>
    </row>
    <row r="151" spans="2:51" s="403" customFormat="1" ht="24.75" customHeight="1">
      <c r="C151" s="404"/>
      <c r="E151" s="468"/>
      <c r="F151" s="745" t="str">
        <f>IF(UNNH0030_REPORT_IF_H_JUSHO_NO_PRINT_FLG="","",IF(UNNH0030_REPORT_IF_H_ADDRESS_1="","",UNNH0030_REPORT_IF_H_ADDRESS_1))</f>
        <v/>
      </c>
      <c r="G151" s="745"/>
      <c r="H151" s="745"/>
      <c r="I151" s="745"/>
      <c r="J151" s="745"/>
      <c r="K151" s="745"/>
      <c r="L151" s="745"/>
      <c r="M151" s="745"/>
      <c r="N151" s="745"/>
      <c r="O151" s="745"/>
      <c r="P151" s="745"/>
      <c r="Q151" s="745"/>
      <c r="R151" s="745"/>
      <c r="S151" s="745"/>
      <c r="T151" s="745"/>
      <c r="U151" s="745"/>
      <c r="V151" s="745"/>
      <c r="W151" s="745"/>
      <c r="X151" s="745"/>
      <c r="Y151" s="469"/>
      <c r="AP151" s="748">
        <f>UNNH0030_REPORT_IF_H_URIAGE_DATE</f>
        <v>0</v>
      </c>
      <c r="AQ151" s="748"/>
      <c r="AR151" s="748"/>
      <c r="AS151" s="748"/>
      <c r="AT151" s="748"/>
      <c r="AU151" s="748"/>
      <c r="AV151" s="748"/>
      <c r="AW151" s="748"/>
      <c r="AX151" s="748"/>
      <c r="AY151" s="748"/>
    </row>
    <row r="152" spans="2:51" s="403" customFormat="1" ht="24.75" customHeight="1">
      <c r="C152" s="404"/>
      <c r="E152" s="468"/>
      <c r="F152" s="745" t="str">
        <f>IF(UNNH0030_REPORT_IF_H_JUSHO_NO_PRINT_FLG="","",IF(UNNH0030_REPORT_IF_H_ADDRESS_2="","",UNNH0030_REPORT_IF_H_ADDRESS_2))</f>
        <v/>
      </c>
      <c r="G152" s="745"/>
      <c r="H152" s="745"/>
      <c r="I152" s="745"/>
      <c r="J152" s="745"/>
      <c r="K152" s="745"/>
      <c r="L152" s="745"/>
      <c r="M152" s="745"/>
      <c r="N152" s="745"/>
      <c r="O152" s="745"/>
      <c r="P152" s="745"/>
      <c r="Q152" s="745"/>
      <c r="R152" s="745"/>
      <c r="S152" s="745"/>
      <c r="T152" s="745"/>
      <c r="U152" s="745"/>
      <c r="V152" s="745"/>
      <c r="W152" s="745"/>
      <c r="X152" s="745"/>
      <c r="Y152" s="469"/>
    </row>
    <row r="153" spans="2:51" s="403" customFormat="1" ht="24.75" customHeight="1">
      <c r="C153" s="404"/>
      <c r="E153" s="468"/>
      <c r="F153" s="409"/>
      <c r="G153" s="409"/>
      <c r="H153" s="409"/>
      <c r="I153" s="409"/>
      <c r="J153" s="409"/>
      <c r="K153" s="409"/>
      <c r="L153" s="409"/>
      <c r="M153" s="409"/>
      <c r="N153" s="409"/>
      <c r="O153" s="409"/>
      <c r="P153" s="409"/>
      <c r="Q153" s="409"/>
      <c r="R153" s="409"/>
      <c r="S153" s="409"/>
      <c r="T153" s="409"/>
      <c r="U153" s="409"/>
      <c r="V153" s="409"/>
      <c r="W153" s="409"/>
      <c r="X153" s="409"/>
      <c r="Y153" s="469"/>
    </row>
    <row r="154" spans="2:51" s="403" customFormat="1" ht="26.25" customHeight="1">
      <c r="C154" s="404"/>
      <c r="E154" s="470"/>
      <c r="F154" s="745" t="str">
        <f>IF(TRIM(UNNH0030_REPORT_IF_H_SOFU_TANTO)="","",
IF(TRIM(UNNH0030_REPORT_IF_H_DEMPYO_SOFU_MEI)="","",
TRIM(UNNH0030_REPORT_IF_H_DEMPYO_SOFU_MEI)))</f>
        <v/>
      </c>
      <c r="G154" s="745"/>
      <c r="H154" s="745"/>
      <c r="I154" s="745"/>
      <c r="J154" s="745"/>
      <c r="K154" s="745"/>
      <c r="L154" s="745"/>
      <c r="M154" s="745"/>
      <c r="N154" s="745"/>
      <c r="O154" s="745"/>
      <c r="P154" s="745"/>
      <c r="Q154" s="745"/>
      <c r="R154" s="745"/>
      <c r="S154" s="745"/>
      <c r="T154" s="745"/>
      <c r="U154" s="745"/>
      <c r="V154" s="745"/>
      <c r="W154" s="745"/>
      <c r="X154" s="745"/>
      <c r="Y154" s="469"/>
    </row>
    <row r="155" spans="2:51" s="403" customFormat="1" ht="26.25" customHeight="1">
      <c r="C155" s="404"/>
      <c r="E155" s="468"/>
      <c r="F155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55" s="746"/>
      <c r="H155" s="746"/>
      <c r="I155" s="746"/>
      <c r="J155" s="746"/>
      <c r="K155" s="746"/>
      <c r="L155" s="746"/>
      <c r="M155" s="746"/>
      <c r="N155" s="746"/>
      <c r="O155" s="746"/>
      <c r="P155" s="746"/>
      <c r="Q155" s="746"/>
      <c r="R155" s="746"/>
      <c r="S155" s="746"/>
      <c r="T155" s="746"/>
      <c r="U155" s="746"/>
      <c r="V155" s="746"/>
      <c r="W155" s="746"/>
      <c r="X155" s="746"/>
      <c r="Y155" s="469"/>
      <c r="Z155" s="477" t="str">
        <f>UNNH0030_REPORT_IF_H_SHIMEBI_MARK</f>
        <v>*</v>
      </c>
    </row>
    <row r="156" spans="2:51" s="403" customFormat="1" ht="25.5" customHeight="1">
      <c r="C156" s="404"/>
      <c r="E156" s="471"/>
      <c r="F156" s="747">
        <f>UNNH0030_REPORT_IF_H_SEIKYU_CD</f>
        <v>0</v>
      </c>
      <c r="G156" s="747"/>
      <c r="H156" s="747"/>
      <c r="I156" s="747"/>
      <c r="J156" s="747"/>
      <c r="K156" s="747"/>
      <c r="L156" s="747"/>
      <c r="M156" s="747"/>
      <c r="N156" s="747"/>
      <c r="O156" s="747"/>
      <c r="P156" s="747"/>
      <c r="Q156" s="747"/>
      <c r="R156" s="747"/>
      <c r="S156" s="747"/>
      <c r="T156" s="747"/>
      <c r="U156" s="747"/>
      <c r="V156" s="747"/>
      <c r="W156" s="747"/>
      <c r="X156" s="747"/>
      <c r="Y156" s="472"/>
    </row>
    <row r="157" spans="2:51" s="403" customFormat="1" ht="30" customHeight="1">
      <c r="C157" s="404"/>
    </row>
    <row r="158" spans="2:51" s="403" customFormat="1" ht="30" customHeight="1">
      <c r="C158" s="404"/>
      <c r="D158" s="404"/>
      <c r="E158" s="404"/>
      <c r="F158" s="404"/>
      <c r="G158" s="404"/>
      <c r="H158" s="404"/>
      <c r="I158" s="404"/>
      <c r="J158" s="404"/>
      <c r="K158" s="404"/>
      <c r="L158" s="404"/>
      <c r="M158" s="404"/>
      <c r="N158" s="404"/>
      <c r="O158" s="404"/>
    </row>
    <row r="159" spans="2:51" s="403" customFormat="1" ht="29.25" customHeight="1">
      <c r="B159" s="474" t="s">
        <v>1101</v>
      </c>
      <c r="C159" s="404"/>
      <c r="D159" s="404"/>
      <c r="E159" s="404"/>
      <c r="F159" s="404"/>
      <c r="G159" s="404"/>
      <c r="H159" s="404"/>
      <c r="I159" s="404"/>
      <c r="J159" s="404"/>
      <c r="K159" s="404"/>
      <c r="L159" s="404"/>
      <c r="M159" s="404"/>
      <c r="N159" s="404"/>
      <c r="O159" s="404"/>
    </row>
    <row r="160" spans="2:51" s="403" customFormat="1" ht="36.75" customHeight="1">
      <c r="B160" s="742"/>
      <c r="C160" s="742"/>
      <c r="D160" s="742" t="s">
        <v>1102</v>
      </c>
      <c r="E160" s="742"/>
      <c r="F160" s="742"/>
      <c r="G160" s="742"/>
      <c r="H160" s="742"/>
      <c r="I160" s="742"/>
      <c r="J160" s="742"/>
      <c r="K160" s="742"/>
      <c r="L160" s="742"/>
      <c r="M160" s="742"/>
      <c r="N160" s="742"/>
      <c r="O160" s="742"/>
      <c r="P160" s="742"/>
      <c r="Q160" s="742"/>
      <c r="R160" s="742"/>
      <c r="S160" s="742"/>
      <c r="T160" s="742"/>
      <c r="U160" s="742"/>
      <c r="V160" s="742"/>
      <c r="W160" s="742"/>
      <c r="X160" s="742"/>
      <c r="Y160" s="742"/>
      <c r="Z160" s="742"/>
      <c r="AA160" s="742"/>
      <c r="AB160" s="742"/>
      <c r="AC160" s="742" t="s">
        <v>1103</v>
      </c>
      <c r="AD160" s="742"/>
      <c r="AE160" s="742"/>
      <c r="AF160" s="742"/>
      <c r="AG160" s="742"/>
      <c r="AH160" s="742"/>
      <c r="AI160" s="742"/>
      <c r="AJ160" s="742" t="s">
        <v>1104</v>
      </c>
      <c r="AK160" s="742"/>
      <c r="AL160" s="742" t="s">
        <v>1105</v>
      </c>
      <c r="AM160" s="742"/>
      <c r="AN160" s="742"/>
      <c r="AO160" s="742"/>
      <c r="AP160" s="742"/>
      <c r="AQ160" s="742"/>
      <c r="AR160" s="742"/>
      <c r="AS160" s="742" t="s">
        <v>1106</v>
      </c>
      <c r="AT160" s="742"/>
      <c r="AU160" s="742"/>
      <c r="AV160" s="742"/>
      <c r="AW160" s="742"/>
      <c r="AX160" s="742"/>
      <c r="AY160" s="742"/>
    </row>
    <row r="161" spans="1:52" s="403" customFormat="1" ht="36.75" customHeight="1">
      <c r="B161" s="742">
        <f>ROUNDDOWN(ROW()/ROWS(UNNH0030_REPORT_RAYOUT_SEIKYUSHO),0)*UNNH0030_REPORT_IF_B_PAGE_MEISAI_SU+1</f>
        <v>81</v>
      </c>
      <c r="C161" s="742"/>
      <c r="D161" s="743" t="str">
        <f t="shared" ref="D161:D180" ca="1" si="24">IF(OFFSET(UNNH0030_REPORT_IF_B_SHOHIN_MEI,$B161,0)="","",OFFSET(UNNH0030_REPORT_IF_B_SHOHIN_MEI,$B161,0))</f>
        <v/>
      </c>
      <c r="E161" s="743"/>
      <c r="F161" s="743"/>
      <c r="G161" s="743"/>
      <c r="H161" s="743"/>
      <c r="I161" s="743"/>
      <c r="J161" s="743"/>
      <c r="K161" s="743"/>
      <c r="L161" s="743"/>
      <c r="M161" s="743"/>
      <c r="N161" s="743"/>
      <c r="O161" s="743"/>
      <c r="P161" s="743"/>
      <c r="Q161" s="743"/>
      <c r="R161" s="743"/>
      <c r="S161" s="743"/>
      <c r="T161" s="743"/>
      <c r="U161" s="743"/>
      <c r="V161" s="743"/>
      <c r="W161" s="743"/>
      <c r="X161" s="743"/>
      <c r="Y161" s="743"/>
      <c r="Z161" s="743"/>
      <c r="AA161" s="743"/>
      <c r="AB161" s="743"/>
      <c r="AC161" s="781" t="str">
        <f t="shared" ref="AC161:AC180" ca="1" si="25">IF(OR(OFFSET(UNNH0030_REPORT_IF_B_ROW_KBN,$B161,0)&lt;&gt;1,$D161="",$D161="消費税"),"",
OFFSET(UNNH0030_REPORT_IF_B_SURYO,$B161,0))</f>
        <v/>
      </c>
      <c r="AD161" s="781"/>
      <c r="AE161" s="781"/>
      <c r="AF161" s="781"/>
      <c r="AG161" s="781"/>
      <c r="AH161" s="781"/>
      <c r="AI161" s="781"/>
      <c r="AJ161" s="742" t="str">
        <f t="shared" ref="AJ161:AJ180" ca="1" si="26">IF(OFFSET(UNNH0030_REPORT_IF_B_TANI,$B161,0)="","",OFFSET(UNNH0030_REPORT_IF_B_TANI,$B161,0))</f>
        <v/>
      </c>
      <c r="AK161" s="742"/>
      <c r="AL161" s="781" t="str">
        <f t="shared" ref="AL161:AL180" ca="1" si="27">IF(OR(OFFSET(UNNH0030_REPORT_IF_B_ROW_KBN,$B161,0)&lt;&gt;1,$D161="",$D161="消費税"),"",
OFFSET(UNNH0030_REPORT_IF_B_TANKA,$B161,0))</f>
        <v/>
      </c>
      <c r="AM161" s="781"/>
      <c r="AN161" s="781"/>
      <c r="AO161" s="781"/>
      <c r="AP161" s="781"/>
      <c r="AQ161" s="781"/>
      <c r="AR161" s="781"/>
      <c r="AS161" s="741" t="str">
        <f t="shared" ref="AS161:AS180" ca="1" si="28">IF(OR(OFFSET(UNNH0030_REPORT_IF_B_KINGAKU,$B161,0)=0,$D161=""),"",
OFFSET(UNNH0030_REPORT_IF_B_KINGAKU,$B161,0))</f>
        <v/>
      </c>
      <c r="AT161" s="741"/>
      <c r="AU161" s="741"/>
      <c r="AV161" s="741"/>
      <c r="AW161" s="741"/>
      <c r="AX161" s="741"/>
      <c r="AY161" s="741"/>
    </row>
    <row r="162" spans="1:52" s="403" customFormat="1" ht="36.75" customHeight="1">
      <c r="B162" s="742">
        <f>B161+1</f>
        <v>82</v>
      </c>
      <c r="C162" s="742"/>
      <c r="D162" s="743" t="str">
        <f t="shared" ca="1" si="24"/>
        <v/>
      </c>
      <c r="E162" s="743"/>
      <c r="F162" s="743"/>
      <c r="G162" s="743"/>
      <c r="H162" s="743"/>
      <c r="I162" s="743"/>
      <c r="J162" s="743"/>
      <c r="K162" s="743"/>
      <c r="L162" s="743"/>
      <c r="M162" s="743"/>
      <c r="N162" s="743"/>
      <c r="O162" s="743"/>
      <c r="P162" s="743"/>
      <c r="Q162" s="743"/>
      <c r="R162" s="743"/>
      <c r="S162" s="743"/>
      <c r="T162" s="743"/>
      <c r="U162" s="743"/>
      <c r="V162" s="743"/>
      <c r="W162" s="743"/>
      <c r="X162" s="743"/>
      <c r="Y162" s="743"/>
      <c r="Z162" s="743"/>
      <c r="AA162" s="743"/>
      <c r="AB162" s="743"/>
      <c r="AC162" s="781" t="str">
        <f t="shared" ca="1" si="25"/>
        <v/>
      </c>
      <c r="AD162" s="781"/>
      <c r="AE162" s="781"/>
      <c r="AF162" s="781"/>
      <c r="AG162" s="781"/>
      <c r="AH162" s="781"/>
      <c r="AI162" s="781"/>
      <c r="AJ162" s="742" t="str">
        <f t="shared" ca="1" si="26"/>
        <v/>
      </c>
      <c r="AK162" s="742"/>
      <c r="AL162" s="781" t="str">
        <f t="shared" ca="1" si="27"/>
        <v/>
      </c>
      <c r="AM162" s="781"/>
      <c r="AN162" s="781"/>
      <c r="AO162" s="781"/>
      <c r="AP162" s="781"/>
      <c r="AQ162" s="781"/>
      <c r="AR162" s="781"/>
      <c r="AS162" s="741" t="str">
        <f t="shared" ca="1" si="28"/>
        <v/>
      </c>
      <c r="AT162" s="741"/>
      <c r="AU162" s="741"/>
      <c r="AV162" s="741"/>
      <c r="AW162" s="741"/>
      <c r="AX162" s="741"/>
      <c r="AY162" s="741"/>
    </row>
    <row r="163" spans="1:52" s="403" customFormat="1" ht="36.75" customHeight="1">
      <c r="B163" s="742">
        <f>B162+1</f>
        <v>83</v>
      </c>
      <c r="C163" s="742"/>
      <c r="D163" s="743" t="str">
        <f t="shared" ca="1" si="24"/>
        <v/>
      </c>
      <c r="E163" s="743"/>
      <c r="F163" s="743"/>
      <c r="G163" s="743"/>
      <c r="H163" s="743"/>
      <c r="I163" s="743"/>
      <c r="J163" s="743"/>
      <c r="K163" s="743"/>
      <c r="L163" s="743"/>
      <c r="M163" s="743"/>
      <c r="N163" s="743"/>
      <c r="O163" s="743"/>
      <c r="P163" s="743"/>
      <c r="Q163" s="743"/>
      <c r="R163" s="743"/>
      <c r="S163" s="743"/>
      <c r="T163" s="743"/>
      <c r="U163" s="743"/>
      <c r="V163" s="743"/>
      <c r="W163" s="743"/>
      <c r="X163" s="743"/>
      <c r="Y163" s="743"/>
      <c r="Z163" s="743"/>
      <c r="AA163" s="743"/>
      <c r="AB163" s="743"/>
      <c r="AC163" s="781" t="str">
        <f t="shared" ca="1" si="25"/>
        <v/>
      </c>
      <c r="AD163" s="781"/>
      <c r="AE163" s="781"/>
      <c r="AF163" s="781"/>
      <c r="AG163" s="781"/>
      <c r="AH163" s="781"/>
      <c r="AI163" s="781"/>
      <c r="AJ163" s="742" t="str">
        <f t="shared" ca="1" si="26"/>
        <v/>
      </c>
      <c r="AK163" s="742"/>
      <c r="AL163" s="781" t="str">
        <f t="shared" ca="1" si="27"/>
        <v/>
      </c>
      <c r="AM163" s="781"/>
      <c r="AN163" s="781"/>
      <c r="AO163" s="781"/>
      <c r="AP163" s="781"/>
      <c r="AQ163" s="781"/>
      <c r="AR163" s="781"/>
      <c r="AS163" s="741" t="str">
        <f t="shared" ca="1" si="28"/>
        <v/>
      </c>
      <c r="AT163" s="741"/>
      <c r="AU163" s="741"/>
      <c r="AV163" s="741"/>
      <c r="AW163" s="741"/>
      <c r="AX163" s="741"/>
      <c r="AY163" s="741"/>
    </row>
    <row r="164" spans="1:52" s="403" customFormat="1" ht="36.75" customHeight="1">
      <c r="B164" s="742">
        <f t="shared" ref="B164:B180" si="29">B163+1</f>
        <v>84</v>
      </c>
      <c r="C164" s="742"/>
      <c r="D164" s="743" t="str">
        <f t="shared" ca="1" si="24"/>
        <v/>
      </c>
      <c r="E164" s="743"/>
      <c r="F164" s="743"/>
      <c r="G164" s="743"/>
      <c r="H164" s="743"/>
      <c r="I164" s="743"/>
      <c r="J164" s="743"/>
      <c r="K164" s="743"/>
      <c r="L164" s="743"/>
      <c r="M164" s="743"/>
      <c r="N164" s="743"/>
      <c r="O164" s="743"/>
      <c r="P164" s="743"/>
      <c r="Q164" s="743"/>
      <c r="R164" s="743"/>
      <c r="S164" s="743"/>
      <c r="T164" s="743"/>
      <c r="U164" s="743"/>
      <c r="V164" s="743"/>
      <c r="W164" s="743"/>
      <c r="X164" s="743"/>
      <c r="Y164" s="743"/>
      <c r="Z164" s="743"/>
      <c r="AA164" s="743"/>
      <c r="AB164" s="743"/>
      <c r="AC164" s="781" t="str">
        <f t="shared" ca="1" si="25"/>
        <v/>
      </c>
      <c r="AD164" s="781"/>
      <c r="AE164" s="781"/>
      <c r="AF164" s="781"/>
      <c r="AG164" s="781"/>
      <c r="AH164" s="781"/>
      <c r="AI164" s="781"/>
      <c r="AJ164" s="742" t="str">
        <f t="shared" ca="1" si="26"/>
        <v/>
      </c>
      <c r="AK164" s="742"/>
      <c r="AL164" s="781" t="str">
        <f t="shared" ca="1" si="27"/>
        <v/>
      </c>
      <c r="AM164" s="781"/>
      <c r="AN164" s="781"/>
      <c r="AO164" s="781"/>
      <c r="AP164" s="781"/>
      <c r="AQ164" s="781"/>
      <c r="AR164" s="781"/>
      <c r="AS164" s="741" t="str">
        <f t="shared" ca="1" si="28"/>
        <v/>
      </c>
      <c r="AT164" s="741"/>
      <c r="AU164" s="741"/>
      <c r="AV164" s="741"/>
      <c r="AW164" s="741"/>
      <c r="AX164" s="741"/>
      <c r="AY164" s="741"/>
    </row>
    <row r="165" spans="1:52" s="403" customFormat="1" ht="36.75" customHeight="1">
      <c r="A165" s="403" t="s">
        <v>1529</v>
      </c>
      <c r="B165" s="742">
        <f t="shared" si="29"/>
        <v>85</v>
      </c>
      <c r="C165" s="742"/>
      <c r="D165" s="743" t="str">
        <f t="shared" ca="1" si="24"/>
        <v/>
      </c>
      <c r="E165" s="743"/>
      <c r="F165" s="743"/>
      <c r="G165" s="743"/>
      <c r="H165" s="743"/>
      <c r="I165" s="743"/>
      <c r="J165" s="743"/>
      <c r="K165" s="743"/>
      <c r="L165" s="743"/>
      <c r="M165" s="743"/>
      <c r="N165" s="743"/>
      <c r="O165" s="743"/>
      <c r="P165" s="743"/>
      <c r="Q165" s="743"/>
      <c r="R165" s="743"/>
      <c r="S165" s="743"/>
      <c r="T165" s="743"/>
      <c r="U165" s="743"/>
      <c r="V165" s="743"/>
      <c r="W165" s="743"/>
      <c r="X165" s="743"/>
      <c r="Y165" s="743"/>
      <c r="Z165" s="743"/>
      <c r="AA165" s="743"/>
      <c r="AB165" s="743"/>
      <c r="AC165" s="781" t="str">
        <f t="shared" ca="1" si="25"/>
        <v/>
      </c>
      <c r="AD165" s="781"/>
      <c r="AE165" s="781"/>
      <c r="AF165" s="781"/>
      <c r="AG165" s="781"/>
      <c r="AH165" s="781"/>
      <c r="AI165" s="781"/>
      <c r="AJ165" s="742" t="str">
        <f t="shared" ca="1" si="26"/>
        <v/>
      </c>
      <c r="AK165" s="742"/>
      <c r="AL165" s="781" t="str">
        <f t="shared" ca="1" si="27"/>
        <v/>
      </c>
      <c r="AM165" s="781"/>
      <c r="AN165" s="781"/>
      <c r="AO165" s="781"/>
      <c r="AP165" s="781"/>
      <c r="AQ165" s="781"/>
      <c r="AR165" s="781"/>
      <c r="AS165" s="741" t="str">
        <f t="shared" ca="1" si="28"/>
        <v/>
      </c>
      <c r="AT165" s="741"/>
      <c r="AU165" s="741"/>
      <c r="AV165" s="741"/>
      <c r="AW165" s="741"/>
      <c r="AX165" s="741"/>
      <c r="AY165" s="741"/>
      <c r="AZ165" s="473" t="s">
        <v>1530</v>
      </c>
    </row>
    <row r="166" spans="1:52" s="403" customFormat="1" ht="36.75" customHeight="1">
      <c r="B166" s="742">
        <f t="shared" si="29"/>
        <v>86</v>
      </c>
      <c r="C166" s="742"/>
      <c r="D166" s="743" t="str">
        <f t="shared" ca="1" si="24"/>
        <v/>
      </c>
      <c r="E166" s="743"/>
      <c r="F166" s="743"/>
      <c r="G166" s="743"/>
      <c r="H166" s="743"/>
      <c r="I166" s="743"/>
      <c r="J166" s="743"/>
      <c r="K166" s="743"/>
      <c r="L166" s="743"/>
      <c r="M166" s="743"/>
      <c r="N166" s="743"/>
      <c r="O166" s="743"/>
      <c r="P166" s="743"/>
      <c r="Q166" s="743"/>
      <c r="R166" s="743"/>
      <c r="S166" s="743"/>
      <c r="T166" s="743"/>
      <c r="U166" s="743"/>
      <c r="V166" s="743"/>
      <c r="W166" s="743"/>
      <c r="X166" s="743"/>
      <c r="Y166" s="743"/>
      <c r="Z166" s="743"/>
      <c r="AA166" s="743"/>
      <c r="AB166" s="743"/>
      <c r="AC166" s="781" t="str">
        <f t="shared" ca="1" si="25"/>
        <v/>
      </c>
      <c r="AD166" s="781"/>
      <c r="AE166" s="781"/>
      <c r="AF166" s="781"/>
      <c r="AG166" s="781"/>
      <c r="AH166" s="781"/>
      <c r="AI166" s="781"/>
      <c r="AJ166" s="742" t="str">
        <f t="shared" ca="1" si="26"/>
        <v/>
      </c>
      <c r="AK166" s="742"/>
      <c r="AL166" s="781" t="str">
        <f t="shared" ca="1" si="27"/>
        <v/>
      </c>
      <c r="AM166" s="781"/>
      <c r="AN166" s="781"/>
      <c r="AO166" s="781"/>
      <c r="AP166" s="781"/>
      <c r="AQ166" s="781"/>
      <c r="AR166" s="781"/>
      <c r="AS166" s="741" t="str">
        <f t="shared" ca="1" si="28"/>
        <v/>
      </c>
      <c r="AT166" s="741"/>
      <c r="AU166" s="741"/>
      <c r="AV166" s="741"/>
      <c r="AW166" s="741"/>
      <c r="AX166" s="741"/>
      <c r="AY166" s="741"/>
      <c r="AZ166" s="473"/>
    </row>
    <row r="167" spans="1:52" s="403" customFormat="1" ht="36.75" customHeight="1">
      <c r="B167" s="742">
        <f t="shared" si="29"/>
        <v>87</v>
      </c>
      <c r="C167" s="742"/>
      <c r="D167" s="743" t="str">
        <f t="shared" ca="1" si="24"/>
        <v/>
      </c>
      <c r="E167" s="743"/>
      <c r="F167" s="743"/>
      <c r="G167" s="743"/>
      <c r="H167" s="743"/>
      <c r="I167" s="743"/>
      <c r="J167" s="743"/>
      <c r="K167" s="743"/>
      <c r="L167" s="743"/>
      <c r="M167" s="743"/>
      <c r="N167" s="743"/>
      <c r="O167" s="743"/>
      <c r="P167" s="743"/>
      <c r="Q167" s="743"/>
      <c r="R167" s="743"/>
      <c r="S167" s="743"/>
      <c r="T167" s="743"/>
      <c r="U167" s="743"/>
      <c r="V167" s="743"/>
      <c r="W167" s="743"/>
      <c r="X167" s="743"/>
      <c r="Y167" s="743"/>
      <c r="Z167" s="743"/>
      <c r="AA167" s="743"/>
      <c r="AB167" s="743"/>
      <c r="AC167" s="781" t="str">
        <f t="shared" ca="1" si="25"/>
        <v/>
      </c>
      <c r="AD167" s="781"/>
      <c r="AE167" s="781"/>
      <c r="AF167" s="781"/>
      <c r="AG167" s="781"/>
      <c r="AH167" s="781"/>
      <c r="AI167" s="781"/>
      <c r="AJ167" s="742" t="str">
        <f t="shared" ca="1" si="26"/>
        <v/>
      </c>
      <c r="AK167" s="742"/>
      <c r="AL167" s="781" t="str">
        <f t="shared" ca="1" si="27"/>
        <v/>
      </c>
      <c r="AM167" s="781"/>
      <c r="AN167" s="781"/>
      <c r="AO167" s="781"/>
      <c r="AP167" s="781"/>
      <c r="AQ167" s="781"/>
      <c r="AR167" s="781"/>
      <c r="AS167" s="741" t="str">
        <f t="shared" ca="1" si="28"/>
        <v/>
      </c>
      <c r="AT167" s="741"/>
      <c r="AU167" s="741"/>
      <c r="AV167" s="741"/>
      <c r="AW167" s="741"/>
      <c r="AX167" s="741"/>
      <c r="AY167" s="741"/>
      <c r="AZ167" s="473"/>
    </row>
    <row r="168" spans="1:52" s="403" customFormat="1" ht="36.75" customHeight="1">
      <c r="B168" s="742">
        <f t="shared" si="29"/>
        <v>88</v>
      </c>
      <c r="C168" s="742"/>
      <c r="D168" s="743" t="str">
        <f t="shared" ca="1" si="24"/>
        <v/>
      </c>
      <c r="E168" s="743"/>
      <c r="F168" s="743"/>
      <c r="G168" s="743"/>
      <c r="H168" s="743"/>
      <c r="I168" s="743"/>
      <c r="J168" s="743"/>
      <c r="K168" s="743"/>
      <c r="L168" s="743"/>
      <c r="M168" s="743"/>
      <c r="N168" s="743"/>
      <c r="O168" s="743"/>
      <c r="P168" s="743"/>
      <c r="Q168" s="743"/>
      <c r="R168" s="743"/>
      <c r="S168" s="743"/>
      <c r="T168" s="743"/>
      <c r="U168" s="743"/>
      <c r="V168" s="743"/>
      <c r="W168" s="743"/>
      <c r="X168" s="743"/>
      <c r="Y168" s="743"/>
      <c r="Z168" s="743"/>
      <c r="AA168" s="743"/>
      <c r="AB168" s="743"/>
      <c r="AC168" s="781" t="str">
        <f t="shared" ca="1" si="25"/>
        <v/>
      </c>
      <c r="AD168" s="781"/>
      <c r="AE168" s="781"/>
      <c r="AF168" s="781"/>
      <c r="AG168" s="781"/>
      <c r="AH168" s="781"/>
      <c r="AI168" s="781"/>
      <c r="AJ168" s="742" t="str">
        <f t="shared" ca="1" si="26"/>
        <v/>
      </c>
      <c r="AK168" s="742"/>
      <c r="AL168" s="781" t="str">
        <f t="shared" ca="1" si="27"/>
        <v/>
      </c>
      <c r="AM168" s="781"/>
      <c r="AN168" s="781"/>
      <c r="AO168" s="781"/>
      <c r="AP168" s="781"/>
      <c r="AQ168" s="781"/>
      <c r="AR168" s="781"/>
      <c r="AS168" s="741" t="str">
        <f t="shared" ca="1" si="28"/>
        <v/>
      </c>
      <c r="AT168" s="741"/>
      <c r="AU168" s="741"/>
      <c r="AV168" s="741"/>
      <c r="AW168" s="741"/>
      <c r="AX168" s="741"/>
      <c r="AY168" s="741"/>
    </row>
    <row r="169" spans="1:52" s="403" customFormat="1" ht="36.75" customHeight="1">
      <c r="B169" s="742">
        <f t="shared" si="29"/>
        <v>89</v>
      </c>
      <c r="C169" s="742"/>
      <c r="D169" s="743" t="str">
        <f t="shared" ca="1" si="24"/>
        <v/>
      </c>
      <c r="E169" s="743"/>
      <c r="F169" s="743"/>
      <c r="G169" s="743"/>
      <c r="H169" s="743"/>
      <c r="I169" s="743"/>
      <c r="J169" s="743"/>
      <c r="K169" s="743"/>
      <c r="L169" s="743"/>
      <c r="M169" s="743"/>
      <c r="N169" s="743"/>
      <c r="O169" s="743"/>
      <c r="P169" s="743"/>
      <c r="Q169" s="743"/>
      <c r="R169" s="743"/>
      <c r="S169" s="743"/>
      <c r="T169" s="743"/>
      <c r="U169" s="743"/>
      <c r="V169" s="743"/>
      <c r="W169" s="743"/>
      <c r="X169" s="743"/>
      <c r="Y169" s="743"/>
      <c r="Z169" s="743"/>
      <c r="AA169" s="743"/>
      <c r="AB169" s="743"/>
      <c r="AC169" s="781" t="str">
        <f t="shared" ca="1" si="25"/>
        <v/>
      </c>
      <c r="AD169" s="781"/>
      <c r="AE169" s="781"/>
      <c r="AF169" s="781"/>
      <c r="AG169" s="781"/>
      <c r="AH169" s="781"/>
      <c r="AI169" s="781"/>
      <c r="AJ169" s="742" t="str">
        <f t="shared" ca="1" si="26"/>
        <v/>
      </c>
      <c r="AK169" s="742"/>
      <c r="AL169" s="781" t="str">
        <f t="shared" ca="1" si="27"/>
        <v/>
      </c>
      <c r="AM169" s="781"/>
      <c r="AN169" s="781"/>
      <c r="AO169" s="781"/>
      <c r="AP169" s="781"/>
      <c r="AQ169" s="781"/>
      <c r="AR169" s="781"/>
      <c r="AS169" s="741" t="str">
        <f t="shared" ca="1" si="28"/>
        <v/>
      </c>
      <c r="AT169" s="741"/>
      <c r="AU169" s="741"/>
      <c r="AV169" s="741"/>
      <c r="AW169" s="741"/>
      <c r="AX169" s="741"/>
      <c r="AY169" s="741"/>
    </row>
    <row r="170" spans="1:52" s="403" customFormat="1" ht="36.75" customHeight="1">
      <c r="B170" s="742">
        <f t="shared" si="29"/>
        <v>90</v>
      </c>
      <c r="C170" s="742"/>
      <c r="D170" s="743" t="str">
        <f t="shared" ca="1" si="24"/>
        <v/>
      </c>
      <c r="E170" s="743"/>
      <c r="F170" s="743"/>
      <c r="G170" s="743"/>
      <c r="H170" s="743"/>
      <c r="I170" s="743"/>
      <c r="J170" s="743"/>
      <c r="K170" s="743"/>
      <c r="L170" s="743"/>
      <c r="M170" s="743"/>
      <c r="N170" s="743"/>
      <c r="O170" s="743"/>
      <c r="P170" s="743"/>
      <c r="Q170" s="743"/>
      <c r="R170" s="743"/>
      <c r="S170" s="743"/>
      <c r="T170" s="743"/>
      <c r="U170" s="743"/>
      <c r="V170" s="743"/>
      <c r="W170" s="743"/>
      <c r="X170" s="743"/>
      <c r="Y170" s="743"/>
      <c r="Z170" s="743"/>
      <c r="AA170" s="743"/>
      <c r="AB170" s="743"/>
      <c r="AC170" s="781" t="str">
        <f t="shared" ca="1" si="25"/>
        <v/>
      </c>
      <c r="AD170" s="781"/>
      <c r="AE170" s="781"/>
      <c r="AF170" s="781"/>
      <c r="AG170" s="781"/>
      <c r="AH170" s="781"/>
      <c r="AI170" s="781"/>
      <c r="AJ170" s="742" t="str">
        <f t="shared" ca="1" si="26"/>
        <v/>
      </c>
      <c r="AK170" s="742"/>
      <c r="AL170" s="781" t="str">
        <f t="shared" ca="1" si="27"/>
        <v/>
      </c>
      <c r="AM170" s="781"/>
      <c r="AN170" s="781"/>
      <c r="AO170" s="781"/>
      <c r="AP170" s="781"/>
      <c r="AQ170" s="781"/>
      <c r="AR170" s="781"/>
      <c r="AS170" s="741" t="str">
        <f t="shared" ca="1" si="28"/>
        <v/>
      </c>
      <c r="AT170" s="741"/>
      <c r="AU170" s="741"/>
      <c r="AV170" s="741"/>
      <c r="AW170" s="741"/>
      <c r="AX170" s="741"/>
      <c r="AY170" s="741"/>
    </row>
    <row r="171" spans="1:52" s="403" customFormat="1" ht="36.75" customHeight="1">
      <c r="B171" s="742">
        <f t="shared" si="29"/>
        <v>91</v>
      </c>
      <c r="C171" s="742"/>
      <c r="D171" s="743" t="str">
        <f t="shared" ca="1" si="24"/>
        <v/>
      </c>
      <c r="E171" s="743"/>
      <c r="F171" s="743"/>
      <c r="G171" s="743"/>
      <c r="H171" s="743"/>
      <c r="I171" s="743"/>
      <c r="J171" s="743"/>
      <c r="K171" s="743"/>
      <c r="L171" s="743"/>
      <c r="M171" s="743"/>
      <c r="N171" s="743"/>
      <c r="O171" s="743"/>
      <c r="P171" s="743"/>
      <c r="Q171" s="743"/>
      <c r="R171" s="743"/>
      <c r="S171" s="743"/>
      <c r="T171" s="743"/>
      <c r="U171" s="743"/>
      <c r="V171" s="743"/>
      <c r="W171" s="743"/>
      <c r="X171" s="743"/>
      <c r="Y171" s="743"/>
      <c r="Z171" s="743"/>
      <c r="AA171" s="743"/>
      <c r="AB171" s="743"/>
      <c r="AC171" s="781" t="str">
        <f t="shared" ca="1" si="25"/>
        <v/>
      </c>
      <c r="AD171" s="781"/>
      <c r="AE171" s="781"/>
      <c r="AF171" s="781"/>
      <c r="AG171" s="781"/>
      <c r="AH171" s="781"/>
      <c r="AI171" s="781"/>
      <c r="AJ171" s="742" t="str">
        <f t="shared" ca="1" si="26"/>
        <v/>
      </c>
      <c r="AK171" s="742"/>
      <c r="AL171" s="781" t="str">
        <f t="shared" ca="1" si="27"/>
        <v/>
      </c>
      <c r="AM171" s="781"/>
      <c r="AN171" s="781"/>
      <c r="AO171" s="781"/>
      <c r="AP171" s="781"/>
      <c r="AQ171" s="781"/>
      <c r="AR171" s="781"/>
      <c r="AS171" s="741" t="str">
        <f t="shared" ca="1" si="28"/>
        <v/>
      </c>
      <c r="AT171" s="741"/>
      <c r="AU171" s="741"/>
      <c r="AV171" s="741"/>
      <c r="AW171" s="741"/>
      <c r="AX171" s="741"/>
      <c r="AY171" s="741"/>
    </row>
    <row r="172" spans="1:52" s="403" customFormat="1" ht="36.75" customHeight="1">
      <c r="B172" s="742">
        <f t="shared" si="29"/>
        <v>92</v>
      </c>
      <c r="C172" s="742"/>
      <c r="D172" s="743" t="str">
        <f t="shared" ca="1" si="24"/>
        <v/>
      </c>
      <c r="E172" s="743"/>
      <c r="F172" s="743"/>
      <c r="G172" s="743"/>
      <c r="H172" s="743"/>
      <c r="I172" s="743"/>
      <c r="J172" s="743"/>
      <c r="K172" s="743"/>
      <c r="L172" s="743"/>
      <c r="M172" s="743"/>
      <c r="N172" s="743"/>
      <c r="O172" s="743"/>
      <c r="P172" s="743"/>
      <c r="Q172" s="743"/>
      <c r="R172" s="743"/>
      <c r="S172" s="743"/>
      <c r="T172" s="743"/>
      <c r="U172" s="743"/>
      <c r="V172" s="743"/>
      <c r="W172" s="743"/>
      <c r="X172" s="743"/>
      <c r="Y172" s="743"/>
      <c r="Z172" s="743"/>
      <c r="AA172" s="743"/>
      <c r="AB172" s="743"/>
      <c r="AC172" s="781" t="str">
        <f t="shared" ca="1" si="25"/>
        <v/>
      </c>
      <c r="AD172" s="781"/>
      <c r="AE172" s="781"/>
      <c r="AF172" s="781"/>
      <c r="AG172" s="781"/>
      <c r="AH172" s="781"/>
      <c r="AI172" s="781"/>
      <c r="AJ172" s="742" t="str">
        <f t="shared" ca="1" si="26"/>
        <v/>
      </c>
      <c r="AK172" s="742"/>
      <c r="AL172" s="781" t="str">
        <f t="shared" ca="1" si="27"/>
        <v/>
      </c>
      <c r="AM172" s="781"/>
      <c r="AN172" s="781"/>
      <c r="AO172" s="781"/>
      <c r="AP172" s="781"/>
      <c r="AQ172" s="781"/>
      <c r="AR172" s="781"/>
      <c r="AS172" s="741" t="str">
        <f t="shared" ca="1" si="28"/>
        <v/>
      </c>
      <c r="AT172" s="741"/>
      <c r="AU172" s="741"/>
      <c r="AV172" s="741"/>
      <c r="AW172" s="741"/>
      <c r="AX172" s="741"/>
      <c r="AY172" s="741"/>
    </row>
    <row r="173" spans="1:52" s="403" customFormat="1" ht="36.75" customHeight="1">
      <c r="B173" s="742">
        <f t="shared" si="29"/>
        <v>93</v>
      </c>
      <c r="C173" s="742"/>
      <c r="D173" s="743" t="str">
        <f t="shared" ca="1" si="24"/>
        <v/>
      </c>
      <c r="E173" s="743"/>
      <c r="F173" s="743"/>
      <c r="G173" s="743"/>
      <c r="H173" s="743"/>
      <c r="I173" s="743"/>
      <c r="J173" s="743"/>
      <c r="K173" s="743"/>
      <c r="L173" s="743"/>
      <c r="M173" s="743"/>
      <c r="N173" s="743"/>
      <c r="O173" s="743"/>
      <c r="P173" s="743"/>
      <c r="Q173" s="743"/>
      <c r="R173" s="743"/>
      <c r="S173" s="743"/>
      <c r="T173" s="743"/>
      <c r="U173" s="743"/>
      <c r="V173" s="743"/>
      <c r="W173" s="743"/>
      <c r="X173" s="743"/>
      <c r="Y173" s="743"/>
      <c r="Z173" s="743"/>
      <c r="AA173" s="743"/>
      <c r="AB173" s="743"/>
      <c r="AC173" s="781" t="str">
        <f t="shared" ca="1" si="25"/>
        <v/>
      </c>
      <c r="AD173" s="781"/>
      <c r="AE173" s="781"/>
      <c r="AF173" s="781"/>
      <c r="AG173" s="781"/>
      <c r="AH173" s="781"/>
      <c r="AI173" s="781"/>
      <c r="AJ173" s="742" t="str">
        <f t="shared" ca="1" si="26"/>
        <v/>
      </c>
      <c r="AK173" s="742"/>
      <c r="AL173" s="781" t="str">
        <f t="shared" ca="1" si="27"/>
        <v/>
      </c>
      <c r="AM173" s="781"/>
      <c r="AN173" s="781"/>
      <c r="AO173" s="781"/>
      <c r="AP173" s="781"/>
      <c r="AQ173" s="781"/>
      <c r="AR173" s="781"/>
      <c r="AS173" s="741" t="str">
        <f t="shared" ca="1" si="28"/>
        <v/>
      </c>
      <c r="AT173" s="741"/>
      <c r="AU173" s="741"/>
      <c r="AV173" s="741"/>
      <c r="AW173" s="741"/>
      <c r="AX173" s="741"/>
      <c r="AY173" s="741"/>
    </row>
    <row r="174" spans="1:52" s="403" customFormat="1" ht="36.75" customHeight="1">
      <c r="B174" s="742">
        <f t="shared" si="29"/>
        <v>94</v>
      </c>
      <c r="C174" s="742"/>
      <c r="D174" s="743" t="str">
        <f t="shared" ca="1" si="24"/>
        <v/>
      </c>
      <c r="E174" s="743"/>
      <c r="F174" s="743"/>
      <c r="G174" s="743"/>
      <c r="H174" s="743"/>
      <c r="I174" s="743"/>
      <c r="J174" s="743"/>
      <c r="K174" s="743"/>
      <c r="L174" s="743"/>
      <c r="M174" s="743"/>
      <c r="N174" s="743"/>
      <c r="O174" s="743"/>
      <c r="P174" s="743"/>
      <c r="Q174" s="743"/>
      <c r="R174" s="743"/>
      <c r="S174" s="743"/>
      <c r="T174" s="743"/>
      <c r="U174" s="743"/>
      <c r="V174" s="743"/>
      <c r="W174" s="743"/>
      <c r="X174" s="743"/>
      <c r="Y174" s="743"/>
      <c r="Z174" s="743"/>
      <c r="AA174" s="743"/>
      <c r="AB174" s="743"/>
      <c r="AC174" s="781" t="str">
        <f t="shared" ca="1" si="25"/>
        <v/>
      </c>
      <c r="AD174" s="781"/>
      <c r="AE174" s="781"/>
      <c r="AF174" s="781"/>
      <c r="AG174" s="781"/>
      <c r="AH174" s="781"/>
      <c r="AI174" s="781"/>
      <c r="AJ174" s="742" t="str">
        <f t="shared" ca="1" si="26"/>
        <v/>
      </c>
      <c r="AK174" s="742"/>
      <c r="AL174" s="781" t="str">
        <f t="shared" ca="1" si="27"/>
        <v/>
      </c>
      <c r="AM174" s="781"/>
      <c r="AN174" s="781"/>
      <c r="AO174" s="781"/>
      <c r="AP174" s="781"/>
      <c r="AQ174" s="781"/>
      <c r="AR174" s="781"/>
      <c r="AS174" s="741" t="str">
        <f t="shared" ca="1" si="28"/>
        <v/>
      </c>
      <c r="AT174" s="741"/>
      <c r="AU174" s="741"/>
      <c r="AV174" s="741"/>
      <c r="AW174" s="741"/>
      <c r="AX174" s="741"/>
      <c r="AY174" s="741"/>
    </row>
    <row r="175" spans="1:52" s="403" customFormat="1" ht="36.75" customHeight="1">
      <c r="B175" s="742">
        <f t="shared" si="29"/>
        <v>95</v>
      </c>
      <c r="C175" s="742"/>
      <c r="D175" s="743" t="str">
        <f t="shared" ca="1" si="24"/>
        <v/>
      </c>
      <c r="E175" s="743"/>
      <c r="F175" s="743"/>
      <c r="G175" s="743"/>
      <c r="H175" s="743"/>
      <c r="I175" s="743"/>
      <c r="J175" s="743"/>
      <c r="K175" s="743"/>
      <c r="L175" s="743"/>
      <c r="M175" s="743"/>
      <c r="N175" s="743"/>
      <c r="O175" s="743"/>
      <c r="P175" s="743"/>
      <c r="Q175" s="743"/>
      <c r="R175" s="743"/>
      <c r="S175" s="743"/>
      <c r="T175" s="743"/>
      <c r="U175" s="743"/>
      <c r="V175" s="743"/>
      <c r="W175" s="743"/>
      <c r="X175" s="743"/>
      <c r="Y175" s="743"/>
      <c r="Z175" s="743"/>
      <c r="AA175" s="743"/>
      <c r="AB175" s="743"/>
      <c r="AC175" s="781" t="str">
        <f t="shared" ca="1" si="25"/>
        <v/>
      </c>
      <c r="AD175" s="781"/>
      <c r="AE175" s="781"/>
      <c r="AF175" s="781"/>
      <c r="AG175" s="781"/>
      <c r="AH175" s="781"/>
      <c r="AI175" s="781"/>
      <c r="AJ175" s="742" t="str">
        <f t="shared" ca="1" si="26"/>
        <v/>
      </c>
      <c r="AK175" s="742"/>
      <c r="AL175" s="781" t="str">
        <f t="shared" ca="1" si="27"/>
        <v/>
      </c>
      <c r="AM175" s="781"/>
      <c r="AN175" s="781"/>
      <c r="AO175" s="781"/>
      <c r="AP175" s="781"/>
      <c r="AQ175" s="781"/>
      <c r="AR175" s="781"/>
      <c r="AS175" s="741" t="str">
        <f t="shared" ca="1" si="28"/>
        <v/>
      </c>
      <c r="AT175" s="741"/>
      <c r="AU175" s="741"/>
      <c r="AV175" s="741"/>
      <c r="AW175" s="741"/>
      <c r="AX175" s="741"/>
      <c r="AY175" s="741"/>
    </row>
    <row r="176" spans="1:52" s="403" customFormat="1" ht="36.75" customHeight="1">
      <c r="B176" s="742">
        <f t="shared" si="29"/>
        <v>96</v>
      </c>
      <c r="C176" s="742"/>
      <c r="D176" s="743" t="str">
        <f t="shared" ca="1" si="24"/>
        <v/>
      </c>
      <c r="E176" s="743"/>
      <c r="F176" s="743"/>
      <c r="G176" s="743"/>
      <c r="H176" s="743"/>
      <c r="I176" s="743"/>
      <c r="J176" s="743"/>
      <c r="K176" s="743"/>
      <c r="L176" s="743"/>
      <c r="M176" s="743"/>
      <c r="N176" s="743"/>
      <c r="O176" s="743"/>
      <c r="P176" s="743"/>
      <c r="Q176" s="743"/>
      <c r="R176" s="743"/>
      <c r="S176" s="743"/>
      <c r="T176" s="743"/>
      <c r="U176" s="743"/>
      <c r="V176" s="743"/>
      <c r="W176" s="743"/>
      <c r="X176" s="743"/>
      <c r="Y176" s="743"/>
      <c r="Z176" s="743"/>
      <c r="AA176" s="743"/>
      <c r="AB176" s="743"/>
      <c r="AC176" s="781" t="str">
        <f t="shared" ca="1" si="25"/>
        <v/>
      </c>
      <c r="AD176" s="781"/>
      <c r="AE176" s="781"/>
      <c r="AF176" s="781"/>
      <c r="AG176" s="781"/>
      <c r="AH176" s="781"/>
      <c r="AI176" s="781"/>
      <c r="AJ176" s="742" t="str">
        <f t="shared" ca="1" si="26"/>
        <v/>
      </c>
      <c r="AK176" s="742"/>
      <c r="AL176" s="781" t="str">
        <f t="shared" ca="1" si="27"/>
        <v/>
      </c>
      <c r="AM176" s="781"/>
      <c r="AN176" s="781"/>
      <c r="AO176" s="781"/>
      <c r="AP176" s="781"/>
      <c r="AQ176" s="781"/>
      <c r="AR176" s="781"/>
      <c r="AS176" s="741" t="str">
        <f t="shared" ca="1" si="28"/>
        <v/>
      </c>
      <c r="AT176" s="741"/>
      <c r="AU176" s="741"/>
      <c r="AV176" s="741"/>
      <c r="AW176" s="741"/>
      <c r="AX176" s="741"/>
      <c r="AY176" s="741"/>
    </row>
    <row r="177" spans="1:52" s="403" customFormat="1" ht="36.75" customHeight="1">
      <c r="B177" s="742">
        <f t="shared" si="29"/>
        <v>97</v>
      </c>
      <c r="C177" s="742"/>
      <c r="D177" s="743" t="str">
        <f t="shared" ca="1" si="24"/>
        <v/>
      </c>
      <c r="E177" s="743"/>
      <c r="F177" s="743"/>
      <c r="G177" s="743"/>
      <c r="H177" s="743"/>
      <c r="I177" s="743"/>
      <c r="J177" s="743"/>
      <c r="K177" s="743"/>
      <c r="L177" s="743"/>
      <c r="M177" s="743"/>
      <c r="N177" s="743"/>
      <c r="O177" s="743"/>
      <c r="P177" s="743"/>
      <c r="Q177" s="743"/>
      <c r="R177" s="743"/>
      <c r="S177" s="743"/>
      <c r="T177" s="743"/>
      <c r="U177" s="743"/>
      <c r="V177" s="743"/>
      <c r="W177" s="743"/>
      <c r="X177" s="743"/>
      <c r="Y177" s="743"/>
      <c r="Z177" s="743"/>
      <c r="AA177" s="743"/>
      <c r="AB177" s="743"/>
      <c r="AC177" s="781" t="str">
        <f t="shared" ca="1" si="25"/>
        <v/>
      </c>
      <c r="AD177" s="781"/>
      <c r="AE177" s="781"/>
      <c r="AF177" s="781"/>
      <c r="AG177" s="781"/>
      <c r="AH177" s="781"/>
      <c r="AI177" s="781"/>
      <c r="AJ177" s="742" t="str">
        <f t="shared" ca="1" si="26"/>
        <v/>
      </c>
      <c r="AK177" s="742"/>
      <c r="AL177" s="781" t="str">
        <f t="shared" ca="1" si="27"/>
        <v/>
      </c>
      <c r="AM177" s="781"/>
      <c r="AN177" s="781"/>
      <c r="AO177" s="781"/>
      <c r="AP177" s="781"/>
      <c r="AQ177" s="781"/>
      <c r="AR177" s="781"/>
      <c r="AS177" s="741" t="str">
        <f t="shared" ca="1" si="28"/>
        <v/>
      </c>
      <c r="AT177" s="741"/>
      <c r="AU177" s="741"/>
      <c r="AV177" s="741"/>
      <c r="AW177" s="741"/>
      <c r="AX177" s="741"/>
      <c r="AY177" s="741"/>
    </row>
    <row r="178" spans="1:52" s="403" customFormat="1" ht="36.75" customHeight="1">
      <c r="B178" s="742">
        <f t="shared" si="29"/>
        <v>98</v>
      </c>
      <c r="C178" s="742"/>
      <c r="D178" s="743" t="str">
        <f t="shared" ca="1" si="24"/>
        <v/>
      </c>
      <c r="E178" s="743"/>
      <c r="F178" s="743"/>
      <c r="G178" s="743"/>
      <c r="H178" s="743"/>
      <c r="I178" s="743"/>
      <c r="J178" s="743"/>
      <c r="K178" s="743"/>
      <c r="L178" s="743"/>
      <c r="M178" s="743"/>
      <c r="N178" s="743"/>
      <c r="O178" s="743"/>
      <c r="P178" s="743"/>
      <c r="Q178" s="743"/>
      <c r="R178" s="743"/>
      <c r="S178" s="743"/>
      <c r="T178" s="743"/>
      <c r="U178" s="743"/>
      <c r="V178" s="743"/>
      <c r="W178" s="743"/>
      <c r="X178" s="743"/>
      <c r="Y178" s="743"/>
      <c r="Z178" s="743"/>
      <c r="AA178" s="743"/>
      <c r="AB178" s="743"/>
      <c r="AC178" s="781" t="str">
        <f t="shared" ca="1" si="25"/>
        <v/>
      </c>
      <c r="AD178" s="781"/>
      <c r="AE178" s="781"/>
      <c r="AF178" s="781"/>
      <c r="AG178" s="781"/>
      <c r="AH178" s="781"/>
      <c r="AI178" s="781"/>
      <c r="AJ178" s="742" t="str">
        <f t="shared" ca="1" si="26"/>
        <v/>
      </c>
      <c r="AK178" s="742"/>
      <c r="AL178" s="781" t="str">
        <f t="shared" ca="1" si="27"/>
        <v/>
      </c>
      <c r="AM178" s="781"/>
      <c r="AN178" s="781"/>
      <c r="AO178" s="781"/>
      <c r="AP178" s="781"/>
      <c r="AQ178" s="781"/>
      <c r="AR178" s="781"/>
      <c r="AS178" s="741" t="str">
        <f t="shared" ca="1" si="28"/>
        <v/>
      </c>
      <c r="AT178" s="741"/>
      <c r="AU178" s="741"/>
      <c r="AV178" s="741"/>
      <c r="AW178" s="741"/>
      <c r="AX178" s="741"/>
      <c r="AY178" s="741"/>
    </row>
    <row r="179" spans="1:52" s="403" customFormat="1" ht="36.75" customHeight="1">
      <c r="A179" s="403" t="s">
        <v>1529</v>
      </c>
      <c r="B179" s="742">
        <f t="shared" si="29"/>
        <v>99</v>
      </c>
      <c r="C179" s="742"/>
      <c r="D179" s="743" t="str">
        <f t="shared" ca="1" si="24"/>
        <v/>
      </c>
      <c r="E179" s="743"/>
      <c r="F179" s="743"/>
      <c r="G179" s="743"/>
      <c r="H179" s="743"/>
      <c r="I179" s="743"/>
      <c r="J179" s="743"/>
      <c r="K179" s="743"/>
      <c r="L179" s="743"/>
      <c r="M179" s="743"/>
      <c r="N179" s="743"/>
      <c r="O179" s="743"/>
      <c r="P179" s="743"/>
      <c r="Q179" s="743"/>
      <c r="R179" s="743"/>
      <c r="S179" s="743"/>
      <c r="T179" s="743"/>
      <c r="U179" s="743"/>
      <c r="V179" s="743"/>
      <c r="W179" s="743"/>
      <c r="X179" s="743"/>
      <c r="Y179" s="743"/>
      <c r="Z179" s="743"/>
      <c r="AA179" s="743"/>
      <c r="AB179" s="743"/>
      <c r="AC179" s="781" t="str">
        <f t="shared" ca="1" si="25"/>
        <v/>
      </c>
      <c r="AD179" s="781"/>
      <c r="AE179" s="781"/>
      <c r="AF179" s="781"/>
      <c r="AG179" s="781"/>
      <c r="AH179" s="781"/>
      <c r="AI179" s="781"/>
      <c r="AJ179" s="742" t="str">
        <f t="shared" ca="1" si="26"/>
        <v/>
      </c>
      <c r="AK179" s="742"/>
      <c r="AL179" s="781" t="str">
        <f t="shared" ca="1" si="27"/>
        <v/>
      </c>
      <c r="AM179" s="781"/>
      <c r="AN179" s="781"/>
      <c r="AO179" s="781"/>
      <c r="AP179" s="781"/>
      <c r="AQ179" s="781"/>
      <c r="AR179" s="781"/>
      <c r="AS179" s="741" t="str">
        <f t="shared" ca="1" si="28"/>
        <v/>
      </c>
      <c r="AT179" s="741"/>
      <c r="AU179" s="741"/>
      <c r="AV179" s="741"/>
      <c r="AW179" s="741"/>
      <c r="AX179" s="741"/>
      <c r="AY179" s="741"/>
      <c r="AZ179" s="473" t="s">
        <v>1530</v>
      </c>
    </row>
    <row r="180" spans="1:52" s="403" customFormat="1" ht="36.75" customHeight="1">
      <c r="B180" s="742">
        <f t="shared" si="29"/>
        <v>100</v>
      </c>
      <c r="C180" s="742"/>
      <c r="D180" s="743" t="str">
        <f t="shared" ca="1" si="24"/>
        <v/>
      </c>
      <c r="E180" s="743"/>
      <c r="F180" s="743"/>
      <c r="G180" s="743"/>
      <c r="H180" s="743"/>
      <c r="I180" s="743"/>
      <c r="J180" s="743"/>
      <c r="K180" s="743"/>
      <c r="L180" s="743"/>
      <c r="M180" s="743"/>
      <c r="N180" s="743"/>
      <c r="O180" s="743"/>
      <c r="P180" s="743"/>
      <c r="Q180" s="743"/>
      <c r="R180" s="743"/>
      <c r="S180" s="743"/>
      <c r="T180" s="743"/>
      <c r="U180" s="743"/>
      <c r="V180" s="743"/>
      <c r="W180" s="743"/>
      <c r="X180" s="743"/>
      <c r="Y180" s="743"/>
      <c r="Z180" s="743"/>
      <c r="AA180" s="743"/>
      <c r="AB180" s="743"/>
      <c r="AC180" s="781" t="str">
        <f t="shared" ca="1" si="25"/>
        <v/>
      </c>
      <c r="AD180" s="781"/>
      <c r="AE180" s="781"/>
      <c r="AF180" s="781"/>
      <c r="AG180" s="781"/>
      <c r="AH180" s="781"/>
      <c r="AI180" s="781"/>
      <c r="AJ180" s="742" t="str">
        <f t="shared" ca="1" si="26"/>
        <v/>
      </c>
      <c r="AK180" s="742"/>
      <c r="AL180" s="781" t="str">
        <f t="shared" ca="1" si="27"/>
        <v/>
      </c>
      <c r="AM180" s="781"/>
      <c r="AN180" s="781"/>
      <c r="AO180" s="781"/>
      <c r="AP180" s="781"/>
      <c r="AQ180" s="781"/>
      <c r="AR180" s="781"/>
      <c r="AS180" s="741" t="str">
        <f t="shared" ca="1" si="28"/>
        <v/>
      </c>
      <c r="AT180" s="741"/>
      <c r="AU180" s="741"/>
      <c r="AV180" s="741"/>
      <c r="AW180" s="741"/>
      <c r="AX180" s="741"/>
      <c r="AY180" s="741"/>
    </row>
    <row r="181" spans="1:52" s="403" customFormat="1" ht="45" customHeight="1">
      <c r="B181" s="749" t="s">
        <v>1527</v>
      </c>
      <c r="C181" s="750"/>
      <c r="D181" s="750"/>
      <c r="E181" s="751" t="str">
        <f>IF(UNNH0030_REPORT_IF_H_EIGYO_MEI="","",UNNH0030_REPORT_IF_H_EIGYO_MEI)</f>
        <v/>
      </c>
      <c r="F181" s="751"/>
      <c r="G181" s="751"/>
      <c r="H181" s="751"/>
      <c r="I181" s="751"/>
      <c r="J181" s="751"/>
      <c r="K181" s="751"/>
      <c r="L181" s="751"/>
      <c r="M181" s="751"/>
      <c r="N181" s="751"/>
      <c r="O181" s="751"/>
      <c r="P181" s="751"/>
      <c r="Q181" s="751"/>
      <c r="R181" s="751"/>
      <c r="S181" s="751"/>
      <c r="T181" s="751"/>
      <c r="U181" s="751"/>
      <c r="V181" s="751"/>
      <c r="W181" s="751"/>
      <c r="X181" s="751"/>
      <c r="Y181" s="751"/>
      <c r="Z181" s="751"/>
      <c r="AA181" s="751"/>
      <c r="AB181" s="751"/>
      <c r="AC181" s="751"/>
      <c r="AD181" s="751"/>
      <c r="AE181" s="751"/>
      <c r="AF181" s="751"/>
      <c r="AG181" s="752"/>
      <c r="AH181" s="742" t="s">
        <v>1107</v>
      </c>
      <c r="AI181" s="742"/>
      <c r="AJ181" s="742"/>
      <c r="AK181" s="742"/>
      <c r="AL181" s="742"/>
      <c r="AM181" s="742"/>
      <c r="AN181" s="742"/>
      <c r="AO181" s="742"/>
      <c r="AP181" s="742"/>
      <c r="AQ181" s="782" t="str">
        <f>IF(ROUNDUP(ROW()/ROWS(UNNH0030_SEIKYUSHO_PAGE_AREA),0)=UNNH0030_REPORT_IF_B_PAGE_TOTAL,UNNH0030_REPORT_IF_H_TOTAL,"")</f>
        <v/>
      </c>
      <c r="AR181" s="783"/>
      <c r="AS181" s="783"/>
      <c r="AT181" s="783"/>
      <c r="AU181" s="783"/>
      <c r="AV181" s="783"/>
      <c r="AW181" s="783"/>
      <c r="AX181" s="783"/>
      <c r="AY181" s="784"/>
    </row>
    <row r="182" spans="1:52" s="403" customFormat="1" ht="33.75" customHeight="1">
      <c r="C182" s="404"/>
      <c r="D182" s="404"/>
      <c r="E182" s="404"/>
      <c r="F182" s="404"/>
      <c r="G182" s="404"/>
      <c r="H182" s="404"/>
      <c r="I182" s="404"/>
      <c r="J182" s="404"/>
      <c r="K182" s="404"/>
      <c r="L182" s="404"/>
      <c r="M182" s="404"/>
      <c r="N182" s="404"/>
      <c r="O182" s="404"/>
    </row>
    <row r="183" spans="1:52" s="403" customFormat="1" ht="38.25" customHeight="1">
      <c r="B183" s="756" t="s">
        <v>1528</v>
      </c>
      <c r="C183" s="757"/>
      <c r="D183" s="758"/>
      <c r="E183" s="738" t="str">
        <f>IF(UNNH0030_REPORT_IF_H_TEKIYO="","",UNNH0030_REPORT_IF_H_TEKIYO)</f>
        <v/>
      </c>
      <c r="F183" s="738"/>
      <c r="G183" s="738"/>
      <c r="H183" s="738"/>
      <c r="I183" s="738"/>
      <c r="J183" s="738"/>
      <c r="K183" s="738"/>
      <c r="L183" s="738"/>
      <c r="M183" s="738"/>
      <c r="N183" s="738"/>
      <c r="O183" s="738"/>
      <c r="P183" s="738"/>
      <c r="Q183" s="738"/>
      <c r="R183" s="738"/>
      <c r="S183" s="738"/>
      <c r="T183" s="738"/>
      <c r="U183" s="738"/>
      <c r="V183" s="738"/>
      <c r="W183" s="738"/>
      <c r="X183" s="738"/>
      <c r="Y183" s="738"/>
      <c r="Z183" s="738"/>
      <c r="AA183" s="738"/>
      <c r="AB183" s="738"/>
      <c r="AC183" s="738"/>
      <c r="AD183" s="738"/>
      <c r="AE183" s="738"/>
      <c r="AF183" s="738"/>
      <c r="AG183" s="738"/>
      <c r="AH183" s="738"/>
      <c r="AI183" s="738"/>
      <c r="AJ183" s="738"/>
      <c r="AK183" s="738"/>
      <c r="AL183" s="738"/>
      <c r="AM183" s="738"/>
      <c r="AN183" s="738"/>
      <c r="AO183" s="738"/>
      <c r="AP183" s="738"/>
      <c r="AQ183" s="738"/>
      <c r="AR183" s="738"/>
      <c r="AS183" s="738"/>
      <c r="AU183" s="739" t="str">
        <f>IF(UNNH0030_REPORT_IF_H_SEIKYUHOHO_KBN=0,"","締日 "&amp;UNNH0030_REPORT_IF_H_SHIMEBI)</f>
        <v/>
      </c>
      <c r="AV183" s="739"/>
      <c r="AW183" s="739"/>
      <c r="AX183" s="739"/>
      <c r="AY183" s="740" t="str">
        <f>UNNH0030_REPORT_IF_H_SHIMEBI_MARK</f>
        <v>*</v>
      </c>
    </row>
    <row r="184" spans="1:52" s="403" customFormat="1" ht="38.25" customHeight="1">
      <c r="B184" s="759"/>
      <c r="C184" s="760"/>
      <c r="D184" s="761"/>
      <c r="E184" s="738"/>
      <c r="F184" s="738"/>
      <c r="G184" s="738"/>
      <c r="H184" s="738"/>
      <c r="I184" s="738"/>
      <c r="J184" s="738"/>
      <c r="K184" s="738"/>
      <c r="L184" s="738"/>
      <c r="M184" s="738"/>
      <c r="N184" s="738"/>
      <c r="O184" s="738"/>
      <c r="P184" s="738"/>
      <c r="Q184" s="738"/>
      <c r="R184" s="738"/>
      <c r="S184" s="738"/>
      <c r="T184" s="738"/>
      <c r="U184" s="738"/>
      <c r="V184" s="738"/>
      <c r="W184" s="738"/>
      <c r="X184" s="738"/>
      <c r="Y184" s="738"/>
      <c r="Z184" s="738"/>
      <c r="AA184" s="738"/>
      <c r="AB184" s="738"/>
      <c r="AC184" s="738"/>
      <c r="AD184" s="738"/>
      <c r="AE184" s="738"/>
      <c r="AF184" s="738"/>
      <c r="AG184" s="738"/>
      <c r="AH184" s="738"/>
      <c r="AI184" s="738"/>
      <c r="AJ184" s="738"/>
      <c r="AK184" s="738"/>
      <c r="AL184" s="738"/>
      <c r="AM184" s="738"/>
      <c r="AN184" s="738"/>
      <c r="AO184" s="738"/>
      <c r="AP184" s="738"/>
      <c r="AQ184" s="738"/>
      <c r="AR184" s="738"/>
      <c r="AS184" s="738"/>
      <c r="AU184" s="739"/>
      <c r="AV184" s="739"/>
      <c r="AW184" s="739"/>
      <c r="AX184" s="739"/>
      <c r="AY184" s="740"/>
    </row>
    <row r="185" spans="1:52" s="403" customFormat="1" ht="30" customHeight="1">
      <c r="B185" s="777" t="str">
        <f>IF(UNNH0030_REPORT_IF_JURI_NO="","",UNNH0030_REPORT_IF_JURI_NO)</f>
        <v/>
      </c>
      <c r="C185" s="777"/>
      <c r="D185" s="777"/>
      <c r="E185" s="777"/>
      <c r="F185" s="777"/>
      <c r="G185" s="777"/>
      <c r="H185" s="777"/>
      <c r="I185" s="777"/>
      <c r="J185" s="777"/>
      <c r="K185" s="777"/>
      <c r="L185" s="777"/>
      <c r="M185" s="777"/>
      <c r="N185" s="777"/>
      <c r="O185" s="777"/>
      <c r="P185" s="777"/>
      <c r="Q185" s="777"/>
      <c r="R185" s="777"/>
      <c r="S185" s="777"/>
      <c r="T185" s="777"/>
      <c r="U185" s="777"/>
      <c r="V185" s="777"/>
      <c r="W185" s="777"/>
      <c r="X185" s="777"/>
      <c r="Y185" s="777"/>
      <c r="Z185" s="777"/>
      <c r="AA185" s="777"/>
      <c r="AB185" s="777"/>
      <c r="AC185" s="777"/>
      <c r="AD185" s="777"/>
      <c r="AE185" s="777"/>
      <c r="AF185" s="777"/>
      <c r="AG185" s="777"/>
      <c r="AH185" s="777"/>
      <c r="AI185" s="777"/>
      <c r="AJ185" s="777"/>
      <c r="AK185" s="777"/>
      <c r="AL185" s="777"/>
      <c r="AM185" s="777"/>
      <c r="AN185" s="777"/>
      <c r="AO185" s="777"/>
      <c r="AP185" s="777"/>
      <c r="AQ185" s="777"/>
      <c r="AR185" s="777"/>
      <c r="AS185" s="777"/>
      <c r="AT185" s="777"/>
      <c r="AU185" s="777"/>
      <c r="AV185" s="777"/>
      <c r="AW185" s="777"/>
      <c r="AX185" s="777"/>
      <c r="AY185" s="777"/>
    </row>
  </sheetData>
  <mergeCells count="725">
    <mergeCell ref="B185:AY185"/>
    <mergeCell ref="B181:D181"/>
    <mergeCell ref="E181:AG181"/>
    <mergeCell ref="AH181:AP181"/>
    <mergeCell ref="AQ181:AY181"/>
    <mergeCell ref="B183:D184"/>
    <mergeCell ref="B179:C179"/>
    <mergeCell ref="D179:AB179"/>
    <mergeCell ref="AC179:AI179"/>
    <mergeCell ref="AJ179:AK179"/>
    <mergeCell ref="AL179:AR179"/>
    <mergeCell ref="AS179:AY179"/>
    <mergeCell ref="B180:C180"/>
    <mergeCell ref="D180:AB180"/>
    <mergeCell ref="AC180:AI180"/>
    <mergeCell ref="AJ180:AK180"/>
    <mergeCell ref="AL180:AR180"/>
    <mergeCell ref="AS180:AY180"/>
    <mergeCell ref="B177:C177"/>
    <mergeCell ref="D177:AB177"/>
    <mergeCell ref="AC177:AI177"/>
    <mergeCell ref="AJ177:AK177"/>
    <mergeCell ref="AL177:AR177"/>
    <mergeCell ref="AS177:AY177"/>
    <mergeCell ref="B178:C178"/>
    <mergeCell ref="D178:AB178"/>
    <mergeCell ref="AC178:AI178"/>
    <mergeCell ref="AJ178:AK178"/>
    <mergeCell ref="AL178:AR178"/>
    <mergeCell ref="AS178:AY178"/>
    <mergeCell ref="B175:C175"/>
    <mergeCell ref="D175:AB175"/>
    <mergeCell ref="AC175:AI175"/>
    <mergeCell ref="AJ175:AK175"/>
    <mergeCell ref="AL175:AR175"/>
    <mergeCell ref="AS175:AY175"/>
    <mergeCell ref="B176:C176"/>
    <mergeCell ref="D176:AB176"/>
    <mergeCell ref="AC176:AI176"/>
    <mergeCell ref="AJ176:AK176"/>
    <mergeCell ref="AL176:AR176"/>
    <mergeCell ref="AS176:AY176"/>
    <mergeCell ref="B173:C173"/>
    <mergeCell ref="D173:AB173"/>
    <mergeCell ref="AC173:AI173"/>
    <mergeCell ref="AJ173:AK173"/>
    <mergeCell ref="AL173:AR173"/>
    <mergeCell ref="AS173:AY173"/>
    <mergeCell ref="B174:C174"/>
    <mergeCell ref="D174:AB174"/>
    <mergeCell ref="AC174:AI174"/>
    <mergeCell ref="AJ174:AK174"/>
    <mergeCell ref="AL174:AR174"/>
    <mergeCell ref="AS174:AY174"/>
    <mergeCell ref="B171:C171"/>
    <mergeCell ref="D171:AB171"/>
    <mergeCell ref="AC171:AI171"/>
    <mergeCell ref="AJ171:AK171"/>
    <mergeCell ref="AL171:AR171"/>
    <mergeCell ref="AS171:AY171"/>
    <mergeCell ref="B172:C172"/>
    <mergeCell ref="D172:AB172"/>
    <mergeCell ref="AC172:AI172"/>
    <mergeCell ref="AJ172:AK172"/>
    <mergeCell ref="AL172:AR172"/>
    <mergeCell ref="AS172:AY172"/>
    <mergeCell ref="B169:C169"/>
    <mergeCell ref="D169:AB169"/>
    <mergeCell ref="AC169:AI169"/>
    <mergeCell ref="AJ169:AK169"/>
    <mergeCell ref="AL169:AR169"/>
    <mergeCell ref="AS169:AY169"/>
    <mergeCell ref="B170:C170"/>
    <mergeCell ref="D170:AB170"/>
    <mergeCell ref="AC170:AI170"/>
    <mergeCell ref="AJ170:AK170"/>
    <mergeCell ref="AL170:AR170"/>
    <mergeCell ref="AS170:AY170"/>
    <mergeCell ref="B167:C167"/>
    <mergeCell ref="D167:AB167"/>
    <mergeCell ref="AC167:AI167"/>
    <mergeCell ref="AJ167:AK167"/>
    <mergeCell ref="AL167:AR167"/>
    <mergeCell ref="AS167:AY167"/>
    <mergeCell ref="B168:C168"/>
    <mergeCell ref="D168:AB168"/>
    <mergeCell ref="AC168:AI168"/>
    <mergeCell ref="AJ168:AK168"/>
    <mergeCell ref="AL168:AR168"/>
    <mergeCell ref="AS168:AY168"/>
    <mergeCell ref="B165:C165"/>
    <mergeCell ref="D165:AB165"/>
    <mergeCell ref="AC165:AI165"/>
    <mergeCell ref="AJ165:AK165"/>
    <mergeCell ref="AL165:AR165"/>
    <mergeCell ref="AS165:AY165"/>
    <mergeCell ref="B166:C166"/>
    <mergeCell ref="D166:AB166"/>
    <mergeCell ref="AC166:AI166"/>
    <mergeCell ref="AJ166:AK166"/>
    <mergeCell ref="AL166:AR166"/>
    <mergeCell ref="AS166:AY166"/>
    <mergeCell ref="B164:C164"/>
    <mergeCell ref="D164:AB164"/>
    <mergeCell ref="AC164:AI164"/>
    <mergeCell ref="AJ164:AK164"/>
    <mergeCell ref="D163:AB163"/>
    <mergeCell ref="AC163:AI163"/>
    <mergeCell ref="AJ163:AK163"/>
    <mergeCell ref="AL164:AR164"/>
    <mergeCell ref="AS164:AY164"/>
    <mergeCell ref="AL163:AR163"/>
    <mergeCell ref="AS163:AY163"/>
    <mergeCell ref="B163:C163"/>
    <mergeCell ref="B146:D147"/>
    <mergeCell ref="AS141:AY141"/>
    <mergeCell ref="D138:AB138"/>
    <mergeCell ref="AC138:AI138"/>
    <mergeCell ref="AJ138:AK138"/>
    <mergeCell ref="AL138:AR138"/>
    <mergeCell ref="AS138:AY138"/>
    <mergeCell ref="D139:AB139"/>
    <mergeCell ref="AC139:AI139"/>
    <mergeCell ref="AJ139:AK139"/>
    <mergeCell ref="D143:AB143"/>
    <mergeCell ref="AC143:AI143"/>
    <mergeCell ref="B137:C137"/>
    <mergeCell ref="D137:AB137"/>
    <mergeCell ref="AC137:AI137"/>
    <mergeCell ref="AJ137:AK137"/>
    <mergeCell ref="AL137:AR137"/>
    <mergeCell ref="AS137:AY137"/>
    <mergeCell ref="B138:C138"/>
    <mergeCell ref="B144:D144"/>
    <mergeCell ref="E144:AG144"/>
    <mergeCell ref="AH144:AP144"/>
    <mergeCell ref="AQ144:AY144"/>
    <mergeCell ref="AS143:AY143"/>
    <mergeCell ref="AS139:AY139"/>
    <mergeCell ref="AS140:AY140"/>
    <mergeCell ref="B135:C135"/>
    <mergeCell ref="D135:AB135"/>
    <mergeCell ref="AC135:AI135"/>
    <mergeCell ref="AJ135:AK135"/>
    <mergeCell ref="AL135:AR135"/>
    <mergeCell ref="AS135:AY135"/>
    <mergeCell ref="B136:C136"/>
    <mergeCell ref="D136:AB136"/>
    <mergeCell ref="AC136:AI136"/>
    <mergeCell ref="AJ136:AK136"/>
    <mergeCell ref="AL136:AR136"/>
    <mergeCell ref="AS136:AY136"/>
    <mergeCell ref="B133:C133"/>
    <mergeCell ref="D133:AB133"/>
    <mergeCell ref="AC133:AI133"/>
    <mergeCell ref="AJ133:AK133"/>
    <mergeCell ref="AL133:AR133"/>
    <mergeCell ref="AS133:AY133"/>
    <mergeCell ref="B134:C134"/>
    <mergeCell ref="D134:AB134"/>
    <mergeCell ref="AC134:AI134"/>
    <mergeCell ref="AJ134:AK134"/>
    <mergeCell ref="AL134:AR134"/>
    <mergeCell ref="AS134:AY134"/>
    <mergeCell ref="B131:C131"/>
    <mergeCell ref="D131:AB131"/>
    <mergeCell ref="AC131:AI131"/>
    <mergeCell ref="AJ131:AK131"/>
    <mergeCell ref="AL131:AR131"/>
    <mergeCell ref="AS131:AY131"/>
    <mergeCell ref="B132:C132"/>
    <mergeCell ref="D132:AB132"/>
    <mergeCell ref="AC132:AI132"/>
    <mergeCell ref="AJ132:AK132"/>
    <mergeCell ref="AL132:AR132"/>
    <mergeCell ref="AS132:AY132"/>
    <mergeCell ref="AC129:AI129"/>
    <mergeCell ref="AJ129:AK129"/>
    <mergeCell ref="AL129:AR129"/>
    <mergeCell ref="AS129:AY129"/>
    <mergeCell ref="B130:C130"/>
    <mergeCell ref="D130:AB130"/>
    <mergeCell ref="AC130:AI130"/>
    <mergeCell ref="AJ130:AK130"/>
    <mergeCell ref="AL130:AR130"/>
    <mergeCell ref="AS130:AY130"/>
    <mergeCell ref="B98:C98"/>
    <mergeCell ref="D98:AB98"/>
    <mergeCell ref="AC98:AI98"/>
    <mergeCell ref="AJ98:AK98"/>
    <mergeCell ref="AL98:AR98"/>
    <mergeCell ref="AS98:AY98"/>
    <mergeCell ref="B99:C99"/>
    <mergeCell ref="D99:AB99"/>
    <mergeCell ref="B126:C126"/>
    <mergeCell ref="D126:AB126"/>
    <mergeCell ref="AC126:AI126"/>
    <mergeCell ref="AJ126:AK126"/>
    <mergeCell ref="AL126:AR126"/>
    <mergeCell ref="AS126:AY126"/>
    <mergeCell ref="B107:D107"/>
    <mergeCell ref="E107:AG107"/>
    <mergeCell ref="AH107:AP107"/>
    <mergeCell ref="AQ107:AY107"/>
    <mergeCell ref="B101:C101"/>
    <mergeCell ref="D101:AB101"/>
    <mergeCell ref="B103:C103"/>
    <mergeCell ref="D103:AB103"/>
    <mergeCell ref="B105:C105"/>
    <mergeCell ref="D105:AB105"/>
    <mergeCell ref="B94:C94"/>
    <mergeCell ref="D94:AB94"/>
    <mergeCell ref="AC94:AI94"/>
    <mergeCell ref="AJ94:AK94"/>
    <mergeCell ref="AL94:AR94"/>
    <mergeCell ref="AS94:AY94"/>
    <mergeCell ref="B95:C95"/>
    <mergeCell ref="D95:AB95"/>
    <mergeCell ref="AC95:AI95"/>
    <mergeCell ref="AJ95:AK95"/>
    <mergeCell ref="AL95:AR95"/>
    <mergeCell ref="AS95:AY95"/>
    <mergeCell ref="B92:C92"/>
    <mergeCell ref="D92:AB92"/>
    <mergeCell ref="AC92:AI92"/>
    <mergeCell ref="AJ92:AK92"/>
    <mergeCell ref="AL92:AR92"/>
    <mergeCell ref="AS92:AY92"/>
    <mergeCell ref="B93:C93"/>
    <mergeCell ref="D93:AB93"/>
    <mergeCell ref="AC93:AI93"/>
    <mergeCell ref="AJ93:AK93"/>
    <mergeCell ref="AL93:AR93"/>
    <mergeCell ref="AS93:AY93"/>
    <mergeCell ref="B90:C90"/>
    <mergeCell ref="D90:AB90"/>
    <mergeCell ref="AC90:AI90"/>
    <mergeCell ref="AJ90:AK90"/>
    <mergeCell ref="AL90:AR90"/>
    <mergeCell ref="AS90:AY90"/>
    <mergeCell ref="B91:C91"/>
    <mergeCell ref="D91:AB91"/>
    <mergeCell ref="AC91:AI91"/>
    <mergeCell ref="AJ91:AK91"/>
    <mergeCell ref="AL91:AR91"/>
    <mergeCell ref="AS91:AY91"/>
    <mergeCell ref="B88:C88"/>
    <mergeCell ref="D88:AB88"/>
    <mergeCell ref="AC88:AI88"/>
    <mergeCell ref="AJ88:AK88"/>
    <mergeCell ref="AL88:AR88"/>
    <mergeCell ref="AS88:AY88"/>
    <mergeCell ref="B89:C89"/>
    <mergeCell ref="D89:AB89"/>
    <mergeCell ref="AC89:AI89"/>
    <mergeCell ref="AJ89:AK89"/>
    <mergeCell ref="AL89:AR89"/>
    <mergeCell ref="AS89:AY89"/>
    <mergeCell ref="AL64:AR64"/>
    <mergeCell ref="AS64:AY64"/>
    <mergeCell ref="AL86:AR86"/>
    <mergeCell ref="AS86:AY86"/>
    <mergeCell ref="B87:C87"/>
    <mergeCell ref="D87:AB87"/>
    <mergeCell ref="AC87:AI87"/>
    <mergeCell ref="AJ87:AK87"/>
    <mergeCell ref="AL87:AR87"/>
    <mergeCell ref="AS87:AY87"/>
    <mergeCell ref="AQ70:AY70"/>
    <mergeCell ref="B72:D73"/>
    <mergeCell ref="B68:C68"/>
    <mergeCell ref="D68:AB68"/>
    <mergeCell ref="AC68:AI68"/>
    <mergeCell ref="AJ68:AK68"/>
    <mergeCell ref="AL68:AR68"/>
    <mergeCell ref="AS68:AY68"/>
    <mergeCell ref="B69:C69"/>
    <mergeCell ref="D69:AB69"/>
    <mergeCell ref="AC69:AI69"/>
    <mergeCell ref="AJ69:AK69"/>
    <mergeCell ref="AL69:AR69"/>
    <mergeCell ref="AS69:AY69"/>
    <mergeCell ref="AC62:AI62"/>
    <mergeCell ref="B65:C65"/>
    <mergeCell ref="D65:AB65"/>
    <mergeCell ref="AC65:AI65"/>
    <mergeCell ref="AJ65:AK65"/>
    <mergeCell ref="D58:AB58"/>
    <mergeCell ref="AC58:AI58"/>
    <mergeCell ref="AJ58:AK58"/>
    <mergeCell ref="D64:AB64"/>
    <mergeCell ref="AC64:AI64"/>
    <mergeCell ref="AJ64:AK64"/>
    <mergeCell ref="B64:C64"/>
    <mergeCell ref="B63:C63"/>
    <mergeCell ref="B62:C62"/>
    <mergeCell ref="AL51:AR51"/>
    <mergeCell ref="AS51:AY51"/>
    <mergeCell ref="B52:C52"/>
    <mergeCell ref="D52:AB52"/>
    <mergeCell ref="AC52:AI52"/>
    <mergeCell ref="AJ52:AK52"/>
    <mergeCell ref="AL52:AR52"/>
    <mergeCell ref="AS52:AY52"/>
    <mergeCell ref="B53:C53"/>
    <mergeCell ref="D53:AB53"/>
    <mergeCell ref="AC53:AI53"/>
    <mergeCell ref="AJ53:AK53"/>
    <mergeCell ref="AL53:AR53"/>
    <mergeCell ref="AS53:AY53"/>
    <mergeCell ref="B51:C51"/>
    <mergeCell ref="D51:AB51"/>
    <mergeCell ref="AC51:AI51"/>
    <mergeCell ref="AJ51:AK51"/>
    <mergeCell ref="AA1:AL2"/>
    <mergeCell ref="AP1:AY2"/>
    <mergeCell ref="F2:G2"/>
    <mergeCell ref="H2:X2"/>
    <mergeCell ref="F3:X3"/>
    <mergeCell ref="AP3:AY3"/>
    <mergeCell ref="F4:X4"/>
    <mergeCell ref="F6:X6"/>
    <mergeCell ref="F7:X7"/>
    <mergeCell ref="F41:X41"/>
    <mergeCell ref="F43:X43"/>
    <mergeCell ref="F44:X44"/>
    <mergeCell ref="B50:C50"/>
    <mergeCell ref="D50:AB50"/>
    <mergeCell ref="AC50:AI50"/>
    <mergeCell ref="AJ50:AK50"/>
    <mergeCell ref="AL50:AR50"/>
    <mergeCell ref="AS50:AY50"/>
    <mergeCell ref="B33:D33"/>
    <mergeCell ref="E33:AG33"/>
    <mergeCell ref="AH33:AP33"/>
    <mergeCell ref="F8:X8"/>
    <mergeCell ref="F45:X45"/>
    <mergeCell ref="AC142:AI142"/>
    <mergeCell ref="AJ142:AK142"/>
    <mergeCell ref="AL142:AR142"/>
    <mergeCell ref="AS142:AY142"/>
    <mergeCell ref="AJ141:AK141"/>
    <mergeCell ref="AL141:AR141"/>
    <mergeCell ref="F118:X118"/>
    <mergeCell ref="F119:X119"/>
    <mergeCell ref="D123:AB123"/>
    <mergeCell ref="AC123:AI123"/>
    <mergeCell ref="AJ123:AK123"/>
    <mergeCell ref="AL123:AR123"/>
    <mergeCell ref="AS123:AY123"/>
    <mergeCell ref="B109:D110"/>
    <mergeCell ref="AS62:AY62"/>
    <mergeCell ref="D63:AB63"/>
    <mergeCell ref="AC63:AI63"/>
    <mergeCell ref="AJ63:AK63"/>
    <mergeCell ref="AL63:AR63"/>
    <mergeCell ref="AL58:AR58"/>
    <mergeCell ref="AS58:AY58"/>
    <mergeCell ref="AJ57:AK57"/>
    <mergeCell ref="AL57:AR57"/>
    <mergeCell ref="AS57:AY57"/>
    <mergeCell ref="D55:AB55"/>
    <mergeCell ref="AC55:AI55"/>
    <mergeCell ref="AJ55:AK55"/>
    <mergeCell ref="AL55:AR55"/>
    <mergeCell ref="AS55:AY55"/>
    <mergeCell ref="D56:AB56"/>
    <mergeCell ref="B18:C18"/>
    <mergeCell ref="AJ27:AK27"/>
    <mergeCell ref="AL27:AR27"/>
    <mergeCell ref="AS27:AY27"/>
    <mergeCell ref="B28:C28"/>
    <mergeCell ref="D28:AB28"/>
    <mergeCell ref="AC28:AI28"/>
    <mergeCell ref="AJ28:AK28"/>
    <mergeCell ref="AL28:AR28"/>
    <mergeCell ref="AS28:AY28"/>
    <mergeCell ref="AS20:AY20"/>
    <mergeCell ref="D21:AB21"/>
    <mergeCell ref="AC21:AI21"/>
    <mergeCell ref="AJ21:AK21"/>
    <mergeCell ref="AL21:AR21"/>
    <mergeCell ref="AS21:AY21"/>
    <mergeCell ref="D20:AB20"/>
    <mergeCell ref="AC20:AI20"/>
    <mergeCell ref="AJ20:AK20"/>
    <mergeCell ref="AL20:AR20"/>
    <mergeCell ref="D18:AB18"/>
    <mergeCell ref="AC18:AI18"/>
    <mergeCell ref="AJ18:AK18"/>
    <mergeCell ref="AL18:AR18"/>
    <mergeCell ref="AS18:AY18"/>
    <mergeCell ref="D19:AB19"/>
    <mergeCell ref="AC19:AI19"/>
    <mergeCell ref="AJ19:AK19"/>
    <mergeCell ref="AL19:AR19"/>
    <mergeCell ref="AS19:AY19"/>
    <mergeCell ref="D17:AB17"/>
    <mergeCell ref="AC17:AI17"/>
    <mergeCell ref="AJ17:AK17"/>
    <mergeCell ref="AL17:AR17"/>
    <mergeCell ref="AS17:AY17"/>
    <mergeCell ref="AS13:AY13"/>
    <mergeCell ref="D14:AB14"/>
    <mergeCell ref="AC14:AI14"/>
    <mergeCell ref="AJ14:AK14"/>
    <mergeCell ref="AL14:AR14"/>
    <mergeCell ref="AS14:AY14"/>
    <mergeCell ref="D15:AB15"/>
    <mergeCell ref="AC15:AI15"/>
    <mergeCell ref="AJ15:AK15"/>
    <mergeCell ref="AL15:AR15"/>
    <mergeCell ref="AS15:AY15"/>
    <mergeCell ref="D16:AB16"/>
    <mergeCell ref="AC16:AI16"/>
    <mergeCell ref="AJ16:AK16"/>
    <mergeCell ref="AL16:AR16"/>
    <mergeCell ref="AJ59:AK59"/>
    <mergeCell ref="AL59:AR59"/>
    <mergeCell ref="AJ125:AK125"/>
    <mergeCell ref="AJ143:AK143"/>
    <mergeCell ref="AL143:AR143"/>
    <mergeCell ref="AC141:AI141"/>
    <mergeCell ref="D141:AB141"/>
    <mergeCell ref="D142:AB142"/>
    <mergeCell ref="AL139:AR139"/>
    <mergeCell ref="AJ140:AK140"/>
    <mergeCell ref="D62:AB62"/>
    <mergeCell ref="AC60:AI60"/>
    <mergeCell ref="AJ60:AK60"/>
    <mergeCell ref="AL60:AR60"/>
    <mergeCell ref="AA38:AL39"/>
    <mergeCell ref="AP38:AY39"/>
    <mergeCell ref="F39:G39"/>
    <mergeCell ref="H39:X39"/>
    <mergeCell ref="AQ33:AY33"/>
    <mergeCell ref="B35:D36"/>
    <mergeCell ref="AS63:AY63"/>
    <mergeCell ref="B111:AY111"/>
    <mergeCell ref="AA112:AL113"/>
    <mergeCell ref="AP112:AY113"/>
    <mergeCell ref="F113:G113"/>
    <mergeCell ref="H113:X113"/>
    <mergeCell ref="F80:X80"/>
    <mergeCell ref="F81:X81"/>
    <mergeCell ref="F82:X82"/>
    <mergeCell ref="B66:C66"/>
    <mergeCell ref="D66:AB66"/>
    <mergeCell ref="AC66:AI66"/>
    <mergeCell ref="AJ66:AK66"/>
    <mergeCell ref="AL66:AR66"/>
    <mergeCell ref="AS66:AY66"/>
    <mergeCell ref="B67:C67"/>
    <mergeCell ref="D67:AB67"/>
    <mergeCell ref="AC67:AI67"/>
    <mergeCell ref="AJ67:AK67"/>
    <mergeCell ref="AL67:AR67"/>
    <mergeCell ref="AS67:AY67"/>
    <mergeCell ref="B70:D70"/>
    <mergeCell ref="E70:AG70"/>
    <mergeCell ref="AH70:AP70"/>
    <mergeCell ref="AS60:AY60"/>
    <mergeCell ref="D61:AB61"/>
    <mergeCell ref="AC61:AI61"/>
    <mergeCell ref="AJ61:AK61"/>
    <mergeCell ref="AL61:AR61"/>
    <mergeCell ref="AS61:AY61"/>
    <mergeCell ref="B24:C24"/>
    <mergeCell ref="D24:AB24"/>
    <mergeCell ref="AC24:AI24"/>
    <mergeCell ref="AJ24:AK24"/>
    <mergeCell ref="AL24:AR24"/>
    <mergeCell ref="AS24:AY24"/>
    <mergeCell ref="B56:C56"/>
    <mergeCell ref="B55:C55"/>
    <mergeCell ref="B54:C54"/>
    <mergeCell ref="AS56:AY56"/>
    <mergeCell ref="D54:AB54"/>
    <mergeCell ref="AC54:AI54"/>
    <mergeCell ref="AJ54:AK54"/>
    <mergeCell ref="AL54:AR54"/>
    <mergeCell ref="AS54:AY54"/>
    <mergeCell ref="AC56:AI56"/>
    <mergeCell ref="AJ56:AK56"/>
    <mergeCell ref="AL56:AR56"/>
    <mergeCell ref="B26:C26"/>
    <mergeCell ref="D26:AB26"/>
    <mergeCell ref="AC26:AI26"/>
    <mergeCell ref="AJ26:AK26"/>
    <mergeCell ref="AL26:AR26"/>
    <mergeCell ref="AS26:AY26"/>
    <mergeCell ref="B27:C27"/>
    <mergeCell ref="D27:AB27"/>
    <mergeCell ref="AC27:AI27"/>
    <mergeCell ref="B21:C21"/>
    <mergeCell ref="D22:AB22"/>
    <mergeCell ref="AC22:AI22"/>
    <mergeCell ref="AJ22:AK22"/>
    <mergeCell ref="AL22:AR22"/>
    <mergeCell ref="AS22:AY22"/>
    <mergeCell ref="B22:C22"/>
    <mergeCell ref="B23:C23"/>
    <mergeCell ref="D23:AB23"/>
    <mergeCell ref="AC23:AI23"/>
    <mergeCell ref="AJ23:AK23"/>
    <mergeCell ref="AS23:AY23"/>
    <mergeCell ref="AL23:AR23"/>
    <mergeCell ref="AC12:AI12"/>
    <mergeCell ref="AJ12:AK12"/>
    <mergeCell ref="AL12:AR12"/>
    <mergeCell ref="AS12:AY12"/>
    <mergeCell ref="D13:AB13"/>
    <mergeCell ref="AC13:AI13"/>
    <mergeCell ref="AJ13:AK13"/>
    <mergeCell ref="AL13:AR13"/>
    <mergeCell ref="B25:C25"/>
    <mergeCell ref="D25:AB25"/>
    <mergeCell ref="AC25:AI25"/>
    <mergeCell ref="AJ25:AK25"/>
    <mergeCell ref="AL25:AR25"/>
    <mergeCell ref="AS25:AY25"/>
    <mergeCell ref="B17:C17"/>
    <mergeCell ref="B20:C20"/>
    <mergeCell ref="B19:C19"/>
    <mergeCell ref="B12:C12"/>
    <mergeCell ref="B14:C14"/>
    <mergeCell ref="B13:C13"/>
    <mergeCell ref="B16:C16"/>
    <mergeCell ref="B15:C15"/>
    <mergeCell ref="D12:AB12"/>
    <mergeCell ref="AS16:AY16"/>
    <mergeCell ref="D29:AB29"/>
    <mergeCell ref="AC29:AI29"/>
    <mergeCell ref="AJ29:AK29"/>
    <mergeCell ref="AL29:AR29"/>
    <mergeCell ref="AS29:AY29"/>
    <mergeCell ref="B30:C30"/>
    <mergeCell ref="D30:AB30"/>
    <mergeCell ref="AC30:AI30"/>
    <mergeCell ref="AJ30:AK30"/>
    <mergeCell ref="AL30:AR30"/>
    <mergeCell ref="AS30:AY30"/>
    <mergeCell ref="B29:C29"/>
    <mergeCell ref="B31:C31"/>
    <mergeCell ref="D31:AB31"/>
    <mergeCell ref="AC31:AI31"/>
    <mergeCell ref="AJ31:AK31"/>
    <mergeCell ref="AL31:AR31"/>
    <mergeCell ref="AS31:AY31"/>
    <mergeCell ref="B32:C32"/>
    <mergeCell ref="D32:AB32"/>
    <mergeCell ref="AC32:AI32"/>
    <mergeCell ref="AJ32:AK32"/>
    <mergeCell ref="AL32:AR32"/>
    <mergeCell ref="AS32:AY32"/>
    <mergeCell ref="B37:AY37"/>
    <mergeCell ref="AL65:AR65"/>
    <mergeCell ref="AS65:AY65"/>
    <mergeCell ref="B49:C49"/>
    <mergeCell ref="D49:AB49"/>
    <mergeCell ref="AC49:AI49"/>
    <mergeCell ref="AJ49:AK49"/>
    <mergeCell ref="AL49:AR49"/>
    <mergeCell ref="AS49:AY49"/>
    <mergeCell ref="B61:C61"/>
    <mergeCell ref="B60:C60"/>
    <mergeCell ref="B59:C59"/>
    <mergeCell ref="B58:C58"/>
    <mergeCell ref="B57:C57"/>
    <mergeCell ref="D59:AB59"/>
    <mergeCell ref="AC59:AI59"/>
    <mergeCell ref="D57:AB57"/>
    <mergeCell ref="AC57:AI57"/>
    <mergeCell ref="F40:X40"/>
    <mergeCell ref="AP40:AY40"/>
    <mergeCell ref="AJ62:AK62"/>
    <mergeCell ref="AL62:AR62"/>
    <mergeCell ref="AS59:AY59"/>
    <mergeCell ref="D60:AB60"/>
    <mergeCell ref="B74:AY74"/>
    <mergeCell ref="AA75:AL76"/>
    <mergeCell ref="AP75:AY76"/>
    <mergeCell ref="F76:G76"/>
    <mergeCell ref="H76:X76"/>
    <mergeCell ref="F77:X77"/>
    <mergeCell ref="AP77:AY77"/>
    <mergeCell ref="F78:X78"/>
    <mergeCell ref="D97:AB97"/>
    <mergeCell ref="AC97:AI97"/>
    <mergeCell ref="AJ97:AK97"/>
    <mergeCell ref="AL97:AR97"/>
    <mergeCell ref="AS97:AY97"/>
    <mergeCell ref="B96:C96"/>
    <mergeCell ref="D96:AB96"/>
    <mergeCell ref="AC96:AI96"/>
    <mergeCell ref="AJ96:AK96"/>
    <mergeCell ref="AL96:AR96"/>
    <mergeCell ref="AS96:AY96"/>
    <mergeCell ref="B97:C97"/>
    <mergeCell ref="B86:C86"/>
    <mergeCell ref="D86:AB86"/>
    <mergeCell ref="AC86:AI86"/>
    <mergeCell ref="AJ86:AK86"/>
    <mergeCell ref="AC99:AI99"/>
    <mergeCell ref="AJ99:AK99"/>
    <mergeCell ref="AL99:AR99"/>
    <mergeCell ref="AS99:AY99"/>
    <mergeCell ref="B100:C100"/>
    <mergeCell ref="D100:AB100"/>
    <mergeCell ref="AC100:AI100"/>
    <mergeCell ref="AJ100:AK100"/>
    <mergeCell ref="AL100:AR100"/>
    <mergeCell ref="AS100:AY100"/>
    <mergeCell ref="AC101:AI101"/>
    <mergeCell ref="AJ101:AK101"/>
    <mergeCell ref="AL101:AR101"/>
    <mergeCell ref="AS101:AY101"/>
    <mergeCell ref="B102:C102"/>
    <mergeCell ref="D102:AB102"/>
    <mergeCell ref="AC102:AI102"/>
    <mergeCell ref="AJ102:AK102"/>
    <mergeCell ref="AL102:AR102"/>
    <mergeCell ref="AS102:AY102"/>
    <mergeCell ref="AC103:AI103"/>
    <mergeCell ref="AJ103:AK103"/>
    <mergeCell ref="AL103:AR103"/>
    <mergeCell ref="AS103:AY103"/>
    <mergeCell ref="B104:C104"/>
    <mergeCell ref="D104:AB104"/>
    <mergeCell ref="AC104:AI104"/>
    <mergeCell ref="AJ104:AK104"/>
    <mergeCell ref="AL104:AR104"/>
    <mergeCell ref="AS104:AY104"/>
    <mergeCell ref="AC105:AI105"/>
    <mergeCell ref="AJ105:AK105"/>
    <mergeCell ref="AL105:AR105"/>
    <mergeCell ref="AS105:AY105"/>
    <mergeCell ref="B106:C106"/>
    <mergeCell ref="D106:AB106"/>
    <mergeCell ref="AC106:AI106"/>
    <mergeCell ref="AJ106:AK106"/>
    <mergeCell ref="AL106:AR106"/>
    <mergeCell ref="AS106:AY106"/>
    <mergeCell ref="B123:C123"/>
    <mergeCell ref="B124:C124"/>
    <mergeCell ref="D124:AB124"/>
    <mergeCell ref="AC124:AI124"/>
    <mergeCell ref="AJ124:AK124"/>
    <mergeCell ref="AL124:AR124"/>
    <mergeCell ref="B125:C125"/>
    <mergeCell ref="D125:AB125"/>
    <mergeCell ref="AC125:AI125"/>
    <mergeCell ref="AL125:AR125"/>
    <mergeCell ref="AC161:AI161"/>
    <mergeCell ref="AS125:AY125"/>
    <mergeCell ref="B143:C143"/>
    <mergeCell ref="B142:C142"/>
    <mergeCell ref="B141:C141"/>
    <mergeCell ref="B140:C140"/>
    <mergeCell ref="B139:C139"/>
    <mergeCell ref="D140:AB140"/>
    <mergeCell ref="AC140:AI140"/>
    <mergeCell ref="AL140:AR140"/>
    <mergeCell ref="B127:C127"/>
    <mergeCell ref="D127:AB127"/>
    <mergeCell ref="AC127:AI127"/>
    <mergeCell ref="AJ127:AK127"/>
    <mergeCell ref="AL127:AR127"/>
    <mergeCell ref="AS127:AY127"/>
    <mergeCell ref="B128:C128"/>
    <mergeCell ref="D128:AB128"/>
    <mergeCell ref="AC128:AI128"/>
    <mergeCell ref="AJ128:AK128"/>
    <mergeCell ref="AL128:AR128"/>
    <mergeCell ref="AS128:AY128"/>
    <mergeCell ref="B129:C129"/>
    <mergeCell ref="D129:AB129"/>
    <mergeCell ref="F117:X117"/>
    <mergeCell ref="B162:C162"/>
    <mergeCell ref="D162:AB162"/>
    <mergeCell ref="AC162:AI162"/>
    <mergeCell ref="AJ162:AK162"/>
    <mergeCell ref="B148:AY148"/>
    <mergeCell ref="AA149:AL150"/>
    <mergeCell ref="AP149:AY150"/>
    <mergeCell ref="F150:G150"/>
    <mergeCell ref="H150:X150"/>
    <mergeCell ref="F151:X151"/>
    <mergeCell ref="AP151:AY151"/>
    <mergeCell ref="F152:X152"/>
    <mergeCell ref="F154:X154"/>
    <mergeCell ref="B161:C161"/>
    <mergeCell ref="D161:AB161"/>
    <mergeCell ref="F155:X155"/>
    <mergeCell ref="F156:X156"/>
    <mergeCell ref="B160:C160"/>
    <mergeCell ref="D160:AB160"/>
    <mergeCell ref="AC160:AI160"/>
    <mergeCell ref="AJ160:AK160"/>
    <mergeCell ref="AL160:AR160"/>
    <mergeCell ref="AL161:AR161"/>
    <mergeCell ref="AS124:AY124"/>
    <mergeCell ref="AJ161:AK161"/>
    <mergeCell ref="E146:AS147"/>
    <mergeCell ref="AU146:AX147"/>
    <mergeCell ref="AY146:AY147"/>
    <mergeCell ref="E183:AS184"/>
    <mergeCell ref="AU183:AX184"/>
    <mergeCell ref="AY183:AY184"/>
    <mergeCell ref="E35:AS36"/>
    <mergeCell ref="AU35:AX36"/>
    <mergeCell ref="AY35:AY36"/>
    <mergeCell ref="E72:AS73"/>
    <mergeCell ref="AU72:AX73"/>
    <mergeCell ref="AY72:AY73"/>
    <mergeCell ref="E109:AS110"/>
    <mergeCell ref="AU109:AX110"/>
    <mergeCell ref="AY109:AY110"/>
    <mergeCell ref="AL162:AR162"/>
    <mergeCell ref="AS162:AY162"/>
    <mergeCell ref="AS160:AY160"/>
    <mergeCell ref="AS161:AY161"/>
    <mergeCell ref="F114:X114"/>
    <mergeCell ref="AP114:AY114"/>
    <mergeCell ref="F115:X115"/>
  </mergeCells>
  <phoneticPr fontId="2"/>
  <conditionalFormatting sqref="AS23:AS32">
    <cfRule type="expression" dxfId="129" priority="45">
      <formula>INDIRECT(ADDRESS(ROW(),COLUMN()))=TRUNC(INDIRECT(ADDRESS(ROW(),COLUMN())))</formula>
    </cfRule>
  </conditionalFormatting>
  <conditionalFormatting sqref="AL13">
    <cfRule type="expression" dxfId="128" priority="55">
      <formula>INDIRECT(ADDRESS(ROW(),COLUMN()))=TRUNC(INDIRECT(ADDRESS(ROW(),COLUMN())))</formula>
    </cfRule>
  </conditionalFormatting>
  <conditionalFormatting sqref="AC13">
    <cfRule type="expression" dxfId="127" priority="54">
      <formula>INDIRECT(ADDRESS(ROW(),COLUMN()))=TRUNC(INDIRECT(ADDRESS(ROW(),COLUMN())))</formula>
    </cfRule>
  </conditionalFormatting>
  <conditionalFormatting sqref="AL23:AL32">
    <cfRule type="expression" dxfId="126" priority="47">
      <formula>INDIRECT(ADDRESS(ROW(),COLUMN()))=TRUNC(INDIRECT(ADDRESS(ROW(),COLUMN())))</formula>
    </cfRule>
  </conditionalFormatting>
  <conditionalFormatting sqref="AC23:AC32">
    <cfRule type="expression" dxfId="125" priority="46">
      <formula>INDIRECT(ADDRESS(ROW(),COLUMN()))=TRUNC(INDIRECT(ADDRESS(ROW(),COLUMN())))</formula>
    </cfRule>
  </conditionalFormatting>
  <conditionalFormatting sqref="AS13">
    <cfRule type="expression" dxfId="124" priority="53">
      <formula>INDIRECT(ADDRESS(ROW(),COLUMN()))=TRUNC(INDIRECT(ADDRESS(ROW(),COLUMN())))</formula>
    </cfRule>
  </conditionalFormatting>
  <conditionalFormatting sqref="AQ33">
    <cfRule type="expression" dxfId="123" priority="51">
      <formula>INDIRECT(ADDRESS(ROW(),COLUMN(UNMT0020_B_ROW_KBN)))&lt;&gt;2</formula>
    </cfRule>
  </conditionalFormatting>
  <conditionalFormatting sqref="AQ33">
    <cfRule type="expression" dxfId="122" priority="52">
      <formula>INDIRECT(ADDRESS(ROW(),COLUMN()))=TRUNC(INDIRECT(ADDRESS(ROW(),COLUMN())))</formula>
    </cfRule>
  </conditionalFormatting>
  <conditionalFormatting sqref="AL14:AL22">
    <cfRule type="expression" dxfId="121" priority="50">
      <formula>INDIRECT(ADDRESS(ROW(),COLUMN()))=TRUNC(INDIRECT(ADDRESS(ROW(),COLUMN())))</formula>
    </cfRule>
  </conditionalFormatting>
  <conditionalFormatting sqref="AC14:AC22">
    <cfRule type="expression" dxfId="120" priority="49">
      <formula>INDIRECT(ADDRESS(ROW(),COLUMN()))=TRUNC(INDIRECT(ADDRESS(ROW(),COLUMN())))</formula>
    </cfRule>
  </conditionalFormatting>
  <conditionalFormatting sqref="AS14:AS22">
    <cfRule type="expression" dxfId="119" priority="48">
      <formula>INDIRECT(ADDRESS(ROW(),COLUMN()))=TRUNC(INDIRECT(ADDRESS(ROW(),COLUMN())))</formula>
    </cfRule>
  </conditionalFormatting>
  <conditionalFormatting sqref="AS60:AS69">
    <cfRule type="expression" dxfId="118" priority="34">
      <formula>INDIRECT(ADDRESS(ROW(),COLUMN()))=TRUNC(INDIRECT(ADDRESS(ROW(),COLUMN())))</formula>
    </cfRule>
  </conditionalFormatting>
  <conditionalFormatting sqref="AL50">
    <cfRule type="expression" dxfId="117" priority="44">
      <formula>INDIRECT(ADDRESS(ROW(),COLUMN()))=TRUNC(INDIRECT(ADDRESS(ROW(),COLUMN())))</formula>
    </cfRule>
  </conditionalFormatting>
  <conditionalFormatting sqref="AC50">
    <cfRule type="expression" dxfId="116" priority="43">
      <formula>INDIRECT(ADDRESS(ROW(),COLUMN()))=TRUNC(INDIRECT(ADDRESS(ROW(),COLUMN())))</formula>
    </cfRule>
  </conditionalFormatting>
  <conditionalFormatting sqref="AL60:AL69">
    <cfRule type="expression" dxfId="115" priority="36">
      <formula>INDIRECT(ADDRESS(ROW(),COLUMN()))=TRUNC(INDIRECT(ADDRESS(ROW(),COLUMN())))</formula>
    </cfRule>
  </conditionalFormatting>
  <conditionalFormatting sqref="AC60:AC69">
    <cfRule type="expression" dxfId="114" priority="35">
      <formula>INDIRECT(ADDRESS(ROW(),COLUMN()))=TRUNC(INDIRECT(ADDRESS(ROW(),COLUMN())))</formula>
    </cfRule>
  </conditionalFormatting>
  <conditionalFormatting sqref="AS50">
    <cfRule type="expression" dxfId="113" priority="42">
      <formula>INDIRECT(ADDRESS(ROW(),COLUMN()))=TRUNC(INDIRECT(ADDRESS(ROW(),COLUMN())))</formula>
    </cfRule>
  </conditionalFormatting>
  <conditionalFormatting sqref="AQ70">
    <cfRule type="expression" dxfId="112" priority="40">
      <formula>INDIRECT(ADDRESS(ROW(),COLUMN(UNMT0020_B_ROW_KBN)))&lt;&gt;2</formula>
    </cfRule>
  </conditionalFormatting>
  <conditionalFormatting sqref="AQ70">
    <cfRule type="expression" dxfId="111" priority="41">
      <formula>INDIRECT(ADDRESS(ROW(),COLUMN()))=TRUNC(INDIRECT(ADDRESS(ROW(),COLUMN())))</formula>
    </cfRule>
  </conditionalFormatting>
  <conditionalFormatting sqref="AL51:AL59">
    <cfRule type="expression" dxfId="110" priority="39">
      <formula>INDIRECT(ADDRESS(ROW(),COLUMN()))=TRUNC(INDIRECT(ADDRESS(ROW(),COLUMN())))</formula>
    </cfRule>
  </conditionalFormatting>
  <conditionalFormatting sqref="AC51:AC59">
    <cfRule type="expression" dxfId="109" priority="38">
      <formula>INDIRECT(ADDRESS(ROW(),COLUMN()))=TRUNC(INDIRECT(ADDRESS(ROW(),COLUMN())))</formula>
    </cfRule>
  </conditionalFormatting>
  <conditionalFormatting sqref="AS51:AS59">
    <cfRule type="expression" dxfId="108" priority="37">
      <formula>INDIRECT(ADDRESS(ROW(),COLUMN()))=TRUNC(INDIRECT(ADDRESS(ROW(),COLUMN())))</formula>
    </cfRule>
  </conditionalFormatting>
  <conditionalFormatting sqref="AS97:AS106">
    <cfRule type="expression" dxfId="107" priority="23">
      <formula>INDIRECT(ADDRESS(ROW(),COLUMN()))=TRUNC(INDIRECT(ADDRESS(ROW(),COLUMN())))</formula>
    </cfRule>
  </conditionalFormatting>
  <conditionalFormatting sqref="AL87">
    <cfRule type="expression" dxfId="106" priority="33">
      <formula>INDIRECT(ADDRESS(ROW(),COLUMN()))=TRUNC(INDIRECT(ADDRESS(ROW(),COLUMN())))</formula>
    </cfRule>
  </conditionalFormatting>
  <conditionalFormatting sqref="AC87">
    <cfRule type="expression" dxfId="105" priority="32">
      <formula>INDIRECT(ADDRESS(ROW(),COLUMN()))=TRUNC(INDIRECT(ADDRESS(ROW(),COLUMN())))</formula>
    </cfRule>
  </conditionalFormatting>
  <conditionalFormatting sqref="AL97:AL106">
    <cfRule type="expression" dxfId="104" priority="25">
      <formula>INDIRECT(ADDRESS(ROW(),COLUMN()))=TRUNC(INDIRECT(ADDRESS(ROW(),COLUMN())))</formula>
    </cfRule>
  </conditionalFormatting>
  <conditionalFormatting sqref="AC97:AC106">
    <cfRule type="expression" dxfId="103" priority="24">
      <formula>INDIRECT(ADDRESS(ROW(),COLUMN()))=TRUNC(INDIRECT(ADDRESS(ROW(),COLUMN())))</formula>
    </cfRule>
  </conditionalFormatting>
  <conditionalFormatting sqref="AS87">
    <cfRule type="expression" dxfId="102" priority="31">
      <formula>INDIRECT(ADDRESS(ROW(),COLUMN()))=TRUNC(INDIRECT(ADDRESS(ROW(),COLUMN())))</formula>
    </cfRule>
  </conditionalFormatting>
  <conditionalFormatting sqref="AQ107">
    <cfRule type="expression" dxfId="101" priority="29">
      <formula>INDIRECT(ADDRESS(ROW(),COLUMN(UNMT0020_B_ROW_KBN)))&lt;&gt;2</formula>
    </cfRule>
  </conditionalFormatting>
  <conditionalFormatting sqref="AQ107">
    <cfRule type="expression" dxfId="100" priority="30">
      <formula>INDIRECT(ADDRESS(ROW(),COLUMN()))=TRUNC(INDIRECT(ADDRESS(ROW(),COLUMN())))</formula>
    </cfRule>
  </conditionalFormatting>
  <conditionalFormatting sqref="AL88:AL96">
    <cfRule type="expression" dxfId="99" priority="28">
      <formula>INDIRECT(ADDRESS(ROW(),COLUMN()))=TRUNC(INDIRECT(ADDRESS(ROW(),COLUMN())))</formula>
    </cfRule>
  </conditionalFormatting>
  <conditionalFormatting sqref="AC88:AC96">
    <cfRule type="expression" dxfId="98" priority="27">
      <formula>INDIRECT(ADDRESS(ROW(),COLUMN()))=TRUNC(INDIRECT(ADDRESS(ROW(),COLUMN())))</formula>
    </cfRule>
  </conditionalFormatting>
  <conditionalFormatting sqref="AS88:AS96">
    <cfRule type="expression" dxfId="97" priority="26">
      <formula>INDIRECT(ADDRESS(ROW(),COLUMN()))=TRUNC(INDIRECT(ADDRESS(ROW(),COLUMN())))</formula>
    </cfRule>
  </conditionalFormatting>
  <conditionalFormatting sqref="AS134:AS143">
    <cfRule type="expression" dxfId="96" priority="12">
      <formula>INDIRECT(ADDRESS(ROW(),COLUMN()))=TRUNC(INDIRECT(ADDRESS(ROW(),COLUMN())))</formula>
    </cfRule>
  </conditionalFormatting>
  <conditionalFormatting sqref="AL124">
    <cfRule type="expression" dxfId="95" priority="22">
      <formula>INDIRECT(ADDRESS(ROW(),COLUMN()))=TRUNC(INDIRECT(ADDRESS(ROW(),COLUMN())))</formula>
    </cfRule>
  </conditionalFormatting>
  <conditionalFormatting sqref="AC124">
    <cfRule type="expression" dxfId="94" priority="21">
      <formula>INDIRECT(ADDRESS(ROW(),COLUMN()))=TRUNC(INDIRECT(ADDRESS(ROW(),COLUMN())))</formula>
    </cfRule>
  </conditionalFormatting>
  <conditionalFormatting sqref="AL134:AL143">
    <cfRule type="expression" dxfId="93" priority="14">
      <formula>INDIRECT(ADDRESS(ROW(),COLUMN()))=TRUNC(INDIRECT(ADDRESS(ROW(),COLUMN())))</formula>
    </cfRule>
  </conditionalFormatting>
  <conditionalFormatting sqref="AC134:AC143">
    <cfRule type="expression" dxfId="92" priority="13">
      <formula>INDIRECT(ADDRESS(ROW(),COLUMN()))=TRUNC(INDIRECT(ADDRESS(ROW(),COLUMN())))</formula>
    </cfRule>
  </conditionalFormatting>
  <conditionalFormatting sqref="AS124">
    <cfRule type="expression" dxfId="91" priority="20">
      <formula>INDIRECT(ADDRESS(ROW(),COLUMN()))=TRUNC(INDIRECT(ADDRESS(ROW(),COLUMN())))</formula>
    </cfRule>
  </conditionalFormatting>
  <conditionalFormatting sqref="AQ144">
    <cfRule type="expression" dxfId="90" priority="18">
      <formula>INDIRECT(ADDRESS(ROW(),COLUMN(UNMT0020_B_ROW_KBN)))&lt;&gt;2</formula>
    </cfRule>
  </conditionalFormatting>
  <conditionalFormatting sqref="AQ144">
    <cfRule type="expression" dxfId="89" priority="19">
      <formula>INDIRECT(ADDRESS(ROW(),COLUMN()))=TRUNC(INDIRECT(ADDRESS(ROW(),COLUMN())))</formula>
    </cfRule>
  </conditionalFormatting>
  <conditionalFormatting sqref="AL125:AL133">
    <cfRule type="expression" dxfId="88" priority="17">
      <formula>INDIRECT(ADDRESS(ROW(),COLUMN()))=TRUNC(INDIRECT(ADDRESS(ROW(),COLUMN())))</formula>
    </cfRule>
  </conditionalFormatting>
  <conditionalFormatting sqref="AC125:AC133">
    <cfRule type="expression" dxfId="87" priority="16">
      <formula>INDIRECT(ADDRESS(ROW(),COLUMN()))=TRUNC(INDIRECT(ADDRESS(ROW(),COLUMN())))</formula>
    </cfRule>
  </conditionalFormatting>
  <conditionalFormatting sqref="AS125:AS133">
    <cfRule type="expression" dxfId="86" priority="15">
      <formula>INDIRECT(ADDRESS(ROW(),COLUMN()))=TRUNC(INDIRECT(ADDRESS(ROW(),COLUMN())))</formula>
    </cfRule>
  </conditionalFormatting>
  <conditionalFormatting sqref="AS171:AS180">
    <cfRule type="expression" dxfId="85" priority="1">
      <formula>INDIRECT(ADDRESS(ROW(),COLUMN()))=TRUNC(INDIRECT(ADDRESS(ROW(),COLUMN())))</formula>
    </cfRule>
  </conditionalFormatting>
  <conditionalFormatting sqref="AL161">
    <cfRule type="expression" dxfId="84" priority="11">
      <formula>INDIRECT(ADDRESS(ROW(),COLUMN()))=TRUNC(INDIRECT(ADDRESS(ROW(),COLUMN())))</formula>
    </cfRule>
  </conditionalFormatting>
  <conditionalFormatting sqref="AC161">
    <cfRule type="expression" dxfId="83" priority="10">
      <formula>INDIRECT(ADDRESS(ROW(),COLUMN()))=TRUNC(INDIRECT(ADDRESS(ROW(),COLUMN())))</formula>
    </cfRule>
  </conditionalFormatting>
  <conditionalFormatting sqref="AL171:AL180">
    <cfRule type="expression" dxfId="82" priority="3">
      <formula>INDIRECT(ADDRESS(ROW(),COLUMN()))=TRUNC(INDIRECT(ADDRESS(ROW(),COLUMN())))</formula>
    </cfRule>
  </conditionalFormatting>
  <conditionalFormatting sqref="AC171:AC180">
    <cfRule type="expression" dxfId="81" priority="2">
      <formula>INDIRECT(ADDRESS(ROW(),COLUMN()))=TRUNC(INDIRECT(ADDRESS(ROW(),COLUMN())))</formula>
    </cfRule>
  </conditionalFormatting>
  <conditionalFormatting sqref="AS161">
    <cfRule type="expression" dxfId="80" priority="9">
      <formula>INDIRECT(ADDRESS(ROW(),COLUMN()))=TRUNC(INDIRECT(ADDRESS(ROW(),COLUMN())))</formula>
    </cfRule>
  </conditionalFormatting>
  <conditionalFormatting sqref="AQ181">
    <cfRule type="expression" dxfId="79" priority="7">
      <formula>INDIRECT(ADDRESS(ROW(),COLUMN(UNMT0020_B_ROW_KBN)))&lt;&gt;2</formula>
    </cfRule>
  </conditionalFormatting>
  <conditionalFormatting sqref="AQ181">
    <cfRule type="expression" dxfId="78" priority="8">
      <formula>INDIRECT(ADDRESS(ROW(),COLUMN()))=TRUNC(INDIRECT(ADDRESS(ROW(),COLUMN())))</formula>
    </cfRule>
  </conditionalFormatting>
  <conditionalFormatting sqref="AL162:AL170">
    <cfRule type="expression" dxfId="77" priority="6">
      <formula>INDIRECT(ADDRESS(ROW(),COLUMN()))=TRUNC(INDIRECT(ADDRESS(ROW(),COLUMN())))</formula>
    </cfRule>
  </conditionalFormatting>
  <conditionalFormatting sqref="AC162:AC170">
    <cfRule type="expression" dxfId="76" priority="5">
      <formula>INDIRECT(ADDRESS(ROW(),COLUMN()))=TRUNC(INDIRECT(ADDRESS(ROW(),COLUMN())))</formula>
    </cfRule>
  </conditionalFormatting>
  <conditionalFormatting sqref="AS162:AS170">
    <cfRule type="expression" dxfId="75" priority="4">
      <formula>INDIRECT(ADDRESS(ROW(),COLUMN()))=TRUNC(INDIRECT(ADDRESS(ROW(),COLUMN())))</formula>
    </cfRule>
  </conditionalFormatting>
  <pageMargins left="0.27559055118110237" right="0.15748031496062992" top="0.39370078740157483" bottom="0.39370078740157483" header="0.31496062992125984" footer="0.31496062992125984"/>
  <pageSetup paperSize="9" scale="70" fitToHeight="0" orientation="portrait" r:id="rId1"/>
  <rowBreaks count="4" manualBreakCount="4">
    <brk id="37" max="16383" man="1"/>
    <brk id="74" max="16383" man="1"/>
    <brk id="111" max="16383" man="1"/>
    <brk id="148" max="1638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theme="9" tint="0.59999389629810485"/>
    <pageSetUpPr fitToPage="1"/>
  </sheetPr>
  <dimension ref="A1:AZ185"/>
  <sheetViews>
    <sheetView view="pageBreakPreview" zoomScale="85" zoomScaleNormal="100" zoomScaleSheetLayoutView="85" zoomScalePageLayoutView="85" workbookViewId="0">
      <selection activeCell="D31" sqref="D31:AB31"/>
    </sheetView>
  </sheetViews>
  <sheetFormatPr defaultRowHeight="16.5"/>
  <cols>
    <col min="1" max="1" width="2.625" style="4" customWidth="1"/>
    <col min="2" max="2" width="2.375" style="403" customWidth="1"/>
    <col min="3" max="15" width="2.875" style="404" customWidth="1"/>
    <col min="16" max="35" width="2.875" style="403" customWidth="1"/>
    <col min="36" max="51" width="2.75" style="403" customWidth="1"/>
    <col min="52" max="108" width="2.75" style="4" customWidth="1"/>
    <col min="109" max="16384" width="9" style="4"/>
  </cols>
  <sheetData>
    <row r="1" spans="2:51" s="403" customFormat="1" ht="12" customHeight="1">
      <c r="C1" s="404"/>
      <c r="D1" s="404"/>
      <c r="E1" s="465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7"/>
      <c r="AA1" s="744" t="s">
        <v>1535</v>
      </c>
      <c r="AB1" s="744"/>
      <c r="AC1" s="744"/>
      <c r="AD1" s="744"/>
      <c r="AE1" s="744"/>
      <c r="AF1" s="744"/>
      <c r="AG1" s="744"/>
      <c r="AH1" s="744"/>
      <c r="AI1" s="744"/>
      <c r="AJ1" s="744"/>
      <c r="AK1" s="744"/>
      <c r="AL1" s="744"/>
      <c r="AP1" s="774" t="str">
        <f>"No."&amp;UNNH0030_REPORT_IF_H_URIAGE_NO&amp;"-"&amp;ROUNDUP(ROW()/ROWS(UNNH0030_SEIKYUSHO_PAGE_AREA),0)&amp;"/"&amp;UNNH0030_REPORT_IF_B_PAGE_TOTAL</f>
        <v>No.-1/1</v>
      </c>
      <c r="AQ1" s="774"/>
      <c r="AR1" s="774"/>
      <c r="AS1" s="774"/>
      <c r="AT1" s="774"/>
      <c r="AU1" s="774"/>
      <c r="AV1" s="774"/>
      <c r="AW1" s="774"/>
      <c r="AX1" s="774"/>
      <c r="AY1" s="774"/>
    </row>
    <row r="2" spans="2:51" s="403" customFormat="1" ht="24.75" customHeight="1">
      <c r="C2" s="404"/>
      <c r="E2" s="468"/>
      <c r="F2" s="775" t="str">
        <f>IF(UNNH0030_REPORT_IF_H_JUSHO_NO_PRINT_FLG=TRUE,"","〒")</f>
        <v>〒</v>
      </c>
      <c r="G2" s="775"/>
      <c r="H2" s="776" t="str">
        <f>IF(UNNH0030_REPORT_IF_H_JUSHO_NO_PRINT_FLG=TRUE,"",IF(UNNH0030_REPORT_IF_H_YUBIN_NO="","",UNNH0030_REPORT_IF_H_YUBIN_NO))</f>
        <v/>
      </c>
      <c r="I2" s="776"/>
      <c r="J2" s="776"/>
      <c r="K2" s="776"/>
      <c r="L2" s="776"/>
      <c r="M2" s="776"/>
      <c r="N2" s="776"/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469"/>
      <c r="AA2" s="744"/>
      <c r="AB2" s="744"/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P2" s="774"/>
      <c r="AQ2" s="774"/>
      <c r="AR2" s="774"/>
      <c r="AS2" s="774"/>
      <c r="AT2" s="774"/>
      <c r="AU2" s="774"/>
      <c r="AV2" s="774"/>
      <c r="AW2" s="774"/>
      <c r="AX2" s="774"/>
      <c r="AY2" s="774"/>
    </row>
    <row r="3" spans="2:51" s="403" customFormat="1" ht="24.75" customHeight="1">
      <c r="C3" s="404"/>
      <c r="E3" s="468"/>
      <c r="F3" s="745" t="str">
        <f>IF(UNNH0030_REPORT_IF_H_JUSHO_NO_PRINT_FLG="","",IF(UNNH0030_REPORT_IF_H_ADDRESS_1="","",UNNH0030_REPORT_IF_H_ADDRESS_1))</f>
        <v/>
      </c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469"/>
      <c r="AP3" s="748">
        <f>UNNH0030_REPORT_IF_H_URIAGE_DATE</f>
        <v>0</v>
      </c>
      <c r="AQ3" s="748"/>
      <c r="AR3" s="748"/>
      <c r="AS3" s="748"/>
      <c r="AT3" s="748"/>
      <c r="AU3" s="748"/>
      <c r="AV3" s="748"/>
      <c r="AW3" s="748"/>
      <c r="AX3" s="748"/>
      <c r="AY3" s="748"/>
    </row>
    <row r="4" spans="2:51" s="403" customFormat="1" ht="24.75" customHeight="1">
      <c r="C4" s="404"/>
      <c r="E4" s="468"/>
      <c r="F4" s="745" t="str">
        <f>IF(UNNH0030_REPORT_IF_H_JUSHO_NO_PRINT_FLG="","",IF(UNNH0030_REPORT_IF_H_ADDRESS_2="","",UNNH0030_REPORT_IF_H_ADDRESS_2))</f>
        <v/>
      </c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469"/>
    </row>
    <row r="5" spans="2:51" s="403" customFormat="1" ht="24.75" customHeight="1">
      <c r="C5" s="404"/>
      <c r="E5" s="468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69"/>
    </row>
    <row r="6" spans="2:51" s="403" customFormat="1" ht="26.25" customHeight="1">
      <c r="C6" s="404"/>
      <c r="E6" s="470"/>
      <c r="F6" s="745" t="str">
        <f>IF(TRIM(UNNH0030_REPORT_IF_H_SOFU_TANTO)="","",
IF(TRIM(UNNH0030_REPORT_IF_H_DEMPYO_SOFU_MEI)="","",
TRIM(UNNH0030_REPORT_IF_H_DEMPYO_SOFU_MEI)))</f>
        <v/>
      </c>
      <c r="G6" s="745"/>
      <c r="H6" s="745"/>
      <c r="I6" s="745"/>
      <c r="J6" s="745"/>
      <c r="K6" s="745"/>
      <c r="L6" s="745"/>
      <c r="M6" s="745"/>
      <c r="N6" s="745"/>
      <c r="O6" s="745"/>
      <c r="P6" s="745"/>
      <c r="Q6" s="745"/>
      <c r="R6" s="745"/>
      <c r="S6" s="745"/>
      <c r="T6" s="745"/>
      <c r="U6" s="745"/>
      <c r="V6" s="745"/>
      <c r="W6" s="745"/>
      <c r="X6" s="745"/>
      <c r="Y6" s="469"/>
    </row>
    <row r="7" spans="2:51" s="403" customFormat="1" ht="26.25" customHeight="1">
      <c r="C7" s="404"/>
      <c r="E7" s="468"/>
      <c r="F7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469"/>
      <c r="Z7" s="477" t="str">
        <f>UNNH0030_REPORT_IF_H_SHIMEBI_MARK</f>
        <v>*</v>
      </c>
    </row>
    <row r="8" spans="2:51" s="403" customFormat="1" ht="25.5" customHeight="1">
      <c r="C8" s="404"/>
      <c r="E8" s="471"/>
      <c r="F8" s="747">
        <f>UNNH0030_REPORT_IF_H_SEIKYU_CD</f>
        <v>0</v>
      </c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  <c r="W8" s="747"/>
      <c r="X8" s="747"/>
      <c r="Y8" s="472"/>
    </row>
    <row r="9" spans="2:51" s="403" customFormat="1" ht="30" customHeight="1">
      <c r="C9" s="404"/>
    </row>
    <row r="10" spans="2:51" s="403" customFormat="1" ht="30" customHeight="1"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</row>
    <row r="11" spans="2:51" s="403" customFormat="1" ht="29.25" customHeight="1">
      <c r="B11" s="474" t="s">
        <v>1101</v>
      </c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</row>
    <row r="12" spans="2:51" s="403" customFormat="1" ht="36.75" customHeight="1">
      <c r="B12" s="742"/>
      <c r="C12" s="742"/>
      <c r="D12" s="742" t="s">
        <v>1102</v>
      </c>
      <c r="E12" s="742"/>
      <c r="F12" s="742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  <c r="U12" s="742"/>
      <c r="V12" s="742"/>
      <c r="W12" s="742"/>
      <c r="X12" s="742"/>
      <c r="Y12" s="742"/>
      <c r="Z12" s="742"/>
      <c r="AA12" s="742"/>
      <c r="AB12" s="742"/>
      <c r="AC12" s="742" t="s">
        <v>1103</v>
      </c>
      <c r="AD12" s="742"/>
      <c r="AE12" s="742"/>
      <c r="AF12" s="742"/>
      <c r="AG12" s="742"/>
      <c r="AH12" s="742"/>
      <c r="AI12" s="742"/>
      <c r="AJ12" s="742" t="s">
        <v>1104</v>
      </c>
      <c r="AK12" s="742"/>
      <c r="AL12" s="762" t="s">
        <v>1498</v>
      </c>
      <c r="AM12" s="763"/>
      <c r="AN12" s="763"/>
      <c r="AO12" s="763"/>
      <c r="AP12" s="763"/>
      <c r="AQ12" s="763"/>
      <c r="AR12" s="763"/>
      <c r="AS12" s="763"/>
      <c r="AT12" s="763"/>
      <c r="AU12" s="763"/>
      <c r="AV12" s="763"/>
      <c r="AW12" s="763"/>
      <c r="AX12" s="763"/>
      <c r="AY12" s="764"/>
    </row>
    <row r="13" spans="2:51" s="403" customFormat="1" ht="36.75" customHeight="1">
      <c r="B13" s="742">
        <f>ROUNDDOWN(ROW()/ROWS(UNNH0030_REPORT_RAYOUT_SEIKYUSHO),0)*UNNH0030_REPORT_IF_B_PAGE_MEISAI_SU+1</f>
        <v>1</v>
      </c>
      <c r="C13" s="742"/>
      <c r="D13" s="743" t="str">
        <f t="shared" ref="D13:D32" ca="1" si="0">IF(OFFSET(UNNH0030_REPORT_IF_B_SHOHIN_MEI,$B13,0)="","",OFFSET(UNNH0030_REPORT_IF_B_SHOHIN_MEI,$B13,0))</f>
        <v/>
      </c>
      <c r="E13" s="743"/>
      <c r="F13" s="743"/>
      <c r="G13" s="743"/>
      <c r="H13" s="743"/>
      <c r="I13" s="743"/>
      <c r="J13" s="743"/>
      <c r="K13" s="743"/>
      <c r="L13" s="743"/>
      <c r="M13" s="743"/>
      <c r="N13" s="743"/>
      <c r="O13" s="743"/>
      <c r="P13" s="743"/>
      <c r="Q13" s="743"/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81" t="str">
        <f t="shared" ref="AC13:AC32" ca="1" si="1">IF(OR(OFFSET(UNNH0030_REPORT_IF_B_ROW_KBN,$B13,0)&lt;&gt;1,$D13="",$D13="消費税"),"",
OFFSET(UNNH0030_REPORT_IF_B_SURYO,$B13,0))</f>
        <v/>
      </c>
      <c r="AD13" s="781"/>
      <c r="AE13" s="781"/>
      <c r="AF13" s="781"/>
      <c r="AG13" s="781"/>
      <c r="AH13" s="781"/>
      <c r="AI13" s="781"/>
      <c r="AJ13" s="742" t="str">
        <f t="shared" ref="AJ13:AJ32" ca="1" si="2">IF(OFFSET(UNNH0030_REPORT_IF_B_TANI,$B13,0)="","",OFFSET(UNNH0030_REPORT_IF_B_TANI,$B13,0))</f>
        <v/>
      </c>
      <c r="AK13" s="742"/>
      <c r="AL13" s="765"/>
      <c r="AM13" s="766"/>
      <c r="AN13" s="766"/>
      <c r="AO13" s="766"/>
      <c r="AP13" s="766"/>
      <c r="AQ13" s="766"/>
      <c r="AR13" s="766"/>
      <c r="AS13" s="766"/>
      <c r="AT13" s="766"/>
      <c r="AU13" s="766"/>
      <c r="AV13" s="766"/>
      <c r="AW13" s="766"/>
      <c r="AX13" s="766"/>
      <c r="AY13" s="767"/>
    </row>
    <row r="14" spans="2:51" s="403" customFormat="1" ht="36.75" customHeight="1">
      <c r="B14" s="742">
        <f>B13+1</f>
        <v>2</v>
      </c>
      <c r="C14" s="742"/>
      <c r="D14" s="743" t="str">
        <f t="shared" ca="1" si="0"/>
        <v/>
      </c>
      <c r="E14" s="743"/>
      <c r="F14" s="743"/>
      <c r="G14" s="743"/>
      <c r="H14" s="743"/>
      <c r="I14" s="743"/>
      <c r="J14" s="743"/>
      <c r="K14" s="743"/>
      <c r="L14" s="743"/>
      <c r="M14" s="743"/>
      <c r="N14" s="743"/>
      <c r="O14" s="743"/>
      <c r="P14" s="743"/>
      <c r="Q14" s="743"/>
      <c r="R14" s="743"/>
      <c r="S14" s="743"/>
      <c r="T14" s="743"/>
      <c r="U14" s="743"/>
      <c r="V14" s="743"/>
      <c r="W14" s="743"/>
      <c r="X14" s="743"/>
      <c r="Y14" s="743"/>
      <c r="Z14" s="743"/>
      <c r="AA14" s="743"/>
      <c r="AB14" s="743"/>
      <c r="AC14" s="781" t="str">
        <f t="shared" ca="1" si="1"/>
        <v/>
      </c>
      <c r="AD14" s="781"/>
      <c r="AE14" s="781"/>
      <c r="AF14" s="781"/>
      <c r="AG14" s="781"/>
      <c r="AH14" s="781"/>
      <c r="AI14" s="781"/>
      <c r="AJ14" s="742" t="str">
        <f t="shared" ca="1" si="2"/>
        <v/>
      </c>
      <c r="AK14" s="742"/>
      <c r="AL14" s="768"/>
      <c r="AM14" s="769"/>
      <c r="AN14" s="769"/>
      <c r="AO14" s="769"/>
      <c r="AP14" s="769"/>
      <c r="AQ14" s="769"/>
      <c r="AR14" s="769"/>
      <c r="AS14" s="769"/>
      <c r="AT14" s="769"/>
      <c r="AU14" s="769"/>
      <c r="AV14" s="769"/>
      <c r="AW14" s="769"/>
      <c r="AX14" s="769"/>
      <c r="AY14" s="770"/>
    </row>
    <row r="15" spans="2:51" s="403" customFormat="1" ht="36.75" customHeight="1">
      <c r="B15" s="742">
        <f>B14+1</f>
        <v>3</v>
      </c>
      <c r="C15" s="742"/>
      <c r="D15" s="743" t="str">
        <f t="shared" ca="1" si="0"/>
        <v/>
      </c>
      <c r="E15" s="743"/>
      <c r="F15" s="743"/>
      <c r="G15" s="743"/>
      <c r="H15" s="743"/>
      <c r="I15" s="743"/>
      <c r="J15" s="743"/>
      <c r="K15" s="743"/>
      <c r="L15" s="743"/>
      <c r="M15" s="743"/>
      <c r="N15" s="743"/>
      <c r="O15" s="743"/>
      <c r="P15" s="743"/>
      <c r="Q15" s="743"/>
      <c r="R15" s="743"/>
      <c r="S15" s="743"/>
      <c r="T15" s="743"/>
      <c r="U15" s="743"/>
      <c r="V15" s="743"/>
      <c r="W15" s="743"/>
      <c r="X15" s="743"/>
      <c r="Y15" s="743"/>
      <c r="Z15" s="743"/>
      <c r="AA15" s="743"/>
      <c r="AB15" s="743"/>
      <c r="AC15" s="781" t="str">
        <f t="shared" ca="1" si="1"/>
        <v/>
      </c>
      <c r="AD15" s="781"/>
      <c r="AE15" s="781"/>
      <c r="AF15" s="781"/>
      <c r="AG15" s="781"/>
      <c r="AH15" s="781"/>
      <c r="AI15" s="781"/>
      <c r="AJ15" s="742" t="str">
        <f t="shared" ca="1" si="2"/>
        <v/>
      </c>
      <c r="AK15" s="742"/>
      <c r="AL15" s="768"/>
      <c r="AM15" s="769"/>
      <c r="AN15" s="769"/>
      <c r="AO15" s="769"/>
      <c r="AP15" s="769"/>
      <c r="AQ15" s="769"/>
      <c r="AR15" s="769"/>
      <c r="AS15" s="769"/>
      <c r="AT15" s="769"/>
      <c r="AU15" s="769"/>
      <c r="AV15" s="769"/>
      <c r="AW15" s="769"/>
      <c r="AX15" s="769"/>
      <c r="AY15" s="770"/>
    </row>
    <row r="16" spans="2:51" s="403" customFormat="1" ht="36.75" customHeight="1">
      <c r="B16" s="742">
        <f t="shared" ref="B16:B32" si="3">B15+1</f>
        <v>4</v>
      </c>
      <c r="C16" s="742"/>
      <c r="D16" s="743" t="str">
        <f t="shared" ca="1" si="0"/>
        <v/>
      </c>
      <c r="E16" s="743"/>
      <c r="F16" s="743"/>
      <c r="G16" s="743"/>
      <c r="H16" s="743"/>
      <c r="I16" s="743"/>
      <c r="J16" s="743"/>
      <c r="K16" s="743"/>
      <c r="L16" s="743"/>
      <c r="M16" s="743"/>
      <c r="N16" s="743"/>
      <c r="O16" s="743"/>
      <c r="P16" s="743"/>
      <c r="Q16" s="743"/>
      <c r="R16" s="743"/>
      <c r="S16" s="743"/>
      <c r="T16" s="743"/>
      <c r="U16" s="743"/>
      <c r="V16" s="743"/>
      <c r="W16" s="743"/>
      <c r="X16" s="743"/>
      <c r="Y16" s="743"/>
      <c r="Z16" s="743"/>
      <c r="AA16" s="743"/>
      <c r="AB16" s="743"/>
      <c r="AC16" s="781" t="str">
        <f t="shared" ca="1" si="1"/>
        <v/>
      </c>
      <c r="AD16" s="781"/>
      <c r="AE16" s="781"/>
      <c r="AF16" s="781"/>
      <c r="AG16" s="781"/>
      <c r="AH16" s="781"/>
      <c r="AI16" s="781"/>
      <c r="AJ16" s="742" t="str">
        <f t="shared" ca="1" si="2"/>
        <v/>
      </c>
      <c r="AK16" s="742"/>
      <c r="AL16" s="768"/>
      <c r="AM16" s="769"/>
      <c r="AN16" s="769"/>
      <c r="AO16" s="769"/>
      <c r="AP16" s="769"/>
      <c r="AQ16" s="769"/>
      <c r="AR16" s="769"/>
      <c r="AS16" s="769"/>
      <c r="AT16" s="769"/>
      <c r="AU16" s="769"/>
      <c r="AV16" s="769"/>
      <c r="AW16" s="769"/>
      <c r="AX16" s="769"/>
      <c r="AY16" s="770"/>
    </row>
    <row r="17" spans="1:52" s="403" customFormat="1" ht="36.75" customHeight="1">
      <c r="A17" s="403" t="s">
        <v>1529</v>
      </c>
      <c r="B17" s="742">
        <f t="shared" si="3"/>
        <v>5</v>
      </c>
      <c r="C17" s="742"/>
      <c r="D17" s="743" t="str">
        <f t="shared" ca="1" si="0"/>
        <v/>
      </c>
      <c r="E17" s="743"/>
      <c r="F17" s="743"/>
      <c r="G17" s="743"/>
      <c r="H17" s="743"/>
      <c r="I17" s="743"/>
      <c r="J17" s="743"/>
      <c r="K17" s="743"/>
      <c r="L17" s="743"/>
      <c r="M17" s="743"/>
      <c r="N17" s="743"/>
      <c r="O17" s="743"/>
      <c r="P17" s="743"/>
      <c r="Q17" s="743"/>
      <c r="R17" s="743"/>
      <c r="S17" s="743"/>
      <c r="T17" s="743"/>
      <c r="U17" s="743"/>
      <c r="V17" s="743"/>
      <c r="W17" s="743"/>
      <c r="X17" s="743"/>
      <c r="Y17" s="743"/>
      <c r="Z17" s="743"/>
      <c r="AA17" s="743"/>
      <c r="AB17" s="743"/>
      <c r="AC17" s="781" t="str">
        <f t="shared" ca="1" si="1"/>
        <v/>
      </c>
      <c r="AD17" s="781"/>
      <c r="AE17" s="781"/>
      <c r="AF17" s="781"/>
      <c r="AG17" s="781"/>
      <c r="AH17" s="781"/>
      <c r="AI17" s="781"/>
      <c r="AJ17" s="742" t="str">
        <f t="shared" ca="1" si="2"/>
        <v/>
      </c>
      <c r="AK17" s="742"/>
      <c r="AL17" s="768"/>
      <c r="AM17" s="769"/>
      <c r="AN17" s="769"/>
      <c r="AO17" s="769"/>
      <c r="AP17" s="769"/>
      <c r="AQ17" s="769"/>
      <c r="AR17" s="769"/>
      <c r="AS17" s="769"/>
      <c r="AT17" s="769"/>
      <c r="AU17" s="769"/>
      <c r="AV17" s="769"/>
      <c r="AW17" s="769"/>
      <c r="AX17" s="769"/>
      <c r="AY17" s="770"/>
      <c r="AZ17" s="473" t="s">
        <v>1530</v>
      </c>
    </row>
    <row r="18" spans="1:52" s="403" customFormat="1" ht="36.75" customHeight="1">
      <c r="B18" s="742">
        <f t="shared" si="3"/>
        <v>6</v>
      </c>
      <c r="C18" s="742"/>
      <c r="D18" s="743" t="str">
        <f t="shared" ca="1" si="0"/>
        <v/>
      </c>
      <c r="E18" s="743"/>
      <c r="F18" s="743"/>
      <c r="G18" s="743"/>
      <c r="H18" s="743"/>
      <c r="I18" s="743"/>
      <c r="J18" s="743"/>
      <c r="K18" s="743"/>
      <c r="L18" s="743"/>
      <c r="M18" s="743"/>
      <c r="N18" s="743"/>
      <c r="O18" s="743"/>
      <c r="P18" s="743"/>
      <c r="Q18" s="743"/>
      <c r="R18" s="743"/>
      <c r="S18" s="743"/>
      <c r="T18" s="743"/>
      <c r="U18" s="743"/>
      <c r="V18" s="743"/>
      <c r="W18" s="743"/>
      <c r="X18" s="743"/>
      <c r="Y18" s="743"/>
      <c r="Z18" s="743"/>
      <c r="AA18" s="743"/>
      <c r="AB18" s="743"/>
      <c r="AC18" s="781" t="str">
        <f t="shared" ca="1" si="1"/>
        <v/>
      </c>
      <c r="AD18" s="781"/>
      <c r="AE18" s="781"/>
      <c r="AF18" s="781"/>
      <c r="AG18" s="781"/>
      <c r="AH18" s="781"/>
      <c r="AI18" s="781"/>
      <c r="AJ18" s="742" t="str">
        <f t="shared" ca="1" si="2"/>
        <v/>
      </c>
      <c r="AK18" s="742"/>
      <c r="AL18" s="768"/>
      <c r="AM18" s="769"/>
      <c r="AN18" s="769"/>
      <c r="AO18" s="769"/>
      <c r="AP18" s="769"/>
      <c r="AQ18" s="769"/>
      <c r="AR18" s="769"/>
      <c r="AS18" s="769"/>
      <c r="AT18" s="769"/>
      <c r="AU18" s="769"/>
      <c r="AV18" s="769"/>
      <c r="AW18" s="769"/>
      <c r="AX18" s="769"/>
      <c r="AY18" s="770"/>
      <c r="AZ18" s="473"/>
    </row>
    <row r="19" spans="1:52" s="403" customFormat="1" ht="36.75" customHeight="1">
      <c r="B19" s="742">
        <f t="shared" si="3"/>
        <v>7</v>
      </c>
      <c r="C19" s="742"/>
      <c r="D19" s="743" t="str">
        <f t="shared" ca="1" si="0"/>
        <v/>
      </c>
      <c r="E19" s="743"/>
      <c r="F19" s="743"/>
      <c r="G19" s="743"/>
      <c r="H19" s="743"/>
      <c r="I19" s="743"/>
      <c r="J19" s="743"/>
      <c r="K19" s="743"/>
      <c r="L19" s="743"/>
      <c r="M19" s="743"/>
      <c r="N19" s="743"/>
      <c r="O19" s="743"/>
      <c r="P19" s="743"/>
      <c r="Q19" s="743"/>
      <c r="R19" s="743"/>
      <c r="S19" s="743"/>
      <c r="T19" s="743"/>
      <c r="U19" s="743"/>
      <c r="V19" s="743"/>
      <c r="W19" s="743"/>
      <c r="X19" s="743"/>
      <c r="Y19" s="743"/>
      <c r="Z19" s="743"/>
      <c r="AA19" s="743"/>
      <c r="AB19" s="743"/>
      <c r="AC19" s="781" t="str">
        <f t="shared" ca="1" si="1"/>
        <v/>
      </c>
      <c r="AD19" s="781"/>
      <c r="AE19" s="781"/>
      <c r="AF19" s="781"/>
      <c r="AG19" s="781"/>
      <c r="AH19" s="781"/>
      <c r="AI19" s="781"/>
      <c r="AJ19" s="742" t="str">
        <f t="shared" ca="1" si="2"/>
        <v/>
      </c>
      <c r="AK19" s="742"/>
      <c r="AL19" s="768"/>
      <c r="AM19" s="769"/>
      <c r="AN19" s="769"/>
      <c r="AO19" s="769"/>
      <c r="AP19" s="769"/>
      <c r="AQ19" s="769"/>
      <c r="AR19" s="769"/>
      <c r="AS19" s="769"/>
      <c r="AT19" s="769"/>
      <c r="AU19" s="769"/>
      <c r="AV19" s="769"/>
      <c r="AW19" s="769"/>
      <c r="AX19" s="769"/>
      <c r="AY19" s="770"/>
      <c r="AZ19" s="473"/>
    </row>
    <row r="20" spans="1:52" s="403" customFormat="1" ht="36.75" customHeight="1">
      <c r="B20" s="742">
        <f t="shared" si="3"/>
        <v>8</v>
      </c>
      <c r="C20" s="742"/>
      <c r="D20" s="743" t="str">
        <f t="shared" ca="1" si="0"/>
        <v/>
      </c>
      <c r="E20" s="743"/>
      <c r="F20" s="743"/>
      <c r="G20" s="743"/>
      <c r="H20" s="743"/>
      <c r="I20" s="743"/>
      <c r="J20" s="743"/>
      <c r="K20" s="743"/>
      <c r="L20" s="743"/>
      <c r="M20" s="743"/>
      <c r="N20" s="743"/>
      <c r="O20" s="743"/>
      <c r="P20" s="743"/>
      <c r="Q20" s="743"/>
      <c r="R20" s="743"/>
      <c r="S20" s="743"/>
      <c r="T20" s="743"/>
      <c r="U20" s="743"/>
      <c r="V20" s="743"/>
      <c r="W20" s="743"/>
      <c r="X20" s="743"/>
      <c r="Y20" s="743"/>
      <c r="Z20" s="743"/>
      <c r="AA20" s="743"/>
      <c r="AB20" s="743"/>
      <c r="AC20" s="781" t="str">
        <f t="shared" ca="1" si="1"/>
        <v/>
      </c>
      <c r="AD20" s="781"/>
      <c r="AE20" s="781"/>
      <c r="AF20" s="781"/>
      <c r="AG20" s="781"/>
      <c r="AH20" s="781"/>
      <c r="AI20" s="781"/>
      <c r="AJ20" s="742" t="str">
        <f t="shared" ca="1" si="2"/>
        <v/>
      </c>
      <c r="AK20" s="742"/>
      <c r="AL20" s="768"/>
      <c r="AM20" s="769"/>
      <c r="AN20" s="769"/>
      <c r="AO20" s="769"/>
      <c r="AP20" s="769"/>
      <c r="AQ20" s="769"/>
      <c r="AR20" s="769"/>
      <c r="AS20" s="769"/>
      <c r="AT20" s="769"/>
      <c r="AU20" s="769"/>
      <c r="AV20" s="769"/>
      <c r="AW20" s="769"/>
      <c r="AX20" s="769"/>
      <c r="AY20" s="770"/>
    </row>
    <row r="21" spans="1:52" s="403" customFormat="1" ht="36.75" customHeight="1">
      <c r="B21" s="742">
        <f t="shared" si="3"/>
        <v>9</v>
      </c>
      <c r="C21" s="742"/>
      <c r="D21" s="743" t="str">
        <f t="shared" ca="1" si="0"/>
        <v/>
      </c>
      <c r="E21" s="743"/>
      <c r="F21" s="743"/>
      <c r="G21" s="743"/>
      <c r="H21" s="743"/>
      <c r="I21" s="743"/>
      <c r="J21" s="743"/>
      <c r="K21" s="743"/>
      <c r="L21" s="743"/>
      <c r="M21" s="743"/>
      <c r="N21" s="743"/>
      <c r="O21" s="743"/>
      <c r="P21" s="743"/>
      <c r="Q21" s="743"/>
      <c r="R21" s="743"/>
      <c r="S21" s="743"/>
      <c r="T21" s="743"/>
      <c r="U21" s="743"/>
      <c r="V21" s="743"/>
      <c r="W21" s="743"/>
      <c r="X21" s="743"/>
      <c r="Y21" s="743"/>
      <c r="Z21" s="743"/>
      <c r="AA21" s="743"/>
      <c r="AB21" s="743"/>
      <c r="AC21" s="781" t="str">
        <f t="shared" ca="1" si="1"/>
        <v/>
      </c>
      <c r="AD21" s="781"/>
      <c r="AE21" s="781"/>
      <c r="AF21" s="781"/>
      <c r="AG21" s="781"/>
      <c r="AH21" s="781"/>
      <c r="AI21" s="781"/>
      <c r="AJ21" s="742" t="str">
        <f t="shared" ca="1" si="2"/>
        <v/>
      </c>
      <c r="AK21" s="742"/>
      <c r="AL21" s="768"/>
      <c r="AM21" s="769"/>
      <c r="AN21" s="769"/>
      <c r="AO21" s="769"/>
      <c r="AP21" s="769"/>
      <c r="AQ21" s="769"/>
      <c r="AR21" s="769"/>
      <c r="AS21" s="769"/>
      <c r="AT21" s="769"/>
      <c r="AU21" s="769"/>
      <c r="AV21" s="769"/>
      <c r="AW21" s="769"/>
      <c r="AX21" s="769"/>
      <c r="AY21" s="770"/>
    </row>
    <row r="22" spans="1:52" s="403" customFormat="1" ht="36.75" customHeight="1">
      <c r="B22" s="742">
        <f t="shared" si="3"/>
        <v>10</v>
      </c>
      <c r="C22" s="742"/>
      <c r="D22" s="743" t="str">
        <f t="shared" ca="1" si="0"/>
        <v/>
      </c>
      <c r="E22" s="743"/>
      <c r="F22" s="743"/>
      <c r="G22" s="743"/>
      <c r="H22" s="743"/>
      <c r="I22" s="743"/>
      <c r="J22" s="743"/>
      <c r="K22" s="743"/>
      <c r="L22" s="743"/>
      <c r="M22" s="743"/>
      <c r="N22" s="743"/>
      <c r="O22" s="743"/>
      <c r="P22" s="743"/>
      <c r="Q22" s="743"/>
      <c r="R22" s="743"/>
      <c r="S22" s="743"/>
      <c r="T22" s="743"/>
      <c r="U22" s="743"/>
      <c r="V22" s="743"/>
      <c r="W22" s="743"/>
      <c r="X22" s="743"/>
      <c r="Y22" s="743"/>
      <c r="Z22" s="743"/>
      <c r="AA22" s="743"/>
      <c r="AB22" s="743"/>
      <c r="AC22" s="781" t="str">
        <f t="shared" ca="1" si="1"/>
        <v/>
      </c>
      <c r="AD22" s="781"/>
      <c r="AE22" s="781"/>
      <c r="AF22" s="781"/>
      <c r="AG22" s="781"/>
      <c r="AH22" s="781"/>
      <c r="AI22" s="781"/>
      <c r="AJ22" s="742" t="str">
        <f t="shared" ca="1" si="2"/>
        <v/>
      </c>
      <c r="AK22" s="742"/>
      <c r="AL22" s="768"/>
      <c r="AM22" s="769"/>
      <c r="AN22" s="769"/>
      <c r="AO22" s="769"/>
      <c r="AP22" s="769"/>
      <c r="AQ22" s="769"/>
      <c r="AR22" s="769"/>
      <c r="AS22" s="769"/>
      <c r="AT22" s="769"/>
      <c r="AU22" s="769"/>
      <c r="AV22" s="769"/>
      <c r="AW22" s="769"/>
      <c r="AX22" s="769"/>
      <c r="AY22" s="770"/>
    </row>
    <row r="23" spans="1:52" s="403" customFormat="1" ht="36.75" customHeight="1">
      <c r="B23" s="742">
        <f t="shared" si="3"/>
        <v>11</v>
      </c>
      <c r="C23" s="742"/>
      <c r="D23" s="743" t="str">
        <f t="shared" ca="1" si="0"/>
        <v/>
      </c>
      <c r="E23" s="743"/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81" t="str">
        <f t="shared" ca="1" si="1"/>
        <v/>
      </c>
      <c r="AD23" s="781"/>
      <c r="AE23" s="781"/>
      <c r="AF23" s="781"/>
      <c r="AG23" s="781"/>
      <c r="AH23" s="781"/>
      <c r="AI23" s="781"/>
      <c r="AJ23" s="742" t="str">
        <f t="shared" ca="1" si="2"/>
        <v/>
      </c>
      <c r="AK23" s="742"/>
      <c r="AL23" s="768"/>
      <c r="AM23" s="769"/>
      <c r="AN23" s="769"/>
      <c r="AO23" s="769"/>
      <c r="AP23" s="769"/>
      <c r="AQ23" s="769"/>
      <c r="AR23" s="769"/>
      <c r="AS23" s="769"/>
      <c r="AT23" s="769"/>
      <c r="AU23" s="769"/>
      <c r="AV23" s="769"/>
      <c r="AW23" s="769"/>
      <c r="AX23" s="769"/>
      <c r="AY23" s="770"/>
    </row>
    <row r="24" spans="1:52" s="403" customFormat="1" ht="36.75" customHeight="1">
      <c r="B24" s="742">
        <f t="shared" si="3"/>
        <v>12</v>
      </c>
      <c r="C24" s="742"/>
      <c r="D24" s="743" t="str">
        <f t="shared" ca="1" si="0"/>
        <v/>
      </c>
      <c r="E24" s="743"/>
      <c r="F24" s="743"/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3"/>
      <c r="S24" s="743"/>
      <c r="T24" s="743"/>
      <c r="U24" s="743"/>
      <c r="V24" s="743"/>
      <c r="W24" s="743"/>
      <c r="X24" s="743"/>
      <c r="Y24" s="743"/>
      <c r="Z24" s="743"/>
      <c r="AA24" s="743"/>
      <c r="AB24" s="743"/>
      <c r="AC24" s="781" t="str">
        <f t="shared" ca="1" si="1"/>
        <v/>
      </c>
      <c r="AD24" s="781"/>
      <c r="AE24" s="781"/>
      <c r="AF24" s="781"/>
      <c r="AG24" s="781"/>
      <c r="AH24" s="781"/>
      <c r="AI24" s="781"/>
      <c r="AJ24" s="742" t="str">
        <f t="shared" ca="1" si="2"/>
        <v/>
      </c>
      <c r="AK24" s="742"/>
      <c r="AL24" s="768"/>
      <c r="AM24" s="769"/>
      <c r="AN24" s="769"/>
      <c r="AO24" s="769"/>
      <c r="AP24" s="769"/>
      <c r="AQ24" s="769"/>
      <c r="AR24" s="769"/>
      <c r="AS24" s="769"/>
      <c r="AT24" s="769"/>
      <c r="AU24" s="769"/>
      <c r="AV24" s="769"/>
      <c r="AW24" s="769"/>
      <c r="AX24" s="769"/>
      <c r="AY24" s="770"/>
    </row>
    <row r="25" spans="1:52" s="403" customFormat="1" ht="36.75" customHeight="1">
      <c r="B25" s="742">
        <f t="shared" si="3"/>
        <v>13</v>
      </c>
      <c r="C25" s="742"/>
      <c r="D25" s="743" t="str">
        <f t="shared" ca="1" si="0"/>
        <v/>
      </c>
      <c r="E25" s="743"/>
      <c r="F25" s="743"/>
      <c r="G25" s="743"/>
      <c r="H25" s="743"/>
      <c r="I25" s="743"/>
      <c r="J25" s="743"/>
      <c r="K25" s="743"/>
      <c r="L25" s="743"/>
      <c r="M25" s="743"/>
      <c r="N25" s="743"/>
      <c r="O25" s="743"/>
      <c r="P25" s="743"/>
      <c r="Q25" s="743"/>
      <c r="R25" s="743"/>
      <c r="S25" s="743"/>
      <c r="T25" s="743"/>
      <c r="U25" s="743"/>
      <c r="V25" s="743"/>
      <c r="W25" s="743"/>
      <c r="X25" s="743"/>
      <c r="Y25" s="743"/>
      <c r="Z25" s="743"/>
      <c r="AA25" s="743"/>
      <c r="AB25" s="743"/>
      <c r="AC25" s="781" t="str">
        <f t="shared" ca="1" si="1"/>
        <v/>
      </c>
      <c r="AD25" s="781"/>
      <c r="AE25" s="781"/>
      <c r="AF25" s="781"/>
      <c r="AG25" s="781"/>
      <c r="AH25" s="781"/>
      <c r="AI25" s="781"/>
      <c r="AJ25" s="742" t="str">
        <f t="shared" ca="1" si="2"/>
        <v/>
      </c>
      <c r="AK25" s="742"/>
      <c r="AL25" s="768"/>
      <c r="AM25" s="769"/>
      <c r="AN25" s="769"/>
      <c r="AO25" s="769"/>
      <c r="AP25" s="769"/>
      <c r="AQ25" s="769"/>
      <c r="AR25" s="769"/>
      <c r="AS25" s="769"/>
      <c r="AT25" s="769"/>
      <c r="AU25" s="769"/>
      <c r="AV25" s="769"/>
      <c r="AW25" s="769"/>
      <c r="AX25" s="769"/>
      <c r="AY25" s="770"/>
    </row>
    <row r="26" spans="1:52" s="403" customFormat="1" ht="36.75" customHeight="1">
      <c r="B26" s="742">
        <f t="shared" si="3"/>
        <v>14</v>
      </c>
      <c r="C26" s="742"/>
      <c r="D26" s="743" t="str">
        <f t="shared" ca="1" si="0"/>
        <v/>
      </c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43"/>
      <c r="S26" s="743"/>
      <c r="T26" s="743"/>
      <c r="U26" s="743"/>
      <c r="V26" s="743"/>
      <c r="W26" s="743"/>
      <c r="X26" s="743"/>
      <c r="Y26" s="743"/>
      <c r="Z26" s="743"/>
      <c r="AA26" s="743"/>
      <c r="AB26" s="743"/>
      <c r="AC26" s="781" t="str">
        <f t="shared" ca="1" si="1"/>
        <v/>
      </c>
      <c r="AD26" s="781"/>
      <c r="AE26" s="781"/>
      <c r="AF26" s="781"/>
      <c r="AG26" s="781"/>
      <c r="AH26" s="781"/>
      <c r="AI26" s="781"/>
      <c r="AJ26" s="742" t="str">
        <f t="shared" ca="1" si="2"/>
        <v/>
      </c>
      <c r="AK26" s="742"/>
      <c r="AL26" s="768"/>
      <c r="AM26" s="769"/>
      <c r="AN26" s="769"/>
      <c r="AO26" s="769"/>
      <c r="AP26" s="769"/>
      <c r="AQ26" s="769"/>
      <c r="AR26" s="769"/>
      <c r="AS26" s="769"/>
      <c r="AT26" s="769"/>
      <c r="AU26" s="769"/>
      <c r="AV26" s="769"/>
      <c r="AW26" s="769"/>
      <c r="AX26" s="769"/>
      <c r="AY26" s="770"/>
    </row>
    <row r="27" spans="1:52" s="403" customFormat="1" ht="36.75" customHeight="1">
      <c r="B27" s="742">
        <f t="shared" si="3"/>
        <v>15</v>
      </c>
      <c r="C27" s="742"/>
      <c r="D27" s="743" t="str">
        <f t="shared" ca="1" si="0"/>
        <v/>
      </c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43"/>
      <c r="S27" s="743"/>
      <c r="T27" s="743"/>
      <c r="U27" s="743"/>
      <c r="V27" s="743"/>
      <c r="W27" s="743"/>
      <c r="X27" s="743"/>
      <c r="Y27" s="743"/>
      <c r="Z27" s="743"/>
      <c r="AA27" s="743"/>
      <c r="AB27" s="743"/>
      <c r="AC27" s="781" t="str">
        <f t="shared" ca="1" si="1"/>
        <v/>
      </c>
      <c r="AD27" s="781"/>
      <c r="AE27" s="781"/>
      <c r="AF27" s="781"/>
      <c r="AG27" s="781"/>
      <c r="AH27" s="781"/>
      <c r="AI27" s="781"/>
      <c r="AJ27" s="742" t="str">
        <f t="shared" ca="1" si="2"/>
        <v/>
      </c>
      <c r="AK27" s="742"/>
      <c r="AL27" s="768"/>
      <c r="AM27" s="769"/>
      <c r="AN27" s="769"/>
      <c r="AO27" s="769"/>
      <c r="AP27" s="769"/>
      <c r="AQ27" s="769"/>
      <c r="AR27" s="769"/>
      <c r="AS27" s="769"/>
      <c r="AT27" s="769"/>
      <c r="AU27" s="769"/>
      <c r="AV27" s="769"/>
      <c r="AW27" s="769"/>
      <c r="AX27" s="769"/>
      <c r="AY27" s="770"/>
    </row>
    <row r="28" spans="1:52" s="403" customFormat="1" ht="36.75" customHeight="1">
      <c r="B28" s="742">
        <f t="shared" si="3"/>
        <v>16</v>
      </c>
      <c r="C28" s="742"/>
      <c r="D28" s="743" t="str">
        <f t="shared" ca="1" si="0"/>
        <v/>
      </c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43"/>
      <c r="S28" s="743"/>
      <c r="T28" s="743"/>
      <c r="U28" s="743"/>
      <c r="V28" s="743"/>
      <c r="W28" s="743"/>
      <c r="X28" s="743"/>
      <c r="Y28" s="743"/>
      <c r="Z28" s="743"/>
      <c r="AA28" s="743"/>
      <c r="AB28" s="743"/>
      <c r="AC28" s="781" t="str">
        <f t="shared" ca="1" si="1"/>
        <v/>
      </c>
      <c r="AD28" s="781"/>
      <c r="AE28" s="781"/>
      <c r="AF28" s="781"/>
      <c r="AG28" s="781"/>
      <c r="AH28" s="781"/>
      <c r="AI28" s="781"/>
      <c r="AJ28" s="742" t="str">
        <f t="shared" ca="1" si="2"/>
        <v/>
      </c>
      <c r="AK28" s="742"/>
      <c r="AL28" s="768"/>
      <c r="AM28" s="769"/>
      <c r="AN28" s="769"/>
      <c r="AO28" s="769"/>
      <c r="AP28" s="769"/>
      <c r="AQ28" s="769"/>
      <c r="AR28" s="769"/>
      <c r="AS28" s="769"/>
      <c r="AT28" s="769"/>
      <c r="AU28" s="769"/>
      <c r="AV28" s="769"/>
      <c r="AW28" s="769"/>
      <c r="AX28" s="769"/>
      <c r="AY28" s="770"/>
    </row>
    <row r="29" spans="1:52" s="403" customFormat="1" ht="36.75" customHeight="1">
      <c r="B29" s="742">
        <f t="shared" si="3"/>
        <v>17</v>
      </c>
      <c r="C29" s="742"/>
      <c r="D29" s="743" t="str">
        <f t="shared" ca="1" si="0"/>
        <v/>
      </c>
      <c r="E29" s="743"/>
      <c r="F29" s="743"/>
      <c r="G29" s="743"/>
      <c r="H29" s="743"/>
      <c r="I29" s="743"/>
      <c r="J29" s="743"/>
      <c r="K29" s="743"/>
      <c r="L29" s="743"/>
      <c r="M29" s="743"/>
      <c r="N29" s="743"/>
      <c r="O29" s="743"/>
      <c r="P29" s="743"/>
      <c r="Q29" s="743"/>
      <c r="R29" s="743"/>
      <c r="S29" s="743"/>
      <c r="T29" s="743"/>
      <c r="U29" s="743"/>
      <c r="V29" s="743"/>
      <c r="W29" s="743"/>
      <c r="X29" s="743"/>
      <c r="Y29" s="743"/>
      <c r="Z29" s="743"/>
      <c r="AA29" s="743"/>
      <c r="AB29" s="743"/>
      <c r="AC29" s="781" t="str">
        <f t="shared" ca="1" si="1"/>
        <v/>
      </c>
      <c r="AD29" s="781"/>
      <c r="AE29" s="781"/>
      <c r="AF29" s="781"/>
      <c r="AG29" s="781"/>
      <c r="AH29" s="781"/>
      <c r="AI29" s="781"/>
      <c r="AJ29" s="742" t="str">
        <f t="shared" ca="1" si="2"/>
        <v/>
      </c>
      <c r="AK29" s="742"/>
      <c r="AL29" s="768"/>
      <c r="AM29" s="769"/>
      <c r="AN29" s="769"/>
      <c r="AO29" s="769"/>
      <c r="AP29" s="769"/>
      <c r="AQ29" s="769"/>
      <c r="AR29" s="769"/>
      <c r="AS29" s="769"/>
      <c r="AT29" s="769"/>
      <c r="AU29" s="769"/>
      <c r="AV29" s="769"/>
      <c r="AW29" s="769"/>
      <c r="AX29" s="769"/>
      <c r="AY29" s="770"/>
    </row>
    <row r="30" spans="1:52" s="403" customFormat="1" ht="36.75" customHeight="1">
      <c r="B30" s="742">
        <f t="shared" si="3"/>
        <v>18</v>
      </c>
      <c r="C30" s="742"/>
      <c r="D30" s="743" t="str">
        <f t="shared" ca="1" si="0"/>
        <v/>
      </c>
      <c r="E30" s="743"/>
      <c r="F30" s="743"/>
      <c r="G30" s="743"/>
      <c r="H30" s="743"/>
      <c r="I30" s="743"/>
      <c r="J30" s="743"/>
      <c r="K30" s="743"/>
      <c r="L30" s="743"/>
      <c r="M30" s="743"/>
      <c r="N30" s="743"/>
      <c r="O30" s="743"/>
      <c r="P30" s="743"/>
      <c r="Q30" s="743"/>
      <c r="R30" s="743"/>
      <c r="S30" s="743"/>
      <c r="T30" s="743"/>
      <c r="U30" s="743"/>
      <c r="V30" s="743"/>
      <c r="W30" s="743"/>
      <c r="X30" s="743"/>
      <c r="Y30" s="743"/>
      <c r="Z30" s="743"/>
      <c r="AA30" s="743"/>
      <c r="AB30" s="743"/>
      <c r="AC30" s="781" t="str">
        <f t="shared" ca="1" si="1"/>
        <v/>
      </c>
      <c r="AD30" s="781"/>
      <c r="AE30" s="781"/>
      <c r="AF30" s="781"/>
      <c r="AG30" s="781"/>
      <c r="AH30" s="781"/>
      <c r="AI30" s="781"/>
      <c r="AJ30" s="742" t="str">
        <f t="shared" ca="1" si="2"/>
        <v/>
      </c>
      <c r="AK30" s="742"/>
      <c r="AL30" s="768"/>
      <c r="AM30" s="769"/>
      <c r="AN30" s="769"/>
      <c r="AO30" s="769"/>
      <c r="AP30" s="769"/>
      <c r="AQ30" s="769"/>
      <c r="AR30" s="769"/>
      <c r="AS30" s="769"/>
      <c r="AT30" s="769"/>
      <c r="AU30" s="769"/>
      <c r="AV30" s="769"/>
      <c r="AW30" s="769"/>
      <c r="AX30" s="769"/>
      <c r="AY30" s="770"/>
    </row>
    <row r="31" spans="1:52" s="403" customFormat="1" ht="36.75" customHeight="1">
      <c r="A31" s="403" t="s">
        <v>1529</v>
      </c>
      <c r="B31" s="742">
        <f t="shared" si="3"/>
        <v>19</v>
      </c>
      <c r="C31" s="742"/>
      <c r="D31" s="743" t="str">
        <f t="shared" ca="1" si="0"/>
        <v/>
      </c>
      <c r="E31" s="743"/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3"/>
      <c r="R31" s="743"/>
      <c r="S31" s="743"/>
      <c r="T31" s="743"/>
      <c r="U31" s="743"/>
      <c r="V31" s="743"/>
      <c r="W31" s="743"/>
      <c r="X31" s="743"/>
      <c r="Y31" s="743"/>
      <c r="Z31" s="743"/>
      <c r="AA31" s="743"/>
      <c r="AB31" s="743"/>
      <c r="AC31" s="781" t="str">
        <f t="shared" ca="1" si="1"/>
        <v/>
      </c>
      <c r="AD31" s="781"/>
      <c r="AE31" s="781"/>
      <c r="AF31" s="781"/>
      <c r="AG31" s="781"/>
      <c r="AH31" s="781"/>
      <c r="AI31" s="781"/>
      <c r="AJ31" s="742" t="str">
        <f t="shared" ca="1" si="2"/>
        <v/>
      </c>
      <c r="AK31" s="742"/>
      <c r="AL31" s="768"/>
      <c r="AM31" s="769"/>
      <c r="AN31" s="769"/>
      <c r="AO31" s="769"/>
      <c r="AP31" s="769"/>
      <c r="AQ31" s="769"/>
      <c r="AR31" s="769"/>
      <c r="AS31" s="769"/>
      <c r="AT31" s="769"/>
      <c r="AU31" s="769"/>
      <c r="AV31" s="769"/>
      <c r="AW31" s="769"/>
      <c r="AX31" s="769"/>
      <c r="AY31" s="770"/>
      <c r="AZ31" s="473" t="s">
        <v>1530</v>
      </c>
    </row>
    <row r="32" spans="1:52" s="403" customFormat="1" ht="36.75" customHeight="1">
      <c r="B32" s="742">
        <f t="shared" si="3"/>
        <v>20</v>
      </c>
      <c r="C32" s="742"/>
      <c r="D32" s="743" t="str">
        <f t="shared" ca="1" si="0"/>
        <v/>
      </c>
      <c r="E32" s="743"/>
      <c r="F32" s="743"/>
      <c r="G32" s="743"/>
      <c r="H32" s="743"/>
      <c r="I32" s="743"/>
      <c r="J32" s="743"/>
      <c r="K32" s="743"/>
      <c r="L32" s="743"/>
      <c r="M32" s="743"/>
      <c r="N32" s="743"/>
      <c r="O32" s="743"/>
      <c r="P32" s="743"/>
      <c r="Q32" s="743"/>
      <c r="R32" s="743"/>
      <c r="S32" s="743"/>
      <c r="T32" s="743"/>
      <c r="U32" s="743"/>
      <c r="V32" s="743"/>
      <c r="W32" s="743"/>
      <c r="X32" s="743"/>
      <c r="Y32" s="743"/>
      <c r="Z32" s="743"/>
      <c r="AA32" s="743"/>
      <c r="AB32" s="743"/>
      <c r="AC32" s="781" t="str">
        <f t="shared" ca="1" si="1"/>
        <v/>
      </c>
      <c r="AD32" s="781"/>
      <c r="AE32" s="781"/>
      <c r="AF32" s="781"/>
      <c r="AG32" s="781"/>
      <c r="AH32" s="781"/>
      <c r="AI32" s="781"/>
      <c r="AJ32" s="742" t="str">
        <f t="shared" ca="1" si="2"/>
        <v/>
      </c>
      <c r="AK32" s="742"/>
      <c r="AL32" s="768"/>
      <c r="AM32" s="769"/>
      <c r="AN32" s="769"/>
      <c r="AO32" s="769"/>
      <c r="AP32" s="769"/>
      <c r="AQ32" s="769"/>
      <c r="AR32" s="769"/>
      <c r="AS32" s="769"/>
      <c r="AT32" s="769"/>
      <c r="AU32" s="769"/>
      <c r="AV32" s="769"/>
      <c r="AW32" s="769"/>
      <c r="AX32" s="769"/>
      <c r="AY32" s="770"/>
    </row>
    <row r="33" spans="2:51" s="403" customFormat="1" ht="45" customHeight="1">
      <c r="B33" s="749" t="s">
        <v>1527</v>
      </c>
      <c r="C33" s="750"/>
      <c r="D33" s="750"/>
      <c r="E33" s="778" t="str">
        <f>IF(UNNH0030_REPORT_IF_H_EIGYO_MEI="","",UNNH0030_REPORT_IF_H_EIGYO_MEI)</f>
        <v/>
      </c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9"/>
      <c r="S33" s="779"/>
      <c r="T33" s="779"/>
      <c r="U33" s="779"/>
      <c r="V33" s="779"/>
      <c r="W33" s="779"/>
      <c r="X33" s="779"/>
      <c r="Y33" s="779"/>
      <c r="Z33" s="779"/>
      <c r="AA33" s="779"/>
      <c r="AB33" s="779"/>
      <c r="AC33" s="779"/>
      <c r="AD33" s="779"/>
      <c r="AE33" s="779"/>
      <c r="AF33" s="779"/>
      <c r="AG33" s="779"/>
      <c r="AH33" s="779"/>
      <c r="AI33" s="779"/>
      <c r="AJ33" s="779"/>
      <c r="AK33" s="780"/>
      <c r="AL33" s="771"/>
      <c r="AM33" s="772"/>
      <c r="AN33" s="772"/>
      <c r="AO33" s="772"/>
      <c r="AP33" s="772"/>
      <c r="AQ33" s="772"/>
      <c r="AR33" s="772"/>
      <c r="AS33" s="772"/>
      <c r="AT33" s="772"/>
      <c r="AU33" s="772"/>
      <c r="AV33" s="772"/>
      <c r="AW33" s="772"/>
      <c r="AX33" s="772"/>
      <c r="AY33" s="773"/>
    </row>
    <row r="34" spans="2:51" s="403" customFormat="1" ht="33.75" customHeight="1"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</row>
    <row r="35" spans="2:51" s="403" customFormat="1" ht="38.25" customHeight="1">
      <c r="B35" s="756" t="s">
        <v>1528</v>
      </c>
      <c r="C35" s="757"/>
      <c r="D35" s="758"/>
      <c r="E35" s="738" t="str">
        <f>IF(UNNH0030_REPORT_IF_H_TEKIYO="","",UNNH0030_REPORT_IF_H_TEKIYO)</f>
        <v/>
      </c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8"/>
      <c r="Y35" s="738"/>
      <c r="Z35" s="738"/>
      <c r="AA35" s="738"/>
      <c r="AB35" s="738"/>
      <c r="AC35" s="738"/>
      <c r="AD35" s="738"/>
      <c r="AE35" s="738"/>
      <c r="AF35" s="738"/>
      <c r="AG35" s="738"/>
      <c r="AH35" s="738"/>
      <c r="AI35" s="738"/>
      <c r="AJ35" s="738"/>
      <c r="AK35" s="738"/>
      <c r="AL35" s="738"/>
      <c r="AM35" s="738"/>
      <c r="AN35" s="738"/>
      <c r="AO35" s="738"/>
      <c r="AP35" s="738"/>
      <c r="AQ35" s="738"/>
      <c r="AR35" s="738"/>
      <c r="AS35" s="738"/>
      <c r="AU35" s="739" t="str">
        <f>IF(UNNH0030_REPORT_IF_H_SEIKYUHOHO_KBN=0,"","締日 "&amp;UNNH0030_REPORT_IF_H_SHIMEBI)</f>
        <v/>
      </c>
      <c r="AV35" s="739"/>
      <c r="AW35" s="739"/>
      <c r="AX35" s="739"/>
      <c r="AY35" s="740" t="str">
        <f>UNNH0030_REPORT_IF_H_SHIMEBI_MARK</f>
        <v>*</v>
      </c>
    </row>
    <row r="36" spans="2:51" s="403" customFormat="1" ht="38.25" customHeight="1">
      <c r="B36" s="759"/>
      <c r="C36" s="760"/>
      <c r="D36" s="761"/>
      <c r="E36" s="738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8"/>
      <c r="Y36" s="738"/>
      <c r="Z36" s="738"/>
      <c r="AA36" s="738"/>
      <c r="AB36" s="738"/>
      <c r="AC36" s="738"/>
      <c r="AD36" s="738"/>
      <c r="AE36" s="738"/>
      <c r="AF36" s="738"/>
      <c r="AG36" s="738"/>
      <c r="AH36" s="738"/>
      <c r="AI36" s="738"/>
      <c r="AJ36" s="738"/>
      <c r="AK36" s="738"/>
      <c r="AL36" s="738"/>
      <c r="AM36" s="738"/>
      <c r="AN36" s="738"/>
      <c r="AO36" s="738"/>
      <c r="AP36" s="738"/>
      <c r="AQ36" s="738"/>
      <c r="AR36" s="738"/>
      <c r="AS36" s="738"/>
      <c r="AU36" s="739"/>
      <c r="AV36" s="739"/>
      <c r="AW36" s="739"/>
      <c r="AX36" s="739"/>
      <c r="AY36" s="740"/>
    </row>
    <row r="37" spans="2:51" s="403" customFormat="1" ht="30" customHeight="1">
      <c r="B37" s="777" t="str">
        <f>IF(UNNH0030_REPORT_IF_JURI_NO="","",UNNH0030_REPORT_IF_JURI_NO)</f>
        <v/>
      </c>
      <c r="C37" s="777"/>
      <c r="D37" s="777"/>
      <c r="E37" s="777"/>
      <c r="F37" s="777"/>
      <c r="G37" s="777"/>
      <c r="H37" s="777"/>
      <c r="I37" s="777"/>
      <c r="J37" s="777"/>
      <c r="K37" s="777"/>
      <c r="L37" s="777"/>
      <c r="M37" s="777"/>
      <c r="N37" s="777"/>
      <c r="O37" s="777"/>
      <c r="P37" s="777"/>
      <c r="Q37" s="777"/>
      <c r="R37" s="777"/>
      <c r="S37" s="777"/>
      <c r="T37" s="777"/>
      <c r="U37" s="777"/>
      <c r="V37" s="777"/>
      <c r="W37" s="777"/>
      <c r="X37" s="777"/>
      <c r="Y37" s="777"/>
      <c r="Z37" s="777"/>
      <c r="AA37" s="777"/>
      <c r="AB37" s="777"/>
      <c r="AC37" s="777"/>
      <c r="AD37" s="777"/>
      <c r="AE37" s="777"/>
      <c r="AF37" s="777"/>
      <c r="AG37" s="777"/>
      <c r="AH37" s="777"/>
      <c r="AI37" s="777"/>
      <c r="AJ37" s="777"/>
      <c r="AK37" s="777"/>
      <c r="AL37" s="777"/>
      <c r="AM37" s="777"/>
      <c r="AN37" s="777"/>
      <c r="AO37" s="777"/>
      <c r="AP37" s="777"/>
      <c r="AQ37" s="777"/>
      <c r="AR37" s="777"/>
      <c r="AS37" s="777"/>
      <c r="AT37" s="777"/>
      <c r="AU37" s="777"/>
      <c r="AV37" s="777"/>
      <c r="AW37" s="777"/>
      <c r="AX37" s="777"/>
      <c r="AY37" s="777"/>
    </row>
    <row r="38" spans="2:51" s="403" customFormat="1" ht="12" customHeight="1">
      <c r="C38" s="404"/>
      <c r="D38" s="404"/>
      <c r="E38" s="465"/>
      <c r="F38" s="466"/>
      <c r="G38" s="466"/>
      <c r="H38" s="466"/>
      <c r="I38" s="466"/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7"/>
      <c r="AA38" s="744" t="s">
        <v>1535</v>
      </c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P38" s="774" t="str">
        <f>"No."&amp;UNNH0030_REPORT_IF_H_URIAGE_NO&amp;"-"&amp;ROUNDUP(ROW()/ROWS(UNNH0030_SEIKYUSHO_PAGE_AREA),0)&amp;"/"&amp;UNNH0030_REPORT_IF_B_PAGE_TOTAL</f>
        <v>No.-2/1</v>
      </c>
      <c r="AQ38" s="774"/>
      <c r="AR38" s="774"/>
      <c r="AS38" s="774"/>
      <c r="AT38" s="774"/>
      <c r="AU38" s="774"/>
      <c r="AV38" s="774"/>
      <c r="AW38" s="774"/>
      <c r="AX38" s="774"/>
      <c r="AY38" s="774"/>
    </row>
    <row r="39" spans="2:51" s="403" customFormat="1" ht="24.75" customHeight="1">
      <c r="C39" s="404"/>
      <c r="E39" s="468"/>
      <c r="F39" s="775" t="str">
        <f>IF(UNNH0030_REPORT_IF_H_JUSHO_NO_PRINT_FLG=TRUE,"","〒")</f>
        <v>〒</v>
      </c>
      <c r="G39" s="775"/>
      <c r="H39" s="776" t="str">
        <f>IF(UNNH0030_REPORT_IF_H_JUSHO_NO_PRINT_FLG=TRUE,"",IF(UNNH0030_REPORT_IF_H_YUBIN_NO="","",UNNH0030_REPORT_IF_H_YUBIN_NO))</f>
        <v/>
      </c>
      <c r="I39" s="776"/>
      <c r="J39" s="776"/>
      <c r="K39" s="776"/>
      <c r="L39" s="776"/>
      <c r="M39" s="776"/>
      <c r="N39" s="776"/>
      <c r="O39" s="776"/>
      <c r="P39" s="776"/>
      <c r="Q39" s="776"/>
      <c r="R39" s="776"/>
      <c r="S39" s="776"/>
      <c r="T39" s="776"/>
      <c r="U39" s="776"/>
      <c r="V39" s="776"/>
      <c r="W39" s="776"/>
      <c r="X39" s="776"/>
      <c r="Y39" s="469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P39" s="774"/>
      <c r="AQ39" s="774"/>
      <c r="AR39" s="774"/>
      <c r="AS39" s="774"/>
      <c r="AT39" s="774"/>
      <c r="AU39" s="774"/>
      <c r="AV39" s="774"/>
      <c r="AW39" s="774"/>
      <c r="AX39" s="774"/>
      <c r="AY39" s="774"/>
    </row>
    <row r="40" spans="2:51" s="403" customFormat="1" ht="24.75" customHeight="1">
      <c r="C40" s="404"/>
      <c r="E40" s="468"/>
      <c r="F40" s="745" t="str">
        <f>IF(UNNH0030_REPORT_IF_H_JUSHO_NO_PRINT_FLG="","",IF(UNNH0030_REPORT_IF_H_ADDRESS_1="","",UNNH0030_REPORT_IF_H_ADDRESS_1))</f>
        <v/>
      </c>
      <c r="G40" s="745"/>
      <c r="H40" s="745"/>
      <c r="I40" s="745"/>
      <c r="J40" s="745"/>
      <c r="K40" s="745"/>
      <c r="L40" s="745"/>
      <c r="M40" s="745"/>
      <c r="N40" s="745"/>
      <c r="O40" s="745"/>
      <c r="P40" s="745"/>
      <c r="Q40" s="745"/>
      <c r="R40" s="745"/>
      <c r="S40" s="745"/>
      <c r="T40" s="745"/>
      <c r="U40" s="745"/>
      <c r="V40" s="745"/>
      <c r="W40" s="745"/>
      <c r="X40" s="745"/>
      <c r="Y40" s="469"/>
      <c r="AP40" s="748">
        <f>UNNH0030_REPORT_IF_H_URIAGE_DATE</f>
        <v>0</v>
      </c>
      <c r="AQ40" s="748"/>
      <c r="AR40" s="748"/>
      <c r="AS40" s="748"/>
      <c r="AT40" s="748"/>
      <c r="AU40" s="748"/>
      <c r="AV40" s="748"/>
      <c r="AW40" s="748"/>
      <c r="AX40" s="748"/>
      <c r="AY40" s="748"/>
    </row>
    <row r="41" spans="2:51" s="403" customFormat="1" ht="24.75" customHeight="1">
      <c r="C41" s="404"/>
      <c r="E41" s="468"/>
      <c r="F41" s="745" t="str">
        <f>IF(UNNH0030_REPORT_IF_H_JUSHO_NO_PRINT_FLG="","",IF(UNNH0030_REPORT_IF_H_ADDRESS_2="","",UNNH0030_REPORT_IF_H_ADDRESS_2))</f>
        <v/>
      </c>
      <c r="G41" s="745"/>
      <c r="H41" s="745"/>
      <c r="I41" s="745"/>
      <c r="J41" s="745"/>
      <c r="K41" s="745"/>
      <c r="L41" s="745"/>
      <c r="M41" s="745"/>
      <c r="N41" s="745"/>
      <c r="O41" s="745"/>
      <c r="P41" s="745"/>
      <c r="Q41" s="745"/>
      <c r="R41" s="745"/>
      <c r="S41" s="745"/>
      <c r="T41" s="745"/>
      <c r="U41" s="745"/>
      <c r="V41" s="745"/>
      <c r="W41" s="745"/>
      <c r="X41" s="745"/>
      <c r="Y41" s="469"/>
    </row>
    <row r="42" spans="2:51" s="403" customFormat="1" ht="24.75" customHeight="1">
      <c r="C42" s="404"/>
      <c r="E42" s="468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  <c r="Q42" s="409"/>
      <c r="R42" s="409"/>
      <c r="S42" s="409"/>
      <c r="T42" s="409"/>
      <c r="U42" s="409"/>
      <c r="V42" s="409"/>
      <c r="W42" s="409"/>
      <c r="X42" s="409"/>
      <c r="Y42" s="469"/>
    </row>
    <row r="43" spans="2:51" s="403" customFormat="1" ht="26.25" customHeight="1">
      <c r="C43" s="404"/>
      <c r="E43" s="470"/>
      <c r="F43" s="745" t="str">
        <f>IF(TRIM(UNNH0030_REPORT_IF_H_SOFU_TANTO)="","",
IF(TRIM(UNNH0030_REPORT_IF_H_DEMPYO_SOFU_MEI)="","",
TRIM(UNNH0030_REPORT_IF_H_DEMPYO_SOFU_MEI)))</f>
        <v/>
      </c>
      <c r="G43" s="745"/>
      <c r="H43" s="745"/>
      <c r="I43" s="745"/>
      <c r="J43" s="745"/>
      <c r="K43" s="745"/>
      <c r="L43" s="745"/>
      <c r="M43" s="745"/>
      <c r="N43" s="745"/>
      <c r="O43" s="745"/>
      <c r="P43" s="745"/>
      <c r="Q43" s="745"/>
      <c r="R43" s="745"/>
      <c r="S43" s="745"/>
      <c r="T43" s="745"/>
      <c r="U43" s="745"/>
      <c r="V43" s="745"/>
      <c r="W43" s="745"/>
      <c r="X43" s="745"/>
      <c r="Y43" s="469"/>
    </row>
    <row r="44" spans="2:51" s="403" customFormat="1" ht="26.25" customHeight="1">
      <c r="C44" s="404"/>
      <c r="E44" s="468"/>
      <c r="F44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  <c r="U44" s="746"/>
      <c r="V44" s="746"/>
      <c r="W44" s="746"/>
      <c r="X44" s="746"/>
      <c r="Y44" s="469"/>
      <c r="Z44" s="477" t="str">
        <f>UNNH0030_REPORT_IF_H_SHIMEBI_MARK</f>
        <v>*</v>
      </c>
    </row>
    <row r="45" spans="2:51" s="403" customFormat="1" ht="25.5" customHeight="1">
      <c r="C45" s="404"/>
      <c r="E45" s="471"/>
      <c r="F45" s="747">
        <f>UNNH0030_REPORT_IF_H_SEIKYU_CD</f>
        <v>0</v>
      </c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  <c r="U45" s="747"/>
      <c r="V45" s="747"/>
      <c r="W45" s="747"/>
      <c r="X45" s="747"/>
      <c r="Y45" s="472"/>
    </row>
    <row r="46" spans="2:51" s="403" customFormat="1" ht="30" customHeight="1">
      <c r="C46" s="404"/>
    </row>
    <row r="47" spans="2:51" s="403" customFormat="1" ht="30" customHeight="1"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</row>
    <row r="48" spans="2:51" s="403" customFormat="1" ht="29.25" customHeight="1">
      <c r="B48" s="474" t="s">
        <v>1101</v>
      </c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</row>
    <row r="49" spans="1:52" s="403" customFormat="1" ht="36.75" customHeight="1">
      <c r="B49" s="742"/>
      <c r="C49" s="742"/>
      <c r="D49" s="742" t="s">
        <v>1102</v>
      </c>
      <c r="E49" s="742"/>
      <c r="F49" s="742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  <c r="R49" s="742"/>
      <c r="S49" s="742"/>
      <c r="T49" s="742"/>
      <c r="U49" s="742"/>
      <c r="V49" s="742"/>
      <c r="W49" s="742"/>
      <c r="X49" s="742"/>
      <c r="Y49" s="742"/>
      <c r="Z49" s="742"/>
      <c r="AA49" s="742"/>
      <c r="AB49" s="742"/>
      <c r="AC49" s="742" t="s">
        <v>1103</v>
      </c>
      <c r="AD49" s="742"/>
      <c r="AE49" s="742"/>
      <c r="AF49" s="742"/>
      <c r="AG49" s="742"/>
      <c r="AH49" s="742"/>
      <c r="AI49" s="742"/>
      <c r="AJ49" s="742" t="s">
        <v>1104</v>
      </c>
      <c r="AK49" s="742"/>
      <c r="AL49" s="762" t="s">
        <v>1498</v>
      </c>
      <c r="AM49" s="763"/>
      <c r="AN49" s="763"/>
      <c r="AO49" s="763"/>
      <c r="AP49" s="763"/>
      <c r="AQ49" s="763"/>
      <c r="AR49" s="763"/>
      <c r="AS49" s="763"/>
      <c r="AT49" s="763"/>
      <c r="AU49" s="763"/>
      <c r="AV49" s="763"/>
      <c r="AW49" s="763"/>
      <c r="AX49" s="763"/>
      <c r="AY49" s="764"/>
    </row>
    <row r="50" spans="1:52" s="403" customFormat="1" ht="36.75" customHeight="1">
      <c r="B50" s="742">
        <f>ROUNDDOWN(ROW()/ROWS(UNNH0030_REPORT_RAYOUT_SEIKYUSHO),0)*UNNH0030_REPORT_IF_B_PAGE_MEISAI_SU+1</f>
        <v>21</v>
      </c>
      <c r="C50" s="742"/>
      <c r="D50" s="743" t="str">
        <f t="shared" ref="D50:D69" ca="1" si="4">IF(OFFSET(UNNH0030_REPORT_IF_B_SHOHIN_MEI,$B50,0)="","",OFFSET(UNNH0030_REPORT_IF_B_SHOHIN_MEI,$B50,0))</f>
        <v/>
      </c>
      <c r="E50" s="743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81" t="str">
        <f t="shared" ref="AC50:AC69" ca="1" si="5">IF(OR(OFFSET(UNNH0030_REPORT_IF_B_ROW_KBN,$B50,0)&lt;&gt;1,$D50="",$D50="消費税"),"",
OFFSET(UNNH0030_REPORT_IF_B_SURYO,$B50,0))</f>
        <v/>
      </c>
      <c r="AD50" s="781"/>
      <c r="AE50" s="781"/>
      <c r="AF50" s="781"/>
      <c r="AG50" s="781"/>
      <c r="AH50" s="781"/>
      <c r="AI50" s="781"/>
      <c r="AJ50" s="742" t="str">
        <f t="shared" ref="AJ50:AJ69" ca="1" si="6">IF(OFFSET(UNNH0030_REPORT_IF_B_TANI,$B50,0)="","",OFFSET(UNNH0030_REPORT_IF_B_TANI,$B50,0))</f>
        <v/>
      </c>
      <c r="AK50" s="742"/>
      <c r="AL50" s="765"/>
      <c r="AM50" s="766"/>
      <c r="AN50" s="766"/>
      <c r="AO50" s="766"/>
      <c r="AP50" s="766"/>
      <c r="AQ50" s="766"/>
      <c r="AR50" s="766"/>
      <c r="AS50" s="766"/>
      <c r="AT50" s="766"/>
      <c r="AU50" s="766"/>
      <c r="AV50" s="766"/>
      <c r="AW50" s="766"/>
      <c r="AX50" s="766"/>
      <c r="AY50" s="767"/>
    </row>
    <row r="51" spans="1:52" s="403" customFormat="1" ht="36.75" customHeight="1">
      <c r="B51" s="742">
        <f>B50+1</f>
        <v>22</v>
      </c>
      <c r="C51" s="742"/>
      <c r="D51" s="743" t="str">
        <f t="shared" ca="1" si="4"/>
        <v/>
      </c>
      <c r="E51" s="743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81" t="str">
        <f t="shared" ca="1" si="5"/>
        <v/>
      </c>
      <c r="AD51" s="781"/>
      <c r="AE51" s="781"/>
      <c r="AF51" s="781"/>
      <c r="AG51" s="781"/>
      <c r="AH51" s="781"/>
      <c r="AI51" s="781"/>
      <c r="AJ51" s="742" t="str">
        <f t="shared" ca="1" si="6"/>
        <v/>
      </c>
      <c r="AK51" s="742"/>
      <c r="AL51" s="768"/>
      <c r="AM51" s="769"/>
      <c r="AN51" s="769"/>
      <c r="AO51" s="769"/>
      <c r="AP51" s="769"/>
      <c r="AQ51" s="769"/>
      <c r="AR51" s="769"/>
      <c r="AS51" s="769"/>
      <c r="AT51" s="769"/>
      <c r="AU51" s="769"/>
      <c r="AV51" s="769"/>
      <c r="AW51" s="769"/>
      <c r="AX51" s="769"/>
      <c r="AY51" s="770"/>
    </row>
    <row r="52" spans="1:52" s="403" customFormat="1" ht="36.75" customHeight="1">
      <c r="B52" s="742">
        <f>B51+1</f>
        <v>23</v>
      </c>
      <c r="C52" s="742"/>
      <c r="D52" s="743" t="str">
        <f t="shared" ca="1" si="4"/>
        <v/>
      </c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3"/>
      <c r="R52" s="743"/>
      <c r="S52" s="743"/>
      <c r="T52" s="743"/>
      <c r="U52" s="743"/>
      <c r="V52" s="743"/>
      <c r="W52" s="743"/>
      <c r="X52" s="743"/>
      <c r="Y52" s="743"/>
      <c r="Z52" s="743"/>
      <c r="AA52" s="743"/>
      <c r="AB52" s="743"/>
      <c r="AC52" s="781" t="str">
        <f t="shared" ca="1" si="5"/>
        <v/>
      </c>
      <c r="AD52" s="781"/>
      <c r="AE52" s="781"/>
      <c r="AF52" s="781"/>
      <c r="AG52" s="781"/>
      <c r="AH52" s="781"/>
      <c r="AI52" s="781"/>
      <c r="AJ52" s="742" t="str">
        <f t="shared" ca="1" si="6"/>
        <v/>
      </c>
      <c r="AK52" s="742"/>
      <c r="AL52" s="768"/>
      <c r="AM52" s="769"/>
      <c r="AN52" s="769"/>
      <c r="AO52" s="769"/>
      <c r="AP52" s="769"/>
      <c r="AQ52" s="769"/>
      <c r="AR52" s="769"/>
      <c r="AS52" s="769"/>
      <c r="AT52" s="769"/>
      <c r="AU52" s="769"/>
      <c r="AV52" s="769"/>
      <c r="AW52" s="769"/>
      <c r="AX52" s="769"/>
      <c r="AY52" s="770"/>
    </row>
    <row r="53" spans="1:52" s="403" customFormat="1" ht="36.75" customHeight="1">
      <c r="B53" s="742">
        <f t="shared" ref="B53:B69" si="7">B52+1</f>
        <v>24</v>
      </c>
      <c r="C53" s="742"/>
      <c r="D53" s="743" t="str">
        <f t="shared" ca="1" si="4"/>
        <v/>
      </c>
      <c r="E53" s="743"/>
      <c r="F53" s="743"/>
      <c r="G53" s="743"/>
      <c r="H53" s="743"/>
      <c r="I53" s="743"/>
      <c r="J53" s="743"/>
      <c r="K53" s="743"/>
      <c r="L53" s="743"/>
      <c r="M53" s="743"/>
      <c r="N53" s="743"/>
      <c r="O53" s="743"/>
      <c r="P53" s="743"/>
      <c r="Q53" s="743"/>
      <c r="R53" s="743"/>
      <c r="S53" s="743"/>
      <c r="T53" s="743"/>
      <c r="U53" s="743"/>
      <c r="V53" s="743"/>
      <c r="W53" s="743"/>
      <c r="X53" s="743"/>
      <c r="Y53" s="743"/>
      <c r="Z53" s="743"/>
      <c r="AA53" s="743"/>
      <c r="AB53" s="743"/>
      <c r="AC53" s="781" t="str">
        <f t="shared" ca="1" si="5"/>
        <v/>
      </c>
      <c r="AD53" s="781"/>
      <c r="AE53" s="781"/>
      <c r="AF53" s="781"/>
      <c r="AG53" s="781"/>
      <c r="AH53" s="781"/>
      <c r="AI53" s="781"/>
      <c r="AJ53" s="742" t="str">
        <f t="shared" ca="1" si="6"/>
        <v/>
      </c>
      <c r="AK53" s="742"/>
      <c r="AL53" s="768"/>
      <c r="AM53" s="769"/>
      <c r="AN53" s="769"/>
      <c r="AO53" s="769"/>
      <c r="AP53" s="769"/>
      <c r="AQ53" s="769"/>
      <c r="AR53" s="769"/>
      <c r="AS53" s="769"/>
      <c r="AT53" s="769"/>
      <c r="AU53" s="769"/>
      <c r="AV53" s="769"/>
      <c r="AW53" s="769"/>
      <c r="AX53" s="769"/>
      <c r="AY53" s="770"/>
    </row>
    <row r="54" spans="1:52" s="403" customFormat="1" ht="36.75" customHeight="1">
      <c r="A54" s="403" t="s">
        <v>1529</v>
      </c>
      <c r="B54" s="742">
        <f t="shared" si="7"/>
        <v>25</v>
      </c>
      <c r="C54" s="742"/>
      <c r="D54" s="743" t="str">
        <f t="shared" ca="1" si="4"/>
        <v/>
      </c>
      <c r="E54" s="743"/>
      <c r="F54" s="743"/>
      <c r="G54" s="743"/>
      <c r="H54" s="743"/>
      <c r="I54" s="743"/>
      <c r="J54" s="743"/>
      <c r="K54" s="743"/>
      <c r="L54" s="743"/>
      <c r="M54" s="743"/>
      <c r="N54" s="743"/>
      <c r="O54" s="743"/>
      <c r="P54" s="743"/>
      <c r="Q54" s="743"/>
      <c r="R54" s="743"/>
      <c r="S54" s="743"/>
      <c r="T54" s="743"/>
      <c r="U54" s="743"/>
      <c r="V54" s="743"/>
      <c r="W54" s="743"/>
      <c r="X54" s="743"/>
      <c r="Y54" s="743"/>
      <c r="Z54" s="743"/>
      <c r="AA54" s="743"/>
      <c r="AB54" s="743"/>
      <c r="AC54" s="781" t="str">
        <f t="shared" ca="1" si="5"/>
        <v/>
      </c>
      <c r="AD54" s="781"/>
      <c r="AE54" s="781"/>
      <c r="AF54" s="781"/>
      <c r="AG54" s="781"/>
      <c r="AH54" s="781"/>
      <c r="AI54" s="781"/>
      <c r="AJ54" s="742" t="str">
        <f t="shared" ca="1" si="6"/>
        <v/>
      </c>
      <c r="AK54" s="742"/>
      <c r="AL54" s="768"/>
      <c r="AM54" s="769"/>
      <c r="AN54" s="769"/>
      <c r="AO54" s="769"/>
      <c r="AP54" s="769"/>
      <c r="AQ54" s="769"/>
      <c r="AR54" s="769"/>
      <c r="AS54" s="769"/>
      <c r="AT54" s="769"/>
      <c r="AU54" s="769"/>
      <c r="AV54" s="769"/>
      <c r="AW54" s="769"/>
      <c r="AX54" s="769"/>
      <c r="AY54" s="770"/>
      <c r="AZ54" s="473" t="s">
        <v>1530</v>
      </c>
    </row>
    <row r="55" spans="1:52" s="403" customFormat="1" ht="36.75" customHeight="1">
      <c r="B55" s="742">
        <f t="shared" si="7"/>
        <v>26</v>
      </c>
      <c r="C55" s="742"/>
      <c r="D55" s="743" t="str">
        <f t="shared" ca="1" si="4"/>
        <v/>
      </c>
      <c r="E55" s="743"/>
      <c r="F55" s="743"/>
      <c r="G55" s="743"/>
      <c r="H55" s="743"/>
      <c r="I55" s="743"/>
      <c r="J55" s="743"/>
      <c r="K55" s="743"/>
      <c r="L55" s="743"/>
      <c r="M55" s="743"/>
      <c r="N55" s="743"/>
      <c r="O55" s="743"/>
      <c r="P55" s="743"/>
      <c r="Q55" s="743"/>
      <c r="R55" s="743"/>
      <c r="S55" s="743"/>
      <c r="T55" s="743"/>
      <c r="U55" s="743"/>
      <c r="V55" s="743"/>
      <c r="W55" s="743"/>
      <c r="X55" s="743"/>
      <c r="Y55" s="743"/>
      <c r="Z55" s="743"/>
      <c r="AA55" s="743"/>
      <c r="AB55" s="743"/>
      <c r="AC55" s="781" t="str">
        <f t="shared" ca="1" si="5"/>
        <v/>
      </c>
      <c r="AD55" s="781"/>
      <c r="AE55" s="781"/>
      <c r="AF55" s="781"/>
      <c r="AG55" s="781"/>
      <c r="AH55" s="781"/>
      <c r="AI55" s="781"/>
      <c r="AJ55" s="742" t="str">
        <f t="shared" ca="1" si="6"/>
        <v/>
      </c>
      <c r="AK55" s="742"/>
      <c r="AL55" s="768"/>
      <c r="AM55" s="769"/>
      <c r="AN55" s="769"/>
      <c r="AO55" s="769"/>
      <c r="AP55" s="769"/>
      <c r="AQ55" s="769"/>
      <c r="AR55" s="769"/>
      <c r="AS55" s="769"/>
      <c r="AT55" s="769"/>
      <c r="AU55" s="769"/>
      <c r="AV55" s="769"/>
      <c r="AW55" s="769"/>
      <c r="AX55" s="769"/>
      <c r="AY55" s="770"/>
      <c r="AZ55" s="473"/>
    </row>
    <row r="56" spans="1:52" s="403" customFormat="1" ht="36.75" customHeight="1">
      <c r="B56" s="742">
        <f t="shared" si="7"/>
        <v>27</v>
      </c>
      <c r="C56" s="742"/>
      <c r="D56" s="743" t="str">
        <f t="shared" ca="1" si="4"/>
        <v/>
      </c>
      <c r="E56" s="743"/>
      <c r="F56" s="743"/>
      <c r="G56" s="743"/>
      <c r="H56" s="743"/>
      <c r="I56" s="743"/>
      <c r="J56" s="743"/>
      <c r="K56" s="743"/>
      <c r="L56" s="743"/>
      <c r="M56" s="743"/>
      <c r="N56" s="743"/>
      <c r="O56" s="743"/>
      <c r="P56" s="743"/>
      <c r="Q56" s="743"/>
      <c r="R56" s="743"/>
      <c r="S56" s="743"/>
      <c r="T56" s="743"/>
      <c r="U56" s="743"/>
      <c r="V56" s="743"/>
      <c r="W56" s="743"/>
      <c r="X56" s="743"/>
      <c r="Y56" s="743"/>
      <c r="Z56" s="743"/>
      <c r="AA56" s="743"/>
      <c r="AB56" s="743"/>
      <c r="AC56" s="781" t="str">
        <f t="shared" ca="1" si="5"/>
        <v/>
      </c>
      <c r="AD56" s="781"/>
      <c r="AE56" s="781"/>
      <c r="AF56" s="781"/>
      <c r="AG56" s="781"/>
      <c r="AH56" s="781"/>
      <c r="AI56" s="781"/>
      <c r="AJ56" s="742" t="str">
        <f t="shared" ca="1" si="6"/>
        <v/>
      </c>
      <c r="AK56" s="742"/>
      <c r="AL56" s="768"/>
      <c r="AM56" s="769"/>
      <c r="AN56" s="769"/>
      <c r="AO56" s="769"/>
      <c r="AP56" s="769"/>
      <c r="AQ56" s="769"/>
      <c r="AR56" s="769"/>
      <c r="AS56" s="769"/>
      <c r="AT56" s="769"/>
      <c r="AU56" s="769"/>
      <c r="AV56" s="769"/>
      <c r="AW56" s="769"/>
      <c r="AX56" s="769"/>
      <c r="AY56" s="770"/>
      <c r="AZ56" s="473"/>
    </row>
    <row r="57" spans="1:52" s="403" customFormat="1" ht="36.75" customHeight="1">
      <c r="B57" s="742">
        <f t="shared" si="7"/>
        <v>28</v>
      </c>
      <c r="C57" s="742"/>
      <c r="D57" s="743" t="str">
        <f t="shared" ca="1" si="4"/>
        <v/>
      </c>
      <c r="E57" s="743"/>
      <c r="F57" s="743"/>
      <c r="G57" s="743"/>
      <c r="H57" s="743"/>
      <c r="I57" s="743"/>
      <c r="J57" s="743"/>
      <c r="K57" s="743"/>
      <c r="L57" s="743"/>
      <c r="M57" s="743"/>
      <c r="N57" s="743"/>
      <c r="O57" s="743"/>
      <c r="P57" s="743"/>
      <c r="Q57" s="743"/>
      <c r="R57" s="743"/>
      <c r="S57" s="743"/>
      <c r="T57" s="743"/>
      <c r="U57" s="743"/>
      <c r="V57" s="743"/>
      <c r="W57" s="743"/>
      <c r="X57" s="743"/>
      <c r="Y57" s="743"/>
      <c r="Z57" s="743"/>
      <c r="AA57" s="743"/>
      <c r="AB57" s="743"/>
      <c r="AC57" s="781" t="str">
        <f t="shared" ca="1" si="5"/>
        <v/>
      </c>
      <c r="AD57" s="781"/>
      <c r="AE57" s="781"/>
      <c r="AF57" s="781"/>
      <c r="AG57" s="781"/>
      <c r="AH57" s="781"/>
      <c r="AI57" s="781"/>
      <c r="AJ57" s="742" t="str">
        <f t="shared" ca="1" si="6"/>
        <v/>
      </c>
      <c r="AK57" s="742"/>
      <c r="AL57" s="768"/>
      <c r="AM57" s="769"/>
      <c r="AN57" s="769"/>
      <c r="AO57" s="769"/>
      <c r="AP57" s="769"/>
      <c r="AQ57" s="769"/>
      <c r="AR57" s="769"/>
      <c r="AS57" s="769"/>
      <c r="AT57" s="769"/>
      <c r="AU57" s="769"/>
      <c r="AV57" s="769"/>
      <c r="AW57" s="769"/>
      <c r="AX57" s="769"/>
      <c r="AY57" s="770"/>
    </row>
    <row r="58" spans="1:52" s="403" customFormat="1" ht="36.75" customHeight="1">
      <c r="B58" s="742">
        <f t="shared" si="7"/>
        <v>29</v>
      </c>
      <c r="C58" s="742"/>
      <c r="D58" s="743" t="str">
        <f t="shared" ca="1" si="4"/>
        <v/>
      </c>
      <c r="E58" s="743"/>
      <c r="F58" s="743"/>
      <c r="G58" s="743"/>
      <c r="H58" s="743"/>
      <c r="I58" s="743"/>
      <c r="J58" s="743"/>
      <c r="K58" s="743"/>
      <c r="L58" s="743"/>
      <c r="M58" s="743"/>
      <c r="N58" s="743"/>
      <c r="O58" s="743"/>
      <c r="P58" s="743"/>
      <c r="Q58" s="743"/>
      <c r="R58" s="743"/>
      <c r="S58" s="743"/>
      <c r="T58" s="743"/>
      <c r="U58" s="743"/>
      <c r="V58" s="743"/>
      <c r="W58" s="743"/>
      <c r="X58" s="743"/>
      <c r="Y58" s="743"/>
      <c r="Z58" s="743"/>
      <c r="AA58" s="743"/>
      <c r="AB58" s="743"/>
      <c r="AC58" s="781" t="str">
        <f t="shared" ca="1" si="5"/>
        <v/>
      </c>
      <c r="AD58" s="781"/>
      <c r="AE58" s="781"/>
      <c r="AF58" s="781"/>
      <c r="AG58" s="781"/>
      <c r="AH58" s="781"/>
      <c r="AI58" s="781"/>
      <c r="AJ58" s="742" t="str">
        <f t="shared" ca="1" si="6"/>
        <v/>
      </c>
      <c r="AK58" s="742"/>
      <c r="AL58" s="768"/>
      <c r="AM58" s="769"/>
      <c r="AN58" s="769"/>
      <c r="AO58" s="769"/>
      <c r="AP58" s="769"/>
      <c r="AQ58" s="769"/>
      <c r="AR58" s="769"/>
      <c r="AS58" s="769"/>
      <c r="AT58" s="769"/>
      <c r="AU58" s="769"/>
      <c r="AV58" s="769"/>
      <c r="AW58" s="769"/>
      <c r="AX58" s="769"/>
      <c r="AY58" s="770"/>
    </row>
    <row r="59" spans="1:52" s="403" customFormat="1" ht="36.75" customHeight="1">
      <c r="B59" s="742">
        <f t="shared" si="7"/>
        <v>30</v>
      </c>
      <c r="C59" s="742"/>
      <c r="D59" s="743" t="str">
        <f t="shared" ca="1" si="4"/>
        <v/>
      </c>
      <c r="E59" s="743"/>
      <c r="F59" s="743"/>
      <c r="G59" s="743"/>
      <c r="H59" s="743"/>
      <c r="I59" s="743"/>
      <c r="J59" s="743"/>
      <c r="K59" s="743"/>
      <c r="L59" s="743"/>
      <c r="M59" s="743"/>
      <c r="N59" s="743"/>
      <c r="O59" s="743"/>
      <c r="P59" s="743"/>
      <c r="Q59" s="743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81" t="str">
        <f t="shared" ca="1" si="5"/>
        <v/>
      </c>
      <c r="AD59" s="781"/>
      <c r="AE59" s="781"/>
      <c r="AF59" s="781"/>
      <c r="AG59" s="781"/>
      <c r="AH59" s="781"/>
      <c r="AI59" s="781"/>
      <c r="AJ59" s="742" t="str">
        <f t="shared" ca="1" si="6"/>
        <v/>
      </c>
      <c r="AK59" s="742"/>
      <c r="AL59" s="768"/>
      <c r="AM59" s="769"/>
      <c r="AN59" s="769"/>
      <c r="AO59" s="769"/>
      <c r="AP59" s="769"/>
      <c r="AQ59" s="769"/>
      <c r="AR59" s="769"/>
      <c r="AS59" s="769"/>
      <c r="AT59" s="769"/>
      <c r="AU59" s="769"/>
      <c r="AV59" s="769"/>
      <c r="AW59" s="769"/>
      <c r="AX59" s="769"/>
      <c r="AY59" s="770"/>
    </row>
    <row r="60" spans="1:52" s="403" customFormat="1" ht="36.75" customHeight="1">
      <c r="B60" s="742">
        <f t="shared" si="7"/>
        <v>31</v>
      </c>
      <c r="C60" s="742"/>
      <c r="D60" s="743" t="str">
        <f t="shared" ca="1" si="4"/>
        <v/>
      </c>
      <c r="E60" s="743"/>
      <c r="F60" s="743"/>
      <c r="G60" s="743"/>
      <c r="H60" s="743"/>
      <c r="I60" s="743"/>
      <c r="J60" s="743"/>
      <c r="K60" s="743"/>
      <c r="L60" s="743"/>
      <c r="M60" s="743"/>
      <c r="N60" s="743"/>
      <c r="O60" s="743"/>
      <c r="P60" s="743"/>
      <c r="Q60" s="743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81" t="str">
        <f t="shared" ca="1" si="5"/>
        <v/>
      </c>
      <c r="AD60" s="781"/>
      <c r="AE60" s="781"/>
      <c r="AF60" s="781"/>
      <c r="AG60" s="781"/>
      <c r="AH60" s="781"/>
      <c r="AI60" s="781"/>
      <c r="AJ60" s="742" t="str">
        <f t="shared" ca="1" si="6"/>
        <v/>
      </c>
      <c r="AK60" s="742"/>
      <c r="AL60" s="768"/>
      <c r="AM60" s="769"/>
      <c r="AN60" s="769"/>
      <c r="AO60" s="769"/>
      <c r="AP60" s="769"/>
      <c r="AQ60" s="769"/>
      <c r="AR60" s="769"/>
      <c r="AS60" s="769"/>
      <c r="AT60" s="769"/>
      <c r="AU60" s="769"/>
      <c r="AV60" s="769"/>
      <c r="AW60" s="769"/>
      <c r="AX60" s="769"/>
      <c r="AY60" s="770"/>
    </row>
    <row r="61" spans="1:52" s="403" customFormat="1" ht="36.75" customHeight="1">
      <c r="B61" s="742">
        <f t="shared" si="7"/>
        <v>32</v>
      </c>
      <c r="C61" s="742"/>
      <c r="D61" s="743" t="str">
        <f t="shared" ca="1" si="4"/>
        <v/>
      </c>
      <c r="E61" s="743"/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3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81" t="str">
        <f t="shared" ca="1" si="5"/>
        <v/>
      </c>
      <c r="AD61" s="781"/>
      <c r="AE61" s="781"/>
      <c r="AF61" s="781"/>
      <c r="AG61" s="781"/>
      <c r="AH61" s="781"/>
      <c r="AI61" s="781"/>
      <c r="AJ61" s="742" t="str">
        <f t="shared" ca="1" si="6"/>
        <v/>
      </c>
      <c r="AK61" s="742"/>
      <c r="AL61" s="768"/>
      <c r="AM61" s="769"/>
      <c r="AN61" s="769"/>
      <c r="AO61" s="769"/>
      <c r="AP61" s="769"/>
      <c r="AQ61" s="769"/>
      <c r="AR61" s="769"/>
      <c r="AS61" s="769"/>
      <c r="AT61" s="769"/>
      <c r="AU61" s="769"/>
      <c r="AV61" s="769"/>
      <c r="AW61" s="769"/>
      <c r="AX61" s="769"/>
      <c r="AY61" s="770"/>
    </row>
    <row r="62" spans="1:52" s="403" customFormat="1" ht="36.75" customHeight="1">
      <c r="B62" s="742">
        <f t="shared" si="7"/>
        <v>33</v>
      </c>
      <c r="C62" s="742"/>
      <c r="D62" s="743" t="str">
        <f t="shared" ca="1" si="4"/>
        <v/>
      </c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81" t="str">
        <f t="shared" ca="1" si="5"/>
        <v/>
      </c>
      <c r="AD62" s="781"/>
      <c r="AE62" s="781"/>
      <c r="AF62" s="781"/>
      <c r="AG62" s="781"/>
      <c r="AH62" s="781"/>
      <c r="AI62" s="781"/>
      <c r="AJ62" s="742" t="str">
        <f t="shared" ca="1" si="6"/>
        <v/>
      </c>
      <c r="AK62" s="742"/>
      <c r="AL62" s="768"/>
      <c r="AM62" s="769"/>
      <c r="AN62" s="769"/>
      <c r="AO62" s="769"/>
      <c r="AP62" s="769"/>
      <c r="AQ62" s="769"/>
      <c r="AR62" s="769"/>
      <c r="AS62" s="769"/>
      <c r="AT62" s="769"/>
      <c r="AU62" s="769"/>
      <c r="AV62" s="769"/>
      <c r="AW62" s="769"/>
      <c r="AX62" s="769"/>
      <c r="AY62" s="770"/>
    </row>
    <row r="63" spans="1:52" s="403" customFormat="1" ht="36.75" customHeight="1">
      <c r="B63" s="742">
        <f t="shared" si="7"/>
        <v>34</v>
      </c>
      <c r="C63" s="742"/>
      <c r="D63" s="743" t="str">
        <f t="shared" ca="1" si="4"/>
        <v/>
      </c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81" t="str">
        <f t="shared" ca="1" si="5"/>
        <v/>
      </c>
      <c r="AD63" s="781"/>
      <c r="AE63" s="781"/>
      <c r="AF63" s="781"/>
      <c r="AG63" s="781"/>
      <c r="AH63" s="781"/>
      <c r="AI63" s="781"/>
      <c r="AJ63" s="742" t="str">
        <f t="shared" ca="1" si="6"/>
        <v/>
      </c>
      <c r="AK63" s="742"/>
      <c r="AL63" s="768"/>
      <c r="AM63" s="769"/>
      <c r="AN63" s="769"/>
      <c r="AO63" s="769"/>
      <c r="AP63" s="769"/>
      <c r="AQ63" s="769"/>
      <c r="AR63" s="769"/>
      <c r="AS63" s="769"/>
      <c r="AT63" s="769"/>
      <c r="AU63" s="769"/>
      <c r="AV63" s="769"/>
      <c r="AW63" s="769"/>
      <c r="AX63" s="769"/>
      <c r="AY63" s="770"/>
    </row>
    <row r="64" spans="1:52" s="403" customFormat="1" ht="36.75" customHeight="1">
      <c r="B64" s="742">
        <f t="shared" si="7"/>
        <v>35</v>
      </c>
      <c r="C64" s="742"/>
      <c r="D64" s="743" t="str">
        <f t="shared" ca="1" si="4"/>
        <v/>
      </c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81" t="str">
        <f t="shared" ca="1" si="5"/>
        <v/>
      </c>
      <c r="AD64" s="781"/>
      <c r="AE64" s="781"/>
      <c r="AF64" s="781"/>
      <c r="AG64" s="781"/>
      <c r="AH64" s="781"/>
      <c r="AI64" s="781"/>
      <c r="AJ64" s="742" t="str">
        <f t="shared" ca="1" si="6"/>
        <v/>
      </c>
      <c r="AK64" s="742"/>
      <c r="AL64" s="768"/>
      <c r="AM64" s="769"/>
      <c r="AN64" s="769"/>
      <c r="AO64" s="769"/>
      <c r="AP64" s="769"/>
      <c r="AQ64" s="769"/>
      <c r="AR64" s="769"/>
      <c r="AS64" s="769"/>
      <c r="AT64" s="769"/>
      <c r="AU64" s="769"/>
      <c r="AV64" s="769"/>
      <c r="AW64" s="769"/>
      <c r="AX64" s="769"/>
      <c r="AY64" s="770"/>
    </row>
    <row r="65" spans="1:52" s="403" customFormat="1" ht="36.75" customHeight="1">
      <c r="B65" s="742">
        <f t="shared" si="7"/>
        <v>36</v>
      </c>
      <c r="C65" s="742"/>
      <c r="D65" s="743" t="str">
        <f t="shared" ca="1" si="4"/>
        <v/>
      </c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81" t="str">
        <f t="shared" ca="1" si="5"/>
        <v/>
      </c>
      <c r="AD65" s="781"/>
      <c r="AE65" s="781"/>
      <c r="AF65" s="781"/>
      <c r="AG65" s="781"/>
      <c r="AH65" s="781"/>
      <c r="AI65" s="781"/>
      <c r="AJ65" s="742" t="str">
        <f t="shared" ca="1" si="6"/>
        <v/>
      </c>
      <c r="AK65" s="742"/>
      <c r="AL65" s="768"/>
      <c r="AM65" s="769"/>
      <c r="AN65" s="769"/>
      <c r="AO65" s="769"/>
      <c r="AP65" s="769"/>
      <c r="AQ65" s="769"/>
      <c r="AR65" s="769"/>
      <c r="AS65" s="769"/>
      <c r="AT65" s="769"/>
      <c r="AU65" s="769"/>
      <c r="AV65" s="769"/>
      <c r="AW65" s="769"/>
      <c r="AX65" s="769"/>
      <c r="AY65" s="770"/>
    </row>
    <row r="66" spans="1:52" s="403" customFormat="1" ht="36.75" customHeight="1">
      <c r="B66" s="742">
        <f t="shared" si="7"/>
        <v>37</v>
      </c>
      <c r="C66" s="742"/>
      <c r="D66" s="743" t="str">
        <f t="shared" ca="1" si="4"/>
        <v/>
      </c>
      <c r="E66" s="743"/>
      <c r="F66" s="743"/>
      <c r="G66" s="743"/>
      <c r="H66" s="743"/>
      <c r="I66" s="743"/>
      <c r="J66" s="743"/>
      <c r="K66" s="743"/>
      <c r="L66" s="743"/>
      <c r="M66" s="743"/>
      <c r="N66" s="743"/>
      <c r="O66" s="743"/>
      <c r="P66" s="743"/>
      <c r="Q66" s="743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81" t="str">
        <f t="shared" ca="1" si="5"/>
        <v/>
      </c>
      <c r="AD66" s="781"/>
      <c r="AE66" s="781"/>
      <c r="AF66" s="781"/>
      <c r="AG66" s="781"/>
      <c r="AH66" s="781"/>
      <c r="AI66" s="781"/>
      <c r="AJ66" s="742" t="str">
        <f t="shared" ca="1" si="6"/>
        <v/>
      </c>
      <c r="AK66" s="742"/>
      <c r="AL66" s="768"/>
      <c r="AM66" s="769"/>
      <c r="AN66" s="769"/>
      <c r="AO66" s="769"/>
      <c r="AP66" s="769"/>
      <c r="AQ66" s="769"/>
      <c r="AR66" s="769"/>
      <c r="AS66" s="769"/>
      <c r="AT66" s="769"/>
      <c r="AU66" s="769"/>
      <c r="AV66" s="769"/>
      <c r="AW66" s="769"/>
      <c r="AX66" s="769"/>
      <c r="AY66" s="770"/>
    </row>
    <row r="67" spans="1:52" s="403" customFormat="1" ht="36.75" customHeight="1">
      <c r="B67" s="742">
        <f t="shared" si="7"/>
        <v>38</v>
      </c>
      <c r="C67" s="742"/>
      <c r="D67" s="743" t="str">
        <f t="shared" ca="1" si="4"/>
        <v/>
      </c>
      <c r="E67" s="743"/>
      <c r="F67" s="743"/>
      <c r="G67" s="743"/>
      <c r="H67" s="743"/>
      <c r="I67" s="743"/>
      <c r="J67" s="743"/>
      <c r="K67" s="743"/>
      <c r="L67" s="743"/>
      <c r="M67" s="743"/>
      <c r="N67" s="743"/>
      <c r="O67" s="743"/>
      <c r="P67" s="743"/>
      <c r="Q67" s="743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81" t="str">
        <f t="shared" ca="1" si="5"/>
        <v/>
      </c>
      <c r="AD67" s="781"/>
      <c r="AE67" s="781"/>
      <c r="AF67" s="781"/>
      <c r="AG67" s="781"/>
      <c r="AH67" s="781"/>
      <c r="AI67" s="781"/>
      <c r="AJ67" s="742" t="str">
        <f t="shared" ca="1" si="6"/>
        <v/>
      </c>
      <c r="AK67" s="742"/>
      <c r="AL67" s="768"/>
      <c r="AM67" s="769"/>
      <c r="AN67" s="769"/>
      <c r="AO67" s="769"/>
      <c r="AP67" s="769"/>
      <c r="AQ67" s="769"/>
      <c r="AR67" s="769"/>
      <c r="AS67" s="769"/>
      <c r="AT67" s="769"/>
      <c r="AU67" s="769"/>
      <c r="AV67" s="769"/>
      <c r="AW67" s="769"/>
      <c r="AX67" s="769"/>
      <c r="AY67" s="770"/>
    </row>
    <row r="68" spans="1:52" s="403" customFormat="1" ht="36.75" customHeight="1">
      <c r="A68" s="403" t="s">
        <v>1529</v>
      </c>
      <c r="B68" s="742">
        <f t="shared" si="7"/>
        <v>39</v>
      </c>
      <c r="C68" s="742"/>
      <c r="D68" s="743" t="str">
        <f t="shared" ca="1" si="4"/>
        <v/>
      </c>
      <c r="E68" s="743"/>
      <c r="F68" s="743"/>
      <c r="G68" s="743"/>
      <c r="H68" s="743"/>
      <c r="I68" s="743"/>
      <c r="J68" s="743"/>
      <c r="K68" s="743"/>
      <c r="L68" s="743"/>
      <c r="M68" s="743"/>
      <c r="N68" s="743"/>
      <c r="O68" s="743"/>
      <c r="P68" s="743"/>
      <c r="Q68" s="743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81" t="str">
        <f t="shared" ca="1" si="5"/>
        <v/>
      </c>
      <c r="AD68" s="781"/>
      <c r="AE68" s="781"/>
      <c r="AF68" s="781"/>
      <c r="AG68" s="781"/>
      <c r="AH68" s="781"/>
      <c r="AI68" s="781"/>
      <c r="AJ68" s="742" t="str">
        <f t="shared" ca="1" si="6"/>
        <v/>
      </c>
      <c r="AK68" s="742"/>
      <c r="AL68" s="768"/>
      <c r="AM68" s="769"/>
      <c r="AN68" s="769"/>
      <c r="AO68" s="769"/>
      <c r="AP68" s="769"/>
      <c r="AQ68" s="769"/>
      <c r="AR68" s="769"/>
      <c r="AS68" s="769"/>
      <c r="AT68" s="769"/>
      <c r="AU68" s="769"/>
      <c r="AV68" s="769"/>
      <c r="AW68" s="769"/>
      <c r="AX68" s="769"/>
      <c r="AY68" s="770"/>
      <c r="AZ68" s="473" t="s">
        <v>1530</v>
      </c>
    </row>
    <row r="69" spans="1:52" s="403" customFormat="1" ht="36.75" customHeight="1">
      <c r="B69" s="742">
        <f t="shared" si="7"/>
        <v>40</v>
      </c>
      <c r="C69" s="742"/>
      <c r="D69" s="743" t="str">
        <f t="shared" ca="1" si="4"/>
        <v/>
      </c>
      <c r="E69" s="743"/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3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81" t="str">
        <f t="shared" ca="1" si="5"/>
        <v/>
      </c>
      <c r="AD69" s="781"/>
      <c r="AE69" s="781"/>
      <c r="AF69" s="781"/>
      <c r="AG69" s="781"/>
      <c r="AH69" s="781"/>
      <c r="AI69" s="781"/>
      <c r="AJ69" s="742" t="str">
        <f t="shared" ca="1" si="6"/>
        <v/>
      </c>
      <c r="AK69" s="742"/>
      <c r="AL69" s="768"/>
      <c r="AM69" s="769"/>
      <c r="AN69" s="769"/>
      <c r="AO69" s="769"/>
      <c r="AP69" s="769"/>
      <c r="AQ69" s="769"/>
      <c r="AR69" s="769"/>
      <c r="AS69" s="769"/>
      <c r="AT69" s="769"/>
      <c r="AU69" s="769"/>
      <c r="AV69" s="769"/>
      <c r="AW69" s="769"/>
      <c r="AX69" s="769"/>
      <c r="AY69" s="770"/>
    </row>
    <row r="70" spans="1:52" s="403" customFormat="1" ht="45" customHeight="1">
      <c r="B70" s="749" t="s">
        <v>1527</v>
      </c>
      <c r="C70" s="750"/>
      <c r="D70" s="750"/>
      <c r="E70" s="778" t="str">
        <f>IF(UNNH0030_REPORT_IF_H_EIGYO_MEI="","",UNNH0030_REPORT_IF_H_EIGYO_MEI)</f>
        <v/>
      </c>
      <c r="F70" s="779"/>
      <c r="G70" s="779"/>
      <c r="H70" s="779"/>
      <c r="I70" s="779"/>
      <c r="J70" s="779"/>
      <c r="K70" s="779"/>
      <c r="L70" s="779"/>
      <c r="M70" s="779"/>
      <c r="N70" s="779"/>
      <c r="O70" s="779"/>
      <c r="P70" s="779"/>
      <c r="Q70" s="779"/>
      <c r="R70" s="779"/>
      <c r="S70" s="779"/>
      <c r="T70" s="779"/>
      <c r="U70" s="779"/>
      <c r="V70" s="779"/>
      <c r="W70" s="779"/>
      <c r="X70" s="779"/>
      <c r="Y70" s="779"/>
      <c r="Z70" s="779"/>
      <c r="AA70" s="779"/>
      <c r="AB70" s="779"/>
      <c r="AC70" s="779"/>
      <c r="AD70" s="779"/>
      <c r="AE70" s="779"/>
      <c r="AF70" s="779"/>
      <c r="AG70" s="779"/>
      <c r="AH70" s="779"/>
      <c r="AI70" s="779"/>
      <c r="AJ70" s="779"/>
      <c r="AK70" s="780"/>
      <c r="AL70" s="771"/>
      <c r="AM70" s="772"/>
      <c r="AN70" s="772"/>
      <c r="AO70" s="772"/>
      <c r="AP70" s="772"/>
      <c r="AQ70" s="772"/>
      <c r="AR70" s="772"/>
      <c r="AS70" s="772"/>
      <c r="AT70" s="772"/>
      <c r="AU70" s="772"/>
      <c r="AV70" s="772"/>
      <c r="AW70" s="772"/>
      <c r="AX70" s="772"/>
      <c r="AY70" s="773"/>
    </row>
    <row r="71" spans="1:52" s="403" customFormat="1" ht="33.75" customHeight="1"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</row>
    <row r="72" spans="1:52" s="403" customFormat="1" ht="38.25" customHeight="1">
      <c r="B72" s="756" t="s">
        <v>1528</v>
      </c>
      <c r="C72" s="757"/>
      <c r="D72" s="758"/>
      <c r="E72" s="738" t="str">
        <f>IF(UNNH0030_REPORT_IF_H_TEKIYO="","",UNNH0030_REPORT_IF_H_TEKIYO)</f>
        <v/>
      </c>
      <c r="F72" s="738"/>
      <c r="G72" s="738"/>
      <c r="H72" s="738"/>
      <c r="I72" s="738"/>
      <c r="J72" s="738"/>
      <c r="K72" s="738"/>
      <c r="L72" s="738"/>
      <c r="M72" s="738"/>
      <c r="N72" s="738"/>
      <c r="O72" s="738"/>
      <c r="P72" s="738"/>
      <c r="Q72" s="738"/>
      <c r="R72" s="738"/>
      <c r="S72" s="738"/>
      <c r="T72" s="738"/>
      <c r="U72" s="738"/>
      <c r="V72" s="738"/>
      <c r="W72" s="738"/>
      <c r="X72" s="738"/>
      <c r="Y72" s="738"/>
      <c r="Z72" s="738"/>
      <c r="AA72" s="738"/>
      <c r="AB72" s="738"/>
      <c r="AC72" s="738"/>
      <c r="AD72" s="738"/>
      <c r="AE72" s="738"/>
      <c r="AF72" s="738"/>
      <c r="AG72" s="738"/>
      <c r="AH72" s="738"/>
      <c r="AI72" s="738"/>
      <c r="AJ72" s="738"/>
      <c r="AK72" s="738"/>
      <c r="AL72" s="738"/>
      <c r="AM72" s="738"/>
      <c r="AN72" s="738"/>
      <c r="AO72" s="738"/>
      <c r="AP72" s="738"/>
      <c r="AQ72" s="738"/>
      <c r="AR72" s="738"/>
      <c r="AS72" s="738"/>
      <c r="AU72" s="739" t="str">
        <f>IF(UNNH0030_REPORT_IF_H_SEIKYUHOHO_KBN=0,"","締日 "&amp;UNNH0030_REPORT_IF_H_SHIMEBI)</f>
        <v/>
      </c>
      <c r="AV72" s="739"/>
      <c r="AW72" s="739"/>
      <c r="AX72" s="739"/>
      <c r="AY72" s="740" t="str">
        <f>UNNH0030_REPORT_IF_H_SHIMEBI_MARK</f>
        <v>*</v>
      </c>
    </row>
    <row r="73" spans="1:52" s="403" customFormat="1" ht="38.25" customHeight="1">
      <c r="B73" s="759"/>
      <c r="C73" s="760"/>
      <c r="D73" s="761"/>
      <c r="E73" s="738"/>
      <c r="F73" s="738"/>
      <c r="G73" s="738"/>
      <c r="H73" s="738"/>
      <c r="I73" s="738"/>
      <c r="J73" s="738"/>
      <c r="K73" s="738"/>
      <c r="L73" s="738"/>
      <c r="M73" s="738"/>
      <c r="N73" s="738"/>
      <c r="O73" s="738"/>
      <c r="P73" s="738"/>
      <c r="Q73" s="738"/>
      <c r="R73" s="738"/>
      <c r="S73" s="738"/>
      <c r="T73" s="738"/>
      <c r="U73" s="738"/>
      <c r="V73" s="738"/>
      <c r="W73" s="738"/>
      <c r="X73" s="738"/>
      <c r="Y73" s="738"/>
      <c r="Z73" s="738"/>
      <c r="AA73" s="738"/>
      <c r="AB73" s="738"/>
      <c r="AC73" s="738"/>
      <c r="AD73" s="738"/>
      <c r="AE73" s="738"/>
      <c r="AF73" s="738"/>
      <c r="AG73" s="738"/>
      <c r="AH73" s="738"/>
      <c r="AI73" s="738"/>
      <c r="AJ73" s="738"/>
      <c r="AK73" s="738"/>
      <c r="AL73" s="738"/>
      <c r="AM73" s="738"/>
      <c r="AN73" s="738"/>
      <c r="AO73" s="738"/>
      <c r="AP73" s="738"/>
      <c r="AQ73" s="738"/>
      <c r="AR73" s="738"/>
      <c r="AS73" s="738"/>
      <c r="AU73" s="739"/>
      <c r="AV73" s="739"/>
      <c r="AW73" s="739"/>
      <c r="AX73" s="739"/>
      <c r="AY73" s="740"/>
    </row>
    <row r="74" spans="1:52" s="403" customFormat="1" ht="30" customHeight="1">
      <c r="B74" s="777" t="str">
        <f>IF(UNNH0030_REPORT_IF_JURI_NO="","",UNNH0030_REPORT_IF_JURI_NO)</f>
        <v/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7"/>
      <c r="P74" s="777"/>
      <c r="Q74" s="777"/>
      <c r="R74" s="777"/>
      <c r="S74" s="777"/>
      <c r="T74" s="777"/>
      <c r="U74" s="777"/>
      <c r="V74" s="777"/>
      <c r="W74" s="777"/>
      <c r="X74" s="777"/>
      <c r="Y74" s="777"/>
      <c r="Z74" s="777"/>
      <c r="AA74" s="777"/>
      <c r="AB74" s="777"/>
      <c r="AC74" s="777"/>
      <c r="AD74" s="777"/>
      <c r="AE74" s="777"/>
      <c r="AF74" s="777"/>
      <c r="AG74" s="777"/>
      <c r="AH74" s="777"/>
      <c r="AI74" s="777"/>
      <c r="AJ74" s="777"/>
      <c r="AK74" s="777"/>
      <c r="AL74" s="777"/>
      <c r="AM74" s="777"/>
      <c r="AN74" s="777"/>
      <c r="AO74" s="777"/>
      <c r="AP74" s="777"/>
      <c r="AQ74" s="777"/>
      <c r="AR74" s="777"/>
      <c r="AS74" s="777"/>
      <c r="AT74" s="777"/>
      <c r="AU74" s="777"/>
      <c r="AV74" s="777"/>
      <c r="AW74" s="777"/>
      <c r="AX74" s="777"/>
      <c r="AY74" s="777"/>
    </row>
    <row r="75" spans="1:52" s="403" customFormat="1" ht="12" customHeight="1">
      <c r="C75" s="404"/>
      <c r="D75" s="404"/>
      <c r="E75" s="465"/>
      <c r="F75" s="466"/>
      <c r="G75" s="466"/>
      <c r="H75" s="466"/>
      <c r="I75" s="466"/>
      <c r="J75" s="466"/>
      <c r="K75" s="466"/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7"/>
      <c r="AA75" s="744" t="s">
        <v>1535</v>
      </c>
      <c r="AB75" s="744"/>
      <c r="AC75" s="744"/>
      <c r="AD75" s="744"/>
      <c r="AE75" s="744"/>
      <c r="AF75" s="744"/>
      <c r="AG75" s="744"/>
      <c r="AH75" s="744"/>
      <c r="AI75" s="744"/>
      <c r="AJ75" s="744"/>
      <c r="AK75" s="744"/>
      <c r="AL75" s="744"/>
      <c r="AP75" s="774" t="str">
        <f>"No."&amp;UNNH0030_REPORT_IF_H_URIAGE_NO&amp;"-"&amp;ROUNDUP(ROW()/ROWS(UNNH0030_SEIKYUSHO_PAGE_AREA),0)&amp;"/"&amp;UNNH0030_REPORT_IF_B_PAGE_TOTAL</f>
        <v>No.-3/1</v>
      </c>
      <c r="AQ75" s="774"/>
      <c r="AR75" s="774"/>
      <c r="AS75" s="774"/>
      <c r="AT75" s="774"/>
      <c r="AU75" s="774"/>
      <c r="AV75" s="774"/>
      <c r="AW75" s="774"/>
      <c r="AX75" s="774"/>
      <c r="AY75" s="774"/>
    </row>
    <row r="76" spans="1:52" s="403" customFormat="1" ht="24.75" customHeight="1">
      <c r="C76" s="404"/>
      <c r="E76" s="468"/>
      <c r="F76" s="775" t="str">
        <f>IF(UNNH0030_REPORT_IF_H_JUSHO_NO_PRINT_FLG=TRUE,"","〒")</f>
        <v>〒</v>
      </c>
      <c r="G76" s="775"/>
      <c r="H76" s="776" t="str">
        <f>IF(UNNH0030_REPORT_IF_H_JUSHO_NO_PRINT_FLG=TRUE,"",IF(UNNH0030_REPORT_IF_H_YUBIN_NO="","",UNNH0030_REPORT_IF_H_YUBIN_NO))</f>
        <v/>
      </c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469"/>
      <c r="AA76" s="744"/>
      <c r="AB76" s="744"/>
      <c r="AC76" s="744"/>
      <c r="AD76" s="744"/>
      <c r="AE76" s="744"/>
      <c r="AF76" s="744"/>
      <c r="AG76" s="744"/>
      <c r="AH76" s="744"/>
      <c r="AI76" s="744"/>
      <c r="AJ76" s="744"/>
      <c r="AK76" s="744"/>
      <c r="AL76" s="744"/>
      <c r="AP76" s="774"/>
      <c r="AQ76" s="774"/>
      <c r="AR76" s="774"/>
      <c r="AS76" s="774"/>
      <c r="AT76" s="774"/>
      <c r="AU76" s="774"/>
      <c r="AV76" s="774"/>
      <c r="AW76" s="774"/>
      <c r="AX76" s="774"/>
      <c r="AY76" s="774"/>
    </row>
    <row r="77" spans="1:52" s="403" customFormat="1" ht="24.75" customHeight="1">
      <c r="C77" s="404"/>
      <c r="E77" s="468"/>
      <c r="F77" s="745" t="str">
        <f>IF(UNNH0030_REPORT_IF_H_JUSHO_NO_PRINT_FLG="","",IF(UNNH0030_REPORT_IF_H_ADDRESS_1="","",UNNH0030_REPORT_IF_H_ADDRESS_1))</f>
        <v/>
      </c>
      <c r="G77" s="745"/>
      <c r="H77" s="745"/>
      <c r="I77" s="745"/>
      <c r="J77" s="745"/>
      <c r="K77" s="745"/>
      <c r="L77" s="745"/>
      <c r="M77" s="745"/>
      <c r="N77" s="745"/>
      <c r="O77" s="745"/>
      <c r="P77" s="745"/>
      <c r="Q77" s="745"/>
      <c r="R77" s="745"/>
      <c r="S77" s="745"/>
      <c r="T77" s="745"/>
      <c r="U77" s="745"/>
      <c r="V77" s="745"/>
      <c r="W77" s="745"/>
      <c r="X77" s="745"/>
      <c r="Y77" s="469"/>
      <c r="AP77" s="748">
        <f>UNNH0030_REPORT_IF_H_URIAGE_DATE</f>
        <v>0</v>
      </c>
      <c r="AQ77" s="748"/>
      <c r="AR77" s="748"/>
      <c r="AS77" s="748"/>
      <c r="AT77" s="748"/>
      <c r="AU77" s="748"/>
      <c r="AV77" s="748"/>
      <c r="AW77" s="748"/>
      <c r="AX77" s="748"/>
      <c r="AY77" s="748"/>
    </row>
    <row r="78" spans="1:52" s="403" customFormat="1" ht="24.75" customHeight="1">
      <c r="C78" s="404"/>
      <c r="E78" s="468"/>
      <c r="F78" s="745" t="str">
        <f>IF(UNNH0030_REPORT_IF_H_JUSHO_NO_PRINT_FLG="","",IF(UNNH0030_REPORT_IF_H_ADDRESS_2="","",UNNH0030_REPORT_IF_H_ADDRESS_2))</f>
        <v/>
      </c>
      <c r="G78" s="745"/>
      <c r="H78" s="745"/>
      <c r="I78" s="745"/>
      <c r="J78" s="745"/>
      <c r="K78" s="745"/>
      <c r="L78" s="745"/>
      <c r="M78" s="745"/>
      <c r="N78" s="745"/>
      <c r="O78" s="745"/>
      <c r="P78" s="745"/>
      <c r="Q78" s="745"/>
      <c r="R78" s="745"/>
      <c r="S78" s="745"/>
      <c r="T78" s="745"/>
      <c r="U78" s="745"/>
      <c r="V78" s="745"/>
      <c r="W78" s="745"/>
      <c r="X78" s="745"/>
      <c r="Y78" s="469"/>
    </row>
    <row r="79" spans="1:52" s="403" customFormat="1" ht="24.75" customHeight="1">
      <c r="C79" s="404"/>
      <c r="E79" s="468"/>
      <c r="F79" s="409"/>
      <c r="G79" s="409"/>
      <c r="H79" s="409"/>
      <c r="I79" s="409"/>
      <c r="J79" s="409"/>
      <c r="K79" s="409"/>
      <c r="L79" s="409"/>
      <c r="M79" s="409"/>
      <c r="N79" s="409"/>
      <c r="O79" s="409"/>
      <c r="P79" s="409"/>
      <c r="Q79" s="409"/>
      <c r="R79" s="409"/>
      <c r="S79" s="409"/>
      <c r="T79" s="409"/>
      <c r="U79" s="409"/>
      <c r="V79" s="409"/>
      <c r="W79" s="409"/>
      <c r="X79" s="409"/>
      <c r="Y79" s="469"/>
    </row>
    <row r="80" spans="1:52" s="403" customFormat="1" ht="26.25" customHeight="1">
      <c r="C80" s="404"/>
      <c r="E80" s="470"/>
      <c r="F80" s="745" t="str">
        <f>IF(TRIM(UNNH0030_REPORT_IF_H_SOFU_TANTO)="","",
IF(TRIM(UNNH0030_REPORT_IF_H_DEMPYO_SOFU_MEI)="","",
TRIM(UNNH0030_REPORT_IF_H_DEMPYO_SOFU_MEI)))</f>
        <v/>
      </c>
      <c r="G80" s="745"/>
      <c r="H80" s="745"/>
      <c r="I80" s="745"/>
      <c r="J80" s="745"/>
      <c r="K80" s="745"/>
      <c r="L80" s="745"/>
      <c r="M80" s="745"/>
      <c r="N80" s="745"/>
      <c r="O80" s="745"/>
      <c r="P80" s="745"/>
      <c r="Q80" s="745"/>
      <c r="R80" s="745"/>
      <c r="S80" s="745"/>
      <c r="T80" s="745"/>
      <c r="U80" s="745"/>
      <c r="V80" s="745"/>
      <c r="W80" s="745"/>
      <c r="X80" s="745"/>
      <c r="Y80" s="469"/>
    </row>
    <row r="81" spans="1:52" s="403" customFormat="1" ht="26.25" customHeight="1">
      <c r="C81" s="404"/>
      <c r="E81" s="468"/>
      <c r="F81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6"/>
      <c r="T81" s="746"/>
      <c r="U81" s="746"/>
      <c r="V81" s="746"/>
      <c r="W81" s="746"/>
      <c r="X81" s="746"/>
      <c r="Y81" s="469"/>
      <c r="Z81" s="477" t="str">
        <f>UNNH0030_REPORT_IF_H_SHIMEBI_MARK</f>
        <v>*</v>
      </c>
    </row>
    <row r="82" spans="1:52" s="403" customFormat="1" ht="25.5" customHeight="1">
      <c r="C82" s="404"/>
      <c r="E82" s="471"/>
      <c r="F82" s="747">
        <f>UNNH0030_REPORT_IF_H_SEIKYU_CD</f>
        <v>0</v>
      </c>
      <c r="G82" s="747"/>
      <c r="H82" s="747"/>
      <c r="I82" s="747"/>
      <c r="J82" s="747"/>
      <c r="K82" s="747"/>
      <c r="L82" s="747"/>
      <c r="M82" s="747"/>
      <c r="N82" s="747"/>
      <c r="O82" s="747"/>
      <c r="P82" s="747"/>
      <c r="Q82" s="747"/>
      <c r="R82" s="747"/>
      <c r="S82" s="747"/>
      <c r="T82" s="747"/>
      <c r="U82" s="747"/>
      <c r="V82" s="747"/>
      <c r="W82" s="747"/>
      <c r="X82" s="747"/>
      <c r="Y82" s="472"/>
    </row>
    <row r="83" spans="1:52" s="403" customFormat="1" ht="30" customHeight="1">
      <c r="C83" s="404"/>
    </row>
    <row r="84" spans="1:52" s="403" customFormat="1" ht="30" customHeight="1"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</row>
    <row r="85" spans="1:52" s="403" customFormat="1" ht="29.25" customHeight="1">
      <c r="B85" s="474" t="s">
        <v>1101</v>
      </c>
      <c r="C85" s="404"/>
      <c r="D85" s="404"/>
      <c r="E85" s="404"/>
      <c r="F85" s="404"/>
      <c r="G85" s="404"/>
      <c r="H85" s="404"/>
      <c r="I85" s="404"/>
      <c r="J85" s="404"/>
      <c r="K85" s="404"/>
      <c r="L85" s="404"/>
      <c r="M85" s="404"/>
      <c r="N85" s="404"/>
      <c r="O85" s="404"/>
    </row>
    <row r="86" spans="1:52" s="403" customFormat="1" ht="36.75" customHeight="1">
      <c r="B86" s="742"/>
      <c r="C86" s="742"/>
      <c r="D86" s="742" t="s">
        <v>1102</v>
      </c>
      <c r="E86" s="742"/>
      <c r="F86" s="742"/>
      <c r="G86" s="742"/>
      <c r="H86" s="742"/>
      <c r="I86" s="742"/>
      <c r="J86" s="742"/>
      <c r="K86" s="742"/>
      <c r="L86" s="742"/>
      <c r="M86" s="742"/>
      <c r="N86" s="742"/>
      <c r="O86" s="742"/>
      <c r="P86" s="742"/>
      <c r="Q86" s="742"/>
      <c r="R86" s="742"/>
      <c r="S86" s="742"/>
      <c r="T86" s="742"/>
      <c r="U86" s="742"/>
      <c r="V86" s="742"/>
      <c r="W86" s="742"/>
      <c r="X86" s="742"/>
      <c r="Y86" s="742"/>
      <c r="Z86" s="742"/>
      <c r="AA86" s="742"/>
      <c r="AB86" s="742"/>
      <c r="AC86" s="742" t="s">
        <v>1103</v>
      </c>
      <c r="AD86" s="742"/>
      <c r="AE86" s="742"/>
      <c r="AF86" s="742"/>
      <c r="AG86" s="742"/>
      <c r="AH86" s="742"/>
      <c r="AI86" s="742"/>
      <c r="AJ86" s="742" t="s">
        <v>1104</v>
      </c>
      <c r="AK86" s="742"/>
      <c r="AL86" s="762" t="s">
        <v>1498</v>
      </c>
      <c r="AM86" s="763"/>
      <c r="AN86" s="763"/>
      <c r="AO86" s="763"/>
      <c r="AP86" s="763"/>
      <c r="AQ86" s="763"/>
      <c r="AR86" s="763"/>
      <c r="AS86" s="763"/>
      <c r="AT86" s="763"/>
      <c r="AU86" s="763"/>
      <c r="AV86" s="763"/>
      <c r="AW86" s="763"/>
      <c r="AX86" s="763"/>
      <c r="AY86" s="764"/>
    </row>
    <row r="87" spans="1:52" s="403" customFormat="1" ht="36.75" customHeight="1">
      <c r="B87" s="742">
        <f>ROUNDDOWN(ROW()/ROWS(UNNH0030_REPORT_RAYOUT_SEIKYUSHO),0)*UNNH0030_REPORT_IF_B_PAGE_MEISAI_SU+1</f>
        <v>41</v>
      </c>
      <c r="C87" s="742"/>
      <c r="D87" s="743" t="str">
        <f t="shared" ref="D87:D106" ca="1" si="8">IF(OFFSET(UNNH0030_REPORT_IF_B_SHOHIN_MEI,$B87,0)="","",OFFSET(UNNH0030_REPORT_IF_B_SHOHIN_MEI,$B87,0))</f>
        <v/>
      </c>
      <c r="E87" s="743"/>
      <c r="F87" s="743"/>
      <c r="G87" s="743"/>
      <c r="H87" s="743"/>
      <c r="I87" s="743"/>
      <c r="J87" s="743"/>
      <c r="K87" s="743"/>
      <c r="L87" s="743"/>
      <c r="M87" s="743"/>
      <c r="N87" s="743"/>
      <c r="O87" s="743"/>
      <c r="P87" s="743"/>
      <c r="Q87" s="743"/>
      <c r="R87" s="743"/>
      <c r="S87" s="743"/>
      <c r="T87" s="743"/>
      <c r="U87" s="743"/>
      <c r="V87" s="743"/>
      <c r="W87" s="743"/>
      <c r="X87" s="743"/>
      <c r="Y87" s="743"/>
      <c r="Z87" s="743"/>
      <c r="AA87" s="743"/>
      <c r="AB87" s="743"/>
      <c r="AC87" s="781" t="str">
        <f t="shared" ref="AC87:AC106" ca="1" si="9">IF(OR(OFFSET(UNNH0030_REPORT_IF_B_ROW_KBN,$B87,0)&lt;&gt;1,$D87="",$D87="消費税"),"",
OFFSET(UNNH0030_REPORT_IF_B_SURYO,$B87,0))</f>
        <v/>
      </c>
      <c r="AD87" s="781"/>
      <c r="AE87" s="781"/>
      <c r="AF87" s="781"/>
      <c r="AG87" s="781"/>
      <c r="AH87" s="781"/>
      <c r="AI87" s="781"/>
      <c r="AJ87" s="742" t="str">
        <f t="shared" ref="AJ87:AJ106" ca="1" si="10">IF(OFFSET(UNNH0030_REPORT_IF_B_TANI,$B87,0)="","",OFFSET(UNNH0030_REPORT_IF_B_TANI,$B87,0))</f>
        <v/>
      </c>
      <c r="AK87" s="742"/>
      <c r="AL87" s="765"/>
      <c r="AM87" s="766"/>
      <c r="AN87" s="766"/>
      <c r="AO87" s="766"/>
      <c r="AP87" s="766"/>
      <c r="AQ87" s="766"/>
      <c r="AR87" s="766"/>
      <c r="AS87" s="766"/>
      <c r="AT87" s="766"/>
      <c r="AU87" s="766"/>
      <c r="AV87" s="766"/>
      <c r="AW87" s="766"/>
      <c r="AX87" s="766"/>
      <c r="AY87" s="767"/>
    </row>
    <row r="88" spans="1:52" s="403" customFormat="1" ht="36.75" customHeight="1">
      <c r="B88" s="742">
        <f>B87+1</f>
        <v>42</v>
      </c>
      <c r="C88" s="742"/>
      <c r="D88" s="743" t="str">
        <f t="shared" ca="1" si="8"/>
        <v/>
      </c>
      <c r="E88" s="743"/>
      <c r="F88" s="743"/>
      <c r="G88" s="743"/>
      <c r="H88" s="743"/>
      <c r="I88" s="743"/>
      <c r="J88" s="743"/>
      <c r="K88" s="743"/>
      <c r="L88" s="743"/>
      <c r="M88" s="743"/>
      <c r="N88" s="743"/>
      <c r="O88" s="743"/>
      <c r="P88" s="743"/>
      <c r="Q88" s="743"/>
      <c r="R88" s="743"/>
      <c r="S88" s="743"/>
      <c r="T88" s="743"/>
      <c r="U88" s="743"/>
      <c r="V88" s="743"/>
      <c r="W88" s="743"/>
      <c r="X88" s="743"/>
      <c r="Y88" s="743"/>
      <c r="Z88" s="743"/>
      <c r="AA88" s="743"/>
      <c r="AB88" s="743"/>
      <c r="AC88" s="781" t="str">
        <f t="shared" ca="1" si="9"/>
        <v/>
      </c>
      <c r="AD88" s="781"/>
      <c r="AE88" s="781"/>
      <c r="AF88" s="781"/>
      <c r="AG88" s="781"/>
      <c r="AH88" s="781"/>
      <c r="AI88" s="781"/>
      <c r="AJ88" s="742" t="str">
        <f t="shared" ca="1" si="10"/>
        <v/>
      </c>
      <c r="AK88" s="742"/>
      <c r="AL88" s="768"/>
      <c r="AM88" s="769"/>
      <c r="AN88" s="769"/>
      <c r="AO88" s="769"/>
      <c r="AP88" s="769"/>
      <c r="AQ88" s="769"/>
      <c r="AR88" s="769"/>
      <c r="AS88" s="769"/>
      <c r="AT88" s="769"/>
      <c r="AU88" s="769"/>
      <c r="AV88" s="769"/>
      <c r="AW88" s="769"/>
      <c r="AX88" s="769"/>
      <c r="AY88" s="770"/>
    </row>
    <row r="89" spans="1:52" s="403" customFormat="1" ht="36.75" customHeight="1">
      <c r="B89" s="742">
        <f>B88+1</f>
        <v>43</v>
      </c>
      <c r="C89" s="742"/>
      <c r="D89" s="743" t="str">
        <f t="shared" ca="1" si="8"/>
        <v/>
      </c>
      <c r="E89" s="743"/>
      <c r="F89" s="743"/>
      <c r="G89" s="743"/>
      <c r="H89" s="743"/>
      <c r="I89" s="743"/>
      <c r="J89" s="743"/>
      <c r="K89" s="743"/>
      <c r="L89" s="743"/>
      <c r="M89" s="743"/>
      <c r="N89" s="743"/>
      <c r="O89" s="743"/>
      <c r="P89" s="743"/>
      <c r="Q89" s="743"/>
      <c r="R89" s="743"/>
      <c r="S89" s="743"/>
      <c r="T89" s="743"/>
      <c r="U89" s="743"/>
      <c r="V89" s="743"/>
      <c r="W89" s="743"/>
      <c r="X89" s="743"/>
      <c r="Y89" s="743"/>
      <c r="Z89" s="743"/>
      <c r="AA89" s="743"/>
      <c r="AB89" s="743"/>
      <c r="AC89" s="781" t="str">
        <f t="shared" ca="1" si="9"/>
        <v/>
      </c>
      <c r="AD89" s="781"/>
      <c r="AE89" s="781"/>
      <c r="AF89" s="781"/>
      <c r="AG89" s="781"/>
      <c r="AH89" s="781"/>
      <c r="AI89" s="781"/>
      <c r="AJ89" s="742" t="str">
        <f t="shared" ca="1" si="10"/>
        <v/>
      </c>
      <c r="AK89" s="742"/>
      <c r="AL89" s="768"/>
      <c r="AM89" s="769"/>
      <c r="AN89" s="769"/>
      <c r="AO89" s="769"/>
      <c r="AP89" s="769"/>
      <c r="AQ89" s="769"/>
      <c r="AR89" s="769"/>
      <c r="AS89" s="769"/>
      <c r="AT89" s="769"/>
      <c r="AU89" s="769"/>
      <c r="AV89" s="769"/>
      <c r="AW89" s="769"/>
      <c r="AX89" s="769"/>
      <c r="AY89" s="770"/>
    </row>
    <row r="90" spans="1:52" s="403" customFormat="1" ht="36.75" customHeight="1">
      <c r="B90" s="742">
        <f t="shared" ref="B90:B106" si="11">B89+1</f>
        <v>44</v>
      </c>
      <c r="C90" s="742"/>
      <c r="D90" s="743" t="str">
        <f t="shared" ca="1" si="8"/>
        <v/>
      </c>
      <c r="E90" s="743"/>
      <c r="F90" s="743"/>
      <c r="G90" s="743"/>
      <c r="H90" s="743"/>
      <c r="I90" s="743"/>
      <c r="J90" s="743"/>
      <c r="K90" s="743"/>
      <c r="L90" s="743"/>
      <c r="M90" s="743"/>
      <c r="N90" s="743"/>
      <c r="O90" s="743"/>
      <c r="P90" s="743"/>
      <c r="Q90" s="743"/>
      <c r="R90" s="743"/>
      <c r="S90" s="743"/>
      <c r="T90" s="743"/>
      <c r="U90" s="743"/>
      <c r="V90" s="743"/>
      <c r="W90" s="743"/>
      <c r="X90" s="743"/>
      <c r="Y90" s="743"/>
      <c r="Z90" s="743"/>
      <c r="AA90" s="743"/>
      <c r="AB90" s="743"/>
      <c r="AC90" s="781" t="str">
        <f t="shared" ca="1" si="9"/>
        <v/>
      </c>
      <c r="AD90" s="781"/>
      <c r="AE90" s="781"/>
      <c r="AF90" s="781"/>
      <c r="AG90" s="781"/>
      <c r="AH90" s="781"/>
      <c r="AI90" s="781"/>
      <c r="AJ90" s="742" t="str">
        <f t="shared" ca="1" si="10"/>
        <v/>
      </c>
      <c r="AK90" s="742"/>
      <c r="AL90" s="768"/>
      <c r="AM90" s="769"/>
      <c r="AN90" s="769"/>
      <c r="AO90" s="769"/>
      <c r="AP90" s="769"/>
      <c r="AQ90" s="769"/>
      <c r="AR90" s="769"/>
      <c r="AS90" s="769"/>
      <c r="AT90" s="769"/>
      <c r="AU90" s="769"/>
      <c r="AV90" s="769"/>
      <c r="AW90" s="769"/>
      <c r="AX90" s="769"/>
      <c r="AY90" s="770"/>
    </row>
    <row r="91" spans="1:52" s="403" customFormat="1" ht="36.75" customHeight="1">
      <c r="A91" s="403" t="s">
        <v>1529</v>
      </c>
      <c r="B91" s="742">
        <f t="shared" si="11"/>
        <v>45</v>
      </c>
      <c r="C91" s="742"/>
      <c r="D91" s="743" t="str">
        <f t="shared" ca="1" si="8"/>
        <v/>
      </c>
      <c r="E91" s="743"/>
      <c r="F91" s="743"/>
      <c r="G91" s="743"/>
      <c r="H91" s="743"/>
      <c r="I91" s="743"/>
      <c r="J91" s="743"/>
      <c r="K91" s="743"/>
      <c r="L91" s="743"/>
      <c r="M91" s="743"/>
      <c r="N91" s="743"/>
      <c r="O91" s="743"/>
      <c r="P91" s="743"/>
      <c r="Q91" s="743"/>
      <c r="R91" s="743"/>
      <c r="S91" s="743"/>
      <c r="T91" s="743"/>
      <c r="U91" s="743"/>
      <c r="V91" s="743"/>
      <c r="W91" s="743"/>
      <c r="X91" s="743"/>
      <c r="Y91" s="743"/>
      <c r="Z91" s="743"/>
      <c r="AA91" s="743"/>
      <c r="AB91" s="743"/>
      <c r="AC91" s="781" t="str">
        <f t="shared" ca="1" si="9"/>
        <v/>
      </c>
      <c r="AD91" s="781"/>
      <c r="AE91" s="781"/>
      <c r="AF91" s="781"/>
      <c r="AG91" s="781"/>
      <c r="AH91" s="781"/>
      <c r="AI91" s="781"/>
      <c r="AJ91" s="742" t="str">
        <f t="shared" ca="1" si="10"/>
        <v/>
      </c>
      <c r="AK91" s="742"/>
      <c r="AL91" s="768"/>
      <c r="AM91" s="769"/>
      <c r="AN91" s="769"/>
      <c r="AO91" s="769"/>
      <c r="AP91" s="769"/>
      <c r="AQ91" s="769"/>
      <c r="AR91" s="769"/>
      <c r="AS91" s="769"/>
      <c r="AT91" s="769"/>
      <c r="AU91" s="769"/>
      <c r="AV91" s="769"/>
      <c r="AW91" s="769"/>
      <c r="AX91" s="769"/>
      <c r="AY91" s="770"/>
      <c r="AZ91" s="473" t="s">
        <v>1530</v>
      </c>
    </row>
    <row r="92" spans="1:52" s="403" customFormat="1" ht="36.75" customHeight="1">
      <c r="B92" s="742">
        <f t="shared" si="11"/>
        <v>46</v>
      </c>
      <c r="C92" s="742"/>
      <c r="D92" s="743" t="str">
        <f t="shared" ca="1" si="8"/>
        <v/>
      </c>
      <c r="E92" s="743"/>
      <c r="F92" s="743"/>
      <c r="G92" s="743"/>
      <c r="H92" s="743"/>
      <c r="I92" s="743"/>
      <c r="J92" s="743"/>
      <c r="K92" s="743"/>
      <c r="L92" s="743"/>
      <c r="M92" s="743"/>
      <c r="N92" s="743"/>
      <c r="O92" s="743"/>
      <c r="P92" s="743"/>
      <c r="Q92" s="743"/>
      <c r="R92" s="743"/>
      <c r="S92" s="743"/>
      <c r="T92" s="743"/>
      <c r="U92" s="743"/>
      <c r="V92" s="743"/>
      <c r="W92" s="743"/>
      <c r="X92" s="743"/>
      <c r="Y92" s="743"/>
      <c r="Z92" s="743"/>
      <c r="AA92" s="743"/>
      <c r="AB92" s="743"/>
      <c r="AC92" s="781" t="str">
        <f t="shared" ca="1" si="9"/>
        <v/>
      </c>
      <c r="AD92" s="781"/>
      <c r="AE92" s="781"/>
      <c r="AF92" s="781"/>
      <c r="AG92" s="781"/>
      <c r="AH92" s="781"/>
      <c r="AI92" s="781"/>
      <c r="AJ92" s="742" t="str">
        <f t="shared" ca="1" si="10"/>
        <v/>
      </c>
      <c r="AK92" s="742"/>
      <c r="AL92" s="768"/>
      <c r="AM92" s="769"/>
      <c r="AN92" s="769"/>
      <c r="AO92" s="769"/>
      <c r="AP92" s="769"/>
      <c r="AQ92" s="769"/>
      <c r="AR92" s="769"/>
      <c r="AS92" s="769"/>
      <c r="AT92" s="769"/>
      <c r="AU92" s="769"/>
      <c r="AV92" s="769"/>
      <c r="AW92" s="769"/>
      <c r="AX92" s="769"/>
      <c r="AY92" s="770"/>
      <c r="AZ92" s="473"/>
    </row>
    <row r="93" spans="1:52" s="403" customFormat="1" ht="36.75" customHeight="1">
      <c r="B93" s="742">
        <f t="shared" si="11"/>
        <v>47</v>
      </c>
      <c r="C93" s="742"/>
      <c r="D93" s="743" t="str">
        <f t="shared" ca="1" si="8"/>
        <v/>
      </c>
      <c r="E93" s="743"/>
      <c r="F93" s="743"/>
      <c r="G93" s="743"/>
      <c r="H93" s="743"/>
      <c r="I93" s="743"/>
      <c r="J93" s="743"/>
      <c r="K93" s="743"/>
      <c r="L93" s="743"/>
      <c r="M93" s="743"/>
      <c r="N93" s="743"/>
      <c r="O93" s="743"/>
      <c r="P93" s="743"/>
      <c r="Q93" s="743"/>
      <c r="R93" s="743"/>
      <c r="S93" s="743"/>
      <c r="T93" s="743"/>
      <c r="U93" s="743"/>
      <c r="V93" s="743"/>
      <c r="W93" s="743"/>
      <c r="X93" s="743"/>
      <c r="Y93" s="743"/>
      <c r="Z93" s="743"/>
      <c r="AA93" s="743"/>
      <c r="AB93" s="743"/>
      <c r="AC93" s="781" t="str">
        <f t="shared" ca="1" si="9"/>
        <v/>
      </c>
      <c r="AD93" s="781"/>
      <c r="AE93" s="781"/>
      <c r="AF93" s="781"/>
      <c r="AG93" s="781"/>
      <c r="AH93" s="781"/>
      <c r="AI93" s="781"/>
      <c r="AJ93" s="742" t="str">
        <f t="shared" ca="1" si="10"/>
        <v/>
      </c>
      <c r="AK93" s="742"/>
      <c r="AL93" s="768"/>
      <c r="AM93" s="769"/>
      <c r="AN93" s="769"/>
      <c r="AO93" s="769"/>
      <c r="AP93" s="769"/>
      <c r="AQ93" s="769"/>
      <c r="AR93" s="769"/>
      <c r="AS93" s="769"/>
      <c r="AT93" s="769"/>
      <c r="AU93" s="769"/>
      <c r="AV93" s="769"/>
      <c r="AW93" s="769"/>
      <c r="AX93" s="769"/>
      <c r="AY93" s="770"/>
      <c r="AZ93" s="473"/>
    </row>
    <row r="94" spans="1:52" s="403" customFormat="1" ht="36.75" customHeight="1">
      <c r="B94" s="742">
        <f t="shared" si="11"/>
        <v>48</v>
      </c>
      <c r="C94" s="742"/>
      <c r="D94" s="743" t="str">
        <f t="shared" ca="1" si="8"/>
        <v/>
      </c>
      <c r="E94" s="743"/>
      <c r="F94" s="743"/>
      <c r="G94" s="743"/>
      <c r="H94" s="743"/>
      <c r="I94" s="743"/>
      <c r="J94" s="743"/>
      <c r="K94" s="743"/>
      <c r="L94" s="743"/>
      <c r="M94" s="743"/>
      <c r="N94" s="743"/>
      <c r="O94" s="743"/>
      <c r="P94" s="743"/>
      <c r="Q94" s="743"/>
      <c r="R94" s="743"/>
      <c r="S94" s="743"/>
      <c r="T94" s="743"/>
      <c r="U94" s="743"/>
      <c r="V94" s="743"/>
      <c r="W94" s="743"/>
      <c r="X94" s="743"/>
      <c r="Y94" s="743"/>
      <c r="Z94" s="743"/>
      <c r="AA94" s="743"/>
      <c r="AB94" s="743"/>
      <c r="AC94" s="781" t="str">
        <f t="shared" ca="1" si="9"/>
        <v/>
      </c>
      <c r="AD94" s="781"/>
      <c r="AE94" s="781"/>
      <c r="AF94" s="781"/>
      <c r="AG94" s="781"/>
      <c r="AH94" s="781"/>
      <c r="AI94" s="781"/>
      <c r="AJ94" s="742" t="str">
        <f t="shared" ca="1" si="10"/>
        <v/>
      </c>
      <c r="AK94" s="742"/>
      <c r="AL94" s="768"/>
      <c r="AM94" s="769"/>
      <c r="AN94" s="769"/>
      <c r="AO94" s="769"/>
      <c r="AP94" s="769"/>
      <c r="AQ94" s="769"/>
      <c r="AR94" s="769"/>
      <c r="AS94" s="769"/>
      <c r="AT94" s="769"/>
      <c r="AU94" s="769"/>
      <c r="AV94" s="769"/>
      <c r="AW94" s="769"/>
      <c r="AX94" s="769"/>
      <c r="AY94" s="770"/>
    </row>
    <row r="95" spans="1:52" s="403" customFormat="1" ht="36.75" customHeight="1">
      <c r="B95" s="742">
        <f t="shared" si="11"/>
        <v>49</v>
      </c>
      <c r="C95" s="742"/>
      <c r="D95" s="743" t="str">
        <f t="shared" ca="1" si="8"/>
        <v/>
      </c>
      <c r="E95" s="743"/>
      <c r="F95" s="743"/>
      <c r="G95" s="743"/>
      <c r="H95" s="743"/>
      <c r="I95" s="743"/>
      <c r="J95" s="743"/>
      <c r="K95" s="743"/>
      <c r="L95" s="743"/>
      <c r="M95" s="743"/>
      <c r="N95" s="743"/>
      <c r="O95" s="743"/>
      <c r="P95" s="743"/>
      <c r="Q95" s="743"/>
      <c r="R95" s="743"/>
      <c r="S95" s="743"/>
      <c r="T95" s="743"/>
      <c r="U95" s="743"/>
      <c r="V95" s="743"/>
      <c r="W95" s="743"/>
      <c r="X95" s="743"/>
      <c r="Y95" s="743"/>
      <c r="Z95" s="743"/>
      <c r="AA95" s="743"/>
      <c r="AB95" s="743"/>
      <c r="AC95" s="781" t="str">
        <f t="shared" ca="1" si="9"/>
        <v/>
      </c>
      <c r="AD95" s="781"/>
      <c r="AE95" s="781"/>
      <c r="AF95" s="781"/>
      <c r="AG95" s="781"/>
      <c r="AH95" s="781"/>
      <c r="AI95" s="781"/>
      <c r="AJ95" s="742" t="str">
        <f t="shared" ca="1" si="10"/>
        <v/>
      </c>
      <c r="AK95" s="742"/>
      <c r="AL95" s="768"/>
      <c r="AM95" s="769"/>
      <c r="AN95" s="769"/>
      <c r="AO95" s="769"/>
      <c r="AP95" s="769"/>
      <c r="AQ95" s="769"/>
      <c r="AR95" s="769"/>
      <c r="AS95" s="769"/>
      <c r="AT95" s="769"/>
      <c r="AU95" s="769"/>
      <c r="AV95" s="769"/>
      <c r="AW95" s="769"/>
      <c r="AX95" s="769"/>
      <c r="AY95" s="770"/>
    </row>
    <row r="96" spans="1:52" s="403" customFormat="1" ht="36.75" customHeight="1">
      <c r="B96" s="742">
        <f t="shared" si="11"/>
        <v>50</v>
      </c>
      <c r="C96" s="742"/>
      <c r="D96" s="743" t="str">
        <f t="shared" ca="1" si="8"/>
        <v/>
      </c>
      <c r="E96" s="743"/>
      <c r="F96" s="743"/>
      <c r="G96" s="743"/>
      <c r="H96" s="743"/>
      <c r="I96" s="743"/>
      <c r="J96" s="743"/>
      <c r="K96" s="743"/>
      <c r="L96" s="743"/>
      <c r="M96" s="743"/>
      <c r="N96" s="743"/>
      <c r="O96" s="743"/>
      <c r="P96" s="743"/>
      <c r="Q96" s="743"/>
      <c r="R96" s="743"/>
      <c r="S96" s="743"/>
      <c r="T96" s="743"/>
      <c r="U96" s="743"/>
      <c r="V96" s="743"/>
      <c r="W96" s="743"/>
      <c r="X96" s="743"/>
      <c r="Y96" s="743"/>
      <c r="Z96" s="743"/>
      <c r="AA96" s="743"/>
      <c r="AB96" s="743"/>
      <c r="AC96" s="781" t="str">
        <f t="shared" ca="1" si="9"/>
        <v/>
      </c>
      <c r="AD96" s="781"/>
      <c r="AE96" s="781"/>
      <c r="AF96" s="781"/>
      <c r="AG96" s="781"/>
      <c r="AH96" s="781"/>
      <c r="AI96" s="781"/>
      <c r="AJ96" s="742" t="str">
        <f t="shared" ca="1" si="10"/>
        <v/>
      </c>
      <c r="AK96" s="742"/>
      <c r="AL96" s="768"/>
      <c r="AM96" s="769"/>
      <c r="AN96" s="769"/>
      <c r="AO96" s="769"/>
      <c r="AP96" s="769"/>
      <c r="AQ96" s="769"/>
      <c r="AR96" s="769"/>
      <c r="AS96" s="769"/>
      <c r="AT96" s="769"/>
      <c r="AU96" s="769"/>
      <c r="AV96" s="769"/>
      <c r="AW96" s="769"/>
      <c r="AX96" s="769"/>
      <c r="AY96" s="770"/>
    </row>
    <row r="97" spans="1:52" s="403" customFormat="1" ht="36.75" customHeight="1">
      <c r="B97" s="742">
        <f t="shared" si="11"/>
        <v>51</v>
      </c>
      <c r="C97" s="742"/>
      <c r="D97" s="743" t="str">
        <f t="shared" ca="1" si="8"/>
        <v/>
      </c>
      <c r="E97" s="743"/>
      <c r="F97" s="743"/>
      <c r="G97" s="743"/>
      <c r="H97" s="743"/>
      <c r="I97" s="743"/>
      <c r="J97" s="743"/>
      <c r="K97" s="743"/>
      <c r="L97" s="743"/>
      <c r="M97" s="743"/>
      <c r="N97" s="743"/>
      <c r="O97" s="743"/>
      <c r="P97" s="743"/>
      <c r="Q97" s="743"/>
      <c r="R97" s="743"/>
      <c r="S97" s="743"/>
      <c r="T97" s="743"/>
      <c r="U97" s="743"/>
      <c r="V97" s="743"/>
      <c r="W97" s="743"/>
      <c r="X97" s="743"/>
      <c r="Y97" s="743"/>
      <c r="Z97" s="743"/>
      <c r="AA97" s="743"/>
      <c r="AB97" s="743"/>
      <c r="AC97" s="781" t="str">
        <f t="shared" ca="1" si="9"/>
        <v/>
      </c>
      <c r="AD97" s="781"/>
      <c r="AE97" s="781"/>
      <c r="AF97" s="781"/>
      <c r="AG97" s="781"/>
      <c r="AH97" s="781"/>
      <c r="AI97" s="781"/>
      <c r="AJ97" s="742" t="str">
        <f t="shared" ca="1" si="10"/>
        <v/>
      </c>
      <c r="AK97" s="742"/>
      <c r="AL97" s="768"/>
      <c r="AM97" s="769"/>
      <c r="AN97" s="769"/>
      <c r="AO97" s="769"/>
      <c r="AP97" s="769"/>
      <c r="AQ97" s="769"/>
      <c r="AR97" s="769"/>
      <c r="AS97" s="769"/>
      <c r="AT97" s="769"/>
      <c r="AU97" s="769"/>
      <c r="AV97" s="769"/>
      <c r="AW97" s="769"/>
      <c r="AX97" s="769"/>
      <c r="AY97" s="770"/>
    </row>
    <row r="98" spans="1:52" s="403" customFormat="1" ht="36.75" customHeight="1">
      <c r="B98" s="742">
        <f t="shared" si="11"/>
        <v>52</v>
      </c>
      <c r="C98" s="742"/>
      <c r="D98" s="743" t="str">
        <f t="shared" ca="1" si="8"/>
        <v/>
      </c>
      <c r="E98" s="743"/>
      <c r="F98" s="743"/>
      <c r="G98" s="743"/>
      <c r="H98" s="743"/>
      <c r="I98" s="743"/>
      <c r="J98" s="743"/>
      <c r="K98" s="743"/>
      <c r="L98" s="743"/>
      <c r="M98" s="743"/>
      <c r="N98" s="743"/>
      <c r="O98" s="743"/>
      <c r="P98" s="743"/>
      <c r="Q98" s="743"/>
      <c r="R98" s="743"/>
      <c r="S98" s="743"/>
      <c r="T98" s="743"/>
      <c r="U98" s="743"/>
      <c r="V98" s="743"/>
      <c r="W98" s="743"/>
      <c r="X98" s="743"/>
      <c r="Y98" s="743"/>
      <c r="Z98" s="743"/>
      <c r="AA98" s="743"/>
      <c r="AB98" s="743"/>
      <c r="AC98" s="781" t="str">
        <f t="shared" ca="1" si="9"/>
        <v/>
      </c>
      <c r="AD98" s="781"/>
      <c r="AE98" s="781"/>
      <c r="AF98" s="781"/>
      <c r="AG98" s="781"/>
      <c r="AH98" s="781"/>
      <c r="AI98" s="781"/>
      <c r="AJ98" s="742" t="str">
        <f t="shared" ca="1" si="10"/>
        <v/>
      </c>
      <c r="AK98" s="742"/>
      <c r="AL98" s="768"/>
      <c r="AM98" s="769"/>
      <c r="AN98" s="769"/>
      <c r="AO98" s="769"/>
      <c r="AP98" s="769"/>
      <c r="AQ98" s="769"/>
      <c r="AR98" s="769"/>
      <c r="AS98" s="769"/>
      <c r="AT98" s="769"/>
      <c r="AU98" s="769"/>
      <c r="AV98" s="769"/>
      <c r="AW98" s="769"/>
      <c r="AX98" s="769"/>
      <c r="AY98" s="770"/>
    </row>
    <row r="99" spans="1:52" s="403" customFormat="1" ht="36.75" customHeight="1">
      <c r="B99" s="742">
        <f t="shared" si="11"/>
        <v>53</v>
      </c>
      <c r="C99" s="742"/>
      <c r="D99" s="743" t="str">
        <f t="shared" ca="1" si="8"/>
        <v/>
      </c>
      <c r="E99" s="743"/>
      <c r="F99" s="743"/>
      <c r="G99" s="743"/>
      <c r="H99" s="743"/>
      <c r="I99" s="743"/>
      <c r="J99" s="743"/>
      <c r="K99" s="743"/>
      <c r="L99" s="743"/>
      <c r="M99" s="743"/>
      <c r="N99" s="743"/>
      <c r="O99" s="743"/>
      <c r="P99" s="743"/>
      <c r="Q99" s="743"/>
      <c r="R99" s="743"/>
      <c r="S99" s="743"/>
      <c r="T99" s="743"/>
      <c r="U99" s="743"/>
      <c r="V99" s="743"/>
      <c r="W99" s="743"/>
      <c r="X99" s="743"/>
      <c r="Y99" s="743"/>
      <c r="Z99" s="743"/>
      <c r="AA99" s="743"/>
      <c r="AB99" s="743"/>
      <c r="AC99" s="781" t="str">
        <f t="shared" ca="1" si="9"/>
        <v/>
      </c>
      <c r="AD99" s="781"/>
      <c r="AE99" s="781"/>
      <c r="AF99" s="781"/>
      <c r="AG99" s="781"/>
      <c r="AH99" s="781"/>
      <c r="AI99" s="781"/>
      <c r="AJ99" s="742" t="str">
        <f t="shared" ca="1" si="10"/>
        <v/>
      </c>
      <c r="AK99" s="742"/>
      <c r="AL99" s="768"/>
      <c r="AM99" s="769"/>
      <c r="AN99" s="769"/>
      <c r="AO99" s="769"/>
      <c r="AP99" s="769"/>
      <c r="AQ99" s="769"/>
      <c r="AR99" s="769"/>
      <c r="AS99" s="769"/>
      <c r="AT99" s="769"/>
      <c r="AU99" s="769"/>
      <c r="AV99" s="769"/>
      <c r="AW99" s="769"/>
      <c r="AX99" s="769"/>
      <c r="AY99" s="770"/>
    </row>
    <row r="100" spans="1:52" s="403" customFormat="1" ht="36.75" customHeight="1">
      <c r="B100" s="742">
        <f t="shared" si="11"/>
        <v>54</v>
      </c>
      <c r="C100" s="742"/>
      <c r="D100" s="743" t="str">
        <f t="shared" ca="1" si="8"/>
        <v/>
      </c>
      <c r="E100" s="743"/>
      <c r="F100" s="743"/>
      <c r="G100" s="743"/>
      <c r="H100" s="743"/>
      <c r="I100" s="743"/>
      <c r="J100" s="743"/>
      <c r="K100" s="743"/>
      <c r="L100" s="743"/>
      <c r="M100" s="743"/>
      <c r="N100" s="743"/>
      <c r="O100" s="743"/>
      <c r="P100" s="743"/>
      <c r="Q100" s="743"/>
      <c r="R100" s="743"/>
      <c r="S100" s="743"/>
      <c r="T100" s="743"/>
      <c r="U100" s="743"/>
      <c r="V100" s="743"/>
      <c r="W100" s="743"/>
      <c r="X100" s="743"/>
      <c r="Y100" s="743"/>
      <c r="Z100" s="743"/>
      <c r="AA100" s="743"/>
      <c r="AB100" s="743"/>
      <c r="AC100" s="781" t="str">
        <f t="shared" ca="1" si="9"/>
        <v/>
      </c>
      <c r="AD100" s="781"/>
      <c r="AE100" s="781"/>
      <c r="AF100" s="781"/>
      <c r="AG100" s="781"/>
      <c r="AH100" s="781"/>
      <c r="AI100" s="781"/>
      <c r="AJ100" s="742" t="str">
        <f t="shared" ca="1" si="10"/>
        <v/>
      </c>
      <c r="AK100" s="742"/>
      <c r="AL100" s="768"/>
      <c r="AM100" s="769"/>
      <c r="AN100" s="769"/>
      <c r="AO100" s="769"/>
      <c r="AP100" s="769"/>
      <c r="AQ100" s="769"/>
      <c r="AR100" s="769"/>
      <c r="AS100" s="769"/>
      <c r="AT100" s="769"/>
      <c r="AU100" s="769"/>
      <c r="AV100" s="769"/>
      <c r="AW100" s="769"/>
      <c r="AX100" s="769"/>
      <c r="AY100" s="770"/>
    </row>
    <row r="101" spans="1:52" s="403" customFormat="1" ht="36.75" customHeight="1">
      <c r="B101" s="742">
        <f t="shared" si="11"/>
        <v>55</v>
      </c>
      <c r="C101" s="742"/>
      <c r="D101" s="743" t="str">
        <f t="shared" ca="1" si="8"/>
        <v/>
      </c>
      <c r="E101" s="743"/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3"/>
      <c r="R101" s="743"/>
      <c r="S101" s="743"/>
      <c r="T101" s="743"/>
      <c r="U101" s="743"/>
      <c r="V101" s="743"/>
      <c r="W101" s="743"/>
      <c r="X101" s="743"/>
      <c r="Y101" s="743"/>
      <c r="Z101" s="743"/>
      <c r="AA101" s="743"/>
      <c r="AB101" s="743"/>
      <c r="AC101" s="781" t="str">
        <f t="shared" ca="1" si="9"/>
        <v/>
      </c>
      <c r="AD101" s="781"/>
      <c r="AE101" s="781"/>
      <c r="AF101" s="781"/>
      <c r="AG101" s="781"/>
      <c r="AH101" s="781"/>
      <c r="AI101" s="781"/>
      <c r="AJ101" s="742" t="str">
        <f t="shared" ca="1" si="10"/>
        <v/>
      </c>
      <c r="AK101" s="742"/>
      <c r="AL101" s="768"/>
      <c r="AM101" s="769"/>
      <c r="AN101" s="769"/>
      <c r="AO101" s="769"/>
      <c r="AP101" s="769"/>
      <c r="AQ101" s="769"/>
      <c r="AR101" s="769"/>
      <c r="AS101" s="769"/>
      <c r="AT101" s="769"/>
      <c r="AU101" s="769"/>
      <c r="AV101" s="769"/>
      <c r="AW101" s="769"/>
      <c r="AX101" s="769"/>
      <c r="AY101" s="770"/>
    </row>
    <row r="102" spans="1:52" s="403" customFormat="1" ht="36.75" customHeight="1">
      <c r="B102" s="742">
        <f t="shared" si="11"/>
        <v>56</v>
      </c>
      <c r="C102" s="742"/>
      <c r="D102" s="743" t="str">
        <f t="shared" ca="1" si="8"/>
        <v/>
      </c>
      <c r="E102" s="743"/>
      <c r="F102" s="743"/>
      <c r="G102" s="743"/>
      <c r="H102" s="743"/>
      <c r="I102" s="743"/>
      <c r="J102" s="743"/>
      <c r="K102" s="743"/>
      <c r="L102" s="743"/>
      <c r="M102" s="743"/>
      <c r="N102" s="743"/>
      <c r="O102" s="743"/>
      <c r="P102" s="743"/>
      <c r="Q102" s="743"/>
      <c r="R102" s="743"/>
      <c r="S102" s="743"/>
      <c r="T102" s="743"/>
      <c r="U102" s="743"/>
      <c r="V102" s="743"/>
      <c r="W102" s="743"/>
      <c r="X102" s="743"/>
      <c r="Y102" s="743"/>
      <c r="Z102" s="743"/>
      <c r="AA102" s="743"/>
      <c r="AB102" s="743"/>
      <c r="AC102" s="781" t="str">
        <f t="shared" ca="1" si="9"/>
        <v/>
      </c>
      <c r="AD102" s="781"/>
      <c r="AE102" s="781"/>
      <c r="AF102" s="781"/>
      <c r="AG102" s="781"/>
      <c r="AH102" s="781"/>
      <c r="AI102" s="781"/>
      <c r="AJ102" s="742" t="str">
        <f t="shared" ca="1" si="10"/>
        <v/>
      </c>
      <c r="AK102" s="742"/>
      <c r="AL102" s="768"/>
      <c r="AM102" s="769"/>
      <c r="AN102" s="769"/>
      <c r="AO102" s="769"/>
      <c r="AP102" s="769"/>
      <c r="AQ102" s="769"/>
      <c r="AR102" s="769"/>
      <c r="AS102" s="769"/>
      <c r="AT102" s="769"/>
      <c r="AU102" s="769"/>
      <c r="AV102" s="769"/>
      <c r="AW102" s="769"/>
      <c r="AX102" s="769"/>
      <c r="AY102" s="770"/>
    </row>
    <row r="103" spans="1:52" s="403" customFormat="1" ht="36.75" customHeight="1">
      <c r="B103" s="742">
        <f t="shared" si="11"/>
        <v>57</v>
      </c>
      <c r="C103" s="742"/>
      <c r="D103" s="743" t="str">
        <f t="shared" ca="1" si="8"/>
        <v/>
      </c>
      <c r="E103" s="743"/>
      <c r="F103" s="743"/>
      <c r="G103" s="743"/>
      <c r="H103" s="743"/>
      <c r="I103" s="743"/>
      <c r="J103" s="743"/>
      <c r="K103" s="743"/>
      <c r="L103" s="743"/>
      <c r="M103" s="743"/>
      <c r="N103" s="743"/>
      <c r="O103" s="743"/>
      <c r="P103" s="743"/>
      <c r="Q103" s="743"/>
      <c r="R103" s="743"/>
      <c r="S103" s="743"/>
      <c r="T103" s="743"/>
      <c r="U103" s="743"/>
      <c r="V103" s="743"/>
      <c r="W103" s="743"/>
      <c r="X103" s="743"/>
      <c r="Y103" s="743"/>
      <c r="Z103" s="743"/>
      <c r="AA103" s="743"/>
      <c r="AB103" s="743"/>
      <c r="AC103" s="781" t="str">
        <f t="shared" ca="1" si="9"/>
        <v/>
      </c>
      <c r="AD103" s="781"/>
      <c r="AE103" s="781"/>
      <c r="AF103" s="781"/>
      <c r="AG103" s="781"/>
      <c r="AH103" s="781"/>
      <c r="AI103" s="781"/>
      <c r="AJ103" s="742" t="str">
        <f t="shared" ca="1" si="10"/>
        <v/>
      </c>
      <c r="AK103" s="742"/>
      <c r="AL103" s="768"/>
      <c r="AM103" s="769"/>
      <c r="AN103" s="769"/>
      <c r="AO103" s="769"/>
      <c r="AP103" s="769"/>
      <c r="AQ103" s="769"/>
      <c r="AR103" s="769"/>
      <c r="AS103" s="769"/>
      <c r="AT103" s="769"/>
      <c r="AU103" s="769"/>
      <c r="AV103" s="769"/>
      <c r="AW103" s="769"/>
      <c r="AX103" s="769"/>
      <c r="AY103" s="770"/>
    </row>
    <row r="104" spans="1:52" s="403" customFormat="1" ht="36.75" customHeight="1">
      <c r="B104" s="742">
        <f t="shared" si="11"/>
        <v>58</v>
      </c>
      <c r="C104" s="742"/>
      <c r="D104" s="743" t="str">
        <f t="shared" ca="1" si="8"/>
        <v/>
      </c>
      <c r="E104" s="743"/>
      <c r="F104" s="743"/>
      <c r="G104" s="743"/>
      <c r="H104" s="743"/>
      <c r="I104" s="743"/>
      <c r="J104" s="743"/>
      <c r="K104" s="743"/>
      <c r="L104" s="743"/>
      <c r="M104" s="743"/>
      <c r="N104" s="743"/>
      <c r="O104" s="743"/>
      <c r="P104" s="743"/>
      <c r="Q104" s="743"/>
      <c r="R104" s="743"/>
      <c r="S104" s="743"/>
      <c r="T104" s="743"/>
      <c r="U104" s="743"/>
      <c r="V104" s="743"/>
      <c r="W104" s="743"/>
      <c r="X104" s="743"/>
      <c r="Y104" s="743"/>
      <c r="Z104" s="743"/>
      <c r="AA104" s="743"/>
      <c r="AB104" s="743"/>
      <c r="AC104" s="781" t="str">
        <f t="shared" ca="1" si="9"/>
        <v/>
      </c>
      <c r="AD104" s="781"/>
      <c r="AE104" s="781"/>
      <c r="AF104" s="781"/>
      <c r="AG104" s="781"/>
      <c r="AH104" s="781"/>
      <c r="AI104" s="781"/>
      <c r="AJ104" s="742" t="str">
        <f t="shared" ca="1" si="10"/>
        <v/>
      </c>
      <c r="AK104" s="742"/>
      <c r="AL104" s="768"/>
      <c r="AM104" s="769"/>
      <c r="AN104" s="769"/>
      <c r="AO104" s="769"/>
      <c r="AP104" s="769"/>
      <c r="AQ104" s="769"/>
      <c r="AR104" s="769"/>
      <c r="AS104" s="769"/>
      <c r="AT104" s="769"/>
      <c r="AU104" s="769"/>
      <c r="AV104" s="769"/>
      <c r="AW104" s="769"/>
      <c r="AX104" s="769"/>
      <c r="AY104" s="770"/>
    </row>
    <row r="105" spans="1:52" s="403" customFormat="1" ht="36.75" customHeight="1">
      <c r="A105" s="403" t="s">
        <v>1529</v>
      </c>
      <c r="B105" s="742">
        <f t="shared" si="11"/>
        <v>59</v>
      </c>
      <c r="C105" s="742"/>
      <c r="D105" s="743" t="str">
        <f t="shared" ca="1" si="8"/>
        <v/>
      </c>
      <c r="E105" s="743"/>
      <c r="F105" s="743"/>
      <c r="G105" s="743"/>
      <c r="H105" s="743"/>
      <c r="I105" s="743"/>
      <c r="J105" s="743"/>
      <c r="K105" s="743"/>
      <c r="L105" s="743"/>
      <c r="M105" s="743"/>
      <c r="N105" s="743"/>
      <c r="O105" s="743"/>
      <c r="P105" s="743"/>
      <c r="Q105" s="743"/>
      <c r="R105" s="743"/>
      <c r="S105" s="743"/>
      <c r="T105" s="743"/>
      <c r="U105" s="743"/>
      <c r="V105" s="743"/>
      <c r="W105" s="743"/>
      <c r="X105" s="743"/>
      <c r="Y105" s="743"/>
      <c r="Z105" s="743"/>
      <c r="AA105" s="743"/>
      <c r="AB105" s="743"/>
      <c r="AC105" s="781" t="str">
        <f t="shared" ca="1" si="9"/>
        <v/>
      </c>
      <c r="AD105" s="781"/>
      <c r="AE105" s="781"/>
      <c r="AF105" s="781"/>
      <c r="AG105" s="781"/>
      <c r="AH105" s="781"/>
      <c r="AI105" s="781"/>
      <c r="AJ105" s="742" t="str">
        <f t="shared" ca="1" si="10"/>
        <v/>
      </c>
      <c r="AK105" s="742"/>
      <c r="AL105" s="768"/>
      <c r="AM105" s="769"/>
      <c r="AN105" s="769"/>
      <c r="AO105" s="769"/>
      <c r="AP105" s="769"/>
      <c r="AQ105" s="769"/>
      <c r="AR105" s="769"/>
      <c r="AS105" s="769"/>
      <c r="AT105" s="769"/>
      <c r="AU105" s="769"/>
      <c r="AV105" s="769"/>
      <c r="AW105" s="769"/>
      <c r="AX105" s="769"/>
      <c r="AY105" s="770"/>
      <c r="AZ105" s="473" t="s">
        <v>1530</v>
      </c>
    </row>
    <row r="106" spans="1:52" s="403" customFormat="1" ht="36.75" customHeight="1">
      <c r="B106" s="742">
        <f t="shared" si="11"/>
        <v>60</v>
      </c>
      <c r="C106" s="742"/>
      <c r="D106" s="743" t="str">
        <f t="shared" ca="1" si="8"/>
        <v/>
      </c>
      <c r="E106" s="743"/>
      <c r="F106" s="743"/>
      <c r="G106" s="743"/>
      <c r="H106" s="743"/>
      <c r="I106" s="743"/>
      <c r="J106" s="743"/>
      <c r="K106" s="743"/>
      <c r="L106" s="743"/>
      <c r="M106" s="743"/>
      <c r="N106" s="743"/>
      <c r="O106" s="743"/>
      <c r="P106" s="743"/>
      <c r="Q106" s="743"/>
      <c r="R106" s="743"/>
      <c r="S106" s="743"/>
      <c r="T106" s="743"/>
      <c r="U106" s="743"/>
      <c r="V106" s="743"/>
      <c r="W106" s="743"/>
      <c r="X106" s="743"/>
      <c r="Y106" s="743"/>
      <c r="Z106" s="743"/>
      <c r="AA106" s="743"/>
      <c r="AB106" s="743"/>
      <c r="AC106" s="781" t="str">
        <f t="shared" ca="1" si="9"/>
        <v/>
      </c>
      <c r="AD106" s="781"/>
      <c r="AE106" s="781"/>
      <c r="AF106" s="781"/>
      <c r="AG106" s="781"/>
      <c r="AH106" s="781"/>
      <c r="AI106" s="781"/>
      <c r="AJ106" s="742" t="str">
        <f t="shared" ca="1" si="10"/>
        <v/>
      </c>
      <c r="AK106" s="742"/>
      <c r="AL106" s="768"/>
      <c r="AM106" s="769"/>
      <c r="AN106" s="769"/>
      <c r="AO106" s="769"/>
      <c r="AP106" s="769"/>
      <c r="AQ106" s="769"/>
      <c r="AR106" s="769"/>
      <c r="AS106" s="769"/>
      <c r="AT106" s="769"/>
      <c r="AU106" s="769"/>
      <c r="AV106" s="769"/>
      <c r="AW106" s="769"/>
      <c r="AX106" s="769"/>
      <c r="AY106" s="770"/>
    </row>
    <row r="107" spans="1:52" s="403" customFormat="1" ht="45" customHeight="1">
      <c r="B107" s="749" t="s">
        <v>1527</v>
      </c>
      <c r="C107" s="750"/>
      <c r="D107" s="750"/>
      <c r="E107" s="778" t="str">
        <f>IF(UNNH0030_REPORT_IF_H_EIGYO_MEI="","",UNNH0030_REPORT_IF_H_EIGYO_MEI)</f>
        <v/>
      </c>
      <c r="F107" s="779"/>
      <c r="G107" s="779"/>
      <c r="H107" s="779"/>
      <c r="I107" s="779"/>
      <c r="J107" s="779"/>
      <c r="K107" s="779"/>
      <c r="L107" s="779"/>
      <c r="M107" s="779"/>
      <c r="N107" s="779"/>
      <c r="O107" s="779"/>
      <c r="P107" s="779"/>
      <c r="Q107" s="779"/>
      <c r="R107" s="779"/>
      <c r="S107" s="779"/>
      <c r="T107" s="779"/>
      <c r="U107" s="779"/>
      <c r="V107" s="779"/>
      <c r="W107" s="779"/>
      <c r="X107" s="779"/>
      <c r="Y107" s="779"/>
      <c r="Z107" s="779"/>
      <c r="AA107" s="779"/>
      <c r="AB107" s="779"/>
      <c r="AC107" s="779"/>
      <c r="AD107" s="779"/>
      <c r="AE107" s="779"/>
      <c r="AF107" s="779"/>
      <c r="AG107" s="779"/>
      <c r="AH107" s="779"/>
      <c r="AI107" s="779"/>
      <c r="AJ107" s="779"/>
      <c r="AK107" s="780"/>
      <c r="AL107" s="771"/>
      <c r="AM107" s="772"/>
      <c r="AN107" s="772"/>
      <c r="AO107" s="772"/>
      <c r="AP107" s="772"/>
      <c r="AQ107" s="772"/>
      <c r="AR107" s="772"/>
      <c r="AS107" s="772"/>
      <c r="AT107" s="772"/>
      <c r="AU107" s="772"/>
      <c r="AV107" s="772"/>
      <c r="AW107" s="772"/>
      <c r="AX107" s="772"/>
      <c r="AY107" s="773"/>
    </row>
    <row r="108" spans="1:52" s="403" customFormat="1" ht="33.75" customHeight="1">
      <c r="C108" s="404"/>
      <c r="D108" s="404"/>
      <c r="E108" s="404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</row>
    <row r="109" spans="1:52" s="403" customFormat="1" ht="38.25" customHeight="1">
      <c r="B109" s="756" t="s">
        <v>1528</v>
      </c>
      <c r="C109" s="757"/>
      <c r="D109" s="758"/>
      <c r="E109" s="738" t="str">
        <f>IF(UNNH0030_REPORT_IF_H_TEKIYO="","",UNNH0030_REPORT_IF_H_TEKIYO)</f>
        <v/>
      </c>
      <c r="F109" s="738"/>
      <c r="G109" s="738"/>
      <c r="H109" s="738"/>
      <c r="I109" s="738"/>
      <c r="J109" s="738"/>
      <c r="K109" s="738"/>
      <c r="L109" s="738"/>
      <c r="M109" s="738"/>
      <c r="N109" s="738"/>
      <c r="O109" s="738"/>
      <c r="P109" s="738"/>
      <c r="Q109" s="738"/>
      <c r="R109" s="738"/>
      <c r="S109" s="738"/>
      <c r="T109" s="738"/>
      <c r="U109" s="738"/>
      <c r="V109" s="738"/>
      <c r="W109" s="738"/>
      <c r="X109" s="738"/>
      <c r="Y109" s="738"/>
      <c r="Z109" s="738"/>
      <c r="AA109" s="738"/>
      <c r="AB109" s="738"/>
      <c r="AC109" s="738"/>
      <c r="AD109" s="738"/>
      <c r="AE109" s="738"/>
      <c r="AF109" s="738"/>
      <c r="AG109" s="738"/>
      <c r="AH109" s="738"/>
      <c r="AI109" s="738"/>
      <c r="AJ109" s="738"/>
      <c r="AK109" s="738"/>
      <c r="AL109" s="738"/>
      <c r="AM109" s="738"/>
      <c r="AN109" s="738"/>
      <c r="AO109" s="738"/>
      <c r="AP109" s="738"/>
      <c r="AQ109" s="738"/>
      <c r="AR109" s="738"/>
      <c r="AS109" s="738"/>
      <c r="AU109" s="739" t="str">
        <f>IF(UNNH0030_REPORT_IF_H_SEIKYUHOHO_KBN=0,"","締日 "&amp;UNNH0030_REPORT_IF_H_SHIMEBI)</f>
        <v/>
      </c>
      <c r="AV109" s="739"/>
      <c r="AW109" s="739"/>
      <c r="AX109" s="739"/>
      <c r="AY109" s="740" t="str">
        <f>UNNH0030_REPORT_IF_H_SHIMEBI_MARK</f>
        <v>*</v>
      </c>
    </row>
    <row r="110" spans="1:52" s="403" customFormat="1" ht="38.25" customHeight="1">
      <c r="B110" s="759"/>
      <c r="C110" s="760"/>
      <c r="D110" s="761"/>
      <c r="E110" s="738"/>
      <c r="F110" s="738"/>
      <c r="G110" s="738"/>
      <c r="H110" s="738"/>
      <c r="I110" s="738"/>
      <c r="J110" s="738"/>
      <c r="K110" s="738"/>
      <c r="L110" s="738"/>
      <c r="M110" s="738"/>
      <c r="N110" s="738"/>
      <c r="O110" s="738"/>
      <c r="P110" s="738"/>
      <c r="Q110" s="738"/>
      <c r="R110" s="738"/>
      <c r="S110" s="738"/>
      <c r="T110" s="738"/>
      <c r="U110" s="738"/>
      <c r="V110" s="738"/>
      <c r="W110" s="738"/>
      <c r="X110" s="738"/>
      <c r="Y110" s="738"/>
      <c r="Z110" s="738"/>
      <c r="AA110" s="738"/>
      <c r="AB110" s="738"/>
      <c r="AC110" s="738"/>
      <c r="AD110" s="738"/>
      <c r="AE110" s="738"/>
      <c r="AF110" s="738"/>
      <c r="AG110" s="738"/>
      <c r="AH110" s="738"/>
      <c r="AI110" s="738"/>
      <c r="AJ110" s="738"/>
      <c r="AK110" s="738"/>
      <c r="AL110" s="738"/>
      <c r="AM110" s="738"/>
      <c r="AN110" s="738"/>
      <c r="AO110" s="738"/>
      <c r="AP110" s="738"/>
      <c r="AQ110" s="738"/>
      <c r="AR110" s="738"/>
      <c r="AS110" s="738"/>
      <c r="AU110" s="739"/>
      <c r="AV110" s="739"/>
      <c r="AW110" s="739"/>
      <c r="AX110" s="739"/>
      <c r="AY110" s="740"/>
    </row>
    <row r="111" spans="1:52" s="403" customFormat="1" ht="30" customHeight="1">
      <c r="B111" s="777" t="str">
        <f>IF(UNNH0030_REPORT_IF_JURI_NO="","",UNNH0030_REPORT_IF_JURI_NO)</f>
        <v/>
      </c>
      <c r="C111" s="777"/>
      <c r="D111" s="777"/>
      <c r="E111" s="777"/>
      <c r="F111" s="777"/>
      <c r="G111" s="777"/>
      <c r="H111" s="777"/>
      <c r="I111" s="777"/>
      <c r="J111" s="777"/>
      <c r="K111" s="777"/>
      <c r="L111" s="777"/>
      <c r="M111" s="777"/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</row>
    <row r="112" spans="1:52" s="403" customFormat="1" ht="12" customHeight="1">
      <c r="C112" s="404"/>
      <c r="D112" s="404"/>
      <c r="E112" s="465"/>
      <c r="F112" s="466"/>
      <c r="G112" s="466"/>
      <c r="H112" s="466"/>
      <c r="I112" s="466"/>
      <c r="J112" s="466"/>
      <c r="K112" s="466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7"/>
      <c r="AA112" s="744" t="s">
        <v>1535</v>
      </c>
      <c r="AB112" s="744"/>
      <c r="AC112" s="744"/>
      <c r="AD112" s="744"/>
      <c r="AE112" s="744"/>
      <c r="AF112" s="744"/>
      <c r="AG112" s="744"/>
      <c r="AH112" s="744"/>
      <c r="AI112" s="744"/>
      <c r="AJ112" s="744"/>
      <c r="AK112" s="744"/>
      <c r="AL112" s="744"/>
      <c r="AP112" s="774" t="str">
        <f>"No."&amp;UNNH0030_REPORT_IF_H_URIAGE_NO&amp;"-"&amp;ROUNDUP(ROW()/ROWS(UNNH0030_SEIKYUSHO_PAGE_AREA),0)&amp;"/"&amp;UNNH0030_REPORT_IF_B_PAGE_TOTAL</f>
        <v>No.-4/1</v>
      </c>
      <c r="AQ112" s="774"/>
      <c r="AR112" s="774"/>
      <c r="AS112" s="774"/>
      <c r="AT112" s="774"/>
      <c r="AU112" s="774"/>
      <c r="AV112" s="774"/>
      <c r="AW112" s="774"/>
      <c r="AX112" s="774"/>
      <c r="AY112" s="774"/>
    </row>
    <row r="113" spans="1:52" s="403" customFormat="1" ht="24.75" customHeight="1">
      <c r="C113" s="404"/>
      <c r="E113" s="468"/>
      <c r="F113" s="775" t="str">
        <f>IF(UNNH0030_REPORT_IF_H_JUSHO_NO_PRINT_FLG=TRUE,"","〒")</f>
        <v>〒</v>
      </c>
      <c r="G113" s="775"/>
      <c r="H113" s="776" t="str">
        <f>IF(UNNH0030_REPORT_IF_H_JUSHO_NO_PRINT_FLG=TRUE,"",IF(UNNH0030_REPORT_IF_H_YUBIN_NO="","",UNNH0030_REPORT_IF_H_YUBIN_NO))</f>
        <v/>
      </c>
      <c r="I113" s="776"/>
      <c r="J113" s="776"/>
      <c r="K113" s="776"/>
      <c r="L113" s="776"/>
      <c r="M113" s="776"/>
      <c r="N113" s="776"/>
      <c r="O113" s="776"/>
      <c r="P113" s="776"/>
      <c r="Q113" s="776"/>
      <c r="R113" s="776"/>
      <c r="S113" s="776"/>
      <c r="T113" s="776"/>
      <c r="U113" s="776"/>
      <c r="V113" s="776"/>
      <c r="W113" s="776"/>
      <c r="X113" s="776"/>
      <c r="Y113" s="469"/>
      <c r="AA113" s="744"/>
      <c r="AB113" s="744"/>
      <c r="AC113" s="744"/>
      <c r="AD113" s="744"/>
      <c r="AE113" s="744"/>
      <c r="AF113" s="744"/>
      <c r="AG113" s="744"/>
      <c r="AH113" s="744"/>
      <c r="AI113" s="744"/>
      <c r="AJ113" s="744"/>
      <c r="AK113" s="744"/>
      <c r="AL113" s="744"/>
      <c r="AP113" s="774"/>
      <c r="AQ113" s="774"/>
      <c r="AR113" s="774"/>
      <c r="AS113" s="774"/>
      <c r="AT113" s="774"/>
      <c r="AU113" s="774"/>
      <c r="AV113" s="774"/>
      <c r="AW113" s="774"/>
      <c r="AX113" s="774"/>
      <c r="AY113" s="774"/>
    </row>
    <row r="114" spans="1:52" s="403" customFormat="1" ht="24.75" customHeight="1">
      <c r="C114" s="404"/>
      <c r="E114" s="468"/>
      <c r="F114" s="745" t="str">
        <f>IF(UNNH0030_REPORT_IF_H_JUSHO_NO_PRINT_FLG="","",IF(UNNH0030_REPORT_IF_H_ADDRESS_1="","",UNNH0030_REPORT_IF_H_ADDRESS_1))</f>
        <v/>
      </c>
      <c r="G114" s="745"/>
      <c r="H114" s="745"/>
      <c r="I114" s="745"/>
      <c r="J114" s="745"/>
      <c r="K114" s="745"/>
      <c r="L114" s="745"/>
      <c r="M114" s="745"/>
      <c r="N114" s="745"/>
      <c r="O114" s="745"/>
      <c r="P114" s="745"/>
      <c r="Q114" s="745"/>
      <c r="R114" s="745"/>
      <c r="S114" s="745"/>
      <c r="T114" s="745"/>
      <c r="U114" s="745"/>
      <c r="V114" s="745"/>
      <c r="W114" s="745"/>
      <c r="X114" s="745"/>
      <c r="Y114" s="469"/>
      <c r="AP114" s="748">
        <f>UNNH0030_REPORT_IF_H_URIAGE_DATE</f>
        <v>0</v>
      </c>
      <c r="AQ114" s="748"/>
      <c r="AR114" s="748"/>
      <c r="AS114" s="748"/>
      <c r="AT114" s="748"/>
      <c r="AU114" s="748"/>
      <c r="AV114" s="748"/>
      <c r="AW114" s="748"/>
      <c r="AX114" s="748"/>
      <c r="AY114" s="748"/>
    </row>
    <row r="115" spans="1:52" s="403" customFormat="1" ht="24.75" customHeight="1">
      <c r="C115" s="404"/>
      <c r="E115" s="468"/>
      <c r="F115" s="745" t="str">
        <f>IF(UNNH0030_REPORT_IF_H_JUSHO_NO_PRINT_FLG="","",IF(UNNH0030_REPORT_IF_H_ADDRESS_2="","",UNNH0030_REPORT_IF_H_ADDRESS_2))</f>
        <v/>
      </c>
      <c r="G115" s="745"/>
      <c r="H115" s="745"/>
      <c r="I115" s="745"/>
      <c r="J115" s="745"/>
      <c r="K115" s="745"/>
      <c r="L115" s="745"/>
      <c r="M115" s="745"/>
      <c r="N115" s="745"/>
      <c r="O115" s="745"/>
      <c r="P115" s="745"/>
      <c r="Q115" s="745"/>
      <c r="R115" s="745"/>
      <c r="S115" s="745"/>
      <c r="T115" s="745"/>
      <c r="U115" s="745"/>
      <c r="V115" s="745"/>
      <c r="W115" s="745"/>
      <c r="X115" s="745"/>
      <c r="Y115" s="469"/>
    </row>
    <row r="116" spans="1:52" s="403" customFormat="1" ht="24.75" customHeight="1">
      <c r="C116" s="404"/>
      <c r="E116" s="468"/>
      <c r="F116" s="409"/>
      <c r="G116" s="409"/>
      <c r="H116" s="409"/>
      <c r="I116" s="409"/>
      <c r="J116" s="409"/>
      <c r="K116" s="409"/>
      <c r="L116" s="409"/>
      <c r="M116" s="409"/>
      <c r="N116" s="409"/>
      <c r="O116" s="409"/>
      <c r="P116" s="409"/>
      <c r="Q116" s="409"/>
      <c r="R116" s="409"/>
      <c r="S116" s="409"/>
      <c r="T116" s="409"/>
      <c r="U116" s="409"/>
      <c r="V116" s="409"/>
      <c r="W116" s="409"/>
      <c r="X116" s="409"/>
      <c r="Y116" s="469"/>
    </row>
    <row r="117" spans="1:52" s="403" customFormat="1" ht="26.25" customHeight="1">
      <c r="C117" s="404"/>
      <c r="E117" s="470"/>
      <c r="F117" s="745" t="str">
        <f>IF(TRIM(UNNH0030_REPORT_IF_H_SOFU_TANTO)="","",
IF(TRIM(UNNH0030_REPORT_IF_H_DEMPYO_SOFU_MEI)="","",
TRIM(UNNH0030_REPORT_IF_H_DEMPYO_SOFU_MEI)))</f>
        <v/>
      </c>
      <c r="G117" s="745"/>
      <c r="H117" s="745"/>
      <c r="I117" s="745"/>
      <c r="J117" s="745"/>
      <c r="K117" s="745"/>
      <c r="L117" s="745"/>
      <c r="M117" s="745"/>
      <c r="N117" s="745"/>
      <c r="O117" s="745"/>
      <c r="P117" s="745"/>
      <c r="Q117" s="745"/>
      <c r="R117" s="745"/>
      <c r="S117" s="745"/>
      <c r="T117" s="745"/>
      <c r="U117" s="745"/>
      <c r="V117" s="745"/>
      <c r="W117" s="745"/>
      <c r="X117" s="745"/>
      <c r="Y117" s="469"/>
    </row>
    <row r="118" spans="1:52" s="403" customFormat="1" ht="26.25" customHeight="1">
      <c r="C118" s="404"/>
      <c r="E118" s="468"/>
      <c r="F118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18" s="746"/>
      <c r="H118" s="746"/>
      <c r="I118" s="746"/>
      <c r="J118" s="746"/>
      <c r="K118" s="746"/>
      <c r="L118" s="746"/>
      <c r="M118" s="746"/>
      <c r="N118" s="746"/>
      <c r="O118" s="746"/>
      <c r="P118" s="746"/>
      <c r="Q118" s="746"/>
      <c r="R118" s="746"/>
      <c r="S118" s="746"/>
      <c r="T118" s="746"/>
      <c r="U118" s="746"/>
      <c r="V118" s="746"/>
      <c r="W118" s="746"/>
      <c r="X118" s="746"/>
      <c r="Y118" s="469"/>
      <c r="Z118" s="477" t="str">
        <f>UNNH0030_REPORT_IF_H_SHIMEBI_MARK</f>
        <v>*</v>
      </c>
    </row>
    <row r="119" spans="1:52" s="403" customFormat="1" ht="25.5" customHeight="1">
      <c r="C119" s="404"/>
      <c r="E119" s="471"/>
      <c r="F119" s="747">
        <f>UNNH0030_REPORT_IF_H_SEIKYU_CD</f>
        <v>0</v>
      </c>
      <c r="G119" s="747"/>
      <c r="H119" s="747"/>
      <c r="I119" s="747"/>
      <c r="J119" s="747"/>
      <c r="K119" s="747"/>
      <c r="L119" s="747"/>
      <c r="M119" s="747"/>
      <c r="N119" s="747"/>
      <c r="O119" s="747"/>
      <c r="P119" s="747"/>
      <c r="Q119" s="747"/>
      <c r="R119" s="747"/>
      <c r="S119" s="747"/>
      <c r="T119" s="747"/>
      <c r="U119" s="747"/>
      <c r="V119" s="747"/>
      <c r="W119" s="747"/>
      <c r="X119" s="747"/>
      <c r="Y119" s="472"/>
    </row>
    <row r="120" spans="1:52" s="403" customFormat="1" ht="30" customHeight="1">
      <c r="C120" s="404"/>
    </row>
    <row r="121" spans="1:52" s="403" customFormat="1" ht="30" customHeight="1">
      <c r="C121" s="404"/>
      <c r="D121" s="404"/>
      <c r="E121" s="404"/>
      <c r="F121" s="404"/>
      <c r="G121" s="404"/>
      <c r="H121" s="404"/>
      <c r="I121" s="404"/>
      <c r="J121" s="404"/>
      <c r="K121" s="404"/>
      <c r="L121" s="404"/>
      <c r="M121" s="404"/>
      <c r="N121" s="404"/>
      <c r="O121" s="404"/>
    </row>
    <row r="122" spans="1:52" s="403" customFormat="1" ht="29.25" customHeight="1">
      <c r="B122" s="474" t="s">
        <v>1101</v>
      </c>
      <c r="C122" s="404"/>
      <c r="D122" s="404"/>
      <c r="E122" s="404"/>
      <c r="F122" s="404"/>
      <c r="G122" s="404"/>
      <c r="H122" s="404"/>
      <c r="I122" s="404"/>
      <c r="J122" s="404"/>
      <c r="K122" s="404"/>
      <c r="L122" s="404"/>
      <c r="M122" s="404"/>
      <c r="N122" s="404"/>
      <c r="O122" s="404"/>
    </row>
    <row r="123" spans="1:52" s="403" customFormat="1" ht="36.75" customHeight="1">
      <c r="B123" s="742"/>
      <c r="C123" s="742"/>
      <c r="D123" s="742" t="s">
        <v>1102</v>
      </c>
      <c r="E123" s="742"/>
      <c r="F123" s="742"/>
      <c r="G123" s="742"/>
      <c r="H123" s="742"/>
      <c r="I123" s="742"/>
      <c r="J123" s="742"/>
      <c r="K123" s="742"/>
      <c r="L123" s="742"/>
      <c r="M123" s="742"/>
      <c r="N123" s="742"/>
      <c r="O123" s="742"/>
      <c r="P123" s="742"/>
      <c r="Q123" s="742"/>
      <c r="R123" s="742"/>
      <c r="S123" s="742"/>
      <c r="T123" s="742"/>
      <c r="U123" s="742"/>
      <c r="V123" s="742"/>
      <c r="W123" s="742"/>
      <c r="X123" s="742"/>
      <c r="Y123" s="742"/>
      <c r="Z123" s="742"/>
      <c r="AA123" s="742"/>
      <c r="AB123" s="742"/>
      <c r="AC123" s="742" t="s">
        <v>1103</v>
      </c>
      <c r="AD123" s="742"/>
      <c r="AE123" s="742"/>
      <c r="AF123" s="742"/>
      <c r="AG123" s="742"/>
      <c r="AH123" s="742"/>
      <c r="AI123" s="742"/>
      <c r="AJ123" s="742" t="s">
        <v>1104</v>
      </c>
      <c r="AK123" s="742"/>
      <c r="AL123" s="762" t="s">
        <v>1498</v>
      </c>
      <c r="AM123" s="763"/>
      <c r="AN123" s="763"/>
      <c r="AO123" s="763"/>
      <c r="AP123" s="763"/>
      <c r="AQ123" s="763"/>
      <c r="AR123" s="763"/>
      <c r="AS123" s="763"/>
      <c r="AT123" s="763"/>
      <c r="AU123" s="763"/>
      <c r="AV123" s="763"/>
      <c r="AW123" s="763"/>
      <c r="AX123" s="763"/>
      <c r="AY123" s="764"/>
    </row>
    <row r="124" spans="1:52" s="403" customFormat="1" ht="36.75" customHeight="1">
      <c r="B124" s="742">
        <f>ROUNDDOWN(ROW()/ROWS(UNNH0030_REPORT_RAYOUT_SEIKYUSHO),0)*UNNH0030_REPORT_IF_B_PAGE_MEISAI_SU+1</f>
        <v>61</v>
      </c>
      <c r="C124" s="742"/>
      <c r="D124" s="743" t="str">
        <f t="shared" ref="D124:D143" ca="1" si="12">IF(OFFSET(UNNH0030_REPORT_IF_B_SHOHIN_MEI,$B124,0)="","",OFFSET(UNNH0030_REPORT_IF_B_SHOHIN_MEI,$B124,0))</f>
        <v/>
      </c>
      <c r="E124" s="743"/>
      <c r="F124" s="743"/>
      <c r="G124" s="743"/>
      <c r="H124" s="743"/>
      <c r="I124" s="743"/>
      <c r="J124" s="743"/>
      <c r="K124" s="743"/>
      <c r="L124" s="743"/>
      <c r="M124" s="743"/>
      <c r="N124" s="743"/>
      <c r="O124" s="743"/>
      <c r="P124" s="743"/>
      <c r="Q124" s="743"/>
      <c r="R124" s="743"/>
      <c r="S124" s="743"/>
      <c r="T124" s="743"/>
      <c r="U124" s="743"/>
      <c r="V124" s="743"/>
      <c r="W124" s="743"/>
      <c r="X124" s="743"/>
      <c r="Y124" s="743"/>
      <c r="Z124" s="743"/>
      <c r="AA124" s="743"/>
      <c r="AB124" s="743"/>
      <c r="AC124" s="781" t="str">
        <f t="shared" ref="AC124:AC143" ca="1" si="13">IF(OR(OFFSET(UNNH0030_REPORT_IF_B_ROW_KBN,$B124,0)&lt;&gt;1,$D124="",$D124="消費税"),"",
OFFSET(UNNH0030_REPORT_IF_B_SURYO,$B124,0))</f>
        <v/>
      </c>
      <c r="AD124" s="781"/>
      <c r="AE124" s="781"/>
      <c r="AF124" s="781"/>
      <c r="AG124" s="781"/>
      <c r="AH124" s="781"/>
      <c r="AI124" s="781"/>
      <c r="AJ124" s="742" t="str">
        <f t="shared" ref="AJ124:AJ143" ca="1" si="14">IF(OFFSET(UNNH0030_REPORT_IF_B_TANI,$B124,0)="","",OFFSET(UNNH0030_REPORT_IF_B_TANI,$B124,0))</f>
        <v/>
      </c>
      <c r="AK124" s="742"/>
      <c r="AL124" s="765"/>
      <c r="AM124" s="766"/>
      <c r="AN124" s="766"/>
      <c r="AO124" s="766"/>
      <c r="AP124" s="766"/>
      <c r="AQ124" s="766"/>
      <c r="AR124" s="766"/>
      <c r="AS124" s="766"/>
      <c r="AT124" s="766"/>
      <c r="AU124" s="766"/>
      <c r="AV124" s="766"/>
      <c r="AW124" s="766"/>
      <c r="AX124" s="766"/>
      <c r="AY124" s="767"/>
    </row>
    <row r="125" spans="1:52" s="403" customFormat="1" ht="36.75" customHeight="1">
      <c r="B125" s="742">
        <f>B124+1</f>
        <v>62</v>
      </c>
      <c r="C125" s="742"/>
      <c r="D125" s="743" t="str">
        <f t="shared" ca="1" si="12"/>
        <v/>
      </c>
      <c r="E125" s="743"/>
      <c r="F125" s="743"/>
      <c r="G125" s="743"/>
      <c r="H125" s="743"/>
      <c r="I125" s="743"/>
      <c r="J125" s="743"/>
      <c r="K125" s="743"/>
      <c r="L125" s="743"/>
      <c r="M125" s="743"/>
      <c r="N125" s="743"/>
      <c r="O125" s="743"/>
      <c r="P125" s="743"/>
      <c r="Q125" s="743"/>
      <c r="R125" s="743"/>
      <c r="S125" s="743"/>
      <c r="T125" s="743"/>
      <c r="U125" s="743"/>
      <c r="V125" s="743"/>
      <c r="W125" s="743"/>
      <c r="X125" s="743"/>
      <c r="Y125" s="743"/>
      <c r="Z125" s="743"/>
      <c r="AA125" s="743"/>
      <c r="AB125" s="743"/>
      <c r="AC125" s="781" t="str">
        <f t="shared" ca="1" si="13"/>
        <v/>
      </c>
      <c r="AD125" s="781"/>
      <c r="AE125" s="781"/>
      <c r="AF125" s="781"/>
      <c r="AG125" s="781"/>
      <c r="AH125" s="781"/>
      <c r="AI125" s="781"/>
      <c r="AJ125" s="742" t="str">
        <f t="shared" ca="1" si="14"/>
        <v/>
      </c>
      <c r="AK125" s="742"/>
      <c r="AL125" s="768"/>
      <c r="AM125" s="769"/>
      <c r="AN125" s="769"/>
      <c r="AO125" s="769"/>
      <c r="AP125" s="769"/>
      <c r="AQ125" s="769"/>
      <c r="AR125" s="769"/>
      <c r="AS125" s="769"/>
      <c r="AT125" s="769"/>
      <c r="AU125" s="769"/>
      <c r="AV125" s="769"/>
      <c r="AW125" s="769"/>
      <c r="AX125" s="769"/>
      <c r="AY125" s="770"/>
    </row>
    <row r="126" spans="1:52" s="403" customFormat="1" ht="36.75" customHeight="1">
      <c r="B126" s="742">
        <f>B125+1</f>
        <v>63</v>
      </c>
      <c r="C126" s="742"/>
      <c r="D126" s="743" t="str">
        <f t="shared" ca="1" si="12"/>
        <v/>
      </c>
      <c r="E126" s="743"/>
      <c r="F126" s="743"/>
      <c r="G126" s="743"/>
      <c r="H126" s="743"/>
      <c r="I126" s="743"/>
      <c r="J126" s="743"/>
      <c r="K126" s="743"/>
      <c r="L126" s="743"/>
      <c r="M126" s="743"/>
      <c r="N126" s="743"/>
      <c r="O126" s="743"/>
      <c r="P126" s="743"/>
      <c r="Q126" s="743"/>
      <c r="R126" s="743"/>
      <c r="S126" s="743"/>
      <c r="T126" s="743"/>
      <c r="U126" s="743"/>
      <c r="V126" s="743"/>
      <c r="W126" s="743"/>
      <c r="X126" s="743"/>
      <c r="Y126" s="743"/>
      <c r="Z126" s="743"/>
      <c r="AA126" s="743"/>
      <c r="AB126" s="743"/>
      <c r="AC126" s="781" t="str">
        <f t="shared" ca="1" si="13"/>
        <v/>
      </c>
      <c r="AD126" s="781"/>
      <c r="AE126" s="781"/>
      <c r="AF126" s="781"/>
      <c r="AG126" s="781"/>
      <c r="AH126" s="781"/>
      <c r="AI126" s="781"/>
      <c r="AJ126" s="742" t="str">
        <f t="shared" ca="1" si="14"/>
        <v/>
      </c>
      <c r="AK126" s="742"/>
      <c r="AL126" s="768"/>
      <c r="AM126" s="769"/>
      <c r="AN126" s="769"/>
      <c r="AO126" s="769"/>
      <c r="AP126" s="769"/>
      <c r="AQ126" s="769"/>
      <c r="AR126" s="769"/>
      <c r="AS126" s="769"/>
      <c r="AT126" s="769"/>
      <c r="AU126" s="769"/>
      <c r="AV126" s="769"/>
      <c r="AW126" s="769"/>
      <c r="AX126" s="769"/>
      <c r="AY126" s="770"/>
    </row>
    <row r="127" spans="1:52" s="403" customFormat="1" ht="36.75" customHeight="1">
      <c r="B127" s="742">
        <f t="shared" ref="B127:B143" si="15">B126+1</f>
        <v>64</v>
      </c>
      <c r="C127" s="742"/>
      <c r="D127" s="743" t="str">
        <f t="shared" ca="1" si="12"/>
        <v/>
      </c>
      <c r="E127" s="743"/>
      <c r="F127" s="743"/>
      <c r="G127" s="743"/>
      <c r="H127" s="743"/>
      <c r="I127" s="743"/>
      <c r="J127" s="743"/>
      <c r="K127" s="743"/>
      <c r="L127" s="743"/>
      <c r="M127" s="743"/>
      <c r="N127" s="743"/>
      <c r="O127" s="743"/>
      <c r="P127" s="743"/>
      <c r="Q127" s="743"/>
      <c r="R127" s="743"/>
      <c r="S127" s="743"/>
      <c r="T127" s="743"/>
      <c r="U127" s="743"/>
      <c r="V127" s="743"/>
      <c r="W127" s="743"/>
      <c r="X127" s="743"/>
      <c r="Y127" s="743"/>
      <c r="Z127" s="743"/>
      <c r="AA127" s="743"/>
      <c r="AB127" s="743"/>
      <c r="AC127" s="781" t="str">
        <f t="shared" ca="1" si="13"/>
        <v/>
      </c>
      <c r="AD127" s="781"/>
      <c r="AE127" s="781"/>
      <c r="AF127" s="781"/>
      <c r="AG127" s="781"/>
      <c r="AH127" s="781"/>
      <c r="AI127" s="781"/>
      <c r="AJ127" s="742" t="str">
        <f t="shared" ca="1" si="14"/>
        <v/>
      </c>
      <c r="AK127" s="742"/>
      <c r="AL127" s="768"/>
      <c r="AM127" s="769"/>
      <c r="AN127" s="769"/>
      <c r="AO127" s="769"/>
      <c r="AP127" s="769"/>
      <c r="AQ127" s="769"/>
      <c r="AR127" s="769"/>
      <c r="AS127" s="769"/>
      <c r="AT127" s="769"/>
      <c r="AU127" s="769"/>
      <c r="AV127" s="769"/>
      <c r="AW127" s="769"/>
      <c r="AX127" s="769"/>
      <c r="AY127" s="770"/>
    </row>
    <row r="128" spans="1:52" s="403" customFormat="1" ht="36.75" customHeight="1">
      <c r="A128" s="403" t="s">
        <v>1529</v>
      </c>
      <c r="B128" s="742">
        <f t="shared" si="15"/>
        <v>65</v>
      </c>
      <c r="C128" s="742"/>
      <c r="D128" s="743" t="str">
        <f t="shared" ca="1" si="12"/>
        <v/>
      </c>
      <c r="E128" s="743"/>
      <c r="F128" s="743"/>
      <c r="G128" s="743"/>
      <c r="H128" s="743"/>
      <c r="I128" s="743"/>
      <c r="J128" s="743"/>
      <c r="K128" s="743"/>
      <c r="L128" s="743"/>
      <c r="M128" s="743"/>
      <c r="N128" s="743"/>
      <c r="O128" s="743"/>
      <c r="P128" s="743"/>
      <c r="Q128" s="743"/>
      <c r="R128" s="743"/>
      <c r="S128" s="743"/>
      <c r="T128" s="743"/>
      <c r="U128" s="743"/>
      <c r="V128" s="743"/>
      <c r="W128" s="743"/>
      <c r="X128" s="743"/>
      <c r="Y128" s="743"/>
      <c r="Z128" s="743"/>
      <c r="AA128" s="743"/>
      <c r="AB128" s="743"/>
      <c r="AC128" s="781" t="str">
        <f t="shared" ca="1" si="13"/>
        <v/>
      </c>
      <c r="AD128" s="781"/>
      <c r="AE128" s="781"/>
      <c r="AF128" s="781"/>
      <c r="AG128" s="781"/>
      <c r="AH128" s="781"/>
      <c r="AI128" s="781"/>
      <c r="AJ128" s="742" t="str">
        <f t="shared" ca="1" si="14"/>
        <v/>
      </c>
      <c r="AK128" s="742"/>
      <c r="AL128" s="768"/>
      <c r="AM128" s="769"/>
      <c r="AN128" s="769"/>
      <c r="AO128" s="769"/>
      <c r="AP128" s="769"/>
      <c r="AQ128" s="769"/>
      <c r="AR128" s="769"/>
      <c r="AS128" s="769"/>
      <c r="AT128" s="769"/>
      <c r="AU128" s="769"/>
      <c r="AV128" s="769"/>
      <c r="AW128" s="769"/>
      <c r="AX128" s="769"/>
      <c r="AY128" s="770"/>
      <c r="AZ128" s="473" t="s">
        <v>1530</v>
      </c>
    </row>
    <row r="129" spans="1:52" s="403" customFormat="1" ht="36.75" customHeight="1">
      <c r="B129" s="742">
        <f t="shared" si="15"/>
        <v>66</v>
      </c>
      <c r="C129" s="742"/>
      <c r="D129" s="743" t="str">
        <f t="shared" ca="1" si="12"/>
        <v/>
      </c>
      <c r="E129" s="743"/>
      <c r="F129" s="743"/>
      <c r="G129" s="743"/>
      <c r="H129" s="743"/>
      <c r="I129" s="743"/>
      <c r="J129" s="743"/>
      <c r="K129" s="743"/>
      <c r="L129" s="743"/>
      <c r="M129" s="743"/>
      <c r="N129" s="743"/>
      <c r="O129" s="743"/>
      <c r="P129" s="743"/>
      <c r="Q129" s="743"/>
      <c r="R129" s="743"/>
      <c r="S129" s="743"/>
      <c r="T129" s="743"/>
      <c r="U129" s="743"/>
      <c r="V129" s="743"/>
      <c r="W129" s="743"/>
      <c r="X129" s="743"/>
      <c r="Y129" s="743"/>
      <c r="Z129" s="743"/>
      <c r="AA129" s="743"/>
      <c r="AB129" s="743"/>
      <c r="AC129" s="781" t="str">
        <f t="shared" ca="1" si="13"/>
        <v/>
      </c>
      <c r="AD129" s="781"/>
      <c r="AE129" s="781"/>
      <c r="AF129" s="781"/>
      <c r="AG129" s="781"/>
      <c r="AH129" s="781"/>
      <c r="AI129" s="781"/>
      <c r="AJ129" s="742" t="str">
        <f t="shared" ca="1" si="14"/>
        <v/>
      </c>
      <c r="AK129" s="742"/>
      <c r="AL129" s="768"/>
      <c r="AM129" s="769"/>
      <c r="AN129" s="769"/>
      <c r="AO129" s="769"/>
      <c r="AP129" s="769"/>
      <c r="AQ129" s="769"/>
      <c r="AR129" s="769"/>
      <c r="AS129" s="769"/>
      <c r="AT129" s="769"/>
      <c r="AU129" s="769"/>
      <c r="AV129" s="769"/>
      <c r="AW129" s="769"/>
      <c r="AX129" s="769"/>
      <c r="AY129" s="770"/>
      <c r="AZ129" s="473"/>
    </row>
    <row r="130" spans="1:52" s="403" customFormat="1" ht="36.75" customHeight="1">
      <c r="B130" s="742">
        <f t="shared" si="15"/>
        <v>67</v>
      </c>
      <c r="C130" s="742"/>
      <c r="D130" s="743" t="str">
        <f t="shared" ca="1" si="12"/>
        <v/>
      </c>
      <c r="E130" s="743"/>
      <c r="F130" s="743"/>
      <c r="G130" s="743"/>
      <c r="H130" s="743"/>
      <c r="I130" s="743"/>
      <c r="J130" s="743"/>
      <c r="K130" s="743"/>
      <c r="L130" s="743"/>
      <c r="M130" s="743"/>
      <c r="N130" s="743"/>
      <c r="O130" s="743"/>
      <c r="P130" s="743"/>
      <c r="Q130" s="743"/>
      <c r="R130" s="743"/>
      <c r="S130" s="743"/>
      <c r="T130" s="743"/>
      <c r="U130" s="743"/>
      <c r="V130" s="743"/>
      <c r="W130" s="743"/>
      <c r="X130" s="743"/>
      <c r="Y130" s="743"/>
      <c r="Z130" s="743"/>
      <c r="AA130" s="743"/>
      <c r="AB130" s="743"/>
      <c r="AC130" s="781" t="str">
        <f t="shared" ca="1" si="13"/>
        <v/>
      </c>
      <c r="AD130" s="781"/>
      <c r="AE130" s="781"/>
      <c r="AF130" s="781"/>
      <c r="AG130" s="781"/>
      <c r="AH130" s="781"/>
      <c r="AI130" s="781"/>
      <c r="AJ130" s="742" t="str">
        <f t="shared" ca="1" si="14"/>
        <v/>
      </c>
      <c r="AK130" s="742"/>
      <c r="AL130" s="768"/>
      <c r="AM130" s="769"/>
      <c r="AN130" s="769"/>
      <c r="AO130" s="769"/>
      <c r="AP130" s="769"/>
      <c r="AQ130" s="769"/>
      <c r="AR130" s="769"/>
      <c r="AS130" s="769"/>
      <c r="AT130" s="769"/>
      <c r="AU130" s="769"/>
      <c r="AV130" s="769"/>
      <c r="AW130" s="769"/>
      <c r="AX130" s="769"/>
      <c r="AY130" s="770"/>
      <c r="AZ130" s="473"/>
    </row>
    <row r="131" spans="1:52" s="403" customFormat="1" ht="36.75" customHeight="1">
      <c r="B131" s="742">
        <f t="shared" si="15"/>
        <v>68</v>
      </c>
      <c r="C131" s="742"/>
      <c r="D131" s="743" t="str">
        <f t="shared" ca="1" si="12"/>
        <v/>
      </c>
      <c r="E131" s="743"/>
      <c r="F131" s="743"/>
      <c r="G131" s="743"/>
      <c r="H131" s="743"/>
      <c r="I131" s="743"/>
      <c r="J131" s="743"/>
      <c r="K131" s="743"/>
      <c r="L131" s="743"/>
      <c r="M131" s="743"/>
      <c r="N131" s="743"/>
      <c r="O131" s="743"/>
      <c r="P131" s="743"/>
      <c r="Q131" s="743"/>
      <c r="R131" s="743"/>
      <c r="S131" s="743"/>
      <c r="T131" s="743"/>
      <c r="U131" s="743"/>
      <c r="V131" s="743"/>
      <c r="W131" s="743"/>
      <c r="X131" s="743"/>
      <c r="Y131" s="743"/>
      <c r="Z131" s="743"/>
      <c r="AA131" s="743"/>
      <c r="AB131" s="743"/>
      <c r="AC131" s="781" t="str">
        <f t="shared" ca="1" si="13"/>
        <v/>
      </c>
      <c r="AD131" s="781"/>
      <c r="AE131" s="781"/>
      <c r="AF131" s="781"/>
      <c r="AG131" s="781"/>
      <c r="AH131" s="781"/>
      <c r="AI131" s="781"/>
      <c r="AJ131" s="742" t="str">
        <f t="shared" ca="1" si="14"/>
        <v/>
      </c>
      <c r="AK131" s="742"/>
      <c r="AL131" s="768"/>
      <c r="AM131" s="769"/>
      <c r="AN131" s="769"/>
      <c r="AO131" s="769"/>
      <c r="AP131" s="769"/>
      <c r="AQ131" s="769"/>
      <c r="AR131" s="769"/>
      <c r="AS131" s="769"/>
      <c r="AT131" s="769"/>
      <c r="AU131" s="769"/>
      <c r="AV131" s="769"/>
      <c r="AW131" s="769"/>
      <c r="AX131" s="769"/>
      <c r="AY131" s="770"/>
    </row>
    <row r="132" spans="1:52" s="403" customFormat="1" ht="36.75" customHeight="1">
      <c r="B132" s="742">
        <f t="shared" si="15"/>
        <v>69</v>
      </c>
      <c r="C132" s="742"/>
      <c r="D132" s="743" t="str">
        <f t="shared" ca="1" si="12"/>
        <v/>
      </c>
      <c r="E132" s="743"/>
      <c r="F132" s="743"/>
      <c r="G132" s="743"/>
      <c r="H132" s="743"/>
      <c r="I132" s="743"/>
      <c r="J132" s="743"/>
      <c r="K132" s="743"/>
      <c r="L132" s="743"/>
      <c r="M132" s="743"/>
      <c r="N132" s="743"/>
      <c r="O132" s="743"/>
      <c r="P132" s="743"/>
      <c r="Q132" s="743"/>
      <c r="R132" s="743"/>
      <c r="S132" s="743"/>
      <c r="T132" s="743"/>
      <c r="U132" s="743"/>
      <c r="V132" s="743"/>
      <c r="W132" s="743"/>
      <c r="X132" s="743"/>
      <c r="Y132" s="743"/>
      <c r="Z132" s="743"/>
      <c r="AA132" s="743"/>
      <c r="AB132" s="743"/>
      <c r="AC132" s="781" t="str">
        <f t="shared" ca="1" si="13"/>
        <v/>
      </c>
      <c r="AD132" s="781"/>
      <c r="AE132" s="781"/>
      <c r="AF132" s="781"/>
      <c r="AG132" s="781"/>
      <c r="AH132" s="781"/>
      <c r="AI132" s="781"/>
      <c r="AJ132" s="742" t="str">
        <f t="shared" ca="1" si="14"/>
        <v/>
      </c>
      <c r="AK132" s="742"/>
      <c r="AL132" s="768"/>
      <c r="AM132" s="769"/>
      <c r="AN132" s="769"/>
      <c r="AO132" s="769"/>
      <c r="AP132" s="769"/>
      <c r="AQ132" s="769"/>
      <c r="AR132" s="769"/>
      <c r="AS132" s="769"/>
      <c r="AT132" s="769"/>
      <c r="AU132" s="769"/>
      <c r="AV132" s="769"/>
      <c r="AW132" s="769"/>
      <c r="AX132" s="769"/>
      <c r="AY132" s="770"/>
    </row>
    <row r="133" spans="1:52" s="403" customFormat="1" ht="36.75" customHeight="1">
      <c r="B133" s="742">
        <f t="shared" si="15"/>
        <v>70</v>
      </c>
      <c r="C133" s="742"/>
      <c r="D133" s="743" t="str">
        <f t="shared" ca="1" si="12"/>
        <v/>
      </c>
      <c r="E133" s="743"/>
      <c r="F133" s="743"/>
      <c r="G133" s="743"/>
      <c r="H133" s="743"/>
      <c r="I133" s="743"/>
      <c r="J133" s="743"/>
      <c r="K133" s="743"/>
      <c r="L133" s="743"/>
      <c r="M133" s="743"/>
      <c r="N133" s="743"/>
      <c r="O133" s="743"/>
      <c r="P133" s="743"/>
      <c r="Q133" s="743"/>
      <c r="R133" s="743"/>
      <c r="S133" s="743"/>
      <c r="T133" s="743"/>
      <c r="U133" s="743"/>
      <c r="V133" s="743"/>
      <c r="W133" s="743"/>
      <c r="X133" s="743"/>
      <c r="Y133" s="743"/>
      <c r="Z133" s="743"/>
      <c r="AA133" s="743"/>
      <c r="AB133" s="743"/>
      <c r="AC133" s="781" t="str">
        <f t="shared" ca="1" si="13"/>
        <v/>
      </c>
      <c r="AD133" s="781"/>
      <c r="AE133" s="781"/>
      <c r="AF133" s="781"/>
      <c r="AG133" s="781"/>
      <c r="AH133" s="781"/>
      <c r="AI133" s="781"/>
      <c r="AJ133" s="742" t="str">
        <f t="shared" ca="1" si="14"/>
        <v/>
      </c>
      <c r="AK133" s="742"/>
      <c r="AL133" s="768"/>
      <c r="AM133" s="769"/>
      <c r="AN133" s="769"/>
      <c r="AO133" s="769"/>
      <c r="AP133" s="769"/>
      <c r="AQ133" s="769"/>
      <c r="AR133" s="769"/>
      <c r="AS133" s="769"/>
      <c r="AT133" s="769"/>
      <c r="AU133" s="769"/>
      <c r="AV133" s="769"/>
      <c r="AW133" s="769"/>
      <c r="AX133" s="769"/>
      <c r="AY133" s="770"/>
    </row>
    <row r="134" spans="1:52" s="403" customFormat="1" ht="36.75" customHeight="1">
      <c r="B134" s="742">
        <f t="shared" si="15"/>
        <v>71</v>
      </c>
      <c r="C134" s="742"/>
      <c r="D134" s="743" t="str">
        <f t="shared" ca="1" si="12"/>
        <v/>
      </c>
      <c r="E134" s="743"/>
      <c r="F134" s="743"/>
      <c r="G134" s="743"/>
      <c r="H134" s="743"/>
      <c r="I134" s="743"/>
      <c r="J134" s="743"/>
      <c r="K134" s="743"/>
      <c r="L134" s="743"/>
      <c r="M134" s="743"/>
      <c r="N134" s="743"/>
      <c r="O134" s="743"/>
      <c r="P134" s="743"/>
      <c r="Q134" s="743"/>
      <c r="R134" s="743"/>
      <c r="S134" s="743"/>
      <c r="T134" s="743"/>
      <c r="U134" s="743"/>
      <c r="V134" s="743"/>
      <c r="W134" s="743"/>
      <c r="X134" s="743"/>
      <c r="Y134" s="743"/>
      <c r="Z134" s="743"/>
      <c r="AA134" s="743"/>
      <c r="AB134" s="743"/>
      <c r="AC134" s="781" t="str">
        <f t="shared" ca="1" si="13"/>
        <v/>
      </c>
      <c r="AD134" s="781"/>
      <c r="AE134" s="781"/>
      <c r="AF134" s="781"/>
      <c r="AG134" s="781"/>
      <c r="AH134" s="781"/>
      <c r="AI134" s="781"/>
      <c r="AJ134" s="742" t="str">
        <f t="shared" ca="1" si="14"/>
        <v/>
      </c>
      <c r="AK134" s="742"/>
      <c r="AL134" s="768"/>
      <c r="AM134" s="769"/>
      <c r="AN134" s="769"/>
      <c r="AO134" s="769"/>
      <c r="AP134" s="769"/>
      <c r="AQ134" s="769"/>
      <c r="AR134" s="769"/>
      <c r="AS134" s="769"/>
      <c r="AT134" s="769"/>
      <c r="AU134" s="769"/>
      <c r="AV134" s="769"/>
      <c r="AW134" s="769"/>
      <c r="AX134" s="769"/>
      <c r="AY134" s="770"/>
    </row>
    <row r="135" spans="1:52" s="403" customFormat="1" ht="36.75" customHeight="1">
      <c r="B135" s="742">
        <f t="shared" si="15"/>
        <v>72</v>
      </c>
      <c r="C135" s="742"/>
      <c r="D135" s="743" t="str">
        <f t="shared" ca="1" si="12"/>
        <v/>
      </c>
      <c r="E135" s="743"/>
      <c r="F135" s="743"/>
      <c r="G135" s="743"/>
      <c r="H135" s="743"/>
      <c r="I135" s="743"/>
      <c r="J135" s="743"/>
      <c r="K135" s="743"/>
      <c r="L135" s="743"/>
      <c r="M135" s="743"/>
      <c r="N135" s="743"/>
      <c r="O135" s="743"/>
      <c r="P135" s="743"/>
      <c r="Q135" s="743"/>
      <c r="R135" s="743"/>
      <c r="S135" s="743"/>
      <c r="T135" s="743"/>
      <c r="U135" s="743"/>
      <c r="V135" s="743"/>
      <c r="W135" s="743"/>
      <c r="X135" s="743"/>
      <c r="Y135" s="743"/>
      <c r="Z135" s="743"/>
      <c r="AA135" s="743"/>
      <c r="AB135" s="743"/>
      <c r="AC135" s="781" t="str">
        <f t="shared" ca="1" si="13"/>
        <v/>
      </c>
      <c r="AD135" s="781"/>
      <c r="AE135" s="781"/>
      <c r="AF135" s="781"/>
      <c r="AG135" s="781"/>
      <c r="AH135" s="781"/>
      <c r="AI135" s="781"/>
      <c r="AJ135" s="742" t="str">
        <f t="shared" ca="1" si="14"/>
        <v/>
      </c>
      <c r="AK135" s="742"/>
      <c r="AL135" s="768"/>
      <c r="AM135" s="769"/>
      <c r="AN135" s="769"/>
      <c r="AO135" s="769"/>
      <c r="AP135" s="769"/>
      <c r="AQ135" s="769"/>
      <c r="AR135" s="769"/>
      <c r="AS135" s="769"/>
      <c r="AT135" s="769"/>
      <c r="AU135" s="769"/>
      <c r="AV135" s="769"/>
      <c r="AW135" s="769"/>
      <c r="AX135" s="769"/>
      <c r="AY135" s="770"/>
    </row>
    <row r="136" spans="1:52" s="403" customFormat="1" ht="36.75" customHeight="1">
      <c r="B136" s="742">
        <f t="shared" si="15"/>
        <v>73</v>
      </c>
      <c r="C136" s="742"/>
      <c r="D136" s="743" t="str">
        <f t="shared" ca="1" si="12"/>
        <v/>
      </c>
      <c r="E136" s="743"/>
      <c r="F136" s="743"/>
      <c r="G136" s="743"/>
      <c r="H136" s="743"/>
      <c r="I136" s="743"/>
      <c r="J136" s="743"/>
      <c r="K136" s="743"/>
      <c r="L136" s="743"/>
      <c r="M136" s="743"/>
      <c r="N136" s="743"/>
      <c r="O136" s="743"/>
      <c r="P136" s="743"/>
      <c r="Q136" s="743"/>
      <c r="R136" s="743"/>
      <c r="S136" s="743"/>
      <c r="T136" s="743"/>
      <c r="U136" s="743"/>
      <c r="V136" s="743"/>
      <c r="W136" s="743"/>
      <c r="X136" s="743"/>
      <c r="Y136" s="743"/>
      <c r="Z136" s="743"/>
      <c r="AA136" s="743"/>
      <c r="AB136" s="743"/>
      <c r="AC136" s="781" t="str">
        <f t="shared" ca="1" si="13"/>
        <v/>
      </c>
      <c r="AD136" s="781"/>
      <c r="AE136" s="781"/>
      <c r="AF136" s="781"/>
      <c r="AG136" s="781"/>
      <c r="AH136" s="781"/>
      <c r="AI136" s="781"/>
      <c r="AJ136" s="742" t="str">
        <f t="shared" ca="1" si="14"/>
        <v/>
      </c>
      <c r="AK136" s="742"/>
      <c r="AL136" s="768"/>
      <c r="AM136" s="769"/>
      <c r="AN136" s="769"/>
      <c r="AO136" s="769"/>
      <c r="AP136" s="769"/>
      <c r="AQ136" s="769"/>
      <c r="AR136" s="769"/>
      <c r="AS136" s="769"/>
      <c r="AT136" s="769"/>
      <c r="AU136" s="769"/>
      <c r="AV136" s="769"/>
      <c r="AW136" s="769"/>
      <c r="AX136" s="769"/>
      <c r="AY136" s="770"/>
    </row>
    <row r="137" spans="1:52" s="403" customFormat="1" ht="36.75" customHeight="1">
      <c r="B137" s="742">
        <f t="shared" si="15"/>
        <v>74</v>
      </c>
      <c r="C137" s="742"/>
      <c r="D137" s="743" t="str">
        <f t="shared" ca="1" si="12"/>
        <v/>
      </c>
      <c r="E137" s="743"/>
      <c r="F137" s="743"/>
      <c r="G137" s="743"/>
      <c r="H137" s="743"/>
      <c r="I137" s="743"/>
      <c r="J137" s="743"/>
      <c r="K137" s="743"/>
      <c r="L137" s="743"/>
      <c r="M137" s="743"/>
      <c r="N137" s="743"/>
      <c r="O137" s="743"/>
      <c r="P137" s="743"/>
      <c r="Q137" s="743"/>
      <c r="R137" s="743"/>
      <c r="S137" s="743"/>
      <c r="T137" s="743"/>
      <c r="U137" s="743"/>
      <c r="V137" s="743"/>
      <c r="W137" s="743"/>
      <c r="X137" s="743"/>
      <c r="Y137" s="743"/>
      <c r="Z137" s="743"/>
      <c r="AA137" s="743"/>
      <c r="AB137" s="743"/>
      <c r="AC137" s="781" t="str">
        <f t="shared" ca="1" si="13"/>
        <v/>
      </c>
      <c r="AD137" s="781"/>
      <c r="AE137" s="781"/>
      <c r="AF137" s="781"/>
      <c r="AG137" s="781"/>
      <c r="AH137" s="781"/>
      <c r="AI137" s="781"/>
      <c r="AJ137" s="742" t="str">
        <f t="shared" ca="1" si="14"/>
        <v/>
      </c>
      <c r="AK137" s="742"/>
      <c r="AL137" s="768"/>
      <c r="AM137" s="769"/>
      <c r="AN137" s="769"/>
      <c r="AO137" s="769"/>
      <c r="AP137" s="769"/>
      <c r="AQ137" s="769"/>
      <c r="AR137" s="769"/>
      <c r="AS137" s="769"/>
      <c r="AT137" s="769"/>
      <c r="AU137" s="769"/>
      <c r="AV137" s="769"/>
      <c r="AW137" s="769"/>
      <c r="AX137" s="769"/>
      <c r="AY137" s="770"/>
    </row>
    <row r="138" spans="1:52" s="403" customFormat="1" ht="36.75" customHeight="1">
      <c r="B138" s="742">
        <f t="shared" si="15"/>
        <v>75</v>
      </c>
      <c r="C138" s="742"/>
      <c r="D138" s="743" t="str">
        <f t="shared" ca="1" si="12"/>
        <v/>
      </c>
      <c r="E138" s="743"/>
      <c r="F138" s="743"/>
      <c r="G138" s="743"/>
      <c r="H138" s="743"/>
      <c r="I138" s="743"/>
      <c r="J138" s="743"/>
      <c r="K138" s="743"/>
      <c r="L138" s="743"/>
      <c r="M138" s="743"/>
      <c r="N138" s="743"/>
      <c r="O138" s="743"/>
      <c r="P138" s="743"/>
      <c r="Q138" s="743"/>
      <c r="R138" s="743"/>
      <c r="S138" s="743"/>
      <c r="T138" s="743"/>
      <c r="U138" s="743"/>
      <c r="V138" s="743"/>
      <c r="W138" s="743"/>
      <c r="X138" s="743"/>
      <c r="Y138" s="743"/>
      <c r="Z138" s="743"/>
      <c r="AA138" s="743"/>
      <c r="AB138" s="743"/>
      <c r="AC138" s="781" t="str">
        <f t="shared" ca="1" si="13"/>
        <v/>
      </c>
      <c r="AD138" s="781"/>
      <c r="AE138" s="781"/>
      <c r="AF138" s="781"/>
      <c r="AG138" s="781"/>
      <c r="AH138" s="781"/>
      <c r="AI138" s="781"/>
      <c r="AJ138" s="742" t="str">
        <f t="shared" ca="1" si="14"/>
        <v/>
      </c>
      <c r="AK138" s="742"/>
      <c r="AL138" s="768"/>
      <c r="AM138" s="769"/>
      <c r="AN138" s="769"/>
      <c r="AO138" s="769"/>
      <c r="AP138" s="769"/>
      <c r="AQ138" s="769"/>
      <c r="AR138" s="769"/>
      <c r="AS138" s="769"/>
      <c r="AT138" s="769"/>
      <c r="AU138" s="769"/>
      <c r="AV138" s="769"/>
      <c r="AW138" s="769"/>
      <c r="AX138" s="769"/>
      <c r="AY138" s="770"/>
    </row>
    <row r="139" spans="1:52" s="403" customFormat="1" ht="36.75" customHeight="1">
      <c r="B139" s="742">
        <f t="shared" si="15"/>
        <v>76</v>
      </c>
      <c r="C139" s="742"/>
      <c r="D139" s="743" t="str">
        <f t="shared" ca="1" si="12"/>
        <v/>
      </c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R139" s="743"/>
      <c r="S139" s="743"/>
      <c r="T139" s="743"/>
      <c r="U139" s="743"/>
      <c r="V139" s="743"/>
      <c r="W139" s="743"/>
      <c r="X139" s="743"/>
      <c r="Y139" s="743"/>
      <c r="Z139" s="743"/>
      <c r="AA139" s="743"/>
      <c r="AB139" s="743"/>
      <c r="AC139" s="781" t="str">
        <f t="shared" ca="1" si="13"/>
        <v/>
      </c>
      <c r="AD139" s="781"/>
      <c r="AE139" s="781"/>
      <c r="AF139" s="781"/>
      <c r="AG139" s="781"/>
      <c r="AH139" s="781"/>
      <c r="AI139" s="781"/>
      <c r="AJ139" s="742" t="str">
        <f t="shared" ca="1" si="14"/>
        <v/>
      </c>
      <c r="AK139" s="742"/>
      <c r="AL139" s="768"/>
      <c r="AM139" s="769"/>
      <c r="AN139" s="769"/>
      <c r="AO139" s="769"/>
      <c r="AP139" s="769"/>
      <c r="AQ139" s="769"/>
      <c r="AR139" s="769"/>
      <c r="AS139" s="769"/>
      <c r="AT139" s="769"/>
      <c r="AU139" s="769"/>
      <c r="AV139" s="769"/>
      <c r="AW139" s="769"/>
      <c r="AX139" s="769"/>
      <c r="AY139" s="770"/>
    </row>
    <row r="140" spans="1:52" s="403" customFormat="1" ht="36.75" customHeight="1">
      <c r="B140" s="742">
        <f t="shared" si="15"/>
        <v>77</v>
      </c>
      <c r="C140" s="742"/>
      <c r="D140" s="743" t="str">
        <f t="shared" ca="1" si="12"/>
        <v/>
      </c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R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81" t="str">
        <f t="shared" ca="1" si="13"/>
        <v/>
      </c>
      <c r="AD140" s="781"/>
      <c r="AE140" s="781"/>
      <c r="AF140" s="781"/>
      <c r="AG140" s="781"/>
      <c r="AH140" s="781"/>
      <c r="AI140" s="781"/>
      <c r="AJ140" s="742" t="str">
        <f t="shared" ca="1" si="14"/>
        <v/>
      </c>
      <c r="AK140" s="742"/>
      <c r="AL140" s="768"/>
      <c r="AM140" s="769"/>
      <c r="AN140" s="769"/>
      <c r="AO140" s="769"/>
      <c r="AP140" s="769"/>
      <c r="AQ140" s="769"/>
      <c r="AR140" s="769"/>
      <c r="AS140" s="769"/>
      <c r="AT140" s="769"/>
      <c r="AU140" s="769"/>
      <c r="AV140" s="769"/>
      <c r="AW140" s="769"/>
      <c r="AX140" s="769"/>
      <c r="AY140" s="770"/>
    </row>
    <row r="141" spans="1:52" s="403" customFormat="1" ht="36.75" customHeight="1">
      <c r="B141" s="742">
        <f t="shared" si="15"/>
        <v>78</v>
      </c>
      <c r="C141" s="742"/>
      <c r="D141" s="743" t="str">
        <f t="shared" ca="1" si="12"/>
        <v/>
      </c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R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81" t="str">
        <f t="shared" ca="1" si="13"/>
        <v/>
      </c>
      <c r="AD141" s="781"/>
      <c r="AE141" s="781"/>
      <c r="AF141" s="781"/>
      <c r="AG141" s="781"/>
      <c r="AH141" s="781"/>
      <c r="AI141" s="781"/>
      <c r="AJ141" s="742" t="str">
        <f t="shared" ca="1" si="14"/>
        <v/>
      </c>
      <c r="AK141" s="742"/>
      <c r="AL141" s="768"/>
      <c r="AM141" s="769"/>
      <c r="AN141" s="769"/>
      <c r="AO141" s="769"/>
      <c r="AP141" s="769"/>
      <c r="AQ141" s="769"/>
      <c r="AR141" s="769"/>
      <c r="AS141" s="769"/>
      <c r="AT141" s="769"/>
      <c r="AU141" s="769"/>
      <c r="AV141" s="769"/>
      <c r="AW141" s="769"/>
      <c r="AX141" s="769"/>
      <c r="AY141" s="770"/>
    </row>
    <row r="142" spans="1:52" s="403" customFormat="1" ht="36.75" customHeight="1">
      <c r="A142" s="403" t="s">
        <v>1529</v>
      </c>
      <c r="B142" s="742">
        <f t="shared" si="15"/>
        <v>79</v>
      </c>
      <c r="C142" s="742"/>
      <c r="D142" s="743" t="str">
        <f t="shared" ca="1" si="12"/>
        <v/>
      </c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R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81" t="str">
        <f t="shared" ca="1" si="13"/>
        <v/>
      </c>
      <c r="AD142" s="781"/>
      <c r="AE142" s="781"/>
      <c r="AF142" s="781"/>
      <c r="AG142" s="781"/>
      <c r="AH142" s="781"/>
      <c r="AI142" s="781"/>
      <c r="AJ142" s="742" t="str">
        <f t="shared" ca="1" si="14"/>
        <v/>
      </c>
      <c r="AK142" s="742"/>
      <c r="AL142" s="768"/>
      <c r="AM142" s="769"/>
      <c r="AN142" s="769"/>
      <c r="AO142" s="769"/>
      <c r="AP142" s="769"/>
      <c r="AQ142" s="769"/>
      <c r="AR142" s="769"/>
      <c r="AS142" s="769"/>
      <c r="AT142" s="769"/>
      <c r="AU142" s="769"/>
      <c r="AV142" s="769"/>
      <c r="AW142" s="769"/>
      <c r="AX142" s="769"/>
      <c r="AY142" s="770"/>
      <c r="AZ142" s="473" t="s">
        <v>1530</v>
      </c>
    </row>
    <row r="143" spans="1:52" s="403" customFormat="1" ht="36.75" customHeight="1">
      <c r="B143" s="742">
        <f t="shared" si="15"/>
        <v>80</v>
      </c>
      <c r="C143" s="742"/>
      <c r="D143" s="743" t="str">
        <f t="shared" ca="1" si="12"/>
        <v/>
      </c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R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81" t="str">
        <f t="shared" ca="1" si="13"/>
        <v/>
      </c>
      <c r="AD143" s="781"/>
      <c r="AE143" s="781"/>
      <c r="AF143" s="781"/>
      <c r="AG143" s="781"/>
      <c r="AH143" s="781"/>
      <c r="AI143" s="781"/>
      <c r="AJ143" s="742" t="str">
        <f t="shared" ca="1" si="14"/>
        <v/>
      </c>
      <c r="AK143" s="742"/>
      <c r="AL143" s="768"/>
      <c r="AM143" s="769"/>
      <c r="AN143" s="769"/>
      <c r="AO143" s="769"/>
      <c r="AP143" s="769"/>
      <c r="AQ143" s="769"/>
      <c r="AR143" s="769"/>
      <c r="AS143" s="769"/>
      <c r="AT143" s="769"/>
      <c r="AU143" s="769"/>
      <c r="AV143" s="769"/>
      <c r="AW143" s="769"/>
      <c r="AX143" s="769"/>
      <c r="AY143" s="770"/>
    </row>
    <row r="144" spans="1:52" s="403" customFormat="1" ht="45" customHeight="1">
      <c r="B144" s="749" t="s">
        <v>1527</v>
      </c>
      <c r="C144" s="750"/>
      <c r="D144" s="750"/>
      <c r="E144" s="778" t="str">
        <f>IF(UNNH0030_REPORT_IF_H_EIGYO_MEI="","",UNNH0030_REPORT_IF_H_EIGYO_MEI)</f>
        <v/>
      </c>
      <c r="F144" s="779"/>
      <c r="G144" s="779"/>
      <c r="H144" s="779"/>
      <c r="I144" s="779"/>
      <c r="J144" s="779"/>
      <c r="K144" s="779"/>
      <c r="L144" s="779"/>
      <c r="M144" s="779"/>
      <c r="N144" s="779"/>
      <c r="O144" s="779"/>
      <c r="P144" s="779"/>
      <c r="Q144" s="779"/>
      <c r="R144" s="779"/>
      <c r="S144" s="779"/>
      <c r="T144" s="779"/>
      <c r="U144" s="779"/>
      <c r="V144" s="779"/>
      <c r="W144" s="779"/>
      <c r="X144" s="779"/>
      <c r="Y144" s="779"/>
      <c r="Z144" s="779"/>
      <c r="AA144" s="779"/>
      <c r="AB144" s="779"/>
      <c r="AC144" s="779"/>
      <c r="AD144" s="779"/>
      <c r="AE144" s="779"/>
      <c r="AF144" s="779"/>
      <c r="AG144" s="779"/>
      <c r="AH144" s="779"/>
      <c r="AI144" s="779"/>
      <c r="AJ144" s="779"/>
      <c r="AK144" s="780"/>
      <c r="AL144" s="771"/>
      <c r="AM144" s="772"/>
      <c r="AN144" s="772"/>
      <c r="AO144" s="772"/>
      <c r="AP144" s="772"/>
      <c r="AQ144" s="772"/>
      <c r="AR144" s="772"/>
      <c r="AS144" s="772"/>
      <c r="AT144" s="772"/>
      <c r="AU144" s="772"/>
      <c r="AV144" s="772"/>
      <c r="AW144" s="772"/>
      <c r="AX144" s="772"/>
      <c r="AY144" s="773"/>
    </row>
    <row r="145" spans="2:51" s="403" customFormat="1" ht="33.75" customHeight="1">
      <c r="C145" s="404"/>
      <c r="D145" s="404"/>
      <c r="E145" s="404"/>
      <c r="F145" s="404"/>
      <c r="G145" s="404"/>
      <c r="H145" s="404"/>
      <c r="I145" s="404"/>
      <c r="J145" s="404"/>
      <c r="K145" s="404"/>
      <c r="L145" s="404"/>
      <c r="M145" s="404"/>
      <c r="N145" s="404"/>
      <c r="O145" s="404"/>
    </row>
    <row r="146" spans="2:51" s="403" customFormat="1" ht="38.25" customHeight="1">
      <c r="B146" s="756" t="s">
        <v>1528</v>
      </c>
      <c r="C146" s="757"/>
      <c r="D146" s="758"/>
      <c r="E146" s="738" t="str">
        <f>IF(UNNH0030_REPORT_IF_H_TEKIYO="","",UNNH0030_REPORT_IF_H_TEKIYO)</f>
        <v/>
      </c>
      <c r="F146" s="738"/>
      <c r="G146" s="738"/>
      <c r="H146" s="738"/>
      <c r="I146" s="738"/>
      <c r="J146" s="738"/>
      <c r="K146" s="738"/>
      <c r="L146" s="738"/>
      <c r="M146" s="738"/>
      <c r="N146" s="738"/>
      <c r="O146" s="738"/>
      <c r="P146" s="738"/>
      <c r="Q146" s="738"/>
      <c r="R146" s="738"/>
      <c r="S146" s="738"/>
      <c r="T146" s="738"/>
      <c r="U146" s="738"/>
      <c r="V146" s="738"/>
      <c r="W146" s="738"/>
      <c r="X146" s="738"/>
      <c r="Y146" s="738"/>
      <c r="Z146" s="738"/>
      <c r="AA146" s="738"/>
      <c r="AB146" s="738"/>
      <c r="AC146" s="738"/>
      <c r="AD146" s="738"/>
      <c r="AE146" s="738"/>
      <c r="AF146" s="738"/>
      <c r="AG146" s="738"/>
      <c r="AH146" s="738"/>
      <c r="AI146" s="738"/>
      <c r="AJ146" s="738"/>
      <c r="AK146" s="738"/>
      <c r="AL146" s="738"/>
      <c r="AM146" s="738"/>
      <c r="AN146" s="738"/>
      <c r="AO146" s="738"/>
      <c r="AP146" s="738"/>
      <c r="AQ146" s="738"/>
      <c r="AR146" s="738"/>
      <c r="AS146" s="738"/>
      <c r="AU146" s="739" t="str">
        <f>IF(UNNH0030_REPORT_IF_H_SEIKYUHOHO_KBN=0,"","締日 "&amp;UNNH0030_REPORT_IF_H_SHIMEBI)</f>
        <v/>
      </c>
      <c r="AV146" s="739"/>
      <c r="AW146" s="739"/>
      <c r="AX146" s="739"/>
      <c r="AY146" s="740" t="str">
        <f>UNNH0030_REPORT_IF_H_SHIMEBI_MARK</f>
        <v>*</v>
      </c>
    </row>
    <row r="147" spans="2:51" s="403" customFormat="1" ht="38.25" customHeight="1">
      <c r="B147" s="759"/>
      <c r="C147" s="760"/>
      <c r="D147" s="761"/>
      <c r="E147" s="738"/>
      <c r="F147" s="738"/>
      <c r="G147" s="738"/>
      <c r="H147" s="738"/>
      <c r="I147" s="738"/>
      <c r="J147" s="738"/>
      <c r="K147" s="738"/>
      <c r="L147" s="738"/>
      <c r="M147" s="738"/>
      <c r="N147" s="738"/>
      <c r="O147" s="738"/>
      <c r="P147" s="738"/>
      <c r="Q147" s="738"/>
      <c r="R147" s="738"/>
      <c r="S147" s="738"/>
      <c r="T147" s="738"/>
      <c r="U147" s="738"/>
      <c r="V147" s="738"/>
      <c r="W147" s="738"/>
      <c r="X147" s="738"/>
      <c r="Y147" s="738"/>
      <c r="Z147" s="738"/>
      <c r="AA147" s="738"/>
      <c r="AB147" s="738"/>
      <c r="AC147" s="738"/>
      <c r="AD147" s="738"/>
      <c r="AE147" s="738"/>
      <c r="AF147" s="738"/>
      <c r="AG147" s="738"/>
      <c r="AH147" s="738"/>
      <c r="AI147" s="738"/>
      <c r="AJ147" s="738"/>
      <c r="AK147" s="738"/>
      <c r="AL147" s="738"/>
      <c r="AM147" s="738"/>
      <c r="AN147" s="738"/>
      <c r="AO147" s="738"/>
      <c r="AP147" s="738"/>
      <c r="AQ147" s="738"/>
      <c r="AR147" s="738"/>
      <c r="AS147" s="738"/>
      <c r="AU147" s="739"/>
      <c r="AV147" s="739"/>
      <c r="AW147" s="739"/>
      <c r="AX147" s="739"/>
      <c r="AY147" s="740"/>
    </row>
    <row r="148" spans="2:51" s="403" customFormat="1" ht="30" customHeight="1">
      <c r="B148" s="777" t="str">
        <f>IF(UNNH0030_REPORT_IF_JURI_NO="","",UNNH0030_REPORT_IF_JURI_NO)</f>
        <v/>
      </c>
      <c r="C148" s="777"/>
      <c r="D148" s="777"/>
      <c r="E148" s="777"/>
      <c r="F148" s="777"/>
      <c r="G148" s="777"/>
      <c r="H148" s="777"/>
      <c r="I148" s="777"/>
      <c r="J148" s="777"/>
      <c r="K148" s="777"/>
      <c r="L148" s="777"/>
      <c r="M148" s="777"/>
      <c r="N148" s="777"/>
      <c r="O148" s="777"/>
      <c r="P148" s="777"/>
      <c r="Q148" s="777"/>
      <c r="R148" s="777"/>
      <c r="S148" s="777"/>
      <c r="T148" s="777"/>
      <c r="U148" s="777"/>
      <c r="V148" s="777"/>
      <c r="W148" s="777"/>
      <c r="X148" s="777"/>
      <c r="Y148" s="777"/>
      <c r="Z148" s="777"/>
      <c r="AA148" s="777"/>
      <c r="AB148" s="777"/>
      <c r="AC148" s="777"/>
      <c r="AD148" s="777"/>
      <c r="AE148" s="777"/>
      <c r="AF148" s="777"/>
      <c r="AG148" s="777"/>
      <c r="AH148" s="777"/>
      <c r="AI148" s="777"/>
      <c r="AJ148" s="777"/>
      <c r="AK148" s="777"/>
      <c r="AL148" s="777"/>
      <c r="AM148" s="777"/>
      <c r="AN148" s="777"/>
      <c r="AO148" s="777"/>
      <c r="AP148" s="777"/>
      <c r="AQ148" s="777"/>
      <c r="AR148" s="777"/>
      <c r="AS148" s="777"/>
      <c r="AT148" s="777"/>
      <c r="AU148" s="777"/>
      <c r="AV148" s="777"/>
      <c r="AW148" s="777"/>
      <c r="AX148" s="777"/>
      <c r="AY148" s="777"/>
    </row>
    <row r="149" spans="2:51" s="403" customFormat="1" ht="12" customHeight="1">
      <c r="C149" s="404"/>
      <c r="D149" s="404"/>
      <c r="E149" s="465"/>
      <c r="F149" s="466"/>
      <c r="G149" s="466"/>
      <c r="H149" s="466"/>
      <c r="I149" s="466"/>
      <c r="J149" s="466"/>
      <c r="K149" s="466"/>
      <c r="L149" s="466"/>
      <c r="M149" s="466"/>
      <c r="N149" s="466"/>
      <c r="O149" s="466"/>
      <c r="P149" s="466"/>
      <c r="Q149" s="466"/>
      <c r="R149" s="466"/>
      <c r="S149" s="466"/>
      <c r="T149" s="466"/>
      <c r="U149" s="466"/>
      <c r="V149" s="466"/>
      <c r="W149" s="466"/>
      <c r="X149" s="466"/>
      <c r="Y149" s="467"/>
      <c r="AA149" s="744" t="s">
        <v>1535</v>
      </c>
      <c r="AB149" s="744"/>
      <c r="AC149" s="744"/>
      <c r="AD149" s="744"/>
      <c r="AE149" s="744"/>
      <c r="AF149" s="744"/>
      <c r="AG149" s="744"/>
      <c r="AH149" s="744"/>
      <c r="AI149" s="744"/>
      <c r="AJ149" s="744"/>
      <c r="AK149" s="744"/>
      <c r="AL149" s="744"/>
      <c r="AP149" s="774" t="str">
        <f>"No."&amp;UNNH0030_REPORT_IF_H_URIAGE_NO&amp;"-"&amp;ROUNDUP(ROW()/ROWS(UNNH0030_SEIKYUSHO_PAGE_AREA),0)&amp;"/"&amp;UNNH0030_REPORT_IF_B_PAGE_TOTAL</f>
        <v>No.-5/1</v>
      </c>
      <c r="AQ149" s="774"/>
      <c r="AR149" s="774"/>
      <c r="AS149" s="774"/>
      <c r="AT149" s="774"/>
      <c r="AU149" s="774"/>
      <c r="AV149" s="774"/>
      <c r="AW149" s="774"/>
      <c r="AX149" s="774"/>
      <c r="AY149" s="774"/>
    </row>
    <row r="150" spans="2:51" s="403" customFormat="1" ht="24.75" customHeight="1">
      <c r="C150" s="404"/>
      <c r="E150" s="468"/>
      <c r="F150" s="775" t="str">
        <f>IF(UNNH0030_REPORT_IF_H_JUSHO_NO_PRINT_FLG=TRUE,"","〒")</f>
        <v>〒</v>
      </c>
      <c r="G150" s="775"/>
      <c r="H150" s="776" t="str">
        <f>IF(UNNH0030_REPORT_IF_H_JUSHO_NO_PRINT_FLG=TRUE,"",IF(UNNH0030_REPORT_IF_H_YUBIN_NO="","",UNNH0030_REPORT_IF_H_YUBIN_NO))</f>
        <v/>
      </c>
      <c r="I150" s="776"/>
      <c r="J150" s="776"/>
      <c r="K150" s="776"/>
      <c r="L150" s="776"/>
      <c r="M150" s="776"/>
      <c r="N150" s="776"/>
      <c r="O150" s="776"/>
      <c r="P150" s="776"/>
      <c r="Q150" s="776"/>
      <c r="R150" s="776"/>
      <c r="S150" s="776"/>
      <c r="T150" s="776"/>
      <c r="U150" s="776"/>
      <c r="V150" s="776"/>
      <c r="W150" s="776"/>
      <c r="X150" s="776"/>
      <c r="Y150" s="469"/>
      <c r="AA150" s="744"/>
      <c r="AB150" s="744"/>
      <c r="AC150" s="744"/>
      <c r="AD150" s="744"/>
      <c r="AE150" s="744"/>
      <c r="AF150" s="744"/>
      <c r="AG150" s="744"/>
      <c r="AH150" s="744"/>
      <c r="AI150" s="744"/>
      <c r="AJ150" s="744"/>
      <c r="AK150" s="744"/>
      <c r="AL150" s="744"/>
      <c r="AP150" s="774"/>
      <c r="AQ150" s="774"/>
      <c r="AR150" s="774"/>
      <c r="AS150" s="774"/>
      <c r="AT150" s="774"/>
      <c r="AU150" s="774"/>
      <c r="AV150" s="774"/>
      <c r="AW150" s="774"/>
      <c r="AX150" s="774"/>
      <c r="AY150" s="774"/>
    </row>
    <row r="151" spans="2:51" s="403" customFormat="1" ht="24.75" customHeight="1">
      <c r="C151" s="404"/>
      <c r="E151" s="468"/>
      <c r="F151" s="745" t="str">
        <f>IF(UNNH0030_REPORT_IF_H_JUSHO_NO_PRINT_FLG="","",IF(UNNH0030_REPORT_IF_H_ADDRESS_1="","",UNNH0030_REPORT_IF_H_ADDRESS_1))</f>
        <v/>
      </c>
      <c r="G151" s="745"/>
      <c r="H151" s="745"/>
      <c r="I151" s="745"/>
      <c r="J151" s="745"/>
      <c r="K151" s="745"/>
      <c r="L151" s="745"/>
      <c r="M151" s="745"/>
      <c r="N151" s="745"/>
      <c r="O151" s="745"/>
      <c r="P151" s="745"/>
      <c r="Q151" s="745"/>
      <c r="R151" s="745"/>
      <c r="S151" s="745"/>
      <c r="T151" s="745"/>
      <c r="U151" s="745"/>
      <c r="V151" s="745"/>
      <c r="W151" s="745"/>
      <c r="X151" s="745"/>
      <c r="Y151" s="469"/>
      <c r="AP151" s="748">
        <f>UNNH0030_REPORT_IF_H_URIAGE_DATE</f>
        <v>0</v>
      </c>
      <c r="AQ151" s="748"/>
      <c r="AR151" s="748"/>
      <c r="AS151" s="748"/>
      <c r="AT151" s="748"/>
      <c r="AU151" s="748"/>
      <c r="AV151" s="748"/>
      <c r="AW151" s="748"/>
      <c r="AX151" s="748"/>
      <c r="AY151" s="748"/>
    </row>
    <row r="152" spans="2:51" s="403" customFormat="1" ht="24.75" customHeight="1">
      <c r="C152" s="404"/>
      <c r="E152" s="468"/>
      <c r="F152" s="745" t="str">
        <f>IF(UNNH0030_REPORT_IF_H_JUSHO_NO_PRINT_FLG="","",IF(UNNH0030_REPORT_IF_H_ADDRESS_2="","",UNNH0030_REPORT_IF_H_ADDRESS_2))</f>
        <v/>
      </c>
      <c r="G152" s="745"/>
      <c r="H152" s="745"/>
      <c r="I152" s="745"/>
      <c r="J152" s="745"/>
      <c r="K152" s="745"/>
      <c r="L152" s="745"/>
      <c r="M152" s="745"/>
      <c r="N152" s="745"/>
      <c r="O152" s="745"/>
      <c r="P152" s="745"/>
      <c r="Q152" s="745"/>
      <c r="R152" s="745"/>
      <c r="S152" s="745"/>
      <c r="T152" s="745"/>
      <c r="U152" s="745"/>
      <c r="V152" s="745"/>
      <c r="W152" s="745"/>
      <c r="X152" s="745"/>
      <c r="Y152" s="469"/>
    </row>
    <row r="153" spans="2:51" s="403" customFormat="1" ht="24.75" customHeight="1">
      <c r="C153" s="404"/>
      <c r="E153" s="468"/>
      <c r="F153" s="409"/>
      <c r="G153" s="409"/>
      <c r="H153" s="409"/>
      <c r="I153" s="409"/>
      <c r="J153" s="409"/>
      <c r="K153" s="409"/>
      <c r="L153" s="409"/>
      <c r="M153" s="409"/>
      <c r="N153" s="409"/>
      <c r="O153" s="409"/>
      <c r="P153" s="409"/>
      <c r="Q153" s="409"/>
      <c r="R153" s="409"/>
      <c r="S153" s="409"/>
      <c r="T153" s="409"/>
      <c r="U153" s="409"/>
      <c r="V153" s="409"/>
      <c r="W153" s="409"/>
      <c r="X153" s="409"/>
      <c r="Y153" s="469"/>
    </row>
    <row r="154" spans="2:51" s="403" customFormat="1" ht="26.25" customHeight="1">
      <c r="C154" s="404"/>
      <c r="E154" s="470"/>
      <c r="F154" s="745" t="str">
        <f>IF(TRIM(UNNH0030_REPORT_IF_H_SOFU_TANTO)="","",
IF(TRIM(UNNH0030_REPORT_IF_H_DEMPYO_SOFU_MEI)="","",
TRIM(UNNH0030_REPORT_IF_H_DEMPYO_SOFU_MEI)))</f>
        <v/>
      </c>
      <c r="G154" s="745"/>
      <c r="H154" s="745"/>
      <c r="I154" s="745"/>
      <c r="J154" s="745"/>
      <c r="K154" s="745"/>
      <c r="L154" s="745"/>
      <c r="M154" s="745"/>
      <c r="N154" s="745"/>
      <c r="O154" s="745"/>
      <c r="P154" s="745"/>
      <c r="Q154" s="745"/>
      <c r="R154" s="745"/>
      <c r="S154" s="745"/>
      <c r="T154" s="745"/>
      <c r="U154" s="745"/>
      <c r="V154" s="745"/>
      <c r="W154" s="745"/>
      <c r="X154" s="745"/>
      <c r="Y154" s="469"/>
    </row>
    <row r="155" spans="2:51" s="403" customFormat="1" ht="26.25" customHeight="1">
      <c r="C155" s="404"/>
      <c r="E155" s="468"/>
      <c r="F155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55" s="746"/>
      <c r="H155" s="746"/>
      <c r="I155" s="746"/>
      <c r="J155" s="746"/>
      <c r="K155" s="746"/>
      <c r="L155" s="746"/>
      <c r="M155" s="746"/>
      <c r="N155" s="746"/>
      <c r="O155" s="746"/>
      <c r="P155" s="746"/>
      <c r="Q155" s="746"/>
      <c r="R155" s="746"/>
      <c r="S155" s="746"/>
      <c r="T155" s="746"/>
      <c r="U155" s="746"/>
      <c r="V155" s="746"/>
      <c r="W155" s="746"/>
      <c r="X155" s="746"/>
      <c r="Y155" s="469"/>
      <c r="Z155" s="477" t="str">
        <f>UNNH0030_REPORT_IF_H_SHIMEBI_MARK</f>
        <v>*</v>
      </c>
    </row>
    <row r="156" spans="2:51" s="403" customFormat="1" ht="25.5" customHeight="1">
      <c r="C156" s="404"/>
      <c r="E156" s="471"/>
      <c r="F156" s="747">
        <f>UNNH0030_REPORT_IF_H_SEIKYU_CD</f>
        <v>0</v>
      </c>
      <c r="G156" s="747"/>
      <c r="H156" s="747"/>
      <c r="I156" s="747"/>
      <c r="J156" s="747"/>
      <c r="K156" s="747"/>
      <c r="L156" s="747"/>
      <c r="M156" s="747"/>
      <c r="N156" s="747"/>
      <c r="O156" s="747"/>
      <c r="P156" s="747"/>
      <c r="Q156" s="747"/>
      <c r="R156" s="747"/>
      <c r="S156" s="747"/>
      <c r="T156" s="747"/>
      <c r="U156" s="747"/>
      <c r="V156" s="747"/>
      <c r="W156" s="747"/>
      <c r="X156" s="747"/>
      <c r="Y156" s="472"/>
    </row>
    <row r="157" spans="2:51" s="403" customFormat="1" ht="30" customHeight="1">
      <c r="C157" s="404"/>
    </row>
    <row r="158" spans="2:51" s="403" customFormat="1" ht="30" customHeight="1">
      <c r="C158" s="404"/>
      <c r="D158" s="404"/>
      <c r="E158" s="404"/>
      <c r="F158" s="404"/>
      <c r="G158" s="404"/>
      <c r="H158" s="404"/>
      <c r="I158" s="404"/>
      <c r="J158" s="404"/>
      <c r="K158" s="404"/>
      <c r="L158" s="404"/>
      <c r="M158" s="404"/>
      <c r="N158" s="404"/>
      <c r="O158" s="404"/>
    </row>
    <row r="159" spans="2:51" s="403" customFormat="1" ht="29.25" customHeight="1">
      <c r="B159" s="474" t="s">
        <v>1101</v>
      </c>
      <c r="C159" s="404"/>
      <c r="D159" s="404"/>
      <c r="E159" s="404"/>
      <c r="F159" s="404"/>
      <c r="G159" s="404"/>
      <c r="H159" s="404"/>
      <c r="I159" s="404"/>
      <c r="J159" s="404"/>
      <c r="K159" s="404"/>
      <c r="L159" s="404"/>
      <c r="M159" s="404"/>
      <c r="N159" s="404"/>
      <c r="O159" s="404"/>
    </row>
    <row r="160" spans="2:51" s="403" customFormat="1" ht="36.75" customHeight="1">
      <c r="B160" s="742"/>
      <c r="C160" s="742"/>
      <c r="D160" s="742" t="s">
        <v>1102</v>
      </c>
      <c r="E160" s="742"/>
      <c r="F160" s="742"/>
      <c r="G160" s="742"/>
      <c r="H160" s="742"/>
      <c r="I160" s="742"/>
      <c r="J160" s="742"/>
      <c r="K160" s="742"/>
      <c r="L160" s="742"/>
      <c r="M160" s="742"/>
      <c r="N160" s="742"/>
      <c r="O160" s="742"/>
      <c r="P160" s="742"/>
      <c r="Q160" s="742"/>
      <c r="R160" s="742"/>
      <c r="S160" s="742"/>
      <c r="T160" s="742"/>
      <c r="U160" s="742"/>
      <c r="V160" s="742"/>
      <c r="W160" s="742"/>
      <c r="X160" s="742"/>
      <c r="Y160" s="742"/>
      <c r="Z160" s="742"/>
      <c r="AA160" s="742"/>
      <c r="AB160" s="742"/>
      <c r="AC160" s="742" t="s">
        <v>1103</v>
      </c>
      <c r="AD160" s="742"/>
      <c r="AE160" s="742"/>
      <c r="AF160" s="742"/>
      <c r="AG160" s="742"/>
      <c r="AH160" s="742"/>
      <c r="AI160" s="742"/>
      <c r="AJ160" s="742" t="s">
        <v>1104</v>
      </c>
      <c r="AK160" s="742"/>
      <c r="AL160" s="762" t="s">
        <v>1498</v>
      </c>
      <c r="AM160" s="763"/>
      <c r="AN160" s="763"/>
      <c r="AO160" s="763"/>
      <c r="AP160" s="763"/>
      <c r="AQ160" s="763"/>
      <c r="AR160" s="763"/>
      <c r="AS160" s="763"/>
      <c r="AT160" s="763"/>
      <c r="AU160" s="763"/>
      <c r="AV160" s="763"/>
      <c r="AW160" s="763"/>
      <c r="AX160" s="763"/>
      <c r="AY160" s="764"/>
    </row>
    <row r="161" spans="1:52" s="403" customFormat="1" ht="36.75" customHeight="1">
      <c r="B161" s="742">
        <f>ROUNDDOWN(ROW()/ROWS(UNNH0030_REPORT_RAYOUT_SEIKYUSHO),0)*UNNH0030_REPORT_IF_B_PAGE_MEISAI_SU+1</f>
        <v>81</v>
      </c>
      <c r="C161" s="742"/>
      <c r="D161" s="743" t="str">
        <f t="shared" ref="D161:D180" ca="1" si="16">IF(OFFSET(UNNH0030_REPORT_IF_B_SHOHIN_MEI,$B161,0)="","",OFFSET(UNNH0030_REPORT_IF_B_SHOHIN_MEI,$B161,0))</f>
        <v/>
      </c>
      <c r="E161" s="743"/>
      <c r="F161" s="743"/>
      <c r="G161" s="743"/>
      <c r="H161" s="743"/>
      <c r="I161" s="743"/>
      <c r="J161" s="743"/>
      <c r="K161" s="743"/>
      <c r="L161" s="743"/>
      <c r="M161" s="743"/>
      <c r="N161" s="743"/>
      <c r="O161" s="743"/>
      <c r="P161" s="743"/>
      <c r="Q161" s="743"/>
      <c r="R161" s="743"/>
      <c r="S161" s="743"/>
      <c r="T161" s="743"/>
      <c r="U161" s="743"/>
      <c r="V161" s="743"/>
      <c r="W161" s="743"/>
      <c r="X161" s="743"/>
      <c r="Y161" s="743"/>
      <c r="Z161" s="743"/>
      <c r="AA161" s="743"/>
      <c r="AB161" s="743"/>
      <c r="AC161" s="781" t="str">
        <f t="shared" ref="AC161:AC180" ca="1" si="17">IF(OR(OFFSET(UNNH0030_REPORT_IF_B_ROW_KBN,$B161,0)&lt;&gt;1,$D161="",$D161="消費税"),"",
OFFSET(UNNH0030_REPORT_IF_B_SURYO,$B161,0))</f>
        <v/>
      </c>
      <c r="AD161" s="781"/>
      <c r="AE161" s="781"/>
      <c r="AF161" s="781"/>
      <c r="AG161" s="781"/>
      <c r="AH161" s="781"/>
      <c r="AI161" s="781"/>
      <c r="AJ161" s="742" t="str">
        <f t="shared" ref="AJ161:AJ180" ca="1" si="18">IF(OFFSET(UNNH0030_REPORT_IF_B_TANI,$B161,0)="","",OFFSET(UNNH0030_REPORT_IF_B_TANI,$B161,0))</f>
        <v/>
      </c>
      <c r="AK161" s="742"/>
      <c r="AL161" s="765"/>
      <c r="AM161" s="766"/>
      <c r="AN161" s="766"/>
      <c r="AO161" s="766"/>
      <c r="AP161" s="766"/>
      <c r="AQ161" s="766"/>
      <c r="AR161" s="766"/>
      <c r="AS161" s="766"/>
      <c r="AT161" s="766"/>
      <c r="AU161" s="766"/>
      <c r="AV161" s="766"/>
      <c r="AW161" s="766"/>
      <c r="AX161" s="766"/>
      <c r="AY161" s="767"/>
    </row>
    <row r="162" spans="1:52" s="403" customFormat="1" ht="36.75" customHeight="1">
      <c r="B162" s="742">
        <f>B161+1</f>
        <v>82</v>
      </c>
      <c r="C162" s="742"/>
      <c r="D162" s="743" t="str">
        <f t="shared" ca="1" si="16"/>
        <v/>
      </c>
      <c r="E162" s="743"/>
      <c r="F162" s="743"/>
      <c r="G162" s="743"/>
      <c r="H162" s="743"/>
      <c r="I162" s="743"/>
      <c r="J162" s="743"/>
      <c r="K162" s="743"/>
      <c r="L162" s="743"/>
      <c r="M162" s="743"/>
      <c r="N162" s="743"/>
      <c r="O162" s="743"/>
      <c r="P162" s="743"/>
      <c r="Q162" s="743"/>
      <c r="R162" s="743"/>
      <c r="S162" s="743"/>
      <c r="T162" s="743"/>
      <c r="U162" s="743"/>
      <c r="V162" s="743"/>
      <c r="W162" s="743"/>
      <c r="X162" s="743"/>
      <c r="Y162" s="743"/>
      <c r="Z162" s="743"/>
      <c r="AA162" s="743"/>
      <c r="AB162" s="743"/>
      <c r="AC162" s="781" t="str">
        <f t="shared" ca="1" si="17"/>
        <v/>
      </c>
      <c r="AD162" s="781"/>
      <c r="AE162" s="781"/>
      <c r="AF162" s="781"/>
      <c r="AG162" s="781"/>
      <c r="AH162" s="781"/>
      <c r="AI162" s="781"/>
      <c r="AJ162" s="742" t="str">
        <f t="shared" ca="1" si="18"/>
        <v/>
      </c>
      <c r="AK162" s="742"/>
      <c r="AL162" s="768"/>
      <c r="AM162" s="769"/>
      <c r="AN162" s="769"/>
      <c r="AO162" s="769"/>
      <c r="AP162" s="769"/>
      <c r="AQ162" s="769"/>
      <c r="AR162" s="769"/>
      <c r="AS162" s="769"/>
      <c r="AT162" s="769"/>
      <c r="AU162" s="769"/>
      <c r="AV162" s="769"/>
      <c r="AW162" s="769"/>
      <c r="AX162" s="769"/>
      <c r="AY162" s="770"/>
    </row>
    <row r="163" spans="1:52" s="403" customFormat="1" ht="36.75" customHeight="1">
      <c r="B163" s="742">
        <f>B162+1</f>
        <v>83</v>
      </c>
      <c r="C163" s="742"/>
      <c r="D163" s="743" t="str">
        <f t="shared" ca="1" si="16"/>
        <v/>
      </c>
      <c r="E163" s="743"/>
      <c r="F163" s="743"/>
      <c r="G163" s="743"/>
      <c r="H163" s="743"/>
      <c r="I163" s="743"/>
      <c r="J163" s="743"/>
      <c r="K163" s="743"/>
      <c r="L163" s="743"/>
      <c r="M163" s="743"/>
      <c r="N163" s="743"/>
      <c r="O163" s="743"/>
      <c r="P163" s="743"/>
      <c r="Q163" s="743"/>
      <c r="R163" s="743"/>
      <c r="S163" s="743"/>
      <c r="T163" s="743"/>
      <c r="U163" s="743"/>
      <c r="V163" s="743"/>
      <c r="W163" s="743"/>
      <c r="X163" s="743"/>
      <c r="Y163" s="743"/>
      <c r="Z163" s="743"/>
      <c r="AA163" s="743"/>
      <c r="AB163" s="743"/>
      <c r="AC163" s="781" t="str">
        <f t="shared" ca="1" si="17"/>
        <v/>
      </c>
      <c r="AD163" s="781"/>
      <c r="AE163" s="781"/>
      <c r="AF163" s="781"/>
      <c r="AG163" s="781"/>
      <c r="AH163" s="781"/>
      <c r="AI163" s="781"/>
      <c r="AJ163" s="742" t="str">
        <f t="shared" ca="1" si="18"/>
        <v/>
      </c>
      <c r="AK163" s="742"/>
      <c r="AL163" s="768"/>
      <c r="AM163" s="769"/>
      <c r="AN163" s="769"/>
      <c r="AO163" s="769"/>
      <c r="AP163" s="769"/>
      <c r="AQ163" s="769"/>
      <c r="AR163" s="769"/>
      <c r="AS163" s="769"/>
      <c r="AT163" s="769"/>
      <c r="AU163" s="769"/>
      <c r="AV163" s="769"/>
      <c r="AW163" s="769"/>
      <c r="AX163" s="769"/>
      <c r="AY163" s="770"/>
    </row>
    <row r="164" spans="1:52" s="403" customFormat="1" ht="36.75" customHeight="1">
      <c r="B164" s="742">
        <f t="shared" ref="B164:B180" si="19">B163+1</f>
        <v>84</v>
      </c>
      <c r="C164" s="742"/>
      <c r="D164" s="743" t="str">
        <f t="shared" ca="1" si="16"/>
        <v/>
      </c>
      <c r="E164" s="743"/>
      <c r="F164" s="743"/>
      <c r="G164" s="743"/>
      <c r="H164" s="743"/>
      <c r="I164" s="743"/>
      <c r="J164" s="743"/>
      <c r="K164" s="743"/>
      <c r="L164" s="743"/>
      <c r="M164" s="743"/>
      <c r="N164" s="743"/>
      <c r="O164" s="743"/>
      <c r="P164" s="743"/>
      <c r="Q164" s="743"/>
      <c r="R164" s="743"/>
      <c r="S164" s="743"/>
      <c r="T164" s="743"/>
      <c r="U164" s="743"/>
      <c r="V164" s="743"/>
      <c r="W164" s="743"/>
      <c r="X164" s="743"/>
      <c r="Y164" s="743"/>
      <c r="Z164" s="743"/>
      <c r="AA164" s="743"/>
      <c r="AB164" s="743"/>
      <c r="AC164" s="781" t="str">
        <f t="shared" ca="1" si="17"/>
        <v/>
      </c>
      <c r="AD164" s="781"/>
      <c r="AE164" s="781"/>
      <c r="AF164" s="781"/>
      <c r="AG164" s="781"/>
      <c r="AH164" s="781"/>
      <c r="AI164" s="781"/>
      <c r="AJ164" s="742" t="str">
        <f t="shared" ca="1" si="18"/>
        <v/>
      </c>
      <c r="AK164" s="742"/>
      <c r="AL164" s="768"/>
      <c r="AM164" s="769"/>
      <c r="AN164" s="769"/>
      <c r="AO164" s="769"/>
      <c r="AP164" s="769"/>
      <c r="AQ164" s="769"/>
      <c r="AR164" s="769"/>
      <c r="AS164" s="769"/>
      <c r="AT164" s="769"/>
      <c r="AU164" s="769"/>
      <c r="AV164" s="769"/>
      <c r="AW164" s="769"/>
      <c r="AX164" s="769"/>
      <c r="AY164" s="770"/>
    </row>
    <row r="165" spans="1:52" s="403" customFormat="1" ht="36.75" customHeight="1">
      <c r="A165" s="403" t="s">
        <v>1529</v>
      </c>
      <c r="B165" s="742">
        <f t="shared" si="19"/>
        <v>85</v>
      </c>
      <c r="C165" s="742"/>
      <c r="D165" s="743" t="str">
        <f t="shared" ca="1" si="16"/>
        <v/>
      </c>
      <c r="E165" s="743"/>
      <c r="F165" s="743"/>
      <c r="G165" s="743"/>
      <c r="H165" s="743"/>
      <c r="I165" s="743"/>
      <c r="J165" s="743"/>
      <c r="K165" s="743"/>
      <c r="L165" s="743"/>
      <c r="M165" s="743"/>
      <c r="N165" s="743"/>
      <c r="O165" s="743"/>
      <c r="P165" s="743"/>
      <c r="Q165" s="743"/>
      <c r="R165" s="743"/>
      <c r="S165" s="743"/>
      <c r="T165" s="743"/>
      <c r="U165" s="743"/>
      <c r="V165" s="743"/>
      <c r="W165" s="743"/>
      <c r="X165" s="743"/>
      <c r="Y165" s="743"/>
      <c r="Z165" s="743"/>
      <c r="AA165" s="743"/>
      <c r="AB165" s="743"/>
      <c r="AC165" s="781" t="str">
        <f t="shared" ca="1" si="17"/>
        <v/>
      </c>
      <c r="AD165" s="781"/>
      <c r="AE165" s="781"/>
      <c r="AF165" s="781"/>
      <c r="AG165" s="781"/>
      <c r="AH165" s="781"/>
      <c r="AI165" s="781"/>
      <c r="AJ165" s="742" t="str">
        <f t="shared" ca="1" si="18"/>
        <v/>
      </c>
      <c r="AK165" s="742"/>
      <c r="AL165" s="768"/>
      <c r="AM165" s="769"/>
      <c r="AN165" s="769"/>
      <c r="AO165" s="769"/>
      <c r="AP165" s="769"/>
      <c r="AQ165" s="769"/>
      <c r="AR165" s="769"/>
      <c r="AS165" s="769"/>
      <c r="AT165" s="769"/>
      <c r="AU165" s="769"/>
      <c r="AV165" s="769"/>
      <c r="AW165" s="769"/>
      <c r="AX165" s="769"/>
      <c r="AY165" s="770"/>
      <c r="AZ165" s="473" t="s">
        <v>1530</v>
      </c>
    </row>
    <row r="166" spans="1:52" s="403" customFormat="1" ht="36.75" customHeight="1">
      <c r="B166" s="742">
        <f t="shared" si="19"/>
        <v>86</v>
      </c>
      <c r="C166" s="742"/>
      <c r="D166" s="743" t="str">
        <f t="shared" ca="1" si="16"/>
        <v/>
      </c>
      <c r="E166" s="743"/>
      <c r="F166" s="743"/>
      <c r="G166" s="743"/>
      <c r="H166" s="743"/>
      <c r="I166" s="743"/>
      <c r="J166" s="743"/>
      <c r="K166" s="743"/>
      <c r="L166" s="743"/>
      <c r="M166" s="743"/>
      <c r="N166" s="743"/>
      <c r="O166" s="743"/>
      <c r="P166" s="743"/>
      <c r="Q166" s="743"/>
      <c r="R166" s="743"/>
      <c r="S166" s="743"/>
      <c r="T166" s="743"/>
      <c r="U166" s="743"/>
      <c r="V166" s="743"/>
      <c r="W166" s="743"/>
      <c r="X166" s="743"/>
      <c r="Y166" s="743"/>
      <c r="Z166" s="743"/>
      <c r="AA166" s="743"/>
      <c r="AB166" s="743"/>
      <c r="AC166" s="781" t="str">
        <f t="shared" ca="1" si="17"/>
        <v/>
      </c>
      <c r="AD166" s="781"/>
      <c r="AE166" s="781"/>
      <c r="AF166" s="781"/>
      <c r="AG166" s="781"/>
      <c r="AH166" s="781"/>
      <c r="AI166" s="781"/>
      <c r="AJ166" s="742" t="str">
        <f t="shared" ca="1" si="18"/>
        <v/>
      </c>
      <c r="AK166" s="742"/>
      <c r="AL166" s="768"/>
      <c r="AM166" s="769"/>
      <c r="AN166" s="769"/>
      <c r="AO166" s="769"/>
      <c r="AP166" s="769"/>
      <c r="AQ166" s="769"/>
      <c r="AR166" s="769"/>
      <c r="AS166" s="769"/>
      <c r="AT166" s="769"/>
      <c r="AU166" s="769"/>
      <c r="AV166" s="769"/>
      <c r="AW166" s="769"/>
      <c r="AX166" s="769"/>
      <c r="AY166" s="770"/>
      <c r="AZ166" s="473"/>
    </row>
    <row r="167" spans="1:52" s="403" customFormat="1" ht="36.75" customHeight="1">
      <c r="B167" s="742">
        <f t="shared" si="19"/>
        <v>87</v>
      </c>
      <c r="C167" s="742"/>
      <c r="D167" s="743" t="str">
        <f t="shared" ca="1" si="16"/>
        <v/>
      </c>
      <c r="E167" s="743"/>
      <c r="F167" s="743"/>
      <c r="G167" s="743"/>
      <c r="H167" s="743"/>
      <c r="I167" s="743"/>
      <c r="J167" s="743"/>
      <c r="K167" s="743"/>
      <c r="L167" s="743"/>
      <c r="M167" s="743"/>
      <c r="N167" s="743"/>
      <c r="O167" s="743"/>
      <c r="P167" s="743"/>
      <c r="Q167" s="743"/>
      <c r="R167" s="743"/>
      <c r="S167" s="743"/>
      <c r="T167" s="743"/>
      <c r="U167" s="743"/>
      <c r="V167" s="743"/>
      <c r="W167" s="743"/>
      <c r="X167" s="743"/>
      <c r="Y167" s="743"/>
      <c r="Z167" s="743"/>
      <c r="AA167" s="743"/>
      <c r="AB167" s="743"/>
      <c r="AC167" s="781" t="str">
        <f t="shared" ca="1" si="17"/>
        <v/>
      </c>
      <c r="AD167" s="781"/>
      <c r="AE167" s="781"/>
      <c r="AF167" s="781"/>
      <c r="AG167" s="781"/>
      <c r="AH167" s="781"/>
      <c r="AI167" s="781"/>
      <c r="AJ167" s="742" t="str">
        <f t="shared" ca="1" si="18"/>
        <v/>
      </c>
      <c r="AK167" s="742"/>
      <c r="AL167" s="768"/>
      <c r="AM167" s="769"/>
      <c r="AN167" s="769"/>
      <c r="AO167" s="769"/>
      <c r="AP167" s="769"/>
      <c r="AQ167" s="769"/>
      <c r="AR167" s="769"/>
      <c r="AS167" s="769"/>
      <c r="AT167" s="769"/>
      <c r="AU167" s="769"/>
      <c r="AV167" s="769"/>
      <c r="AW167" s="769"/>
      <c r="AX167" s="769"/>
      <c r="AY167" s="770"/>
      <c r="AZ167" s="473"/>
    </row>
    <row r="168" spans="1:52" s="403" customFormat="1" ht="36.75" customHeight="1">
      <c r="B168" s="742">
        <f t="shared" si="19"/>
        <v>88</v>
      </c>
      <c r="C168" s="742"/>
      <c r="D168" s="743" t="str">
        <f t="shared" ca="1" si="16"/>
        <v/>
      </c>
      <c r="E168" s="743"/>
      <c r="F168" s="743"/>
      <c r="G168" s="743"/>
      <c r="H168" s="743"/>
      <c r="I168" s="743"/>
      <c r="J168" s="743"/>
      <c r="K168" s="743"/>
      <c r="L168" s="743"/>
      <c r="M168" s="743"/>
      <c r="N168" s="743"/>
      <c r="O168" s="743"/>
      <c r="P168" s="743"/>
      <c r="Q168" s="743"/>
      <c r="R168" s="743"/>
      <c r="S168" s="743"/>
      <c r="T168" s="743"/>
      <c r="U168" s="743"/>
      <c r="V168" s="743"/>
      <c r="W168" s="743"/>
      <c r="X168" s="743"/>
      <c r="Y168" s="743"/>
      <c r="Z168" s="743"/>
      <c r="AA168" s="743"/>
      <c r="AB168" s="743"/>
      <c r="AC168" s="781" t="str">
        <f t="shared" ca="1" si="17"/>
        <v/>
      </c>
      <c r="AD168" s="781"/>
      <c r="AE168" s="781"/>
      <c r="AF168" s="781"/>
      <c r="AG168" s="781"/>
      <c r="AH168" s="781"/>
      <c r="AI168" s="781"/>
      <c r="AJ168" s="742" t="str">
        <f t="shared" ca="1" si="18"/>
        <v/>
      </c>
      <c r="AK168" s="742"/>
      <c r="AL168" s="768"/>
      <c r="AM168" s="769"/>
      <c r="AN168" s="769"/>
      <c r="AO168" s="769"/>
      <c r="AP168" s="769"/>
      <c r="AQ168" s="769"/>
      <c r="AR168" s="769"/>
      <c r="AS168" s="769"/>
      <c r="AT168" s="769"/>
      <c r="AU168" s="769"/>
      <c r="AV168" s="769"/>
      <c r="AW168" s="769"/>
      <c r="AX168" s="769"/>
      <c r="AY168" s="770"/>
    </row>
    <row r="169" spans="1:52" s="403" customFormat="1" ht="36.75" customHeight="1">
      <c r="B169" s="742">
        <f t="shared" si="19"/>
        <v>89</v>
      </c>
      <c r="C169" s="742"/>
      <c r="D169" s="743" t="str">
        <f t="shared" ca="1" si="16"/>
        <v/>
      </c>
      <c r="E169" s="743"/>
      <c r="F169" s="743"/>
      <c r="G169" s="743"/>
      <c r="H169" s="743"/>
      <c r="I169" s="743"/>
      <c r="J169" s="743"/>
      <c r="K169" s="743"/>
      <c r="L169" s="743"/>
      <c r="M169" s="743"/>
      <c r="N169" s="743"/>
      <c r="O169" s="743"/>
      <c r="P169" s="743"/>
      <c r="Q169" s="743"/>
      <c r="R169" s="743"/>
      <c r="S169" s="743"/>
      <c r="T169" s="743"/>
      <c r="U169" s="743"/>
      <c r="V169" s="743"/>
      <c r="W169" s="743"/>
      <c r="X169" s="743"/>
      <c r="Y169" s="743"/>
      <c r="Z169" s="743"/>
      <c r="AA169" s="743"/>
      <c r="AB169" s="743"/>
      <c r="AC169" s="781" t="str">
        <f t="shared" ca="1" si="17"/>
        <v/>
      </c>
      <c r="AD169" s="781"/>
      <c r="AE169" s="781"/>
      <c r="AF169" s="781"/>
      <c r="AG169" s="781"/>
      <c r="AH169" s="781"/>
      <c r="AI169" s="781"/>
      <c r="AJ169" s="742" t="str">
        <f t="shared" ca="1" si="18"/>
        <v/>
      </c>
      <c r="AK169" s="742"/>
      <c r="AL169" s="768"/>
      <c r="AM169" s="769"/>
      <c r="AN169" s="769"/>
      <c r="AO169" s="769"/>
      <c r="AP169" s="769"/>
      <c r="AQ169" s="769"/>
      <c r="AR169" s="769"/>
      <c r="AS169" s="769"/>
      <c r="AT169" s="769"/>
      <c r="AU169" s="769"/>
      <c r="AV169" s="769"/>
      <c r="AW169" s="769"/>
      <c r="AX169" s="769"/>
      <c r="AY169" s="770"/>
    </row>
    <row r="170" spans="1:52" s="403" customFormat="1" ht="36.75" customHeight="1">
      <c r="B170" s="742">
        <f t="shared" si="19"/>
        <v>90</v>
      </c>
      <c r="C170" s="742"/>
      <c r="D170" s="743" t="str">
        <f t="shared" ca="1" si="16"/>
        <v/>
      </c>
      <c r="E170" s="743"/>
      <c r="F170" s="743"/>
      <c r="G170" s="743"/>
      <c r="H170" s="743"/>
      <c r="I170" s="743"/>
      <c r="J170" s="743"/>
      <c r="K170" s="743"/>
      <c r="L170" s="743"/>
      <c r="M170" s="743"/>
      <c r="N170" s="743"/>
      <c r="O170" s="743"/>
      <c r="P170" s="743"/>
      <c r="Q170" s="743"/>
      <c r="R170" s="743"/>
      <c r="S170" s="743"/>
      <c r="T170" s="743"/>
      <c r="U170" s="743"/>
      <c r="V170" s="743"/>
      <c r="W170" s="743"/>
      <c r="X170" s="743"/>
      <c r="Y170" s="743"/>
      <c r="Z170" s="743"/>
      <c r="AA170" s="743"/>
      <c r="AB170" s="743"/>
      <c r="AC170" s="781" t="str">
        <f t="shared" ca="1" si="17"/>
        <v/>
      </c>
      <c r="AD170" s="781"/>
      <c r="AE170" s="781"/>
      <c r="AF170" s="781"/>
      <c r="AG170" s="781"/>
      <c r="AH170" s="781"/>
      <c r="AI170" s="781"/>
      <c r="AJ170" s="742" t="str">
        <f t="shared" ca="1" si="18"/>
        <v/>
      </c>
      <c r="AK170" s="742"/>
      <c r="AL170" s="768"/>
      <c r="AM170" s="769"/>
      <c r="AN170" s="769"/>
      <c r="AO170" s="769"/>
      <c r="AP170" s="769"/>
      <c r="AQ170" s="769"/>
      <c r="AR170" s="769"/>
      <c r="AS170" s="769"/>
      <c r="AT170" s="769"/>
      <c r="AU170" s="769"/>
      <c r="AV170" s="769"/>
      <c r="AW170" s="769"/>
      <c r="AX170" s="769"/>
      <c r="AY170" s="770"/>
    </row>
    <row r="171" spans="1:52" s="403" customFormat="1" ht="36.75" customHeight="1">
      <c r="B171" s="742">
        <f t="shared" si="19"/>
        <v>91</v>
      </c>
      <c r="C171" s="742"/>
      <c r="D171" s="743" t="str">
        <f t="shared" ca="1" si="16"/>
        <v/>
      </c>
      <c r="E171" s="743"/>
      <c r="F171" s="743"/>
      <c r="G171" s="743"/>
      <c r="H171" s="743"/>
      <c r="I171" s="743"/>
      <c r="J171" s="743"/>
      <c r="K171" s="743"/>
      <c r="L171" s="743"/>
      <c r="M171" s="743"/>
      <c r="N171" s="743"/>
      <c r="O171" s="743"/>
      <c r="P171" s="743"/>
      <c r="Q171" s="743"/>
      <c r="R171" s="743"/>
      <c r="S171" s="743"/>
      <c r="T171" s="743"/>
      <c r="U171" s="743"/>
      <c r="V171" s="743"/>
      <c r="W171" s="743"/>
      <c r="X171" s="743"/>
      <c r="Y171" s="743"/>
      <c r="Z171" s="743"/>
      <c r="AA171" s="743"/>
      <c r="AB171" s="743"/>
      <c r="AC171" s="781" t="str">
        <f t="shared" ca="1" si="17"/>
        <v/>
      </c>
      <c r="AD171" s="781"/>
      <c r="AE171" s="781"/>
      <c r="AF171" s="781"/>
      <c r="AG171" s="781"/>
      <c r="AH171" s="781"/>
      <c r="AI171" s="781"/>
      <c r="AJ171" s="742" t="str">
        <f t="shared" ca="1" si="18"/>
        <v/>
      </c>
      <c r="AK171" s="742"/>
      <c r="AL171" s="768"/>
      <c r="AM171" s="769"/>
      <c r="AN171" s="769"/>
      <c r="AO171" s="769"/>
      <c r="AP171" s="769"/>
      <c r="AQ171" s="769"/>
      <c r="AR171" s="769"/>
      <c r="AS171" s="769"/>
      <c r="AT171" s="769"/>
      <c r="AU171" s="769"/>
      <c r="AV171" s="769"/>
      <c r="AW171" s="769"/>
      <c r="AX171" s="769"/>
      <c r="AY171" s="770"/>
    </row>
    <row r="172" spans="1:52" s="403" customFormat="1" ht="36.75" customHeight="1">
      <c r="B172" s="742">
        <f t="shared" si="19"/>
        <v>92</v>
      </c>
      <c r="C172" s="742"/>
      <c r="D172" s="743" t="str">
        <f t="shared" ca="1" si="16"/>
        <v/>
      </c>
      <c r="E172" s="743"/>
      <c r="F172" s="743"/>
      <c r="G172" s="743"/>
      <c r="H172" s="743"/>
      <c r="I172" s="743"/>
      <c r="J172" s="743"/>
      <c r="K172" s="743"/>
      <c r="L172" s="743"/>
      <c r="M172" s="743"/>
      <c r="N172" s="743"/>
      <c r="O172" s="743"/>
      <c r="P172" s="743"/>
      <c r="Q172" s="743"/>
      <c r="R172" s="743"/>
      <c r="S172" s="743"/>
      <c r="T172" s="743"/>
      <c r="U172" s="743"/>
      <c r="V172" s="743"/>
      <c r="W172" s="743"/>
      <c r="X172" s="743"/>
      <c r="Y172" s="743"/>
      <c r="Z172" s="743"/>
      <c r="AA172" s="743"/>
      <c r="AB172" s="743"/>
      <c r="AC172" s="781" t="str">
        <f t="shared" ca="1" si="17"/>
        <v/>
      </c>
      <c r="AD172" s="781"/>
      <c r="AE172" s="781"/>
      <c r="AF172" s="781"/>
      <c r="AG172" s="781"/>
      <c r="AH172" s="781"/>
      <c r="AI172" s="781"/>
      <c r="AJ172" s="742" t="str">
        <f t="shared" ca="1" si="18"/>
        <v/>
      </c>
      <c r="AK172" s="742"/>
      <c r="AL172" s="768"/>
      <c r="AM172" s="769"/>
      <c r="AN172" s="769"/>
      <c r="AO172" s="769"/>
      <c r="AP172" s="769"/>
      <c r="AQ172" s="769"/>
      <c r="AR172" s="769"/>
      <c r="AS172" s="769"/>
      <c r="AT172" s="769"/>
      <c r="AU172" s="769"/>
      <c r="AV172" s="769"/>
      <c r="AW172" s="769"/>
      <c r="AX172" s="769"/>
      <c r="AY172" s="770"/>
    </row>
    <row r="173" spans="1:52" s="403" customFormat="1" ht="36.75" customHeight="1">
      <c r="B173" s="742">
        <f t="shared" si="19"/>
        <v>93</v>
      </c>
      <c r="C173" s="742"/>
      <c r="D173" s="743" t="str">
        <f t="shared" ca="1" si="16"/>
        <v/>
      </c>
      <c r="E173" s="743"/>
      <c r="F173" s="743"/>
      <c r="G173" s="743"/>
      <c r="H173" s="743"/>
      <c r="I173" s="743"/>
      <c r="J173" s="743"/>
      <c r="K173" s="743"/>
      <c r="L173" s="743"/>
      <c r="M173" s="743"/>
      <c r="N173" s="743"/>
      <c r="O173" s="743"/>
      <c r="P173" s="743"/>
      <c r="Q173" s="743"/>
      <c r="R173" s="743"/>
      <c r="S173" s="743"/>
      <c r="T173" s="743"/>
      <c r="U173" s="743"/>
      <c r="V173" s="743"/>
      <c r="W173" s="743"/>
      <c r="X173" s="743"/>
      <c r="Y173" s="743"/>
      <c r="Z173" s="743"/>
      <c r="AA173" s="743"/>
      <c r="AB173" s="743"/>
      <c r="AC173" s="781" t="str">
        <f t="shared" ca="1" si="17"/>
        <v/>
      </c>
      <c r="AD173" s="781"/>
      <c r="AE173" s="781"/>
      <c r="AF173" s="781"/>
      <c r="AG173" s="781"/>
      <c r="AH173" s="781"/>
      <c r="AI173" s="781"/>
      <c r="AJ173" s="742" t="str">
        <f t="shared" ca="1" si="18"/>
        <v/>
      </c>
      <c r="AK173" s="742"/>
      <c r="AL173" s="768"/>
      <c r="AM173" s="769"/>
      <c r="AN173" s="769"/>
      <c r="AO173" s="769"/>
      <c r="AP173" s="769"/>
      <c r="AQ173" s="769"/>
      <c r="AR173" s="769"/>
      <c r="AS173" s="769"/>
      <c r="AT173" s="769"/>
      <c r="AU173" s="769"/>
      <c r="AV173" s="769"/>
      <c r="AW173" s="769"/>
      <c r="AX173" s="769"/>
      <c r="AY173" s="770"/>
    </row>
    <row r="174" spans="1:52" s="403" customFormat="1" ht="36.75" customHeight="1">
      <c r="B174" s="742">
        <f t="shared" si="19"/>
        <v>94</v>
      </c>
      <c r="C174" s="742"/>
      <c r="D174" s="743" t="str">
        <f t="shared" ca="1" si="16"/>
        <v/>
      </c>
      <c r="E174" s="743"/>
      <c r="F174" s="743"/>
      <c r="G174" s="743"/>
      <c r="H174" s="743"/>
      <c r="I174" s="743"/>
      <c r="J174" s="743"/>
      <c r="K174" s="743"/>
      <c r="L174" s="743"/>
      <c r="M174" s="743"/>
      <c r="N174" s="743"/>
      <c r="O174" s="743"/>
      <c r="P174" s="743"/>
      <c r="Q174" s="743"/>
      <c r="R174" s="743"/>
      <c r="S174" s="743"/>
      <c r="T174" s="743"/>
      <c r="U174" s="743"/>
      <c r="V174" s="743"/>
      <c r="W174" s="743"/>
      <c r="X174" s="743"/>
      <c r="Y174" s="743"/>
      <c r="Z174" s="743"/>
      <c r="AA174" s="743"/>
      <c r="AB174" s="743"/>
      <c r="AC174" s="781" t="str">
        <f t="shared" ca="1" si="17"/>
        <v/>
      </c>
      <c r="AD174" s="781"/>
      <c r="AE174" s="781"/>
      <c r="AF174" s="781"/>
      <c r="AG174" s="781"/>
      <c r="AH174" s="781"/>
      <c r="AI174" s="781"/>
      <c r="AJ174" s="742" t="str">
        <f t="shared" ca="1" si="18"/>
        <v/>
      </c>
      <c r="AK174" s="742"/>
      <c r="AL174" s="768"/>
      <c r="AM174" s="769"/>
      <c r="AN174" s="769"/>
      <c r="AO174" s="769"/>
      <c r="AP174" s="769"/>
      <c r="AQ174" s="769"/>
      <c r="AR174" s="769"/>
      <c r="AS174" s="769"/>
      <c r="AT174" s="769"/>
      <c r="AU174" s="769"/>
      <c r="AV174" s="769"/>
      <c r="AW174" s="769"/>
      <c r="AX174" s="769"/>
      <c r="AY174" s="770"/>
    </row>
    <row r="175" spans="1:52" s="403" customFormat="1" ht="36.75" customHeight="1">
      <c r="B175" s="742">
        <f t="shared" si="19"/>
        <v>95</v>
      </c>
      <c r="C175" s="742"/>
      <c r="D175" s="743" t="str">
        <f t="shared" ca="1" si="16"/>
        <v/>
      </c>
      <c r="E175" s="743"/>
      <c r="F175" s="743"/>
      <c r="G175" s="743"/>
      <c r="H175" s="743"/>
      <c r="I175" s="743"/>
      <c r="J175" s="743"/>
      <c r="K175" s="743"/>
      <c r="L175" s="743"/>
      <c r="M175" s="743"/>
      <c r="N175" s="743"/>
      <c r="O175" s="743"/>
      <c r="P175" s="743"/>
      <c r="Q175" s="743"/>
      <c r="R175" s="743"/>
      <c r="S175" s="743"/>
      <c r="T175" s="743"/>
      <c r="U175" s="743"/>
      <c r="V175" s="743"/>
      <c r="W175" s="743"/>
      <c r="X175" s="743"/>
      <c r="Y175" s="743"/>
      <c r="Z175" s="743"/>
      <c r="AA175" s="743"/>
      <c r="AB175" s="743"/>
      <c r="AC175" s="781" t="str">
        <f t="shared" ca="1" si="17"/>
        <v/>
      </c>
      <c r="AD175" s="781"/>
      <c r="AE175" s="781"/>
      <c r="AF175" s="781"/>
      <c r="AG175" s="781"/>
      <c r="AH175" s="781"/>
      <c r="AI175" s="781"/>
      <c r="AJ175" s="742" t="str">
        <f t="shared" ca="1" si="18"/>
        <v/>
      </c>
      <c r="AK175" s="742"/>
      <c r="AL175" s="768"/>
      <c r="AM175" s="769"/>
      <c r="AN175" s="769"/>
      <c r="AO175" s="769"/>
      <c r="AP175" s="769"/>
      <c r="AQ175" s="769"/>
      <c r="AR175" s="769"/>
      <c r="AS175" s="769"/>
      <c r="AT175" s="769"/>
      <c r="AU175" s="769"/>
      <c r="AV175" s="769"/>
      <c r="AW175" s="769"/>
      <c r="AX175" s="769"/>
      <c r="AY175" s="770"/>
    </row>
    <row r="176" spans="1:52" s="403" customFormat="1" ht="36.75" customHeight="1">
      <c r="B176" s="742">
        <f t="shared" si="19"/>
        <v>96</v>
      </c>
      <c r="C176" s="742"/>
      <c r="D176" s="743" t="str">
        <f t="shared" ca="1" si="16"/>
        <v/>
      </c>
      <c r="E176" s="743"/>
      <c r="F176" s="743"/>
      <c r="G176" s="743"/>
      <c r="H176" s="743"/>
      <c r="I176" s="743"/>
      <c r="J176" s="743"/>
      <c r="K176" s="743"/>
      <c r="L176" s="743"/>
      <c r="M176" s="743"/>
      <c r="N176" s="743"/>
      <c r="O176" s="743"/>
      <c r="P176" s="743"/>
      <c r="Q176" s="743"/>
      <c r="R176" s="743"/>
      <c r="S176" s="743"/>
      <c r="T176" s="743"/>
      <c r="U176" s="743"/>
      <c r="V176" s="743"/>
      <c r="W176" s="743"/>
      <c r="X176" s="743"/>
      <c r="Y176" s="743"/>
      <c r="Z176" s="743"/>
      <c r="AA176" s="743"/>
      <c r="AB176" s="743"/>
      <c r="AC176" s="781" t="str">
        <f t="shared" ca="1" si="17"/>
        <v/>
      </c>
      <c r="AD176" s="781"/>
      <c r="AE176" s="781"/>
      <c r="AF176" s="781"/>
      <c r="AG176" s="781"/>
      <c r="AH176" s="781"/>
      <c r="AI176" s="781"/>
      <c r="AJ176" s="742" t="str">
        <f t="shared" ca="1" si="18"/>
        <v/>
      </c>
      <c r="AK176" s="742"/>
      <c r="AL176" s="768"/>
      <c r="AM176" s="769"/>
      <c r="AN176" s="769"/>
      <c r="AO176" s="769"/>
      <c r="AP176" s="769"/>
      <c r="AQ176" s="769"/>
      <c r="AR176" s="769"/>
      <c r="AS176" s="769"/>
      <c r="AT176" s="769"/>
      <c r="AU176" s="769"/>
      <c r="AV176" s="769"/>
      <c r="AW176" s="769"/>
      <c r="AX176" s="769"/>
      <c r="AY176" s="770"/>
    </row>
    <row r="177" spans="1:52" s="403" customFormat="1" ht="36.75" customHeight="1">
      <c r="B177" s="742">
        <f t="shared" si="19"/>
        <v>97</v>
      </c>
      <c r="C177" s="742"/>
      <c r="D177" s="743" t="str">
        <f t="shared" ca="1" si="16"/>
        <v/>
      </c>
      <c r="E177" s="743"/>
      <c r="F177" s="743"/>
      <c r="G177" s="743"/>
      <c r="H177" s="743"/>
      <c r="I177" s="743"/>
      <c r="J177" s="743"/>
      <c r="K177" s="743"/>
      <c r="L177" s="743"/>
      <c r="M177" s="743"/>
      <c r="N177" s="743"/>
      <c r="O177" s="743"/>
      <c r="P177" s="743"/>
      <c r="Q177" s="743"/>
      <c r="R177" s="743"/>
      <c r="S177" s="743"/>
      <c r="T177" s="743"/>
      <c r="U177" s="743"/>
      <c r="V177" s="743"/>
      <c r="W177" s="743"/>
      <c r="X177" s="743"/>
      <c r="Y177" s="743"/>
      <c r="Z177" s="743"/>
      <c r="AA177" s="743"/>
      <c r="AB177" s="743"/>
      <c r="AC177" s="781" t="str">
        <f t="shared" ca="1" si="17"/>
        <v/>
      </c>
      <c r="AD177" s="781"/>
      <c r="AE177" s="781"/>
      <c r="AF177" s="781"/>
      <c r="AG177" s="781"/>
      <c r="AH177" s="781"/>
      <c r="AI177" s="781"/>
      <c r="AJ177" s="742" t="str">
        <f t="shared" ca="1" si="18"/>
        <v/>
      </c>
      <c r="AK177" s="742"/>
      <c r="AL177" s="768"/>
      <c r="AM177" s="769"/>
      <c r="AN177" s="769"/>
      <c r="AO177" s="769"/>
      <c r="AP177" s="769"/>
      <c r="AQ177" s="769"/>
      <c r="AR177" s="769"/>
      <c r="AS177" s="769"/>
      <c r="AT177" s="769"/>
      <c r="AU177" s="769"/>
      <c r="AV177" s="769"/>
      <c r="AW177" s="769"/>
      <c r="AX177" s="769"/>
      <c r="AY177" s="770"/>
    </row>
    <row r="178" spans="1:52" s="403" customFormat="1" ht="36.75" customHeight="1">
      <c r="B178" s="742">
        <f t="shared" si="19"/>
        <v>98</v>
      </c>
      <c r="C178" s="742"/>
      <c r="D178" s="743" t="str">
        <f t="shared" ca="1" si="16"/>
        <v/>
      </c>
      <c r="E178" s="743"/>
      <c r="F178" s="743"/>
      <c r="G178" s="743"/>
      <c r="H178" s="743"/>
      <c r="I178" s="743"/>
      <c r="J178" s="743"/>
      <c r="K178" s="743"/>
      <c r="L178" s="743"/>
      <c r="M178" s="743"/>
      <c r="N178" s="743"/>
      <c r="O178" s="743"/>
      <c r="P178" s="743"/>
      <c r="Q178" s="743"/>
      <c r="R178" s="743"/>
      <c r="S178" s="743"/>
      <c r="T178" s="743"/>
      <c r="U178" s="743"/>
      <c r="V178" s="743"/>
      <c r="W178" s="743"/>
      <c r="X178" s="743"/>
      <c r="Y178" s="743"/>
      <c r="Z178" s="743"/>
      <c r="AA178" s="743"/>
      <c r="AB178" s="743"/>
      <c r="AC178" s="781" t="str">
        <f t="shared" ca="1" si="17"/>
        <v/>
      </c>
      <c r="AD178" s="781"/>
      <c r="AE178" s="781"/>
      <c r="AF178" s="781"/>
      <c r="AG178" s="781"/>
      <c r="AH178" s="781"/>
      <c r="AI178" s="781"/>
      <c r="AJ178" s="742" t="str">
        <f t="shared" ca="1" si="18"/>
        <v/>
      </c>
      <c r="AK178" s="742"/>
      <c r="AL178" s="768"/>
      <c r="AM178" s="769"/>
      <c r="AN178" s="769"/>
      <c r="AO178" s="769"/>
      <c r="AP178" s="769"/>
      <c r="AQ178" s="769"/>
      <c r="AR178" s="769"/>
      <c r="AS178" s="769"/>
      <c r="AT178" s="769"/>
      <c r="AU178" s="769"/>
      <c r="AV178" s="769"/>
      <c r="AW178" s="769"/>
      <c r="AX178" s="769"/>
      <c r="AY178" s="770"/>
    </row>
    <row r="179" spans="1:52" s="403" customFormat="1" ht="36.75" customHeight="1">
      <c r="A179" s="403" t="s">
        <v>1529</v>
      </c>
      <c r="B179" s="742">
        <f t="shared" si="19"/>
        <v>99</v>
      </c>
      <c r="C179" s="742"/>
      <c r="D179" s="743" t="str">
        <f t="shared" ca="1" si="16"/>
        <v/>
      </c>
      <c r="E179" s="743"/>
      <c r="F179" s="743"/>
      <c r="G179" s="743"/>
      <c r="H179" s="743"/>
      <c r="I179" s="743"/>
      <c r="J179" s="743"/>
      <c r="K179" s="743"/>
      <c r="L179" s="743"/>
      <c r="M179" s="743"/>
      <c r="N179" s="743"/>
      <c r="O179" s="743"/>
      <c r="P179" s="743"/>
      <c r="Q179" s="743"/>
      <c r="R179" s="743"/>
      <c r="S179" s="743"/>
      <c r="T179" s="743"/>
      <c r="U179" s="743"/>
      <c r="V179" s="743"/>
      <c r="W179" s="743"/>
      <c r="X179" s="743"/>
      <c r="Y179" s="743"/>
      <c r="Z179" s="743"/>
      <c r="AA179" s="743"/>
      <c r="AB179" s="743"/>
      <c r="AC179" s="781" t="str">
        <f t="shared" ca="1" si="17"/>
        <v/>
      </c>
      <c r="AD179" s="781"/>
      <c r="AE179" s="781"/>
      <c r="AF179" s="781"/>
      <c r="AG179" s="781"/>
      <c r="AH179" s="781"/>
      <c r="AI179" s="781"/>
      <c r="AJ179" s="742" t="str">
        <f t="shared" ca="1" si="18"/>
        <v/>
      </c>
      <c r="AK179" s="742"/>
      <c r="AL179" s="768"/>
      <c r="AM179" s="769"/>
      <c r="AN179" s="769"/>
      <c r="AO179" s="769"/>
      <c r="AP179" s="769"/>
      <c r="AQ179" s="769"/>
      <c r="AR179" s="769"/>
      <c r="AS179" s="769"/>
      <c r="AT179" s="769"/>
      <c r="AU179" s="769"/>
      <c r="AV179" s="769"/>
      <c r="AW179" s="769"/>
      <c r="AX179" s="769"/>
      <c r="AY179" s="770"/>
      <c r="AZ179" s="473" t="s">
        <v>1530</v>
      </c>
    </row>
    <row r="180" spans="1:52" s="403" customFormat="1" ht="36.75" customHeight="1">
      <c r="B180" s="742">
        <f t="shared" si="19"/>
        <v>100</v>
      </c>
      <c r="C180" s="742"/>
      <c r="D180" s="743" t="str">
        <f t="shared" ca="1" si="16"/>
        <v/>
      </c>
      <c r="E180" s="743"/>
      <c r="F180" s="743"/>
      <c r="G180" s="743"/>
      <c r="H180" s="743"/>
      <c r="I180" s="743"/>
      <c r="J180" s="743"/>
      <c r="K180" s="743"/>
      <c r="L180" s="743"/>
      <c r="M180" s="743"/>
      <c r="N180" s="743"/>
      <c r="O180" s="743"/>
      <c r="P180" s="743"/>
      <c r="Q180" s="743"/>
      <c r="R180" s="743"/>
      <c r="S180" s="743"/>
      <c r="T180" s="743"/>
      <c r="U180" s="743"/>
      <c r="V180" s="743"/>
      <c r="W180" s="743"/>
      <c r="X180" s="743"/>
      <c r="Y180" s="743"/>
      <c r="Z180" s="743"/>
      <c r="AA180" s="743"/>
      <c r="AB180" s="743"/>
      <c r="AC180" s="781" t="str">
        <f t="shared" ca="1" si="17"/>
        <v/>
      </c>
      <c r="AD180" s="781"/>
      <c r="AE180" s="781"/>
      <c r="AF180" s="781"/>
      <c r="AG180" s="781"/>
      <c r="AH180" s="781"/>
      <c r="AI180" s="781"/>
      <c r="AJ180" s="742" t="str">
        <f t="shared" ca="1" si="18"/>
        <v/>
      </c>
      <c r="AK180" s="742"/>
      <c r="AL180" s="768"/>
      <c r="AM180" s="769"/>
      <c r="AN180" s="769"/>
      <c r="AO180" s="769"/>
      <c r="AP180" s="769"/>
      <c r="AQ180" s="769"/>
      <c r="AR180" s="769"/>
      <c r="AS180" s="769"/>
      <c r="AT180" s="769"/>
      <c r="AU180" s="769"/>
      <c r="AV180" s="769"/>
      <c r="AW180" s="769"/>
      <c r="AX180" s="769"/>
      <c r="AY180" s="770"/>
    </row>
    <row r="181" spans="1:52" s="403" customFormat="1" ht="45" customHeight="1">
      <c r="B181" s="749" t="s">
        <v>1527</v>
      </c>
      <c r="C181" s="750"/>
      <c r="D181" s="750"/>
      <c r="E181" s="778" t="str">
        <f>IF(UNNH0030_REPORT_IF_H_EIGYO_MEI="","",UNNH0030_REPORT_IF_H_EIGYO_MEI)</f>
        <v/>
      </c>
      <c r="F181" s="779"/>
      <c r="G181" s="779"/>
      <c r="H181" s="779"/>
      <c r="I181" s="779"/>
      <c r="J181" s="779"/>
      <c r="K181" s="779"/>
      <c r="L181" s="779"/>
      <c r="M181" s="779"/>
      <c r="N181" s="779"/>
      <c r="O181" s="779"/>
      <c r="P181" s="779"/>
      <c r="Q181" s="779"/>
      <c r="R181" s="779"/>
      <c r="S181" s="779"/>
      <c r="T181" s="779"/>
      <c r="U181" s="779"/>
      <c r="V181" s="779"/>
      <c r="W181" s="779"/>
      <c r="X181" s="779"/>
      <c r="Y181" s="779"/>
      <c r="Z181" s="779"/>
      <c r="AA181" s="779"/>
      <c r="AB181" s="779"/>
      <c r="AC181" s="779"/>
      <c r="AD181" s="779"/>
      <c r="AE181" s="779"/>
      <c r="AF181" s="779"/>
      <c r="AG181" s="779"/>
      <c r="AH181" s="779"/>
      <c r="AI181" s="779"/>
      <c r="AJ181" s="779"/>
      <c r="AK181" s="780"/>
      <c r="AL181" s="771"/>
      <c r="AM181" s="772"/>
      <c r="AN181" s="772"/>
      <c r="AO181" s="772"/>
      <c r="AP181" s="772"/>
      <c r="AQ181" s="772"/>
      <c r="AR181" s="772"/>
      <c r="AS181" s="772"/>
      <c r="AT181" s="772"/>
      <c r="AU181" s="772"/>
      <c r="AV181" s="772"/>
      <c r="AW181" s="772"/>
      <c r="AX181" s="772"/>
      <c r="AY181" s="773"/>
    </row>
    <row r="182" spans="1:52" s="403" customFormat="1" ht="33.75" customHeight="1">
      <c r="C182" s="404"/>
      <c r="D182" s="404"/>
      <c r="E182" s="404"/>
      <c r="F182" s="404"/>
      <c r="G182" s="404"/>
      <c r="H182" s="404"/>
      <c r="I182" s="404"/>
      <c r="J182" s="404"/>
      <c r="K182" s="404"/>
      <c r="L182" s="404"/>
      <c r="M182" s="404"/>
      <c r="N182" s="404"/>
      <c r="O182" s="404"/>
    </row>
    <row r="183" spans="1:52" s="403" customFormat="1" ht="38.25" customHeight="1">
      <c r="B183" s="756" t="s">
        <v>1528</v>
      </c>
      <c r="C183" s="757"/>
      <c r="D183" s="758"/>
      <c r="E183" s="738" t="str">
        <f>IF(UNNH0030_REPORT_IF_H_TEKIYO="","",UNNH0030_REPORT_IF_H_TEKIYO)</f>
        <v/>
      </c>
      <c r="F183" s="738"/>
      <c r="G183" s="738"/>
      <c r="H183" s="738"/>
      <c r="I183" s="738"/>
      <c r="J183" s="738"/>
      <c r="K183" s="738"/>
      <c r="L183" s="738"/>
      <c r="M183" s="738"/>
      <c r="N183" s="738"/>
      <c r="O183" s="738"/>
      <c r="P183" s="738"/>
      <c r="Q183" s="738"/>
      <c r="R183" s="738"/>
      <c r="S183" s="738"/>
      <c r="T183" s="738"/>
      <c r="U183" s="738"/>
      <c r="V183" s="738"/>
      <c r="W183" s="738"/>
      <c r="X183" s="738"/>
      <c r="Y183" s="738"/>
      <c r="Z183" s="738"/>
      <c r="AA183" s="738"/>
      <c r="AB183" s="738"/>
      <c r="AC183" s="738"/>
      <c r="AD183" s="738"/>
      <c r="AE183" s="738"/>
      <c r="AF183" s="738"/>
      <c r="AG183" s="738"/>
      <c r="AH183" s="738"/>
      <c r="AI183" s="738"/>
      <c r="AJ183" s="738"/>
      <c r="AK183" s="738"/>
      <c r="AL183" s="738"/>
      <c r="AM183" s="738"/>
      <c r="AN183" s="738"/>
      <c r="AO183" s="738"/>
      <c r="AP183" s="738"/>
      <c r="AQ183" s="738"/>
      <c r="AR183" s="738"/>
      <c r="AS183" s="738"/>
      <c r="AU183" s="739" t="str">
        <f>IF(UNNH0030_REPORT_IF_H_SEIKYUHOHO_KBN=0,"","締日 "&amp;UNNH0030_REPORT_IF_H_SHIMEBI)</f>
        <v/>
      </c>
      <c r="AV183" s="739"/>
      <c r="AW183" s="739"/>
      <c r="AX183" s="739"/>
      <c r="AY183" s="740" t="str">
        <f>UNNH0030_REPORT_IF_H_SHIMEBI_MARK</f>
        <v>*</v>
      </c>
    </row>
    <row r="184" spans="1:52" s="403" customFormat="1" ht="38.25" customHeight="1">
      <c r="B184" s="759"/>
      <c r="C184" s="760"/>
      <c r="D184" s="761"/>
      <c r="E184" s="738"/>
      <c r="F184" s="738"/>
      <c r="G184" s="738"/>
      <c r="H184" s="738"/>
      <c r="I184" s="738"/>
      <c r="J184" s="738"/>
      <c r="K184" s="738"/>
      <c r="L184" s="738"/>
      <c r="M184" s="738"/>
      <c r="N184" s="738"/>
      <c r="O184" s="738"/>
      <c r="P184" s="738"/>
      <c r="Q184" s="738"/>
      <c r="R184" s="738"/>
      <c r="S184" s="738"/>
      <c r="T184" s="738"/>
      <c r="U184" s="738"/>
      <c r="V184" s="738"/>
      <c r="W184" s="738"/>
      <c r="X184" s="738"/>
      <c r="Y184" s="738"/>
      <c r="Z184" s="738"/>
      <c r="AA184" s="738"/>
      <c r="AB184" s="738"/>
      <c r="AC184" s="738"/>
      <c r="AD184" s="738"/>
      <c r="AE184" s="738"/>
      <c r="AF184" s="738"/>
      <c r="AG184" s="738"/>
      <c r="AH184" s="738"/>
      <c r="AI184" s="738"/>
      <c r="AJ184" s="738"/>
      <c r="AK184" s="738"/>
      <c r="AL184" s="738"/>
      <c r="AM184" s="738"/>
      <c r="AN184" s="738"/>
      <c r="AO184" s="738"/>
      <c r="AP184" s="738"/>
      <c r="AQ184" s="738"/>
      <c r="AR184" s="738"/>
      <c r="AS184" s="738"/>
      <c r="AU184" s="739"/>
      <c r="AV184" s="739"/>
      <c r="AW184" s="739"/>
      <c r="AX184" s="739"/>
      <c r="AY184" s="740"/>
    </row>
    <row r="185" spans="1:52" s="403" customFormat="1" ht="30" customHeight="1">
      <c r="B185" s="777" t="str">
        <f>IF(UNNH0030_REPORT_IF_JURI_NO="","",UNNH0030_REPORT_IF_JURI_NO)</f>
        <v/>
      </c>
      <c r="C185" s="777"/>
      <c r="D185" s="777"/>
      <c r="E185" s="777"/>
      <c r="F185" s="777"/>
      <c r="G185" s="777"/>
      <c r="H185" s="777"/>
      <c r="I185" s="777"/>
      <c r="J185" s="777"/>
      <c r="K185" s="777"/>
      <c r="L185" s="777"/>
      <c r="M185" s="777"/>
      <c r="N185" s="777"/>
      <c r="O185" s="777"/>
      <c r="P185" s="777"/>
      <c r="Q185" s="777"/>
      <c r="R185" s="777"/>
      <c r="S185" s="777"/>
      <c r="T185" s="777"/>
      <c r="U185" s="777"/>
      <c r="V185" s="777"/>
      <c r="W185" s="777"/>
      <c r="X185" s="777"/>
      <c r="Y185" s="777"/>
      <c r="Z185" s="777"/>
      <c r="AA185" s="777"/>
      <c r="AB185" s="777"/>
      <c r="AC185" s="777"/>
      <c r="AD185" s="777"/>
      <c r="AE185" s="777"/>
      <c r="AF185" s="777"/>
      <c r="AG185" s="777"/>
      <c r="AH185" s="777"/>
      <c r="AI185" s="777"/>
      <c r="AJ185" s="777"/>
      <c r="AK185" s="777"/>
      <c r="AL185" s="777"/>
      <c r="AM185" s="777"/>
      <c r="AN185" s="777"/>
      <c r="AO185" s="777"/>
      <c r="AP185" s="777"/>
      <c r="AQ185" s="777"/>
      <c r="AR185" s="777"/>
      <c r="AS185" s="777"/>
      <c r="AT185" s="777"/>
      <c r="AU185" s="777"/>
      <c r="AV185" s="777"/>
      <c r="AW185" s="777"/>
      <c r="AX185" s="777"/>
      <c r="AY185" s="777"/>
    </row>
  </sheetData>
  <mergeCells count="515">
    <mergeCell ref="B178:C178"/>
    <mergeCell ref="D178:AB178"/>
    <mergeCell ref="AC178:AI178"/>
    <mergeCell ref="AJ178:AK178"/>
    <mergeCell ref="B179:C179"/>
    <mergeCell ref="D179:AB179"/>
    <mergeCell ref="AC179:AI179"/>
    <mergeCell ref="AJ179:AK179"/>
    <mergeCell ref="B185:AY185"/>
    <mergeCell ref="B180:C180"/>
    <mergeCell ref="D180:AB180"/>
    <mergeCell ref="AC180:AI180"/>
    <mergeCell ref="AJ180:AK180"/>
    <mergeCell ref="B181:D181"/>
    <mergeCell ref="E181:AK181"/>
    <mergeCell ref="B183:D184"/>
    <mergeCell ref="E183:AS184"/>
    <mergeCell ref="AU183:AX184"/>
    <mergeCell ref="AY183:AY184"/>
    <mergeCell ref="B175:C175"/>
    <mergeCell ref="D175:AB175"/>
    <mergeCell ref="AC175:AI175"/>
    <mergeCell ref="AJ175:AK175"/>
    <mergeCell ref="B176:C176"/>
    <mergeCell ref="D176:AB176"/>
    <mergeCell ref="AC176:AI176"/>
    <mergeCell ref="AJ176:AK176"/>
    <mergeCell ref="B177:C177"/>
    <mergeCell ref="D177:AB177"/>
    <mergeCell ref="AC177:AI177"/>
    <mergeCell ref="AJ177:AK177"/>
    <mergeCell ref="B172:C172"/>
    <mergeCell ref="D172:AB172"/>
    <mergeCell ref="AC172:AI172"/>
    <mergeCell ref="AJ172:AK172"/>
    <mergeCell ref="B173:C173"/>
    <mergeCell ref="D173:AB173"/>
    <mergeCell ref="AC173:AI173"/>
    <mergeCell ref="AJ173:AK173"/>
    <mergeCell ref="B174:C174"/>
    <mergeCell ref="D174:AB174"/>
    <mergeCell ref="AC174:AI174"/>
    <mergeCell ref="AJ174:AK174"/>
    <mergeCell ref="D169:AB169"/>
    <mergeCell ref="AC169:AI169"/>
    <mergeCell ref="AJ169:AK169"/>
    <mergeCell ref="B170:C170"/>
    <mergeCell ref="D170:AB170"/>
    <mergeCell ref="AC170:AI170"/>
    <mergeCell ref="AJ170:AK170"/>
    <mergeCell ref="B171:C171"/>
    <mergeCell ref="D171:AB171"/>
    <mergeCell ref="AC171:AI171"/>
    <mergeCell ref="AJ171:AK171"/>
    <mergeCell ref="F155:X155"/>
    <mergeCell ref="F156:X156"/>
    <mergeCell ref="AL160:AY160"/>
    <mergeCell ref="AL161:AY181"/>
    <mergeCell ref="B163:C163"/>
    <mergeCell ref="D163:AB163"/>
    <mergeCell ref="AJ163:AK163"/>
    <mergeCell ref="B164:C164"/>
    <mergeCell ref="D164:AB164"/>
    <mergeCell ref="AC164:AI164"/>
    <mergeCell ref="AJ164:AK164"/>
    <mergeCell ref="B165:C165"/>
    <mergeCell ref="D165:AB165"/>
    <mergeCell ref="AC165:AI165"/>
    <mergeCell ref="AJ165:AK165"/>
    <mergeCell ref="B166:C166"/>
    <mergeCell ref="D166:AB166"/>
    <mergeCell ref="AC166:AI166"/>
    <mergeCell ref="AJ166:AK166"/>
    <mergeCell ref="B167:C167"/>
    <mergeCell ref="D168:AB168"/>
    <mergeCell ref="AC168:AI168"/>
    <mergeCell ref="AJ168:AK168"/>
    <mergeCell ref="B169:C169"/>
    <mergeCell ref="B148:AY148"/>
    <mergeCell ref="AA149:AL150"/>
    <mergeCell ref="AP149:AY150"/>
    <mergeCell ref="F150:G150"/>
    <mergeCell ref="H150:X150"/>
    <mergeCell ref="F151:X151"/>
    <mergeCell ref="AP151:AY151"/>
    <mergeCell ref="F152:X152"/>
    <mergeCell ref="F154:X154"/>
    <mergeCell ref="B144:D144"/>
    <mergeCell ref="E144:AK144"/>
    <mergeCell ref="AC138:AI138"/>
    <mergeCell ref="AJ138:AK138"/>
    <mergeCell ref="AC139:AI139"/>
    <mergeCell ref="AJ139:AK139"/>
    <mergeCell ref="AC140:AI140"/>
    <mergeCell ref="AJ140:AK140"/>
    <mergeCell ref="AC141:AI141"/>
    <mergeCell ref="AJ141:AK141"/>
    <mergeCell ref="B143:C143"/>
    <mergeCell ref="B142:C142"/>
    <mergeCell ref="B141:C141"/>
    <mergeCell ref="B139:C139"/>
    <mergeCell ref="AJ142:AK142"/>
    <mergeCell ref="D143:AB143"/>
    <mergeCell ref="AC143:AI143"/>
    <mergeCell ref="AJ143:AK143"/>
    <mergeCell ref="B138:C138"/>
    <mergeCell ref="B140:C140"/>
    <mergeCell ref="D138:AB138"/>
    <mergeCell ref="D139:AB139"/>
    <mergeCell ref="D140:AB140"/>
    <mergeCell ref="D141:AB141"/>
    <mergeCell ref="B135:C135"/>
    <mergeCell ref="D135:AB135"/>
    <mergeCell ref="AC135:AI135"/>
    <mergeCell ref="AJ135:AK135"/>
    <mergeCell ref="B136:C136"/>
    <mergeCell ref="D136:AB136"/>
    <mergeCell ref="AC136:AI136"/>
    <mergeCell ref="AJ136:AK136"/>
    <mergeCell ref="B137:C137"/>
    <mergeCell ref="D137:AB137"/>
    <mergeCell ref="AC137:AI137"/>
    <mergeCell ref="AJ137:AK137"/>
    <mergeCell ref="B132:C132"/>
    <mergeCell ref="D132:AB132"/>
    <mergeCell ref="AC132:AI132"/>
    <mergeCell ref="AJ132:AK132"/>
    <mergeCell ref="B133:C133"/>
    <mergeCell ref="D133:AB133"/>
    <mergeCell ref="AC133:AI133"/>
    <mergeCell ref="AJ133:AK133"/>
    <mergeCell ref="B134:C134"/>
    <mergeCell ref="D134:AB134"/>
    <mergeCell ref="AC134:AI134"/>
    <mergeCell ref="AJ134:AK134"/>
    <mergeCell ref="AL123:AY123"/>
    <mergeCell ref="AL124:AY144"/>
    <mergeCell ref="B125:C125"/>
    <mergeCell ref="D125:AB125"/>
    <mergeCell ref="AC125:AI125"/>
    <mergeCell ref="AJ125:AK125"/>
    <mergeCell ref="B126:C126"/>
    <mergeCell ref="D126:AB126"/>
    <mergeCell ref="AC126:AI126"/>
    <mergeCell ref="AJ126:AK126"/>
    <mergeCell ref="B127:C127"/>
    <mergeCell ref="D127:AB127"/>
    <mergeCell ref="AC127:AI127"/>
    <mergeCell ref="AJ127:AK127"/>
    <mergeCell ref="B128:C128"/>
    <mergeCell ref="D128:AB128"/>
    <mergeCell ref="AC128:AI128"/>
    <mergeCell ref="AJ128:AK128"/>
    <mergeCell ref="B129:C129"/>
    <mergeCell ref="D129:AB129"/>
    <mergeCell ref="AC129:AI129"/>
    <mergeCell ref="B130:C130"/>
    <mergeCell ref="D130:AB130"/>
    <mergeCell ref="AC130:AI130"/>
    <mergeCell ref="B100:C100"/>
    <mergeCell ref="B111:AY111"/>
    <mergeCell ref="AA112:AL113"/>
    <mergeCell ref="AP112:AY113"/>
    <mergeCell ref="F113:G113"/>
    <mergeCell ref="H113:X113"/>
    <mergeCell ref="AP114:AY114"/>
    <mergeCell ref="F115:X115"/>
    <mergeCell ref="F117:X117"/>
    <mergeCell ref="B103:C103"/>
    <mergeCell ref="D103:AB103"/>
    <mergeCell ref="AC103:AI103"/>
    <mergeCell ref="AJ103:AK103"/>
    <mergeCell ref="B104:C104"/>
    <mergeCell ref="D104:AB104"/>
    <mergeCell ref="AC104:AI104"/>
    <mergeCell ref="AJ104:AK104"/>
    <mergeCell ref="B105:C105"/>
    <mergeCell ref="D105:AB105"/>
    <mergeCell ref="AC105:AI105"/>
    <mergeCell ref="AJ105:AK105"/>
    <mergeCell ref="B106:C106"/>
    <mergeCell ref="D106:AB106"/>
    <mergeCell ref="AC106:AI106"/>
    <mergeCell ref="B97:C97"/>
    <mergeCell ref="D97:AB97"/>
    <mergeCell ref="AC97:AI97"/>
    <mergeCell ref="AJ97:AK97"/>
    <mergeCell ref="B98:C98"/>
    <mergeCell ref="D98:AB98"/>
    <mergeCell ref="AC98:AI98"/>
    <mergeCell ref="AJ98:AK98"/>
    <mergeCell ref="B99:C99"/>
    <mergeCell ref="D99:AB99"/>
    <mergeCell ref="AC99:AI99"/>
    <mergeCell ref="AJ99:AK99"/>
    <mergeCell ref="B93:C93"/>
    <mergeCell ref="D93:AB93"/>
    <mergeCell ref="AC93:AI93"/>
    <mergeCell ref="AJ93:AK93"/>
    <mergeCell ref="AJ94:AK94"/>
    <mergeCell ref="B95:C95"/>
    <mergeCell ref="D95:AB95"/>
    <mergeCell ref="AC95:AI95"/>
    <mergeCell ref="AJ95:AK95"/>
    <mergeCell ref="B87:C87"/>
    <mergeCell ref="D87:AB87"/>
    <mergeCell ref="AC87:AI87"/>
    <mergeCell ref="AJ87:AK87"/>
    <mergeCell ref="AL87:AY107"/>
    <mergeCell ref="B88:C88"/>
    <mergeCell ref="D88:AB88"/>
    <mergeCell ref="AC88:AI88"/>
    <mergeCell ref="AJ88:AK88"/>
    <mergeCell ref="B89:C89"/>
    <mergeCell ref="D89:AB89"/>
    <mergeCell ref="AC89:AI89"/>
    <mergeCell ref="AJ89:AK89"/>
    <mergeCell ref="B90:C90"/>
    <mergeCell ref="D90:AB90"/>
    <mergeCell ref="AC90:AI90"/>
    <mergeCell ref="AJ90:AK90"/>
    <mergeCell ref="B91:C91"/>
    <mergeCell ref="D91:AB91"/>
    <mergeCell ref="AJ91:AK91"/>
    <mergeCell ref="B92:C92"/>
    <mergeCell ref="D92:AB92"/>
    <mergeCell ref="AC92:AI92"/>
    <mergeCell ref="AJ92:AK92"/>
    <mergeCell ref="B70:D70"/>
    <mergeCell ref="E70:AK70"/>
    <mergeCell ref="B64:C64"/>
    <mergeCell ref="B72:D73"/>
    <mergeCell ref="B74:AY74"/>
    <mergeCell ref="B86:C86"/>
    <mergeCell ref="D86:AB86"/>
    <mergeCell ref="AC86:AI86"/>
    <mergeCell ref="AJ86:AK86"/>
    <mergeCell ref="AL86:AY86"/>
    <mergeCell ref="AP75:AY76"/>
    <mergeCell ref="F76:G76"/>
    <mergeCell ref="H76:X76"/>
    <mergeCell ref="F77:X77"/>
    <mergeCell ref="AP77:AY77"/>
    <mergeCell ref="F78:X78"/>
    <mergeCell ref="F80:X80"/>
    <mergeCell ref="F81:X81"/>
    <mergeCell ref="B69:C69"/>
    <mergeCell ref="D69:AB69"/>
    <mergeCell ref="AC69:AI69"/>
    <mergeCell ref="AJ69:AK69"/>
    <mergeCell ref="AJ65:AK65"/>
    <mergeCell ref="AJ66:AK66"/>
    <mergeCell ref="B19:C19"/>
    <mergeCell ref="B18:C18"/>
    <mergeCell ref="D17:AB17"/>
    <mergeCell ref="AC17:AI17"/>
    <mergeCell ref="B15:C15"/>
    <mergeCell ref="AC49:AI49"/>
    <mergeCell ref="AJ49:AK49"/>
    <mergeCell ref="AL49:AY49"/>
    <mergeCell ref="B50:C50"/>
    <mergeCell ref="D50:AB50"/>
    <mergeCell ref="AC50:AI50"/>
    <mergeCell ref="AJ50:AK50"/>
    <mergeCell ref="AL50:AY70"/>
    <mergeCell ref="B51:C51"/>
    <mergeCell ref="D51:AB51"/>
    <mergeCell ref="AC51:AI51"/>
    <mergeCell ref="AJ51:AK51"/>
    <mergeCell ref="B52:C52"/>
    <mergeCell ref="D52:AB52"/>
    <mergeCell ref="AC52:AI52"/>
    <mergeCell ref="AJ52:AK52"/>
    <mergeCell ref="B53:C53"/>
    <mergeCell ref="D53:AB53"/>
    <mergeCell ref="AC53:AI53"/>
    <mergeCell ref="B21:C21"/>
    <mergeCell ref="B20:C20"/>
    <mergeCell ref="D20:AB20"/>
    <mergeCell ref="AC20:AI20"/>
    <mergeCell ref="B26:C26"/>
    <mergeCell ref="AC27:AI27"/>
    <mergeCell ref="AJ27:AK27"/>
    <mergeCell ref="B28:C28"/>
    <mergeCell ref="D28:AB28"/>
    <mergeCell ref="AC28:AI28"/>
    <mergeCell ref="AJ28:AK28"/>
    <mergeCell ref="B22:C22"/>
    <mergeCell ref="B23:C23"/>
    <mergeCell ref="D23:AB23"/>
    <mergeCell ref="F7:X7"/>
    <mergeCell ref="AL13:AY33"/>
    <mergeCell ref="AJ53:AK53"/>
    <mergeCell ref="AJ21:AK21"/>
    <mergeCell ref="D22:AB22"/>
    <mergeCell ref="AC22:AI22"/>
    <mergeCell ref="AJ22:AK22"/>
    <mergeCell ref="AJ17:AK17"/>
    <mergeCell ref="D18:AB18"/>
    <mergeCell ref="AC18:AI18"/>
    <mergeCell ref="AJ18:AK18"/>
    <mergeCell ref="D19:AB19"/>
    <mergeCell ref="AC19:AI19"/>
    <mergeCell ref="AJ19:AK19"/>
    <mergeCell ref="D25:AB25"/>
    <mergeCell ref="AC25:AI25"/>
    <mergeCell ref="D26:AB26"/>
    <mergeCell ref="AC26:AI26"/>
    <mergeCell ref="B37:AY37"/>
    <mergeCell ref="AA38:AL39"/>
    <mergeCell ref="AP38:AY39"/>
    <mergeCell ref="B17:C17"/>
    <mergeCell ref="B16:C16"/>
    <mergeCell ref="D14:AB14"/>
    <mergeCell ref="AA1:AL2"/>
    <mergeCell ref="AP1:AY2"/>
    <mergeCell ref="F2:G2"/>
    <mergeCell ref="H2:X2"/>
    <mergeCell ref="F3:X3"/>
    <mergeCell ref="AP3:AY3"/>
    <mergeCell ref="F4:X4"/>
    <mergeCell ref="F6:X6"/>
    <mergeCell ref="B146:D147"/>
    <mergeCell ref="F114:X114"/>
    <mergeCell ref="AL12:AY12"/>
    <mergeCell ref="AJ60:AK60"/>
    <mergeCell ref="D61:AB61"/>
    <mergeCell ref="AC61:AI61"/>
    <mergeCell ref="AJ61:AK61"/>
    <mergeCell ref="D62:AB62"/>
    <mergeCell ref="AC62:AI62"/>
    <mergeCell ref="AJ13:AK13"/>
    <mergeCell ref="AJ20:AK20"/>
    <mergeCell ref="D21:AB21"/>
    <mergeCell ref="AC21:AI21"/>
    <mergeCell ref="F82:X82"/>
    <mergeCell ref="F8:X8"/>
    <mergeCell ref="F45:X45"/>
    <mergeCell ref="B56:C56"/>
    <mergeCell ref="B57:C57"/>
    <mergeCell ref="B61:C61"/>
    <mergeCell ref="B60:C60"/>
    <mergeCell ref="AC60:AI60"/>
    <mergeCell ref="D64:AB64"/>
    <mergeCell ref="B65:C65"/>
    <mergeCell ref="B66:C66"/>
    <mergeCell ref="D66:AB66"/>
    <mergeCell ref="AC66:AI66"/>
    <mergeCell ref="AC64:AI64"/>
    <mergeCell ref="B29:C29"/>
    <mergeCell ref="D29:AB29"/>
    <mergeCell ref="B32:C32"/>
    <mergeCell ref="D32:AB32"/>
    <mergeCell ref="B49:C49"/>
    <mergeCell ref="D49:AB49"/>
    <mergeCell ref="E35:AS36"/>
    <mergeCell ref="AC23:AI23"/>
    <mergeCell ref="B24:C24"/>
    <mergeCell ref="D24:AB24"/>
    <mergeCell ref="AC24:AI24"/>
    <mergeCell ref="B25:C25"/>
    <mergeCell ref="AJ26:AK26"/>
    <mergeCell ref="B27:C27"/>
    <mergeCell ref="D27:AB27"/>
    <mergeCell ref="B33:D33"/>
    <mergeCell ref="E33:AK33"/>
    <mergeCell ref="B35:D36"/>
    <mergeCell ref="AJ23:AK23"/>
    <mergeCell ref="AJ24:AK24"/>
    <mergeCell ref="AJ25:AK25"/>
    <mergeCell ref="B12:C12"/>
    <mergeCell ref="AC14:AI14"/>
    <mergeCell ref="AJ14:AK14"/>
    <mergeCell ref="AJ15:AK15"/>
    <mergeCell ref="AJ16:AK16"/>
    <mergeCell ref="D12:AB12"/>
    <mergeCell ref="AC12:AI12"/>
    <mergeCell ref="AJ12:AK12"/>
    <mergeCell ref="D13:AB13"/>
    <mergeCell ref="AC13:AI13"/>
    <mergeCell ref="D15:AB15"/>
    <mergeCell ref="AC15:AI15"/>
    <mergeCell ref="D16:AB16"/>
    <mergeCell ref="AC16:AI16"/>
    <mergeCell ref="B14:C14"/>
    <mergeCell ref="B13:C13"/>
    <mergeCell ref="AC54:AI54"/>
    <mergeCell ref="B63:C63"/>
    <mergeCell ref="D63:AB63"/>
    <mergeCell ref="AC63:AI63"/>
    <mergeCell ref="AJ29:AK29"/>
    <mergeCell ref="B30:C30"/>
    <mergeCell ref="D30:AB30"/>
    <mergeCell ref="AC30:AI30"/>
    <mergeCell ref="AJ30:AK30"/>
    <mergeCell ref="B31:C31"/>
    <mergeCell ref="D31:AB31"/>
    <mergeCell ref="AC31:AI31"/>
    <mergeCell ref="AJ31:AK31"/>
    <mergeCell ref="AC29:AI29"/>
    <mergeCell ref="AJ62:AK62"/>
    <mergeCell ref="AJ63:AK63"/>
    <mergeCell ref="AC32:AI32"/>
    <mergeCell ref="AJ32:AK32"/>
    <mergeCell ref="B55:C55"/>
    <mergeCell ref="B59:C59"/>
    <mergeCell ref="B54:C54"/>
    <mergeCell ref="B58:C58"/>
    <mergeCell ref="D54:AB54"/>
    <mergeCell ref="B62:C62"/>
    <mergeCell ref="AJ64:AK64"/>
    <mergeCell ref="F39:G39"/>
    <mergeCell ref="B101:C101"/>
    <mergeCell ref="D101:AB101"/>
    <mergeCell ref="AC101:AI101"/>
    <mergeCell ref="AJ101:AK101"/>
    <mergeCell ref="B102:C102"/>
    <mergeCell ref="D102:AB102"/>
    <mergeCell ref="AC102:AI102"/>
    <mergeCell ref="AJ102:AK102"/>
    <mergeCell ref="B96:C96"/>
    <mergeCell ref="D96:AB96"/>
    <mergeCell ref="AC96:AI96"/>
    <mergeCell ref="AC91:AI91"/>
    <mergeCell ref="B94:C94"/>
    <mergeCell ref="D94:AB94"/>
    <mergeCell ref="AC94:AI94"/>
    <mergeCell ref="AJ96:AK96"/>
    <mergeCell ref="D67:AB67"/>
    <mergeCell ref="AC67:AI67"/>
    <mergeCell ref="AJ67:AK67"/>
    <mergeCell ref="B68:C68"/>
    <mergeCell ref="D68:AB68"/>
    <mergeCell ref="AC68:AI68"/>
    <mergeCell ref="AJ106:AK106"/>
    <mergeCell ref="B124:C124"/>
    <mergeCell ref="D124:AB124"/>
    <mergeCell ref="AC124:AI124"/>
    <mergeCell ref="AJ124:AK124"/>
    <mergeCell ref="B107:D107"/>
    <mergeCell ref="E107:AK107"/>
    <mergeCell ref="B109:D110"/>
    <mergeCell ref="B160:C160"/>
    <mergeCell ref="D160:AB160"/>
    <mergeCell ref="AC160:AI160"/>
    <mergeCell ref="AJ160:AK160"/>
    <mergeCell ref="F118:X118"/>
    <mergeCell ref="F119:X119"/>
    <mergeCell ref="B123:C123"/>
    <mergeCell ref="D123:AB123"/>
    <mergeCell ref="AC123:AI123"/>
    <mergeCell ref="AJ123:AK123"/>
    <mergeCell ref="AJ130:AK130"/>
    <mergeCell ref="B131:C131"/>
    <mergeCell ref="D131:AB131"/>
    <mergeCell ref="AC131:AI131"/>
    <mergeCell ref="AJ131:AK131"/>
    <mergeCell ref="AJ129:AK129"/>
    <mergeCell ref="B161:C161"/>
    <mergeCell ref="D161:AB161"/>
    <mergeCell ref="AC161:AI161"/>
    <mergeCell ref="AJ161:AK161"/>
    <mergeCell ref="AC163:AI163"/>
    <mergeCell ref="B162:C162"/>
    <mergeCell ref="D162:AB162"/>
    <mergeCell ref="AC162:AI162"/>
    <mergeCell ref="AJ162:AK162"/>
    <mergeCell ref="D167:AB167"/>
    <mergeCell ref="AC167:AI167"/>
    <mergeCell ref="AJ167:AK167"/>
    <mergeCell ref="B168:C168"/>
    <mergeCell ref="AJ54:AK54"/>
    <mergeCell ref="D55:AB55"/>
    <mergeCell ref="AC55:AI55"/>
    <mergeCell ref="AJ55:AK55"/>
    <mergeCell ref="D56:AB56"/>
    <mergeCell ref="AC56:AI56"/>
    <mergeCell ref="AJ56:AK56"/>
    <mergeCell ref="D57:AB57"/>
    <mergeCell ref="AC57:AI57"/>
    <mergeCell ref="AJ57:AK57"/>
    <mergeCell ref="D58:AB58"/>
    <mergeCell ref="AC58:AI58"/>
    <mergeCell ref="AJ58:AK58"/>
    <mergeCell ref="D59:AB59"/>
    <mergeCell ref="AC59:AI59"/>
    <mergeCell ref="AJ59:AK59"/>
    <mergeCell ref="D60:AB60"/>
    <mergeCell ref="D65:AB65"/>
    <mergeCell ref="AC65:AI65"/>
    <mergeCell ref="B67:C67"/>
    <mergeCell ref="AU35:AX36"/>
    <mergeCell ref="AY35:AY36"/>
    <mergeCell ref="E72:AS73"/>
    <mergeCell ref="AU72:AX73"/>
    <mergeCell ref="AY72:AY73"/>
    <mergeCell ref="E109:AS110"/>
    <mergeCell ref="AU109:AX110"/>
    <mergeCell ref="AY109:AY110"/>
    <mergeCell ref="E146:AS147"/>
    <mergeCell ref="AU146:AX147"/>
    <mergeCell ref="AY146:AY147"/>
    <mergeCell ref="D100:AB100"/>
    <mergeCell ref="AC100:AI100"/>
    <mergeCell ref="AJ100:AK100"/>
    <mergeCell ref="AJ68:AK68"/>
    <mergeCell ref="D142:AB142"/>
    <mergeCell ref="AC142:AI142"/>
    <mergeCell ref="H39:X39"/>
    <mergeCell ref="F40:X40"/>
    <mergeCell ref="AP40:AY40"/>
    <mergeCell ref="F41:X41"/>
    <mergeCell ref="F43:X43"/>
    <mergeCell ref="F44:X44"/>
    <mergeCell ref="AA75:AL76"/>
  </mergeCells>
  <phoneticPr fontId="2"/>
  <conditionalFormatting sqref="AC13">
    <cfRule type="expression" dxfId="74" priority="15">
      <formula>INDIRECT(ADDRESS(ROW(),COLUMN()))=TRUNC(INDIRECT(ADDRESS(ROW(),COLUMN())))</formula>
    </cfRule>
  </conditionalFormatting>
  <conditionalFormatting sqref="AC14:AC22">
    <cfRule type="expression" dxfId="73" priority="14">
      <formula>INDIRECT(ADDRESS(ROW(),COLUMN()))=TRUNC(INDIRECT(ADDRESS(ROW(),COLUMN())))</formula>
    </cfRule>
  </conditionalFormatting>
  <conditionalFormatting sqref="AC23:AC32">
    <cfRule type="expression" dxfId="72" priority="13">
      <formula>INDIRECT(ADDRESS(ROW(),COLUMN()))=TRUNC(INDIRECT(ADDRESS(ROW(),COLUMN())))</formula>
    </cfRule>
  </conditionalFormatting>
  <conditionalFormatting sqref="AC50">
    <cfRule type="expression" dxfId="71" priority="12">
      <formula>INDIRECT(ADDRESS(ROW(),COLUMN()))=TRUNC(INDIRECT(ADDRESS(ROW(),COLUMN())))</formula>
    </cfRule>
  </conditionalFormatting>
  <conditionalFormatting sqref="AC51:AC59">
    <cfRule type="expression" dxfId="70" priority="11">
      <formula>INDIRECT(ADDRESS(ROW(),COLUMN()))=TRUNC(INDIRECT(ADDRESS(ROW(),COLUMN())))</formula>
    </cfRule>
  </conditionalFormatting>
  <conditionalFormatting sqref="AC60:AC69">
    <cfRule type="expression" dxfId="69" priority="10">
      <formula>INDIRECT(ADDRESS(ROW(),COLUMN()))=TRUNC(INDIRECT(ADDRESS(ROW(),COLUMN())))</formula>
    </cfRule>
  </conditionalFormatting>
  <conditionalFormatting sqref="AC87">
    <cfRule type="expression" dxfId="68" priority="9">
      <formula>INDIRECT(ADDRESS(ROW(),COLUMN()))=TRUNC(INDIRECT(ADDRESS(ROW(),COLUMN())))</formula>
    </cfRule>
  </conditionalFormatting>
  <conditionalFormatting sqref="AC88:AC96">
    <cfRule type="expression" dxfId="67" priority="8">
      <formula>INDIRECT(ADDRESS(ROW(),COLUMN()))=TRUNC(INDIRECT(ADDRESS(ROW(),COLUMN())))</formula>
    </cfRule>
  </conditionalFormatting>
  <conditionalFormatting sqref="AC97:AC106">
    <cfRule type="expression" dxfId="66" priority="7">
      <formula>INDIRECT(ADDRESS(ROW(),COLUMN()))=TRUNC(INDIRECT(ADDRESS(ROW(),COLUMN())))</formula>
    </cfRule>
  </conditionalFormatting>
  <conditionalFormatting sqref="AC124">
    <cfRule type="expression" dxfId="65" priority="6">
      <formula>INDIRECT(ADDRESS(ROW(),COLUMN()))=TRUNC(INDIRECT(ADDRESS(ROW(),COLUMN())))</formula>
    </cfRule>
  </conditionalFormatting>
  <conditionalFormatting sqref="AC125:AC133">
    <cfRule type="expression" dxfId="64" priority="5">
      <formula>INDIRECT(ADDRESS(ROW(),COLUMN()))=TRUNC(INDIRECT(ADDRESS(ROW(),COLUMN())))</formula>
    </cfRule>
  </conditionalFormatting>
  <conditionalFormatting sqref="AC134:AC143">
    <cfRule type="expression" dxfId="63" priority="4">
      <formula>INDIRECT(ADDRESS(ROW(),COLUMN()))=TRUNC(INDIRECT(ADDRESS(ROW(),COLUMN())))</formula>
    </cfRule>
  </conditionalFormatting>
  <conditionalFormatting sqref="AC161">
    <cfRule type="expression" dxfId="62" priority="3">
      <formula>INDIRECT(ADDRESS(ROW(),COLUMN()))=TRUNC(INDIRECT(ADDRESS(ROW(),COLUMN())))</formula>
    </cfRule>
  </conditionalFormatting>
  <conditionalFormatting sqref="AC162:AC170">
    <cfRule type="expression" dxfId="61" priority="2">
      <formula>INDIRECT(ADDRESS(ROW(),COLUMN()))=TRUNC(INDIRECT(ADDRESS(ROW(),COLUMN())))</formula>
    </cfRule>
  </conditionalFormatting>
  <conditionalFormatting sqref="AC171:AC180">
    <cfRule type="expression" dxfId="60" priority="1">
      <formula>INDIRECT(ADDRESS(ROW(),COLUMN()))=TRUNC(INDIRECT(ADDRESS(ROW(),COLUMN())))</formula>
    </cfRule>
  </conditionalFormatting>
  <pageMargins left="0.27559055118110237" right="0.15748031496062992" top="0.39370078740157483" bottom="0.39370078740157483" header="0.31496062992125984" footer="0.31496062992125984"/>
  <pageSetup paperSize="9" scale="70" fitToHeight="0" orientation="portrait" r:id="rId1"/>
  <rowBreaks count="4" manualBreakCount="4">
    <brk id="37" max="16383" man="1"/>
    <brk id="74" max="16383" man="1"/>
    <brk id="111" max="16383" man="1"/>
    <brk id="148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theme="9" tint="0.59999389629810485"/>
    <pageSetUpPr fitToPage="1"/>
  </sheetPr>
  <dimension ref="A1:AZ185"/>
  <sheetViews>
    <sheetView view="pageBreakPreview" zoomScale="85" zoomScaleNormal="100" zoomScaleSheetLayoutView="85" workbookViewId="0">
      <selection activeCell="D31" sqref="D31:AB31"/>
    </sheetView>
  </sheetViews>
  <sheetFormatPr defaultRowHeight="16.5"/>
  <cols>
    <col min="1" max="1" width="2.625" style="4" customWidth="1"/>
    <col min="2" max="2" width="2.375" style="403" customWidth="1"/>
    <col min="3" max="15" width="2.875" style="404" customWidth="1"/>
    <col min="16" max="35" width="2.875" style="403" customWidth="1"/>
    <col min="36" max="51" width="2.75" style="403" customWidth="1"/>
    <col min="52" max="108" width="2.75" style="4" customWidth="1"/>
    <col min="109" max="16384" width="9" style="4"/>
  </cols>
  <sheetData>
    <row r="1" spans="2:51" s="403" customFormat="1" ht="12" customHeight="1">
      <c r="C1" s="404"/>
      <c r="D1" s="404"/>
      <c r="E1" s="465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  <c r="V1" s="466"/>
      <c r="W1" s="466"/>
      <c r="X1" s="466"/>
      <c r="Y1" s="467"/>
      <c r="AA1" s="744" t="s">
        <v>1320</v>
      </c>
      <c r="AB1" s="744"/>
      <c r="AC1" s="744"/>
      <c r="AD1" s="744"/>
      <c r="AE1" s="744"/>
      <c r="AF1" s="744"/>
      <c r="AG1" s="744"/>
      <c r="AH1" s="744"/>
      <c r="AI1" s="744"/>
      <c r="AJ1" s="744"/>
      <c r="AK1" s="744"/>
      <c r="AL1" s="744"/>
      <c r="AP1" s="774" t="str">
        <f>"No."&amp;UNNH0030_REPORT_IF_H_URIAGE_NO&amp;"-"&amp;ROUNDUP(ROW()/ROWS(UNNH0030_SEIKYUSHO_PAGE_AREA),0)&amp;"/"&amp;UNNH0030_REPORT_IF_B_PAGE_TOTAL</f>
        <v>No.-1/1</v>
      </c>
      <c r="AQ1" s="774"/>
      <c r="AR1" s="774"/>
      <c r="AS1" s="774"/>
      <c r="AT1" s="774"/>
      <c r="AU1" s="774"/>
      <c r="AV1" s="774"/>
      <c r="AW1" s="774"/>
      <c r="AX1" s="774"/>
      <c r="AY1" s="774"/>
    </row>
    <row r="2" spans="2:51" s="403" customFormat="1" ht="24.75" customHeight="1">
      <c r="C2" s="404"/>
      <c r="E2" s="468"/>
      <c r="F2" s="775" t="str">
        <f>IF(UNNH0030_REPORT_IF_H_JUSHO_NO_PRINT_FLG=TRUE,"","〒")</f>
        <v>〒</v>
      </c>
      <c r="G2" s="775"/>
      <c r="H2" s="776" t="str">
        <f>IF(UNNH0030_REPORT_IF_H_JUSHO_NO_PRINT_FLG=TRUE,"",IF(UNNH0030_REPORT_IF_H_YUBIN_NO="","",UNNH0030_REPORT_IF_H_YUBIN_NO))</f>
        <v/>
      </c>
      <c r="I2" s="776"/>
      <c r="J2" s="776"/>
      <c r="K2" s="776"/>
      <c r="L2" s="776"/>
      <c r="M2" s="776"/>
      <c r="N2" s="776"/>
      <c r="O2" s="776"/>
      <c r="P2" s="776"/>
      <c r="Q2" s="776"/>
      <c r="R2" s="776"/>
      <c r="S2" s="776"/>
      <c r="T2" s="776"/>
      <c r="U2" s="776"/>
      <c r="V2" s="776"/>
      <c r="W2" s="776"/>
      <c r="X2" s="776"/>
      <c r="Y2" s="469"/>
      <c r="AA2" s="744"/>
      <c r="AB2" s="744"/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P2" s="774"/>
      <c r="AQ2" s="774"/>
      <c r="AR2" s="774"/>
      <c r="AS2" s="774"/>
      <c r="AT2" s="774"/>
      <c r="AU2" s="774"/>
      <c r="AV2" s="774"/>
      <c r="AW2" s="774"/>
      <c r="AX2" s="774"/>
      <c r="AY2" s="774"/>
    </row>
    <row r="3" spans="2:51" s="403" customFormat="1" ht="24.75" customHeight="1">
      <c r="C3" s="404"/>
      <c r="E3" s="468"/>
      <c r="F3" s="745" t="str">
        <f>IF(UNNH0030_REPORT_IF_H_JUSHO_NO_PRINT_FLG="","",IF(UNNH0030_REPORT_IF_H_ADDRESS_1="","",UNNH0030_REPORT_IF_H_ADDRESS_1))</f>
        <v/>
      </c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469"/>
      <c r="AP3" s="748">
        <f>UNNH0030_REPORT_IF_H_URIAGE_DATE</f>
        <v>0</v>
      </c>
      <c r="AQ3" s="748"/>
      <c r="AR3" s="748"/>
      <c r="AS3" s="748"/>
      <c r="AT3" s="748"/>
      <c r="AU3" s="748"/>
      <c r="AV3" s="748"/>
      <c r="AW3" s="748"/>
      <c r="AX3" s="748"/>
      <c r="AY3" s="748"/>
    </row>
    <row r="4" spans="2:51" s="403" customFormat="1" ht="24.75" customHeight="1">
      <c r="C4" s="404"/>
      <c r="E4" s="468"/>
      <c r="F4" s="745" t="str">
        <f>IF(UNNH0030_REPORT_IF_H_JUSHO_NO_PRINT_FLG="","",IF(UNNH0030_REPORT_IF_H_ADDRESS_2="","",UNNH0030_REPORT_IF_H_ADDRESS_2))</f>
        <v/>
      </c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469"/>
    </row>
    <row r="5" spans="2:51" s="403" customFormat="1" ht="24.75" customHeight="1">
      <c r="C5" s="404"/>
      <c r="E5" s="468"/>
      <c r="F5" s="409"/>
      <c r="G5" s="409"/>
      <c r="H5" s="409"/>
      <c r="I5" s="409"/>
      <c r="J5" s="409"/>
      <c r="K5" s="409"/>
      <c r="L5" s="409"/>
      <c r="M5" s="409"/>
      <c r="N5" s="409"/>
      <c r="O5" s="409"/>
      <c r="P5" s="409"/>
      <c r="Q5" s="409"/>
      <c r="R5" s="409"/>
      <c r="S5" s="409"/>
      <c r="T5" s="409"/>
      <c r="U5" s="409"/>
      <c r="V5" s="409"/>
      <c r="W5" s="409"/>
      <c r="X5" s="409"/>
      <c r="Y5" s="469"/>
    </row>
    <row r="6" spans="2:51" s="403" customFormat="1" ht="26.25" customHeight="1">
      <c r="C6" s="404"/>
      <c r="E6" s="470"/>
      <c r="F6" s="745" t="str">
        <f>IF(TRIM(UNNH0030_REPORT_IF_H_SOFU_TANTO)="","",
IF(TRIM(UNNH0030_REPORT_IF_H_DEMPYO_SOFU_MEI)="","",
TRIM(UNNH0030_REPORT_IF_H_DEMPYO_SOFU_MEI)))</f>
        <v/>
      </c>
      <c r="G6" s="745"/>
      <c r="H6" s="745"/>
      <c r="I6" s="745"/>
      <c r="J6" s="745"/>
      <c r="K6" s="745"/>
      <c r="L6" s="745"/>
      <c r="M6" s="745"/>
      <c r="N6" s="745"/>
      <c r="O6" s="745"/>
      <c r="P6" s="745"/>
      <c r="Q6" s="745"/>
      <c r="R6" s="745"/>
      <c r="S6" s="745"/>
      <c r="T6" s="745"/>
      <c r="U6" s="745"/>
      <c r="V6" s="745"/>
      <c r="W6" s="745"/>
      <c r="X6" s="745"/>
      <c r="Y6" s="469"/>
    </row>
    <row r="7" spans="2:51" s="403" customFormat="1" ht="26.25" customHeight="1">
      <c r="C7" s="404"/>
      <c r="E7" s="468"/>
      <c r="F7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7" s="746"/>
      <c r="H7" s="746"/>
      <c r="I7" s="746"/>
      <c r="J7" s="746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469"/>
      <c r="Z7" s="477" t="str">
        <f>UNNH0030_REPORT_IF_H_SHIMEBI_MARK</f>
        <v>*</v>
      </c>
    </row>
    <row r="8" spans="2:51" s="403" customFormat="1" ht="25.5" customHeight="1">
      <c r="C8" s="404"/>
      <c r="E8" s="471"/>
      <c r="F8" s="747">
        <f>UNNH0030_REPORT_IF_H_SEIKYU_CD</f>
        <v>0</v>
      </c>
      <c r="G8" s="747"/>
      <c r="H8" s="747"/>
      <c r="I8" s="747"/>
      <c r="J8" s="747"/>
      <c r="K8" s="747"/>
      <c r="L8" s="747"/>
      <c r="M8" s="747"/>
      <c r="N8" s="747"/>
      <c r="O8" s="747"/>
      <c r="P8" s="747"/>
      <c r="Q8" s="747"/>
      <c r="R8" s="747"/>
      <c r="S8" s="747"/>
      <c r="T8" s="747"/>
      <c r="U8" s="747"/>
      <c r="V8" s="747"/>
      <c r="W8" s="747"/>
      <c r="X8" s="747"/>
      <c r="Y8" s="472"/>
    </row>
    <row r="9" spans="2:51" s="403" customFormat="1" ht="30" customHeight="1">
      <c r="C9" s="404"/>
    </row>
    <row r="10" spans="2:51" s="403" customFormat="1" ht="30" customHeight="1"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</row>
    <row r="11" spans="2:51" s="403" customFormat="1" ht="29.25" customHeight="1">
      <c r="B11" s="474" t="s">
        <v>1101</v>
      </c>
      <c r="C11" s="404"/>
      <c r="D11" s="404"/>
      <c r="E11" s="404"/>
      <c r="F11" s="404"/>
      <c r="G11" s="404"/>
      <c r="H11" s="404"/>
      <c r="I11" s="404"/>
      <c r="J11" s="404"/>
      <c r="K11" s="404"/>
      <c r="L11" s="404"/>
      <c r="M11" s="404"/>
      <c r="N11" s="404"/>
      <c r="O11" s="404"/>
    </row>
    <row r="12" spans="2:51" s="403" customFormat="1" ht="36.75" customHeight="1">
      <c r="B12" s="742"/>
      <c r="C12" s="742"/>
      <c r="D12" s="742" t="s">
        <v>1102</v>
      </c>
      <c r="E12" s="742"/>
      <c r="F12" s="742"/>
      <c r="G12" s="742"/>
      <c r="H12" s="742"/>
      <c r="I12" s="742"/>
      <c r="J12" s="742"/>
      <c r="K12" s="742"/>
      <c r="L12" s="742"/>
      <c r="M12" s="742"/>
      <c r="N12" s="742"/>
      <c r="O12" s="742"/>
      <c r="P12" s="742"/>
      <c r="Q12" s="742"/>
      <c r="R12" s="742"/>
      <c r="S12" s="742"/>
      <c r="T12" s="742"/>
      <c r="U12" s="742"/>
      <c r="V12" s="742"/>
      <c r="W12" s="742"/>
      <c r="X12" s="742"/>
      <c r="Y12" s="742"/>
      <c r="Z12" s="742"/>
      <c r="AA12" s="742"/>
      <c r="AB12" s="742"/>
      <c r="AC12" s="742" t="s">
        <v>1103</v>
      </c>
      <c r="AD12" s="742"/>
      <c r="AE12" s="742"/>
      <c r="AF12" s="742"/>
      <c r="AG12" s="742"/>
      <c r="AH12" s="742"/>
      <c r="AI12" s="742"/>
      <c r="AJ12" s="742" t="s">
        <v>1104</v>
      </c>
      <c r="AK12" s="742"/>
      <c r="AL12" s="742" t="s">
        <v>1105</v>
      </c>
      <c r="AM12" s="742"/>
      <c r="AN12" s="742"/>
      <c r="AO12" s="742"/>
      <c r="AP12" s="742"/>
      <c r="AQ12" s="742"/>
      <c r="AR12" s="742"/>
      <c r="AS12" s="742" t="s">
        <v>1106</v>
      </c>
      <c r="AT12" s="742"/>
      <c r="AU12" s="742"/>
      <c r="AV12" s="742"/>
      <c r="AW12" s="742"/>
      <c r="AX12" s="742"/>
      <c r="AY12" s="742"/>
    </row>
    <row r="13" spans="2:51" s="403" customFormat="1" ht="36.75" customHeight="1">
      <c r="B13" s="742">
        <f>ROUNDDOWN(ROW()/ROWS(UNNH0030_REPORT_RAYOUT_SEIKYUSHO),0)*UNNH0030_REPORT_IF_B_PAGE_MEISAI_SU+1</f>
        <v>1</v>
      </c>
      <c r="C13" s="742"/>
      <c r="D13" s="743" t="str">
        <f t="shared" ref="D13:D32" ca="1" si="0">IF(OFFSET(UNNH0030_REPORT_IF_B_SHOHIN_MEI,$B13,0)="","",OFFSET(UNNH0030_REPORT_IF_B_SHOHIN_MEI,$B13,0))</f>
        <v/>
      </c>
      <c r="E13" s="743"/>
      <c r="F13" s="743"/>
      <c r="G13" s="743"/>
      <c r="H13" s="743"/>
      <c r="I13" s="743"/>
      <c r="J13" s="743"/>
      <c r="K13" s="743"/>
      <c r="L13" s="743"/>
      <c r="M13" s="743"/>
      <c r="N13" s="743"/>
      <c r="O13" s="743"/>
      <c r="P13" s="743"/>
      <c r="Q13" s="743"/>
      <c r="R13" s="743"/>
      <c r="S13" s="743"/>
      <c r="T13" s="743"/>
      <c r="U13" s="743"/>
      <c r="V13" s="743"/>
      <c r="W13" s="743"/>
      <c r="X13" s="743"/>
      <c r="Y13" s="743"/>
      <c r="Z13" s="743"/>
      <c r="AA13" s="743"/>
      <c r="AB13" s="743"/>
      <c r="AC13" s="781" t="str">
        <f t="shared" ref="AC13:AC32" ca="1" si="1">IF(OR(OFFSET(UNNH0030_REPORT_IF_B_ROW_KBN,$B13,0)&lt;&gt;1,$D13="",$D13="消費税"),"",
OFFSET(UNNH0030_REPORT_IF_B_SURYO,$B13,0))</f>
        <v/>
      </c>
      <c r="AD13" s="781"/>
      <c r="AE13" s="781"/>
      <c r="AF13" s="781"/>
      <c r="AG13" s="781"/>
      <c r="AH13" s="781"/>
      <c r="AI13" s="781"/>
      <c r="AJ13" s="742" t="str">
        <f t="shared" ref="AJ13:AJ32" ca="1" si="2">IF(OFFSET(UNNH0030_REPORT_IF_B_TANI,$B13,0)="","",OFFSET(UNNH0030_REPORT_IF_B_TANI,$B13,0))</f>
        <v/>
      </c>
      <c r="AK13" s="742"/>
      <c r="AL13" s="781" t="str">
        <f t="shared" ref="AL13:AL32" ca="1" si="3">IF(OR(OFFSET(UNNH0030_REPORT_IF_B_ROW_KBN,$B13,0)&lt;&gt;1,$D13="",$D13="消費税"),"",
OFFSET(UNNH0030_REPORT_IF_B_TANKA,$B13,0))</f>
        <v/>
      </c>
      <c r="AM13" s="781"/>
      <c r="AN13" s="781"/>
      <c r="AO13" s="781"/>
      <c r="AP13" s="781"/>
      <c r="AQ13" s="781"/>
      <c r="AR13" s="781"/>
      <c r="AS13" s="741" t="str">
        <f t="shared" ref="AS13:AS32" ca="1" si="4">IF(OR(OFFSET(UNNH0030_REPORT_IF_B_KINGAKU,$B13,0)=0,$D13=""),"",
OFFSET(UNNH0030_REPORT_IF_B_KINGAKU,$B13,0))</f>
        <v/>
      </c>
      <c r="AT13" s="741"/>
      <c r="AU13" s="741"/>
      <c r="AV13" s="741"/>
      <c r="AW13" s="741"/>
      <c r="AX13" s="741"/>
      <c r="AY13" s="741"/>
    </row>
    <row r="14" spans="2:51" s="403" customFormat="1" ht="36.75" customHeight="1">
      <c r="B14" s="742">
        <f>B13+1</f>
        <v>2</v>
      </c>
      <c r="C14" s="742"/>
      <c r="D14" s="743" t="str">
        <f t="shared" ca="1" si="0"/>
        <v/>
      </c>
      <c r="E14" s="743"/>
      <c r="F14" s="743"/>
      <c r="G14" s="743"/>
      <c r="H14" s="743"/>
      <c r="I14" s="743"/>
      <c r="J14" s="743"/>
      <c r="K14" s="743"/>
      <c r="L14" s="743"/>
      <c r="M14" s="743"/>
      <c r="N14" s="743"/>
      <c r="O14" s="743"/>
      <c r="P14" s="743"/>
      <c r="Q14" s="743"/>
      <c r="R14" s="743"/>
      <c r="S14" s="743"/>
      <c r="T14" s="743"/>
      <c r="U14" s="743"/>
      <c r="V14" s="743"/>
      <c r="W14" s="743"/>
      <c r="X14" s="743"/>
      <c r="Y14" s="743"/>
      <c r="Z14" s="743"/>
      <c r="AA14" s="743"/>
      <c r="AB14" s="743"/>
      <c r="AC14" s="781" t="str">
        <f t="shared" ca="1" si="1"/>
        <v/>
      </c>
      <c r="AD14" s="781"/>
      <c r="AE14" s="781"/>
      <c r="AF14" s="781"/>
      <c r="AG14" s="781"/>
      <c r="AH14" s="781"/>
      <c r="AI14" s="781"/>
      <c r="AJ14" s="742" t="str">
        <f t="shared" ca="1" si="2"/>
        <v/>
      </c>
      <c r="AK14" s="742"/>
      <c r="AL14" s="781" t="str">
        <f t="shared" ca="1" si="3"/>
        <v/>
      </c>
      <c r="AM14" s="781"/>
      <c r="AN14" s="781"/>
      <c r="AO14" s="781"/>
      <c r="AP14" s="781"/>
      <c r="AQ14" s="781"/>
      <c r="AR14" s="781"/>
      <c r="AS14" s="741" t="str">
        <f t="shared" ca="1" si="4"/>
        <v/>
      </c>
      <c r="AT14" s="741"/>
      <c r="AU14" s="741"/>
      <c r="AV14" s="741"/>
      <c r="AW14" s="741"/>
      <c r="AX14" s="741"/>
      <c r="AY14" s="741"/>
    </row>
    <row r="15" spans="2:51" s="403" customFormat="1" ht="36.75" customHeight="1">
      <c r="B15" s="742">
        <f>B14+1</f>
        <v>3</v>
      </c>
      <c r="C15" s="742"/>
      <c r="D15" s="743" t="str">
        <f t="shared" ca="1" si="0"/>
        <v/>
      </c>
      <c r="E15" s="743"/>
      <c r="F15" s="743"/>
      <c r="G15" s="743"/>
      <c r="H15" s="743"/>
      <c r="I15" s="743"/>
      <c r="J15" s="743"/>
      <c r="K15" s="743"/>
      <c r="L15" s="743"/>
      <c r="M15" s="743"/>
      <c r="N15" s="743"/>
      <c r="O15" s="743"/>
      <c r="P15" s="743"/>
      <c r="Q15" s="743"/>
      <c r="R15" s="743"/>
      <c r="S15" s="743"/>
      <c r="T15" s="743"/>
      <c r="U15" s="743"/>
      <c r="V15" s="743"/>
      <c r="W15" s="743"/>
      <c r="X15" s="743"/>
      <c r="Y15" s="743"/>
      <c r="Z15" s="743"/>
      <c r="AA15" s="743"/>
      <c r="AB15" s="743"/>
      <c r="AC15" s="781" t="str">
        <f t="shared" ca="1" si="1"/>
        <v/>
      </c>
      <c r="AD15" s="781"/>
      <c r="AE15" s="781"/>
      <c r="AF15" s="781"/>
      <c r="AG15" s="781"/>
      <c r="AH15" s="781"/>
      <c r="AI15" s="781"/>
      <c r="AJ15" s="742" t="str">
        <f t="shared" ca="1" si="2"/>
        <v/>
      </c>
      <c r="AK15" s="742"/>
      <c r="AL15" s="781" t="str">
        <f t="shared" ca="1" si="3"/>
        <v/>
      </c>
      <c r="AM15" s="781"/>
      <c r="AN15" s="781"/>
      <c r="AO15" s="781"/>
      <c r="AP15" s="781"/>
      <c r="AQ15" s="781"/>
      <c r="AR15" s="781"/>
      <c r="AS15" s="741" t="str">
        <f t="shared" ca="1" si="4"/>
        <v/>
      </c>
      <c r="AT15" s="741"/>
      <c r="AU15" s="741"/>
      <c r="AV15" s="741"/>
      <c r="AW15" s="741"/>
      <c r="AX15" s="741"/>
      <c r="AY15" s="741"/>
    </row>
    <row r="16" spans="2:51" s="403" customFormat="1" ht="36.75" customHeight="1">
      <c r="B16" s="742">
        <f t="shared" ref="B16:B32" si="5">B15+1</f>
        <v>4</v>
      </c>
      <c r="C16" s="742"/>
      <c r="D16" s="743" t="str">
        <f t="shared" ca="1" si="0"/>
        <v/>
      </c>
      <c r="E16" s="743"/>
      <c r="F16" s="743"/>
      <c r="G16" s="743"/>
      <c r="H16" s="743"/>
      <c r="I16" s="743"/>
      <c r="J16" s="743"/>
      <c r="K16" s="743"/>
      <c r="L16" s="743"/>
      <c r="M16" s="743"/>
      <c r="N16" s="743"/>
      <c r="O16" s="743"/>
      <c r="P16" s="743"/>
      <c r="Q16" s="743"/>
      <c r="R16" s="743"/>
      <c r="S16" s="743"/>
      <c r="T16" s="743"/>
      <c r="U16" s="743"/>
      <c r="V16" s="743"/>
      <c r="W16" s="743"/>
      <c r="X16" s="743"/>
      <c r="Y16" s="743"/>
      <c r="Z16" s="743"/>
      <c r="AA16" s="743"/>
      <c r="AB16" s="743"/>
      <c r="AC16" s="781" t="str">
        <f t="shared" ca="1" si="1"/>
        <v/>
      </c>
      <c r="AD16" s="781"/>
      <c r="AE16" s="781"/>
      <c r="AF16" s="781"/>
      <c r="AG16" s="781"/>
      <c r="AH16" s="781"/>
      <c r="AI16" s="781"/>
      <c r="AJ16" s="742" t="str">
        <f t="shared" ca="1" si="2"/>
        <v/>
      </c>
      <c r="AK16" s="742"/>
      <c r="AL16" s="781" t="str">
        <f t="shared" ca="1" si="3"/>
        <v/>
      </c>
      <c r="AM16" s="781"/>
      <c r="AN16" s="781"/>
      <c r="AO16" s="781"/>
      <c r="AP16" s="781"/>
      <c r="AQ16" s="781"/>
      <c r="AR16" s="781"/>
      <c r="AS16" s="741" t="str">
        <f t="shared" ca="1" si="4"/>
        <v/>
      </c>
      <c r="AT16" s="741"/>
      <c r="AU16" s="741"/>
      <c r="AV16" s="741"/>
      <c r="AW16" s="741"/>
      <c r="AX16" s="741"/>
      <c r="AY16" s="741"/>
    </row>
    <row r="17" spans="1:52" s="403" customFormat="1" ht="36.75" customHeight="1">
      <c r="A17" s="403" t="s">
        <v>1529</v>
      </c>
      <c r="B17" s="742">
        <f t="shared" si="5"/>
        <v>5</v>
      </c>
      <c r="C17" s="742"/>
      <c r="D17" s="743" t="str">
        <f t="shared" ca="1" si="0"/>
        <v/>
      </c>
      <c r="E17" s="743"/>
      <c r="F17" s="743"/>
      <c r="G17" s="743"/>
      <c r="H17" s="743"/>
      <c r="I17" s="743"/>
      <c r="J17" s="743"/>
      <c r="K17" s="743"/>
      <c r="L17" s="743"/>
      <c r="M17" s="743"/>
      <c r="N17" s="743"/>
      <c r="O17" s="743"/>
      <c r="P17" s="743"/>
      <c r="Q17" s="743"/>
      <c r="R17" s="743"/>
      <c r="S17" s="743"/>
      <c r="T17" s="743"/>
      <c r="U17" s="743"/>
      <c r="V17" s="743"/>
      <c r="W17" s="743"/>
      <c r="X17" s="743"/>
      <c r="Y17" s="743"/>
      <c r="Z17" s="743"/>
      <c r="AA17" s="743"/>
      <c r="AB17" s="743"/>
      <c r="AC17" s="781" t="str">
        <f t="shared" ca="1" si="1"/>
        <v/>
      </c>
      <c r="AD17" s="781"/>
      <c r="AE17" s="781"/>
      <c r="AF17" s="781"/>
      <c r="AG17" s="781"/>
      <c r="AH17" s="781"/>
      <c r="AI17" s="781"/>
      <c r="AJ17" s="742" t="str">
        <f t="shared" ca="1" si="2"/>
        <v/>
      </c>
      <c r="AK17" s="742"/>
      <c r="AL17" s="781" t="str">
        <f t="shared" ca="1" si="3"/>
        <v/>
      </c>
      <c r="AM17" s="781"/>
      <c r="AN17" s="781"/>
      <c r="AO17" s="781"/>
      <c r="AP17" s="781"/>
      <c r="AQ17" s="781"/>
      <c r="AR17" s="781"/>
      <c r="AS17" s="741" t="str">
        <f t="shared" ca="1" si="4"/>
        <v/>
      </c>
      <c r="AT17" s="741"/>
      <c r="AU17" s="741"/>
      <c r="AV17" s="741"/>
      <c r="AW17" s="741"/>
      <c r="AX17" s="741"/>
      <c r="AY17" s="741"/>
      <c r="AZ17" s="473" t="s">
        <v>1530</v>
      </c>
    </row>
    <row r="18" spans="1:52" s="403" customFormat="1" ht="36.75" customHeight="1">
      <c r="B18" s="742">
        <f t="shared" si="5"/>
        <v>6</v>
      </c>
      <c r="C18" s="742"/>
      <c r="D18" s="743" t="str">
        <f t="shared" ca="1" si="0"/>
        <v/>
      </c>
      <c r="E18" s="743"/>
      <c r="F18" s="743"/>
      <c r="G18" s="743"/>
      <c r="H18" s="743"/>
      <c r="I18" s="743"/>
      <c r="J18" s="743"/>
      <c r="K18" s="743"/>
      <c r="L18" s="743"/>
      <c r="M18" s="743"/>
      <c r="N18" s="743"/>
      <c r="O18" s="743"/>
      <c r="P18" s="743"/>
      <c r="Q18" s="743"/>
      <c r="R18" s="743"/>
      <c r="S18" s="743"/>
      <c r="T18" s="743"/>
      <c r="U18" s="743"/>
      <c r="V18" s="743"/>
      <c r="W18" s="743"/>
      <c r="X18" s="743"/>
      <c r="Y18" s="743"/>
      <c r="Z18" s="743"/>
      <c r="AA18" s="743"/>
      <c r="AB18" s="743"/>
      <c r="AC18" s="781" t="str">
        <f t="shared" ca="1" si="1"/>
        <v/>
      </c>
      <c r="AD18" s="781"/>
      <c r="AE18" s="781"/>
      <c r="AF18" s="781"/>
      <c r="AG18" s="781"/>
      <c r="AH18" s="781"/>
      <c r="AI18" s="781"/>
      <c r="AJ18" s="742" t="str">
        <f t="shared" ca="1" si="2"/>
        <v/>
      </c>
      <c r="AK18" s="742"/>
      <c r="AL18" s="781" t="str">
        <f t="shared" ca="1" si="3"/>
        <v/>
      </c>
      <c r="AM18" s="781"/>
      <c r="AN18" s="781"/>
      <c r="AO18" s="781"/>
      <c r="AP18" s="781"/>
      <c r="AQ18" s="781"/>
      <c r="AR18" s="781"/>
      <c r="AS18" s="741" t="str">
        <f t="shared" ca="1" si="4"/>
        <v/>
      </c>
      <c r="AT18" s="741"/>
      <c r="AU18" s="741"/>
      <c r="AV18" s="741"/>
      <c r="AW18" s="741"/>
      <c r="AX18" s="741"/>
      <c r="AY18" s="741"/>
      <c r="AZ18" s="473"/>
    </row>
    <row r="19" spans="1:52" s="403" customFormat="1" ht="36.75" customHeight="1">
      <c r="B19" s="742">
        <f t="shared" si="5"/>
        <v>7</v>
      </c>
      <c r="C19" s="742"/>
      <c r="D19" s="743" t="str">
        <f t="shared" ca="1" si="0"/>
        <v/>
      </c>
      <c r="E19" s="743"/>
      <c r="F19" s="743"/>
      <c r="G19" s="743"/>
      <c r="H19" s="743"/>
      <c r="I19" s="743"/>
      <c r="J19" s="743"/>
      <c r="K19" s="743"/>
      <c r="L19" s="743"/>
      <c r="M19" s="743"/>
      <c r="N19" s="743"/>
      <c r="O19" s="743"/>
      <c r="P19" s="743"/>
      <c r="Q19" s="743"/>
      <c r="R19" s="743"/>
      <c r="S19" s="743"/>
      <c r="T19" s="743"/>
      <c r="U19" s="743"/>
      <c r="V19" s="743"/>
      <c r="W19" s="743"/>
      <c r="X19" s="743"/>
      <c r="Y19" s="743"/>
      <c r="Z19" s="743"/>
      <c r="AA19" s="743"/>
      <c r="AB19" s="743"/>
      <c r="AC19" s="781" t="str">
        <f t="shared" ca="1" si="1"/>
        <v/>
      </c>
      <c r="AD19" s="781"/>
      <c r="AE19" s="781"/>
      <c r="AF19" s="781"/>
      <c r="AG19" s="781"/>
      <c r="AH19" s="781"/>
      <c r="AI19" s="781"/>
      <c r="AJ19" s="742" t="str">
        <f t="shared" ca="1" si="2"/>
        <v/>
      </c>
      <c r="AK19" s="742"/>
      <c r="AL19" s="781" t="str">
        <f t="shared" ca="1" si="3"/>
        <v/>
      </c>
      <c r="AM19" s="781"/>
      <c r="AN19" s="781"/>
      <c r="AO19" s="781"/>
      <c r="AP19" s="781"/>
      <c r="AQ19" s="781"/>
      <c r="AR19" s="781"/>
      <c r="AS19" s="741" t="str">
        <f t="shared" ca="1" si="4"/>
        <v/>
      </c>
      <c r="AT19" s="741"/>
      <c r="AU19" s="741"/>
      <c r="AV19" s="741"/>
      <c r="AW19" s="741"/>
      <c r="AX19" s="741"/>
      <c r="AY19" s="741"/>
      <c r="AZ19" s="473"/>
    </row>
    <row r="20" spans="1:52" s="403" customFormat="1" ht="36.75" customHeight="1">
      <c r="B20" s="742">
        <f t="shared" si="5"/>
        <v>8</v>
      </c>
      <c r="C20" s="742"/>
      <c r="D20" s="743" t="str">
        <f t="shared" ca="1" si="0"/>
        <v/>
      </c>
      <c r="E20" s="743"/>
      <c r="F20" s="743"/>
      <c r="G20" s="743"/>
      <c r="H20" s="743"/>
      <c r="I20" s="743"/>
      <c r="J20" s="743"/>
      <c r="K20" s="743"/>
      <c r="L20" s="743"/>
      <c r="M20" s="743"/>
      <c r="N20" s="743"/>
      <c r="O20" s="743"/>
      <c r="P20" s="743"/>
      <c r="Q20" s="743"/>
      <c r="R20" s="743"/>
      <c r="S20" s="743"/>
      <c r="T20" s="743"/>
      <c r="U20" s="743"/>
      <c r="V20" s="743"/>
      <c r="W20" s="743"/>
      <c r="X20" s="743"/>
      <c r="Y20" s="743"/>
      <c r="Z20" s="743"/>
      <c r="AA20" s="743"/>
      <c r="AB20" s="743"/>
      <c r="AC20" s="781" t="str">
        <f t="shared" ca="1" si="1"/>
        <v/>
      </c>
      <c r="AD20" s="781"/>
      <c r="AE20" s="781"/>
      <c r="AF20" s="781"/>
      <c r="AG20" s="781"/>
      <c r="AH20" s="781"/>
      <c r="AI20" s="781"/>
      <c r="AJ20" s="742" t="str">
        <f t="shared" ca="1" si="2"/>
        <v/>
      </c>
      <c r="AK20" s="742"/>
      <c r="AL20" s="781" t="str">
        <f t="shared" ca="1" si="3"/>
        <v/>
      </c>
      <c r="AM20" s="781"/>
      <c r="AN20" s="781"/>
      <c r="AO20" s="781"/>
      <c r="AP20" s="781"/>
      <c r="AQ20" s="781"/>
      <c r="AR20" s="781"/>
      <c r="AS20" s="741" t="str">
        <f t="shared" ca="1" si="4"/>
        <v/>
      </c>
      <c r="AT20" s="741"/>
      <c r="AU20" s="741"/>
      <c r="AV20" s="741"/>
      <c r="AW20" s="741"/>
      <c r="AX20" s="741"/>
      <c r="AY20" s="741"/>
    </row>
    <row r="21" spans="1:52" s="403" customFormat="1" ht="36.75" customHeight="1">
      <c r="B21" s="742">
        <f t="shared" si="5"/>
        <v>9</v>
      </c>
      <c r="C21" s="742"/>
      <c r="D21" s="743" t="str">
        <f t="shared" ca="1" si="0"/>
        <v/>
      </c>
      <c r="E21" s="743"/>
      <c r="F21" s="743"/>
      <c r="G21" s="743"/>
      <c r="H21" s="743"/>
      <c r="I21" s="743"/>
      <c r="J21" s="743"/>
      <c r="K21" s="743"/>
      <c r="L21" s="743"/>
      <c r="M21" s="743"/>
      <c r="N21" s="743"/>
      <c r="O21" s="743"/>
      <c r="P21" s="743"/>
      <c r="Q21" s="743"/>
      <c r="R21" s="743"/>
      <c r="S21" s="743"/>
      <c r="T21" s="743"/>
      <c r="U21" s="743"/>
      <c r="V21" s="743"/>
      <c r="W21" s="743"/>
      <c r="X21" s="743"/>
      <c r="Y21" s="743"/>
      <c r="Z21" s="743"/>
      <c r="AA21" s="743"/>
      <c r="AB21" s="743"/>
      <c r="AC21" s="781" t="str">
        <f t="shared" ca="1" si="1"/>
        <v/>
      </c>
      <c r="AD21" s="781"/>
      <c r="AE21" s="781"/>
      <c r="AF21" s="781"/>
      <c r="AG21" s="781"/>
      <c r="AH21" s="781"/>
      <c r="AI21" s="781"/>
      <c r="AJ21" s="742" t="str">
        <f t="shared" ca="1" si="2"/>
        <v/>
      </c>
      <c r="AK21" s="742"/>
      <c r="AL21" s="781" t="str">
        <f t="shared" ca="1" si="3"/>
        <v/>
      </c>
      <c r="AM21" s="781"/>
      <c r="AN21" s="781"/>
      <c r="AO21" s="781"/>
      <c r="AP21" s="781"/>
      <c r="AQ21" s="781"/>
      <c r="AR21" s="781"/>
      <c r="AS21" s="741" t="str">
        <f t="shared" ca="1" si="4"/>
        <v/>
      </c>
      <c r="AT21" s="741"/>
      <c r="AU21" s="741"/>
      <c r="AV21" s="741"/>
      <c r="AW21" s="741"/>
      <c r="AX21" s="741"/>
      <c r="AY21" s="741"/>
    </row>
    <row r="22" spans="1:52" s="403" customFormat="1" ht="36.75" customHeight="1">
      <c r="B22" s="742">
        <f t="shared" si="5"/>
        <v>10</v>
      </c>
      <c r="C22" s="742"/>
      <c r="D22" s="743" t="str">
        <f t="shared" ca="1" si="0"/>
        <v/>
      </c>
      <c r="E22" s="743"/>
      <c r="F22" s="743"/>
      <c r="G22" s="743"/>
      <c r="H22" s="743"/>
      <c r="I22" s="743"/>
      <c r="J22" s="743"/>
      <c r="K22" s="743"/>
      <c r="L22" s="743"/>
      <c r="M22" s="743"/>
      <c r="N22" s="743"/>
      <c r="O22" s="743"/>
      <c r="P22" s="743"/>
      <c r="Q22" s="743"/>
      <c r="R22" s="743"/>
      <c r="S22" s="743"/>
      <c r="T22" s="743"/>
      <c r="U22" s="743"/>
      <c r="V22" s="743"/>
      <c r="W22" s="743"/>
      <c r="X22" s="743"/>
      <c r="Y22" s="743"/>
      <c r="Z22" s="743"/>
      <c r="AA22" s="743"/>
      <c r="AB22" s="743"/>
      <c r="AC22" s="781" t="str">
        <f t="shared" ca="1" si="1"/>
        <v/>
      </c>
      <c r="AD22" s="781"/>
      <c r="AE22" s="781"/>
      <c r="AF22" s="781"/>
      <c r="AG22" s="781"/>
      <c r="AH22" s="781"/>
      <c r="AI22" s="781"/>
      <c r="AJ22" s="742" t="str">
        <f t="shared" ca="1" si="2"/>
        <v/>
      </c>
      <c r="AK22" s="742"/>
      <c r="AL22" s="781" t="str">
        <f t="shared" ca="1" si="3"/>
        <v/>
      </c>
      <c r="AM22" s="781"/>
      <c r="AN22" s="781"/>
      <c r="AO22" s="781"/>
      <c r="AP22" s="781"/>
      <c r="AQ22" s="781"/>
      <c r="AR22" s="781"/>
      <c r="AS22" s="741" t="str">
        <f t="shared" ca="1" si="4"/>
        <v/>
      </c>
      <c r="AT22" s="741"/>
      <c r="AU22" s="741"/>
      <c r="AV22" s="741"/>
      <c r="AW22" s="741"/>
      <c r="AX22" s="741"/>
      <c r="AY22" s="741"/>
    </row>
    <row r="23" spans="1:52" s="403" customFormat="1" ht="36.75" customHeight="1">
      <c r="B23" s="742">
        <f t="shared" si="5"/>
        <v>11</v>
      </c>
      <c r="C23" s="742"/>
      <c r="D23" s="743" t="str">
        <f t="shared" ca="1" si="0"/>
        <v/>
      </c>
      <c r="E23" s="743"/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3"/>
      <c r="R23" s="743"/>
      <c r="S23" s="743"/>
      <c r="T23" s="743"/>
      <c r="U23" s="743"/>
      <c r="V23" s="743"/>
      <c r="W23" s="743"/>
      <c r="X23" s="743"/>
      <c r="Y23" s="743"/>
      <c r="Z23" s="743"/>
      <c r="AA23" s="743"/>
      <c r="AB23" s="743"/>
      <c r="AC23" s="781" t="str">
        <f t="shared" ca="1" si="1"/>
        <v/>
      </c>
      <c r="AD23" s="781"/>
      <c r="AE23" s="781"/>
      <c r="AF23" s="781"/>
      <c r="AG23" s="781"/>
      <c r="AH23" s="781"/>
      <c r="AI23" s="781"/>
      <c r="AJ23" s="742" t="str">
        <f t="shared" ca="1" si="2"/>
        <v/>
      </c>
      <c r="AK23" s="742"/>
      <c r="AL23" s="781" t="str">
        <f t="shared" ca="1" si="3"/>
        <v/>
      </c>
      <c r="AM23" s="781"/>
      <c r="AN23" s="781"/>
      <c r="AO23" s="781"/>
      <c r="AP23" s="781"/>
      <c r="AQ23" s="781"/>
      <c r="AR23" s="781"/>
      <c r="AS23" s="741" t="str">
        <f t="shared" ca="1" si="4"/>
        <v/>
      </c>
      <c r="AT23" s="741"/>
      <c r="AU23" s="741"/>
      <c r="AV23" s="741"/>
      <c r="AW23" s="741"/>
      <c r="AX23" s="741"/>
      <c r="AY23" s="741"/>
    </row>
    <row r="24" spans="1:52" s="403" customFormat="1" ht="36.75" customHeight="1">
      <c r="B24" s="742">
        <f t="shared" si="5"/>
        <v>12</v>
      </c>
      <c r="C24" s="742"/>
      <c r="D24" s="743" t="str">
        <f t="shared" ca="1" si="0"/>
        <v/>
      </c>
      <c r="E24" s="743"/>
      <c r="F24" s="743"/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3"/>
      <c r="S24" s="743"/>
      <c r="T24" s="743"/>
      <c r="U24" s="743"/>
      <c r="V24" s="743"/>
      <c r="W24" s="743"/>
      <c r="X24" s="743"/>
      <c r="Y24" s="743"/>
      <c r="Z24" s="743"/>
      <c r="AA24" s="743"/>
      <c r="AB24" s="743"/>
      <c r="AC24" s="781" t="str">
        <f t="shared" ca="1" si="1"/>
        <v/>
      </c>
      <c r="AD24" s="781"/>
      <c r="AE24" s="781"/>
      <c r="AF24" s="781"/>
      <c r="AG24" s="781"/>
      <c r="AH24" s="781"/>
      <c r="AI24" s="781"/>
      <c r="AJ24" s="742" t="str">
        <f t="shared" ca="1" si="2"/>
        <v/>
      </c>
      <c r="AK24" s="742"/>
      <c r="AL24" s="781" t="str">
        <f t="shared" ca="1" si="3"/>
        <v/>
      </c>
      <c r="AM24" s="781"/>
      <c r="AN24" s="781"/>
      <c r="AO24" s="781"/>
      <c r="AP24" s="781"/>
      <c r="AQ24" s="781"/>
      <c r="AR24" s="781"/>
      <c r="AS24" s="741" t="str">
        <f t="shared" ca="1" si="4"/>
        <v/>
      </c>
      <c r="AT24" s="741"/>
      <c r="AU24" s="741"/>
      <c r="AV24" s="741"/>
      <c r="AW24" s="741"/>
      <c r="AX24" s="741"/>
      <c r="AY24" s="741"/>
    </row>
    <row r="25" spans="1:52" s="403" customFormat="1" ht="36.75" customHeight="1">
      <c r="B25" s="742">
        <f t="shared" si="5"/>
        <v>13</v>
      </c>
      <c r="C25" s="742"/>
      <c r="D25" s="743" t="str">
        <f t="shared" ca="1" si="0"/>
        <v/>
      </c>
      <c r="E25" s="743"/>
      <c r="F25" s="743"/>
      <c r="G25" s="743"/>
      <c r="H25" s="743"/>
      <c r="I25" s="743"/>
      <c r="J25" s="743"/>
      <c r="K25" s="743"/>
      <c r="L25" s="743"/>
      <c r="M25" s="743"/>
      <c r="N25" s="743"/>
      <c r="O25" s="743"/>
      <c r="P25" s="743"/>
      <c r="Q25" s="743"/>
      <c r="R25" s="743"/>
      <c r="S25" s="743"/>
      <c r="T25" s="743"/>
      <c r="U25" s="743"/>
      <c r="V25" s="743"/>
      <c r="W25" s="743"/>
      <c r="X25" s="743"/>
      <c r="Y25" s="743"/>
      <c r="Z25" s="743"/>
      <c r="AA25" s="743"/>
      <c r="AB25" s="743"/>
      <c r="AC25" s="781" t="str">
        <f t="shared" ca="1" si="1"/>
        <v/>
      </c>
      <c r="AD25" s="781"/>
      <c r="AE25" s="781"/>
      <c r="AF25" s="781"/>
      <c r="AG25" s="781"/>
      <c r="AH25" s="781"/>
      <c r="AI25" s="781"/>
      <c r="AJ25" s="742" t="str">
        <f t="shared" ca="1" si="2"/>
        <v/>
      </c>
      <c r="AK25" s="742"/>
      <c r="AL25" s="781" t="str">
        <f t="shared" ca="1" si="3"/>
        <v/>
      </c>
      <c r="AM25" s="781"/>
      <c r="AN25" s="781"/>
      <c r="AO25" s="781"/>
      <c r="AP25" s="781"/>
      <c r="AQ25" s="781"/>
      <c r="AR25" s="781"/>
      <c r="AS25" s="741" t="str">
        <f t="shared" ca="1" si="4"/>
        <v/>
      </c>
      <c r="AT25" s="741"/>
      <c r="AU25" s="741"/>
      <c r="AV25" s="741"/>
      <c r="AW25" s="741"/>
      <c r="AX25" s="741"/>
      <c r="AY25" s="741"/>
    </row>
    <row r="26" spans="1:52" s="403" customFormat="1" ht="36.75" customHeight="1">
      <c r="B26" s="742">
        <f t="shared" si="5"/>
        <v>14</v>
      </c>
      <c r="C26" s="742"/>
      <c r="D26" s="743" t="str">
        <f t="shared" ca="1" si="0"/>
        <v/>
      </c>
      <c r="E26" s="743"/>
      <c r="F26" s="743"/>
      <c r="G26" s="743"/>
      <c r="H26" s="743"/>
      <c r="I26" s="743"/>
      <c r="J26" s="743"/>
      <c r="K26" s="743"/>
      <c r="L26" s="743"/>
      <c r="M26" s="743"/>
      <c r="N26" s="743"/>
      <c r="O26" s="743"/>
      <c r="P26" s="743"/>
      <c r="Q26" s="743"/>
      <c r="R26" s="743"/>
      <c r="S26" s="743"/>
      <c r="T26" s="743"/>
      <c r="U26" s="743"/>
      <c r="V26" s="743"/>
      <c r="W26" s="743"/>
      <c r="X26" s="743"/>
      <c r="Y26" s="743"/>
      <c r="Z26" s="743"/>
      <c r="AA26" s="743"/>
      <c r="AB26" s="743"/>
      <c r="AC26" s="781" t="str">
        <f t="shared" ca="1" si="1"/>
        <v/>
      </c>
      <c r="AD26" s="781"/>
      <c r="AE26" s="781"/>
      <c r="AF26" s="781"/>
      <c r="AG26" s="781"/>
      <c r="AH26" s="781"/>
      <c r="AI26" s="781"/>
      <c r="AJ26" s="742" t="str">
        <f t="shared" ca="1" si="2"/>
        <v/>
      </c>
      <c r="AK26" s="742"/>
      <c r="AL26" s="781" t="str">
        <f t="shared" ca="1" si="3"/>
        <v/>
      </c>
      <c r="AM26" s="781"/>
      <c r="AN26" s="781"/>
      <c r="AO26" s="781"/>
      <c r="AP26" s="781"/>
      <c r="AQ26" s="781"/>
      <c r="AR26" s="781"/>
      <c r="AS26" s="741" t="str">
        <f t="shared" ca="1" si="4"/>
        <v/>
      </c>
      <c r="AT26" s="741"/>
      <c r="AU26" s="741"/>
      <c r="AV26" s="741"/>
      <c r="AW26" s="741"/>
      <c r="AX26" s="741"/>
      <c r="AY26" s="741"/>
    </row>
    <row r="27" spans="1:52" s="403" customFormat="1" ht="36.75" customHeight="1">
      <c r="B27" s="742">
        <f t="shared" si="5"/>
        <v>15</v>
      </c>
      <c r="C27" s="742"/>
      <c r="D27" s="743" t="str">
        <f t="shared" ca="1" si="0"/>
        <v/>
      </c>
      <c r="E27" s="743"/>
      <c r="F27" s="743"/>
      <c r="G27" s="743"/>
      <c r="H27" s="743"/>
      <c r="I27" s="743"/>
      <c r="J27" s="743"/>
      <c r="K27" s="743"/>
      <c r="L27" s="743"/>
      <c r="M27" s="743"/>
      <c r="N27" s="743"/>
      <c r="O27" s="743"/>
      <c r="P27" s="743"/>
      <c r="Q27" s="743"/>
      <c r="R27" s="743"/>
      <c r="S27" s="743"/>
      <c r="T27" s="743"/>
      <c r="U27" s="743"/>
      <c r="V27" s="743"/>
      <c r="W27" s="743"/>
      <c r="X27" s="743"/>
      <c r="Y27" s="743"/>
      <c r="Z27" s="743"/>
      <c r="AA27" s="743"/>
      <c r="AB27" s="743"/>
      <c r="AC27" s="781" t="str">
        <f t="shared" ca="1" si="1"/>
        <v/>
      </c>
      <c r="AD27" s="781"/>
      <c r="AE27" s="781"/>
      <c r="AF27" s="781"/>
      <c r="AG27" s="781"/>
      <c r="AH27" s="781"/>
      <c r="AI27" s="781"/>
      <c r="AJ27" s="742" t="str">
        <f t="shared" ca="1" si="2"/>
        <v/>
      </c>
      <c r="AK27" s="742"/>
      <c r="AL27" s="781" t="str">
        <f t="shared" ca="1" si="3"/>
        <v/>
      </c>
      <c r="AM27" s="781"/>
      <c r="AN27" s="781"/>
      <c r="AO27" s="781"/>
      <c r="AP27" s="781"/>
      <c r="AQ27" s="781"/>
      <c r="AR27" s="781"/>
      <c r="AS27" s="741" t="str">
        <f t="shared" ca="1" si="4"/>
        <v/>
      </c>
      <c r="AT27" s="741"/>
      <c r="AU27" s="741"/>
      <c r="AV27" s="741"/>
      <c r="AW27" s="741"/>
      <c r="AX27" s="741"/>
      <c r="AY27" s="741"/>
    </row>
    <row r="28" spans="1:52" s="403" customFormat="1" ht="36.75" customHeight="1">
      <c r="B28" s="742">
        <f t="shared" si="5"/>
        <v>16</v>
      </c>
      <c r="C28" s="742"/>
      <c r="D28" s="743" t="str">
        <f t="shared" ca="1" si="0"/>
        <v/>
      </c>
      <c r="E28" s="743"/>
      <c r="F28" s="743"/>
      <c r="G28" s="743"/>
      <c r="H28" s="743"/>
      <c r="I28" s="743"/>
      <c r="J28" s="743"/>
      <c r="K28" s="743"/>
      <c r="L28" s="743"/>
      <c r="M28" s="743"/>
      <c r="N28" s="743"/>
      <c r="O28" s="743"/>
      <c r="P28" s="743"/>
      <c r="Q28" s="743"/>
      <c r="R28" s="743"/>
      <c r="S28" s="743"/>
      <c r="T28" s="743"/>
      <c r="U28" s="743"/>
      <c r="V28" s="743"/>
      <c r="W28" s="743"/>
      <c r="X28" s="743"/>
      <c r="Y28" s="743"/>
      <c r="Z28" s="743"/>
      <c r="AA28" s="743"/>
      <c r="AB28" s="743"/>
      <c r="AC28" s="781" t="str">
        <f t="shared" ca="1" si="1"/>
        <v/>
      </c>
      <c r="AD28" s="781"/>
      <c r="AE28" s="781"/>
      <c r="AF28" s="781"/>
      <c r="AG28" s="781"/>
      <c r="AH28" s="781"/>
      <c r="AI28" s="781"/>
      <c r="AJ28" s="742" t="str">
        <f t="shared" ca="1" si="2"/>
        <v/>
      </c>
      <c r="AK28" s="742"/>
      <c r="AL28" s="781" t="str">
        <f t="shared" ca="1" si="3"/>
        <v/>
      </c>
      <c r="AM28" s="781"/>
      <c r="AN28" s="781"/>
      <c r="AO28" s="781"/>
      <c r="AP28" s="781"/>
      <c r="AQ28" s="781"/>
      <c r="AR28" s="781"/>
      <c r="AS28" s="741" t="str">
        <f t="shared" ca="1" si="4"/>
        <v/>
      </c>
      <c r="AT28" s="741"/>
      <c r="AU28" s="741"/>
      <c r="AV28" s="741"/>
      <c r="AW28" s="741"/>
      <c r="AX28" s="741"/>
      <c r="AY28" s="741"/>
    </row>
    <row r="29" spans="1:52" s="403" customFormat="1" ht="36.75" customHeight="1">
      <c r="B29" s="742">
        <f t="shared" si="5"/>
        <v>17</v>
      </c>
      <c r="C29" s="742"/>
      <c r="D29" s="743" t="str">
        <f t="shared" ca="1" si="0"/>
        <v/>
      </c>
      <c r="E29" s="743"/>
      <c r="F29" s="743"/>
      <c r="G29" s="743"/>
      <c r="H29" s="743"/>
      <c r="I29" s="743"/>
      <c r="J29" s="743"/>
      <c r="K29" s="743"/>
      <c r="L29" s="743"/>
      <c r="M29" s="743"/>
      <c r="N29" s="743"/>
      <c r="O29" s="743"/>
      <c r="P29" s="743"/>
      <c r="Q29" s="743"/>
      <c r="R29" s="743"/>
      <c r="S29" s="743"/>
      <c r="T29" s="743"/>
      <c r="U29" s="743"/>
      <c r="V29" s="743"/>
      <c r="W29" s="743"/>
      <c r="X29" s="743"/>
      <c r="Y29" s="743"/>
      <c r="Z29" s="743"/>
      <c r="AA29" s="743"/>
      <c r="AB29" s="743"/>
      <c r="AC29" s="781" t="str">
        <f t="shared" ca="1" si="1"/>
        <v/>
      </c>
      <c r="AD29" s="781"/>
      <c r="AE29" s="781"/>
      <c r="AF29" s="781"/>
      <c r="AG29" s="781"/>
      <c r="AH29" s="781"/>
      <c r="AI29" s="781"/>
      <c r="AJ29" s="742" t="str">
        <f t="shared" ca="1" si="2"/>
        <v/>
      </c>
      <c r="AK29" s="742"/>
      <c r="AL29" s="781" t="str">
        <f t="shared" ca="1" si="3"/>
        <v/>
      </c>
      <c r="AM29" s="781"/>
      <c r="AN29" s="781"/>
      <c r="AO29" s="781"/>
      <c r="AP29" s="781"/>
      <c r="AQ29" s="781"/>
      <c r="AR29" s="781"/>
      <c r="AS29" s="741" t="str">
        <f t="shared" ca="1" si="4"/>
        <v/>
      </c>
      <c r="AT29" s="741"/>
      <c r="AU29" s="741"/>
      <c r="AV29" s="741"/>
      <c r="AW29" s="741"/>
      <c r="AX29" s="741"/>
      <c r="AY29" s="741"/>
    </row>
    <row r="30" spans="1:52" s="403" customFormat="1" ht="36.75" customHeight="1">
      <c r="B30" s="742">
        <f t="shared" si="5"/>
        <v>18</v>
      </c>
      <c r="C30" s="742"/>
      <c r="D30" s="743" t="str">
        <f t="shared" ca="1" si="0"/>
        <v/>
      </c>
      <c r="E30" s="743"/>
      <c r="F30" s="743"/>
      <c r="G30" s="743"/>
      <c r="H30" s="743"/>
      <c r="I30" s="743"/>
      <c r="J30" s="743"/>
      <c r="K30" s="743"/>
      <c r="L30" s="743"/>
      <c r="M30" s="743"/>
      <c r="N30" s="743"/>
      <c r="O30" s="743"/>
      <c r="P30" s="743"/>
      <c r="Q30" s="743"/>
      <c r="R30" s="743"/>
      <c r="S30" s="743"/>
      <c r="T30" s="743"/>
      <c r="U30" s="743"/>
      <c r="V30" s="743"/>
      <c r="W30" s="743"/>
      <c r="X30" s="743"/>
      <c r="Y30" s="743"/>
      <c r="Z30" s="743"/>
      <c r="AA30" s="743"/>
      <c r="AB30" s="743"/>
      <c r="AC30" s="781" t="str">
        <f t="shared" ca="1" si="1"/>
        <v/>
      </c>
      <c r="AD30" s="781"/>
      <c r="AE30" s="781"/>
      <c r="AF30" s="781"/>
      <c r="AG30" s="781"/>
      <c r="AH30" s="781"/>
      <c r="AI30" s="781"/>
      <c r="AJ30" s="742" t="str">
        <f t="shared" ca="1" si="2"/>
        <v/>
      </c>
      <c r="AK30" s="742"/>
      <c r="AL30" s="781" t="str">
        <f t="shared" ca="1" si="3"/>
        <v/>
      </c>
      <c r="AM30" s="781"/>
      <c r="AN30" s="781"/>
      <c r="AO30" s="781"/>
      <c r="AP30" s="781"/>
      <c r="AQ30" s="781"/>
      <c r="AR30" s="781"/>
      <c r="AS30" s="741" t="str">
        <f t="shared" ca="1" si="4"/>
        <v/>
      </c>
      <c r="AT30" s="741"/>
      <c r="AU30" s="741"/>
      <c r="AV30" s="741"/>
      <c r="AW30" s="741"/>
      <c r="AX30" s="741"/>
      <c r="AY30" s="741"/>
    </row>
    <row r="31" spans="1:52" s="403" customFormat="1" ht="36.75" customHeight="1">
      <c r="A31" s="403" t="s">
        <v>1529</v>
      </c>
      <c r="B31" s="742">
        <f t="shared" si="5"/>
        <v>19</v>
      </c>
      <c r="C31" s="742"/>
      <c r="D31" s="743" t="str">
        <f t="shared" ca="1" si="0"/>
        <v/>
      </c>
      <c r="E31" s="743"/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3"/>
      <c r="R31" s="743"/>
      <c r="S31" s="743"/>
      <c r="T31" s="743"/>
      <c r="U31" s="743"/>
      <c r="V31" s="743"/>
      <c r="W31" s="743"/>
      <c r="X31" s="743"/>
      <c r="Y31" s="743"/>
      <c r="Z31" s="743"/>
      <c r="AA31" s="743"/>
      <c r="AB31" s="743"/>
      <c r="AC31" s="781" t="str">
        <f t="shared" ca="1" si="1"/>
        <v/>
      </c>
      <c r="AD31" s="781"/>
      <c r="AE31" s="781"/>
      <c r="AF31" s="781"/>
      <c r="AG31" s="781"/>
      <c r="AH31" s="781"/>
      <c r="AI31" s="781"/>
      <c r="AJ31" s="742" t="str">
        <f t="shared" ca="1" si="2"/>
        <v/>
      </c>
      <c r="AK31" s="742"/>
      <c r="AL31" s="781" t="str">
        <f t="shared" ca="1" si="3"/>
        <v/>
      </c>
      <c r="AM31" s="781"/>
      <c r="AN31" s="781"/>
      <c r="AO31" s="781"/>
      <c r="AP31" s="781"/>
      <c r="AQ31" s="781"/>
      <c r="AR31" s="781"/>
      <c r="AS31" s="741" t="str">
        <f t="shared" ca="1" si="4"/>
        <v/>
      </c>
      <c r="AT31" s="741"/>
      <c r="AU31" s="741"/>
      <c r="AV31" s="741"/>
      <c r="AW31" s="741"/>
      <c r="AX31" s="741"/>
      <c r="AY31" s="741"/>
      <c r="AZ31" s="473" t="s">
        <v>1530</v>
      </c>
    </row>
    <row r="32" spans="1:52" s="403" customFormat="1" ht="36.75" customHeight="1">
      <c r="B32" s="742">
        <f t="shared" si="5"/>
        <v>20</v>
      </c>
      <c r="C32" s="742"/>
      <c r="D32" s="743" t="str">
        <f t="shared" ca="1" si="0"/>
        <v/>
      </c>
      <c r="E32" s="743"/>
      <c r="F32" s="743"/>
      <c r="G32" s="743"/>
      <c r="H32" s="743"/>
      <c r="I32" s="743"/>
      <c r="J32" s="743"/>
      <c r="K32" s="743"/>
      <c r="L32" s="743"/>
      <c r="M32" s="743"/>
      <c r="N32" s="743"/>
      <c r="O32" s="743"/>
      <c r="P32" s="743"/>
      <c r="Q32" s="743"/>
      <c r="R32" s="743"/>
      <c r="S32" s="743"/>
      <c r="T32" s="743"/>
      <c r="U32" s="743"/>
      <c r="V32" s="743"/>
      <c r="W32" s="743"/>
      <c r="X32" s="743"/>
      <c r="Y32" s="743"/>
      <c r="Z32" s="743"/>
      <c r="AA32" s="743"/>
      <c r="AB32" s="743"/>
      <c r="AC32" s="781" t="str">
        <f t="shared" ca="1" si="1"/>
        <v/>
      </c>
      <c r="AD32" s="781"/>
      <c r="AE32" s="781"/>
      <c r="AF32" s="781"/>
      <c r="AG32" s="781"/>
      <c r="AH32" s="781"/>
      <c r="AI32" s="781"/>
      <c r="AJ32" s="742" t="str">
        <f t="shared" ca="1" si="2"/>
        <v/>
      </c>
      <c r="AK32" s="742"/>
      <c r="AL32" s="781" t="str">
        <f t="shared" ca="1" si="3"/>
        <v/>
      </c>
      <c r="AM32" s="781"/>
      <c r="AN32" s="781"/>
      <c r="AO32" s="781"/>
      <c r="AP32" s="781"/>
      <c r="AQ32" s="781"/>
      <c r="AR32" s="781"/>
      <c r="AS32" s="741" t="str">
        <f t="shared" ca="1" si="4"/>
        <v/>
      </c>
      <c r="AT32" s="741"/>
      <c r="AU32" s="741"/>
      <c r="AV32" s="741"/>
      <c r="AW32" s="741"/>
      <c r="AX32" s="741"/>
      <c r="AY32" s="741"/>
    </row>
    <row r="33" spans="2:51" s="403" customFormat="1" ht="45" customHeight="1">
      <c r="B33" s="749" t="s">
        <v>1527</v>
      </c>
      <c r="C33" s="750"/>
      <c r="D33" s="750"/>
      <c r="E33" s="751" t="str">
        <f>IF(UNNH0030_REPORT_IF_H_EIGYO_MEI="","",UNNH0030_REPORT_IF_H_EIGYO_MEI)</f>
        <v/>
      </c>
      <c r="F33" s="751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  <c r="U33" s="751"/>
      <c r="V33" s="751"/>
      <c r="W33" s="751"/>
      <c r="X33" s="751"/>
      <c r="Y33" s="751"/>
      <c r="Z33" s="751"/>
      <c r="AA33" s="751"/>
      <c r="AB33" s="751"/>
      <c r="AC33" s="751"/>
      <c r="AD33" s="751"/>
      <c r="AE33" s="751"/>
      <c r="AF33" s="751"/>
      <c r="AG33" s="752"/>
      <c r="AH33" s="742" t="s">
        <v>1107</v>
      </c>
      <c r="AI33" s="742"/>
      <c r="AJ33" s="742"/>
      <c r="AK33" s="742"/>
      <c r="AL33" s="742"/>
      <c r="AM33" s="742"/>
      <c r="AN33" s="742"/>
      <c r="AO33" s="742"/>
      <c r="AP33" s="742"/>
      <c r="AQ33" s="782">
        <f>IF(ROUNDUP(ROW()/ROWS(UNNH0030_SEIKYUSHO_PAGE_AREA),0)=UNNH0030_REPORT_IF_B_PAGE_TOTAL,UNNH0030_REPORT_IF_H_TOTAL,"")</f>
        <v>0</v>
      </c>
      <c r="AR33" s="783"/>
      <c r="AS33" s="783"/>
      <c r="AT33" s="783"/>
      <c r="AU33" s="783"/>
      <c r="AV33" s="783"/>
      <c r="AW33" s="783"/>
      <c r="AX33" s="783"/>
      <c r="AY33" s="784"/>
    </row>
    <row r="34" spans="2:51" s="403" customFormat="1" ht="33.75" customHeight="1">
      <c r="C34" s="404"/>
      <c r="D34" s="404"/>
      <c r="E34" s="404"/>
      <c r="F34" s="404"/>
      <c r="G34" s="404"/>
      <c r="H34" s="404"/>
      <c r="I34" s="404"/>
      <c r="J34" s="404"/>
      <c r="K34" s="404"/>
      <c r="L34" s="404"/>
      <c r="M34" s="404"/>
      <c r="N34" s="404"/>
      <c r="O34" s="404"/>
    </row>
    <row r="35" spans="2:51" s="403" customFormat="1" ht="38.25" customHeight="1">
      <c r="B35" s="756" t="s">
        <v>1528</v>
      </c>
      <c r="C35" s="757"/>
      <c r="D35" s="758"/>
      <c r="E35" s="738" t="str">
        <f>IF(UNNH0030_REPORT_IF_H_TEKIYO="","",UNNH0030_REPORT_IF_H_TEKIYO)</f>
        <v/>
      </c>
      <c r="F35" s="738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8"/>
      <c r="T35" s="738"/>
      <c r="U35" s="738"/>
      <c r="V35" s="738"/>
      <c r="W35" s="738"/>
      <c r="X35" s="738"/>
      <c r="Y35" s="738"/>
      <c r="Z35" s="738"/>
      <c r="AA35" s="738"/>
      <c r="AB35" s="738"/>
      <c r="AC35" s="738"/>
      <c r="AD35" s="738"/>
      <c r="AE35" s="738"/>
      <c r="AF35" s="738"/>
      <c r="AG35" s="738"/>
      <c r="AH35" s="738"/>
      <c r="AI35" s="738"/>
      <c r="AJ35" s="738"/>
      <c r="AK35" s="738"/>
      <c r="AL35" s="738"/>
      <c r="AM35" s="738"/>
      <c r="AN35" s="738"/>
      <c r="AO35" s="738"/>
      <c r="AP35" s="738"/>
      <c r="AQ35" s="738"/>
      <c r="AR35" s="738"/>
      <c r="AS35" s="738"/>
      <c r="AU35" s="739" t="str">
        <f>IF(UNNH0030_REPORT_IF_H_SEIKYUHOHO_KBN=0,"","締日 "&amp;UNNH0030_REPORT_IF_H_SHIMEBI)</f>
        <v/>
      </c>
      <c r="AV35" s="739"/>
      <c r="AW35" s="739"/>
      <c r="AX35" s="739"/>
      <c r="AY35" s="740" t="str">
        <f>UNNH0030_REPORT_IF_H_SHIMEBI_MARK</f>
        <v>*</v>
      </c>
    </row>
    <row r="36" spans="2:51" s="403" customFormat="1" ht="38.25" customHeight="1">
      <c r="B36" s="759"/>
      <c r="C36" s="760"/>
      <c r="D36" s="761"/>
      <c r="E36" s="738"/>
      <c r="F36" s="738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8"/>
      <c r="T36" s="738"/>
      <c r="U36" s="738"/>
      <c r="V36" s="738"/>
      <c r="W36" s="738"/>
      <c r="X36" s="738"/>
      <c r="Y36" s="738"/>
      <c r="Z36" s="738"/>
      <c r="AA36" s="738"/>
      <c r="AB36" s="738"/>
      <c r="AC36" s="738"/>
      <c r="AD36" s="738"/>
      <c r="AE36" s="738"/>
      <c r="AF36" s="738"/>
      <c r="AG36" s="738"/>
      <c r="AH36" s="738"/>
      <c r="AI36" s="738"/>
      <c r="AJ36" s="738"/>
      <c r="AK36" s="738"/>
      <c r="AL36" s="738"/>
      <c r="AM36" s="738"/>
      <c r="AN36" s="738"/>
      <c r="AO36" s="738"/>
      <c r="AP36" s="738"/>
      <c r="AQ36" s="738"/>
      <c r="AR36" s="738"/>
      <c r="AS36" s="738"/>
      <c r="AU36" s="739"/>
      <c r="AV36" s="739"/>
      <c r="AW36" s="739"/>
      <c r="AX36" s="739"/>
      <c r="AY36" s="740"/>
    </row>
    <row r="37" spans="2:51" s="403" customFormat="1" ht="30" customHeight="1">
      <c r="B37" s="777" t="str">
        <f>IF(UNNH0030_REPORT_IF_JURI_NO="","",UNNH0030_REPORT_IF_JURI_NO)</f>
        <v/>
      </c>
      <c r="C37" s="777"/>
      <c r="D37" s="777"/>
      <c r="E37" s="777"/>
      <c r="F37" s="777"/>
      <c r="G37" s="777"/>
      <c r="H37" s="777"/>
      <c r="I37" s="777"/>
      <c r="J37" s="777"/>
      <c r="K37" s="777"/>
      <c r="L37" s="777"/>
      <c r="M37" s="777"/>
      <c r="N37" s="777"/>
      <c r="O37" s="777"/>
      <c r="P37" s="777"/>
      <c r="Q37" s="777"/>
      <c r="R37" s="777"/>
      <c r="S37" s="777"/>
      <c r="T37" s="777"/>
      <c r="U37" s="777"/>
      <c r="V37" s="777"/>
      <c r="W37" s="777"/>
      <c r="X37" s="777"/>
      <c r="Y37" s="777"/>
      <c r="Z37" s="777"/>
      <c r="AA37" s="777"/>
      <c r="AB37" s="777"/>
      <c r="AC37" s="777"/>
      <c r="AD37" s="777"/>
      <c r="AE37" s="777"/>
      <c r="AF37" s="777"/>
      <c r="AG37" s="777"/>
      <c r="AH37" s="777"/>
      <c r="AI37" s="777"/>
      <c r="AJ37" s="777"/>
      <c r="AK37" s="777"/>
      <c r="AL37" s="777"/>
      <c r="AM37" s="777"/>
      <c r="AN37" s="777"/>
      <c r="AO37" s="777"/>
      <c r="AP37" s="777"/>
      <c r="AQ37" s="777"/>
      <c r="AR37" s="777"/>
      <c r="AS37" s="777"/>
      <c r="AT37" s="777"/>
      <c r="AU37" s="777"/>
      <c r="AV37" s="777"/>
      <c r="AW37" s="777"/>
      <c r="AX37" s="777"/>
      <c r="AY37" s="777"/>
    </row>
    <row r="38" spans="2:51" s="403" customFormat="1" ht="12" customHeight="1">
      <c r="C38" s="404"/>
      <c r="D38" s="404"/>
      <c r="E38" s="465"/>
      <c r="F38" s="466"/>
      <c r="G38" s="466"/>
      <c r="H38" s="466"/>
      <c r="I38" s="466"/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7"/>
      <c r="AA38" s="744" t="s">
        <v>1320</v>
      </c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P38" s="774" t="str">
        <f>"No."&amp;UNNH0030_REPORT_IF_H_URIAGE_NO&amp;"-"&amp;ROUNDUP(ROW()/ROWS(UNNH0030_SEIKYUSHO_PAGE_AREA),0)&amp;"/"&amp;UNNH0030_REPORT_IF_B_PAGE_TOTAL</f>
        <v>No.-2/1</v>
      </c>
      <c r="AQ38" s="774"/>
      <c r="AR38" s="774"/>
      <c r="AS38" s="774"/>
      <c r="AT38" s="774"/>
      <c r="AU38" s="774"/>
      <c r="AV38" s="774"/>
      <c r="AW38" s="774"/>
      <c r="AX38" s="774"/>
      <c r="AY38" s="774"/>
    </row>
    <row r="39" spans="2:51" s="403" customFormat="1" ht="24.75" customHeight="1">
      <c r="C39" s="404"/>
      <c r="E39" s="468"/>
      <c r="F39" s="775" t="str">
        <f>IF(UNNH0030_REPORT_IF_H_JUSHO_NO_PRINT_FLG=TRUE,"","〒")</f>
        <v>〒</v>
      </c>
      <c r="G39" s="775"/>
      <c r="H39" s="776" t="str">
        <f>IF(UNNH0030_REPORT_IF_H_JUSHO_NO_PRINT_FLG=TRUE,"",IF(UNNH0030_REPORT_IF_H_YUBIN_NO="","",UNNH0030_REPORT_IF_H_YUBIN_NO))</f>
        <v/>
      </c>
      <c r="I39" s="776"/>
      <c r="J39" s="776"/>
      <c r="K39" s="776"/>
      <c r="L39" s="776"/>
      <c r="M39" s="776"/>
      <c r="N39" s="776"/>
      <c r="O39" s="776"/>
      <c r="P39" s="776"/>
      <c r="Q39" s="776"/>
      <c r="R39" s="776"/>
      <c r="S39" s="776"/>
      <c r="T39" s="776"/>
      <c r="U39" s="776"/>
      <c r="V39" s="776"/>
      <c r="W39" s="776"/>
      <c r="X39" s="776"/>
      <c r="Y39" s="469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P39" s="774"/>
      <c r="AQ39" s="774"/>
      <c r="AR39" s="774"/>
      <c r="AS39" s="774"/>
      <c r="AT39" s="774"/>
      <c r="AU39" s="774"/>
      <c r="AV39" s="774"/>
      <c r="AW39" s="774"/>
      <c r="AX39" s="774"/>
      <c r="AY39" s="774"/>
    </row>
    <row r="40" spans="2:51" s="403" customFormat="1" ht="24.75" customHeight="1">
      <c r="C40" s="404"/>
      <c r="E40" s="468"/>
      <c r="F40" s="745" t="str">
        <f>IF(UNNH0030_REPORT_IF_H_JUSHO_NO_PRINT_FLG="","",IF(UNNH0030_REPORT_IF_H_ADDRESS_1="","",UNNH0030_REPORT_IF_H_ADDRESS_1))</f>
        <v/>
      </c>
      <c r="G40" s="745"/>
      <c r="H40" s="745"/>
      <c r="I40" s="745"/>
      <c r="J40" s="745"/>
      <c r="K40" s="745"/>
      <c r="L40" s="745"/>
      <c r="M40" s="745"/>
      <c r="N40" s="745"/>
      <c r="O40" s="745"/>
      <c r="P40" s="745"/>
      <c r="Q40" s="745"/>
      <c r="R40" s="745"/>
      <c r="S40" s="745"/>
      <c r="T40" s="745"/>
      <c r="U40" s="745"/>
      <c r="V40" s="745"/>
      <c r="W40" s="745"/>
      <c r="X40" s="745"/>
      <c r="Y40" s="469"/>
      <c r="AP40" s="748">
        <f>UNNH0030_REPORT_IF_H_URIAGE_DATE</f>
        <v>0</v>
      </c>
      <c r="AQ40" s="748"/>
      <c r="AR40" s="748"/>
      <c r="AS40" s="748"/>
      <c r="AT40" s="748"/>
      <c r="AU40" s="748"/>
      <c r="AV40" s="748"/>
      <c r="AW40" s="748"/>
      <c r="AX40" s="748"/>
      <c r="AY40" s="748"/>
    </row>
    <row r="41" spans="2:51" s="403" customFormat="1" ht="24.75" customHeight="1">
      <c r="C41" s="404"/>
      <c r="E41" s="468"/>
      <c r="F41" s="745" t="str">
        <f>IF(UNNH0030_REPORT_IF_H_JUSHO_NO_PRINT_FLG="","",IF(UNNH0030_REPORT_IF_H_ADDRESS_2="","",UNNH0030_REPORT_IF_H_ADDRESS_2))</f>
        <v/>
      </c>
      <c r="G41" s="745"/>
      <c r="H41" s="745"/>
      <c r="I41" s="745"/>
      <c r="J41" s="745"/>
      <c r="K41" s="745"/>
      <c r="L41" s="745"/>
      <c r="M41" s="745"/>
      <c r="N41" s="745"/>
      <c r="O41" s="745"/>
      <c r="P41" s="745"/>
      <c r="Q41" s="745"/>
      <c r="R41" s="745"/>
      <c r="S41" s="745"/>
      <c r="T41" s="745"/>
      <c r="U41" s="745"/>
      <c r="V41" s="745"/>
      <c r="W41" s="745"/>
      <c r="X41" s="745"/>
      <c r="Y41" s="469"/>
    </row>
    <row r="42" spans="2:51" s="403" customFormat="1" ht="24.75" customHeight="1">
      <c r="C42" s="404"/>
      <c r="E42" s="468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  <c r="Q42" s="409"/>
      <c r="R42" s="409"/>
      <c r="S42" s="409"/>
      <c r="T42" s="409"/>
      <c r="U42" s="409"/>
      <c r="V42" s="409"/>
      <c r="W42" s="409"/>
      <c r="X42" s="409"/>
      <c r="Y42" s="469"/>
    </row>
    <row r="43" spans="2:51" s="403" customFormat="1" ht="26.25" customHeight="1">
      <c r="C43" s="404"/>
      <c r="E43" s="470"/>
      <c r="F43" s="745" t="str">
        <f>IF(TRIM(UNNH0030_REPORT_IF_H_SOFU_TANTO)="","",
IF(TRIM(UNNH0030_REPORT_IF_H_DEMPYO_SOFU_MEI)="","",
TRIM(UNNH0030_REPORT_IF_H_DEMPYO_SOFU_MEI)))</f>
        <v/>
      </c>
      <c r="G43" s="745"/>
      <c r="H43" s="745"/>
      <c r="I43" s="745"/>
      <c r="J43" s="745"/>
      <c r="K43" s="745"/>
      <c r="L43" s="745"/>
      <c r="M43" s="745"/>
      <c r="N43" s="745"/>
      <c r="O43" s="745"/>
      <c r="P43" s="745"/>
      <c r="Q43" s="745"/>
      <c r="R43" s="745"/>
      <c r="S43" s="745"/>
      <c r="T43" s="745"/>
      <c r="U43" s="745"/>
      <c r="V43" s="745"/>
      <c r="W43" s="745"/>
      <c r="X43" s="745"/>
      <c r="Y43" s="469"/>
    </row>
    <row r="44" spans="2:51" s="403" customFormat="1" ht="26.25" customHeight="1">
      <c r="C44" s="404"/>
      <c r="E44" s="468"/>
      <c r="F44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44" s="746"/>
      <c r="H44" s="746"/>
      <c r="I44" s="746"/>
      <c r="J44" s="746"/>
      <c r="K44" s="746"/>
      <c r="L44" s="746"/>
      <c r="M44" s="746"/>
      <c r="N44" s="746"/>
      <c r="O44" s="746"/>
      <c r="P44" s="746"/>
      <c r="Q44" s="746"/>
      <c r="R44" s="746"/>
      <c r="S44" s="746"/>
      <c r="T44" s="746"/>
      <c r="U44" s="746"/>
      <c r="V44" s="746"/>
      <c r="W44" s="746"/>
      <c r="X44" s="746"/>
      <c r="Y44" s="469"/>
      <c r="Z44" s="477" t="str">
        <f>UNNH0030_REPORT_IF_H_SHIMEBI_MARK</f>
        <v>*</v>
      </c>
    </row>
    <row r="45" spans="2:51" s="403" customFormat="1" ht="25.5" customHeight="1">
      <c r="C45" s="404"/>
      <c r="E45" s="471"/>
      <c r="F45" s="747">
        <f>UNNH0030_REPORT_IF_H_SEIKYU_CD</f>
        <v>0</v>
      </c>
      <c r="G45" s="747"/>
      <c r="H45" s="747"/>
      <c r="I45" s="747"/>
      <c r="J45" s="747"/>
      <c r="K45" s="747"/>
      <c r="L45" s="747"/>
      <c r="M45" s="747"/>
      <c r="N45" s="747"/>
      <c r="O45" s="747"/>
      <c r="P45" s="747"/>
      <c r="Q45" s="747"/>
      <c r="R45" s="747"/>
      <c r="S45" s="747"/>
      <c r="T45" s="747"/>
      <c r="U45" s="747"/>
      <c r="V45" s="747"/>
      <c r="W45" s="747"/>
      <c r="X45" s="747"/>
      <c r="Y45" s="472"/>
    </row>
    <row r="46" spans="2:51" s="403" customFormat="1" ht="30" customHeight="1">
      <c r="C46" s="404"/>
    </row>
    <row r="47" spans="2:51" s="403" customFormat="1" ht="30" customHeight="1"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</row>
    <row r="48" spans="2:51" s="403" customFormat="1" ht="29.25" customHeight="1">
      <c r="B48" s="474" t="s">
        <v>1101</v>
      </c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M48" s="404"/>
      <c r="N48" s="404"/>
      <c r="O48" s="404"/>
    </row>
    <row r="49" spans="1:52" s="403" customFormat="1" ht="36.75" customHeight="1">
      <c r="B49" s="742"/>
      <c r="C49" s="742"/>
      <c r="D49" s="742" t="s">
        <v>1102</v>
      </c>
      <c r="E49" s="742"/>
      <c r="F49" s="742"/>
      <c r="G49" s="742"/>
      <c r="H49" s="742"/>
      <c r="I49" s="742"/>
      <c r="J49" s="742"/>
      <c r="K49" s="742"/>
      <c r="L49" s="742"/>
      <c r="M49" s="742"/>
      <c r="N49" s="742"/>
      <c r="O49" s="742"/>
      <c r="P49" s="742"/>
      <c r="Q49" s="742"/>
      <c r="R49" s="742"/>
      <c r="S49" s="742"/>
      <c r="T49" s="742"/>
      <c r="U49" s="742"/>
      <c r="V49" s="742"/>
      <c r="W49" s="742"/>
      <c r="X49" s="742"/>
      <c r="Y49" s="742"/>
      <c r="Z49" s="742"/>
      <c r="AA49" s="742"/>
      <c r="AB49" s="742"/>
      <c r="AC49" s="742" t="s">
        <v>1103</v>
      </c>
      <c r="AD49" s="742"/>
      <c r="AE49" s="742"/>
      <c r="AF49" s="742"/>
      <c r="AG49" s="742"/>
      <c r="AH49" s="742"/>
      <c r="AI49" s="742"/>
      <c r="AJ49" s="742" t="s">
        <v>1104</v>
      </c>
      <c r="AK49" s="742"/>
      <c r="AL49" s="742" t="s">
        <v>1105</v>
      </c>
      <c r="AM49" s="742"/>
      <c r="AN49" s="742"/>
      <c r="AO49" s="742"/>
      <c r="AP49" s="742"/>
      <c r="AQ49" s="742"/>
      <c r="AR49" s="742"/>
      <c r="AS49" s="742" t="s">
        <v>1106</v>
      </c>
      <c r="AT49" s="742"/>
      <c r="AU49" s="742"/>
      <c r="AV49" s="742"/>
      <c r="AW49" s="742"/>
      <c r="AX49" s="742"/>
      <c r="AY49" s="742"/>
    </row>
    <row r="50" spans="1:52" s="403" customFormat="1" ht="36.75" customHeight="1">
      <c r="B50" s="742">
        <f>ROUNDDOWN(ROW()/ROWS(UNNH0030_REPORT_RAYOUT_SEIKYUSHO),0)*UNNH0030_REPORT_IF_B_PAGE_MEISAI_SU+1</f>
        <v>21</v>
      </c>
      <c r="C50" s="742"/>
      <c r="D50" s="743" t="str">
        <f t="shared" ref="D50:D69" ca="1" si="6">IF(OFFSET(UNNH0030_REPORT_IF_B_SHOHIN_MEI,$B50,0)="","",OFFSET(UNNH0030_REPORT_IF_B_SHOHIN_MEI,$B50,0))</f>
        <v/>
      </c>
      <c r="E50" s="743"/>
      <c r="F50" s="743"/>
      <c r="G50" s="743"/>
      <c r="H50" s="743"/>
      <c r="I50" s="743"/>
      <c r="J50" s="743"/>
      <c r="K50" s="743"/>
      <c r="L50" s="743"/>
      <c r="M50" s="743"/>
      <c r="N50" s="743"/>
      <c r="O50" s="743"/>
      <c r="P50" s="743"/>
      <c r="Q50" s="743"/>
      <c r="R50" s="743"/>
      <c r="S50" s="743"/>
      <c r="T50" s="743"/>
      <c r="U50" s="743"/>
      <c r="V50" s="743"/>
      <c r="W50" s="743"/>
      <c r="X50" s="743"/>
      <c r="Y50" s="743"/>
      <c r="Z50" s="743"/>
      <c r="AA50" s="743"/>
      <c r="AB50" s="743"/>
      <c r="AC50" s="781" t="str">
        <f t="shared" ref="AC50:AC69" ca="1" si="7">IF(OR(OFFSET(UNNH0030_REPORT_IF_B_ROW_KBN,$B50,0)&lt;&gt;1,$D50="",$D50="消費税"),"",
OFFSET(UNNH0030_REPORT_IF_B_SURYO,$B50,0))</f>
        <v/>
      </c>
      <c r="AD50" s="781"/>
      <c r="AE50" s="781"/>
      <c r="AF50" s="781"/>
      <c r="AG50" s="781"/>
      <c r="AH50" s="781"/>
      <c r="AI50" s="781"/>
      <c r="AJ50" s="742" t="str">
        <f t="shared" ref="AJ50:AJ69" ca="1" si="8">IF(OFFSET(UNNH0030_REPORT_IF_B_TANI,$B50,0)="","",OFFSET(UNNH0030_REPORT_IF_B_TANI,$B50,0))</f>
        <v/>
      </c>
      <c r="AK50" s="742"/>
      <c r="AL50" s="781" t="str">
        <f t="shared" ref="AL50:AL69" ca="1" si="9">IF(OR(OFFSET(UNNH0030_REPORT_IF_B_ROW_KBN,$B50,0)&lt;&gt;1,$D50="",$D50="消費税"),"",
OFFSET(UNNH0030_REPORT_IF_B_TANKA,$B50,0))</f>
        <v/>
      </c>
      <c r="AM50" s="781"/>
      <c r="AN50" s="781"/>
      <c r="AO50" s="781"/>
      <c r="AP50" s="781"/>
      <c r="AQ50" s="781"/>
      <c r="AR50" s="781"/>
      <c r="AS50" s="741" t="str">
        <f t="shared" ref="AS50:AS69" ca="1" si="10">IF(OR(OFFSET(UNNH0030_REPORT_IF_B_KINGAKU,$B50,0)=0,$D50=""),"",
OFFSET(UNNH0030_REPORT_IF_B_KINGAKU,$B50,0))</f>
        <v/>
      </c>
      <c r="AT50" s="741"/>
      <c r="AU50" s="741"/>
      <c r="AV50" s="741"/>
      <c r="AW50" s="741"/>
      <c r="AX50" s="741"/>
      <c r="AY50" s="741"/>
    </row>
    <row r="51" spans="1:52" s="403" customFormat="1" ht="36.75" customHeight="1">
      <c r="B51" s="742">
        <f>B50+1</f>
        <v>22</v>
      </c>
      <c r="C51" s="742"/>
      <c r="D51" s="743" t="str">
        <f t="shared" ca="1" si="6"/>
        <v/>
      </c>
      <c r="E51" s="743"/>
      <c r="F51" s="743"/>
      <c r="G51" s="743"/>
      <c r="H51" s="743"/>
      <c r="I51" s="743"/>
      <c r="J51" s="743"/>
      <c r="K51" s="743"/>
      <c r="L51" s="743"/>
      <c r="M51" s="743"/>
      <c r="N51" s="743"/>
      <c r="O51" s="743"/>
      <c r="P51" s="743"/>
      <c r="Q51" s="743"/>
      <c r="R51" s="743"/>
      <c r="S51" s="743"/>
      <c r="T51" s="743"/>
      <c r="U51" s="743"/>
      <c r="V51" s="743"/>
      <c r="W51" s="743"/>
      <c r="X51" s="743"/>
      <c r="Y51" s="743"/>
      <c r="Z51" s="743"/>
      <c r="AA51" s="743"/>
      <c r="AB51" s="743"/>
      <c r="AC51" s="781" t="str">
        <f t="shared" ca="1" si="7"/>
        <v/>
      </c>
      <c r="AD51" s="781"/>
      <c r="AE51" s="781"/>
      <c r="AF51" s="781"/>
      <c r="AG51" s="781"/>
      <c r="AH51" s="781"/>
      <c r="AI51" s="781"/>
      <c r="AJ51" s="742" t="str">
        <f t="shared" ca="1" si="8"/>
        <v/>
      </c>
      <c r="AK51" s="742"/>
      <c r="AL51" s="781" t="str">
        <f t="shared" ca="1" si="9"/>
        <v/>
      </c>
      <c r="AM51" s="781"/>
      <c r="AN51" s="781"/>
      <c r="AO51" s="781"/>
      <c r="AP51" s="781"/>
      <c r="AQ51" s="781"/>
      <c r="AR51" s="781"/>
      <c r="AS51" s="741" t="str">
        <f t="shared" ca="1" si="10"/>
        <v/>
      </c>
      <c r="AT51" s="741"/>
      <c r="AU51" s="741"/>
      <c r="AV51" s="741"/>
      <c r="AW51" s="741"/>
      <c r="AX51" s="741"/>
      <c r="AY51" s="741"/>
    </row>
    <row r="52" spans="1:52" s="403" customFormat="1" ht="36.75" customHeight="1">
      <c r="B52" s="742">
        <f>B51+1</f>
        <v>23</v>
      </c>
      <c r="C52" s="742"/>
      <c r="D52" s="743" t="str">
        <f t="shared" ca="1" si="6"/>
        <v/>
      </c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3"/>
      <c r="R52" s="743"/>
      <c r="S52" s="743"/>
      <c r="T52" s="743"/>
      <c r="U52" s="743"/>
      <c r="V52" s="743"/>
      <c r="W52" s="743"/>
      <c r="X52" s="743"/>
      <c r="Y52" s="743"/>
      <c r="Z52" s="743"/>
      <c r="AA52" s="743"/>
      <c r="AB52" s="743"/>
      <c r="AC52" s="781" t="str">
        <f t="shared" ca="1" si="7"/>
        <v/>
      </c>
      <c r="AD52" s="781"/>
      <c r="AE52" s="781"/>
      <c r="AF52" s="781"/>
      <c r="AG52" s="781"/>
      <c r="AH52" s="781"/>
      <c r="AI52" s="781"/>
      <c r="AJ52" s="742" t="str">
        <f t="shared" ca="1" si="8"/>
        <v/>
      </c>
      <c r="AK52" s="742"/>
      <c r="AL52" s="781" t="str">
        <f t="shared" ca="1" si="9"/>
        <v/>
      </c>
      <c r="AM52" s="781"/>
      <c r="AN52" s="781"/>
      <c r="AO52" s="781"/>
      <c r="AP52" s="781"/>
      <c r="AQ52" s="781"/>
      <c r="AR52" s="781"/>
      <c r="AS52" s="741" t="str">
        <f t="shared" ca="1" si="10"/>
        <v/>
      </c>
      <c r="AT52" s="741"/>
      <c r="AU52" s="741"/>
      <c r="AV52" s="741"/>
      <c r="AW52" s="741"/>
      <c r="AX52" s="741"/>
      <c r="AY52" s="741"/>
    </row>
    <row r="53" spans="1:52" s="403" customFormat="1" ht="36.75" customHeight="1">
      <c r="B53" s="742">
        <f t="shared" ref="B53:B69" si="11">B52+1</f>
        <v>24</v>
      </c>
      <c r="C53" s="742"/>
      <c r="D53" s="743" t="str">
        <f t="shared" ca="1" si="6"/>
        <v/>
      </c>
      <c r="E53" s="743"/>
      <c r="F53" s="743"/>
      <c r="G53" s="743"/>
      <c r="H53" s="743"/>
      <c r="I53" s="743"/>
      <c r="J53" s="743"/>
      <c r="K53" s="743"/>
      <c r="L53" s="743"/>
      <c r="M53" s="743"/>
      <c r="N53" s="743"/>
      <c r="O53" s="743"/>
      <c r="P53" s="743"/>
      <c r="Q53" s="743"/>
      <c r="R53" s="743"/>
      <c r="S53" s="743"/>
      <c r="T53" s="743"/>
      <c r="U53" s="743"/>
      <c r="V53" s="743"/>
      <c r="W53" s="743"/>
      <c r="X53" s="743"/>
      <c r="Y53" s="743"/>
      <c r="Z53" s="743"/>
      <c r="AA53" s="743"/>
      <c r="AB53" s="743"/>
      <c r="AC53" s="781" t="str">
        <f t="shared" ca="1" si="7"/>
        <v/>
      </c>
      <c r="AD53" s="781"/>
      <c r="AE53" s="781"/>
      <c r="AF53" s="781"/>
      <c r="AG53" s="781"/>
      <c r="AH53" s="781"/>
      <c r="AI53" s="781"/>
      <c r="AJ53" s="742" t="str">
        <f t="shared" ca="1" si="8"/>
        <v/>
      </c>
      <c r="AK53" s="742"/>
      <c r="AL53" s="781" t="str">
        <f t="shared" ca="1" si="9"/>
        <v/>
      </c>
      <c r="AM53" s="781"/>
      <c r="AN53" s="781"/>
      <c r="AO53" s="781"/>
      <c r="AP53" s="781"/>
      <c r="AQ53" s="781"/>
      <c r="AR53" s="781"/>
      <c r="AS53" s="741" t="str">
        <f t="shared" ca="1" si="10"/>
        <v/>
      </c>
      <c r="AT53" s="741"/>
      <c r="AU53" s="741"/>
      <c r="AV53" s="741"/>
      <c r="AW53" s="741"/>
      <c r="AX53" s="741"/>
      <c r="AY53" s="741"/>
    </row>
    <row r="54" spans="1:52" s="403" customFormat="1" ht="36.75" customHeight="1">
      <c r="A54" s="403" t="s">
        <v>1529</v>
      </c>
      <c r="B54" s="742">
        <f t="shared" si="11"/>
        <v>25</v>
      </c>
      <c r="C54" s="742"/>
      <c r="D54" s="743" t="str">
        <f t="shared" ca="1" si="6"/>
        <v/>
      </c>
      <c r="E54" s="743"/>
      <c r="F54" s="743"/>
      <c r="G54" s="743"/>
      <c r="H54" s="743"/>
      <c r="I54" s="743"/>
      <c r="J54" s="743"/>
      <c r="K54" s="743"/>
      <c r="L54" s="743"/>
      <c r="M54" s="743"/>
      <c r="N54" s="743"/>
      <c r="O54" s="743"/>
      <c r="P54" s="743"/>
      <c r="Q54" s="743"/>
      <c r="R54" s="743"/>
      <c r="S54" s="743"/>
      <c r="T54" s="743"/>
      <c r="U54" s="743"/>
      <c r="V54" s="743"/>
      <c r="W54" s="743"/>
      <c r="X54" s="743"/>
      <c r="Y54" s="743"/>
      <c r="Z54" s="743"/>
      <c r="AA54" s="743"/>
      <c r="AB54" s="743"/>
      <c r="AC54" s="781" t="str">
        <f t="shared" ca="1" si="7"/>
        <v/>
      </c>
      <c r="AD54" s="781"/>
      <c r="AE54" s="781"/>
      <c r="AF54" s="781"/>
      <c r="AG54" s="781"/>
      <c r="AH54" s="781"/>
      <c r="AI54" s="781"/>
      <c r="AJ54" s="742" t="str">
        <f t="shared" ca="1" si="8"/>
        <v/>
      </c>
      <c r="AK54" s="742"/>
      <c r="AL54" s="781" t="str">
        <f t="shared" ca="1" si="9"/>
        <v/>
      </c>
      <c r="AM54" s="781"/>
      <c r="AN54" s="781"/>
      <c r="AO54" s="781"/>
      <c r="AP54" s="781"/>
      <c r="AQ54" s="781"/>
      <c r="AR54" s="781"/>
      <c r="AS54" s="741" t="str">
        <f t="shared" ca="1" si="10"/>
        <v/>
      </c>
      <c r="AT54" s="741"/>
      <c r="AU54" s="741"/>
      <c r="AV54" s="741"/>
      <c r="AW54" s="741"/>
      <c r="AX54" s="741"/>
      <c r="AY54" s="741"/>
      <c r="AZ54" s="473" t="s">
        <v>1530</v>
      </c>
    </row>
    <row r="55" spans="1:52" s="403" customFormat="1" ht="36.75" customHeight="1">
      <c r="B55" s="742">
        <f t="shared" si="11"/>
        <v>26</v>
      </c>
      <c r="C55" s="742"/>
      <c r="D55" s="743" t="str">
        <f t="shared" ca="1" si="6"/>
        <v/>
      </c>
      <c r="E55" s="743"/>
      <c r="F55" s="743"/>
      <c r="G55" s="743"/>
      <c r="H55" s="743"/>
      <c r="I55" s="743"/>
      <c r="J55" s="743"/>
      <c r="K55" s="743"/>
      <c r="L55" s="743"/>
      <c r="M55" s="743"/>
      <c r="N55" s="743"/>
      <c r="O55" s="743"/>
      <c r="P55" s="743"/>
      <c r="Q55" s="743"/>
      <c r="R55" s="743"/>
      <c r="S55" s="743"/>
      <c r="T55" s="743"/>
      <c r="U55" s="743"/>
      <c r="V55" s="743"/>
      <c r="W55" s="743"/>
      <c r="X55" s="743"/>
      <c r="Y55" s="743"/>
      <c r="Z55" s="743"/>
      <c r="AA55" s="743"/>
      <c r="AB55" s="743"/>
      <c r="AC55" s="781" t="str">
        <f t="shared" ca="1" si="7"/>
        <v/>
      </c>
      <c r="AD55" s="781"/>
      <c r="AE55" s="781"/>
      <c r="AF55" s="781"/>
      <c r="AG55" s="781"/>
      <c r="AH55" s="781"/>
      <c r="AI55" s="781"/>
      <c r="AJ55" s="742" t="str">
        <f t="shared" ca="1" si="8"/>
        <v/>
      </c>
      <c r="AK55" s="742"/>
      <c r="AL55" s="781" t="str">
        <f t="shared" ca="1" si="9"/>
        <v/>
      </c>
      <c r="AM55" s="781"/>
      <c r="AN55" s="781"/>
      <c r="AO55" s="781"/>
      <c r="AP55" s="781"/>
      <c r="AQ55" s="781"/>
      <c r="AR55" s="781"/>
      <c r="AS55" s="741" t="str">
        <f t="shared" ca="1" si="10"/>
        <v/>
      </c>
      <c r="AT55" s="741"/>
      <c r="AU55" s="741"/>
      <c r="AV55" s="741"/>
      <c r="AW55" s="741"/>
      <c r="AX55" s="741"/>
      <c r="AY55" s="741"/>
      <c r="AZ55" s="473"/>
    </row>
    <row r="56" spans="1:52" s="403" customFormat="1" ht="36.75" customHeight="1">
      <c r="B56" s="742">
        <f t="shared" si="11"/>
        <v>27</v>
      </c>
      <c r="C56" s="742"/>
      <c r="D56" s="743" t="str">
        <f t="shared" ca="1" si="6"/>
        <v/>
      </c>
      <c r="E56" s="743"/>
      <c r="F56" s="743"/>
      <c r="G56" s="743"/>
      <c r="H56" s="743"/>
      <c r="I56" s="743"/>
      <c r="J56" s="743"/>
      <c r="K56" s="743"/>
      <c r="L56" s="743"/>
      <c r="M56" s="743"/>
      <c r="N56" s="743"/>
      <c r="O56" s="743"/>
      <c r="P56" s="743"/>
      <c r="Q56" s="743"/>
      <c r="R56" s="743"/>
      <c r="S56" s="743"/>
      <c r="T56" s="743"/>
      <c r="U56" s="743"/>
      <c r="V56" s="743"/>
      <c r="W56" s="743"/>
      <c r="X56" s="743"/>
      <c r="Y56" s="743"/>
      <c r="Z56" s="743"/>
      <c r="AA56" s="743"/>
      <c r="AB56" s="743"/>
      <c r="AC56" s="781" t="str">
        <f t="shared" ca="1" si="7"/>
        <v/>
      </c>
      <c r="AD56" s="781"/>
      <c r="AE56" s="781"/>
      <c r="AF56" s="781"/>
      <c r="AG56" s="781"/>
      <c r="AH56" s="781"/>
      <c r="AI56" s="781"/>
      <c r="AJ56" s="742" t="str">
        <f t="shared" ca="1" si="8"/>
        <v/>
      </c>
      <c r="AK56" s="742"/>
      <c r="AL56" s="781" t="str">
        <f t="shared" ca="1" si="9"/>
        <v/>
      </c>
      <c r="AM56" s="781"/>
      <c r="AN56" s="781"/>
      <c r="AO56" s="781"/>
      <c r="AP56" s="781"/>
      <c r="AQ56" s="781"/>
      <c r="AR56" s="781"/>
      <c r="AS56" s="741" t="str">
        <f t="shared" ca="1" si="10"/>
        <v/>
      </c>
      <c r="AT56" s="741"/>
      <c r="AU56" s="741"/>
      <c r="AV56" s="741"/>
      <c r="AW56" s="741"/>
      <c r="AX56" s="741"/>
      <c r="AY56" s="741"/>
      <c r="AZ56" s="473"/>
    </row>
    <row r="57" spans="1:52" s="403" customFormat="1" ht="36.75" customHeight="1">
      <c r="B57" s="742">
        <f t="shared" si="11"/>
        <v>28</v>
      </c>
      <c r="C57" s="742"/>
      <c r="D57" s="743" t="str">
        <f t="shared" ca="1" si="6"/>
        <v/>
      </c>
      <c r="E57" s="743"/>
      <c r="F57" s="743"/>
      <c r="G57" s="743"/>
      <c r="H57" s="743"/>
      <c r="I57" s="743"/>
      <c r="J57" s="743"/>
      <c r="K57" s="743"/>
      <c r="L57" s="743"/>
      <c r="M57" s="743"/>
      <c r="N57" s="743"/>
      <c r="O57" s="743"/>
      <c r="P57" s="743"/>
      <c r="Q57" s="743"/>
      <c r="R57" s="743"/>
      <c r="S57" s="743"/>
      <c r="T57" s="743"/>
      <c r="U57" s="743"/>
      <c r="V57" s="743"/>
      <c r="W57" s="743"/>
      <c r="X57" s="743"/>
      <c r="Y57" s="743"/>
      <c r="Z57" s="743"/>
      <c r="AA57" s="743"/>
      <c r="AB57" s="743"/>
      <c r="AC57" s="781" t="str">
        <f t="shared" ca="1" si="7"/>
        <v/>
      </c>
      <c r="AD57" s="781"/>
      <c r="AE57" s="781"/>
      <c r="AF57" s="781"/>
      <c r="AG57" s="781"/>
      <c r="AH57" s="781"/>
      <c r="AI57" s="781"/>
      <c r="AJ57" s="742" t="str">
        <f t="shared" ca="1" si="8"/>
        <v/>
      </c>
      <c r="AK57" s="742"/>
      <c r="AL57" s="781" t="str">
        <f t="shared" ca="1" si="9"/>
        <v/>
      </c>
      <c r="AM57" s="781"/>
      <c r="AN57" s="781"/>
      <c r="AO57" s="781"/>
      <c r="AP57" s="781"/>
      <c r="AQ57" s="781"/>
      <c r="AR57" s="781"/>
      <c r="AS57" s="741" t="str">
        <f t="shared" ca="1" si="10"/>
        <v/>
      </c>
      <c r="AT57" s="741"/>
      <c r="AU57" s="741"/>
      <c r="AV57" s="741"/>
      <c r="AW57" s="741"/>
      <c r="AX57" s="741"/>
      <c r="AY57" s="741"/>
    </row>
    <row r="58" spans="1:52" s="403" customFormat="1" ht="36.75" customHeight="1">
      <c r="B58" s="742">
        <f t="shared" si="11"/>
        <v>29</v>
      </c>
      <c r="C58" s="742"/>
      <c r="D58" s="743" t="str">
        <f t="shared" ca="1" si="6"/>
        <v/>
      </c>
      <c r="E58" s="743"/>
      <c r="F58" s="743"/>
      <c r="G58" s="743"/>
      <c r="H58" s="743"/>
      <c r="I58" s="743"/>
      <c r="J58" s="743"/>
      <c r="K58" s="743"/>
      <c r="L58" s="743"/>
      <c r="M58" s="743"/>
      <c r="N58" s="743"/>
      <c r="O58" s="743"/>
      <c r="P58" s="743"/>
      <c r="Q58" s="743"/>
      <c r="R58" s="743"/>
      <c r="S58" s="743"/>
      <c r="T58" s="743"/>
      <c r="U58" s="743"/>
      <c r="V58" s="743"/>
      <c r="W58" s="743"/>
      <c r="X58" s="743"/>
      <c r="Y58" s="743"/>
      <c r="Z58" s="743"/>
      <c r="AA58" s="743"/>
      <c r="AB58" s="743"/>
      <c r="AC58" s="781" t="str">
        <f t="shared" ca="1" si="7"/>
        <v/>
      </c>
      <c r="AD58" s="781"/>
      <c r="AE58" s="781"/>
      <c r="AF58" s="781"/>
      <c r="AG58" s="781"/>
      <c r="AH58" s="781"/>
      <c r="AI58" s="781"/>
      <c r="AJ58" s="742" t="str">
        <f t="shared" ca="1" si="8"/>
        <v/>
      </c>
      <c r="AK58" s="742"/>
      <c r="AL58" s="781" t="str">
        <f t="shared" ca="1" si="9"/>
        <v/>
      </c>
      <c r="AM58" s="781"/>
      <c r="AN58" s="781"/>
      <c r="AO58" s="781"/>
      <c r="AP58" s="781"/>
      <c r="AQ58" s="781"/>
      <c r="AR58" s="781"/>
      <c r="AS58" s="741" t="str">
        <f t="shared" ca="1" si="10"/>
        <v/>
      </c>
      <c r="AT58" s="741"/>
      <c r="AU58" s="741"/>
      <c r="AV58" s="741"/>
      <c r="AW58" s="741"/>
      <c r="AX58" s="741"/>
      <c r="AY58" s="741"/>
    </row>
    <row r="59" spans="1:52" s="403" customFormat="1" ht="36.75" customHeight="1">
      <c r="B59" s="742">
        <f t="shared" si="11"/>
        <v>30</v>
      </c>
      <c r="C59" s="742"/>
      <c r="D59" s="743" t="str">
        <f t="shared" ca="1" si="6"/>
        <v/>
      </c>
      <c r="E59" s="743"/>
      <c r="F59" s="743"/>
      <c r="G59" s="743"/>
      <c r="H59" s="743"/>
      <c r="I59" s="743"/>
      <c r="J59" s="743"/>
      <c r="K59" s="743"/>
      <c r="L59" s="743"/>
      <c r="M59" s="743"/>
      <c r="N59" s="743"/>
      <c r="O59" s="743"/>
      <c r="P59" s="743"/>
      <c r="Q59" s="743"/>
      <c r="R59" s="743"/>
      <c r="S59" s="743"/>
      <c r="T59" s="743"/>
      <c r="U59" s="743"/>
      <c r="V59" s="743"/>
      <c r="W59" s="743"/>
      <c r="X59" s="743"/>
      <c r="Y59" s="743"/>
      <c r="Z59" s="743"/>
      <c r="AA59" s="743"/>
      <c r="AB59" s="743"/>
      <c r="AC59" s="781" t="str">
        <f t="shared" ca="1" si="7"/>
        <v/>
      </c>
      <c r="AD59" s="781"/>
      <c r="AE59" s="781"/>
      <c r="AF59" s="781"/>
      <c r="AG59" s="781"/>
      <c r="AH59" s="781"/>
      <c r="AI59" s="781"/>
      <c r="AJ59" s="742" t="str">
        <f t="shared" ca="1" si="8"/>
        <v/>
      </c>
      <c r="AK59" s="742"/>
      <c r="AL59" s="781" t="str">
        <f t="shared" ca="1" si="9"/>
        <v/>
      </c>
      <c r="AM59" s="781"/>
      <c r="AN59" s="781"/>
      <c r="AO59" s="781"/>
      <c r="AP59" s="781"/>
      <c r="AQ59" s="781"/>
      <c r="AR59" s="781"/>
      <c r="AS59" s="741" t="str">
        <f t="shared" ca="1" si="10"/>
        <v/>
      </c>
      <c r="AT59" s="741"/>
      <c r="AU59" s="741"/>
      <c r="AV59" s="741"/>
      <c r="AW59" s="741"/>
      <c r="AX59" s="741"/>
      <c r="AY59" s="741"/>
    </row>
    <row r="60" spans="1:52" s="403" customFormat="1" ht="36.75" customHeight="1">
      <c r="B60" s="742">
        <f t="shared" si="11"/>
        <v>31</v>
      </c>
      <c r="C60" s="742"/>
      <c r="D60" s="743" t="str">
        <f t="shared" ca="1" si="6"/>
        <v/>
      </c>
      <c r="E60" s="743"/>
      <c r="F60" s="743"/>
      <c r="G60" s="743"/>
      <c r="H60" s="743"/>
      <c r="I60" s="743"/>
      <c r="J60" s="743"/>
      <c r="K60" s="743"/>
      <c r="L60" s="743"/>
      <c r="M60" s="743"/>
      <c r="N60" s="743"/>
      <c r="O60" s="743"/>
      <c r="P60" s="743"/>
      <c r="Q60" s="743"/>
      <c r="R60" s="743"/>
      <c r="S60" s="743"/>
      <c r="T60" s="743"/>
      <c r="U60" s="743"/>
      <c r="V60" s="743"/>
      <c r="W60" s="743"/>
      <c r="X60" s="743"/>
      <c r="Y60" s="743"/>
      <c r="Z60" s="743"/>
      <c r="AA60" s="743"/>
      <c r="AB60" s="743"/>
      <c r="AC60" s="781" t="str">
        <f t="shared" ca="1" si="7"/>
        <v/>
      </c>
      <c r="AD60" s="781"/>
      <c r="AE60" s="781"/>
      <c r="AF60" s="781"/>
      <c r="AG60" s="781"/>
      <c r="AH60" s="781"/>
      <c r="AI60" s="781"/>
      <c r="AJ60" s="742" t="str">
        <f t="shared" ca="1" si="8"/>
        <v/>
      </c>
      <c r="AK60" s="742"/>
      <c r="AL60" s="781" t="str">
        <f t="shared" ca="1" si="9"/>
        <v/>
      </c>
      <c r="AM60" s="781"/>
      <c r="AN60" s="781"/>
      <c r="AO60" s="781"/>
      <c r="AP60" s="781"/>
      <c r="AQ60" s="781"/>
      <c r="AR60" s="781"/>
      <c r="AS60" s="741" t="str">
        <f t="shared" ca="1" si="10"/>
        <v/>
      </c>
      <c r="AT60" s="741"/>
      <c r="AU60" s="741"/>
      <c r="AV60" s="741"/>
      <c r="AW60" s="741"/>
      <c r="AX60" s="741"/>
      <c r="AY60" s="741"/>
    </row>
    <row r="61" spans="1:52" s="403" customFormat="1" ht="36.75" customHeight="1">
      <c r="B61" s="742">
        <f t="shared" si="11"/>
        <v>32</v>
      </c>
      <c r="C61" s="742"/>
      <c r="D61" s="743" t="str">
        <f t="shared" ca="1" si="6"/>
        <v/>
      </c>
      <c r="E61" s="743"/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3"/>
      <c r="R61" s="743"/>
      <c r="S61" s="743"/>
      <c r="T61" s="743"/>
      <c r="U61" s="743"/>
      <c r="V61" s="743"/>
      <c r="W61" s="743"/>
      <c r="X61" s="743"/>
      <c r="Y61" s="743"/>
      <c r="Z61" s="743"/>
      <c r="AA61" s="743"/>
      <c r="AB61" s="743"/>
      <c r="AC61" s="781" t="str">
        <f t="shared" ca="1" si="7"/>
        <v/>
      </c>
      <c r="AD61" s="781"/>
      <c r="AE61" s="781"/>
      <c r="AF61" s="781"/>
      <c r="AG61" s="781"/>
      <c r="AH61" s="781"/>
      <c r="AI61" s="781"/>
      <c r="AJ61" s="742" t="str">
        <f t="shared" ca="1" si="8"/>
        <v/>
      </c>
      <c r="AK61" s="742"/>
      <c r="AL61" s="781" t="str">
        <f t="shared" ca="1" si="9"/>
        <v/>
      </c>
      <c r="AM61" s="781"/>
      <c r="AN61" s="781"/>
      <c r="AO61" s="781"/>
      <c r="AP61" s="781"/>
      <c r="AQ61" s="781"/>
      <c r="AR61" s="781"/>
      <c r="AS61" s="741" t="str">
        <f t="shared" ca="1" si="10"/>
        <v/>
      </c>
      <c r="AT61" s="741"/>
      <c r="AU61" s="741"/>
      <c r="AV61" s="741"/>
      <c r="AW61" s="741"/>
      <c r="AX61" s="741"/>
      <c r="AY61" s="741"/>
    </row>
    <row r="62" spans="1:52" s="403" customFormat="1" ht="36.75" customHeight="1">
      <c r="B62" s="742">
        <f t="shared" si="11"/>
        <v>33</v>
      </c>
      <c r="C62" s="742"/>
      <c r="D62" s="743" t="str">
        <f t="shared" ca="1" si="6"/>
        <v/>
      </c>
      <c r="E62" s="743"/>
      <c r="F62" s="743"/>
      <c r="G62" s="743"/>
      <c r="H62" s="743"/>
      <c r="I62" s="743"/>
      <c r="J62" s="743"/>
      <c r="K62" s="743"/>
      <c r="L62" s="743"/>
      <c r="M62" s="743"/>
      <c r="N62" s="743"/>
      <c r="O62" s="743"/>
      <c r="P62" s="743"/>
      <c r="Q62" s="743"/>
      <c r="R62" s="743"/>
      <c r="S62" s="743"/>
      <c r="T62" s="743"/>
      <c r="U62" s="743"/>
      <c r="V62" s="743"/>
      <c r="W62" s="743"/>
      <c r="X62" s="743"/>
      <c r="Y62" s="743"/>
      <c r="Z62" s="743"/>
      <c r="AA62" s="743"/>
      <c r="AB62" s="743"/>
      <c r="AC62" s="781" t="str">
        <f t="shared" ca="1" si="7"/>
        <v/>
      </c>
      <c r="AD62" s="781"/>
      <c r="AE62" s="781"/>
      <c r="AF62" s="781"/>
      <c r="AG62" s="781"/>
      <c r="AH62" s="781"/>
      <c r="AI62" s="781"/>
      <c r="AJ62" s="742" t="str">
        <f t="shared" ca="1" si="8"/>
        <v/>
      </c>
      <c r="AK62" s="742"/>
      <c r="AL62" s="781" t="str">
        <f t="shared" ca="1" si="9"/>
        <v/>
      </c>
      <c r="AM62" s="781"/>
      <c r="AN62" s="781"/>
      <c r="AO62" s="781"/>
      <c r="AP62" s="781"/>
      <c r="AQ62" s="781"/>
      <c r="AR62" s="781"/>
      <c r="AS62" s="741" t="str">
        <f t="shared" ca="1" si="10"/>
        <v/>
      </c>
      <c r="AT62" s="741"/>
      <c r="AU62" s="741"/>
      <c r="AV62" s="741"/>
      <c r="AW62" s="741"/>
      <c r="AX62" s="741"/>
      <c r="AY62" s="741"/>
    </row>
    <row r="63" spans="1:52" s="403" customFormat="1" ht="36.75" customHeight="1">
      <c r="B63" s="742">
        <f t="shared" si="11"/>
        <v>34</v>
      </c>
      <c r="C63" s="742"/>
      <c r="D63" s="743" t="str">
        <f t="shared" ca="1" si="6"/>
        <v/>
      </c>
      <c r="E63" s="743"/>
      <c r="F63" s="743"/>
      <c r="G63" s="743"/>
      <c r="H63" s="743"/>
      <c r="I63" s="743"/>
      <c r="J63" s="743"/>
      <c r="K63" s="743"/>
      <c r="L63" s="743"/>
      <c r="M63" s="743"/>
      <c r="N63" s="743"/>
      <c r="O63" s="743"/>
      <c r="P63" s="743"/>
      <c r="Q63" s="743"/>
      <c r="R63" s="743"/>
      <c r="S63" s="743"/>
      <c r="T63" s="743"/>
      <c r="U63" s="743"/>
      <c r="V63" s="743"/>
      <c r="W63" s="743"/>
      <c r="X63" s="743"/>
      <c r="Y63" s="743"/>
      <c r="Z63" s="743"/>
      <c r="AA63" s="743"/>
      <c r="AB63" s="743"/>
      <c r="AC63" s="781" t="str">
        <f t="shared" ca="1" si="7"/>
        <v/>
      </c>
      <c r="AD63" s="781"/>
      <c r="AE63" s="781"/>
      <c r="AF63" s="781"/>
      <c r="AG63" s="781"/>
      <c r="AH63" s="781"/>
      <c r="AI63" s="781"/>
      <c r="AJ63" s="742" t="str">
        <f t="shared" ca="1" si="8"/>
        <v/>
      </c>
      <c r="AK63" s="742"/>
      <c r="AL63" s="781" t="str">
        <f t="shared" ca="1" si="9"/>
        <v/>
      </c>
      <c r="AM63" s="781"/>
      <c r="AN63" s="781"/>
      <c r="AO63" s="781"/>
      <c r="AP63" s="781"/>
      <c r="AQ63" s="781"/>
      <c r="AR63" s="781"/>
      <c r="AS63" s="741" t="str">
        <f t="shared" ca="1" si="10"/>
        <v/>
      </c>
      <c r="AT63" s="741"/>
      <c r="AU63" s="741"/>
      <c r="AV63" s="741"/>
      <c r="AW63" s="741"/>
      <c r="AX63" s="741"/>
      <c r="AY63" s="741"/>
    </row>
    <row r="64" spans="1:52" s="403" customFormat="1" ht="36.75" customHeight="1">
      <c r="B64" s="742">
        <f t="shared" si="11"/>
        <v>35</v>
      </c>
      <c r="C64" s="742"/>
      <c r="D64" s="743" t="str">
        <f t="shared" ca="1" si="6"/>
        <v/>
      </c>
      <c r="E64" s="743"/>
      <c r="F64" s="743"/>
      <c r="G64" s="743"/>
      <c r="H64" s="743"/>
      <c r="I64" s="743"/>
      <c r="J64" s="743"/>
      <c r="K64" s="743"/>
      <c r="L64" s="743"/>
      <c r="M64" s="743"/>
      <c r="N64" s="743"/>
      <c r="O64" s="743"/>
      <c r="P64" s="743"/>
      <c r="Q64" s="743"/>
      <c r="R64" s="743"/>
      <c r="S64" s="743"/>
      <c r="T64" s="743"/>
      <c r="U64" s="743"/>
      <c r="V64" s="743"/>
      <c r="W64" s="743"/>
      <c r="X64" s="743"/>
      <c r="Y64" s="743"/>
      <c r="Z64" s="743"/>
      <c r="AA64" s="743"/>
      <c r="AB64" s="743"/>
      <c r="AC64" s="781" t="str">
        <f t="shared" ca="1" si="7"/>
        <v/>
      </c>
      <c r="AD64" s="781"/>
      <c r="AE64" s="781"/>
      <c r="AF64" s="781"/>
      <c r="AG64" s="781"/>
      <c r="AH64" s="781"/>
      <c r="AI64" s="781"/>
      <c r="AJ64" s="742" t="str">
        <f t="shared" ca="1" si="8"/>
        <v/>
      </c>
      <c r="AK64" s="742"/>
      <c r="AL64" s="781" t="str">
        <f t="shared" ca="1" si="9"/>
        <v/>
      </c>
      <c r="AM64" s="781"/>
      <c r="AN64" s="781"/>
      <c r="AO64" s="781"/>
      <c r="AP64" s="781"/>
      <c r="AQ64" s="781"/>
      <c r="AR64" s="781"/>
      <c r="AS64" s="741" t="str">
        <f t="shared" ca="1" si="10"/>
        <v/>
      </c>
      <c r="AT64" s="741"/>
      <c r="AU64" s="741"/>
      <c r="AV64" s="741"/>
      <c r="AW64" s="741"/>
      <c r="AX64" s="741"/>
      <c r="AY64" s="741"/>
    </row>
    <row r="65" spans="1:52" s="403" customFormat="1" ht="36.75" customHeight="1">
      <c r="B65" s="742">
        <f t="shared" si="11"/>
        <v>36</v>
      </c>
      <c r="C65" s="742"/>
      <c r="D65" s="743" t="str">
        <f t="shared" ca="1" si="6"/>
        <v/>
      </c>
      <c r="E65" s="743"/>
      <c r="F65" s="743"/>
      <c r="G65" s="743"/>
      <c r="H65" s="743"/>
      <c r="I65" s="743"/>
      <c r="J65" s="743"/>
      <c r="K65" s="743"/>
      <c r="L65" s="743"/>
      <c r="M65" s="743"/>
      <c r="N65" s="743"/>
      <c r="O65" s="743"/>
      <c r="P65" s="743"/>
      <c r="Q65" s="743"/>
      <c r="R65" s="743"/>
      <c r="S65" s="743"/>
      <c r="T65" s="743"/>
      <c r="U65" s="743"/>
      <c r="V65" s="743"/>
      <c r="W65" s="743"/>
      <c r="X65" s="743"/>
      <c r="Y65" s="743"/>
      <c r="Z65" s="743"/>
      <c r="AA65" s="743"/>
      <c r="AB65" s="743"/>
      <c r="AC65" s="781" t="str">
        <f t="shared" ca="1" si="7"/>
        <v/>
      </c>
      <c r="AD65" s="781"/>
      <c r="AE65" s="781"/>
      <c r="AF65" s="781"/>
      <c r="AG65" s="781"/>
      <c r="AH65" s="781"/>
      <c r="AI65" s="781"/>
      <c r="AJ65" s="742" t="str">
        <f t="shared" ca="1" si="8"/>
        <v/>
      </c>
      <c r="AK65" s="742"/>
      <c r="AL65" s="781" t="str">
        <f t="shared" ca="1" si="9"/>
        <v/>
      </c>
      <c r="AM65" s="781"/>
      <c r="AN65" s="781"/>
      <c r="AO65" s="781"/>
      <c r="AP65" s="781"/>
      <c r="AQ65" s="781"/>
      <c r="AR65" s="781"/>
      <c r="AS65" s="741" t="str">
        <f t="shared" ca="1" si="10"/>
        <v/>
      </c>
      <c r="AT65" s="741"/>
      <c r="AU65" s="741"/>
      <c r="AV65" s="741"/>
      <c r="AW65" s="741"/>
      <c r="AX65" s="741"/>
      <c r="AY65" s="741"/>
    </row>
    <row r="66" spans="1:52" s="403" customFormat="1" ht="36.75" customHeight="1">
      <c r="B66" s="742">
        <f t="shared" si="11"/>
        <v>37</v>
      </c>
      <c r="C66" s="742"/>
      <c r="D66" s="743" t="str">
        <f t="shared" ca="1" si="6"/>
        <v/>
      </c>
      <c r="E66" s="743"/>
      <c r="F66" s="743"/>
      <c r="G66" s="743"/>
      <c r="H66" s="743"/>
      <c r="I66" s="743"/>
      <c r="J66" s="743"/>
      <c r="K66" s="743"/>
      <c r="L66" s="743"/>
      <c r="M66" s="743"/>
      <c r="N66" s="743"/>
      <c r="O66" s="743"/>
      <c r="P66" s="743"/>
      <c r="Q66" s="743"/>
      <c r="R66" s="743"/>
      <c r="S66" s="743"/>
      <c r="T66" s="743"/>
      <c r="U66" s="743"/>
      <c r="V66" s="743"/>
      <c r="W66" s="743"/>
      <c r="X66" s="743"/>
      <c r="Y66" s="743"/>
      <c r="Z66" s="743"/>
      <c r="AA66" s="743"/>
      <c r="AB66" s="743"/>
      <c r="AC66" s="781" t="str">
        <f t="shared" ca="1" si="7"/>
        <v/>
      </c>
      <c r="AD66" s="781"/>
      <c r="AE66" s="781"/>
      <c r="AF66" s="781"/>
      <c r="AG66" s="781"/>
      <c r="AH66" s="781"/>
      <c r="AI66" s="781"/>
      <c r="AJ66" s="742" t="str">
        <f t="shared" ca="1" si="8"/>
        <v/>
      </c>
      <c r="AK66" s="742"/>
      <c r="AL66" s="781" t="str">
        <f t="shared" ca="1" si="9"/>
        <v/>
      </c>
      <c r="AM66" s="781"/>
      <c r="AN66" s="781"/>
      <c r="AO66" s="781"/>
      <c r="AP66" s="781"/>
      <c r="AQ66" s="781"/>
      <c r="AR66" s="781"/>
      <c r="AS66" s="741" t="str">
        <f t="shared" ca="1" si="10"/>
        <v/>
      </c>
      <c r="AT66" s="741"/>
      <c r="AU66" s="741"/>
      <c r="AV66" s="741"/>
      <c r="AW66" s="741"/>
      <c r="AX66" s="741"/>
      <c r="AY66" s="741"/>
    </row>
    <row r="67" spans="1:52" s="403" customFormat="1" ht="36.75" customHeight="1">
      <c r="B67" s="742">
        <f t="shared" si="11"/>
        <v>38</v>
      </c>
      <c r="C67" s="742"/>
      <c r="D67" s="743" t="str">
        <f t="shared" ca="1" si="6"/>
        <v/>
      </c>
      <c r="E67" s="743"/>
      <c r="F67" s="743"/>
      <c r="G67" s="743"/>
      <c r="H67" s="743"/>
      <c r="I67" s="743"/>
      <c r="J67" s="743"/>
      <c r="K67" s="743"/>
      <c r="L67" s="743"/>
      <c r="M67" s="743"/>
      <c r="N67" s="743"/>
      <c r="O67" s="743"/>
      <c r="P67" s="743"/>
      <c r="Q67" s="743"/>
      <c r="R67" s="743"/>
      <c r="S67" s="743"/>
      <c r="T67" s="743"/>
      <c r="U67" s="743"/>
      <c r="V67" s="743"/>
      <c r="W67" s="743"/>
      <c r="X67" s="743"/>
      <c r="Y67" s="743"/>
      <c r="Z67" s="743"/>
      <c r="AA67" s="743"/>
      <c r="AB67" s="743"/>
      <c r="AC67" s="781" t="str">
        <f t="shared" ca="1" si="7"/>
        <v/>
      </c>
      <c r="AD67" s="781"/>
      <c r="AE67" s="781"/>
      <c r="AF67" s="781"/>
      <c r="AG67" s="781"/>
      <c r="AH67" s="781"/>
      <c r="AI67" s="781"/>
      <c r="AJ67" s="742" t="str">
        <f t="shared" ca="1" si="8"/>
        <v/>
      </c>
      <c r="AK67" s="742"/>
      <c r="AL67" s="781" t="str">
        <f t="shared" ca="1" si="9"/>
        <v/>
      </c>
      <c r="AM67" s="781"/>
      <c r="AN67" s="781"/>
      <c r="AO67" s="781"/>
      <c r="AP67" s="781"/>
      <c r="AQ67" s="781"/>
      <c r="AR67" s="781"/>
      <c r="AS67" s="741" t="str">
        <f t="shared" ca="1" si="10"/>
        <v/>
      </c>
      <c r="AT67" s="741"/>
      <c r="AU67" s="741"/>
      <c r="AV67" s="741"/>
      <c r="AW67" s="741"/>
      <c r="AX67" s="741"/>
      <c r="AY67" s="741"/>
    </row>
    <row r="68" spans="1:52" s="403" customFormat="1" ht="36.75" customHeight="1">
      <c r="A68" s="403" t="s">
        <v>1529</v>
      </c>
      <c r="B68" s="742">
        <f t="shared" si="11"/>
        <v>39</v>
      </c>
      <c r="C68" s="742"/>
      <c r="D68" s="743" t="str">
        <f t="shared" ca="1" si="6"/>
        <v/>
      </c>
      <c r="E68" s="743"/>
      <c r="F68" s="743"/>
      <c r="G68" s="743"/>
      <c r="H68" s="743"/>
      <c r="I68" s="743"/>
      <c r="J68" s="743"/>
      <c r="K68" s="743"/>
      <c r="L68" s="743"/>
      <c r="M68" s="743"/>
      <c r="N68" s="743"/>
      <c r="O68" s="743"/>
      <c r="P68" s="743"/>
      <c r="Q68" s="743"/>
      <c r="R68" s="743"/>
      <c r="S68" s="743"/>
      <c r="T68" s="743"/>
      <c r="U68" s="743"/>
      <c r="V68" s="743"/>
      <c r="W68" s="743"/>
      <c r="X68" s="743"/>
      <c r="Y68" s="743"/>
      <c r="Z68" s="743"/>
      <c r="AA68" s="743"/>
      <c r="AB68" s="743"/>
      <c r="AC68" s="781" t="str">
        <f t="shared" ca="1" si="7"/>
        <v/>
      </c>
      <c r="AD68" s="781"/>
      <c r="AE68" s="781"/>
      <c r="AF68" s="781"/>
      <c r="AG68" s="781"/>
      <c r="AH68" s="781"/>
      <c r="AI68" s="781"/>
      <c r="AJ68" s="742" t="str">
        <f t="shared" ca="1" si="8"/>
        <v/>
      </c>
      <c r="AK68" s="742"/>
      <c r="AL68" s="781" t="str">
        <f t="shared" ca="1" si="9"/>
        <v/>
      </c>
      <c r="AM68" s="781"/>
      <c r="AN68" s="781"/>
      <c r="AO68" s="781"/>
      <c r="AP68" s="781"/>
      <c r="AQ68" s="781"/>
      <c r="AR68" s="781"/>
      <c r="AS68" s="741" t="str">
        <f t="shared" ca="1" si="10"/>
        <v/>
      </c>
      <c r="AT68" s="741"/>
      <c r="AU68" s="741"/>
      <c r="AV68" s="741"/>
      <c r="AW68" s="741"/>
      <c r="AX68" s="741"/>
      <c r="AY68" s="741"/>
      <c r="AZ68" s="473" t="s">
        <v>1530</v>
      </c>
    </row>
    <row r="69" spans="1:52" s="403" customFormat="1" ht="36.75" customHeight="1">
      <c r="B69" s="742">
        <f t="shared" si="11"/>
        <v>40</v>
      </c>
      <c r="C69" s="742"/>
      <c r="D69" s="743" t="str">
        <f t="shared" ca="1" si="6"/>
        <v/>
      </c>
      <c r="E69" s="743"/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3"/>
      <c r="R69" s="743"/>
      <c r="S69" s="743"/>
      <c r="T69" s="743"/>
      <c r="U69" s="743"/>
      <c r="V69" s="743"/>
      <c r="W69" s="743"/>
      <c r="X69" s="743"/>
      <c r="Y69" s="743"/>
      <c r="Z69" s="743"/>
      <c r="AA69" s="743"/>
      <c r="AB69" s="743"/>
      <c r="AC69" s="781" t="str">
        <f t="shared" ca="1" si="7"/>
        <v/>
      </c>
      <c r="AD69" s="781"/>
      <c r="AE69" s="781"/>
      <c r="AF69" s="781"/>
      <c r="AG69" s="781"/>
      <c r="AH69" s="781"/>
      <c r="AI69" s="781"/>
      <c r="AJ69" s="742" t="str">
        <f t="shared" ca="1" si="8"/>
        <v/>
      </c>
      <c r="AK69" s="742"/>
      <c r="AL69" s="781" t="str">
        <f t="shared" ca="1" si="9"/>
        <v/>
      </c>
      <c r="AM69" s="781"/>
      <c r="AN69" s="781"/>
      <c r="AO69" s="781"/>
      <c r="AP69" s="781"/>
      <c r="AQ69" s="781"/>
      <c r="AR69" s="781"/>
      <c r="AS69" s="741" t="str">
        <f t="shared" ca="1" si="10"/>
        <v/>
      </c>
      <c r="AT69" s="741"/>
      <c r="AU69" s="741"/>
      <c r="AV69" s="741"/>
      <c r="AW69" s="741"/>
      <c r="AX69" s="741"/>
      <c r="AY69" s="741"/>
    </row>
    <row r="70" spans="1:52" s="403" customFormat="1" ht="45" customHeight="1">
      <c r="B70" s="749" t="s">
        <v>1527</v>
      </c>
      <c r="C70" s="750"/>
      <c r="D70" s="750"/>
      <c r="E70" s="751" t="str">
        <f>IF(UNNH0030_REPORT_IF_H_EIGYO_MEI="","",UNNH0030_REPORT_IF_H_EIGYO_MEI)</f>
        <v/>
      </c>
      <c r="F70" s="751"/>
      <c r="G70" s="751"/>
      <c r="H70" s="751"/>
      <c r="I70" s="751"/>
      <c r="J70" s="751"/>
      <c r="K70" s="751"/>
      <c r="L70" s="751"/>
      <c r="M70" s="751"/>
      <c r="N70" s="751"/>
      <c r="O70" s="751"/>
      <c r="P70" s="751"/>
      <c r="Q70" s="751"/>
      <c r="R70" s="751"/>
      <c r="S70" s="751"/>
      <c r="T70" s="751"/>
      <c r="U70" s="751"/>
      <c r="V70" s="751"/>
      <c r="W70" s="751"/>
      <c r="X70" s="751"/>
      <c r="Y70" s="751"/>
      <c r="Z70" s="751"/>
      <c r="AA70" s="751"/>
      <c r="AB70" s="751"/>
      <c r="AC70" s="751"/>
      <c r="AD70" s="751"/>
      <c r="AE70" s="751"/>
      <c r="AF70" s="751"/>
      <c r="AG70" s="752"/>
      <c r="AH70" s="742" t="s">
        <v>1107</v>
      </c>
      <c r="AI70" s="742"/>
      <c r="AJ70" s="742"/>
      <c r="AK70" s="742"/>
      <c r="AL70" s="742"/>
      <c r="AM70" s="742"/>
      <c r="AN70" s="742"/>
      <c r="AO70" s="742"/>
      <c r="AP70" s="742"/>
      <c r="AQ70" s="782" t="str">
        <f>IF(ROUNDUP(ROW()/ROWS(UNNH0030_SEIKYUSHO_PAGE_AREA),0)=UNNH0030_REPORT_IF_B_PAGE_TOTAL,UNNH0030_REPORT_IF_H_TOTAL,"")</f>
        <v/>
      </c>
      <c r="AR70" s="783"/>
      <c r="AS70" s="783"/>
      <c r="AT70" s="783"/>
      <c r="AU70" s="783"/>
      <c r="AV70" s="783"/>
      <c r="AW70" s="783"/>
      <c r="AX70" s="783"/>
      <c r="AY70" s="784"/>
    </row>
    <row r="71" spans="1:52" s="403" customFormat="1" ht="33.75" customHeight="1">
      <c r="C71" s="404"/>
      <c r="D71" s="404"/>
      <c r="E71" s="404"/>
      <c r="F71" s="404"/>
      <c r="G71" s="404"/>
      <c r="H71" s="404"/>
      <c r="I71" s="404"/>
      <c r="J71" s="404"/>
      <c r="K71" s="404"/>
      <c r="L71" s="404"/>
      <c r="M71" s="404"/>
      <c r="N71" s="404"/>
      <c r="O71" s="404"/>
    </row>
    <row r="72" spans="1:52" s="403" customFormat="1" ht="38.25" customHeight="1">
      <c r="B72" s="756" t="s">
        <v>1528</v>
      </c>
      <c r="C72" s="757"/>
      <c r="D72" s="758"/>
      <c r="E72" s="738" t="str">
        <f>IF(UNNH0030_REPORT_IF_H_TEKIYO="","",UNNH0030_REPORT_IF_H_TEKIYO)</f>
        <v/>
      </c>
      <c r="F72" s="738"/>
      <c r="G72" s="738"/>
      <c r="H72" s="738"/>
      <c r="I72" s="738"/>
      <c r="J72" s="738"/>
      <c r="K72" s="738"/>
      <c r="L72" s="738"/>
      <c r="M72" s="738"/>
      <c r="N72" s="738"/>
      <c r="O72" s="738"/>
      <c r="P72" s="738"/>
      <c r="Q72" s="738"/>
      <c r="R72" s="738"/>
      <c r="S72" s="738"/>
      <c r="T72" s="738"/>
      <c r="U72" s="738"/>
      <c r="V72" s="738"/>
      <c r="W72" s="738"/>
      <c r="X72" s="738"/>
      <c r="Y72" s="738"/>
      <c r="Z72" s="738"/>
      <c r="AA72" s="738"/>
      <c r="AB72" s="738"/>
      <c r="AC72" s="738"/>
      <c r="AD72" s="738"/>
      <c r="AE72" s="738"/>
      <c r="AF72" s="738"/>
      <c r="AG72" s="738"/>
      <c r="AH72" s="738"/>
      <c r="AI72" s="738"/>
      <c r="AJ72" s="738"/>
      <c r="AK72" s="738"/>
      <c r="AL72" s="738"/>
      <c r="AM72" s="738"/>
      <c r="AN72" s="738"/>
      <c r="AO72" s="738"/>
      <c r="AP72" s="738"/>
      <c r="AQ72" s="738"/>
      <c r="AR72" s="738"/>
      <c r="AS72" s="738"/>
      <c r="AU72" s="739" t="str">
        <f>IF(UNNH0030_REPORT_IF_H_SEIKYUHOHO_KBN=0,"","締日 "&amp;UNNH0030_REPORT_IF_H_SHIMEBI)</f>
        <v/>
      </c>
      <c r="AV72" s="739"/>
      <c r="AW72" s="739"/>
      <c r="AX72" s="739"/>
      <c r="AY72" s="740" t="str">
        <f>UNNH0030_REPORT_IF_H_SHIMEBI_MARK</f>
        <v>*</v>
      </c>
    </row>
    <row r="73" spans="1:52" s="403" customFormat="1" ht="38.25" customHeight="1">
      <c r="B73" s="759"/>
      <c r="C73" s="760"/>
      <c r="D73" s="761"/>
      <c r="E73" s="738"/>
      <c r="F73" s="738"/>
      <c r="G73" s="738"/>
      <c r="H73" s="738"/>
      <c r="I73" s="738"/>
      <c r="J73" s="738"/>
      <c r="K73" s="738"/>
      <c r="L73" s="738"/>
      <c r="M73" s="738"/>
      <c r="N73" s="738"/>
      <c r="O73" s="738"/>
      <c r="P73" s="738"/>
      <c r="Q73" s="738"/>
      <c r="R73" s="738"/>
      <c r="S73" s="738"/>
      <c r="T73" s="738"/>
      <c r="U73" s="738"/>
      <c r="V73" s="738"/>
      <c r="W73" s="738"/>
      <c r="X73" s="738"/>
      <c r="Y73" s="738"/>
      <c r="Z73" s="738"/>
      <c r="AA73" s="738"/>
      <c r="AB73" s="738"/>
      <c r="AC73" s="738"/>
      <c r="AD73" s="738"/>
      <c r="AE73" s="738"/>
      <c r="AF73" s="738"/>
      <c r="AG73" s="738"/>
      <c r="AH73" s="738"/>
      <c r="AI73" s="738"/>
      <c r="AJ73" s="738"/>
      <c r="AK73" s="738"/>
      <c r="AL73" s="738"/>
      <c r="AM73" s="738"/>
      <c r="AN73" s="738"/>
      <c r="AO73" s="738"/>
      <c r="AP73" s="738"/>
      <c r="AQ73" s="738"/>
      <c r="AR73" s="738"/>
      <c r="AS73" s="738"/>
      <c r="AU73" s="739"/>
      <c r="AV73" s="739"/>
      <c r="AW73" s="739"/>
      <c r="AX73" s="739"/>
      <c r="AY73" s="740"/>
    </row>
    <row r="74" spans="1:52" s="403" customFormat="1" ht="30" customHeight="1">
      <c r="B74" s="777" t="str">
        <f>IF(UNNH0030_REPORT_IF_JURI_NO="","",UNNH0030_REPORT_IF_JURI_NO)</f>
        <v/>
      </c>
      <c r="C74" s="777"/>
      <c r="D74" s="777"/>
      <c r="E74" s="777"/>
      <c r="F74" s="777"/>
      <c r="G74" s="777"/>
      <c r="H74" s="777"/>
      <c r="I74" s="777"/>
      <c r="J74" s="777"/>
      <c r="K74" s="777"/>
      <c r="L74" s="777"/>
      <c r="M74" s="777"/>
      <c r="N74" s="777"/>
      <c r="O74" s="777"/>
      <c r="P74" s="777"/>
      <c r="Q74" s="777"/>
      <c r="R74" s="777"/>
      <c r="S74" s="777"/>
      <c r="T74" s="777"/>
      <c r="U74" s="777"/>
      <c r="V74" s="777"/>
      <c r="W74" s="777"/>
      <c r="X74" s="777"/>
      <c r="Y74" s="777"/>
      <c r="Z74" s="777"/>
      <c r="AA74" s="777"/>
      <c r="AB74" s="777"/>
      <c r="AC74" s="777"/>
      <c r="AD74" s="777"/>
      <c r="AE74" s="777"/>
      <c r="AF74" s="777"/>
      <c r="AG74" s="777"/>
      <c r="AH74" s="777"/>
      <c r="AI74" s="777"/>
      <c r="AJ74" s="777"/>
      <c r="AK74" s="777"/>
      <c r="AL74" s="777"/>
      <c r="AM74" s="777"/>
      <c r="AN74" s="777"/>
      <c r="AO74" s="777"/>
      <c r="AP74" s="777"/>
      <c r="AQ74" s="777"/>
      <c r="AR74" s="777"/>
      <c r="AS74" s="777"/>
      <c r="AT74" s="777"/>
      <c r="AU74" s="777"/>
      <c r="AV74" s="777"/>
      <c r="AW74" s="777"/>
      <c r="AX74" s="777"/>
      <c r="AY74" s="777"/>
    </row>
    <row r="75" spans="1:52" s="403" customFormat="1" ht="12" customHeight="1">
      <c r="C75" s="404"/>
      <c r="D75" s="404"/>
      <c r="E75" s="465"/>
      <c r="F75" s="466"/>
      <c r="G75" s="466"/>
      <c r="H75" s="466"/>
      <c r="I75" s="466"/>
      <c r="J75" s="466"/>
      <c r="K75" s="466"/>
      <c r="L75" s="466"/>
      <c r="M75" s="466"/>
      <c r="N75" s="466"/>
      <c r="O75" s="466"/>
      <c r="P75" s="466"/>
      <c r="Q75" s="466"/>
      <c r="R75" s="466"/>
      <c r="S75" s="466"/>
      <c r="T75" s="466"/>
      <c r="U75" s="466"/>
      <c r="V75" s="466"/>
      <c r="W75" s="466"/>
      <c r="X75" s="466"/>
      <c r="Y75" s="467"/>
      <c r="AA75" s="744" t="s">
        <v>1320</v>
      </c>
      <c r="AB75" s="744"/>
      <c r="AC75" s="744"/>
      <c r="AD75" s="744"/>
      <c r="AE75" s="744"/>
      <c r="AF75" s="744"/>
      <c r="AG75" s="744"/>
      <c r="AH75" s="744"/>
      <c r="AI75" s="744"/>
      <c r="AJ75" s="744"/>
      <c r="AK75" s="744"/>
      <c r="AL75" s="744"/>
      <c r="AP75" s="774" t="str">
        <f>"No."&amp;UNNH0030_REPORT_IF_H_URIAGE_NO&amp;"-"&amp;ROUNDUP(ROW()/ROWS(UNNH0030_SEIKYUSHO_PAGE_AREA),0)&amp;"/"&amp;UNNH0030_REPORT_IF_B_PAGE_TOTAL</f>
        <v>No.-3/1</v>
      </c>
      <c r="AQ75" s="774"/>
      <c r="AR75" s="774"/>
      <c r="AS75" s="774"/>
      <c r="AT75" s="774"/>
      <c r="AU75" s="774"/>
      <c r="AV75" s="774"/>
      <c r="AW75" s="774"/>
      <c r="AX75" s="774"/>
      <c r="AY75" s="774"/>
    </row>
    <row r="76" spans="1:52" s="403" customFormat="1" ht="24.75" customHeight="1">
      <c r="C76" s="404"/>
      <c r="E76" s="468"/>
      <c r="F76" s="775" t="str">
        <f>IF(UNNH0030_REPORT_IF_H_JUSHO_NO_PRINT_FLG=TRUE,"","〒")</f>
        <v>〒</v>
      </c>
      <c r="G76" s="775"/>
      <c r="H76" s="776" t="str">
        <f>IF(UNNH0030_REPORT_IF_H_JUSHO_NO_PRINT_FLG=TRUE,"",IF(UNNH0030_REPORT_IF_H_YUBIN_NO="","",UNNH0030_REPORT_IF_H_YUBIN_NO))</f>
        <v/>
      </c>
      <c r="I76" s="776"/>
      <c r="J76" s="776"/>
      <c r="K76" s="776"/>
      <c r="L76" s="776"/>
      <c r="M76" s="776"/>
      <c r="N76" s="776"/>
      <c r="O76" s="776"/>
      <c r="P76" s="776"/>
      <c r="Q76" s="776"/>
      <c r="R76" s="776"/>
      <c r="S76" s="776"/>
      <c r="T76" s="776"/>
      <c r="U76" s="776"/>
      <c r="V76" s="776"/>
      <c r="W76" s="776"/>
      <c r="X76" s="776"/>
      <c r="Y76" s="469"/>
      <c r="AA76" s="744"/>
      <c r="AB76" s="744"/>
      <c r="AC76" s="744"/>
      <c r="AD76" s="744"/>
      <c r="AE76" s="744"/>
      <c r="AF76" s="744"/>
      <c r="AG76" s="744"/>
      <c r="AH76" s="744"/>
      <c r="AI76" s="744"/>
      <c r="AJ76" s="744"/>
      <c r="AK76" s="744"/>
      <c r="AL76" s="744"/>
      <c r="AP76" s="774"/>
      <c r="AQ76" s="774"/>
      <c r="AR76" s="774"/>
      <c r="AS76" s="774"/>
      <c r="AT76" s="774"/>
      <c r="AU76" s="774"/>
      <c r="AV76" s="774"/>
      <c r="AW76" s="774"/>
      <c r="AX76" s="774"/>
      <c r="AY76" s="774"/>
    </row>
    <row r="77" spans="1:52" s="403" customFormat="1" ht="24.75" customHeight="1">
      <c r="C77" s="404"/>
      <c r="E77" s="468"/>
      <c r="F77" s="745" t="str">
        <f>IF(UNNH0030_REPORT_IF_H_JUSHO_NO_PRINT_FLG="","",IF(UNNH0030_REPORT_IF_H_ADDRESS_1="","",UNNH0030_REPORT_IF_H_ADDRESS_1))</f>
        <v/>
      </c>
      <c r="G77" s="745"/>
      <c r="H77" s="745"/>
      <c r="I77" s="745"/>
      <c r="J77" s="745"/>
      <c r="K77" s="745"/>
      <c r="L77" s="745"/>
      <c r="M77" s="745"/>
      <c r="N77" s="745"/>
      <c r="O77" s="745"/>
      <c r="P77" s="745"/>
      <c r="Q77" s="745"/>
      <c r="R77" s="745"/>
      <c r="S77" s="745"/>
      <c r="T77" s="745"/>
      <c r="U77" s="745"/>
      <c r="V77" s="745"/>
      <c r="W77" s="745"/>
      <c r="X77" s="745"/>
      <c r="Y77" s="469"/>
      <c r="AP77" s="748">
        <f>UNNH0030_REPORT_IF_H_URIAGE_DATE</f>
        <v>0</v>
      </c>
      <c r="AQ77" s="748"/>
      <c r="AR77" s="748"/>
      <c r="AS77" s="748"/>
      <c r="AT77" s="748"/>
      <c r="AU77" s="748"/>
      <c r="AV77" s="748"/>
      <c r="AW77" s="748"/>
      <c r="AX77" s="748"/>
      <c r="AY77" s="748"/>
    </row>
    <row r="78" spans="1:52" s="403" customFormat="1" ht="24.75" customHeight="1">
      <c r="C78" s="404"/>
      <c r="E78" s="468"/>
      <c r="F78" s="745" t="str">
        <f>IF(UNNH0030_REPORT_IF_H_JUSHO_NO_PRINT_FLG="","",IF(UNNH0030_REPORT_IF_H_ADDRESS_2="","",UNNH0030_REPORT_IF_H_ADDRESS_2))</f>
        <v/>
      </c>
      <c r="G78" s="745"/>
      <c r="H78" s="745"/>
      <c r="I78" s="745"/>
      <c r="J78" s="745"/>
      <c r="K78" s="745"/>
      <c r="L78" s="745"/>
      <c r="M78" s="745"/>
      <c r="N78" s="745"/>
      <c r="O78" s="745"/>
      <c r="P78" s="745"/>
      <c r="Q78" s="745"/>
      <c r="R78" s="745"/>
      <c r="S78" s="745"/>
      <c r="T78" s="745"/>
      <c r="U78" s="745"/>
      <c r="V78" s="745"/>
      <c r="W78" s="745"/>
      <c r="X78" s="745"/>
      <c r="Y78" s="469"/>
    </row>
    <row r="79" spans="1:52" s="403" customFormat="1" ht="24.75" customHeight="1">
      <c r="C79" s="404"/>
      <c r="E79" s="468"/>
      <c r="F79" s="409"/>
      <c r="G79" s="409"/>
      <c r="H79" s="409"/>
      <c r="I79" s="409"/>
      <c r="J79" s="409"/>
      <c r="K79" s="409"/>
      <c r="L79" s="409"/>
      <c r="M79" s="409"/>
      <c r="N79" s="409"/>
      <c r="O79" s="409"/>
      <c r="P79" s="409"/>
      <c r="Q79" s="409"/>
      <c r="R79" s="409"/>
      <c r="S79" s="409"/>
      <c r="T79" s="409"/>
      <c r="U79" s="409"/>
      <c r="V79" s="409"/>
      <c r="W79" s="409"/>
      <c r="X79" s="409"/>
      <c r="Y79" s="469"/>
    </row>
    <row r="80" spans="1:52" s="403" customFormat="1" ht="26.25" customHeight="1">
      <c r="C80" s="404"/>
      <c r="E80" s="470"/>
      <c r="F80" s="745" t="str">
        <f>IF(TRIM(UNNH0030_REPORT_IF_H_SOFU_TANTO)="","",
IF(TRIM(UNNH0030_REPORT_IF_H_DEMPYO_SOFU_MEI)="","",
TRIM(UNNH0030_REPORT_IF_H_DEMPYO_SOFU_MEI)))</f>
        <v/>
      </c>
      <c r="G80" s="745"/>
      <c r="H80" s="745"/>
      <c r="I80" s="745"/>
      <c r="J80" s="745"/>
      <c r="K80" s="745"/>
      <c r="L80" s="745"/>
      <c r="M80" s="745"/>
      <c r="N80" s="745"/>
      <c r="O80" s="745"/>
      <c r="P80" s="745"/>
      <c r="Q80" s="745"/>
      <c r="R80" s="745"/>
      <c r="S80" s="745"/>
      <c r="T80" s="745"/>
      <c r="U80" s="745"/>
      <c r="V80" s="745"/>
      <c r="W80" s="745"/>
      <c r="X80" s="745"/>
      <c r="Y80" s="469"/>
    </row>
    <row r="81" spans="1:52" s="403" customFormat="1" ht="26.25" customHeight="1">
      <c r="C81" s="404"/>
      <c r="E81" s="468"/>
      <c r="F81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81" s="746"/>
      <c r="H81" s="746"/>
      <c r="I81" s="746"/>
      <c r="J81" s="746"/>
      <c r="K81" s="746"/>
      <c r="L81" s="746"/>
      <c r="M81" s="746"/>
      <c r="N81" s="746"/>
      <c r="O81" s="746"/>
      <c r="P81" s="746"/>
      <c r="Q81" s="746"/>
      <c r="R81" s="746"/>
      <c r="S81" s="746"/>
      <c r="T81" s="746"/>
      <c r="U81" s="746"/>
      <c r="V81" s="746"/>
      <c r="W81" s="746"/>
      <c r="X81" s="746"/>
      <c r="Y81" s="469"/>
      <c r="Z81" s="477" t="str">
        <f>UNNH0030_REPORT_IF_H_SHIMEBI_MARK</f>
        <v>*</v>
      </c>
    </row>
    <row r="82" spans="1:52" s="403" customFormat="1" ht="25.5" customHeight="1">
      <c r="C82" s="404"/>
      <c r="E82" s="471"/>
      <c r="F82" s="747">
        <f>UNNH0030_REPORT_IF_H_SEIKYU_CD</f>
        <v>0</v>
      </c>
      <c r="G82" s="747"/>
      <c r="H82" s="747"/>
      <c r="I82" s="747"/>
      <c r="J82" s="747"/>
      <c r="K82" s="747"/>
      <c r="L82" s="747"/>
      <c r="M82" s="747"/>
      <c r="N82" s="747"/>
      <c r="O82" s="747"/>
      <c r="P82" s="747"/>
      <c r="Q82" s="747"/>
      <c r="R82" s="747"/>
      <c r="S82" s="747"/>
      <c r="T82" s="747"/>
      <c r="U82" s="747"/>
      <c r="V82" s="747"/>
      <c r="W82" s="747"/>
      <c r="X82" s="747"/>
      <c r="Y82" s="472"/>
    </row>
    <row r="83" spans="1:52" s="403" customFormat="1" ht="30" customHeight="1">
      <c r="C83" s="404"/>
    </row>
    <row r="84" spans="1:52" s="403" customFormat="1" ht="30" customHeight="1">
      <c r="C84" s="404"/>
      <c r="D84" s="404"/>
      <c r="E84" s="404"/>
      <c r="F84" s="404"/>
      <c r="G84" s="404"/>
      <c r="H84" s="404"/>
      <c r="I84" s="404"/>
      <c r="J84" s="404"/>
      <c r="K84" s="404"/>
      <c r="L84" s="404"/>
      <c r="M84" s="404"/>
      <c r="N84" s="404"/>
      <c r="O84" s="404"/>
    </row>
    <row r="85" spans="1:52" s="403" customFormat="1" ht="29.25" customHeight="1">
      <c r="B85" s="474" t="s">
        <v>1101</v>
      </c>
      <c r="C85" s="404"/>
      <c r="D85" s="404"/>
      <c r="E85" s="404"/>
      <c r="F85" s="404"/>
      <c r="G85" s="404"/>
      <c r="H85" s="404"/>
      <c r="I85" s="404"/>
      <c r="J85" s="404"/>
      <c r="K85" s="404"/>
      <c r="L85" s="404"/>
      <c r="M85" s="404"/>
      <c r="N85" s="404"/>
      <c r="O85" s="404"/>
    </row>
    <row r="86" spans="1:52" s="403" customFormat="1" ht="36.75" customHeight="1">
      <c r="B86" s="742"/>
      <c r="C86" s="742"/>
      <c r="D86" s="742" t="s">
        <v>1102</v>
      </c>
      <c r="E86" s="742"/>
      <c r="F86" s="742"/>
      <c r="G86" s="742"/>
      <c r="H86" s="742"/>
      <c r="I86" s="742"/>
      <c r="J86" s="742"/>
      <c r="K86" s="742"/>
      <c r="L86" s="742"/>
      <c r="M86" s="742"/>
      <c r="N86" s="742"/>
      <c r="O86" s="742"/>
      <c r="P86" s="742"/>
      <c r="Q86" s="742"/>
      <c r="R86" s="742"/>
      <c r="S86" s="742"/>
      <c r="T86" s="742"/>
      <c r="U86" s="742"/>
      <c r="V86" s="742"/>
      <c r="W86" s="742"/>
      <c r="X86" s="742"/>
      <c r="Y86" s="742"/>
      <c r="Z86" s="742"/>
      <c r="AA86" s="742"/>
      <c r="AB86" s="742"/>
      <c r="AC86" s="742" t="s">
        <v>1103</v>
      </c>
      <c r="AD86" s="742"/>
      <c r="AE86" s="742"/>
      <c r="AF86" s="742"/>
      <c r="AG86" s="742"/>
      <c r="AH86" s="742"/>
      <c r="AI86" s="742"/>
      <c r="AJ86" s="742" t="s">
        <v>1104</v>
      </c>
      <c r="AK86" s="742"/>
      <c r="AL86" s="742" t="s">
        <v>1105</v>
      </c>
      <c r="AM86" s="742"/>
      <c r="AN86" s="742"/>
      <c r="AO86" s="742"/>
      <c r="AP86" s="742"/>
      <c r="AQ86" s="742"/>
      <c r="AR86" s="742"/>
      <c r="AS86" s="742" t="s">
        <v>1106</v>
      </c>
      <c r="AT86" s="742"/>
      <c r="AU86" s="742"/>
      <c r="AV86" s="742"/>
      <c r="AW86" s="742"/>
      <c r="AX86" s="742"/>
      <c r="AY86" s="742"/>
    </row>
    <row r="87" spans="1:52" s="403" customFormat="1" ht="36.75" customHeight="1">
      <c r="B87" s="742">
        <f>ROUNDDOWN(ROW()/ROWS(UNNH0030_REPORT_RAYOUT_SEIKYUSHO),0)*UNNH0030_REPORT_IF_B_PAGE_MEISAI_SU+1</f>
        <v>41</v>
      </c>
      <c r="C87" s="742"/>
      <c r="D87" s="743" t="str">
        <f t="shared" ref="D87:D106" ca="1" si="12">IF(OFFSET(UNNH0030_REPORT_IF_B_SHOHIN_MEI,$B87,0)="","",OFFSET(UNNH0030_REPORT_IF_B_SHOHIN_MEI,$B87,0))</f>
        <v/>
      </c>
      <c r="E87" s="743"/>
      <c r="F87" s="743"/>
      <c r="G87" s="743"/>
      <c r="H87" s="743"/>
      <c r="I87" s="743"/>
      <c r="J87" s="743"/>
      <c r="K87" s="743"/>
      <c r="L87" s="743"/>
      <c r="M87" s="743"/>
      <c r="N87" s="743"/>
      <c r="O87" s="743"/>
      <c r="P87" s="743"/>
      <c r="Q87" s="743"/>
      <c r="R87" s="743"/>
      <c r="S87" s="743"/>
      <c r="T87" s="743"/>
      <c r="U87" s="743"/>
      <c r="V87" s="743"/>
      <c r="W87" s="743"/>
      <c r="X87" s="743"/>
      <c r="Y87" s="743"/>
      <c r="Z87" s="743"/>
      <c r="AA87" s="743"/>
      <c r="AB87" s="743"/>
      <c r="AC87" s="781" t="str">
        <f t="shared" ref="AC87:AC106" ca="1" si="13">IF(OR(OFFSET(UNNH0030_REPORT_IF_B_ROW_KBN,$B87,0)&lt;&gt;1,$D87="",$D87="消費税"),"",
OFFSET(UNNH0030_REPORT_IF_B_SURYO,$B87,0))</f>
        <v/>
      </c>
      <c r="AD87" s="781"/>
      <c r="AE87" s="781"/>
      <c r="AF87" s="781"/>
      <c r="AG87" s="781"/>
      <c r="AH87" s="781"/>
      <c r="AI87" s="781"/>
      <c r="AJ87" s="742" t="str">
        <f t="shared" ref="AJ87:AJ106" ca="1" si="14">IF(OFFSET(UNNH0030_REPORT_IF_B_TANI,$B87,0)="","",OFFSET(UNNH0030_REPORT_IF_B_TANI,$B87,0))</f>
        <v/>
      </c>
      <c r="AK87" s="742"/>
      <c r="AL87" s="781" t="str">
        <f t="shared" ref="AL87:AL106" ca="1" si="15">IF(OR(OFFSET(UNNH0030_REPORT_IF_B_ROW_KBN,$B87,0)&lt;&gt;1,$D87="",$D87="消費税"),"",
OFFSET(UNNH0030_REPORT_IF_B_TANKA,$B87,0))</f>
        <v/>
      </c>
      <c r="AM87" s="781"/>
      <c r="AN87" s="781"/>
      <c r="AO87" s="781"/>
      <c r="AP87" s="781"/>
      <c r="AQ87" s="781"/>
      <c r="AR87" s="781"/>
      <c r="AS87" s="741" t="str">
        <f t="shared" ref="AS87:AS106" ca="1" si="16">IF(OR(OFFSET(UNNH0030_REPORT_IF_B_KINGAKU,$B87,0)=0,$D87=""),"",
OFFSET(UNNH0030_REPORT_IF_B_KINGAKU,$B87,0))</f>
        <v/>
      </c>
      <c r="AT87" s="741"/>
      <c r="AU87" s="741"/>
      <c r="AV87" s="741"/>
      <c r="AW87" s="741"/>
      <c r="AX87" s="741"/>
      <c r="AY87" s="741"/>
    </row>
    <row r="88" spans="1:52" s="403" customFormat="1" ht="36.75" customHeight="1">
      <c r="B88" s="742">
        <f>B87+1</f>
        <v>42</v>
      </c>
      <c r="C88" s="742"/>
      <c r="D88" s="743" t="str">
        <f t="shared" ca="1" si="12"/>
        <v/>
      </c>
      <c r="E88" s="743"/>
      <c r="F88" s="743"/>
      <c r="G88" s="743"/>
      <c r="H88" s="743"/>
      <c r="I88" s="743"/>
      <c r="J88" s="743"/>
      <c r="K88" s="743"/>
      <c r="L88" s="743"/>
      <c r="M88" s="743"/>
      <c r="N88" s="743"/>
      <c r="O88" s="743"/>
      <c r="P88" s="743"/>
      <c r="Q88" s="743"/>
      <c r="R88" s="743"/>
      <c r="S88" s="743"/>
      <c r="T88" s="743"/>
      <c r="U88" s="743"/>
      <c r="V88" s="743"/>
      <c r="W88" s="743"/>
      <c r="X88" s="743"/>
      <c r="Y88" s="743"/>
      <c r="Z88" s="743"/>
      <c r="AA88" s="743"/>
      <c r="AB88" s="743"/>
      <c r="AC88" s="781" t="str">
        <f t="shared" ca="1" si="13"/>
        <v/>
      </c>
      <c r="AD88" s="781"/>
      <c r="AE88" s="781"/>
      <c r="AF88" s="781"/>
      <c r="AG88" s="781"/>
      <c r="AH88" s="781"/>
      <c r="AI88" s="781"/>
      <c r="AJ88" s="742" t="str">
        <f t="shared" ca="1" si="14"/>
        <v/>
      </c>
      <c r="AK88" s="742"/>
      <c r="AL88" s="781" t="str">
        <f t="shared" ca="1" si="15"/>
        <v/>
      </c>
      <c r="AM88" s="781"/>
      <c r="AN88" s="781"/>
      <c r="AO88" s="781"/>
      <c r="AP88" s="781"/>
      <c r="AQ88" s="781"/>
      <c r="AR88" s="781"/>
      <c r="AS88" s="741" t="str">
        <f t="shared" ca="1" si="16"/>
        <v/>
      </c>
      <c r="AT88" s="741"/>
      <c r="AU88" s="741"/>
      <c r="AV88" s="741"/>
      <c r="AW88" s="741"/>
      <c r="AX88" s="741"/>
      <c r="AY88" s="741"/>
    </row>
    <row r="89" spans="1:52" s="403" customFormat="1" ht="36.75" customHeight="1">
      <c r="B89" s="742">
        <f>B88+1</f>
        <v>43</v>
      </c>
      <c r="C89" s="742"/>
      <c r="D89" s="743" t="str">
        <f t="shared" ca="1" si="12"/>
        <v/>
      </c>
      <c r="E89" s="743"/>
      <c r="F89" s="743"/>
      <c r="G89" s="743"/>
      <c r="H89" s="743"/>
      <c r="I89" s="743"/>
      <c r="J89" s="743"/>
      <c r="K89" s="743"/>
      <c r="L89" s="743"/>
      <c r="M89" s="743"/>
      <c r="N89" s="743"/>
      <c r="O89" s="743"/>
      <c r="P89" s="743"/>
      <c r="Q89" s="743"/>
      <c r="R89" s="743"/>
      <c r="S89" s="743"/>
      <c r="T89" s="743"/>
      <c r="U89" s="743"/>
      <c r="V89" s="743"/>
      <c r="W89" s="743"/>
      <c r="X89" s="743"/>
      <c r="Y89" s="743"/>
      <c r="Z89" s="743"/>
      <c r="AA89" s="743"/>
      <c r="AB89" s="743"/>
      <c r="AC89" s="781" t="str">
        <f t="shared" ca="1" si="13"/>
        <v/>
      </c>
      <c r="AD89" s="781"/>
      <c r="AE89" s="781"/>
      <c r="AF89" s="781"/>
      <c r="AG89" s="781"/>
      <c r="AH89" s="781"/>
      <c r="AI89" s="781"/>
      <c r="AJ89" s="742" t="str">
        <f t="shared" ca="1" si="14"/>
        <v/>
      </c>
      <c r="AK89" s="742"/>
      <c r="AL89" s="781" t="str">
        <f t="shared" ca="1" si="15"/>
        <v/>
      </c>
      <c r="AM89" s="781"/>
      <c r="AN89" s="781"/>
      <c r="AO89" s="781"/>
      <c r="AP89" s="781"/>
      <c r="AQ89" s="781"/>
      <c r="AR89" s="781"/>
      <c r="AS89" s="741" t="str">
        <f t="shared" ca="1" si="16"/>
        <v/>
      </c>
      <c r="AT89" s="741"/>
      <c r="AU89" s="741"/>
      <c r="AV89" s="741"/>
      <c r="AW89" s="741"/>
      <c r="AX89" s="741"/>
      <c r="AY89" s="741"/>
    </row>
    <row r="90" spans="1:52" s="403" customFormat="1" ht="36.75" customHeight="1">
      <c r="B90" s="742">
        <f t="shared" ref="B90:B106" si="17">B89+1</f>
        <v>44</v>
      </c>
      <c r="C90" s="742"/>
      <c r="D90" s="743" t="str">
        <f t="shared" ca="1" si="12"/>
        <v/>
      </c>
      <c r="E90" s="743"/>
      <c r="F90" s="743"/>
      <c r="G90" s="743"/>
      <c r="H90" s="743"/>
      <c r="I90" s="743"/>
      <c r="J90" s="743"/>
      <c r="K90" s="743"/>
      <c r="L90" s="743"/>
      <c r="M90" s="743"/>
      <c r="N90" s="743"/>
      <c r="O90" s="743"/>
      <c r="P90" s="743"/>
      <c r="Q90" s="743"/>
      <c r="R90" s="743"/>
      <c r="S90" s="743"/>
      <c r="T90" s="743"/>
      <c r="U90" s="743"/>
      <c r="V90" s="743"/>
      <c r="W90" s="743"/>
      <c r="X90" s="743"/>
      <c r="Y90" s="743"/>
      <c r="Z90" s="743"/>
      <c r="AA90" s="743"/>
      <c r="AB90" s="743"/>
      <c r="AC90" s="781" t="str">
        <f t="shared" ca="1" si="13"/>
        <v/>
      </c>
      <c r="AD90" s="781"/>
      <c r="AE90" s="781"/>
      <c r="AF90" s="781"/>
      <c r="AG90" s="781"/>
      <c r="AH90" s="781"/>
      <c r="AI90" s="781"/>
      <c r="AJ90" s="742" t="str">
        <f t="shared" ca="1" si="14"/>
        <v/>
      </c>
      <c r="AK90" s="742"/>
      <c r="AL90" s="781" t="str">
        <f t="shared" ca="1" si="15"/>
        <v/>
      </c>
      <c r="AM90" s="781"/>
      <c r="AN90" s="781"/>
      <c r="AO90" s="781"/>
      <c r="AP90" s="781"/>
      <c r="AQ90" s="781"/>
      <c r="AR90" s="781"/>
      <c r="AS90" s="741" t="str">
        <f t="shared" ca="1" si="16"/>
        <v/>
      </c>
      <c r="AT90" s="741"/>
      <c r="AU90" s="741"/>
      <c r="AV90" s="741"/>
      <c r="AW90" s="741"/>
      <c r="AX90" s="741"/>
      <c r="AY90" s="741"/>
    </row>
    <row r="91" spans="1:52" s="403" customFormat="1" ht="36.75" customHeight="1">
      <c r="A91" s="403" t="s">
        <v>1529</v>
      </c>
      <c r="B91" s="742">
        <f t="shared" si="17"/>
        <v>45</v>
      </c>
      <c r="C91" s="742"/>
      <c r="D91" s="743" t="str">
        <f t="shared" ca="1" si="12"/>
        <v/>
      </c>
      <c r="E91" s="743"/>
      <c r="F91" s="743"/>
      <c r="G91" s="743"/>
      <c r="H91" s="743"/>
      <c r="I91" s="743"/>
      <c r="J91" s="743"/>
      <c r="K91" s="743"/>
      <c r="L91" s="743"/>
      <c r="M91" s="743"/>
      <c r="N91" s="743"/>
      <c r="O91" s="743"/>
      <c r="P91" s="743"/>
      <c r="Q91" s="743"/>
      <c r="R91" s="743"/>
      <c r="S91" s="743"/>
      <c r="T91" s="743"/>
      <c r="U91" s="743"/>
      <c r="V91" s="743"/>
      <c r="W91" s="743"/>
      <c r="X91" s="743"/>
      <c r="Y91" s="743"/>
      <c r="Z91" s="743"/>
      <c r="AA91" s="743"/>
      <c r="AB91" s="743"/>
      <c r="AC91" s="781" t="str">
        <f t="shared" ca="1" si="13"/>
        <v/>
      </c>
      <c r="AD91" s="781"/>
      <c r="AE91" s="781"/>
      <c r="AF91" s="781"/>
      <c r="AG91" s="781"/>
      <c r="AH91" s="781"/>
      <c r="AI91" s="781"/>
      <c r="AJ91" s="742" t="str">
        <f t="shared" ca="1" si="14"/>
        <v/>
      </c>
      <c r="AK91" s="742"/>
      <c r="AL91" s="781" t="str">
        <f t="shared" ca="1" si="15"/>
        <v/>
      </c>
      <c r="AM91" s="781"/>
      <c r="AN91" s="781"/>
      <c r="AO91" s="781"/>
      <c r="AP91" s="781"/>
      <c r="AQ91" s="781"/>
      <c r="AR91" s="781"/>
      <c r="AS91" s="741" t="str">
        <f t="shared" ca="1" si="16"/>
        <v/>
      </c>
      <c r="AT91" s="741"/>
      <c r="AU91" s="741"/>
      <c r="AV91" s="741"/>
      <c r="AW91" s="741"/>
      <c r="AX91" s="741"/>
      <c r="AY91" s="741"/>
      <c r="AZ91" s="473" t="s">
        <v>1530</v>
      </c>
    </row>
    <row r="92" spans="1:52" s="403" customFormat="1" ht="36.75" customHeight="1">
      <c r="B92" s="742">
        <f t="shared" si="17"/>
        <v>46</v>
      </c>
      <c r="C92" s="742"/>
      <c r="D92" s="743" t="str">
        <f t="shared" ca="1" si="12"/>
        <v/>
      </c>
      <c r="E92" s="743"/>
      <c r="F92" s="743"/>
      <c r="G92" s="743"/>
      <c r="H92" s="743"/>
      <c r="I92" s="743"/>
      <c r="J92" s="743"/>
      <c r="K92" s="743"/>
      <c r="L92" s="743"/>
      <c r="M92" s="743"/>
      <c r="N92" s="743"/>
      <c r="O92" s="743"/>
      <c r="P92" s="743"/>
      <c r="Q92" s="743"/>
      <c r="R92" s="743"/>
      <c r="S92" s="743"/>
      <c r="T92" s="743"/>
      <c r="U92" s="743"/>
      <c r="V92" s="743"/>
      <c r="W92" s="743"/>
      <c r="X92" s="743"/>
      <c r="Y92" s="743"/>
      <c r="Z92" s="743"/>
      <c r="AA92" s="743"/>
      <c r="AB92" s="743"/>
      <c r="AC92" s="781" t="str">
        <f t="shared" ca="1" si="13"/>
        <v/>
      </c>
      <c r="AD92" s="781"/>
      <c r="AE92" s="781"/>
      <c r="AF92" s="781"/>
      <c r="AG92" s="781"/>
      <c r="AH92" s="781"/>
      <c r="AI92" s="781"/>
      <c r="AJ92" s="742" t="str">
        <f t="shared" ca="1" si="14"/>
        <v/>
      </c>
      <c r="AK92" s="742"/>
      <c r="AL92" s="781" t="str">
        <f t="shared" ca="1" si="15"/>
        <v/>
      </c>
      <c r="AM92" s="781"/>
      <c r="AN92" s="781"/>
      <c r="AO92" s="781"/>
      <c r="AP92" s="781"/>
      <c r="AQ92" s="781"/>
      <c r="AR92" s="781"/>
      <c r="AS92" s="741" t="str">
        <f t="shared" ca="1" si="16"/>
        <v/>
      </c>
      <c r="AT92" s="741"/>
      <c r="AU92" s="741"/>
      <c r="AV92" s="741"/>
      <c r="AW92" s="741"/>
      <c r="AX92" s="741"/>
      <c r="AY92" s="741"/>
      <c r="AZ92" s="473"/>
    </row>
    <row r="93" spans="1:52" s="403" customFormat="1" ht="36.75" customHeight="1">
      <c r="B93" s="742">
        <f t="shared" si="17"/>
        <v>47</v>
      </c>
      <c r="C93" s="742"/>
      <c r="D93" s="743" t="str">
        <f t="shared" ca="1" si="12"/>
        <v/>
      </c>
      <c r="E93" s="743"/>
      <c r="F93" s="743"/>
      <c r="G93" s="743"/>
      <c r="H93" s="743"/>
      <c r="I93" s="743"/>
      <c r="J93" s="743"/>
      <c r="K93" s="743"/>
      <c r="L93" s="743"/>
      <c r="M93" s="743"/>
      <c r="N93" s="743"/>
      <c r="O93" s="743"/>
      <c r="P93" s="743"/>
      <c r="Q93" s="743"/>
      <c r="R93" s="743"/>
      <c r="S93" s="743"/>
      <c r="T93" s="743"/>
      <c r="U93" s="743"/>
      <c r="V93" s="743"/>
      <c r="W93" s="743"/>
      <c r="X93" s="743"/>
      <c r="Y93" s="743"/>
      <c r="Z93" s="743"/>
      <c r="AA93" s="743"/>
      <c r="AB93" s="743"/>
      <c r="AC93" s="781" t="str">
        <f t="shared" ca="1" si="13"/>
        <v/>
      </c>
      <c r="AD93" s="781"/>
      <c r="AE93" s="781"/>
      <c r="AF93" s="781"/>
      <c r="AG93" s="781"/>
      <c r="AH93" s="781"/>
      <c r="AI93" s="781"/>
      <c r="AJ93" s="742" t="str">
        <f t="shared" ca="1" si="14"/>
        <v/>
      </c>
      <c r="AK93" s="742"/>
      <c r="AL93" s="781" t="str">
        <f t="shared" ca="1" si="15"/>
        <v/>
      </c>
      <c r="AM93" s="781"/>
      <c r="AN93" s="781"/>
      <c r="AO93" s="781"/>
      <c r="AP93" s="781"/>
      <c r="AQ93" s="781"/>
      <c r="AR93" s="781"/>
      <c r="AS93" s="741" t="str">
        <f t="shared" ca="1" si="16"/>
        <v/>
      </c>
      <c r="AT93" s="741"/>
      <c r="AU93" s="741"/>
      <c r="AV93" s="741"/>
      <c r="AW93" s="741"/>
      <c r="AX93" s="741"/>
      <c r="AY93" s="741"/>
      <c r="AZ93" s="473"/>
    </row>
    <row r="94" spans="1:52" s="403" customFormat="1" ht="36.75" customHeight="1">
      <c r="B94" s="742">
        <f t="shared" si="17"/>
        <v>48</v>
      </c>
      <c r="C94" s="742"/>
      <c r="D94" s="743" t="str">
        <f t="shared" ca="1" si="12"/>
        <v/>
      </c>
      <c r="E94" s="743"/>
      <c r="F94" s="743"/>
      <c r="G94" s="743"/>
      <c r="H94" s="743"/>
      <c r="I94" s="743"/>
      <c r="J94" s="743"/>
      <c r="K94" s="743"/>
      <c r="L94" s="743"/>
      <c r="M94" s="743"/>
      <c r="N94" s="743"/>
      <c r="O94" s="743"/>
      <c r="P94" s="743"/>
      <c r="Q94" s="743"/>
      <c r="R94" s="743"/>
      <c r="S94" s="743"/>
      <c r="T94" s="743"/>
      <c r="U94" s="743"/>
      <c r="V94" s="743"/>
      <c r="W94" s="743"/>
      <c r="X94" s="743"/>
      <c r="Y94" s="743"/>
      <c r="Z94" s="743"/>
      <c r="AA94" s="743"/>
      <c r="AB94" s="743"/>
      <c r="AC94" s="781" t="str">
        <f t="shared" ca="1" si="13"/>
        <v/>
      </c>
      <c r="AD94" s="781"/>
      <c r="AE94" s="781"/>
      <c r="AF94" s="781"/>
      <c r="AG94" s="781"/>
      <c r="AH94" s="781"/>
      <c r="AI94" s="781"/>
      <c r="AJ94" s="742" t="str">
        <f t="shared" ca="1" si="14"/>
        <v/>
      </c>
      <c r="AK94" s="742"/>
      <c r="AL94" s="781" t="str">
        <f t="shared" ca="1" si="15"/>
        <v/>
      </c>
      <c r="AM94" s="781"/>
      <c r="AN94" s="781"/>
      <c r="AO94" s="781"/>
      <c r="AP94" s="781"/>
      <c r="AQ94" s="781"/>
      <c r="AR94" s="781"/>
      <c r="AS94" s="741" t="str">
        <f t="shared" ca="1" si="16"/>
        <v/>
      </c>
      <c r="AT94" s="741"/>
      <c r="AU94" s="741"/>
      <c r="AV94" s="741"/>
      <c r="AW94" s="741"/>
      <c r="AX94" s="741"/>
      <c r="AY94" s="741"/>
    </row>
    <row r="95" spans="1:52" s="403" customFormat="1" ht="36.75" customHeight="1">
      <c r="B95" s="742">
        <f t="shared" si="17"/>
        <v>49</v>
      </c>
      <c r="C95" s="742"/>
      <c r="D95" s="743" t="str">
        <f t="shared" ca="1" si="12"/>
        <v/>
      </c>
      <c r="E95" s="743"/>
      <c r="F95" s="743"/>
      <c r="G95" s="743"/>
      <c r="H95" s="743"/>
      <c r="I95" s="743"/>
      <c r="J95" s="743"/>
      <c r="K95" s="743"/>
      <c r="L95" s="743"/>
      <c r="M95" s="743"/>
      <c r="N95" s="743"/>
      <c r="O95" s="743"/>
      <c r="P95" s="743"/>
      <c r="Q95" s="743"/>
      <c r="R95" s="743"/>
      <c r="S95" s="743"/>
      <c r="T95" s="743"/>
      <c r="U95" s="743"/>
      <c r="V95" s="743"/>
      <c r="W95" s="743"/>
      <c r="X95" s="743"/>
      <c r="Y95" s="743"/>
      <c r="Z95" s="743"/>
      <c r="AA95" s="743"/>
      <c r="AB95" s="743"/>
      <c r="AC95" s="781" t="str">
        <f t="shared" ca="1" si="13"/>
        <v/>
      </c>
      <c r="AD95" s="781"/>
      <c r="AE95" s="781"/>
      <c r="AF95" s="781"/>
      <c r="AG95" s="781"/>
      <c r="AH95" s="781"/>
      <c r="AI95" s="781"/>
      <c r="AJ95" s="742" t="str">
        <f t="shared" ca="1" si="14"/>
        <v/>
      </c>
      <c r="AK95" s="742"/>
      <c r="AL95" s="781" t="str">
        <f t="shared" ca="1" si="15"/>
        <v/>
      </c>
      <c r="AM95" s="781"/>
      <c r="AN95" s="781"/>
      <c r="AO95" s="781"/>
      <c r="AP95" s="781"/>
      <c r="AQ95" s="781"/>
      <c r="AR95" s="781"/>
      <c r="AS95" s="741" t="str">
        <f t="shared" ca="1" si="16"/>
        <v/>
      </c>
      <c r="AT95" s="741"/>
      <c r="AU95" s="741"/>
      <c r="AV95" s="741"/>
      <c r="AW95" s="741"/>
      <c r="AX95" s="741"/>
      <c r="AY95" s="741"/>
    </row>
    <row r="96" spans="1:52" s="403" customFormat="1" ht="36.75" customHeight="1">
      <c r="B96" s="742">
        <f t="shared" si="17"/>
        <v>50</v>
      </c>
      <c r="C96" s="742"/>
      <c r="D96" s="743" t="str">
        <f t="shared" ca="1" si="12"/>
        <v/>
      </c>
      <c r="E96" s="743"/>
      <c r="F96" s="743"/>
      <c r="G96" s="743"/>
      <c r="H96" s="743"/>
      <c r="I96" s="743"/>
      <c r="J96" s="743"/>
      <c r="K96" s="743"/>
      <c r="L96" s="743"/>
      <c r="M96" s="743"/>
      <c r="N96" s="743"/>
      <c r="O96" s="743"/>
      <c r="P96" s="743"/>
      <c r="Q96" s="743"/>
      <c r="R96" s="743"/>
      <c r="S96" s="743"/>
      <c r="T96" s="743"/>
      <c r="U96" s="743"/>
      <c r="V96" s="743"/>
      <c r="W96" s="743"/>
      <c r="X96" s="743"/>
      <c r="Y96" s="743"/>
      <c r="Z96" s="743"/>
      <c r="AA96" s="743"/>
      <c r="AB96" s="743"/>
      <c r="AC96" s="781" t="str">
        <f t="shared" ca="1" si="13"/>
        <v/>
      </c>
      <c r="AD96" s="781"/>
      <c r="AE96" s="781"/>
      <c r="AF96" s="781"/>
      <c r="AG96" s="781"/>
      <c r="AH96" s="781"/>
      <c r="AI96" s="781"/>
      <c r="AJ96" s="742" t="str">
        <f t="shared" ca="1" si="14"/>
        <v/>
      </c>
      <c r="AK96" s="742"/>
      <c r="AL96" s="781" t="str">
        <f t="shared" ca="1" si="15"/>
        <v/>
      </c>
      <c r="AM96" s="781"/>
      <c r="AN96" s="781"/>
      <c r="AO96" s="781"/>
      <c r="AP96" s="781"/>
      <c r="AQ96" s="781"/>
      <c r="AR96" s="781"/>
      <c r="AS96" s="741" t="str">
        <f t="shared" ca="1" si="16"/>
        <v/>
      </c>
      <c r="AT96" s="741"/>
      <c r="AU96" s="741"/>
      <c r="AV96" s="741"/>
      <c r="AW96" s="741"/>
      <c r="AX96" s="741"/>
      <c r="AY96" s="741"/>
    </row>
    <row r="97" spans="1:52" s="403" customFormat="1" ht="36.75" customHeight="1">
      <c r="B97" s="742">
        <f t="shared" si="17"/>
        <v>51</v>
      </c>
      <c r="C97" s="742"/>
      <c r="D97" s="743" t="str">
        <f t="shared" ca="1" si="12"/>
        <v/>
      </c>
      <c r="E97" s="743"/>
      <c r="F97" s="743"/>
      <c r="G97" s="743"/>
      <c r="H97" s="743"/>
      <c r="I97" s="743"/>
      <c r="J97" s="743"/>
      <c r="K97" s="743"/>
      <c r="L97" s="743"/>
      <c r="M97" s="743"/>
      <c r="N97" s="743"/>
      <c r="O97" s="743"/>
      <c r="P97" s="743"/>
      <c r="Q97" s="743"/>
      <c r="R97" s="743"/>
      <c r="S97" s="743"/>
      <c r="T97" s="743"/>
      <c r="U97" s="743"/>
      <c r="V97" s="743"/>
      <c r="W97" s="743"/>
      <c r="X97" s="743"/>
      <c r="Y97" s="743"/>
      <c r="Z97" s="743"/>
      <c r="AA97" s="743"/>
      <c r="AB97" s="743"/>
      <c r="AC97" s="781" t="str">
        <f t="shared" ca="1" si="13"/>
        <v/>
      </c>
      <c r="AD97" s="781"/>
      <c r="AE97" s="781"/>
      <c r="AF97" s="781"/>
      <c r="AG97" s="781"/>
      <c r="AH97" s="781"/>
      <c r="AI97" s="781"/>
      <c r="AJ97" s="742" t="str">
        <f t="shared" ca="1" si="14"/>
        <v/>
      </c>
      <c r="AK97" s="742"/>
      <c r="AL97" s="781" t="str">
        <f t="shared" ca="1" si="15"/>
        <v/>
      </c>
      <c r="AM97" s="781"/>
      <c r="AN97" s="781"/>
      <c r="AO97" s="781"/>
      <c r="AP97" s="781"/>
      <c r="AQ97" s="781"/>
      <c r="AR97" s="781"/>
      <c r="AS97" s="741" t="str">
        <f t="shared" ca="1" si="16"/>
        <v/>
      </c>
      <c r="AT97" s="741"/>
      <c r="AU97" s="741"/>
      <c r="AV97" s="741"/>
      <c r="AW97" s="741"/>
      <c r="AX97" s="741"/>
      <c r="AY97" s="741"/>
    </row>
    <row r="98" spans="1:52" s="403" customFormat="1" ht="36.75" customHeight="1">
      <c r="B98" s="742">
        <f t="shared" si="17"/>
        <v>52</v>
      </c>
      <c r="C98" s="742"/>
      <c r="D98" s="743" t="str">
        <f t="shared" ca="1" si="12"/>
        <v/>
      </c>
      <c r="E98" s="743"/>
      <c r="F98" s="743"/>
      <c r="G98" s="743"/>
      <c r="H98" s="743"/>
      <c r="I98" s="743"/>
      <c r="J98" s="743"/>
      <c r="K98" s="743"/>
      <c r="L98" s="743"/>
      <c r="M98" s="743"/>
      <c r="N98" s="743"/>
      <c r="O98" s="743"/>
      <c r="P98" s="743"/>
      <c r="Q98" s="743"/>
      <c r="R98" s="743"/>
      <c r="S98" s="743"/>
      <c r="T98" s="743"/>
      <c r="U98" s="743"/>
      <c r="V98" s="743"/>
      <c r="W98" s="743"/>
      <c r="X98" s="743"/>
      <c r="Y98" s="743"/>
      <c r="Z98" s="743"/>
      <c r="AA98" s="743"/>
      <c r="AB98" s="743"/>
      <c r="AC98" s="781" t="str">
        <f t="shared" ca="1" si="13"/>
        <v/>
      </c>
      <c r="AD98" s="781"/>
      <c r="AE98" s="781"/>
      <c r="AF98" s="781"/>
      <c r="AG98" s="781"/>
      <c r="AH98" s="781"/>
      <c r="AI98" s="781"/>
      <c r="AJ98" s="742" t="str">
        <f t="shared" ca="1" si="14"/>
        <v/>
      </c>
      <c r="AK98" s="742"/>
      <c r="AL98" s="781" t="str">
        <f t="shared" ca="1" si="15"/>
        <v/>
      </c>
      <c r="AM98" s="781"/>
      <c r="AN98" s="781"/>
      <c r="AO98" s="781"/>
      <c r="AP98" s="781"/>
      <c r="AQ98" s="781"/>
      <c r="AR98" s="781"/>
      <c r="AS98" s="741" t="str">
        <f t="shared" ca="1" si="16"/>
        <v/>
      </c>
      <c r="AT98" s="741"/>
      <c r="AU98" s="741"/>
      <c r="AV98" s="741"/>
      <c r="AW98" s="741"/>
      <c r="AX98" s="741"/>
      <c r="AY98" s="741"/>
    </row>
    <row r="99" spans="1:52" s="403" customFormat="1" ht="36.75" customHeight="1">
      <c r="B99" s="742">
        <f t="shared" si="17"/>
        <v>53</v>
      </c>
      <c r="C99" s="742"/>
      <c r="D99" s="743" t="str">
        <f t="shared" ca="1" si="12"/>
        <v/>
      </c>
      <c r="E99" s="743"/>
      <c r="F99" s="743"/>
      <c r="G99" s="743"/>
      <c r="H99" s="743"/>
      <c r="I99" s="743"/>
      <c r="J99" s="743"/>
      <c r="K99" s="743"/>
      <c r="L99" s="743"/>
      <c r="M99" s="743"/>
      <c r="N99" s="743"/>
      <c r="O99" s="743"/>
      <c r="P99" s="743"/>
      <c r="Q99" s="743"/>
      <c r="R99" s="743"/>
      <c r="S99" s="743"/>
      <c r="T99" s="743"/>
      <c r="U99" s="743"/>
      <c r="V99" s="743"/>
      <c r="W99" s="743"/>
      <c r="X99" s="743"/>
      <c r="Y99" s="743"/>
      <c r="Z99" s="743"/>
      <c r="AA99" s="743"/>
      <c r="AB99" s="743"/>
      <c r="AC99" s="781" t="str">
        <f t="shared" ca="1" si="13"/>
        <v/>
      </c>
      <c r="AD99" s="781"/>
      <c r="AE99" s="781"/>
      <c r="AF99" s="781"/>
      <c r="AG99" s="781"/>
      <c r="AH99" s="781"/>
      <c r="AI99" s="781"/>
      <c r="AJ99" s="742" t="str">
        <f t="shared" ca="1" si="14"/>
        <v/>
      </c>
      <c r="AK99" s="742"/>
      <c r="AL99" s="781" t="str">
        <f t="shared" ca="1" si="15"/>
        <v/>
      </c>
      <c r="AM99" s="781"/>
      <c r="AN99" s="781"/>
      <c r="AO99" s="781"/>
      <c r="AP99" s="781"/>
      <c r="AQ99" s="781"/>
      <c r="AR99" s="781"/>
      <c r="AS99" s="741" t="str">
        <f t="shared" ca="1" si="16"/>
        <v/>
      </c>
      <c r="AT99" s="741"/>
      <c r="AU99" s="741"/>
      <c r="AV99" s="741"/>
      <c r="AW99" s="741"/>
      <c r="AX99" s="741"/>
      <c r="AY99" s="741"/>
    </row>
    <row r="100" spans="1:52" s="403" customFormat="1" ht="36.75" customHeight="1">
      <c r="B100" s="742">
        <f t="shared" si="17"/>
        <v>54</v>
      </c>
      <c r="C100" s="742"/>
      <c r="D100" s="743" t="str">
        <f t="shared" ca="1" si="12"/>
        <v/>
      </c>
      <c r="E100" s="743"/>
      <c r="F100" s="743"/>
      <c r="G100" s="743"/>
      <c r="H100" s="743"/>
      <c r="I100" s="743"/>
      <c r="J100" s="743"/>
      <c r="K100" s="743"/>
      <c r="L100" s="743"/>
      <c r="M100" s="743"/>
      <c r="N100" s="743"/>
      <c r="O100" s="743"/>
      <c r="P100" s="743"/>
      <c r="Q100" s="743"/>
      <c r="R100" s="743"/>
      <c r="S100" s="743"/>
      <c r="T100" s="743"/>
      <c r="U100" s="743"/>
      <c r="V100" s="743"/>
      <c r="W100" s="743"/>
      <c r="X100" s="743"/>
      <c r="Y100" s="743"/>
      <c r="Z100" s="743"/>
      <c r="AA100" s="743"/>
      <c r="AB100" s="743"/>
      <c r="AC100" s="781" t="str">
        <f t="shared" ca="1" si="13"/>
        <v/>
      </c>
      <c r="AD100" s="781"/>
      <c r="AE100" s="781"/>
      <c r="AF100" s="781"/>
      <c r="AG100" s="781"/>
      <c r="AH100" s="781"/>
      <c r="AI100" s="781"/>
      <c r="AJ100" s="742" t="str">
        <f t="shared" ca="1" si="14"/>
        <v/>
      </c>
      <c r="AK100" s="742"/>
      <c r="AL100" s="781" t="str">
        <f t="shared" ca="1" si="15"/>
        <v/>
      </c>
      <c r="AM100" s="781"/>
      <c r="AN100" s="781"/>
      <c r="AO100" s="781"/>
      <c r="AP100" s="781"/>
      <c r="AQ100" s="781"/>
      <c r="AR100" s="781"/>
      <c r="AS100" s="741" t="str">
        <f t="shared" ca="1" si="16"/>
        <v/>
      </c>
      <c r="AT100" s="741"/>
      <c r="AU100" s="741"/>
      <c r="AV100" s="741"/>
      <c r="AW100" s="741"/>
      <c r="AX100" s="741"/>
      <c r="AY100" s="741"/>
    </row>
    <row r="101" spans="1:52" s="403" customFormat="1" ht="36.75" customHeight="1">
      <c r="B101" s="742">
        <f t="shared" si="17"/>
        <v>55</v>
      </c>
      <c r="C101" s="742"/>
      <c r="D101" s="743" t="str">
        <f t="shared" ca="1" si="12"/>
        <v/>
      </c>
      <c r="E101" s="743"/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3"/>
      <c r="R101" s="743"/>
      <c r="S101" s="743"/>
      <c r="T101" s="743"/>
      <c r="U101" s="743"/>
      <c r="V101" s="743"/>
      <c r="W101" s="743"/>
      <c r="X101" s="743"/>
      <c r="Y101" s="743"/>
      <c r="Z101" s="743"/>
      <c r="AA101" s="743"/>
      <c r="AB101" s="743"/>
      <c r="AC101" s="781" t="str">
        <f t="shared" ca="1" si="13"/>
        <v/>
      </c>
      <c r="AD101" s="781"/>
      <c r="AE101" s="781"/>
      <c r="AF101" s="781"/>
      <c r="AG101" s="781"/>
      <c r="AH101" s="781"/>
      <c r="AI101" s="781"/>
      <c r="AJ101" s="742" t="str">
        <f t="shared" ca="1" si="14"/>
        <v/>
      </c>
      <c r="AK101" s="742"/>
      <c r="AL101" s="781" t="str">
        <f t="shared" ca="1" si="15"/>
        <v/>
      </c>
      <c r="AM101" s="781"/>
      <c r="AN101" s="781"/>
      <c r="AO101" s="781"/>
      <c r="AP101" s="781"/>
      <c r="AQ101" s="781"/>
      <c r="AR101" s="781"/>
      <c r="AS101" s="741" t="str">
        <f t="shared" ca="1" si="16"/>
        <v/>
      </c>
      <c r="AT101" s="741"/>
      <c r="AU101" s="741"/>
      <c r="AV101" s="741"/>
      <c r="AW101" s="741"/>
      <c r="AX101" s="741"/>
      <c r="AY101" s="741"/>
    </row>
    <row r="102" spans="1:52" s="403" customFormat="1" ht="36.75" customHeight="1">
      <c r="B102" s="742">
        <f t="shared" si="17"/>
        <v>56</v>
      </c>
      <c r="C102" s="742"/>
      <c r="D102" s="743" t="str">
        <f t="shared" ca="1" si="12"/>
        <v/>
      </c>
      <c r="E102" s="743"/>
      <c r="F102" s="743"/>
      <c r="G102" s="743"/>
      <c r="H102" s="743"/>
      <c r="I102" s="743"/>
      <c r="J102" s="743"/>
      <c r="K102" s="743"/>
      <c r="L102" s="743"/>
      <c r="M102" s="743"/>
      <c r="N102" s="743"/>
      <c r="O102" s="743"/>
      <c r="P102" s="743"/>
      <c r="Q102" s="743"/>
      <c r="R102" s="743"/>
      <c r="S102" s="743"/>
      <c r="T102" s="743"/>
      <c r="U102" s="743"/>
      <c r="V102" s="743"/>
      <c r="W102" s="743"/>
      <c r="X102" s="743"/>
      <c r="Y102" s="743"/>
      <c r="Z102" s="743"/>
      <c r="AA102" s="743"/>
      <c r="AB102" s="743"/>
      <c r="AC102" s="781" t="str">
        <f t="shared" ca="1" si="13"/>
        <v/>
      </c>
      <c r="AD102" s="781"/>
      <c r="AE102" s="781"/>
      <c r="AF102" s="781"/>
      <c r="AG102" s="781"/>
      <c r="AH102" s="781"/>
      <c r="AI102" s="781"/>
      <c r="AJ102" s="742" t="str">
        <f t="shared" ca="1" si="14"/>
        <v/>
      </c>
      <c r="AK102" s="742"/>
      <c r="AL102" s="781" t="str">
        <f t="shared" ca="1" si="15"/>
        <v/>
      </c>
      <c r="AM102" s="781"/>
      <c r="AN102" s="781"/>
      <c r="AO102" s="781"/>
      <c r="AP102" s="781"/>
      <c r="AQ102" s="781"/>
      <c r="AR102" s="781"/>
      <c r="AS102" s="741" t="str">
        <f t="shared" ca="1" si="16"/>
        <v/>
      </c>
      <c r="AT102" s="741"/>
      <c r="AU102" s="741"/>
      <c r="AV102" s="741"/>
      <c r="AW102" s="741"/>
      <c r="AX102" s="741"/>
      <c r="AY102" s="741"/>
    </row>
    <row r="103" spans="1:52" s="403" customFormat="1" ht="36.75" customHeight="1">
      <c r="B103" s="742">
        <f t="shared" si="17"/>
        <v>57</v>
      </c>
      <c r="C103" s="742"/>
      <c r="D103" s="743" t="str">
        <f t="shared" ca="1" si="12"/>
        <v/>
      </c>
      <c r="E103" s="743"/>
      <c r="F103" s="743"/>
      <c r="G103" s="743"/>
      <c r="H103" s="743"/>
      <c r="I103" s="743"/>
      <c r="J103" s="743"/>
      <c r="K103" s="743"/>
      <c r="L103" s="743"/>
      <c r="M103" s="743"/>
      <c r="N103" s="743"/>
      <c r="O103" s="743"/>
      <c r="P103" s="743"/>
      <c r="Q103" s="743"/>
      <c r="R103" s="743"/>
      <c r="S103" s="743"/>
      <c r="T103" s="743"/>
      <c r="U103" s="743"/>
      <c r="V103" s="743"/>
      <c r="W103" s="743"/>
      <c r="X103" s="743"/>
      <c r="Y103" s="743"/>
      <c r="Z103" s="743"/>
      <c r="AA103" s="743"/>
      <c r="AB103" s="743"/>
      <c r="AC103" s="781" t="str">
        <f t="shared" ca="1" si="13"/>
        <v/>
      </c>
      <c r="AD103" s="781"/>
      <c r="AE103" s="781"/>
      <c r="AF103" s="781"/>
      <c r="AG103" s="781"/>
      <c r="AH103" s="781"/>
      <c r="AI103" s="781"/>
      <c r="AJ103" s="742" t="str">
        <f t="shared" ca="1" si="14"/>
        <v/>
      </c>
      <c r="AK103" s="742"/>
      <c r="AL103" s="781" t="str">
        <f t="shared" ca="1" si="15"/>
        <v/>
      </c>
      <c r="AM103" s="781"/>
      <c r="AN103" s="781"/>
      <c r="AO103" s="781"/>
      <c r="AP103" s="781"/>
      <c r="AQ103" s="781"/>
      <c r="AR103" s="781"/>
      <c r="AS103" s="741" t="str">
        <f t="shared" ca="1" si="16"/>
        <v/>
      </c>
      <c r="AT103" s="741"/>
      <c r="AU103" s="741"/>
      <c r="AV103" s="741"/>
      <c r="AW103" s="741"/>
      <c r="AX103" s="741"/>
      <c r="AY103" s="741"/>
    </row>
    <row r="104" spans="1:52" s="403" customFormat="1" ht="36.75" customHeight="1">
      <c r="B104" s="742">
        <f t="shared" si="17"/>
        <v>58</v>
      </c>
      <c r="C104" s="742"/>
      <c r="D104" s="743" t="str">
        <f t="shared" ca="1" si="12"/>
        <v/>
      </c>
      <c r="E104" s="743"/>
      <c r="F104" s="743"/>
      <c r="G104" s="743"/>
      <c r="H104" s="743"/>
      <c r="I104" s="743"/>
      <c r="J104" s="743"/>
      <c r="K104" s="743"/>
      <c r="L104" s="743"/>
      <c r="M104" s="743"/>
      <c r="N104" s="743"/>
      <c r="O104" s="743"/>
      <c r="P104" s="743"/>
      <c r="Q104" s="743"/>
      <c r="R104" s="743"/>
      <c r="S104" s="743"/>
      <c r="T104" s="743"/>
      <c r="U104" s="743"/>
      <c r="V104" s="743"/>
      <c r="W104" s="743"/>
      <c r="X104" s="743"/>
      <c r="Y104" s="743"/>
      <c r="Z104" s="743"/>
      <c r="AA104" s="743"/>
      <c r="AB104" s="743"/>
      <c r="AC104" s="781" t="str">
        <f t="shared" ca="1" si="13"/>
        <v/>
      </c>
      <c r="AD104" s="781"/>
      <c r="AE104" s="781"/>
      <c r="AF104" s="781"/>
      <c r="AG104" s="781"/>
      <c r="AH104" s="781"/>
      <c r="AI104" s="781"/>
      <c r="AJ104" s="742" t="str">
        <f t="shared" ca="1" si="14"/>
        <v/>
      </c>
      <c r="AK104" s="742"/>
      <c r="AL104" s="781" t="str">
        <f t="shared" ca="1" si="15"/>
        <v/>
      </c>
      <c r="AM104" s="781"/>
      <c r="AN104" s="781"/>
      <c r="AO104" s="781"/>
      <c r="AP104" s="781"/>
      <c r="AQ104" s="781"/>
      <c r="AR104" s="781"/>
      <c r="AS104" s="741" t="str">
        <f t="shared" ca="1" si="16"/>
        <v/>
      </c>
      <c r="AT104" s="741"/>
      <c r="AU104" s="741"/>
      <c r="AV104" s="741"/>
      <c r="AW104" s="741"/>
      <c r="AX104" s="741"/>
      <c r="AY104" s="741"/>
    </row>
    <row r="105" spans="1:52" s="403" customFormat="1" ht="36.75" customHeight="1">
      <c r="A105" s="403" t="s">
        <v>1529</v>
      </c>
      <c r="B105" s="742">
        <f t="shared" si="17"/>
        <v>59</v>
      </c>
      <c r="C105" s="742"/>
      <c r="D105" s="743" t="str">
        <f t="shared" ca="1" si="12"/>
        <v/>
      </c>
      <c r="E105" s="743"/>
      <c r="F105" s="743"/>
      <c r="G105" s="743"/>
      <c r="H105" s="743"/>
      <c r="I105" s="743"/>
      <c r="J105" s="743"/>
      <c r="K105" s="743"/>
      <c r="L105" s="743"/>
      <c r="M105" s="743"/>
      <c r="N105" s="743"/>
      <c r="O105" s="743"/>
      <c r="P105" s="743"/>
      <c r="Q105" s="743"/>
      <c r="R105" s="743"/>
      <c r="S105" s="743"/>
      <c r="T105" s="743"/>
      <c r="U105" s="743"/>
      <c r="V105" s="743"/>
      <c r="W105" s="743"/>
      <c r="X105" s="743"/>
      <c r="Y105" s="743"/>
      <c r="Z105" s="743"/>
      <c r="AA105" s="743"/>
      <c r="AB105" s="743"/>
      <c r="AC105" s="781" t="str">
        <f t="shared" ca="1" si="13"/>
        <v/>
      </c>
      <c r="AD105" s="781"/>
      <c r="AE105" s="781"/>
      <c r="AF105" s="781"/>
      <c r="AG105" s="781"/>
      <c r="AH105" s="781"/>
      <c r="AI105" s="781"/>
      <c r="AJ105" s="742" t="str">
        <f t="shared" ca="1" si="14"/>
        <v/>
      </c>
      <c r="AK105" s="742"/>
      <c r="AL105" s="781" t="str">
        <f t="shared" ca="1" si="15"/>
        <v/>
      </c>
      <c r="AM105" s="781"/>
      <c r="AN105" s="781"/>
      <c r="AO105" s="781"/>
      <c r="AP105" s="781"/>
      <c r="AQ105" s="781"/>
      <c r="AR105" s="781"/>
      <c r="AS105" s="741" t="str">
        <f t="shared" ca="1" si="16"/>
        <v/>
      </c>
      <c r="AT105" s="741"/>
      <c r="AU105" s="741"/>
      <c r="AV105" s="741"/>
      <c r="AW105" s="741"/>
      <c r="AX105" s="741"/>
      <c r="AY105" s="741"/>
      <c r="AZ105" s="473" t="s">
        <v>1530</v>
      </c>
    </row>
    <row r="106" spans="1:52" s="403" customFormat="1" ht="36.75" customHeight="1">
      <c r="B106" s="742">
        <f t="shared" si="17"/>
        <v>60</v>
      </c>
      <c r="C106" s="742"/>
      <c r="D106" s="743" t="str">
        <f t="shared" ca="1" si="12"/>
        <v/>
      </c>
      <c r="E106" s="743"/>
      <c r="F106" s="743"/>
      <c r="G106" s="743"/>
      <c r="H106" s="743"/>
      <c r="I106" s="743"/>
      <c r="J106" s="743"/>
      <c r="K106" s="743"/>
      <c r="L106" s="743"/>
      <c r="M106" s="743"/>
      <c r="N106" s="743"/>
      <c r="O106" s="743"/>
      <c r="P106" s="743"/>
      <c r="Q106" s="743"/>
      <c r="R106" s="743"/>
      <c r="S106" s="743"/>
      <c r="T106" s="743"/>
      <c r="U106" s="743"/>
      <c r="V106" s="743"/>
      <c r="W106" s="743"/>
      <c r="X106" s="743"/>
      <c r="Y106" s="743"/>
      <c r="Z106" s="743"/>
      <c r="AA106" s="743"/>
      <c r="AB106" s="743"/>
      <c r="AC106" s="781" t="str">
        <f t="shared" ca="1" si="13"/>
        <v/>
      </c>
      <c r="AD106" s="781"/>
      <c r="AE106" s="781"/>
      <c r="AF106" s="781"/>
      <c r="AG106" s="781"/>
      <c r="AH106" s="781"/>
      <c r="AI106" s="781"/>
      <c r="AJ106" s="742" t="str">
        <f t="shared" ca="1" si="14"/>
        <v/>
      </c>
      <c r="AK106" s="742"/>
      <c r="AL106" s="781" t="str">
        <f t="shared" ca="1" si="15"/>
        <v/>
      </c>
      <c r="AM106" s="781"/>
      <c r="AN106" s="781"/>
      <c r="AO106" s="781"/>
      <c r="AP106" s="781"/>
      <c r="AQ106" s="781"/>
      <c r="AR106" s="781"/>
      <c r="AS106" s="741" t="str">
        <f t="shared" ca="1" si="16"/>
        <v/>
      </c>
      <c r="AT106" s="741"/>
      <c r="AU106" s="741"/>
      <c r="AV106" s="741"/>
      <c r="AW106" s="741"/>
      <c r="AX106" s="741"/>
      <c r="AY106" s="741"/>
    </row>
    <row r="107" spans="1:52" s="403" customFormat="1" ht="45" customHeight="1">
      <c r="B107" s="749" t="s">
        <v>1527</v>
      </c>
      <c r="C107" s="750"/>
      <c r="D107" s="750"/>
      <c r="E107" s="751" t="str">
        <f>IF(UNNH0030_REPORT_IF_H_EIGYO_MEI="","",UNNH0030_REPORT_IF_H_EIGYO_MEI)</f>
        <v/>
      </c>
      <c r="F107" s="751"/>
      <c r="G107" s="751"/>
      <c r="H107" s="751"/>
      <c r="I107" s="751"/>
      <c r="J107" s="751"/>
      <c r="K107" s="751"/>
      <c r="L107" s="751"/>
      <c r="M107" s="751"/>
      <c r="N107" s="751"/>
      <c r="O107" s="751"/>
      <c r="P107" s="751"/>
      <c r="Q107" s="751"/>
      <c r="R107" s="751"/>
      <c r="S107" s="751"/>
      <c r="T107" s="751"/>
      <c r="U107" s="751"/>
      <c r="V107" s="751"/>
      <c r="W107" s="751"/>
      <c r="X107" s="751"/>
      <c r="Y107" s="751"/>
      <c r="Z107" s="751"/>
      <c r="AA107" s="751"/>
      <c r="AB107" s="751"/>
      <c r="AC107" s="751"/>
      <c r="AD107" s="751"/>
      <c r="AE107" s="751"/>
      <c r="AF107" s="751"/>
      <c r="AG107" s="752"/>
      <c r="AH107" s="742" t="s">
        <v>1107</v>
      </c>
      <c r="AI107" s="742"/>
      <c r="AJ107" s="742"/>
      <c r="AK107" s="742"/>
      <c r="AL107" s="742"/>
      <c r="AM107" s="742"/>
      <c r="AN107" s="742"/>
      <c r="AO107" s="742"/>
      <c r="AP107" s="742"/>
      <c r="AQ107" s="782" t="str">
        <f>IF(ROUNDUP(ROW()/ROWS(UNNH0030_SEIKYUSHO_PAGE_AREA),0)=UNNH0030_REPORT_IF_B_PAGE_TOTAL,UNNH0030_REPORT_IF_H_TOTAL,"")</f>
        <v/>
      </c>
      <c r="AR107" s="783"/>
      <c r="AS107" s="783"/>
      <c r="AT107" s="783"/>
      <c r="AU107" s="783"/>
      <c r="AV107" s="783"/>
      <c r="AW107" s="783"/>
      <c r="AX107" s="783"/>
      <c r="AY107" s="784"/>
    </row>
    <row r="108" spans="1:52" s="403" customFormat="1" ht="33.75" customHeight="1">
      <c r="C108" s="404"/>
      <c r="D108" s="404"/>
      <c r="E108" s="404"/>
      <c r="F108" s="404"/>
      <c r="G108" s="404"/>
      <c r="H108" s="404"/>
      <c r="I108" s="404"/>
      <c r="J108" s="404"/>
      <c r="K108" s="404"/>
      <c r="L108" s="404"/>
      <c r="M108" s="404"/>
      <c r="N108" s="404"/>
      <c r="O108" s="404"/>
    </row>
    <row r="109" spans="1:52" s="403" customFormat="1" ht="38.25" customHeight="1">
      <c r="B109" s="756" t="s">
        <v>1528</v>
      </c>
      <c r="C109" s="757"/>
      <c r="D109" s="758"/>
      <c r="E109" s="738" t="str">
        <f>IF(UNNH0030_REPORT_IF_H_TEKIYO="","",UNNH0030_REPORT_IF_H_TEKIYO)</f>
        <v/>
      </c>
      <c r="F109" s="738"/>
      <c r="G109" s="738"/>
      <c r="H109" s="738"/>
      <c r="I109" s="738"/>
      <c r="J109" s="738"/>
      <c r="K109" s="738"/>
      <c r="L109" s="738"/>
      <c r="M109" s="738"/>
      <c r="N109" s="738"/>
      <c r="O109" s="738"/>
      <c r="P109" s="738"/>
      <c r="Q109" s="738"/>
      <c r="R109" s="738"/>
      <c r="S109" s="738"/>
      <c r="T109" s="738"/>
      <c r="U109" s="738"/>
      <c r="V109" s="738"/>
      <c r="W109" s="738"/>
      <c r="X109" s="738"/>
      <c r="Y109" s="738"/>
      <c r="Z109" s="738"/>
      <c r="AA109" s="738"/>
      <c r="AB109" s="738"/>
      <c r="AC109" s="738"/>
      <c r="AD109" s="738"/>
      <c r="AE109" s="738"/>
      <c r="AF109" s="738"/>
      <c r="AG109" s="738"/>
      <c r="AH109" s="738"/>
      <c r="AI109" s="738"/>
      <c r="AJ109" s="738"/>
      <c r="AK109" s="738"/>
      <c r="AL109" s="738"/>
      <c r="AM109" s="738"/>
      <c r="AN109" s="738"/>
      <c r="AO109" s="738"/>
      <c r="AP109" s="738"/>
      <c r="AQ109" s="738"/>
      <c r="AR109" s="738"/>
      <c r="AS109" s="738"/>
      <c r="AU109" s="739" t="str">
        <f>IF(UNNH0030_REPORT_IF_H_SEIKYUHOHO_KBN=0,"","締日 "&amp;UNNH0030_REPORT_IF_H_SHIMEBI)</f>
        <v/>
      </c>
      <c r="AV109" s="739"/>
      <c r="AW109" s="739"/>
      <c r="AX109" s="739"/>
      <c r="AY109" s="740" t="str">
        <f>UNNH0030_REPORT_IF_H_SHIMEBI_MARK</f>
        <v>*</v>
      </c>
    </row>
    <row r="110" spans="1:52" s="403" customFormat="1" ht="38.25" customHeight="1">
      <c r="B110" s="759"/>
      <c r="C110" s="760"/>
      <c r="D110" s="761"/>
      <c r="E110" s="738"/>
      <c r="F110" s="738"/>
      <c r="G110" s="738"/>
      <c r="H110" s="738"/>
      <c r="I110" s="738"/>
      <c r="J110" s="738"/>
      <c r="K110" s="738"/>
      <c r="L110" s="738"/>
      <c r="M110" s="738"/>
      <c r="N110" s="738"/>
      <c r="O110" s="738"/>
      <c r="P110" s="738"/>
      <c r="Q110" s="738"/>
      <c r="R110" s="738"/>
      <c r="S110" s="738"/>
      <c r="T110" s="738"/>
      <c r="U110" s="738"/>
      <c r="V110" s="738"/>
      <c r="W110" s="738"/>
      <c r="X110" s="738"/>
      <c r="Y110" s="738"/>
      <c r="Z110" s="738"/>
      <c r="AA110" s="738"/>
      <c r="AB110" s="738"/>
      <c r="AC110" s="738"/>
      <c r="AD110" s="738"/>
      <c r="AE110" s="738"/>
      <c r="AF110" s="738"/>
      <c r="AG110" s="738"/>
      <c r="AH110" s="738"/>
      <c r="AI110" s="738"/>
      <c r="AJ110" s="738"/>
      <c r="AK110" s="738"/>
      <c r="AL110" s="738"/>
      <c r="AM110" s="738"/>
      <c r="AN110" s="738"/>
      <c r="AO110" s="738"/>
      <c r="AP110" s="738"/>
      <c r="AQ110" s="738"/>
      <c r="AR110" s="738"/>
      <c r="AS110" s="738"/>
      <c r="AU110" s="739"/>
      <c r="AV110" s="739"/>
      <c r="AW110" s="739"/>
      <c r="AX110" s="739"/>
      <c r="AY110" s="740"/>
    </row>
    <row r="111" spans="1:52" s="403" customFormat="1" ht="30" customHeight="1">
      <c r="B111" s="777" t="str">
        <f>IF(UNNH0030_REPORT_IF_JURI_NO="","",UNNH0030_REPORT_IF_JURI_NO)</f>
        <v/>
      </c>
      <c r="C111" s="777"/>
      <c r="D111" s="777"/>
      <c r="E111" s="777"/>
      <c r="F111" s="777"/>
      <c r="G111" s="777"/>
      <c r="H111" s="777"/>
      <c r="I111" s="777"/>
      <c r="J111" s="777"/>
      <c r="K111" s="777"/>
      <c r="L111" s="777"/>
      <c r="M111" s="777"/>
      <c r="N111" s="777"/>
      <c r="O111" s="777"/>
      <c r="P111" s="777"/>
      <c r="Q111" s="777"/>
      <c r="R111" s="777"/>
      <c r="S111" s="777"/>
      <c r="T111" s="777"/>
      <c r="U111" s="777"/>
      <c r="V111" s="777"/>
      <c r="W111" s="777"/>
      <c r="X111" s="777"/>
      <c r="Y111" s="777"/>
      <c r="Z111" s="777"/>
      <c r="AA111" s="777"/>
      <c r="AB111" s="777"/>
      <c r="AC111" s="777"/>
      <c r="AD111" s="777"/>
      <c r="AE111" s="777"/>
      <c r="AF111" s="777"/>
      <c r="AG111" s="777"/>
      <c r="AH111" s="777"/>
      <c r="AI111" s="777"/>
      <c r="AJ111" s="777"/>
      <c r="AK111" s="777"/>
      <c r="AL111" s="777"/>
      <c r="AM111" s="777"/>
      <c r="AN111" s="777"/>
      <c r="AO111" s="777"/>
      <c r="AP111" s="777"/>
      <c r="AQ111" s="777"/>
      <c r="AR111" s="777"/>
      <c r="AS111" s="777"/>
      <c r="AT111" s="777"/>
      <c r="AU111" s="777"/>
      <c r="AV111" s="777"/>
      <c r="AW111" s="777"/>
      <c r="AX111" s="777"/>
      <c r="AY111" s="777"/>
    </row>
    <row r="112" spans="1:52" s="403" customFormat="1" ht="12" customHeight="1">
      <c r="C112" s="404"/>
      <c r="D112" s="404"/>
      <c r="E112" s="465"/>
      <c r="F112" s="466"/>
      <c r="G112" s="466"/>
      <c r="H112" s="466"/>
      <c r="I112" s="466"/>
      <c r="J112" s="466"/>
      <c r="K112" s="466"/>
      <c r="L112" s="466"/>
      <c r="M112" s="466"/>
      <c r="N112" s="466"/>
      <c r="O112" s="466"/>
      <c r="P112" s="466"/>
      <c r="Q112" s="466"/>
      <c r="R112" s="466"/>
      <c r="S112" s="466"/>
      <c r="T112" s="466"/>
      <c r="U112" s="466"/>
      <c r="V112" s="466"/>
      <c r="W112" s="466"/>
      <c r="X112" s="466"/>
      <c r="Y112" s="467"/>
      <c r="AA112" s="744" t="s">
        <v>1320</v>
      </c>
      <c r="AB112" s="744"/>
      <c r="AC112" s="744"/>
      <c r="AD112" s="744"/>
      <c r="AE112" s="744"/>
      <c r="AF112" s="744"/>
      <c r="AG112" s="744"/>
      <c r="AH112" s="744"/>
      <c r="AI112" s="744"/>
      <c r="AJ112" s="744"/>
      <c r="AK112" s="744"/>
      <c r="AL112" s="744"/>
      <c r="AP112" s="774" t="str">
        <f>"No."&amp;UNNH0030_REPORT_IF_H_URIAGE_NO&amp;"-"&amp;ROUNDUP(ROW()/ROWS(UNNH0030_SEIKYUSHO_PAGE_AREA),0)&amp;"/"&amp;UNNH0030_REPORT_IF_B_PAGE_TOTAL</f>
        <v>No.-4/1</v>
      </c>
      <c r="AQ112" s="774"/>
      <c r="AR112" s="774"/>
      <c r="AS112" s="774"/>
      <c r="AT112" s="774"/>
      <c r="AU112" s="774"/>
      <c r="AV112" s="774"/>
      <c r="AW112" s="774"/>
      <c r="AX112" s="774"/>
      <c r="AY112" s="774"/>
    </row>
    <row r="113" spans="1:52" s="403" customFormat="1" ht="24.75" customHeight="1">
      <c r="C113" s="404"/>
      <c r="E113" s="468"/>
      <c r="F113" s="775" t="str">
        <f>IF(UNNH0030_REPORT_IF_H_JUSHO_NO_PRINT_FLG=TRUE,"","〒")</f>
        <v>〒</v>
      </c>
      <c r="G113" s="775"/>
      <c r="H113" s="776" t="str">
        <f>IF(UNNH0030_REPORT_IF_H_JUSHO_NO_PRINT_FLG=TRUE,"",IF(UNNH0030_REPORT_IF_H_YUBIN_NO="","",UNNH0030_REPORT_IF_H_YUBIN_NO))</f>
        <v/>
      </c>
      <c r="I113" s="776"/>
      <c r="J113" s="776"/>
      <c r="K113" s="776"/>
      <c r="L113" s="776"/>
      <c r="M113" s="776"/>
      <c r="N113" s="776"/>
      <c r="O113" s="776"/>
      <c r="P113" s="776"/>
      <c r="Q113" s="776"/>
      <c r="R113" s="776"/>
      <c r="S113" s="776"/>
      <c r="T113" s="776"/>
      <c r="U113" s="776"/>
      <c r="V113" s="776"/>
      <c r="W113" s="776"/>
      <c r="X113" s="776"/>
      <c r="Y113" s="469"/>
      <c r="AA113" s="744"/>
      <c r="AB113" s="744"/>
      <c r="AC113" s="744"/>
      <c r="AD113" s="744"/>
      <c r="AE113" s="744"/>
      <c r="AF113" s="744"/>
      <c r="AG113" s="744"/>
      <c r="AH113" s="744"/>
      <c r="AI113" s="744"/>
      <c r="AJ113" s="744"/>
      <c r="AK113" s="744"/>
      <c r="AL113" s="744"/>
      <c r="AP113" s="774"/>
      <c r="AQ113" s="774"/>
      <c r="AR113" s="774"/>
      <c r="AS113" s="774"/>
      <c r="AT113" s="774"/>
      <c r="AU113" s="774"/>
      <c r="AV113" s="774"/>
      <c r="AW113" s="774"/>
      <c r="AX113" s="774"/>
      <c r="AY113" s="774"/>
    </row>
    <row r="114" spans="1:52" s="403" customFormat="1" ht="24.75" customHeight="1">
      <c r="C114" s="404"/>
      <c r="E114" s="468"/>
      <c r="F114" s="745" t="str">
        <f>IF(UNNH0030_REPORT_IF_H_JUSHO_NO_PRINT_FLG="","",IF(UNNH0030_REPORT_IF_H_ADDRESS_1="","",UNNH0030_REPORT_IF_H_ADDRESS_1))</f>
        <v/>
      </c>
      <c r="G114" s="745"/>
      <c r="H114" s="745"/>
      <c r="I114" s="745"/>
      <c r="J114" s="745"/>
      <c r="K114" s="745"/>
      <c r="L114" s="745"/>
      <c r="M114" s="745"/>
      <c r="N114" s="745"/>
      <c r="O114" s="745"/>
      <c r="P114" s="745"/>
      <c r="Q114" s="745"/>
      <c r="R114" s="745"/>
      <c r="S114" s="745"/>
      <c r="T114" s="745"/>
      <c r="U114" s="745"/>
      <c r="V114" s="745"/>
      <c r="W114" s="745"/>
      <c r="X114" s="745"/>
      <c r="Y114" s="469"/>
      <c r="AP114" s="748">
        <f>UNNH0030_REPORT_IF_H_URIAGE_DATE</f>
        <v>0</v>
      </c>
      <c r="AQ114" s="748"/>
      <c r="AR114" s="748"/>
      <c r="AS114" s="748"/>
      <c r="AT114" s="748"/>
      <c r="AU114" s="748"/>
      <c r="AV114" s="748"/>
      <c r="AW114" s="748"/>
      <c r="AX114" s="748"/>
      <c r="AY114" s="748"/>
    </row>
    <row r="115" spans="1:52" s="403" customFormat="1" ht="24.75" customHeight="1">
      <c r="C115" s="404"/>
      <c r="E115" s="468"/>
      <c r="F115" s="745" t="str">
        <f>IF(UNNH0030_REPORT_IF_H_JUSHO_NO_PRINT_FLG="","",IF(UNNH0030_REPORT_IF_H_ADDRESS_2="","",UNNH0030_REPORT_IF_H_ADDRESS_2))</f>
        <v/>
      </c>
      <c r="G115" s="745"/>
      <c r="H115" s="745"/>
      <c r="I115" s="745"/>
      <c r="J115" s="745"/>
      <c r="K115" s="745"/>
      <c r="L115" s="745"/>
      <c r="M115" s="745"/>
      <c r="N115" s="745"/>
      <c r="O115" s="745"/>
      <c r="P115" s="745"/>
      <c r="Q115" s="745"/>
      <c r="R115" s="745"/>
      <c r="S115" s="745"/>
      <c r="T115" s="745"/>
      <c r="U115" s="745"/>
      <c r="V115" s="745"/>
      <c r="W115" s="745"/>
      <c r="X115" s="745"/>
      <c r="Y115" s="469"/>
    </row>
    <row r="116" spans="1:52" s="403" customFormat="1" ht="24.75" customHeight="1">
      <c r="C116" s="404"/>
      <c r="E116" s="468"/>
      <c r="F116" s="409"/>
      <c r="G116" s="409"/>
      <c r="H116" s="409"/>
      <c r="I116" s="409"/>
      <c r="J116" s="409"/>
      <c r="K116" s="409"/>
      <c r="L116" s="409"/>
      <c r="M116" s="409"/>
      <c r="N116" s="409"/>
      <c r="O116" s="409"/>
      <c r="P116" s="409"/>
      <c r="Q116" s="409"/>
      <c r="R116" s="409"/>
      <c r="S116" s="409"/>
      <c r="T116" s="409"/>
      <c r="U116" s="409"/>
      <c r="V116" s="409"/>
      <c r="W116" s="409"/>
      <c r="X116" s="409"/>
      <c r="Y116" s="469"/>
    </row>
    <row r="117" spans="1:52" s="403" customFormat="1" ht="26.25" customHeight="1">
      <c r="C117" s="404"/>
      <c r="E117" s="470"/>
      <c r="F117" s="745" t="str">
        <f>IF(TRIM(UNNH0030_REPORT_IF_H_SOFU_TANTO)="","",
IF(TRIM(UNNH0030_REPORT_IF_H_DEMPYO_SOFU_MEI)="","",
TRIM(UNNH0030_REPORT_IF_H_DEMPYO_SOFU_MEI)))</f>
        <v/>
      </c>
      <c r="G117" s="745"/>
      <c r="H117" s="745"/>
      <c r="I117" s="745"/>
      <c r="J117" s="745"/>
      <c r="K117" s="745"/>
      <c r="L117" s="745"/>
      <c r="M117" s="745"/>
      <c r="N117" s="745"/>
      <c r="O117" s="745"/>
      <c r="P117" s="745"/>
      <c r="Q117" s="745"/>
      <c r="R117" s="745"/>
      <c r="S117" s="745"/>
      <c r="T117" s="745"/>
      <c r="U117" s="745"/>
      <c r="V117" s="745"/>
      <c r="W117" s="745"/>
      <c r="X117" s="745"/>
      <c r="Y117" s="469"/>
    </row>
    <row r="118" spans="1:52" s="403" customFormat="1" ht="26.25" customHeight="1">
      <c r="C118" s="404"/>
      <c r="E118" s="468"/>
      <c r="F118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18" s="746"/>
      <c r="H118" s="746"/>
      <c r="I118" s="746"/>
      <c r="J118" s="746"/>
      <c r="K118" s="746"/>
      <c r="L118" s="746"/>
      <c r="M118" s="746"/>
      <c r="N118" s="746"/>
      <c r="O118" s="746"/>
      <c r="P118" s="746"/>
      <c r="Q118" s="746"/>
      <c r="R118" s="746"/>
      <c r="S118" s="746"/>
      <c r="T118" s="746"/>
      <c r="U118" s="746"/>
      <c r="V118" s="746"/>
      <c r="W118" s="746"/>
      <c r="X118" s="746"/>
      <c r="Y118" s="469"/>
      <c r="Z118" s="477" t="str">
        <f>UNNH0030_REPORT_IF_H_SHIMEBI_MARK</f>
        <v>*</v>
      </c>
    </row>
    <row r="119" spans="1:52" s="403" customFormat="1" ht="25.5" customHeight="1">
      <c r="C119" s="404"/>
      <c r="E119" s="471"/>
      <c r="F119" s="747">
        <f>UNNH0030_REPORT_IF_H_SEIKYU_CD</f>
        <v>0</v>
      </c>
      <c r="G119" s="747"/>
      <c r="H119" s="747"/>
      <c r="I119" s="747"/>
      <c r="J119" s="747"/>
      <c r="K119" s="747"/>
      <c r="L119" s="747"/>
      <c r="M119" s="747"/>
      <c r="N119" s="747"/>
      <c r="O119" s="747"/>
      <c r="P119" s="747"/>
      <c r="Q119" s="747"/>
      <c r="R119" s="747"/>
      <c r="S119" s="747"/>
      <c r="T119" s="747"/>
      <c r="U119" s="747"/>
      <c r="V119" s="747"/>
      <c r="W119" s="747"/>
      <c r="X119" s="747"/>
      <c r="Y119" s="472"/>
    </row>
    <row r="120" spans="1:52" s="403" customFormat="1" ht="30" customHeight="1">
      <c r="C120" s="404"/>
    </row>
    <row r="121" spans="1:52" s="403" customFormat="1" ht="30" customHeight="1">
      <c r="C121" s="404"/>
      <c r="D121" s="404"/>
      <c r="E121" s="404"/>
      <c r="F121" s="404"/>
      <c r="G121" s="404"/>
      <c r="H121" s="404"/>
      <c r="I121" s="404"/>
      <c r="J121" s="404"/>
      <c r="K121" s="404"/>
      <c r="L121" s="404"/>
      <c r="M121" s="404"/>
      <c r="N121" s="404"/>
      <c r="O121" s="404"/>
    </row>
    <row r="122" spans="1:52" s="403" customFormat="1" ht="29.25" customHeight="1">
      <c r="B122" s="474" t="s">
        <v>1101</v>
      </c>
      <c r="C122" s="404"/>
      <c r="D122" s="404"/>
      <c r="E122" s="404"/>
      <c r="F122" s="404"/>
      <c r="G122" s="404"/>
      <c r="H122" s="404"/>
      <c r="I122" s="404"/>
      <c r="J122" s="404"/>
      <c r="K122" s="404"/>
      <c r="L122" s="404"/>
      <c r="M122" s="404"/>
      <c r="N122" s="404"/>
      <c r="O122" s="404"/>
    </row>
    <row r="123" spans="1:52" s="403" customFormat="1" ht="36.75" customHeight="1">
      <c r="B123" s="742"/>
      <c r="C123" s="742"/>
      <c r="D123" s="742" t="s">
        <v>1102</v>
      </c>
      <c r="E123" s="742"/>
      <c r="F123" s="742"/>
      <c r="G123" s="742"/>
      <c r="H123" s="742"/>
      <c r="I123" s="742"/>
      <c r="J123" s="742"/>
      <c r="K123" s="742"/>
      <c r="L123" s="742"/>
      <c r="M123" s="742"/>
      <c r="N123" s="742"/>
      <c r="O123" s="742"/>
      <c r="P123" s="742"/>
      <c r="Q123" s="742"/>
      <c r="R123" s="742"/>
      <c r="S123" s="742"/>
      <c r="T123" s="742"/>
      <c r="U123" s="742"/>
      <c r="V123" s="742"/>
      <c r="W123" s="742"/>
      <c r="X123" s="742"/>
      <c r="Y123" s="742"/>
      <c r="Z123" s="742"/>
      <c r="AA123" s="742"/>
      <c r="AB123" s="742"/>
      <c r="AC123" s="742" t="s">
        <v>1103</v>
      </c>
      <c r="AD123" s="742"/>
      <c r="AE123" s="742"/>
      <c r="AF123" s="742"/>
      <c r="AG123" s="742"/>
      <c r="AH123" s="742"/>
      <c r="AI123" s="742"/>
      <c r="AJ123" s="742" t="s">
        <v>1104</v>
      </c>
      <c r="AK123" s="742"/>
      <c r="AL123" s="742" t="s">
        <v>1105</v>
      </c>
      <c r="AM123" s="742"/>
      <c r="AN123" s="742"/>
      <c r="AO123" s="742"/>
      <c r="AP123" s="742"/>
      <c r="AQ123" s="742"/>
      <c r="AR123" s="742"/>
      <c r="AS123" s="742" t="s">
        <v>1106</v>
      </c>
      <c r="AT123" s="742"/>
      <c r="AU123" s="742"/>
      <c r="AV123" s="742"/>
      <c r="AW123" s="742"/>
      <c r="AX123" s="742"/>
      <c r="AY123" s="742"/>
    </row>
    <row r="124" spans="1:52" s="403" customFormat="1" ht="36.75" customHeight="1">
      <c r="B124" s="742">
        <f>ROUNDDOWN(ROW()/ROWS(UNNH0030_REPORT_RAYOUT_SEIKYUSHO),0)*UNNH0030_REPORT_IF_B_PAGE_MEISAI_SU+1</f>
        <v>61</v>
      </c>
      <c r="C124" s="742"/>
      <c r="D124" s="743" t="str">
        <f t="shared" ref="D124:D143" ca="1" si="18">IF(OFFSET(UNNH0030_REPORT_IF_B_SHOHIN_MEI,$B124,0)="","",OFFSET(UNNH0030_REPORT_IF_B_SHOHIN_MEI,$B124,0))</f>
        <v/>
      </c>
      <c r="E124" s="743"/>
      <c r="F124" s="743"/>
      <c r="G124" s="743"/>
      <c r="H124" s="743"/>
      <c r="I124" s="743"/>
      <c r="J124" s="743"/>
      <c r="K124" s="743"/>
      <c r="L124" s="743"/>
      <c r="M124" s="743"/>
      <c r="N124" s="743"/>
      <c r="O124" s="743"/>
      <c r="P124" s="743"/>
      <c r="Q124" s="743"/>
      <c r="R124" s="743"/>
      <c r="S124" s="743"/>
      <c r="T124" s="743"/>
      <c r="U124" s="743"/>
      <c r="V124" s="743"/>
      <c r="W124" s="743"/>
      <c r="X124" s="743"/>
      <c r="Y124" s="743"/>
      <c r="Z124" s="743"/>
      <c r="AA124" s="743"/>
      <c r="AB124" s="743"/>
      <c r="AC124" s="781" t="str">
        <f t="shared" ref="AC124:AC143" ca="1" si="19">IF(OR(OFFSET(UNNH0030_REPORT_IF_B_ROW_KBN,$B124,0)&lt;&gt;1,$D124="",$D124="消費税"),"",
OFFSET(UNNH0030_REPORT_IF_B_SURYO,$B124,0))</f>
        <v/>
      </c>
      <c r="AD124" s="781"/>
      <c r="AE124" s="781"/>
      <c r="AF124" s="781"/>
      <c r="AG124" s="781"/>
      <c r="AH124" s="781"/>
      <c r="AI124" s="781"/>
      <c r="AJ124" s="742" t="str">
        <f t="shared" ref="AJ124:AJ143" ca="1" si="20">IF(OFFSET(UNNH0030_REPORT_IF_B_TANI,$B124,0)="","",OFFSET(UNNH0030_REPORT_IF_B_TANI,$B124,0))</f>
        <v/>
      </c>
      <c r="AK124" s="742"/>
      <c r="AL124" s="781" t="str">
        <f t="shared" ref="AL124:AL143" ca="1" si="21">IF(OR(OFFSET(UNNH0030_REPORT_IF_B_ROW_KBN,$B124,0)&lt;&gt;1,$D124="",$D124="消費税"),"",
OFFSET(UNNH0030_REPORT_IF_B_TANKA,$B124,0))</f>
        <v/>
      </c>
      <c r="AM124" s="781"/>
      <c r="AN124" s="781"/>
      <c r="AO124" s="781"/>
      <c r="AP124" s="781"/>
      <c r="AQ124" s="781"/>
      <c r="AR124" s="781"/>
      <c r="AS124" s="741" t="str">
        <f t="shared" ref="AS124:AS143" ca="1" si="22">IF(OR(OFFSET(UNNH0030_REPORT_IF_B_KINGAKU,$B124,0)=0,$D124=""),"",
OFFSET(UNNH0030_REPORT_IF_B_KINGAKU,$B124,0))</f>
        <v/>
      </c>
      <c r="AT124" s="741"/>
      <c r="AU124" s="741"/>
      <c r="AV124" s="741"/>
      <c r="AW124" s="741"/>
      <c r="AX124" s="741"/>
      <c r="AY124" s="741"/>
    </row>
    <row r="125" spans="1:52" s="403" customFormat="1" ht="36.75" customHeight="1">
      <c r="B125" s="742">
        <f>B124+1</f>
        <v>62</v>
      </c>
      <c r="C125" s="742"/>
      <c r="D125" s="743" t="str">
        <f t="shared" ca="1" si="18"/>
        <v/>
      </c>
      <c r="E125" s="743"/>
      <c r="F125" s="743"/>
      <c r="G125" s="743"/>
      <c r="H125" s="743"/>
      <c r="I125" s="743"/>
      <c r="J125" s="743"/>
      <c r="K125" s="743"/>
      <c r="L125" s="743"/>
      <c r="M125" s="743"/>
      <c r="N125" s="743"/>
      <c r="O125" s="743"/>
      <c r="P125" s="743"/>
      <c r="Q125" s="743"/>
      <c r="R125" s="743"/>
      <c r="S125" s="743"/>
      <c r="T125" s="743"/>
      <c r="U125" s="743"/>
      <c r="V125" s="743"/>
      <c r="W125" s="743"/>
      <c r="X125" s="743"/>
      <c r="Y125" s="743"/>
      <c r="Z125" s="743"/>
      <c r="AA125" s="743"/>
      <c r="AB125" s="743"/>
      <c r="AC125" s="781" t="str">
        <f t="shared" ca="1" si="19"/>
        <v/>
      </c>
      <c r="AD125" s="781"/>
      <c r="AE125" s="781"/>
      <c r="AF125" s="781"/>
      <c r="AG125" s="781"/>
      <c r="AH125" s="781"/>
      <c r="AI125" s="781"/>
      <c r="AJ125" s="742" t="str">
        <f t="shared" ca="1" si="20"/>
        <v/>
      </c>
      <c r="AK125" s="742"/>
      <c r="AL125" s="781" t="str">
        <f t="shared" ca="1" si="21"/>
        <v/>
      </c>
      <c r="AM125" s="781"/>
      <c r="AN125" s="781"/>
      <c r="AO125" s="781"/>
      <c r="AP125" s="781"/>
      <c r="AQ125" s="781"/>
      <c r="AR125" s="781"/>
      <c r="AS125" s="741" t="str">
        <f t="shared" ca="1" si="22"/>
        <v/>
      </c>
      <c r="AT125" s="741"/>
      <c r="AU125" s="741"/>
      <c r="AV125" s="741"/>
      <c r="AW125" s="741"/>
      <c r="AX125" s="741"/>
      <c r="AY125" s="741"/>
    </row>
    <row r="126" spans="1:52" s="403" customFormat="1" ht="36.75" customHeight="1">
      <c r="B126" s="742">
        <f>B125+1</f>
        <v>63</v>
      </c>
      <c r="C126" s="742"/>
      <c r="D126" s="743" t="str">
        <f t="shared" ca="1" si="18"/>
        <v/>
      </c>
      <c r="E126" s="743"/>
      <c r="F126" s="743"/>
      <c r="G126" s="743"/>
      <c r="H126" s="743"/>
      <c r="I126" s="743"/>
      <c r="J126" s="743"/>
      <c r="K126" s="743"/>
      <c r="L126" s="743"/>
      <c r="M126" s="743"/>
      <c r="N126" s="743"/>
      <c r="O126" s="743"/>
      <c r="P126" s="743"/>
      <c r="Q126" s="743"/>
      <c r="R126" s="743"/>
      <c r="S126" s="743"/>
      <c r="T126" s="743"/>
      <c r="U126" s="743"/>
      <c r="V126" s="743"/>
      <c r="W126" s="743"/>
      <c r="X126" s="743"/>
      <c r="Y126" s="743"/>
      <c r="Z126" s="743"/>
      <c r="AA126" s="743"/>
      <c r="AB126" s="743"/>
      <c r="AC126" s="781" t="str">
        <f t="shared" ca="1" si="19"/>
        <v/>
      </c>
      <c r="AD126" s="781"/>
      <c r="AE126" s="781"/>
      <c r="AF126" s="781"/>
      <c r="AG126" s="781"/>
      <c r="AH126" s="781"/>
      <c r="AI126" s="781"/>
      <c r="AJ126" s="742" t="str">
        <f t="shared" ca="1" si="20"/>
        <v/>
      </c>
      <c r="AK126" s="742"/>
      <c r="AL126" s="781" t="str">
        <f t="shared" ca="1" si="21"/>
        <v/>
      </c>
      <c r="AM126" s="781"/>
      <c r="AN126" s="781"/>
      <c r="AO126" s="781"/>
      <c r="AP126" s="781"/>
      <c r="AQ126" s="781"/>
      <c r="AR126" s="781"/>
      <c r="AS126" s="741" t="str">
        <f t="shared" ca="1" si="22"/>
        <v/>
      </c>
      <c r="AT126" s="741"/>
      <c r="AU126" s="741"/>
      <c r="AV126" s="741"/>
      <c r="AW126" s="741"/>
      <c r="AX126" s="741"/>
      <c r="AY126" s="741"/>
    </row>
    <row r="127" spans="1:52" s="403" customFormat="1" ht="36.75" customHeight="1">
      <c r="B127" s="742">
        <f t="shared" ref="B127:B143" si="23">B126+1</f>
        <v>64</v>
      </c>
      <c r="C127" s="742"/>
      <c r="D127" s="743" t="str">
        <f t="shared" ca="1" si="18"/>
        <v/>
      </c>
      <c r="E127" s="743"/>
      <c r="F127" s="743"/>
      <c r="G127" s="743"/>
      <c r="H127" s="743"/>
      <c r="I127" s="743"/>
      <c r="J127" s="743"/>
      <c r="K127" s="743"/>
      <c r="L127" s="743"/>
      <c r="M127" s="743"/>
      <c r="N127" s="743"/>
      <c r="O127" s="743"/>
      <c r="P127" s="743"/>
      <c r="Q127" s="743"/>
      <c r="R127" s="743"/>
      <c r="S127" s="743"/>
      <c r="T127" s="743"/>
      <c r="U127" s="743"/>
      <c r="V127" s="743"/>
      <c r="W127" s="743"/>
      <c r="X127" s="743"/>
      <c r="Y127" s="743"/>
      <c r="Z127" s="743"/>
      <c r="AA127" s="743"/>
      <c r="AB127" s="743"/>
      <c r="AC127" s="781" t="str">
        <f t="shared" ca="1" si="19"/>
        <v/>
      </c>
      <c r="AD127" s="781"/>
      <c r="AE127" s="781"/>
      <c r="AF127" s="781"/>
      <c r="AG127" s="781"/>
      <c r="AH127" s="781"/>
      <c r="AI127" s="781"/>
      <c r="AJ127" s="742" t="str">
        <f t="shared" ca="1" si="20"/>
        <v/>
      </c>
      <c r="AK127" s="742"/>
      <c r="AL127" s="781" t="str">
        <f t="shared" ca="1" si="21"/>
        <v/>
      </c>
      <c r="AM127" s="781"/>
      <c r="AN127" s="781"/>
      <c r="AO127" s="781"/>
      <c r="AP127" s="781"/>
      <c r="AQ127" s="781"/>
      <c r="AR127" s="781"/>
      <c r="AS127" s="741" t="str">
        <f t="shared" ca="1" si="22"/>
        <v/>
      </c>
      <c r="AT127" s="741"/>
      <c r="AU127" s="741"/>
      <c r="AV127" s="741"/>
      <c r="AW127" s="741"/>
      <c r="AX127" s="741"/>
      <c r="AY127" s="741"/>
    </row>
    <row r="128" spans="1:52" s="403" customFormat="1" ht="36.75" customHeight="1">
      <c r="A128" s="403" t="s">
        <v>1529</v>
      </c>
      <c r="B128" s="742">
        <f t="shared" si="23"/>
        <v>65</v>
      </c>
      <c r="C128" s="742"/>
      <c r="D128" s="743" t="str">
        <f t="shared" ca="1" si="18"/>
        <v/>
      </c>
      <c r="E128" s="743"/>
      <c r="F128" s="743"/>
      <c r="G128" s="743"/>
      <c r="H128" s="743"/>
      <c r="I128" s="743"/>
      <c r="J128" s="743"/>
      <c r="K128" s="743"/>
      <c r="L128" s="743"/>
      <c r="M128" s="743"/>
      <c r="N128" s="743"/>
      <c r="O128" s="743"/>
      <c r="P128" s="743"/>
      <c r="Q128" s="743"/>
      <c r="R128" s="743"/>
      <c r="S128" s="743"/>
      <c r="T128" s="743"/>
      <c r="U128" s="743"/>
      <c r="V128" s="743"/>
      <c r="W128" s="743"/>
      <c r="X128" s="743"/>
      <c r="Y128" s="743"/>
      <c r="Z128" s="743"/>
      <c r="AA128" s="743"/>
      <c r="AB128" s="743"/>
      <c r="AC128" s="781" t="str">
        <f t="shared" ca="1" si="19"/>
        <v/>
      </c>
      <c r="AD128" s="781"/>
      <c r="AE128" s="781"/>
      <c r="AF128" s="781"/>
      <c r="AG128" s="781"/>
      <c r="AH128" s="781"/>
      <c r="AI128" s="781"/>
      <c r="AJ128" s="742" t="str">
        <f t="shared" ca="1" si="20"/>
        <v/>
      </c>
      <c r="AK128" s="742"/>
      <c r="AL128" s="781" t="str">
        <f t="shared" ca="1" si="21"/>
        <v/>
      </c>
      <c r="AM128" s="781"/>
      <c r="AN128" s="781"/>
      <c r="AO128" s="781"/>
      <c r="AP128" s="781"/>
      <c r="AQ128" s="781"/>
      <c r="AR128" s="781"/>
      <c r="AS128" s="741" t="str">
        <f t="shared" ca="1" si="22"/>
        <v/>
      </c>
      <c r="AT128" s="741"/>
      <c r="AU128" s="741"/>
      <c r="AV128" s="741"/>
      <c r="AW128" s="741"/>
      <c r="AX128" s="741"/>
      <c r="AY128" s="741"/>
      <c r="AZ128" s="473" t="s">
        <v>1530</v>
      </c>
    </row>
    <row r="129" spans="1:52" s="403" customFormat="1" ht="36.75" customHeight="1">
      <c r="B129" s="742">
        <f t="shared" si="23"/>
        <v>66</v>
      </c>
      <c r="C129" s="742"/>
      <c r="D129" s="743" t="str">
        <f t="shared" ca="1" si="18"/>
        <v/>
      </c>
      <c r="E129" s="743"/>
      <c r="F129" s="743"/>
      <c r="G129" s="743"/>
      <c r="H129" s="743"/>
      <c r="I129" s="743"/>
      <c r="J129" s="743"/>
      <c r="K129" s="743"/>
      <c r="L129" s="743"/>
      <c r="M129" s="743"/>
      <c r="N129" s="743"/>
      <c r="O129" s="743"/>
      <c r="P129" s="743"/>
      <c r="Q129" s="743"/>
      <c r="R129" s="743"/>
      <c r="S129" s="743"/>
      <c r="T129" s="743"/>
      <c r="U129" s="743"/>
      <c r="V129" s="743"/>
      <c r="W129" s="743"/>
      <c r="X129" s="743"/>
      <c r="Y129" s="743"/>
      <c r="Z129" s="743"/>
      <c r="AA129" s="743"/>
      <c r="AB129" s="743"/>
      <c r="AC129" s="781" t="str">
        <f t="shared" ca="1" si="19"/>
        <v/>
      </c>
      <c r="AD129" s="781"/>
      <c r="AE129" s="781"/>
      <c r="AF129" s="781"/>
      <c r="AG129" s="781"/>
      <c r="AH129" s="781"/>
      <c r="AI129" s="781"/>
      <c r="AJ129" s="742" t="str">
        <f t="shared" ca="1" si="20"/>
        <v/>
      </c>
      <c r="AK129" s="742"/>
      <c r="AL129" s="781" t="str">
        <f t="shared" ca="1" si="21"/>
        <v/>
      </c>
      <c r="AM129" s="781"/>
      <c r="AN129" s="781"/>
      <c r="AO129" s="781"/>
      <c r="AP129" s="781"/>
      <c r="AQ129" s="781"/>
      <c r="AR129" s="781"/>
      <c r="AS129" s="741" t="str">
        <f t="shared" ca="1" si="22"/>
        <v/>
      </c>
      <c r="AT129" s="741"/>
      <c r="AU129" s="741"/>
      <c r="AV129" s="741"/>
      <c r="AW129" s="741"/>
      <c r="AX129" s="741"/>
      <c r="AY129" s="741"/>
      <c r="AZ129" s="473"/>
    </row>
    <row r="130" spans="1:52" s="403" customFormat="1" ht="36.75" customHeight="1">
      <c r="B130" s="742">
        <f t="shared" si="23"/>
        <v>67</v>
      </c>
      <c r="C130" s="742"/>
      <c r="D130" s="743" t="str">
        <f t="shared" ca="1" si="18"/>
        <v/>
      </c>
      <c r="E130" s="743"/>
      <c r="F130" s="743"/>
      <c r="G130" s="743"/>
      <c r="H130" s="743"/>
      <c r="I130" s="743"/>
      <c r="J130" s="743"/>
      <c r="K130" s="743"/>
      <c r="L130" s="743"/>
      <c r="M130" s="743"/>
      <c r="N130" s="743"/>
      <c r="O130" s="743"/>
      <c r="P130" s="743"/>
      <c r="Q130" s="743"/>
      <c r="R130" s="743"/>
      <c r="S130" s="743"/>
      <c r="T130" s="743"/>
      <c r="U130" s="743"/>
      <c r="V130" s="743"/>
      <c r="W130" s="743"/>
      <c r="X130" s="743"/>
      <c r="Y130" s="743"/>
      <c r="Z130" s="743"/>
      <c r="AA130" s="743"/>
      <c r="AB130" s="743"/>
      <c r="AC130" s="781" t="str">
        <f t="shared" ca="1" si="19"/>
        <v/>
      </c>
      <c r="AD130" s="781"/>
      <c r="AE130" s="781"/>
      <c r="AF130" s="781"/>
      <c r="AG130" s="781"/>
      <c r="AH130" s="781"/>
      <c r="AI130" s="781"/>
      <c r="AJ130" s="742" t="str">
        <f t="shared" ca="1" si="20"/>
        <v/>
      </c>
      <c r="AK130" s="742"/>
      <c r="AL130" s="781" t="str">
        <f t="shared" ca="1" si="21"/>
        <v/>
      </c>
      <c r="AM130" s="781"/>
      <c r="AN130" s="781"/>
      <c r="AO130" s="781"/>
      <c r="AP130" s="781"/>
      <c r="AQ130" s="781"/>
      <c r="AR130" s="781"/>
      <c r="AS130" s="741" t="str">
        <f t="shared" ca="1" si="22"/>
        <v/>
      </c>
      <c r="AT130" s="741"/>
      <c r="AU130" s="741"/>
      <c r="AV130" s="741"/>
      <c r="AW130" s="741"/>
      <c r="AX130" s="741"/>
      <c r="AY130" s="741"/>
      <c r="AZ130" s="473"/>
    </row>
    <row r="131" spans="1:52" s="403" customFormat="1" ht="36.75" customHeight="1">
      <c r="B131" s="742">
        <f t="shared" si="23"/>
        <v>68</v>
      </c>
      <c r="C131" s="742"/>
      <c r="D131" s="743" t="str">
        <f t="shared" ca="1" si="18"/>
        <v/>
      </c>
      <c r="E131" s="743"/>
      <c r="F131" s="743"/>
      <c r="G131" s="743"/>
      <c r="H131" s="743"/>
      <c r="I131" s="743"/>
      <c r="J131" s="743"/>
      <c r="K131" s="743"/>
      <c r="L131" s="743"/>
      <c r="M131" s="743"/>
      <c r="N131" s="743"/>
      <c r="O131" s="743"/>
      <c r="P131" s="743"/>
      <c r="Q131" s="743"/>
      <c r="R131" s="743"/>
      <c r="S131" s="743"/>
      <c r="T131" s="743"/>
      <c r="U131" s="743"/>
      <c r="V131" s="743"/>
      <c r="W131" s="743"/>
      <c r="X131" s="743"/>
      <c r="Y131" s="743"/>
      <c r="Z131" s="743"/>
      <c r="AA131" s="743"/>
      <c r="AB131" s="743"/>
      <c r="AC131" s="781" t="str">
        <f t="shared" ca="1" si="19"/>
        <v/>
      </c>
      <c r="AD131" s="781"/>
      <c r="AE131" s="781"/>
      <c r="AF131" s="781"/>
      <c r="AG131" s="781"/>
      <c r="AH131" s="781"/>
      <c r="AI131" s="781"/>
      <c r="AJ131" s="742" t="str">
        <f t="shared" ca="1" si="20"/>
        <v/>
      </c>
      <c r="AK131" s="742"/>
      <c r="AL131" s="781" t="str">
        <f t="shared" ca="1" si="21"/>
        <v/>
      </c>
      <c r="AM131" s="781"/>
      <c r="AN131" s="781"/>
      <c r="AO131" s="781"/>
      <c r="AP131" s="781"/>
      <c r="AQ131" s="781"/>
      <c r="AR131" s="781"/>
      <c r="AS131" s="741" t="str">
        <f t="shared" ca="1" si="22"/>
        <v/>
      </c>
      <c r="AT131" s="741"/>
      <c r="AU131" s="741"/>
      <c r="AV131" s="741"/>
      <c r="AW131" s="741"/>
      <c r="AX131" s="741"/>
      <c r="AY131" s="741"/>
    </row>
    <row r="132" spans="1:52" s="403" customFormat="1" ht="36.75" customHeight="1">
      <c r="B132" s="742">
        <f t="shared" si="23"/>
        <v>69</v>
      </c>
      <c r="C132" s="742"/>
      <c r="D132" s="743" t="str">
        <f t="shared" ca="1" si="18"/>
        <v/>
      </c>
      <c r="E132" s="743"/>
      <c r="F132" s="743"/>
      <c r="G132" s="743"/>
      <c r="H132" s="743"/>
      <c r="I132" s="743"/>
      <c r="J132" s="743"/>
      <c r="K132" s="743"/>
      <c r="L132" s="743"/>
      <c r="M132" s="743"/>
      <c r="N132" s="743"/>
      <c r="O132" s="743"/>
      <c r="P132" s="743"/>
      <c r="Q132" s="743"/>
      <c r="R132" s="743"/>
      <c r="S132" s="743"/>
      <c r="T132" s="743"/>
      <c r="U132" s="743"/>
      <c r="V132" s="743"/>
      <c r="W132" s="743"/>
      <c r="X132" s="743"/>
      <c r="Y132" s="743"/>
      <c r="Z132" s="743"/>
      <c r="AA132" s="743"/>
      <c r="AB132" s="743"/>
      <c r="AC132" s="781" t="str">
        <f t="shared" ca="1" si="19"/>
        <v/>
      </c>
      <c r="AD132" s="781"/>
      <c r="AE132" s="781"/>
      <c r="AF132" s="781"/>
      <c r="AG132" s="781"/>
      <c r="AH132" s="781"/>
      <c r="AI132" s="781"/>
      <c r="AJ132" s="742" t="str">
        <f t="shared" ca="1" si="20"/>
        <v/>
      </c>
      <c r="AK132" s="742"/>
      <c r="AL132" s="781" t="str">
        <f t="shared" ca="1" si="21"/>
        <v/>
      </c>
      <c r="AM132" s="781"/>
      <c r="AN132" s="781"/>
      <c r="AO132" s="781"/>
      <c r="AP132" s="781"/>
      <c r="AQ132" s="781"/>
      <c r="AR132" s="781"/>
      <c r="AS132" s="741" t="str">
        <f t="shared" ca="1" si="22"/>
        <v/>
      </c>
      <c r="AT132" s="741"/>
      <c r="AU132" s="741"/>
      <c r="AV132" s="741"/>
      <c r="AW132" s="741"/>
      <c r="AX132" s="741"/>
      <c r="AY132" s="741"/>
    </row>
    <row r="133" spans="1:52" s="403" customFormat="1" ht="36.75" customHeight="1">
      <c r="B133" s="742">
        <f t="shared" si="23"/>
        <v>70</v>
      </c>
      <c r="C133" s="742"/>
      <c r="D133" s="743" t="str">
        <f t="shared" ca="1" si="18"/>
        <v/>
      </c>
      <c r="E133" s="743"/>
      <c r="F133" s="743"/>
      <c r="G133" s="743"/>
      <c r="H133" s="743"/>
      <c r="I133" s="743"/>
      <c r="J133" s="743"/>
      <c r="K133" s="743"/>
      <c r="L133" s="743"/>
      <c r="M133" s="743"/>
      <c r="N133" s="743"/>
      <c r="O133" s="743"/>
      <c r="P133" s="743"/>
      <c r="Q133" s="743"/>
      <c r="R133" s="743"/>
      <c r="S133" s="743"/>
      <c r="T133" s="743"/>
      <c r="U133" s="743"/>
      <c r="V133" s="743"/>
      <c r="W133" s="743"/>
      <c r="X133" s="743"/>
      <c r="Y133" s="743"/>
      <c r="Z133" s="743"/>
      <c r="AA133" s="743"/>
      <c r="AB133" s="743"/>
      <c r="AC133" s="781" t="str">
        <f t="shared" ca="1" si="19"/>
        <v/>
      </c>
      <c r="AD133" s="781"/>
      <c r="AE133" s="781"/>
      <c r="AF133" s="781"/>
      <c r="AG133" s="781"/>
      <c r="AH133" s="781"/>
      <c r="AI133" s="781"/>
      <c r="AJ133" s="742" t="str">
        <f t="shared" ca="1" si="20"/>
        <v/>
      </c>
      <c r="AK133" s="742"/>
      <c r="AL133" s="781" t="str">
        <f t="shared" ca="1" si="21"/>
        <v/>
      </c>
      <c r="AM133" s="781"/>
      <c r="AN133" s="781"/>
      <c r="AO133" s="781"/>
      <c r="AP133" s="781"/>
      <c r="AQ133" s="781"/>
      <c r="AR133" s="781"/>
      <c r="AS133" s="741" t="str">
        <f t="shared" ca="1" si="22"/>
        <v/>
      </c>
      <c r="AT133" s="741"/>
      <c r="AU133" s="741"/>
      <c r="AV133" s="741"/>
      <c r="AW133" s="741"/>
      <c r="AX133" s="741"/>
      <c r="AY133" s="741"/>
    </row>
    <row r="134" spans="1:52" s="403" customFormat="1" ht="36.75" customHeight="1">
      <c r="B134" s="742">
        <f t="shared" si="23"/>
        <v>71</v>
      </c>
      <c r="C134" s="742"/>
      <c r="D134" s="743" t="str">
        <f t="shared" ca="1" si="18"/>
        <v/>
      </c>
      <c r="E134" s="743"/>
      <c r="F134" s="743"/>
      <c r="G134" s="743"/>
      <c r="H134" s="743"/>
      <c r="I134" s="743"/>
      <c r="J134" s="743"/>
      <c r="K134" s="743"/>
      <c r="L134" s="743"/>
      <c r="M134" s="743"/>
      <c r="N134" s="743"/>
      <c r="O134" s="743"/>
      <c r="P134" s="743"/>
      <c r="Q134" s="743"/>
      <c r="R134" s="743"/>
      <c r="S134" s="743"/>
      <c r="T134" s="743"/>
      <c r="U134" s="743"/>
      <c r="V134" s="743"/>
      <c r="W134" s="743"/>
      <c r="X134" s="743"/>
      <c r="Y134" s="743"/>
      <c r="Z134" s="743"/>
      <c r="AA134" s="743"/>
      <c r="AB134" s="743"/>
      <c r="AC134" s="781" t="str">
        <f t="shared" ca="1" si="19"/>
        <v/>
      </c>
      <c r="AD134" s="781"/>
      <c r="AE134" s="781"/>
      <c r="AF134" s="781"/>
      <c r="AG134" s="781"/>
      <c r="AH134" s="781"/>
      <c r="AI134" s="781"/>
      <c r="AJ134" s="742" t="str">
        <f t="shared" ca="1" si="20"/>
        <v/>
      </c>
      <c r="AK134" s="742"/>
      <c r="AL134" s="781" t="str">
        <f t="shared" ca="1" si="21"/>
        <v/>
      </c>
      <c r="AM134" s="781"/>
      <c r="AN134" s="781"/>
      <c r="AO134" s="781"/>
      <c r="AP134" s="781"/>
      <c r="AQ134" s="781"/>
      <c r="AR134" s="781"/>
      <c r="AS134" s="741" t="str">
        <f t="shared" ca="1" si="22"/>
        <v/>
      </c>
      <c r="AT134" s="741"/>
      <c r="AU134" s="741"/>
      <c r="AV134" s="741"/>
      <c r="AW134" s="741"/>
      <c r="AX134" s="741"/>
      <c r="AY134" s="741"/>
    </row>
    <row r="135" spans="1:52" s="403" customFormat="1" ht="36.75" customHeight="1">
      <c r="B135" s="742">
        <f t="shared" si="23"/>
        <v>72</v>
      </c>
      <c r="C135" s="742"/>
      <c r="D135" s="743" t="str">
        <f t="shared" ca="1" si="18"/>
        <v/>
      </c>
      <c r="E135" s="743"/>
      <c r="F135" s="743"/>
      <c r="G135" s="743"/>
      <c r="H135" s="743"/>
      <c r="I135" s="743"/>
      <c r="J135" s="743"/>
      <c r="K135" s="743"/>
      <c r="L135" s="743"/>
      <c r="M135" s="743"/>
      <c r="N135" s="743"/>
      <c r="O135" s="743"/>
      <c r="P135" s="743"/>
      <c r="Q135" s="743"/>
      <c r="R135" s="743"/>
      <c r="S135" s="743"/>
      <c r="T135" s="743"/>
      <c r="U135" s="743"/>
      <c r="V135" s="743"/>
      <c r="W135" s="743"/>
      <c r="X135" s="743"/>
      <c r="Y135" s="743"/>
      <c r="Z135" s="743"/>
      <c r="AA135" s="743"/>
      <c r="AB135" s="743"/>
      <c r="AC135" s="781" t="str">
        <f t="shared" ca="1" si="19"/>
        <v/>
      </c>
      <c r="AD135" s="781"/>
      <c r="AE135" s="781"/>
      <c r="AF135" s="781"/>
      <c r="AG135" s="781"/>
      <c r="AH135" s="781"/>
      <c r="AI135" s="781"/>
      <c r="AJ135" s="742" t="str">
        <f t="shared" ca="1" si="20"/>
        <v/>
      </c>
      <c r="AK135" s="742"/>
      <c r="AL135" s="781" t="str">
        <f t="shared" ca="1" si="21"/>
        <v/>
      </c>
      <c r="AM135" s="781"/>
      <c r="AN135" s="781"/>
      <c r="AO135" s="781"/>
      <c r="AP135" s="781"/>
      <c r="AQ135" s="781"/>
      <c r="AR135" s="781"/>
      <c r="AS135" s="741" t="str">
        <f t="shared" ca="1" si="22"/>
        <v/>
      </c>
      <c r="AT135" s="741"/>
      <c r="AU135" s="741"/>
      <c r="AV135" s="741"/>
      <c r="AW135" s="741"/>
      <c r="AX135" s="741"/>
      <c r="AY135" s="741"/>
    </row>
    <row r="136" spans="1:52" s="403" customFormat="1" ht="36.75" customHeight="1">
      <c r="B136" s="742">
        <f t="shared" si="23"/>
        <v>73</v>
      </c>
      <c r="C136" s="742"/>
      <c r="D136" s="743" t="str">
        <f t="shared" ca="1" si="18"/>
        <v/>
      </c>
      <c r="E136" s="743"/>
      <c r="F136" s="743"/>
      <c r="G136" s="743"/>
      <c r="H136" s="743"/>
      <c r="I136" s="743"/>
      <c r="J136" s="743"/>
      <c r="K136" s="743"/>
      <c r="L136" s="743"/>
      <c r="M136" s="743"/>
      <c r="N136" s="743"/>
      <c r="O136" s="743"/>
      <c r="P136" s="743"/>
      <c r="Q136" s="743"/>
      <c r="R136" s="743"/>
      <c r="S136" s="743"/>
      <c r="T136" s="743"/>
      <c r="U136" s="743"/>
      <c r="V136" s="743"/>
      <c r="W136" s="743"/>
      <c r="X136" s="743"/>
      <c r="Y136" s="743"/>
      <c r="Z136" s="743"/>
      <c r="AA136" s="743"/>
      <c r="AB136" s="743"/>
      <c r="AC136" s="781" t="str">
        <f t="shared" ca="1" si="19"/>
        <v/>
      </c>
      <c r="AD136" s="781"/>
      <c r="AE136" s="781"/>
      <c r="AF136" s="781"/>
      <c r="AG136" s="781"/>
      <c r="AH136" s="781"/>
      <c r="AI136" s="781"/>
      <c r="AJ136" s="742" t="str">
        <f t="shared" ca="1" si="20"/>
        <v/>
      </c>
      <c r="AK136" s="742"/>
      <c r="AL136" s="781" t="str">
        <f t="shared" ca="1" si="21"/>
        <v/>
      </c>
      <c r="AM136" s="781"/>
      <c r="AN136" s="781"/>
      <c r="AO136" s="781"/>
      <c r="AP136" s="781"/>
      <c r="AQ136" s="781"/>
      <c r="AR136" s="781"/>
      <c r="AS136" s="741" t="str">
        <f t="shared" ca="1" si="22"/>
        <v/>
      </c>
      <c r="AT136" s="741"/>
      <c r="AU136" s="741"/>
      <c r="AV136" s="741"/>
      <c r="AW136" s="741"/>
      <c r="AX136" s="741"/>
      <c r="AY136" s="741"/>
    </row>
    <row r="137" spans="1:52" s="403" customFormat="1" ht="36.75" customHeight="1">
      <c r="B137" s="742">
        <f t="shared" si="23"/>
        <v>74</v>
      </c>
      <c r="C137" s="742"/>
      <c r="D137" s="743" t="str">
        <f t="shared" ca="1" si="18"/>
        <v/>
      </c>
      <c r="E137" s="743"/>
      <c r="F137" s="743"/>
      <c r="G137" s="743"/>
      <c r="H137" s="743"/>
      <c r="I137" s="743"/>
      <c r="J137" s="743"/>
      <c r="K137" s="743"/>
      <c r="L137" s="743"/>
      <c r="M137" s="743"/>
      <c r="N137" s="743"/>
      <c r="O137" s="743"/>
      <c r="P137" s="743"/>
      <c r="Q137" s="743"/>
      <c r="R137" s="743"/>
      <c r="S137" s="743"/>
      <c r="T137" s="743"/>
      <c r="U137" s="743"/>
      <c r="V137" s="743"/>
      <c r="W137" s="743"/>
      <c r="X137" s="743"/>
      <c r="Y137" s="743"/>
      <c r="Z137" s="743"/>
      <c r="AA137" s="743"/>
      <c r="AB137" s="743"/>
      <c r="AC137" s="781" t="str">
        <f t="shared" ca="1" si="19"/>
        <v/>
      </c>
      <c r="AD137" s="781"/>
      <c r="AE137" s="781"/>
      <c r="AF137" s="781"/>
      <c r="AG137" s="781"/>
      <c r="AH137" s="781"/>
      <c r="AI137" s="781"/>
      <c r="AJ137" s="742" t="str">
        <f t="shared" ca="1" si="20"/>
        <v/>
      </c>
      <c r="AK137" s="742"/>
      <c r="AL137" s="781" t="str">
        <f t="shared" ca="1" si="21"/>
        <v/>
      </c>
      <c r="AM137" s="781"/>
      <c r="AN137" s="781"/>
      <c r="AO137" s="781"/>
      <c r="AP137" s="781"/>
      <c r="AQ137" s="781"/>
      <c r="AR137" s="781"/>
      <c r="AS137" s="741" t="str">
        <f t="shared" ca="1" si="22"/>
        <v/>
      </c>
      <c r="AT137" s="741"/>
      <c r="AU137" s="741"/>
      <c r="AV137" s="741"/>
      <c r="AW137" s="741"/>
      <c r="AX137" s="741"/>
      <c r="AY137" s="741"/>
    </row>
    <row r="138" spans="1:52" s="403" customFormat="1" ht="36.75" customHeight="1">
      <c r="B138" s="742">
        <f t="shared" si="23"/>
        <v>75</v>
      </c>
      <c r="C138" s="742"/>
      <c r="D138" s="743" t="str">
        <f t="shared" ca="1" si="18"/>
        <v/>
      </c>
      <c r="E138" s="743"/>
      <c r="F138" s="743"/>
      <c r="G138" s="743"/>
      <c r="H138" s="743"/>
      <c r="I138" s="743"/>
      <c r="J138" s="743"/>
      <c r="K138" s="743"/>
      <c r="L138" s="743"/>
      <c r="M138" s="743"/>
      <c r="N138" s="743"/>
      <c r="O138" s="743"/>
      <c r="P138" s="743"/>
      <c r="Q138" s="743"/>
      <c r="R138" s="743"/>
      <c r="S138" s="743"/>
      <c r="T138" s="743"/>
      <c r="U138" s="743"/>
      <c r="V138" s="743"/>
      <c r="W138" s="743"/>
      <c r="X138" s="743"/>
      <c r="Y138" s="743"/>
      <c r="Z138" s="743"/>
      <c r="AA138" s="743"/>
      <c r="AB138" s="743"/>
      <c r="AC138" s="781" t="str">
        <f t="shared" ca="1" si="19"/>
        <v/>
      </c>
      <c r="AD138" s="781"/>
      <c r="AE138" s="781"/>
      <c r="AF138" s="781"/>
      <c r="AG138" s="781"/>
      <c r="AH138" s="781"/>
      <c r="AI138" s="781"/>
      <c r="AJ138" s="742" t="str">
        <f t="shared" ca="1" si="20"/>
        <v/>
      </c>
      <c r="AK138" s="742"/>
      <c r="AL138" s="781" t="str">
        <f t="shared" ca="1" si="21"/>
        <v/>
      </c>
      <c r="AM138" s="781"/>
      <c r="AN138" s="781"/>
      <c r="AO138" s="781"/>
      <c r="AP138" s="781"/>
      <c r="AQ138" s="781"/>
      <c r="AR138" s="781"/>
      <c r="AS138" s="741" t="str">
        <f t="shared" ca="1" si="22"/>
        <v/>
      </c>
      <c r="AT138" s="741"/>
      <c r="AU138" s="741"/>
      <c r="AV138" s="741"/>
      <c r="AW138" s="741"/>
      <c r="AX138" s="741"/>
      <c r="AY138" s="741"/>
    </row>
    <row r="139" spans="1:52" s="403" customFormat="1" ht="36.75" customHeight="1">
      <c r="B139" s="742">
        <f t="shared" si="23"/>
        <v>76</v>
      </c>
      <c r="C139" s="742"/>
      <c r="D139" s="743" t="str">
        <f t="shared" ca="1" si="18"/>
        <v/>
      </c>
      <c r="E139" s="743"/>
      <c r="F139" s="743"/>
      <c r="G139" s="743"/>
      <c r="H139" s="743"/>
      <c r="I139" s="743"/>
      <c r="J139" s="743"/>
      <c r="K139" s="743"/>
      <c r="L139" s="743"/>
      <c r="M139" s="743"/>
      <c r="N139" s="743"/>
      <c r="O139" s="743"/>
      <c r="P139" s="743"/>
      <c r="Q139" s="743"/>
      <c r="R139" s="743"/>
      <c r="S139" s="743"/>
      <c r="T139" s="743"/>
      <c r="U139" s="743"/>
      <c r="V139" s="743"/>
      <c r="W139" s="743"/>
      <c r="X139" s="743"/>
      <c r="Y139" s="743"/>
      <c r="Z139" s="743"/>
      <c r="AA139" s="743"/>
      <c r="AB139" s="743"/>
      <c r="AC139" s="781" t="str">
        <f t="shared" ca="1" si="19"/>
        <v/>
      </c>
      <c r="AD139" s="781"/>
      <c r="AE139" s="781"/>
      <c r="AF139" s="781"/>
      <c r="AG139" s="781"/>
      <c r="AH139" s="781"/>
      <c r="AI139" s="781"/>
      <c r="AJ139" s="742" t="str">
        <f t="shared" ca="1" si="20"/>
        <v/>
      </c>
      <c r="AK139" s="742"/>
      <c r="AL139" s="781" t="str">
        <f t="shared" ca="1" si="21"/>
        <v/>
      </c>
      <c r="AM139" s="781"/>
      <c r="AN139" s="781"/>
      <c r="AO139" s="781"/>
      <c r="AP139" s="781"/>
      <c r="AQ139" s="781"/>
      <c r="AR139" s="781"/>
      <c r="AS139" s="741" t="str">
        <f t="shared" ca="1" si="22"/>
        <v/>
      </c>
      <c r="AT139" s="741"/>
      <c r="AU139" s="741"/>
      <c r="AV139" s="741"/>
      <c r="AW139" s="741"/>
      <c r="AX139" s="741"/>
      <c r="AY139" s="741"/>
    </row>
    <row r="140" spans="1:52" s="403" customFormat="1" ht="36.75" customHeight="1">
      <c r="B140" s="742">
        <f t="shared" si="23"/>
        <v>77</v>
      </c>
      <c r="C140" s="742"/>
      <c r="D140" s="743" t="str">
        <f t="shared" ca="1" si="18"/>
        <v/>
      </c>
      <c r="E140" s="743"/>
      <c r="F140" s="743"/>
      <c r="G140" s="743"/>
      <c r="H140" s="743"/>
      <c r="I140" s="743"/>
      <c r="J140" s="743"/>
      <c r="K140" s="743"/>
      <c r="L140" s="743"/>
      <c r="M140" s="743"/>
      <c r="N140" s="743"/>
      <c r="O140" s="743"/>
      <c r="P140" s="743"/>
      <c r="Q140" s="743"/>
      <c r="R140" s="743"/>
      <c r="S140" s="743"/>
      <c r="T140" s="743"/>
      <c r="U140" s="743"/>
      <c r="V140" s="743"/>
      <c r="W140" s="743"/>
      <c r="X140" s="743"/>
      <c r="Y140" s="743"/>
      <c r="Z140" s="743"/>
      <c r="AA140" s="743"/>
      <c r="AB140" s="743"/>
      <c r="AC140" s="781" t="str">
        <f t="shared" ca="1" si="19"/>
        <v/>
      </c>
      <c r="AD140" s="781"/>
      <c r="AE140" s="781"/>
      <c r="AF140" s="781"/>
      <c r="AG140" s="781"/>
      <c r="AH140" s="781"/>
      <c r="AI140" s="781"/>
      <c r="AJ140" s="742" t="str">
        <f t="shared" ca="1" si="20"/>
        <v/>
      </c>
      <c r="AK140" s="742"/>
      <c r="AL140" s="781" t="str">
        <f t="shared" ca="1" si="21"/>
        <v/>
      </c>
      <c r="AM140" s="781"/>
      <c r="AN140" s="781"/>
      <c r="AO140" s="781"/>
      <c r="AP140" s="781"/>
      <c r="AQ140" s="781"/>
      <c r="AR140" s="781"/>
      <c r="AS140" s="741" t="str">
        <f t="shared" ca="1" si="22"/>
        <v/>
      </c>
      <c r="AT140" s="741"/>
      <c r="AU140" s="741"/>
      <c r="AV140" s="741"/>
      <c r="AW140" s="741"/>
      <c r="AX140" s="741"/>
      <c r="AY140" s="741"/>
    </row>
    <row r="141" spans="1:52" s="403" customFormat="1" ht="36.75" customHeight="1">
      <c r="B141" s="742">
        <f t="shared" si="23"/>
        <v>78</v>
      </c>
      <c r="C141" s="742"/>
      <c r="D141" s="743" t="str">
        <f t="shared" ca="1" si="18"/>
        <v/>
      </c>
      <c r="E141" s="743"/>
      <c r="F141" s="743"/>
      <c r="G141" s="743"/>
      <c r="H141" s="743"/>
      <c r="I141" s="743"/>
      <c r="J141" s="743"/>
      <c r="K141" s="743"/>
      <c r="L141" s="743"/>
      <c r="M141" s="743"/>
      <c r="N141" s="743"/>
      <c r="O141" s="743"/>
      <c r="P141" s="743"/>
      <c r="Q141" s="743"/>
      <c r="R141" s="743"/>
      <c r="S141" s="743"/>
      <c r="T141" s="743"/>
      <c r="U141" s="743"/>
      <c r="V141" s="743"/>
      <c r="W141" s="743"/>
      <c r="X141" s="743"/>
      <c r="Y141" s="743"/>
      <c r="Z141" s="743"/>
      <c r="AA141" s="743"/>
      <c r="AB141" s="743"/>
      <c r="AC141" s="781" t="str">
        <f t="shared" ca="1" si="19"/>
        <v/>
      </c>
      <c r="AD141" s="781"/>
      <c r="AE141" s="781"/>
      <c r="AF141" s="781"/>
      <c r="AG141" s="781"/>
      <c r="AH141" s="781"/>
      <c r="AI141" s="781"/>
      <c r="AJ141" s="742" t="str">
        <f t="shared" ca="1" si="20"/>
        <v/>
      </c>
      <c r="AK141" s="742"/>
      <c r="AL141" s="781" t="str">
        <f t="shared" ca="1" si="21"/>
        <v/>
      </c>
      <c r="AM141" s="781"/>
      <c r="AN141" s="781"/>
      <c r="AO141" s="781"/>
      <c r="AP141" s="781"/>
      <c r="AQ141" s="781"/>
      <c r="AR141" s="781"/>
      <c r="AS141" s="741" t="str">
        <f t="shared" ca="1" si="22"/>
        <v/>
      </c>
      <c r="AT141" s="741"/>
      <c r="AU141" s="741"/>
      <c r="AV141" s="741"/>
      <c r="AW141" s="741"/>
      <c r="AX141" s="741"/>
      <c r="AY141" s="741"/>
    </row>
    <row r="142" spans="1:52" s="403" customFormat="1" ht="36.75" customHeight="1">
      <c r="A142" s="403" t="s">
        <v>1529</v>
      </c>
      <c r="B142" s="742">
        <f t="shared" si="23"/>
        <v>79</v>
      </c>
      <c r="C142" s="742"/>
      <c r="D142" s="743" t="str">
        <f t="shared" ca="1" si="18"/>
        <v/>
      </c>
      <c r="E142" s="743"/>
      <c r="F142" s="743"/>
      <c r="G142" s="743"/>
      <c r="H142" s="743"/>
      <c r="I142" s="743"/>
      <c r="J142" s="743"/>
      <c r="K142" s="743"/>
      <c r="L142" s="743"/>
      <c r="M142" s="743"/>
      <c r="N142" s="743"/>
      <c r="O142" s="743"/>
      <c r="P142" s="743"/>
      <c r="Q142" s="743"/>
      <c r="R142" s="743"/>
      <c r="S142" s="743"/>
      <c r="T142" s="743"/>
      <c r="U142" s="743"/>
      <c r="V142" s="743"/>
      <c r="W142" s="743"/>
      <c r="X142" s="743"/>
      <c r="Y142" s="743"/>
      <c r="Z142" s="743"/>
      <c r="AA142" s="743"/>
      <c r="AB142" s="743"/>
      <c r="AC142" s="781" t="str">
        <f t="shared" ca="1" si="19"/>
        <v/>
      </c>
      <c r="AD142" s="781"/>
      <c r="AE142" s="781"/>
      <c r="AF142" s="781"/>
      <c r="AG142" s="781"/>
      <c r="AH142" s="781"/>
      <c r="AI142" s="781"/>
      <c r="AJ142" s="742" t="str">
        <f t="shared" ca="1" si="20"/>
        <v/>
      </c>
      <c r="AK142" s="742"/>
      <c r="AL142" s="781" t="str">
        <f t="shared" ca="1" si="21"/>
        <v/>
      </c>
      <c r="AM142" s="781"/>
      <c r="AN142" s="781"/>
      <c r="AO142" s="781"/>
      <c r="AP142" s="781"/>
      <c r="AQ142" s="781"/>
      <c r="AR142" s="781"/>
      <c r="AS142" s="741" t="str">
        <f t="shared" ca="1" si="22"/>
        <v/>
      </c>
      <c r="AT142" s="741"/>
      <c r="AU142" s="741"/>
      <c r="AV142" s="741"/>
      <c r="AW142" s="741"/>
      <c r="AX142" s="741"/>
      <c r="AY142" s="741"/>
      <c r="AZ142" s="473" t="s">
        <v>1530</v>
      </c>
    </row>
    <row r="143" spans="1:52" s="403" customFormat="1" ht="36.75" customHeight="1">
      <c r="B143" s="742">
        <f t="shared" si="23"/>
        <v>80</v>
      </c>
      <c r="C143" s="742"/>
      <c r="D143" s="743" t="str">
        <f t="shared" ca="1" si="18"/>
        <v/>
      </c>
      <c r="E143" s="743"/>
      <c r="F143" s="743"/>
      <c r="G143" s="743"/>
      <c r="H143" s="743"/>
      <c r="I143" s="743"/>
      <c r="J143" s="743"/>
      <c r="K143" s="743"/>
      <c r="L143" s="743"/>
      <c r="M143" s="743"/>
      <c r="N143" s="743"/>
      <c r="O143" s="743"/>
      <c r="P143" s="743"/>
      <c r="Q143" s="743"/>
      <c r="R143" s="743"/>
      <c r="S143" s="743"/>
      <c r="T143" s="743"/>
      <c r="U143" s="743"/>
      <c r="V143" s="743"/>
      <c r="W143" s="743"/>
      <c r="X143" s="743"/>
      <c r="Y143" s="743"/>
      <c r="Z143" s="743"/>
      <c r="AA143" s="743"/>
      <c r="AB143" s="743"/>
      <c r="AC143" s="781" t="str">
        <f t="shared" ca="1" si="19"/>
        <v/>
      </c>
      <c r="AD143" s="781"/>
      <c r="AE143" s="781"/>
      <c r="AF143" s="781"/>
      <c r="AG143" s="781"/>
      <c r="AH143" s="781"/>
      <c r="AI143" s="781"/>
      <c r="AJ143" s="742" t="str">
        <f t="shared" ca="1" si="20"/>
        <v/>
      </c>
      <c r="AK143" s="742"/>
      <c r="AL143" s="781" t="str">
        <f t="shared" ca="1" si="21"/>
        <v/>
      </c>
      <c r="AM143" s="781"/>
      <c r="AN143" s="781"/>
      <c r="AO143" s="781"/>
      <c r="AP143" s="781"/>
      <c r="AQ143" s="781"/>
      <c r="AR143" s="781"/>
      <c r="AS143" s="741" t="str">
        <f t="shared" ca="1" si="22"/>
        <v/>
      </c>
      <c r="AT143" s="741"/>
      <c r="AU143" s="741"/>
      <c r="AV143" s="741"/>
      <c r="AW143" s="741"/>
      <c r="AX143" s="741"/>
      <c r="AY143" s="741"/>
    </row>
    <row r="144" spans="1:52" s="403" customFormat="1" ht="45" customHeight="1">
      <c r="B144" s="749" t="s">
        <v>1527</v>
      </c>
      <c r="C144" s="750"/>
      <c r="D144" s="750"/>
      <c r="E144" s="751" t="str">
        <f>IF(UNNH0030_REPORT_IF_H_EIGYO_MEI="","",UNNH0030_REPORT_IF_H_EIGYO_MEI)</f>
        <v/>
      </c>
      <c r="F144" s="751"/>
      <c r="G144" s="751"/>
      <c r="H144" s="751"/>
      <c r="I144" s="751"/>
      <c r="J144" s="751"/>
      <c r="K144" s="751"/>
      <c r="L144" s="751"/>
      <c r="M144" s="751"/>
      <c r="N144" s="751"/>
      <c r="O144" s="751"/>
      <c r="P144" s="751"/>
      <c r="Q144" s="751"/>
      <c r="R144" s="751"/>
      <c r="S144" s="751"/>
      <c r="T144" s="751"/>
      <c r="U144" s="751"/>
      <c r="V144" s="751"/>
      <c r="W144" s="751"/>
      <c r="X144" s="751"/>
      <c r="Y144" s="751"/>
      <c r="Z144" s="751"/>
      <c r="AA144" s="751"/>
      <c r="AB144" s="751"/>
      <c r="AC144" s="751"/>
      <c r="AD144" s="751"/>
      <c r="AE144" s="751"/>
      <c r="AF144" s="751"/>
      <c r="AG144" s="752"/>
      <c r="AH144" s="742" t="s">
        <v>1107</v>
      </c>
      <c r="AI144" s="742"/>
      <c r="AJ144" s="742"/>
      <c r="AK144" s="742"/>
      <c r="AL144" s="742"/>
      <c r="AM144" s="742"/>
      <c r="AN144" s="742"/>
      <c r="AO144" s="742"/>
      <c r="AP144" s="742"/>
      <c r="AQ144" s="782" t="str">
        <f>IF(ROUNDUP(ROW()/ROWS(UNNH0030_SEIKYUSHO_PAGE_AREA),0)=UNNH0030_REPORT_IF_B_PAGE_TOTAL,UNNH0030_REPORT_IF_H_TOTAL,"")</f>
        <v/>
      </c>
      <c r="AR144" s="783"/>
      <c r="AS144" s="783"/>
      <c r="AT144" s="783"/>
      <c r="AU144" s="783"/>
      <c r="AV144" s="783"/>
      <c r="AW144" s="783"/>
      <c r="AX144" s="783"/>
      <c r="AY144" s="784"/>
    </row>
    <row r="145" spans="2:51" s="403" customFormat="1" ht="33.75" customHeight="1">
      <c r="C145" s="404"/>
      <c r="D145" s="404"/>
      <c r="E145" s="404"/>
      <c r="F145" s="404"/>
      <c r="G145" s="404"/>
      <c r="H145" s="404"/>
      <c r="I145" s="404"/>
      <c r="J145" s="404"/>
      <c r="K145" s="404"/>
      <c r="L145" s="404"/>
      <c r="M145" s="404"/>
      <c r="N145" s="404"/>
      <c r="O145" s="404"/>
    </row>
    <row r="146" spans="2:51" s="403" customFormat="1" ht="38.25" customHeight="1">
      <c r="B146" s="756" t="s">
        <v>1528</v>
      </c>
      <c r="C146" s="757"/>
      <c r="D146" s="758"/>
      <c r="E146" s="738" t="str">
        <f>IF(UNNH0030_REPORT_IF_H_TEKIYO="","",UNNH0030_REPORT_IF_H_TEKIYO)</f>
        <v/>
      </c>
      <c r="F146" s="738"/>
      <c r="G146" s="738"/>
      <c r="H146" s="738"/>
      <c r="I146" s="738"/>
      <c r="J146" s="738"/>
      <c r="K146" s="738"/>
      <c r="L146" s="738"/>
      <c r="M146" s="738"/>
      <c r="N146" s="738"/>
      <c r="O146" s="738"/>
      <c r="P146" s="738"/>
      <c r="Q146" s="738"/>
      <c r="R146" s="738"/>
      <c r="S146" s="738"/>
      <c r="T146" s="738"/>
      <c r="U146" s="738"/>
      <c r="V146" s="738"/>
      <c r="W146" s="738"/>
      <c r="X146" s="738"/>
      <c r="Y146" s="738"/>
      <c r="Z146" s="738"/>
      <c r="AA146" s="738"/>
      <c r="AB146" s="738"/>
      <c r="AC146" s="738"/>
      <c r="AD146" s="738"/>
      <c r="AE146" s="738"/>
      <c r="AF146" s="738"/>
      <c r="AG146" s="738"/>
      <c r="AH146" s="738"/>
      <c r="AI146" s="738"/>
      <c r="AJ146" s="738"/>
      <c r="AK146" s="738"/>
      <c r="AL146" s="738"/>
      <c r="AM146" s="738"/>
      <c r="AN146" s="738"/>
      <c r="AO146" s="738"/>
      <c r="AP146" s="738"/>
      <c r="AQ146" s="738"/>
      <c r="AR146" s="738"/>
      <c r="AS146" s="738"/>
      <c r="AU146" s="739" t="str">
        <f>IF(UNNH0030_REPORT_IF_H_SEIKYUHOHO_KBN=0,"","締日 "&amp;UNNH0030_REPORT_IF_H_SHIMEBI)</f>
        <v/>
      </c>
      <c r="AV146" s="739"/>
      <c r="AW146" s="739"/>
      <c r="AX146" s="739"/>
      <c r="AY146" s="740" t="str">
        <f>UNNH0030_REPORT_IF_H_SHIMEBI_MARK</f>
        <v>*</v>
      </c>
    </row>
    <row r="147" spans="2:51" s="403" customFormat="1" ht="38.25" customHeight="1">
      <c r="B147" s="759"/>
      <c r="C147" s="760"/>
      <c r="D147" s="761"/>
      <c r="E147" s="738"/>
      <c r="F147" s="738"/>
      <c r="G147" s="738"/>
      <c r="H147" s="738"/>
      <c r="I147" s="738"/>
      <c r="J147" s="738"/>
      <c r="K147" s="738"/>
      <c r="L147" s="738"/>
      <c r="M147" s="738"/>
      <c r="N147" s="738"/>
      <c r="O147" s="738"/>
      <c r="P147" s="738"/>
      <c r="Q147" s="738"/>
      <c r="R147" s="738"/>
      <c r="S147" s="738"/>
      <c r="T147" s="738"/>
      <c r="U147" s="738"/>
      <c r="V147" s="738"/>
      <c r="W147" s="738"/>
      <c r="X147" s="738"/>
      <c r="Y147" s="738"/>
      <c r="Z147" s="738"/>
      <c r="AA147" s="738"/>
      <c r="AB147" s="738"/>
      <c r="AC147" s="738"/>
      <c r="AD147" s="738"/>
      <c r="AE147" s="738"/>
      <c r="AF147" s="738"/>
      <c r="AG147" s="738"/>
      <c r="AH147" s="738"/>
      <c r="AI147" s="738"/>
      <c r="AJ147" s="738"/>
      <c r="AK147" s="738"/>
      <c r="AL147" s="738"/>
      <c r="AM147" s="738"/>
      <c r="AN147" s="738"/>
      <c r="AO147" s="738"/>
      <c r="AP147" s="738"/>
      <c r="AQ147" s="738"/>
      <c r="AR147" s="738"/>
      <c r="AS147" s="738"/>
      <c r="AU147" s="739"/>
      <c r="AV147" s="739"/>
      <c r="AW147" s="739"/>
      <c r="AX147" s="739"/>
      <c r="AY147" s="740"/>
    </row>
    <row r="148" spans="2:51" s="403" customFormat="1" ht="30" customHeight="1">
      <c r="B148" s="777" t="str">
        <f>IF(UNNH0030_REPORT_IF_JURI_NO="","",UNNH0030_REPORT_IF_JURI_NO)</f>
        <v/>
      </c>
      <c r="C148" s="777"/>
      <c r="D148" s="777"/>
      <c r="E148" s="777"/>
      <c r="F148" s="777"/>
      <c r="G148" s="777"/>
      <c r="H148" s="777"/>
      <c r="I148" s="777"/>
      <c r="J148" s="777"/>
      <c r="K148" s="777"/>
      <c r="L148" s="777"/>
      <c r="M148" s="777"/>
      <c r="N148" s="777"/>
      <c r="O148" s="777"/>
      <c r="P148" s="777"/>
      <c r="Q148" s="777"/>
      <c r="R148" s="777"/>
      <c r="S148" s="777"/>
      <c r="T148" s="777"/>
      <c r="U148" s="777"/>
      <c r="V148" s="777"/>
      <c r="W148" s="777"/>
      <c r="X148" s="777"/>
      <c r="Y148" s="777"/>
      <c r="Z148" s="777"/>
      <c r="AA148" s="777"/>
      <c r="AB148" s="777"/>
      <c r="AC148" s="777"/>
      <c r="AD148" s="777"/>
      <c r="AE148" s="777"/>
      <c r="AF148" s="777"/>
      <c r="AG148" s="777"/>
      <c r="AH148" s="777"/>
      <c r="AI148" s="777"/>
      <c r="AJ148" s="777"/>
      <c r="AK148" s="777"/>
      <c r="AL148" s="777"/>
      <c r="AM148" s="777"/>
      <c r="AN148" s="777"/>
      <c r="AO148" s="777"/>
      <c r="AP148" s="777"/>
      <c r="AQ148" s="777"/>
      <c r="AR148" s="777"/>
      <c r="AS148" s="777"/>
      <c r="AT148" s="777"/>
      <c r="AU148" s="777"/>
      <c r="AV148" s="777"/>
      <c r="AW148" s="777"/>
      <c r="AX148" s="777"/>
      <c r="AY148" s="777"/>
    </row>
    <row r="149" spans="2:51" s="403" customFormat="1" ht="12" customHeight="1">
      <c r="C149" s="404"/>
      <c r="D149" s="404"/>
      <c r="E149" s="465"/>
      <c r="F149" s="466"/>
      <c r="G149" s="466"/>
      <c r="H149" s="466"/>
      <c r="I149" s="466"/>
      <c r="J149" s="466"/>
      <c r="K149" s="466"/>
      <c r="L149" s="466"/>
      <c r="M149" s="466"/>
      <c r="N149" s="466"/>
      <c r="O149" s="466"/>
      <c r="P149" s="466"/>
      <c r="Q149" s="466"/>
      <c r="R149" s="466"/>
      <c r="S149" s="466"/>
      <c r="T149" s="466"/>
      <c r="U149" s="466"/>
      <c r="V149" s="466"/>
      <c r="W149" s="466"/>
      <c r="X149" s="466"/>
      <c r="Y149" s="467"/>
      <c r="AA149" s="744" t="s">
        <v>1320</v>
      </c>
      <c r="AB149" s="744"/>
      <c r="AC149" s="744"/>
      <c r="AD149" s="744"/>
      <c r="AE149" s="744"/>
      <c r="AF149" s="744"/>
      <c r="AG149" s="744"/>
      <c r="AH149" s="744"/>
      <c r="AI149" s="744"/>
      <c r="AJ149" s="744"/>
      <c r="AK149" s="744"/>
      <c r="AL149" s="744"/>
      <c r="AP149" s="774" t="str">
        <f>"No."&amp;UNNH0030_REPORT_IF_H_URIAGE_NO&amp;"-"&amp;ROUNDUP(ROW()/ROWS(UNNH0030_SEIKYUSHO_PAGE_AREA),0)&amp;"/"&amp;UNNH0030_REPORT_IF_B_PAGE_TOTAL</f>
        <v>No.-5/1</v>
      </c>
      <c r="AQ149" s="774"/>
      <c r="AR149" s="774"/>
      <c r="AS149" s="774"/>
      <c r="AT149" s="774"/>
      <c r="AU149" s="774"/>
      <c r="AV149" s="774"/>
      <c r="AW149" s="774"/>
      <c r="AX149" s="774"/>
      <c r="AY149" s="774"/>
    </row>
    <row r="150" spans="2:51" s="403" customFormat="1" ht="24.75" customHeight="1">
      <c r="C150" s="404"/>
      <c r="E150" s="468"/>
      <c r="F150" s="775" t="str">
        <f>IF(UNNH0030_REPORT_IF_H_JUSHO_NO_PRINT_FLG=TRUE,"","〒")</f>
        <v>〒</v>
      </c>
      <c r="G150" s="775"/>
      <c r="H150" s="776" t="str">
        <f>IF(UNNH0030_REPORT_IF_H_JUSHO_NO_PRINT_FLG=TRUE,"",IF(UNNH0030_REPORT_IF_H_YUBIN_NO="","",UNNH0030_REPORT_IF_H_YUBIN_NO))</f>
        <v/>
      </c>
      <c r="I150" s="776"/>
      <c r="J150" s="776"/>
      <c r="K150" s="776"/>
      <c r="L150" s="776"/>
      <c r="M150" s="776"/>
      <c r="N150" s="776"/>
      <c r="O150" s="776"/>
      <c r="P150" s="776"/>
      <c r="Q150" s="776"/>
      <c r="R150" s="776"/>
      <c r="S150" s="776"/>
      <c r="T150" s="776"/>
      <c r="U150" s="776"/>
      <c r="V150" s="776"/>
      <c r="W150" s="776"/>
      <c r="X150" s="776"/>
      <c r="Y150" s="469"/>
      <c r="AA150" s="744"/>
      <c r="AB150" s="744"/>
      <c r="AC150" s="744"/>
      <c r="AD150" s="744"/>
      <c r="AE150" s="744"/>
      <c r="AF150" s="744"/>
      <c r="AG150" s="744"/>
      <c r="AH150" s="744"/>
      <c r="AI150" s="744"/>
      <c r="AJ150" s="744"/>
      <c r="AK150" s="744"/>
      <c r="AL150" s="744"/>
      <c r="AP150" s="774"/>
      <c r="AQ150" s="774"/>
      <c r="AR150" s="774"/>
      <c r="AS150" s="774"/>
      <c r="AT150" s="774"/>
      <c r="AU150" s="774"/>
      <c r="AV150" s="774"/>
      <c r="AW150" s="774"/>
      <c r="AX150" s="774"/>
      <c r="AY150" s="774"/>
    </row>
    <row r="151" spans="2:51" s="403" customFormat="1" ht="24.75" customHeight="1">
      <c r="C151" s="404"/>
      <c r="E151" s="468"/>
      <c r="F151" s="745" t="str">
        <f>IF(UNNH0030_REPORT_IF_H_JUSHO_NO_PRINT_FLG="","",IF(UNNH0030_REPORT_IF_H_ADDRESS_1="","",UNNH0030_REPORT_IF_H_ADDRESS_1))</f>
        <v/>
      </c>
      <c r="G151" s="745"/>
      <c r="H151" s="745"/>
      <c r="I151" s="745"/>
      <c r="J151" s="745"/>
      <c r="K151" s="745"/>
      <c r="L151" s="745"/>
      <c r="M151" s="745"/>
      <c r="N151" s="745"/>
      <c r="O151" s="745"/>
      <c r="P151" s="745"/>
      <c r="Q151" s="745"/>
      <c r="R151" s="745"/>
      <c r="S151" s="745"/>
      <c r="T151" s="745"/>
      <c r="U151" s="745"/>
      <c r="V151" s="745"/>
      <c r="W151" s="745"/>
      <c r="X151" s="745"/>
      <c r="Y151" s="469"/>
      <c r="AP151" s="748">
        <f>UNNH0030_REPORT_IF_H_URIAGE_DATE</f>
        <v>0</v>
      </c>
      <c r="AQ151" s="748"/>
      <c r="AR151" s="748"/>
      <c r="AS151" s="748"/>
      <c r="AT151" s="748"/>
      <c r="AU151" s="748"/>
      <c r="AV151" s="748"/>
      <c r="AW151" s="748"/>
      <c r="AX151" s="748"/>
      <c r="AY151" s="748"/>
    </row>
    <row r="152" spans="2:51" s="403" customFormat="1" ht="24.75" customHeight="1">
      <c r="C152" s="404"/>
      <c r="E152" s="468"/>
      <c r="F152" s="745" t="str">
        <f>IF(UNNH0030_REPORT_IF_H_JUSHO_NO_PRINT_FLG="","",IF(UNNH0030_REPORT_IF_H_ADDRESS_2="","",UNNH0030_REPORT_IF_H_ADDRESS_2))</f>
        <v/>
      </c>
      <c r="G152" s="745"/>
      <c r="H152" s="745"/>
      <c r="I152" s="745"/>
      <c r="J152" s="745"/>
      <c r="K152" s="745"/>
      <c r="L152" s="745"/>
      <c r="M152" s="745"/>
      <c r="N152" s="745"/>
      <c r="O152" s="745"/>
      <c r="P152" s="745"/>
      <c r="Q152" s="745"/>
      <c r="R152" s="745"/>
      <c r="S152" s="745"/>
      <c r="T152" s="745"/>
      <c r="U152" s="745"/>
      <c r="V152" s="745"/>
      <c r="W152" s="745"/>
      <c r="X152" s="745"/>
      <c r="Y152" s="469"/>
    </row>
    <row r="153" spans="2:51" s="403" customFormat="1" ht="24.75" customHeight="1">
      <c r="C153" s="404"/>
      <c r="E153" s="468"/>
      <c r="F153" s="409"/>
      <c r="G153" s="409"/>
      <c r="H153" s="409"/>
      <c r="I153" s="409"/>
      <c r="J153" s="409"/>
      <c r="K153" s="409"/>
      <c r="L153" s="409"/>
      <c r="M153" s="409"/>
      <c r="N153" s="409"/>
      <c r="O153" s="409"/>
      <c r="P153" s="409"/>
      <c r="Q153" s="409"/>
      <c r="R153" s="409"/>
      <c r="S153" s="409"/>
      <c r="T153" s="409"/>
      <c r="U153" s="409"/>
      <c r="V153" s="409"/>
      <c r="W153" s="409"/>
      <c r="X153" s="409"/>
      <c r="Y153" s="469"/>
    </row>
    <row r="154" spans="2:51" s="403" customFormat="1" ht="26.25" customHeight="1">
      <c r="C154" s="404"/>
      <c r="E154" s="470"/>
      <c r="F154" s="745" t="str">
        <f>IF(TRIM(UNNH0030_REPORT_IF_H_SOFU_TANTO)="","",
IF(TRIM(UNNH0030_REPORT_IF_H_DEMPYO_SOFU_MEI)="","",
TRIM(UNNH0030_REPORT_IF_H_DEMPYO_SOFU_MEI)))</f>
        <v/>
      </c>
      <c r="G154" s="745"/>
      <c r="H154" s="745"/>
      <c r="I154" s="745"/>
      <c r="J154" s="745"/>
      <c r="K154" s="745"/>
      <c r="L154" s="745"/>
      <c r="M154" s="745"/>
      <c r="N154" s="745"/>
      <c r="O154" s="745"/>
      <c r="P154" s="745"/>
      <c r="Q154" s="745"/>
      <c r="R154" s="745"/>
      <c r="S154" s="745"/>
      <c r="T154" s="745"/>
      <c r="U154" s="745"/>
      <c r="V154" s="745"/>
      <c r="W154" s="745"/>
      <c r="X154" s="745"/>
      <c r="Y154" s="469"/>
    </row>
    <row r="155" spans="2:51" s="403" customFormat="1" ht="26.25" customHeight="1">
      <c r="C155" s="404"/>
      <c r="E155" s="468"/>
      <c r="F155" s="746" t="str">
        <f>IF(TRIM(UNNH0030_REPORT_IF_H_SOFU_TANTO)="",
TRIM(UNNH0030_REPORT_IF_H_DEMPYO_SOFU_MEI),
TRIM(UNNH0030_REPORT_IF_H_SOFU_TANTO))&amp;
IF(UNNH0030_REPORT_IF_H_KEISHO="","","　　"&amp;UNNH0030_REPORT_IF_H_KEISHO)</f>
        <v/>
      </c>
      <c r="G155" s="746"/>
      <c r="H155" s="746"/>
      <c r="I155" s="746"/>
      <c r="J155" s="746"/>
      <c r="K155" s="746"/>
      <c r="L155" s="746"/>
      <c r="M155" s="746"/>
      <c r="N155" s="746"/>
      <c r="O155" s="746"/>
      <c r="P155" s="746"/>
      <c r="Q155" s="746"/>
      <c r="R155" s="746"/>
      <c r="S155" s="746"/>
      <c r="T155" s="746"/>
      <c r="U155" s="746"/>
      <c r="V155" s="746"/>
      <c r="W155" s="746"/>
      <c r="X155" s="746"/>
      <c r="Y155" s="469"/>
      <c r="Z155" s="477" t="str">
        <f>UNNH0030_REPORT_IF_H_SHIMEBI_MARK</f>
        <v>*</v>
      </c>
    </row>
    <row r="156" spans="2:51" s="403" customFormat="1" ht="25.5" customHeight="1">
      <c r="C156" s="404"/>
      <c r="E156" s="471"/>
      <c r="F156" s="747">
        <f>UNNH0030_REPORT_IF_H_SEIKYU_CD</f>
        <v>0</v>
      </c>
      <c r="G156" s="747"/>
      <c r="H156" s="747"/>
      <c r="I156" s="747"/>
      <c r="J156" s="747"/>
      <c r="K156" s="747"/>
      <c r="L156" s="747"/>
      <c r="M156" s="747"/>
      <c r="N156" s="747"/>
      <c r="O156" s="747"/>
      <c r="P156" s="747"/>
      <c r="Q156" s="747"/>
      <c r="R156" s="747"/>
      <c r="S156" s="747"/>
      <c r="T156" s="747"/>
      <c r="U156" s="747"/>
      <c r="V156" s="747"/>
      <c r="W156" s="747"/>
      <c r="X156" s="747"/>
      <c r="Y156" s="472"/>
    </row>
    <row r="157" spans="2:51" s="403" customFormat="1" ht="30" customHeight="1">
      <c r="C157" s="404"/>
    </row>
    <row r="158" spans="2:51" s="403" customFormat="1" ht="30" customHeight="1">
      <c r="C158" s="404"/>
      <c r="D158" s="404"/>
      <c r="E158" s="404"/>
      <c r="F158" s="404"/>
      <c r="G158" s="404"/>
      <c r="H158" s="404"/>
      <c r="I158" s="404"/>
      <c r="J158" s="404"/>
      <c r="K158" s="404"/>
      <c r="L158" s="404"/>
      <c r="M158" s="404"/>
      <c r="N158" s="404"/>
      <c r="O158" s="404"/>
    </row>
    <row r="159" spans="2:51" s="403" customFormat="1" ht="29.25" customHeight="1">
      <c r="B159" s="474" t="s">
        <v>1101</v>
      </c>
      <c r="C159" s="404"/>
      <c r="D159" s="404"/>
      <c r="E159" s="404"/>
      <c r="F159" s="404"/>
      <c r="G159" s="404"/>
      <c r="H159" s="404"/>
      <c r="I159" s="404"/>
      <c r="J159" s="404"/>
      <c r="K159" s="404"/>
      <c r="L159" s="404"/>
      <c r="M159" s="404"/>
      <c r="N159" s="404"/>
      <c r="O159" s="404"/>
    </row>
    <row r="160" spans="2:51" s="403" customFormat="1" ht="36.75" customHeight="1">
      <c r="B160" s="742"/>
      <c r="C160" s="742"/>
      <c r="D160" s="742" t="s">
        <v>1102</v>
      </c>
      <c r="E160" s="742"/>
      <c r="F160" s="742"/>
      <c r="G160" s="742"/>
      <c r="H160" s="742"/>
      <c r="I160" s="742"/>
      <c r="J160" s="742"/>
      <c r="K160" s="742"/>
      <c r="L160" s="742"/>
      <c r="M160" s="742"/>
      <c r="N160" s="742"/>
      <c r="O160" s="742"/>
      <c r="P160" s="742"/>
      <c r="Q160" s="742"/>
      <c r="R160" s="742"/>
      <c r="S160" s="742"/>
      <c r="T160" s="742"/>
      <c r="U160" s="742"/>
      <c r="V160" s="742"/>
      <c r="W160" s="742"/>
      <c r="X160" s="742"/>
      <c r="Y160" s="742"/>
      <c r="Z160" s="742"/>
      <c r="AA160" s="742"/>
      <c r="AB160" s="742"/>
      <c r="AC160" s="742" t="s">
        <v>1103</v>
      </c>
      <c r="AD160" s="742"/>
      <c r="AE160" s="742"/>
      <c r="AF160" s="742"/>
      <c r="AG160" s="742"/>
      <c r="AH160" s="742"/>
      <c r="AI160" s="742"/>
      <c r="AJ160" s="742" t="s">
        <v>1104</v>
      </c>
      <c r="AK160" s="742"/>
      <c r="AL160" s="742" t="s">
        <v>1105</v>
      </c>
      <c r="AM160" s="742"/>
      <c r="AN160" s="742"/>
      <c r="AO160" s="742"/>
      <c r="AP160" s="742"/>
      <c r="AQ160" s="742"/>
      <c r="AR160" s="742"/>
      <c r="AS160" s="742" t="s">
        <v>1106</v>
      </c>
      <c r="AT160" s="742"/>
      <c r="AU160" s="742"/>
      <c r="AV160" s="742"/>
      <c r="AW160" s="742"/>
      <c r="AX160" s="742"/>
      <c r="AY160" s="742"/>
    </row>
    <row r="161" spans="1:52" s="403" customFormat="1" ht="36.75" customHeight="1">
      <c r="B161" s="742">
        <f>ROUNDDOWN(ROW()/ROWS(UNNH0030_REPORT_RAYOUT_SEIKYUSHO),0)*UNNH0030_REPORT_IF_B_PAGE_MEISAI_SU+1</f>
        <v>81</v>
      </c>
      <c r="C161" s="742"/>
      <c r="D161" s="743" t="str">
        <f t="shared" ref="D161:D180" ca="1" si="24">IF(OFFSET(UNNH0030_REPORT_IF_B_SHOHIN_MEI,$B161,0)="","",OFFSET(UNNH0030_REPORT_IF_B_SHOHIN_MEI,$B161,0))</f>
        <v/>
      </c>
      <c r="E161" s="743"/>
      <c r="F161" s="743"/>
      <c r="G161" s="743"/>
      <c r="H161" s="743"/>
      <c r="I161" s="743"/>
      <c r="J161" s="743"/>
      <c r="K161" s="743"/>
      <c r="L161" s="743"/>
      <c r="M161" s="743"/>
      <c r="N161" s="743"/>
      <c r="O161" s="743"/>
      <c r="P161" s="743"/>
      <c r="Q161" s="743"/>
      <c r="R161" s="743"/>
      <c r="S161" s="743"/>
      <c r="T161" s="743"/>
      <c r="U161" s="743"/>
      <c r="V161" s="743"/>
      <c r="W161" s="743"/>
      <c r="X161" s="743"/>
      <c r="Y161" s="743"/>
      <c r="Z161" s="743"/>
      <c r="AA161" s="743"/>
      <c r="AB161" s="743"/>
      <c r="AC161" s="781" t="str">
        <f t="shared" ref="AC161:AC180" ca="1" si="25">IF(OR(OFFSET(UNNH0030_REPORT_IF_B_ROW_KBN,$B161,0)&lt;&gt;1,$D161="",$D161="消費税"),"",
OFFSET(UNNH0030_REPORT_IF_B_SURYO,$B161,0))</f>
        <v/>
      </c>
      <c r="AD161" s="781"/>
      <c r="AE161" s="781"/>
      <c r="AF161" s="781"/>
      <c r="AG161" s="781"/>
      <c r="AH161" s="781"/>
      <c r="AI161" s="781"/>
      <c r="AJ161" s="742" t="str">
        <f t="shared" ref="AJ161:AJ180" ca="1" si="26">IF(OFFSET(UNNH0030_REPORT_IF_B_TANI,$B161,0)="","",OFFSET(UNNH0030_REPORT_IF_B_TANI,$B161,0))</f>
        <v/>
      </c>
      <c r="AK161" s="742"/>
      <c r="AL161" s="781" t="str">
        <f t="shared" ref="AL161:AL180" ca="1" si="27">IF(OR(OFFSET(UNNH0030_REPORT_IF_B_ROW_KBN,$B161,0)&lt;&gt;1,$D161="",$D161="消費税"),"",
OFFSET(UNNH0030_REPORT_IF_B_TANKA,$B161,0))</f>
        <v/>
      </c>
      <c r="AM161" s="781"/>
      <c r="AN161" s="781"/>
      <c r="AO161" s="781"/>
      <c r="AP161" s="781"/>
      <c r="AQ161" s="781"/>
      <c r="AR161" s="781"/>
      <c r="AS161" s="741" t="str">
        <f t="shared" ref="AS161:AS180" ca="1" si="28">IF(OR(OFFSET(UNNH0030_REPORT_IF_B_KINGAKU,$B161,0)=0,$D161=""),"",
OFFSET(UNNH0030_REPORT_IF_B_KINGAKU,$B161,0))</f>
        <v/>
      </c>
      <c r="AT161" s="741"/>
      <c r="AU161" s="741"/>
      <c r="AV161" s="741"/>
      <c r="AW161" s="741"/>
      <c r="AX161" s="741"/>
      <c r="AY161" s="741"/>
    </row>
    <row r="162" spans="1:52" s="403" customFormat="1" ht="36.75" customHeight="1">
      <c r="B162" s="742">
        <f>B161+1</f>
        <v>82</v>
      </c>
      <c r="C162" s="742"/>
      <c r="D162" s="743" t="str">
        <f t="shared" ca="1" si="24"/>
        <v/>
      </c>
      <c r="E162" s="743"/>
      <c r="F162" s="743"/>
      <c r="G162" s="743"/>
      <c r="H162" s="743"/>
      <c r="I162" s="743"/>
      <c r="J162" s="743"/>
      <c r="K162" s="743"/>
      <c r="L162" s="743"/>
      <c r="M162" s="743"/>
      <c r="N162" s="743"/>
      <c r="O162" s="743"/>
      <c r="P162" s="743"/>
      <c r="Q162" s="743"/>
      <c r="R162" s="743"/>
      <c r="S162" s="743"/>
      <c r="T162" s="743"/>
      <c r="U162" s="743"/>
      <c r="V162" s="743"/>
      <c r="W162" s="743"/>
      <c r="X162" s="743"/>
      <c r="Y162" s="743"/>
      <c r="Z162" s="743"/>
      <c r="AA162" s="743"/>
      <c r="AB162" s="743"/>
      <c r="AC162" s="781" t="str">
        <f t="shared" ca="1" si="25"/>
        <v/>
      </c>
      <c r="AD162" s="781"/>
      <c r="AE162" s="781"/>
      <c r="AF162" s="781"/>
      <c r="AG162" s="781"/>
      <c r="AH162" s="781"/>
      <c r="AI162" s="781"/>
      <c r="AJ162" s="742" t="str">
        <f t="shared" ca="1" si="26"/>
        <v/>
      </c>
      <c r="AK162" s="742"/>
      <c r="AL162" s="781" t="str">
        <f t="shared" ca="1" si="27"/>
        <v/>
      </c>
      <c r="AM162" s="781"/>
      <c r="AN162" s="781"/>
      <c r="AO162" s="781"/>
      <c r="AP162" s="781"/>
      <c r="AQ162" s="781"/>
      <c r="AR162" s="781"/>
      <c r="AS162" s="741" t="str">
        <f t="shared" ca="1" si="28"/>
        <v/>
      </c>
      <c r="AT162" s="741"/>
      <c r="AU162" s="741"/>
      <c r="AV162" s="741"/>
      <c r="AW162" s="741"/>
      <c r="AX162" s="741"/>
      <c r="AY162" s="741"/>
    </row>
    <row r="163" spans="1:52" s="403" customFormat="1" ht="36.75" customHeight="1">
      <c r="B163" s="742">
        <f>B162+1</f>
        <v>83</v>
      </c>
      <c r="C163" s="742"/>
      <c r="D163" s="743" t="str">
        <f t="shared" ca="1" si="24"/>
        <v/>
      </c>
      <c r="E163" s="743"/>
      <c r="F163" s="743"/>
      <c r="G163" s="743"/>
      <c r="H163" s="743"/>
      <c r="I163" s="743"/>
      <c r="J163" s="743"/>
      <c r="K163" s="743"/>
      <c r="L163" s="743"/>
      <c r="M163" s="743"/>
      <c r="N163" s="743"/>
      <c r="O163" s="743"/>
      <c r="P163" s="743"/>
      <c r="Q163" s="743"/>
      <c r="R163" s="743"/>
      <c r="S163" s="743"/>
      <c r="T163" s="743"/>
      <c r="U163" s="743"/>
      <c r="V163" s="743"/>
      <c r="W163" s="743"/>
      <c r="X163" s="743"/>
      <c r="Y163" s="743"/>
      <c r="Z163" s="743"/>
      <c r="AA163" s="743"/>
      <c r="AB163" s="743"/>
      <c r="AC163" s="781" t="str">
        <f t="shared" ca="1" si="25"/>
        <v/>
      </c>
      <c r="AD163" s="781"/>
      <c r="AE163" s="781"/>
      <c r="AF163" s="781"/>
      <c r="AG163" s="781"/>
      <c r="AH163" s="781"/>
      <c r="AI163" s="781"/>
      <c r="AJ163" s="742" t="str">
        <f t="shared" ca="1" si="26"/>
        <v/>
      </c>
      <c r="AK163" s="742"/>
      <c r="AL163" s="781" t="str">
        <f t="shared" ca="1" si="27"/>
        <v/>
      </c>
      <c r="AM163" s="781"/>
      <c r="AN163" s="781"/>
      <c r="AO163" s="781"/>
      <c r="AP163" s="781"/>
      <c r="AQ163" s="781"/>
      <c r="AR163" s="781"/>
      <c r="AS163" s="741" t="str">
        <f t="shared" ca="1" si="28"/>
        <v/>
      </c>
      <c r="AT163" s="741"/>
      <c r="AU163" s="741"/>
      <c r="AV163" s="741"/>
      <c r="AW163" s="741"/>
      <c r="AX163" s="741"/>
      <c r="AY163" s="741"/>
    </row>
    <row r="164" spans="1:52" s="403" customFormat="1" ht="36.75" customHeight="1">
      <c r="B164" s="742">
        <f t="shared" ref="B164:B180" si="29">B163+1</f>
        <v>84</v>
      </c>
      <c r="C164" s="742"/>
      <c r="D164" s="743" t="str">
        <f t="shared" ca="1" si="24"/>
        <v/>
      </c>
      <c r="E164" s="743"/>
      <c r="F164" s="743"/>
      <c r="G164" s="743"/>
      <c r="H164" s="743"/>
      <c r="I164" s="743"/>
      <c r="J164" s="743"/>
      <c r="K164" s="743"/>
      <c r="L164" s="743"/>
      <c r="M164" s="743"/>
      <c r="N164" s="743"/>
      <c r="O164" s="743"/>
      <c r="P164" s="743"/>
      <c r="Q164" s="743"/>
      <c r="R164" s="743"/>
      <c r="S164" s="743"/>
      <c r="T164" s="743"/>
      <c r="U164" s="743"/>
      <c r="V164" s="743"/>
      <c r="W164" s="743"/>
      <c r="X164" s="743"/>
      <c r="Y164" s="743"/>
      <c r="Z164" s="743"/>
      <c r="AA164" s="743"/>
      <c r="AB164" s="743"/>
      <c r="AC164" s="781" t="str">
        <f t="shared" ca="1" si="25"/>
        <v/>
      </c>
      <c r="AD164" s="781"/>
      <c r="AE164" s="781"/>
      <c r="AF164" s="781"/>
      <c r="AG164" s="781"/>
      <c r="AH164" s="781"/>
      <c r="AI164" s="781"/>
      <c r="AJ164" s="742" t="str">
        <f t="shared" ca="1" si="26"/>
        <v/>
      </c>
      <c r="AK164" s="742"/>
      <c r="AL164" s="781" t="str">
        <f t="shared" ca="1" si="27"/>
        <v/>
      </c>
      <c r="AM164" s="781"/>
      <c r="AN164" s="781"/>
      <c r="AO164" s="781"/>
      <c r="AP164" s="781"/>
      <c r="AQ164" s="781"/>
      <c r="AR164" s="781"/>
      <c r="AS164" s="741" t="str">
        <f t="shared" ca="1" si="28"/>
        <v/>
      </c>
      <c r="AT164" s="741"/>
      <c r="AU164" s="741"/>
      <c r="AV164" s="741"/>
      <c r="AW164" s="741"/>
      <c r="AX164" s="741"/>
      <c r="AY164" s="741"/>
    </row>
    <row r="165" spans="1:52" s="403" customFormat="1" ht="36.75" customHeight="1">
      <c r="A165" s="403" t="s">
        <v>1529</v>
      </c>
      <c r="B165" s="742">
        <f t="shared" si="29"/>
        <v>85</v>
      </c>
      <c r="C165" s="742"/>
      <c r="D165" s="743" t="str">
        <f t="shared" ca="1" si="24"/>
        <v/>
      </c>
      <c r="E165" s="743"/>
      <c r="F165" s="743"/>
      <c r="G165" s="743"/>
      <c r="H165" s="743"/>
      <c r="I165" s="743"/>
      <c r="J165" s="743"/>
      <c r="K165" s="743"/>
      <c r="L165" s="743"/>
      <c r="M165" s="743"/>
      <c r="N165" s="743"/>
      <c r="O165" s="743"/>
      <c r="P165" s="743"/>
      <c r="Q165" s="743"/>
      <c r="R165" s="743"/>
      <c r="S165" s="743"/>
      <c r="T165" s="743"/>
      <c r="U165" s="743"/>
      <c r="V165" s="743"/>
      <c r="W165" s="743"/>
      <c r="X165" s="743"/>
      <c r="Y165" s="743"/>
      <c r="Z165" s="743"/>
      <c r="AA165" s="743"/>
      <c r="AB165" s="743"/>
      <c r="AC165" s="781" t="str">
        <f t="shared" ca="1" si="25"/>
        <v/>
      </c>
      <c r="AD165" s="781"/>
      <c r="AE165" s="781"/>
      <c r="AF165" s="781"/>
      <c r="AG165" s="781"/>
      <c r="AH165" s="781"/>
      <c r="AI165" s="781"/>
      <c r="AJ165" s="742" t="str">
        <f t="shared" ca="1" si="26"/>
        <v/>
      </c>
      <c r="AK165" s="742"/>
      <c r="AL165" s="781" t="str">
        <f t="shared" ca="1" si="27"/>
        <v/>
      </c>
      <c r="AM165" s="781"/>
      <c r="AN165" s="781"/>
      <c r="AO165" s="781"/>
      <c r="AP165" s="781"/>
      <c r="AQ165" s="781"/>
      <c r="AR165" s="781"/>
      <c r="AS165" s="741" t="str">
        <f t="shared" ca="1" si="28"/>
        <v/>
      </c>
      <c r="AT165" s="741"/>
      <c r="AU165" s="741"/>
      <c r="AV165" s="741"/>
      <c r="AW165" s="741"/>
      <c r="AX165" s="741"/>
      <c r="AY165" s="741"/>
      <c r="AZ165" s="473" t="s">
        <v>1530</v>
      </c>
    </row>
    <row r="166" spans="1:52" s="403" customFormat="1" ht="36.75" customHeight="1">
      <c r="B166" s="742">
        <f t="shared" si="29"/>
        <v>86</v>
      </c>
      <c r="C166" s="742"/>
      <c r="D166" s="743" t="str">
        <f t="shared" ca="1" si="24"/>
        <v/>
      </c>
      <c r="E166" s="743"/>
      <c r="F166" s="743"/>
      <c r="G166" s="743"/>
      <c r="H166" s="743"/>
      <c r="I166" s="743"/>
      <c r="J166" s="743"/>
      <c r="K166" s="743"/>
      <c r="L166" s="743"/>
      <c r="M166" s="743"/>
      <c r="N166" s="743"/>
      <c r="O166" s="743"/>
      <c r="P166" s="743"/>
      <c r="Q166" s="743"/>
      <c r="R166" s="743"/>
      <c r="S166" s="743"/>
      <c r="T166" s="743"/>
      <c r="U166" s="743"/>
      <c r="V166" s="743"/>
      <c r="W166" s="743"/>
      <c r="X166" s="743"/>
      <c r="Y166" s="743"/>
      <c r="Z166" s="743"/>
      <c r="AA166" s="743"/>
      <c r="AB166" s="743"/>
      <c r="AC166" s="781" t="str">
        <f t="shared" ca="1" si="25"/>
        <v/>
      </c>
      <c r="AD166" s="781"/>
      <c r="AE166" s="781"/>
      <c r="AF166" s="781"/>
      <c r="AG166" s="781"/>
      <c r="AH166" s="781"/>
      <c r="AI166" s="781"/>
      <c r="AJ166" s="742" t="str">
        <f t="shared" ca="1" si="26"/>
        <v/>
      </c>
      <c r="AK166" s="742"/>
      <c r="AL166" s="781" t="str">
        <f t="shared" ca="1" si="27"/>
        <v/>
      </c>
      <c r="AM166" s="781"/>
      <c r="AN166" s="781"/>
      <c r="AO166" s="781"/>
      <c r="AP166" s="781"/>
      <c r="AQ166" s="781"/>
      <c r="AR166" s="781"/>
      <c r="AS166" s="741" t="str">
        <f t="shared" ca="1" si="28"/>
        <v/>
      </c>
      <c r="AT166" s="741"/>
      <c r="AU166" s="741"/>
      <c r="AV166" s="741"/>
      <c r="AW166" s="741"/>
      <c r="AX166" s="741"/>
      <c r="AY166" s="741"/>
      <c r="AZ166" s="473"/>
    </row>
    <row r="167" spans="1:52" s="403" customFormat="1" ht="36.75" customHeight="1">
      <c r="B167" s="742">
        <f t="shared" si="29"/>
        <v>87</v>
      </c>
      <c r="C167" s="742"/>
      <c r="D167" s="743" t="str">
        <f t="shared" ca="1" si="24"/>
        <v/>
      </c>
      <c r="E167" s="743"/>
      <c r="F167" s="743"/>
      <c r="G167" s="743"/>
      <c r="H167" s="743"/>
      <c r="I167" s="743"/>
      <c r="J167" s="743"/>
      <c r="K167" s="743"/>
      <c r="L167" s="743"/>
      <c r="M167" s="743"/>
      <c r="N167" s="743"/>
      <c r="O167" s="743"/>
      <c r="P167" s="743"/>
      <c r="Q167" s="743"/>
      <c r="R167" s="743"/>
      <c r="S167" s="743"/>
      <c r="T167" s="743"/>
      <c r="U167" s="743"/>
      <c r="V167" s="743"/>
      <c r="W167" s="743"/>
      <c r="X167" s="743"/>
      <c r="Y167" s="743"/>
      <c r="Z167" s="743"/>
      <c r="AA167" s="743"/>
      <c r="AB167" s="743"/>
      <c r="AC167" s="781" t="str">
        <f t="shared" ca="1" si="25"/>
        <v/>
      </c>
      <c r="AD167" s="781"/>
      <c r="AE167" s="781"/>
      <c r="AF167" s="781"/>
      <c r="AG167" s="781"/>
      <c r="AH167" s="781"/>
      <c r="AI167" s="781"/>
      <c r="AJ167" s="742" t="str">
        <f t="shared" ca="1" si="26"/>
        <v/>
      </c>
      <c r="AK167" s="742"/>
      <c r="AL167" s="781" t="str">
        <f t="shared" ca="1" si="27"/>
        <v/>
      </c>
      <c r="AM167" s="781"/>
      <c r="AN167" s="781"/>
      <c r="AO167" s="781"/>
      <c r="AP167" s="781"/>
      <c r="AQ167" s="781"/>
      <c r="AR167" s="781"/>
      <c r="AS167" s="741" t="str">
        <f t="shared" ca="1" si="28"/>
        <v/>
      </c>
      <c r="AT167" s="741"/>
      <c r="AU167" s="741"/>
      <c r="AV167" s="741"/>
      <c r="AW167" s="741"/>
      <c r="AX167" s="741"/>
      <c r="AY167" s="741"/>
      <c r="AZ167" s="473"/>
    </row>
    <row r="168" spans="1:52" s="403" customFormat="1" ht="36.75" customHeight="1">
      <c r="B168" s="742">
        <f t="shared" si="29"/>
        <v>88</v>
      </c>
      <c r="C168" s="742"/>
      <c r="D168" s="743" t="str">
        <f t="shared" ca="1" si="24"/>
        <v/>
      </c>
      <c r="E168" s="743"/>
      <c r="F168" s="743"/>
      <c r="G168" s="743"/>
      <c r="H168" s="743"/>
      <c r="I168" s="743"/>
      <c r="J168" s="743"/>
      <c r="K168" s="743"/>
      <c r="L168" s="743"/>
      <c r="M168" s="743"/>
      <c r="N168" s="743"/>
      <c r="O168" s="743"/>
      <c r="P168" s="743"/>
      <c r="Q168" s="743"/>
      <c r="R168" s="743"/>
      <c r="S168" s="743"/>
      <c r="T168" s="743"/>
      <c r="U168" s="743"/>
      <c r="V168" s="743"/>
      <c r="W168" s="743"/>
      <c r="X168" s="743"/>
      <c r="Y168" s="743"/>
      <c r="Z168" s="743"/>
      <c r="AA168" s="743"/>
      <c r="AB168" s="743"/>
      <c r="AC168" s="781" t="str">
        <f t="shared" ca="1" si="25"/>
        <v/>
      </c>
      <c r="AD168" s="781"/>
      <c r="AE168" s="781"/>
      <c r="AF168" s="781"/>
      <c r="AG168" s="781"/>
      <c r="AH168" s="781"/>
      <c r="AI168" s="781"/>
      <c r="AJ168" s="742" t="str">
        <f t="shared" ca="1" si="26"/>
        <v/>
      </c>
      <c r="AK168" s="742"/>
      <c r="AL168" s="781" t="str">
        <f t="shared" ca="1" si="27"/>
        <v/>
      </c>
      <c r="AM168" s="781"/>
      <c r="AN168" s="781"/>
      <c r="AO168" s="781"/>
      <c r="AP168" s="781"/>
      <c r="AQ168" s="781"/>
      <c r="AR168" s="781"/>
      <c r="AS168" s="741" t="str">
        <f t="shared" ca="1" si="28"/>
        <v/>
      </c>
      <c r="AT168" s="741"/>
      <c r="AU168" s="741"/>
      <c r="AV168" s="741"/>
      <c r="AW168" s="741"/>
      <c r="AX168" s="741"/>
      <c r="AY168" s="741"/>
    </row>
    <row r="169" spans="1:52" s="403" customFormat="1" ht="36.75" customHeight="1">
      <c r="B169" s="742">
        <f t="shared" si="29"/>
        <v>89</v>
      </c>
      <c r="C169" s="742"/>
      <c r="D169" s="743" t="str">
        <f t="shared" ca="1" si="24"/>
        <v/>
      </c>
      <c r="E169" s="743"/>
      <c r="F169" s="743"/>
      <c r="G169" s="743"/>
      <c r="H169" s="743"/>
      <c r="I169" s="743"/>
      <c r="J169" s="743"/>
      <c r="K169" s="743"/>
      <c r="L169" s="743"/>
      <c r="M169" s="743"/>
      <c r="N169" s="743"/>
      <c r="O169" s="743"/>
      <c r="P169" s="743"/>
      <c r="Q169" s="743"/>
      <c r="R169" s="743"/>
      <c r="S169" s="743"/>
      <c r="T169" s="743"/>
      <c r="U169" s="743"/>
      <c r="V169" s="743"/>
      <c r="W169" s="743"/>
      <c r="X169" s="743"/>
      <c r="Y169" s="743"/>
      <c r="Z169" s="743"/>
      <c r="AA169" s="743"/>
      <c r="AB169" s="743"/>
      <c r="AC169" s="781" t="str">
        <f t="shared" ca="1" si="25"/>
        <v/>
      </c>
      <c r="AD169" s="781"/>
      <c r="AE169" s="781"/>
      <c r="AF169" s="781"/>
      <c r="AG169" s="781"/>
      <c r="AH169" s="781"/>
      <c r="AI169" s="781"/>
      <c r="AJ169" s="742" t="str">
        <f t="shared" ca="1" si="26"/>
        <v/>
      </c>
      <c r="AK169" s="742"/>
      <c r="AL169" s="781" t="str">
        <f t="shared" ca="1" si="27"/>
        <v/>
      </c>
      <c r="AM169" s="781"/>
      <c r="AN169" s="781"/>
      <c r="AO169" s="781"/>
      <c r="AP169" s="781"/>
      <c r="AQ169" s="781"/>
      <c r="AR169" s="781"/>
      <c r="AS169" s="741" t="str">
        <f t="shared" ca="1" si="28"/>
        <v/>
      </c>
      <c r="AT169" s="741"/>
      <c r="AU169" s="741"/>
      <c r="AV169" s="741"/>
      <c r="AW169" s="741"/>
      <c r="AX169" s="741"/>
      <c r="AY169" s="741"/>
    </row>
    <row r="170" spans="1:52" s="403" customFormat="1" ht="36.75" customHeight="1">
      <c r="B170" s="742">
        <f t="shared" si="29"/>
        <v>90</v>
      </c>
      <c r="C170" s="742"/>
      <c r="D170" s="743" t="str">
        <f t="shared" ca="1" si="24"/>
        <v/>
      </c>
      <c r="E170" s="743"/>
      <c r="F170" s="743"/>
      <c r="G170" s="743"/>
      <c r="H170" s="743"/>
      <c r="I170" s="743"/>
      <c r="J170" s="743"/>
      <c r="K170" s="743"/>
      <c r="L170" s="743"/>
      <c r="M170" s="743"/>
      <c r="N170" s="743"/>
      <c r="O170" s="743"/>
      <c r="P170" s="743"/>
      <c r="Q170" s="743"/>
      <c r="R170" s="743"/>
      <c r="S170" s="743"/>
      <c r="T170" s="743"/>
      <c r="U170" s="743"/>
      <c r="V170" s="743"/>
      <c r="W170" s="743"/>
      <c r="X170" s="743"/>
      <c r="Y170" s="743"/>
      <c r="Z170" s="743"/>
      <c r="AA170" s="743"/>
      <c r="AB170" s="743"/>
      <c r="AC170" s="781" t="str">
        <f t="shared" ca="1" si="25"/>
        <v/>
      </c>
      <c r="AD170" s="781"/>
      <c r="AE170" s="781"/>
      <c r="AF170" s="781"/>
      <c r="AG170" s="781"/>
      <c r="AH170" s="781"/>
      <c r="AI170" s="781"/>
      <c r="AJ170" s="742" t="str">
        <f t="shared" ca="1" si="26"/>
        <v/>
      </c>
      <c r="AK170" s="742"/>
      <c r="AL170" s="781" t="str">
        <f t="shared" ca="1" si="27"/>
        <v/>
      </c>
      <c r="AM170" s="781"/>
      <c r="AN170" s="781"/>
      <c r="AO170" s="781"/>
      <c r="AP170" s="781"/>
      <c r="AQ170" s="781"/>
      <c r="AR170" s="781"/>
      <c r="AS170" s="741" t="str">
        <f t="shared" ca="1" si="28"/>
        <v/>
      </c>
      <c r="AT170" s="741"/>
      <c r="AU170" s="741"/>
      <c r="AV170" s="741"/>
      <c r="AW170" s="741"/>
      <c r="AX170" s="741"/>
      <c r="AY170" s="741"/>
    </row>
    <row r="171" spans="1:52" s="403" customFormat="1" ht="36.75" customHeight="1">
      <c r="B171" s="742">
        <f t="shared" si="29"/>
        <v>91</v>
      </c>
      <c r="C171" s="742"/>
      <c r="D171" s="743" t="str">
        <f t="shared" ca="1" si="24"/>
        <v/>
      </c>
      <c r="E171" s="743"/>
      <c r="F171" s="743"/>
      <c r="G171" s="743"/>
      <c r="H171" s="743"/>
      <c r="I171" s="743"/>
      <c r="J171" s="743"/>
      <c r="K171" s="743"/>
      <c r="L171" s="743"/>
      <c r="M171" s="743"/>
      <c r="N171" s="743"/>
      <c r="O171" s="743"/>
      <c r="P171" s="743"/>
      <c r="Q171" s="743"/>
      <c r="R171" s="743"/>
      <c r="S171" s="743"/>
      <c r="T171" s="743"/>
      <c r="U171" s="743"/>
      <c r="V171" s="743"/>
      <c r="W171" s="743"/>
      <c r="X171" s="743"/>
      <c r="Y171" s="743"/>
      <c r="Z171" s="743"/>
      <c r="AA171" s="743"/>
      <c r="AB171" s="743"/>
      <c r="AC171" s="781" t="str">
        <f t="shared" ca="1" si="25"/>
        <v/>
      </c>
      <c r="AD171" s="781"/>
      <c r="AE171" s="781"/>
      <c r="AF171" s="781"/>
      <c r="AG171" s="781"/>
      <c r="AH171" s="781"/>
      <c r="AI171" s="781"/>
      <c r="AJ171" s="742" t="str">
        <f t="shared" ca="1" si="26"/>
        <v/>
      </c>
      <c r="AK171" s="742"/>
      <c r="AL171" s="781" t="str">
        <f t="shared" ca="1" si="27"/>
        <v/>
      </c>
      <c r="AM171" s="781"/>
      <c r="AN171" s="781"/>
      <c r="AO171" s="781"/>
      <c r="AP171" s="781"/>
      <c r="AQ171" s="781"/>
      <c r="AR171" s="781"/>
      <c r="AS171" s="741" t="str">
        <f t="shared" ca="1" si="28"/>
        <v/>
      </c>
      <c r="AT171" s="741"/>
      <c r="AU171" s="741"/>
      <c r="AV171" s="741"/>
      <c r="AW171" s="741"/>
      <c r="AX171" s="741"/>
      <c r="AY171" s="741"/>
    </row>
    <row r="172" spans="1:52" s="403" customFormat="1" ht="36.75" customHeight="1">
      <c r="B172" s="742">
        <f t="shared" si="29"/>
        <v>92</v>
      </c>
      <c r="C172" s="742"/>
      <c r="D172" s="743" t="str">
        <f t="shared" ca="1" si="24"/>
        <v/>
      </c>
      <c r="E172" s="743"/>
      <c r="F172" s="743"/>
      <c r="G172" s="743"/>
      <c r="H172" s="743"/>
      <c r="I172" s="743"/>
      <c r="J172" s="743"/>
      <c r="K172" s="743"/>
      <c r="L172" s="743"/>
      <c r="M172" s="743"/>
      <c r="N172" s="743"/>
      <c r="O172" s="743"/>
      <c r="P172" s="743"/>
      <c r="Q172" s="743"/>
      <c r="R172" s="743"/>
      <c r="S172" s="743"/>
      <c r="T172" s="743"/>
      <c r="U172" s="743"/>
      <c r="V172" s="743"/>
      <c r="W172" s="743"/>
      <c r="X172" s="743"/>
      <c r="Y172" s="743"/>
      <c r="Z172" s="743"/>
      <c r="AA172" s="743"/>
      <c r="AB172" s="743"/>
      <c r="AC172" s="781" t="str">
        <f t="shared" ca="1" si="25"/>
        <v/>
      </c>
      <c r="AD172" s="781"/>
      <c r="AE172" s="781"/>
      <c r="AF172" s="781"/>
      <c r="AG172" s="781"/>
      <c r="AH172" s="781"/>
      <c r="AI172" s="781"/>
      <c r="AJ172" s="742" t="str">
        <f t="shared" ca="1" si="26"/>
        <v/>
      </c>
      <c r="AK172" s="742"/>
      <c r="AL172" s="781" t="str">
        <f t="shared" ca="1" si="27"/>
        <v/>
      </c>
      <c r="AM172" s="781"/>
      <c r="AN172" s="781"/>
      <c r="AO172" s="781"/>
      <c r="AP172" s="781"/>
      <c r="AQ172" s="781"/>
      <c r="AR172" s="781"/>
      <c r="AS172" s="741" t="str">
        <f t="shared" ca="1" si="28"/>
        <v/>
      </c>
      <c r="AT172" s="741"/>
      <c r="AU172" s="741"/>
      <c r="AV172" s="741"/>
      <c r="AW172" s="741"/>
      <c r="AX172" s="741"/>
      <c r="AY172" s="741"/>
    </row>
    <row r="173" spans="1:52" s="403" customFormat="1" ht="36.75" customHeight="1">
      <c r="B173" s="742">
        <f t="shared" si="29"/>
        <v>93</v>
      </c>
      <c r="C173" s="742"/>
      <c r="D173" s="743" t="str">
        <f t="shared" ca="1" si="24"/>
        <v/>
      </c>
      <c r="E173" s="743"/>
      <c r="F173" s="743"/>
      <c r="G173" s="743"/>
      <c r="H173" s="743"/>
      <c r="I173" s="743"/>
      <c r="J173" s="743"/>
      <c r="K173" s="743"/>
      <c r="L173" s="743"/>
      <c r="M173" s="743"/>
      <c r="N173" s="743"/>
      <c r="O173" s="743"/>
      <c r="P173" s="743"/>
      <c r="Q173" s="743"/>
      <c r="R173" s="743"/>
      <c r="S173" s="743"/>
      <c r="T173" s="743"/>
      <c r="U173" s="743"/>
      <c r="V173" s="743"/>
      <c r="W173" s="743"/>
      <c r="X173" s="743"/>
      <c r="Y173" s="743"/>
      <c r="Z173" s="743"/>
      <c r="AA173" s="743"/>
      <c r="AB173" s="743"/>
      <c r="AC173" s="781" t="str">
        <f t="shared" ca="1" si="25"/>
        <v/>
      </c>
      <c r="AD173" s="781"/>
      <c r="AE173" s="781"/>
      <c r="AF173" s="781"/>
      <c r="AG173" s="781"/>
      <c r="AH173" s="781"/>
      <c r="AI173" s="781"/>
      <c r="AJ173" s="742" t="str">
        <f t="shared" ca="1" si="26"/>
        <v/>
      </c>
      <c r="AK173" s="742"/>
      <c r="AL173" s="781" t="str">
        <f t="shared" ca="1" si="27"/>
        <v/>
      </c>
      <c r="AM173" s="781"/>
      <c r="AN173" s="781"/>
      <c r="AO173" s="781"/>
      <c r="AP173" s="781"/>
      <c r="AQ173" s="781"/>
      <c r="AR173" s="781"/>
      <c r="AS173" s="741" t="str">
        <f t="shared" ca="1" si="28"/>
        <v/>
      </c>
      <c r="AT173" s="741"/>
      <c r="AU173" s="741"/>
      <c r="AV173" s="741"/>
      <c r="AW173" s="741"/>
      <c r="AX173" s="741"/>
      <c r="AY173" s="741"/>
    </row>
    <row r="174" spans="1:52" s="403" customFormat="1" ht="36.75" customHeight="1">
      <c r="B174" s="742">
        <f t="shared" si="29"/>
        <v>94</v>
      </c>
      <c r="C174" s="742"/>
      <c r="D174" s="743" t="str">
        <f t="shared" ca="1" si="24"/>
        <v/>
      </c>
      <c r="E174" s="743"/>
      <c r="F174" s="743"/>
      <c r="G174" s="743"/>
      <c r="H174" s="743"/>
      <c r="I174" s="743"/>
      <c r="J174" s="743"/>
      <c r="K174" s="743"/>
      <c r="L174" s="743"/>
      <c r="M174" s="743"/>
      <c r="N174" s="743"/>
      <c r="O174" s="743"/>
      <c r="P174" s="743"/>
      <c r="Q174" s="743"/>
      <c r="R174" s="743"/>
      <c r="S174" s="743"/>
      <c r="T174" s="743"/>
      <c r="U174" s="743"/>
      <c r="V174" s="743"/>
      <c r="W174" s="743"/>
      <c r="X174" s="743"/>
      <c r="Y174" s="743"/>
      <c r="Z174" s="743"/>
      <c r="AA174" s="743"/>
      <c r="AB174" s="743"/>
      <c r="AC174" s="781" t="str">
        <f t="shared" ca="1" si="25"/>
        <v/>
      </c>
      <c r="AD174" s="781"/>
      <c r="AE174" s="781"/>
      <c r="AF174" s="781"/>
      <c r="AG174" s="781"/>
      <c r="AH174" s="781"/>
      <c r="AI174" s="781"/>
      <c r="AJ174" s="742" t="str">
        <f t="shared" ca="1" si="26"/>
        <v/>
      </c>
      <c r="AK174" s="742"/>
      <c r="AL174" s="781" t="str">
        <f t="shared" ca="1" si="27"/>
        <v/>
      </c>
      <c r="AM174" s="781"/>
      <c r="AN174" s="781"/>
      <c r="AO174" s="781"/>
      <c r="AP174" s="781"/>
      <c r="AQ174" s="781"/>
      <c r="AR174" s="781"/>
      <c r="AS174" s="741" t="str">
        <f t="shared" ca="1" si="28"/>
        <v/>
      </c>
      <c r="AT174" s="741"/>
      <c r="AU174" s="741"/>
      <c r="AV174" s="741"/>
      <c r="AW174" s="741"/>
      <c r="AX174" s="741"/>
      <c r="AY174" s="741"/>
    </row>
    <row r="175" spans="1:52" s="403" customFormat="1" ht="36.75" customHeight="1">
      <c r="B175" s="742">
        <f t="shared" si="29"/>
        <v>95</v>
      </c>
      <c r="C175" s="742"/>
      <c r="D175" s="743" t="str">
        <f t="shared" ca="1" si="24"/>
        <v/>
      </c>
      <c r="E175" s="743"/>
      <c r="F175" s="743"/>
      <c r="G175" s="743"/>
      <c r="H175" s="743"/>
      <c r="I175" s="743"/>
      <c r="J175" s="743"/>
      <c r="K175" s="743"/>
      <c r="L175" s="743"/>
      <c r="M175" s="743"/>
      <c r="N175" s="743"/>
      <c r="O175" s="743"/>
      <c r="P175" s="743"/>
      <c r="Q175" s="743"/>
      <c r="R175" s="743"/>
      <c r="S175" s="743"/>
      <c r="T175" s="743"/>
      <c r="U175" s="743"/>
      <c r="V175" s="743"/>
      <c r="W175" s="743"/>
      <c r="X175" s="743"/>
      <c r="Y175" s="743"/>
      <c r="Z175" s="743"/>
      <c r="AA175" s="743"/>
      <c r="AB175" s="743"/>
      <c r="AC175" s="781" t="str">
        <f t="shared" ca="1" si="25"/>
        <v/>
      </c>
      <c r="AD175" s="781"/>
      <c r="AE175" s="781"/>
      <c r="AF175" s="781"/>
      <c r="AG175" s="781"/>
      <c r="AH175" s="781"/>
      <c r="AI175" s="781"/>
      <c r="AJ175" s="742" t="str">
        <f t="shared" ca="1" si="26"/>
        <v/>
      </c>
      <c r="AK175" s="742"/>
      <c r="AL175" s="781" t="str">
        <f t="shared" ca="1" si="27"/>
        <v/>
      </c>
      <c r="AM175" s="781"/>
      <c r="AN175" s="781"/>
      <c r="AO175" s="781"/>
      <c r="AP175" s="781"/>
      <c r="AQ175" s="781"/>
      <c r="AR175" s="781"/>
      <c r="AS175" s="741" t="str">
        <f t="shared" ca="1" si="28"/>
        <v/>
      </c>
      <c r="AT175" s="741"/>
      <c r="AU175" s="741"/>
      <c r="AV175" s="741"/>
      <c r="AW175" s="741"/>
      <c r="AX175" s="741"/>
      <c r="AY175" s="741"/>
    </row>
    <row r="176" spans="1:52" s="403" customFormat="1" ht="36.75" customHeight="1">
      <c r="B176" s="742">
        <f t="shared" si="29"/>
        <v>96</v>
      </c>
      <c r="C176" s="742"/>
      <c r="D176" s="743" t="str">
        <f t="shared" ca="1" si="24"/>
        <v/>
      </c>
      <c r="E176" s="743"/>
      <c r="F176" s="743"/>
      <c r="G176" s="743"/>
      <c r="H176" s="743"/>
      <c r="I176" s="743"/>
      <c r="J176" s="743"/>
      <c r="K176" s="743"/>
      <c r="L176" s="743"/>
      <c r="M176" s="743"/>
      <c r="N176" s="743"/>
      <c r="O176" s="743"/>
      <c r="P176" s="743"/>
      <c r="Q176" s="743"/>
      <c r="R176" s="743"/>
      <c r="S176" s="743"/>
      <c r="T176" s="743"/>
      <c r="U176" s="743"/>
      <c r="V176" s="743"/>
      <c r="W176" s="743"/>
      <c r="X176" s="743"/>
      <c r="Y176" s="743"/>
      <c r="Z176" s="743"/>
      <c r="AA176" s="743"/>
      <c r="AB176" s="743"/>
      <c r="AC176" s="781" t="str">
        <f t="shared" ca="1" si="25"/>
        <v/>
      </c>
      <c r="AD176" s="781"/>
      <c r="AE176" s="781"/>
      <c r="AF176" s="781"/>
      <c r="AG176" s="781"/>
      <c r="AH176" s="781"/>
      <c r="AI176" s="781"/>
      <c r="AJ176" s="742" t="str">
        <f t="shared" ca="1" si="26"/>
        <v/>
      </c>
      <c r="AK176" s="742"/>
      <c r="AL176" s="781" t="str">
        <f t="shared" ca="1" si="27"/>
        <v/>
      </c>
      <c r="AM176" s="781"/>
      <c r="AN176" s="781"/>
      <c r="AO176" s="781"/>
      <c r="AP176" s="781"/>
      <c r="AQ176" s="781"/>
      <c r="AR176" s="781"/>
      <c r="AS176" s="741" t="str">
        <f t="shared" ca="1" si="28"/>
        <v/>
      </c>
      <c r="AT176" s="741"/>
      <c r="AU176" s="741"/>
      <c r="AV176" s="741"/>
      <c r="AW176" s="741"/>
      <c r="AX176" s="741"/>
      <c r="AY176" s="741"/>
    </row>
    <row r="177" spans="1:52" s="403" customFormat="1" ht="36.75" customHeight="1">
      <c r="B177" s="742">
        <f t="shared" si="29"/>
        <v>97</v>
      </c>
      <c r="C177" s="742"/>
      <c r="D177" s="743" t="str">
        <f t="shared" ca="1" si="24"/>
        <v/>
      </c>
      <c r="E177" s="743"/>
      <c r="F177" s="743"/>
      <c r="G177" s="743"/>
      <c r="H177" s="743"/>
      <c r="I177" s="743"/>
      <c r="J177" s="743"/>
      <c r="K177" s="743"/>
      <c r="L177" s="743"/>
      <c r="M177" s="743"/>
      <c r="N177" s="743"/>
      <c r="O177" s="743"/>
      <c r="P177" s="743"/>
      <c r="Q177" s="743"/>
      <c r="R177" s="743"/>
      <c r="S177" s="743"/>
      <c r="T177" s="743"/>
      <c r="U177" s="743"/>
      <c r="V177" s="743"/>
      <c r="W177" s="743"/>
      <c r="X177" s="743"/>
      <c r="Y177" s="743"/>
      <c r="Z177" s="743"/>
      <c r="AA177" s="743"/>
      <c r="AB177" s="743"/>
      <c r="AC177" s="781" t="str">
        <f t="shared" ca="1" si="25"/>
        <v/>
      </c>
      <c r="AD177" s="781"/>
      <c r="AE177" s="781"/>
      <c r="AF177" s="781"/>
      <c r="AG177" s="781"/>
      <c r="AH177" s="781"/>
      <c r="AI177" s="781"/>
      <c r="AJ177" s="742" t="str">
        <f t="shared" ca="1" si="26"/>
        <v/>
      </c>
      <c r="AK177" s="742"/>
      <c r="AL177" s="781" t="str">
        <f t="shared" ca="1" si="27"/>
        <v/>
      </c>
      <c r="AM177" s="781"/>
      <c r="AN177" s="781"/>
      <c r="AO177" s="781"/>
      <c r="AP177" s="781"/>
      <c r="AQ177" s="781"/>
      <c r="AR177" s="781"/>
      <c r="AS177" s="741" t="str">
        <f t="shared" ca="1" si="28"/>
        <v/>
      </c>
      <c r="AT177" s="741"/>
      <c r="AU177" s="741"/>
      <c r="AV177" s="741"/>
      <c r="AW177" s="741"/>
      <c r="AX177" s="741"/>
      <c r="AY177" s="741"/>
    </row>
    <row r="178" spans="1:52" s="403" customFormat="1" ht="36.75" customHeight="1">
      <c r="B178" s="742">
        <f t="shared" si="29"/>
        <v>98</v>
      </c>
      <c r="C178" s="742"/>
      <c r="D178" s="743" t="str">
        <f t="shared" ca="1" si="24"/>
        <v/>
      </c>
      <c r="E178" s="743"/>
      <c r="F178" s="743"/>
      <c r="G178" s="743"/>
      <c r="H178" s="743"/>
      <c r="I178" s="743"/>
      <c r="J178" s="743"/>
      <c r="K178" s="743"/>
      <c r="L178" s="743"/>
      <c r="M178" s="743"/>
      <c r="N178" s="743"/>
      <c r="O178" s="743"/>
      <c r="P178" s="743"/>
      <c r="Q178" s="743"/>
      <c r="R178" s="743"/>
      <c r="S178" s="743"/>
      <c r="T178" s="743"/>
      <c r="U178" s="743"/>
      <c r="V178" s="743"/>
      <c r="W178" s="743"/>
      <c r="X178" s="743"/>
      <c r="Y178" s="743"/>
      <c r="Z178" s="743"/>
      <c r="AA178" s="743"/>
      <c r="AB178" s="743"/>
      <c r="AC178" s="781" t="str">
        <f t="shared" ca="1" si="25"/>
        <v/>
      </c>
      <c r="AD178" s="781"/>
      <c r="AE178" s="781"/>
      <c r="AF178" s="781"/>
      <c r="AG178" s="781"/>
      <c r="AH178" s="781"/>
      <c r="AI178" s="781"/>
      <c r="AJ178" s="742" t="str">
        <f t="shared" ca="1" si="26"/>
        <v/>
      </c>
      <c r="AK178" s="742"/>
      <c r="AL178" s="781" t="str">
        <f t="shared" ca="1" si="27"/>
        <v/>
      </c>
      <c r="AM178" s="781"/>
      <c r="AN178" s="781"/>
      <c r="AO178" s="781"/>
      <c r="AP178" s="781"/>
      <c r="AQ178" s="781"/>
      <c r="AR178" s="781"/>
      <c r="AS178" s="741" t="str">
        <f t="shared" ca="1" si="28"/>
        <v/>
      </c>
      <c r="AT178" s="741"/>
      <c r="AU178" s="741"/>
      <c r="AV178" s="741"/>
      <c r="AW178" s="741"/>
      <c r="AX178" s="741"/>
      <c r="AY178" s="741"/>
    </row>
    <row r="179" spans="1:52" s="403" customFormat="1" ht="36.75" customHeight="1">
      <c r="A179" s="403" t="s">
        <v>1529</v>
      </c>
      <c r="B179" s="742">
        <f t="shared" si="29"/>
        <v>99</v>
      </c>
      <c r="C179" s="742"/>
      <c r="D179" s="743" t="str">
        <f t="shared" ca="1" si="24"/>
        <v/>
      </c>
      <c r="E179" s="743"/>
      <c r="F179" s="743"/>
      <c r="G179" s="743"/>
      <c r="H179" s="743"/>
      <c r="I179" s="743"/>
      <c r="J179" s="743"/>
      <c r="K179" s="743"/>
      <c r="L179" s="743"/>
      <c r="M179" s="743"/>
      <c r="N179" s="743"/>
      <c r="O179" s="743"/>
      <c r="P179" s="743"/>
      <c r="Q179" s="743"/>
      <c r="R179" s="743"/>
      <c r="S179" s="743"/>
      <c r="T179" s="743"/>
      <c r="U179" s="743"/>
      <c r="V179" s="743"/>
      <c r="W179" s="743"/>
      <c r="X179" s="743"/>
      <c r="Y179" s="743"/>
      <c r="Z179" s="743"/>
      <c r="AA179" s="743"/>
      <c r="AB179" s="743"/>
      <c r="AC179" s="781" t="str">
        <f t="shared" ca="1" si="25"/>
        <v/>
      </c>
      <c r="AD179" s="781"/>
      <c r="AE179" s="781"/>
      <c r="AF179" s="781"/>
      <c r="AG179" s="781"/>
      <c r="AH179" s="781"/>
      <c r="AI179" s="781"/>
      <c r="AJ179" s="742" t="str">
        <f t="shared" ca="1" si="26"/>
        <v/>
      </c>
      <c r="AK179" s="742"/>
      <c r="AL179" s="781" t="str">
        <f t="shared" ca="1" si="27"/>
        <v/>
      </c>
      <c r="AM179" s="781"/>
      <c r="AN179" s="781"/>
      <c r="AO179" s="781"/>
      <c r="AP179" s="781"/>
      <c r="AQ179" s="781"/>
      <c r="AR179" s="781"/>
      <c r="AS179" s="741" t="str">
        <f t="shared" ca="1" si="28"/>
        <v/>
      </c>
      <c r="AT179" s="741"/>
      <c r="AU179" s="741"/>
      <c r="AV179" s="741"/>
      <c r="AW179" s="741"/>
      <c r="AX179" s="741"/>
      <c r="AY179" s="741"/>
      <c r="AZ179" s="473" t="s">
        <v>1530</v>
      </c>
    </row>
    <row r="180" spans="1:52" s="403" customFormat="1" ht="36.75" customHeight="1">
      <c r="B180" s="742">
        <f t="shared" si="29"/>
        <v>100</v>
      </c>
      <c r="C180" s="742"/>
      <c r="D180" s="743" t="str">
        <f t="shared" ca="1" si="24"/>
        <v/>
      </c>
      <c r="E180" s="743"/>
      <c r="F180" s="743"/>
      <c r="G180" s="743"/>
      <c r="H180" s="743"/>
      <c r="I180" s="743"/>
      <c r="J180" s="743"/>
      <c r="K180" s="743"/>
      <c r="L180" s="743"/>
      <c r="M180" s="743"/>
      <c r="N180" s="743"/>
      <c r="O180" s="743"/>
      <c r="P180" s="743"/>
      <c r="Q180" s="743"/>
      <c r="R180" s="743"/>
      <c r="S180" s="743"/>
      <c r="T180" s="743"/>
      <c r="U180" s="743"/>
      <c r="V180" s="743"/>
      <c r="W180" s="743"/>
      <c r="X180" s="743"/>
      <c r="Y180" s="743"/>
      <c r="Z180" s="743"/>
      <c r="AA180" s="743"/>
      <c r="AB180" s="743"/>
      <c r="AC180" s="781" t="str">
        <f t="shared" ca="1" si="25"/>
        <v/>
      </c>
      <c r="AD180" s="781"/>
      <c r="AE180" s="781"/>
      <c r="AF180" s="781"/>
      <c r="AG180" s="781"/>
      <c r="AH180" s="781"/>
      <c r="AI180" s="781"/>
      <c r="AJ180" s="742" t="str">
        <f t="shared" ca="1" si="26"/>
        <v/>
      </c>
      <c r="AK180" s="742"/>
      <c r="AL180" s="781" t="str">
        <f t="shared" ca="1" si="27"/>
        <v/>
      </c>
      <c r="AM180" s="781"/>
      <c r="AN180" s="781"/>
      <c r="AO180" s="781"/>
      <c r="AP180" s="781"/>
      <c r="AQ180" s="781"/>
      <c r="AR180" s="781"/>
      <c r="AS180" s="741" t="str">
        <f t="shared" ca="1" si="28"/>
        <v/>
      </c>
      <c r="AT180" s="741"/>
      <c r="AU180" s="741"/>
      <c r="AV180" s="741"/>
      <c r="AW180" s="741"/>
      <c r="AX180" s="741"/>
      <c r="AY180" s="741"/>
    </row>
    <row r="181" spans="1:52" s="403" customFormat="1" ht="45" customHeight="1">
      <c r="B181" s="749" t="s">
        <v>1527</v>
      </c>
      <c r="C181" s="750"/>
      <c r="D181" s="750"/>
      <c r="E181" s="751" t="str">
        <f>IF(UNNH0030_REPORT_IF_H_EIGYO_MEI="","",UNNH0030_REPORT_IF_H_EIGYO_MEI)</f>
        <v/>
      </c>
      <c r="F181" s="751"/>
      <c r="G181" s="751"/>
      <c r="H181" s="751"/>
      <c r="I181" s="751"/>
      <c r="J181" s="751"/>
      <c r="K181" s="751"/>
      <c r="L181" s="751"/>
      <c r="M181" s="751"/>
      <c r="N181" s="751"/>
      <c r="O181" s="751"/>
      <c r="P181" s="751"/>
      <c r="Q181" s="751"/>
      <c r="R181" s="751"/>
      <c r="S181" s="751"/>
      <c r="T181" s="751"/>
      <c r="U181" s="751"/>
      <c r="V181" s="751"/>
      <c r="W181" s="751"/>
      <c r="X181" s="751"/>
      <c r="Y181" s="751"/>
      <c r="Z181" s="751"/>
      <c r="AA181" s="751"/>
      <c r="AB181" s="751"/>
      <c r="AC181" s="751"/>
      <c r="AD181" s="751"/>
      <c r="AE181" s="751"/>
      <c r="AF181" s="751"/>
      <c r="AG181" s="752"/>
      <c r="AH181" s="742" t="s">
        <v>1107</v>
      </c>
      <c r="AI181" s="742"/>
      <c r="AJ181" s="742"/>
      <c r="AK181" s="742"/>
      <c r="AL181" s="742"/>
      <c r="AM181" s="742"/>
      <c r="AN181" s="742"/>
      <c r="AO181" s="742"/>
      <c r="AP181" s="742"/>
      <c r="AQ181" s="782" t="str">
        <f>IF(ROUNDUP(ROW()/ROWS(UNNH0030_SEIKYUSHO_PAGE_AREA),0)=UNNH0030_REPORT_IF_B_PAGE_TOTAL,UNNH0030_REPORT_IF_H_TOTAL,"")</f>
        <v/>
      </c>
      <c r="AR181" s="783"/>
      <c r="AS181" s="783"/>
      <c r="AT181" s="783"/>
      <c r="AU181" s="783"/>
      <c r="AV181" s="783"/>
      <c r="AW181" s="783"/>
      <c r="AX181" s="783"/>
      <c r="AY181" s="784"/>
    </row>
    <row r="182" spans="1:52" s="403" customFormat="1" ht="33.75" customHeight="1">
      <c r="C182" s="404"/>
      <c r="D182" s="404"/>
      <c r="E182" s="404"/>
      <c r="F182" s="404"/>
      <c r="G182" s="404"/>
      <c r="H182" s="404"/>
      <c r="I182" s="404"/>
      <c r="J182" s="404"/>
      <c r="K182" s="404"/>
      <c r="L182" s="404"/>
      <c r="M182" s="404"/>
      <c r="N182" s="404"/>
      <c r="O182" s="404"/>
    </row>
    <row r="183" spans="1:52" s="403" customFormat="1" ht="38.25" customHeight="1">
      <c r="B183" s="756" t="s">
        <v>1528</v>
      </c>
      <c r="C183" s="757"/>
      <c r="D183" s="758"/>
      <c r="E183" s="738" t="str">
        <f>IF(UNNH0030_REPORT_IF_H_TEKIYO="","",UNNH0030_REPORT_IF_H_TEKIYO)</f>
        <v/>
      </c>
      <c r="F183" s="738"/>
      <c r="G183" s="738"/>
      <c r="H183" s="738"/>
      <c r="I183" s="738"/>
      <c r="J183" s="738"/>
      <c r="K183" s="738"/>
      <c r="L183" s="738"/>
      <c r="M183" s="738"/>
      <c r="N183" s="738"/>
      <c r="O183" s="738"/>
      <c r="P183" s="738"/>
      <c r="Q183" s="738"/>
      <c r="R183" s="738"/>
      <c r="S183" s="738"/>
      <c r="T183" s="738"/>
      <c r="U183" s="738"/>
      <c r="V183" s="738"/>
      <c r="W183" s="738"/>
      <c r="X183" s="738"/>
      <c r="Y183" s="738"/>
      <c r="Z183" s="738"/>
      <c r="AA183" s="738"/>
      <c r="AB183" s="738"/>
      <c r="AC183" s="738"/>
      <c r="AD183" s="738"/>
      <c r="AE183" s="738"/>
      <c r="AF183" s="738"/>
      <c r="AG183" s="738"/>
      <c r="AH183" s="738"/>
      <c r="AI183" s="738"/>
      <c r="AJ183" s="738"/>
      <c r="AK183" s="738"/>
      <c r="AL183" s="738"/>
      <c r="AM183" s="738"/>
      <c r="AN183" s="738"/>
      <c r="AO183" s="738"/>
      <c r="AP183" s="738"/>
      <c r="AQ183" s="738"/>
      <c r="AR183" s="738"/>
      <c r="AS183" s="738"/>
      <c r="AU183" s="739" t="str">
        <f>IF(UNNH0030_REPORT_IF_H_SEIKYUHOHO_KBN=0,"","締日 "&amp;UNNH0030_REPORT_IF_H_SHIMEBI)</f>
        <v/>
      </c>
      <c r="AV183" s="739"/>
      <c r="AW183" s="739"/>
      <c r="AX183" s="739"/>
      <c r="AY183" s="740" t="str">
        <f>UNNH0030_REPORT_IF_H_SHIMEBI_MARK</f>
        <v>*</v>
      </c>
    </row>
    <row r="184" spans="1:52" s="403" customFormat="1" ht="38.25" customHeight="1">
      <c r="B184" s="759"/>
      <c r="C184" s="760"/>
      <c r="D184" s="761"/>
      <c r="E184" s="738"/>
      <c r="F184" s="738"/>
      <c r="G184" s="738"/>
      <c r="H184" s="738"/>
      <c r="I184" s="738"/>
      <c r="J184" s="738"/>
      <c r="K184" s="738"/>
      <c r="L184" s="738"/>
      <c r="M184" s="738"/>
      <c r="N184" s="738"/>
      <c r="O184" s="738"/>
      <c r="P184" s="738"/>
      <c r="Q184" s="738"/>
      <c r="R184" s="738"/>
      <c r="S184" s="738"/>
      <c r="T184" s="738"/>
      <c r="U184" s="738"/>
      <c r="V184" s="738"/>
      <c r="W184" s="738"/>
      <c r="X184" s="738"/>
      <c r="Y184" s="738"/>
      <c r="Z184" s="738"/>
      <c r="AA184" s="738"/>
      <c r="AB184" s="738"/>
      <c r="AC184" s="738"/>
      <c r="AD184" s="738"/>
      <c r="AE184" s="738"/>
      <c r="AF184" s="738"/>
      <c r="AG184" s="738"/>
      <c r="AH184" s="738"/>
      <c r="AI184" s="738"/>
      <c r="AJ184" s="738"/>
      <c r="AK184" s="738"/>
      <c r="AL184" s="738"/>
      <c r="AM184" s="738"/>
      <c r="AN184" s="738"/>
      <c r="AO184" s="738"/>
      <c r="AP184" s="738"/>
      <c r="AQ184" s="738"/>
      <c r="AR184" s="738"/>
      <c r="AS184" s="738"/>
      <c r="AU184" s="739"/>
      <c r="AV184" s="739"/>
      <c r="AW184" s="739"/>
      <c r="AX184" s="739"/>
      <c r="AY184" s="740"/>
    </row>
    <row r="185" spans="1:52" s="403" customFormat="1" ht="30" customHeight="1">
      <c r="B185" s="777" t="str">
        <f>IF(UNNH0030_REPORT_IF_JURI_NO="","",UNNH0030_REPORT_IF_JURI_NO)</f>
        <v/>
      </c>
      <c r="C185" s="777"/>
      <c r="D185" s="777"/>
      <c r="E185" s="777"/>
      <c r="F185" s="777"/>
      <c r="G185" s="777"/>
      <c r="H185" s="777"/>
      <c r="I185" s="777"/>
      <c r="J185" s="777"/>
      <c r="K185" s="777"/>
      <c r="L185" s="777"/>
      <c r="M185" s="777"/>
      <c r="N185" s="777"/>
      <c r="O185" s="777"/>
      <c r="P185" s="777"/>
      <c r="Q185" s="777"/>
      <c r="R185" s="777"/>
      <c r="S185" s="777"/>
      <c r="T185" s="777"/>
      <c r="U185" s="777"/>
      <c r="V185" s="777"/>
      <c r="W185" s="777"/>
      <c r="X185" s="777"/>
      <c r="Y185" s="777"/>
      <c r="Z185" s="777"/>
      <c r="AA185" s="777"/>
      <c r="AB185" s="777"/>
      <c r="AC185" s="777"/>
      <c r="AD185" s="777"/>
      <c r="AE185" s="777"/>
      <c r="AF185" s="777"/>
      <c r="AG185" s="777"/>
      <c r="AH185" s="777"/>
      <c r="AI185" s="777"/>
      <c r="AJ185" s="777"/>
      <c r="AK185" s="777"/>
      <c r="AL185" s="777"/>
      <c r="AM185" s="777"/>
      <c r="AN185" s="777"/>
      <c r="AO185" s="777"/>
      <c r="AP185" s="777"/>
      <c r="AQ185" s="777"/>
      <c r="AR185" s="777"/>
      <c r="AS185" s="777"/>
      <c r="AT185" s="777"/>
      <c r="AU185" s="777"/>
      <c r="AV185" s="777"/>
      <c r="AW185" s="777"/>
      <c r="AX185" s="777"/>
      <c r="AY185" s="777"/>
    </row>
  </sheetData>
  <mergeCells count="725">
    <mergeCell ref="B185:AY185"/>
    <mergeCell ref="B181:D181"/>
    <mergeCell ref="E181:AG181"/>
    <mergeCell ref="AH181:AP181"/>
    <mergeCell ref="AQ181:AY181"/>
    <mergeCell ref="B183:D184"/>
    <mergeCell ref="E183:AS184"/>
    <mergeCell ref="AU183:AX184"/>
    <mergeCell ref="AY183:AY184"/>
    <mergeCell ref="B179:C179"/>
    <mergeCell ref="D179:AB179"/>
    <mergeCell ref="AC179:AI179"/>
    <mergeCell ref="AJ179:AK179"/>
    <mergeCell ref="AL179:AR179"/>
    <mergeCell ref="AS179:AY179"/>
    <mergeCell ref="B180:C180"/>
    <mergeCell ref="D180:AB180"/>
    <mergeCell ref="AC180:AI180"/>
    <mergeCell ref="AJ180:AK180"/>
    <mergeCell ref="AL180:AR180"/>
    <mergeCell ref="AS180:AY180"/>
    <mergeCell ref="B177:C177"/>
    <mergeCell ref="D177:AB177"/>
    <mergeCell ref="AC177:AI177"/>
    <mergeCell ref="AJ177:AK177"/>
    <mergeCell ref="AL177:AR177"/>
    <mergeCell ref="AS177:AY177"/>
    <mergeCell ref="B178:C178"/>
    <mergeCell ref="D178:AB178"/>
    <mergeCell ref="AC178:AI178"/>
    <mergeCell ref="AJ178:AK178"/>
    <mergeCell ref="AL178:AR178"/>
    <mergeCell ref="AS178:AY178"/>
    <mergeCell ref="B175:C175"/>
    <mergeCell ref="D175:AB175"/>
    <mergeCell ref="AC175:AI175"/>
    <mergeCell ref="AJ175:AK175"/>
    <mergeCell ref="AL175:AR175"/>
    <mergeCell ref="AS175:AY175"/>
    <mergeCell ref="B176:C176"/>
    <mergeCell ref="D176:AB176"/>
    <mergeCell ref="AC176:AI176"/>
    <mergeCell ref="AJ176:AK176"/>
    <mergeCell ref="AL176:AR176"/>
    <mergeCell ref="AS176:AY176"/>
    <mergeCell ref="B173:C173"/>
    <mergeCell ref="D173:AB173"/>
    <mergeCell ref="AC173:AI173"/>
    <mergeCell ref="AJ173:AK173"/>
    <mergeCell ref="AL173:AR173"/>
    <mergeCell ref="AS173:AY173"/>
    <mergeCell ref="B174:C174"/>
    <mergeCell ref="D174:AB174"/>
    <mergeCell ref="AC174:AI174"/>
    <mergeCell ref="AJ174:AK174"/>
    <mergeCell ref="AL174:AR174"/>
    <mergeCell ref="AS174:AY174"/>
    <mergeCell ref="B171:C171"/>
    <mergeCell ref="D171:AB171"/>
    <mergeCell ref="AC171:AI171"/>
    <mergeCell ref="AJ171:AK171"/>
    <mergeCell ref="AL171:AR171"/>
    <mergeCell ref="AS171:AY171"/>
    <mergeCell ref="B172:C172"/>
    <mergeCell ref="D172:AB172"/>
    <mergeCell ref="AC172:AI172"/>
    <mergeCell ref="AJ172:AK172"/>
    <mergeCell ref="AL172:AR172"/>
    <mergeCell ref="AS172:AY172"/>
    <mergeCell ref="B169:C169"/>
    <mergeCell ref="D169:AB169"/>
    <mergeCell ref="AC169:AI169"/>
    <mergeCell ref="AJ169:AK169"/>
    <mergeCell ref="AL169:AR169"/>
    <mergeCell ref="AS169:AY169"/>
    <mergeCell ref="B170:C170"/>
    <mergeCell ref="D170:AB170"/>
    <mergeCell ref="AC170:AI170"/>
    <mergeCell ref="AJ170:AK170"/>
    <mergeCell ref="AL170:AR170"/>
    <mergeCell ref="AS170:AY170"/>
    <mergeCell ref="B167:C167"/>
    <mergeCell ref="D167:AB167"/>
    <mergeCell ref="AC167:AI167"/>
    <mergeCell ref="AJ167:AK167"/>
    <mergeCell ref="AL167:AR167"/>
    <mergeCell ref="AS167:AY167"/>
    <mergeCell ref="B168:C168"/>
    <mergeCell ref="D168:AB168"/>
    <mergeCell ref="AC168:AI168"/>
    <mergeCell ref="AJ168:AK168"/>
    <mergeCell ref="AL168:AR168"/>
    <mergeCell ref="AS168:AY168"/>
    <mergeCell ref="B165:C165"/>
    <mergeCell ref="D165:AB165"/>
    <mergeCell ref="AC165:AI165"/>
    <mergeCell ref="AJ165:AK165"/>
    <mergeCell ref="AL165:AR165"/>
    <mergeCell ref="AS165:AY165"/>
    <mergeCell ref="B166:C166"/>
    <mergeCell ref="D166:AB166"/>
    <mergeCell ref="AC166:AI166"/>
    <mergeCell ref="AJ166:AK166"/>
    <mergeCell ref="AL166:AR166"/>
    <mergeCell ref="AS166:AY166"/>
    <mergeCell ref="B164:C164"/>
    <mergeCell ref="D164:AB164"/>
    <mergeCell ref="AC164:AI164"/>
    <mergeCell ref="AJ164:AK164"/>
    <mergeCell ref="AL164:AR164"/>
    <mergeCell ref="AS164:AY164"/>
    <mergeCell ref="F156:X156"/>
    <mergeCell ref="AS163:AY163"/>
    <mergeCell ref="AL163:AR163"/>
    <mergeCell ref="AL162:AR162"/>
    <mergeCell ref="D163:AB163"/>
    <mergeCell ref="AC163:AI163"/>
    <mergeCell ref="AJ163:AK163"/>
    <mergeCell ref="B163:C163"/>
    <mergeCell ref="AS162:AY162"/>
    <mergeCell ref="B162:C162"/>
    <mergeCell ref="AJ162:AK162"/>
    <mergeCell ref="D162:AB162"/>
    <mergeCell ref="AC162:AI162"/>
    <mergeCell ref="AL160:AR160"/>
    <mergeCell ref="AS160:AY160"/>
    <mergeCell ref="B161:C161"/>
    <mergeCell ref="D161:AB161"/>
    <mergeCell ref="AC161:AI161"/>
    <mergeCell ref="AC136:AI136"/>
    <mergeCell ref="AJ136:AK136"/>
    <mergeCell ref="AL136:AR136"/>
    <mergeCell ref="AS136:AY136"/>
    <mergeCell ref="B137:C137"/>
    <mergeCell ref="D137:AB137"/>
    <mergeCell ref="AC137:AI137"/>
    <mergeCell ref="AJ137:AK137"/>
    <mergeCell ref="AL137:AR137"/>
    <mergeCell ref="AS137:AY137"/>
    <mergeCell ref="AC134:AI134"/>
    <mergeCell ref="AJ134:AK134"/>
    <mergeCell ref="AL134:AR134"/>
    <mergeCell ref="AS134:AY134"/>
    <mergeCell ref="B135:C135"/>
    <mergeCell ref="D135:AB135"/>
    <mergeCell ref="AC135:AI135"/>
    <mergeCell ref="AJ135:AK135"/>
    <mergeCell ref="AL135:AR135"/>
    <mergeCell ref="AS135:AY135"/>
    <mergeCell ref="B131:C131"/>
    <mergeCell ref="D131:AB131"/>
    <mergeCell ref="AC131:AI131"/>
    <mergeCell ref="AJ131:AK131"/>
    <mergeCell ref="AL131:AR131"/>
    <mergeCell ref="AS131:AY131"/>
    <mergeCell ref="B132:C132"/>
    <mergeCell ref="D132:AB132"/>
    <mergeCell ref="AC132:AI132"/>
    <mergeCell ref="AJ132:AK132"/>
    <mergeCell ref="AL132:AR132"/>
    <mergeCell ref="AS132:AY132"/>
    <mergeCell ref="B129:C129"/>
    <mergeCell ref="D129:AB129"/>
    <mergeCell ref="AC129:AI129"/>
    <mergeCell ref="AJ129:AK129"/>
    <mergeCell ref="AL129:AR129"/>
    <mergeCell ref="AS129:AY129"/>
    <mergeCell ref="B130:C130"/>
    <mergeCell ref="D130:AB130"/>
    <mergeCell ref="AC130:AI130"/>
    <mergeCell ref="AJ130:AK130"/>
    <mergeCell ref="AL130:AR130"/>
    <mergeCell ref="AS130:AY130"/>
    <mergeCell ref="B127:C127"/>
    <mergeCell ref="D127:AB127"/>
    <mergeCell ref="AC127:AI127"/>
    <mergeCell ref="AJ127:AK127"/>
    <mergeCell ref="AL127:AR127"/>
    <mergeCell ref="AS127:AY127"/>
    <mergeCell ref="B128:C128"/>
    <mergeCell ref="D128:AB128"/>
    <mergeCell ref="AC128:AI128"/>
    <mergeCell ref="AJ128:AK128"/>
    <mergeCell ref="AL128:AR128"/>
    <mergeCell ref="AS128:AY128"/>
    <mergeCell ref="B125:C125"/>
    <mergeCell ref="D125:AB125"/>
    <mergeCell ref="AC125:AI125"/>
    <mergeCell ref="AJ125:AK125"/>
    <mergeCell ref="AL125:AR125"/>
    <mergeCell ref="AS125:AY125"/>
    <mergeCell ref="B126:C126"/>
    <mergeCell ref="D126:AB126"/>
    <mergeCell ref="AC126:AI126"/>
    <mergeCell ref="AJ126:AK126"/>
    <mergeCell ref="AL126:AR126"/>
    <mergeCell ref="AS126:AY126"/>
    <mergeCell ref="F117:X117"/>
    <mergeCell ref="F118:X118"/>
    <mergeCell ref="B123:C123"/>
    <mergeCell ref="D123:AB123"/>
    <mergeCell ref="AC123:AI123"/>
    <mergeCell ref="AJ123:AK123"/>
    <mergeCell ref="AL123:AR123"/>
    <mergeCell ref="AS123:AY123"/>
    <mergeCell ref="B124:C124"/>
    <mergeCell ref="D124:AB124"/>
    <mergeCell ref="AC124:AI124"/>
    <mergeCell ref="AJ124:AK124"/>
    <mergeCell ref="AL124:AR124"/>
    <mergeCell ref="AS124:AY124"/>
    <mergeCell ref="F119:X119"/>
    <mergeCell ref="B109:D110"/>
    <mergeCell ref="B111:AY111"/>
    <mergeCell ref="AA112:AL113"/>
    <mergeCell ref="AP112:AY113"/>
    <mergeCell ref="F113:G113"/>
    <mergeCell ref="H113:X113"/>
    <mergeCell ref="F114:X114"/>
    <mergeCell ref="AP114:AY114"/>
    <mergeCell ref="F115:X115"/>
    <mergeCell ref="AQ107:AY107"/>
    <mergeCell ref="B96:C96"/>
    <mergeCell ref="B101:C101"/>
    <mergeCell ref="B102:C102"/>
    <mergeCell ref="B104:C104"/>
    <mergeCell ref="B106:C106"/>
    <mergeCell ref="B97:C97"/>
    <mergeCell ref="B98:C98"/>
    <mergeCell ref="AL98:AR98"/>
    <mergeCell ref="AS98:AY98"/>
    <mergeCell ref="B99:C99"/>
    <mergeCell ref="D99:AB99"/>
    <mergeCell ref="AC99:AI99"/>
    <mergeCell ref="AJ99:AK99"/>
    <mergeCell ref="AL99:AR99"/>
    <mergeCell ref="AS99:AY99"/>
    <mergeCell ref="B100:C100"/>
    <mergeCell ref="D100:AB100"/>
    <mergeCell ref="AC100:AI100"/>
    <mergeCell ref="AJ100:AK100"/>
    <mergeCell ref="AL100:AR100"/>
    <mergeCell ref="AS100:AY100"/>
    <mergeCell ref="AJ102:AK102"/>
    <mergeCell ref="AL102:AR102"/>
    <mergeCell ref="B94:C94"/>
    <mergeCell ref="D94:AB94"/>
    <mergeCell ref="AC94:AI94"/>
    <mergeCell ref="AJ94:AK94"/>
    <mergeCell ref="AL94:AR94"/>
    <mergeCell ref="AS94:AY94"/>
    <mergeCell ref="B95:C95"/>
    <mergeCell ref="D95:AB95"/>
    <mergeCell ref="AC95:AI95"/>
    <mergeCell ref="AJ95:AK95"/>
    <mergeCell ref="AL95:AR95"/>
    <mergeCell ref="AS95:AY95"/>
    <mergeCell ref="B90:C90"/>
    <mergeCell ref="D90:AB90"/>
    <mergeCell ref="AC90:AI90"/>
    <mergeCell ref="AJ90:AK90"/>
    <mergeCell ref="AL90:AR90"/>
    <mergeCell ref="AS90:AY90"/>
    <mergeCell ref="B91:C91"/>
    <mergeCell ref="D91:AB91"/>
    <mergeCell ref="AC91:AI91"/>
    <mergeCell ref="AJ91:AK91"/>
    <mergeCell ref="AL91:AR91"/>
    <mergeCell ref="AS91:AY91"/>
    <mergeCell ref="B88:C88"/>
    <mergeCell ref="D88:AB88"/>
    <mergeCell ref="AC88:AI88"/>
    <mergeCell ref="AJ88:AK88"/>
    <mergeCell ref="AL88:AR88"/>
    <mergeCell ref="AS88:AY88"/>
    <mergeCell ref="B89:C89"/>
    <mergeCell ref="D89:AB89"/>
    <mergeCell ref="AC89:AI89"/>
    <mergeCell ref="AJ89:AK89"/>
    <mergeCell ref="AL89:AR89"/>
    <mergeCell ref="AS89:AY89"/>
    <mergeCell ref="B72:D73"/>
    <mergeCell ref="B74:AY74"/>
    <mergeCell ref="B86:C86"/>
    <mergeCell ref="D86:AB86"/>
    <mergeCell ref="AC86:AI86"/>
    <mergeCell ref="AJ86:AK86"/>
    <mergeCell ref="AL86:AR86"/>
    <mergeCell ref="AS86:AY86"/>
    <mergeCell ref="B87:C87"/>
    <mergeCell ref="D87:AB87"/>
    <mergeCell ref="AC87:AI87"/>
    <mergeCell ref="AJ87:AK87"/>
    <mergeCell ref="AL87:AR87"/>
    <mergeCell ref="AS87:AY87"/>
    <mergeCell ref="D56:AB56"/>
    <mergeCell ref="AJ57:AK57"/>
    <mergeCell ref="AL57:AR57"/>
    <mergeCell ref="AS64:AY64"/>
    <mergeCell ref="B63:C63"/>
    <mergeCell ref="B62:C62"/>
    <mergeCell ref="D62:AB62"/>
    <mergeCell ref="AC62:AI62"/>
    <mergeCell ref="AJ62:AK62"/>
    <mergeCell ref="AL62:AR62"/>
    <mergeCell ref="AS51:AY51"/>
    <mergeCell ref="B52:C52"/>
    <mergeCell ref="D52:AB52"/>
    <mergeCell ref="AC52:AI52"/>
    <mergeCell ref="AJ52:AK52"/>
    <mergeCell ref="AL52:AR52"/>
    <mergeCell ref="AS52:AY52"/>
    <mergeCell ref="B53:C53"/>
    <mergeCell ref="D53:AB53"/>
    <mergeCell ref="AC53:AI53"/>
    <mergeCell ref="AJ53:AK53"/>
    <mergeCell ref="AL53:AR53"/>
    <mergeCell ref="AS53:AY53"/>
    <mergeCell ref="AQ33:AY33"/>
    <mergeCell ref="B35:D36"/>
    <mergeCell ref="F8:X8"/>
    <mergeCell ref="B22:C22"/>
    <mergeCell ref="D19:AB19"/>
    <mergeCell ref="AC19:AI19"/>
    <mergeCell ref="AJ19:AK19"/>
    <mergeCell ref="AL19:AR19"/>
    <mergeCell ref="AS19:AY19"/>
    <mergeCell ref="D20:AB20"/>
    <mergeCell ref="AC20:AI20"/>
    <mergeCell ref="AJ20:AK20"/>
    <mergeCell ref="AL20:AR20"/>
    <mergeCell ref="AS20:AY20"/>
    <mergeCell ref="D17:AB17"/>
    <mergeCell ref="AC17:AI17"/>
    <mergeCell ref="AJ17:AK17"/>
    <mergeCell ref="AL17:AR17"/>
    <mergeCell ref="AS17:AY17"/>
    <mergeCell ref="D18:AB18"/>
    <mergeCell ref="AC18:AI18"/>
    <mergeCell ref="AJ18:AK18"/>
    <mergeCell ref="AL18:AR18"/>
    <mergeCell ref="AS18:AY18"/>
    <mergeCell ref="D98:AB98"/>
    <mergeCell ref="AC98:AI98"/>
    <mergeCell ref="AJ98:AK98"/>
    <mergeCell ref="B107:D107"/>
    <mergeCell ref="E107:AG107"/>
    <mergeCell ref="AH107:AP107"/>
    <mergeCell ref="F6:X6"/>
    <mergeCell ref="F7:X7"/>
    <mergeCell ref="B33:D33"/>
    <mergeCell ref="E33:AG33"/>
    <mergeCell ref="AH33:AP33"/>
    <mergeCell ref="B51:C51"/>
    <mergeCell ref="D51:AB51"/>
    <mergeCell ref="AC51:AI51"/>
    <mergeCell ref="AJ51:AK51"/>
    <mergeCell ref="AL51:AR51"/>
    <mergeCell ref="B70:D70"/>
    <mergeCell ref="E70:AG70"/>
    <mergeCell ref="AH70:AP70"/>
    <mergeCell ref="AQ70:AY70"/>
    <mergeCell ref="B54:C54"/>
    <mergeCell ref="AJ58:AK58"/>
    <mergeCell ref="AL58:AR58"/>
    <mergeCell ref="AS58:AY58"/>
    <mergeCell ref="B50:C50"/>
    <mergeCell ref="D50:AB50"/>
    <mergeCell ref="AC50:AI50"/>
    <mergeCell ref="AJ50:AK50"/>
    <mergeCell ref="AL50:AR50"/>
    <mergeCell ref="AS50:AY50"/>
    <mergeCell ref="AL133:AR133"/>
    <mergeCell ref="AS133:AY133"/>
    <mergeCell ref="AA75:AL76"/>
    <mergeCell ref="AP75:AY76"/>
    <mergeCell ref="F76:G76"/>
    <mergeCell ref="H76:X76"/>
    <mergeCell ref="F77:X77"/>
    <mergeCell ref="AP77:AY77"/>
    <mergeCell ref="F78:X78"/>
    <mergeCell ref="F80:X80"/>
    <mergeCell ref="F81:X81"/>
    <mergeCell ref="F82:X82"/>
    <mergeCell ref="AC102:AI102"/>
    <mergeCell ref="D97:AB97"/>
    <mergeCell ref="AC97:AI97"/>
    <mergeCell ref="AJ97:AK97"/>
    <mergeCell ref="AL97:AR97"/>
    <mergeCell ref="AS97:AY97"/>
    <mergeCell ref="AP38:AY39"/>
    <mergeCell ref="F39:G39"/>
    <mergeCell ref="H39:X39"/>
    <mergeCell ref="F40:X40"/>
    <mergeCell ref="AP40:AY40"/>
    <mergeCell ref="F41:X41"/>
    <mergeCell ref="F43:X43"/>
    <mergeCell ref="F44:X44"/>
    <mergeCell ref="B49:C49"/>
    <mergeCell ref="D49:AB49"/>
    <mergeCell ref="AC49:AI49"/>
    <mergeCell ref="AJ49:AK49"/>
    <mergeCell ref="AL49:AR49"/>
    <mergeCell ref="AS49:AY49"/>
    <mergeCell ref="AA38:AL39"/>
    <mergeCell ref="AJ133:AK133"/>
    <mergeCell ref="AA1:AL2"/>
    <mergeCell ref="AP1:AY2"/>
    <mergeCell ref="F2:G2"/>
    <mergeCell ref="H2:X2"/>
    <mergeCell ref="F3:X3"/>
    <mergeCell ref="AP3:AY3"/>
    <mergeCell ref="F4:X4"/>
    <mergeCell ref="AC101:AI101"/>
    <mergeCell ref="AJ101:AK101"/>
    <mergeCell ref="AL101:AR101"/>
    <mergeCell ref="AS101:AY101"/>
    <mergeCell ref="AJ59:AK59"/>
    <mergeCell ref="AL59:AR59"/>
    <mergeCell ref="D22:AB22"/>
    <mergeCell ref="AC22:AI22"/>
    <mergeCell ref="AJ22:AK22"/>
    <mergeCell ref="AL22:AR22"/>
    <mergeCell ref="AS22:AY22"/>
    <mergeCell ref="D54:AB54"/>
    <mergeCell ref="AC54:AI54"/>
    <mergeCell ref="AJ54:AK54"/>
    <mergeCell ref="AL54:AR54"/>
    <mergeCell ref="AS54:AY54"/>
    <mergeCell ref="AL139:AR139"/>
    <mergeCell ref="AS139:AY139"/>
    <mergeCell ref="AJ60:AK60"/>
    <mergeCell ref="AL60:AR60"/>
    <mergeCell ref="AS60:AY60"/>
    <mergeCell ref="D61:AB61"/>
    <mergeCell ref="AC61:AI61"/>
    <mergeCell ref="AJ61:AK61"/>
    <mergeCell ref="AL61:AR61"/>
    <mergeCell ref="AS61:AY61"/>
    <mergeCell ref="AS66:AY66"/>
    <mergeCell ref="D96:AB96"/>
    <mergeCell ref="AC96:AI96"/>
    <mergeCell ref="AJ96:AK96"/>
    <mergeCell ref="AL96:AR96"/>
    <mergeCell ref="AS96:AY96"/>
    <mergeCell ref="D101:AB101"/>
    <mergeCell ref="D102:AB102"/>
    <mergeCell ref="D104:AB104"/>
    <mergeCell ref="D106:AB106"/>
    <mergeCell ref="D64:AB64"/>
    <mergeCell ref="AC64:AI64"/>
    <mergeCell ref="D133:AB133"/>
    <mergeCell ref="AC133:AI133"/>
    <mergeCell ref="D15:AB15"/>
    <mergeCell ref="AC15:AI15"/>
    <mergeCell ref="AJ15:AK15"/>
    <mergeCell ref="AL15:AR15"/>
    <mergeCell ref="AS15:AY15"/>
    <mergeCell ref="D16:AB16"/>
    <mergeCell ref="AC16:AI16"/>
    <mergeCell ref="AJ16:AK16"/>
    <mergeCell ref="AL16:AR16"/>
    <mergeCell ref="AS16:AY16"/>
    <mergeCell ref="AC140:AI140"/>
    <mergeCell ref="AL142:AR142"/>
    <mergeCell ref="B144:D144"/>
    <mergeCell ref="E144:AG144"/>
    <mergeCell ref="AH144:AP144"/>
    <mergeCell ref="AQ144:AY144"/>
    <mergeCell ref="B146:D147"/>
    <mergeCell ref="D142:AB142"/>
    <mergeCell ref="AC142:AI142"/>
    <mergeCell ref="AJ142:AK142"/>
    <mergeCell ref="AL143:AR143"/>
    <mergeCell ref="AS143:AY143"/>
    <mergeCell ref="E146:AS147"/>
    <mergeCell ref="AU146:AX147"/>
    <mergeCell ref="AY146:AY147"/>
    <mergeCell ref="D141:AB141"/>
    <mergeCell ref="AC141:AI141"/>
    <mergeCell ref="AJ141:AK141"/>
    <mergeCell ref="AL141:AR141"/>
    <mergeCell ref="AS141:AY141"/>
    <mergeCell ref="AL140:AR140"/>
    <mergeCell ref="AS142:AY142"/>
    <mergeCell ref="AS140:AY140"/>
    <mergeCell ref="B148:AY148"/>
    <mergeCell ref="F150:G150"/>
    <mergeCell ref="H150:X150"/>
    <mergeCell ref="F151:X151"/>
    <mergeCell ref="AP151:AY151"/>
    <mergeCell ref="F152:X152"/>
    <mergeCell ref="AA149:AL150"/>
    <mergeCell ref="AP149:AY150"/>
    <mergeCell ref="AS65:AY65"/>
    <mergeCell ref="B143:C143"/>
    <mergeCell ref="B142:C142"/>
    <mergeCell ref="B141:C141"/>
    <mergeCell ref="B140:C140"/>
    <mergeCell ref="B139:C139"/>
    <mergeCell ref="D140:AB140"/>
    <mergeCell ref="B138:C138"/>
    <mergeCell ref="B133:C133"/>
    <mergeCell ref="B134:C134"/>
    <mergeCell ref="D134:AB134"/>
    <mergeCell ref="B136:C136"/>
    <mergeCell ref="D136:AB136"/>
    <mergeCell ref="D138:AB138"/>
    <mergeCell ref="AC138:AI138"/>
    <mergeCell ref="AJ138:AK138"/>
    <mergeCell ref="AS138:AY138"/>
    <mergeCell ref="D139:AB139"/>
    <mergeCell ref="AC139:AI139"/>
    <mergeCell ref="AJ139:AK139"/>
    <mergeCell ref="D143:AB143"/>
    <mergeCell ref="AC143:AI143"/>
    <mergeCell ref="AJ143:AK143"/>
    <mergeCell ref="B64:C64"/>
    <mergeCell ref="B66:C66"/>
    <mergeCell ref="D66:AB66"/>
    <mergeCell ref="AC66:AI66"/>
    <mergeCell ref="AJ66:AK66"/>
    <mergeCell ref="AL66:AR66"/>
    <mergeCell ref="B65:C65"/>
    <mergeCell ref="D65:AB65"/>
    <mergeCell ref="AC65:AI65"/>
    <mergeCell ref="AJ65:AK65"/>
    <mergeCell ref="AL65:AR65"/>
    <mergeCell ref="AJ64:AK64"/>
    <mergeCell ref="AL64:AR64"/>
    <mergeCell ref="B68:C68"/>
    <mergeCell ref="D68:AB68"/>
    <mergeCell ref="AC68:AI68"/>
    <mergeCell ref="AJ140:AK140"/>
    <mergeCell ref="B21:C21"/>
    <mergeCell ref="D21:AB21"/>
    <mergeCell ref="AC21:AI21"/>
    <mergeCell ref="AJ23:AK23"/>
    <mergeCell ref="AL23:AR23"/>
    <mergeCell ref="AS23:AY23"/>
    <mergeCell ref="B24:C24"/>
    <mergeCell ref="D24:AB24"/>
    <mergeCell ref="AC24:AI24"/>
    <mergeCell ref="AJ24:AK24"/>
    <mergeCell ref="AL24:AR24"/>
    <mergeCell ref="AS24:AY24"/>
    <mergeCell ref="AJ21:AK21"/>
    <mergeCell ref="AL21:AR21"/>
    <mergeCell ref="AS21:AY21"/>
    <mergeCell ref="B23:C23"/>
    <mergeCell ref="D23:AB23"/>
    <mergeCell ref="AC23:AI23"/>
    <mergeCell ref="B18:C18"/>
    <mergeCell ref="B17:C17"/>
    <mergeCell ref="B20:C20"/>
    <mergeCell ref="B19:C19"/>
    <mergeCell ref="B12:C12"/>
    <mergeCell ref="B14:C14"/>
    <mergeCell ref="B13:C13"/>
    <mergeCell ref="B16:C16"/>
    <mergeCell ref="B15:C15"/>
    <mergeCell ref="D13:AB13"/>
    <mergeCell ref="AC13:AI13"/>
    <mergeCell ref="AJ13:AK13"/>
    <mergeCell ref="AL13:AR13"/>
    <mergeCell ref="AS13:AY13"/>
    <mergeCell ref="D14:AB14"/>
    <mergeCell ref="D12:AB12"/>
    <mergeCell ref="AC12:AI12"/>
    <mergeCell ref="AJ12:AK12"/>
    <mergeCell ref="AL12:AR12"/>
    <mergeCell ref="AS12:AY12"/>
    <mergeCell ref="AC14:AI14"/>
    <mergeCell ref="AJ14:AK14"/>
    <mergeCell ref="AL14:AR14"/>
    <mergeCell ref="AS14:AY14"/>
    <mergeCell ref="B25:C25"/>
    <mergeCell ref="D25:AB25"/>
    <mergeCell ref="AC25:AI25"/>
    <mergeCell ref="AJ25:AK25"/>
    <mergeCell ref="AL25:AR25"/>
    <mergeCell ref="AS25:AY25"/>
    <mergeCell ref="B26:C26"/>
    <mergeCell ref="D26:AB26"/>
    <mergeCell ref="AC26:AI26"/>
    <mergeCell ref="AJ26:AK26"/>
    <mergeCell ref="AL26:AR26"/>
    <mergeCell ref="AS26:AY26"/>
    <mergeCell ref="B27:C27"/>
    <mergeCell ref="D27:AB27"/>
    <mergeCell ref="AC27:AI27"/>
    <mergeCell ref="AJ27:AK27"/>
    <mergeCell ref="AL27:AR27"/>
    <mergeCell ref="AS27:AY27"/>
    <mergeCell ref="B28:C28"/>
    <mergeCell ref="D28:AB28"/>
    <mergeCell ref="AC28:AI28"/>
    <mergeCell ref="AJ28:AK28"/>
    <mergeCell ref="AL28:AR28"/>
    <mergeCell ref="AS28:AY28"/>
    <mergeCell ref="B29:C29"/>
    <mergeCell ref="D29:AB29"/>
    <mergeCell ref="AC29:AI29"/>
    <mergeCell ref="AJ29:AK29"/>
    <mergeCell ref="AL29:AR29"/>
    <mergeCell ref="AS29:AY29"/>
    <mergeCell ref="B30:C30"/>
    <mergeCell ref="D30:AB30"/>
    <mergeCell ref="AC30:AI30"/>
    <mergeCell ref="AJ30:AK30"/>
    <mergeCell ref="AL30:AR30"/>
    <mergeCell ref="AS30:AY30"/>
    <mergeCell ref="B55:C55"/>
    <mergeCell ref="AS59:AY59"/>
    <mergeCell ref="D60:AB60"/>
    <mergeCell ref="AC60:AI60"/>
    <mergeCell ref="B61:C61"/>
    <mergeCell ref="B60:C60"/>
    <mergeCell ref="B59:C59"/>
    <mergeCell ref="B58:C58"/>
    <mergeCell ref="B31:C31"/>
    <mergeCell ref="D31:AB31"/>
    <mergeCell ref="AC31:AI31"/>
    <mergeCell ref="AJ31:AK31"/>
    <mergeCell ref="AL31:AR31"/>
    <mergeCell ref="AS31:AY31"/>
    <mergeCell ref="B32:C32"/>
    <mergeCell ref="D32:AB32"/>
    <mergeCell ref="AC32:AI32"/>
    <mergeCell ref="AJ32:AK32"/>
    <mergeCell ref="AL32:AR32"/>
    <mergeCell ref="AS32:AY32"/>
    <mergeCell ref="B57:C57"/>
    <mergeCell ref="D59:AB59"/>
    <mergeCell ref="AC59:AI59"/>
    <mergeCell ref="D57:AB57"/>
    <mergeCell ref="B69:C69"/>
    <mergeCell ref="D69:AB69"/>
    <mergeCell ref="AC69:AI69"/>
    <mergeCell ref="AJ69:AK69"/>
    <mergeCell ref="AL69:AR69"/>
    <mergeCell ref="AS69:AY69"/>
    <mergeCell ref="AC56:AI56"/>
    <mergeCell ref="AJ56:AK56"/>
    <mergeCell ref="AL56:AR56"/>
    <mergeCell ref="AS56:AY56"/>
    <mergeCell ref="B67:C67"/>
    <mergeCell ref="D67:AB67"/>
    <mergeCell ref="AC67:AI67"/>
    <mergeCell ref="AJ67:AK67"/>
    <mergeCell ref="AL67:AR67"/>
    <mergeCell ref="AS67:AY67"/>
    <mergeCell ref="AS57:AY57"/>
    <mergeCell ref="B56:C56"/>
    <mergeCell ref="AC57:AI57"/>
    <mergeCell ref="D58:AB58"/>
    <mergeCell ref="AC58:AI58"/>
    <mergeCell ref="AS62:AY62"/>
    <mergeCell ref="D63:AB63"/>
    <mergeCell ref="AC63:AI63"/>
    <mergeCell ref="B92:C92"/>
    <mergeCell ref="D92:AB92"/>
    <mergeCell ref="AC92:AI92"/>
    <mergeCell ref="AJ92:AK92"/>
    <mergeCell ref="AL92:AR92"/>
    <mergeCell ref="AS92:AY92"/>
    <mergeCell ref="B93:C93"/>
    <mergeCell ref="D93:AB93"/>
    <mergeCell ref="AC93:AI93"/>
    <mergeCell ref="AJ93:AK93"/>
    <mergeCell ref="AL93:AR93"/>
    <mergeCell ref="AS93:AY93"/>
    <mergeCell ref="B103:C103"/>
    <mergeCell ref="D103:AB103"/>
    <mergeCell ref="AC103:AI103"/>
    <mergeCell ref="AJ103:AK103"/>
    <mergeCell ref="AL103:AR103"/>
    <mergeCell ref="AS103:AY103"/>
    <mergeCell ref="AC104:AI104"/>
    <mergeCell ref="AJ104:AK104"/>
    <mergeCell ref="AL104:AR104"/>
    <mergeCell ref="AS104:AY104"/>
    <mergeCell ref="B105:C105"/>
    <mergeCell ref="D105:AB105"/>
    <mergeCell ref="AC105:AI105"/>
    <mergeCell ref="AJ105:AK105"/>
    <mergeCell ref="AL105:AR105"/>
    <mergeCell ref="AS105:AY105"/>
    <mergeCell ref="AC106:AI106"/>
    <mergeCell ref="AJ106:AK106"/>
    <mergeCell ref="AL106:AR106"/>
    <mergeCell ref="AS106:AY106"/>
    <mergeCell ref="AJ161:AK161"/>
    <mergeCell ref="AL161:AR161"/>
    <mergeCell ref="AS161:AY161"/>
    <mergeCell ref="B160:C160"/>
    <mergeCell ref="D160:AB160"/>
    <mergeCell ref="AC160:AI160"/>
    <mergeCell ref="AJ160:AK160"/>
    <mergeCell ref="F154:X154"/>
    <mergeCell ref="F155:X155"/>
    <mergeCell ref="AL138:AR138"/>
    <mergeCell ref="E35:AS36"/>
    <mergeCell ref="AU35:AX36"/>
    <mergeCell ref="AY35:AY36"/>
    <mergeCell ref="E72:AS73"/>
    <mergeCell ref="AU72:AX73"/>
    <mergeCell ref="AY72:AY73"/>
    <mergeCell ref="E109:AS110"/>
    <mergeCell ref="AU109:AX110"/>
    <mergeCell ref="AY109:AY110"/>
    <mergeCell ref="AS102:AY102"/>
    <mergeCell ref="AJ68:AK68"/>
    <mergeCell ref="AL68:AR68"/>
    <mergeCell ref="AS68:AY68"/>
    <mergeCell ref="D55:AB55"/>
    <mergeCell ref="AC55:AI55"/>
    <mergeCell ref="AJ55:AK55"/>
    <mergeCell ref="AL55:AR55"/>
    <mergeCell ref="AJ63:AK63"/>
    <mergeCell ref="AL63:AR63"/>
    <mergeCell ref="AS63:AY63"/>
    <mergeCell ref="AS55:AY55"/>
    <mergeCell ref="F45:X45"/>
    <mergeCell ref="B37:AY37"/>
  </mergeCells>
  <phoneticPr fontId="2"/>
  <conditionalFormatting sqref="AS14:AS22">
    <cfRule type="expression" dxfId="59" priority="48">
      <formula>INDIRECT(ADDRESS(ROW(),COLUMN()))=TRUNC(INDIRECT(ADDRESS(ROW(),COLUMN())))</formula>
    </cfRule>
  </conditionalFormatting>
  <conditionalFormatting sqref="AL13">
    <cfRule type="expression" dxfId="58" priority="55">
      <formula>INDIRECT(ADDRESS(ROW(),COLUMN()))=TRUNC(INDIRECT(ADDRESS(ROW(),COLUMN())))</formula>
    </cfRule>
  </conditionalFormatting>
  <conditionalFormatting sqref="AC13">
    <cfRule type="expression" dxfId="57" priority="54">
      <formula>INDIRECT(ADDRESS(ROW(),COLUMN()))=TRUNC(INDIRECT(ADDRESS(ROW(),COLUMN())))</formula>
    </cfRule>
  </conditionalFormatting>
  <conditionalFormatting sqref="AS13">
    <cfRule type="expression" dxfId="56" priority="53">
      <formula>INDIRECT(ADDRESS(ROW(),COLUMN()))=TRUNC(INDIRECT(ADDRESS(ROW(),COLUMN())))</formula>
    </cfRule>
  </conditionalFormatting>
  <conditionalFormatting sqref="AQ33">
    <cfRule type="expression" dxfId="55" priority="51">
      <formula>INDIRECT(ADDRESS(ROW(),COLUMN(UNMT0020_B_ROW_KBN)))&lt;&gt;2</formula>
    </cfRule>
  </conditionalFormatting>
  <conditionalFormatting sqref="AQ33">
    <cfRule type="expression" dxfId="54" priority="52">
      <formula>INDIRECT(ADDRESS(ROW(),COLUMN()))=TRUNC(INDIRECT(ADDRESS(ROW(),COLUMN())))</formula>
    </cfRule>
  </conditionalFormatting>
  <conditionalFormatting sqref="AL14:AL22">
    <cfRule type="expression" dxfId="53" priority="50">
      <formula>INDIRECT(ADDRESS(ROW(),COLUMN()))=TRUNC(INDIRECT(ADDRESS(ROW(),COLUMN())))</formula>
    </cfRule>
  </conditionalFormatting>
  <conditionalFormatting sqref="AC14:AC22">
    <cfRule type="expression" dxfId="52" priority="49">
      <formula>INDIRECT(ADDRESS(ROW(),COLUMN()))=TRUNC(INDIRECT(ADDRESS(ROW(),COLUMN())))</formula>
    </cfRule>
  </conditionalFormatting>
  <conditionalFormatting sqref="AL23:AL32">
    <cfRule type="expression" dxfId="51" priority="47">
      <formula>INDIRECT(ADDRESS(ROW(),COLUMN()))=TRUNC(INDIRECT(ADDRESS(ROW(),COLUMN())))</formula>
    </cfRule>
  </conditionalFormatting>
  <conditionalFormatting sqref="AC23:AC32">
    <cfRule type="expression" dxfId="50" priority="46">
      <formula>INDIRECT(ADDRESS(ROW(),COLUMN()))=TRUNC(INDIRECT(ADDRESS(ROW(),COLUMN())))</formula>
    </cfRule>
  </conditionalFormatting>
  <conditionalFormatting sqref="AS23:AS32">
    <cfRule type="expression" dxfId="49" priority="45">
      <formula>INDIRECT(ADDRESS(ROW(),COLUMN()))=TRUNC(INDIRECT(ADDRESS(ROW(),COLUMN())))</formula>
    </cfRule>
  </conditionalFormatting>
  <conditionalFormatting sqref="AS51:AS59">
    <cfRule type="expression" dxfId="48" priority="37">
      <formula>INDIRECT(ADDRESS(ROW(),COLUMN()))=TRUNC(INDIRECT(ADDRESS(ROW(),COLUMN())))</formula>
    </cfRule>
  </conditionalFormatting>
  <conditionalFormatting sqref="AL50">
    <cfRule type="expression" dxfId="47" priority="44">
      <formula>INDIRECT(ADDRESS(ROW(),COLUMN()))=TRUNC(INDIRECT(ADDRESS(ROW(),COLUMN())))</formula>
    </cfRule>
  </conditionalFormatting>
  <conditionalFormatting sqref="AC50">
    <cfRule type="expression" dxfId="46" priority="43">
      <formula>INDIRECT(ADDRESS(ROW(),COLUMN()))=TRUNC(INDIRECT(ADDRESS(ROW(),COLUMN())))</formula>
    </cfRule>
  </conditionalFormatting>
  <conditionalFormatting sqref="AS50">
    <cfRule type="expression" dxfId="45" priority="42">
      <formula>INDIRECT(ADDRESS(ROW(),COLUMN()))=TRUNC(INDIRECT(ADDRESS(ROW(),COLUMN())))</formula>
    </cfRule>
  </conditionalFormatting>
  <conditionalFormatting sqref="AQ70">
    <cfRule type="expression" dxfId="44" priority="40">
      <formula>INDIRECT(ADDRESS(ROW(),COLUMN(UNMT0020_B_ROW_KBN)))&lt;&gt;2</formula>
    </cfRule>
  </conditionalFormatting>
  <conditionalFormatting sqref="AQ70">
    <cfRule type="expression" dxfId="43" priority="41">
      <formula>INDIRECT(ADDRESS(ROW(),COLUMN()))=TRUNC(INDIRECT(ADDRESS(ROW(),COLUMN())))</formula>
    </cfRule>
  </conditionalFormatting>
  <conditionalFormatting sqref="AL51:AL59">
    <cfRule type="expression" dxfId="42" priority="39">
      <formula>INDIRECT(ADDRESS(ROW(),COLUMN()))=TRUNC(INDIRECT(ADDRESS(ROW(),COLUMN())))</formula>
    </cfRule>
  </conditionalFormatting>
  <conditionalFormatting sqref="AC51:AC59">
    <cfRule type="expression" dxfId="41" priority="38">
      <formula>INDIRECT(ADDRESS(ROW(),COLUMN()))=TRUNC(INDIRECT(ADDRESS(ROW(),COLUMN())))</formula>
    </cfRule>
  </conditionalFormatting>
  <conditionalFormatting sqref="AL60:AL69">
    <cfRule type="expression" dxfId="40" priority="36">
      <formula>INDIRECT(ADDRESS(ROW(),COLUMN()))=TRUNC(INDIRECT(ADDRESS(ROW(),COLUMN())))</formula>
    </cfRule>
  </conditionalFormatting>
  <conditionalFormatting sqref="AC60:AC69">
    <cfRule type="expression" dxfId="39" priority="35">
      <formula>INDIRECT(ADDRESS(ROW(),COLUMN()))=TRUNC(INDIRECT(ADDRESS(ROW(),COLUMN())))</formula>
    </cfRule>
  </conditionalFormatting>
  <conditionalFormatting sqref="AS60:AS69">
    <cfRule type="expression" dxfId="38" priority="34">
      <formula>INDIRECT(ADDRESS(ROW(),COLUMN()))=TRUNC(INDIRECT(ADDRESS(ROW(),COLUMN())))</formula>
    </cfRule>
  </conditionalFormatting>
  <conditionalFormatting sqref="AS88:AS96">
    <cfRule type="expression" dxfId="37" priority="26">
      <formula>INDIRECT(ADDRESS(ROW(),COLUMN()))=TRUNC(INDIRECT(ADDRESS(ROW(),COLUMN())))</formula>
    </cfRule>
  </conditionalFormatting>
  <conditionalFormatting sqref="AL87">
    <cfRule type="expression" dxfId="36" priority="33">
      <formula>INDIRECT(ADDRESS(ROW(),COLUMN()))=TRUNC(INDIRECT(ADDRESS(ROW(),COLUMN())))</formula>
    </cfRule>
  </conditionalFormatting>
  <conditionalFormatting sqref="AC87">
    <cfRule type="expression" dxfId="35" priority="32">
      <formula>INDIRECT(ADDRESS(ROW(),COLUMN()))=TRUNC(INDIRECT(ADDRESS(ROW(),COLUMN())))</formula>
    </cfRule>
  </conditionalFormatting>
  <conditionalFormatting sqref="AS87">
    <cfRule type="expression" dxfId="34" priority="31">
      <formula>INDIRECT(ADDRESS(ROW(),COLUMN()))=TRUNC(INDIRECT(ADDRESS(ROW(),COLUMN())))</formula>
    </cfRule>
  </conditionalFormatting>
  <conditionalFormatting sqref="AQ107">
    <cfRule type="expression" dxfId="33" priority="29">
      <formula>INDIRECT(ADDRESS(ROW(),COLUMN(UNMT0020_B_ROW_KBN)))&lt;&gt;2</formula>
    </cfRule>
  </conditionalFormatting>
  <conditionalFormatting sqref="AQ107">
    <cfRule type="expression" dxfId="32" priority="30">
      <formula>INDIRECT(ADDRESS(ROW(),COLUMN()))=TRUNC(INDIRECT(ADDRESS(ROW(),COLUMN())))</formula>
    </cfRule>
  </conditionalFormatting>
  <conditionalFormatting sqref="AL88:AL96">
    <cfRule type="expression" dxfId="31" priority="28">
      <formula>INDIRECT(ADDRESS(ROW(),COLUMN()))=TRUNC(INDIRECT(ADDRESS(ROW(),COLUMN())))</formula>
    </cfRule>
  </conditionalFormatting>
  <conditionalFormatting sqref="AC88:AC96">
    <cfRule type="expression" dxfId="30" priority="27">
      <formula>INDIRECT(ADDRESS(ROW(),COLUMN()))=TRUNC(INDIRECT(ADDRESS(ROW(),COLUMN())))</formula>
    </cfRule>
  </conditionalFormatting>
  <conditionalFormatting sqref="AL97:AL106">
    <cfRule type="expression" dxfId="29" priority="25">
      <formula>INDIRECT(ADDRESS(ROW(),COLUMN()))=TRUNC(INDIRECT(ADDRESS(ROW(),COLUMN())))</formula>
    </cfRule>
  </conditionalFormatting>
  <conditionalFormatting sqref="AC97:AC106">
    <cfRule type="expression" dxfId="28" priority="24">
      <formula>INDIRECT(ADDRESS(ROW(),COLUMN()))=TRUNC(INDIRECT(ADDRESS(ROW(),COLUMN())))</formula>
    </cfRule>
  </conditionalFormatting>
  <conditionalFormatting sqref="AS97:AS106">
    <cfRule type="expression" dxfId="27" priority="23">
      <formula>INDIRECT(ADDRESS(ROW(),COLUMN()))=TRUNC(INDIRECT(ADDRESS(ROW(),COLUMN())))</formula>
    </cfRule>
  </conditionalFormatting>
  <conditionalFormatting sqref="AS125:AS133">
    <cfRule type="expression" dxfId="26" priority="15">
      <formula>INDIRECT(ADDRESS(ROW(),COLUMN()))=TRUNC(INDIRECT(ADDRESS(ROW(),COLUMN())))</formula>
    </cfRule>
  </conditionalFormatting>
  <conditionalFormatting sqref="AL124">
    <cfRule type="expression" dxfId="25" priority="22">
      <formula>INDIRECT(ADDRESS(ROW(),COLUMN()))=TRUNC(INDIRECT(ADDRESS(ROW(),COLUMN())))</formula>
    </cfRule>
  </conditionalFormatting>
  <conditionalFormatting sqref="AC124">
    <cfRule type="expression" dxfId="24" priority="21">
      <formula>INDIRECT(ADDRESS(ROW(),COLUMN()))=TRUNC(INDIRECT(ADDRESS(ROW(),COLUMN())))</formula>
    </cfRule>
  </conditionalFormatting>
  <conditionalFormatting sqref="AS124">
    <cfRule type="expression" dxfId="23" priority="20">
      <formula>INDIRECT(ADDRESS(ROW(),COLUMN()))=TRUNC(INDIRECT(ADDRESS(ROW(),COLUMN())))</formula>
    </cfRule>
  </conditionalFormatting>
  <conditionalFormatting sqref="AQ144">
    <cfRule type="expression" dxfId="22" priority="18">
      <formula>INDIRECT(ADDRESS(ROW(),COLUMN(UNMT0020_B_ROW_KBN)))&lt;&gt;2</formula>
    </cfRule>
  </conditionalFormatting>
  <conditionalFormatting sqref="AQ144">
    <cfRule type="expression" dxfId="21" priority="19">
      <formula>INDIRECT(ADDRESS(ROW(),COLUMN()))=TRUNC(INDIRECT(ADDRESS(ROW(),COLUMN())))</formula>
    </cfRule>
  </conditionalFormatting>
  <conditionalFormatting sqref="AL125:AL133">
    <cfRule type="expression" dxfId="20" priority="17">
      <formula>INDIRECT(ADDRESS(ROW(),COLUMN()))=TRUNC(INDIRECT(ADDRESS(ROW(),COLUMN())))</formula>
    </cfRule>
  </conditionalFormatting>
  <conditionalFormatting sqref="AC125:AC133">
    <cfRule type="expression" dxfId="19" priority="16">
      <formula>INDIRECT(ADDRESS(ROW(),COLUMN()))=TRUNC(INDIRECT(ADDRESS(ROW(),COLUMN())))</formula>
    </cfRule>
  </conditionalFormatting>
  <conditionalFormatting sqref="AL134:AL143">
    <cfRule type="expression" dxfId="18" priority="14">
      <formula>INDIRECT(ADDRESS(ROW(),COLUMN()))=TRUNC(INDIRECT(ADDRESS(ROW(),COLUMN())))</formula>
    </cfRule>
  </conditionalFormatting>
  <conditionalFormatting sqref="AC134:AC143">
    <cfRule type="expression" dxfId="17" priority="13">
      <formula>INDIRECT(ADDRESS(ROW(),COLUMN()))=TRUNC(INDIRECT(ADDRESS(ROW(),COLUMN())))</formula>
    </cfRule>
  </conditionalFormatting>
  <conditionalFormatting sqref="AS134:AS143">
    <cfRule type="expression" dxfId="16" priority="12">
      <formula>INDIRECT(ADDRESS(ROW(),COLUMN()))=TRUNC(INDIRECT(ADDRESS(ROW(),COLUMN())))</formula>
    </cfRule>
  </conditionalFormatting>
  <conditionalFormatting sqref="AS162:AS170">
    <cfRule type="expression" dxfId="15" priority="4">
      <formula>INDIRECT(ADDRESS(ROW(),COLUMN()))=TRUNC(INDIRECT(ADDRESS(ROW(),COLUMN())))</formula>
    </cfRule>
  </conditionalFormatting>
  <conditionalFormatting sqref="AL161">
    <cfRule type="expression" dxfId="14" priority="11">
      <formula>INDIRECT(ADDRESS(ROW(),COLUMN()))=TRUNC(INDIRECT(ADDRESS(ROW(),COLUMN())))</formula>
    </cfRule>
  </conditionalFormatting>
  <conditionalFormatting sqref="AC161">
    <cfRule type="expression" dxfId="13" priority="10">
      <formula>INDIRECT(ADDRESS(ROW(),COLUMN()))=TRUNC(INDIRECT(ADDRESS(ROW(),COLUMN())))</formula>
    </cfRule>
  </conditionalFormatting>
  <conditionalFormatting sqref="AS161">
    <cfRule type="expression" dxfId="12" priority="9">
      <formula>INDIRECT(ADDRESS(ROW(),COLUMN()))=TRUNC(INDIRECT(ADDRESS(ROW(),COLUMN())))</formula>
    </cfRule>
  </conditionalFormatting>
  <conditionalFormatting sqref="AQ181">
    <cfRule type="expression" dxfId="11" priority="7">
      <formula>INDIRECT(ADDRESS(ROW(),COLUMN(UNMT0020_B_ROW_KBN)))&lt;&gt;2</formula>
    </cfRule>
  </conditionalFormatting>
  <conditionalFormatting sqref="AQ181">
    <cfRule type="expression" dxfId="10" priority="8">
      <formula>INDIRECT(ADDRESS(ROW(),COLUMN()))=TRUNC(INDIRECT(ADDRESS(ROW(),COLUMN())))</formula>
    </cfRule>
  </conditionalFormatting>
  <conditionalFormatting sqref="AL162:AL170">
    <cfRule type="expression" dxfId="9" priority="6">
      <formula>INDIRECT(ADDRESS(ROW(),COLUMN()))=TRUNC(INDIRECT(ADDRESS(ROW(),COLUMN())))</formula>
    </cfRule>
  </conditionalFormatting>
  <conditionalFormatting sqref="AC162:AC170">
    <cfRule type="expression" dxfId="8" priority="5">
      <formula>INDIRECT(ADDRESS(ROW(),COLUMN()))=TRUNC(INDIRECT(ADDRESS(ROW(),COLUMN())))</formula>
    </cfRule>
  </conditionalFormatting>
  <conditionalFormatting sqref="AL171:AL180">
    <cfRule type="expression" dxfId="7" priority="3">
      <formula>INDIRECT(ADDRESS(ROW(),COLUMN()))=TRUNC(INDIRECT(ADDRESS(ROW(),COLUMN())))</formula>
    </cfRule>
  </conditionalFormatting>
  <conditionalFormatting sqref="AC171:AC180">
    <cfRule type="expression" dxfId="6" priority="2">
      <formula>INDIRECT(ADDRESS(ROW(),COLUMN()))=TRUNC(INDIRECT(ADDRESS(ROW(),COLUMN())))</formula>
    </cfRule>
  </conditionalFormatting>
  <conditionalFormatting sqref="AS171:AS180">
    <cfRule type="expression" dxfId="5" priority="1">
      <formula>INDIRECT(ADDRESS(ROW(),COLUMN()))=TRUNC(INDIRECT(ADDRESS(ROW(),COLUMN())))</formula>
    </cfRule>
  </conditionalFormatting>
  <pageMargins left="0.27559055118110237" right="0.15748031496062992" top="0.39370078740157483" bottom="0.39370078740157483" header="0.31496062992125984" footer="0.31496062992125984"/>
  <pageSetup paperSize="9" scale="70" fitToHeight="0" orientation="portrait" r:id="rId1"/>
  <rowBreaks count="4" manualBreakCount="4">
    <brk id="37" max="16383" man="1"/>
    <brk id="74" max="16383" man="1"/>
    <brk id="111" max="16383" man="1"/>
    <brk id="148" max="16383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9" tint="0.59999389629810485"/>
    <pageSetUpPr fitToPage="1"/>
  </sheetPr>
  <dimension ref="B1:AY11"/>
  <sheetViews>
    <sheetView view="pageBreakPreview" zoomScale="115" zoomScaleNormal="85" zoomScaleSheetLayoutView="115" workbookViewId="0">
      <selection activeCell="M31" sqref="M31"/>
    </sheetView>
  </sheetViews>
  <sheetFormatPr defaultRowHeight="16.5"/>
  <cols>
    <col min="1" max="1" width="2.625" style="4" customWidth="1"/>
    <col min="2" max="2" width="2.375" style="403" customWidth="1"/>
    <col min="3" max="15" width="2.875" style="404" customWidth="1"/>
    <col min="16" max="35" width="2.875" style="403" customWidth="1"/>
    <col min="36" max="48" width="2.75" style="403" customWidth="1"/>
    <col min="49" max="108" width="2.75" style="4" customWidth="1"/>
    <col min="109" max="16384" width="9" style="4"/>
  </cols>
  <sheetData>
    <row r="1" spans="3:51" s="403" customFormat="1" ht="12">
      <c r="C1" s="404"/>
      <c r="D1" s="404"/>
      <c r="E1" s="404"/>
      <c r="F1" s="404"/>
      <c r="G1" s="404"/>
      <c r="H1" s="404"/>
      <c r="I1" s="404"/>
      <c r="J1" s="404"/>
      <c r="K1" s="404"/>
      <c r="L1" s="404"/>
      <c r="M1" s="404"/>
      <c r="N1" s="404"/>
      <c r="O1" s="404"/>
    </row>
    <row r="2" spans="3:51" s="403" customFormat="1" ht="16.5" customHeight="1">
      <c r="C2" s="404"/>
      <c r="D2" s="405"/>
      <c r="E2" s="406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  <c r="S2" s="406"/>
      <c r="T2" s="406"/>
      <c r="U2" s="406"/>
      <c r="V2" s="406"/>
      <c r="W2" s="406"/>
      <c r="X2" s="407"/>
      <c r="AA2" s="744" t="s">
        <v>1109</v>
      </c>
      <c r="AB2" s="744"/>
      <c r="AC2" s="744"/>
      <c r="AD2" s="744"/>
      <c r="AE2" s="744"/>
      <c r="AF2" s="744"/>
      <c r="AG2" s="744"/>
      <c r="AH2" s="744"/>
      <c r="AI2" s="744"/>
      <c r="AJ2" s="744"/>
      <c r="AK2" s="744"/>
      <c r="AL2" s="744"/>
      <c r="AP2" s="785" t="str">
        <f>"No."&amp;UNNH0030_REPORT_IF_H_URIAGE_NO&amp;"-"&amp;ROUNDUP(ROW()/ROWS(UNNH0030_SEIKYUSHO_PAGE_AREA),0)&amp;"/"&amp;UNNH0030_REPORT_IF_B_PAGE_TOTAL</f>
        <v>No.-1/1</v>
      </c>
      <c r="AQ2" s="785"/>
      <c r="AR2" s="785"/>
      <c r="AS2" s="785"/>
      <c r="AT2" s="785"/>
      <c r="AU2" s="785"/>
      <c r="AV2" s="785"/>
      <c r="AW2" s="785"/>
      <c r="AX2" s="785"/>
      <c r="AY2" s="785"/>
    </row>
    <row r="3" spans="3:51" s="403" customFormat="1" ht="18.75" customHeight="1">
      <c r="C3" s="404"/>
      <c r="D3" s="408"/>
      <c r="E3" s="456" t="str">
        <f>IF(UNNH0030_REPORT_IF_H_JUSHO_NO_PRINT_FLG=TRUE,"","〒")</f>
        <v>〒</v>
      </c>
      <c r="F3" s="790" t="str">
        <f>IF(UNNH0030_REPORT_IF_H_JUSHO_NO_PRINT_FLG=TRUE,"",IF(UNNH0030_REPORT_IF_H_YUBIN_NO="","",UNNH0030_REPORT_IF_H_YUBIN_NO))</f>
        <v/>
      </c>
      <c r="G3" s="790"/>
      <c r="H3" s="790"/>
      <c r="I3" s="790"/>
      <c r="J3" s="790"/>
      <c r="K3" s="790"/>
      <c r="L3" s="790"/>
      <c r="M3" s="790"/>
      <c r="N3" s="790"/>
      <c r="O3" s="790"/>
      <c r="P3" s="790"/>
      <c r="Q3" s="790"/>
      <c r="R3" s="790"/>
      <c r="S3" s="790"/>
      <c r="T3" s="790"/>
      <c r="U3" s="790"/>
      <c r="V3" s="409"/>
      <c r="W3" s="409"/>
      <c r="X3" s="410"/>
      <c r="AA3" s="744"/>
      <c r="AB3" s="744"/>
      <c r="AC3" s="744"/>
      <c r="AD3" s="744"/>
      <c r="AE3" s="744"/>
      <c r="AF3" s="744"/>
      <c r="AG3" s="744"/>
      <c r="AH3" s="744"/>
      <c r="AI3" s="744"/>
      <c r="AJ3" s="744"/>
      <c r="AK3" s="744"/>
      <c r="AL3" s="744"/>
      <c r="AP3" s="785"/>
      <c r="AQ3" s="785"/>
      <c r="AR3" s="785"/>
      <c r="AS3" s="785"/>
      <c r="AT3" s="785"/>
      <c r="AU3" s="785"/>
      <c r="AV3" s="785"/>
      <c r="AW3" s="785"/>
      <c r="AX3" s="785"/>
      <c r="AY3" s="785"/>
    </row>
    <row r="4" spans="3:51" s="403" customFormat="1" ht="24.75" customHeight="1">
      <c r="C4" s="404"/>
      <c r="D4" s="408"/>
      <c r="E4" s="791" t="str">
        <f>IF(UNNH0030_REPORT_IF_H_JUSHO_NO_PRINT_FLG="","",IF(UNNH0030_REPORT_IF_H_ADDRESS_1="","",UNNH0030_REPORT_IF_H_ADDRESS_1))</f>
        <v/>
      </c>
      <c r="F4" s="791"/>
      <c r="G4" s="791"/>
      <c r="H4" s="791"/>
      <c r="I4" s="791"/>
      <c r="J4" s="791"/>
      <c r="K4" s="791"/>
      <c r="L4" s="791"/>
      <c r="M4" s="791"/>
      <c r="N4" s="791"/>
      <c r="O4" s="791"/>
      <c r="P4" s="791"/>
      <c r="Q4" s="791"/>
      <c r="R4" s="791"/>
      <c r="S4" s="791"/>
      <c r="T4" s="791"/>
      <c r="U4" s="791"/>
      <c r="V4" s="791"/>
      <c r="W4" s="791"/>
      <c r="X4" s="410"/>
      <c r="AP4" s="786">
        <f>UNNH0030_REPORT_IF_H_URIAGE_DATE</f>
        <v>0</v>
      </c>
      <c r="AQ4" s="786"/>
      <c r="AR4" s="786"/>
      <c r="AS4" s="786"/>
      <c r="AT4" s="786"/>
      <c r="AU4" s="786"/>
      <c r="AV4" s="786"/>
      <c r="AW4" s="786"/>
      <c r="AX4" s="786"/>
      <c r="AY4" s="786"/>
    </row>
    <row r="5" spans="3:51" s="403" customFormat="1" ht="24.75" customHeight="1">
      <c r="C5" s="404"/>
      <c r="D5" s="408"/>
      <c r="E5" s="791" t="str">
        <f>IF(UNNH0030_REPORT_IF_H_JUSHO_NO_PRINT_FLG="","",IF(UNNH0030_REPORT_IF_H_ADDRESS_2="","",UNNH0030_REPORT_IF_H_ADDRESS_2))</f>
        <v/>
      </c>
      <c r="F5" s="791"/>
      <c r="G5" s="791"/>
      <c r="H5" s="791"/>
      <c r="I5" s="791"/>
      <c r="J5" s="791"/>
      <c r="K5" s="791"/>
      <c r="L5" s="791"/>
      <c r="M5" s="791"/>
      <c r="N5" s="791"/>
      <c r="O5" s="791"/>
      <c r="P5" s="791"/>
      <c r="Q5" s="791"/>
      <c r="R5" s="791"/>
      <c r="S5" s="791"/>
      <c r="T5" s="791"/>
      <c r="U5" s="791"/>
      <c r="V5" s="791"/>
      <c r="W5" s="791"/>
      <c r="X5" s="410"/>
    </row>
    <row r="6" spans="3:51" s="403" customFormat="1" ht="11.25" customHeight="1">
      <c r="C6" s="404"/>
      <c r="D6" s="408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09"/>
      <c r="S6" s="409"/>
      <c r="T6" s="409"/>
      <c r="U6" s="409"/>
      <c r="V6" s="409"/>
      <c r="W6" s="409"/>
      <c r="X6" s="410"/>
    </row>
    <row r="7" spans="3:51" s="403" customFormat="1" ht="26.25" customHeight="1">
      <c r="C7" s="404"/>
      <c r="D7" s="411"/>
      <c r="E7" s="787" t="str">
        <f>IF(TRIM(UNNH0030_REPORT_IF_H_SOFU_TANTO)="","",
IF(TRIM(UNNH0030_REPORT_IF_H_DEMPYO_SOFU_MEI)="","",
TRIM(UNNH0030_REPORT_IF_H_DEMPYO_SOFU_MEI)))</f>
        <v/>
      </c>
      <c r="F7" s="787"/>
      <c r="G7" s="787"/>
      <c r="H7" s="787"/>
      <c r="I7" s="787"/>
      <c r="J7" s="787"/>
      <c r="K7" s="787"/>
      <c r="L7" s="787"/>
      <c r="M7" s="787"/>
      <c r="N7" s="787"/>
      <c r="O7" s="787"/>
      <c r="P7" s="787"/>
      <c r="Q7" s="787"/>
      <c r="R7" s="787"/>
      <c r="S7" s="787"/>
      <c r="T7" s="787"/>
      <c r="U7" s="787"/>
      <c r="V7" s="787"/>
      <c r="W7" s="787"/>
      <c r="X7" s="410"/>
    </row>
    <row r="8" spans="3:51" s="403" customFormat="1" ht="25.5" customHeight="1">
      <c r="C8" s="404"/>
      <c r="D8" s="408"/>
      <c r="E8" s="788" t="str">
        <f>IF(TRIM(UNNH0030_REPORT_IF_H_SOFU_TANTO)="",
TRIM(UNNH0030_REPORT_IF_H_DEMPYO_SOFU_MEI),
TRIM(UNNH0030_REPORT_IF_H_SOFU_TANTO))&amp;
IF(UNNH0030_REPORT_IF_H_KEISHO="",""," "&amp;UNNH0030_REPORT_IF_H_KEISHO)</f>
        <v/>
      </c>
      <c r="F8" s="788"/>
      <c r="G8" s="788"/>
      <c r="H8" s="788"/>
      <c r="I8" s="788"/>
      <c r="J8" s="788"/>
      <c r="K8" s="788"/>
      <c r="L8" s="788"/>
      <c r="M8" s="788"/>
      <c r="N8" s="788"/>
      <c r="O8" s="788"/>
      <c r="P8" s="788"/>
      <c r="Q8" s="788"/>
      <c r="R8" s="788"/>
      <c r="S8" s="788"/>
      <c r="T8" s="788"/>
      <c r="U8" s="788"/>
      <c r="V8" s="788"/>
      <c r="W8" s="788"/>
      <c r="X8" s="410"/>
      <c r="Y8" s="455" t="str">
        <f>UNNH0030_REPORT_IF_H_TAX_KBN_MARK</f>
        <v/>
      </c>
    </row>
    <row r="9" spans="3:51" s="403" customFormat="1" ht="30" customHeight="1">
      <c r="C9" s="404"/>
      <c r="D9" s="412"/>
      <c r="E9" s="789">
        <f>UNNH0030_REPORT_IF_H_SEIKYU_CD</f>
        <v>0</v>
      </c>
      <c r="F9" s="789"/>
      <c r="G9" s="789"/>
      <c r="H9" s="789"/>
      <c r="I9" s="789"/>
      <c r="J9" s="789"/>
      <c r="K9" s="789"/>
      <c r="L9" s="789"/>
      <c r="M9" s="789"/>
      <c r="N9" s="789"/>
      <c r="O9" s="789"/>
      <c r="P9" s="789"/>
      <c r="Q9" s="789"/>
      <c r="R9" s="789"/>
      <c r="S9" s="789"/>
      <c r="T9" s="789"/>
      <c r="U9" s="789"/>
      <c r="V9" s="789"/>
      <c r="W9" s="789"/>
      <c r="X9" s="413"/>
    </row>
    <row r="10" spans="3:51" s="403" customFormat="1" ht="12">
      <c r="C10" s="404"/>
      <c r="D10" s="404"/>
      <c r="E10" s="404"/>
      <c r="F10" s="404"/>
      <c r="G10" s="404"/>
      <c r="H10" s="404"/>
      <c r="I10" s="404"/>
      <c r="J10" s="404"/>
      <c r="K10" s="404"/>
      <c r="L10" s="404"/>
      <c r="M10" s="404"/>
      <c r="N10" s="404"/>
      <c r="O10" s="404"/>
    </row>
    <row r="11" spans="3:51">
      <c r="AV11" s="4"/>
    </row>
  </sheetData>
  <mergeCells count="9">
    <mergeCell ref="AP2:AY3"/>
    <mergeCell ref="AP4:AY4"/>
    <mergeCell ref="E7:W7"/>
    <mergeCell ref="E8:W8"/>
    <mergeCell ref="E9:W9"/>
    <mergeCell ref="AA2:AL3"/>
    <mergeCell ref="F3:U3"/>
    <mergeCell ref="E4:W4"/>
    <mergeCell ref="E5:W5"/>
  </mergeCells>
  <phoneticPr fontId="2"/>
  <pageMargins left="0.47244094488188981" right="0.47244094488188981" top="0.35433070866141736" bottom="0.35433070866141736" header="0.31496062992125984" footer="0.31496062992125984"/>
  <pageSetup paperSize="9" scale="63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</sheetPr>
  <dimension ref="A1:U19"/>
  <sheetViews>
    <sheetView showGridLines="0" showRowColHeaders="0" zoomScaleNormal="100" workbookViewId="0">
      <pane xSplit="7" ySplit="3" topLeftCell="H4" activePane="bottomRight" state="frozen"/>
      <selection activeCell="M31" sqref="M31"/>
      <selection pane="topRight" activeCell="M31" sqref="M31"/>
      <selection pane="bottomLeft" activeCell="M31" sqref="M31"/>
      <selection pane="bottomRight" sqref="A1:E1 S3:U3"/>
    </sheetView>
  </sheetViews>
  <sheetFormatPr defaultRowHeight="16.5"/>
  <cols>
    <col min="1" max="5" width="9" style="4" hidden="1" customWidth="1"/>
    <col min="6" max="6" width="3.375" style="183" customWidth="1"/>
    <col min="7" max="7" width="5" style="183" bestFit="1" customWidth="1"/>
    <col min="8" max="9" width="9.625" style="183" customWidth="1"/>
    <col min="10" max="11" width="11.75" style="183" customWidth="1"/>
    <col min="12" max="12" width="9.625" style="183" customWidth="1"/>
    <col min="13" max="13" width="18.125" style="183" customWidth="1"/>
    <col min="14" max="14" width="18" style="183" customWidth="1"/>
    <col min="15" max="15" width="11.25" style="183" customWidth="1"/>
    <col min="16" max="16" width="12.25" style="183" customWidth="1"/>
    <col min="17" max="17" width="11.75" style="183" customWidth="1"/>
    <col min="18" max="18" width="21.875" style="183" bestFit="1" customWidth="1"/>
    <col min="19" max="19" width="6.625" style="183" hidden="1" customWidth="1"/>
    <col min="20" max="21" width="9" style="183" hidden="1" customWidth="1"/>
    <col min="22" max="16384" width="9" style="183"/>
  </cols>
  <sheetData>
    <row r="1" spans="1:21" s="1" customFormat="1" ht="19.5">
      <c r="A1" s="24"/>
      <c r="B1" s="24"/>
      <c r="C1" s="24"/>
      <c r="D1" s="24"/>
      <c r="E1" s="24"/>
      <c r="F1" s="1" t="s">
        <v>134</v>
      </c>
    </row>
    <row r="2" spans="1:21">
      <c r="G2" s="184"/>
    </row>
    <row r="3" spans="1:21">
      <c r="F3" s="255"/>
      <c r="G3" s="221" t="s">
        <v>0</v>
      </c>
      <c r="H3" s="221" t="s">
        <v>96</v>
      </c>
      <c r="I3" s="221" t="s">
        <v>131</v>
      </c>
      <c r="J3" s="221" t="s">
        <v>76</v>
      </c>
      <c r="K3" s="221" t="s">
        <v>72</v>
      </c>
      <c r="L3" s="221" t="s">
        <v>3</v>
      </c>
      <c r="M3" s="221" t="s">
        <v>4</v>
      </c>
      <c r="N3" s="221" t="s">
        <v>74</v>
      </c>
      <c r="O3" s="221" t="s">
        <v>122</v>
      </c>
      <c r="P3" s="221" t="s">
        <v>135</v>
      </c>
      <c r="Q3" s="221" t="s">
        <v>90</v>
      </c>
      <c r="R3" s="221" t="s">
        <v>99</v>
      </c>
      <c r="S3" s="11" t="s">
        <v>830</v>
      </c>
      <c r="T3" s="11" t="s">
        <v>263</v>
      </c>
      <c r="U3" s="11" t="s">
        <v>1240</v>
      </c>
    </row>
    <row r="5" spans="1:21">
      <c r="B5" s="43" t="s">
        <v>212</v>
      </c>
      <c r="C5" s="44" t="s">
        <v>1220</v>
      </c>
      <c r="D5" s="49"/>
    </row>
    <row r="6" spans="1:21">
      <c r="B6" s="43" t="s">
        <v>146</v>
      </c>
      <c r="C6" s="44" t="s">
        <v>1221</v>
      </c>
      <c r="D6" s="49" t="str">
        <f>ADDRESS(ROW(A1),COLUMN(A1))&amp;":"&amp;ADDRESS(ROW(E1),COLUMN(E1))&amp;","&amp;ADDRESS(ROW(S3),COLUMN(S3))&amp;":"&amp;ADDRESS(ROW(U3),COLUMN(U3))</f>
        <v>$A$1:$E$1,$S$3:$U$3</v>
      </c>
    </row>
    <row r="8" spans="1:21">
      <c r="B8" s="43" t="s">
        <v>565</v>
      </c>
      <c r="C8" s="44" t="s">
        <v>1222</v>
      </c>
      <c r="D8" s="48" t="str">
        <f>ADDRESS(ROW(UNNH0031_SENTAKU)+1,COLUMN(UNNH0031_SENTAKU))</f>
        <v>$G$4</v>
      </c>
    </row>
    <row r="10" spans="1:21">
      <c r="B10" s="43" t="s">
        <v>656</v>
      </c>
      <c r="C10" s="44" t="s">
        <v>1223</v>
      </c>
      <c r="D10" s="48"/>
    </row>
    <row r="11" spans="1:21">
      <c r="B11" s="43" t="s">
        <v>658</v>
      </c>
      <c r="C11" s="44" t="s">
        <v>1224</v>
      </c>
      <c r="D11" s="48">
        <f>UNNH0031_GYO_COUNT+1</f>
        <v>1</v>
      </c>
    </row>
    <row r="12" spans="1:21">
      <c r="B12" s="43" t="s">
        <v>660</v>
      </c>
      <c r="C12" s="44" t="s">
        <v>1225</v>
      </c>
      <c r="D12" s="48">
        <f>UNNH0031_GYO_COUNT-1</f>
        <v>-1</v>
      </c>
    </row>
    <row r="14" spans="1:21">
      <c r="C14" s="44"/>
    </row>
    <row r="15" spans="1:21">
      <c r="B15" s="4" t="s">
        <v>1233</v>
      </c>
      <c r="C15" s="4" t="s">
        <v>1234</v>
      </c>
      <c r="D15" s="48" t="str">
        <f ca="1">"UNNH0031!"&amp;ADDRESS(ROW(INDIRECT(UNNH0031_LIST_START))+UNNH0031_GYO_COUNT,COLUMN(INDIRECT(UNNH0031_LIST_START)))</f>
        <v>UNNH0031!$G$4</v>
      </c>
    </row>
    <row r="16" spans="1:21">
      <c r="B16" s="43" t="s">
        <v>1241</v>
      </c>
      <c r="C16" s="44" t="s">
        <v>1242</v>
      </c>
      <c r="D16" s="48" t="str">
        <f ca="1">"UNNH0031!"&amp;ADDRESS(ROW(INDIRECT(UNNH0031_LIST_START))+UNNH0031_GYO_COUNT,COLUMN(INDIRECT(UNNH0031_LIST_START)))&amp;":"&amp;
ADDRESS(ROW(INDIRECT(UNNH0031_LIST_START))+UNNH0031_GYO_COUNT,COLUMN(INDIRECT(UNNH0031_LIST_START))+COLUMNS(UNNH0031_IF_LIST_COPY_MOTO)-1)</f>
        <v>UNNH0031!$G$4:$U$4</v>
      </c>
    </row>
    <row r="17" spans="2:4">
      <c r="B17" s="43" t="s">
        <v>691</v>
      </c>
      <c r="C17" s="44" t="s">
        <v>1226</v>
      </c>
      <c r="D17" s="48" t="str">
        <f ca="1">IF(OR(UNNH0031_GYO_COUNT=0,UNNH0031_IF_ACTIVE_ROW&lt;ROW(INDIRECT(UNNH0031_LIST_START))),
"",
"UNNH0031!"&amp;ADDRESS(UNNH0031_IF_ACTIVE_ROW,COLUMN(INDIRECT(UNNH0031_LIST_START)))&amp;":"&amp;ADDRESS(UNNH0031_IF_ACTIVE_ROW,COLUMN(INDIRECT(UNNH0031_LIST_START))+COLUMNS(UNNH0031_IF_LIST_COPY_MOTO)-1))</f>
        <v/>
      </c>
    </row>
    <row r="19" spans="2:4">
      <c r="B19" s="43" t="s">
        <v>687</v>
      </c>
      <c r="C19" s="44" t="s">
        <v>1227</v>
      </c>
      <c r="D19" s="48" t="str">
        <f>ADDRESS(ROW(UNNH0031_SENTAKU)+1,COLUMN(UNNH0031_SENTAKU))&amp;":"&amp;
ADDRESS(ROW(UNNH0031_SENTAKU)+1+IF(UNNH0031_GYO_COUNT=0,UNNH0031_GYO_COUNT,UNNH0031_GYO_COUNT-1),COLUMN(UNNH0031_SENTAKU)+COLUMNS(UNNH0031_IF_LIST_DEFAULT)-1)</f>
        <v>$G$4:$U$4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Q15"/>
  <sheetViews>
    <sheetView topLeftCell="N1" zoomScale="85" zoomScaleNormal="85" workbookViewId="0">
      <selection activeCell="AC19" sqref="AC19"/>
    </sheetView>
  </sheetViews>
  <sheetFormatPr defaultRowHeight="13.5"/>
  <cols>
    <col min="1" max="1" width="9" style="329"/>
    <col min="2" max="2" width="11.875" style="329" bestFit="1" customWidth="1"/>
    <col min="3" max="3" width="30.375" style="329" bestFit="1" customWidth="1"/>
    <col min="4" max="5" width="9" style="329"/>
    <col min="7" max="8" width="9" style="329"/>
    <col min="9" max="9" width="23.25" bestFit="1" customWidth="1"/>
    <col min="10" max="10" width="30.375" bestFit="1" customWidth="1"/>
    <col min="23" max="24" width="9" style="329"/>
    <col min="28" max="28" width="11.875" bestFit="1" customWidth="1"/>
    <col min="29" max="29" width="30.375" bestFit="1" customWidth="1"/>
    <col min="32" max="33" width="9" style="329"/>
    <col min="34" max="34" width="11.875" bestFit="1" customWidth="1"/>
  </cols>
  <sheetData>
    <row r="1" spans="1:43">
      <c r="G1" s="165"/>
      <c r="H1" s="165" t="s">
        <v>232</v>
      </c>
      <c r="I1" s="329"/>
      <c r="J1" s="329"/>
      <c r="K1" s="329"/>
      <c r="L1" s="329"/>
      <c r="M1" s="329"/>
      <c r="N1" s="329"/>
      <c r="O1" s="329"/>
      <c r="P1" s="329"/>
      <c r="Q1" s="329"/>
      <c r="R1" s="329"/>
      <c r="S1" s="329"/>
      <c r="T1" s="329"/>
      <c r="U1" s="329"/>
      <c r="V1" s="329"/>
      <c r="AA1" s="165" t="s">
        <v>1243</v>
      </c>
    </row>
    <row r="2" spans="1:43">
      <c r="B2" s="329" t="s">
        <v>242</v>
      </c>
      <c r="C2" s="57" t="s">
        <v>1228</v>
      </c>
      <c r="D2" s="74"/>
      <c r="F2" s="329"/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329"/>
      <c r="T2" s="329"/>
      <c r="U2" s="329"/>
      <c r="V2" s="329"/>
    </row>
    <row r="3" spans="1:43" ht="16.5">
      <c r="B3" s="329" t="s">
        <v>243</v>
      </c>
      <c r="C3" s="57" t="s">
        <v>1229</v>
      </c>
      <c r="D3" s="74"/>
      <c r="F3" s="329"/>
      <c r="I3" s="329"/>
      <c r="J3" s="329"/>
      <c r="K3" s="221" t="s">
        <v>0</v>
      </c>
      <c r="L3" s="221" t="s">
        <v>96</v>
      </c>
      <c r="M3" s="221" t="s">
        <v>131</v>
      </c>
      <c r="N3" s="221" t="s">
        <v>76</v>
      </c>
      <c r="O3" s="221" t="s">
        <v>72</v>
      </c>
      <c r="P3" s="221" t="s">
        <v>3</v>
      </c>
      <c r="Q3" s="221" t="s">
        <v>4</v>
      </c>
      <c r="R3" s="221" t="s">
        <v>74</v>
      </c>
      <c r="S3" s="221" t="s">
        <v>122</v>
      </c>
      <c r="T3" s="221" t="s">
        <v>135</v>
      </c>
      <c r="U3" s="221" t="s">
        <v>90</v>
      </c>
      <c r="V3" s="221" t="s">
        <v>99</v>
      </c>
      <c r="W3" s="11" t="s">
        <v>830</v>
      </c>
      <c r="X3" s="11" t="s">
        <v>263</v>
      </c>
      <c r="Y3" s="11" t="s">
        <v>1240</v>
      </c>
      <c r="AA3" s="259" t="s">
        <v>248</v>
      </c>
      <c r="AB3" s="329"/>
      <c r="AC3" s="57"/>
      <c r="AD3" s="57"/>
      <c r="AF3" s="329" t="s">
        <v>716</v>
      </c>
      <c r="AG3" s="329" t="s">
        <v>1246</v>
      </c>
      <c r="AH3" s="72">
        <f>UNNH0031_IF_W_USER_ID</f>
        <v>0</v>
      </c>
      <c r="AI3" s="72">
        <f>UNNH0031_IF_W_SERIAL</f>
        <v>0</v>
      </c>
      <c r="AJ3" s="72">
        <f>1+ROW()-ROW(UNNH0031_IF_SAVE_START)</f>
        <v>-1</v>
      </c>
      <c r="AK3" s="72">
        <f>UNNH0031_IF_W_MODE</f>
        <v>0</v>
      </c>
      <c r="AL3" s="72">
        <f ca="1">OFFSET(UNNH0031_URIAGE_NO,AJ3,0)</f>
        <v>0</v>
      </c>
    </row>
    <row r="4" spans="1:43" ht="16.5">
      <c r="B4" s="329" t="s">
        <v>244</v>
      </c>
      <c r="C4" s="57" t="s">
        <v>1230</v>
      </c>
      <c r="D4" s="74"/>
      <c r="F4" s="329"/>
      <c r="I4" s="57" t="s">
        <v>235</v>
      </c>
      <c r="J4" s="57" t="s">
        <v>1231</v>
      </c>
      <c r="K4" s="58"/>
      <c r="L4" s="58"/>
      <c r="M4" s="58"/>
      <c r="N4" s="58"/>
      <c r="O4" s="58"/>
      <c r="P4" s="58"/>
      <c r="Q4" s="58"/>
      <c r="R4" s="58"/>
      <c r="S4" s="58"/>
      <c r="T4" s="59"/>
      <c r="U4" s="61"/>
      <c r="V4" s="61"/>
      <c r="W4" s="61"/>
      <c r="X4" s="61"/>
      <c r="Y4" s="61"/>
      <c r="AA4" s="329"/>
      <c r="AB4" s="57" t="s">
        <v>731</v>
      </c>
      <c r="AC4" s="57" t="s">
        <v>1235</v>
      </c>
      <c r="AD4" s="220"/>
      <c r="AH4" s="345" t="s">
        <v>736</v>
      </c>
      <c r="AI4" s="345" t="s">
        <v>737</v>
      </c>
      <c r="AJ4" s="345" t="s">
        <v>739</v>
      </c>
      <c r="AK4" s="345" t="s">
        <v>740</v>
      </c>
      <c r="AL4" s="345" t="s">
        <v>1248</v>
      </c>
      <c r="AM4" s="329"/>
      <c r="AN4" s="329"/>
      <c r="AO4" s="329"/>
      <c r="AP4" s="329"/>
      <c r="AQ4" s="329"/>
    </row>
    <row r="5" spans="1:43" ht="16.5">
      <c r="F5" s="329"/>
      <c r="I5" s="57" t="s">
        <v>236</v>
      </c>
      <c r="J5" s="57" t="s">
        <v>1232</v>
      </c>
      <c r="K5" s="365"/>
      <c r="L5" s="346"/>
      <c r="M5" s="346"/>
      <c r="N5" s="346"/>
      <c r="O5" s="356"/>
      <c r="P5" s="346"/>
      <c r="Q5" s="239"/>
      <c r="R5" s="64"/>
      <c r="S5" s="347"/>
      <c r="T5" s="226"/>
      <c r="U5" s="227"/>
      <c r="V5" s="348"/>
      <c r="W5" s="238"/>
      <c r="X5" s="344"/>
      <c r="Y5" s="65"/>
      <c r="AA5" s="329"/>
      <c r="AB5" s="57" t="s">
        <v>250</v>
      </c>
      <c r="AC5" s="57" t="s">
        <v>1236</v>
      </c>
      <c r="AD5" s="272"/>
      <c r="AF5" s="329" t="s">
        <v>1245</v>
      </c>
      <c r="AG5" s="329" t="s">
        <v>1244</v>
      </c>
      <c r="AH5" s="72"/>
    </row>
    <row r="6" spans="1:43">
      <c r="F6" s="329"/>
      <c r="I6" s="329"/>
      <c r="J6" s="329"/>
      <c r="K6" s="329"/>
      <c r="L6" s="329"/>
      <c r="M6" s="329"/>
      <c r="N6" s="329"/>
      <c r="O6" s="329"/>
      <c r="P6" s="329"/>
      <c r="Q6" s="329"/>
      <c r="R6" s="329"/>
      <c r="S6" s="329"/>
      <c r="T6" s="329"/>
      <c r="U6" s="329"/>
      <c r="V6" s="329"/>
      <c r="AA6" s="329"/>
      <c r="AB6" s="57" t="s">
        <v>885</v>
      </c>
      <c r="AC6" s="57" t="s">
        <v>1237</v>
      </c>
      <c r="AD6" s="272">
        <v>0</v>
      </c>
    </row>
    <row r="7" spans="1:43">
      <c r="F7" s="329"/>
      <c r="I7" s="329"/>
      <c r="J7" s="329"/>
      <c r="K7" s="329"/>
      <c r="L7" s="329"/>
      <c r="M7" s="329"/>
      <c r="N7" s="329"/>
      <c r="O7" s="329"/>
      <c r="P7" s="329"/>
      <c r="Q7" s="329"/>
      <c r="R7" s="329"/>
      <c r="S7" s="329"/>
      <c r="T7" s="329"/>
      <c r="U7" s="329"/>
      <c r="V7" s="329"/>
      <c r="AA7" s="329"/>
      <c r="AB7" s="57" t="s">
        <v>252</v>
      </c>
      <c r="AC7" s="57" t="s">
        <v>1238</v>
      </c>
      <c r="AD7" s="220"/>
    </row>
    <row r="9" spans="1:43">
      <c r="AB9" s="329" t="s">
        <v>255</v>
      </c>
      <c r="AC9" s="329" t="s">
        <v>1247</v>
      </c>
      <c r="AD9" s="72" t="str">
        <f>ADDRESS(ROW(UNNH0031_IF_SAVE_START),COLUMN(UNNH0031_IF_SAVE_START))&amp;":"&amp;
ADDRESS(ROW(UNNH0031_IF_SAVE_START)+UNNH0031_GYO_COUNT,COLUMN(UNNH0031_IF_SAVE_START)+COLUMNS(UNNH0031_IF_SAVE_COPY_MOTO)-1)</f>
        <v>$AH$5:$AL$5</v>
      </c>
    </row>
    <row r="13" spans="1:43">
      <c r="A13" s="165" t="s">
        <v>1039</v>
      </c>
      <c r="F13" s="329"/>
    </row>
    <row r="14" spans="1:43">
      <c r="B14" s="329" t="s">
        <v>1249</v>
      </c>
      <c r="C14" s="57" t="s">
        <v>1250</v>
      </c>
      <c r="D14" s="72">
        <f>IF(UNNH0031_GYO_COUNT&lt;2,1,0)</f>
        <v>1</v>
      </c>
      <c r="E14" s="293" t="s">
        <v>1042</v>
      </c>
      <c r="F14" s="293" t="s">
        <v>1043</v>
      </c>
      <c r="G14" s="293"/>
      <c r="H14" s="293"/>
    </row>
    <row r="15" spans="1:43">
      <c r="B15" s="329" t="s">
        <v>1040</v>
      </c>
      <c r="C15" s="57" t="s">
        <v>1239</v>
      </c>
      <c r="D15" s="72">
        <f>IF(UNNH0031_IF_ACTIVE_ROW&lt;=ROW(UNNH0031_SENTAKU),1,0)</f>
        <v>1</v>
      </c>
      <c r="E15" s="293" t="s">
        <v>1042</v>
      </c>
      <c r="F15" s="293" t="s">
        <v>1043</v>
      </c>
    </row>
  </sheetData>
  <phoneticPr fontId="2"/>
  <conditionalFormatting sqref="K5:X5">
    <cfRule type="expression" dxfId="4" priority="2">
      <formula>CELL("row")=ROW()</formula>
    </cfRule>
  </conditionalFormatting>
  <conditionalFormatting sqref="Y5">
    <cfRule type="expression" dxfId="3" priority="1">
      <formula>CELL("row")=ROW()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H11"/>
  <sheetViews>
    <sheetView zoomScale="85" zoomScaleNormal="85" workbookViewId="0">
      <selection activeCell="F42" sqref="F42"/>
    </sheetView>
  </sheetViews>
  <sheetFormatPr defaultRowHeight="13.5"/>
  <cols>
    <col min="1" max="1" width="9" style="329"/>
    <col min="2" max="2" width="3.5" customWidth="1"/>
    <col min="3" max="3" width="3.125" customWidth="1"/>
    <col min="4" max="4" width="25.125" bestFit="1" customWidth="1"/>
    <col min="5" max="5" width="4.375" customWidth="1"/>
    <col min="6" max="6" width="82.5" bestFit="1" customWidth="1"/>
    <col min="8" max="8" width="40.375" bestFit="1" customWidth="1"/>
  </cols>
  <sheetData>
    <row r="3" spans="2:8" s="329" customFormat="1" ht="18.75">
      <c r="B3" s="730" t="s">
        <v>1645</v>
      </c>
      <c r="C3" s="730"/>
      <c r="D3" s="730"/>
      <c r="E3" s="526"/>
      <c r="F3" s="300"/>
      <c r="G3" s="300"/>
      <c r="H3" s="301" t="s">
        <v>1056</v>
      </c>
    </row>
    <row r="4" spans="2:8" s="329" customFormat="1" ht="18" customHeight="1">
      <c r="B4" s="302"/>
      <c r="C4" s="731" t="s">
        <v>1057</v>
      </c>
      <c r="D4" s="732"/>
      <c r="E4" s="525"/>
      <c r="F4" s="297" t="str">
        <f>F5&amp;F6&amp;F7</f>
        <v xml:space="preserve">SELECT '＞'                     AS '選択'
      ,DEMPYO_KBN_MEI           AS '伝票区分'
      ,RENDO_KBN_MEI            AS '商魂連動区分'
      ,URIAGE_NO                AS '売上No.'
      ,URIAGE_DATE              AS '売上日'
      ,SEIKYU_CD                AS '請求先CD'
      ,SEIKYU_MEI               AS '請求先名'
      ,DEMPYO_SOFU_MEI          AS '伝票宛名'
      ,URI_NYU_MEI              AS '売上入力者名'
      ,JURI_NO                  AS '対象受理No.'
      ,SHOKON_NO                AS '商魂伝票No.'
      ,SHOKON_LIST_DATE_TIME    AS '商魂連動日時'
      ,NOHIN_DATE               AS '納品日'
      ,URIAGE_STS_MEI           AS 'ステータス'
      ,NUKI_TOTAL               AS '税抜合計額'
  FROM V_C_URIAGE_H
 WHERE ISNULL(SAKI_URIAGE_NO,'') =  ''
   AND DEMPYO_KBN                = 1
 ORDER BY URIAGE_NO DESC
</v>
      </c>
      <c r="G4" s="297"/>
      <c r="H4" s="298" t="s">
        <v>1646</v>
      </c>
    </row>
    <row r="5" spans="2:8" s="329" customFormat="1" ht="18" customHeight="1">
      <c r="B5" s="302"/>
      <c r="C5" s="304"/>
      <c r="D5" s="295" t="s">
        <v>1071</v>
      </c>
      <c r="E5" s="295"/>
      <c r="F5" s="297" t="s">
        <v>1647</v>
      </c>
      <c r="G5" s="297"/>
      <c r="H5" s="298" t="s">
        <v>958</v>
      </c>
    </row>
    <row r="6" spans="2:8" s="329" customFormat="1" ht="18" customHeight="1">
      <c r="B6" s="302"/>
      <c r="C6" s="304"/>
      <c r="D6" s="295" t="s">
        <v>1072</v>
      </c>
      <c r="E6" s="295"/>
      <c r="F6" s="297" t="s">
        <v>1648</v>
      </c>
      <c r="G6" s="297"/>
      <c r="H6" s="298" t="s">
        <v>958</v>
      </c>
    </row>
    <row r="7" spans="2:8" s="329" customFormat="1" ht="18" customHeight="1">
      <c r="B7" s="302"/>
      <c r="C7" s="304"/>
      <c r="D7" s="527" t="s">
        <v>1526</v>
      </c>
      <c r="E7" s="527"/>
      <c r="F7" s="460" t="s">
        <v>1649</v>
      </c>
      <c r="G7" s="297"/>
      <c r="H7" s="298" t="s">
        <v>958</v>
      </c>
    </row>
    <row r="8" spans="2:8" s="329" customFormat="1" ht="18.75">
      <c r="B8" s="730" t="s">
        <v>1650</v>
      </c>
      <c r="C8" s="730"/>
      <c r="D8" s="730"/>
      <c r="E8" s="526"/>
      <c r="F8" s="300"/>
      <c r="G8" s="300"/>
      <c r="H8" s="301" t="s">
        <v>1056</v>
      </c>
    </row>
    <row r="9" spans="2:8" s="329" customFormat="1" ht="18" customHeight="1">
      <c r="B9" s="302"/>
      <c r="C9" s="731" t="s">
        <v>1057</v>
      </c>
      <c r="D9" s="732"/>
      <c r="E9" s="525"/>
      <c r="F9" s="297" t="str">
        <f>F10&amp;F11</f>
        <v>DELETE 
  FROM W_URIAGE_MERGE
 WHERE W_USER_ID = ''</v>
      </c>
      <c r="G9" s="297"/>
      <c r="H9" s="298" t="s">
        <v>1651</v>
      </c>
    </row>
    <row r="10" spans="2:8" s="329" customFormat="1" ht="18" customHeight="1">
      <c r="B10" s="302"/>
      <c r="C10" s="304"/>
      <c r="D10" s="295" t="s">
        <v>1071</v>
      </c>
      <c r="E10" s="295"/>
      <c r="F10" s="297" t="s">
        <v>1652</v>
      </c>
      <c r="G10" s="297"/>
      <c r="H10" s="298" t="s">
        <v>958</v>
      </c>
    </row>
    <row r="11" spans="2:8" s="329" customFormat="1" ht="18" customHeight="1">
      <c r="B11" s="302"/>
      <c r="C11" s="304"/>
      <c r="D11" s="295" t="s">
        <v>1072</v>
      </c>
      <c r="E11" s="295"/>
      <c r="F11" s="297" t="str">
        <f>" WHERE W_USER_ID = '"&amp;UNNH0031_IF_W_USER_ID&amp;"'"</f>
        <v xml:space="preserve"> WHERE W_USER_ID = ''</v>
      </c>
      <c r="G11" s="297"/>
      <c r="H11" s="298" t="s">
        <v>958</v>
      </c>
    </row>
  </sheetData>
  <mergeCells count="4">
    <mergeCell ref="B3:D3"/>
    <mergeCell ref="C4:D4"/>
    <mergeCell ref="B8:D8"/>
    <mergeCell ref="C9:D9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000"/>
  </sheetPr>
  <dimension ref="A1:V19"/>
  <sheetViews>
    <sheetView showGridLines="0" showRowColHeaders="0" zoomScaleNormal="100" workbookViewId="0">
      <pane xSplit="7" ySplit="3" topLeftCell="H4" activePane="bottomRight" state="frozen"/>
      <selection activeCell="M31" sqref="M31"/>
      <selection pane="topRight" activeCell="M31" sqref="M31"/>
      <selection pane="bottomLeft" activeCell="M31" sqref="M31"/>
      <selection pane="bottomRight" sqref="A1:E1 H3"/>
    </sheetView>
  </sheetViews>
  <sheetFormatPr defaultRowHeight="16.5"/>
  <cols>
    <col min="1" max="1" width="3.875" style="4" hidden="1" customWidth="1"/>
    <col min="2" max="2" width="16.75" style="4" hidden="1" customWidth="1"/>
    <col min="3" max="3" width="29.25" style="4" hidden="1" customWidth="1"/>
    <col min="4" max="4" width="21.125" style="4" hidden="1" customWidth="1"/>
    <col min="5" max="5" width="3.875" style="4" hidden="1" customWidth="1"/>
    <col min="6" max="6" width="3.375" style="183" customWidth="1"/>
    <col min="7" max="7" width="5" style="183" bestFit="1" customWidth="1"/>
    <col min="8" max="8" width="5" style="183" hidden="1" customWidth="1"/>
    <col min="9" max="9" width="9.625" style="183" customWidth="1"/>
    <col min="10" max="10" width="9.625" style="183" bestFit="1" customWidth="1"/>
    <col min="11" max="11" width="12.375" style="183" customWidth="1"/>
    <col min="12" max="12" width="11.125" style="183" customWidth="1"/>
    <col min="13" max="13" width="43.25" style="183" customWidth="1"/>
    <col min="14" max="14" width="11.75" style="183" bestFit="1" customWidth="1"/>
    <col min="15" max="15" width="30.625" style="183" customWidth="1"/>
    <col min="16" max="19" width="12.75" style="183" customWidth="1"/>
    <col min="20" max="21" width="4.75" style="183" bestFit="1" customWidth="1"/>
    <col min="22" max="22" width="13" style="183" bestFit="1" customWidth="1"/>
    <col min="23" max="16384" width="9" style="183"/>
  </cols>
  <sheetData>
    <row r="1" spans="1:22" s="1" customFormat="1" ht="19.5">
      <c r="A1" s="24"/>
      <c r="B1" s="24"/>
      <c r="C1" s="24"/>
      <c r="D1" s="24"/>
      <c r="E1" s="24"/>
      <c r="F1" s="1" t="s">
        <v>1603</v>
      </c>
    </row>
    <row r="2" spans="1:22">
      <c r="G2" s="184"/>
    </row>
    <row r="3" spans="1:22" ht="33">
      <c r="F3" s="255"/>
      <c r="G3" s="221" t="s">
        <v>0</v>
      </c>
      <c r="H3" s="11" t="s">
        <v>635</v>
      </c>
      <c r="I3" s="221" t="s">
        <v>43</v>
      </c>
      <c r="J3" s="221" t="s">
        <v>44</v>
      </c>
      <c r="K3" s="323" t="s">
        <v>45</v>
      </c>
      <c r="L3" s="221" t="s">
        <v>46</v>
      </c>
      <c r="M3" s="221" t="s">
        <v>5</v>
      </c>
      <c r="N3" s="221" t="s">
        <v>3</v>
      </c>
      <c r="O3" s="221" t="s">
        <v>4</v>
      </c>
      <c r="P3" s="221" t="s">
        <v>1295</v>
      </c>
      <c r="Q3" s="221" t="s">
        <v>111</v>
      </c>
      <c r="R3" s="221" t="s">
        <v>47</v>
      </c>
      <c r="S3" s="221" t="s">
        <v>48</v>
      </c>
      <c r="T3" s="323" t="s">
        <v>1321</v>
      </c>
      <c r="U3" s="323" t="s">
        <v>1322</v>
      </c>
      <c r="V3" s="221" t="s">
        <v>2</v>
      </c>
    </row>
    <row r="5" spans="1:22">
      <c r="B5" s="43" t="s">
        <v>212</v>
      </c>
      <c r="C5" s="44" t="s">
        <v>1543</v>
      </c>
      <c r="D5" s="49"/>
    </row>
    <row r="6" spans="1:22">
      <c r="B6" s="43" t="s">
        <v>146</v>
      </c>
      <c r="C6" s="44" t="s">
        <v>1562</v>
      </c>
      <c r="D6" s="49" t="str">
        <f>ADDRESS(ROW(A1),COLUMN(A1))&amp;":"&amp;ADDRESS(ROW(E1),COLUMN(E1))&amp;","&amp;ADDRESS(ROW(UNNH0032_JUCHU_KBN),COLUMN(UNNH0032_JUCHU_KBN))</f>
        <v>$A$1:$E$1,$H$3</v>
      </c>
    </row>
    <row r="8" spans="1:22">
      <c r="B8" s="43" t="s">
        <v>565</v>
      </c>
      <c r="C8" s="44" t="s">
        <v>1544</v>
      </c>
      <c r="D8" s="48" t="str">
        <f>"UNNH0032!"&amp;ADDRESS(ROW(UNNH0032_SENTAKU)+1,COLUMN(UNNH0032_SENTAKU))</f>
        <v>UNNH0032!$G$4</v>
      </c>
      <c r="R8" s="508"/>
      <c r="S8" s="508"/>
    </row>
    <row r="9" spans="1:22">
      <c r="R9" s="508"/>
      <c r="S9" s="508"/>
    </row>
    <row r="10" spans="1:22">
      <c r="B10" s="43" t="s">
        <v>656</v>
      </c>
      <c r="C10" s="44" t="s">
        <v>1545</v>
      </c>
      <c r="D10" s="48"/>
      <c r="R10" s="508"/>
      <c r="S10" s="508"/>
    </row>
    <row r="11" spans="1:22">
      <c r="B11" s="43" t="s">
        <v>658</v>
      </c>
      <c r="C11" s="44" t="s">
        <v>1546</v>
      </c>
      <c r="D11" s="48">
        <f>UNNH0032_GYO_COUNT+UNNH0032_SELECT_COUNT</f>
        <v>0</v>
      </c>
    </row>
    <row r="12" spans="1:22">
      <c r="B12" s="43" t="s">
        <v>660</v>
      </c>
      <c r="C12" s="44" t="s">
        <v>1547</v>
      </c>
      <c r="D12" s="48">
        <f>UNNH0032_GYO_COUNT-1</f>
        <v>-1</v>
      </c>
    </row>
    <row r="13" spans="1:22">
      <c r="B13" s="4" t="s">
        <v>1572</v>
      </c>
      <c r="C13" s="44" t="s">
        <v>1573</v>
      </c>
      <c r="D13" s="48"/>
    </row>
    <row r="14" spans="1:22">
      <c r="C14" s="44"/>
    </row>
    <row r="15" spans="1:22">
      <c r="B15" s="4" t="s">
        <v>1233</v>
      </c>
      <c r="C15" s="4" t="s">
        <v>1548</v>
      </c>
      <c r="D15" s="48" t="str">
        <f ca="1">"UNNH0032!"&amp;ADDRESS(ROW(INDIRECT(UNNH0032_LIST_START))+UNNH0032_GYO_COUNT,COLUMN(INDIRECT(UNNH0032_LIST_START)))</f>
        <v>UNNH0032!$G$4</v>
      </c>
    </row>
    <row r="16" spans="1:22">
      <c r="B16" s="43" t="s">
        <v>1241</v>
      </c>
      <c r="C16" s="44" t="s">
        <v>1549</v>
      </c>
      <c r="D16" s="48" t="str">
        <f ca="1">IF(UNNH0032_SELECT_COUNT=0,"",
"UNNH0032!"&amp;ADDRESS(ROW(INDIRECT(UNNH0032_LIST_START))+UNNH0032_GYO_COUNT,COLUMN(INDIRECT(UNNH0032_LIST_START)))&amp;":"&amp;
ADDRESS(ROW(INDIRECT(UNNH0032_LIST_START))+UNNH0032_GYO_COUNT+UNNH0032_SELECT_COUNT-1,COLUMN(INDIRECT(UNNH0032_LIST_START))+COLUMNS(UNNH0032_IF_LIST_COPY_MOTO)-1))</f>
        <v/>
      </c>
    </row>
    <row r="17" spans="2:4">
      <c r="B17" s="43" t="s">
        <v>691</v>
      </c>
      <c r="C17" s="44" t="s">
        <v>1550</v>
      </c>
      <c r="D17" s="48" t="str">
        <f ca="1">IF(OR(UNNH0032_GYO_COUNT=0,UNNH0032_IF_ACTIVE_ROW&lt;ROW(INDIRECT(UNNH0032_LIST_START))),
"",
"UNNH0032!"&amp;ADDRESS(UNNH0032_IF_ACTIVE_ROW,COLUMN(INDIRECT(UNNH0032_LIST_START)))&amp;":"&amp;ADDRESS(UNNH0032_IF_ACTIVE_ROW,COLUMN(INDIRECT(UNNH0032_LIST_START))+COLUMNS(UNNH0032_IF_LIST_COPY_MOTO)-1))</f>
        <v/>
      </c>
    </row>
    <row r="19" spans="2:4">
      <c r="B19" s="43" t="s">
        <v>687</v>
      </c>
      <c r="C19" s="44" t="s">
        <v>1551</v>
      </c>
      <c r="D19" s="48" t="str">
        <f>"UNNH0032!"&amp;ADDRESS(ROW(UNNH0032_SENTAKU)+1,COLUMN(UNNH0032_SENTAKU))&amp;":"&amp;
ADDRESS(ROW(UNNH0032_SENTAKU)+1+IF(UNNH0032_GYO_COUNT=0,UNNH0032_GYO_COUNT,UNNH0032_GYO_COUNT-1),COLUMN(UNNH0032_SENTAKU)+COLUMNS(UNNH0032_IF_LIST_DEFAULT)-1)</f>
        <v>UNNH0032!$G$4:$V$4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N14"/>
  <sheetViews>
    <sheetView zoomScaleNormal="100" workbookViewId="0"/>
  </sheetViews>
  <sheetFormatPr defaultRowHeight="13.5"/>
  <cols>
    <col min="1" max="1" width="9" style="329"/>
    <col min="2" max="2" width="11.875" style="329" bestFit="1" customWidth="1"/>
    <col min="3" max="3" width="30.375" style="329" bestFit="1" customWidth="1"/>
    <col min="4" max="7" width="9" style="329"/>
    <col min="8" max="8" width="5.625" style="329" customWidth="1"/>
    <col min="9" max="9" width="23.25" style="329" bestFit="1" customWidth="1"/>
    <col min="10" max="10" width="30.375" style="329" bestFit="1" customWidth="1"/>
    <col min="11" max="14" width="9" style="329"/>
    <col min="15" max="15" width="11.75" style="329" bestFit="1" customWidth="1"/>
    <col min="16" max="28" width="9" style="329"/>
    <col min="29" max="29" width="11.875" style="329" bestFit="1" customWidth="1"/>
    <col min="30" max="30" width="30.375" style="329" bestFit="1" customWidth="1"/>
    <col min="31" max="31" width="12.625" style="329" bestFit="1" customWidth="1"/>
    <col min="32" max="34" width="9" style="329"/>
    <col min="35" max="35" width="11.875" style="329" bestFit="1" customWidth="1"/>
    <col min="36" max="16384" width="9" style="329"/>
  </cols>
  <sheetData>
    <row r="1" spans="1:40">
      <c r="G1" s="165"/>
      <c r="H1" s="165" t="s">
        <v>232</v>
      </c>
      <c r="AB1" s="165" t="s">
        <v>1243</v>
      </c>
    </row>
    <row r="2" spans="1:40">
      <c r="B2" s="329" t="s">
        <v>242</v>
      </c>
      <c r="C2" s="57" t="s">
        <v>1552</v>
      </c>
      <c r="D2" s="74"/>
    </row>
    <row r="3" spans="1:40" ht="51" customHeight="1">
      <c r="B3" s="329" t="s">
        <v>243</v>
      </c>
      <c r="C3" s="57" t="s">
        <v>1553</v>
      </c>
      <c r="D3" s="74"/>
      <c r="K3" s="178" t="s">
        <v>0</v>
      </c>
      <c r="L3" s="501" t="s">
        <v>635</v>
      </c>
      <c r="M3" s="178" t="s">
        <v>43</v>
      </c>
      <c r="N3" s="178" t="s">
        <v>263</v>
      </c>
      <c r="O3" s="502" t="s">
        <v>45</v>
      </c>
      <c r="P3" s="178" t="s">
        <v>46</v>
      </c>
      <c r="Q3" s="178" t="s">
        <v>5</v>
      </c>
      <c r="R3" s="178" t="s">
        <v>3</v>
      </c>
      <c r="S3" s="178" t="s">
        <v>4</v>
      </c>
      <c r="T3" s="178" t="s">
        <v>120</v>
      </c>
      <c r="U3" s="178" t="s">
        <v>111</v>
      </c>
      <c r="V3" s="178" t="s">
        <v>47</v>
      </c>
      <c r="W3" s="178" t="s">
        <v>48</v>
      </c>
      <c r="X3" s="178" t="s">
        <v>49</v>
      </c>
      <c r="Y3" s="178" t="s">
        <v>50</v>
      </c>
      <c r="Z3" s="178" t="s">
        <v>2</v>
      </c>
      <c r="AB3" s="259" t="s">
        <v>248</v>
      </c>
      <c r="AD3" s="57"/>
      <c r="AE3" s="57"/>
      <c r="AG3" s="329" t="s">
        <v>716</v>
      </c>
      <c r="AH3" s="329" t="s">
        <v>1565</v>
      </c>
      <c r="AI3" s="72" t="str">
        <f>IF(UNNH0032_GYO_COUNT=0,"",UNNH0032_IF_W_USER_ID)</f>
        <v/>
      </c>
      <c r="AJ3" s="72" t="str">
        <f>IF(UNNH0032_GYO_COUNT=0,"",UNNH0032_IF_W_SERIAL)</f>
        <v/>
      </c>
      <c r="AK3" s="72" t="str">
        <f>IF(UNNH0032_GYO_COUNT=0,"",1+ROW()-ROW(UNNH0032_IF_SAVE_START))</f>
        <v/>
      </c>
      <c r="AL3" s="72" t="str">
        <f>IF(UNNH0032_GYO_COUNT=0,"",UNNH0032_IF_W_MODE)</f>
        <v/>
      </c>
      <c r="AM3" s="72" t="str">
        <f ca="1">IF(UNNH0032_GYO_COUNT=0,"",OFFSET(UNNH0032_JUCHU_KBN,AK3,0))</f>
        <v/>
      </c>
      <c r="AN3" s="72" t="str">
        <f ca="1">IF(UNNH0032_GYO_COUNT=0,"",OFFSET(UNNH0032_JURI_NO,AK3,0))</f>
        <v/>
      </c>
    </row>
    <row r="4" spans="1:40" ht="16.5">
      <c r="B4" s="329" t="s">
        <v>244</v>
      </c>
      <c r="C4" s="57" t="s">
        <v>1554</v>
      </c>
      <c r="D4" s="74"/>
      <c r="I4" s="57" t="s">
        <v>235</v>
      </c>
      <c r="J4" s="57" t="s">
        <v>1563</v>
      </c>
      <c r="K4" s="58"/>
      <c r="L4" s="58"/>
      <c r="M4" s="59"/>
      <c r="N4" s="58"/>
      <c r="O4" s="58"/>
      <c r="P4" s="60"/>
      <c r="Q4" s="59"/>
      <c r="R4" s="61"/>
      <c r="S4" s="61"/>
      <c r="T4" s="61"/>
      <c r="U4" s="61"/>
      <c r="V4" s="61"/>
      <c r="W4" s="61"/>
      <c r="X4" s="59"/>
      <c r="Y4" s="59"/>
      <c r="Z4" s="59"/>
      <c r="AC4" s="57" t="s">
        <v>253</v>
      </c>
      <c r="AD4" s="57" t="s">
        <v>1555</v>
      </c>
      <c r="AE4" s="220"/>
      <c r="AI4" s="345" t="s">
        <v>736</v>
      </c>
      <c r="AJ4" s="345" t="s">
        <v>737</v>
      </c>
      <c r="AK4" s="345" t="s">
        <v>739</v>
      </c>
      <c r="AL4" s="345" t="s">
        <v>740</v>
      </c>
      <c r="AM4" s="345" t="s">
        <v>1566</v>
      </c>
      <c r="AN4" s="345" t="s">
        <v>1601</v>
      </c>
    </row>
    <row r="5" spans="1:40" ht="16.5">
      <c r="I5" s="57" t="s">
        <v>236</v>
      </c>
      <c r="J5" s="57" t="s">
        <v>1564</v>
      </c>
      <c r="K5" s="365"/>
      <c r="L5" s="365"/>
      <c r="M5" s="347"/>
      <c r="N5" s="347"/>
      <c r="O5" s="347"/>
      <c r="P5" s="347"/>
      <c r="Q5" s="64"/>
      <c r="R5" s="382"/>
      <c r="S5" s="383"/>
      <c r="T5" s="382"/>
      <c r="U5" s="382"/>
      <c r="V5" s="382"/>
      <c r="W5" s="382"/>
      <c r="X5" s="347"/>
      <c r="Y5" s="347"/>
      <c r="Z5" s="347"/>
      <c r="AC5" s="57" t="s">
        <v>250</v>
      </c>
      <c r="AD5" s="57" t="s">
        <v>1556</v>
      </c>
      <c r="AE5" s="272"/>
      <c r="AG5" s="329" t="s">
        <v>1245</v>
      </c>
      <c r="AH5" s="329" t="s">
        <v>1557</v>
      </c>
      <c r="AI5" s="72"/>
    </row>
    <row r="6" spans="1:40">
      <c r="AC6" s="57" t="s">
        <v>885</v>
      </c>
      <c r="AD6" s="57" t="s">
        <v>1558</v>
      </c>
      <c r="AE6" s="272">
        <v>0</v>
      </c>
    </row>
    <row r="7" spans="1:40">
      <c r="AC7" s="57" t="s">
        <v>252</v>
      </c>
      <c r="AD7" s="57" t="s">
        <v>1559</v>
      </c>
      <c r="AE7" s="220"/>
    </row>
    <row r="9" spans="1:40">
      <c r="AC9" s="329" t="s">
        <v>255</v>
      </c>
      <c r="AD9" s="329" t="s">
        <v>1560</v>
      </c>
      <c r="AE9" s="72" t="str">
        <f>ADDRESS(ROW(UNNH0032_IF_SAVE_START),COLUMN(UNNH0032_IF_SAVE_START))&amp;":"&amp;
ADDRESS(ROW(UNNH0032_IF_SAVE_START)+UNNH0032_GYO_COUNT,COLUMN(UNNH0032_IF_SAVE_START)+COLUMNS(UNNH0032_IF_SAVE_COPY_MOTO)-1)</f>
        <v>$AI$5:$AN$5</v>
      </c>
    </row>
    <row r="10" spans="1:40">
      <c r="AC10" s="329" t="s">
        <v>256</v>
      </c>
      <c r="AD10" s="57" t="s">
        <v>1592</v>
      </c>
      <c r="AE10" s="220">
        <f>IF(UNNH0032_GYO_COUNT&lt;=0,1,UNNH0032_GYO_COUNT)</f>
        <v>1</v>
      </c>
    </row>
    <row r="13" spans="1:40">
      <c r="A13" s="165" t="s">
        <v>1039</v>
      </c>
    </row>
    <row r="14" spans="1:40">
      <c r="B14" s="329" t="s">
        <v>1040</v>
      </c>
      <c r="C14" s="57" t="s">
        <v>1561</v>
      </c>
      <c r="D14" s="72">
        <f>IF(UNNH0032_IF_ACTIVE_ROW&lt;=ROW(UNNH0032_SENTAKU),1,0)</f>
        <v>1</v>
      </c>
      <c r="E14" s="293" t="s">
        <v>1042</v>
      </c>
      <c r="F14" s="293" t="s">
        <v>1043</v>
      </c>
      <c r="G14" s="293"/>
      <c r="H14" s="293"/>
    </row>
  </sheetData>
  <phoneticPr fontId="2"/>
  <conditionalFormatting sqref="K5:L5">
    <cfRule type="expression" dxfId="2" priority="3">
      <formula>CELL("row")=ROW()</formula>
    </cfRule>
  </conditionalFormatting>
  <conditionalFormatting sqref="M5:Z5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B3:H17"/>
  <sheetViews>
    <sheetView zoomScale="85" zoomScaleNormal="85" workbookViewId="0">
      <selection activeCell="B3" sqref="B3:D3"/>
    </sheetView>
  </sheetViews>
  <sheetFormatPr defaultRowHeight="13.5"/>
  <cols>
    <col min="1" max="1" width="9" style="329"/>
    <col min="2" max="2" width="3.5" style="329" customWidth="1"/>
    <col min="3" max="3" width="3.125" style="329" customWidth="1"/>
    <col min="4" max="4" width="25.125" style="329" bestFit="1" customWidth="1"/>
    <col min="5" max="5" width="4.375" style="329" customWidth="1"/>
    <col min="6" max="6" width="39.375" style="329" customWidth="1"/>
    <col min="7" max="7" width="9" style="329"/>
    <col min="8" max="8" width="40.375" style="329" bestFit="1" customWidth="1"/>
    <col min="9" max="16384" width="9" style="329"/>
  </cols>
  <sheetData>
    <row r="3" spans="2:8" ht="18.75">
      <c r="B3" s="730" t="s">
        <v>1604</v>
      </c>
      <c r="C3" s="730"/>
      <c r="D3" s="730"/>
      <c r="E3" s="498"/>
      <c r="F3" s="503"/>
      <c r="G3" s="504"/>
      <c r="H3" s="301" t="s">
        <v>1056</v>
      </c>
    </row>
    <row r="4" spans="2:8" ht="18" customHeight="1">
      <c r="B4" s="302"/>
      <c r="C4" s="731" t="s">
        <v>1057</v>
      </c>
      <c r="D4" s="732"/>
      <c r="E4" s="496"/>
      <c r="F4" s="505" t="str">
        <f>F5&amp;F6&amp;F7&amp;F8&amp;F9</f>
        <v xml:space="preserve">SELECT TBL_V.*
  FROM W_URIAGE              AS TBL_H
 INNER JOIN
       V_URIAGE_JUCHU_SELECT AS TBL_V
    ON TBL_V.JURI_NO         =  TBL_H.JURI_NO
 WHERE TBL_H.W_USER_ID       =  ''
   AND TBL_H.W_PAGE          =  
 UNION
SELECT TBL_V.*
  FROM W_URIAGE_JUCHU_SELECT AS TBL_W
 INNER JOIN
       V_URIAGE_JUCHU_SELECT AS TBL_V
    ON TBL_V.JURI_NO         =  TBL_W.JURI_NO
 WHERE TBL_W.W_USER_ID       =  ''
 ORDER BY JURI_NO ASC
</v>
      </c>
      <c r="G4" s="309"/>
      <c r="H4" s="298" t="s">
        <v>1570</v>
      </c>
    </row>
    <row r="5" spans="2:8" ht="18" customHeight="1">
      <c r="B5" s="302"/>
      <c r="C5" s="304"/>
      <c r="D5" s="295" t="s">
        <v>1596</v>
      </c>
      <c r="E5" s="506"/>
      <c r="F5" s="505" t="s">
        <v>1600</v>
      </c>
      <c r="G5" s="309"/>
      <c r="H5" s="298" t="s">
        <v>958</v>
      </c>
    </row>
    <row r="6" spans="2:8" ht="18" customHeight="1">
      <c r="B6" s="302"/>
      <c r="C6" s="304"/>
      <c r="D6" s="295" t="s">
        <v>1597</v>
      </c>
      <c r="E6" s="506"/>
      <c r="F6" s="507" t="str">
        <f>" WHERE TBL_H.W_USER_ID       =  '"&amp;UNNH0032_IF_W_USER_ID&amp;"'
   AND TBL_H.W_PAGE          =  "&amp;UNNH0030_H_PAGE_NO&amp;"
"</f>
        <v xml:space="preserve"> WHERE TBL_H.W_USER_ID       =  ''
   AND TBL_H.W_PAGE          =  
</v>
      </c>
      <c r="G6" s="309"/>
      <c r="H6" s="298" t="s">
        <v>958</v>
      </c>
    </row>
    <row r="7" spans="2:8" ht="18" customHeight="1">
      <c r="B7" s="302"/>
      <c r="C7" s="304"/>
      <c r="D7" s="295" t="s">
        <v>1598</v>
      </c>
      <c r="E7" s="506"/>
      <c r="F7" s="505" t="s">
        <v>1593</v>
      </c>
      <c r="G7" s="309"/>
      <c r="H7" s="298" t="s">
        <v>958</v>
      </c>
    </row>
    <row r="8" spans="2:8" ht="18" customHeight="1">
      <c r="B8" s="302"/>
      <c r="C8" s="304"/>
      <c r="D8" s="295" t="s">
        <v>1599</v>
      </c>
      <c r="E8" s="506"/>
      <c r="F8" s="507" t="str">
        <f>" WHERE TBL_W.W_USER_ID       =  '"&amp;UNNH0032_IF_W_USER_ID&amp;"'
"</f>
        <v xml:space="preserve"> WHERE TBL_W.W_USER_ID       =  ''
</v>
      </c>
      <c r="G8" s="309"/>
      <c r="H8" s="298" t="s">
        <v>958</v>
      </c>
    </row>
    <row r="9" spans="2:8" ht="18" customHeight="1">
      <c r="B9" s="499"/>
      <c r="C9" s="500"/>
      <c r="D9" s="295" t="s">
        <v>1526</v>
      </c>
      <c r="E9" s="506"/>
      <c r="F9" s="507" t="s">
        <v>1589</v>
      </c>
      <c r="G9" s="309"/>
      <c r="H9" s="298" t="s">
        <v>958</v>
      </c>
    </row>
    <row r="10" spans="2:8" ht="18.75">
      <c r="B10" s="730" t="s">
        <v>1576</v>
      </c>
      <c r="C10" s="730"/>
      <c r="D10" s="730"/>
      <c r="E10" s="511"/>
      <c r="F10" s="503"/>
      <c r="G10" s="504"/>
      <c r="H10" s="301" t="s">
        <v>1056</v>
      </c>
    </row>
    <row r="11" spans="2:8" ht="18" customHeight="1">
      <c r="B11" s="302"/>
      <c r="C11" s="731" t="s">
        <v>1057</v>
      </c>
      <c r="D11" s="732"/>
      <c r="E11" s="509"/>
      <c r="F11" s="505" t="str">
        <f>F12&amp;F13</f>
        <v xml:space="preserve">SELECT *
  FROM W_URIAGE_JUCHU_SELECT AS TBL_W
 WHERE TBL_W.W_USER_ID       =  ''
</v>
      </c>
      <c r="G11" s="309"/>
      <c r="H11" s="298" t="s">
        <v>1578</v>
      </c>
    </row>
    <row r="12" spans="2:8" ht="18" customHeight="1">
      <c r="B12" s="302"/>
      <c r="C12" s="304"/>
      <c r="D12" s="295" t="s">
        <v>1071</v>
      </c>
      <c r="E12" s="506"/>
      <c r="F12" s="505" t="s">
        <v>1577</v>
      </c>
      <c r="G12" s="309"/>
      <c r="H12" s="298" t="s">
        <v>958</v>
      </c>
    </row>
    <row r="13" spans="2:8" ht="18" customHeight="1">
      <c r="B13" s="302"/>
      <c r="C13" s="304"/>
      <c r="D13" s="295" t="s">
        <v>1072</v>
      </c>
      <c r="E13" s="506"/>
      <c r="F13" s="507" t="str">
        <f>" WHERE TBL_W.W_USER_ID       =  '"&amp;UNNH0032_IF_W_USER_ID&amp;"'
"</f>
        <v xml:space="preserve"> WHERE TBL_W.W_USER_ID       =  ''
</v>
      </c>
      <c r="G13" s="309"/>
      <c r="H13" s="298" t="s">
        <v>958</v>
      </c>
    </row>
    <row r="16" spans="2:8" ht="18.75">
      <c r="B16" s="730" t="s">
        <v>1568</v>
      </c>
      <c r="C16" s="730"/>
      <c r="D16" s="730"/>
      <c r="E16" s="498"/>
      <c r="F16" s="503"/>
      <c r="G16" s="504"/>
      <c r="H16" s="301" t="s">
        <v>1056</v>
      </c>
    </row>
    <row r="17" spans="2:8" ht="16.5" customHeight="1">
      <c r="B17" s="499"/>
      <c r="C17" s="736" t="s">
        <v>486</v>
      </c>
      <c r="D17" s="737"/>
      <c r="E17" s="497"/>
      <c r="F17" s="507" t="s">
        <v>1571</v>
      </c>
      <c r="G17" s="309"/>
      <c r="H17" s="298" t="s">
        <v>1569</v>
      </c>
    </row>
  </sheetData>
  <mergeCells count="6">
    <mergeCell ref="B3:D3"/>
    <mergeCell ref="C4:D4"/>
    <mergeCell ref="B16:D16"/>
    <mergeCell ref="C17:D17"/>
    <mergeCell ref="B10:D10"/>
    <mergeCell ref="C11:D11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R31"/>
  <sheetViews>
    <sheetView showGridLines="0" showRowColHeaders="0" workbookViewId="0">
      <pane xSplit="7" ySplit="8" topLeftCell="H9" activePane="bottomRight" state="frozen"/>
      <selection activeCell="M31" sqref="M31"/>
      <selection pane="topRight" activeCell="M31" sqref="M31"/>
      <selection pane="bottomLeft" activeCell="M31" sqref="M31"/>
      <selection pane="bottomRight" sqref="A1:E1 Q8:R8"/>
    </sheetView>
  </sheetViews>
  <sheetFormatPr defaultRowHeight="16.5"/>
  <cols>
    <col min="1" max="1" width="1.375" style="4" hidden="1" customWidth="1"/>
    <col min="2" max="2" width="14.125" style="4" hidden="1" customWidth="1"/>
    <col min="3" max="3" width="29.625" style="4" hidden="1" customWidth="1"/>
    <col min="4" max="4" width="12" style="4" hidden="1" customWidth="1"/>
    <col min="5" max="5" width="6.125" style="4" hidden="1" customWidth="1"/>
    <col min="6" max="6" width="5.25" style="183" customWidth="1"/>
    <col min="7" max="7" width="5" style="183" bestFit="1" customWidth="1"/>
    <col min="8" max="8" width="21.875" style="183" bestFit="1" customWidth="1"/>
    <col min="9" max="9" width="8" style="183" bestFit="1" customWidth="1"/>
    <col min="10" max="10" width="12.5" style="183" bestFit="1" customWidth="1"/>
    <col min="11" max="11" width="11.75" style="183" customWidth="1"/>
    <col min="12" max="12" width="12.5" style="183" bestFit="1" customWidth="1"/>
    <col min="13" max="13" width="11.875" style="183" bestFit="1" customWidth="1"/>
    <col min="14" max="14" width="10.5" style="183" bestFit="1" customWidth="1"/>
    <col min="15" max="15" width="9.625" style="183" customWidth="1"/>
    <col min="16" max="16" width="45.625" style="183" bestFit="1" customWidth="1"/>
    <col min="17" max="17" width="10.125" style="183" hidden="1" customWidth="1"/>
    <col min="18" max="18" width="11.25" style="183" hidden="1" customWidth="1"/>
    <col min="19" max="16384" width="9" style="183"/>
  </cols>
  <sheetData>
    <row r="1" spans="1:18" s="1" customFormat="1" ht="19.5">
      <c r="A1" s="24"/>
      <c r="B1" s="24"/>
      <c r="C1" s="24"/>
      <c r="D1" s="24"/>
      <c r="E1" s="24"/>
      <c r="F1" s="1" t="s">
        <v>101</v>
      </c>
    </row>
    <row r="2" spans="1:18" s="2" customFormat="1">
      <c r="A2" s="25" t="s">
        <v>190</v>
      </c>
      <c r="B2" s="4"/>
      <c r="C2" s="26"/>
      <c r="D2" s="4"/>
      <c r="E2" s="4"/>
    </row>
    <row r="3" spans="1:18" s="2" customFormat="1">
      <c r="A3" s="4"/>
      <c r="B3" s="4" t="s">
        <v>191</v>
      </c>
      <c r="C3" s="26" t="s">
        <v>574</v>
      </c>
      <c r="D3" s="48">
        <v>2</v>
      </c>
      <c r="E3" s="4"/>
      <c r="H3" s="5" t="s">
        <v>102</v>
      </c>
      <c r="I3" s="792"/>
      <c r="J3" s="792"/>
    </row>
    <row r="4" spans="1:18" s="2" customFormat="1">
      <c r="A4" s="4"/>
      <c r="B4" s="4"/>
      <c r="C4" s="26"/>
      <c r="D4" s="4"/>
      <c r="E4" s="4"/>
      <c r="H4" s="5" t="s">
        <v>97</v>
      </c>
      <c r="I4" s="792"/>
      <c r="J4" s="792"/>
    </row>
    <row r="5" spans="1:18" s="2" customFormat="1">
      <c r="A5" s="25" t="s">
        <v>192</v>
      </c>
      <c r="B5" s="4"/>
      <c r="C5" s="26"/>
      <c r="D5" s="4"/>
      <c r="E5" s="4"/>
      <c r="H5" s="5" t="s">
        <v>100</v>
      </c>
      <c r="I5" s="792"/>
      <c r="J5" s="792"/>
      <c r="K5" s="792"/>
      <c r="L5" s="792"/>
      <c r="M5" s="792"/>
    </row>
    <row r="6" spans="1:18" s="2" customFormat="1">
      <c r="A6" s="4"/>
      <c r="B6" s="4" t="s">
        <v>193</v>
      </c>
      <c r="C6" s="26" t="s">
        <v>575</v>
      </c>
      <c r="D6" s="48">
        <v>0</v>
      </c>
      <c r="E6" s="4"/>
      <c r="H6" s="5" t="s">
        <v>103</v>
      </c>
      <c r="I6" s="792"/>
      <c r="J6" s="792"/>
      <c r="K6" s="792"/>
      <c r="L6" s="792"/>
      <c r="M6" s="792"/>
    </row>
    <row r="7" spans="1:18" s="2" customFormat="1">
      <c r="A7" s="4"/>
      <c r="B7" s="4" t="s">
        <v>194</v>
      </c>
      <c r="C7" s="26" t="s">
        <v>576</v>
      </c>
      <c r="D7" s="49">
        <v>1</v>
      </c>
      <c r="E7" s="4"/>
      <c r="F7" s="2" t="str">
        <f>IF(UNNH0080_PAGE_NO=0,"","("&amp;UNNH0080_PAGE_NO&amp;"/"&amp;UNNH0080_ALL_PAGE_SU&amp;")")</f>
        <v>(1/1)</v>
      </c>
      <c r="H7" s="5" t="s">
        <v>108</v>
      </c>
      <c r="I7" s="793"/>
      <c r="J7" s="793"/>
      <c r="K7" s="793"/>
    </row>
    <row r="8" spans="1:18">
      <c r="B8" s="4" t="s">
        <v>195</v>
      </c>
      <c r="C8" s="26" t="s">
        <v>577</v>
      </c>
      <c r="D8" s="50">
        <f>IF(OR(UNNH0080_KENSAKU_KENSU=0,UNNH0080_CTRL_HYOJI_GYO_SU=0),1,ROUNDUP(UNNH0080_KENSAKU_KENSU/UNNH0080_CTRL_HYOJI_GYO_SU,0))</f>
        <v>1</v>
      </c>
      <c r="F8" s="255"/>
      <c r="G8" s="10" t="s">
        <v>0</v>
      </c>
      <c r="H8" s="221" t="s">
        <v>109</v>
      </c>
      <c r="I8" s="221" t="s">
        <v>110</v>
      </c>
      <c r="J8" s="10" t="s">
        <v>95</v>
      </c>
      <c r="K8" s="10" t="s">
        <v>120</v>
      </c>
      <c r="L8" s="10" t="s">
        <v>105</v>
      </c>
      <c r="M8" s="10" t="s">
        <v>106</v>
      </c>
      <c r="N8" s="221" t="s">
        <v>7</v>
      </c>
      <c r="O8" s="221" t="s">
        <v>62</v>
      </c>
      <c r="P8" s="10" t="s">
        <v>107</v>
      </c>
      <c r="Q8" s="11" t="s">
        <v>485</v>
      </c>
      <c r="R8" s="242" t="s">
        <v>614</v>
      </c>
    </row>
    <row r="9" spans="1:18">
      <c r="B9" s="4" t="s">
        <v>196</v>
      </c>
      <c r="C9" s="26" t="s">
        <v>578</v>
      </c>
      <c r="D9" s="48">
        <v>1</v>
      </c>
    </row>
    <row r="10" spans="1:18">
      <c r="C10" s="26"/>
    </row>
    <row r="11" spans="1:18">
      <c r="B11" s="4" t="s">
        <v>565</v>
      </c>
      <c r="C11" s="26" t="s">
        <v>579</v>
      </c>
      <c r="D11" s="48" t="str">
        <f>ADDRESS(ROW(UNNH0080_SENTAKU)+1, COLUMN(UNNH0080_SENTAKU))</f>
        <v>$G$9</v>
      </c>
    </row>
    <row r="12" spans="1:18">
      <c r="B12" s="4" t="s">
        <v>199</v>
      </c>
      <c r="C12" s="26" t="s">
        <v>580</v>
      </c>
      <c r="D12" s="48" t="str">
        <f ca="1">IF(UNNH0080_HYOJI_KENSU=0,"",UNNH0080_LIST_START&amp;":"&amp;
ADDRESS(ROW(INDIRECT(UNNH0080_LIST_START))+UNNH0080_HYOJI_KENSU-1,COLUMN(INDIRECT(UNNH0080_LIST_START))+COLUMNS(UNNH0080_IF_LIST_COPY_MOTO)-1))</f>
        <v>$G$9:$P$9</v>
      </c>
    </row>
    <row r="13" spans="1:18">
      <c r="B13" s="4" t="s">
        <v>200</v>
      </c>
      <c r="C13" s="26" t="s">
        <v>581</v>
      </c>
      <c r="D13" s="50" t="str">
        <f ca="1">ADDRESS(ROW(INDIRECT(UNNH0080_LIST_START)),COLUMN(INDIRECT(UNNH0080_LIST_START)))&amp;":"&amp;
ADDRESS(ROW(INDIRECT(UNNH0080_LIST_START))+UNNH0080_CTRL_HYOJI_GYO_SU-1,COLUMN(INDIRECT(UNNH0080_LIST_START))+COLUMNS(UNNH0080_IF_LIST_COPY_MOTO)-1)</f>
        <v>$G$9:$P$10</v>
      </c>
    </row>
    <row r="14" spans="1:18">
      <c r="C14" s="26"/>
      <c r="D14" s="32"/>
    </row>
    <row r="15" spans="1:18">
      <c r="B15" s="4" t="s">
        <v>202</v>
      </c>
      <c r="C15" s="4" t="s">
        <v>582</v>
      </c>
      <c r="D15" s="50">
        <f>IF(UNNH0080_HYOJI_KENSU=0,2,1)</f>
        <v>1</v>
      </c>
    </row>
    <row r="16" spans="1:18">
      <c r="C16" s="26"/>
    </row>
    <row r="17" spans="1:4">
      <c r="A17" s="25" t="s">
        <v>203</v>
      </c>
      <c r="C17" s="26"/>
      <c r="D17" s="4" t="s">
        <v>204</v>
      </c>
    </row>
    <row r="18" spans="1:4">
      <c r="B18" s="4" t="s">
        <v>205</v>
      </c>
      <c r="C18" s="26" t="s">
        <v>583</v>
      </c>
      <c r="D18" s="48">
        <f>IF(UNNH0080_ALL_PAGE_SU&gt;UNNH0080_PAGE_NO,1,2)</f>
        <v>2</v>
      </c>
    </row>
    <row r="19" spans="1:4">
      <c r="B19" s="4" t="s">
        <v>206</v>
      </c>
      <c r="C19" s="26" t="s">
        <v>584</v>
      </c>
      <c r="D19" s="48">
        <f>IF(UNNH0080_PAGE_NO&gt;1,1,2)</f>
        <v>2</v>
      </c>
    </row>
    <row r="20" spans="1:4">
      <c r="C20" s="26"/>
      <c r="D20" s="51"/>
    </row>
    <row r="21" spans="1:4">
      <c r="B21" s="4" t="s">
        <v>207</v>
      </c>
      <c r="C21" s="26" t="s">
        <v>585</v>
      </c>
      <c r="D21" s="48">
        <f>UNNH0080_PAGE_NO+1</f>
        <v>2</v>
      </c>
    </row>
    <row r="22" spans="1:4">
      <c r="B22" s="4" t="s">
        <v>208</v>
      </c>
      <c r="C22" s="26" t="s">
        <v>586</v>
      </c>
      <c r="D22" s="48">
        <f>UNNH0080_PAGE_NO-1</f>
        <v>0</v>
      </c>
    </row>
    <row r="24" spans="1:4">
      <c r="A24" s="25" t="s">
        <v>566</v>
      </c>
      <c r="C24" s="26"/>
    </row>
    <row r="25" spans="1:4">
      <c r="B25" s="4" t="s">
        <v>210</v>
      </c>
      <c r="C25" s="26" t="s">
        <v>587</v>
      </c>
      <c r="D25" s="48">
        <v>9</v>
      </c>
    </row>
    <row r="26" spans="1:4">
      <c r="B26" s="4" t="s">
        <v>567</v>
      </c>
      <c r="C26" s="26" t="s">
        <v>612</v>
      </c>
      <c r="D26" s="48">
        <f ca="1">IF(UNNH0080_SELECT_GYO_NO=0,0,INDIRECT(ADDRESS(UNNH0080_SELECT_GYO_NO,COLUMN(UNNH0080_SEARCH_URIAGE_NO))))</f>
        <v>0</v>
      </c>
    </row>
    <row r="27" spans="1:4">
      <c r="B27" s="4" t="s">
        <v>568</v>
      </c>
      <c r="C27" s="26" t="s">
        <v>613</v>
      </c>
      <c r="D27" s="48">
        <f ca="1">IF(UNNH0080_SELECT_GYO_NO=0,0,INDIRECT(ADDRESS(UNNH0080_SELECT_GYO_NO,COLUMN(UNNH0080_SEARCH_RIREKI_NO))))</f>
        <v>0</v>
      </c>
    </row>
    <row r="28" spans="1:4">
      <c r="C28" s="26"/>
    </row>
    <row r="29" spans="1:4">
      <c r="A29" s="25" t="s">
        <v>147</v>
      </c>
    </row>
    <row r="30" spans="1:4">
      <c r="B30" s="43" t="s">
        <v>212</v>
      </c>
      <c r="C30" s="44" t="s">
        <v>1400</v>
      </c>
      <c r="D30" s="50"/>
    </row>
    <row r="31" spans="1:4">
      <c r="B31" s="43" t="s">
        <v>146</v>
      </c>
      <c r="C31" s="44" t="s">
        <v>588</v>
      </c>
      <c r="D31" s="50" t="str">
        <f>ADDRESS(ROW($A$1),COLUMN($A$1))&amp;":"&amp;ADDRESS(1,COLUMN(UNNH0080_VIEW_CURRENT_PAGE)-1)&amp;"," &amp;ADDRESS(ROW(UNNH0080_SEARCH_URIAGE_NO),COLUMN(UNNH0080_SEARCH_URIAGE_NO))&amp;":"&amp;ADDRESS(ROW(UNNH0080_SEARCH_RIREKI_NO),COLUMN(UNNH0080_SEARCH_RIREKI_NO))</f>
        <v>$A$1:$E$1,$Q$8:$R$8</v>
      </c>
    </row>
  </sheetData>
  <sheetProtection sheet="1" objects="1" scenarios="1" selectLockedCells="1"/>
  <mergeCells count="5">
    <mergeCell ref="I5:M5"/>
    <mergeCell ref="I6:M6"/>
    <mergeCell ref="I7:K7"/>
    <mergeCell ref="I4:J4"/>
    <mergeCell ref="I3:J3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3"/>
  <sheetViews>
    <sheetView topLeftCell="H1" zoomScale="85" zoomScaleNormal="85" workbookViewId="0">
      <selection activeCell="D31" sqref="D31:W32"/>
    </sheetView>
  </sheetViews>
  <sheetFormatPr defaultRowHeight="13.5"/>
  <cols>
    <col min="1" max="1" width="2" style="162" customWidth="1"/>
    <col min="2" max="2" width="16.125" style="162" customWidth="1"/>
    <col min="3" max="3" width="20.125" style="57" customWidth="1"/>
    <col min="4" max="4" width="19.125" style="162" customWidth="1"/>
    <col min="5" max="5" width="13.75" style="162" customWidth="1"/>
    <col min="6" max="6" width="9.625" style="162" customWidth="1"/>
    <col min="7" max="7" width="8.875" style="162" customWidth="1"/>
    <col min="8" max="8" width="9.375" style="162" customWidth="1"/>
    <col min="9" max="9" width="10.875" style="162" customWidth="1"/>
    <col min="10" max="10" width="11.375" style="162" customWidth="1"/>
    <col min="11" max="11" width="10.875" style="162" customWidth="1"/>
    <col min="12" max="12" width="10.75" style="162" customWidth="1"/>
    <col min="13" max="13" width="10.625" style="162" customWidth="1"/>
    <col min="14" max="16384" width="9" style="162"/>
  </cols>
  <sheetData>
    <row r="3" spans="1:13">
      <c r="A3" s="165" t="s">
        <v>232</v>
      </c>
      <c r="C3" s="162"/>
    </row>
    <row r="4" spans="1:13" ht="16.5">
      <c r="C4" s="162"/>
      <c r="D4" s="10" t="s">
        <v>0</v>
      </c>
      <c r="E4" s="221" t="s">
        <v>109</v>
      </c>
      <c r="F4" s="221" t="s">
        <v>110</v>
      </c>
      <c r="G4" s="221" t="s">
        <v>95</v>
      </c>
      <c r="H4" s="221" t="s">
        <v>120</v>
      </c>
      <c r="I4" s="221" t="s">
        <v>73</v>
      </c>
      <c r="J4" s="221" t="s">
        <v>6</v>
      </c>
      <c r="K4" s="221" t="s">
        <v>7</v>
      </c>
      <c r="L4" s="221" t="s">
        <v>62</v>
      </c>
      <c r="M4" s="221" t="s">
        <v>107</v>
      </c>
    </row>
    <row r="5" spans="1:13" ht="16.5">
      <c r="B5" s="57" t="s">
        <v>235</v>
      </c>
      <c r="C5" s="57" t="s">
        <v>589</v>
      </c>
      <c r="D5" s="222"/>
      <c r="E5" s="223"/>
      <c r="F5" s="223"/>
      <c r="G5" s="223"/>
      <c r="H5" s="223"/>
      <c r="I5" s="223"/>
      <c r="J5" s="223"/>
      <c r="K5" s="223"/>
      <c r="L5" s="223"/>
      <c r="M5" s="223"/>
    </row>
    <row r="6" spans="1:13" ht="16.5">
      <c r="B6" s="57" t="s">
        <v>236</v>
      </c>
      <c r="C6" s="57" t="s">
        <v>590</v>
      </c>
      <c r="D6" s="224" t="s">
        <v>469</v>
      </c>
      <c r="E6" s="225"/>
      <c r="F6" s="226"/>
      <c r="G6" s="227"/>
      <c r="H6" s="226"/>
      <c r="I6" s="227"/>
      <c r="J6" s="362"/>
      <c r="K6" s="362"/>
      <c r="L6" s="228"/>
      <c r="M6" s="63"/>
    </row>
    <row r="7" spans="1:13">
      <c r="C7" s="162"/>
    </row>
    <row r="8" spans="1:13">
      <c r="A8" s="165" t="s">
        <v>238</v>
      </c>
      <c r="E8" s="57"/>
    </row>
    <row r="9" spans="1:13">
      <c r="B9" s="57" t="s">
        <v>239</v>
      </c>
      <c r="C9" s="57" t="s">
        <v>591</v>
      </c>
      <c r="D9" s="72"/>
      <c r="E9" s="57" t="s">
        <v>569</v>
      </c>
    </row>
    <row r="10" spans="1:13">
      <c r="E10" s="57"/>
    </row>
    <row r="11" spans="1:13">
      <c r="E11" s="57"/>
    </row>
    <row r="12" spans="1:13">
      <c r="A12" s="165" t="s">
        <v>241</v>
      </c>
      <c r="C12" s="73"/>
      <c r="E12" s="57"/>
    </row>
    <row r="13" spans="1:13">
      <c r="B13" s="162" t="s">
        <v>242</v>
      </c>
      <c r="C13" s="57" t="s">
        <v>592</v>
      </c>
      <c r="D13" s="74"/>
      <c r="E13" s="57"/>
    </row>
    <row r="14" spans="1:13">
      <c r="B14" s="162" t="s">
        <v>243</v>
      </c>
      <c r="C14" s="57" t="s">
        <v>593</v>
      </c>
      <c r="D14" s="74">
        <v>3</v>
      </c>
      <c r="E14" s="57"/>
    </row>
    <row r="15" spans="1:13">
      <c r="B15" s="162" t="s">
        <v>244</v>
      </c>
      <c r="C15" s="57" t="s">
        <v>594</v>
      </c>
      <c r="D15" s="74">
        <v>9</v>
      </c>
      <c r="E15" s="57"/>
    </row>
    <row r="16" spans="1:13">
      <c r="E16" s="57"/>
    </row>
    <row r="17" spans="1:13">
      <c r="B17" s="162" t="s">
        <v>245</v>
      </c>
      <c r="C17" s="57" t="s">
        <v>595</v>
      </c>
      <c r="D17" s="74"/>
      <c r="E17" s="57"/>
    </row>
    <row r="18" spans="1:13">
      <c r="D18" s="75"/>
      <c r="E18" s="57"/>
    </row>
    <row r="19" spans="1:13" ht="16.5">
      <c r="A19" s="165" t="s">
        <v>570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</row>
    <row r="20" spans="1:13">
      <c r="B20" s="162" t="s">
        <v>1253</v>
      </c>
      <c r="C20" s="57" t="s">
        <v>615</v>
      </c>
      <c r="D20" s="72"/>
    </row>
    <row r="22" spans="1:13">
      <c r="A22" s="165" t="s">
        <v>571</v>
      </c>
    </row>
    <row r="23" spans="1:13">
      <c r="B23" s="162" t="s">
        <v>572</v>
      </c>
      <c r="C23" s="57" t="s">
        <v>596</v>
      </c>
      <c r="D23" s="72">
        <v>2</v>
      </c>
      <c r="E23" s="162" t="s">
        <v>573</v>
      </c>
    </row>
  </sheetData>
  <phoneticPr fontId="2"/>
  <conditionalFormatting sqref="D6:M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F14"/>
  <sheetViews>
    <sheetView zoomScale="85" zoomScaleNormal="85" workbookViewId="0">
      <selection activeCell="C4" sqref="C4"/>
    </sheetView>
  </sheetViews>
  <sheetFormatPr defaultRowHeight="13.5"/>
  <cols>
    <col min="1" max="1" width="9" style="162"/>
    <col min="2" max="3" width="30.5" style="162" customWidth="1"/>
    <col min="4" max="5" width="0.875" style="162" customWidth="1"/>
    <col min="6" max="6" width="53.125" style="162" customWidth="1"/>
    <col min="7" max="16384" width="9" style="162"/>
  </cols>
  <sheetData>
    <row r="1" spans="2:6">
      <c r="B1" s="170" t="s">
        <v>76</v>
      </c>
      <c r="C1" s="170">
        <f>UNNH0080_IF_URIAGE_NO</f>
        <v>0</v>
      </c>
    </row>
    <row r="3" spans="2:6" s="156" customFormat="1" ht="165" customHeight="1">
      <c r="B3" s="229" t="s">
        <v>598</v>
      </c>
      <c r="C3" s="137" t="s">
        <v>608</v>
      </c>
      <c r="D3" s="797" t="str">
        <f>E8&amp;E10&amp;E11&amp;E12</f>
        <v>SELECT * 
  FROM V_URIAGE_R_LIST
  WHERE 1=1
ORDER BY V_URIAGE_R_LIST.UPDATE_DATE DESC
  OFFSET 0*2 ROWS
 FETCH NEXT 2 ROWS ONLY</v>
      </c>
      <c r="E3" s="797"/>
      <c r="F3" s="797"/>
    </row>
    <row r="4" spans="2:6" s="156" customFormat="1" ht="120" customHeight="1">
      <c r="B4" s="229" t="s">
        <v>599</v>
      </c>
      <c r="C4" s="137" t="s">
        <v>609</v>
      </c>
      <c r="D4" s="797" t="str">
        <f>E9&amp;E10</f>
        <v xml:space="preserve">SELECT COUNT(*) AS CNT 
  FROM V_URIAGE_R_LIST
  WHERE 1=1
</v>
      </c>
      <c r="E4" s="797"/>
      <c r="F4" s="797"/>
    </row>
    <row r="5" spans="2:6" s="156" customFormat="1" ht="50.25" customHeight="1">
      <c r="B5" s="229" t="s">
        <v>600</v>
      </c>
      <c r="C5" s="137" t="s">
        <v>616</v>
      </c>
      <c r="D5" s="797" t="str">
        <f>E6&amp;E7</f>
        <v xml:space="preserve">SELECT T_URIAGE_H.URIAGE_NO            AS URIAGE_NO             --売上No.
      ,R_DEMPYO.DATA_1                  AS DEMPYO_KBN            --取引分類
      ,R_SEIKYU.AITE_MEI                AS SEIKYUSAKI_MEI            --請求先名
      ,T_URIAGE_H.DEMPYO_SOFU_MEI       AS DEMPYO_MEI            --伝票送付先名
      ,T_URIAGE_H.SHOKON_NO             AS SHOKON_NO             --伝票送付先名
  FROM T_URIAGE_H                
  LEFT JOIN M_MEISHO_B          AS R_DEMPYO
    ON R_DEMPYO.MEISHO_KBN = 'K023'
   AND T_URIAGE_H.DEMPYO_KBN = R_DEMPYO.MEISHO_CD
  LEFT JOIN M_AITESAKI      AS R_SEIKYU
    ON T_URIAGE_H.SEIKYU_CD = R_SEIKYU.AITE_CD
  WHERE 1=1 </v>
      </c>
      <c r="E5" s="797"/>
      <c r="F5" s="797"/>
    </row>
    <row r="6" spans="2:6" s="156" customFormat="1" ht="50.25" customHeight="1">
      <c r="B6" s="229"/>
      <c r="C6" s="137"/>
      <c r="E6" s="794" t="s">
        <v>617</v>
      </c>
      <c r="F6" s="794"/>
    </row>
    <row r="7" spans="2:6" s="156" customFormat="1" ht="50.25" customHeight="1">
      <c r="B7" s="229"/>
      <c r="C7" s="137"/>
      <c r="E7" s="794" t="str">
        <f>IF($C$1 = 0, " ",
" AND URIAGE_NO =  " &amp;"'" &amp;$C$1 &amp;"'")</f>
        <v xml:space="preserve"> </v>
      </c>
      <c r="F7" s="794"/>
    </row>
    <row r="8" spans="2:6" s="156" customFormat="1" ht="101.25" customHeight="1">
      <c r="B8" s="229" t="s">
        <v>601</v>
      </c>
      <c r="C8" s="137"/>
      <c r="E8" s="794" t="s">
        <v>605</v>
      </c>
      <c r="F8" s="794"/>
    </row>
    <row r="9" spans="2:6" s="156" customFormat="1" ht="96" customHeight="1">
      <c r="B9" s="230" t="s">
        <v>602</v>
      </c>
      <c r="C9" s="137"/>
      <c r="E9" s="796" t="s">
        <v>606</v>
      </c>
      <c r="F9" s="796"/>
    </row>
    <row r="10" spans="2:6" s="156" customFormat="1" ht="23.25" customHeight="1">
      <c r="B10" s="231" t="s">
        <v>603</v>
      </c>
      <c r="C10" s="137"/>
      <c r="D10" s="199"/>
      <c r="E10" s="800" t="str">
        <f>IF($C$1=0,"",
"AND V_URIAGE_R_LIST.URIAGE_NO = "&amp;"'"&amp;$C$1&amp;"'
")</f>
        <v/>
      </c>
      <c r="F10" s="800"/>
    </row>
    <row r="11" spans="2:6" s="156" customFormat="1" ht="42.75" customHeight="1">
      <c r="B11" s="232" t="s">
        <v>292</v>
      </c>
      <c r="C11" s="233" t="s">
        <v>597</v>
      </c>
      <c r="E11" s="794" t="s">
        <v>607</v>
      </c>
      <c r="F11" s="795"/>
    </row>
    <row r="12" spans="2:6" s="156" customFormat="1" ht="61.5" customHeight="1">
      <c r="B12" s="232" t="s">
        <v>293</v>
      </c>
      <c r="C12" s="233"/>
      <c r="E12" s="796" t="str">
        <f xml:space="preserve"> "
  OFFSET "&amp;(UNNH0080_PAGE_NO-1)&amp;"*"&amp;UNNH0080_CTRL_HYOJI_GYO_SU&amp;" ROWS
 FETCH NEXT "&amp;UNNH0080_CTRL_HYOJI_GYO_SU&amp;" ROWS ONLY"</f>
        <v xml:space="preserve">
  OFFSET 0*2 ROWS
 FETCH NEXT 2 ROWS ONLY</v>
      </c>
      <c r="F12" s="796"/>
    </row>
    <row r="13" spans="2:6" s="156" customFormat="1" ht="99" customHeight="1">
      <c r="B13" s="234" t="s">
        <v>294</v>
      </c>
      <c r="C13" s="233" t="s">
        <v>610</v>
      </c>
      <c r="D13" s="797" t="s">
        <v>618</v>
      </c>
      <c r="E13" s="797"/>
      <c r="F13" s="797"/>
    </row>
    <row r="14" spans="2:6" s="156" customFormat="1" ht="121.5" customHeight="1">
      <c r="B14" s="235" t="s">
        <v>604</v>
      </c>
      <c r="C14" s="137" t="s">
        <v>611</v>
      </c>
      <c r="D14" s="798" t="s">
        <v>619</v>
      </c>
      <c r="E14" s="799"/>
      <c r="F14" s="799"/>
    </row>
  </sheetData>
  <mergeCells count="12">
    <mergeCell ref="E11:F11"/>
    <mergeCell ref="E12:F12"/>
    <mergeCell ref="D13:F13"/>
    <mergeCell ref="D14:F14"/>
    <mergeCell ref="D3:F3"/>
    <mergeCell ref="D4:F4"/>
    <mergeCell ref="D5:F5"/>
    <mergeCell ref="E8:F8"/>
    <mergeCell ref="E9:F9"/>
    <mergeCell ref="E10:F10"/>
    <mergeCell ref="E6:F6"/>
    <mergeCell ref="E7:F7"/>
  </mergeCells>
  <phoneticPr fontId="2"/>
  <pageMargins left="0.7" right="0.7" top="0.75" bottom="0.75" header="0.3" footer="0.3"/>
  <pageSetup paperSize="9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>
      <selection activeCell="M31" sqref="M31"/>
    </sheetView>
  </sheetViews>
  <sheetFormatPr defaultRowHeight="13.5"/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activeCell="M31" sqref="M31"/>
    </sheetView>
  </sheetViews>
  <sheetFormatPr defaultRowHeight="13.5"/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D11"/>
  <sheetViews>
    <sheetView workbookViewId="0">
      <selection activeCell="C2" sqref="C2"/>
    </sheetView>
  </sheetViews>
  <sheetFormatPr defaultRowHeight="13.5"/>
  <cols>
    <col min="2" max="2" width="9" style="425"/>
    <col min="3" max="3" width="25.625" style="425" customWidth="1"/>
  </cols>
  <sheetData>
    <row r="1" spans="2:4">
      <c r="B1"/>
      <c r="C1"/>
    </row>
    <row r="2" spans="2:4">
      <c r="B2" s="260" t="s">
        <v>712</v>
      </c>
      <c r="C2" s="260" t="s">
        <v>1660</v>
      </c>
      <c r="D2" s="329"/>
    </row>
    <row r="3" spans="2:4">
      <c r="B3" s="260" t="s">
        <v>723</v>
      </c>
      <c r="C3" s="265">
        <v>5</v>
      </c>
      <c r="D3" s="329"/>
    </row>
    <row r="4" spans="2:4">
      <c r="B4" s="260" t="s">
        <v>1667</v>
      </c>
      <c r="C4" s="260" t="s">
        <v>1668</v>
      </c>
      <c r="D4" s="329"/>
    </row>
    <row r="5" spans="2:4">
      <c r="B5" s="260" t="s">
        <v>1669</v>
      </c>
      <c r="C5" s="260" t="s">
        <v>1670</v>
      </c>
      <c r="D5" s="329" t="s">
        <v>1661</v>
      </c>
    </row>
    <row r="6" spans="2:4">
      <c r="B6" s="260" t="s">
        <v>883</v>
      </c>
      <c r="C6" s="260" t="s">
        <v>882</v>
      </c>
      <c r="D6" s="329"/>
    </row>
    <row r="7" spans="2:4">
      <c r="B7" s="529" t="s">
        <v>1687</v>
      </c>
      <c r="C7" s="530" t="s">
        <v>1662</v>
      </c>
      <c r="D7" s="329"/>
    </row>
    <row r="8" spans="2:4">
      <c r="B8" s="530" t="s">
        <v>1688</v>
      </c>
      <c r="C8" s="530" t="s">
        <v>1663</v>
      </c>
      <c r="D8" s="329"/>
    </row>
    <row r="9" spans="2:4">
      <c r="B9" s="530" t="s">
        <v>1689</v>
      </c>
      <c r="C9" s="530" t="s">
        <v>1664</v>
      </c>
      <c r="D9" s="329"/>
    </row>
    <row r="10" spans="2:4">
      <c r="B10" s="530" t="s">
        <v>1690</v>
      </c>
      <c r="C10" s="530" t="s">
        <v>1665</v>
      </c>
      <c r="D10" s="329"/>
    </row>
    <row r="11" spans="2:4">
      <c r="B11" s="530" t="s">
        <v>1691</v>
      </c>
      <c r="C11" s="530" t="s">
        <v>1666</v>
      </c>
      <c r="D11" s="329"/>
    </row>
  </sheetData>
  <phoneticPr fontId="2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70C0"/>
  </sheetPr>
  <dimension ref="A1:E24"/>
  <sheetViews>
    <sheetView zoomScale="70" zoomScaleNormal="70" workbookViewId="0">
      <selection activeCell="D18" sqref="D18"/>
    </sheetView>
  </sheetViews>
  <sheetFormatPr defaultRowHeight="13.5"/>
  <cols>
    <col min="1" max="1" width="15.75" customWidth="1"/>
    <col min="2" max="2" width="18.375" customWidth="1"/>
    <col min="3" max="3" width="36" customWidth="1"/>
    <col min="4" max="4" width="90.5" customWidth="1"/>
  </cols>
  <sheetData>
    <row r="1" spans="1:4">
      <c r="A1" s="162"/>
      <c r="B1" s="162"/>
      <c r="C1" s="162"/>
      <c r="D1" s="162"/>
    </row>
    <row r="2" spans="1:4" ht="19.5" customHeight="1">
      <c r="A2" s="162"/>
      <c r="B2" s="164" t="s">
        <v>377</v>
      </c>
      <c r="C2" s="163" t="s">
        <v>386</v>
      </c>
      <c r="D2" s="166" t="s">
        <v>378</v>
      </c>
    </row>
    <row r="3" spans="1:4" ht="14.25" customHeight="1">
      <c r="A3" s="162"/>
      <c r="B3" s="336" t="s">
        <v>1216</v>
      </c>
      <c r="C3" s="334" t="s">
        <v>1217</v>
      </c>
      <c r="D3" s="335" t="str">
        <f>IF(UNNH0030_H_URIAGE_DATE="",
"SELECT CASE
       WHEN M_CONTROL.TAX_1_DATE &gt; M_CONTROL.TAX_2_DATE THEN
            CASE
            WHEN M_CONTROL.TAX_1_DATE &gt; CONVERT(VARCHAR(10), GETDATE(),111) THEN"&amp;"
                 M_CONTROL.TAX_2
            ELSE
                 M_CONTROL.TAX_1
            END"&amp;"
       ELSE
            CASE
            WHEN M_CONTROL.TAX_2_DATE &gt; CONVERT(VARCHAR(10), GETDATE(),111) THEN"&amp;"
                 M_CONTROL.TAX_1
            ELSE
                 M_CONTROL.TAX_2
            END
       END
  FROM M_CONTROL
 WHERE M_CONTROL.CTRL_KEY = 1",
"SELECT CASE
       WHEN M_CONTROL.TAX_1_DATE &gt; M_CONTROL.TAX_2_DATE THEN
            CASE
            WHEN M_CONTROL.TAX_1_DATE &gt; CONVERT(VARCHAR(10), '"&amp;TEXT(UNNH0030_H_URIAGE_DATE,"YYYY/MM/DD")&amp;"',111) THEN
                 M_CONTROL.TAX_2
            ELSE
                 M_CONTROL.TAX_1
            END"&amp;"
       ELSE
            CASE
            WHEN M_CONTROL.TAX_2_DATE &gt; CONVERT(VARCHAR(10), '"&amp;TEXT(UNNH0030_H_URIAGE_DATE,"YYYY/MM/DD")&amp;"',111) THEN
                 M_CONTROL.TAX_1
            ELSE
                 M_CONTROL.TAX_2
            END
       END
  FROM M_CONTROL
 WHERE M_CONTROL.CTRL_KEY = 1")</f>
        <v>SELECT CASE
       WHEN M_CONTROL.TAX_1_DATE &gt; M_CONTROL.TAX_2_DATE THEN
            CASE
            WHEN M_CONTROL.TAX_1_DATE &gt; CONVERT(VARCHAR(10), GETDATE(),111) THEN
                 M_CONTROL.TAX_2
            ELSE
                 M_CONTROL.TAX_1
            END
       ELSE
            CASE
            WHEN M_CONTROL.TAX_2_DATE &gt; CONVERT(VARCHAR(10), GETDATE(),111) THEN
                 M_CONTROL.TAX_1
            ELSE
                 M_CONTROL.TAX_2
            END
       END
  FROM M_CONTROL
 WHERE M_CONTROL.CTRL_KEY = 1</v>
      </c>
    </row>
    <row r="4" spans="1:4" ht="14.25" customHeight="1">
      <c r="A4" s="162"/>
      <c r="B4" s="162"/>
      <c r="C4" s="162"/>
      <c r="D4" s="162"/>
    </row>
    <row r="5" spans="1:4" ht="14.25" customHeight="1">
      <c r="A5" s="162"/>
      <c r="B5" s="162"/>
      <c r="C5" s="162"/>
      <c r="D5" s="162"/>
    </row>
    <row r="6" spans="1:4" ht="14.25" customHeight="1">
      <c r="A6" s="165" t="s">
        <v>379</v>
      </c>
      <c r="B6" s="168"/>
      <c r="C6" s="162"/>
      <c r="D6" s="162"/>
    </row>
    <row r="7" spans="1:4" ht="14.25" customHeight="1">
      <c r="A7" s="165"/>
      <c r="B7" s="168"/>
      <c r="C7" s="162"/>
      <c r="D7" s="162"/>
    </row>
    <row r="8" spans="1:4" s="162" customFormat="1" ht="14.25" customHeight="1">
      <c r="A8" s="165"/>
      <c r="B8" s="170" t="s">
        <v>380</v>
      </c>
      <c r="C8" s="169" t="s">
        <v>388</v>
      </c>
      <c r="D8" s="171" t="s">
        <v>1393</v>
      </c>
    </row>
    <row r="9" spans="1:4" ht="14.25" customHeight="1">
      <c r="A9" s="162"/>
      <c r="B9" s="163" t="s">
        <v>383</v>
      </c>
      <c r="C9" s="163" t="s">
        <v>1332</v>
      </c>
      <c r="D9" s="166" t="s">
        <v>1437</v>
      </c>
    </row>
    <row r="10" spans="1:4" ht="14.25" customHeight="1">
      <c r="B10" s="162" t="s">
        <v>381</v>
      </c>
      <c r="C10" s="170" t="s">
        <v>1158</v>
      </c>
      <c r="D10" s="319" t="s">
        <v>1567</v>
      </c>
    </row>
    <row r="11" spans="1:4" s="162" customFormat="1" ht="14.25" customHeight="1">
      <c r="B11" s="169" t="s">
        <v>382</v>
      </c>
      <c r="C11" s="169" t="s">
        <v>1159</v>
      </c>
      <c r="D11" s="319" t="s">
        <v>1492</v>
      </c>
    </row>
    <row r="12" spans="1:4" s="162" customFormat="1" ht="14.25" customHeight="1">
      <c r="B12" s="170" t="s">
        <v>1160</v>
      </c>
      <c r="C12" s="169" t="s">
        <v>1161</v>
      </c>
      <c r="D12" s="319" t="s">
        <v>1162</v>
      </c>
    </row>
    <row r="13" spans="1:4" ht="14.25" customHeight="1">
      <c r="A13" s="167"/>
      <c r="B13" s="162"/>
      <c r="C13" s="162"/>
      <c r="D13" s="162"/>
    </row>
    <row r="14" spans="1:4" ht="14.25" customHeight="1">
      <c r="A14" s="162"/>
      <c r="B14" s="164" t="s">
        <v>384</v>
      </c>
      <c r="C14" s="163" t="s">
        <v>389</v>
      </c>
      <c r="D14" s="166" t="s">
        <v>1394</v>
      </c>
    </row>
    <row r="15" spans="1:4" ht="14.25" customHeight="1">
      <c r="A15" s="162"/>
      <c r="B15" s="164" t="s">
        <v>385</v>
      </c>
      <c r="C15" s="163" t="s">
        <v>387</v>
      </c>
      <c r="D15" s="166" t="s">
        <v>1643</v>
      </c>
    </row>
    <row r="16" spans="1:4" ht="14.25" customHeight="1"/>
    <row r="17" spans="1:5" ht="14.25" customHeight="1">
      <c r="B17" s="169" t="s">
        <v>1155</v>
      </c>
      <c r="C17" s="169" t="s">
        <v>1671</v>
      </c>
      <c r="D17" s="319" t="s">
        <v>1700</v>
      </c>
    </row>
    <row r="18" spans="1:5" ht="14.25" customHeight="1">
      <c r="B18" s="170" t="s">
        <v>1156</v>
      </c>
      <c r="C18" s="169" t="s">
        <v>1157</v>
      </c>
      <c r="D18" s="319" t="s">
        <v>1493</v>
      </c>
    </row>
    <row r="19" spans="1:5" ht="14.25" customHeight="1"/>
    <row r="20" spans="1:5" ht="14.25" customHeight="1">
      <c r="B20" s="150" t="s">
        <v>548</v>
      </c>
      <c r="C20" s="173" t="s">
        <v>1345</v>
      </c>
      <c r="D20" s="371" t="s">
        <v>1344</v>
      </c>
      <c r="E20" s="151"/>
    </row>
    <row r="24" spans="1:5" ht="14.25" customHeight="1">
      <c r="A24" s="165"/>
      <c r="D24" s="32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3041" r:id="rId4" name="Button 1">
              <controlPr defaultSize="0" print="0" autoFill="0" autoPict="0" macro="[0]!TestLock">
                <anchor moveWithCells="1">
                  <from>
                    <xdr:col>5</xdr:col>
                    <xdr:colOff>57150</xdr:colOff>
                    <xdr:row>7</xdr:row>
                    <xdr:rowOff>161925</xdr:rowOff>
                  </from>
                  <to>
                    <xdr:col>6</xdr:col>
                    <xdr:colOff>190500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43" r:id="rId5" name="Button 3">
              <controlPr defaultSize="0" print="0" autoFill="0" autoPict="0" macro="[0]!TestUnlock">
                <anchor moveWithCells="1">
                  <from>
                    <xdr:col>6</xdr:col>
                    <xdr:colOff>257175</xdr:colOff>
                    <xdr:row>7</xdr:row>
                    <xdr:rowOff>161925</xdr:rowOff>
                  </from>
                  <to>
                    <xdr:col>7</xdr:col>
                    <xdr:colOff>409575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B2:F7"/>
  <sheetViews>
    <sheetView zoomScale="70" zoomScaleNormal="70" workbookViewId="0">
      <selection activeCell="M31" sqref="M31"/>
    </sheetView>
  </sheetViews>
  <sheetFormatPr defaultRowHeight="13.5"/>
  <cols>
    <col min="1" max="1" width="9" style="57"/>
    <col min="2" max="2" width="30.125" style="57" bestFit="1" customWidth="1"/>
    <col min="3" max="3" width="31.5" style="57" bestFit="1" customWidth="1"/>
    <col min="4" max="6" width="15.75" style="57" customWidth="1"/>
    <col min="7" max="16384" width="9" style="57"/>
  </cols>
  <sheetData>
    <row r="2" spans="2:6">
      <c r="B2" s="57" t="s">
        <v>558</v>
      </c>
      <c r="C2" s="57" t="s">
        <v>563</v>
      </c>
      <c r="D2" s="220">
        <f>IF(ISERROR(VLOOKUP(LEFT(UNNH_COMMON_ACTIVE_SHEET_NAME,8),UNNH_COMMON_CHANGE_CHECK_AREA,3,FALSE))=FALSE,
IF(VLOOKUP(LEFT(UNNH_COMMON_ACTIVE_SHEET_NAME,8),UNNH_COMMON_CHANGE_CHECK_AREA,3,FALSE)&lt;&gt;0,1,2),2)</f>
        <v>2</v>
      </c>
      <c r="E2" s="57" t="s">
        <v>562</v>
      </c>
      <c r="F2" s="57" t="s">
        <v>559</v>
      </c>
    </row>
    <row r="3" spans="2:6">
      <c r="E3" s="57" t="s">
        <v>560</v>
      </c>
    </row>
    <row r="4" spans="2:6">
      <c r="B4" s="57" t="s">
        <v>561</v>
      </c>
      <c r="C4" s="57" t="s">
        <v>564</v>
      </c>
      <c r="D4" s="220"/>
    </row>
    <row r="6" spans="2:6">
      <c r="D6" s="165" t="s">
        <v>907</v>
      </c>
      <c r="E6" s="165" t="s">
        <v>1165</v>
      </c>
      <c r="F6" s="165" t="s">
        <v>1166</v>
      </c>
    </row>
    <row r="7" spans="2:6">
      <c r="B7" s="162" t="s">
        <v>1163</v>
      </c>
      <c r="C7" s="57" t="s">
        <v>1164</v>
      </c>
      <c r="D7" s="320" t="s">
        <v>1167</v>
      </c>
      <c r="E7" s="321" t="s">
        <v>1168</v>
      </c>
      <c r="F7" s="322">
        <f ca="1">INDIRECT(E7)</f>
        <v>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36</vt:i4>
      </vt:variant>
      <vt:variant>
        <vt:lpstr>名前付き一覧</vt:lpstr>
      </vt:variant>
      <vt:variant>
        <vt:i4>914</vt:i4>
      </vt:variant>
    </vt:vector>
  </HeadingPairs>
  <TitlesOfParts>
    <vt:vector size="950" baseType="lpstr">
      <vt:lpstr>UNNH0010_H</vt:lpstr>
      <vt:lpstr>UNNH0010_B</vt:lpstr>
      <vt:lpstr>UNNH0010_IF</vt:lpstr>
      <vt:lpstr>UNNH0010_SQL</vt:lpstr>
      <vt:lpstr>UNNH0020_H</vt:lpstr>
      <vt:lpstr>UNNH0020_B</vt:lpstr>
      <vt:lpstr>UNNH0020_IF</vt:lpstr>
      <vt:lpstr>UNNH0020_SQL</vt:lpstr>
      <vt:lpstr>UNNH0020_REPORT</vt:lpstr>
      <vt:lpstr>UNNH0020_REPORT2</vt:lpstr>
      <vt:lpstr>UNNH0020_REPORT_IF</vt:lpstr>
      <vt:lpstr>UNNH0030_H</vt:lpstr>
      <vt:lpstr>UNNH0030_B</vt:lpstr>
      <vt:lpstr>UNNH0030_IF</vt:lpstr>
      <vt:lpstr>UNNH0030_SQL</vt:lpstr>
      <vt:lpstr>UNNH0030_REPORT_IF</vt:lpstr>
      <vt:lpstr>UNNH0030_REPORT_RAYOUT</vt:lpstr>
      <vt:lpstr>UNNH0030_SEIKYUSHO</vt:lpstr>
      <vt:lpstr>UNNH0030_NOHINSHO</vt:lpstr>
      <vt:lpstr>UNNH0030_JURYOSHO</vt:lpstr>
      <vt:lpstr>UNNH0030_HIKAE</vt:lpstr>
      <vt:lpstr>UNNH0030_SOFUJO</vt:lpstr>
      <vt:lpstr>UNNH0031</vt:lpstr>
      <vt:lpstr>UNNH0031_IF</vt:lpstr>
      <vt:lpstr>UNNH0031_SQL</vt:lpstr>
      <vt:lpstr>UNNH0032</vt:lpstr>
      <vt:lpstr>UNNH0032_IF</vt:lpstr>
      <vt:lpstr>UNNH0032_SQL</vt:lpstr>
      <vt:lpstr>UNNH0080</vt:lpstr>
      <vt:lpstr>UNNH0080_IF</vt:lpstr>
      <vt:lpstr>UNNH080_SQL</vt:lpstr>
      <vt:lpstr>Excel_Save_H</vt:lpstr>
      <vt:lpstr>Excel_Save_B</vt:lpstr>
      <vt:lpstr>UNNH_BUNSEKI_HOHO_IF</vt:lpstr>
      <vt:lpstr>UNNH_COMMON_SQL</vt:lpstr>
      <vt:lpstr>UNNH_COMMON</vt:lpstr>
      <vt:lpstr>UNNH0010_H!Print_Area</vt:lpstr>
      <vt:lpstr>UNNH0020_H!Print_Area</vt:lpstr>
      <vt:lpstr>UNNH0030_H!Print_Area</vt:lpstr>
      <vt:lpstr>UNNH0030_SOFUJO!Print_Area</vt:lpstr>
      <vt:lpstr>UNNH0020_REPORT!Print_Titles</vt:lpstr>
      <vt:lpstr>UNNH_BUNSEKI_HOHO_IF_KENSU</vt:lpstr>
      <vt:lpstr>UNNH_BUNSEKI_HOHO_IF_START</vt:lpstr>
      <vt:lpstr>UNNH_COMMON_ACTIVE_SHEET_NAME</vt:lpstr>
      <vt:lpstr>UNNH_COMMON_CHANGE_CHECK</vt:lpstr>
      <vt:lpstr>UNNH_COMMON_CHANGE_CHECK_AREA</vt:lpstr>
      <vt:lpstr>UNNH_COMMON_SQL_BUN_HAN_KBN_SEARCH</vt:lpstr>
      <vt:lpstr>UNNH_COMMON_SQL_BUNSEKI_HOHO_SEARCH</vt:lpstr>
      <vt:lpstr>UNNH_COMMON_SQL_BUSHO_SEARCH</vt:lpstr>
      <vt:lpstr>UNNH_COMMON_SQL_HASSOSAKI_SEARCH</vt:lpstr>
      <vt:lpstr>UNNH_COMMON_SQL_JURI_NO_SEARCH</vt:lpstr>
      <vt:lpstr>UNNH_COMMON_SQL_MITSU_NO_SEARCH</vt:lpstr>
      <vt:lpstr>UNNH_COMMON_SQL_SEIKYUSAKI_SEARCH</vt:lpstr>
      <vt:lpstr>UNNH_COMMON_SQL_SELECT_CTRL_HYOJI_GYO_SU</vt:lpstr>
      <vt:lpstr>UNNH_COMMON_SQL_SELECT_TAX_RATE</vt:lpstr>
      <vt:lpstr>UNNH_COMMON_SQL_SHAIN_SEARCH</vt:lpstr>
      <vt:lpstr>UNNH_COMMON_SQL_SHOHIN_SEARCH</vt:lpstr>
      <vt:lpstr>UNNH_COMMON_SQL_URIAGE_STS_SEARCH</vt:lpstr>
      <vt:lpstr>UNNH0010_B_ALL_PAGE_SU</vt:lpstr>
      <vt:lpstr>UNNH0010_B_BUN_HAN_KBN</vt:lpstr>
      <vt:lpstr>UNNH0010_B_BUNSEKI_HAMBAI_KBN</vt:lpstr>
      <vt:lpstr>UNNH0010_B_COPY_SAKI</vt:lpstr>
      <vt:lpstr>UNNH0010_B_CTRL_HYOJI_GYO_SU</vt:lpstr>
      <vt:lpstr>UNNH0010_B_EDA_KENSU</vt:lpstr>
      <vt:lpstr>UNNH0010_B_EIGYO_TANTO_CD</vt:lpstr>
      <vt:lpstr>UNNH0010_B_EIGYO_TANTOSHA_MEI</vt:lpstr>
      <vt:lpstr>UNNH0010_B_EXIST_NEXT_PAGE</vt:lpstr>
      <vt:lpstr>UNNH0010_B_EXIST_PREV_PAGE</vt:lpstr>
      <vt:lpstr>UNNH0010_B_FLG</vt:lpstr>
      <vt:lpstr>UNNH0010_B_FORMAT_COPY_FLG</vt:lpstr>
      <vt:lpstr>UNNH0010_B_FREEWD</vt:lpstr>
      <vt:lpstr>UNNH0010_B_HASSO_CD</vt:lpstr>
      <vt:lpstr>UNNH0010_B_HIDE_COLUMN</vt:lpstr>
      <vt:lpstr>UNNH0010_B_HIDE_ROW</vt:lpstr>
      <vt:lpstr>UNNH0010_B_HYOJI_KENSU</vt:lpstr>
      <vt:lpstr>UNNH0010_B_JUCHU_KBN</vt:lpstr>
      <vt:lpstr>UNNH0010_B_JUCHU_KBN_MEI</vt:lpstr>
      <vt:lpstr>UNNH0010_B_JURI_NO</vt:lpstr>
      <vt:lpstr>UNNH0010_B_KENMEI</vt:lpstr>
      <vt:lpstr>UNNH0010_B_KENSAKU_KENSU</vt:lpstr>
      <vt:lpstr>UNNH0010_B_LIST_CLEAR</vt:lpstr>
      <vt:lpstr>UNNH0010_B_LIST_START</vt:lpstr>
      <vt:lpstr>UNNH0010_B_MITSU_NO</vt:lpstr>
      <vt:lpstr>UNNH0010_B_NEXT_PAGE_NO</vt:lpstr>
      <vt:lpstr>UNNH0010_B_NOHIN_DATE</vt:lpstr>
      <vt:lpstr>UNNH0010_B_NYURYOKU_DATE</vt:lpstr>
      <vt:lpstr>UNNH0010_B_NYURYOKUSHA_CD</vt:lpstr>
      <vt:lpstr>UNNH0010_B_NYURYOKUSHA_MEI</vt:lpstr>
      <vt:lpstr>UNNH0010_B_PAGE_NO</vt:lpstr>
      <vt:lpstr>UNNH0010_B_PREV_PAGE_NO</vt:lpstr>
      <vt:lpstr>UNNH0010_B_ROW</vt:lpstr>
      <vt:lpstr>UNNH0010_B_SCROLL_LOCK</vt:lpstr>
      <vt:lpstr>UNNH0010_B_SEIKYUSAKI_CD</vt:lpstr>
      <vt:lpstr>UNNH0010_B_SEIKYUSAKI_MEI</vt:lpstr>
      <vt:lpstr>UNNH0010_B_SELECT</vt:lpstr>
      <vt:lpstr>UNNH0010_B_SELECT_FLG_COPY_SAKI</vt:lpstr>
      <vt:lpstr>UNNH0010_B_SELECT_GYO_NO</vt:lpstr>
      <vt:lpstr>UNNH0010_B_SELECT_JUCHU_KBN</vt:lpstr>
      <vt:lpstr>UNNH0010_B_SELECT_JURI_NO</vt:lpstr>
      <vt:lpstr>UNNH0010_B_SELECT_MITSU_NO</vt:lpstr>
      <vt:lpstr>UNNH0010_B_SHOHIN_KENSU</vt:lpstr>
      <vt:lpstr>UNNH0010_B_STS</vt:lpstr>
      <vt:lpstr>UNNH0010_B_STS_MEI</vt:lpstr>
      <vt:lpstr>UNNH0010_B_URI_MIKEIJO_FLG</vt:lpstr>
      <vt:lpstr>UNNH0010_B_URIAGE_KEIJO</vt:lpstr>
      <vt:lpstr>UNNH0010_B_URIAGE_NO_S</vt:lpstr>
      <vt:lpstr>UNNH0010_B_VIEW_CURRENT_PAGE</vt:lpstr>
      <vt:lpstr>UNNH0010_H_BUNSEKI_CHUDAN_STS</vt:lpstr>
      <vt:lpstr>UNNH0010_H_BUNSEKI_CHUKAN_STS</vt:lpstr>
      <vt:lpstr>UNNH0010_H_BUNSEKI_CHUSHI_STS</vt:lpstr>
      <vt:lpstr>UNNH0010_H_BUNSEKI_EIGYO_STS</vt:lpstr>
      <vt:lpstr>UNNH0010_H_BUNSEKI_GIJUTSU_STS</vt:lpstr>
      <vt:lpstr>UNNH0010_H_BUNSEKI_HAMBAI_KBN</vt:lpstr>
      <vt:lpstr>UNNH0010_H_BUNSEKI_HAMBAI_KBN_CD</vt:lpstr>
      <vt:lpstr>UNNH0010_H_BUNSEKI_IRAI_HOKAN_STS</vt:lpstr>
      <vt:lpstr>UNNH0010_H_BUNSEKI_KAKUNIN_MI_STS</vt:lpstr>
      <vt:lpstr>UNNH0010_H_BUNSEKI_KAKUNIN_STS</vt:lpstr>
      <vt:lpstr>UNNH0010_H_BUNSEKI_NOHIN_STS</vt:lpstr>
      <vt:lpstr>UNNH0010_H_BUNSEKI_SOKUHO_STS</vt:lpstr>
      <vt:lpstr>UNNH0010_H_BUNSEKI_TEISEI_STS</vt:lpstr>
      <vt:lpstr>UNNH0010_H_BUNSEKI_UKETSUKE_STS</vt:lpstr>
      <vt:lpstr>UNNH0010_H_EIGYO_TANTO_CD</vt:lpstr>
      <vt:lpstr>UNNH0010_H_EIGYO_TANTOSHA_MEI</vt:lpstr>
      <vt:lpstr>UNNH0010_H_FORM_UPPER_LEFT</vt:lpstr>
      <vt:lpstr>UNNH0010_H_FREEWD_1</vt:lpstr>
      <vt:lpstr>UNNH0010_H_FREEWD_2</vt:lpstr>
      <vt:lpstr>UNNH0010_H_FREEWD_3</vt:lpstr>
      <vt:lpstr>UNNH0010_H_FREEWD_KBN</vt:lpstr>
      <vt:lpstr>UNNH0010_H_HAMBAI_JUNBI_KANRYO_STS</vt:lpstr>
      <vt:lpstr>UNNH0010_H_HAMBAI_SHORIMI_STS</vt:lpstr>
      <vt:lpstr>UNNH0010_H_HASSOSAKI_CD</vt:lpstr>
      <vt:lpstr>UNNH0010_H_HASSOSAKI_MEI</vt:lpstr>
      <vt:lpstr>UNNH0010_H_HIDE_COLUMN</vt:lpstr>
      <vt:lpstr>UNNH0010_H_HIDE_ROW</vt:lpstr>
      <vt:lpstr>UNNH0010_H_INIT_HEADER_CLEAR_AREA</vt:lpstr>
      <vt:lpstr>UNNH0010_H_INIT_HEADER_FLG_COPY_SAKI</vt:lpstr>
      <vt:lpstr>UNNH0010_H_IRAI_KBN</vt:lpstr>
      <vt:lpstr>UNNH0010_H_JUCHU_KBN_CD</vt:lpstr>
      <vt:lpstr>UNNH0010_H_JURI_NO_END</vt:lpstr>
      <vt:lpstr>UNNH0010_H_JURI_NO_END_NUM</vt:lpstr>
      <vt:lpstr>UNNH0010_H_JURI_NO_MAX</vt:lpstr>
      <vt:lpstr>UNNH0010_H_JURI_NO_MIN</vt:lpstr>
      <vt:lpstr>UNNH0010_H_JURI_NO_START</vt:lpstr>
      <vt:lpstr>UNNH0010_H_JURI_NO_START_NUM</vt:lpstr>
      <vt:lpstr>UNNH0010_H_MIKEIJO_FLG</vt:lpstr>
      <vt:lpstr>UNNH0010_H_MITSU_NO_END</vt:lpstr>
      <vt:lpstr>UNNH0010_H_MITSU_NO_START</vt:lpstr>
      <vt:lpstr>UNNH0010_H_MITSUMORI_NO_END_NUM</vt:lpstr>
      <vt:lpstr>UNNH0010_H_MITSUMORI_NO_MAX</vt:lpstr>
      <vt:lpstr>UNNH0010_H_MITSUMORI_NO_MIN</vt:lpstr>
      <vt:lpstr>UNNH0010_H_MITSUMORI_NO_START_NUM</vt:lpstr>
      <vt:lpstr>UNNH0010_H_NOHIN_DATE_END</vt:lpstr>
      <vt:lpstr>UNNH0010_H_NOHIN_DATE_START</vt:lpstr>
      <vt:lpstr>UNNH0010_H_NYURYOKU_DATE_END</vt:lpstr>
      <vt:lpstr>UNNH0010_H_NYURYOKU_DATE_START</vt:lpstr>
      <vt:lpstr>UNNH0010_H_NYURYOKUSHA_CD</vt:lpstr>
      <vt:lpstr>UNNH0010_H_NYURYOKUSHA_MEI</vt:lpstr>
      <vt:lpstr>UNNH0010_H_SEIKYUSAKI_CD</vt:lpstr>
      <vt:lpstr>UNNH0010_H_SEIKYUSAKI_MEI</vt:lpstr>
      <vt:lpstr>UNNH0010_H_SHOHIN_CD</vt:lpstr>
      <vt:lpstr>UNNH0010_H_SHOHIN_KBN</vt:lpstr>
      <vt:lpstr>UNNH0010_H_SHOHIN_MEI</vt:lpstr>
      <vt:lpstr>UNNH0010_IF_ACTIVE_CELL_NAME</vt:lpstr>
      <vt:lpstr>UNNH0010_IF_ACTIVE_COLUMN</vt:lpstr>
      <vt:lpstr>UNNH0010_IF_ACTIVE_ROW</vt:lpstr>
      <vt:lpstr>UNNH0010_IF_ACTIVE_SHEET</vt:lpstr>
      <vt:lpstr>UNNH0010_IF_B_FLG_COPY_MOTO</vt:lpstr>
      <vt:lpstr>UNNH0010_IF_B_LIST_COPY_MOTO</vt:lpstr>
      <vt:lpstr>UNNH0010_IF_B_LIST_DEFAULT</vt:lpstr>
      <vt:lpstr>UNNH0010_IF_CREATE_W_SERIAL</vt:lpstr>
      <vt:lpstr>UNNH0010_IF_DATA_SEARCH_FLG</vt:lpstr>
      <vt:lpstr>UNNH0010_IF_EXCEL_FILE_NAME</vt:lpstr>
      <vt:lpstr>UNNH0010_IF_INIT_HEADER_COPY_MOTO</vt:lpstr>
      <vt:lpstr>UNNH0010_IF_INIT_HEADER_COPY_SAKI</vt:lpstr>
      <vt:lpstr>UNNH0010_IF_INIT_HEADER_FLG_COPY_MOTO</vt:lpstr>
      <vt:lpstr>UNNH0010_IF_PRINT_COPY_MOTO</vt:lpstr>
      <vt:lpstr>UNNH0010_IF_PRINT_COPY_SAKI</vt:lpstr>
      <vt:lpstr>UNNH0010_IF_PRINT_JUCHU_KBN</vt:lpstr>
      <vt:lpstr>UNNH0010_IF_PRINT_KENSAKU_KENSU</vt:lpstr>
      <vt:lpstr>UNNH0010_IF_PRINT_LIST_START</vt:lpstr>
      <vt:lpstr>UNNH0010_IF_SAVE_KENSU</vt:lpstr>
      <vt:lpstr>UNNH0010_IF_SAVE_W_MODE</vt:lpstr>
      <vt:lpstr>UNNH0010_IF_SAVE_W_SERIAL</vt:lpstr>
      <vt:lpstr>UNNH0010_IF_SAVE_W_USER_ID</vt:lpstr>
      <vt:lpstr>UNNH0010_IF_SELECT_CNT</vt:lpstr>
      <vt:lpstr>UNNH0010_IF_SET_MITSU_NO</vt:lpstr>
      <vt:lpstr>UNNH0010_SQL_BUNSEKI_CHUDAN_STS</vt:lpstr>
      <vt:lpstr>UNNH0010_SQL_BUNSEKI_CHUKAN_STS</vt:lpstr>
      <vt:lpstr>UNNH0010_SQL_BUNSEKI_CHUSHI_STS</vt:lpstr>
      <vt:lpstr>UNNH0010_SQL_BUNSEKI_EIGYO_STS</vt:lpstr>
      <vt:lpstr>UNNH0010_SQL_BUNSEKI_GIJUTSU_STS</vt:lpstr>
      <vt:lpstr>UNNH0010_SQL_BUNSEKI_HAMBAI_KBN</vt:lpstr>
      <vt:lpstr>UNNH0010_SQL_BUNSEKI_IRAI_HOKAN_STS</vt:lpstr>
      <vt:lpstr>UNNH0010_SQL_BUNSEKI_KAKUNIN_MI_STS</vt:lpstr>
      <vt:lpstr>UNNH0010_SQL_BUNSEKI_KAKUNIN_STS</vt:lpstr>
      <vt:lpstr>UNNH0010_SQL_BUNSEKI_NOHIN_STS</vt:lpstr>
      <vt:lpstr>UNNH0010_SQL_BUNSEKI_SOKUHO_STS</vt:lpstr>
      <vt:lpstr>UNNH0010_SQL_BUNSEKI_TEISEI_STS</vt:lpstr>
      <vt:lpstr>UNNH0010_SQL_BUNSEKI_UKETSUKE_STS</vt:lpstr>
      <vt:lpstr>UNNH0010_SQL_EIGYO_TANTO_CD</vt:lpstr>
      <vt:lpstr>UNNH0010_SQL_FREEWD_1</vt:lpstr>
      <vt:lpstr>UNNH0010_SQL_FREEWD_2</vt:lpstr>
      <vt:lpstr>UNNH0010_SQL_FREEWD_3</vt:lpstr>
      <vt:lpstr>UNNH0010_SQL_FREEWD_KBN</vt:lpstr>
      <vt:lpstr>UNNH0010_SQL_FREEWORD1</vt:lpstr>
      <vt:lpstr>UNNH0010_SQL_FREEWORD2</vt:lpstr>
      <vt:lpstr>UNNH0010_SQL_FREEWORD3</vt:lpstr>
      <vt:lpstr>UNNH0010_SQL_HAMBAI_JUNBI_KANRYO_STS</vt:lpstr>
      <vt:lpstr>UNNH0010_SQL_HAMBAI_SHORIMI_STS</vt:lpstr>
      <vt:lpstr>UNNH0010_SQL_HASSOSAKI_CD</vt:lpstr>
      <vt:lpstr>UNNH0010_SQL_IRAI_KBN</vt:lpstr>
      <vt:lpstr>UNNH0010_SQL_JOKEN_COPY_MOTO</vt:lpstr>
      <vt:lpstr>UNNH0010_SQL_JOKEN_COPY_SAKI</vt:lpstr>
      <vt:lpstr>UNNH0010_SQL_JURI_NO_END</vt:lpstr>
      <vt:lpstr>UNNH0010_SQL_JURI_NO_SEARCH</vt:lpstr>
      <vt:lpstr>UNNH0010_SQL_JURI_NO_START</vt:lpstr>
      <vt:lpstr>UNNH0010_SQL_MIKEIJO_FLG</vt:lpstr>
      <vt:lpstr>UNNH0010_SQL_MITSU_NO_END</vt:lpstr>
      <vt:lpstr>UNNH0010_SQL_MITSU_NO_SEARCH</vt:lpstr>
      <vt:lpstr>UNNH0010_SQL_MITSU_NO_START</vt:lpstr>
      <vt:lpstr>UNNH0010_SQL_NOHIN_DATE_END</vt:lpstr>
      <vt:lpstr>UNNH0010_SQL_NOHIN_DATE_START</vt:lpstr>
      <vt:lpstr>UNNH0010_SQL_NYURYOKU_DATE_END</vt:lpstr>
      <vt:lpstr>UNNH0010_SQL_NYURYOKU_DATE_START</vt:lpstr>
      <vt:lpstr>UNNH0010_SQL_NYURYOKUSHA_CD</vt:lpstr>
      <vt:lpstr>UNNH0010_SQL_PRINT_URIAGE_JUCHU_LIST</vt:lpstr>
      <vt:lpstr>UNNH0010_SQL_SEIKYUSAKI_CD</vt:lpstr>
      <vt:lpstr>UNNH0010_SQL_SELECT_CNT</vt:lpstr>
      <vt:lpstr>UNNH0010_SQL_SELECT_INIT_SORT</vt:lpstr>
      <vt:lpstr>UNNH0010_SQL_SELECT_SORT</vt:lpstr>
      <vt:lpstr>UNNH0010_SQL_SELECT_URIAGE_JUCHU_LIST</vt:lpstr>
      <vt:lpstr>UNNH0010_SQL_SELECT_URIAGE_JUCHU_LIST_CNT</vt:lpstr>
      <vt:lpstr>UNNH0010_SQL_SELECT_W_URIAGE_JUCHU</vt:lpstr>
      <vt:lpstr>UNNH0010_SQL_SHOHIN_CD</vt:lpstr>
      <vt:lpstr>UNNH0010_SQL_SHOHIN_KBN</vt:lpstr>
      <vt:lpstr>UNNH0010_SQL_SORT</vt:lpstr>
      <vt:lpstr>UNNH0010_SQL_SP_CLEAR</vt:lpstr>
      <vt:lpstr>UNNH0010_SQL_SP_LOAD</vt:lpstr>
      <vt:lpstr>UNNH0020_B_ALL_PAGE_SU</vt:lpstr>
      <vt:lpstr>UNNH0020_B_ATENA</vt:lpstr>
      <vt:lpstr>UNNH0020_B_BUNSEKI_HOHO</vt:lpstr>
      <vt:lpstr>UNNH0020_B_BUSHO_CD</vt:lpstr>
      <vt:lpstr>UNNH0020_B_BUSHO_MEI</vt:lpstr>
      <vt:lpstr>UNNH0020_B_COPY_SAKI</vt:lpstr>
      <vt:lpstr>UNNH0020_B_CTRL_HYOJI_GYO_SU</vt:lpstr>
      <vt:lpstr>UNNH0020_B_DEL</vt:lpstr>
      <vt:lpstr>UNNH0020_B_DEL_FLG</vt:lpstr>
      <vt:lpstr>UNNH0020_B_DEMPYO_KBN</vt:lpstr>
      <vt:lpstr>UNNH0020_B_DEMPYO_KBN_MEI</vt:lpstr>
      <vt:lpstr>UNNH0020_B_EIGYO_TANTO_CD</vt:lpstr>
      <vt:lpstr>UNNH0020_B_EIGYO_TANTO_MEI</vt:lpstr>
      <vt:lpstr>UNNH0020_B_EXIST_NEXT_PAGE</vt:lpstr>
      <vt:lpstr>UNNH0020_B_EXIST_PREV_PAGE</vt:lpstr>
      <vt:lpstr>UNNH0020_B_FORMAT_COPY_FLG</vt:lpstr>
      <vt:lpstr>UNNH0020_B_FREEWD</vt:lpstr>
      <vt:lpstr>UNNH0020_B_HIDE_COLUMN</vt:lpstr>
      <vt:lpstr>UNNH0020_B_HIDE_ROW</vt:lpstr>
      <vt:lpstr>UNNH0020_B_HYOJI_KENSU</vt:lpstr>
      <vt:lpstr>UNNH0020_B_JURI_NO</vt:lpstr>
      <vt:lpstr>UNNH0020_B_KAISHU_DATE</vt:lpstr>
      <vt:lpstr>UNNH0020_B_KENSAKU_KENSU</vt:lpstr>
      <vt:lpstr>UNNH0020_B_LIST_CLEAR</vt:lpstr>
      <vt:lpstr>UNNH0020_B_LIST_START</vt:lpstr>
      <vt:lpstr>UNNH0020_B_NEXT_PAGE_NO</vt:lpstr>
      <vt:lpstr>UNNH0020_B_NOHIN_DATE</vt:lpstr>
      <vt:lpstr>UNNH0020_B_NYURYOKU_DATE_TIME</vt:lpstr>
      <vt:lpstr>UNNH0020_B_NYURYOKUSHA_CD</vt:lpstr>
      <vt:lpstr>UNNH0020_B_NYURYOKUSHA_MEI</vt:lpstr>
      <vt:lpstr>UNNH0020_B_PAGE_NO</vt:lpstr>
      <vt:lpstr>UNNH0020_B_PREV_PAGE_NO</vt:lpstr>
      <vt:lpstr>UNNH0020_B_RENDO_KBN</vt:lpstr>
      <vt:lpstr>UNNH0020_B_RENDO_KBN_MEI</vt:lpstr>
      <vt:lpstr>UNNH0020_B_SAKI_URIAGE_NO</vt:lpstr>
      <vt:lpstr>UNNH0020_B_SCROLL_LOCK</vt:lpstr>
      <vt:lpstr>UNNH0020_B_SEIKYU_CD</vt:lpstr>
      <vt:lpstr>UNNH0020_B_SEIKYU_MEI</vt:lpstr>
      <vt:lpstr>UNNH0020_B_SELECT_GYO_NO</vt:lpstr>
      <vt:lpstr>UNNH0020_B_SELECT_URIAGE_NO</vt:lpstr>
      <vt:lpstr>UNNH0020_B_SENTAKU</vt:lpstr>
      <vt:lpstr>UNNH0020_B_SHOKON_NO</vt:lpstr>
      <vt:lpstr>UNNH0020_B_SHOKON_RENDO_DATE_TIME</vt:lpstr>
      <vt:lpstr>UNNH0020_B_STS</vt:lpstr>
      <vt:lpstr>UNNH0020_B_URIAGE_DATE</vt:lpstr>
      <vt:lpstr>UNNH0020_B_URIAGE_NO</vt:lpstr>
      <vt:lpstr>UNNH0020_B_URIAGE_STS</vt:lpstr>
      <vt:lpstr>UNNH0020_B_VIEW_CURRENT_PAGE</vt:lpstr>
      <vt:lpstr>UNNH0020_H_AKA_KBN</vt:lpstr>
      <vt:lpstr>UNNH0020_H_BUNSEKI_HOHO</vt:lpstr>
      <vt:lpstr>UNNH0020_H_BUSHO_CD</vt:lpstr>
      <vt:lpstr>UNNH0020_H_BUSHO_MEI</vt:lpstr>
      <vt:lpstr>UNNH0020_H_DEL_HYOJI_FLG</vt:lpstr>
      <vt:lpstr>UNNH0020_H_EIGYO_TANTO_CD</vt:lpstr>
      <vt:lpstr>UNNH0020_H_EIGYO_TANTO_MEI</vt:lpstr>
      <vt:lpstr>UNNH0020_H_FORM_UPPER_LEFT</vt:lpstr>
      <vt:lpstr>UNNH0020_H_FREEWD_1</vt:lpstr>
      <vt:lpstr>UNNH0020_H_FREEWD_2</vt:lpstr>
      <vt:lpstr>UNNH0020_H_FREEWD_3</vt:lpstr>
      <vt:lpstr>UNNH0020_H_FREEWD_KBN</vt:lpstr>
      <vt:lpstr>UNNH0020_H_HAKKOSUMI_STS</vt:lpstr>
      <vt:lpstr>UNNH0020_H_HIDE_COLUMN</vt:lpstr>
      <vt:lpstr>UNNH0020_H_HIDE_ROW</vt:lpstr>
      <vt:lpstr>UNNH0020_H_INIT_HEADER_COPY_SAKI</vt:lpstr>
      <vt:lpstr>UNNH0020_H_INIT_HEADER_FLG_COPY_SAKI</vt:lpstr>
      <vt:lpstr>UNNH0020_H_JURI_NO_END</vt:lpstr>
      <vt:lpstr>UNNH0020_H_JURI_NO_END_NUM</vt:lpstr>
      <vt:lpstr>UNNH0020_H_JURI_NO_MAX</vt:lpstr>
      <vt:lpstr>UNNH0020_H_JURI_NO_MIN</vt:lpstr>
      <vt:lpstr>UNNH0020_H_JURI_NO_START</vt:lpstr>
      <vt:lpstr>UNNH0020_H_JURI_NO_START_NUM</vt:lpstr>
      <vt:lpstr>UNNH0020_H_KAISHU_DATE_END</vt:lpstr>
      <vt:lpstr>UNNH0020_H_KAISHU_DATE_START</vt:lpstr>
      <vt:lpstr>UNNH0020_H_KETSUGO_KBN</vt:lpstr>
      <vt:lpstr>UNNH0020_H_KURO_KBN</vt:lpstr>
      <vt:lpstr>UNNH0020_H_MIHAKKO_STS</vt:lpstr>
      <vt:lpstr>UNNH0020_H_NOHIN_DATE_END</vt:lpstr>
      <vt:lpstr>UNNH0020_H_NOHIN_DATE_START</vt:lpstr>
      <vt:lpstr>UNNH0020_H_NYURYOKU_DATE_END</vt:lpstr>
      <vt:lpstr>UNNH0020_H_NYURYOKU_DATE_START</vt:lpstr>
      <vt:lpstr>UNNH0020_H_NYURYOKUSHA_CD</vt:lpstr>
      <vt:lpstr>UNNH0020_H_NYURYOKUSHA_MEI</vt:lpstr>
      <vt:lpstr>UNNH0020_H_RENDO_FUYO_KBN</vt:lpstr>
      <vt:lpstr>UNNH0020_H_RENDO_MI_KBN</vt:lpstr>
      <vt:lpstr>UNNH0020_H_RENDO_SUMI_KBN</vt:lpstr>
      <vt:lpstr>UNNH0020_H_SAIHAKKOSUMI_STS</vt:lpstr>
      <vt:lpstr>UNNH0020_H_SAKI_URIAGE_NO</vt:lpstr>
      <vt:lpstr>UNNH0020_H_SEIKYUSAKI_CD</vt:lpstr>
      <vt:lpstr>UNNH0020_H_SEIKYUSAKI_MEI</vt:lpstr>
      <vt:lpstr>UNNH0020_H_SHOHIN_CD</vt:lpstr>
      <vt:lpstr>UNNH0020_H_SHOHIN_MEI</vt:lpstr>
      <vt:lpstr>UNNH0020_H_TEISEI_KBN</vt:lpstr>
      <vt:lpstr>UNNH0020_H_TSUJO_KBN</vt:lpstr>
      <vt:lpstr>UNNH0020_H_URIAGE_DATE_END</vt:lpstr>
      <vt:lpstr>UNNH0020_H_URIAGE_DATE_START</vt:lpstr>
      <vt:lpstr>UNNH0020_H_URIAGE_LINK_STS</vt:lpstr>
      <vt:lpstr>UNNH0020_H_URIAGE_NO_END</vt:lpstr>
      <vt:lpstr>UNNH0020_H_URIAGE_NO_END_NUM</vt:lpstr>
      <vt:lpstr>UNNH0020_H_URIAGE_NO_MAX</vt:lpstr>
      <vt:lpstr>UNNH0020_H_URIAGE_NO_MIN</vt:lpstr>
      <vt:lpstr>UNNH0020_H_URIAGE_NO_START</vt:lpstr>
      <vt:lpstr>UNNH0020_H_URIAGE_NO_START_NUM</vt:lpstr>
      <vt:lpstr>UNNH0020_IF_ACTIVE_CELL_NAME</vt:lpstr>
      <vt:lpstr>UNNH0020_IF_ACTIVE_COLUMN</vt:lpstr>
      <vt:lpstr>UNNH0020_IF_ACTIVE_ROW</vt:lpstr>
      <vt:lpstr>UNNH0020_IF_ACTIVE_SHEET</vt:lpstr>
      <vt:lpstr>UNNH0020_IF_B_LIST_COPY_MOTO</vt:lpstr>
      <vt:lpstr>UNNH0020_IF_B_LIST_DEFAULT</vt:lpstr>
      <vt:lpstr>UNNH0020_IF_DATA_SEARCH_FLG</vt:lpstr>
      <vt:lpstr>UNNH0020_IF_EXCEL_FILE_NAME</vt:lpstr>
      <vt:lpstr>UNNH0020_IF_INIT_HEADER_COPY_MOTO</vt:lpstr>
      <vt:lpstr>UNNH0020_IF_INIT_HEADER_FLG_COPY_MOTO</vt:lpstr>
      <vt:lpstr>UNNH0020_IF_PRINT_COPY_MOTO</vt:lpstr>
      <vt:lpstr>UNNH0020_IF_PRINT_COPY_SAKI</vt:lpstr>
      <vt:lpstr>UNNH0020_IF_PRINT_KENSAKU_KENSU</vt:lpstr>
      <vt:lpstr>UNNH0020_IF_PRINT_LIST_START</vt:lpstr>
      <vt:lpstr>UNNH0020_IF_PRINT_STS</vt:lpstr>
      <vt:lpstr>UNNH0020_REPORT_IF_KENSU</vt:lpstr>
      <vt:lpstr>UNNH0020_REPORT_IF_LIST_KANJOKAMOKU_KENSU</vt:lpstr>
      <vt:lpstr>UNNH0020_REPORT_IF_LIST_KANJOKAMOKU_START</vt:lpstr>
      <vt:lpstr>UNNH0020_REPORT_IF_PRINT_AREA</vt:lpstr>
      <vt:lpstr>UNNH0020_REPORT_IF_SHOKEIHYOU_PRINT_AREA</vt:lpstr>
      <vt:lpstr>UNNH0020_REPORT_IF_SHOSHIKI_COPY_MOTO</vt:lpstr>
      <vt:lpstr>UNNH0020_REPORT_IF_SHOSHIKI_COPY_SAKI</vt:lpstr>
      <vt:lpstr>UNNH0020_REPORT_IF_SHUKEIHYOU_KENSU</vt:lpstr>
      <vt:lpstr>UNNH0020_REPORT_IF_SHUKEIHYOU_SHOSHIKI_COPY_MOTO</vt:lpstr>
      <vt:lpstr>UNNH0020_REPORT_IF_SHUKEIHYOU_SHOSHIKI_COPY_SAKI</vt:lpstr>
      <vt:lpstr>UNNH0020_REPORT_IF_SHUKEIHYOU_SUSHIKI_COPY_MOTO</vt:lpstr>
      <vt:lpstr>UNNH0020_REPORT_IF_SHUKEIHYOU_SUSHIKI_COPY_SAKI</vt:lpstr>
      <vt:lpstr>UNNH0020_REPORT_IF_SOKEI_SUSHIKI_COPY_MOTO</vt:lpstr>
      <vt:lpstr>UNNH0020_REPORT_IF_SOKEI_SUSHIKI_COPY_SAKI</vt:lpstr>
      <vt:lpstr>UNNH0020_REPORT_IF_TAX_RATE</vt:lpstr>
      <vt:lpstr>UNNH0020_REPORT_IF_URIAGEDATE_CHECK</vt:lpstr>
      <vt:lpstr>UNNH0020_REPORT_PRINT_START</vt:lpstr>
      <vt:lpstr>UNNH0020_REPORT_SHOHIN_MEI</vt:lpstr>
      <vt:lpstr>UNNH0020_REPORT_START</vt:lpstr>
      <vt:lpstr>UNNH0020_REPORT_TAX</vt:lpstr>
      <vt:lpstr>UNNH0020_REPORT_URIAGE_DATE</vt:lpstr>
      <vt:lpstr>UNNH0020_REPORT2_PRINT_START</vt:lpstr>
      <vt:lpstr>UNNH0020_REPORT2_START</vt:lpstr>
      <vt:lpstr>UNNH0020_SQL_AKA_KBN</vt:lpstr>
      <vt:lpstr>UNNH0020_SQL_BUNSEKI_HOHO</vt:lpstr>
      <vt:lpstr>UNNH0020_SQL_BUSHO_CD</vt:lpstr>
      <vt:lpstr>UNNH0020_SQL_DEL_HYOJI_FLG</vt:lpstr>
      <vt:lpstr>UNNH0020_SQL_EIGYO_TANTO_CD</vt:lpstr>
      <vt:lpstr>UNNH0020_SQL_FREEWD_1</vt:lpstr>
      <vt:lpstr>UNNH0020_SQL_FREEWD_2</vt:lpstr>
      <vt:lpstr>UNNH0020_SQL_FREEWD_3</vt:lpstr>
      <vt:lpstr>UNNH0020_SQL_FREEWD_KBN</vt:lpstr>
      <vt:lpstr>UNNH0020_SQL_FREEWORD1</vt:lpstr>
      <vt:lpstr>UNNH0020_SQL_FREEWORD2</vt:lpstr>
      <vt:lpstr>UNNH0020_SQL_FREEWORD3</vt:lpstr>
      <vt:lpstr>UNNH0020_SQL_HAKKOSUMI_STS</vt:lpstr>
      <vt:lpstr>UNNH0020_SQL_INIT_SORT</vt:lpstr>
      <vt:lpstr>UNNH0020_SQL_JOKEN_COPU_SAKI</vt:lpstr>
      <vt:lpstr>UNNH0020_SQL_JOKEN_COPY_MOTO</vt:lpstr>
      <vt:lpstr>UNNH0020_SQL_JUCHU_LIST</vt:lpstr>
      <vt:lpstr>UNNH0020_SQL_JURI_NO_END</vt:lpstr>
      <vt:lpstr>UNNH0020_SQL_JURI_NO_SEARCH</vt:lpstr>
      <vt:lpstr>UNNH0020_SQL_JURI_NO_START</vt:lpstr>
      <vt:lpstr>UNNH0020_SQL_KAISHU_DATE_END</vt:lpstr>
      <vt:lpstr>UNNH0020_SQL_KAISHU_DATE_START</vt:lpstr>
      <vt:lpstr>UNNH0020_SQL_KANJOKAMOKU</vt:lpstr>
      <vt:lpstr>UNNH0020_SQL_KETSUGO_KBN</vt:lpstr>
      <vt:lpstr>UNNH0020_SQL_KURO_KBN</vt:lpstr>
      <vt:lpstr>UNNH0020_SQL_MIHAKKO_STS</vt:lpstr>
      <vt:lpstr>UNNH0020_SQL_MITSU_NO_SEARCH</vt:lpstr>
      <vt:lpstr>UNNH0020_SQL_NOHIN_DATE_END</vt:lpstr>
      <vt:lpstr>UNNH0020_SQL_NOHIN_DATE_START</vt:lpstr>
      <vt:lpstr>UNNH0020_SQL_NYURYOKU_DATE_END</vt:lpstr>
      <vt:lpstr>UNNH0020_SQL_NYURYOKU_DATE_START</vt:lpstr>
      <vt:lpstr>UNNH0020_SQL_NYURYOKUSHA_CD</vt:lpstr>
      <vt:lpstr>UNNH0020_SQL_PRINT_URIAGE_LIST</vt:lpstr>
      <vt:lpstr>UNNH0020_SQL_RENDO_FUYO_KBN</vt:lpstr>
      <vt:lpstr>UNNH0020_SQL_RENDO_MI_KBN</vt:lpstr>
      <vt:lpstr>UNNH0020_SQL_RENDO_SUMI_KBN</vt:lpstr>
      <vt:lpstr>UNNH0020_SQL_RESULT_SORT</vt:lpstr>
      <vt:lpstr>UNNH0020_SQL_SAIHAKKOSUMI_STS</vt:lpstr>
      <vt:lpstr>UNNH0020_SQL_SAKI_URIAGE_NO</vt:lpstr>
      <vt:lpstr>UNNH0020_SQL_SAKI_URIAGE_NO_SEARCH</vt:lpstr>
      <vt:lpstr>UNNH0020_SQL_SEIKYUSAKI_CD</vt:lpstr>
      <vt:lpstr>UNNH0020_SQL_SELECT_MERGE_MOTO</vt:lpstr>
      <vt:lpstr>UNNH0020_SQL_SELECT_URIAGE_LIST</vt:lpstr>
      <vt:lpstr>UNNH0020_SQL_SELECT_URIAGE_LIST_CNT</vt:lpstr>
      <vt:lpstr>UNNH0020_SQL_SHOHIN_CD</vt:lpstr>
      <vt:lpstr>UNNH0020_SQL_SORT</vt:lpstr>
      <vt:lpstr>UNNH0020_SQL_TEISEI_KBN</vt:lpstr>
      <vt:lpstr>UNNH0020_SQL_TSUJO_KBN</vt:lpstr>
      <vt:lpstr>UNNH0020_SQL_URIAGE_DATE_END</vt:lpstr>
      <vt:lpstr>UNNH0020_SQL_URIAGE_DATE_START</vt:lpstr>
      <vt:lpstr>UNNH0020_SQL_URIAGE_LINK_STS</vt:lpstr>
      <vt:lpstr>UNNH0020_SQL_URIAGE_NO_END</vt:lpstr>
      <vt:lpstr>UNNH0020_SQL_URIAGE_NO_START</vt:lpstr>
      <vt:lpstr>UNNH0020_SQL_URIAGE_REPORT</vt:lpstr>
      <vt:lpstr>UNNH0020_SQL_URIAGE_SERCH</vt:lpstr>
      <vt:lpstr>UNNH0020_SQL_URIAGE_SHUKEIHYOU_REPORT</vt:lpstr>
      <vt:lpstr>UNNH0030_B_ARARIEKI</vt:lpstr>
      <vt:lpstr>UNNH0030_B_ARARIRITSU</vt:lpstr>
      <vt:lpstr>UNNH0030_B_BAIKA_TENKAI</vt:lpstr>
      <vt:lpstr>UNNH0030_B_BARA_TANI</vt:lpstr>
      <vt:lpstr>UNNH0030_B_BARA_TANI_TENKAI</vt:lpstr>
      <vt:lpstr>UNNH0030_B_COPY_GYO_SUSHIKI</vt:lpstr>
      <vt:lpstr>UNNH0030_B_GENKA_KINGAKU</vt:lpstr>
      <vt:lpstr>UNNH0030_B_GENKA_SURYO</vt:lpstr>
      <vt:lpstr>UNNH0030_B_GENKA_TENKAI</vt:lpstr>
      <vt:lpstr>UNNH0030_B_GENTANKA</vt:lpstr>
      <vt:lpstr>UNNH0030_B_GYO</vt:lpstr>
      <vt:lpstr>UNNH0030_B_GYO_COUNT</vt:lpstr>
      <vt:lpstr>UNNH0030_B_GYO_DECREMENT</vt:lpstr>
      <vt:lpstr>UNNH0030_B_GYO_INCREMENT</vt:lpstr>
      <vt:lpstr>UNNH0030_B_HAMBAI_KINGAKU</vt:lpstr>
      <vt:lpstr>UNNH0030_B_HAMBAI_TANKA</vt:lpstr>
      <vt:lpstr>UNNH0030_B_HIDE_COLUMN</vt:lpstr>
      <vt:lpstr>UNNH0030_B_HIDE_ROW</vt:lpstr>
      <vt:lpstr>UNNH0030_B_IRISU</vt:lpstr>
      <vt:lpstr>UNNH0030_B_IRISU_TANI</vt:lpstr>
      <vt:lpstr>UNNH0030_B_IRISU_TANI_TENKAI</vt:lpstr>
      <vt:lpstr>UNNH0030_B_LIST_CLEAR_AREA</vt:lpstr>
      <vt:lpstr>UNNH0030_B_LIST_DELETE_AREA</vt:lpstr>
      <vt:lpstr>UNNH0030_B_LIST_INSERT_AREA</vt:lpstr>
      <vt:lpstr>UNNH0030_B_LIST_INSERT_COPY_AREA</vt:lpstr>
      <vt:lpstr>UNNH0030_B_LIST_INSERT_TYPE</vt:lpstr>
      <vt:lpstr>UNNH0030_B_LIST_START</vt:lpstr>
      <vt:lpstr>UNNH0030_B_MULTI_SELECT_COPY_SAKI</vt:lpstr>
      <vt:lpstr>UNNH0030_B_ROW_KBN</vt:lpstr>
      <vt:lpstr>UNNH0030_B_SCROLL_LOCK</vt:lpstr>
      <vt:lpstr>UNNH0030_B_SHIIRE_IRISU_TENKAI</vt:lpstr>
      <vt:lpstr>UNNH0030_B_SHIIRE_TANI_TENKAI</vt:lpstr>
      <vt:lpstr>UNNH0030_B_SHOHIN_CD</vt:lpstr>
      <vt:lpstr>UNNH0030_B_SHOHIN_CD_TENKAI</vt:lpstr>
      <vt:lpstr>UNNH0030_B_SHOHIN_MEI</vt:lpstr>
      <vt:lpstr>UNNH0030_B_SHOHIN_MEI_TENKAI</vt:lpstr>
      <vt:lpstr>UNNH0030_B_SOSU</vt:lpstr>
      <vt:lpstr>UNNH0030_B_SURYO</vt:lpstr>
      <vt:lpstr>UNNH0030_B_TANI</vt:lpstr>
      <vt:lpstr>UNNH0030_B_TAX</vt:lpstr>
      <vt:lpstr>UNNH0030_B_TEIKA</vt:lpstr>
      <vt:lpstr>UNNH0030_B_TEIKA_TENKAI</vt:lpstr>
      <vt:lpstr>UNNH0030_B_TEKIYO</vt:lpstr>
      <vt:lpstr>UNNH0030_H_ARARIEKI</vt:lpstr>
      <vt:lpstr>UNNH0030_H_BIKO</vt:lpstr>
      <vt:lpstr>UNNH0030_H_BUNSEKI_HOHO</vt:lpstr>
      <vt:lpstr>UNNH0030_H_BUSHO_CD</vt:lpstr>
      <vt:lpstr>UNNH0030_H_BUSHO_MEI</vt:lpstr>
      <vt:lpstr>UNNH0030_H_CHUKI</vt:lpstr>
      <vt:lpstr>UNNH0030_H_CLEAR_AREA</vt:lpstr>
      <vt:lpstr>UNNH0030_H_COPY_SAKI</vt:lpstr>
      <vt:lpstr>UNNH0030_H_DEMPYO_KBN</vt:lpstr>
      <vt:lpstr>UNNH0030_H_DEMPYO_KBN_CD</vt:lpstr>
      <vt:lpstr>UNNH0030_H_DEMPYO_MEI</vt:lpstr>
      <vt:lpstr>UNNH0030_H_DENKU</vt:lpstr>
      <vt:lpstr>UNNH0030_H_DENKU_CD</vt:lpstr>
      <vt:lpstr>UNNH0030_H_DOJI_FLG</vt:lpstr>
      <vt:lpstr>UNNH0030_H_EIGYO_TANTO_CD</vt:lpstr>
      <vt:lpstr>UNNH0030_H_EIGYO_TANTO_MEI</vt:lpstr>
      <vt:lpstr>UNNH0030_H_FLG_COPY_SAKI</vt:lpstr>
      <vt:lpstr>UNNH0030_H_GENKA_TOTAL</vt:lpstr>
      <vt:lpstr>UNNH0030_H_HIDE_COLUMN</vt:lpstr>
      <vt:lpstr>UNNH0030_H_HIDE_ROW</vt:lpstr>
      <vt:lpstr>UNNH0030_H_JUCHU_KBN_CD</vt:lpstr>
      <vt:lpstr>UNNH0030_H_JURI_NO</vt:lpstr>
      <vt:lpstr>UNNH0030_H_JURI_NO_CNT</vt:lpstr>
      <vt:lpstr>UNNH0030_H_JUSHO_NO_PRINT_FLG</vt:lpstr>
      <vt:lpstr>UNNH0030_H_KAISHU_DATE</vt:lpstr>
      <vt:lpstr>UNNH0030_H_KANJO_KAMOKU</vt:lpstr>
      <vt:lpstr>UNNH0030_H_KANJO_KAMOKU_CD</vt:lpstr>
      <vt:lpstr>UNNH0030_H_KEISHO</vt:lpstr>
      <vt:lpstr>UNNH0030_H_KOMI_TOTAL</vt:lpstr>
      <vt:lpstr>UNNH0030_H_MITSU_NO</vt:lpstr>
      <vt:lpstr>UNNH0030_H_NOHIN_DATE</vt:lpstr>
      <vt:lpstr>UNNH0030_H_NUKI_TOTAL</vt:lpstr>
      <vt:lpstr>UNNH0030_H_NYURYOKU_DATETIME</vt:lpstr>
      <vt:lpstr>UNNH0030_H_NYURYOKUSHA_CD</vt:lpstr>
      <vt:lpstr>UNNH0030_H_NYURYOKUSHA_MEI</vt:lpstr>
      <vt:lpstr>UNNH0030_H_PAGE_NEXT</vt:lpstr>
      <vt:lpstr>UNNH0030_H_PAGE_NO</vt:lpstr>
      <vt:lpstr>UNNH0030_H_PAGE_PREV</vt:lpstr>
      <vt:lpstr>UNNH0030_H_PAGE_TOTAL</vt:lpstr>
      <vt:lpstr>UNNH0030_H_RENDO_KBN</vt:lpstr>
      <vt:lpstr>UNNH0030_H_RENDO_KBN_CD</vt:lpstr>
      <vt:lpstr>UNNH0030_H_RIEKI_RATE</vt:lpstr>
      <vt:lpstr>UNNH0030_H_SAKI_URIAGE_NO</vt:lpstr>
      <vt:lpstr>UNNH0030_H_SEIKYUSAKI_CD</vt:lpstr>
      <vt:lpstr>UNNH0030_H_SEIKYUSAKI_HASU</vt:lpstr>
      <vt:lpstr>UNNH0030_H_SEIKYUSAKI_MEI</vt:lpstr>
      <vt:lpstr>UNNH0030_H_SEIKYUSAKI_MEI_HYOJI</vt:lpstr>
      <vt:lpstr>UNNH0030_H_SHOKON_LIST_DATE_TIME</vt:lpstr>
      <vt:lpstr>UNNH0030_H_SHOKON_NO</vt:lpstr>
      <vt:lpstr>UNNH0030_H_SOFU_FAX</vt:lpstr>
      <vt:lpstr>UNNH0030_H_SOFU_JUSHO_1</vt:lpstr>
      <vt:lpstr>UNNH0030_H_SOFU_JUSHO_2</vt:lpstr>
      <vt:lpstr>UNNH0030_H_SOFU_TANTOSHA_MEI</vt:lpstr>
      <vt:lpstr>UNNH0030_H_SOFU_TEL</vt:lpstr>
      <vt:lpstr>UNNH0030_H_SOFU_YUBIN</vt:lpstr>
      <vt:lpstr>UNNH0030_H_STS</vt:lpstr>
      <vt:lpstr>UNNH0030_H_STS_CD</vt:lpstr>
      <vt:lpstr>UNNH0030_H_TAX</vt:lpstr>
      <vt:lpstr>UNNH0030_H_TAX_KBN</vt:lpstr>
      <vt:lpstr>UNNH0030_H_TAX_RATE</vt:lpstr>
      <vt:lpstr>UNNH0030_H_TEKIYO</vt:lpstr>
      <vt:lpstr>UNNH0030_H_URIAGE_DATE</vt:lpstr>
      <vt:lpstr>UNNH0030_H_URIAGE_NO</vt:lpstr>
      <vt:lpstr>UNNH0030_HIKAE_PAGE_AREA</vt:lpstr>
      <vt:lpstr>UNNH0030_IF_ACTIVE_CELL_NAME</vt:lpstr>
      <vt:lpstr>UNNH0030_IF_ACTIVE_COLUMN</vt:lpstr>
      <vt:lpstr>UNNH0030_IF_ACTIVE_ROW</vt:lpstr>
      <vt:lpstr>UNNH0030_IF_ACTIVE_SHEET</vt:lpstr>
      <vt:lpstr>UNNH0030_IF_BUTTON_03_HYOJI</vt:lpstr>
      <vt:lpstr>UNNH0030_IF_BUTTON_04_HYOJI</vt:lpstr>
      <vt:lpstr>UNNH0030_IF_BUTTON_05_HYOJI</vt:lpstr>
      <vt:lpstr>UNNH0030_IF_BUTTON_06_HYOJI</vt:lpstr>
      <vt:lpstr>UNNH0030_IF_BUTTON_06_NAME</vt:lpstr>
      <vt:lpstr>UNNH0030_IF_BUTTON_07_HYOJI</vt:lpstr>
      <vt:lpstr>UNNH0030_IF_BUTTON_08_HYOJI</vt:lpstr>
      <vt:lpstr>UNNH0030_IF_BUTTON_09_HYOJI</vt:lpstr>
      <vt:lpstr>UNNH0030_IF_BUTTON_10_HYOJI</vt:lpstr>
      <vt:lpstr>UNNH0030_IF_BUTTON_10_NAME</vt:lpstr>
      <vt:lpstr>UNNH0030_IF_BUTTON_11_HYOJI</vt:lpstr>
      <vt:lpstr>UNNH0030_IF_BUTTON_12_HYOJI</vt:lpstr>
      <vt:lpstr>UNNH0030_IF_BUTTON_13_HYOJI</vt:lpstr>
      <vt:lpstr>UNNH0030_IF_BUTTON_14_ERROR</vt:lpstr>
      <vt:lpstr>UNNH0030_IF_BUTTON_14_HYOJI</vt:lpstr>
      <vt:lpstr>UNNH0030_IF_BUTTON_15_HYOJI</vt:lpstr>
      <vt:lpstr>UNNH0030_IF_BUTTON_16_HYOJI</vt:lpstr>
      <vt:lpstr>UNNH0030_IF_BUTTON_17_HYOJI</vt:lpstr>
      <vt:lpstr>UNNH0030_IF_BUTTON_17_NAME</vt:lpstr>
      <vt:lpstr>UNNH0030_IF_BUTTON_18_HYOJI</vt:lpstr>
      <vt:lpstr>UNNH0030_IF_BUTTON_19_HYOJI</vt:lpstr>
      <vt:lpstr>UNNH0030_IF_BUTTON_20_HYOJI</vt:lpstr>
      <vt:lpstr>UNNH0030_IF_COPY_B_COMMENT_SANSHO</vt:lpstr>
      <vt:lpstr>UNNH0030_IF_COPY_B_COMMENT_SHINKI</vt:lpstr>
      <vt:lpstr>UNNH0030_IF_COPY_B_COMMENT_SHUSEI</vt:lpstr>
      <vt:lpstr>UNNH0030_IF_COPY_B_GYO_SUSHIKI</vt:lpstr>
      <vt:lpstr>UNNH0030_IF_COPY_B_LIST_CLEAR</vt:lpstr>
      <vt:lpstr>UNNH0030_IF_COPY_B_MEISAI_ARARI_SUSHIKI</vt:lpstr>
      <vt:lpstr>UNNH0030_IF_COPY_B_MEISAI_KINGAKU_SUSHIKI</vt:lpstr>
      <vt:lpstr>UNNH0030_IF_COPY_B_MEISAI_SANSHO</vt:lpstr>
      <vt:lpstr>UNNH0030_IF_COPY_B_MEISAI_SHINKI</vt:lpstr>
      <vt:lpstr>UNNH0030_IF_COPY_B_MEISAI_SHUSEI</vt:lpstr>
      <vt:lpstr>UNNH0030_IF_COPY_B_MEISAI_TAX_SUSHIKI</vt:lpstr>
      <vt:lpstr>UNNH0030_IF_COPY_B_MEISAI_TOTAL_SUSHIKI</vt:lpstr>
      <vt:lpstr>UNNH0030_IF_COPY_B_NEBIKI_DIR_SANSHO</vt:lpstr>
      <vt:lpstr>UNNH0030_IF_COPY_B_NEBIKI_DIR_SHINKI</vt:lpstr>
      <vt:lpstr>UNNH0030_IF_COPY_B_NEBIKI_DIR_SHUSEI</vt:lpstr>
      <vt:lpstr>UNNH0030_IF_COPY_H_DEMPYO_KBN</vt:lpstr>
      <vt:lpstr>UNNH0030_IF_COPY_H_DEMPYO_KBN_CHECK</vt:lpstr>
      <vt:lpstr>UNNH0030_IF_COPY_H_INIT_DEMPYO_KBN</vt:lpstr>
      <vt:lpstr>UNNH0030_IF_COPY_H_INIT_RENDO_KBN</vt:lpstr>
      <vt:lpstr>UNNH0030_IF_COPY_H_JURI_NO_LOCK</vt:lpstr>
      <vt:lpstr>UNNH0030_IF_COPY_H_JURI_NO_LOCK_CHECK</vt:lpstr>
      <vt:lpstr>UNNH0030_IF_COPY_H_JURI_NO_UNLOCK</vt:lpstr>
      <vt:lpstr>UNNH0030_IF_COPY_H_RENDO_KBN</vt:lpstr>
      <vt:lpstr>UNNH0030_IF_COPY_H_RENDO_KBN_CHECK</vt:lpstr>
      <vt:lpstr>UNNH0030_IF_COPY_H_SANSHO</vt:lpstr>
      <vt:lpstr>UNNH0030_IF_COPY_H_SHINKI</vt:lpstr>
      <vt:lpstr>UNNH0030_IF_COPY_H_SHUSEI</vt:lpstr>
      <vt:lpstr>UNNH0030_IF_COPY_H_URIAGE_DATE</vt:lpstr>
      <vt:lpstr>UNNH0030_IF_DATA_SEARCH_FLG</vt:lpstr>
      <vt:lpstr>UNNH0030_IF_EXCEL_FILE_NAME</vt:lpstr>
      <vt:lpstr>UNNH0030_IF_FLG_COPY_MOTO</vt:lpstr>
      <vt:lpstr>UNNH0030_IF_GET_KAISHU_DATE_CHECK</vt:lpstr>
      <vt:lpstr>UNNH0030_IF_INPUT_CHECK</vt:lpstr>
      <vt:lpstr>UNNH0030_IF_INPUT_ERROR_MESSAGE</vt:lpstr>
      <vt:lpstr>UNNH0030_IF_JUCHU_MODE</vt:lpstr>
      <vt:lpstr>UNNH0030_IF_LIST_DEMPYO_KBN_KENSU</vt:lpstr>
      <vt:lpstr>UNNH0030_IF_LIST_DEMPYO_KBN_START</vt:lpstr>
      <vt:lpstr>UNNH0030_IF_LIST_DENKU_KENSU</vt:lpstr>
      <vt:lpstr>UNNH0030_IF_LIST_DENKU_START</vt:lpstr>
      <vt:lpstr>UNNH0030_IF_LIST_KANJO_KAMOKU_KENSU</vt:lpstr>
      <vt:lpstr>UNNH0030_IF_LIST_KANJO_KAMOKU_START</vt:lpstr>
      <vt:lpstr>UNNH0030_IF_LIST_KEISHO_KBN_KENSU</vt:lpstr>
      <vt:lpstr>UNNH0030_IF_LIST_KEISHO_KBN_START</vt:lpstr>
      <vt:lpstr>UNNH0030_IF_LIST_RENDO_KBN_KENSU</vt:lpstr>
      <vt:lpstr>UNNH0030_IF_LIST_RENDO_KBN_START</vt:lpstr>
      <vt:lpstr>UNNH0030_IF_MERGE_RELEASE_COMP_MSG</vt:lpstr>
      <vt:lpstr>UNNH0030_IF_MERGE_RELEASE_CONFIRM_MSG</vt:lpstr>
      <vt:lpstr>UNNH0030_IF_MERGE_RELEASE_WARNING_CHECK</vt:lpstr>
      <vt:lpstr>UNNH0030_IF_MERGE_RELEASE_WARNING_MSG</vt:lpstr>
      <vt:lpstr>UNNH0030_IF_MODE</vt:lpstr>
      <vt:lpstr>UNNH0030_IF_MOTO_URIAGE_NO</vt:lpstr>
      <vt:lpstr>UNNH0030_IF_MULTI_SELECT_CHECK</vt:lpstr>
      <vt:lpstr>UNNH0030_IF_MULTI_SELECT_COPY_MOTO</vt:lpstr>
      <vt:lpstr>UNNH0030_IF_MULTI_SELECT_FLG</vt:lpstr>
      <vt:lpstr>UNNH0030_IF_MULTI_SELECT_GENKA_SUSHIKI_COPY_SAKI</vt:lpstr>
      <vt:lpstr>UNNH0030_IF_MULTI_SELECT_GYO_INCREMENT</vt:lpstr>
      <vt:lpstr>UNNH0030_IF_MULTI_SELECT_GYO_SUSHIKI_COPY_SAKI</vt:lpstr>
      <vt:lpstr>UNNH0030_IF_MULTI_SELECT_KENSU</vt:lpstr>
      <vt:lpstr>UNNH0030_IF_MULTI_SELECT_KINGAKU_SUSHIKI_COPY_SAKI</vt:lpstr>
      <vt:lpstr>UNNH0030_IF_MULTI_SELECT_LIST_ARARI_AREA</vt:lpstr>
      <vt:lpstr>UNNH0030_IF_MULTI_SELECT_LIST_GYO</vt:lpstr>
      <vt:lpstr>UNNH0030_IF_MULTI_SELECT_LIST_KINGAKU</vt:lpstr>
      <vt:lpstr>UNNH0030_IF_MULTI_SELECT_LIST_SOSU</vt:lpstr>
      <vt:lpstr>UNNH0030_IF_MULTI_SELECT_LIST_TAX</vt:lpstr>
      <vt:lpstr>UNNH0030_IF_MULTI_SELECT_SHOSHIKI_COPY_SAKI</vt:lpstr>
      <vt:lpstr>UNNH0030_IF_MULTI_SELECT_SOSU_SUSHIKI_COPY_SAKI</vt:lpstr>
      <vt:lpstr>UNNH0030_IF_MULTI_SELECT_TAX_SUSHIKI_COPY_SAKI</vt:lpstr>
      <vt:lpstr>UNNH0030_IF_MULTI_SELECT_TENKAI_KENSU</vt:lpstr>
      <vt:lpstr>UNNH0030_IF_MULTI_SELECT_TENKAI_START</vt:lpstr>
      <vt:lpstr>UNNH0030_IF_PAGE_SAVE_CHECK</vt:lpstr>
      <vt:lpstr>UNNH0030_IF_PREVIOUS_ID</vt:lpstr>
      <vt:lpstr>UNNH0030_IF_REF_NO</vt:lpstr>
      <vt:lpstr>UNNH0030_IF_RIREKI_NO</vt:lpstr>
      <vt:lpstr>UNNH0030_IF_SAVE_ADDRESS_1</vt:lpstr>
      <vt:lpstr>UNNH0030_IF_SAVE_ADDRESS_2</vt:lpstr>
      <vt:lpstr>UNNH0030_IF_SAVE_ARARIEKI_B</vt:lpstr>
      <vt:lpstr>UNNH0030_IF_SAVE_ARARIEKI_H</vt:lpstr>
      <vt:lpstr>UNNH0030_IF_SAVE_ARARIRITSU_B</vt:lpstr>
      <vt:lpstr>UNNH0030_IF_SAVE_ARARIRITSU_H</vt:lpstr>
      <vt:lpstr>UNNH0030_IF_SAVE_BARA_TANI</vt:lpstr>
      <vt:lpstr>UNNH0030_IF_SAVE_BAT_LOOP_CNT</vt:lpstr>
      <vt:lpstr>UNNH0030_IF_SAVE_BAT_URIAGE_NO</vt:lpstr>
      <vt:lpstr>UNNH0030_IF_SAVE_BUNSEKI_HOHO</vt:lpstr>
      <vt:lpstr>UNNH0030_IF_SAVE_BUSHO_CD</vt:lpstr>
      <vt:lpstr>UNNH0030_IF_SAVE_CHECK_ERROR_KOMOKU</vt:lpstr>
      <vt:lpstr>UNNH0030_IF_SAVE_CHECK_RESULT</vt:lpstr>
      <vt:lpstr>UNNH0030_IF_SAVE_CHECK_START</vt:lpstr>
      <vt:lpstr>UNNH0030_IF_SAVE_COPY_MOTO</vt:lpstr>
      <vt:lpstr>UNNH0030_IF_SAVE_COPY_SAKI</vt:lpstr>
      <vt:lpstr>UNNH0030_IF_SAVE_COPY_START</vt:lpstr>
      <vt:lpstr>UNNH0030_IF_SAVE_DBS_CREATE_DATE</vt:lpstr>
      <vt:lpstr>UNNH0030_IF_SAVE_DBS_CREATE_USER</vt:lpstr>
      <vt:lpstr>UNNH0030_IF_SAVE_DBS_STATUS</vt:lpstr>
      <vt:lpstr>UNNH0030_IF_SAVE_DBS_UPDATE_DATE</vt:lpstr>
      <vt:lpstr>UNNH0030_IF_SAVE_DBS_UPDATE_USER</vt:lpstr>
      <vt:lpstr>UNNH0030_IF_SAVE_DEL_FLG</vt:lpstr>
      <vt:lpstr>UNNH0030_IF_SAVE_DEMPYO_KBN</vt:lpstr>
      <vt:lpstr>UNNH0030_IF_SAVE_DEMPYO_SOFU_MEI</vt:lpstr>
      <vt:lpstr>UNNH0030_IF_SAVE_DOJI_FLG</vt:lpstr>
      <vt:lpstr>UNNH0030_IF_SAVE_EIGYO_TANTO_CD</vt:lpstr>
      <vt:lpstr>UNNH0030_IF_SAVE_ERROR_CHECK</vt:lpstr>
      <vt:lpstr>UNNH0030_IF_SAVE_ERROR_MESSAGE</vt:lpstr>
      <vt:lpstr>UNNH0030_IF_SAVE_FAX</vt:lpstr>
      <vt:lpstr>UNNH0030_IF_SAVE_GENKA_KINGAKU</vt:lpstr>
      <vt:lpstr>UNNH0030_IF_SAVE_GENKA_SURYO</vt:lpstr>
      <vt:lpstr>UNNH0030_IF_SAVE_GENKA_TOTAL</vt:lpstr>
      <vt:lpstr>UNNH0030_IF_SAVE_GENTANKA</vt:lpstr>
      <vt:lpstr>UNNH0030_IF_SAVE_GYO_NO</vt:lpstr>
      <vt:lpstr>UNNH0030_IF_SAVE_HAMBAI_KINGAKU</vt:lpstr>
      <vt:lpstr>UNNH0030_IF_SAVE_HAMBAI_TANKA</vt:lpstr>
      <vt:lpstr>UNNH0030_IF_SAVE_IRISU_TANI</vt:lpstr>
      <vt:lpstr>UNNH0030_IF_SAVE_JOGAI_GYO</vt:lpstr>
      <vt:lpstr>UNNH0030_IF_SAVE_JUCHU_KBN</vt:lpstr>
      <vt:lpstr>UNNH0030_IF_SAVE_JURI_NO</vt:lpstr>
      <vt:lpstr>UNNH0030_IF_SAVE_JUSHO_NO_PRINT_FLG</vt:lpstr>
      <vt:lpstr>UNNH0030_IF_SAVE_KAISHU_DATE</vt:lpstr>
      <vt:lpstr>UNNH0030_IF_SAVE_KEISHO</vt:lpstr>
      <vt:lpstr>UNNH0030_IF_SAVE_KENSU</vt:lpstr>
      <vt:lpstr>UNNH0030_IF_SAVE_KOMI_TOTAL</vt:lpstr>
      <vt:lpstr>UNNH0030_IF_SAVE_MITSU_NO</vt:lpstr>
      <vt:lpstr>UNNH0030_IF_SAVE_NOHIN_DATE</vt:lpstr>
      <vt:lpstr>UNNH0030_IF_SAVE_NUKI_TOTAL</vt:lpstr>
      <vt:lpstr>UNNH0030_IF_SAVE_NYURYOKU_DATE_TIME</vt:lpstr>
      <vt:lpstr>UNNH0030_IF_SAVE_PRINT_CHECK</vt:lpstr>
      <vt:lpstr>UNNH0030_IF_SAVE_RENDO_CHECK</vt:lpstr>
      <vt:lpstr>UNNH0030_IF_SAVE_RENDO_KBN</vt:lpstr>
      <vt:lpstr>UNNH0030_IF_SAVE_RESULT_CD</vt:lpstr>
      <vt:lpstr>UNNH0030_IF_SAVE_RESULT_KENSU</vt:lpstr>
      <vt:lpstr>UNNH0030_IF_SAVE_RESULT_MESSAGE</vt:lpstr>
      <vt:lpstr>UNNH0030_IF_SAVE_RESULT_URIAGE_NO</vt:lpstr>
      <vt:lpstr>UNNH0030_IF_SAVE_ROW_KBN</vt:lpstr>
      <vt:lpstr>UNNH0030_IF_SAVE_SAKI_URIAGE_NO</vt:lpstr>
      <vt:lpstr>UNNH0030_IF_SAVE_SEIKYU_CD</vt:lpstr>
      <vt:lpstr>UNNH0030_IF_SAVE_SHOHIN_CD</vt:lpstr>
      <vt:lpstr>UNNH0030_IF_SAVE_SHOHIN_MEI</vt:lpstr>
      <vt:lpstr>UNNH0030_IF_SAVE_SHOKON_LIST_DATE_TIME</vt:lpstr>
      <vt:lpstr>UNNH0030_IF_SAVE_SHOKON_NO</vt:lpstr>
      <vt:lpstr>UNNH0030_IF_SAVE_SOFU_TANTO</vt:lpstr>
      <vt:lpstr>UNNH0030_IF_SAVE_SOSU</vt:lpstr>
      <vt:lpstr>UNNH0030_IF_SAVE_START</vt:lpstr>
      <vt:lpstr>UNNH0030_IF_SAVE_TAX</vt:lpstr>
      <vt:lpstr>UNNH0030_IF_SAVE_TAX_RATE</vt:lpstr>
      <vt:lpstr>UNNH0030_IF_SAVE_TEIKA</vt:lpstr>
      <vt:lpstr>UNNH0030_IF_SAVE_TEISEI_BIKO</vt:lpstr>
      <vt:lpstr>UNNH0030_IF_SAVE_TEKIYO_B</vt:lpstr>
      <vt:lpstr>UNNH0030_IF_SAVE_TEKIYO_H</vt:lpstr>
      <vt:lpstr>UNNH0030_IF_SAVE_TEL</vt:lpstr>
      <vt:lpstr>UNNH0030_IF_SAVE_URIAGE_DATE</vt:lpstr>
      <vt:lpstr>UNNH0030_IF_SAVE_URIAGE_NO</vt:lpstr>
      <vt:lpstr>UNNH0030_IF_SAVE_URIAGE_NYURYOKUSHA_CD</vt:lpstr>
      <vt:lpstr>UNNH0030_IF_SAVE_URIAGE_STS</vt:lpstr>
      <vt:lpstr>UNNH0030_IF_SAVE_URIAGE_SURYO</vt:lpstr>
      <vt:lpstr>UNNH0030_IF_SAVE_URIAGE_SURYO_TANI</vt:lpstr>
      <vt:lpstr>UNNH0030_IF_SAVE_W_MODE</vt:lpstr>
      <vt:lpstr>UNNH0030_IF_SAVE_W_PAGE</vt:lpstr>
      <vt:lpstr>UNNH0030_IF_SAVE_W_ROW</vt:lpstr>
      <vt:lpstr>UNNH0030_IF_SAVE_W_SERIAL</vt:lpstr>
      <vt:lpstr>UNNH0030_IF_SAVE_YUBIN_NO</vt:lpstr>
      <vt:lpstr>UNNH0030_IF_SET_KANJO_KAMOKU_KENSU</vt:lpstr>
      <vt:lpstr>UNNH0030_IF_SET_KANJO_KAMOKU_START</vt:lpstr>
      <vt:lpstr>UNNH0030_IF_W_MODE</vt:lpstr>
      <vt:lpstr>UNNH0030_IF_W_SERIAL</vt:lpstr>
      <vt:lpstr>UNNH0030_IF_W_SERIAL_CREATE</vt:lpstr>
      <vt:lpstr>UNNH0030_IF_W_USER_ID</vt:lpstr>
      <vt:lpstr>UNNH0030_JURYOSHO_PAGE_AREA</vt:lpstr>
      <vt:lpstr>UNNH0030_NOHINSHO_PAGE_AREA</vt:lpstr>
      <vt:lpstr>UNNH0030_REPORT_IF_B_CLEAR_AREA</vt:lpstr>
      <vt:lpstr>UNNH0030_REPORT_IF_B_COPY_MOTO</vt:lpstr>
      <vt:lpstr>UNNH0030_REPORT_IF_B_COPY_MOTO_TAX</vt:lpstr>
      <vt:lpstr>UNNH0030_REPORT_IF_B_COPY_SAKI</vt:lpstr>
      <vt:lpstr>UNNH0030_REPORT_IF_B_COPY_SAKI_TAX</vt:lpstr>
      <vt:lpstr>UNNH0030_REPORT_IF_B_GYO_NO</vt:lpstr>
      <vt:lpstr>UNNH0030_REPORT_IF_B_KENSU</vt:lpstr>
      <vt:lpstr>UNNH0030_REPORT_IF_B_KENSU_INCREMENT</vt:lpstr>
      <vt:lpstr>UNNH0030_REPORT_IF_B_KINGAKU</vt:lpstr>
      <vt:lpstr>UNNH0030_REPORT_IF_B_PAGE_MEISAI_SU</vt:lpstr>
      <vt:lpstr>UNNH0030_REPORT_IF_B_PAGE_TOTAL</vt:lpstr>
      <vt:lpstr>UNNH0030_REPORT_IF_B_ROW_KBN</vt:lpstr>
      <vt:lpstr>UNNH0030_REPORT_IF_B_SHOHIN_CD</vt:lpstr>
      <vt:lpstr>UNNH0030_REPORT_IF_B_SHOHIN_MEI</vt:lpstr>
      <vt:lpstr>UNNH0030_REPORT_IF_B_START</vt:lpstr>
      <vt:lpstr>UNNH0030_REPORT_IF_B_SURYO</vt:lpstr>
      <vt:lpstr>UNNH0030_REPORT_IF_B_TANI</vt:lpstr>
      <vt:lpstr>UNNH0030_REPORT_IF_B_TANKA</vt:lpstr>
      <vt:lpstr>UNNH0030_REPORT_IF_B_TAX_CHECK</vt:lpstr>
      <vt:lpstr>UNNH0030_REPORT_IF_DEMPYO_HAKKO_CHECK</vt:lpstr>
      <vt:lpstr>UNNH0030_REPORT_IF_H_ADDRESS_1</vt:lpstr>
      <vt:lpstr>UNNH0030_REPORT_IF_H_ADDRESS_2</vt:lpstr>
      <vt:lpstr>UNNH0030_REPORT_IF_H_DEMPYO_HAKKO_KBN</vt:lpstr>
      <vt:lpstr>UNNH0030_REPORT_IF_H_DEMPYO_SOFU_MEI</vt:lpstr>
      <vt:lpstr>UNNH0030_REPORT_IF_H_EIGYO_MEI</vt:lpstr>
      <vt:lpstr>UNNH0030_REPORT_IF_H_HIKAE_FLG</vt:lpstr>
      <vt:lpstr>UNNH0030_REPORT_IF_H_JURI_NO</vt:lpstr>
      <vt:lpstr>UNNH0030_REPORT_IF_H_JURYOSHO_FLG</vt:lpstr>
      <vt:lpstr>UNNH0030_REPORT_IF_H_JUSHO_NO_PRINT_FLG</vt:lpstr>
      <vt:lpstr>UNNH0030_REPORT_IF_H_KEISHO</vt:lpstr>
      <vt:lpstr>UNNH0030_REPORT_IF_H_NOHINSHO_FLG</vt:lpstr>
      <vt:lpstr>UNNH0030_REPORT_IF_H_NUKI_TOTAL</vt:lpstr>
      <vt:lpstr>UNNH0030_REPORT_IF_H_NYURYOKUSHA_MEI</vt:lpstr>
      <vt:lpstr>UNNH0030_REPORT_IF_H_SEIKYU_CD</vt:lpstr>
      <vt:lpstr>UNNH0030_REPORT_IF_H_SEIKYUHOHO_KBN</vt:lpstr>
      <vt:lpstr>UNNH0030_REPORT_IF_H_SEIKYUSHO_FLG</vt:lpstr>
      <vt:lpstr>UNNH0030_REPORT_IF_H_SHIMEBI</vt:lpstr>
      <vt:lpstr>UNNH0030_REPORT_IF_H_SHIMEBI_MARK</vt:lpstr>
      <vt:lpstr>UNNH0030_REPORT_IF_H_SOFU_TANTO</vt:lpstr>
      <vt:lpstr>UNNH0030_REPORT_IF_H_TAX</vt:lpstr>
      <vt:lpstr>UNNH0030_REPORT_IF_H_TAX_KBN</vt:lpstr>
      <vt:lpstr>UNNH0030_REPORT_IF_H_TAX_KBN_MARK</vt:lpstr>
      <vt:lpstr>UNNH0030_REPORT_IF_H_TEKIYO</vt:lpstr>
      <vt:lpstr>UNNH0030_REPORT_IF_H_TOTAL</vt:lpstr>
      <vt:lpstr>UNNH0030_REPORT_IF_H_URIAGE_DATE</vt:lpstr>
      <vt:lpstr>UNNH0030_REPORT_IF_H_URIAGE_NO</vt:lpstr>
      <vt:lpstr>UNNH0030_REPORT_IF_H_YUBIN_NO</vt:lpstr>
      <vt:lpstr>UNNH0030_REPORT_IF_HIKAE_CHECK</vt:lpstr>
      <vt:lpstr>UNNH0030_REPORT_IF_HIKAE_PRINT_AREA</vt:lpstr>
      <vt:lpstr>UNNH0030_REPORT_IF_JURI_NO</vt:lpstr>
      <vt:lpstr>UNNH0030_REPORT_IF_JURYOSHO_CHECK</vt:lpstr>
      <vt:lpstr>UNNH0030_REPORT_IF_JURYOSHO_PRINT_AREA</vt:lpstr>
      <vt:lpstr>UNNH0030_REPORT_IF_NOHINSHO_CHECK</vt:lpstr>
      <vt:lpstr>UNNH0030_REPORT_IF_NOHINSHO_PRINT_AREA</vt:lpstr>
      <vt:lpstr>UNNH0030_REPORT_IF_SEIKYUSHO_CHECK</vt:lpstr>
      <vt:lpstr>UNNH0030_REPORT_IF_SEIKYUSHO_PRINT_AREA</vt:lpstr>
      <vt:lpstr>UNNH0030_REPORT_RAYOUT_HIKAE</vt:lpstr>
      <vt:lpstr>UNNH0030_REPORT_RAYOUT_HIKAE_COPY_MOTO_GYO</vt:lpstr>
      <vt:lpstr>UNNH0030_REPORT_RAYOUT_JURYOSHO</vt:lpstr>
      <vt:lpstr>UNNH0030_REPORT_RAYOUT_JURYOSHO_COPY_MOTO_GYO</vt:lpstr>
      <vt:lpstr>UNNH0030_REPORT_RAYOUT_NOHINSHO</vt:lpstr>
      <vt:lpstr>UNNH0030_REPORT_RAYOUT_NOHINSHO_COPY_MOTO_GYO</vt:lpstr>
      <vt:lpstr>UNNH0030_REPORT_RAYOUT_SEIKYUSHO</vt:lpstr>
      <vt:lpstr>UNNH0030_REPORT_RAYOUT_SEIKYUSHO_COPY_MOTO_GYO</vt:lpstr>
      <vt:lpstr>UNNH0030_SAVE_BAT_FLG</vt:lpstr>
      <vt:lpstr>UNNH0030_SAVE_TEMP_FLG</vt:lpstr>
      <vt:lpstr>UNNH0030_SEIKYUSHO_ADDRESS_1</vt:lpstr>
      <vt:lpstr>UNNH0030_SEIKYUSHO_ADDRESS_2</vt:lpstr>
      <vt:lpstr>UNNH0030_SEIKYUSHO_ATENA_1</vt:lpstr>
      <vt:lpstr>UNNH0030_SEIKYUSHO_ATENA_2</vt:lpstr>
      <vt:lpstr>UNNH0030_SEIKYUSHO_PAGE_AREA</vt:lpstr>
      <vt:lpstr>UNNH0030_SEIKYUSHO_SEIKYU_CD</vt:lpstr>
      <vt:lpstr>UNNH0030_SEIKYUSHO_YUBIN_NO</vt:lpstr>
      <vt:lpstr>UNNH0030_SQL_INIT_DEMPYO_KBN</vt:lpstr>
      <vt:lpstr>UNNH0030_SQL_INIT_KEISHO</vt:lpstr>
      <vt:lpstr>UNNH0030_SQL_INIT_NYURYOKUSHA</vt:lpstr>
      <vt:lpstr>UNNH0030_SQL_INIT_RENDO_KBN</vt:lpstr>
      <vt:lpstr>UNNH0030_SQL_INIT_STS</vt:lpstr>
      <vt:lpstr>UNNH0030_SQL_INIT_URIAGE_DENKU</vt:lpstr>
      <vt:lpstr>UNNH0030_SQL_JUCHU_LIST</vt:lpstr>
      <vt:lpstr>UNNH0030_SQL_KAISHU_DATE</vt:lpstr>
      <vt:lpstr>UNNH0030_SQL_KANJO_SET</vt:lpstr>
      <vt:lpstr>UNNH0030_SQL_LIST_DEMPYO_KBN</vt:lpstr>
      <vt:lpstr>UNNH0030_SQL_LIST_DENKU</vt:lpstr>
      <vt:lpstr>UNNH0030_SQL_LIST_KANJO_KAMOKU</vt:lpstr>
      <vt:lpstr>UNNH0030_SQL_LIST_KEISHO</vt:lpstr>
      <vt:lpstr>UNNH0030_SQL_LIST_RENDO</vt:lpstr>
      <vt:lpstr>UNNH0030_SQL_MULTI_SELECT</vt:lpstr>
      <vt:lpstr>UNNH0030_SQL_PAGE</vt:lpstr>
      <vt:lpstr>UNNH0030_SQL_PROC</vt:lpstr>
      <vt:lpstr>UNNH0030_SQL_PROC_SEARCH_AREA</vt:lpstr>
      <vt:lpstr>UNNH0030_SQL_REF_NO</vt:lpstr>
      <vt:lpstr>UNNH0030_SQL_RIREKI_NO</vt:lpstr>
      <vt:lpstr>UNNH0030_SQL_SELECT_B</vt:lpstr>
      <vt:lpstr>UNNH0030_SQL_SELECT_H</vt:lpstr>
      <vt:lpstr>UNNH0030_SQL_SELECT_JURI_NO_CNT</vt:lpstr>
      <vt:lpstr>UNNH0030_SQL_SELECT_MAX_PAGE</vt:lpstr>
      <vt:lpstr>UNNH0030_SQL_SELECT_MERGE_MOTO</vt:lpstr>
      <vt:lpstr>UNNH0030_SQL_SELECT_REPORT_B</vt:lpstr>
      <vt:lpstr>UNNH0030_SQL_SELECT_REPORT_B_BAT</vt:lpstr>
      <vt:lpstr>UNNH0030_SQL_SELECT_REPORT_H</vt:lpstr>
      <vt:lpstr>UNNH0030_SQL_SELECT_REPORT_H_BAT</vt:lpstr>
      <vt:lpstr>UNNH0030_SQL_SELECT_TABLE_UPDATE</vt:lpstr>
      <vt:lpstr>UNNH0030_SQL_SERIAL</vt:lpstr>
      <vt:lpstr>UNNH0030_SQL_USER_ID</vt:lpstr>
      <vt:lpstr>UNNH0031_GYO_COUNT</vt:lpstr>
      <vt:lpstr>UNNH0031_GYO_DECREMENT</vt:lpstr>
      <vt:lpstr>UNNH0031_GYO_INCREMENT</vt:lpstr>
      <vt:lpstr>UNNH0031_HIDE_COLUMN</vt:lpstr>
      <vt:lpstr>UNNH0031_HIDE_ROW</vt:lpstr>
      <vt:lpstr>UNNH0031_IF_ACTIVE_COLUMN</vt:lpstr>
      <vt:lpstr>UNNH0031_IF_ACTIVE_ROW</vt:lpstr>
      <vt:lpstr>UNNH0031_IF_ACTIVE_SHEET</vt:lpstr>
      <vt:lpstr>UNNH0031_IF_BUTTON_10_ERROR</vt:lpstr>
      <vt:lpstr>UNNH0031_IF_BUTTON_12_ERROR</vt:lpstr>
      <vt:lpstr>UNNH0031_IF_LIST_COPY_MOTO</vt:lpstr>
      <vt:lpstr>UNNH0031_IF_LIST_DEFAULT</vt:lpstr>
      <vt:lpstr>UNNH0031_IF_SAVE_COPY_MOTO</vt:lpstr>
      <vt:lpstr>UNNH0031_IF_SAVE_COPY_SAKI</vt:lpstr>
      <vt:lpstr>UNNH0031_IF_SAVE_START</vt:lpstr>
      <vt:lpstr>UNNH0031_IF_W_MODE</vt:lpstr>
      <vt:lpstr>UNNH0031_IF_W_SERIAL</vt:lpstr>
      <vt:lpstr>UNNH0031_IF_W_SERIAL_CREATE</vt:lpstr>
      <vt:lpstr>UNNH0031_IF_W_USER_ID</vt:lpstr>
      <vt:lpstr>UNNH0031_LIST_CLEAR_AREA</vt:lpstr>
      <vt:lpstr>UNNH0031_LIST_COPY_SAKI</vt:lpstr>
      <vt:lpstr>UNNH0031_LIST_DATA_START</vt:lpstr>
      <vt:lpstr>UNNH0031_LIST_DELETE_AREA</vt:lpstr>
      <vt:lpstr>UNNH0031_LIST_START</vt:lpstr>
      <vt:lpstr>UNNH0031_SENTAKU</vt:lpstr>
      <vt:lpstr>UNNH0031_SQL_URIAGE_CLEAR</vt:lpstr>
      <vt:lpstr>UNNH0031_SQL_URIAGE_SEARCH</vt:lpstr>
      <vt:lpstr>UNNH0031_URIAGE_NO</vt:lpstr>
      <vt:lpstr>UNNH0032_GYO_COUNT</vt:lpstr>
      <vt:lpstr>UNNH0032_GYO_DECREMENT</vt:lpstr>
      <vt:lpstr>UNNH0032_GYO_INCREMENT</vt:lpstr>
      <vt:lpstr>UNNH0032_HIDE_COLUMN</vt:lpstr>
      <vt:lpstr>UNNH0032_HIDE_ROW</vt:lpstr>
      <vt:lpstr>UNNH0032_IF_ACTIVE_COLUMN</vt:lpstr>
      <vt:lpstr>UNNH0032_IF_ACTIVE_ROW</vt:lpstr>
      <vt:lpstr>UNNH0032_IF_ACTIVE_SHEET</vt:lpstr>
      <vt:lpstr>UNNH0032_IF_BUTTON_12_ERROR</vt:lpstr>
      <vt:lpstr>UNNH0032_IF_LIST_COPY_MOTO</vt:lpstr>
      <vt:lpstr>UNNH0032_IF_LIST_DEFAULT</vt:lpstr>
      <vt:lpstr>UNNH0032_IF_SAVE_COPY_MOTO</vt:lpstr>
      <vt:lpstr>UNNH0032_IF_SAVE_COPY_SAKI</vt:lpstr>
      <vt:lpstr>UNNH0032_IF_SAVE_KENSU</vt:lpstr>
      <vt:lpstr>UNNH0032_IF_SAVE_START</vt:lpstr>
      <vt:lpstr>UNNH0032_IF_W_MODE</vt:lpstr>
      <vt:lpstr>UNNH0032_IF_W_SERIAL</vt:lpstr>
      <vt:lpstr>UNNH0032_IF_W_SERIAL_CREATE</vt:lpstr>
      <vt:lpstr>UNNH0032_IF_W_USER_ID</vt:lpstr>
      <vt:lpstr>UNNH0032_JUCHU_KBN</vt:lpstr>
      <vt:lpstr>UNNH0032_JURI_NO</vt:lpstr>
      <vt:lpstr>UNNH0032_LIST_CLEAR_AREA</vt:lpstr>
      <vt:lpstr>UNNH0032_LIST_COPY_SAKI</vt:lpstr>
      <vt:lpstr>UNNH0032_LIST_DATA_START</vt:lpstr>
      <vt:lpstr>UNNH0032_LIST_DELETE_AREA</vt:lpstr>
      <vt:lpstr>UNNH0032_LIST_START</vt:lpstr>
      <vt:lpstr>UNNH0032_SELECT_COUNT</vt:lpstr>
      <vt:lpstr>UNNH0032_SENTAKU</vt:lpstr>
      <vt:lpstr>UNNH0032_SQL_JUCHU_POP</vt:lpstr>
      <vt:lpstr>UNNH0032_SQL_JUCHU_SELECT_SEARCH</vt:lpstr>
      <vt:lpstr>UNNH0032_SQL_LIST</vt:lpstr>
      <vt:lpstr>UNNH0032_SQL_TABLE_UPDATE</vt:lpstr>
      <vt:lpstr>UNNH0080_ALL_PAGE_SU</vt:lpstr>
      <vt:lpstr>UNNH0080_ARARIEKI</vt:lpstr>
      <vt:lpstr>UNNH0080_ARARITITSU</vt:lpstr>
      <vt:lpstr>UNNH0080_COPY_SAKI</vt:lpstr>
      <vt:lpstr>UNNH0080_CTRL_HYOJI_GYO_SU</vt:lpstr>
      <vt:lpstr>UNNH0080_DEMPYO_KBN</vt:lpstr>
      <vt:lpstr>UNNH0080_DEMPYO_MEI</vt:lpstr>
      <vt:lpstr>UNNH0080_EXIST_NEXT_PAGE</vt:lpstr>
      <vt:lpstr>UNNH0080_EXIST_PREV_PAGE</vt:lpstr>
      <vt:lpstr>UNNH0080_FORMAT_COPY_FLG</vt:lpstr>
      <vt:lpstr>UNNH0080_HIDE_COLUMN</vt:lpstr>
      <vt:lpstr>UNNH0080_HIDE_ROW</vt:lpstr>
      <vt:lpstr>UNNH0080_HYOJI_KENSU</vt:lpstr>
      <vt:lpstr>UNNH0080_IF_ACTIVE_CELL_NAME</vt:lpstr>
      <vt:lpstr>UNNH0080_IF_ACTIVE_COLUMN</vt:lpstr>
      <vt:lpstr>UNNH0080_IF_ACTIVE_ROW</vt:lpstr>
      <vt:lpstr>UNNH0080_IF_ACTIVE_SHEET</vt:lpstr>
      <vt:lpstr>UNNH0080_IF_DATA_SEARCH_FLG</vt:lpstr>
      <vt:lpstr>UNNH0080_IF_LIST_COPY_MOTO</vt:lpstr>
      <vt:lpstr>UNNH0080_IF_LIST_DEFAULT</vt:lpstr>
      <vt:lpstr>UNNH0080_IF_PREV_GAMEN</vt:lpstr>
      <vt:lpstr>UNNH0080_IF_URIAGE_NO</vt:lpstr>
      <vt:lpstr>UNNH0080_KAISHU_DATE</vt:lpstr>
      <vt:lpstr>UNNH0080_KENSAKU_KENSU</vt:lpstr>
      <vt:lpstr>UNNH0080_LIST_CLEAR</vt:lpstr>
      <vt:lpstr>UNNH0080_LIST_START</vt:lpstr>
      <vt:lpstr>UNNH0080_MOD_DATE_TIME</vt:lpstr>
      <vt:lpstr>UNNH0080_NEXT_PAGE_NO</vt:lpstr>
      <vt:lpstr>UNNH0080_NUKI_TOTAL</vt:lpstr>
      <vt:lpstr>UNNH0080_NYURYOKUSHA_MEI</vt:lpstr>
      <vt:lpstr>UNNH0080_PAGE_NO</vt:lpstr>
      <vt:lpstr>UNNH0080_PREV_PAGE_NO</vt:lpstr>
      <vt:lpstr>UNNH0080_SEARCH_RIREKI_NO</vt:lpstr>
      <vt:lpstr>UNNH0080_SEARCH_URIAGE_NO</vt:lpstr>
      <vt:lpstr>UNNH0080_SEIKYUSAKI_MEI</vt:lpstr>
      <vt:lpstr>UNNH0080_SELECT_GYO_NO</vt:lpstr>
      <vt:lpstr>UNNH0080_SELECT_RIREKI_NO</vt:lpstr>
      <vt:lpstr>UNNH0080_SELECT_URIAGE_NO</vt:lpstr>
      <vt:lpstr>UNNH0080_SENTAKU</vt:lpstr>
      <vt:lpstr>UNNH0080_SHOKON_NO</vt:lpstr>
      <vt:lpstr>UNNH0080_SHORI_KBN</vt:lpstr>
      <vt:lpstr>UNNH0080_SQL_INIT_SORT</vt:lpstr>
      <vt:lpstr>UNNH0080_SQL_RESULT_SORT</vt:lpstr>
      <vt:lpstr>UNNH0080_SQL_SELECT_URIAGE_R_H</vt:lpstr>
      <vt:lpstr>UNNH0080_SQL_SELECT_URIAGE_R_LIST</vt:lpstr>
      <vt:lpstr>UNNH0080_SQL_SELECT_URIAGE_R_LIST_CNT</vt:lpstr>
      <vt:lpstr>UNNH0080_SQL_SORT</vt:lpstr>
      <vt:lpstr>UNNH0080_TEISEI_BIKO</vt:lpstr>
      <vt:lpstr>UNNH0080_URIAGE_DATE</vt:lpstr>
      <vt:lpstr>UNNH0080_URIAGE_NO</vt:lpstr>
      <vt:lpstr>UNNH0080_VIEW_CURRENT_PAGE</vt:lpstr>
      <vt:lpstr>UNNH0030_IF!必須チェック設定</vt:lpstr>
    </vt:vector>
  </TitlesOfParts>
  <Company>MouseComputer 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k.yamamoto</dc:creator>
  <cp:lastModifiedBy>永坂 朋子</cp:lastModifiedBy>
  <cp:lastPrinted>2017-02-23T04:27:28Z</cp:lastPrinted>
  <dcterms:created xsi:type="dcterms:W3CDTF">2012-09-11T00:34:42Z</dcterms:created>
  <dcterms:modified xsi:type="dcterms:W3CDTF">2017-09-26T04:08:04Z</dcterms:modified>
</cp:coreProperties>
</file>