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5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6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7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8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9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61.xml" ContentType="application/vnd.ms-excel.controlproperties+xml"/>
  <Override PartName="/xl/drawings/drawing12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13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bsc_2015_UNISS\UNISS001\"/>
    </mc:Choice>
  </mc:AlternateContent>
  <bookViews>
    <workbookView xWindow="0" yWindow="0" windowWidth="18390" windowHeight="8055" tabRatio="880" firstSheet="47" activeTab="57"/>
  </bookViews>
  <sheets>
    <sheet name="UNMM0011_H" sheetId="260" r:id="rId1"/>
    <sheet name="UNMM0011_B" sheetId="261" r:id="rId2"/>
    <sheet name="UNMM0011_IF" sheetId="262" r:id="rId3"/>
    <sheet name="UNMM0011_SQL" sheetId="263" r:id="rId4"/>
    <sheet name="UNMM0010" sheetId="264" r:id="rId5"/>
    <sheet name="UNMM0010_IF" sheetId="265" r:id="rId6"/>
    <sheet name="UNMM0010_SQL" sheetId="266" r:id="rId7"/>
    <sheet name="UNMM0021_H" sheetId="245" r:id="rId8"/>
    <sheet name="UNMM0021_B" sheetId="242" r:id="rId9"/>
    <sheet name="UNMM0021_IF" sheetId="244" r:id="rId10"/>
    <sheet name="UNMM0021_SQL" sheetId="243" r:id="rId11"/>
    <sheet name="UNMM0020" sheetId="239" r:id="rId12"/>
    <sheet name="UNMM0020_IF" sheetId="241" r:id="rId13"/>
    <sheet name="UNMM0020_SQL" sheetId="240" r:id="rId14"/>
    <sheet name="UNMM0051_H" sheetId="214" r:id="rId15"/>
    <sheet name="UNMM0051_B" sheetId="215" r:id="rId16"/>
    <sheet name="UNMM0051_IF" sheetId="209" r:id="rId17"/>
    <sheet name="UNMM0051_SQL" sheetId="210" r:id="rId18"/>
    <sheet name="UNMM0050" sheetId="218" r:id="rId19"/>
    <sheet name="UNMM0050_IF" sheetId="204" r:id="rId20"/>
    <sheet name="UNMM0050_SQL" sheetId="205" r:id="rId21"/>
    <sheet name="UNMM0070" sheetId="226" r:id="rId22"/>
    <sheet name="UNMM0070_IF" sheetId="227" r:id="rId23"/>
    <sheet name="UNMM0070_SQL" sheetId="228" r:id="rId24"/>
    <sheet name="UNMM0080" sheetId="267" r:id="rId25"/>
    <sheet name="UNMM0080_IF" sheetId="268" r:id="rId26"/>
    <sheet name="UNMM0080_SQL" sheetId="269" r:id="rId27"/>
    <sheet name="UNMM0091_H" sheetId="248" r:id="rId28"/>
    <sheet name="UNMM0091_B" sheetId="249" r:id="rId29"/>
    <sheet name="UNMM0091_IF" sheetId="250" r:id="rId30"/>
    <sheet name="UNMM0091_SQL" sheetId="251" r:id="rId31"/>
    <sheet name="UNMM0090" sheetId="257" r:id="rId32"/>
    <sheet name="UNMM0090_IF" sheetId="258" r:id="rId33"/>
    <sheet name="UNMM0090_SQL" sheetId="259" r:id="rId34"/>
    <sheet name="UNMM0100_H" sheetId="252" r:id="rId35"/>
    <sheet name="UNMM0100_B" sheetId="253" r:id="rId36"/>
    <sheet name="UNMM0100_IF" sheetId="254" r:id="rId37"/>
    <sheet name="UNMM0100_SQL" sheetId="255" r:id="rId38"/>
    <sheet name="UNMM0110_H" sheetId="229" r:id="rId39"/>
    <sheet name="UNMM0110_B" sheetId="230" r:id="rId40"/>
    <sheet name="UNMM0110_IF" sheetId="231" r:id="rId41"/>
    <sheet name="UNMM0110_SQL" sheetId="232" r:id="rId42"/>
    <sheet name="UNMM0111_H" sheetId="233" r:id="rId43"/>
    <sheet name="UNMM0111_B" sheetId="234" r:id="rId44"/>
    <sheet name="UNMM0111_IF" sheetId="235" r:id="rId45"/>
    <sheet name="UNMM0111_SQL" sheetId="236" r:id="rId46"/>
    <sheet name="UNMM0130" sheetId="270" r:id="rId47"/>
    <sheet name="UNMM0130_IF" sheetId="271" r:id="rId48"/>
    <sheet name="UNMM0130_SQL" sheetId="272" r:id="rId49"/>
    <sheet name="UNMM0131_H" sheetId="274" r:id="rId50"/>
    <sheet name="UNMM0131_B" sheetId="275" r:id="rId51"/>
    <sheet name="UNMM0131_IF" sheetId="276" r:id="rId52"/>
    <sheet name="UNMM0131_SQL" sheetId="277" r:id="rId53"/>
    <sheet name="UNMM0150_H" sheetId="278" r:id="rId54"/>
    <sheet name="UNMM0150_B" sheetId="279" r:id="rId55"/>
    <sheet name="UNMM0150_IF" sheetId="280" r:id="rId56"/>
    <sheet name="UNMM0150_SQL" sheetId="281" r:id="rId57"/>
    <sheet name="UNMM0151" sheetId="282" r:id="rId58"/>
    <sheet name="UNMM0151_IF" sheetId="283" r:id="rId59"/>
    <sheet name="UNMM0151_SQL" sheetId="284" r:id="rId60"/>
    <sheet name="UNMM_COMMON_SQL" sheetId="200" r:id="rId61"/>
    <sheet name="UNMM_COMMON" sheetId="273" r:id="rId62"/>
    <sheet name="Excel_Save_H" sheetId="237" r:id="rId63"/>
    <sheet name="Excel_Save_B" sheetId="238" r:id="rId64"/>
  </sheets>
  <functionGroups builtInGroupCount="18"/>
  <definedNames>
    <definedName name="LIST_CALENDAR_KBN">OFFSET(LIST_CALENDAR_KBN_TENKAIICHI,,,IF(LIST_CALENDAR_KBN_KENSU=0,1,LIST_CALENDAR_KBN_KENSU),1)</definedName>
    <definedName name="LIST_CALENDAR_KBN_KENSU">UNMM0131_IF!$D$44</definedName>
    <definedName name="LIST_CALENDAR_KBN_TENKAIICHI">UNMM0131_IF!$C$47</definedName>
    <definedName name="LIST_DAY">UNMM0020_IF!$D$52:$D$82</definedName>
    <definedName name="LIST_HASU_SHORI">OFFSET(LIST_HASU_SHORI_TENKAIICHI,,,IF(LIST_HASU_SHORI_KENSU=0,1,LIST_HASU_SHORI_KENSU),1)</definedName>
    <definedName name="LIST_HASU_SHORI_KENSU">UNMM0020_IF!$AL$4</definedName>
    <definedName name="LIST_HASU_SHORI_TENKAIICHI">UNMM0020_IF!$AK$7</definedName>
    <definedName name="LIST_KAISHU_SHUBETSU">OFFSET(LIST_KAISHU_SHUBETSU_TENKAIICHI,,,IF(LIST_KAISHU_SHUBETSU_KENSU=0,1,LIST_KAISHU_SHUBETSU_KENSU),1)</definedName>
    <definedName name="LIST_KAISHU_SHUBETSU_KENSU">UNMM0020_IF!$AF$4</definedName>
    <definedName name="LIST_KAISHU_SHUBETSU_TENKAIICHI">UNMM0020_IF!$AE$7</definedName>
    <definedName name="LIST_KEISHO">OFFSET(LIST_KEISHO_TENKAIICHI,,,IF(LIST_KEISHO_KENSU=0,1,LIST_KEISHO_KENSU),1)</definedName>
    <definedName name="LIST_KEISHO_KENSU">UNMM0020_IF!$BA$4</definedName>
    <definedName name="LIST_KEISHO_TENKAIICHI">UNMM0020_IF!$AZ$7</definedName>
    <definedName name="LIST_NYURYOKU_HOHO">OFFSET(LIST_NYURYOKU_TENKAIICHI,,,IF(LIST_NYURYOKU_HOHO_KENSU=0,1,LIST_NYURYOKU_HOHO_KENSU),1)</definedName>
    <definedName name="LIST_NYURYOKU_HOHO_KENSU">UNMM0080_IF!$D$50</definedName>
    <definedName name="LIST_NYURYOKU_TENKAIICHI">UNMM0080_IF!$C$53</definedName>
    <definedName name="LIST_RETSU_KATA">OFFSET(LIST_RETSU_KATA_TENKAIICHI,,,IF(LIST_RETSU_KATA_KENSU=0,1,LIST_RETSU_KATA_KENSU),1)</definedName>
    <definedName name="LIST_RETSU_KATA_KENSU">UNMM0080_IF!$G$50</definedName>
    <definedName name="LIST_RETSU_KATA_TENKAIICHI">UNMM0080_IF!$F$53</definedName>
    <definedName name="LIST_SEIKYU_HOHO">OFFSET(LIST_SEIKYU_TENKAIICHI,,,IF(LIST_SEIKYU_HOHO_KENSU=0,1,LIST_SEIKYU_HOHO_KENSU),1)</definedName>
    <definedName name="LIST_SEIKYU_HOHO_KENSU">UNMM0020_IF!$AC$4</definedName>
    <definedName name="LIST_SEIKYU_TENKAIICHI">UNMM0020_IF!$AB$7</definedName>
    <definedName name="LIST_SHIIRE_HASU">OFFSET(LIST_SHIIRE_HASU_TENKAIICHI,,,IF(LIST_SHIIRE_HASU_KENSU=0,1,LIST_SHIIRE_HASU_KENSU),1)</definedName>
    <definedName name="LIST_SHIIRE_HASU_KENSU">UNMM0020_IF!$AU$4</definedName>
    <definedName name="LIST_SHIIRE_HASU_TENKAIICHI">UNMM0020_IF!$AT$7</definedName>
    <definedName name="LIST_SHIIRE_SHIHARAI">OFFSET(LIST_SHIIRE_SHIHARAI_TENKAIICHI,,,IF(LIST_SHIIRE_SHIHARAI_KENSU=0,1,LIST_SHIIRE_SHIHARAI_KENSU),1)</definedName>
    <definedName name="LIST_SHIIRE_SHIHARAI_KENSU">UNMM0020_IF!$AR$4</definedName>
    <definedName name="LIST_SHIIRE_SHIHARAI_TENKAIICHI">UNMM0020_IF!$AQ$7</definedName>
    <definedName name="LIST_SHIIRE_TESURYO">OFFSET(LIST_SHIIRE_TESURYO_TENKAIICHI,,,IF(LIST_SHIIRE_TESURYO_KENSU=0,1,LIST_SHIIRE_TESURYO_KENSU),1)</definedName>
    <definedName name="LIST_SHIIRE_TESURYO_KENSU">UNMM0020_IF!$AX$4</definedName>
    <definedName name="LIST_SHIIRE_TESURYO_TENKAIICHI">UNMM0020_IF!$AW$7</definedName>
    <definedName name="LIST_SHOHIN_STS_HOHO">OFFSET(LIST_SHOHIN_STS_TENKAIICHI,,,IF(LIST_SHOHIN_STS_HOHO_KENSU=0,1,LIST_SHOHIN_STS_HOHO_KENSU),1)</definedName>
    <definedName name="LIST_SHOHIN_STS_HOHO_KENSU">UNMM0050_IF!$D$166</definedName>
    <definedName name="LIST_SHOHIN_STS_TENKAIICHI">UNMM0050_IF!$C$169</definedName>
    <definedName name="LIST_TAX_KBN">OFFSET(LIST_TAX_KBN_TENKAIICHI,,,IF(LIST_TAX_KBN_KENSU=0,1,LIST_TAX_KBN_KENSU),1)</definedName>
    <definedName name="LIST_TAX_KBN_KENSU">UNMM0020_IF!$AI$4</definedName>
    <definedName name="LIST_TAX_KBN_TENKAIICHI">UNMM0020_IF!$AH$7</definedName>
    <definedName name="LIST_TESURYO_KBN">OFFSET(LIST_TESURYO_KBN_TENKAIICHI,,,IF(LIST_TESURYO_KBN_KENSU=0,1,LIST_TESURYO_KBN_KENSU),1)</definedName>
    <definedName name="LIST_TESURYO_KBN_KENSU">UNMM0020_IF!$AO$4</definedName>
    <definedName name="LIST_TESURYO_KBN_TENKAIICHI">UNMM0020_IF!$AN$7</definedName>
    <definedName name="_xlnm.Print_Area" localSheetId="4">UNMM0010!$E$1:$L$13</definedName>
    <definedName name="_xlnm.Print_Area" localSheetId="0">UNMM0011_H!$E$1:$N$8</definedName>
    <definedName name="_xlnm.Print_Area" localSheetId="2">OFFSET(UNMM0011_IF_PRINT_AREA,0,0,UNMM0011_IF_PRINT_COUNT+1,COLUMNS(UNMM0011_IF_COLUMS))</definedName>
    <definedName name="_xlnm.Print_Area" localSheetId="11">UNMM0020!$G$1:$P$62</definedName>
    <definedName name="_xlnm.Print_Area" localSheetId="7">UNMM0021_H!$I$1:$T$8</definedName>
    <definedName name="_xlnm.Print_Area" localSheetId="9">OFFSET(UNMM0021_IF_PRINT_AREA,0,0,UNMM0021_IF_PRINT_COUNT+1,COLUMNS(UNMM0021_IF_COLUMNS))</definedName>
    <definedName name="_xlnm.Print_Area" localSheetId="18">UNMM0050!$F$1:$P$43</definedName>
    <definedName name="_xlnm.Print_Area" localSheetId="14">UNMM0051_H!$F$1:$AE$11</definedName>
    <definedName name="_xlnm.Print_Area" localSheetId="16">OFFSET(UNMM0051_IF_SENTAKU,0,0,1+UNMM0051_IF_PRINT_COUNT,COLUMNS(UNMM0051_IF_PRINT_SHOSHIKI))</definedName>
    <definedName name="_xlnm.Print_Area" localSheetId="21">OFFSET(UNMM0070_SENTAKU,-4,-2,4+1+UNMM0070_HYOJI_KENSU+1,2+COLUMNS(UNMM0070_IF_LIST_COPY)+1)</definedName>
    <definedName name="_xlnm.Print_Area" localSheetId="24">OFFSET(UNMM0080_H_BUNSEKIKOMOKU_CD,-2,-2,6+UNMM0080_HYOJI_KENSU,3+COLUMNS(UNMM0080_IF_LIST_DEFAULT))</definedName>
    <definedName name="_xlnm.Print_Area" localSheetId="31">UNMM0090!$G$1:$N$5</definedName>
    <definedName name="_xlnm.Print_Area" localSheetId="27">UNMM0091_H!$G$1:$AE$6</definedName>
    <definedName name="_xlnm.Print_Area" localSheetId="29">OFFSET(UNMM0091_IF_SENTAKU,0,0,1+UNMM0091_IF_PRINT_COUNT,COLUMNS(UNMM0091_IF_B_LIST_COPY_MOTO))</definedName>
    <definedName name="_xlnm.Print_Area" localSheetId="35">OFFSET(UNMM0100_B_GHO,0,0,1+UNMM0100_B_HYOJI_KENSU,COLUMNS(UNMM0100_IF_B_LIST_DEFAULT))</definedName>
    <definedName name="_xlnm.Print_Area" localSheetId="34">UNMM0100_H!$E$1:$J$8</definedName>
    <definedName name="_xlnm.Print_Area" localSheetId="39">OFFSET(UNMM0110_B_SENTAKU,0,0,1+UNMM0110_B_GET_DATA_SU,COLUMNS(UNMM0110_IF_B_LIST_COPY_MODE_SANSHO_MOTO))</definedName>
    <definedName name="_xlnm.Print_Area" localSheetId="38">UNMM0110_H!$F$1:$J$4</definedName>
    <definedName name="_xlnm.Print_Area" localSheetId="43">OFFSET(UNMM0111_B_SENTAKU,0,0,1+UNMM0111_B_GET_DATA_SU,COLUMNS(UNMM0111_IF_B_LIST_COPY_MODE_SANSHO_MOTO))</definedName>
    <definedName name="_xlnm.Print_Area" localSheetId="42">UNMM0111_H!$F$1:$J$8</definedName>
    <definedName name="_xlnm.Print_Area" localSheetId="44">OFFSET(UNMM0111_IF_SENTAKU,0,0,1+UNMM0111_B_GET_DATA_SU,COLUMNS(UNMM0111_IF_LIST_COLUMNS))</definedName>
    <definedName name="_xlnm.Print_Area" localSheetId="46">UNMM0130!$E$1:$K$30</definedName>
    <definedName name="_xlnm.Print_Area" localSheetId="50">UNMM0131_B!$E$1:$BA$36</definedName>
    <definedName name="_xlnm.Print_Area" localSheetId="49">UNMM0131_H!$E$1:$M$4</definedName>
    <definedName name="SHOHIN_STS">UNMM0051_B!$P$15</definedName>
    <definedName name="UNMM_COMMON_ACTIVE_SHEET_NAME">UNMM_COMMON!$D$4</definedName>
    <definedName name="UNMM_COMMON_CHANGE_CHECK">UNMM_COMMON!$D$2</definedName>
    <definedName name="UNMM_COMMON_CHANGE_CHECK_AREA">UNMM_COMMON!$D$7:$F$18</definedName>
    <definedName name="UNMM_COMMON_ERROR_MESSAGE_AREA">UNMM_COMMON!$D$21:$E$22</definedName>
    <definedName name="UNMM_COMMON_SQL_AITESAKI_SERCH">UNMM_COMMON_SQL!$D$9</definedName>
    <definedName name="UNMM_COMMON_SQL_BUSHO_SERCH">UNMM_COMMON_SQL!$D$4</definedName>
    <definedName name="UNMM_COMMON_SQL_GAICHU_SERCH">UNMM_COMMON_SQL!$D$11</definedName>
    <definedName name="UNMM_COMMON_SQL_HOKANBASHO_SERCH">UNMM_COMMON_SQL!$D$13</definedName>
    <definedName name="UNMM_COMMON_SQL_INFO_SEARCH">UNMM_COMMON_SQL!$D$21</definedName>
    <definedName name="UNMM_COMMON_SQL_KOMOKU_GUN_SERCH">UNMM_COMMON_SQL!$D$19</definedName>
    <definedName name="UNMM_COMMON_SQL_KOMOKU_SERCH">UNMM_COMMON_SQL!$D$20</definedName>
    <definedName name="UNMM_COMMON_SQL_MAKER_SERCH">UNMM_COMMON_SQL!$D$10</definedName>
    <definedName name="UNMM_COMMON_SQL_SEIKYU_SERCH">UNMM_COMMON_SQL!$D$17</definedName>
    <definedName name="UNMM_COMMON_SQL_SELECT_CTRL_HYOJI_GYO_SU">UNMM_COMMON_SQL!$D$3</definedName>
    <definedName name="UNMM_COMMON_SQL_SHAIN_SERCH">UNMM_COMMON_SQL!$D$5</definedName>
    <definedName name="UNMM_COMMON_SQL_SHIRESAKI_SERCH">UNMM_COMMON_SQL!$D$8</definedName>
    <definedName name="UNMM_COMMON_SQL_SHOHIN_BUNRUI_SERCH">UNMM_COMMON_SQL!$D$12</definedName>
    <definedName name="UNMM_COMMON_SQL_SHOHIN_SERCH">UNMM_COMMON_SQL!$D$7</definedName>
    <definedName name="UNMM_COMMON_SQL_SHOHIN_SORT_SEARCH">UNMM_COMMON_SQL!$D$15</definedName>
    <definedName name="UNMM_COMMON_SQL_SHOHIN_STS_SEARCH">UNMM_COMMON_SQL!$D$14</definedName>
    <definedName name="UNMM_COMMON_SQL_YOSAN_SERCH">UNMM_COMMON_SQL!$D$23</definedName>
    <definedName name="UNMM0010_BUSHO_CD">UNMM0010!$C$4</definedName>
    <definedName name="UNMM0010_BUSHO_MEI">UNMM0010!$G$4</definedName>
    <definedName name="UNMM0010_HIDE_COLUMN">UNMM0010!$C$10</definedName>
    <definedName name="UNMM0010_HIDE_ROW">UNMM0010!$C$9</definedName>
    <definedName name="UNMM0010_IF_ACTIVE_CELL_NAME">UNMM0010_IF!$G$29</definedName>
    <definedName name="UNMM0010_IF_ACTIVE_COLUMN">UNMM0010_IF!$G$28</definedName>
    <definedName name="UNMM0010_IF_ACTIVE_ROW">UNMM0010_IF!$G$27</definedName>
    <definedName name="UNMM0010_IF_ACTIVE_SHEET">UNMM0010_IF!$G$26</definedName>
    <definedName name="UNMM0010_IF_BUTTON_04_HYOJI">UNMM0010_IF!$G$44</definedName>
    <definedName name="UNMM0010_IF_BUTTON_06_FONTCOLOR">UNMM0010_IF!$G$40</definedName>
    <definedName name="UNMM0010_IF_BUTTON_06_HYOJI">UNMM0010_IF!$G$45</definedName>
    <definedName name="UNMM0010_IF_BUTTON_06_NAME">UNMM0010_IF!$G$36</definedName>
    <definedName name="UNMM0010_IF_BUTTON_07_HYOJI">UNMM0010_IF!$G$47</definedName>
    <definedName name="UNMM0010_IF_BUTTON_09_HYOJI">UNMM0010_IF!$G$48</definedName>
    <definedName name="UNMM0010_IF_BUTTON_10_FONTCOLOR">UNMM0010_IF!$G$41</definedName>
    <definedName name="UNMM0010_IF_BUTTON_10_HYOJI">UNMM0010_IF!$G$46</definedName>
    <definedName name="UNMM0010_IF_BUTTON_10_NAME">UNMM0010_IF!$G$37</definedName>
    <definedName name="UNMM0010_IF_BUTTON_11_HYOJI">UNMM0010_IF!$G$49</definedName>
    <definedName name="UNMM0010_IF_BUTTON_20_HYOJI">UNMM0010_IF!$G$50</definedName>
    <definedName name="UNMM0010_IF_DATA_SEARCH_FLG">UNMM0010_IF!$G$21</definedName>
    <definedName name="UNMM0010_IF_EXCEL_FILE_NAME">UNMM0010_IF!$G$75</definedName>
    <definedName name="UNMM0010_IF_IMG_CELL">UNMM0010_IF!$B$54</definedName>
    <definedName name="UNMM0010_IF_IMG_SAVE_CHECK_FLG">UNMM0010_IF!$G$73</definedName>
    <definedName name="UNMM0010_IF_IMG_SAVE_KIZON_FLG">UNMM0010_IF!$G$66</definedName>
    <definedName name="UNMM0010_IF_IMG_SAVE_LOCAL_FOLDER_PATH">UNMM0010_IF!$G$64</definedName>
    <definedName name="UNMM0010_IF_IMG_SAVE_LOCAL_PATH">UNMM0010_IF!$G$69</definedName>
    <definedName name="UNMM0010_IF_IMG_SAVE_UPDATE_FLG">UNMM0010_IF!$G$71</definedName>
    <definedName name="UNMM0010_IF_IMG_SAVE_UPLOAD_FOLDER_PATH">UNMM0010_IF!$G$63</definedName>
    <definedName name="UNMM0010_IF_IMG_SAVE_UPLOAD_PATH">UNMM0010_IF!$G$68</definedName>
    <definedName name="UNMM0010_IF_IMG_SELECT_FILE">UNMM0010_IF!$G$58</definedName>
    <definedName name="UNMM0010_IF_IMG_SELECT_FOLDER">UNMM0010_IF!$G$57</definedName>
    <definedName name="UNMM0010_IF_IMG_SELECT_PATH">UNMM0010_IF!$G$59</definedName>
    <definedName name="UNMM0010_IF_MODE">UNMM0010_IF!$G$32</definedName>
    <definedName name="UNMM0010_IF_MODE_SANSHO_COPY_MOTO">UNMM0010_IF!$E$15:$G$17</definedName>
    <definedName name="UNMM0010_IF_MODE_SHINKI_COPY_MOTO">UNMM0010_IF!$E$3:$G$5</definedName>
    <definedName name="UNMM0010_IF_MODE_SHUSEI_COPY_MOTO">UNMM0010_IF!$E$9:$G$11</definedName>
    <definedName name="UNMM0010_IF_SAVE_BUSHO_CD">UNMM0010_IF!$P$8</definedName>
    <definedName name="UNMM0010_IF_SAVE_ERROR_CHECK">UNMM0010_IF!$P$19</definedName>
    <definedName name="UNMM0010_IF_SAVE_ERROR_MESSAGE">UNMM0010_IF!$P$20</definedName>
    <definedName name="UNMM0010_IF_SAVE_IMG_PATH">UNMM0010_IF!$P$10</definedName>
    <definedName name="UNMM0010_IF_SAVE_INPUT_CHECK">UNMM0010_IF!$P$14</definedName>
    <definedName name="UNMM0010_IF_SAVE_MISHIYO_FLG">UNMM0010_IF!$P$11</definedName>
    <definedName name="UNMM0010_IF_SAVE_RESULT_CD">UNMM0010_IF!$P$17</definedName>
    <definedName name="UNMM0010_IF_SAVE_RESULT_MESSAGE">UNMM0010_IF!$P$18</definedName>
    <definedName name="UNMM0010_IF_SAVE_SHAIN_CD">UNMM0010_IF!$P$7</definedName>
    <definedName name="UNMM0010_IF_SAVE_SHIMEI">UNMM0010_IF!$P$9</definedName>
    <definedName name="UNMM0010_IF_SAVE_W_MODE">UNMM0010_IF!$P$6</definedName>
    <definedName name="UNMM0010_IF_SAVE_W_ROW">UNMM0010_IF!$P$5</definedName>
    <definedName name="UNMM0010_IF_SAVE_W_SERIAL">UNMM0010_IF!$P$4</definedName>
    <definedName name="UNMM0010_IF_SAVE_W_USER_ID">UNMM0010_IF!$P$3</definedName>
    <definedName name="UNMM0010_IMG_PATH">UNMM0010!$C$5</definedName>
    <definedName name="UNMM0010_INSERT_DATETIME">UNMM0010!$C$7</definedName>
    <definedName name="UNMM0010_MISHIYO_FLG">UNMM0010!$C$6</definedName>
    <definedName name="UNMM0010_MODE_COPY_SAKI">UNMM0010!$G$3:$I$5</definedName>
    <definedName name="UNMM0010_SCROLL_LOCK">UNMM0010!$C$11</definedName>
    <definedName name="UNMM0010_SHAIN_CD">UNMM0010!$G$3</definedName>
    <definedName name="UNMM0010_SHIMEI">UNMM0010!$G$5</definedName>
    <definedName name="UNMM0010_SQL_DELETE_SHAIN_DATA">UNMM0010_SQL!$D$7</definedName>
    <definedName name="UNMM0010_SQL_SELECT_SHAIN_DATA">UNMM0010_SQL!$D$3</definedName>
    <definedName name="UNMM0010_UPDATE_DATETIME">UNMM0010!$C$8</definedName>
    <definedName name="UNMM0011_B_ALL_KENSU">UNMM0011_B!$C$2</definedName>
    <definedName name="UNMM0011_B_ALL_PEGE_SU">UNMM0011_B!$C$4</definedName>
    <definedName name="UNMM0011_B_BACK_PAGE">UNMM0011_B!$C$18</definedName>
    <definedName name="UNMM0011_B_BACK_PAGE_NUM">UNMM0011_B!$C$20</definedName>
    <definedName name="UNMM0011_B_BUSHO_MEI">UNMM0011_B!$I$2</definedName>
    <definedName name="UNMM0011_B_CTRL_HYOJI_GYO_SU">UNMM0011_B!$C$6</definedName>
    <definedName name="UNMM0011_B_HIDE_COLUMN">UNMM0011_B!$C$23</definedName>
    <definedName name="UNMM0011_B_HIDE_ROW">UNMM0011_B!$C$22</definedName>
    <definedName name="UNMM0011_B_HYOJI_KENSU">UNMM0011_B!$C$5</definedName>
    <definedName name="UNMM0011_B_LIST_CLEAR">UNMM0011_B!$C$13</definedName>
    <definedName name="UNMM0011_B_LIST_COPY_SAKI">UNMM0011_B!$C$12</definedName>
    <definedName name="UNMM0011_B_LIST_END">UNMM0011_B!$C$11</definedName>
    <definedName name="UNMM0011_B_LIST_START">UNMM0011_B!$C$10</definedName>
    <definedName name="UNMM0011_B_MISHOYO">UNMM0011_B!$J$2</definedName>
    <definedName name="UNMM0011_B_NEXT_PAGE">UNMM0011_B!$C$19</definedName>
    <definedName name="UNMM0011_B_NEXT_PAGE_NUM">UNMM0011_B!$C$21</definedName>
    <definedName name="UNMM0011_B_PAGE_NO">UNMM0011_B!$C$3</definedName>
    <definedName name="UNMM0011_B_SCROLL_LOCK">UNMM0011_B!$C$24</definedName>
    <definedName name="UNMM0011_B_SELECT_GYO_NO">UNMM0011_B!$C$15</definedName>
    <definedName name="UNMM0011_B_SELECT_SHAIN_CD">UNMM0011_B!$C$16</definedName>
    <definedName name="UNMM0011_B_SENTAKU">UNMM0011_B!$F$2</definedName>
    <definedName name="UNMM0011_B_SHAIN_CD">UNMM0011_B!$G$2</definedName>
    <definedName name="UNMM0011_B_SHIMEI">UNMM0011_B!$H$2</definedName>
    <definedName name="UNMM0011_H_BUSHO_CD">UNMM0011_H!$C$4</definedName>
    <definedName name="UNMM0011_H_BUSHO_MEI">UNMM0011_H!$G$4</definedName>
    <definedName name="UNMM0011_H_FREEWD_1">UNMM0011_H!$G$7</definedName>
    <definedName name="UNMM0011_H_FREEWD_2">UNMM0011_H!$I$7</definedName>
    <definedName name="UNMM0011_H_FREEWD_3">UNMM0011_H!$K$7</definedName>
    <definedName name="UNMM0011_H_FREEWD_KBN">UNMM0011_H!$C$7</definedName>
    <definedName name="UNMM0011_H_HIDE_COLUMN">UNMM0011_H!$C$10</definedName>
    <definedName name="UNMM0011_H_HIDE_ROW">UNMM0011_H!$C$9</definedName>
    <definedName name="UNMM0011_H_MISHIYO_FLG">UNMM0011_H!$C$5</definedName>
    <definedName name="UNMM0011_H_SHAIN_CD">UNMM0011_H!$G$3</definedName>
    <definedName name="UNMM0011_H_SHIMEI">UNMM0011_H!$G$5</definedName>
    <definedName name="UNMM0011_IF_ACTIVE_CELL_NAME">UNMM0011_IF!$G$18</definedName>
    <definedName name="UNMM0011_IF_ACTIVE_COLUMN">UNMM0011_IF!$G$16</definedName>
    <definedName name="UNMM0011_IF_ACTIVE_ROW">UNMM0011_IF!$G$15</definedName>
    <definedName name="UNMM0011_IF_ACTIVE_SHEET">UNMM0011_IF!$G$14</definedName>
    <definedName name="UNMM0011_IF_B_LIST_COPY_MOTO">UNMM0011_IF!$G$6:$K$6</definedName>
    <definedName name="UNMM0011_IF_B_LIST_DEFAULT">UNMM0011_IF!$G$5:$K$5</definedName>
    <definedName name="UNMM0011_IF_BUTTON_11_HYOJI">UNMM0011_IF!$G$21</definedName>
    <definedName name="UNMM0011_IF_BUTTON_12_HYOJI">UNMM0011_IF!$G$22</definedName>
    <definedName name="UNMM0011_IF_COLUMS">UNMM0011_IF!$R$3:$AA$3</definedName>
    <definedName name="UNMM0011_IF_DATA_SEARCH_CHECK">UNMM0011_IF!$G$11</definedName>
    <definedName name="UNMM0011_IF_DATA_SEARCH_FLG">UNMM0011_IF!$G$10</definedName>
    <definedName name="UNMM0011_IF_EXCEL_FILE_NAME">UNMM0011_IF!$P$4</definedName>
    <definedName name="UNMM0011_IF_LIST_COPY_SAKI">UNMM0011_IF!$P$7</definedName>
    <definedName name="UNMM0011_IF_LIST_START">UNMM0011_IF!$P$6</definedName>
    <definedName name="UNMM0011_IF_PASTE">UNMM0011_IF!$R$4</definedName>
    <definedName name="UNMM0011_IF_PRINT_AREA">UNMM0011_IF!$R$3</definedName>
    <definedName name="UNMM0011_IF_PRINT_COUNT">UNMM0011_IF!$P$3</definedName>
    <definedName name="UNMM0011_IF_PRINT_SHOSHIKI">UNMM0011_IF!$R$1:$AA$1</definedName>
    <definedName name="UNMM0011_SQL_BUSHO_CD">UNMM0011_SQL!$D$2</definedName>
    <definedName name="UNMM0011_SQL_CONJUNCTION">UNMM0011_SQL!$E$19</definedName>
    <definedName name="UNMM0011_SQL_FREEWD_1">UNMM0011_SQL!$D$20</definedName>
    <definedName name="UNMM0011_SQL_FREEWD_2">UNMM0011_SQL!$D$21</definedName>
    <definedName name="UNMM0011_SQL_FREEWD_3">UNMM0011_SQL!$D$22</definedName>
    <definedName name="UNMM0011_SQL_FREEWD_KBN">UNMM0011_SQL!$D$8</definedName>
    <definedName name="UNMM0011_SQL_FREEWORD_1">UNMM0011_SQL!$D$5</definedName>
    <definedName name="UNMM0011_SQL_FREEWORD_2">UNMM0011_SQL!$D$6</definedName>
    <definedName name="UNMM0011_SQL_FREEWORD_3">UNMM0011_SQL!$D$7</definedName>
    <definedName name="UNMM0011_SQL_JOKEN_COPY_MOTO">UNMM0011_SQL!$E$1:$E$8</definedName>
    <definedName name="UNMM0011_SQL_JOKEN_COPY_SAKI">UNMM0011_SQL!$D$1:$D$8</definedName>
    <definedName name="UNMM0011_SQL_MISHIYO_FLG">UNMM0011_SQL!$D$4</definedName>
    <definedName name="UNMM0011_SQL_PRINT">UNMM0011_SQL!$D$28</definedName>
    <definedName name="UNMM0011_SQL_SELECT_ORDER">UNMM0011_SQL!$D$26</definedName>
    <definedName name="UNMM0011_SQL_SELECT_SHAIN_LIST">UNMM0011_SQL!$D$11</definedName>
    <definedName name="UNMM0011_SQL_SELECT_SHAIN_LIST_CNT">UNMM0011_SQL!$D$12</definedName>
    <definedName name="UNMM0011_SQL_SELECT_SHAIN_LIST_ORDER">UNMM0011_SQL!$D$23</definedName>
    <definedName name="UNMM0011_SQL_SHAIN_CD">UNMM0011_SQL!$D$1</definedName>
    <definedName name="UNMM0011_SQL_SHIMEI">UNMM0011_SQL!$D$3</definedName>
    <definedName name="UNMM0011_SQL_SORT_SEARCH">UNMM0011_SQL!$D$27</definedName>
    <definedName name="UNMM0020_AITE_CD">UNMM0020!$I$3</definedName>
    <definedName name="UNMM0020_AITE_MEI">UNMM0020!$I$4</definedName>
    <definedName name="UNMM0020_BIKO">UNMM0020!$I$15</definedName>
    <definedName name="UNMM0020_BUSHO_MEI">UNMM0020!$I$12</definedName>
    <definedName name="UNMM0020_DELETE_AITE_DATA">UNMM0020_SQL!$D$7</definedName>
    <definedName name="UNMM0020_DOGYO_FLG">UNMM0020!$C$9</definedName>
    <definedName name="UNMM0020_EIGYO_TANTO_CD">UNMM0020!$C$16</definedName>
    <definedName name="UNMM0020_EIGYO_TANTO_MEI">UNMM0020!$K$25</definedName>
    <definedName name="UNMM0020_FAX">UNMM0020!$I$10</definedName>
    <definedName name="UNMM0020_GAICHU_FLG">UNMM0020!$C$7</definedName>
    <definedName name="UNMM0020_HASSO_FLG">UNMM0020!$C$4</definedName>
    <definedName name="UNMM0020_HIDE_COLUMN">UNMM0020!$C$30</definedName>
    <definedName name="UNMM0020_HIDE_ROW">UNMM0020!$C$29</definedName>
    <definedName name="UNMM0020_HIKAE_FLG">UNMM0020!$C$14</definedName>
    <definedName name="UNMM0020_HOKOKU_FLG">UNMM0020!$C$5</definedName>
    <definedName name="UNMM0020_IF_ACTIVE_CELL_NAME">UNMM0020_IF!$D$30</definedName>
    <definedName name="UNMM0020_IF_ACTIVE_COLUMN">UNMM0020_IF!$D$29</definedName>
    <definedName name="UNMM0020_IF_ACTIVE_ROW">UNMM0020_IF!$D$28</definedName>
    <definedName name="UNMM0020_IF_ACTIVE_SHEET">UNMM0020_IF!$D$27</definedName>
    <definedName name="UNMM0020_IF_BUTTON_04_HYOJI">UNMM0020_IF!$D$44</definedName>
    <definedName name="UNMM0020_IF_BUTTON_06_FONTCOLOR">UNMM0020_IF!$D$40</definedName>
    <definedName name="UNMM0020_IF_BUTTON_06_HYOJI">UNMM0020_IF!$D$45</definedName>
    <definedName name="UNMM0020_IF_BUTTON_06_NAME">UNMM0020_IF!$D$36</definedName>
    <definedName name="UNMM0020_IF_BUTTON_07_HYOJI">UNMM0020_IF!$D$47</definedName>
    <definedName name="UNMM0020_IF_BUTTON_09_HYOJI">UNMM0020_IF!$D$48</definedName>
    <definedName name="UNMM0020_IF_BUTTON_10_FONTCOLOR">UNMM0020_IF!$D$41</definedName>
    <definedName name="UNMM0020_IF_BUTTON_10_HYOJI">UNMM0020_IF!$D$46</definedName>
    <definedName name="UNMM0020_IF_BUTTON_10_NAME">UNMM0020_IF!$D$37</definedName>
    <definedName name="UNMM0020_IF_BUTTON_20_HYOJI">UNMM0020_IF!$D$49</definedName>
    <definedName name="UNMM0020_IF_DATA_SEARCH_FLG">UNMM0020_IF!$D$24</definedName>
    <definedName name="UNMM0020_IF_EXCEL_FILE_NAME">UNMM0020_IF!$D$85</definedName>
    <definedName name="UNMM0020_IF_INPUT_CHECK">UNMM0020_IF!$X$26</definedName>
    <definedName name="UNMM0020_IF_INPUT_ERROR_MESSAGE">UNMM0020_IF!$X$27</definedName>
    <definedName name="UNMM0020_IF_LINK_DATETIME">UNMM0020_IF!$T$46</definedName>
    <definedName name="UNMM0020_IF_MODE">UNMM0020_IF!$D$33</definedName>
    <definedName name="UNMM0020_IF_MODE_SANSHO_COPY_MOTO">UNMM0020_IF!$I$131:$O$189</definedName>
    <definedName name="UNMM0020_IF_MODE_SHINKI_COPY_MOTO">UNMM0020_IF!$I$3:$O$61</definedName>
    <definedName name="UNMM0020_IF_MODE_SHINKI_FLG_COPY_MOTO">UNMM0020_IF!$D$3:$D$21</definedName>
    <definedName name="UNMM0020_IF_MODE_SHUSEI_COPY_MOTO">UNMM0020_IF!$I$68:$O$126</definedName>
    <definedName name="UNMM0020_IF_SAVE_AITE_CD">UNMM0020_IF!$T$7</definedName>
    <definedName name="UNMM0020_IF_SAVE_AITE_MEI">UNMM0020_IF!$T$8</definedName>
    <definedName name="UNMM0020_IF_SAVE_BIKO">UNMM0020_IF!$T$18</definedName>
    <definedName name="UNMM0020_IF_SAVE_BUSHO_MEI">UNMM0020_IF!$T$15</definedName>
    <definedName name="UNMM0020_IF_SAVE_CD_ERROR">UNMM0020_IF!$T$67</definedName>
    <definedName name="UNMM0020_IF_SAVE_CHECK_CLICK">UNMM0020_IF!#REF!</definedName>
    <definedName name="UNMM0020_IF_SAVE_CHECK_ERROR_KOMOKU">UNMM0020_IF!$X$30</definedName>
    <definedName name="UNMM0020_IF_SAVE_CHECK_FILL">UNMM0020_IF!#REF!</definedName>
    <definedName name="UNMM0020_IF_SAVE_CHECK_RESULT">UNMM0020_IF!$W$30</definedName>
    <definedName name="UNMM0020_IF_SAVE_DOGYO_FLG">UNMM0020_IF!$T$26</definedName>
    <definedName name="UNMM0020_IF_SAVE_EIGYO_TANTO_CD">UNMM0020_IF!$T$28</definedName>
    <definedName name="UNMM0020_IF_SAVE_ERROR_CHECK">UNMM0020_IF!$T$64</definedName>
    <definedName name="UNMM0020_IF_SAVE_ERROR_MESSAGE">UNMM0020_IF!$T$65</definedName>
    <definedName name="UNMM0020_IF_SAVE_FAX">UNMM0020_IF!$T$13</definedName>
    <definedName name="UNMM0020_IF_SAVE_GAICHU_FLG">UNMM0020_IF!$T$24</definedName>
    <definedName name="UNMM0020_IF_SAVE_HASSO_FLG">UNMM0020_IF!$T$21</definedName>
    <definedName name="UNMM0020_IF_SAVE_HIKAE_FLG">UNMM0020_IF!$T$39</definedName>
    <definedName name="UNMM0020_IF_SAVE_HOKOKU_FLG">UNMM0020_IF!$T$22</definedName>
    <definedName name="UNMM0020_IF_SAVE_INPUT_CHECK">UNMM0020_IF!#REF!</definedName>
    <definedName name="UNMM0020_IF_SAVE_INSERT_DATETIME">UNMM0020_IF!$T$48</definedName>
    <definedName name="UNMM0020_IF_SAVE_JURYOSHO_FLG">UNMM0020_IF!$T$37</definedName>
    <definedName name="UNMM0020_IF_SAVE_JUSHO1">UNMM0020_IF!$T$10</definedName>
    <definedName name="UNMM0020_IF_SAVE_JUSHO2">UNMM0020_IF!$T$11</definedName>
    <definedName name="UNMM0020_IF_SAVE_KAISHU_DAY">UNMM0020_IF!$T$34</definedName>
    <definedName name="UNMM0020_IF_SAVE_KAISHU_MONTH">UNMM0020_IF!$T$33</definedName>
    <definedName name="UNMM0020_IF_SAVE_KAISHU_SHUBETSU">UNMM0020_IF!$T$32</definedName>
    <definedName name="UNMM0020_IF_SAVE_KANKO_FLG">UNMM0020_IF!$T$25</definedName>
    <definedName name="UNMM0020_IF_SAVE_KEISHO">UNMM0020_IF!$T$17</definedName>
    <definedName name="UNMM0020_IF_SAVE_MAIL">UNMM0020_IF!$T$14</definedName>
    <definedName name="UNMM0020_IF_SAVE_MAKER_FLG">UNMM0020_IF!$T$23</definedName>
    <definedName name="UNMM0020_IF_SAVE_MISHIYO_FLG">UNMM0020_IF!$T$47</definedName>
    <definedName name="UNMM0020_IF_SAVE_NOHINSHO_FLG">UNMM0020_IF!$T$38</definedName>
    <definedName name="UNMM0020_IF_SAVE_RESULT_CD">UNMM0020_IF!$T$62</definedName>
    <definedName name="UNMM0020_IF_SAVE_RESULT_MESSAGE">UNMM0020_IF!$T$63</definedName>
    <definedName name="UNMM0020_IF_SAVE_SEIKYU_FLG">UNMM0020_IF!$T$19</definedName>
    <definedName name="UNMM0020_IF_SAVE_SEIKYU_HOHO">UNMM0020_IF!$T$31</definedName>
    <definedName name="UNMM0020_IF_SAVE_SEIKYUSAKI_BUNRUI">UNMM0020_IF!$T$29</definedName>
    <definedName name="UNMM0020_IF_SAVE_SEIKYUSAKI_CHUKI">UNMM0020_IF!$T$30</definedName>
    <definedName name="UNMM0020_IF_SAVE_SEIKYUSAKI_HASU">UNMM0020_IF!$T$40</definedName>
    <definedName name="UNMM0020_IF_SAVE_SEIKYUSHO_FLG">UNMM0020_IF!$T$36</definedName>
    <definedName name="UNMM0020_IF_SAVE_SHIIRE_FLG">UNMM0020_IF!$T$20</definedName>
    <definedName name="UNMM0020_IF_SAVE_SHIIRE_SHIHARAI_HOHO">UNMM0020_IF!$T$42</definedName>
    <definedName name="UNMM0020_IF_SAVE_SHIIRESAKI_CHUKI">UNMM0020_IF!$T$43</definedName>
    <definedName name="UNMM0020_IF_SAVE_SHIIRESAKI_HASU">UNMM0020_IF!$T$44</definedName>
    <definedName name="UNMM0020_IF_SAVE_SHIIRESAKI_TESURYO">UNMM0020_IF!$T$45</definedName>
    <definedName name="UNMM0020_IF_SAVE_SPOT_FLG">UNMM0020_IF!$T$27</definedName>
    <definedName name="UNMM0020_IF_SAVE_TANTO_MEI">UNMM0020_IF!$T$16</definedName>
    <definedName name="UNMM0020_IF_SAVE_TAX_KEISAN_KBN">UNMM0020_IF!$T$35</definedName>
    <definedName name="UNMM0020_IF_SAVE_TEL">UNMM0020_IF!$T$12</definedName>
    <definedName name="UNMM0020_IF_SAVE_TESURYO_KBN">UNMM0020_IF!$T$41</definedName>
    <definedName name="UNMM0020_IF_SAVE_UPDATE_DATETIME">UNMM0020_IF!$T$49</definedName>
    <definedName name="UNMM0020_IF_SAVE_W_MODE">UNMM0020_IF!$T$6</definedName>
    <definedName name="UNMM0020_IF_SAVE_W_ROW">UNMM0020_IF!$T$5</definedName>
    <definedName name="UNMM0020_IF_SAVE_W_SERIAL">UNMM0020_IF!$T$4</definedName>
    <definedName name="UNMM0020_IF_SAVE_W_USER_ID">UNMM0020_IF!$T$3</definedName>
    <definedName name="UNMM0020_IF_SAVE_YUBIN">UNMM0020_IF!$T$9</definedName>
    <definedName name="UNMM0020_INSERT_DATETIME">UNMM0020!$C$19</definedName>
    <definedName name="UNMM0020_JURYOSHO_FLG">UNMM0020!$C$12</definedName>
    <definedName name="UNMM0020_JUSHO_1">UNMM0020!$I$7</definedName>
    <definedName name="UNMM0020_JUSHO_2">UNMM0020!$I$8</definedName>
    <definedName name="UNMM0020_KAISHU_DAY">UNMM0020!$M$38</definedName>
    <definedName name="UNMM0020_KAISHU_MONTH">UNMM0020!$K$38</definedName>
    <definedName name="UNMM0020_KAISHU_SHUBETSU">UNMM0020!$K$37</definedName>
    <definedName name="UNMM0020_KAISHU_SHUBETSU_CD">UNMM0020!$C$22</definedName>
    <definedName name="UNMM0020_KANKO_FLG">UNMM0020!$C$8</definedName>
    <definedName name="UNMM0020_KEISHO">UNMM0020!$L$13</definedName>
    <definedName name="UNMM0020_LINK_DATETIME">UNMM0020!$C$18</definedName>
    <definedName name="UNMM0020_MAIL">UNMM0020!$I$11</definedName>
    <definedName name="UNMM0020_MAKER_FLG">UNMM0020!$C$6</definedName>
    <definedName name="UNMM0020_MISHIYO_FLG">UNMM0020!$C$15</definedName>
    <definedName name="UNMM0020_MODE_COPY_SAKI">UNMM0020!$I$3:$O$61</definedName>
    <definedName name="UNMM0020_NOHINSHO_FLG">UNMM0020!$C$13</definedName>
    <definedName name="UNMM0020_SEIKYU_FLG">UNMM0020!$C$2</definedName>
    <definedName name="UNMM0020_SEIKYU_HOHO">UNMM0020!$K$35</definedName>
    <definedName name="UNMM0020_SEIKYU_HOHO_CD">UNMM0020!$C$21</definedName>
    <definedName name="UNMM0020_SEIKYUSAKI_BUNRUI">UNMM0020!$K$27</definedName>
    <definedName name="UNMM0020_SEIKYUSAKI_BUNRUI_CD">UNMM0020!$C$17</definedName>
    <definedName name="UNMM0020_SEIKYUSAKI_CHUKI">UNMM0020!$K$29</definedName>
    <definedName name="UNMM0020_SEIKYUSAKI_HASU">UNMM0020!$K$42</definedName>
    <definedName name="UNMM0020_SEIKYUSAKI_HASU_SHORI_CD">UNMM0020!$C$24</definedName>
    <definedName name="UNMM0020_SEIKYUSAKI_TESURYO">UNMM0020!$K$43</definedName>
    <definedName name="UNMM0020_SEIKYUSAKI_TESURYO_KBN_CD">UNMM0020!$C$25</definedName>
    <definedName name="UNMM0020_SEIKYUSHO_FLG">UNMM0020!$C$11</definedName>
    <definedName name="UNMM0020_SEIKYUSHO_HAKKO_FLG_CHECK">UNMM0020!$C$33</definedName>
    <definedName name="UNMM0020_SHIIRE_FLG">UNMM0020!$C$3</definedName>
    <definedName name="UNMM0020_SHIIRE_SHIHARAI_HOHO">UNMM0020!$K$47</definedName>
    <definedName name="UNMM0020_SHIIRE_SHIHARAI_HOHO_CD">UNMM0020!$C$26</definedName>
    <definedName name="UNMM0020_SHIIRESAKI_CHUKI">UNMM0020!$K$49</definedName>
    <definedName name="UNMM0020_SHIIRESAKI_HASU">UNMM0020!$K$55</definedName>
    <definedName name="UNMM0020_SHIIRESAKI_HASU_CD">UNMM0020!$C$27</definedName>
    <definedName name="UNMM0020_SHIIRESAKI_TESURYO">UNMM0020!$K$56</definedName>
    <definedName name="UNMM0020_SHIIRESAKI_TESURYO_KBN_CD">UNMM0020!$C$28</definedName>
    <definedName name="UNMM0020_SHINKI_FLG_COPY_SAKI">UNMM0020!$C$2:$C$20</definedName>
    <definedName name="UNMM0020_SPOT_FLG">UNMM0020!$C$10</definedName>
    <definedName name="UNMM0020_SQL_MEISHO_HASU">UNMM0020_SQL!$D$13</definedName>
    <definedName name="UNMM0020_SQL_MEISHO_KAISHU">UNMM0020_SQL!$D$11</definedName>
    <definedName name="UNMM0020_SQL_MEISHO_SEIKYU">UNMM0020_SQL!$D$10</definedName>
    <definedName name="UNMM0020_SQL_MEISHO_SHIHARAI">UNMM0020_SQL!$D$15</definedName>
    <definedName name="UNMM0020_SQL_MEISHO_TAX">UNMM0020_SQL!$D$12</definedName>
    <definedName name="UNMM0020_SQL_MEISHO_TESURYO">UNMM0020_SQL!$D$14</definedName>
    <definedName name="UNMM0020_SQL_OVERLAP_CHECK">UNMM0020_SQL!$D$23</definedName>
    <definedName name="UNMM0020_SQL_SANSHO_SAKUSEI">UNMM0020_SQL!$D$16</definedName>
    <definedName name="UNMM0020_SQL_SELECT_AITESAKI_DATA">UNMM0020_SQL!$D$3</definedName>
    <definedName name="UNMM0020_SQL_SELECT_KEISHO">UNMM0020_SQL!$D$21</definedName>
    <definedName name="UNMM0020_TANTO_MEI">UNMM0020!$I$13</definedName>
    <definedName name="UNMM0020_TAX_KEISAN_KBN">UNMM0020!$K$40</definedName>
    <definedName name="UNMM0020_TAX_KEISAN_KBN_CD">UNMM0020!$C$23</definedName>
    <definedName name="UNMM0020_TEL">UNMM0020!$I$9</definedName>
    <definedName name="UNMM0020_TORIHIKI_KBN_FLG_CHECK">UNMM0020!$C$32</definedName>
    <definedName name="UNMM0020_UPDATE_DATETIME">UNMM0020!$C$20</definedName>
    <definedName name="UNMM0020_YUBIN">UNMM0020!$I$6</definedName>
    <definedName name="UNMM0021_B_AITE_CD">UNMM0021_B!$R$2</definedName>
    <definedName name="UNMM0021_B_ALL_KENSU">UNMM0021_B!$C$1</definedName>
    <definedName name="UNMM0021_B_ALL_PEGE_SU">UNMM0021_B!$C$3</definedName>
    <definedName name="UNMM0021_B_BACK_PAGE">UNMM0021_B!$C$17</definedName>
    <definedName name="UNMM0021_B_BACK_PAGE_NUM">UNMM0021_B!$C$19</definedName>
    <definedName name="UNMM0021_B_CTRL_HYOJI_GYO_SU">UNMM0021_B!$C$5</definedName>
    <definedName name="UNMM0021_B_DEFALT_CURSOR">UNMM0021_B!$H$3</definedName>
    <definedName name="UNMM0021_B_HIDE_COLUMN">UNMM0021_B!$C$22</definedName>
    <definedName name="UNMM0021_B_HIDE_ROW">UNMM0021_B!$C$21</definedName>
    <definedName name="UNMM0021_B_HYOJI_KENSU">UNMM0021_B!$C$4</definedName>
    <definedName name="UNMM0021_B_LIST_CLEAR">UNMM0021_B!$C$12</definedName>
    <definedName name="UNMM0021_B_LIST_COPY_SAKI">UNMM0021_B!$C$11</definedName>
    <definedName name="UNMM0021_B_LIST_END">UNMM0021_B!$C$10</definedName>
    <definedName name="UNMM0021_B_LIST_START">UNMM0021_B!$C$9</definedName>
    <definedName name="UNMM0021_B_NEXT_PAGE">UNMM0021_B!$C$18</definedName>
    <definedName name="UNMM0021_B_NEXT_PAGE_NUM">UNMM0021_B!$C$20</definedName>
    <definedName name="UNMM0021_B_PAGE_NO">UNMM0021_B!$C$2</definedName>
    <definedName name="UNMM0021_B_SCROLL_LOCK">UNMM0021_B!$C$23</definedName>
    <definedName name="UNMM0021_B_SELECT_AITE_CD">UNMM0021_B!$C$15</definedName>
    <definedName name="UNMM0021_B_SELECT_GYO_NO">UNMM0021_B!$C$14</definedName>
    <definedName name="UNMM0021_B_SENTAKU">UNMM0021_B!$H$2</definedName>
    <definedName name="UNMM0021_H_AITE_CD">UNMM0021_H!$K$3</definedName>
    <definedName name="UNMM0021_H_DOGYO_FLG">UNMM0021_H!$C$12</definedName>
    <definedName name="UNMM0021_H_EIGYO_TANTO_CD">UNMM0021_H!$C$3</definedName>
    <definedName name="UNMM0021_H_EIGYO_TANTO_MEI">UNMM0021_H!$O$3</definedName>
    <definedName name="UNMM0021_H_FLG_COPY_SAKI">UNMM0021_H!$C$4:$C$14</definedName>
    <definedName name="UNMM0021_H_FREEWD_1">UNMM0021_H!$K$4</definedName>
    <definedName name="UNMM0021_H_FREEWD_2">UNMM0021_H!$M$4</definedName>
    <definedName name="UNMM0021_H_FREEWD_3">UNMM0021_H!$O$4</definedName>
    <definedName name="UNMM0021_H_FREEWD_KBN">UNMM0021_H!$C$14</definedName>
    <definedName name="UNMM0021_H_GAICHU_FLG">UNMM0021_H!$C$10</definedName>
    <definedName name="UNMM0021_H_HASSO_FLG">UNMM0021_H!$C$7</definedName>
    <definedName name="UNMM0021_H_HIDE_COLUMN">UNMM0021_H!$C$16</definedName>
    <definedName name="UNMM0021_H_HIDE_ROW">UNMM0021_H!$C$15</definedName>
    <definedName name="UNMM0021_H_HOKOKU_FLG">UNMM0021_H!$C$8</definedName>
    <definedName name="UNMM0021_H_KANKO_FLG">UNMM0021_H!$C$11</definedName>
    <definedName name="UNMM0021_H_MAKER_FLG">UNMM0021_H!$C$9</definedName>
    <definedName name="UNMM0021_H_MISHIYO_FLG">UNMM0021_H!$C$4</definedName>
    <definedName name="UNMM0021_H_SEIKYU_FLG">UNMM0021_H!$C$5</definedName>
    <definedName name="UNMM0021_H_SHIIRE_FLG">UNMM0021_H!$C$6</definedName>
    <definedName name="UNMM0021_H_SPOT_FLG">UNMM0021_H!$C$13</definedName>
    <definedName name="UNMM0021_IF_ACTIVE_CELL_NAME">UNMM0021_IF!$D$18</definedName>
    <definedName name="UNMM0021_IF_ACTIVE_COLUMN">UNMM0021_IF!$D$16</definedName>
    <definedName name="UNMM0021_IF_ACTIVE_ROW">UNMM0021_IF!$D$15</definedName>
    <definedName name="UNMM0021_IF_ACTIVE_SHEET">UNMM0021_IF!$D$14</definedName>
    <definedName name="UNMM0021_IF_B_LIST_COPY_MOTO">UNMM0021_IF!$E$6:$AA$6</definedName>
    <definedName name="UNMM0021_IF_B_LIST_DEFAULT">UNMM0021_IF!$E$5:$AA$5</definedName>
    <definedName name="UNMM0021_IF_COLUMNS">UNMM0021_IF!$AI$4:$CA$4</definedName>
    <definedName name="UNMM0021_IF_DATA_SEARCH_CHECK">UNMM0021_IF!$D$11</definedName>
    <definedName name="UNMM0021_IF_DATA_SEARCH_FLG">UNMM0021_IF!$D$10</definedName>
    <definedName name="UNMM0021_IF_EXCEL_FILE_NAME">UNMM0021_IF!$AF$5</definedName>
    <definedName name="UNMM0021_IF_FLG_COYO_MOTO">UNMM0021_IF!$B$24:$B$34</definedName>
    <definedName name="UNMM0021_IF_LIST_COPY_SAKI">UNMM0021_IF!$AF$7</definedName>
    <definedName name="UNMM0021_IF_LIST_START">UNMM0021_IF!$AF$6</definedName>
    <definedName name="UNMM0021_IF_PASTE">UNMM0021_IF!$AI$5</definedName>
    <definedName name="UNMM0021_IF_PRINT_AREA">UNMM0021_IF!$AI$4</definedName>
    <definedName name="UNMM0021_IF_PRINT_COUNT">UNMM0021_IF!$AF$4</definedName>
    <definedName name="UNMM0021_IF_PRINT_SHOSHIKI">UNMM0021_IF!$AI$1:$CA$1</definedName>
    <definedName name="UNMM0021_SQL_AITE_CD">UNMM0021_SQL!$C$1</definedName>
    <definedName name="UNMM0021_SQL_CONJUNCTION">UNMM0021_SQL!$D$37</definedName>
    <definedName name="UNMM0021_SQL_DOGYO_FLG">UNMM0021_SQL!$C$11</definedName>
    <definedName name="UNMM0021_SQL_EIGYO_TANTO_CD">UNMM0021_SQL!$C$2</definedName>
    <definedName name="UNMM0021_SQL_FREEWD_1">UNMM0021_SQL!$C$37</definedName>
    <definedName name="UNMM0021_SQL_FREEWD_2">UNMM0021_SQL!$C$38</definedName>
    <definedName name="UNMM0021_SQL_FREEWD_3">UNMM0021_SQL!$C$39</definedName>
    <definedName name="UNMM0021_SQL_FREEWD_KBN">UNMM0021_SQL!$C$16</definedName>
    <definedName name="UNMM0021_SQL_FREEWORD_1">UNMM0021_SQL!$C$13</definedName>
    <definedName name="UNMM0021_SQL_FREEWORD_2">UNMM0021_SQL!$C$14</definedName>
    <definedName name="UNMM0021_SQL_FREEWORD_3">UNMM0021_SQL!$C$15</definedName>
    <definedName name="UNMM0021_SQL_GAICHU_FLG">UNMM0021_SQL!$C$9</definedName>
    <definedName name="UNMM0021_SQL_HASSO_FLG">UNMM0021_SQL!$C$6</definedName>
    <definedName name="UNMM0021_SQL_HOKOKU_FLG">UNMM0021_SQL!$C$7</definedName>
    <definedName name="UNMM0021_SQL_JOKEN_COPY_MOTO">UNMM0021_SQL!$D$1:$D$16</definedName>
    <definedName name="UNMM0021_SQL_JOKEN_COPY_SAKI">UNMM0021_SQL!$C$1:$C$16</definedName>
    <definedName name="UNMM0021_SQL_KANKO_FLG">UNMM0021_SQL!$C$10</definedName>
    <definedName name="UNMM0021_SQL_MAKER_FLG">UNMM0021_SQL!$C$8</definedName>
    <definedName name="UNMM0021_SQL_MISHIYO_FLG">UNMM0021_SQL!$C$3</definedName>
    <definedName name="UNMM0021_SQL_ORDER_BY">UNMM0021_SQL!$C$40</definedName>
    <definedName name="UNMM0021_SQL_ORDER_BY_COLUMN">UNMM0021_SQL!$D$40</definedName>
    <definedName name="UNMM0021_SQL_PRINT">UNMM0021_SQL!$C$46</definedName>
    <definedName name="UNMM0021_SQL_SEIKYU_FLG">UNMM0021_SQL!$C$4</definedName>
    <definedName name="UNMM0021_SQL_SELECT_AITESAKI_LIST">UNMM0021_SQL!$C$19</definedName>
    <definedName name="UNMM0021_SQL_SELECT_AITESAKI_LIST_CNT">UNMM0021_SQL!$C$20</definedName>
    <definedName name="UNMM0021_SQL_SHIIRE_FLG">UNMM0021_SQL!$C$5</definedName>
    <definedName name="UNMM0021_SQL_SORT_POP">UNMM0021_SQL!$C$43</definedName>
    <definedName name="UNMM0021_SQL_SPOT_FLG">UNMM0021_SQL!$C$12</definedName>
    <definedName name="UNMM0050_AITESAKI_SHOHIN_MEI">UNMM0050!$H$9</definedName>
    <definedName name="UNMM0050_BAIKA">UNMM0050!$K$23</definedName>
    <definedName name="UNMM0050_BARA_TANI">UNMM0050!$I$23</definedName>
    <definedName name="UNMM0050_BIKO">UNMM0050!$H$36</definedName>
    <definedName name="UNMM0050_BUNSEKI_FLOW">UNMM0050!$I$33</definedName>
    <definedName name="UNMM0050_BUNSEKI_NO">UNMM0050!$I$32</definedName>
    <definedName name="UNMM0050_BUNSEKI_TANI">UNMM0050!$I$31</definedName>
    <definedName name="UNMM0050_BUNSEKIKOMOKU_FLG">UNMM0050!$C$3</definedName>
    <definedName name="UNMM0050_CHOSEI_SHIYAKU_FLG">UNMM0050!$C$9</definedName>
    <definedName name="UNMM0050_DOKU_FLG">UNMM0050!$C$10</definedName>
    <definedName name="UNMM0050_DOKU_MEISHO">UNMM0050!$H$13</definedName>
    <definedName name="UNMM0050_DOKU_SURYO">UNMM0050!$H$14</definedName>
    <definedName name="UNMM0050_FLG_VALUE">UNMM0050!$C$3:$C$21</definedName>
    <definedName name="UNMM0050_GAICHU_CD">UNMM0050!$H$18</definedName>
    <definedName name="UNMM0050_GAICHU_MEI">UNMM0050!$C$17</definedName>
    <definedName name="UNMM0050_GENKA">UNMM0050!$K$22</definedName>
    <definedName name="UNMM0050_HIDE_COLUMN">UNMM0050!$C$24</definedName>
    <definedName name="UNMM0050_HIDE_ROW">UNMM0050!$C$23</definedName>
    <definedName name="UNMM0050_HIMBAN">UNMM0050!$H$10</definedName>
    <definedName name="UNMM0050_HOKAN">UNMM0050!$I$27</definedName>
    <definedName name="UNMM0050_IF_ACTIVE_CELL_NAME">UNMM0050_IF!$D$70</definedName>
    <definedName name="UNMM0050_IF_ACTIVE_COLUMN">UNMM0050_IF!$D$68</definedName>
    <definedName name="UNMM0050_IF_ACTIVE_ROW">UNMM0050_IF!$D$67</definedName>
    <definedName name="UNMM0050_IF_ACTIVE_SHEET">UNMM0050_IF!$D$66</definedName>
    <definedName name="UNMM0050_IF_BUTTON_03_HYOJI">UNMM0050_IF!$D$57</definedName>
    <definedName name="UNMM0050_IF_BUTTON_04_HYOJI">UNMM0050_IF!$D$58</definedName>
    <definedName name="UNMM0050_IF_BUTTON_06_HYOJI">UNMM0050_IF!$D$59</definedName>
    <definedName name="UNMM0050_IF_BUTTON_06_NAME">UNMM0050_IF!$D$53</definedName>
    <definedName name="UNMM0050_IF_BUTTON_07_HYOJI">UNMM0050_IF!$D$60</definedName>
    <definedName name="UNMM0050_IF_BUTTON_09_HYOJI">UNMM0050_IF!$D$61</definedName>
    <definedName name="UNMM0050_IF_BUTTON_10_HYOJI">UNMM0050_IF!$D$62</definedName>
    <definedName name="UNMM0050_IF_BUTTON_10_NAME">UNMM0050_IF!$D$54</definedName>
    <definedName name="UNMM0050_IF_BUTTON_20_HYOJI">UNMM0050_IF!$D$63</definedName>
    <definedName name="UNMM0050_IF_DATA_SEARCH_FLG">UNMM0050_IF!$D$73</definedName>
    <definedName name="UNMM0050_IF_EXCEL_FILE_NAME">UNMM0050_IF!$K$115</definedName>
    <definedName name="UNMM0050_IF_FLG_INIT_VALUE">UNMM0050_IF!$D$78:$D$96</definedName>
    <definedName name="UNMM0050_IF_HOKAN_BASHO_KBN">UNMM0050_IF!$D$102</definedName>
    <definedName name="UNMM0050_IF_INIT_DATA_COPY_MOTO">UNMM0050_IF!$AN$3:$AW$45</definedName>
    <definedName name="UNMM0050_IF_INPUT_CHECK">UNMM0050_IF!$Q$129</definedName>
    <definedName name="UNMM0050_IF_INPUT_ERROR_MESSAGE">UNMM0050_IF!$Q$130</definedName>
    <definedName name="UNMM0050_IF_MODE">UNMM0050_IF!$D$49</definedName>
    <definedName name="UNMM0050_IF_MODE_SANSHO_COPY_MOTO">UNMM0050_IF!$AA$3:$AJ$45</definedName>
    <definedName name="UNMM0050_IF_MODE_SHINKI_COPY_MOTO">UNMM0050_IF!$C$3:$L$45</definedName>
    <definedName name="UNMM0050_IF_MODE_SHUSEI_COPY_MOTO">UNMM0050_IF!$O$3:$X$45</definedName>
    <definedName name="UNMM0050_IF_SANSHO_FLG">UNMM0050_IF!$D$50</definedName>
    <definedName name="UNMM0050_IF_SAVE_CD_ERROR">UNMM0050_IF!$K$112</definedName>
    <definedName name="UNMM0050_IF_SAVE_CHECK_ERROR_KOMOKU">UNMM0050_IF!$Q$133</definedName>
    <definedName name="UNMM0050_IF_SAVE_CHECK_RESULT">UNMM0050_IF!$P$133</definedName>
    <definedName name="UNMM0050_IF_SAVE_ERROR_CHECK">UNMM0050_IF!$K$109</definedName>
    <definedName name="UNMM0050_IF_SAVE_ERROR_MESSAGE">UNMM0050_IF!$K$110</definedName>
    <definedName name="UNMM0050_IF_SAVE_INPUT_CHECK">UNMM0050_IF!#REF!</definedName>
    <definedName name="UNMM0050_IF_SAVE_RESULT_CD">UNMM0050_IF!$K$107</definedName>
    <definedName name="UNMM0050_IF_SAVE_RESULT_MESSAGE">UNMM0050_IF!$K$108</definedName>
    <definedName name="UNMM0050_IF_SHOHIN_BUNRUI">UNMM0050_IF!$C$102</definedName>
    <definedName name="UNMM0050_IF_USER_ID">UNMM0050_IF!$B$102</definedName>
    <definedName name="UNMM0050_IF_WORK_TABLE_W_MODE">UNMM0050_IF!$E$110</definedName>
    <definedName name="UNMM0050_IF_WORK_TABLE_W_ROW">UNMM0050_IF!$E$109</definedName>
    <definedName name="UNMM0050_IF_WORK_TABLE_W_SERIAL">UNMM0050_IF!$E$108</definedName>
    <definedName name="UNMM0050_IF_WORK_TABLE_W_USER_ID">UNMM0050_IF!$E$107</definedName>
    <definedName name="UNMM0050_INSERT_DATETIME">UNMM0050!$C$20</definedName>
    <definedName name="UNMM0050_IRISU">UNMM0050!$I$21</definedName>
    <definedName name="UNMM0050_IRISU_TANI">UNMM0050!$I$22</definedName>
    <definedName name="UNMM0050_KAKAKU">UNMM0050!$K$21</definedName>
    <definedName name="UNMM0050_KOBAIHIN_FLG">UNMM0050!$C$5</definedName>
    <definedName name="UNMM0050_KOSU">UNMM0050!$M$24</definedName>
    <definedName name="UNMM0050_LINK_DATETIME">UNMM0050!$C$19</definedName>
    <definedName name="UNMM0050_MAKER_CD">UNMM0050!$H$17</definedName>
    <definedName name="UNMM0050_MAKER_MEI">UNMM0050!$C$16</definedName>
    <definedName name="UNMM0050_MISHIYO">UNMM0050!$C$13</definedName>
    <definedName name="UNMM0050_MODE_COPY_SAKI">UNMM0050!$F$2:$O$44</definedName>
    <definedName name="UNMM0050_NOKI">UNMM0050!$M$23</definedName>
    <definedName name="UNMM0050_SAITEI_KAKAKU">UNMM0050!$K$26</definedName>
    <definedName name="UNMM0050_SHIIRE_CD">UNMM0050!$H$16</definedName>
    <definedName name="UNMM0050_SHIIRE_IRISU">UNMM0050!$M$21</definedName>
    <definedName name="UNMM0050_SHIIRE_IRISU_TANI">UNMM0050!$M$22</definedName>
    <definedName name="UNMM0050_SHIIRE_MEI">UNMM0050!$C$15</definedName>
    <definedName name="UNMM0050_SHIIRE_TANKA">UNMM0050!$K$24</definedName>
    <definedName name="UNMM0050_SHIJO_KAKAKU">UNMM0050!$K$27</definedName>
    <definedName name="UNMM0050_SHIKIICHI">UNMM0050!$M$27</definedName>
    <definedName name="UNMM0050_SHIYAKU_FLG">UNMM0050!$C$11</definedName>
    <definedName name="UNMM0050_SHIYAKU_MEI">UNMM0050!$H$11</definedName>
    <definedName name="UNMM0050_SHIYAKU_NAIYO">UNMM0050!$H$12</definedName>
    <definedName name="UNMM0050_SHOHIN_BUNRUI">UNMM0050!$H$5</definedName>
    <definedName name="UNMM0050_SHOHIN_CD">UNMM0050!$H$7</definedName>
    <definedName name="UNMM0050_SHOHIN_FLG">UNMM0050!$C$4</definedName>
    <definedName name="UNMM0050_SHOHIN_MEI">UNMM0050!$H$8</definedName>
    <definedName name="UNMM0050_SHOKEIHI_FLG">UNMM0050!$C$6</definedName>
    <definedName name="UNMM0050_SQL_OVERLAP_CHECK">UNMM0050_SQL!$D$12</definedName>
    <definedName name="UNMM0050_SQL_SELECT_SHOHIN_DATA">UNMM0050_SQL!$D$2</definedName>
    <definedName name="UNMM0050_STS">UNMM0050!$H$4</definedName>
    <definedName name="UNMM0050_TEIKA">UNMM0050!$K$25</definedName>
    <definedName name="UNMM0050_TORIATSUKAI_KBN_FLG_CHECK">UNMM0050!$C$26</definedName>
    <definedName name="UNMM0050_UPDATE_DATETIME">UNMM0050!$C$21</definedName>
    <definedName name="UNMM0051_B_AITE_SHOHIN_MEI">UNMM0051_B!$O$15</definedName>
    <definedName name="UNMM0051_B_ALL_PAGE_SU">UNMM0051_B!$D$8</definedName>
    <definedName name="UNMM0051_B_BUNSEKI">UNMM0051_B!$I$15</definedName>
    <definedName name="UNMM0051_B_COPY_SAKI">UNMM0051_B!$D$15</definedName>
    <definedName name="UNMM0051_B_CTRL_HYOJI_GYO_SU">UNMM0051_B!$D$3</definedName>
    <definedName name="UNMM0051_B_EXIST_NEXT_PAGE">UNMM0051_B!$D$19</definedName>
    <definedName name="UNMM0051_B_EXIST_PREV_PAGE">UNMM0051_B!$D$20</definedName>
    <definedName name="UNMM0051_B_FORMAT_COPY_FLG">UNMM0051_B!$D$11</definedName>
    <definedName name="UNMM0051_B_HIDE_COLUMN">UNMM0051_B!$D$30</definedName>
    <definedName name="UNMM0051_B_HIDE_ROW">UNMM0051_B!$D$29</definedName>
    <definedName name="UNMM0051_B_HYOJI_KENSU">UNMM0051_B!$D$9</definedName>
    <definedName name="UNMM0051_B_KENSAKU_KENSU">UNMM0051_B!$D$6</definedName>
    <definedName name="UNMM0051_B_KOBAI">UNMM0051_B!$K$15</definedName>
    <definedName name="UNMM0051_B_LIST_CLEAR">UNMM0051_B!$D$16</definedName>
    <definedName name="UNMM0051_B_LIST_END">UNMM0051_B!$D$14</definedName>
    <definedName name="UNMM0051_B_LIST_START">UNMM0051_B!$D$13</definedName>
    <definedName name="UNMM0051_B_MAKER_CD">UNMM0051_B!$U$15</definedName>
    <definedName name="UNMM0051_B_MAKER_MEI">UNMM0051_B!$R$15</definedName>
    <definedName name="UNMM0051_B_MISIYO_FLG">UNMM0051_B!$S$15</definedName>
    <definedName name="UNMM0051_B_NEXT_PAGE_NO">UNMM0051_B!$D$22</definedName>
    <definedName name="UNMM0051_B_PAGE_NO">UNMM0051_B!$D$7</definedName>
    <definedName name="UNMM0051_B_PREV_PAGE_NO">UNMM0051_B!$D$23</definedName>
    <definedName name="UNMM0051_B_SCROLL_LOCK">UNMM0051_B!$D$32</definedName>
    <definedName name="UNMM0051_B_SELECT_GYO_NO">UNMM0051_B!$D$26</definedName>
    <definedName name="UNMM0051_B_SELECT_SHOHIN_CD">UNMM0051_B!$D$27</definedName>
    <definedName name="UNMM0051_B_SENTAKU">UNMM0051_B!$H$15</definedName>
    <definedName name="UNMM0051_B_SHIIRE_SAKI_CD">UNMM0051_B!$T$15</definedName>
    <definedName name="UNMM0051_B_SHIRESAKI_MEI">UNMM0051_B!$Q$15</definedName>
    <definedName name="UNMM0051_B_SHOHIN">UNMM0051_B!$J$15</definedName>
    <definedName name="UNMM0051_B_SHOHIN_CD">UNMM0051_B!$M$15</definedName>
    <definedName name="UNMM0051_B_SHOHIN_MEI">UNMM0051_B!$N$15</definedName>
    <definedName name="UNMM0051_B_SHOKEIHI">UNMM0051_B!$L$15</definedName>
    <definedName name="UNMM0051_H_BUNSEKIKOMOKU_FLG">UNMM0051_H!$C$4</definedName>
    <definedName name="UNMM0051_H_COPY_SAKI_INIT_WORDS">UNMM0051_H!$I$6:$Z$10</definedName>
    <definedName name="UNMM0051_H_FLG_VALUE">UNMM0051_H!$C$4:$C$13</definedName>
    <definedName name="UNMM0051_H_FREEWD_1">UNMM0051_H!$J$10</definedName>
    <definedName name="UNMM0051_H_FREEWD_2">UNMM0051_H!$O$10</definedName>
    <definedName name="UNMM0051_H_FREEWD_3">UNMM0051_H!$T$10</definedName>
    <definedName name="UNMM0051_H_FREEWD_KBN">UNMM0051_H!$C$22</definedName>
    <definedName name="UNMM0051_H_HIDE_COLUMN">UNMM0051_H!$C$25</definedName>
    <definedName name="UNMM0051_H_HIDE_ROW">UNMM0051_H!$C$24</definedName>
    <definedName name="UNMM0051_H_KARI_STS">UNMM0051_H!$C$10</definedName>
    <definedName name="UNMM0051_H_KOBAIHIN_FLG">UNMM0051_H!$C$6</definedName>
    <definedName name="UNMM0051_H_MAKER_CD">UNMM0051_H!$J$8</definedName>
    <definedName name="UNMM0051_H_MAKER_MEI">UNMM0051_H!$C$20</definedName>
    <definedName name="UNMM0051_H_MISHIYO">UNMM0051_H!$C$13</definedName>
    <definedName name="UNMM0051_H_SAIYO_STS">UNMM0051_H!$C$11</definedName>
    <definedName name="UNMM0051_H_SHIIRE_CD">UNMM0051_H!$J$7</definedName>
    <definedName name="UNMM0051_H_SHIIRE_MEI">UNMM0051_H!$C$18</definedName>
    <definedName name="UNMM0051_H_SHOHIN_CD">UNMM0051_H!$J$6</definedName>
    <definedName name="UNMM0051_H_SHOHIN_FLG">UNMM0051_H!$C$5</definedName>
    <definedName name="UNMM0051_H_SHOKEIHI_FLG">UNMM0051_H!$C$7</definedName>
    <definedName name="UNMM0051_IF_ACTIVE_CELL_NAME">UNMM0051_IF!$D$24</definedName>
    <definedName name="UNMM0051_IF_ACTIVE_COLUMN">UNMM0051_IF!$D$22</definedName>
    <definedName name="UNMM0051_IF_ACTIVE_ROW">UNMM0051_IF!$D$21</definedName>
    <definedName name="UNMM0051_IF_ACTIVE_SHEET">UNMM0051_IF!$D$20</definedName>
    <definedName name="UNMM0051_IF_B_LIST_COPY_MOTO">UNMM0051_IF!$D$5:$O$5</definedName>
    <definedName name="UNMM0051_IF_B_LIST_DEFAULT">UNMM0051_IF!$D$4:$O$4</definedName>
    <definedName name="UNMM0051_IF_DATA_SEARCH_FLG">UNMM0051_IF!$D$17</definedName>
    <definedName name="UNMM0051_IF_EXCEL_FILE_NAME">UNMM0051_IF!$D$40</definedName>
    <definedName name="UNMM0051_IF_FLG_INIT_VALUE">UNMM0051_IF!$D$28:$D$37</definedName>
    <definedName name="UNMM0051_IF_INIT_WORDS">UNMM0051_IF!$C$10:$T$14</definedName>
    <definedName name="UNMM0051_IF_LIST_COPY_SAKI">UNMM0051_IF!$V$8</definedName>
    <definedName name="UNMM0051_IF_LIST_START">UNMM0051_IF!$V$6</definedName>
    <definedName name="UNMM0051_IF_PRINT_COUNT">UNMM0051_IF!$V$4</definedName>
    <definedName name="UNMM0051_IF_PRINT_SHOSHIKI">UNMM0051_IF!$X$1:$BR$1</definedName>
    <definedName name="UNMM0051_IF_SENTAKU">UNMM0051_IF!$X$3</definedName>
    <definedName name="UNMM0051_SQL_BUNSEKIKOMOKU_FLG">UNMM0051_SQL!$F$2</definedName>
    <definedName name="UNMM0051_SQL_FREEWD_1">UNMM0051_SQL!$F$12</definedName>
    <definedName name="UNMM0051_SQL_FREEWD_2">UNMM0051_SQL!$F$13</definedName>
    <definedName name="UNMM0051_SQL_FREEWD_3">UNMM0051_SQL!$F$14</definedName>
    <definedName name="UNMM0051_SQL_FREEWD_KBN">UNMM0051_SQL!$F$15</definedName>
    <definedName name="UNMM0051_SQL_FREEWORD1">UNMM0051_SQL!$F$26</definedName>
    <definedName name="UNMM0051_SQL_FREEWORD2">UNMM0051_SQL!$F$27</definedName>
    <definedName name="UNMM0051_SQL_FREEWORD3">UNMM0051_SQL!$F$28</definedName>
    <definedName name="UNMM0051_SQL_INIT_SORT">UNMM0051_SQL!$E$41</definedName>
    <definedName name="UNMM0051_SQL_JOKEN_COPY_MOTO">UNMM0051_SQL!$G$2:$G$15</definedName>
    <definedName name="UNMM0051_SQL_JOKEN_COPY_SAKI">UNMM0051_SQL!$F$2:$F$15</definedName>
    <definedName name="UNMM0051_SQL_KARI_STS">UNMM0051_SQL!$F$6</definedName>
    <definedName name="UNMM0051_SQL_KOBAIHIN_FLG">UNMM0051_SQL!$F$4</definedName>
    <definedName name="UNMM0051_SQL_MAKER_CD">UNMM0051_SQL!$F$11</definedName>
    <definedName name="UNMM0051_SQL_MISHIYO">UNMM0051_SQL!$F$8</definedName>
    <definedName name="UNMM0051_SQL_SAIYO_STS">UNMM0051_SQL!$F$7</definedName>
    <definedName name="UNMM0051_SQL_SELECT_SHAIN_LIST">UNMM0051_SQL!$D$18</definedName>
    <definedName name="UNMM0051_SQL_SELECT_SHAIN_LIST_COPY">UNMM0051_SQL!$D$44</definedName>
    <definedName name="UNMM0051_SQL_SELECT_SHOHIN_LIST_CNT">UNMM0051_SQL!$D$19</definedName>
    <definedName name="UNMM0051_SQL_SHIIRE_CD">UNMM0051_SQL!$F$10</definedName>
    <definedName name="UNMM0051_SQL_SHOHIN_CD">UNMM0051_SQL!$F$9</definedName>
    <definedName name="UNMM0051_SQL_SHOHIN_FLG">UNMM0051_SQL!$F$3</definedName>
    <definedName name="UNMM0051_SQL_SHOKEIHI_FLG">UNMM0051_SQL!$F$5</definedName>
    <definedName name="UNMM0051_SQL_SORT">UNMM0051_SQL!$E$39</definedName>
    <definedName name="UNMM0070_BUNSEKI_GUN_CD_ERROR">UNMM0070!$C$31</definedName>
    <definedName name="UNMM0070_BUNSEKI_GUN_MEI_ERROR">UNMM0070!$C$32</definedName>
    <definedName name="UNMM0070_BUNSEKIKOMOKU_CD">UNMM0070!$H$5</definedName>
    <definedName name="UNMM0070_BUNSEKIKOMOKU_MEI">UNMM0070!$I$5</definedName>
    <definedName name="UNMM0070_BUNSEKIKOMOKUGUN_CD">UNMM0070!$G$3</definedName>
    <definedName name="UNMM0070_BUNSEKIKOMOKUGUN_MEI">UNMM0070!$I$3</definedName>
    <definedName name="UNMM0070_CTRL_HYOJI_GYO_SU">UNMM0070!$C$6</definedName>
    <definedName name="UNMM0070_HIDE_COLUMN">UNMM0070!$C$29</definedName>
    <definedName name="UNMM0070_HIDE_ROW">UNMM0070!$C$28</definedName>
    <definedName name="UNMM0070_HYOJI_BUNSEKIKOMIKU">UNMM0070!$C$25</definedName>
    <definedName name="UNMM0070_HYOJI_KENSU">UNMM0070!$C$5</definedName>
    <definedName name="UNMM0070_IF_ACTIVE_CELL_NAME">UNMM0070_IF!$G$22</definedName>
    <definedName name="UNMM0070_IF_ACTIVE_COLUMN">UNMM0070_IF!$G$20</definedName>
    <definedName name="UNMM0070_IF_ACTIVE_ROW">UNMM0070_IF!$G$19</definedName>
    <definedName name="UNMM0070_IF_ACTIVE_SHEET">UNMM0070_IF!$G$18</definedName>
    <definedName name="UNMM0070_IF_BUTTON_04_HYOJI">UNMM0070_IF!$G$36</definedName>
    <definedName name="UNMM0070_IF_BUTTON_06_FONTCOLOR">UNMM0070_IF!$G$32</definedName>
    <definedName name="UNMM0070_IF_BUTTON_06_HYOJI">UNMM0070_IF!$G$37</definedName>
    <definedName name="UNMM0070_IF_BUTTON_06_NAME">UNMM0070_IF!$G$28</definedName>
    <definedName name="UNMM0070_IF_BUTTON_07_HYOJI">UNMM0070_IF!$G$38</definedName>
    <definedName name="UNMM0070_IF_BUTTON_09_HYOJI">UNMM0070_IF!$G$39</definedName>
    <definedName name="UNMM0070_IF_BUTTON_10_FONTCOLOR">UNMM0070_IF!$G$33</definedName>
    <definedName name="UNMM0070_IF_BUTTON_10_HYOJI">UNMM0070_IF!$G$40</definedName>
    <definedName name="UNMM0070_IF_BUTTON_10_NAME">UNMM0070_IF!$G$29</definedName>
    <definedName name="UNMM0070_IF_BUTTON_13_HYOJI">UNMM0070_IF!$G$41</definedName>
    <definedName name="UNMM0070_IF_BUTTON_14_ERROR">UNMM0070_IF!$G$47</definedName>
    <definedName name="UNMM0070_IF_BUTTON_14_HYOJI">UNMM0070_IF!$G$42</definedName>
    <definedName name="UNMM0070_IF_BUTTON_20_HYOJI">UNMM0070_IF!$G$43</definedName>
    <definedName name="UNMM0070_IF_DATA_SEARCH_FLG">UNMM0070_IF!$G$15</definedName>
    <definedName name="UNMM0070_IF_EXCEL_FILE_NAME">UNMM0070_IF!$G$69</definedName>
    <definedName name="UNMM0070_IF_LIST_COPY">UNMM0070_IF!$G$5:$K$5</definedName>
    <definedName name="UNMM0070_IF_LIST_DEFAULT">UNMM0070_IF!$G$4:$K$4</definedName>
    <definedName name="UNMM0070_IF_LIST_SANSHO_COPY">UNMM0070_IF!$G$7:$K$7</definedName>
    <definedName name="UNMM0070_IF_MODE">UNMM0070_IF!$G$25</definedName>
    <definedName name="UNMM0070_IF_MODE_SANSHO_COPY_MOTO">UNMM0070_IF!$G$13:$J$13</definedName>
    <definedName name="UNMM0070_IF_MODE_SHINKI_COPY_MOTO">UNMM0070_IF!$G$9:$J$9</definedName>
    <definedName name="UNMM0070_IF_MODE_SHUSEI_COPY_MOTO">UNMM0070_IF!$G$11:$J$11</definedName>
    <definedName name="UNMM0070_IF_SAVE_BUNSEKIKOMOKU_GUN_CD">UNMM0070_IF!$G$55</definedName>
    <definedName name="UNMM0070_IF_SAVE_BUNSEKIKOMOKU_GUN_MEI">UNMM0070_IF!$G$56</definedName>
    <definedName name="UNMM0070_IF_SAVE_CLEAR">UNMM0070_IF!$O$7</definedName>
    <definedName name="UNMM0070_IF_SAVE_COPY_MOTO">UNMM0070_IF!$P$1:$W$1</definedName>
    <definedName name="UNMM0070_IF_SAVE_COPY_SAKI">UNMM0070_IF!$O$5</definedName>
    <definedName name="UNMM0070_IF_SAVE_COPY_START">UNMM0070_IF!$P$3</definedName>
    <definedName name="UNMM0070_IF_SAVE_DELETE_CHECK">UNMM0070_IF!$G$61</definedName>
    <definedName name="UNMM0070_IF_SAVE_ERROR_CHECK">UNMM0070_IF!$G$65</definedName>
    <definedName name="UNMM0070_IF_SAVE_ERROR_MESSAGE">UNMM0070_IF!$G$66</definedName>
    <definedName name="UNMM0070_IF_SAVE_INPUT_CHECK">UNMM0070_IF!$G$60</definedName>
    <definedName name="UNMM0070_IF_SAVE_RESULT_CD">UNMM0070_IF!$G$63</definedName>
    <definedName name="UNMM0070_IF_SAVE_RESULT_MESSAGE">UNMM0070_IF!$G$64</definedName>
    <definedName name="UNMM0070_IF_SAVE_SEQ">UNMM0070_IF!$V$2</definedName>
    <definedName name="UNMM0070_IF_SAVE_W_MODE">UNMM0070_IF!$G$54</definedName>
    <definedName name="UNMM0070_IF_SAVE_W_ROW">UNMM0070_IF!$G$53</definedName>
    <definedName name="UNMM0070_IF_SAVE_W_SERIAL">UNMM0070_IF!$G$52</definedName>
    <definedName name="UNMM0070_IF_SAVE_W_USER_ID">UNMM0070_IF!$G$51</definedName>
    <definedName name="UNMM0070_KENSU_DECREMENT">UNMM0070!$C$8</definedName>
    <definedName name="UNMM0070_KENSU_INCREMENT">UNMM0070!$C$7</definedName>
    <definedName name="UNMM0070_LIST_BUNSEKIKOMOKUGUN_CD">UNMM0070!$K$5</definedName>
    <definedName name="UNMM0070_LIST_CLEAR">UNMM0070!$C$14</definedName>
    <definedName name="UNMM0070_LIST_COPY_SAKI">UNMM0070!$C$12</definedName>
    <definedName name="UNMM0070_LIST_END">UNMM0070!$C$11</definedName>
    <definedName name="UNMM0070_LIST_INS_DEL">UNMM0070!$C$15</definedName>
    <definedName name="UNMM0070_LIST_INSERT_SAKI">UNMM0070!$C$16</definedName>
    <definedName name="UNMM0070_LIST_START">UNMM0070!$C$10</definedName>
    <definedName name="UNMM0070_MODE_COPY_SAKI">UNMM0070!$G$3:$J$3</definedName>
    <definedName name="UNMM0070_SELECT_BUNSEKIKOMOKU_CD">UNMM0070!$C$20</definedName>
    <definedName name="UNMM0070_SELECT_GYO_NO">UNMM0070!$C$19</definedName>
    <definedName name="UNMM0070_SENTAKU">UNMM0070!$G$5</definedName>
    <definedName name="UNMM0070_SET_BUNSEKIKOMOKU_CD">UNMM0070!$C$21</definedName>
    <definedName name="UNMM0070_SET_BUNSEKIKOMOKU_MEI">UNMM0070!$C$22</definedName>
    <definedName name="UNMM0070_SET_BUNSEKIKOMOKU_TANI">UNMM0070!$C$23</definedName>
    <definedName name="UNMM0070_SQL_SELECT_BUNSEKIKOMOKUGUN_LIST">UNMM0070_SQL!$D$3</definedName>
    <definedName name="UNMM0070_TANI">UNMM0070!$J$5</definedName>
    <definedName name="UNMM0070_YOBI_GYOSU">UNMM0070!$C$17</definedName>
    <definedName name="UNMM0070_YOBI_LIST_COPY_SAKI">UNMM0070!$C$13</definedName>
    <definedName name="UNMM0080_B_ALL_KETA">UNMM0080!$K$5</definedName>
    <definedName name="UNMM0080_B_KATA">UNMM0080!$J$5</definedName>
    <definedName name="UNMM0080_B_KOBAN">UNMM0080!$G$5</definedName>
    <definedName name="UNMM0080_B_MEISHO">UNMM0080!$H$5</definedName>
    <definedName name="UNMM0080_B_NYURYOKU">UNMM0080!$I$5</definedName>
    <definedName name="UNMM0080_B_SELECT_GYO_NO">UNMM0080!$C$13</definedName>
    <definedName name="UNMM0080_B_SETTEICHI">UNMM0080!$M$5</definedName>
    <definedName name="UNMM0080_B_SHOSU_KETA">UNMM0080!$L$5</definedName>
    <definedName name="UNMM0080_BUNSEKI_CD">UNMM0080!$N$5</definedName>
    <definedName name="UNMM0080_GYO_SU_HENDOU_DEC">UNMM0080!$C$18</definedName>
    <definedName name="UNMM0080_GYO_SU_HENDOU_INC">UNMM0080!$C$17</definedName>
    <definedName name="UNMM0080_H_BUNSEKIKOMOKU_CD">UNMM0080!$G$3</definedName>
    <definedName name="UNMM0080_H_BUNSEKIKOMOKU_MEI">UNMM0080!$H$3</definedName>
    <definedName name="UNMM0080_HIDE_COLUMN">UNMM0080!$C$22</definedName>
    <definedName name="UNMM0080_HIDE_ROW">UNMM0080!$C$21</definedName>
    <definedName name="UNMM0080_HYOJI_KENSU">UNMM0080!$C$6</definedName>
    <definedName name="UNMM0080_IF_BUTTON_02_HYOJI">UNMM0080_IF!$E$11</definedName>
    <definedName name="UNMM0080_IF_BUTTON_04_HYOJI">UNMM0080_IF!$E$12</definedName>
    <definedName name="UNMM0080_IF_BUTTON_06_NAME">UNMM0080_IF!$E$8</definedName>
    <definedName name="UNMM0080_IF_BUTTON_07_HYOJI">UNMM0080_IF!$E$13</definedName>
    <definedName name="UNMM0080_IF_BUTTON_09_HYOJI">UNMM0080_IF!$E$14</definedName>
    <definedName name="UNMM0080_IF_BUTTON_10_HYOJI">UNMM0080_IF!$E$15</definedName>
    <definedName name="UNMM0080_IF_BUTTON_13_HYOJI">UNMM0080_IF!$E$16</definedName>
    <definedName name="UNMM0080_IF_BUTTON_14_ERROR">UNMM0080_IF!$E$21</definedName>
    <definedName name="UNMM0080_IF_BUTTON_14_HYOJI">UNMM0080_IF!$E$17</definedName>
    <definedName name="UNMM0080_IF_BUTTON_20_HYOJI">UNMM0080_IF!$E$18</definedName>
    <definedName name="UNMM0080_IF_DATA_SEARCH_FLG">UNMM0080_IF!$E$2</definedName>
    <definedName name="UNMM0080_IF_EXCEL_FILE_NAME">UNMM0080_IF!$E$43</definedName>
    <definedName name="UNMM0080_IF_KOBAN">UNMM0080_IF!$R$5</definedName>
    <definedName name="UNMM0080_IF_LIST_COPY_MODE_SANSHO_MOTO">UNMM0080_IF!$R$4:$X$4</definedName>
    <definedName name="UNMM0080_IF_LIST_COPY_MODE_SHUSEI_MOTO">UNMM0080_IF!$R$5:$X$5</definedName>
    <definedName name="UNMM0080_IF_LIST_DEFAULT">UNMM0080_IF!$R$3:$X$3</definedName>
    <definedName name="UNMM0080_IF_MODE">UNMM0080_IF!$E$5</definedName>
    <definedName name="UNMM0080_IF_SAVE_COPY_MOTO">UNMM0080_IF!$L$10:$X$10</definedName>
    <definedName name="UNMM0080_IF_SAVE_COPY_SAKI">UNMM0080_IF!$E$31</definedName>
    <definedName name="UNMM0080_IF_SAVE_COPY_START">UNMM0080_IF!$L$14</definedName>
    <definedName name="UNMM0080_IF_SAVE_ERROR_CHECK">UNMM0080_IF!$E$39</definedName>
    <definedName name="UNMM0080_IF_SAVE_ERROR_MESSAGE">UNMM0080_IF!$E$40</definedName>
    <definedName name="UNMM0080_IF_SAVE_INPUT_CHECK">UNMM0080_IF!$E$34</definedName>
    <definedName name="UNMM0080_IF_SAVE_INPUT_CHECK_COLUMN">UNMM0080_IF!$L$13</definedName>
    <definedName name="UNMM0080_IF_SAVE_RESULT_CD">UNMM0080_IF!$E$37</definedName>
    <definedName name="UNMM0080_IF_SAVE_RESULT_MESSAGE">UNMM0080_IF!$E$38</definedName>
    <definedName name="UNMM0080_IF_SAVE_W_MODE">UNMM0080_IF!$E$27</definedName>
    <definedName name="UNMM0080_IF_SAVE_W_SERIAL">UNMM0080_IF!$E$26</definedName>
    <definedName name="UNMM0080_IF_SAVE_W_USER_ID">UNMM0080_IF!$E$25</definedName>
    <definedName name="UNMM0080_IF_UPDATE_START">UNMM0080_IF!$E$28</definedName>
    <definedName name="UNMM0080_LIST_CLEAR">UNMM0080!$C$11</definedName>
    <definedName name="UNMM0080_LIST_SHOSHIKI_COPY_SAKI">UNMM0080!$C$9</definedName>
    <definedName name="UNMM0080_LIST_START">UNMM0080!$C$8</definedName>
    <definedName name="UNMM0080_LIST_SUSHIKI_COPY_SAKI">UNMM0080!$C$10</definedName>
    <definedName name="UNMM0080_SCROLL_LOCK">UNMM0080!$C$20</definedName>
    <definedName name="UNMM0080_SELECT_RANGE">UNMM0080!$C$14</definedName>
    <definedName name="UNMM0080_SHOSHIKI_SELECT_RANGE">UNMM0080!$C$15</definedName>
    <definedName name="UNMM0080_SQL_NYURYOKU_HOHO">UNMM0080_SQL!$D$8</definedName>
    <definedName name="UNMM0080_SQL_RETSU_KATA">UNMM0080_SQL!$D$9</definedName>
    <definedName name="UNMM0080_SQL_SELECT_INFO_LIST">UNMM0080_SQL!$D$3</definedName>
    <definedName name="UNMM0090_HIDE_COLUMN">UNMM0090!$D$7</definedName>
    <definedName name="UNMM0090_HIDE_ROW">UNMM0090!$D$6</definedName>
    <definedName name="UNMM0090_IF_BUTTON_04_HYOJI">UNMM0090_IF!$D$23</definedName>
    <definedName name="UNMM0090_IF_BUTTON_06_FONTCOLOR">UNMM0090_IF!$D$19</definedName>
    <definedName name="UNMM0090_IF_BUTTON_06_HYOJI">UNMM0090_IF!$D$24</definedName>
    <definedName name="UNMM0090_IF_BUTTON_06_NAME">UNMM0090_IF!$D$15</definedName>
    <definedName name="UNMM0090_IF_BUTTON_07_HYOJI">UNMM0090_IF!$D$26</definedName>
    <definedName name="UNMM0090_IF_BUTTON_09_HYOJI">UNMM0090_IF!$D$27</definedName>
    <definedName name="UNMM0090_IF_BUTTON_10_FONTCOLOR">UNMM0090_IF!$D$20</definedName>
    <definedName name="UNMM0090_IF_BUTTON_10_HYOJI">UNMM0090_IF!$D$25</definedName>
    <definedName name="UNMM0090_IF_BUTTON_10_NAME">UNMM0090_IF!$D$16</definedName>
    <definedName name="UNMM0090_IF_BUTTON_20_HYOJI">UNMM0090_IF!$D$28</definedName>
    <definedName name="UNMM0090_IF_EXCEL_FILE_NAME">UNMM0090_IF!$D$31</definedName>
    <definedName name="UNMM0090_IF_MODE">UNMM0090_IF!$D$12</definedName>
    <definedName name="UNMM0090_IF_MODE_SANSHO_COPY_MOTO">UNMM0090_IF!$L$8:$P$9</definedName>
    <definedName name="UNMM0090_IF_MODE_SHINKI_COPY_MOTO">UNMM0090_IF!$L$2:$P$3</definedName>
    <definedName name="UNMM0090_IF_MODE_SHUSEI_COPY_MOTO">UNMM0090_IF!$L$5:$P$6</definedName>
    <definedName name="UNMM0090_IF_SAVE_DELETE_CHECK">UNMM0090_IF!$D$45</definedName>
    <definedName name="UNMM0090_IF_SAVE_ERROR_CHECK">UNMM0090_IF!$D$42</definedName>
    <definedName name="UNMM0090_IF_SAVE_ERROR_MESSAGE">UNMM0090_IF!$D$43</definedName>
    <definedName name="UNMM0090_IF_SAVE_INPUT_CHECK">UNMM0090_IF!$D$44</definedName>
    <definedName name="UNMM0090_IF_SAVE_RESULT_CD">UNMM0090_IF!$D$40</definedName>
    <definedName name="UNMM0090_IF_SAVE_RESULT_MESSAGE">UNMM0090_IF!$D$41</definedName>
    <definedName name="UNMM0090_IF_SAVE_W_MODE">UNMM0090_IF!$D$37</definedName>
    <definedName name="UNMM0090_IF_SAVE_W_ROW">UNMM0090_IF!$D$36</definedName>
    <definedName name="UNMM0090_IF_SAVE_W_SERIAL">UNMM0090_IF!$D$35</definedName>
    <definedName name="UNMM0090_IF_SAVE_W_USER_ID">UNMM0090_IF!$D$34</definedName>
    <definedName name="UNMM0090_MODE_COPY_SAKI">UNMM0090!$I$3:$M$4</definedName>
    <definedName name="UNMM0090_SQL_SELECT_YOSAN_DATA">UNMM0090_SQL!$C$3</definedName>
    <definedName name="UNMM0090_YOSAN_CD">UNMM0090!$I$3</definedName>
    <definedName name="UNMM0090_YOSAN_MEI">UNMM0090!$I$4</definedName>
    <definedName name="UNMM0091_B_ALL_KENSU">UNMM0091_B!$C$2</definedName>
    <definedName name="UNMM0091_B_ALL_PEGE_SU">UNMM0091_B!$C$4</definedName>
    <definedName name="UNMM0091_B_BACK_PAGE">UNMM0091_B!$C$18</definedName>
    <definedName name="UNMM0091_B_BACK_PAGE_NUM">UNMM0091_B!$C$20</definedName>
    <definedName name="UNMM0091_B_CTRL_HYOJI_GYO_SU">UNMM0091_B!$C$6</definedName>
    <definedName name="UNMM0091_B_HIDE_COLUMN">UNMM0091_B!$C$23</definedName>
    <definedName name="UNMM0091_B_HIDE_ROW">UNMM0091_B!$C$22</definedName>
    <definedName name="UNMM0091_B_HYOJI_KENSU">UNMM0091_B!$C$5</definedName>
    <definedName name="UNMM0091_B_LIST_CLEAR">UNMM0091_B!$C$13</definedName>
    <definedName name="UNMM0091_B_LIST_COPY_SAKI">UNMM0091_B!$C$12</definedName>
    <definedName name="UNMM0091_B_LIST_END">UNMM0091_B!$C$11</definedName>
    <definedName name="UNMM0091_B_LIST_START">UNMM0091_B!$C$10</definedName>
    <definedName name="UNMM0091_B_NEXT_PAGE">UNMM0091_B!$C$19</definedName>
    <definedName name="UNMM0091_B_NEXT_PAGE_NUM">UNMM0091_B!$C$21</definedName>
    <definedName name="UNMM0091_B_PAGE_NO">UNMM0091_B!$C$3</definedName>
    <definedName name="UNMM0091_B_SCROLL_LOCK">UNMM0091_B!$C$24</definedName>
    <definedName name="UNMM0091_B_SELECT_GYO_NO">UNMM0091_B!$C$15</definedName>
    <definedName name="UNMM0091_B_SELECT_YOSAN_CD">UNMM0091_B!$C$16</definedName>
    <definedName name="UNMM0091_B_SENTAKU">UNMM0091_B!$G$2</definedName>
    <definedName name="UNMM0091_B_YOSAN_CD">UNMM0091_B!$H$2</definedName>
    <definedName name="UNMM0091_B_YOSAN_MEI">UNMM0091_B!$I$2</definedName>
    <definedName name="UNMM0091_H_FREEWD_1">UNMM0091_H!$K$5</definedName>
    <definedName name="UNMM0091_H_FREEWD_2">UNMM0091_H!$P$5</definedName>
    <definedName name="UNMM0091_H_FREEWD_3">UNMM0091_H!$U$5</definedName>
    <definedName name="UNMM0091_H_FREEWD_KBN">UNMM0091_H!$D$12</definedName>
    <definedName name="UNMM0091_H_HIDE_COLUMN">UNMM0091_H!$D$15</definedName>
    <definedName name="UNMM0091_H_HIDE_ROW">UNMM0091_H!$D$14</definedName>
    <definedName name="UNMM0091_H_YOSAN_CD_END">UNMM0091_H!$P$3</definedName>
    <definedName name="UNMM0091_H_YOSAN_CD_START">UNMM0091_H!$K$3</definedName>
    <definedName name="UNMM0091_IF_ACTIVE_CELL_NAME">UNMM0091_IF!$E$19</definedName>
    <definedName name="UNMM0091_IF_ACTIVE_COLUMN">UNMM0091_IF!$E$17</definedName>
    <definedName name="UNMM0091_IF_ACTIVE_ROW">UNMM0091_IF!$E$16</definedName>
    <definedName name="UNMM0091_IF_ACTIVE_SHEET">UNMM0091_IF!$E$15</definedName>
    <definedName name="UNMM0091_IF_B_LIST_COPY_MOTO">UNMM0091_IF!$E$7:$G$7</definedName>
    <definedName name="UNMM0091_IF_B_LIST_DEFAULT">UNMM0091_IF!$E$6:$G$6</definedName>
    <definedName name="UNMM0091_IF_DATA_SEARCH_CHECK">UNMM0091_IF!$E$12</definedName>
    <definedName name="UNMM0091_IF_DATA_SEARCH_FLG">UNMM0091_IF!$E$11</definedName>
    <definedName name="UNMM0091_IF_EXCEL_FILE_NAME">UNMM0091_IF!$E$22</definedName>
    <definedName name="UNMM0091_IF_LIST_COPY_SAKI">UNMM0091_IF!$K$7</definedName>
    <definedName name="UNMM0091_IF_LIST_START">UNMM0091_IF!$K$5</definedName>
    <definedName name="UNMM0091_IF_PRINT_COUNT">UNMM0091_IF!$K$3</definedName>
    <definedName name="UNMM0091_IF_SENTAKU">UNMM0091_IF!$N$5</definedName>
    <definedName name="UNMM0091_SQL_CONJUNCTION">UNMM0091_SQL!$D$16</definedName>
    <definedName name="UNMM0091_SQL_FREEWD_1">UNMM0091_SQL!$C$17</definedName>
    <definedName name="UNMM0091_SQL_FREEWD_2">UNMM0091_SQL!$C$18</definedName>
    <definedName name="UNMM0091_SQL_FREEWD_3">UNMM0091_SQL!$C$19</definedName>
    <definedName name="UNMM0091_SQL_FREEWD_KBN">UNMM0091_SQL!$C$7</definedName>
    <definedName name="UNMM0091_SQL_FREEWORD_1">UNMM0091_SQL!$C$4</definedName>
    <definedName name="UNMM0091_SQL_FREEWORD_2">UNMM0091_SQL!$C$5</definedName>
    <definedName name="UNMM0091_SQL_FREEWORD_3">UNMM0091_SQL!$C$6</definedName>
    <definedName name="UNMM0091_SQL_JOKEN_COPY_MOTO">UNMM0091_SQL!$D$2:$D$7</definedName>
    <definedName name="UNMM0091_SQL_JOKEN_COPY_SAKI">UNMM0091_SQL!$C$2:$C$7</definedName>
    <definedName name="UNMM0091_SQL_ORDER_BY">UNMM0091_SQL!$C$20</definedName>
    <definedName name="UNMM0091_SQL_SELECT_YOSAN_LIST">UNMM0091_SQL!$C$10</definedName>
    <definedName name="UNMM0091_SQL_SELECT_YOSAN_LIST_CNT">UNMM0091_SQL!$C$11</definedName>
    <definedName name="UNMM0091_SQL_SELECT_YOSAN_LIST_COPY">UNMM0091_SQL!$C$25</definedName>
    <definedName name="UNMM0091_SQL_SORT_POP">UNMM0091_SQL!$C$23</definedName>
    <definedName name="UNMM0091_SQL_YOSAN_CD_END">UNMM0091_SQL!$C$3</definedName>
    <definedName name="UNMM0091_SQL_YOSAN_CD_START">UNMM0091_SQL!$C$2</definedName>
    <definedName name="UNMM0100_B_GHO">UNMM0100_B!$F$2</definedName>
    <definedName name="UNMM0100_B_GYO_SU_HENDOU_DEC">UNMM0100_B!$C$18</definedName>
    <definedName name="UNMM0100_B_GYO_SU_HENDOU_INC">UNMM0100_B!$C$17</definedName>
    <definedName name="UNMM0100_B_HIDE_COLUMN">UNMM0100_B!$C$22</definedName>
    <definedName name="UNMM0100_B_HIDE_ROW">UNMM0100_B!$C$21</definedName>
    <definedName name="UNMM0100_B_HYOJI_KENSU">UNMM0100_B!$C$3</definedName>
    <definedName name="UNMM0100_B_INFO_ID">UNMM0100_B!$K$2</definedName>
    <definedName name="UNMM0100_B_LIST_CLEAR">UNMM0100_B!$C$8</definedName>
    <definedName name="UNMM0100_B_LIST_SHOSHIKI_COPY_SAKI">UNMM0100_B!$C$6</definedName>
    <definedName name="UNMM0100_B_LIST_START">UNMM0100_B!$C$5</definedName>
    <definedName name="UNMM0100_B_LIST_SUSHIKI_COPY_SAKI">UNMM0100_B!$C$7</definedName>
    <definedName name="UNMM0100_B_SCROLL_LOCK">UNMM0100_B!$C$20</definedName>
    <definedName name="UNMM0100_B_SEARCH_CLEAR_MEI">UNMM0100_B!$C$12</definedName>
    <definedName name="UNMM0100_B_SEARCH_RESULT_CD">UNMM0100_B!$C$11</definedName>
    <definedName name="UNMM0100_B_SEARCH_RESULT_MEI">UNMM0100_B!$C$10</definedName>
    <definedName name="UNMM0100_B_SELECT_RANGE">UNMM0100_B!$C$14</definedName>
    <definedName name="UNMM0100_B_SHOSHIKI_SELECT_RANGE">UNMM0100_B!$C$15</definedName>
    <definedName name="UNMM0100_B_TUCHI_BUSHO">UNMM0100_B!$H$2</definedName>
    <definedName name="UNMM0100_B_TUCHI_BUSHO_CD">UNMM0100_B!$G$2</definedName>
    <definedName name="UNMM0100_B_TUCHI_TANTOSHA">UNMM0100_B!$J$2</definedName>
    <definedName name="UNMM0100_B_TUCHI_TANTOSHA_CD">UNMM0100_B!$I$2</definedName>
    <definedName name="UNMM0100_H_HIDE_COLUMN">UNMM0100_H!$C$4</definedName>
    <definedName name="UNMM0100_H_HIDE_ROW">UNMM0100_H!$C$3</definedName>
    <definedName name="UNMM0100_H_INFO_ID">UNMM0100_H!$C$2</definedName>
    <definedName name="UNMM0100_H_INFO_KBN">UNMM0100_H!$H$4</definedName>
    <definedName name="UNMM0100_H_INFO_MEI">UNMM0100_H!$H$3</definedName>
    <definedName name="UNMM0100_H_INFO_MESSAGE">UNMM0100_H!$H$5</definedName>
    <definedName name="UNMM0100_H_NYURYOKUSHA_FLG">UNMM0100_H!$C$7</definedName>
    <definedName name="UNMM0100_H_RED_FLG">UNMM0100_H!$C$6</definedName>
    <definedName name="UNMM0100_IF_ACTIVE_CELL_NAME">UNMM0100_IF!$E$8</definedName>
    <definedName name="UNMM0100_IF_ACTIVE_COLUMN">UNMM0100_IF!$E$7</definedName>
    <definedName name="UNMM0100_IF_ACTIVE_ROW">UNMM0100_IF!$E$6</definedName>
    <definedName name="UNMM0100_IF_ACTIVE_SHEET">UNMM0100_IF!$E$5</definedName>
    <definedName name="UNMM0100_IF_B_LIST_COPY_MODE_SANSHO_MOTO">UNMM0100_IF!$O$6:$T$6</definedName>
    <definedName name="UNMM0100_IF_B_LIST_COPY_MODE_SHUSEI_MOTO">UNMM0100_IF!$O$7:$T$7</definedName>
    <definedName name="UNMM0100_IF_B_LIST_DEFAULT">UNMM0100_IF!$O$5:$T$5</definedName>
    <definedName name="UNMM0100_IF_BUTTON_06_NAME">UNMM0100_IF!$E$14</definedName>
    <definedName name="UNMM0100_IF_BUTTON_09_HYOJI">UNMM0100_IF!$E$17</definedName>
    <definedName name="UNMM0100_IF_BUTTON_10_HYOJI">UNMM0100_IF!$E$18</definedName>
    <definedName name="UNMM0100_IF_BUTTON_13_HYOJI">UNMM0100_IF!$E$19</definedName>
    <definedName name="UNMM0100_IF_BUTTON_14_ERROR">UNMM0100_IF!$E$24</definedName>
    <definedName name="UNMM0100_IF_BUTTON_14_HYOJI">UNMM0100_IF!$E$20</definedName>
    <definedName name="UNMM0100_IF_BUTTON_20_HYOJI">UNMM0100_IF!$E$21</definedName>
    <definedName name="UNMM0100_IF_DATA_SEARCH_FLG">UNMM0100_IF!$E$2</definedName>
    <definedName name="UNMM0100_IF_EXCEL_FILE_NAME">UNMM0100_IF!$E$48</definedName>
    <definedName name="UNMM0100_IF_GYO_NO">UNMM0100_IF!$O$7</definedName>
    <definedName name="UNMM0100_IF_MODE">UNMM0100_IF!$E$11</definedName>
    <definedName name="UNMM0100_IF_SAVE_COPY_MOTO">UNMM0100_IF!$K$12:$U$12</definedName>
    <definedName name="UNMM0100_IF_SAVE_COPY_SAKI">UNMM0100_IF!$E$36</definedName>
    <definedName name="UNMM0100_IF_SAVE_COPY_START">UNMM0100_IF!$K$16</definedName>
    <definedName name="UNMM0100_IF_SAVE_ERROR_CHECK">UNMM0100_IF!$E$44</definedName>
    <definedName name="UNMM0100_IF_SAVE_ERROR_MESSAGE">UNMM0100_IF!$E$45</definedName>
    <definedName name="UNMM0100_IF_SAVE_GYO_SU">UNMM0100_IF!$E$32</definedName>
    <definedName name="UNMM0100_IF_SAVE_INPUT_CHECK">UNMM0100_IF!$E$39</definedName>
    <definedName name="UNMM0100_IF_SAVE_INPUT_CHECK_COLUMN">UNMM0100_IF!$K$15</definedName>
    <definedName name="UNMM0100_IF_SAVE_RESULT_CD">UNMM0100_IF!$E$42</definedName>
    <definedName name="UNMM0100_IF_SAVE_RESULT_MESSAGE">UNMM0100_IF!$E$43</definedName>
    <definedName name="UNMM0100_IF_SAVE_SEQ">UNMM0100_IF!$Q$15</definedName>
    <definedName name="UNMM0100_IF_SAVE_W_MODE">UNMM0100_IF!$E$31</definedName>
    <definedName name="UNMM0100_IF_SAVE_W_SERIAL">UNMM0100_IF!$E$30</definedName>
    <definedName name="UNMM0100_IF_SAVE_W_USER_ID">UNMM0100_IF!$E$29</definedName>
    <definedName name="UNMM0100_IF_UPDATE_START">UNMM0100_IF!$E$33</definedName>
    <definedName name="UNMM0100_SQL_SELECT_INFO_LIST">UNMM0100_SQL!$D$3</definedName>
    <definedName name="UNMM0110_B_CODE_KETASU">UNMM0110_B!$I$3</definedName>
    <definedName name="UNMM0110_B_CODE_ZOKUSEI">UNMM0110_B!$J$3</definedName>
    <definedName name="UNMM0110_B_DATA_KETASU">UNMM0110_B!$K$3</definedName>
    <definedName name="UNMM0110_B_DBS_STATUS">UNMM0110_B!$L$3</definedName>
    <definedName name="UNMM0110_B_DBS_UPDATE_DATE">UNMM0110_B!$P$3</definedName>
    <definedName name="UNMM0110_B_GET_DATA_SU">UNMM0110_B!$C$4</definedName>
    <definedName name="UNMM0110_B_GYO_SU_HENDOU">UNMM0110_B!$C$6</definedName>
    <definedName name="UNMM0110_B_GYO_SU_HENDOU_DEC">UNMM0110_B!$C$25</definedName>
    <definedName name="UNMM0110_B_GYO_SU_HENDOU_INC">UNMM0110_B!$C$24</definedName>
    <definedName name="UNMM0110_B_HIDE_COLUMN">UNMM0110_B!$C$29</definedName>
    <definedName name="UNMM0110_B_HIDE_ROW">UNMM0110_B!$C$28</definedName>
    <definedName name="UNMM0110_B_HYOJI_KENSU">UNMM0110_B!$C$7</definedName>
    <definedName name="UNMM0110_B_LIST_CLEAR">UNMM0110_B!$C$13</definedName>
    <definedName name="UNMM0110_B_LIST_COPY_SAKI1">UNMM0110_B!$C$11</definedName>
    <definedName name="UNMM0110_B_LIST_COPY_SAKI2">UNMM0110_B!$C$12</definedName>
    <definedName name="UNMM0110_B_LIST_END">UNMM0110_B!$C$10</definedName>
    <definedName name="UNMM0110_B_LIST_START">UNMM0110_B!$C$9</definedName>
    <definedName name="UNMM0110_B_MEISHO">UNMM0110_B!$H$3</definedName>
    <definedName name="UNMM0110_B_MEISHO_KBN">UNMM0110_B!$G$3</definedName>
    <definedName name="UNMM0110_B_SCROLL_LOCK">UNMM0110_B!$C$27</definedName>
    <definedName name="UNMM0110_B_SELECT_CODE_KETASU">UNMM0110_B!$C$20</definedName>
    <definedName name="UNMM0110_B_SELECT_CODE_ZOKUSEI">UNMM0110_B!$C$21</definedName>
    <definedName name="UNMM0110_B_SELECT_DATA_KETASU">UNMM0110_B!$C$22</definedName>
    <definedName name="UNMM0110_B_SELECT_GYO_NO">UNMM0110_B!$C$15</definedName>
    <definedName name="UNMM0110_B_SELECT_MEISHO">UNMM0110_B!$C$19</definedName>
    <definedName name="UNMM0110_B_SELECT_MEISHO_KBN">UNMM0110_B!$C$18</definedName>
    <definedName name="UNMM0110_B_SELECT_RANGE">UNMM0110_B!$C$16</definedName>
    <definedName name="UNMM0110_B_SENTAKU">UNMM0110_B!$F$3</definedName>
    <definedName name="UNMM0110_B_SHOSHIKI_SELECT_RANGE">UNMM0110_B!$C$17</definedName>
    <definedName name="UNMM0110_B_TSUIKAHYOJI_KENSU">UNMM0110_B!$C$5</definedName>
    <definedName name="UNMM0110_H_HIDE_COLUMN">UNMM0110_H!$D$3</definedName>
    <definedName name="UNMM0110_H_HIDE_ROW">UNMM0110_H!$D$2</definedName>
    <definedName name="UNMM0110_H_MEISHO_KBN">UNMM0110_H!$H$3</definedName>
    <definedName name="UNMM0110_IF_B_LIST_COPY_MODE_SANSHO_MOTO">UNMM0110_IF!$P$6:$U$6</definedName>
    <definedName name="UNMM0110_IF_B_LIST_COPY_MODE_SHUSEI_MOTO">UNMM0110_IF!$P$7:$U$7</definedName>
    <definedName name="UNMM0110_IF_B_LIST_DEFAULT">UNMM0110_IF!$P$5:$U$5</definedName>
    <definedName name="UNMM0110_IF_BUTTON_03_HYOJI">UNMM0110_IF!$E$13</definedName>
    <definedName name="UNMM0110_IF_BUTTON_04_HYOJI">UNMM0110_IF!$E$14</definedName>
    <definedName name="UNMM0110_IF_BUTTON_06_NAME">UNMM0110_IF!$E$10</definedName>
    <definedName name="UNMM0110_IF_BUTTON_09_HYOJI">UNMM0110_IF!$E$15</definedName>
    <definedName name="UNMM0110_IF_BUTTON_10_HYOJI">UNMM0110_IF!$E$16</definedName>
    <definedName name="UNMM0110_IF_BUTTON_13_HYOJI">UNMM0110_IF!$E$17</definedName>
    <definedName name="UNMM0110_IF_BUTTON_14_ERROR">UNMM0110_IF!$E$22</definedName>
    <definedName name="UNMM0110_IF_BUTTON_18_HYOJI">UNMM0110_IF!$E$18</definedName>
    <definedName name="UNMM0110_IF_BUTTON_20_HYOJI">UNMM0110_IF!$E$19</definedName>
    <definedName name="UNMM0110_IF_CODE_ZOKUSEI_LIST">UNMM0110_IF!$E$3:$E$4</definedName>
    <definedName name="UNMM0110_IF_DELETE_KBN">UNMM0110_IF!$E$33</definedName>
    <definedName name="UNMM0110_IF_EXCEL_FILE_NAME">UNMM0110_IF!$E$48</definedName>
    <definedName name="UNMM0110_IF_GYO_NO">UNMM0110_IF!$O$15</definedName>
    <definedName name="UNMM0110_IF_MODE">UNMM0110_IF!$E$7</definedName>
    <definedName name="UNMM0110_IF_SAVE_COPY_MOTO">UNMM0110_IF!$L$12:$U$12</definedName>
    <definedName name="UNMM0110_IF_SAVE_COPY_SAKI">UNMM0110_IF!$E$36</definedName>
    <definedName name="UNMM0110_IF_SAVE_COPY_START">UNMM0110_IF!$L$16</definedName>
    <definedName name="UNMM0110_IF_SAVE_ERROR_CHECK">UNMM0110_IF!$E$44</definedName>
    <definedName name="UNMM0110_IF_SAVE_ERROR_MESSAGE">UNMM0110_IF!$E$45</definedName>
    <definedName name="UNMM0110_IF_SAVE_GYO_SU">UNMM0110_IF!$E$29</definedName>
    <definedName name="UNMM0110_IF_SAVE_INPUT_CHECK">UNMM0110_IF!$E$39</definedName>
    <definedName name="UNMM0110_IF_SAVE_INPUT_CHECK_COLUMN">UNMM0110_IF!$L$15</definedName>
    <definedName name="UNMM0110_IF_SAVE_RESULT_CD">UNMM0110_IF!$E$42</definedName>
    <definedName name="UNMM0110_IF_SAVE_RESULT_MESSAGE">UNMM0110_IF!$E$43</definedName>
    <definedName name="UNMM0110_IF_SAVE_W_MODE">UNMM0110_IF!$E$28</definedName>
    <definedName name="UNMM0110_IF_SAVE_W_SERIAL">UNMM0110_IF!$E$27</definedName>
    <definedName name="UNMM0110_IF_SAVE_W_USER_ID">UNMM0110_IF!$E$26</definedName>
    <definedName name="UNMM0110_IF_UPDATE_START">UNMM0110_IF!$E$30</definedName>
    <definedName name="UNMM0110_SQL_SELECT_MEISHO_LIST">UNMM0110_SQL!$D$3</definedName>
    <definedName name="UNMM0111_B_DATA_1">UNMM0111_B!$H$3</definedName>
    <definedName name="UNMM0111_B_DATA_2">UNMM0111_B!$I$3</definedName>
    <definedName name="UNMM0111_B_GET_DATA_SU">UNMM0111_B!$C$4</definedName>
    <definedName name="UNMM0111_B_GYO_SU_HENDOU">UNMM0111_B!$C$6</definedName>
    <definedName name="UNMM0111_B_GYO_SU_HENDOU_DEC">UNMM0111_B!$C$21</definedName>
    <definedName name="UNMM0111_B_GYO_SU_HENDOU_INC">UNMM0111_B!$C$20</definedName>
    <definedName name="UNMM0111_B_HIDE_COLUMN">UNMM0111_B!$C$25</definedName>
    <definedName name="UNMM0111_B_HIDE_ROW">UNMM0111_B!$C$24</definedName>
    <definedName name="UNMM0111_B_HYOJI_KENSU">UNMM0111_B!$C$7</definedName>
    <definedName name="UNMM0111_B_LIST_CLEAR">UNMM0111_B!$C$14</definedName>
    <definedName name="UNMM0111_B_LIST_OBJECT_COPY_SAKI1">UNMM0111_B!$C$12</definedName>
    <definedName name="UNMM0111_B_LIST_OBJECT_COPY_SAKI2">UNMM0111_B!$C$13</definedName>
    <definedName name="UNMM0111_B_LIST_SHOSHIKI_COPY_SAKI1">UNMM0111_B!$C$10</definedName>
    <definedName name="UNMM0111_B_LIST_SHOSHIKI_COPY_SAKI2">UNMM0111_B!$C$11</definedName>
    <definedName name="UNMM0111_B_LIST_START">UNMM0111_B!$C$9</definedName>
    <definedName name="UNMM0111_B_MEISHO_CD">UNMM0111_B!$G$3</definedName>
    <definedName name="UNMM0111_B_MEISHO_KBN">UNMM0111_B!$K$3</definedName>
    <definedName name="UNMM0111_B_MISHIYO">UNMM0111_B!$M$3</definedName>
    <definedName name="UNMM0111_B_MISHIYO_FLG">UNMM0111_B!$L$3</definedName>
    <definedName name="UNMM0111_B_SCROLL_LOCK">UNMM0111_B!$C$23</definedName>
    <definedName name="UNMM0111_B_SELECT_GYO_NO">UNMM0111_B!$C$16</definedName>
    <definedName name="UNMM0111_B_SELECT_RANGE">UNMM0111_B!$C$17</definedName>
    <definedName name="UNMM0111_B_SENTAKU">UNMM0111_B!$F$3</definedName>
    <definedName name="UNMM0111_B_SHOSHIKI_SELECT_RANGE">UNMM0111_B!$C$18</definedName>
    <definedName name="UNMM0111_B_SORT">UNMM0111_B!$J$3</definedName>
    <definedName name="UNMM0111_B_TSUIKAHYOJI_KENSU">UNMM0111_B!$C$5</definedName>
    <definedName name="UNMM0111_H_HIDE_COLUMN">UNMM0111_H!$D$3</definedName>
    <definedName name="UNMM0111_H_HIDE_ROW">UNMM0111_H!$D$2</definedName>
    <definedName name="UNMM0111_H_MEISHO">UNMM0111_H!$H$4</definedName>
    <definedName name="UNMM0111_H_MEISHO_KBN">UNMM0111_H!$H$3</definedName>
    <definedName name="UNMM0111_IF_B_CHECKBOX_MODE_SANSHO">UNMM0111_IF!$W$9</definedName>
    <definedName name="UNMM0111_IF_B_CHECKBOX_MODE_SHUSEI">UNMM0111_IF!$W$10</definedName>
    <definedName name="UNMM0111_IF_B_LIST_COPY_MODE_SANSHO_MOTO">UNMM0111_IF!$P$6:$W$6</definedName>
    <definedName name="UNMM0111_IF_B_LIST_COPY_MODE_SHUSEI_MOTO">UNMM0111_IF!$P$7:$W$7</definedName>
    <definedName name="UNMM0111_IF_B_LIST_DEFAULT">UNMM0111_IF!$P$5:$W$5</definedName>
    <definedName name="UNMM0111_IF_BUTTON_04_HYOJI">UNMM0111_IF!$E$14</definedName>
    <definedName name="UNMM0111_IF_BUTTON_06_NAME">UNMM0111_IF!$E$11</definedName>
    <definedName name="UNMM0111_IF_BUTTON_09_HYOJI">UNMM0111_IF!$E$15</definedName>
    <definedName name="UNMM0111_IF_BUTTON_10_HYOJI">UNMM0111_IF!$E$16</definedName>
    <definedName name="UNMM0111_IF_BUTTON_13_HYOJI">UNMM0111_IF!$E$17</definedName>
    <definedName name="UNMM0111_IF_BUTTON_14_ERROR">UNMM0111_IF!$E$22</definedName>
    <definedName name="UNMM0111_IF_BUTTON_14_HYOJI">UNMM0111_IF!$E$18</definedName>
    <definedName name="UNMM0111_IF_BUTTON_20_HYOJI">UNMM0111_IF!$E$19</definedName>
    <definedName name="UNMM0111_IF_CODE_KETA">UNMM0111_IF!$E$3</definedName>
    <definedName name="UNMM0111_IF_DATA_KETA">UNMM0111_IF!$E$5</definedName>
    <definedName name="UNMM0111_IF_EXCEL_FILE_NAME">UNMM0111_IF!$E$45</definedName>
    <definedName name="UNMM0111_IF_GYO_NO">UNMM0111_IF!$O$14</definedName>
    <definedName name="UNMM0111_IF_MODE">UNMM0111_IF!$E$8</definedName>
    <definedName name="UNMM0111_IF_SAVE_COPY_MOTO">UNMM0111_IF!$L$11:$V$11</definedName>
    <definedName name="UNMM0111_IF_SAVE_COPY_SAKI">UNMM0111_IF!$E$33</definedName>
    <definedName name="UNMM0111_IF_SAVE_COPY_START">UNMM0111_IF!$L$15</definedName>
    <definedName name="UNMM0111_IF_SAVE_ERROR_CHECK">UNMM0111_IF!$E$41</definedName>
    <definedName name="UNMM0111_IF_SAVE_ERROR_MESSAGE">UNMM0111_IF!$E$42</definedName>
    <definedName name="UNMM0111_IF_SAVE_GYO_SU">UNMM0111_IF!$E$29</definedName>
    <definedName name="UNMM0111_IF_SAVE_INPUT_CHECK">UNMM0111_IF!$E$36</definedName>
    <definedName name="UNMM0111_IF_SAVE_INPUT_CHECK_COLUMN">UNMM0111_IF!$L$14</definedName>
    <definedName name="UNMM0111_IF_SAVE_RESULT_CD">UNMM0111_IF!$E$39</definedName>
    <definedName name="UNMM0111_IF_SAVE_RESULT_MESSAGE">UNMM0111_IF!$E$40</definedName>
    <definedName name="UNMM0111_IF_SAVE_W_MODE">UNMM0111_IF!$E$28</definedName>
    <definedName name="UNMM0111_IF_SAVE_W_SERIAL">UNMM0111_IF!$E$27</definedName>
    <definedName name="UNMM0111_IF_SAVE_W_USER_ID">UNMM0111_IF!$E$26</definedName>
    <definedName name="UNMM0111_IF_UPDATE_START">UNMM0111_IF!$E$30</definedName>
    <definedName name="UNMM0111_IF_ZOKUSEI">UNMM0111_IF!$E$4</definedName>
    <definedName name="UNMM0111_SQL_SELECT_MEISHO_DATA">UNMM0111_SQL!$D$3</definedName>
    <definedName name="UNMM0130_COMMON_INFO">UNMM0130!$G$18</definedName>
    <definedName name="UNMM0130_DAIHYOSYA_MEI">UNMM0130!$G$8</definedName>
    <definedName name="UNMM0130_HIDE_COLUMN">UNMM0130!$C$9</definedName>
    <definedName name="UNMM0130_HIDE_ROW">UNMM0130!$C$8</definedName>
    <definedName name="UNMM0130_HYOJI_GYO_SU">UNMM0130!$G$16</definedName>
    <definedName name="UNMM0130_IF_ACTIVE_CELL_NAME">UNMM0130_IF!$G$9</definedName>
    <definedName name="UNMM0130_IF_ACTIVE_COLUMN">UNMM0130_IF!$G$8</definedName>
    <definedName name="UNMM0130_IF_ACTIVE_ROW">UNMM0130_IF!$G$7</definedName>
    <definedName name="UNMM0130_IF_ACTIVE_SHEET">UNMM0130_IF!$G$6</definedName>
    <definedName name="UNMM0130_IF_BUTTON_02_HYOJI">UNMM0130_IF!$G$18</definedName>
    <definedName name="UNMM0130_IF_BUTTON_06_NAME">UNMM0130_IF!$G$15</definedName>
    <definedName name="UNMM0130_IF_BUTTON_09_HYOJI">UNMM0130_IF!$G$19</definedName>
    <definedName name="UNMM0130_IF_BUTTON_10_HYOJI">UNMM0130_IF!$G$20</definedName>
    <definedName name="UNMM0130_IF_BUTTON_11_HYOJI">UNMM0130_IF!$G$21</definedName>
    <definedName name="UNMM0130_IF_BUTTON_20_HYOJI">UNMM0130_IF!$G$22</definedName>
    <definedName name="UNMM0130_IF_DATA_SEARCH_FLG">UNMM0130_IF!$G$3</definedName>
    <definedName name="UNMM0130_IF_EXCEL_FILE_NAME">UNMM0130_IF!$G$49</definedName>
    <definedName name="UNMM0130_IF_IMG_CELL">UNMM0130_IF!$B$53</definedName>
    <definedName name="UNMM0130_IF_IMG_SAVE_CHECK_FLG">UNMM0130_IF!$G$72</definedName>
    <definedName name="UNMM0130_IF_IMG_SAVE_KIZON_FLG">UNMM0130_IF!$G$65</definedName>
    <definedName name="UNMM0130_IF_IMG_SAVE_LOCAL_FOLDER_PATH">UNMM0130_IF!$G$63</definedName>
    <definedName name="UNMM0130_IF_IMG_SAVE_LOCAL_PATH">UNMM0130_IF!$G$68</definedName>
    <definedName name="UNMM0130_IF_IMG_SAVE_UPDATE_FLG">UNMM0130_IF!$G$70</definedName>
    <definedName name="UNMM0130_IF_IMG_SAVE_UPLOAD_FOLDER_PATH">UNMM0130_IF!$G$62</definedName>
    <definedName name="UNMM0130_IF_IMG_SAVE_UPLOAD_PATH">UNMM0130_IF!$G$67</definedName>
    <definedName name="UNMM0130_IF_IMG_SELECT_FILE">UNMM0130_IF!$G$57</definedName>
    <definedName name="UNMM0130_IF_IMG_SELECT_FOLDER">UNMM0130_IF!$G$56</definedName>
    <definedName name="UNMM0130_IF_IMG_SELECT_PATH">UNMM0130_IF!$G$58</definedName>
    <definedName name="UNMM0130_IF_MODE">UNMM0130_IF!$G$12</definedName>
    <definedName name="UNMM0130_IF_MODE_CLEAR_COPY_MOTO">UNMM0130_IF!$R$4:$U$25</definedName>
    <definedName name="UNMM0130_IF_MODE_SANSHO_COPY_MOTO">UNMM0130_IF!$M$20:$P$33</definedName>
    <definedName name="UNMM0130_IF_MODE_SHUSEI_COPY_MOTO">UNMM0130_IF!$M$4:$P$17</definedName>
    <definedName name="UNMM0130_IF_SAVE_COMMON_INFO">UNMM0130_IF!$G$37</definedName>
    <definedName name="UNMM0130_IF_SAVE_DAIHYO_MEI">UNMM0130_IF!$G$31</definedName>
    <definedName name="UNMM0130_IF_SAVE_ERROR_CHECK">UNMM0130_IF!$G$45</definedName>
    <definedName name="UNMM0130_IF_SAVE_ERROR_MESSAGE">UNMM0130_IF!$G$46</definedName>
    <definedName name="UNMM0130_IF_SAVE_HYOJI_GYO_SU">UNMM0130_IF!$G$36</definedName>
    <definedName name="UNMM0130_IF_SAVE_KAISHA_MARK_PATH">UNMM0130_IF!$G$30</definedName>
    <definedName name="UNMM0130_IF_SAVE_RESULT_CD">UNMM0130_IF!$G$43</definedName>
    <definedName name="UNMM0130_IF_SAVE_RESULT_MESSAGE">UNMM0130_IF!$G$44</definedName>
    <definedName name="UNMM0130_IF_SAVE_SEIKYUSAKI_MASTER_LINK_DATE_TIME">UNMM0130_IF!$G$39</definedName>
    <definedName name="UNMM0130_IF_SAVE_SHIIRESAKI_MASTER_LINK_DATE_TIME">UNMM0130_IF!$G$40</definedName>
    <definedName name="UNMM0130_IF_SAVE_SHOHIN_MASTER_LINK_DATE_TIME">UNMM0130_IF!$G$38</definedName>
    <definedName name="UNMM0130_IF_SAVE_TAX_1">UNMM0130_IF!$G$33</definedName>
    <definedName name="UNMM0130_IF_SAVE_TAX_1_DATE">UNMM0130_IF!$G$32</definedName>
    <definedName name="UNMM0130_IF_SAVE_TAX_2">UNMM0130_IF!$G$35</definedName>
    <definedName name="UNMM0130_IF_SAVE_TAX_2_DATE">UNMM0130_IF!$G$34</definedName>
    <definedName name="UNMM0130_IF_SAVE_W_MODE">UNMM0130_IF!$G$29</definedName>
    <definedName name="UNMM0130_IF_SAVE_W_ROW">UNMM0130_IF!$G$28</definedName>
    <definedName name="UNMM0130_IF_SAVE_W_SERIAL">UNMM0130_IF!$G$27</definedName>
    <definedName name="UNMM0130_IF_SAVE_W_USER_ID">UNMM0130_IF!$G$26</definedName>
    <definedName name="UNMM0130_IF_SUSHIKI_COPY_MOTO">UNMM0130_IF!$N$36:$N$39</definedName>
    <definedName name="UNMM0130_INSERT_DATETIME">UNMM0130!$C$29</definedName>
    <definedName name="UNMM0130_JISSHI_DATE_1">UNMM0130!$G$11</definedName>
    <definedName name="UNMM0130_JISSHI_DATE_2">UNMM0130!$G$14</definedName>
    <definedName name="UNMM0130_KAISHA_MARK_PATH">UNMM0130!$C$3</definedName>
    <definedName name="UNMM0130_MODE_CLEAR_COPY_SAKI">UNMM0130!$C$7</definedName>
    <definedName name="UNMM0130_MODE_SHOSHIKI_COPY_SAKI">UNMM0130!$C$5</definedName>
    <definedName name="UNMM0130_MODE_SUSHIKI_COPY_SAKI">UNMM0130!$C$6</definedName>
    <definedName name="UNMM0130_SEIKYUSAKI_LINK_DATE_TIME">UNMM0130!$G$25</definedName>
    <definedName name="UNMM0130_SHIIRESAKI_LINK_DATE_TIME">UNMM0130!$G$26</definedName>
    <definedName name="UNMM0130_SHOHIN_LINK_DATE_TIME">UNMM0130!$G$24</definedName>
    <definedName name="UNMM0130_SQL_CTRL_KEY">UNMM0130_SQL!$D$1</definedName>
    <definedName name="UNMM0130_SQL_SELECT_CONTROL_LIST">UNMM0130_SQL!$D$3</definedName>
    <definedName name="UNMM0130_TAX_1">UNMM0130!$C$11</definedName>
    <definedName name="UNMM0130_TAX_2">UNMM0130!$C$14</definedName>
    <definedName name="UNMM0130_UPDATE_DATETIME">UNMM0130!$C$30</definedName>
    <definedName name="UNMM0130_ZEI_1">UNMM0130!$H$11</definedName>
    <definedName name="UNMM0130_ZEI_2">UNMM0130!$H$14</definedName>
    <definedName name="UNMM0131_B_CALENDAR_LIST_1">UNMM0131_B!$H$5:$H$35</definedName>
    <definedName name="UNMM0131_B_CALENDAR_LIST_10">UNMM0131_B!$AR$5:$AR$35</definedName>
    <definedName name="UNMM0131_B_CALENDAR_LIST_11">UNMM0131_B!$AV$5:$AV$34</definedName>
    <definedName name="UNMM0131_B_CALENDAR_LIST_12">UNMM0131_B!$AZ$5:$AZ$35</definedName>
    <definedName name="UNMM0131_B_CALENDAR_LIST_2">IF(MOD(UNMM0131_H_YEAR,4)=0,UNMM0131_B!$L$5:$L$33,UNMM0131_B!$L$5:$L$32)</definedName>
    <definedName name="UNMM0131_B_CALENDAR_LIST_3">UNMM0131_B!$P$5:$P$35</definedName>
    <definedName name="UNMM0131_B_CALENDAR_LIST_4">UNMM0131_B!$T$5:$T$34</definedName>
    <definedName name="UNMM0131_B_CALENDAR_LIST_5">UNMM0131_B!$X$5:$X$35</definedName>
    <definedName name="UNMM0131_B_CALENDAR_LIST_6">UNMM0131_B!$AB$5:$AB$34</definedName>
    <definedName name="UNMM0131_B_CALENDAR_LIST_7">UNMM0131_B!$AF$5:$AF$35</definedName>
    <definedName name="UNMM0131_B_CALENDAR_LIST_8">UNMM0131_B!$AJ$5:$AJ$35</definedName>
    <definedName name="UNMM0131_B_CALENDAR_LIST_9">UNMM0131_B!$AN$5:$AN$34</definedName>
    <definedName name="UNMM0131_B_DATA_CHECK">UNMM0131_B!$C$19</definedName>
    <definedName name="UNMM0131_B_DATE_1">UNMM0131_B!$F$4</definedName>
    <definedName name="UNMM0131_B_DATE_10">UNMM0131_B!$AP$4</definedName>
    <definedName name="UNMM0131_B_DATE_11">UNMM0131_B!$AT$4</definedName>
    <definedName name="UNMM0131_B_DATE_12">UNMM0131_B!$AX$4</definedName>
    <definedName name="UNMM0131_B_DATE_2">UNMM0131_B!$J$4</definedName>
    <definedName name="UNMM0131_B_DATE_3">UNMM0131_B!$N$4</definedName>
    <definedName name="UNMM0131_B_DATE_4">UNMM0131_B!$R$4</definedName>
    <definedName name="UNMM0131_B_DATE_5">UNMM0131_B!$V$4</definedName>
    <definedName name="UNMM0131_B_DATE_6">UNMM0131_B!$Z$4</definedName>
    <definedName name="UNMM0131_B_DATE_7">UNMM0131_B!$AD$4</definedName>
    <definedName name="UNMM0131_B_DATE_8">UNMM0131_B!$AH$4</definedName>
    <definedName name="UNMM0131_B_DATE_9">UNMM0131_B!$AL$4</definedName>
    <definedName name="UNMM0131_B_HIDE_COLUMN">UNMM0131_B!$C$17</definedName>
    <definedName name="UNMM0131_B_HIDE_ROW">UNMM0131_B!$C$16</definedName>
    <definedName name="UNMM0131_B_KBN_1">UNMM0131_B!$H$4</definedName>
    <definedName name="UNMM0131_B_KBN_10">UNMM0131_B!$AR$4</definedName>
    <definedName name="UNMM0131_B_KBN_11">UNMM0131_B!$AV$4</definedName>
    <definedName name="UNMM0131_B_KBN_12">UNMM0131_B!$AZ$4</definedName>
    <definedName name="UNMM0131_B_KBN_2">UNMM0131_B!$L$4</definedName>
    <definedName name="UNMM0131_B_KBN_3">UNMM0131_B!$P$4</definedName>
    <definedName name="UNMM0131_B_KBN_4">UNMM0131_B!$T$4</definedName>
    <definedName name="UNMM0131_B_KBN_5">UNMM0131_B!$X$4</definedName>
    <definedName name="UNMM0131_B_KBN_6">UNMM0131_B!$AB$4</definedName>
    <definedName name="UNMM0131_B_KBN_7">UNMM0131_B!$AF$4</definedName>
    <definedName name="UNMM0131_B_KBN_8">UNMM0131_B!$AJ$4</definedName>
    <definedName name="UNMM0131_B_KBN_9">UNMM0131_B!$AN$4</definedName>
    <definedName name="UNMM0131_B_LIST_COPY_MOTO_RANGE1">UNMM0131_B!$C$2</definedName>
    <definedName name="UNMM0131_B_LIST_COPY_MOTO_RANGE10">UNMM0131_B!$C$11</definedName>
    <definedName name="UNMM0131_B_LIST_COPY_MOTO_RANGE11">UNMM0131_B!$C$12</definedName>
    <definedName name="UNMM0131_B_LIST_COPY_MOTO_RANGE12">UNMM0131_B!$C$13</definedName>
    <definedName name="UNMM0131_B_LIST_COPY_MOTO_RANGE2">UNMM0131_B!$C$3</definedName>
    <definedName name="UNMM0131_B_LIST_COPY_MOTO_RANGE3">UNMM0131_B!$C$4</definedName>
    <definedName name="UNMM0131_B_LIST_COPY_MOTO_RANGE4">UNMM0131_B!$C$5</definedName>
    <definedName name="UNMM0131_B_LIST_COPY_MOTO_RANGE5">UNMM0131_B!$C$6</definedName>
    <definedName name="UNMM0131_B_LIST_COPY_MOTO_RANGE6">UNMM0131_B!$C$7</definedName>
    <definedName name="UNMM0131_B_LIST_COPY_MOTO_RANGE7">UNMM0131_B!$C$8</definedName>
    <definedName name="UNMM0131_B_LIST_COPY_MOTO_RANGE8">UNMM0131_B!$C$9</definedName>
    <definedName name="UNMM0131_B_LIST_COPY_MOTO_RANGE9">UNMM0131_B!$C$10</definedName>
    <definedName name="UNMM0131_B_LIST_COPY_MOTO_START">UNMM0131_B!$D$22</definedName>
    <definedName name="UNMM0131_B_LIST_SHOSHIKI_COPY_SAKI">UNMM0131_B!$C$14</definedName>
    <definedName name="UNMM0131_B_LIST_START">UNMM0131_B!$A$22</definedName>
    <definedName name="UNMM0131_B_MONTH_1">UNMM0131_B!$F$3</definedName>
    <definedName name="UNMM0131_B_MONTH_10">UNMM0131_B!$AP$3</definedName>
    <definedName name="UNMM0131_B_MONTH_11">UNMM0131_B!$AT$3</definedName>
    <definedName name="UNMM0131_B_MONTH_12">UNMM0131_B!$AX$3</definedName>
    <definedName name="UNMM0131_B_MONTH_2">UNMM0131_B!$J$3</definedName>
    <definedName name="UNMM0131_B_MONTH_3">UNMM0131_B!$N$3</definedName>
    <definedName name="UNMM0131_B_MONTH_4">UNMM0131_B!$R$3</definedName>
    <definedName name="UNMM0131_B_MONTH_5">UNMM0131_B!$V$3</definedName>
    <definedName name="UNMM0131_B_MONTH_6">UNMM0131_B!$Z$3</definedName>
    <definedName name="UNMM0131_B_MONTH_7">UNMM0131_B!$AD$3</definedName>
    <definedName name="UNMM0131_B_MONTH_8">UNMM0131_B!$AH$3</definedName>
    <definedName name="UNMM0131_B_MONTH_9">UNMM0131_B!$AL$3</definedName>
    <definedName name="UNMM0131_B_WEEK_1">UNMM0131_B!$G$4</definedName>
    <definedName name="UNMM0131_B_WEEK_10">UNMM0131_B!$AQ$4</definedName>
    <definedName name="UNMM0131_B_WEEK_11">UNMM0131_B!$AU$4</definedName>
    <definedName name="UNMM0131_B_WEEK_12">UNMM0131_B!$AY$4</definedName>
    <definedName name="UNMM0131_B_WEEK_2">UNMM0131_B!$K$4</definedName>
    <definedName name="UNMM0131_B_WEEK_3">UNMM0131_B!$O$4</definedName>
    <definedName name="UNMM0131_B_WEEK_4">UNMM0131_B!$S$4</definedName>
    <definedName name="UNMM0131_B_WEEK_5">UNMM0131_B!$W$4</definedName>
    <definedName name="UNMM0131_B_WEEK_6">UNMM0131_B!$AA$4</definedName>
    <definedName name="UNMM0131_B_WEEK_7">UNMM0131_B!$AE$4</definedName>
    <definedName name="UNMM0131_B_WEEK_8">UNMM0131_B!$AI$4</definedName>
    <definedName name="UNMM0131_B_WEEK_9">UNMM0131_B!$AM$4</definedName>
    <definedName name="UNMM0131_H_HIDE_COLUMN">UNMM0131_H!$C$3</definedName>
    <definedName name="UNMM0131_H_HIDE_ROW">UNMM0131_H!$C$2</definedName>
    <definedName name="UNMM0131_H_LIST_YEAR">OFFSET(UNMM0131_H_LIST_YEAR_START,,,UNMM0131_H_LIST_YEAR_RANGE)</definedName>
    <definedName name="UNMM0131_H_LIST_YEAR_COPY_MOTO">UNMM0131_H!$C$7</definedName>
    <definedName name="UNMM0131_H_LIST_YEAR_COPY_SAKI">UNMM0131_H!$C$8</definedName>
    <definedName name="UNMM0131_H_LIST_YEAR_RANGE">UNMM0131_H!$C$6</definedName>
    <definedName name="UNMM0131_H_LIST_YEAR_START">UNMM0131_H!$C$10</definedName>
    <definedName name="UNMM0131_H_YEAR">UNMM0131_H!$G$3</definedName>
    <definedName name="UNMM0131_IF_BUTTON_03_HYOJI">UNMM0131_IF!$E$9</definedName>
    <definedName name="UNMM0131_IF_BUTTON_06_NAME">UNMM0131_IF!$E$6</definedName>
    <definedName name="UNMM0131_IF_BUTTON_09_HYOJI">UNMM0131_IF!$E$10</definedName>
    <definedName name="UNMM0131_IF_BUTTON_10_HYOJI">UNMM0131_IF!$E$11</definedName>
    <definedName name="UNMM0131_IF_BUTTON_11_HYOJI">UNMM0131_IF!$E$12</definedName>
    <definedName name="UNMM0131_IF_BUTTON_12_HYOJI">UNMM0131_IF!$E$13</definedName>
    <definedName name="UNMM0131_IF_BUTTON_20_HYOJI">UNMM0131_IF!$E$14</definedName>
    <definedName name="UNMM0131_IF_EXCEL_FILE_NAME">UNMM0131_IF!$E$37</definedName>
    <definedName name="UNMM0131_IF_LIST_COPY_MODE_SANSHO_MOTO">UNMM0131_IF!$J$5:$BD$35</definedName>
    <definedName name="UNMM0131_IF_LIST_COPY_MODE_SHUSEI_MOTO">UNMM0131_IF!$J$38:$BD$68</definedName>
    <definedName name="UNMM0131_IF_MODE">UNMM0131_IF!$E$3</definedName>
    <definedName name="UNMM0131_IF_SAVE_COPY_MOTO">UNMM0131_IF!$BH$2:$BP$2</definedName>
    <definedName name="UNMM0131_IF_SAVE_COPY_SAKI">UNMM0131_IF!$E$25</definedName>
    <definedName name="UNMM0131_IF_SAVE_COPY_START">UNMM0131_IF!$BH$6</definedName>
    <definedName name="UNMM0131_IF_SAVE_ERROR_CHECK">UNMM0131_IF!$E$33</definedName>
    <definedName name="UNMM0131_IF_SAVE_ERROR_MESSAGE">UNMM0131_IF!$E$34</definedName>
    <definedName name="UNMM0131_IF_SAVE_GYO_SU">UNMM0131_IF!$E$22</definedName>
    <definedName name="UNMM0131_IF_SAVE_INPUT_CHECK">UNMM0131_IF!$E$28</definedName>
    <definedName name="UNMM0131_IF_SAVE_INPUT_CHECK_COLUMN">UNMM0131_IF!$BH$5</definedName>
    <definedName name="UNMM0131_IF_SAVE_RESULT_CD">UNMM0131_IF!$E$31</definedName>
    <definedName name="UNMM0131_IF_SAVE_RESULT_MESSAGE">UNMM0131_IF!$E$32</definedName>
    <definedName name="UNMM0131_IF_SAVE_W_MODE">UNMM0131_IF!$E$20</definedName>
    <definedName name="UNMM0131_IF_SAVE_W_SERIAL">UNMM0131_IF!$E$19</definedName>
    <definedName name="UNMM0131_IF_SAVE_W_USER_ID">UNMM0131_IF!$E$18</definedName>
    <definedName name="UNMM0131_IF_UPDATE_START">UNMM0131_IF!$E$21</definedName>
    <definedName name="UNMM0131_SQL_CALENDAR_KBN">UNMM0131_SQL!$D$8</definedName>
    <definedName name="UNMM0131_SQL_SELECT_CALENDAR_LIST">UNMM0131_SQL!$D$3</definedName>
    <definedName name="UNMM0150_B_ALL_KENSU">UNMM0150_B!$C$2</definedName>
    <definedName name="UNMM0150_B_ALL_PEGE_SU">UNMM0150_B!$C$4</definedName>
    <definedName name="UNMM0150_B_BACK_PAGE">UNMM0150_B!$C$23</definedName>
    <definedName name="UNMM0150_B_BACK_PAGE_NUM">UNMM0150_B!$C$25</definedName>
    <definedName name="UNMM0150_B_BUN_SORT_MEI">UNMM0150_B!$I$2</definedName>
    <definedName name="UNMM0150_B_BUNSEKI_HOHO_CD">UNMM0150_B!$G$2</definedName>
    <definedName name="UNMM0150_B_CTRL_HYOJI_GYO_SU">UNMM0150_B!$C$6</definedName>
    <definedName name="UNMM0150_B_DEFAULT_FLG">UNMM0150_B!$J$2</definedName>
    <definedName name="UNMM0150_B_DEFAULT_HYOJI">UNMM0150_B!$K$2</definedName>
    <definedName name="UNMM0150_B_DEFAULT_SET_FLG">UNMM0150_B!$C$15</definedName>
    <definedName name="UNMM0150_B_HIDE_COLUMN">UNMM0150_B!$C$28</definedName>
    <definedName name="UNMM0150_B_HIDE_ROW">UNMM0150_B!$C$27</definedName>
    <definedName name="UNMM0150_B_HYOJI_KENSU">UNMM0150_B!$C$5</definedName>
    <definedName name="UNMM0150_B_LIST_CLEAR">UNMM0150_B!$C$13</definedName>
    <definedName name="UNMM0150_B_LIST_COPY_SAKI">UNMM0150_B!$C$12</definedName>
    <definedName name="UNMM0150_B_LIST_DEFAULT">UNMM0150_B!$C$14</definedName>
    <definedName name="UNMM0150_B_LIST_END">UNMM0150_B!$C$11</definedName>
    <definedName name="UNMM0150_B_LIST_START">UNMM0150_B!$C$10</definedName>
    <definedName name="UNMM0150_B_NEXT_PAGE">UNMM0150_B!$C$24</definedName>
    <definedName name="UNMM0150_B_NEXT_PAGE_NUM">UNMM0150_B!$C$26</definedName>
    <definedName name="UNMM0150_B_PAGE_NO">UNMM0150_B!$C$3</definedName>
    <definedName name="UNMM0150_B_SCROLL_LOCK">UNMM0150_B!$C$29</definedName>
    <definedName name="UNMM0150_B_SELECT_BUN_SORT_MEI">UNMM0150_B!$C$20</definedName>
    <definedName name="UNMM0150_B_SELECT_BUNSEKI_HOHO_CD">UNMM0150_B!$C$18</definedName>
    <definedName name="UNMM0150_B_SELECT_DEFAULT_FLG">UNMM0150_B!$C$21</definedName>
    <definedName name="UNMM0150_B_SELECT_GYO_NO">UNMM0150_B!$C$17</definedName>
    <definedName name="UNMM0150_B_SELECT_SEQ">UNMM0150_B!$C$19</definedName>
    <definedName name="UNMM0150_B_SENTAKU">UNMM0150_B!$F$2</definedName>
    <definedName name="UNMM0150_B_SEQ">UNMM0150_B!$H$2</definedName>
    <definedName name="UNMM0150_H_BUNSEKI_HOHO_CD">UNMM0150_H!$I$3</definedName>
    <definedName name="UNMM0150_H_BUNSEKI_HOHO_CD_FLG">UNMM0150_H!$C$6</definedName>
    <definedName name="UNMM0150_H_BUNSEKI_HOHO_MEI">UNMM0150_H!$M$3</definedName>
    <definedName name="UNMM0150_H_COPY_SAKI">UNMM0150_H!$I$3:$Y$3</definedName>
    <definedName name="UNMM0150_H_HIDE_COLUMN">UNMM0150_H!$C$3</definedName>
    <definedName name="UNMM0150_H_HIDE_ROW">UNMM0150_H!$C$2</definedName>
    <definedName name="UNMM0150_IF_ACTIVE_CELL_NAME">UNMM0150_IF!$G$18</definedName>
    <definedName name="UNMM0150_IF_ACTIVE_COLUMN">UNMM0150_IF!$G$16</definedName>
    <definedName name="UNMM0150_IF_ACTIVE_ROW">UNMM0150_IF!$G$15</definedName>
    <definedName name="UNMM0150_IF_ACTIVE_SHEET">UNMM0150_IF!$G$14</definedName>
    <definedName name="UNMM0150_IF_B_LIST_COPY_MOTO">UNMM0150_IF!$G$6:$L$6</definedName>
    <definedName name="UNMM0150_IF_B_LIST_DEFAULT">UNMM0150_IF!$G$5:$L$5</definedName>
    <definedName name="UNMM0150_IF_DATA_SEARCH_CHECK">UNMM0150_IF!$G$11</definedName>
    <definedName name="UNMM0150_IF_DATA_SEARCH_FLG">UNMM0150_IF!$G$10</definedName>
    <definedName name="UNMM0150_IF_LIST_BUNSEKI_HOHO">OFFSET(UNMM0150_IF_LIST_BUNSEKIHOHO_START,,,IF(UNMM0150_IF_LIST_BUNSEKIHOHO_KENSU=0,1,UNMM0150_IF_LIST_BUNSEKIHOHO_KENSU),2)</definedName>
    <definedName name="UNMM0150_IF_LIST_BUNSEKI_HOHO_CD">OFFSET(UNMM0150_IF_LIST_BUNSEKIHOHO_START,,,IF(UNMM0150_IF_LIST_BUNSEKIHOHO_KENSU=0,1,UNMM0150_IF_LIST_BUNSEKIHOHO_KENSU),1)</definedName>
    <definedName name="UNMM0150_IF_LIST_BUNSEKIHOHO_KENSU">UNMM0150_IF!$P$4</definedName>
    <definedName name="UNMM0150_IF_LIST_BUNSEKIHOHO_START">UNMM0150_IF!$O$7</definedName>
    <definedName name="UNMM0150_IF_MODE">UNMM0150_IF!$G$25</definedName>
    <definedName name="UNMM0150_SQL_MEISHO_BUNSEKI_HOHO">UNMM0150_SQL!$D$15</definedName>
    <definedName name="UNMM0150_SQL_ORDER_BY">UNMM0150_SQL!$D$9</definedName>
    <definedName name="UNMM0150_SQL_SELECT_BUNSEKI_HOHO_LIST">UNMM0150_SQL!$D$4</definedName>
    <definedName name="UNMM0150_SQL_SELECT_BUNSEKI_HOHO_LIST_CNT">UNMM0150_SQL!$D$5</definedName>
    <definedName name="UNMM0150_SQL_SORT_POP">UNMM0150_SQL!$D$13</definedName>
    <definedName name="UNMM0151_BUN_SORT_MEI">UNMM0151!$G$3</definedName>
    <definedName name="UNMM0151_BUNSEKI_BUN_SORT_MEI">UNMM0151!$K$6</definedName>
    <definedName name="UNMM0151_BUNSEKI_CD">UNMM0151!$F$6</definedName>
    <definedName name="UNMM0151_BUNSEKI_HOHO_CD">UNMM0151!$G$4</definedName>
    <definedName name="UNMM0151_BUNSEKI_HOHO_CD_B">UNMM0151!$M$6</definedName>
    <definedName name="UNMM0151_BUNSEKI_HOHO_MEI">UNMM0151!$H$4</definedName>
    <definedName name="UNMM0151_BUNSEKI_KOMOKU_GUN_CD">UNMM0151!$C$34</definedName>
    <definedName name="UNMM0151_BUNSEKI_MEI">UNMM0151!$G$6</definedName>
    <definedName name="UNMM0151_BUNSEKI_SEQ">UNMM0151!$J$6</definedName>
    <definedName name="UNMM0151_BUNSEKI_SORT_NO">UNMM0151!$L$6</definedName>
    <definedName name="UNMM0151_BUNSEKI_W_ROW">UNMM0151!#REF!</definedName>
    <definedName name="UNMM0151_BUNSEKI_W_SERIAL">UNMM0151!$O$6</definedName>
    <definedName name="UNMM0151_BUNSEKI_W_USER_ID">UNMM0151!$N$6</definedName>
    <definedName name="UNMM0151_CELL_JUMP_SAKI">UNMM0151!$C$1</definedName>
    <definedName name="UNMM0151_COPY_SAKI">UNMM0151!$G$3:$I$4</definedName>
    <definedName name="UNMM0151_DELETE">UNMM0151!$P$6</definedName>
    <definedName name="UNMM0151_DELETE_FLG">UNMM0151!$S$6</definedName>
    <definedName name="UNMM0151_GYO_COPY_SAKI_1">UNMM0151!$C$22</definedName>
    <definedName name="UNMM0151_GYO_COPY_SAKI_2">UNMM0151!$C$23</definedName>
    <definedName name="UNMM0151_GYO_INSERT">UNMM0151!$C$21</definedName>
    <definedName name="UNMM0151_GYO_INSERT_NO">UNMM0151!$C$12</definedName>
    <definedName name="UNMM0151_GYO_INSERT_SELECT_CELL">UNMM0151!$C$26</definedName>
    <definedName name="UNMM0151_GYO_NO">UNMM0151!$C$11</definedName>
    <definedName name="UNMM0151_HIDE_COLUMN">UNMM0151!$C$5</definedName>
    <definedName name="UNMM0151_HIDE_ROW">UNMM0151!$C$4</definedName>
    <definedName name="UNMM0151_IF_ACTIVE_CELL_NAME">UNMM0151_IF!$D$42</definedName>
    <definedName name="UNMM0151_IF_ACTIVE_COLUMN">UNMM0151_IF!$D$40</definedName>
    <definedName name="UNMM0151_IF_ACTIVE_ROW">UNMM0151_IF!$D$39</definedName>
    <definedName name="UNMM0151_IF_ACTIVE_SHEET">UNMM0151_IF!$D$38</definedName>
    <definedName name="UNMM0151_IF_BUTTON_04_HYOJI">UNMM0151_IF!$D$17</definedName>
    <definedName name="UNMM0151_IF_BUTTON_06_FONTCOLOR">UNMM0151_IF!$D$13</definedName>
    <definedName name="UNMM0151_IF_BUTTON_06_HYOJI">UNMM0151_IF!$D$18</definedName>
    <definedName name="UNMM0151_IF_BUTTON_06_NAME">UNMM0151_IF!$D$9</definedName>
    <definedName name="UNMM0151_IF_BUTTON_07_HYOJI">UNMM0151_IF!$D$19</definedName>
    <definedName name="UNMM0151_IF_BUTTON_09_HYOJI">UNMM0151_IF!$D$20</definedName>
    <definedName name="UNMM0151_IF_BUTTON_10_FONTCOLOR">UNMM0151_IF!$D$14</definedName>
    <definedName name="UNMM0151_IF_BUTTON_10_HYOJI">UNMM0151_IF!$D$21</definedName>
    <definedName name="UNMM0151_IF_BUTTON_10_NAME">UNMM0151_IF!$D$10</definedName>
    <definedName name="UNMM0151_IF_BUTTON_11_HYOJI">UNMM0151_IF!$D$22</definedName>
    <definedName name="UNMM0151_IF_BUTTON_12_HYOJI">UNMM0151_IF!$D$23</definedName>
    <definedName name="UNMM0151_IF_CHECKBOX_COPY_MOTO">UNMM0151_IF!$AH$8:$AL$8</definedName>
    <definedName name="UNMM0151_IF_COPY_B_SANSHO">UNMM0151_IF!$X$16:$AG$16</definedName>
    <definedName name="UNMM0151_IF_COPY_B_SHINKI">UNMM0151_IF!$X$8:$AG$8</definedName>
    <definedName name="UNMM0151_IF_COPY_B_SHUSEI">UNMM0151_IF!$X$12:$AG$12</definedName>
    <definedName name="UNMM0151_IF_DATA_SEARCH_FLG">UNMM0151_IF!$D$26</definedName>
    <definedName name="UNMM0151_IF_DUPLICATE_CHECK">UNMM0151_IF!$AQ$14</definedName>
    <definedName name="UNMM0151_IF_KOMOKUGUN_ADD_MESSAGE">UNMM0151_IF!$BM$15</definedName>
    <definedName name="UNMM0151_IF_LIST_DELETE">UNMM0151_IF!$AQ$13</definedName>
    <definedName name="UNMM0151_IF_LIST_DUPLICATE">UNMM0151_IF!$AQ$15</definedName>
    <definedName name="UNMM0151_IF_MODE">UNMM0151_IF!$D$6</definedName>
    <definedName name="UNMM0151_IF_MULTI_SELECT_CHECK">UNMM0151_IF!$BM$8</definedName>
    <definedName name="UNMM0151_IF_MULTI_SELECT_COPY_MOTO">UNMM0151_IF!$BM$13</definedName>
    <definedName name="UNMM0151_IF_MULTI_SELECT_FLG">UNMM0151_IF!$D$28</definedName>
    <definedName name="UNMM0151_IF_MULTI_SELECT_GYO_INCREMENT">UNMM0151_IF!$BM$9</definedName>
    <definedName name="UNMM0151_IF_MULTI_SELECT_KENSU">UNMM0151_IF!$BM$5</definedName>
    <definedName name="UNMM0151_IF_MULTI_SELECT_LIST_BUNSEKI_CD">UNMM0151_IF!$BO$5</definedName>
    <definedName name="UNMM0151_IF_MULTI_SELECT_SHOSHIKI_COPY_SAKI">UNMM0151_IF!$BM$11</definedName>
    <definedName name="UNMM0151_IF_MULTI_SELECT_TENKAI_KENSU">UNMM0151_IF!$BM$7</definedName>
    <definedName name="UNMM0151_IF_MULTI_SELECT_TENKAI_START">UNMM0151_IF!$BO$6</definedName>
    <definedName name="UNMM0151_IF_SANSHO_COPY_MOTO">UNMM0151_IF!$K$13:$T$14</definedName>
    <definedName name="UNMM0151_IF_SAVE_COPY_MOTO">UNMM0151_IF!$AV$5:$BH$5</definedName>
    <definedName name="UNMM0151_IF_SAVE_COPY_SAKI">UNMM0151_IF!$AQ$10</definedName>
    <definedName name="UNMM0151_IF_SAVE_COPY_START">UNMM0151_IF!$AV$8</definedName>
    <definedName name="UNMM0151_IF_SAVE_DEFAULT_FLG">UNMM0151_IF!$D$4</definedName>
    <definedName name="UNMM0151_IF_SAVE_DELETE_CHECK">UNMM0151_IF!$D$50</definedName>
    <definedName name="UNMM0151_IF_SAVE_ERROR_CHECK">UNMM0151_IF!$D$47</definedName>
    <definedName name="UNMM0151_IF_SAVE_ERROR_MESSAGE">UNMM0151_IF!$D$48</definedName>
    <definedName name="UNMM0151_IF_SAVE_INPUT_CHECK">UNMM0151_IF!$D$49</definedName>
    <definedName name="UNMM0151_IF_SAVE_KENSU">UNMM0151_IF!$AQ$9</definedName>
    <definedName name="UNMM0151_IF_SAVE_LIST_W_USER_ID">UNMM0151_IF!$AV$7</definedName>
    <definedName name="UNMM0151_IF_SAVE_RESULT_CD">UNMM0151_IF!$D$45</definedName>
    <definedName name="UNMM0151_IF_SAVE_RESULT_MESSAGE">UNMM0151_IF!$D$46</definedName>
    <definedName name="UNMM0151_IF_SAVE_SEQ">UNMM0151_IF!$D$3</definedName>
    <definedName name="UNMM0151_IF_SAVE_TENKAI_START">UNMM0151_IF!$AS$8</definedName>
    <definedName name="UNMM0151_IF_SAVE_W_MODE">UNMM0151_IF!$D$35</definedName>
    <definedName name="UNMM0151_IF_SAVE_W_ROW">UNMM0151_IF!$D$34</definedName>
    <definedName name="UNMM0151_IF_SAVE_W_SERIAL">UNMM0151_IF!$D$32</definedName>
    <definedName name="UNMM0151_IF_SAVE_W_SERIAL_CREATE">UNMM0151_IF!$D$33</definedName>
    <definedName name="UNMM0151_IF_SAVE_W_USER_ID">UNMM0151_IF!$D$31</definedName>
    <definedName name="UNMM0151_IF_SAVE0_CHECK">UNMM0151_IF!$AQ$16</definedName>
    <definedName name="UNMM0151_IF_SHINKI_COPY_MOTO">UNMM0151_IF!$K$5:$T$6</definedName>
    <definedName name="UNMM0151_IF_SHINKI_LIST_COPY_MOTO">UNMM0151_IF!$X$5:$AL$5</definedName>
    <definedName name="UNMM0151_IF_SHUSEI_COPY_MOTO">UNMM0151_IF!$K$9:$T$10</definedName>
    <definedName name="UNMM0151_LIST_CLEAR_AREA">UNMM0151!$C$19</definedName>
    <definedName name="UNMM0151_LIST_COPY_FLG">UNMM0151!$C$16</definedName>
    <definedName name="UNMM0151_LIST_SHOSHIKI_COPY_SAKI_1">UNMM0151!$C$17</definedName>
    <definedName name="UNMM0151_LIST_SHOSHIKI_COPY_SAKI_2">UNMM0151!$C$18</definedName>
    <definedName name="UNMM0151_LIST_START">UNMM0151!$C$15</definedName>
    <definedName name="UNMM0151_MODE_COPY_SAKI">UNMM0151!$G$3:$P$4</definedName>
    <definedName name="UNMM0151_MULTI_SELECT_COPY_SAKI_1">UNMM0151!$C$31</definedName>
    <definedName name="UNMM0151_MULTI_SELECT_COPY_SAKI_2">UNMM0151!$C$32</definedName>
    <definedName name="UNMM0151_SELECT_FLG">UNMM0151!$T$6</definedName>
    <definedName name="UNMM0151_SET_BUNSEKIKOMOKU_CD">UNMM0151!$C$28</definedName>
    <definedName name="UNMM0151_SET_BUNSEKIKOMOKU_MEI">UNMM0151!$C$29</definedName>
    <definedName name="UNMM0151_SORT_DOWN">UNMM0151!$C$9</definedName>
    <definedName name="UNMM0151_SORT_UP">UNMM0151!$C$8</definedName>
    <definedName name="UNMM0151_SQL_DELETE_CHECK">UNMM0151_SQL!$D$41</definedName>
    <definedName name="UNMM0151_SQL_MULTI_SELECT">UNMM0151_SQL!$D$32</definedName>
    <definedName name="UNMM0151_SQL_SELECT_BUN_SORT_DATA">UNMM0151_SQL!$D$7</definedName>
    <definedName name="UNMM0151_SQL_SELECT_BUN_SORT_MEISYO">UNMM0151_SQL!$D$17</definedName>
    <definedName name="UNMM0151_SQL_SELECT_BUNSEKI_GUN">UNMM0151_SQL!$D$34</definedName>
    <definedName name="UNMM0151_SQL_SELECT_TABLE_UPDATE">UNMM0151_SQL!$D$23</definedName>
    <definedName name="UNMM0151_SQL_SEQ_SELECT">UNMM0151_SQL!$D$39</definedName>
    <definedName name="UNMM0151_W_ROW">UNMM0151!$I$6</definedName>
    <definedName name="UNMT0020_IF_MITSU_NO">UNMM0070_IF!$G$3</definedName>
    <definedName name="UNNH0030_IF_SAVE_CHECK_ERROR_KOMOKU">UNMM0020_IF!$BY$30</definedName>
    <definedName name="UNNH0030_IF_SAVE_CHECK_RESULT">UNMM0020_IF!$BX$30</definedName>
    <definedName name="UNNH0030_IF_SAVE_CHECK_START">UNMM0020_IF!$DW$6</definedName>
    <definedName name="UNNH0030_IF_SAVE_JOGAI_GYO">UNMM0020_IF!$CD$5</definedName>
    <definedName name="UNNH0030_IF_SAVE_KENSU">UNMM0020_IF!$BT$13</definedName>
    <definedName name="UNNH0030_IF_SAVE_SHOHIN_MEI">UNMM0020_IF!$DX$5</definedName>
    <definedName name="UNNH0030_IF_SAVE_URIAGE_SURYO_TANI">UNMM0020_IF!$DZ$5</definedName>
    <definedName name="必須チェック設定" localSheetId="12">UNMM0020_IF!$V$4</definedName>
    <definedName name="必須チェック設定" localSheetId="19">UNMM0050_IF!$O$107</definedName>
  </definedNames>
  <calcPr calcId="152511"/>
</workbook>
</file>

<file path=xl/calcChain.xml><?xml version="1.0" encoding="utf-8"?>
<calcChain xmlns="http://schemas.openxmlformats.org/spreadsheetml/2006/main">
  <c r="AQ16" i="283" l="1"/>
  <c r="Q6" i="282" l="1"/>
  <c r="R6" i="282"/>
  <c r="D44" i="284" l="1"/>
  <c r="D36" i="284"/>
  <c r="D34" i="284" s="1"/>
  <c r="D30" i="284"/>
  <c r="D28" i="284"/>
  <c r="D21" i="284"/>
  <c r="D5" i="284"/>
  <c r="D14" i="284" s="1"/>
  <c r="D4" i="284"/>
  <c r="D29" i="284" s="1"/>
  <c r="D3" i="284"/>
  <c r="D12" i="284" s="1"/>
  <c r="D1" i="284"/>
  <c r="D27" i="284" s="1"/>
  <c r="D47" i="283"/>
  <c r="D33" i="283"/>
  <c r="D23" i="283"/>
  <c r="D22" i="283"/>
  <c r="D21" i="283"/>
  <c r="D20" i="283"/>
  <c r="D19" i="283"/>
  <c r="D18" i="283"/>
  <c r="D17" i="283"/>
  <c r="BM15" i="283"/>
  <c r="D14" i="283"/>
  <c r="D13" i="283"/>
  <c r="AQ10" i="283"/>
  <c r="D10" i="283"/>
  <c r="D9" i="283"/>
  <c r="BM8" i="283"/>
  <c r="BM7" i="283"/>
  <c r="BM9" i="283" s="1"/>
  <c r="BD5" i="283"/>
  <c r="BC5" i="283"/>
  <c r="BB5" i="283"/>
  <c r="BA5" i="283"/>
  <c r="AZ5" i="283"/>
  <c r="AX5" i="283"/>
  <c r="AW5" i="283"/>
  <c r="AV5" i="283"/>
  <c r="C29" i="282"/>
  <c r="C28" i="282"/>
  <c r="C25" i="282"/>
  <c r="C23" i="282"/>
  <c r="C22" i="282"/>
  <c r="C21" i="282"/>
  <c r="C19" i="282"/>
  <c r="C18" i="282"/>
  <c r="C17" i="282"/>
  <c r="C16" i="282"/>
  <c r="C15" i="282"/>
  <c r="C14" i="282"/>
  <c r="C13" i="282"/>
  <c r="C12" i="282"/>
  <c r="C5" i="282"/>
  <c r="E10" i="281"/>
  <c r="D10" i="281" s="1"/>
  <c r="D8" i="281"/>
  <c r="D5" i="281" s="1"/>
  <c r="G22" i="280"/>
  <c r="G21" i="280"/>
  <c r="G11" i="280"/>
  <c r="C29" i="279"/>
  <c r="C28" i="279"/>
  <c r="C26" i="279"/>
  <c r="C25" i="279"/>
  <c r="C23" i="279"/>
  <c r="C21" i="279"/>
  <c r="C20" i="279"/>
  <c r="C19" i="279"/>
  <c r="C18" i="279"/>
  <c r="K10" i="283" s="1"/>
  <c r="C14" i="279"/>
  <c r="C13" i="279"/>
  <c r="C12" i="279"/>
  <c r="C11" i="279"/>
  <c r="C10" i="279"/>
  <c r="C4" i="279"/>
  <c r="C24" i="279" s="1"/>
  <c r="C6" i="278"/>
  <c r="M3" i="278"/>
  <c r="C3" i="278"/>
  <c r="C31" i="282"/>
  <c r="C26" i="282"/>
  <c r="C15" i="279"/>
  <c r="F17" i="273"/>
  <c r="C32" i="282"/>
  <c r="D11" i="284" l="1"/>
  <c r="E1" i="279"/>
  <c r="K14" i="283"/>
  <c r="BM11" i="283"/>
  <c r="D4" i="281"/>
  <c r="K6" i="283"/>
  <c r="BM13" i="283"/>
  <c r="D13" i="284"/>
  <c r="G4" i="282"/>
  <c r="L14" i="283" l="1"/>
  <c r="L6" i="283"/>
  <c r="D2" i="284"/>
  <c r="L10" i="283"/>
  <c r="D49" i="283"/>
  <c r="AY5" i="283"/>
  <c r="H4" i="282"/>
  <c r="D45" i="284" l="1"/>
  <c r="D41" i="284" s="1"/>
  <c r="D20" i="284"/>
  <c r="D17" i="284" s="1"/>
  <c r="D10" i="284"/>
  <c r="D7" i="284" s="1"/>
  <c r="D26" i="284"/>
  <c r="D23" i="284" s="1"/>
  <c r="D6" i="205" l="1"/>
  <c r="D40" i="209" l="1"/>
  <c r="E139" i="204" l="1"/>
  <c r="L189" i="241" l="1"/>
  <c r="I189" i="241"/>
  <c r="L126" i="241"/>
  <c r="I126" i="241"/>
  <c r="L61" i="241"/>
  <c r="I61" i="241"/>
  <c r="H44" i="204"/>
  <c r="E44" i="204"/>
  <c r="T44" i="204"/>
  <c r="Q44" i="204"/>
  <c r="AF44" i="204"/>
  <c r="AC44" i="204"/>
  <c r="T46" i="241" l="1"/>
  <c r="E151" i="204"/>
  <c r="G46" i="227" l="1"/>
  <c r="E6" i="276" l="1"/>
  <c r="G15" i="271"/>
  <c r="E11" i="235"/>
  <c r="E10" i="231"/>
  <c r="E14" i="254"/>
  <c r="D15" i="258"/>
  <c r="E8" i="268"/>
  <c r="G28" i="227"/>
  <c r="D53" i="204"/>
  <c r="D36" i="241"/>
  <c r="G36" i="265"/>
  <c r="D3" i="233" l="1"/>
  <c r="D3" i="229"/>
  <c r="D12" i="205" l="1"/>
  <c r="D4" i="205"/>
  <c r="D2" i="205" s="1"/>
  <c r="F19" i="204" l="1"/>
  <c r="F18" i="204"/>
  <c r="F17" i="204"/>
  <c r="R19" i="204"/>
  <c r="R18" i="204"/>
  <c r="R17" i="204"/>
  <c r="AD19" i="204"/>
  <c r="AD18" i="204"/>
  <c r="AD17" i="204"/>
  <c r="AQ19" i="204"/>
  <c r="AQ18" i="204"/>
  <c r="AQ17" i="204"/>
  <c r="I18" i="218"/>
  <c r="I17" i="218"/>
  <c r="I16" i="218"/>
  <c r="E118" i="204" l="1"/>
  <c r="E115" i="204"/>
  <c r="C26" i="218"/>
  <c r="P109" i="204"/>
  <c r="Q130" i="204"/>
  <c r="Q129" i="204"/>
  <c r="W10" i="241"/>
  <c r="W9" i="241"/>
  <c r="C33" i="239" l="1"/>
  <c r="C32" i="239"/>
  <c r="X27" i="241"/>
  <c r="X26" i="241"/>
  <c r="W6" i="241"/>
  <c r="G40" i="271" l="1"/>
  <c r="G39" i="271"/>
  <c r="G38" i="271"/>
  <c r="G37" i="271"/>
  <c r="G36" i="271"/>
  <c r="G34" i="271"/>
  <c r="G32" i="271"/>
  <c r="E22" i="276" l="1"/>
  <c r="E25" i="276"/>
  <c r="Q11" i="235" l="1"/>
  <c r="G47" i="227" l="1"/>
  <c r="E21" i="268"/>
  <c r="E24" i="254"/>
  <c r="C20" i="230" l="1"/>
  <c r="C21" i="230"/>
  <c r="C18" i="230"/>
  <c r="C22" i="230"/>
  <c r="C19" i="230"/>
  <c r="J1" i="257" l="1"/>
  <c r="I1" i="226"/>
  <c r="T34" i="241" l="1"/>
  <c r="T33" i="241"/>
  <c r="C12" i="234" l="1"/>
  <c r="D54" i="204" l="1"/>
  <c r="D37" i="241"/>
  <c r="G37" i="265"/>
  <c r="P20" i="265" l="1"/>
  <c r="T65" i="241"/>
  <c r="T64" i="241"/>
  <c r="K109" i="204"/>
  <c r="K110" i="204"/>
  <c r="G66" i="227"/>
  <c r="E40" i="268"/>
  <c r="D43" i="258"/>
  <c r="D42" i="258"/>
  <c r="E44" i="254"/>
  <c r="E45" i="254"/>
  <c r="E45" i="231"/>
  <c r="E42" i="235"/>
  <c r="G46" i="271"/>
  <c r="G49" i="271"/>
  <c r="D2" i="273"/>
  <c r="D6" i="277" l="1"/>
  <c r="D1" i="277"/>
  <c r="D5" i="277" s="1"/>
  <c r="D3" i="277" s="1"/>
  <c r="BC68" i="276"/>
  <c r="AU68" i="276"/>
  <c r="AM68" i="276"/>
  <c r="AI68" i="276"/>
  <c r="AA68" i="276"/>
  <c r="S68" i="276"/>
  <c r="K68" i="276"/>
  <c r="BC67" i="276"/>
  <c r="AY67" i="276"/>
  <c r="AU67" i="276"/>
  <c r="AQ67" i="276"/>
  <c r="AM67" i="276"/>
  <c r="AI67" i="276"/>
  <c r="AE67" i="276"/>
  <c r="AA67" i="276"/>
  <c r="W67" i="276"/>
  <c r="S67" i="276"/>
  <c r="K67" i="276"/>
  <c r="BC66" i="276"/>
  <c r="AY66" i="276"/>
  <c r="AU66" i="276"/>
  <c r="AQ66" i="276"/>
  <c r="AM66" i="276"/>
  <c r="AI66" i="276"/>
  <c r="AE66" i="276"/>
  <c r="AA66" i="276"/>
  <c r="W66" i="276"/>
  <c r="S66" i="276"/>
  <c r="N66" i="276"/>
  <c r="O66" i="276" s="1"/>
  <c r="K66" i="276"/>
  <c r="BC65" i="276"/>
  <c r="AY65" i="276"/>
  <c r="AU65" i="276"/>
  <c r="AQ65" i="276"/>
  <c r="AM65" i="276"/>
  <c r="AI65" i="276"/>
  <c r="AE65" i="276"/>
  <c r="AA65" i="276"/>
  <c r="W65" i="276"/>
  <c r="S65" i="276"/>
  <c r="O65" i="276"/>
  <c r="K65" i="276"/>
  <c r="BC64" i="276"/>
  <c r="AY64" i="276"/>
  <c r="AU64" i="276"/>
  <c r="AQ64" i="276"/>
  <c r="AM64" i="276"/>
  <c r="AI64" i="276"/>
  <c r="AE64" i="276"/>
  <c r="AA64" i="276"/>
  <c r="W64" i="276"/>
  <c r="S64" i="276"/>
  <c r="O64" i="276"/>
  <c r="K64" i="276"/>
  <c r="BC63" i="276"/>
  <c r="AY63" i="276"/>
  <c r="AU63" i="276"/>
  <c r="AQ63" i="276"/>
  <c r="AM63" i="276"/>
  <c r="AI63" i="276"/>
  <c r="AE63" i="276"/>
  <c r="AA63" i="276"/>
  <c r="W63" i="276"/>
  <c r="S63" i="276"/>
  <c r="O63" i="276"/>
  <c r="K63" i="276"/>
  <c r="BC62" i="276"/>
  <c r="AY62" i="276"/>
  <c r="AU62" i="276"/>
  <c r="AQ62" i="276"/>
  <c r="AM62" i="276"/>
  <c r="AI62" i="276"/>
  <c r="AE62" i="276"/>
  <c r="AA62" i="276"/>
  <c r="W62" i="276"/>
  <c r="S62" i="276"/>
  <c r="O62" i="276"/>
  <c r="K62" i="276"/>
  <c r="BC61" i="276"/>
  <c r="AY61" i="276"/>
  <c r="AU61" i="276"/>
  <c r="AQ61" i="276"/>
  <c r="AM61" i="276"/>
  <c r="AI61" i="276"/>
  <c r="AE61" i="276"/>
  <c r="AA61" i="276"/>
  <c r="W61" i="276"/>
  <c r="S61" i="276"/>
  <c r="O61" i="276"/>
  <c r="K61" i="276"/>
  <c r="BC60" i="276"/>
  <c r="AY60" i="276"/>
  <c r="AU60" i="276"/>
  <c r="AQ60" i="276"/>
  <c r="AM60" i="276"/>
  <c r="AI60" i="276"/>
  <c r="AE60" i="276"/>
  <c r="AA60" i="276"/>
  <c r="W60" i="276"/>
  <c r="S60" i="276"/>
  <c r="O60" i="276"/>
  <c r="K60" i="276"/>
  <c r="BC59" i="276"/>
  <c r="AY59" i="276"/>
  <c r="AU59" i="276"/>
  <c r="AQ59" i="276"/>
  <c r="AM59" i="276"/>
  <c r="AI59" i="276"/>
  <c r="AE59" i="276"/>
  <c r="AA59" i="276"/>
  <c r="W59" i="276"/>
  <c r="S59" i="276"/>
  <c r="O59" i="276"/>
  <c r="K59" i="276"/>
  <c r="BC58" i="276"/>
  <c r="AY58" i="276"/>
  <c r="AU58" i="276"/>
  <c r="AQ58" i="276"/>
  <c r="AM58" i="276"/>
  <c r="AI58" i="276"/>
  <c r="AE58" i="276"/>
  <c r="AA58" i="276"/>
  <c r="W58" i="276"/>
  <c r="S58" i="276"/>
  <c r="O58" i="276"/>
  <c r="K58" i="276"/>
  <c r="BC57" i="276"/>
  <c r="AY57" i="276"/>
  <c r="AU57" i="276"/>
  <c r="AQ57" i="276"/>
  <c r="AM57" i="276"/>
  <c r="AI57" i="276"/>
  <c r="AE57" i="276"/>
  <c r="AA57" i="276"/>
  <c r="W57" i="276"/>
  <c r="S57" i="276"/>
  <c r="O57" i="276"/>
  <c r="K57" i="276"/>
  <c r="BC56" i="276"/>
  <c r="AY56" i="276"/>
  <c r="AU56" i="276"/>
  <c r="AQ56" i="276"/>
  <c r="AM56" i="276"/>
  <c r="AI56" i="276"/>
  <c r="AE56" i="276"/>
  <c r="AA56" i="276"/>
  <c r="W56" i="276"/>
  <c r="S56" i="276"/>
  <c r="O56" i="276"/>
  <c r="K56" i="276"/>
  <c r="BC55" i="276"/>
  <c r="AY55" i="276"/>
  <c r="AU55" i="276"/>
  <c r="AQ55" i="276"/>
  <c r="AM55" i="276"/>
  <c r="AI55" i="276"/>
  <c r="AE55" i="276"/>
  <c r="AA55" i="276"/>
  <c r="W55" i="276"/>
  <c r="S55" i="276"/>
  <c r="O55" i="276"/>
  <c r="K55" i="276"/>
  <c r="BC54" i="276"/>
  <c r="AY54" i="276"/>
  <c r="AU54" i="276"/>
  <c r="AQ54" i="276"/>
  <c r="AM54" i="276"/>
  <c r="AI54" i="276"/>
  <c r="AE54" i="276"/>
  <c r="AA54" i="276"/>
  <c r="W54" i="276"/>
  <c r="S54" i="276"/>
  <c r="O54" i="276"/>
  <c r="K54" i="276"/>
  <c r="BC53" i="276"/>
  <c r="AY53" i="276"/>
  <c r="AU53" i="276"/>
  <c r="AQ53" i="276"/>
  <c r="AM53" i="276"/>
  <c r="AI53" i="276"/>
  <c r="AE53" i="276"/>
  <c r="AA53" i="276"/>
  <c r="W53" i="276"/>
  <c r="S53" i="276"/>
  <c r="O53" i="276"/>
  <c r="K53" i="276"/>
  <c r="BC52" i="276"/>
  <c r="AY52" i="276"/>
  <c r="AU52" i="276"/>
  <c r="AQ52" i="276"/>
  <c r="AM52" i="276"/>
  <c r="AI52" i="276"/>
  <c r="AE52" i="276"/>
  <c r="AA52" i="276"/>
  <c r="W52" i="276"/>
  <c r="S52" i="276"/>
  <c r="O52" i="276"/>
  <c r="K52" i="276"/>
  <c r="BC51" i="276"/>
  <c r="AY51" i="276"/>
  <c r="AU51" i="276"/>
  <c r="AQ51" i="276"/>
  <c r="AM51" i="276"/>
  <c r="AI51" i="276"/>
  <c r="AE51" i="276"/>
  <c r="AA51" i="276"/>
  <c r="W51" i="276"/>
  <c r="S51" i="276"/>
  <c r="O51" i="276"/>
  <c r="K51" i="276"/>
  <c r="BC50" i="276"/>
  <c r="AY50" i="276"/>
  <c r="AU50" i="276"/>
  <c r="AQ50" i="276"/>
  <c r="AM50" i="276"/>
  <c r="AI50" i="276"/>
  <c r="AE50" i="276"/>
  <c r="AA50" i="276"/>
  <c r="W50" i="276"/>
  <c r="S50" i="276"/>
  <c r="O50" i="276"/>
  <c r="K50" i="276"/>
  <c r="BC49" i="276"/>
  <c r="AY49" i="276"/>
  <c r="AU49" i="276"/>
  <c r="AQ49" i="276"/>
  <c r="AM49" i="276"/>
  <c r="AI49" i="276"/>
  <c r="AE49" i="276"/>
  <c r="AA49" i="276"/>
  <c r="W49" i="276"/>
  <c r="S49" i="276"/>
  <c r="O49" i="276"/>
  <c r="K49" i="276"/>
  <c r="BC48" i="276"/>
  <c r="AY48" i="276"/>
  <c r="AU48" i="276"/>
  <c r="AQ48" i="276"/>
  <c r="AM48" i="276"/>
  <c r="AI48" i="276"/>
  <c r="AE48" i="276"/>
  <c r="AA48" i="276"/>
  <c r="W48" i="276"/>
  <c r="S48" i="276"/>
  <c r="O48" i="276"/>
  <c r="K48" i="276"/>
  <c r="BC47" i="276"/>
  <c r="AY47" i="276"/>
  <c r="AU47" i="276"/>
  <c r="AQ47" i="276"/>
  <c r="AM47" i="276"/>
  <c r="AI47" i="276"/>
  <c r="AE47" i="276"/>
  <c r="AA47" i="276"/>
  <c r="W47" i="276"/>
  <c r="S47" i="276"/>
  <c r="O47" i="276"/>
  <c r="K47" i="276"/>
  <c r="BC46" i="276"/>
  <c r="AY46" i="276"/>
  <c r="AU46" i="276"/>
  <c r="AQ46" i="276"/>
  <c r="AM46" i="276"/>
  <c r="AI46" i="276"/>
  <c r="AE46" i="276"/>
  <c r="AA46" i="276"/>
  <c r="W46" i="276"/>
  <c r="S46" i="276"/>
  <c r="O46" i="276"/>
  <c r="K46" i="276"/>
  <c r="BC45" i="276"/>
  <c r="AY45" i="276"/>
  <c r="AU45" i="276"/>
  <c r="AQ45" i="276"/>
  <c r="AM45" i="276"/>
  <c r="AI45" i="276"/>
  <c r="AE45" i="276"/>
  <c r="AA45" i="276"/>
  <c r="W45" i="276"/>
  <c r="S45" i="276"/>
  <c r="O45" i="276"/>
  <c r="K45" i="276"/>
  <c r="BC44" i="276"/>
  <c r="AY44" i="276"/>
  <c r="AU44" i="276"/>
  <c r="AQ44" i="276"/>
  <c r="AM44" i="276"/>
  <c r="AI44" i="276"/>
  <c r="AE44" i="276"/>
  <c r="AA44" i="276"/>
  <c r="W44" i="276"/>
  <c r="S44" i="276"/>
  <c r="O44" i="276"/>
  <c r="K44" i="276"/>
  <c r="BC43" i="276"/>
  <c r="AY43" i="276"/>
  <c r="AU43" i="276"/>
  <c r="AQ43" i="276"/>
  <c r="AM43" i="276"/>
  <c r="AI43" i="276"/>
  <c r="AE43" i="276"/>
  <c r="AA43" i="276"/>
  <c r="W43" i="276"/>
  <c r="S43" i="276"/>
  <c r="O43" i="276"/>
  <c r="K43" i="276"/>
  <c r="BC42" i="276"/>
  <c r="AY42" i="276"/>
  <c r="AU42" i="276"/>
  <c r="AQ42" i="276"/>
  <c r="AM42" i="276"/>
  <c r="AI42" i="276"/>
  <c r="AE42" i="276"/>
  <c r="AA42" i="276"/>
  <c r="W42" i="276"/>
  <c r="S42" i="276"/>
  <c r="O42" i="276"/>
  <c r="K42" i="276"/>
  <c r="BC41" i="276"/>
  <c r="AY41" i="276"/>
  <c r="AU41" i="276"/>
  <c r="AQ41" i="276"/>
  <c r="AM41" i="276"/>
  <c r="AI41" i="276"/>
  <c r="AE41" i="276"/>
  <c r="AA41" i="276"/>
  <c r="W41" i="276"/>
  <c r="S41" i="276"/>
  <c r="O41" i="276"/>
  <c r="K41" i="276"/>
  <c r="BC40" i="276"/>
  <c r="AY40" i="276"/>
  <c r="AU40" i="276"/>
  <c r="AQ40" i="276"/>
  <c r="AM40" i="276"/>
  <c r="AI40" i="276"/>
  <c r="AE40" i="276"/>
  <c r="AA40" i="276"/>
  <c r="W40" i="276"/>
  <c r="S40" i="276"/>
  <c r="O40" i="276"/>
  <c r="K40" i="276"/>
  <c r="BC39" i="276"/>
  <c r="AY39" i="276"/>
  <c r="AU39" i="276"/>
  <c r="AQ39" i="276"/>
  <c r="AM39" i="276"/>
  <c r="AI39" i="276"/>
  <c r="AE39" i="276"/>
  <c r="AA39" i="276"/>
  <c r="W39" i="276"/>
  <c r="S39" i="276"/>
  <c r="O39" i="276"/>
  <c r="K39" i="276"/>
  <c r="BC38" i="276"/>
  <c r="AY38" i="276"/>
  <c r="AU38" i="276"/>
  <c r="AQ38" i="276"/>
  <c r="AM38" i="276"/>
  <c r="AI38" i="276"/>
  <c r="AE38" i="276"/>
  <c r="AA38" i="276"/>
  <c r="W38" i="276"/>
  <c r="S38" i="276"/>
  <c r="O38" i="276"/>
  <c r="K38" i="276"/>
  <c r="E37" i="276"/>
  <c r="BC35" i="276"/>
  <c r="AU35" i="276"/>
  <c r="AM35" i="276"/>
  <c r="AI35" i="276"/>
  <c r="AA35" i="276"/>
  <c r="S35" i="276"/>
  <c r="K35" i="276"/>
  <c r="BC34" i="276"/>
  <c r="AY34" i="276"/>
  <c r="AU34" i="276"/>
  <c r="AQ34" i="276"/>
  <c r="AM34" i="276"/>
  <c r="AI34" i="276"/>
  <c r="AE34" i="276"/>
  <c r="AA34" i="276"/>
  <c r="W34" i="276"/>
  <c r="S34" i="276"/>
  <c r="K34" i="276"/>
  <c r="BC33" i="276"/>
  <c r="AY33" i="276"/>
  <c r="AU33" i="276"/>
  <c r="AQ33" i="276"/>
  <c r="AM33" i="276"/>
  <c r="AI33" i="276"/>
  <c r="AE33" i="276"/>
  <c r="AA33" i="276"/>
  <c r="W33" i="276"/>
  <c r="S33" i="276"/>
  <c r="N33" i="276"/>
  <c r="O33" i="276" s="1"/>
  <c r="K33" i="276"/>
  <c r="E33" i="276"/>
  <c r="BC32" i="276"/>
  <c r="AY32" i="276"/>
  <c r="AU32" i="276"/>
  <c r="AQ32" i="276"/>
  <c r="AM32" i="276"/>
  <c r="AI32" i="276"/>
  <c r="AE32" i="276"/>
  <c r="AA32" i="276"/>
  <c r="W32" i="276"/>
  <c r="S32" i="276"/>
  <c r="O32" i="276"/>
  <c r="K32" i="276"/>
  <c r="BC31" i="276"/>
  <c r="AY31" i="276"/>
  <c r="AU31" i="276"/>
  <c r="AQ31" i="276"/>
  <c r="AM31" i="276"/>
  <c r="AI31" i="276"/>
  <c r="AE31" i="276"/>
  <c r="AA31" i="276"/>
  <c r="W31" i="276"/>
  <c r="S31" i="276"/>
  <c r="O31" i="276"/>
  <c r="K31" i="276"/>
  <c r="BC30" i="276"/>
  <c r="AY30" i="276"/>
  <c r="AU30" i="276"/>
  <c r="AQ30" i="276"/>
  <c r="AM30" i="276"/>
  <c r="AI30" i="276"/>
  <c r="AE30" i="276"/>
  <c r="AA30" i="276"/>
  <c r="W30" i="276"/>
  <c r="S30" i="276"/>
  <c r="O30" i="276"/>
  <c r="K30" i="276"/>
  <c r="BC29" i="276"/>
  <c r="AY29" i="276"/>
  <c r="AU29" i="276"/>
  <c r="AQ29" i="276"/>
  <c r="AM29" i="276"/>
  <c r="AI29" i="276"/>
  <c r="AE29" i="276"/>
  <c r="AA29" i="276"/>
  <c r="W29" i="276"/>
  <c r="S29" i="276"/>
  <c r="O29" i="276"/>
  <c r="K29" i="276"/>
  <c r="BC28" i="276"/>
  <c r="AY28" i="276"/>
  <c r="AU28" i="276"/>
  <c r="AQ28" i="276"/>
  <c r="AM28" i="276"/>
  <c r="AI28" i="276"/>
  <c r="AE28" i="276"/>
  <c r="AA28" i="276"/>
  <c r="W28" i="276"/>
  <c r="S28" i="276"/>
  <c r="O28" i="276"/>
  <c r="K28" i="276"/>
  <c r="E28" i="276"/>
  <c r="BC27" i="276"/>
  <c r="AY27" i="276"/>
  <c r="AU27" i="276"/>
  <c r="AQ27" i="276"/>
  <c r="AM27" i="276"/>
  <c r="AI27" i="276"/>
  <c r="AE27" i="276"/>
  <c r="AA27" i="276"/>
  <c r="W27" i="276"/>
  <c r="S27" i="276"/>
  <c r="O27" i="276"/>
  <c r="K27" i="276"/>
  <c r="BC26" i="276"/>
  <c r="AY26" i="276"/>
  <c r="AU26" i="276"/>
  <c r="AQ26" i="276"/>
  <c r="AM26" i="276"/>
  <c r="AI26" i="276"/>
  <c r="AE26" i="276"/>
  <c r="AA26" i="276"/>
  <c r="W26" i="276"/>
  <c r="S26" i="276"/>
  <c r="O26" i="276"/>
  <c r="K26" i="276"/>
  <c r="BC25" i="276"/>
  <c r="AY25" i="276"/>
  <c r="AU25" i="276"/>
  <c r="AQ25" i="276"/>
  <c r="AM25" i="276"/>
  <c r="AI25" i="276"/>
  <c r="AE25" i="276"/>
  <c r="AA25" i="276"/>
  <c r="W25" i="276"/>
  <c r="S25" i="276"/>
  <c r="O25" i="276"/>
  <c r="K25" i="276"/>
  <c r="BC24" i="276"/>
  <c r="AY24" i="276"/>
  <c r="AU24" i="276"/>
  <c r="AQ24" i="276"/>
  <c r="AM24" i="276"/>
  <c r="AI24" i="276"/>
  <c r="AE24" i="276"/>
  <c r="AA24" i="276"/>
  <c r="W24" i="276"/>
  <c r="S24" i="276"/>
  <c r="O24" i="276"/>
  <c r="K24" i="276"/>
  <c r="BC23" i="276"/>
  <c r="AY23" i="276"/>
  <c r="AU23" i="276"/>
  <c r="AQ23" i="276"/>
  <c r="AM23" i="276"/>
  <c r="AI23" i="276"/>
  <c r="AE23" i="276"/>
  <c r="AA23" i="276"/>
  <c r="W23" i="276"/>
  <c r="S23" i="276"/>
  <c r="O23" i="276"/>
  <c r="K23" i="276"/>
  <c r="BC22" i="276"/>
  <c r="AY22" i="276"/>
  <c r="AU22" i="276"/>
  <c r="AQ22" i="276"/>
  <c r="AM22" i="276"/>
  <c r="AI22" i="276"/>
  <c r="AE22" i="276"/>
  <c r="AA22" i="276"/>
  <c r="W22" i="276"/>
  <c r="S22" i="276"/>
  <c r="O22" i="276"/>
  <c r="K22" i="276"/>
  <c r="BC21" i="276"/>
  <c r="AY21" i="276"/>
  <c r="AU21" i="276"/>
  <c r="AQ21" i="276"/>
  <c r="AM21" i="276"/>
  <c r="AI21" i="276"/>
  <c r="AE21" i="276"/>
  <c r="AA21" i="276"/>
  <c r="W21" i="276"/>
  <c r="S21" i="276"/>
  <c r="O21" i="276"/>
  <c r="K21" i="276"/>
  <c r="E21" i="276"/>
  <c r="BC20" i="276"/>
  <c r="AY20" i="276"/>
  <c r="AU20" i="276"/>
  <c r="AQ20" i="276"/>
  <c r="AM20" i="276"/>
  <c r="AI20" i="276"/>
  <c r="AE20" i="276"/>
  <c r="AA20" i="276"/>
  <c r="W20" i="276"/>
  <c r="S20" i="276"/>
  <c r="O20" i="276"/>
  <c r="K20" i="276"/>
  <c r="BC19" i="276"/>
  <c r="AY19" i="276"/>
  <c r="AU19" i="276"/>
  <c r="AQ19" i="276"/>
  <c r="AM19" i="276"/>
  <c r="AI19" i="276"/>
  <c r="AE19" i="276"/>
  <c r="AA19" i="276"/>
  <c r="W19" i="276"/>
  <c r="S19" i="276"/>
  <c r="O19" i="276"/>
  <c r="K19" i="276"/>
  <c r="E19" i="276"/>
  <c r="BJ2" i="276" s="1"/>
  <c r="BC18" i="276"/>
  <c r="AY18" i="276"/>
  <c r="AU18" i="276"/>
  <c r="AQ18" i="276"/>
  <c r="AM18" i="276"/>
  <c r="AI18" i="276"/>
  <c r="AE18" i="276"/>
  <c r="AA18" i="276"/>
  <c r="W18" i="276"/>
  <c r="S18" i="276"/>
  <c r="O18" i="276"/>
  <c r="K18" i="276"/>
  <c r="BC17" i="276"/>
  <c r="AY17" i="276"/>
  <c r="AU17" i="276"/>
  <c r="AQ17" i="276"/>
  <c r="AM17" i="276"/>
  <c r="AI17" i="276"/>
  <c r="AE17" i="276"/>
  <c r="AA17" i="276"/>
  <c r="W17" i="276"/>
  <c r="S17" i="276"/>
  <c r="O17" i="276"/>
  <c r="K17" i="276"/>
  <c r="BC16" i="276"/>
  <c r="AY16" i="276"/>
  <c r="AU16" i="276"/>
  <c r="AQ16" i="276"/>
  <c r="AM16" i="276"/>
  <c r="AI16" i="276"/>
  <c r="AE16" i="276"/>
  <c r="AA16" i="276"/>
  <c r="W16" i="276"/>
  <c r="S16" i="276"/>
  <c r="O16" i="276"/>
  <c r="K16" i="276"/>
  <c r="BC15" i="276"/>
  <c r="AY15" i="276"/>
  <c r="AU15" i="276"/>
  <c r="AQ15" i="276"/>
  <c r="AM15" i="276"/>
  <c r="AI15" i="276"/>
  <c r="AE15" i="276"/>
  <c r="AA15" i="276"/>
  <c r="W15" i="276"/>
  <c r="S15" i="276"/>
  <c r="O15" i="276"/>
  <c r="K15" i="276"/>
  <c r="BC14" i="276"/>
  <c r="AY14" i="276"/>
  <c r="AU14" i="276"/>
  <c r="AQ14" i="276"/>
  <c r="AM14" i="276"/>
  <c r="AI14" i="276"/>
  <c r="AE14" i="276"/>
  <c r="AA14" i="276"/>
  <c r="W14" i="276"/>
  <c r="S14" i="276"/>
  <c r="O14" i="276"/>
  <c r="K14" i="276"/>
  <c r="E14" i="276"/>
  <c r="BC13" i="276"/>
  <c r="AY13" i="276"/>
  <c r="AU13" i="276"/>
  <c r="AQ13" i="276"/>
  <c r="AM13" i="276"/>
  <c r="AI13" i="276"/>
  <c r="AE13" i="276"/>
  <c r="AA13" i="276"/>
  <c r="W13" i="276"/>
  <c r="S13" i="276"/>
  <c r="O13" i="276"/>
  <c r="K13" i="276"/>
  <c r="E13" i="276"/>
  <c r="BC12" i="276"/>
  <c r="AY12" i="276"/>
  <c r="AU12" i="276"/>
  <c r="AQ12" i="276"/>
  <c r="AM12" i="276"/>
  <c r="AI12" i="276"/>
  <c r="AE12" i="276"/>
  <c r="AA12" i="276"/>
  <c r="W12" i="276"/>
  <c r="S12" i="276"/>
  <c r="O12" i="276"/>
  <c r="K12" i="276"/>
  <c r="E12" i="276"/>
  <c r="BC11" i="276"/>
  <c r="AY11" i="276"/>
  <c r="AU11" i="276"/>
  <c r="AQ11" i="276"/>
  <c r="AM11" i="276"/>
  <c r="AI11" i="276"/>
  <c r="AE11" i="276"/>
  <c r="AA11" i="276"/>
  <c r="W11" i="276"/>
  <c r="S11" i="276"/>
  <c r="O11" i="276"/>
  <c r="K11" i="276"/>
  <c r="E11" i="276"/>
  <c r="BC10" i="276"/>
  <c r="AY10" i="276"/>
  <c r="AU10" i="276"/>
  <c r="AQ10" i="276"/>
  <c r="AM10" i="276"/>
  <c r="AI10" i="276"/>
  <c r="AE10" i="276"/>
  <c r="AA10" i="276"/>
  <c r="W10" i="276"/>
  <c r="S10" i="276"/>
  <c r="O10" i="276"/>
  <c r="K10" i="276"/>
  <c r="E10" i="276"/>
  <c r="BC9" i="276"/>
  <c r="AY9" i="276"/>
  <c r="AU9" i="276"/>
  <c r="AQ9" i="276"/>
  <c r="AM9" i="276"/>
  <c r="AI9" i="276"/>
  <c r="AE9" i="276"/>
  <c r="AA9" i="276"/>
  <c r="W9" i="276"/>
  <c r="S9" i="276"/>
  <c r="O9" i="276"/>
  <c r="K9" i="276"/>
  <c r="E9" i="276"/>
  <c r="BC8" i="276"/>
  <c r="AY8" i="276"/>
  <c r="AU8" i="276"/>
  <c r="AQ8" i="276"/>
  <c r="AM8" i="276"/>
  <c r="AI8" i="276"/>
  <c r="AE8" i="276"/>
  <c r="AA8" i="276"/>
  <c r="W8" i="276"/>
  <c r="S8" i="276"/>
  <c r="O8" i="276"/>
  <c r="K8" i="276"/>
  <c r="BC7" i="276"/>
  <c r="AY7" i="276"/>
  <c r="AU7" i="276"/>
  <c r="AQ7" i="276"/>
  <c r="AM7" i="276"/>
  <c r="AI7" i="276"/>
  <c r="AE7" i="276"/>
  <c r="AA7" i="276"/>
  <c r="W7" i="276"/>
  <c r="S7" i="276"/>
  <c r="O7" i="276"/>
  <c r="K7" i="276"/>
  <c r="BC6" i="276"/>
  <c r="AY6" i="276"/>
  <c r="AU6" i="276"/>
  <c r="AQ6" i="276"/>
  <c r="AM6" i="276"/>
  <c r="AI6" i="276"/>
  <c r="AE6" i="276"/>
  <c r="AA6" i="276"/>
  <c r="W6" i="276"/>
  <c r="S6" i="276"/>
  <c r="O6" i="276"/>
  <c r="K6" i="276"/>
  <c r="BC5" i="276"/>
  <c r="AY5" i="276"/>
  <c r="AU5" i="276"/>
  <c r="AQ5" i="276"/>
  <c r="AM5" i="276"/>
  <c r="AI5" i="276"/>
  <c r="AE5" i="276"/>
  <c r="AA5" i="276"/>
  <c r="W5" i="276"/>
  <c r="S5" i="276"/>
  <c r="O5" i="276"/>
  <c r="K5" i="276"/>
  <c r="BO2" i="276"/>
  <c r="BN2" i="276"/>
  <c r="BM2" i="276"/>
  <c r="BK2" i="276"/>
  <c r="BI2" i="276"/>
  <c r="AY35" i="275"/>
  <c r="AQ35" i="275"/>
  <c r="AI35" i="275"/>
  <c r="AE35" i="275"/>
  <c r="W35" i="275"/>
  <c r="O35" i="275"/>
  <c r="G35" i="275"/>
  <c r="AY34" i="275"/>
  <c r="AU34" i="275"/>
  <c r="AQ34" i="275"/>
  <c r="AM34" i="275"/>
  <c r="AI34" i="275"/>
  <c r="AE34" i="275"/>
  <c r="AA34" i="275"/>
  <c r="W34" i="275"/>
  <c r="S34" i="275"/>
  <c r="O34" i="275"/>
  <c r="G34" i="275"/>
  <c r="AY33" i="275"/>
  <c r="AU33" i="275"/>
  <c r="AQ33" i="275"/>
  <c r="AM33" i="275"/>
  <c r="AI33" i="275"/>
  <c r="AE33" i="275"/>
  <c r="AA33" i="275"/>
  <c r="W33" i="275"/>
  <c r="S33" i="275"/>
  <c r="O33" i="275"/>
  <c r="J33" i="275"/>
  <c r="K33" i="275" s="1"/>
  <c r="G33" i="275"/>
  <c r="AY32" i="275"/>
  <c r="AU32" i="275"/>
  <c r="AQ32" i="275"/>
  <c r="AM32" i="275"/>
  <c r="AI32" i="275"/>
  <c r="AE32" i="275"/>
  <c r="AA32" i="275"/>
  <c r="W32" i="275"/>
  <c r="S32" i="275"/>
  <c r="O32" i="275"/>
  <c r="K32" i="275"/>
  <c r="G32" i="275"/>
  <c r="AY31" i="275"/>
  <c r="AU31" i="275"/>
  <c r="AQ31" i="275"/>
  <c r="AM31" i="275"/>
  <c r="AI31" i="275"/>
  <c r="AE31" i="275"/>
  <c r="AA31" i="275"/>
  <c r="W31" i="275"/>
  <c r="S31" i="275"/>
  <c r="O31" i="275"/>
  <c r="K31" i="275"/>
  <c r="G31" i="275"/>
  <c r="AY30" i="275"/>
  <c r="AU30" i="275"/>
  <c r="AQ30" i="275"/>
  <c r="AM30" i="275"/>
  <c r="AI30" i="275"/>
  <c r="AE30" i="275"/>
  <c r="AA30" i="275"/>
  <c r="W30" i="275"/>
  <c r="S30" i="275"/>
  <c r="O30" i="275"/>
  <c r="K30" i="275"/>
  <c r="G30" i="275"/>
  <c r="AY29" i="275"/>
  <c r="AU29" i="275"/>
  <c r="AQ29" i="275"/>
  <c r="AM29" i="275"/>
  <c r="AI29" i="275"/>
  <c r="AE29" i="275"/>
  <c r="AA29" i="275"/>
  <c r="W29" i="275"/>
  <c r="S29" i="275"/>
  <c r="O29" i="275"/>
  <c r="K29" i="275"/>
  <c r="G29" i="275"/>
  <c r="AY28" i="275"/>
  <c r="AU28" i="275"/>
  <c r="AQ28" i="275"/>
  <c r="AM28" i="275"/>
  <c r="AI28" i="275"/>
  <c r="AE28" i="275"/>
  <c r="AA28" i="275"/>
  <c r="W28" i="275"/>
  <c r="S28" i="275"/>
  <c r="O28" i="275"/>
  <c r="K28" i="275"/>
  <c r="G28" i="275"/>
  <c r="AY27" i="275"/>
  <c r="AU27" i="275"/>
  <c r="AQ27" i="275"/>
  <c r="AM27" i="275"/>
  <c r="AI27" i="275"/>
  <c r="AE27" i="275"/>
  <c r="AA27" i="275"/>
  <c r="W27" i="275"/>
  <c r="S27" i="275"/>
  <c r="O27" i="275"/>
  <c r="K27" i="275"/>
  <c r="G27" i="275"/>
  <c r="AY26" i="275"/>
  <c r="AU26" i="275"/>
  <c r="AQ26" i="275"/>
  <c r="AM26" i="275"/>
  <c r="AI26" i="275"/>
  <c r="AE26" i="275"/>
  <c r="AA26" i="275"/>
  <c r="W26" i="275"/>
  <c r="S26" i="275"/>
  <c r="O26" i="275"/>
  <c r="K26" i="275"/>
  <c r="G26" i="275"/>
  <c r="AY25" i="275"/>
  <c r="AU25" i="275"/>
  <c r="AQ25" i="275"/>
  <c r="AM25" i="275"/>
  <c r="AI25" i="275"/>
  <c r="AE25" i="275"/>
  <c r="AA25" i="275"/>
  <c r="W25" i="275"/>
  <c r="S25" i="275"/>
  <c r="O25" i="275"/>
  <c r="K25" i="275"/>
  <c r="G25" i="275"/>
  <c r="AY24" i="275"/>
  <c r="AU24" i="275"/>
  <c r="AQ24" i="275"/>
  <c r="AM24" i="275"/>
  <c r="AI24" i="275"/>
  <c r="AE24" i="275"/>
  <c r="AA24" i="275"/>
  <c r="W24" i="275"/>
  <c r="S24" i="275"/>
  <c r="O24" i="275"/>
  <c r="K24" i="275"/>
  <c r="G24" i="275"/>
  <c r="AY23" i="275"/>
  <c r="AU23" i="275"/>
  <c r="AQ23" i="275"/>
  <c r="AM23" i="275"/>
  <c r="AI23" i="275"/>
  <c r="AE23" i="275"/>
  <c r="AA23" i="275"/>
  <c r="W23" i="275"/>
  <c r="S23" i="275"/>
  <c r="O23" i="275"/>
  <c r="K23" i="275"/>
  <c r="G23" i="275"/>
  <c r="AY22" i="275"/>
  <c r="AU22" i="275"/>
  <c r="AQ22" i="275"/>
  <c r="AM22" i="275"/>
  <c r="AI22" i="275"/>
  <c r="AE22" i="275"/>
  <c r="AA22" i="275"/>
  <c r="W22" i="275"/>
  <c r="S22" i="275"/>
  <c r="O22" i="275"/>
  <c r="K22" i="275"/>
  <c r="G22" i="275"/>
  <c r="AY21" i="275"/>
  <c r="AU21" i="275"/>
  <c r="AQ21" i="275"/>
  <c r="AM21" i="275"/>
  <c r="AI21" i="275"/>
  <c r="AE21" i="275"/>
  <c r="AA21" i="275"/>
  <c r="W21" i="275"/>
  <c r="S21" i="275"/>
  <c r="O21" i="275"/>
  <c r="K21" i="275"/>
  <c r="G21" i="275"/>
  <c r="AY20" i="275"/>
  <c r="AU20" i="275"/>
  <c r="AQ20" i="275"/>
  <c r="AM20" i="275"/>
  <c r="AI20" i="275"/>
  <c r="AE20" i="275"/>
  <c r="AA20" i="275"/>
  <c r="W20" i="275"/>
  <c r="S20" i="275"/>
  <c r="O20" i="275"/>
  <c r="K20" i="275"/>
  <c r="G20" i="275"/>
  <c r="AY19" i="275"/>
  <c r="AU19" i="275"/>
  <c r="AQ19" i="275"/>
  <c r="AM19" i="275"/>
  <c r="AI19" i="275"/>
  <c r="AE19" i="275"/>
  <c r="AA19" i="275"/>
  <c r="W19" i="275"/>
  <c r="S19" i="275"/>
  <c r="O19" i="275"/>
  <c r="K19" i="275"/>
  <c r="G19" i="275"/>
  <c r="C19" i="275"/>
  <c r="E20" i="276" s="1"/>
  <c r="AY18" i="275"/>
  <c r="AU18" i="275"/>
  <c r="AQ18" i="275"/>
  <c r="AM18" i="275"/>
  <c r="AI18" i="275"/>
  <c r="AE18" i="275"/>
  <c r="AA18" i="275"/>
  <c r="W18" i="275"/>
  <c r="S18" i="275"/>
  <c r="O18" i="275"/>
  <c r="K18" i="275"/>
  <c r="G18" i="275"/>
  <c r="AY17" i="275"/>
  <c r="AU17" i="275"/>
  <c r="AQ17" i="275"/>
  <c r="AM17" i="275"/>
  <c r="AI17" i="275"/>
  <c r="AE17" i="275"/>
  <c r="AA17" i="275"/>
  <c r="W17" i="275"/>
  <c r="S17" i="275"/>
  <c r="O17" i="275"/>
  <c r="K17" i="275"/>
  <c r="G17" i="275"/>
  <c r="C17" i="275"/>
  <c r="AY16" i="275"/>
  <c r="AU16" i="275"/>
  <c r="AQ16" i="275"/>
  <c r="AM16" i="275"/>
  <c r="AI16" i="275"/>
  <c r="AE16" i="275"/>
  <c r="AA16" i="275"/>
  <c r="W16" i="275"/>
  <c r="S16" i="275"/>
  <c r="O16" i="275"/>
  <c r="K16" i="275"/>
  <c r="G16" i="275"/>
  <c r="AY15" i="275"/>
  <c r="AU15" i="275"/>
  <c r="AQ15" i="275"/>
  <c r="AM15" i="275"/>
  <c r="AI15" i="275"/>
  <c r="AE15" i="275"/>
  <c r="AA15" i="275"/>
  <c r="W15" i="275"/>
  <c r="S15" i="275"/>
  <c r="O15" i="275"/>
  <c r="K15" i="275"/>
  <c r="G15" i="275"/>
  <c r="AY14" i="275"/>
  <c r="AU14" i="275"/>
  <c r="AQ14" i="275"/>
  <c r="AM14" i="275"/>
  <c r="AI14" i="275"/>
  <c r="AE14" i="275"/>
  <c r="AA14" i="275"/>
  <c r="W14" i="275"/>
  <c r="S14" i="275"/>
  <c r="O14" i="275"/>
  <c r="K14" i="275"/>
  <c r="G14" i="275"/>
  <c r="C14" i="275"/>
  <c r="AY13" i="275"/>
  <c r="AU13" i="275"/>
  <c r="AQ13" i="275"/>
  <c r="AM13" i="275"/>
  <c r="AI13" i="275"/>
  <c r="AE13" i="275"/>
  <c r="AA13" i="275"/>
  <c r="W13" i="275"/>
  <c r="S13" i="275"/>
  <c r="O13" i="275"/>
  <c r="K13" i="275"/>
  <c r="G13" i="275"/>
  <c r="C13" i="275"/>
  <c r="AY12" i="275"/>
  <c r="AU12" i="275"/>
  <c r="AQ12" i="275"/>
  <c r="AM12" i="275"/>
  <c r="AI12" i="275"/>
  <c r="AE12" i="275"/>
  <c r="AA12" i="275"/>
  <c r="W12" i="275"/>
  <c r="S12" i="275"/>
  <c r="O12" i="275"/>
  <c r="K12" i="275"/>
  <c r="G12" i="275"/>
  <c r="C12" i="275"/>
  <c r="AY11" i="275"/>
  <c r="AU11" i="275"/>
  <c r="AQ11" i="275"/>
  <c r="AM11" i="275"/>
  <c r="AI11" i="275"/>
  <c r="AE11" i="275"/>
  <c r="AA11" i="275"/>
  <c r="W11" i="275"/>
  <c r="S11" i="275"/>
  <c r="O11" i="275"/>
  <c r="K11" i="275"/>
  <c r="G11" i="275"/>
  <c r="C11" i="275"/>
  <c r="AY10" i="275"/>
  <c r="AU10" i="275"/>
  <c r="AQ10" i="275"/>
  <c r="AM10" i="275"/>
  <c r="AI10" i="275"/>
  <c r="AE10" i="275"/>
  <c r="AA10" i="275"/>
  <c r="W10" i="275"/>
  <c r="S10" i="275"/>
  <c r="O10" i="275"/>
  <c r="K10" i="275"/>
  <c r="G10" i="275"/>
  <c r="C10" i="275"/>
  <c r="AY9" i="275"/>
  <c r="AU9" i="275"/>
  <c r="AQ9" i="275"/>
  <c r="AM9" i="275"/>
  <c r="AI9" i="275"/>
  <c r="AE9" i="275"/>
  <c r="AA9" i="275"/>
  <c r="W9" i="275"/>
  <c r="S9" i="275"/>
  <c r="O9" i="275"/>
  <c r="K9" i="275"/>
  <c r="G9" i="275"/>
  <c r="C9" i="275"/>
  <c r="AY8" i="275"/>
  <c r="AU8" i="275"/>
  <c r="AQ8" i="275"/>
  <c r="AM8" i="275"/>
  <c r="AI8" i="275"/>
  <c r="AE8" i="275"/>
  <c r="AA8" i="275"/>
  <c r="W8" i="275"/>
  <c r="S8" i="275"/>
  <c r="O8" i="275"/>
  <c r="K8" i="275"/>
  <c r="G8" i="275"/>
  <c r="C8" i="275"/>
  <c r="AY7" i="275"/>
  <c r="AU7" i="275"/>
  <c r="AQ7" i="275"/>
  <c r="AM7" i="275"/>
  <c r="AI7" i="275"/>
  <c r="AE7" i="275"/>
  <c r="AA7" i="275"/>
  <c r="W7" i="275"/>
  <c r="S7" i="275"/>
  <c r="O7" i="275"/>
  <c r="K7" i="275"/>
  <c r="G7" i="275"/>
  <c r="C7" i="275"/>
  <c r="AY6" i="275"/>
  <c r="AU6" i="275"/>
  <c r="AQ6" i="275"/>
  <c r="AM6" i="275"/>
  <c r="AI6" i="275"/>
  <c r="AE6" i="275"/>
  <c r="AA6" i="275"/>
  <c r="W6" i="275"/>
  <c r="S6" i="275"/>
  <c r="O6" i="275"/>
  <c r="K6" i="275"/>
  <c r="G6" i="275"/>
  <c r="C6" i="275"/>
  <c r="AY5" i="275"/>
  <c r="AU5" i="275"/>
  <c r="AQ5" i="275"/>
  <c r="AM5" i="275"/>
  <c r="AI5" i="275"/>
  <c r="AE5" i="275"/>
  <c r="AA5" i="275"/>
  <c r="W5" i="275"/>
  <c r="S5" i="275"/>
  <c r="O5" i="275"/>
  <c r="K5" i="275"/>
  <c r="G5" i="275"/>
  <c r="C5" i="275"/>
  <c r="C4" i="275"/>
  <c r="C3" i="275"/>
  <c r="C2" i="275"/>
  <c r="C15" i="274"/>
  <c r="C14" i="274"/>
  <c r="C13" i="274"/>
  <c r="C12" i="274"/>
  <c r="C11" i="274"/>
  <c r="C10" i="274"/>
  <c r="C7" i="274"/>
  <c r="C6" i="274"/>
  <c r="C8" i="274" s="1"/>
  <c r="C3" i="274"/>
  <c r="E1" i="274"/>
  <c r="F16" i="273"/>
  <c r="BP2" i="276"/>
  <c r="E34" i="276" l="1"/>
  <c r="BL2" i="276"/>
  <c r="BH2" i="276"/>
  <c r="C7" i="230" l="1"/>
  <c r="C12" i="230"/>
  <c r="C16" i="230" l="1"/>
  <c r="E22" i="231"/>
  <c r="C13" i="230"/>
  <c r="C17" i="230"/>
  <c r="D6" i="236"/>
  <c r="T47" i="241" l="1"/>
  <c r="G31" i="271" l="1"/>
  <c r="E123" i="204" l="1"/>
  <c r="E138" i="204" l="1"/>
  <c r="E131" i="204"/>
  <c r="E124" i="204"/>
  <c r="K7" i="250" l="1"/>
  <c r="V8" i="209"/>
  <c r="P7" i="262" l="1"/>
  <c r="AF7" i="244"/>
  <c r="T29" i="241"/>
  <c r="T28" i="241"/>
  <c r="T8" i="241"/>
  <c r="T7" i="241"/>
  <c r="P7" i="265" l="1"/>
  <c r="P8" i="265"/>
  <c r="F8" i="273"/>
  <c r="F11" i="273"/>
  <c r="F10" i="273"/>
  <c r="F9" i="273"/>
  <c r="F15" i="273"/>
  <c r="F12" i="273"/>
  <c r="F14" i="273"/>
  <c r="F18" i="273"/>
  <c r="F13" i="273"/>
  <c r="F7" i="273"/>
  <c r="E145" i="204" l="1"/>
  <c r="D5" i="272" l="1"/>
  <c r="D3" i="272"/>
  <c r="G68" i="271"/>
  <c r="G67" i="271"/>
  <c r="G65" i="271"/>
  <c r="G72" i="271" s="1"/>
  <c r="G30" i="271" s="1"/>
  <c r="G58" i="271"/>
  <c r="N39" i="271"/>
  <c r="N36" i="271"/>
  <c r="G27" i="271"/>
  <c r="U25" i="271"/>
  <c r="R25" i="271"/>
  <c r="G22" i="271"/>
  <c r="G21" i="271"/>
  <c r="G20" i="271"/>
  <c r="G19" i="271"/>
  <c r="G18" i="271"/>
  <c r="J29" i="270"/>
  <c r="G29" i="270"/>
  <c r="H14" i="270"/>
  <c r="G35" i="271" s="1"/>
  <c r="H11" i="270"/>
  <c r="G33" i="271" s="1"/>
  <c r="C9" i="270"/>
  <c r="C7" i="270"/>
  <c r="C6" i="270"/>
  <c r="C5" i="270"/>
  <c r="E1" i="270"/>
  <c r="D30" i="215" l="1"/>
  <c r="C22" i="242"/>
  <c r="C11" i="242"/>
  <c r="T17" i="241" l="1"/>
  <c r="E117" i="204" l="1"/>
  <c r="E116" i="204"/>
  <c r="E114" i="204"/>
  <c r="P4" i="262" l="1"/>
  <c r="P6" i="262" l="1"/>
  <c r="D6" i="269" l="1"/>
  <c r="D1" i="269"/>
  <c r="D5" i="269" s="1"/>
  <c r="D3" i="269" s="1"/>
  <c r="E43" i="268"/>
  <c r="E39" i="268"/>
  <c r="E34" i="268"/>
  <c r="E31" i="268"/>
  <c r="E28" i="268"/>
  <c r="E26" i="268"/>
  <c r="N10" i="268" s="1"/>
  <c r="E18" i="268"/>
  <c r="E17" i="268"/>
  <c r="E16" i="268"/>
  <c r="E15" i="268"/>
  <c r="E14" i="268"/>
  <c r="E13" i="268"/>
  <c r="E12" i="268"/>
  <c r="E11" i="268"/>
  <c r="X10" i="268"/>
  <c r="W10" i="268"/>
  <c r="V10" i="268"/>
  <c r="U10" i="268"/>
  <c r="T10" i="268"/>
  <c r="S10" i="268"/>
  <c r="R10" i="268"/>
  <c r="Q10" i="268"/>
  <c r="P10" i="268"/>
  <c r="O10" i="268"/>
  <c r="M10" i="268"/>
  <c r="R5" i="268"/>
  <c r="R4" i="268"/>
  <c r="C22" i="267"/>
  <c r="C20" i="267"/>
  <c r="C18" i="267"/>
  <c r="C17" i="267"/>
  <c r="C8" i="267"/>
  <c r="E1" i="267"/>
  <c r="C14" i="267"/>
  <c r="C15" i="267"/>
  <c r="C11" i="267" l="1"/>
  <c r="C10" i="267"/>
  <c r="C9" i="267"/>
  <c r="L10" i="268"/>
  <c r="G75" i="265"/>
  <c r="C16" i="243" l="1"/>
  <c r="C12" i="243"/>
  <c r="C34" i="243" s="1"/>
  <c r="C11" i="243"/>
  <c r="C33" i="243" s="1"/>
  <c r="C10" i="243"/>
  <c r="C32" i="243" s="1"/>
  <c r="C9" i="243"/>
  <c r="C31" i="243" s="1"/>
  <c r="C8" i="243"/>
  <c r="C30" i="243" s="1"/>
  <c r="C7" i="243"/>
  <c r="C29" i="243" s="1"/>
  <c r="C6" i="243"/>
  <c r="C28" i="243" s="1"/>
  <c r="C5" i="243"/>
  <c r="C27" i="243" s="1"/>
  <c r="C4" i="243"/>
  <c r="C26" i="243" s="1"/>
  <c r="C3" i="243"/>
  <c r="C25" i="243" l="1"/>
  <c r="E2" i="263"/>
  <c r="E19" i="263" l="1"/>
  <c r="D18" i="263"/>
  <c r="D17" i="263"/>
  <c r="D16" i="263"/>
  <c r="D15" i="263"/>
  <c r="E8" i="263"/>
  <c r="E7" i="263"/>
  <c r="E6" i="263"/>
  <c r="E5" i="263"/>
  <c r="E1" i="263"/>
  <c r="E3" i="263"/>
  <c r="D21" i="263" l="1"/>
  <c r="D22" i="263"/>
  <c r="D20" i="263"/>
  <c r="D1" i="266"/>
  <c r="G66" i="265"/>
  <c r="G73" i="265" s="1"/>
  <c r="P10" i="265" s="1"/>
  <c r="G64" i="265"/>
  <c r="G63" i="265"/>
  <c r="G59" i="265"/>
  <c r="G50" i="265"/>
  <c r="G49" i="265"/>
  <c r="G48" i="265"/>
  <c r="G47" i="265"/>
  <c r="G46" i="265"/>
  <c r="G45" i="265"/>
  <c r="G44" i="265"/>
  <c r="G41" i="265"/>
  <c r="G40" i="265"/>
  <c r="P19" i="265"/>
  <c r="P11" i="265"/>
  <c r="P9" i="265"/>
  <c r="P14" i="265" s="1"/>
  <c r="P4" i="265"/>
  <c r="J12" i="264"/>
  <c r="G12" i="264"/>
  <c r="H1" i="264"/>
  <c r="D24" i="263"/>
  <c r="E4" i="263"/>
  <c r="G22" i="262"/>
  <c r="G21" i="262"/>
  <c r="G11" i="262"/>
  <c r="C24" i="261"/>
  <c r="C21" i="261"/>
  <c r="C20" i="261"/>
  <c r="C18" i="261"/>
  <c r="C16" i="261"/>
  <c r="C13" i="261"/>
  <c r="C12" i="261"/>
  <c r="C11" i="261"/>
  <c r="C10" i="261"/>
  <c r="C4" i="261"/>
  <c r="C19" i="261" s="1"/>
  <c r="J7" i="260"/>
  <c r="H7" i="260"/>
  <c r="H14" i="209"/>
  <c r="M14" i="209"/>
  <c r="D19" i="263" l="1"/>
  <c r="D28" i="263" s="1"/>
  <c r="D8" i="266"/>
  <c r="D7" i="266" s="1"/>
  <c r="G68" i="265"/>
  <c r="E1" i="261"/>
  <c r="G69" i="265"/>
  <c r="D5" i="266"/>
  <c r="D3" i="266" s="1"/>
  <c r="D1" i="243"/>
  <c r="D12" i="263" l="1"/>
  <c r="D11" i="263"/>
  <c r="C23" i="243"/>
  <c r="D37" i="243"/>
  <c r="G12" i="210"/>
  <c r="G13" i="210"/>
  <c r="G14" i="210"/>
  <c r="C35" i="243"/>
  <c r="C24" i="243"/>
  <c r="D16" i="243"/>
  <c r="D15" i="243"/>
  <c r="D14" i="243"/>
  <c r="D13" i="243"/>
  <c r="D2" i="243"/>
  <c r="C39" i="243" l="1"/>
  <c r="C37" i="243"/>
  <c r="C38" i="243"/>
  <c r="E24" i="210"/>
  <c r="E23" i="210"/>
  <c r="E22" i="210"/>
  <c r="C36" i="243" l="1"/>
  <c r="E37" i="210"/>
  <c r="F36" i="210"/>
  <c r="E34" i="210" s="1"/>
  <c r="F35" i="210"/>
  <c r="F33" i="210"/>
  <c r="F32" i="210"/>
  <c r="F31" i="210"/>
  <c r="F30" i="210"/>
  <c r="G27" i="210"/>
  <c r="G11" i="210"/>
  <c r="G10" i="210"/>
  <c r="G9" i="210"/>
  <c r="G15" i="210"/>
  <c r="G8" i="210"/>
  <c r="G7" i="210"/>
  <c r="G6" i="210"/>
  <c r="G5" i="210"/>
  <c r="G4" i="210"/>
  <c r="G3" i="210"/>
  <c r="G2" i="210"/>
  <c r="C46" i="243" l="1"/>
  <c r="C20" i="243"/>
  <c r="E29" i="210"/>
  <c r="F28" i="210"/>
  <c r="F26" i="210"/>
  <c r="F27" i="210"/>
  <c r="D16" i="251"/>
  <c r="C19" i="251" s="1"/>
  <c r="C17" i="251"/>
  <c r="C15" i="251"/>
  <c r="C14" i="251"/>
  <c r="D7" i="251"/>
  <c r="D6" i="251"/>
  <c r="D5" i="251"/>
  <c r="D4" i="251"/>
  <c r="D3" i="251"/>
  <c r="D2" i="251"/>
  <c r="C18" i="251" l="1"/>
  <c r="C16" i="251" s="1"/>
  <c r="E25" i="210"/>
  <c r="D45" i="258"/>
  <c r="D19" i="210" l="1"/>
  <c r="D44" i="258"/>
  <c r="D31" i="258" l="1"/>
  <c r="D19" i="258"/>
  <c r="D16" i="258"/>
  <c r="D28" i="258" l="1"/>
  <c r="D27" i="258"/>
  <c r="D26" i="258"/>
  <c r="D25" i="258"/>
  <c r="D24" i="258"/>
  <c r="D23" i="258"/>
  <c r="D20" i="258"/>
  <c r="D35" i="258"/>
  <c r="E22" i="250" l="1"/>
  <c r="C24" i="249" l="1"/>
  <c r="C21" i="249" l="1"/>
  <c r="C20" i="249"/>
  <c r="C4" i="249" l="1"/>
  <c r="C19" i="249" s="1"/>
  <c r="C18" i="249"/>
  <c r="E12" i="250" l="1"/>
  <c r="C13" i="249"/>
  <c r="C16" i="249"/>
  <c r="C12" i="253" l="1"/>
  <c r="C1" i="259" l="1"/>
  <c r="C5" i="259" s="1"/>
  <c r="C3" i="259" s="1"/>
  <c r="D7" i="257"/>
  <c r="D21" i="251" l="1"/>
  <c r="C21" i="251" s="1"/>
  <c r="D6" i="255" l="1"/>
  <c r="D1" i="255"/>
  <c r="E48" i="254"/>
  <c r="E39" i="254"/>
  <c r="E36" i="254"/>
  <c r="E33" i="254"/>
  <c r="E32" i="254"/>
  <c r="E30" i="254"/>
  <c r="E21" i="254"/>
  <c r="E20" i="254"/>
  <c r="E19" i="254"/>
  <c r="E18" i="254"/>
  <c r="E17" i="254"/>
  <c r="U12" i="254"/>
  <c r="S12" i="254" s="1"/>
  <c r="T12" i="254"/>
  <c r="R12" i="254" s="1"/>
  <c r="T7" i="254"/>
  <c r="O7" i="254"/>
  <c r="C22" i="253"/>
  <c r="C20" i="253"/>
  <c r="C18" i="253"/>
  <c r="C17" i="253"/>
  <c r="C11" i="253"/>
  <c r="C10" i="253"/>
  <c r="C8" i="253"/>
  <c r="C7" i="253"/>
  <c r="C6" i="253"/>
  <c r="C5" i="253"/>
  <c r="C4" i="252"/>
  <c r="E1" i="252"/>
  <c r="C14" i="253"/>
  <c r="C15" i="253"/>
  <c r="D5" i="255" l="1"/>
  <c r="D3" i="255" s="1"/>
  <c r="C11" i="251"/>
  <c r="K12" i="254"/>
  <c r="P12" i="254" s="1"/>
  <c r="C25" i="251" l="1"/>
  <c r="C10" i="251"/>
  <c r="L12" i="254"/>
  <c r="O12" i="254"/>
  <c r="N12" i="254"/>
  <c r="Q12" i="254"/>
  <c r="M12" i="254"/>
  <c r="C29" i="230"/>
  <c r="O5" i="248" l="1"/>
  <c r="T5" i="248"/>
  <c r="K5" i="250"/>
  <c r="D15" i="248" l="1"/>
  <c r="C11" i="249"/>
  <c r="C10" i="249"/>
  <c r="C12" i="249" s="1"/>
  <c r="F1" i="249"/>
  <c r="C23" i="249" l="1"/>
  <c r="D85" i="241" l="1"/>
  <c r="AF5" i="244"/>
  <c r="AF6" i="244" l="1"/>
  <c r="C16" i="245" l="1"/>
  <c r="N4" i="245"/>
  <c r="L4" i="245"/>
  <c r="D11" i="244"/>
  <c r="D41" i="243"/>
  <c r="C41" i="243" s="1"/>
  <c r="C19" i="243" s="1"/>
  <c r="D20" i="243"/>
  <c r="D12" i="243"/>
  <c r="D11" i="243"/>
  <c r="D10" i="243"/>
  <c r="D9" i="243"/>
  <c r="D8" i="243"/>
  <c r="D7" i="243"/>
  <c r="D6" i="243"/>
  <c r="D5" i="243"/>
  <c r="D4" i="243"/>
  <c r="D3" i="243"/>
  <c r="C23" i="242"/>
  <c r="C20" i="242"/>
  <c r="C19" i="242"/>
  <c r="C17" i="242"/>
  <c r="C12" i="242"/>
  <c r="C10" i="242"/>
  <c r="C9" i="242"/>
  <c r="C3" i="242"/>
  <c r="G1" i="242" s="1"/>
  <c r="D49" i="241"/>
  <c r="T4" i="241"/>
  <c r="D48" i="241"/>
  <c r="D47" i="241"/>
  <c r="D46" i="241"/>
  <c r="D45" i="241"/>
  <c r="D44" i="241"/>
  <c r="T43" i="241"/>
  <c r="D41" i="241"/>
  <c r="D40" i="241"/>
  <c r="T39" i="241"/>
  <c r="T38" i="241"/>
  <c r="T37" i="241"/>
  <c r="T36" i="241"/>
  <c r="T30" i="241"/>
  <c r="T27" i="241"/>
  <c r="T26" i="241"/>
  <c r="T25" i="241"/>
  <c r="T24" i="241"/>
  <c r="T23" i="241"/>
  <c r="T22" i="241"/>
  <c r="T21" i="241"/>
  <c r="T20" i="241"/>
  <c r="T19" i="241"/>
  <c r="T18" i="241"/>
  <c r="T16" i="241"/>
  <c r="T15" i="241"/>
  <c r="T14" i="241"/>
  <c r="T13" i="241"/>
  <c r="T12" i="241"/>
  <c r="T11" i="241"/>
  <c r="T10" i="241"/>
  <c r="T9" i="241"/>
  <c r="D1" i="240"/>
  <c r="L61" i="239"/>
  <c r="I61" i="239"/>
  <c r="C30" i="239"/>
  <c r="C28" i="239"/>
  <c r="T45" i="241" s="1"/>
  <c r="C27" i="239"/>
  <c r="T44" i="241" s="1"/>
  <c r="C26" i="239"/>
  <c r="T42" i="241" s="1"/>
  <c r="C25" i="239"/>
  <c r="T41" i="241" s="1"/>
  <c r="C24" i="239"/>
  <c r="T40" i="241" s="1"/>
  <c r="C23" i="239"/>
  <c r="T35" i="241" s="1"/>
  <c r="C22" i="239"/>
  <c r="T32" i="241" s="1"/>
  <c r="C21" i="239"/>
  <c r="T31" i="241" s="1"/>
  <c r="J1" i="239"/>
  <c r="C15" i="242"/>
  <c r="D18" i="240" l="1"/>
  <c r="D16" i="240" s="1"/>
  <c r="D23" i="240"/>
  <c r="C18" i="242"/>
  <c r="D8" i="240"/>
  <c r="D7" i="240" s="1"/>
  <c r="D5" i="240"/>
  <c r="D3" i="240" s="1"/>
  <c r="C11" i="230" l="1"/>
  <c r="E45" i="235" l="1"/>
  <c r="E48" i="231" l="1"/>
  <c r="E33" i="231" l="1"/>
  <c r="E41" i="235" l="1"/>
  <c r="E44" i="231"/>
  <c r="D63" i="204" l="1"/>
  <c r="K115" i="204" l="1"/>
  <c r="V6" i="209" l="1"/>
  <c r="G69" i="227" l="1"/>
  <c r="G43" i="227" l="1"/>
  <c r="E19" i="231" l="1"/>
  <c r="D1" i="236" l="1"/>
  <c r="D5" i="236" s="1"/>
  <c r="E30" i="235"/>
  <c r="E27" i="235"/>
  <c r="E19" i="235"/>
  <c r="E18" i="235"/>
  <c r="E17" i="235"/>
  <c r="E16" i="235"/>
  <c r="E15" i="235"/>
  <c r="E14" i="235"/>
  <c r="V11" i="235"/>
  <c r="U11" i="235"/>
  <c r="T11" i="235"/>
  <c r="S11" i="235"/>
  <c r="R11" i="235"/>
  <c r="U7" i="235"/>
  <c r="U6" i="235"/>
  <c r="C25" i="234"/>
  <c r="C23" i="234"/>
  <c r="C21" i="234"/>
  <c r="C20" i="234"/>
  <c r="C9" i="234"/>
  <c r="C7" i="234"/>
  <c r="E22" i="235" s="1"/>
  <c r="I1" i="233"/>
  <c r="D6" i="232"/>
  <c r="D1" i="232"/>
  <c r="D5" i="232" s="1"/>
  <c r="E30" i="231"/>
  <c r="E27" i="231"/>
  <c r="E18" i="231"/>
  <c r="E17" i="231"/>
  <c r="E16" i="231"/>
  <c r="E15" i="231"/>
  <c r="E14" i="231"/>
  <c r="E13" i="231"/>
  <c r="U12" i="231"/>
  <c r="T12" i="231"/>
  <c r="S12" i="231"/>
  <c r="R12" i="231"/>
  <c r="Q12" i="231"/>
  <c r="C27" i="230"/>
  <c r="C25" i="230"/>
  <c r="C24" i="230"/>
  <c r="C9" i="230"/>
  <c r="I1" i="229"/>
  <c r="C18" i="234" l="1"/>
  <c r="C17" i="234"/>
  <c r="C14" i="234"/>
  <c r="C13" i="234"/>
  <c r="C11" i="234"/>
  <c r="E39" i="231"/>
  <c r="C10" i="234"/>
  <c r="E36" i="235"/>
  <c r="E29" i="231"/>
  <c r="E36" i="231"/>
  <c r="C10" i="230"/>
  <c r="E29" i="235"/>
  <c r="E33" i="235"/>
  <c r="D3" i="236"/>
  <c r="D3" i="232"/>
  <c r="L12" i="231"/>
  <c r="O12" i="231" s="1"/>
  <c r="L11" i="235"/>
  <c r="P11" i="235" s="1"/>
  <c r="D5" i="228"/>
  <c r="D3" i="228" s="1"/>
  <c r="D1" i="228"/>
  <c r="T70" i="227"/>
  <c r="Q70" i="227"/>
  <c r="T69" i="227"/>
  <c r="Q69" i="227"/>
  <c r="T68" i="227"/>
  <c r="Q68" i="227"/>
  <c r="T67" i="227"/>
  <c r="Q67" i="227"/>
  <c r="T66" i="227"/>
  <c r="Q66" i="227"/>
  <c r="T65" i="227"/>
  <c r="Q65" i="227"/>
  <c r="T64" i="227"/>
  <c r="Q64" i="227"/>
  <c r="T63" i="227"/>
  <c r="Q63" i="227"/>
  <c r="T62" i="227"/>
  <c r="Q62" i="227"/>
  <c r="T61" i="227"/>
  <c r="Q61" i="227"/>
  <c r="G65" i="227"/>
  <c r="T60" i="227"/>
  <c r="Q60" i="227"/>
  <c r="T59" i="227"/>
  <c r="Q59" i="227"/>
  <c r="T58" i="227"/>
  <c r="Q58" i="227"/>
  <c r="T57" i="227"/>
  <c r="Q57" i="227"/>
  <c r="T56" i="227"/>
  <c r="Q56" i="227"/>
  <c r="T55" i="227"/>
  <c r="Q55" i="227"/>
  <c r="T54" i="227"/>
  <c r="Q54" i="227"/>
  <c r="T53" i="227"/>
  <c r="Q53" i="227"/>
  <c r="T52" i="227"/>
  <c r="Q52" i="227"/>
  <c r="G56" i="227"/>
  <c r="T51" i="227"/>
  <c r="Q51" i="227"/>
  <c r="G55" i="227"/>
  <c r="G61" i="227" s="1"/>
  <c r="T50" i="227"/>
  <c r="Q50" i="227"/>
  <c r="T49" i="227"/>
  <c r="Q49" i="227"/>
  <c r="T48" i="227"/>
  <c r="Q48" i="227"/>
  <c r="G52" i="227"/>
  <c r="Q1" i="227" s="1"/>
  <c r="G42" i="227"/>
  <c r="G41" i="227"/>
  <c r="G40" i="227"/>
  <c r="G39" i="227"/>
  <c r="G38" i="227"/>
  <c r="G37" i="227"/>
  <c r="G36" i="227"/>
  <c r="G33" i="227"/>
  <c r="G32" i="227"/>
  <c r="G29" i="227"/>
  <c r="O7" i="227"/>
  <c r="AA1" i="227"/>
  <c r="W1" i="227"/>
  <c r="V1" i="227" s="1"/>
  <c r="U1" i="227"/>
  <c r="T1" i="227"/>
  <c r="S1" i="227"/>
  <c r="R1" i="227"/>
  <c r="P1" i="227"/>
  <c r="C32" i="226"/>
  <c r="C31" i="226"/>
  <c r="C29" i="226"/>
  <c r="C25" i="226"/>
  <c r="C23" i="226"/>
  <c r="C22" i="226"/>
  <c r="C21" i="226"/>
  <c r="C20" i="226"/>
  <c r="C16" i="226"/>
  <c r="C15" i="226"/>
  <c r="C14" i="226"/>
  <c r="C13" i="226"/>
  <c r="C12" i="226"/>
  <c r="C11" i="226"/>
  <c r="C10" i="226"/>
  <c r="C8" i="226"/>
  <c r="C7" i="226"/>
  <c r="O5" i="227" l="1"/>
  <c r="N12" i="231"/>
  <c r="M12" i="231"/>
  <c r="M11" i="235"/>
  <c r="N11" i="235"/>
  <c r="P12" i="231"/>
  <c r="O11" i="235"/>
  <c r="G60" i="227"/>
  <c r="S10" i="214" l="1"/>
  <c r="N10" i="214"/>
  <c r="E111" i="204"/>
  <c r="D11" i="215"/>
  <c r="E112" i="204"/>
  <c r="G112" i="204" s="1"/>
  <c r="C24" i="218"/>
  <c r="C25" i="214" l="1"/>
  <c r="D29" i="215"/>
  <c r="AS44" i="204" l="1"/>
  <c r="K43" i="218"/>
  <c r="AP44" i="204"/>
  <c r="H43" i="218"/>
  <c r="E150" i="204" l="1"/>
  <c r="E152" i="204" l="1"/>
  <c r="E149" i="204"/>
  <c r="E148" i="204"/>
  <c r="E147" i="204"/>
  <c r="E146" i="204"/>
  <c r="E144" i="204"/>
  <c r="E143" i="204"/>
  <c r="E142" i="204"/>
  <c r="E141" i="204"/>
  <c r="E140" i="204"/>
  <c r="H152" i="204"/>
  <c r="H150" i="204"/>
  <c r="G110" i="204"/>
  <c r="F112" i="204" l="1"/>
  <c r="E108" i="204" l="1"/>
  <c r="J166" i="204"/>
  <c r="E107" i="204"/>
  <c r="H153" i="204" s="1"/>
  <c r="E113" i="204" l="1"/>
  <c r="E137" i="204"/>
  <c r="E136" i="204"/>
  <c r="E135" i="204"/>
  <c r="E134" i="204"/>
  <c r="E133" i="204"/>
  <c r="E132" i="204"/>
  <c r="E130" i="204"/>
  <c r="E129" i="204"/>
  <c r="E128" i="204"/>
  <c r="E127" i="204"/>
  <c r="E126" i="204"/>
  <c r="E125" i="204"/>
  <c r="E122" i="204"/>
  <c r="E121" i="204"/>
  <c r="E120" i="204"/>
  <c r="E119" i="204"/>
  <c r="D44" i="210" l="1"/>
  <c r="D20" i="215"/>
  <c r="D23" i="215"/>
  <c r="D22" i="215"/>
  <c r="D8" i="215"/>
  <c r="D19" i="215" s="1"/>
  <c r="H40" i="210" l="1"/>
  <c r="E40" i="210" s="1"/>
  <c r="D18" i="210" s="1"/>
  <c r="G14" i="215"/>
  <c r="H12" i="209"/>
  <c r="H11" i="209"/>
  <c r="F1" i="218" l="1"/>
  <c r="D62" i="204" l="1"/>
  <c r="D61" i="204"/>
  <c r="D60" i="204"/>
  <c r="D59" i="204"/>
  <c r="D57" i="204"/>
  <c r="D58" i="204"/>
  <c r="D13" i="215" l="1"/>
  <c r="D15" i="215"/>
  <c r="D32" i="215"/>
  <c r="D27" i="215"/>
  <c r="N8" i="214" l="1"/>
  <c r="N7" i="214"/>
  <c r="C19" i="214"/>
  <c r="C16" i="214"/>
  <c r="D16" i="215"/>
  <c r="C17" i="214"/>
  <c r="D14" i="215"/>
</calcChain>
</file>

<file path=xl/sharedStrings.xml><?xml version="1.0" encoding="utf-8"?>
<sst xmlns="http://schemas.openxmlformats.org/spreadsheetml/2006/main" count="4022" uniqueCount="2363">
  <si>
    <t>コード検索</t>
    <rPh sb="3" eb="5">
      <t>ケンサク</t>
    </rPh>
    <phoneticPr fontId="2"/>
  </si>
  <si>
    <t>備考</t>
    <rPh sb="0" eb="2">
      <t>ビコウ</t>
    </rPh>
    <phoneticPr fontId="2"/>
  </si>
  <si>
    <t>参照作成</t>
    <rPh sb="0" eb="2">
      <t>サンショウ</t>
    </rPh>
    <rPh sb="2" eb="4">
      <t>サクセイ</t>
    </rPh>
    <phoneticPr fontId="2"/>
  </si>
  <si>
    <t>新規登録</t>
    <rPh sb="0" eb="2">
      <t>シンキ</t>
    </rPh>
    <rPh sb="2" eb="4">
      <t>トウロク</t>
    </rPh>
    <phoneticPr fontId="2"/>
  </si>
  <si>
    <t>前ページ</t>
    <rPh sb="0" eb="1">
      <t>マエ</t>
    </rPh>
    <phoneticPr fontId="2"/>
  </si>
  <si>
    <t>次ページ</t>
    <rPh sb="0" eb="1">
      <t>ツギ</t>
    </rPh>
    <phoneticPr fontId="2"/>
  </si>
  <si>
    <t>未使用：</t>
    <rPh sb="0" eb="3">
      <t>ミシヨウ</t>
    </rPh>
    <phoneticPr fontId="2"/>
  </si>
  <si>
    <t>登録日時：</t>
    <rPh sb="0" eb="2">
      <t>トウロク</t>
    </rPh>
    <rPh sb="2" eb="4">
      <t>ニチジ</t>
    </rPh>
    <phoneticPr fontId="2"/>
  </si>
  <si>
    <t>更新日時：</t>
    <rPh sb="0" eb="2">
      <t>コウシン</t>
    </rPh>
    <rPh sb="2" eb="4">
      <t>ニチジ</t>
    </rPh>
    <phoneticPr fontId="2"/>
  </si>
  <si>
    <t>注記：</t>
    <rPh sb="0" eb="2">
      <t>チュウキ</t>
    </rPh>
    <phoneticPr fontId="2"/>
  </si>
  <si>
    <t>回収日：</t>
    <rPh sb="0" eb="3">
      <t>カイシュウビ</t>
    </rPh>
    <phoneticPr fontId="2"/>
  </si>
  <si>
    <t>ヶ月後</t>
    <rPh sb="1" eb="2">
      <t>ゲツ</t>
    </rPh>
    <rPh sb="2" eb="3">
      <t>ゴ</t>
    </rPh>
    <phoneticPr fontId="2"/>
  </si>
  <si>
    <t>　　日</t>
    <rPh sb="2" eb="3">
      <t>ヒ</t>
    </rPh>
    <phoneticPr fontId="2"/>
  </si>
  <si>
    <t>備考</t>
  </si>
  <si>
    <t>支払方法：</t>
    <rPh sb="0" eb="2">
      <t>シハライ</t>
    </rPh>
    <rPh sb="2" eb="4">
      <t>ホウホウ</t>
    </rPh>
    <phoneticPr fontId="2"/>
  </si>
  <si>
    <t>選択</t>
    <rPh sb="0" eb="2">
      <t>センタク</t>
    </rPh>
    <phoneticPr fontId="2"/>
  </si>
  <si>
    <t>＞</t>
    <phoneticPr fontId="2"/>
  </si>
  <si>
    <t>社員マスタメンテ</t>
    <rPh sb="0" eb="2">
      <t>シャイン</t>
    </rPh>
    <phoneticPr fontId="2"/>
  </si>
  <si>
    <t>社員CD：</t>
    <rPh sb="0" eb="2">
      <t>シャイン</t>
    </rPh>
    <phoneticPr fontId="2"/>
  </si>
  <si>
    <t>印：</t>
    <rPh sb="0" eb="1">
      <t>イン</t>
    </rPh>
    <phoneticPr fontId="2"/>
  </si>
  <si>
    <t>社員CD</t>
    <rPh sb="0" eb="2">
      <t>シャイン</t>
    </rPh>
    <phoneticPr fontId="2"/>
  </si>
  <si>
    <t>削除</t>
    <rPh sb="0" eb="2">
      <t>サクジョ</t>
    </rPh>
    <phoneticPr fontId="2"/>
  </si>
  <si>
    <t>フリーワード：</t>
    <phoneticPr fontId="2"/>
  </si>
  <si>
    <t>社員CD</t>
    <phoneticPr fontId="2"/>
  </si>
  <si>
    <t>社員マスタ検索</t>
    <rPh sb="5" eb="7">
      <t>ケンサク</t>
    </rPh>
    <phoneticPr fontId="2"/>
  </si>
  <si>
    <t>仕入先CD</t>
  </si>
  <si>
    <t>仕入先名</t>
    <rPh sb="0" eb="2">
      <t>シイレ</t>
    </rPh>
    <rPh sb="2" eb="3">
      <t>サキ</t>
    </rPh>
    <rPh sb="3" eb="4">
      <t>メイ</t>
    </rPh>
    <phoneticPr fontId="2"/>
  </si>
  <si>
    <t>分類▼</t>
    <rPh sb="0" eb="2">
      <t>ブンルイ</t>
    </rPh>
    <phoneticPr fontId="2"/>
  </si>
  <si>
    <t>回収種別▼</t>
    <rPh sb="0" eb="2">
      <t>カイシュウ</t>
    </rPh>
    <rPh sb="2" eb="4">
      <t>シュベツ</t>
    </rPh>
    <phoneticPr fontId="2"/>
  </si>
  <si>
    <t>端数処理▼</t>
    <rPh sb="0" eb="2">
      <t>ハスウ</t>
    </rPh>
    <rPh sb="2" eb="4">
      <t>ショリ</t>
    </rPh>
    <phoneticPr fontId="2"/>
  </si>
  <si>
    <t>納品請求書発行：</t>
    <rPh sb="0" eb="2">
      <t>ノウヒン</t>
    </rPh>
    <rPh sb="2" eb="5">
      <t>セイキュウショ</t>
    </rPh>
    <rPh sb="5" eb="7">
      <t>ハッコウ</t>
    </rPh>
    <phoneticPr fontId="2"/>
  </si>
  <si>
    <t>所属部署</t>
    <rPh sb="0" eb="2">
      <t>ショゾク</t>
    </rPh>
    <rPh sb="2" eb="4">
      <t>ブショ</t>
    </rPh>
    <phoneticPr fontId="2"/>
  </si>
  <si>
    <t>未使用</t>
    <rPh sb="0" eb="3">
      <t>ミシヨウ</t>
    </rPh>
    <phoneticPr fontId="2"/>
  </si>
  <si>
    <t>所属部署▼</t>
    <rPh sb="0" eb="2">
      <t>ショゾク</t>
    </rPh>
    <rPh sb="2" eb="4">
      <t>ブショ</t>
    </rPh>
    <phoneticPr fontId="2"/>
  </si>
  <si>
    <t>氏名</t>
    <rPh sb="0" eb="2">
      <t>シメイ</t>
    </rPh>
    <phoneticPr fontId="2"/>
  </si>
  <si>
    <t>氏名：</t>
    <rPh sb="0" eb="1">
      <t>シ</t>
    </rPh>
    <rPh sb="1" eb="2">
      <t>メイ</t>
    </rPh>
    <phoneticPr fontId="2"/>
  </si>
  <si>
    <t>氏名：</t>
    <rPh sb="0" eb="2">
      <t>シメイ</t>
    </rPh>
    <phoneticPr fontId="2"/>
  </si>
  <si>
    <t>未使用フラグ</t>
    <rPh sb="0" eb="3">
      <t>ミシヨウ</t>
    </rPh>
    <phoneticPr fontId="2"/>
  </si>
  <si>
    <t>氏名</t>
    <rPh sb="0" eb="1">
      <t>シ</t>
    </rPh>
    <rPh sb="1" eb="2">
      <t>メイ</t>
    </rPh>
    <phoneticPr fontId="2"/>
  </si>
  <si>
    <t>モード制御</t>
    <rPh sb="3" eb="5">
      <t>セイギョ</t>
    </rPh>
    <phoneticPr fontId="2"/>
  </si>
  <si>
    <t>所属部署CD</t>
    <rPh sb="0" eb="2">
      <t>ショゾク</t>
    </rPh>
    <rPh sb="2" eb="4">
      <t>ブショ</t>
    </rPh>
    <phoneticPr fontId="2"/>
  </si>
  <si>
    <t>【ボタン名】</t>
    <rPh sb="4" eb="5">
      <t>メイ</t>
    </rPh>
    <phoneticPr fontId="2"/>
  </si>
  <si>
    <t>【保存IF】</t>
    <rPh sb="1" eb="3">
      <t>ホゾン</t>
    </rPh>
    <phoneticPr fontId="2"/>
  </si>
  <si>
    <t>修正/参照ボタン</t>
    <rPh sb="0" eb="2">
      <t>シュウセイ</t>
    </rPh>
    <rPh sb="3" eb="5">
      <t>サンショウ</t>
    </rPh>
    <phoneticPr fontId="2"/>
  </si>
  <si>
    <t>登録ボタン</t>
    <rPh sb="0" eb="2">
      <t>トウロク</t>
    </rPh>
    <phoneticPr fontId="2"/>
  </si>
  <si>
    <t>【ボタン制御】</t>
    <rPh sb="4" eb="6">
      <t>セイギョ</t>
    </rPh>
    <phoneticPr fontId="2"/>
  </si>
  <si>
    <t>【保存チェック】</t>
    <rPh sb="1" eb="3">
      <t>ホゾン</t>
    </rPh>
    <phoneticPr fontId="2"/>
  </si>
  <si>
    <t>1:OK / 0:NG</t>
    <phoneticPr fontId="2"/>
  </si>
  <si>
    <t>【ボタン文字色】</t>
    <rPh sb="4" eb="6">
      <t>モジ</t>
    </rPh>
    <rPh sb="6" eb="7">
      <t>イロ</t>
    </rPh>
    <phoneticPr fontId="2"/>
  </si>
  <si>
    <t>モード制御参照</t>
    <rPh sb="3" eb="5">
      <t>セイギョ</t>
    </rPh>
    <rPh sb="5" eb="7">
      <t>サンショウ</t>
    </rPh>
    <phoneticPr fontId="2"/>
  </si>
  <si>
    <t>参照作成ボタン</t>
    <rPh sb="0" eb="2">
      <t>サンショウ</t>
    </rPh>
    <rPh sb="2" eb="4">
      <t>サクセイ</t>
    </rPh>
    <phoneticPr fontId="2"/>
  </si>
  <si>
    <t>削除ボタン</t>
    <rPh sb="0" eb="2">
      <t>サクジョ</t>
    </rPh>
    <phoneticPr fontId="2"/>
  </si>
  <si>
    <t>キャンセルボタン</t>
    <phoneticPr fontId="2"/>
  </si>
  <si>
    <t>担当者印選択ボタン</t>
    <rPh sb="0" eb="3">
      <t>タントウシャ</t>
    </rPh>
    <rPh sb="3" eb="4">
      <t>イン</t>
    </rPh>
    <rPh sb="4" eb="6">
      <t>センタク</t>
    </rPh>
    <phoneticPr fontId="2"/>
  </si>
  <si>
    <t>Excel出力ボタン</t>
    <rPh sb="5" eb="7">
      <t>シュツリョク</t>
    </rPh>
    <phoneticPr fontId="2"/>
  </si>
  <si>
    <t>2:修正</t>
  </si>
  <si>
    <t>0:参照</t>
  </si>
  <si>
    <t>1:新規</t>
    <rPh sb="2" eb="4">
      <t>シンキ</t>
    </rPh>
    <phoneticPr fontId="2"/>
  </si>
  <si>
    <t>-</t>
    <phoneticPr fontId="2"/>
  </si>
  <si>
    <t>参照</t>
    <phoneticPr fontId="2"/>
  </si>
  <si>
    <t>修正</t>
    <phoneticPr fontId="2"/>
  </si>
  <si>
    <t>保存</t>
  </si>
  <si>
    <t>白(5)</t>
    <rPh sb="0" eb="1">
      <t>シロ</t>
    </rPh>
    <phoneticPr fontId="2"/>
  </si>
  <si>
    <t>有効(1)</t>
  </si>
  <si>
    <t>無効(2)</t>
  </si>
  <si>
    <t>UNMM0010_IF_MODE</t>
  </si>
  <si>
    <t>UNMM0010_IF_BUTTON_06_NAME</t>
  </si>
  <si>
    <t>UNMM0010_IF_BUTTON_10_NAME</t>
  </si>
  <si>
    <t>UNMM0010_IF_BUTTON_06_FONTCOLOR</t>
  </si>
  <si>
    <t>UNMM0010_IF_BUTTON_10_FONTCOLOR</t>
  </si>
  <si>
    <t>UNMM0010_IF_BUTTON_04_HYOJI</t>
  </si>
  <si>
    <t>UNMM0010_IF_BUTTON_07_HYOJI</t>
  </si>
  <si>
    <t>UNMM0010_IF_BUTTON_09_HYOJI</t>
  </si>
  <si>
    <t>UNMM0010_IF_BUTTON_11_HYOJI</t>
  </si>
  <si>
    <t>UNMM0010_IF_BUTTON_20_HYOJI</t>
  </si>
  <si>
    <t>入力チェック</t>
    <rPh sb="0" eb="2">
      <t>ニュウリョク</t>
    </rPh>
    <phoneticPr fontId="2"/>
  </si>
  <si>
    <t>【保存対象】</t>
    <rPh sb="1" eb="3">
      <t>ホゾン</t>
    </rPh>
    <rPh sb="3" eb="5">
      <t>タイショウ</t>
    </rPh>
    <phoneticPr fontId="2"/>
  </si>
  <si>
    <t>社員マスタ詳細読込SQL</t>
    <rPh sb="0" eb="2">
      <t>シャイン</t>
    </rPh>
    <rPh sb="5" eb="7">
      <t>ショウサイ</t>
    </rPh>
    <rPh sb="7" eb="9">
      <t>ヨミコミ</t>
    </rPh>
    <phoneticPr fontId="2"/>
  </si>
  <si>
    <t>SQL1</t>
    <phoneticPr fontId="2"/>
  </si>
  <si>
    <t>担当者印パス</t>
    <rPh sb="0" eb="3">
      <t>タントウシャ</t>
    </rPh>
    <rPh sb="3" eb="4">
      <t>イン</t>
    </rPh>
    <phoneticPr fontId="2"/>
  </si>
  <si>
    <t>UNMM0010_BUSHO_CD</t>
  </si>
  <si>
    <t>UNMM0010_MISHIYO_FLG</t>
  </si>
  <si>
    <t>物理削除SQL</t>
    <rPh sb="0" eb="2">
      <t>ブツリ</t>
    </rPh>
    <rPh sb="2" eb="4">
      <t>サクジョ</t>
    </rPh>
    <phoneticPr fontId="2"/>
  </si>
  <si>
    <t>【担当者印】</t>
    <rPh sb="1" eb="4">
      <t>タントウシャ</t>
    </rPh>
    <rPh sb="4" eb="5">
      <t>イン</t>
    </rPh>
    <phoneticPr fontId="2"/>
  </si>
  <si>
    <t>アップロード先フォルダ</t>
    <rPh sb="6" eb="7">
      <t>サキ</t>
    </rPh>
    <phoneticPr fontId="2"/>
  </si>
  <si>
    <t>←セル高さ変更禁止</t>
    <rPh sb="3" eb="4">
      <t>タカ</t>
    </rPh>
    <rPh sb="5" eb="7">
      <t>ヘンコウ</t>
    </rPh>
    <rPh sb="7" eb="9">
      <t>キンシ</t>
    </rPh>
    <phoneticPr fontId="2"/>
  </si>
  <si>
    <t>画像配置場所</t>
    <rPh sb="0" eb="2">
      <t>ガゾウ</t>
    </rPh>
    <rPh sb="2" eb="4">
      <t>ハイチ</t>
    </rPh>
    <rPh sb="4" eb="6">
      <t>バショ</t>
    </rPh>
    <phoneticPr fontId="2"/>
  </si>
  <si>
    <t>既存画像有無フラグ</t>
    <rPh sb="0" eb="2">
      <t>キゾン</t>
    </rPh>
    <rPh sb="2" eb="4">
      <t>ガゾウ</t>
    </rPh>
    <rPh sb="4" eb="6">
      <t>ウム</t>
    </rPh>
    <phoneticPr fontId="2"/>
  </si>
  <si>
    <t>ローカル保存先フォルダ</t>
    <rPh sb="4" eb="6">
      <t>ホゾン</t>
    </rPh>
    <rPh sb="6" eb="7">
      <t>サキ</t>
    </rPh>
    <phoneticPr fontId="2"/>
  </si>
  <si>
    <t>ローカル保存パス</t>
    <rPh sb="4" eb="6">
      <t>ホゾン</t>
    </rPh>
    <phoneticPr fontId="2"/>
  </si>
  <si>
    <t>画像更新フラグ</t>
    <rPh sb="0" eb="2">
      <t>ガゾウ</t>
    </rPh>
    <rPh sb="2" eb="4">
      <t>コウシン</t>
    </rPh>
    <phoneticPr fontId="2"/>
  </si>
  <si>
    <t>画像パスを保存するかを判定する(既存有：TRUE / 更新有：TRUE / 両方無し：FALSE)</t>
    <rPh sb="0" eb="2">
      <t>ガゾウ</t>
    </rPh>
    <rPh sb="5" eb="7">
      <t>ホゾン</t>
    </rPh>
    <rPh sb="11" eb="13">
      <t>ハンテイ</t>
    </rPh>
    <rPh sb="16" eb="18">
      <t>キゾン</t>
    </rPh>
    <rPh sb="18" eb="19">
      <t>ユウ</t>
    </rPh>
    <rPh sb="27" eb="29">
      <t>コウシン</t>
    </rPh>
    <rPh sb="29" eb="30">
      <t>ユウ</t>
    </rPh>
    <rPh sb="38" eb="40">
      <t>リョウホウ</t>
    </rPh>
    <rPh sb="40" eb="41">
      <t>ナ</t>
    </rPh>
    <phoneticPr fontId="2"/>
  </si>
  <si>
    <t>読込データの画像パスが既にある場合、TRUE</t>
    <rPh sb="0" eb="2">
      <t>ヨミコミ</t>
    </rPh>
    <rPh sb="6" eb="8">
      <t>ガゾウ</t>
    </rPh>
    <rPh sb="11" eb="12">
      <t>スデ</t>
    </rPh>
    <rPh sb="15" eb="17">
      <t>バアイ</t>
    </rPh>
    <phoneticPr fontId="2"/>
  </si>
  <si>
    <t>【保存】</t>
    <rPh sb="1" eb="3">
      <t>ホゾン</t>
    </rPh>
    <phoneticPr fontId="2"/>
  </si>
  <si>
    <t>【選択】</t>
    <rPh sb="1" eb="3">
      <t>センタク</t>
    </rPh>
    <phoneticPr fontId="2"/>
  </si>
  <si>
    <t>選択画像パス</t>
    <rPh sb="0" eb="2">
      <t>センタク</t>
    </rPh>
    <rPh sb="2" eb="4">
      <t>ガゾウ</t>
    </rPh>
    <phoneticPr fontId="2"/>
  </si>
  <si>
    <t>画像保存判定フラグ</t>
    <rPh sb="0" eb="2">
      <t>ガゾウ</t>
    </rPh>
    <rPh sb="2" eb="4">
      <t>ホゾン</t>
    </rPh>
    <rPh sb="4" eb="6">
      <t>ハンテイ</t>
    </rPh>
    <phoneticPr fontId="2"/>
  </si>
  <si>
    <t>選択画像フォルダ</t>
    <rPh sb="0" eb="2">
      <t>センタク</t>
    </rPh>
    <rPh sb="2" eb="4">
      <t>ガゾウ</t>
    </rPh>
    <phoneticPr fontId="2"/>
  </si>
  <si>
    <t>選択画像ファイル</t>
    <rPh sb="0" eb="2">
      <t>センタク</t>
    </rPh>
    <rPh sb="2" eb="4">
      <t>ガゾウ</t>
    </rPh>
    <phoneticPr fontId="2"/>
  </si>
  <si>
    <t>枠:75x75px</t>
    <rPh sb="0" eb="1">
      <t>ワク</t>
    </rPh>
    <phoneticPr fontId="2"/>
  </si>
  <si>
    <t>画像:74x74px</t>
    <rPh sb="0" eb="2">
      <t>ガゾウ</t>
    </rPh>
    <phoneticPr fontId="2"/>
  </si>
  <si>
    <t>UNMM_COMMON_SQL_BUSHO_SERCH</t>
    <phoneticPr fontId="2"/>
  </si>
  <si>
    <t>【コード検索用】</t>
    <rPh sb="4" eb="7">
      <t>ケンサクヨウ</t>
    </rPh>
    <phoneticPr fontId="2"/>
  </si>
  <si>
    <t>【モード制御】</t>
    <rPh sb="4" eb="6">
      <t>セイギョ</t>
    </rPh>
    <phoneticPr fontId="2"/>
  </si>
  <si>
    <t>【フォーカス判定】</t>
    <rPh sb="6" eb="8">
      <t>ハンテイ</t>
    </rPh>
    <phoneticPr fontId="2"/>
  </si>
  <si>
    <t>選択シート名</t>
    <rPh sb="0" eb="2">
      <t>センタク</t>
    </rPh>
    <rPh sb="5" eb="6">
      <t>メイ</t>
    </rPh>
    <phoneticPr fontId="2"/>
  </si>
  <si>
    <t>選択セル名</t>
    <rPh sb="0" eb="2">
      <t>センタク</t>
    </rPh>
    <rPh sb="4" eb="5">
      <t>メイ</t>
    </rPh>
    <phoneticPr fontId="2"/>
  </si>
  <si>
    <t>選択行番号</t>
    <rPh sb="0" eb="2">
      <t>センタク</t>
    </rPh>
    <rPh sb="2" eb="3">
      <t>ギョウ</t>
    </rPh>
    <rPh sb="3" eb="5">
      <t>バンゴウ</t>
    </rPh>
    <phoneticPr fontId="2"/>
  </si>
  <si>
    <t>選択列番号</t>
    <rPh sb="0" eb="2">
      <t>センタク</t>
    </rPh>
    <rPh sb="2" eb="3">
      <t>レツ</t>
    </rPh>
    <rPh sb="3" eb="5">
      <t>バンゴウ</t>
    </rPh>
    <phoneticPr fontId="2"/>
  </si>
  <si>
    <t>登録日時</t>
    <rPh sb="0" eb="2">
      <t>トウロク</t>
    </rPh>
    <rPh sb="2" eb="4">
      <t>ニチジ</t>
    </rPh>
    <phoneticPr fontId="2"/>
  </si>
  <si>
    <t>更新日時</t>
    <rPh sb="0" eb="2">
      <t>コウシン</t>
    </rPh>
    <rPh sb="2" eb="4">
      <t>ニチジ</t>
    </rPh>
    <phoneticPr fontId="2"/>
  </si>
  <si>
    <t>【新規モード】</t>
    <rPh sb="1" eb="3">
      <t>シンキ</t>
    </rPh>
    <phoneticPr fontId="2"/>
  </si>
  <si>
    <t>【修正モード】</t>
    <rPh sb="1" eb="3">
      <t>シュウセイ</t>
    </rPh>
    <phoneticPr fontId="2"/>
  </si>
  <si>
    <t>【参照モード】</t>
    <rPh sb="1" eb="3">
      <t>サンショウ</t>
    </rPh>
    <phoneticPr fontId="2"/>
  </si>
  <si>
    <t>新規モードコピー元範囲</t>
    <rPh sb="0" eb="2">
      <t>シンキ</t>
    </rPh>
    <rPh sb="8" eb="9">
      <t>モト</t>
    </rPh>
    <rPh sb="9" eb="11">
      <t>ハンイ</t>
    </rPh>
    <phoneticPr fontId="2"/>
  </si>
  <si>
    <t>修正モードコピー元範囲</t>
    <rPh sb="0" eb="2">
      <t>シュウセイ</t>
    </rPh>
    <rPh sb="8" eb="9">
      <t>モト</t>
    </rPh>
    <rPh sb="9" eb="11">
      <t>ハンイ</t>
    </rPh>
    <phoneticPr fontId="2"/>
  </si>
  <si>
    <t>参照モードコピー元範囲</t>
    <rPh sb="0" eb="2">
      <t>サンショウ</t>
    </rPh>
    <rPh sb="8" eb="9">
      <t>モト</t>
    </rPh>
    <rPh sb="9" eb="11">
      <t>ハンイ</t>
    </rPh>
    <phoneticPr fontId="2"/>
  </si>
  <si>
    <t>G3:I5</t>
    <phoneticPr fontId="2"/>
  </si>
  <si>
    <t>未使用も表示</t>
    <rPh sb="0" eb="3">
      <t>ミシヨウ</t>
    </rPh>
    <rPh sb="4" eb="6">
      <t>ヒョウジ</t>
    </rPh>
    <phoneticPr fontId="2"/>
  </si>
  <si>
    <t>フリーワード区分</t>
    <rPh sb="6" eb="8">
      <t>クブン</t>
    </rPh>
    <phoneticPr fontId="2"/>
  </si>
  <si>
    <t>UNMM0011_H_FREEWD_KBN</t>
  </si>
  <si>
    <t>【コピー元】</t>
    <rPh sb="4" eb="5">
      <t>モト</t>
    </rPh>
    <phoneticPr fontId="2"/>
  </si>
  <si>
    <t>全件数</t>
    <rPh sb="0" eb="2">
      <t>ゼンケン</t>
    </rPh>
    <rPh sb="2" eb="3">
      <t>スウ</t>
    </rPh>
    <phoneticPr fontId="2"/>
  </si>
  <si>
    <t>ページ番号</t>
    <rPh sb="3" eb="5">
      <t>バンゴウ</t>
    </rPh>
    <phoneticPr fontId="2"/>
  </si>
  <si>
    <t>総ページ数</t>
    <rPh sb="0" eb="1">
      <t>ソウ</t>
    </rPh>
    <rPh sb="4" eb="5">
      <t>スウ</t>
    </rPh>
    <phoneticPr fontId="2"/>
  </si>
  <si>
    <t>表示件数</t>
    <rPh sb="0" eb="2">
      <t>ヒョウジ</t>
    </rPh>
    <rPh sb="2" eb="4">
      <t>ケンスウ</t>
    </rPh>
    <phoneticPr fontId="2"/>
  </si>
  <si>
    <t>モード書式コピー先</t>
    <rPh sb="3" eb="5">
      <t>ショシキ</t>
    </rPh>
    <rPh sb="8" eb="9">
      <t>サキ</t>
    </rPh>
    <phoneticPr fontId="2"/>
  </si>
  <si>
    <t>社員マスタリスト読込SQL</t>
    <rPh sb="0" eb="2">
      <t>シャイン</t>
    </rPh>
    <rPh sb="8" eb="10">
      <t>ヨミコミ</t>
    </rPh>
    <phoneticPr fontId="2"/>
  </si>
  <si>
    <t>選択社員CD</t>
    <rPh sb="0" eb="2">
      <t>センタク</t>
    </rPh>
    <rPh sb="2" eb="4">
      <t>シャイン</t>
    </rPh>
    <phoneticPr fontId="2"/>
  </si>
  <si>
    <t>UNMM0011_B_LIST_COPY_SAKI</t>
    <phoneticPr fontId="2"/>
  </si>
  <si>
    <t>UNMM0011_B_LIST_CLEAR</t>
    <phoneticPr fontId="2"/>
  </si>
  <si>
    <t>UNMM0011_B_SELECT_SHAIN_CD</t>
    <phoneticPr fontId="2"/>
  </si>
  <si>
    <t>UNMM0011_IF_ACTIVE_ROW</t>
    <phoneticPr fontId="2"/>
  </si>
  <si>
    <t>UNMM0011_IF_ACTIVE_COLUMN</t>
    <phoneticPr fontId="2"/>
  </si>
  <si>
    <t>UNMM0011_IF_ACTIVE_SHEET</t>
    <phoneticPr fontId="2"/>
  </si>
  <si>
    <t>UNMM0011_IF_ACTIVE_CELL_NAME</t>
    <phoneticPr fontId="2"/>
  </si>
  <si>
    <t>フリーワード2</t>
  </si>
  <si>
    <t>フリーワード3</t>
  </si>
  <si>
    <t>並べ替え</t>
    <rPh sb="0" eb="1">
      <t>ナラ</t>
    </rPh>
    <rPh sb="2" eb="3">
      <t>カ</t>
    </rPh>
    <phoneticPr fontId="2"/>
  </si>
  <si>
    <t>リスト書式コピー先</t>
    <rPh sb="3" eb="5">
      <t>ショシキ</t>
    </rPh>
    <rPh sb="8" eb="9">
      <t>サキ</t>
    </rPh>
    <phoneticPr fontId="2"/>
  </si>
  <si>
    <t>リストクリア範囲</t>
    <rPh sb="6" eb="8">
      <t>ハンイ</t>
    </rPh>
    <phoneticPr fontId="2"/>
  </si>
  <si>
    <t>リスト展開開始位置</t>
    <rPh sb="3" eb="5">
      <t>テンカイ</t>
    </rPh>
    <rPh sb="5" eb="7">
      <t>カイシ</t>
    </rPh>
    <rPh sb="7" eb="9">
      <t>イチ</t>
    </rPh>
    <phoneticPr fontId="2"/>
  </si>
  <si>
    <t>UNMM0011_B_LIST_START</t>
    <phoneticPr fontId="2"/>
  </si>
  <si>
    <t>表示行数定義</t>
    <rPh sb="0" eb="2">
      <t>ヒョウジ</t>
    </rPh>
    <rPh sb="2" eb="4">
      <t>ギョウスウ</t>
    </rPh>
    <rPh sb="4" eb="6">
      <t>テイギ</t>
    </rPh>
    <phoneticPr fontId="2"/>
  </si>
  <si>
    <t>UNMM0011_B_CTRL_HYOJI_GYO_SU</t>
    <phoneticPr fontId="2"/>
  </si>
  <si>
    <t>リスト展開終了位置</t>
    <rPh sb="3" eb="5">
      <t>テンカイ</t>
    </rPh>
    <rPh sb="5" eb="7">
      <t>シュウリョウ</t>
    </rPh>
    <rPh sb="7" eb="9">
      <t>イチ</t>
    </rPh>
    <phoneticPr fontId="2"/>
  </si>
  <si>
    <t>UNMM0011_B_LIST_END</t>
    <phoneticPr fontId="2"/>
  </si>
  <si>
    <t>選択行番号</t>
    <rPh sb="0" eb="2">
      <t>センタク</t>
    </rPh>
    <rPh sb="2" eb="5">
      <t>ギョウバンゴウ</t>
    </rPh>
    <phoneticPr fontId="2"/>
  </si>
  <si>
    <t>UNMM0011_B_SELECT_GYO_NO</t>
    <phoneticPr fontId="2"/>
  </si>
  <si>
    <t>表示行数取得</t>
    <rPh sb="0" eb="2">
      <t>ヒョウジ</t>
    </rPh>
    <rPh sb="2" eb="4">
      <t>ギョウスウ</t>
    </rPh>
    <rPh sb="4" eb="6">
      <t>シュトク</t>
    </rPh>
    <phoneticPr fontId="2"/>
  </si>
  <si>
    <t>UNMM_COMMON_SQL_SELECT_CTRL_HYOJI_GYO_SU</t>
    <phoneticPr fontId="2"/>
  </si>
  <si>
    <t>SELECT HYOJI_GYO_SU
  FROM M_CONTROL
 WHERE CTRL_KEY = 1</t>
    <phoneticPr fontId="2"/>
  </si>
  <si>
    <t>リスト書式コピー元範囲</t>
    <rPh sb="3" eb="5">
      <t>ショシキ</t>
    </rPh>
    <rPh sb="8" eb="9">
      <t>モト</t>
    </rPh>
    <rPh sb="9" eb="11">
      <t>ハンイ</t>
    </rPh>
    <phoneticPr fontId="2"/>
  </si>
  <si>
    <t>リスト初期書式コピー元範囲</t>
    <rPh sb="3" eb="5">
      <t>ショキ</t>
    </rPh>
    <rPh sb="5" eb="7">
      <t>ショシキ</t>
    </rPh>
    <rPh sb="10" eb="11">
      <t>モト</t>
    </rPh>
    <rPh sb="11" eb="13">
      <t>ハンイ</t>
    </rPh>
    <phoneticPr fontId="2"/>
  </si>
  <si>
    <t>条件</t>
    <rPh sb="0" eb="2">
      <t>ジョウケン</t>
    </rPh>
    <phoneticPr fontId="2"/>
  </si>
  <si>
    <t>UNMM0011_H</t>
    <phoneticPr fontId="2"/>
  </si>
  <si>
    <t>UNMM0011_H_SHAIN_CD</t>
  </si>
  <si>
    <t>所属部署検索用SQL</t>
    <rPh sb="0" eb="2">
      <t>ショゾク</t>
    </rPh>
    <rPh sb="2" eb="4">
      <t>ブショ</t>
    </rPh>
    <rPh sb="4" eb="6">
      <t>ケンサク</t>
    </rPh>
    <rPh sb="6" eb="7">
      <t>ヨウ</t>
    </rPh>
    <phoneticPr fontId="2"/>
  </si>
  <si>
    <t>社員検索用SQL</t>
    <rPh sb="0" eb="2">
      <t>シャイン</t>
    </rPh>
    <rPh sb="2" eb="4">
      <t>ケンサク</t>
    </rPh>
    <rPh sb="4" eb="5">
      <t>ヨウ</t>
    </rPh>
    <phoneticPr fontId="2"/>
  </si>
  <si>
    <t>UNMM_COMMON_SQL_SHAIN_SERCH</t>
    <phoneticPr fontId="2"/>
  </si>
  <si>
    <t>条件(所属部署)</t>
    <rPh sb="0" eb="2">
      <t>ジョウケン</t>
    </rPh>
    <rPh sb="3" eb="5">
      <t>ショゾク</t>
    </rPh>
    <rPh sb="5" eb="7">
      <t>ブショ</t>
    </rPh>
    <phoneticPr fontId="2"/>
  </si>
  <si>
    <t>条件(社員)</t>
    <rPh sb="0" eb="2">
      <t>ジョウケン</t>
    </rPh>
    <rPh sb="3" eb="5">
      <t>シャイン</t>
    </rPh>
    <phoneticPr fontId="2"/>
  </si>
  <si>
    <t>条件(氏名)</t>
    <rPh sb="0" eb="2">
      <t>ジョウケン</t>
    </rPh>
    <rPh sb="3" eb="5">
      <t>シメイ</t>
    </rPh>
    <phoneticPr fontId="2"/>
  </si>
  <si>
    <t>条件(未使用フラグ)</t>
    <rPh sb="0" eb="2">
      <t>ジョウケン</t>
    </rPh>
    <rPh sb="3" eb="6">
      <t>ミシヨウ</t>
    </rPh>
    <phoneticPr fontId="2"/>
  </si>
  <si>
    <t>条件(フリーワード2)</t>
    <rPh sb="0" eb="2">
      <t>ジョウケン</t>
    </rPh>
    <phoneticPr fontId="2"/>
  </si>
  <si>
    <t>条件(フリーワード1)</t>
    <rPh sb="0" eb="2">
      <t>ジョウケン</t>
    </rPh>
    <phoneticPr fontId="2"/>
  </si>
  <si>
    <t>条件(フリーワード3)</t>
    <rPh sb="0" eb="2">
      <t>ジョウケン</t>
    </rPh>
    <phoneticPr fontId="2"/>
  </si>
  <si>
    <t>黒(0)</t>
    <phoneticPr fontId="2"/>
  </si>
  <si>
    <t>NO
IMAGE</t>
    <phoneticPr fontId="2"/>
  </si>
  <si>
    <t>UNMM0010_IF_BUTTON_06_HYOJI</t>
    <phoneticPr fontId="2"/>
  </si>
  <si>
    <t>UNMM0010_IF_BUTTON_10_HYOJI</t>
    <phoneticPr fontId="2"/>
  </si>
  <si>
    <t>【処理用判定】</t>
    <rPh sb="1" eb="3">
      <t>ショリ</t>
    </rPh>
    <rPh sb="3" eb="4">
      <t>ヨウ</t>
    </rPh>
    <rPh sb="4" eb="6">
      <t>ハンテイ</t>
    </rPh>
    <phoneticPr fontId="2"/>
  </si>
  <si>
    <t>データ照会中フラグ</t>
    <rPh sb="3" eb="5">
      <t>ショウカイ</t>
    </rPh>
    <rPh sb="5" eb="6">
      <t>チュウ</t>
    </rPh>
    <phoneticPr fontId="2"/>
  </si>
  <si>
    <t>UNMM0010_IF_DATA_SEARCH_FLG</t>
    <phoneticPr fontId="2"/>
  </si>
  <si>
    <t>ON:1</t>
    <phoneticPr fontId="2"/>
  </si>
  <si>
    <t>OFF:1以外</t>
    <rPh sb="5" eb="7">
      <t>イガイ</t>
    </rPh>
    <phoneticPr fontId="2"/>
  </si>
  <si>
    <t>仕入先</t>
    <rPh sb="0" eb="2">
      <t>シイレ</t>
    </rPh>
    <rPh sb="2" eb="3">
      <t>サキ</t>
    </rPh>
    <phoneticPr fontId="2"/>
  </si>
  <si>
    <t>メーカー</t>
    <phoneticPr fontId="2"/>
  </si>
  <si>
    <t>分析</t>
    <rPh sb="0" eb="2">
      <t>ブンセキ</t>
    </rPh>
    <phoneticPr fontId="2"/>
  </si>
  <si>
    <t>商品</t>
    <rPh sb="0" eb="2">
      <t>ショウヒン</t>
    </rPh>
    <phoneticPr fontId="2"/>
  </si>
  <si>
    <t>購買</t>
    <rPh sb="0" eb="2">
      <t>コウバイ</t>
    </rPh>
    <phoneticPr fontId="2"/>
  </si>
  <si>
    <t>諸経費</t>
    <rPh sb="0" eb="3">
      <t>ショケイヒ</t>
    </rPh>
    <phoneticPr fontId="2"/>
  </si>
  <si>
    <t>商品CD</t>
    <rPh sb="0" eb="2">
      <t>ショウヒン</t>
    </rPh>
    <phoneticPr fontId="2"/>
  </si>
  <si>
    <t>ステータス</t>
    <phoneticPr fontId="2"/>
  </si>
  <si>
    <t>メーカー名</t>
    <rPh sb="4" eb="5">
      <t>メイ</t>
    </rPh>
    <phoneticPr fontId="2"/>
  </si>
  <si>
    <t>商品マスタ検索</t>
    <rPh sb="0" eb="2">
      <t>ショウヒン</t>
    </rPh>
    <rPh sb="5" eb="7">
      <t>ケンサク</t>
    </rPh>
    <phoneticPr fontId="2"/>
  </si>
  <si>
    <t>取扱区分：</t>
    <rPh sb="0" eb="2">
      <t>トリアツカ</t>
    </rPh>
    <rPh sb="2" eb="4">
      <t>クブン</t>
    </rPh>
    <phoneticPr fontId="2"/>
  </si>
  <si>
    <t>分析項目</t>
    <rPh sb="0" eb="2">
      <t>ブンセキ</t>
    </rPh>
    <rPh sb="2" eb="4">
      <t>コウモク</t>
    </rPh>
    <phoneticPr fontId="2"/>
  </si>
  <si>
    <t>販売商品</t>
    <rPh sb="0" eb="2">
      <t>ハンバイ</t>
    </rPh>
    <rPh sb="2" eb="4">
      <t>ショウヒン</t>
    </rPh>
    <phoneticPr fontId="2"/>
  </si>
  <si>
    <t>購買品</t>
    <rPh sb="0" eb="3">
      <t>コウバイヒン</t>
    </rPh>
    <phoneticPr fontId="2"/>
  </si>
  <si>
    <t>ステータス：</t>
    <phoneticPr fontId="2"/>
  </si>
  <si>
    <t>仮登録</t>
    <rPh sb="0" eb="3">
      <t>カリトウロク</t>
    </rPh>
    <phoneticPr fontId="2"/>
  </si>
  <si>
    <t>採用</t>
    <rPh sb="0" eb="2">
      <t>サイヨウ</t>
    </rPh>
    <phoneticPr fontId="2"/>
  </si>
  <si>
    <t>商品CD▽</t>
    <rPh sb="0" eb="2">
      <t>ショウヒン</t>
    </rPh>
    <phoneticPr fontId="2"/>
  </si>
  <si>
    <t>仕入先▼</t>
    <rPh sb="0" eb="2">
      <t>シイレ</t>
    </rPh>
    <rPh sb="2" eb="3">
      <t>サキ</t>
    </rPh>
    <phoneticPr fontId="2"/>
  </si>
  <si>
    <t>メーカー▼</t>
    <phoneticPr fontId="2"/>
  </si>
  <si>
    <t>商品名</t>
    <rPh sb="0" eb="3">
      <t>ショウヒンメイ</t>
    </rPh>
    <phoneticPr fontId="2"/>
  </si>
  <si>
    <t>相手先商品名</t>
    <rPh sb="0" eb="3">
      <t>アイテサキ</t>
    </rPh>
    <rPh sb="3" eb="6">
      <t>ショウヒンメイ</t>
    </rPh>
    <phoneticPr fontId="2"/>
  </si>
  <si>
    <t>取扱区分：</t>
    <rPh sb="0" eb="2">
      <t>トリアツカイ</t>
    </rPh>
    <rPh sb="2" eb="4">
      <t>クブン</t>
    </rPh>
    <phoneticPr fontId="2"/>
  </si>
  <si>
    <t>商品CD：</t>
    <rPh sb="0" eb="2">
      <t>ショウヒン</t>
    </rPh>
    <phoneticPr fontId="2"/>
  </si>
  <si>
    <t>商品名：</t>
    <rPh sb="0" eb="2">
      <t>ショウヒン</t>
    </rPh>
    <rPh sb="2" eb="3">
      <t>メイ</t>
    </rPh>
    <phoneticPr fontId="2"/>
  </si>
  <si>
    <t>相手先商品名：</t>
    <rPh sb="0" eb="3">
      <t>アイテサキ</t>
    </rPh>
    <rPh sb="3" eb="5">
      <t>ショウヒン</t>
    </rPh>
    <rPh sb="5" eb="6">
      <t>メイ</t>
    </rPh>
    <phoneticPr fontId="2"/>
  </si>
  <si>
    <t>外注先▼</t>
    <rPh sb="0" eb="3">
      <t>ガイチュウサキ</t>
    </rPh>
    <phoneticPr fontId="2"/>
  </si>
  <si>
    <t>【商品・購買品・諸経費情報】</t>
    <rPh sb="1" eb="3">
      <t>ショウヒン</t>
    </rPh>
    <rPh sb="4" eb="6">
      <t>コウバイ</t>
    </rPh>
    <rPh sb="6" eb="7">
      <t>ヒン</t>
    </rPh>
    <rPh sb="8" eb="11">
      <t>ショケイヒ</t>
    </rPh>
    <rPh sb="11" eb="13">
      <t>ジョウホウ</t>
    </rPh>
    <phoneticPr fontId="2"/>
  </si>
  <si>
    <t>入数：</t>
    <rPh sb="0" eb="2">
      <t>イリスウ</t>
    </rPh>
    <phoneticPr fontId="2"/>
  </si>
  <si>
    <t>標準価格：</t>
    <rPh sb="0" eb="2">
      <t>ヒョウジュン</t>
    </rPh>
    <rPh sb="2" eb="4">
      <t>カカク</t>
    </rPh>
    <phoneticPr fontId="2"/>
  </si>
  <si>
    <t>仕入入数：</t>
    <rPh sb="0" eb="2">
      <t>シイレ</t>
    </rPh>
    <rPh sb="2" eb="4">
      <t>イリスウ</t>
    </rPh>
    <phoneticPr fontId="2"/>
  </si>
  <si>
    <t>入数単位：</t>
    <rPh sb="0" eb="2">
      <t>イリスウ</t>
    </rPh>
    <rPh sb="2" eb="4">
      <t>タンイ</t>
    </rPh>
    <phoneticPr fontId="2"/>
  </si>
  <si>
    <t>原価：</t>
    <rPh sb="0" eb="2">
      <t>ゲンカ</t>
    </rPh>
    <phoneticPr fontId="2"/>
  </si>
  <si>
    <t>仕入入数単位：</t>
    <rPh sb="0" eb="2">
      <t>シイレ</t>
    </rPh>
    <rPh sb="2" eb="4">
      <t>イリスウ</t>
    </rPh>
    <rPh sb="3" eb="4">
      <t>シイレ</t>
    </rPh>
    <rPh sb="4" eb="6">
      <t>タンイ</t>
    </rPh>
    <phoneticPr fontId="2"/>
  </si>
  <si>
    <t>バラ単位：</t>
    <rPh sb="2" eb="4">
      <t>タンイ</t>
    </rPh>
    <phoneticPr fontId="2"/>
  </si>
  <si>
    <t>売価：</t>
    <rPh sb="0" eb="2">
      <t>バイカ</t>
    </rPh>
    <phoneticPr fontId="2"/>
  </si>
  <si>
    <t>日</t>
    <rPh sb="0" eb="1">
      <t>ニチ</t>
    </rPh>
    <phoneticPr fontId="2"/>
  </si>
  <si>
    <t>仕入単価：</t>
    <rPh sb="0" eb="2">
      <t>シイレ</t>
    </rPh>
    <rPh sb="2" eb="4">
      <t>タンカ</t>
    </rPh>
    <phoneticPr fontId="2"/>
  </si>
  <si>
    <t>定価：</t>
    <rPh sb="0" eb="2">
      <t>テイカ</t>
    </rPh>
    <phoneticPr fontId="2"/>
  </si>
  <si>
    <t>最低価格：</t>
    <rPh sb="0" eb="2">
      <t>サイテイ</t>
    </rPh>
    <rPh sb="2" eb="4">
      <t>カカク</t>
    </rPh>
    <phoneticPr fontId="2"/>
  </si>
  <si>
    <t>保管場所▼</t>
    <rPh sb="0" eb="2">
      <t>ホカン</t>
    </rPh>
    <phoneticPr fontId="2"/>
  </si>
  <si>
    <t>市場価格：</t>
    <rPh sb="0" eb="2">
      <t>シジョウ</t>
    </rPh>
    <rPh sb="2" eb="4">
      <t>カカク</t>
    </rPh>
    <phoneticPr fontId="2"/>
  </si>
  <si>
    <t>購買閾値：</t>
    <rPh sb="0" eb="2">
      <t>コウバイ</t>
    </rPh>
    <rPh sb="2" eb="4">
      <t>シキイチ</t>
    </rPh>
    <phoneticPr fontId="2"/>
  </si>
  <si>
    <t>【分析項目情報】</t>
    <rPh sb="1" eb="3">
      <t>ブンセキ</t>
    </rPh>
    <rPh sb="3" eb="5">
      <t>コウモク</t>
    </rPh>
    <rPh sb="5" eb="7">
      <t>ジョウホウ</t>
    </rPh>
    <phoneticPr fontId="2"/>
  </si>
  <si>
    <t>単位：</t>
    <rPh sb="0" eb="2">
      <t>タンイ</t>
    </rPh>
    <phoneticPr fontId="2"/>
  </si>
  <si>
    <t>分析番号：</t>
    <rPh sb="0" eb="2">
      <t>ブンセキ</t>
    </rPh>
    <rPh sb="2" eb="4">
      <t>バンゴウ</t>
    </rPh>
    <phoneticPr fontId="2"/>
  </si>
  <si>
    <t>分析フロー(裏書ラベル作成用)：</t>
    <rPh sb="0" eb="2">
      <t>ブンセキ</t>
    </rPh>
    <rPh sb="6" eb="8">
      <t>ウラガキ</t>
    </rPh>
    <rPh sb="11" eb="13">
      <t>サクセイ</t>
    </rPh>
    <rPh sb="13" eb="14">
      <t>ヨウ</t>
    </rPh>
    <phoneticPr fontId="2"/>
  </si>
  <si>
    <t>備考：</t>
    <rPh sb="0" eb="2">
      <t>ビコウ</t>
    </rPh>
    <phoneticPr fontId="2"/>
  </si>
  <si>
    <t>ステータス▼</t>
    <phoneticPr fontId="2"/>
  </si>
  <si>
    <t>標準納期：</t>
    <phoneticPr fontId="2"/>
  </si>
  <si>
    <t>取り扱い区分</t>
    <rPh sb="0" eb="1">
      <t>ト</t>
    </rPh>
    <rPh sb="2" eb="3">
      <t>アツカ</t>
    </rPh>
    <rPh sb="4" eb="6">
      <t>クブン</t>
    </rPh>
    <phoneticPr fontId="2"/>
  </si>
  <si>
    <t>UNMM0051_H_BUNSEKIKOMOKU_FLG</t>
    <phoneticPr fontId="2"/>
  </si>
  <si>
    <t>UNMM0051_H_SHOHIN_FLG</t>
    <phoneticPr fontId="2"/>
  </si>
  <si>
    <t>UNMM0051_H_KOBAIHIN_FLG</t>
    <phoneticPr fontId="2"/>
  </si>
  <si>
    <t>UNMM0051_H_SHOKEIHI_FLG</t>
    <phoneticPr fontId="2"/>
  </si>
  <si>
    <t>仮登録ステータス</t>
    <rPh sb="0" eb="3">
      <t>カリトウロク</t>
    </rPh>
    <phoneticPr fontId="2"/>
  </si>
  <si>
    <t>採用ステータス</t>
    <rPh sb="0" eb="2">
      <t>サイヨウ</t>
    </rPh>
    <phoneticPr fontId="2"/>
  </si>
  <si>
    <t>UNMM0051_H_KARI_STS</t>
    <phoneticPr fontId="2"/>
  </si>
  <si>
    <t>UNMM0051_H_SAIYO_STS</t>
    <phoneticPr fontId="2"/>
  </si>
  <si>
    <t>UNMM0051_H_SHOHIN_CD</t>
    <phoneticPr fontId="2"/>
  </si>
  <si>
    <t>UNMM0051_H_SHIIRE_CD</t>
    <phoneticPr fontId="2"/>
  </si>
  <si>
    <t>UNMM0051_H_SHIIRE_MEI</t>
    <phoneticPr fontId="2"/>
  </si>
  <si>
    <t>UNMM0051_H_MAKER_CD</t>
    <phoneticPr fontId="2"/>
  </si>
  <si>
    <t>UNMM0051_H_MAKER_MEI</t>
    <phoneticPr fontId="2"/>
  </si>
  <si>
    <t>UNMM0051_H_MISHIYO</t>
    <phoneticPr fontId="2"/>
  </si>
  <si>
    <t>未使用表示フラグ</t>
    <rPh sb="0" eb="3">
      <t>ミシヨウ</t>
    </rPh>
    <rPh sb="3" eb="5">
      <t>ヒョウジ</t>
    </rPh>
    <phoneticPr fontId="2"/>
  </si>
  <si>
    <t>商品情報(仮)</t>
    <rPh sb="0" eb="2">
      <t>ショウヒン</t>
    </rPh>
    <rPh sb="2" eb="4">
      <t>ジョウホウ</t>
    </rPh>
    <rPh sb="5" eb="6">
      <t>カリ</t>
    </rPh>
    <phoneticPr fontId="2"/>
  </si>
  <si>
    <t>UNMM0051_H_FREEWD_KBN</t>
    <phoneticPr fontId="2"/>
  </si>
  <si>
    <t>検索件数</t>
    <rPh sb="0" eb="2">
      <t>ケンサク</t>
    </rPh>
    <rPh sb="2" eb="4">
      <t>ケンスウ</t>
    </rPh>
    <phoneticPr fontId="2"/>
  </si>
  <si>
    <t>最大行数</t>
    <rPh sb="0" eb="2">
      <t>サイダイ</t>
    </rPh>
    <rPh sb="2" eb="4">
      <t>ギョウスウ</t>
    </rPh>
    <phoneticPr fontId="2"/>
  </si>
  <si>
    <t>総ページ数</t>
    <rPh sb="0" eb="1">
      <t>ソウ</t>
    </rPh>
    <rPh sb="4" eb="5">
      <t>スウ</t>
    </rPh>
    <phoneticPr fontId="2"/>
  </si>
  <si>
    <t>ページ番号</t>
    <rPh sb="3" eb="5">
      <t>バンゴウ</t>
    </rPh>
    <phoneticPr fontId="2"/>
  </si>
  <si>
    <t>表示件数</t>
    <rPh sb="0" eb="2">
      <t>ヒョウジ</t>
    </rPh>
    <rPh sb="2" eb="4">
      <t>ケンスウ</t>
    </rPh>
    <phoneticPr fontId="2"/>
  </si>
  <si>
    <t>■ 定義</t>
    <rPh sb="2" eb="4">
      <t>テイギ</t>
    </rPh>
    <phoneticPr fontId="2"/>
  </si>
  <si>
    <t>■表示用変数</t>
    <rPh sb="1" eb="4">
      <t>ヒョウジヨウ</t>
    </rPh>
    <rPh sb="4" eb="6">
      <t>ヘンスウ</t>
    </rPh>
    <phoneticPr fontId="2"/>
  </si>
  <si>
    <t>リスト展開開始位置</t>
    <rPh sb="3" eb="5">
      <t>テンカイ</t>
    </rPh>
    <rPh sb="5" eb="7">
      <t>カイシ</t>
    </rPh>
    <rPh sb="7" eb="9">
      <t>イチ</t>
    </rPh>
    <phoneticPr fontId="2"/>
  </si>
  <si>
    <t>リスト書式コピー先</t>
    <rPh sb="3" eb="5">
      <t>ショシキ</t>
    </rPh>
    <rPh sb="8" eb="9">
      <t>サキ</t>
    </rPh>
    <phoneticPr fontId="2"/>
  </si>
  <si>
    <t>リストクリア範囲</t>
    <rPh sb="6" eb="8">
      <t>ハンイ</t>
    </rPh>
    <phoneticPr fontId="2"/>
  </si>
  <si>
    <t>選択行番号</t>
    <rPh sb="0" eb="2">
      <t>センタク</t>
    </rPh>
    <rPh sb="2" eb="5">
      <t>ギョウバンゴウ</t>
    </rPh>
    <phoneticPr fontId="2"/>
  </si>
  <si>
    <t>選択商品CD</t>
    <rPh sb="0" eb="2">
      <t>センタク</t>
    </rPh>
    <rPh sb="2" eb="4">
      <t>ショウヒン</t>
    </rPh>
    <phoneticPr fontId="2"/>
  </si>
  <si>
    <t>リスト展開終了位置</t>
    <rPh sb="3" eb="5">
      <t>テンカイ</t>
    </rPh>
    <rPh sb="5" eb="7">
      <t>シュウリョウ</t>
    </rPh>
    <rPh sb="7" eb="9">
      <t>イチ</t>
    </rPh>
    <phoneticPr fontId="2"/>
  </si>
  <si>
    <t>UNMM0051_B_KENSAKU_KENSU</t>
    <phoneticPr fontId="2"/>
  </si>
  <si>
    <t>UNMM0051_B_PAGE_NO</t>
    <phoneticPr fontId="2"/>
  </si>
  <si>
    <t>UNMM0051_B_ALL_PAGE_SU</t>
    <phoneticPr fontId="2"/>
  </si>
  <si>
    <t>UNMM0051_B_HYOJI_KENSU</t>
    <phoneticPr fontId="2"/>
  </si>
  <si>
    <t>UNMM0051_B_LIST_START</t>
    <phoneticPr fontId="2"/>
  </si>
  <si>
    <t>UNMM0051_B_LIST_END</t>
    <phoneticPr fontId="2"/>
  </si>
  <si>
    <t>UNMM0051_B_COPY_SAKI</t>
    <phoneticPr fontId="2"/>
  </si>
  <si>
    <t>UNMM0051_B_LIST_CLEAR</t>
    <phoneticPr fontId="2"/>
  </si>
  <si>
    <t>UNMM0051_B_SELECT_GYO_NO</t>
    <phoneticPr fontId="2"/>
  </si>
  <si>
    <t>UNMM0051_B_SELECT_SHOHIN_CD</t>
    <phoneticPr fontId="2"/>
  </si>
  <si>
    <t>リスト初期書式コピー範囲</t>
    <rPh sb="3" eb="5">
      <t>ショキ</t>
    </rPh>
    <rPh sb="5" eb="7">
      <t>ショシキ</t>
    </rPh>
    <rPh sb="10" eb="12">
      <t>ハンイ</t>
    </rPh>
    <phoneticPr fontId="2"/>
  </si>
  <si>
    <t>リスト書式コピー元範囲</t>
    <rPh sb="3" eb="5">
      <t>ショシキ</t>
    </rPh>
    <rPh sb="8" eb="9">
      <t>モト</t>
    </rPh>
    <rPh sb="9" eb="11">
      <t>ハンイ</t>
    </rPh>
    <phoneticPr fontId="2"/>
  </si>
  <si>
    <t>＞</t>
    <phoneticPr fontId="2"/>
  </si>
  <si>
    <t>UNMM0051_IF_B_LIST_DEFAULT</t>
    <phoneticPr fontId="2"/>
  </si>
  <si>
    <t>【処理用判定】</t>
    <rPh sb="1" eb="4">
      <t>ショリヨウ</t>
    </rPh>
    <rPh sb="4" eb="6">
      <t>ハンテイ</t>
    </rPh>
    <phoneticPr fontId="2"/>
  </si>
  <si>
    <t>データ照会中フラグ</t>
    <rPh sb="3" eb="5">
      <t>ショウカイ</t>
    </rPh>
    <rPh sb="5" eb="6">
      <t>チュウ</t>
    </rPh>
    <phoneticPr fontId="2"/>
  </si>
  <si>
    <t>UNMM051_IF_DATA_SEARCH_FLG</t>
    <phoneticPr fontId="2"/>
  </si>
  <si>
    <t>ON:1</t>
    <phoneticPr fontId="2"/>
  </si>
  <si>
    <t>OFF:1以外</t>
    <rPh sb="5" eb="7">
      <t>イガイ</t>
    </rPh>
    <phoneticPr fontId="2"/>
  </si>
  <si>
    <t>UNMM0051_SQL_SELECT_SHAIN_LIST</t>
    <phoneticPr fontId="2"/>
  </si>
  <si>
    <t>商品マスタ読込みSQL</t>
    <rPh sb="0" eb="2">
      <t>ショウヒン</t>
    </rPh>
    <rPh sb="5" eb="7">
      <t>ヨミコ</t>
    </rPh>
    <phoneticPr fontId="2"/>
  </si>
  <si>
    <t>商品マスタ行数カウントSQL</t>
    <rPh sb="0" eb="2">
      <t>ショウヒン</t>
    </rPh>
    <rPh sb="5" eb="7">
      <t>ギョウスウ</t>
    </rPh>
    <phoneticPr fontId="2"/>
  </si>
  <si>
    <t>UNMM0051_SQL_SELECT_SHOHIN_LIST_CNT</t>
    <phoneticPr fontId="2"/>
  </si>
  <si>
    <t>商品マスタ読込みSQLベースコード</t>
    <rPh sb="0" eb="2">
      <t>ショウヒン</t>
    </rPh>
    <rPh sb="5" eb="7">
      <t>ヨミコ</t>
    </rPh>
    <phoneticPr fontId="2"/>
  </si>
  <si>
    <t>商品マスタ行数カウントSQLベース</t>
    <rPh sb="0" eb="2">
      <t>ショウヒン</t>
    </rPh>
    <rPh sb="5" eb="7">
      <t>ギョウスウ</t>
    </rPh>
    <phoneticPr fontId="2"/>
  </si>
  <si>
    <t>ページング</t>
    <phoneticPr fontId="2"/>
  </si>
  <si>
    <t>UNMM0051_B_CTRL_HYOJI_GYO_SU</t>
  </si>
  <si>
    <t>UNMM0051_IF_B_LIST_COPY_MOTO</t>
    <phoneticPr fontId="2"/>
  </si>
  <si>
    <t>UNMM0051_IF_ACTIVE_SHEET</t>
    <phoneticPr fontId="2"/>
  </si>
  <si>
    <t>UNMM0051_IF_ACTIVE_ROW</t>
    <phoneticPr fontId="2"/>
  </si>
  <si>
    <t>UNMM0051_IF_ACTIVE_COLUMN</t>
    <phoneticPr fontId="2"/>
  </si>
  <si>
    <t>UNMM0051_IF_ACTIVE_CELL_NAME</t>
    <phoneticPr fontId="2"/>
  </si>
  <si>
    <t xml:space="preserve">【コピー元】   </t>
    <rPh sb="4" eb="5">
      <t>モト</t>
    </rPh>
    <phoneticPr fontId="2"/>
  </si>
  <si>
    <t>商品検索用SQL</t>
  </si>
  <si>
    <t>フリーワード検索条件</t>
    <rPh sb="6" eb="8">
      <t>ケンサク</t>
    </rPh>
    <rPh sb="8" eb="10">
      <t>ジョウケン</t>
    </rPh>
    <phoneticPr fontId="2"/>
  </si>
  <si>
    <t>相手先検索用SQL</t>
    <rPh sb="0" eb="2">
      <t>アイテ</t>
    </rPh>
    <rPh sb="2" eb="3">
      <t>サキ</t>
    </rPh>
    <rPh sb="3" eb="5">
      <t>ケンサク</t>
    </rPh>
    <rPh sb="5" eb="6">
      <t>ヨウ</t>
    </rPh>
    <phoneticPr fontId="2"/>
  </si>
  <si>
    <t>UNMM_COMMON_SQL_AITESAKI_SERCH</t>
    <phoneticPr fontId="2"/>
  </si>
  <si>
    <t>仕入先検索用SQL</t>
    <rPh sb="0" eb="2">
      <t>シイレ</t>
    </rPh>
    <rPh sb="2" eb="3">
      <t>サキ</t>
    </rPh>
    <rPh sb="3" eb="5">
      <t>ケンサク</t>
    </rPh>
    <rPh sb="5" eb="6">
      <t>ヨウ</t>
    </rPh>
    <phoneticPr fontId="2"/>
  </si>
  <si>
    <t>メーカー検索用SQL</t>
    <rPh sb="4" eb="6">
      <t>ケンサク</t>
    </rPh>
    <rPh sb="6" eb="7">
      <t>ヨウ</t>
    </rPh>
    <phoneticPr fontId="2"/>
  </si>
  <si>
    <t>UNMM_COMMON_SQL_SHOHIN_SERCH</t>
    <phoneticPr fontId="2"/>
  </si>
  <si>
    <t>UNMM_COMMON_SQL_SHIRESAKI_SERCH</t>
    <phoneticPr fontId="2"/>
  </si>
  <si>
    <t>UNMM_COMMON_SQL_MAKER_SERCH</t>
    <phoneticPr fontId="2"/>
  </si>
  <si>
    <t xml:space="preserve"> 　 諸経費</t>
    <rPh sb="3" eb="6">
      <t>ショケイヒ</t>
    </rPh>
    <phoneticPr fontId="2"/>
  </si>
  <si>
    <t xml:space="preserve">  　購買品</t>
    <rPh sb="3" eb="5">
      <t>コウバイ</t>
    </rPh>
    <rPh sb="5" eb="6">
      <t>ヒン</t>
    </rPh>
    <phoneticPr fontId="2"/>
  </si>
  <si>
    <t xml:space="preserve">  　販売商品</t>
    <rPh sb="3" eb="5">
      <t>ハンバイ</t>
    </rPh>
    <rPh sb="5" eb="7">
      <t>ショウヒン</t>
    </rPh>
    <phoneticPr fontId="2"/>
  </si>
  <si>
    <t xml:space="preserve">  　分析項目</t>
    <rPh sb="3" eb="5">
      <t>ブンセキ</t>
    </rPh>
    <rPh sb="5" eb="7">
      <t>コウモク</t>
    </rPh>
    <phoneticPr fontId="2"/>
  </si>
  <si>
    <t xml:space="preserve">  毒劇物</t>
    <rPh sb="2" eb="3">
      <t>ドク</t>
    </rPh>
    <rPh sb="3" eb="5">
      <t>ゲキブツ</t>
    </rPh>
    <phoneticPr fontId="2"/>
  </si>
  <si>
    <t xml:space="preserve"> 試薬</t>
    <phoneticPr fontId="2"/>
  </si>
  <si>
    <t>UNMM0050_BUNSEKIKOMOKU_FLG</t>
    <phoneticPr fontId="2"/>
  </si>
  <si>
    <t>調整試薬フラグ</t>
    <rPh sb="0" eb="2">
      <t>チョウセイ</t>
    </rPh>
    <rPh sb="2" eb="4">
      <t>シヤク</t>
    </rPh>
    <phoneticPr fontId="2"/>
  </si>
  <si>
    <t>毒劇物フラグ</t>
    <rPh sb="0" eb="1">
      <t>ドク</t>
    </rPh>
    <rPh sb="1" eb="3">
      <t>ゲキブツ</t>
    </rPh>
    <phoneticPr fontId="2"/>
  </si>
  <si>
    <t>試薬フラグ</t>
    <rPh sb="0" eb="2">
      <t>シヤク</t>
    </rPh>
    <phoneticPr fontId="2"/>
  </si>
  <si>
    <t>UNMM0050_CHOSEI_SHIYAKU_FLG</t>
    <phoneticPr fontId="2"/>
  </si>
  <si>
    <t>UNMM0050_DOKU_FLG</t>
    <phoneticPr fontId="2"/>
  </si>
  <si>
    <t>UNMM0050_SHIYAKU_FLG</t>
    <phoneticPr fontId="2"/>
  </si>
  <si>
    <t>UNMM0050_IF_MODE</t>
    <phoneticPr fontId="2"/>
  </si>
  <si>
    <t>UNMM0050_IF_BUTTON_06_NAME</t>
    <phoneticPr fontId="2"/>
  </si>
  <si>
    <t>UNMM0050_IF_BUTTON_10_NAME</t>
    <phoneticPr fontId="2"/>
  </si>
  <si>
    <t>新規登録/更新</t>
    <rPh sb="0" eb="2">
      <t>シンキ</t>
    </rPh>
    <rPh sb="2" eb="4">
      <t>トウロク</t>
    </rPh>
    <rPh sb="5" eb="7">
      <t>コウシン</t>
    </rPh>
    <phoneticPr fontId="2"/>
  </si>
  <si>
    <t>UNMM0050_IF_BUTTON_04_HYOJI</t>
    <phoneticPr fontId="2"/>
  </si>
  <si>
    <t>UNMM0050_IF_BUTTON_06_HYOJI</t>
    <phoneticPr fontId="2"/>
  </si>
  <si>
    <t>UNMM0050_IF_BUTTON_10_HYOJI</t>
    <phoneticPr fontId="2"/>
  </si>
  <si>
    <t>UNMM0050_IF_BUTTON_09_HYOJI</t>
    <phoneticPr fontId="2"/>
  </si>
  <si>
    <t>UNMM0050_IF_BUTTON_20_HYOJI</t>
    <phoneticPr fontId="2"/>
  </si>
  <si>
    <t>新規作成ボタン</t>
    <rPh sb="0" eb="2">
      <t>シンキ</t>
    </rPh>
    <rPh sb="2" eb="4">
      <t>サクセイ</t>
    </rPh>
    <phoneticPr fontId="2"/>
  </si>
  <si>
    <t>UNMM0050_IF_BUTTON_03_HYOJI</t>
    <phoneticPr fontId="2"/>
  </si>
  <si>
    <t>無効(2)</t>
    <phoneticPr fontId="2"/>
  </si>
  <si>
    <t>有効(1)</t>
    <phoneticPr fontId="2"/>
  </si>
  <si>
    <t>商品リスト検索条件</t>
    <rPh sb="0" eb="2">
      <t>ショウヒン</t>
    </rPh>
    <rPh sb="5" eb="7">
      <t>ケンサク</t>
    </rPh>
    <rPh sb="7" eb="9">
      <t>ジョウケン</t>
    </rPh>
    <phoneticPr fontId="2"/>
  </si>
  <si>
    <t xml:space="preserve">SELECT *
  FROM V_SHOHIN_DATA
WHERE 1=1
</t>
    <phoneticPr fontId="2"/>
  </si>
  <si>
    <t>UNMM0050_SHOHIN_FLG</t>
    <phoneticPr fontId="2"/>
  </si>
  <si>
    <t>UNMM0050_KOBAIHIN_FLG</t>
    <phoneticPr fontId="2"/>
  </si>
  <si>
    <t>UNMM0050_SHOKEIHI_FLG</t>
    <phoneticPr fontId="2"/>
  </si>
  <si>
    <t>更新</t>
    <rPh sb="0" eb="2">
      <t>コウシン</t>
    </rPh>
    <phoneticPr fontId="2"/>
  </si>
  <si>
    <t>新規登録/更新ボタン</t>
    <rPh sb="0" eb="2">
      <t>シンキ</t>
    </rPh>
    <rPh sb="2" eb="4">
      <t>トウロク</t>
    </rPh>
    <rPh sb="5" eb="7">
      <t>コウシン</t>
    </rPh>
    <phoneticPr fontId="2"/>
  </si>
  <si>
    <t>UNMM0050_SHIIRE_MEI</t>
  </si>
  <si>
    <t>UNMM0050_MAKER_MEI</t>
  </si>
  <si>
    <t>仕入先名</t>
    <rPh sb="0" eb="2">
      <t>シイレ</t>
    </rPh>
    <rPh sb="2" eb="3">
      <t>サキ</t>
    </rPh>
    <rPh sb="3" eb="4">
      <t>メイ</t>
    </rPh>
    <phoneticPr fontId="2"/>
  </si>
  <si>
    <t>メーカー名</t>
    <rPh sb="4" eb="5">
      <t>メイ</t>
    </rPh>
    <phoneticPr fontId="2"/>
  </si>
  <si>
    <t>外注先</t>
    <rPh sb="0" eb="3">
      <t>ガイチュウサキ</t>
    </rPh>
    <phoneticPr fontId="2"/>
  </si>
  <si>
    <t>UNMM0050_GAICHU_MEI</t>
    <phoneticPr fontId="2"/>
  </si>
  <si>
    <t>条件(商品CD)</t>
    <rPh sb="0" eb="2">
      <t>ジョウケン</t>
    </rPh>
    <rPh sb="3" eb="5">
      <t>ショウヒン</t>
    </rPh>
    <phoneticPr fontId="2"/>
  </si>
  <si>
    <t>条件(仕入先CD)</t>
    <rPh sb="0" eb="2">
      <t>ジョウケン</t>
    </rPh>
    <rPh sb="3" eb="5">
      <t>シイレ</t>
    </rPh>
    <rPh sb="5" eb="6">
      <t>サキ</t>
    </rPh>
    <phoneticPr fontId="2"/>
  </si>
  <si>
    <t>条件(メーカーCD)</t>
    <rPh sb="0" eb="2">
      <t>ジョウケン</t>
    </rPh>
    <phoneticPr fontId="2"/>
  </si>
  <si>
    <t>条件(分析項目)</t>
    <rPh sb="0" eb="2">
      <t>ジョウケン</t>
    </rPh>
    <rPh sb="3" eb="5">
      <t>ブンセキ</t>
    </rPh>
    <rPh sb="5" eb="7">
      <t>コウモク</t>
    </rPh>
    <phoneticPr fontId="2"/>
  </si>
  <si>
    <t>条件(販売商品)</t>
    <rPh sb="0" eb="2">
      <t>ジョウケン</t>
    </rPh>
    <rPh sb="3" eb="5">
      <t>ハンバイ</t>
    </rPh>
    <rPh sb="5" eb="7">
      <t>ショウヒン</t>
    </rPh>
    <phoneticPr fontId="2"/>
  </si>
  <si>
    <t>条件(購買品)</t>
    <rPh sb="0" eb="2">
      <t>ジョウケン</t>
    </rPh>
    <rPh sb="3" eb="6">
      <t>コウバイヒン</t>
    </rPh>
    <phoneticPr fontId="2"/>
  </si>
  <si>
    <t>条件(諸経費)</t>
    <rPh sb="0" eb="2">
      <t>ジョウケン</t>
    </rPh>
    <rPh sb="3" eb="6">
      <t>ショケイヒ</t>
    </rPh>
    <phoneticPr fontId="2"/>
  </si>
  <si>
    <t>条件(仮登録)</t>
    <rPh sb="0" eb="2">
      <t>ジョウケン</t>
    </rPh>
    <rPh sb="3" eb="6">
      <t>カリトウロク</t>
    </rPh>
    <phoneticPr fontId="2"/>
  </si>
  <si>
    <t>条件(採用)</t>
    <rPh sb="0" eb="2">
      <t>ジョウケン</t>
    </rPh>
    <rPh sb="3" eb="5">
      <t>サイヨウ</t>
    </rPh>
    <phoneticPr fontId="2"/>
  </si>
  <si>
    <t xml:space="preserve">SELECT COUNT(*) AS CNT
   FROM V_SHOHIN_LIST
   WHERE 1=1
</t>
    <phoneticPr fontId="2"/>
  </si>
  <si>
    <t>UNMM0050_IF_ACTIVE_SHEET</t>
    <phoneticPr fontId="2"/>
  </si>
  <si>
    <t>UNMM0050_IF_ACTIVE_ROW</t>
    <phoneticPr fontId="2"/>
  </si>
  <si>
    <t>UNMM0050_IF_ACTIVE_COLUMN</t>
    <phoneticPr fontId="2"/>
  </si>
  <si>
    <t>UNMM0050_IF_ACTIVE_CELL_NAME</t>
    <phoneticPr fontId="2"/>
  </si>
  <si>
    <t>外注先検索用SQL</t>
    <rPh sb="0" eb="3">
      <t>ガイチュウサキ</t>
    </rPh>
    <rPh sb="3" eb="6">
      <t>ケンサクヨウ</t>
    </rPh>
    <phoneticPr fontId="2"/>
  </si>
  <si>
    <t>UNMM0050_IF_MODE_SHINKI_COPY_MOTO</t>
    <phoneticPr fontId="2"/>
  </si>
  <si>
    <t>UNMM0050_IF_MODE_SHUSEI_COPY_MOTO</t>
    <phoneticPr fontId="2"/>
  </si>
  <si>
    <t>UNMM0050_IF_MODE_SANSHO_COPY_MOTO</t>
    <phoneticPr fontId="2"/>
  </si>
  <si>
    <t>【新規モードUI】</t>
    <rPh sb="1" eb="3">
      <t>シンキ</t>
    </rPh>
    <phoneticPr fontId="2"/>
  </si>
  <si>
    <t>【参照モードUI】</t>
    <rPh sb="1" eb="3">
      <t>サンショウ</t>
    </rPh>
    <phoneticPr fontId="2"/>
  </si>
  <si>
    <t>【修正モードUI】</t>
    <rPh sb="1" eb="3">
      <t>シュウセイ</t>
    </rPh>
    <phoneticPr fontId="2"/>
  </si>
  <si>
    <t>商品分類検索用SQL</t>
    <rPh sb="0" eb="2">
      <t>ショウヒン</t>
    </rPh>
    <rPh sb="2" eb="4">
      <t>ブンルイ</t>
    </rPh>
    <rPh sb="4" eb="6">
      <t>ケンサク</t>
    </rPh>
    <rPh sb="6" eb="7">
      <t>ヨウ</t>
    </rPh>
    <phoneticPr fontId="2"/>
  </si>
  <si>
    <t>保管場所検索用SQL</t>
    <rPh sb="0" eb="2">
      <t>ホカン</t>
    </rPh>
    <rPh sb="2" eb="4">
      <t>バショ</t>
    </rPh>
    <rPh sb="4" eb="7">
      <t>ケンサクヨウ</t>
    </rPh>
    <phoneticPr fontId="2"/>
  </si>
  <si>
    <t>UNMM_COMMON_SQL_GAICHU_SERCH</t>
    <phoneticPr fontId="2"/>
  </si>
  <si>
    <t>UNMM_COMMON_SQL_SHOHIN_BUNRUI_SERCH</t>
    <phoneticPr fontId="2"/>
  </si>
  <si>
    <t>UNMM_COMMON_SQL_HOKANBASHO_SERCH</t>
    <phoneticPr fontId="2"/>
  </si>
  <si>
    <t>UNMM0011_H_SHAIN_CD</t>
    <phoneticPr fontId="2"/>
  </si>
  <si>
    <t>UNMM0050_IF_DATA_SEARCH_FLG</t>
    <phoneticPr fontId="2"/>
  </si>
  <si>
    <t>UNMM0050_MISHIYO</t>
    <phoneticPr fontId="2"/>
  </si>
  <si>
    <t>UNMM0050_SQL_SELECT_SHOHIN_DATA</t>
    <phoneticPr fontId="2"/>
  </si>
  <si>
    <t>【データ初期化用】</t>
    <rPh sb="4" eb="7">
      <t>ショキカ</t>
    </rPh>
    <rPh sb="7" eb="8">
      <t>ヨウ</t>
    </rPh>
    <phoneticPr fontId="2"/>
  </si>
  <si>
    <t>データ初期化用</t>
    <rPh sb="3" eb="6">
      <t>ショキカ</t>
    </rPh>
    <rPh sb="6" eb="7">
      <t>ヨウ</t>
    </rPh>
    <phoneticPr fontId="2"/>
  </si>
  <si>
    <t>UNMM0050_IF_INIT_DATA_COPY_MOTO</t>
    <phoneticPr fontId="2"/>
  </si>
  <si>
    <t>【フラグデータの初期値】</t>
    <rPh sb="8" eb="11">
      <t>ショキチ</t>
    </rPh>
    <phoneticPr fontId="2"/>
  </si>
  <si>
    <t>UNMM0051_H_FLG_VALUE</t>
    <phoneticPr fontId="2"/>
  </si>
  <si>
    <t>UNMM0050_IF_FLG_INIT_VALUE</t>
    <phoneticPr fontId="2"/>
  </si>
  <si>
    <t>【入力領域初期化】</t>
    <rPh sb="1" eb="3">
      <t>ニュウリョク</t>
    </rPh>
    <rPh sb="3" eb="5">
      <t>リョウイキ</t>
    </rPh>
    <rPh sb="5" eb="8">
      <t>ショキカ</t>
    </rPh>
    <phoneticPr fontId="2"/>
  </si>
  <si>
    <t>UNMM0051_IF_FLG_INIT_VALUE</t>
    <phoneticPr fontId="2"/>
  </si>
  <si>
    <t>UNMM0051_IF_INIT_WORDS</t>
    <phoneticPr fontId="2"/>
  </si>
  <si>
    <t>次ページ移動判断</t>
    <rPh sb="0" eb="1">
      <t>ツギ</t>
    </rPh>
    <rPh sb="4" eb="6">
      <t>イドウ</t>
    </rPh>
    <rPh sb="6" eb="8">
      <t>ハンダン</t>
    </rPh>
    <phoneticPr fontId="2"/>
  </si>
  <si>
    <t>前ページ移動判断</t>
    <rPh sb="0" eb="1">
      <t>マエ</t>
    </rPh>
    <rPh sb="4" eb="6">
      <t>イドウ</t>
    </rPh>
    <rPh sb="6" eb="8">
      <t>ハンダン</t>
    </rPh>
    <phoneticPr fontId="2"/>
  </si>
  <si>
    <t>UNMM0051_B_EXIST_NEXT_PAGE</t>
    <phoneticPr fontId="2"/>
  </si>
  <si>
    <t>UNMM0051_B_EXIST_PREV_PAGE</t>
    <phoneticPr fontId="2"/>
  </si>
  <si>
    <t>■ページ移動用変数</t>
    <rPh sb="4" eb="6">
      <t>イドウ</t>
    </rPh>
    <rPh sb="6" eb="7">
      <t>ヨウ</t>
    </rPh>
    <rPh sb="7" eb="9">
      <t>ヘンスウ</t>
    </rPh>
    <phoneticPr fontId="2"/>
  </si>
  <si>
    <t>■商品マスタメンテ遷移用変数</t>
    <rPh sb="1" eb="3">
      <t>ショウヒン</t>
    </rPh>
    <rPh sb="9" eb="11">
      <t>センイ</t>
    </rPh>
    <rPh sb="11" eb="12">
      <t>ヨウ</t>
    </rPh>
    <rPh sb="12" eb="14">
      <t>ヘンスウ</t>
    </rPh>
    <phoneticPr fontId="2"/>
  </si>
  <si>
    <t>1:あり / 2:なし</t>
    <phoneticPr fontId="2"/>
  </si>
  <si>
    <t>【コンボボックス】</t>
  </si>
  <si>
    <t>リスト名</t>
    <rPh sb="3" eb="4">
      <t>メイ</t>
    </rPh>
    <phoneticPr fontId="2"/>
  </si>
  <si>
    <t>コード値</t>
    <rPh sb="3" eb="4">
      <t>チ</t>
    </rPh>
    <phoneticPr fontId="2"/>
  </si>
  <si>
    <t>値：名</t>
    <rPh sb="0" eb="1">
      <t>アタイ</t>
    </rPh>
    <rPh sb="2" eb="3">
      <t>メイ</t>
    </rPh>
    <phoneticPr fontId="2"/>
  </si>
  <si>
    <t>商品ステータス</t>
    <rPh sb="0" eb="2">
      <t>ショウヒン</t>
    </rPh>
    <phoneticPr fontId="2"/>
  </si>
  <si>
    <t>LIST_SHOHIN_STS_HOHO</t>
    <phoneticPr fontId="2"/>
  </si>
  <si>
    <t>「=OFFSET(LIST_SHOHIN_STS_TENKAIICHI,,,IF(LIST_SHOHIN_STS_HOHO_KENSU=0,1,LIST_SHOHIN_STS_HOHO_KENSU),1)」</t>
    <phoneticPr fontId="2"/>
  </si>
  <si>
    <t>LIST_SHOHIN_STS_HOHO_KENSU</t>
    <phoneticPr fontId="2"/>
  </si>
  <si>
    <t>次ページ番号</t>
    <rPh sb="0" eb="1">
      <t>ツギ</t>
    </rPh>
    <rPh sb="4" eb="6">
      <t>バンゴウ</t>
    </rPh>
    <phoneticPr fontId="2"/>
  </si>
  <si>
    <t>前ページ番号</t>
    <rPh sb="0" eb="1">
      <t>マエ</t>
    </rPh>
    <rPh sb="4" eb="6">
      <t>バンゴウ</t>
    </rPh>
    <phoneticPr fontId="2"/>
  </si>
  <si>
    <t>UNMM0051_B_NEXT_PAGE_NO</t>
    <phoneticPr fontId="2"/>
  </si>
  <si>
    <t>UNMM0051_B_PREV_PAGE_NO</t>
    <phoneticPr fontId="2"/>
  </si>
  <si>
    <t>UNMM0050_IF_BUTTON_07_HYOJI</t>
    <phoneticPr fontId="2"/>
  </si>
  <si>
    <t>条件(未使用)</t>
    <rPh sb="0" eb="2">
      <t>ジョウケン</t>
    </rPh>
    <rPh sb="3" eb="6">
      <t>ミシヨウ</t>
    </rPh>
    <phoneticPr fontId="2"/>
  </si>
  <si>
    <t>SELECT *
  FROM V_SHOHIN_STS_LIST</t>
    <phoneticPr fontId="2"/>
  </si>
  <si>
    <t>商品ステータス検索用SQL</t>
    <rPh sb="0" eb="2">
      <t>ショウヒン</t>
    </rPh>
    <rPh sb="7" eb="10">
      <t>ケンサクヨウ</t>
    </rPh>
    <phoneticPr fontId="2"/>
  </si>
  <si>
    <t>UNMM_COMMON_SQL_HOKANBASHO_SEARCH</t>
    <phoneticPr fontId="2"/>
  </si>
  <si>
    <t>SELECT *
  FROM V_SHOHIN_LIST
  WHERE 1=1</t>
    <phoneticPr fontId="2"/>
  </si>
  <si>
    <t>MISHIYO_FLG</t>
  </si>
  <si>
    <t>DBS_STATUS</t>
  </si>
  <si>
    <t>DBS_CREATE_DATE</t>
  </si>
  <si>
    <t>DBS_UPDATE_USER</t>
  </si>
  <si>
    <t>DBS_UPDATE_DATE</t>
  </si>
  <si>
    <t>SHOHIN_CD</t>
  </si>
  <si>
    <t>SHOHIN_MEI</t>
  </si>
  <si>
    <t>AITE_SHOHIN_MEI</t>
  </si>
  <si>
    <t>BUNSEKI_FLG</t>
  </si>
  <si>
    <t>SHOHIN_FLG</t>
  </si>
  <si>
    <t>KOBAIHIN_FLG</t>
  </si>
  <si>
    <t>SHOKEIHI_FLG</t>
  </si>
  <si>
    <t>SHOHIN_STS</t>
  </si>
  <si>
    <t>SHOHIN_BUNRUI</t>
  </si>
  <si>
    <t>CHOSEI_SHIYAKU_FLG</t>
  </si>
  <si>
    <t>DOKU_FLG</t>
  </si>
  <si>
    <t>SHIYAKU_FLG</t>
  </si>
  <si>
    <t>SHIIRE_CD</t>
  </si>
  <si>
    <t>MAKER_CD</t>
  </si>
  <si>
    <t>GAICHU_CD</t>
  </si>
  <si>
    <t>IRISU</t>
  </si>
  <si>
    <t>IRISU_TANI</t>
  </si>
  <si>
    <t>BARA_TANI</t>
  </si>
  <si>
    <t>HYOJUN_KAKAKU</t>
  </si>
  <si>
    <t>GENKA</t>
  </si>
  <si>
    <t>BAIKA</t>
  </si>
  <si>
    <t>SHIIRE_TANKA</t>
  </si>
  <si>
    <t>SHIIRE_IRISU</t>
  </si>
  <si>
    <t>SHIIRE_IRISU_TANI</t>
  </si>
  <si>
    <t>HYOJUN_NOKI</t>
  </si>
  <si>
    <t>HYOJUN_KOSU</t>
  </si>
  <si>
    <t>TEIKA</t>
  </si>
  <si>
    <t>SAITEI_KAKAKU</t>
  </si>
  <si>
    <t>SHIJO_KAKAKU</t>
  </si>
  <si>
    <t>HOKANBASHO_KBN</t>
  </si>
  <si>
    <t>SHIKIICHI</t>
  </si>
  <si>
    <t>BUNSEKI_TANI</t>
  </si>
  <si>
    <t>BUNSEKI_NO</t>
  </si>
  <si>
    <t>BUNSEKI_FLOW</t>
  </si>
  <si>
    <t>BIKO</t>
  </si>
  <si>
    <t>【ワークテーブル作成用テーブル】</t>
    <rPh sb="8" eb="11">
      <t>サクセイヨウ</t>
    </rPh>
    <phoneticPr fontId="2"/>
  </si>
  <si>
    <t>W_SERIAL</t>
    <phoneticPr fontId="2"/>
  </si>
  <si>
    <t>W_ROW</t>
    <phoneticPr fontId="2"/>
  </si>
  <si>
    <t>W_MODE</t>
    <phoneticPr fontId="2"/>
  </si>
  <si>
    <t>【データ保存表非表示データ】</t>
    <rPh sb="4" eb="6">
      <t>ホゾン</t>
    </rPh>
    <rPh sb="6" eb="7">
      <t>ヒョウ</t>
    </rPh>
    <rPh sb="7" eb="10">
      <t>ヒヒョウジ</t>
    </rPh>
    <phoneticPr fontId="2"/>
  </si>
  <si>
    <t>　</t>
    <phoneticPr fontId="2"/>
  </si>
  <si>
    <t>USER_ID</t>
    <phoneticPr fontId="2"/>
  </si>
  <si>
    <t>DBS_CREATE_USER</t>
    <phoneticPr fontId="2"/>
  </si>
  <si>
    <t>UNMM0050_FLG_VALUE</t>
    <phoneticPr fontId="2"/>
  </si>
  <si>
    <t>HOKAN_BASHO_KBN</t>
    <phoneticPr fontId="2"/>
  </si>
  <si>
    <t>SHOHIN_BUNRUI</t>
    <phoneticPr fontId="2"/>
  </si>
  <si>
    <t>UNMM0050_IF_USER_ID</t>
    <phoneticPr fontId="2"/>
  </si>
  <si>
    <t>UNMM0050_IF_SHOHIN_BUNRUI</t>
    <phoneticPr fontId="2"/>
  </si>
  <si>
    <t>UNMM0050_IF_HOKAN_BASHO_KBN</t>
    <phoneticPr fontId="2"/>
  </si>
  <si>
    <t>LIST_SHOHIN_STS_TENKAIICHI</t>
    <phoneticPr fontId="2"/>
  </si>
  <si>
    <t>テーブル物理名</t>
    <rPh sb="4" eb="6">
      <t>ブツリ</t>
    </rPh>
    <rPh sb="6" eb="7">
      <t>メイ</t>
    </rPh>
    <phoneticPr fontId="2"/>
  </si>
  <si>
    <t>論理名</t>
    <rPh sb="0" eb="2">
      <t>ロンリ</t>
    </rPh>
    <rPh sb="2" eb="3">
      <t>メイ</t>
    </rPh>
    <phoneticPr fontId="2"/>
  </si>
  <si>
    <t>UNMM0050_IF_WORK_TABLE_W_USER_ID</t>
  </si>
  <si>
    <t>UNMM0050_IF_WORK_TABLE_W_USER_ID</t>
    <phoneticPr fontId="2"/>
  </si>
  <si>
    <t>UNMM0050_IF_WORK_TABLE_W_SERIAL</t>
    <phoneticPr fontId="2"/>
  </si>
  <si>
    <t>UNMM0050_IF_WORK_TABLE_W_ROW</t>
  </si>
  <si>
    <t>W_USER_ID</t>
    <phoneticPr fontId="2"/>
  </si>
  <si>
    <t>UNMM0050_IF_WORK_TABLE_W_MODE</t>
    <phoneticPr fontId="2"/>
  </si>
  <si>
    <t>【保存結果】</t>
    <rPh sb="1" eb="3">
      <t>ホゾン</t>
    </rPh>
    <rPh sb="3" eb="5">
      <t>ケッカ</t>
    </rPh>
    <phoneticPr fontId="2"/>
  </si>
  <si>
    <t>保存処理結果</t>
    <rPh sb="0" eb="2">
      <t>ホゾン</t>
    </rPh>
    <rPh sb="2" eb="4">
      <t>ショリ</t>
    </rPh>
    <rPh sb="4" eb="6">
      <t>ケッカ</t>
    </rPh>
    <phoneticPr fontId="2"/>
  </si>
  <si>
    <t>保存処理結果メッセージ</t>
    <rPh sb="0" eb="2">
      <t>ホゾン</t>
    </rPh>
    <rPh sb="2" eb="4">
      <t>ショリ</t>
    </rPh>
    <rPh sb="4" eb="6">
      <t>ケッカ</t>
    </rPh>
    <phoneticPr fontId="2"/>
  </si>
  <si>
    <t>保存エラー判定</t>
    <rPh sb="0" eb="2">
      <t>ホゾン</t>
    </rPh>
    <rPh sb="5" eb="7">
      <t>ハンテイ</t>
    </rPh>
    <phoneticPr fontId="2"/>
  </si>
  <si>
    <t>エラーメッセージ</t>
  </si>
  <si>
    <t>1:エラー / 2:正常終了</t>
    <rPh sb="10" eb="12">
      <t>セイジョウ</t>
    </rPh>
    <rPh sb="12" eb="14">
      <t>シュウリョウ</t>
    </rPh>
    <phoneticPr fontId="2"/>
  </si>
  <si>
    <t>UNMM0050_IF_SAVE_RESULT_CD</t>
    <phoneticPr fontId="2"/>
  </si>
  <si>
    <t>UNMM0050_IF_SAVE_RESULT_MESSAGE</t>
    <phoneticPr fontId="2"/>
  </si>
  <si>
    <t>UNMM0050_IF_SAVE_ERROR_CHECK</t>
    <phoneticPr fontId="2"/>
  </si>
  <si>
    <t>UNMM0050_IF_SAVE_ERROR_MESSAGE</t>
    <phoneticPr fontId="2"/>
  </si>
  <si>
    <t>商品マスタ並べ替え条件検索用SQL</t>
    <rPh sb="0" eb="2">
      <t>ショウヒン</t>
    </rPh>
    <rPh sb="5" eb="6">
      <t>ナラ</t>
    </rPh>
    <rPh sb="7" eb="8">
      <t>カ</t>
    </rPh>
    <rPh sb="9" eb="11">
      <t>ジョウケン</t>
    </rPh>
    <rPh sb="11" eb="13">
      <t>ケンサク</t>
    </rPh>
    <rPh sb="13" eb="14">
      <t>ヨウ</t>
    </rPh>
    <phoneticPr fontId="2"/>
  </si>
  <si>
    <t>UNMM_COMMON_SQL_SHOHIN_SORT_SEARCH</t>
    <phoneticPr fontId="2"/>
  </si>
  <si>
    <t>UNMM0051_SQL_SORT</t>
    <phoneticPr fontId="2"/>
  </si>
  <si>
    <t>ORDER BY SHOHIN_CD ASC</t>
    <phoneticPr fontId="2"/>
  </si>
  <si>
    <t>1:新規 / 2:更新 / 3: 削除</t>
    <rPh sb="2" eb="4">
      <t>シンキ</t>
    </rPh>
    <rPh sb="9" eb="11">
      <t>コウシン</t>
    </rPh>
    <rPh sb="17" eb="19">
      <t>サクジョ</t>
    </rPh>
    <phoneticPr fontId="2"/>
  </si>
  <si>
    <t>いずれか1つはTrueである必要性アリ</t>
    <rPh sb="14" eb="17">
      <t>ヒツヨウセイ</t>
    </rPh>
    <phoneticPr fontId="2"/>
  </si>
  <si>
    <t>UNMM0051_SQL_INIT_SORT</t>
    <phoneticPr fontId="2"/>
  </si>
  <si>
    <t>初期ORDER句取得用SQL</t>
    <rPh sb="0" eb="2">
      <t>ショキ</t>
    </rPh>
    <rPh sb="7" eb="8">
      <t>ク</t>
    </rPh>
    <rPh sb="8" eb="10">
      <t>シュトク</t>
    </rPh>
    <rPh sb="10" eb="11">
      <t>ヨウ</t>
    </rPh>
    <phoneticPr fontId="2"/>
  </si>
  <si>
    <t>UNMM0050_INSERT_DATETIME</t>
    <phoneticPr fontId="2"/>
  </si>
  <si>
    <t>UNMM0050_UPDATE_DATETIME</t>
    <phoneticPr fontId="2"/>
  </si>
  <si>
    <t>条件：</t>
    <rPh sb="0" eb="2">
      <t>ジョウケン</t>
    </rPh>
    <phoneticPr fontId="2"/>
  </si>
  <si>
    <t>条件(フリーワード)</t>
    <rPh sb="0" eb="2">
      <t>ジョウケン</t>
    </rPh>
    <phoneticPr fontId="2"/>
  </si>
  <si>
    <t>UNMM0051_SQL_FREEWORD1</t>
    <phoneticPr fontId="2"/>
  </si>
  <si>
    <t>UNMM0051_SQL_FREEWORD2</t>
    <phoneticPr fontId="2"/>
  </si>
  <si>
    <t>UNMM0051_SQL_FREEWORD3</t>
    <phoneticPr fontId="2"/>
  </si>
  <si>
    <t xml:space="preserve">リスト型でデータ取得の為
この枠は削除しない
</t>
    <rPh sb="3" eb="4">
      <t>ガタ</t>
    </rPh>
    <rPh sb="8" eb="10">
      <t>シュトク</t>
    </rPh>
    <rPh sb="11" eb="12">
      <t>タメ</t>
    </rPh>
    <rPh sb="15" eb="16">
      <t>ワク</t>
    </rPh>
    <rPh sb="17" eb="19">
      <t>サクジョ</t>
    </rPh>
    <phoneticPr fontId="2"/>
  </si>
  <si>
    <t>仕入単価：</t>
    <rPh sb="0" eb="2">
      <t>シイレ</t>
    </rPh>
    <rPh sb="2" eb="4">
      <t>タンカ</t>
    </rPh>
    <phoneticPr fontId="2"/>
  </si>
  <si>
    <t>定価：</t>
    <rPh sb="0" eb="2">
      <t>テイカ</t>
    </rPh>
    <phoneticPr fontId="2"/>
  </si>
  <si>
    <t>最低価格：</t>
    <rPh sb="0" eb="2">
      <t>サイテイ</t>
    </rPh>
    <rPh sb="2" eb="4">
      <t>カカク</t>
    </rPh>
    <phoneticPr fontId="2"/>
  </si>
  <si>
    <t>非表示行</t>
    <rPh sb="0" eb="3">
      <t>ヒヒョウジ</t>
    </rPh>
    <rPh sb="3" eb="4">
      <t>ギョウ</t>
    </rPh>
    <phoneticPr fontId="2"/>
  </si>
  <si>
    <t>非表示列</t>
    <rPh sb="0" eb="3">
      <t>ヒヒョウジ</t>
    </rPh>
    <rPh sb="3" eb="4">
      <t>レツ</t>
    </rPh>
    <phoneticPr fontId="2"/>
  </si>
  <si>
    <t>ウィンドウ固定位置</t>
    <rPh sb="5" eb="7">
      <t>コテイ</t>
    </rPh>
    <rPh sb="7" eb="9">
      <t>イチ</t>
    </rPh>
    <phoneticPr fontId="2"/>
  </si>
  <si>
    <t>仕入先CD</t>
    <rPh sb="0" eb="2">
      <t>シイレ</t>
    </rPh>
    <rPh sb="2" eb="3">
      <t>サキ</t>
    </rPh>
    <phoneticPr fontId="2"/>
  </si>
  <si>
    <t>メーカーCD</t>
    <phoneticPr fontId="2"/>
  </si>
  <si>
    <t>UNMM0051_H_HIDE_COLUMN</t>
    <phoneticPr fontId="2"/>
  </si>
  <si>
    <t>UNMM0051_H_HIDE_ROW</t>
    <phoneticPr fontId="2"/>
  </si>
  <si>
    <t>UNMM0051_B_SCROLL_LOCK</t>
    <phoneticPr fontId="2"/>
  </si>
  <si>
    <t>UNMM0051_B_HIDE_ROW</t>
    <phoneticPr fontId="2"/>
  </si>
  <si>
    <t>UNMM0051_B_HIDE_COLUMN</t>
    <phoneticPr fontId="2"/>
  </si>
  <si>
    <t>UNMM0050_HIDE_ROW</t>
    <phoneticPr fontId="2"/>
  </si>
  <si>
    <t>UNMM0050_HIDE_COLUMN</t>
    <phoneticPr fontId="2"/>
  </si>
  <si>
    <t xml:space="preserve"> </t>
    <phoneticPr fontId="2"/>
  </si>
  <si>
    <t>書式コピー実行フラグ</t>
    <rPh sb="0" eb="2">
      <t>ショシキ</t>
    </rPh>
    <rPh sb="5" eb="7">
      <t>ジッコウ</t>
    </rPh>
    <phoneticPr fontId="2"/>
  </si>
  <si>
    <t>UNMM0051_B_FORMAT_COPY_FLG</t>
    <phoneticPr fontId="2"/>
  </si>
  <si>
    <t>相手先マスタメンテ</t>
    <rPh sb="0" eb="3">
      <t>アイテサキ</t>
    </rPh>
    <phoneticPr fontId="2"/>
  </si>
  <si>
    <t>営業担当CD</t>
    <rPh sb="0" eb="2">
      <t>エイギョウ</t>
    </rPh>
    <rPh sb="2" eb="4">
      <t>タントウ</t>
    </rPh>
    <phoneticPr fontId="2"/>
  </si>
  <si>
    <t>請求先フラグ</t>
    <rPh sb="0" eb="2">
      <t>セイキュウ</t>
    </rPh>
    <rPh sb="2" eb="3">
      <t>サキ</t>
    </rPh>
    <phoneticPr fontId="2"/>
  </si>
  <si>
    <t>UNMM0020_SEIKYU_FLG</t>
    <phoneticPr fontId="2"/>
  </si>
  <si>
    <t>相手先CD：</t>
    <rPh sb="0" eb="3">
      <t>アイテサキ</t>
    </rPh>
    <phoneticPr fontId="2"/>
  </si>
  <si>
    <t>仕入先フラグ</t>
    <rPh sb="0" eb="2">
      <t>シイレ</t>
    </rPh>
    <rPh sb="2" eb="3">
      <t>サキ</t>
    </rPh>
    <phoneticPr fontId="2"/>
  </si>
  <si>
    <t>UNMM0020_SHIIRE_FLG</t>
    <phoneticPr fontId="2"/>
  </si>
  <si>
    <t>相手先名：</t>
    <rPh sb="0" eb="3">
      <t>アイテサキ</t>
    </rPh>
    <rPh sb="3" eb="4">
      <t>メイ</t>
    </rPh>
    <phoneticPr fontId="2"/>
  </si>
  <si>
    <t>発送先フラグ</t>
    <rPh sb="0" eb="2">
      <t>ハッソウ</t>
    </rPh>
    <rPh sb="2" eb="3">
      <t>サキ</t>
    </rPh>
    <phoneticPr fontId="2"/>
  </si>
  <si>
    <t>報告先フラグ</t>
    <rPh sb="0" eb="2">
      <t>ホウコク</t>
    </rPh>
    <rPh sb="2" eb="3">
      <t>サキ</t>
    </rPh>
    <phoneticPr fontId="2"/>
  </si>
  <si>
    <t>郵便番号：</t>
    <rPh sb="0" eb="4">
      <t>ユウビンバンゴウ</t>
    </rPh>
    <phoneticPr fontId="2"/>
  </si>
  <si>
    <t>住所１：</t>
    <rPh sb="0" eb="2">
      <t>ジュウショ</t>
    </rPh>
    <phoneticPr fontId="2"/>
  </si>
  <si>
    <t>外注先フラグ</t>
    <rPh sb="0" eb="3">
      <t>ガイチュウサキ</t>
    </rPh>
    <phoneticPr fontId="2"/>
  </si>
  <si>
    <t>住所２：</t>
    <rPh sb="0" eb="2">
      <t>ジュウショ</t>
    </rPh>
    <phoneticPr fontId="2"/>
  </si>
  <si>
    <t>官公庁フラグ</t>
    <rPh sb="0" eb="3">
      <t>カンコウチョウ</t>
    </rPh>
    <phoneticPr fontId="2"/>
  </si>
  <si>
    <t>同業者フラグ</t>
    <rPh sb="0" eb="3">
      <t>ドウギョウシャ</t>
    </rPh>
    <phoneticPr fontId="2"/>
  </si>
  <si>
    <t>請求書フラグ</t>
    <rPh sb="0" eb="3">
      <t>セイキュウショ</t>
    </rPh>
    <phoneticPr fontId="2"/>
  </si>
  <si>
    <t>部署名：</t>
    <rPh sb="0" eb="2">
      <t>ブショ</t>
    </rPh>
    <rPh sb="2" eb="3">
      <t>メイ</t>
    </rPh>
    <phoneticPr fontId="2"/>
  </si>
  <si>
    <t>受領書フラグ</t>
    <rPh sb="0" eb="3">
      <t>ジュリョウショ</t>
    </rPh>
    <phoneticPr fontId="2"/>
  </si>
  <si>
    <t>担当者名：</t>
    <rPh sb="0" eb="3">
      <t>タントウシャ</t>
    </rPh>
    <rPh sb="3" eb="4">
      <t>メイ</t>
    </rPh>
    <phoneticPr fontId="2"/>
  </si>
  <si>
    <t>納品書フラグ</t>
    <rPh sb="0" eb="3">
      <t>ノウヒンショ</t>
    </rPh>
    <phoneticPr fontId="2"/>
  </si>
  <si>
    <t>控フラグ</t>
    <rPh sb="0" eb="1">
      <t>ヒカ</t>
    </rPh>
    <phoneticPr fontId="2"/>
  </si>
  <si>
    <t>請求先分類CD</t>
    <rPh sb="0" eb="2">
      <t>セイキュウ</t>
    </rPh>
    <rPh sb="2" eb="3">
      <t>サキ</t>
    </rPh>
    <rPh sb="3" eb="5">
      <t>ブンルイ</t>
    </rPh>
    <phoneticPr fontId="2"/>
  </si>
  <si>
    <t>請求方法CD</t>
    <rPh sb="0" eb="2">
      <t>セイキュウ</t>
    </rPh>
    <rPh sb="2" eb="4">
      <t>ホウホウ</t>
    </rPh>
    <phoneticPr fontId="2"/>
  </si>
  <si>
    <t>回収種別CD</t>
    <rPh sb="0" eb="2">
      <t>カイシュウ</t>
    </rPh>
    <rPh sb="2" eb="4">
      <t>シュベツ</t>
    </rPh>
    <phoneticPr fontId="2"/>
  </si>
  <si>
    <t>消費税計算区分CD</t>
    <rPh sb="0" eb="3">
      <t>ショウヒゼイ</t>
    </rPh>
    <rPh sb="3" eb="5">
      <t>ケイサン</t>
    </rPh>
    <rPh sb="5" eb="7">
      <t>クブン</t>
    </rPh>
    <phoneticPr fontId="2"/>
  </si>
  <si>
    <t>端数処理CD</t>
    <rPh sb="0" eb="2">
      <t>ハスウ</t>
    </rPh>
    <rPh sb="2" eb="4">
      <t>ショリ</t>
    </rPh>
    <phoneticPr fontId="2"/>
  </si>
  <si>
    <t>UNMM0020_HASU_SHORI_CD</t>
    <phoneticPr fontId="2"/>
  </si>
  <si>
    <t>取引区分：</t>
    <rPh sb="0" eb="2">
      <t>トリヒキ</t>
    </rPh>
    <rPh sb="2" eb="4">
      <t>クブン</t>
    </rPh>
    <phoneticPr fontId="2"/>
  </si>
  <si>
    <t xml:space="preserve">     請求先</t>
    <rPh sb="5" eb="7">
      <t>セイキュウ</t>
    </rPh>
    <rPh sb="7" eb="8">
      <t>サキ</t>
    </rPh>
    <phoneticPr fontId="2"/>
  </si>
  <si>
    <t xml:space="preserve">     仕入先</t>
    <rPh sb="5" eb="7">
      <t>シイレ</t>
    </rPh>
    <rPh sb="7" eb="8">
      <t>サキ</t>
    </rPh>
    <phoneticPr fontId="2"/>
  </si>
  <si>
    <t xml:space="preserve">     発送先</t>
    <rPh sb="5" eb="7">
      <t>ハッソウ</t>
    </rPh>
    <rPh sb="7" eb="8">
      <t>サキ</t>
    </rPh>
    <phoneticPr fontId="2"/>
  </si>
  <si>
    <t xml:space="preserve">      報告先</t>
    <rPh sb="6" eb="8">
      <t>ホウコク</t>
    </rPh>
    <rPh sb="8" eb="9">
      <t>サキ</t>
    </rPh>
    <phoneticPr fontId="2"/>
  </si>
  <si>
    <t xml:space="preserve">      メーカー</t>
    <phoneticPr fontId="2"/>
  </si>
  <si>
    <t>手数料負担区分CD</t>
    <rPh sb="0" eb="3">
      <t>テスウリョウ</t>
    </rPh>
    <rPh sb="3" eb="5">
      <t>フタン</t>
    </rPh>
    <rPh sb="5" eb="7">
      <t>クブン</t>
    </rPh>
    <phoneticPr fontId="2"/>
  </si>
  <si>
    <t xml:space="preserve">     外注先</t>
    <rPh sb="5" eb="7">
      <t>ガイチュウ</t>
    </rPh>
    <rPh sb="7" eb="8">
      <t>サキ</t>
    </rPh>
    <phoneticPr fontId="2"/>
  </si>
  <si>
    <t xml:space="preserve">     官公庁</t>
    <rPh sb="5" eb="8">
      <t>カンコウチョウ</t>
    </rPh>
    <phoneticPr fontId="2"/>
  </si>
  <si>
    <t xml:space="preserve">     同業者</t>
    <rPh sb="5" eb="8">
      <t>ドウギョウシャ</t>
    </rPh>
    <phoneticPr fontId="2"/>
  </si>
  <si>
    <t xml:space="preserve">      スポット</t>
    <phoneticPr fontId="2"/>
  </si>
  <si>
    <t>支払方法区分CD</t>
    <rPh sb="0" eb="2">
      <t>シハライ</t>
    </rPh>
    <rPh sb="2" eb="4">
      <t>ホウホウ</t>
    </rPh>
    <rPh sb="4" eb="6">
      <t>クブン</t>
    </rPh>
    <phoneticPr fontId="2"/>
  </si>
  <si>
    <t>仕入先端数処理区分CD</t>
    <rPh sb="0" eb="2">
      <t>シイレ</t>
    </rPh>
    <rPh sb="2" eb="3">
      <t>サキ</t>
    </rPh>
    <rPh sb="3" eb="5">
      <t>ハスウ</t>
    </rPh>
    <rPh sb="5" eb="7">
      <t>ショリ</t>
    </rPh>
    <rPh sb="7" eb="9">
      <t>クブン</t>
    </rPh>
    <phoneticPr fontId="2"/>
  </si>
  <si>
    <t>【請求先情報】</t>
    <rPh sb="1" eb="3">
      <t>セイキュウ</t>
    </rPh>
    <rPh sb="3" eb="4">
      <t>サキ</t>
    </rPh>
    <rPh sb="4" eb="6">
      <t>ジョウホウ</t>
    </rPh>
    <phoneticPr fontId="2"/>
  </si>
  <si>
    <t>仕入先手数料区分CD</t>
    <rPh sb="0" eb="2">
      <t>シイレ</t>
    </rPh>
    <rPh sb="2" eb="3">
      <t>サキ</t>
    </rPh>
    <rPh sb="3" eb="6">
      <t>テスウリョウ</t>
    </rPh>
    <rPh sb="6" eb="8">
      <t>クブン</t>
    </rPh>
    <phoneticPr fontId="2"/>
  </si>
  <si>
    <t>UNMM0020_SHIIRESAKI_TESURYO_KBN_CD</t>
    <phoneticPr fontId="2"/>
  </si>
  <si>
    <t>営業担当者名▼</t>
    <rPh sb="0" eb="2">
      <t>エイギョウ</t>
    </rPh>
    <rPh sb="2" eb="5">
      <t>タントウシャ</t>
    </rPh>
    <rPh sb="5" eb="6">
      <t>メイ</t>
    </rPh>
    <phoneticPr fontId="2"/>
  </si>
  <si>
    <t>UNMM0020_INSERT_DATETIME</t>
    <phoneticPr fontId="2"/>
  </si>
  <si>
    <t>UNMM0020_UPDATE_DATETIME</t>
    <phoneticPr fontId="2"/>
  </si>
  <si>
    <t>UNMM0020_HIDE_ROW</t>
    <phoneticPr fontId="2"/>
  </si>
  <si>
    <t>UNMM0020_HIDE_COLUMN</t>
    <phoneticPr fontId="2"/>
  </si>
  <si>
    <t>請求方法▼</t>
    <rPh sb="0" eb="2">
      <t>セイキュウ</t>
    </rPh>
    <rPh sb="2" eb="4">
      <t>ホウホウ</t>
    </rPh>
    <phoneticPr fontId="2"/>
  </si>
  <si>
    <t>消費税計算区分▼</t>
    <rPh sb="0" eb="3">
      <t>ショウヒゼイ</t>
    </rPh>
    <rPh sb="3" eb="5">
      <t>ケイサン</t>
    </rPh>
    <rPh sb="5" eb="7">
      <t>クブン</t>
    </rPh>
    <phoneticPr fontId="2"/>
  </si>
  <si>
    <t xml:space="preserve">     請求書</t>
    <rPh sb="5" eb="8">
      <t>セイキュウショ</t>
    </rPh>
    <phoneticPr fontId="2"/>
  </si>
  <si>
    <t xml:space="preserve">     受領書</t>
    <rPh sb="5" eb="8">
      <t>ジュリョウショ</t>
    </rPh>
    <phoneticPr fontId="2"/>
  </si>
  <si>
    <t xml:space="preserve">      納品書</t>
    <rPh sb="6" eb="9">
      <t>ノウヒンショ</t>
    </rPh>
    <phoneticPr fontId="2"/>
  </si>
  <si>
    <t xml:space="preserve">     控</t>
    <rPh sb="5" eb="6">
      <t>ヒカ</t>
    </rPh>
    <phoneticPr fontId="2"/>
  </si>
  <si>
    <t>手数料負担区分▼</t>
    <rPh sb="0" eb="3">
      <t>テスウリョウ</t>
    </rPh>
    <rPh sb="3" eb="5">
      <t>フタン</t>
    </rPh>
    <rPh sb="5" eb="7">
      <t>クブン</t>
    </rPh>
    <phoneticPr fontId="2"/>
  </si>
  <si>
    <t>【仕入先情報】</t>
    <rPh sb="1" eb="3">
      <t>シイレ</t>
    </rPh>
    <rPh sb="3" eb="4">
      <t>サキ</t>
    </rPh>
    <rPh sb="4" eb="6">
      <t>ジョウホウ</t>
    </rPh>
    <phoneticPr fontId="2"/>
  </si>
  <si>
    <t>相手先マスタ検索</t>
    <rPh sb="6" eb="8">
      <t>ケンサク</t>
    </rPh>
    <phoneticPr fontId="2"/>
  </si>
  <si>
    <t>営業担当者CD</t>
    <rPh sb="0" eb="2">
      <t>エイギョウ</t>
    </rPh>
    <rPh sb="2" eb="4">
      <t>タントウ</t>
    </rPh>
    <rPh sb="4" eb="5">
      <t>シャ</t>
    </rPh>
    <phoneticPr fontId="2"/>
  </si>
  <si>
    <t>発送先フラグ</t>
    <rPh sb="0" eb="3">
      <t>ハッソウサキ</t>
    </rPh>
    <phoneticPr fontId="2"/>
  </si>
  <si>
    <t>官公庁</t>
    <rPh sb="0" eb="3">
      <t>カンコウチョウ</t>
    </rPh>
    <phoneticPr fontId="2"/>
  </si>
  <si>
    <t>請求</t>
    <rPh sb="0" eb="2">
      <t>セイキュウ</t>
    </rPh>
    <phoneticPr fontId="2"/>
  </si>
  <si>
    <t>仕入</t>
    <rPh sb="0" eb="2">
      <t>シイレ</t>
    </rPh>
    <phoneticPr fontId="2"/>
  </si>
  <si>
    <t>発送</t>
    <rPh sb="0" eb="2">
      <t>ハッソウ</t>
    </rPh>
    <phoneticPr fontId="2"/>
  </si>
  <si>
    <t>報告</t>
    <rPh sb="0" eb="2">
      <t>ホウコク</t>
    </rPh>
    <phoneticPr fontId="2"/>
  </si>
  <si>
    <t>外注</t>
    <rPh sb="0" eb="2">
      <t>ガイチュウ</t>
    </rPh>
    <phoneticPr fontId="2"/>
  </si>
  <si>
    <t>官公</t>
    <rPh sb="0" eb="2">
      <t>カンコウ</t>
    </rPh>
    <phoneticPr fontId="2"/>
  </si>
  <si>
    <t>同業</t>
    <rPh sb="0" eb="2">
      <t>ドウギョウ</t>
    </rPh>
    <phoneticPr fontId="2"/>
  </si>
  <si>
    <t>相手先CD</t>
    <rPh sb="0" eb="3">
      <t>アイテサキ</t>
    </rPh>
    <phoneticPr fontId="2"/>
  </si>
  <si>
    <t>相手先名</t>
    <rPh sb="0" eb="3">
      <t>アイテサキ</t>
    </rPh>
    <rPh sb="3" eb="4">
      <t>メイ</t>
    </rPh>
    <phoneticPr fontId="2"/>
  </si>
  <si>
    <t>営業担当者名</t>
    <rPh sb="0" eb="2">
      <t>エイギョウ</t>
    </rPh>
    <rPh sb="2" eb="5">
      <t>タントウシャ</t>
    </rPh>
    <rPh sb="5" eb="6">
      <t>メイ</t>
    </rPh>
    <phoneticPr fontId="2"/>
  </si>
  <si>
    <t>郵便番号</t>
    <rPh sb="0" eb="2">
      <t>ユウビン</t>
    </rPh>
    <rPh sb="2" eb="4">
      <t>バンゴウ</t>
    </rPh>
    <phoneticPr fontId="2"/>
  </si>
  <si>
    <t>住所１</t>
    <rPh sb="0" eb="2">
      <t>ジュウショ</t>
    </rPh>
    <phoneticPr fontId="2"/>
  </si>
  <si>
    <t>住所２</t>
    <rPh sb="0" eb="2">
      <t>ジュウショ</t>
    </rPh>
    <phoneticPr fontId="2"/>
  </si>
  <si>
    <t>部署名</t>
    <rPh sb="0" eb="2">
      <t>ブショ</t>
    </rPh>
    <rPh sb="2" eb="3">
      <t>メイ</t>
    </rPh>
    <phoneticPr fontId="2"/>
  </si>
  <si>
    <t>担当者名</t>
    <rPh sb="0" eb="3">
      <t>タントウシャ</t>
    </rPh>
    <rPh sb="3" eb="4">
      <t>メイ</t>
    </rPh>
    <phoneticPr fontId="2"/>
  </si>
  <si>
    <t>選択相手先CD</t>
    <rPh sb="0" eb="2">
      <t>センタク</t>
    </rPh>
    <rPh sb="2" eb="5">
      <t>アイテサキ</t>
    </rPh>
    <phoneticPr fontId="2"/>
  </si>
  <si>
    <t>前ページ判断</t>
    <rPh sb="0" eb="1">
      <t>マエ</t>
    </rPh>
    <rPh sb="4" eb="6">
      <t>ハンダン</t>
    </rPh>
    <phoneticPr fontId="2"/>
  </si>
  <si>
    <t>1:有効2:無効</t>
    <rPh sb="2" eb="4">
      <t>ユウコウ</t>
    </rPh>
    <rPh sb="6" eb="8">
      <t>ムコウ</t>
    </rPh>
    <phoneticPr fontId="2"/>
  </si>
  <si>
    <t>次ページ判断</t>
    <rPh sb="0" eb="1">
      <t>ツギ</t>
    </rPh>
    <rPh sb="4" eb="6">
      <t>ハンダン</t>
    </rPh>
    <phoneticPr fontId="2"/>
  </si>
  <si>
    <t>UNMM0021_B_BACK_PAGE_NUM</t>
    <phoneticPr fontId="2"/>
  </si>
  <si>
    <t>現在ページ-1</t>
    <rPh sb="0" eb="2">
      <t>ゲンザイ</t>
    </rPh>
    <phoneticPr fontId="2"/>
  </si>
  <si>
    <t>現在ページ+1</t>
    <rPh sb="0" eb="2">
      <t>ゲンザイ</t>
    </rPh>
    <phoneticPr fontId="2"/>
  </si>
  <si>
    <t>営業担当者CD</t>
    <rPh sb="0" eb="2">
      <t>エイギョウ</t>
    </rPh>
    <rPh sb="2" eb="5">
      <t>タントウシャ</t>
    </rPh>
    <phoneticPr fontId="2"/>
  </si>
  <si>
    <t>未使用フラグ非表示</t>
    <rPh sb="0" eb="3">
      <t>ミシヨウ</t>
    </rPh>
    <rPh sb="6" eb="9">
      <t>ヒヒョウジ</t>
    </rPh>
    <phoneticPr fontId="2"/>
  </si>
  <si>
    <t>請求フラグ</t>
    <rPh sb="0" eb="2">
      <t>セイキュウ</t>
    </rPh>
    <phoneticPr fontId="2"/>
  </si>
  <si>
    <t>仕入フラグ</t>
    <rPh sb="0" eb="2">
      <t>シイ</t>
    </rPh>
    <phoneticPr fontId="2"/>
  </si>
  <si>
    <t>発送フラグ</t>
    <rPh sb="0" eb="2">
      <t>ハッソウ</t>
    </rPh>
    <phoneticPr fontId="2"/>
  </si>
  <si>
    <t>報告フラグ</t>
    <rPh sb="0" eb="2">
      <t>ホウコク</t>
    </rPh>
    <phoneticPr fontId="2"/>
  </si>
  <si>
    <t>外注フラグ</t>
    <rPh sb="0" eb="2">
      <t>ガイチュウ</t>
    </rPh>
    <phoneticPr fontId="2"/>
  </si>
  <si>
    <t>同業者フラグ</t>
    <rPh sb="0" eb="2">
      <t>ドウギョウ</t>
    </rPh>
    <rPh sb="2" eb="3">
      <t>シャ</t>
    </rPh>
    <phoneticPr fontId="2"/>
  </si>
  <si>
    <t>条件(相手先CD)</t>
    <rPh sb="0" eb="2">
      <t>ジョウケン</t>
    </rPh>
    <rPh sb="3" eb="6">
      <t>アイテサキ</t>
    </rPh>
    <phoneticPr fontId="2"/>
  </si>
  <si>
    <t>条件(営業担当者CD)</t>
    <rPh sb="0" eb="2">
      <t>ジョウケン</t>
    </rPh>
    <rPh sb="3" eb="5">
      <t>エイギョウ</t>
    </rPh>
    <rPh sb="5" eb="8">
      <t>タントウシャ</t>
    </rPh>
    <phoneticPr fontId="2"/>
  </si>
  <si>
    <t>条件(請求フラグ)</t>
    <rPh sb="0" eb="2">
      <t>ジョウケン</t>
    </rPh>
    <rPh sb="3" eb="5">
      <t>セイキュウ</t>
    </rPh>
    <phoneticPr fontId="2"/>
  </si>
  <si>
    <t>条件(仕入フラグ)</t>
    <rPh sb="0" eb="2">
      <t>ジョウケン</t>
    </rPh>
    <rPh sb="3" eb="5">
      <t>シイ</t>
    </rPh>
    <phoneticPr fontId="2"/>
  </si>
  <si>
    <t>条件(発送フラグ)</t>
    <rPh sb="0" eb="2">
      <t>ジョウケン</t>
    </rPh>
    <rPh sb="3" eb="5">
      <t>ハッソウ</t>
    </rPh>
    <phoneticPr fontId="2"/>
  </si>
  <si>
    <t>条件(報告フラグ)</t>
    <rPh sb="0" eb="2">
      <t>ジョウケン</t>
    </rPh>
    <rPh sb="3" eb="5">
      <t>ホウコク</t>
    </rPh>
    <phoneticPr fontId="2"/>
  </si>
  <si>
    <t>条件(メーカーフラグ)</t>
    <rPh sb="0" eb="2">
      <t>ジョウケン</t>
    </rPh>
    <phoneticPr fontId="2"/>
  </si>
  <si>
    <t>条件(外注フラグ)</t>
    <rPh sb="0" eb="2">
      <t>ジョウケン</t>
    </rPh>
    <rPh sb="3" eb="5">
      <t>ガイチュウ</t>
    </rPh>
    <phoneticPr fontId="2"/>
  </si>
  <si>
    <t>条件(官公庁フラグ)</t>
    <rPh sb="0" eb="2">
      <t>ジョウケン</t>
    </rPh>
    <rPh sb="3" eb="6">
      <t>カンコウチョウ</t>
    </rPh>
    <phoneticPr fontId="2"/>
  </si>
  <si>
    <t>条件(同業者フラグ)</t>
    <rPh sb="0" eb="2">
      <t>ジョウケン</t>
    </rPh>
    <rPh sb="3" eb="6">
      <t>ドウギョウシャ</t>
    </rPh>
    <phoneticPr fontId="2"/>
  </si>
  <si>
    <t>条件(スポットフラグ)</t>
    <rPh sb="0" eb="2">
      <t>ジョウケン</t>
    </rPh>
    <phoneticPr fontId="2"/>
  </si>
  <si>
    <t>条件(フリーワード接続文)</t>
    <rPh sb="0" eb="2">
      <t>ジョウケン</t>
    </rPh>
    <rPh sb="9" eb="11">
      <t>セツゾク</t>
    </rPh>
    <rPh sb="11" eb="12">
      <t>ブン</t>
    </rPh>
    <phoneticPr fontId="2"/>
  </si>
  <si>
    <t>並び替えPOPUP用</t>
    <rPh sb="0" eb="1">
      <t>ナラ</t>
    </rPh>
    <rPh sb="2" eb="3">
      <t>カ</t>
    </rPh>
    <rPh sb="9" eb="10">
      <t>ヨウ</t>
    </rPh>
    <phoneticPr fontId="2"/>
  </si>
  <si>
    <t>取得件数判定</t>
    <rPh sb="0" eb="2">
      <t>シュトク</t>
    </rPh>
    <rPh sb="2" eb="4">
      <t>ケンスウ</t>
    </rPh>
    <rPh sb="4" eb="6">
      <t>ハンテイ</t>
    </rPh>
    <phoneticPr fontId="2"/>
  </si>
  <si>
    <t>取得件数0→2それ以外1</t>
    <rPh sb="0" eb="2">
      <t>シュトク</t>
    </rPh>
    <rPh sb="2" eb="4">
      <t>ケンスウ</t>
    </rPh>
    <rPh sb="9" eb="11">
      <t>イガイ</t>
    </rPh>
    <phoneticPr fontId="2"/>
  </si>
  <si>
    <t>【フラグコピー元】</t>
    <rPh sb="7" eb="8">
      <t>モト</t>
    </rPh>
    <phoneticPr fontId="2"/>
  </si>
  <si>
    <t>【コンボボックス】</t>
    <phoneticPr fontId="2"/>
  </si>
  <si>
    <t>新規モードフラグコピー元</t>
    <rPh sb="0" eb="2">
      <t>シンキ</t>
    </rPh>
    <rPh sb="11" eb="12">
      <t>モト</t>
    </rPh>
    <phoneticPr fontId="2"/>
  </si>
  <si>
    <t>UNMM0020_IF_MODE_SHINKI_COPY_MOTO</t>
    <phoneticPr fontId="2"/>
  </si>
  <si>
    <t>UNMM0020_IF_SAVE_AITE_CD</t>
    <phoneticPr fontId="2"/>
  </si>
  <si>
    <t>請求方法</t>
    <rPh sb="0" eb="2">
      <t>セイキュウ</t>
    </rPh>
    <rPh sb="2" eb="4">
      <t>ホウホウ</t>
    </rPh>
    <phoneticPr fontId="2"/>
  </si>
  <si>
    <t>回収種別</t>
    <rPh sb="0" eb="2">
      <t>カイシュウ</t>
    </rPh>
    <rPh sb="2" eb="4">
      <t>シュベツ</t>
    </rPh>
    <phoneticPr fontId="2"/>
  </si>
  <si>
    <t>消費税計算区分</t>
    <rPh sb="0" eb="3">
      <t>ショウヒゼイ</t>
    </rPh>
    <rPh sb="3" eb="5">
      <t>ケイサン</t>
    </rPh>
    <rPh sb="5" eb="7">
      <t>クブン</t>
    </rPh>
    <phoneticPr fontId="2"/>
  </si>
  <si>
    <t>端数処理</t>
    <rPh sb="0" eb="2">
      <t>ハスウ</t>
    </rPh>
    <rPh sb="2" eb="4">
      <t>ショリ</t>
    </rPh>
    <phoneticPr fontId="2"/>
  </si>
  <si>
    <t>手数料負担区分</t>
    <rPh sb="0" eb="3">
      <t>テスウリョウ</t>
    </rPh>
    <rPh sb="3" eb="5">
      <t>フタン</t>
    </rPh>
    <rPh sb="5" eb="7">
      <t>クブン</t>
    </rPh>
    <phoneticPr fontId="2"/>
  </si>
  <si>
    <t>仕入先支払い方法</t>
    <rPh sb="0" eb="2">
      <t>シイレ</t>
    </rPh>
    <rPh sb="2" eb="3">
      <t>サキ</t>
    </rPh>
    <rPh sb="3" eb="5">
      <t>シハラ</t>
    </rPh>
    <rPh sb="6" eb="8">
      <t>ホウホウ</t>
    </rPh>
    <phoneticPr fontId="2"/>
  </si>
  <si>
    <t>仕入先端数処理</t>
    <rPh sb="0" eb="2">
      <t>シイレ</t>
    </rPh>
    <rPh sb="2" eb="3">
      <t>サキ</t>
    </rPh>
    <rPh sb="3" eb="5">
      <t>ハスウ</t>
    </rPh>
    <rPh sb="5" eb="7">
      <t>ショリ</t>
    </rPh>
    <phoneticPr fontId="2"/>
  </si>
  <si>
    <t>仕入先手数料負担区分</t>
    <rPh sb="0" eb="2">
      <t>シイレ</t>
    </rPh>
    <rPh sb="2" eb="3">
      <t>サキ</t>
    </rPh>
    <rPh sb="3" eb="6">
      <t>テスウリョウ</t>
    </rPh>
    <rPh sb="6" eb="8">
      <t>フタン</t>
    </rPh>
    <rPh sb="8" eb="10">
      <t>クブン</t>
    </rPh>
    <phoneticPr fontId="2"/>
  </si>
  <si>
    <t>UNMM0020_IF_SAVE_AITE_MEI</t>
    <phoneticPr fontId="2"/>
  </si>
  <si>
    <t>件数</t>
    <rPh sb="0" eb="2">
      <t>ケンスウ</t>
    </rPh>
    <phoneticPr fontId="2"/>
  </si>
  <si>
    <t>住所1</t>
    <rPh sb="0" eb="2">
      <t>ジュウショ</t>
    </rPh>
    <phoneticPr fontId="2"/>
  </si>
  <si>
    <t>住所2</t>
    <rPh sb="0" eb="2">
      <t>ジュウショ</t>
    </rPh>
    <phoneticPr fontId="2"/>
  </si>
  <si>
    <t>UNMM0020_IF_SAVE_JUSHO2</t>
  </si>
  <si>
    <t>KAISHU_2</t>
  </si>
  <si>
    <t>電話</t>
    <rPh sb="0" eb="2">
      <t>デンワ</t>
    </rPh>
    <phoneticPr fontId="2"/>
  </si>
  <si>
    <t>担当者名</t>
    <rPh sb="0" eb="2">
      <t>タントウ</t>
    </rPh>
    <rPh sb="2" eb="3">
      <t>シャ</t>
    </rPh>
    <rPh sb="3" eb="4">
      <t>メイ</t>
    </rPh>
    <phoneticPr fontId="2"/>
  </si>
  <si>
    <t>請求分類</t>
    <rPh sb="0" eb="2">
      <t>セイキュウ</t>
    </rPh>
    <rPh sb="2" eb="4">
      <t>ブンルイ</t>
    </rPh>
    <phoneticPr fontId="2"/>
  </si>
  <si>
    <t>請求先注記</t>
    <rPh sb="0" eb="2">
      <t>セイキュウ</t>
    </rPh>
    <rPh sb="2" eb="3">
      <t>サキ</t>
    </rPh>
    <rPh sb="3" eb="5">
      <t>チュウキ</t>
    </rPh>
    <phoneticPr fontId="2"/>
  </si>
  <si>
    <t>回収月</t>
    <rPh sb="0" eb="2">
      <t>カイシュウ</t>
    </rPh>
    <rPh sb="2" eb="3">
      <t>ツキ</t>
    </rPh>
    <phoneticPr fontId="2"/>
  </si>
  <si>
    <t>回収日</t>
    <rPh sb="0" eb="3">
      <t>カイシュウビ</t>
    </rPh>
    <phoneticPr fontId="2"/>
  </si>
  <si>
    <t>手数料区分</t>
    <rPh sb="0" eb="3">
      <t>テスウリョウ</t>
    </rPh>
    <rPh sb="3" eb="5">
      <t>クブン</t>
    </rPh>
    <phoneticPr fontId="2"/>
  </si>
  <si>
    <t>支払方法</t>
    <rPh sb="0" eb="2">
      <t>シハラ</t>
    </rPh>
    <rPh sb="2" eb="4">
      <t>ホウホウ</t>
    </rPh>
    <phoneticPr fontId="2"/>
  </si>
  <si>
    <t>仕入先注記</t>
    <rPh sb="0" eb="2">
      <t>シイレ</t>
    </rPh>
    <rPh sb="2" eb="3">
      <t>サキ</t>
    </rPh>
    <rPh sb="3" eb="5">
      <t>チュウキ</t>
    </rPh>
    <phoneticPr fontId="2"/>
  </si>
  <si>
    <t>仕入先手数料</t>
    <rPh sb="0" eb="2">
      <t>シイレ</t>
    </rPh>
    <rPh sb="2" eb="3">
      <t>サキ</t>
    </rPh>
    <rPh sb="3" eb="6">
      <t>テスウリョウ</t>
    </rPh>
    <phoneticPr fontId="2"/>
  </si>
  <si>
    <t>シリアル番号</t>
    <rPh sb="4" eb="6">
      <t>バンゴウ</t>
    </rPh>
    <phoneticPr fontId="2"/>
  </si>
  <si>
    <t>行番号</t>
    <rPh sb="0" eb="3">
      <t>ギョウバンゴウ</t>
    </rPh>
    <phoneticPr fontId="2"/>
  </si>
  <si>
    <t>1:新規2:修正3:削除</t>
    <rPh sb="2" eb="4">
      <t>シンキ</t>
    </rPh>
    <rPh sb="6" eb="8">
      <t>シュウセイ</t>
    </rPh>
    <rPh sb="10" eb="12">
      <t>サクジョ</t>
    </rPh>
    <phoneticPr fontId="2"/>
  </si>
  <si>
    <t>日数</t>
    <rPh sb="0" eb="2">
      <t>ニッスウ</t>
    </rPh>
    <phoneticPr fontId="2"/>
  </si>
  <si>
    <t>入力確認</t>
    <rPh sb="0" eb="2">
      <t>ニュウリョク</t>
    </rPh>
    <rPh sb="2" eb="4">
      <t>カクニン</t>
    </rPh>
    <phoneticPr fontId="2"/>
  </si>
  <si>
    <t>0:入力不足1:OK</t>
    <rPh sb="2" eb="4">
      <t>ニュウリョク</t>
    </rPh>
    <rPh sb="4" eb="6">
      <t>ブソク</t>
    </rPh>
    <phoneticPr fontId="2"/>
  </si>
  <si>
    <t>UNMM0020_IF_MODE_SHUSEI_COPY_MOTO</t>
    <phoneticPr fontId="2"/>
  </si>
  <si>
    <t>UNMM0020_IF_MODE_SANSHO_COPY_MOTO</t>
    <phoneticPr fontId="2"/>
  </si>
  <si>
    <t>UNMM_COMMON_SQL_SEIKYU_SERCH</t>
    <phoneticPr fontId="2"/>
  </si>
  <si>
    <t>分析項目群検索用SQL</t>
    <rPh sb="0" eb="2">
      <t>ブンセキ</t>
    </rPh>
    <rPh sb="2" eb="4">
      <t>コウモク</t>
    </rPh>
    <rPh sb="4" eb="5">
      <t>グン</t>
    </rPh>
    <rPh sb="5" eb="8">
      <t>ケンサクヨウ</t>
    </rPh>
    <phoneticPr fontId="2"/>
  </si>
  <si>
    <t>UNMM_COMMON_SQL_KOMOKU_GUN_SERCH</t>
  </si>
  <si>
    <t>分析項目検索用SQL</t>
    <rPh sb="0" eb="2">
      <t>ブンセキ</t>
    </rPh>
    <rPh sb="2" eb="4">
      <t>コウモク</t>
    </rPh>
    <rPh sb="4" eb="7">
      <t>ケンサクヨウ</t>
    </rPh>
    <phoneticPr fontId="2"/>
  </si>
  <si>
    <t>UNMM_COMMON_SQL_KOMOKU_SERCH</t>
  </si>
  <si>
    <t>請求先分類検索用SQL</t>
    <rPh sb="0" eb="2">
      <t>セイキュウ</t>
    </rPh>
    <rPh sb="2" eb="3">
      <t>サキ</t>
    </rPh>
    <rPh sb="3" eb="5">
      <t>ブンルイ</t>
    </rPh>
    <rPh sb="5" eb="8">
      <t>ケンサクヨウ</t>
    </rPh>
    <phoneticPr fontId="2"/>
  </si>
  <si>
    <t>分析項目群マスタメンテ</t>
    <rPh sb="0" eb="2">
      <t>ブンセキ</t>
    </rPh>
    <rPh sb="2" eb="4">
      <t>コウモク</t>
    </rPh>
    <rPh sb="4" eb="5">
      <t>グン</t>
    </rPh>
    <phoneticPr fontId="2"/>
  </si>
  <si>
    <t>分析項目群▼</t>
    <rPh sb="0" eb="2">
      <t>ブンセキ</t>
    </rPh>
    <rPh sb="2" eb="4">
      <t>コウモク</t>
    </rPh>
    <rPh sb="4" eb="5">
      <t>グン</t>
    </rPh>
    <phoneticPr fontId="2"/>
  </si>
  <si>
    <t>UNMM0070_HYOJI_KENSU</t>
    <phoneticPr fontId="2"/>
  </si>
  <si>
    <t>分析項目CD</t>
    <rPh sb="0" eb="2">
      <t>ブンセキ</t>
    </rPh>
    <rPh sb="2" eb="4">
      <t>コウモク</t>
    </rPh>
    <phoneticPr fontId="2"/>
  </si>
  <si>
    <t>分析項目名</t>
    <rPh sb="0" eb="2">
      <t>ブンセキ</t>
    </rPh>
    <rPh sb="2" eb="4">
      <t>コウモク</t>
    </rPh>
    <rPh sb="4" eb="5">
      <t>メイ</t>
    </rPh>
    <phoneticPr fontId="2"/>
  </si>
  <si>
    <t>単位</t>
    <rPh sb="0" eb="2">
      <t>タンイ</t>
    </rPh>
    <phoneticPr fontId="2"/>
  </si>
  <si>
    <t>分析項目群CD</t>
    <rPh sb="0" eb="2">
      <t>ブンセキ</t>
    </rPh>
    <rPh sb="2" eb="4">
      <t>コウモク</t>
    </rPh>
    <rPh sb="4" eb="5">
      <t>グン</t>
    </rPh>
    <phoneticPr fontId="2"/>
  </si>
  <si>
    <t>UNMM0070_CTRL_HYOJI_GYO_SU</t>
    <phoneticPr fontId="2"/>
  </si>
  <si>
    <t>行追加</t>
    <rPh sb="0" eb="1">
      <t>ギョウ</t>
    </rPh>
    <rPh sb="1" eb="3">
      <t>ツイカ</t>
    </rPh>
    <phoneticPr fontId="2"/>
  </si>
  <si>
    <t>UNMM0070_KENSU_INCREMENT</t>
    <phoneticPr fontId="2"/>
  </si>
  <si>
    <t>行削除</t>
    <rPh sb="0" eb="3">
      <t>ギョウサクジョ</t>
    </rPh>
    <phoneticPr fontId="2"/>
  </si>
  <si>
    <t>UNMM0070_KENSU_DECREMENT</t>
    <phoneticPr fontId="2"/>
  </si>
  <si>
    <t>UNMM0070_LIST_START</t>
    <phoneticPr fontId="2"/>
  </si>
  <si>
    <t>UNMM0070_LIST_END</t>
    <phoneticPr fontId="2"/>
  </si>
  <si>
    <t>UNMM0070_LIST_COPY_SAKI</t>
    <phoneticPr fontId="2"/>
  </si>
  <si>
    <t>リスト予備欄コピー先</t>
    <rPh sb="3" eb="5">
      <t>ヨビ</t>
    </rPh>
    <rPh sb="5" eb="6">
      <t>ラン</t>
    </rPh>
    <rPh sb="9" eb="10">
      <t>サキ</t>
    </rPh>
    <phoneticPr fontId="2"/>
  </si>
  <si>
    <t>UNMM0070_YOBI_LIST_COPY_SAKI</t>
    <phoneticPr fontId="2"/>
  </si>
  <si>
    <t>UNMM0070_LIST_CLEAR</t>
    <phoneticPr fontId="2"/>
  </si>
  <si>
    <t>行挿入・削除範囲</t>
    <rPh sb="0" eb="1">
      <t>ギョウ</t>
    </rPh>
    <rPh sb="1" eb="3">
      <t>ソウニュウ</t>
    </rPh>
    <rPh sb="4" eb="6">
      <t>サクジョ</t>
    </rPh>
    <rPh sb="6" eb="8">
      <t>ハンイ</t>
    </rPh>
    <phoneticPr fontId="2"/>
  </si>
  <si>
    <t>UNMM0070_LIST_INS_DEL</t>
    <phoneticPr fontId="2"/>
  </si>
  <si>
    <t>挿入コピー範囲</t>
    <rPh sb="0" eb="2">
      <t>ソウニュウ</t>
    </rPh>
    <rPh sb="5" eb="7">
      <t>ハンイ</t>
    </rPh>
    <phoneticPr fontId="2"/>
  </si>
  <si>
    <t>UNMM0070_LIST_INSERT_SAKI</t>
    <phoneticPr fontId="2"/>
  </si>
  <si>
    <t>予備表示行数</t>
    <rPh sb="0" eb="2">
      <t>ヨビ</t>
    </rPh>
    <rPh sb="2" eb="4">
      <t>ヒョウジ</t>
    </rPh>
    <rPh sb="4" eb="6">
      <t>ギョウスウ</t>
    </rPh>
    <phoneticPr fontId="2"/>
  </si>
  <si>
    <t>UNMM0070_YOBI_GYOSU</t>
    <phoneticPr fontId="2"/>
  </si>
  <si>
    <t>UNMM0070_SELECT_GYO_NO</t>
    <phoneticPr fontId="2"/>
  </si>
  <si>
    <t>選択分析項目CD</t>
    <rPh sb="0" eb="2">
      <t>センタク</t>
    </rPh>
    <rPh sb="2" eb="4">
      <t>ブンセキ</t>
    </rPh>
    <rPh sb="4" eb="6">
      <t>コウモク</t>
    </rPh>
    <phoneticPr fontId="2"/>
  </si>
  <si>
    <t>UNMM0070_SELECT_BUNSEKIKOMOKU_CD</t>
    <phoneticPr fontId="2"/>
  </si>
  <si>
    <t>分析項目CD表示位置</t>
    <rPh sb="0" eb="2">
      <t>ブンセキ</t>
    </rPh>
    <rPh sb="2" eb="4">
      <t>コウモク</t>
    </rPh>
    <rPh sb="6" eb="8">
      <t>ヒョウジ</t>
    </rPh>
    <rPh sb="8" eb="10">
      <t>イチ</t>
    </rPh>
    <phoneticPr fontId="2"/>
  </si>
  <si>
    <t>UNMM0070_SET_BUNSEKIKOMOKU_CD</t>
    <phoneticPr fontId="2"/>
  </si>
  <si>
    <t>分析項目名表示位置</t>
    <rPh sb="0" eb="2">
      <t>ブンセキ</t>
    </rPh>
    <rPh sb="2" eb="4">
      <t>コウモク</t>
    </rPh>
    <rPh sb="4" eb="5">
      <t>メイ</t>
    </rPh>
    <rPh sb="5" eb="7">
      <t>ヒョウジ</t>
    </rPh>
    <rPh sb="7" eb="9">
      <t>イチ</t>
    </rPh>
    <phoneticPr fontId="2"/>
  </si>
  <si>
    <t>UNMM0070_SET_BUNSEKIKOMOKU_MEI</t>
    <phoneticPr fontId="2"/>
  </si>
  <si>
    <t>分析項目単位表示位置</t>
    <rPh sb="0" eb="2">
      <t>ブンセキ</t>
    </rPh>
    <rPh sb="2" eb="4">
      <t>コウモク</t>
    </rPh>
    <rPh sb="4" eb="6">
      <t>タンイ</t>
    </rPh>
    <rPh sb="6" eb="8">
      <t>ヒョウジ</t>
    </rPh>
    <rPh sb="8" eb="10">
      <t>イチ</t>
    </rPh>
    <phoneticPr fontId="2"/>
  </si>
  <si>
    <t>UNMM0070_SET_BUNSEKIKOMOKU_TANI</t>
    <phoneticPr fontId="2"/>
  </si>
  <si>
    <t>表示分析項目数</t>
    <rPh sb="0" eb="2">
      <t>ヒョウジ</t>
    </rPh>
    <rPh sb="2" eb="4">
      <t>ブンセキ</t>
    </rPh>
    <rPh sb="4" eb="7">
      <t>コウモクスウ</t>
    </rPh>
    <phoneticPr fontId="2"/>
  </si>
  <si>
    <t>UNMM0070_HYOJI_BUNSEKIKOMIKU</t>
    <phoneticPr fontId="2"/>
  </si>
  <si>
    <t>UNMM0070_HIDE_ROW</t>
    <phoneticPr fontId="2"/>
  </si>
  <si>
    <t>UNMM0070_HIDE_COLUMN</t>
    <phoneticPr fontId="2"/>
  </si>
  <si>
    <t>分析項目群CDエラーフラグ</t>
    <rPh sb="0" eb="2">
      <t>ブンセキ</t>
    </rPh>
    <rPh sb="2" eb="4">
      <t>コウモク</t>
    </rPh>
    <rPh sb="4" eb="5">
      <t>グン</t>
    </rPh>
    <phoneticPr fontId="2"/>
  </si>
  <si>
    <t>UNMM0070_BUNSEKI_GUN_CD_ERROR</t>
    <phoneticPr fontId="2"/>
  </si>
  <si>
    <t>分析項目群名エラーフラグ</t>
    <rPh sb="0" eb="2">
      <t>ブンセキ</t>
    </rPh>
    <rPh sb="2" eb="4">
      <t>コウモク</t>
    </rPh>
    <rPh sb="4" eb="5">
      <t>グン</t>
    </rPh>
    <rPh sb="5" eb="6">
      <t>メイ</t>
    </rPh>
    <phoneticPr fontId="2"/>
  </si>
  <si>
    <t>UNMM0070_BUNSEKI_GUN_MEI_ERROR</t>
    <phoneticPr fontId="2"/>
  </si>
  <si>
    <t>UNMM0070_IF_SAVE_COPY_MOTO</t>
    <phoneticPr fontId="2"/>
  </si>
  <si>
    <t>ユーザーID</t>
    <phoneticPr fontId="2"/>
  </si>
  <si>
    <t>シリアル値</t>
    <rPh sb="4" eb="5">
      <t>チ</t>
    </rPh>
    <phoneticPr fontId="2"/>
  </si>
  <si>
    <t>処理モード</t>
    <rPh sb="0" eb="2">
      <t>ショリ</t>
    </rPh>
    <phoneticPr fontId="2"/>
  </si>
  <si>
    <t>分析項目群名</t>
    <rPh sb="0" eb="2">
      <t>ブンセキ</t>
    </rPh>
    <rPh sb="2" eb="4">
      <t>コウモク</t>
    </rPh>
    <rPh sb="4" eb="5">
      <t>グン</t>
    </rPh>
    <rPh sb="5" eb="6">
      <t>メイ</t>
    </rPh>
    <phoneticPr fontId="2"/>
  </si>
  <si>
    <t>SEQ</t>
    <phoneticPr fontId="2"/>
  </si>
  <si>
    <t>UNMM0070_IF_SAVE_COPY_START→</t>
    <phoneticPr fontId="2"/>
  </si>
  <si>
    <t>UNMM0070_IF_LIST_DEFAULT</t>
    <phoneticPr fontId="2"/>
  </si>
  <si>
    <t>UNMM0070_IF_SAVE_COPY_SAKI</t>
    <phoneticPr fontId="2"/>
  </si>
  <si>
    <t>UNMM0070_IF_LIST_COPY</t>
    <phoneticPr fontId="2"/>
  </si>
  <si>
    <t>＞</t>
    <phoneticPr fontId="2"/>
  </si>
  <si>
    <t>UNMM0070_IF_SAVE_CLEAR</t>
    <phoneticPr fontId="2"/>
  </si>
  <si>
    <t>リスト書式修正コピー元</t>
    <rPh sb="3" eb="5">
      <t>ショシキ</t>
    </rPh>
    <rPh sb="5" eb="7">
      <t>シュウセイ</t>
    </rPh>
    <rPh sb="10" eb="11">
      <t>モト</t>
    </rPh>
    <phoneticPr fontId="2"/>
  </si>
  <si>
    <t>UNMM0070_IF_LIST_SANSHO_COPY</t>
    <phoneticPr fontId="2"/>
  </si>
  <si>
    <t>新規モードコピー元</t>
    <rPh sb="0" eb="2">
      <t>シンキ</t>
    </rPh>
    <rPh sb="8" eb="9">
      <t>モト</t>
    </rPh>
    <phoneticPr fontId="2"/>
  </si>
  <si>
    <t>UNMM0070_IF_MODE_SHINKI_COPY_MOTO</t>
    <phoneticPr fontId="2"/>
  </si>
  <si>
    <t>修正モードコピー元</t>
    <rPh sb="0" eb="2">
      <t>シュウセイ</t>
    </rPh>
    <rPh sb="8" eb="9">
      <t>モト</t>
    </rPh>
    <phoneticPr fontId="2"/>
  </si>
  <si>
    <t>UNMM0070_IF_MODE_SHUSEI_COPY_MOTO</t>
    <phoneticPr fontId="2"/>
  </si>
  <si>
    <t>参照モードコピー元</t>
    <rPh sb="0" eb="2">
      <t>サンショウ</t>
    </rPh>
    <rPh sb="8" eb="9">
      <t>モト</t>
    </rPh>
    <phoneticPr fontId="2"/>
  </si>
  <si>
    <t>UNMM0070_IF_MODE_SANSHO_COPY_MOTO</t>
    <phoneticPr fontId="2"/>
  </si>
  <si>
    <t>UNMM0070_IF_DATA_SEARCH_FLG</t>
    <phoneticPr fontId="2"/>
  </si>
  <si>
    <t>UNMM0070_IF_ACTIVE_SHEET</t>
    <phoneticPr fontId="2"/>
  </si>
  <si>
    <t>UNMM0070</t>
    <phoneticPr fontId="2"/>
  </si>
  <si>
    <t>UNMM0070_IF_ACTIVE_ROW</t>
    <phoneticPr fontId="2"/>
  </si>
  <si>
    <t>UNMM0070_IF_ACTIVE_COLUMN</t>
    <phoneticPr fontId="2"/>
  </si>
  <si>
    <t>UNMM0070_IF_ACTIVE_CELL_NAME</t>
    <phoneticPr fontId="2"/>
  </si>
  <si>
    <t>UNMM0070_IF_MODE</t>
    <phoneticPr fontId="2"/>
  </si>
  <si>
    <t>UNMM0070_IF_BUTTON_06_NAME</t>
    <phoneticPr fontId="2"/>
  </si>
  <si>
    <t>UNMM0070_IF_BUTTON_10_NAME</t>
    <phoneticPr fontId="2"/>
  </si>
  <si>
    <t>UNMM0070_IF_BUTTON_06_FONTCOLOR</t>
    <phoneticPr fontId="2"/>
  </si>
  <si>
    <t>UNMM0070_IF_BUTTON_10_FONTCOLOR</t>
    <phoneticPr fontId="2"/>
  </si>
  <si>
    <t>UNMM0070_IF_BUTTON_04_HYOJI</t>
    <phoneticPr fontId="2"/>
  </si>
  <si>
    <t>UNMM0070_IF_BUTTON_06_HYOJI</t>
    <phoneticPr fontId="2"/>
  </si>
  <si>
    <t>UNMM0070_IF_BUTTON_07_HYOJI</t>
    <phoneticPr fontId="2"/>
  </si>
  <si>
    <t>有効(1)</t>
    <phoneticPr fontId="2"/>
  </si>
  <si>
    <t>無効(2)</t>
    <phoneticPr fontId="2"/>
  </si>
  <si>
    <t>キャンセルボタン</t>
    <phoneticPr fontId="2"/>
  </si>
  <si>
    <t>UNMM0070_IF_BUTTON_09_HYOJI</t>
    <phoneticPr fontId="2"/>
  </si>
  <si>
    <t>UNMM0070_IF_BUTTON_10_HYOJI</t>
    <phoneticPr fontId="2"/>
  </si>
  <si>
    <t>有効(1)</t>
    <rPh sb="0" eb="2">
      <t>ユウコウ</t>
    </rPh>
    <phoneticPr fontId="2"/>
  </si>
  <si>
    <t>行追加ボタン</t>
    <rPh sb="0" eb="1">
      <t>ギョウ</t>
    </rPh>
    <rPh sb="1" eb="3">
      <t>ツイカ</t>
    </rPh>
    <phoneticPr fontId="2"/>
  </si>
  <si>
    <t>UNMM0070_IF_BUTTON_13_HYOJI</t>
    <phoneticPr fontId="2"/>
  </si>
  <si>
    <t>行削除ボタン</t>
    <rPh sb="0" eb="3">
      <t>ギョウサクジョ</t>
    </rPh>
    <phoneticPr fontId="2"/>
  </si>
  <si>
    <t>UNMM0070_IF_BUTTON_14_HYOJI</t>
    <phoneticPr fontId="2"/>
  </si>
  <si>
    <t>UNMM0070_IF_BUTTON_20_HYOJI</t>
    <phoneticPr fontId="2"/>
  </si>
  <si>
    <t>ユーザーID</t>
    <phoneticPr fontId="2"/>
  </si>
  <si>
    <t>UNMM0070_IF_SAVE_W_USER_ID</t>
    <phoneticPr fontId="2"/>
  </si>
  <si>
    <t>シリアル値</t>
    <rPh sb="4" eb="5">
      <t>アタイ</t>
    </rPh>
    <phoneticPr fontId="2"/>
  </si>
  <si>
    <t>UNMM0070_IF_SAVE_W_SERIAL</t>
    <phoneticPr fontId="2"/>
  </si>
  <si>
    <t>UNMM0070_IF_SAVE_W_ROW</t>
    <phoneticPr fontId="2"/>
  </si>
  <si>
    <t>UNMM0070_IF_SAVE_W_MODE</t>
    <phoneticPr fontId="2"/>
  </si>
  <si>
    <t>UNMM0070_IF_SAVE_BUNSEKIKOMOKU_GUN_CD</t>
    <phoneticPr fontId="2"/>
  </si>
  <si>
    <t>UNMM0070_IF_SAVE_BUNSEKIKOMOKU_GUN_MEI</t>
    <phoneticPr fontId="2"/>
  </si>
  <si>
    <t>UNMM0070_IF_SAVE_INPUT_CHECK</t>
    <phoneticPr fontId="2"/>
  </si>
  <si>
    <t>UNMM0070_IF_SAVE_RESULT_CD</t>
    <phoneticPr fontId="2"/>
  </si>
  <si>
    <t>UNMM0070_IF_SAVE_RESULT_MESSAGE</t>
    <phoneticPr fontId="2"/>
  </si>
  <si>
    <t>UNMM0070_IF_SAVE_ERROR_CHECK</t>
    <phoneticPr fontId="2"/>
  </si>
  <si>
    <t>エラーメッセージ</t>
    <phoneticPr fontId="2"/>
  </si>
  <si>
    <t>UNMM0070_IF_SAVE_ERROR_MESSAGE</t>
    <phoneticPr fontId="2"/>
  </si>
  <si>
    <t>分析項目群マスタリスト読み込みSQL</t>
    <rPh sb="0" eb="2">
      <t>ブンセキ</t>
    </rPh>
    <rPh sb="2" eb="4">
      <t>コウモク</t>
    </rPh>
    <rPh sb="4" eb="5">
      <t>グン</t>
    </rPh>
    <rPh sb="11" eb="12">
      <t>ヨ</t>
    </rPh>
    <rPh sb="13" eb="14">
      <t>コ</t>
    </rPh>
    <phoneticPr fontId="2"/>
  </si>
  <si>
    <t>UNMM0070_SQL_SELECT_BUNSEKIKOMOKUGUN_LIST</t>
    <phoneticPr fontId="2"/>
  </si>
  <si>
    <t>SQL1</t>
    <phoneticPr fontId="2"/>
  </si>
  <si>
    <t xml:space="preserve">SELECT *
  FROM V_BUNSEKI_GUN_LIST
</t>
    <phoneticPr fontId="2"/>
  </si>
  <si>
    <t>条件(分析項目群)</t>
    <rPh sb="0" eb="2">
      <t>ジョウケン</t>
    </rPh>
    <rPh sb="3" eb="5">
      <t>ブンセキ</t>
    </rPh>
    <rPh sb="5" eb="7">
      <t>コウモク</t>
    </rPh>
    <rPh sb="7" eb="8">
      <t>グン</t>
    </rPh>
    <phoneticPr fontId="2"/>
  </si>
  <si>
    <t xml:space="preserve">SELECT GYO_MOJI
      ,BUNSEKI_CD
      ,BUNSEKI_MEI
      ,TANI
  FROM V_BUNSEKI_GUN_LIST
</t>
    <phoneticPr fontId="2"/>
  </si>
  <si>
    <t>名称マスタメンテ（ヘッダ）</t>
    <rPh sb="0" eb="2">
      <t>メイショウ</t>
    </rPh>
    <phoneticPr fontId="2"/>
  </si>
  <si>
    <t>【検索条件】</t>
    <rPh sb="1" eb="3">
      <t>ケンサク</t>
    </rPh>
    <rPh sb="3" eb="5">
      <t>ジョウケン</t>
    </rPh>
    <phoneticPr fontId="2"/>
  </si>
  <si>
    <t>名称区分：</t>
    <phoneticPr fontId="2"/>
  </si>
  <si>
    <t>名称区分</t>
    <rPh sb="0" eb="2">
      <t>メイショウ</t>
    </rPh>
    <rPh sb="2" eb="4">
      <t>クブン</t>
    </rPh>
    <phoneticPr fontId="2"/>
  </si>
  <si>
    <t>名称</t>
    <rPh sb="0" eb="2">
      <t>メイショウ</t>
    </rPh>
    <phoneticPr fontId="2"/>
  </si>
  <si>
    <t>コード桁数</t>
    <rPh sb="3" eb="5">
      <t>ケタスウ</t>
    </rPh>
    <phoneticPr fontId="2"/>
  </si>
  <si>
    <t>コード属性</t>
    <rPh sb="3" eb="5">
      <t>ゾクセイ</t>
    </rPh>
    <phoneticPr fontId="2"/>
  </si>
  <si>
    <t>データ桁数</t>
    <rPh sb="3" eb="5">
      <t>ケタスウ</t>
    </rPh>
    <phoneticPr fontId="2"/>
  </si>
  <si>
    <t>取得データ数</t>
    <rPh sb="0" eb="2">
      <t>シュトク</t>
    </rPh>
    <rPh sb="5" eb="6">
      <t>スウ</t>
    </rPh>
    <phoneticPr fontId="2"/>
  </si>
  <si>
    <t>UNMM0110_B_GET_DATA_SU</t>
    <phoneticPr fontId="2"/>
  </si>
  <si>
    <t>追加表示件数</t>
    <rPh sb="0" eb="2">
      <t>ツイカ</t>
    </rPh>
    <rPh sb="2" eb="4">
      <t>ヒョウジ</t>
    </rPh>
    <rPh sb="4" eb="6">
      <t>ケンスウ</t>
    </rPh>
    <phoneticPr fontId="2"/>
  </si>
  <si>
    <t>UNMM0110_B_TSUIKAHYOJI_KENSU</t>
  </si>
  <si>
    <t>行数変動値</t>
    <rPh sb="0" eb="2">
      <t>ギョウスウ</t>
    </rPh>
    <rPh sb="2" eb="4">
      <t>ヘンドウ</t>
    </rPh>
    <rPh sb="4" eb="5">
      <t>チ</t>
    </rPh>
    <phoneticPr fontId="2"/>
  </si>
  <si>
    <t>UNMM0110_B_GYO_SU_HENDOU</t>
    <phoneticPr fontId="2"/>
  </si>
  <si>
    <t>UNMM0110_B_HYOJI_KENSU</t>
  </si>
  <si>
    <t>UNMM0110_B_LIST_START</t>
    <phoneticPr fontId="2"/>
  </si>
  <si>
    <t>UNMM0110_B_LIST_END</t>
    <phoneticPr fontId="2"/>
  </si>
  <si>
    <t>リスト書式コピー先1</t>
    <rPh sb="3" eb="5">
      <t>ショシキ</t>
    </rPh>
    <rPh sb="8" eb="9">
      <t>サキ</t>
    </rPh>
    <phoneticPr fontId="2"/>
  </si>
  <si>
    <t>UNMM0110_B_LIST_COPY_SAKI1</t>
    <phoneticPr fontId="2"/>
  </si>
  <si>
    <t>リスト書式コピー先2</t>
    <rPh sb="3" eb="5">
      <t>ショシキ</t>
    </rPh>
    <rPh sb="8" eb="9">
      <t>サキ</t>
    </rPh>
    <phoneticPr fontId="2"/>
  </si>
  <si>
    <t>UNMM0110_B_LIST_COPY_SAKI2</t>
    <phoneticPr fontId="2"/>
  </si>
  <si>
    <t>UNMM0110_B_LIST_CLEAR</t>
    <phoneticPr fontId="2"/>
  </si>
  <si>
    <t>UNMM0110_B_SELECT_GYO_NO</t>
    <phoneticPr fontId="2"/>
  </si>
  <si>
    <t>選択範囲</t>
    <rPh sb="0" eb="2">
      <t>センタク</t>
    </rPh>
    <rPh sb="2" eb="4">
      <t>ハンイ</t>
    </rPh>
    <phoneticPr fontId="2"/>
  </si>
  <si>
    <t>UNMM0110_B_SELECT_RANGE</t>
  </si>
  <si>
    <t>書式選択範囲</t>
    <rPh sb="0" eb="2">
      <t>ショシキ</t>
    </rPh>
    <rPh sb="2" eb="4">
      <t>センタク</t>
    </rPh>
    <rPh sb="4" eb="6">
      <t>ハンイ</t>
    </rPh>
    <phoneticPr fontId="2"/>
  </si>
  <si>
    <t>UNMM0110_B_SHOSHIKI_SELECT_RANGE</t>
    <phoneticPr fontId="2"/>
  </si>
  <si>
    <t>UNMM0110_B_SELECT_MEISHO_KBN</t>
    <phoneticPr fontId="2"/>
  </si>
  <si>
    <t>UNMM0110_B_SELECT_MEISHO</t>
    <phoneticPr fontId="2"/>
  </si>
  <si>
    <t>行数変動値増加</t>
    <rPh sb="0" eb="2">
      <t>ギョウスウ</t>
    </rPh>
    <rPh sb="2" eb="4">
      <t>ヘンドウ</t>
    </rPh>
    <rPh sb="4" eb="5">
      <t>チ</t>
    </rPh>
    <rPh sb="5" eb="7">
      <t>ゾウカ</t>
    </rPh>
    <phoneticPr fontId="2"/>
  </si>
  <si>
    <t>UNMM0110_B_GYO_SU_HENDOU_INC</t>
    <phoneticPr fontId="2"/>
  </si>
  <si>
    <t>行数変動値減少</t>
    <rPh sb="0" eb="2">
      <t>ギョウスウ</t>
    </rPh>
    <rPh sb="2" eb="4">
      <t>ヘンドウ</t>
    </rPh>
    <rPh sb="4" eb="5">
      <t>チ</t>
    </rPh>
    <rPh sb="5" eb="7">
      <t>ゲンショウ</t>
    </rPh>
    <phoneticPr fontId="2"/>
  </si>
  <si>
    <t>UNMM0110_B_GYO_SU_HENDOU_DEC</t>
    <phoneticPr fontId="2"/>
  </si>
  <si>
    <t>ウィンドウ固定位置</t>
  </si>
  <si>
    <t>UNMM0110_B_SCROLL_LOCK</t>
  </si>
  <si>
    <t>非表示行</t>
  </si>
  <si>
    <t>UNMM0110_B_HIDE_ROW</t>
    <phoneticPr fontId="2"/>
  </si>
  <si>
    <t>非表示列</t>
  </si>
  <si>
    <t>UNMM0110_B_HIDE_COLUMN</t>
    <phoneticPr fontId="2"/>
  </si>
  <si>
    <t>UNMM0110_IF_B_LIST_DEFAULT</t>
    <phoneticPr fontId="2"/>
  </si>
  <si>
    <t>リスト書式参照モードコピー元範囲</t>
    <rPh sb="3" eb="5">
      <t>ショシキ</t>
    </rPh>
    <rPh sb="5" eb="7">
      <t>サンショウ</t>
    </rPh>
    <rPh sb="13" eb="14">
      <t>モト</t>
    </rPh>
    <rPh sb="14" eb="16">
      <t>ハンイ</t>
    </rPh>
    <phoneticPr fontId="2"/>
  </si>
  <si>
    <t>UNMM0110_IF_B_LIST_COPY_MODE_SANSHO_MOTO</t>
    <phoneticPr fontId="2"/>
  </si>
  <si>
    <t>リスト書式修正モードコピー元範囲</t>
    <rPh sb="3" eb="5">
      <t>ショシキ</t>
    </rPh>
    <rPh sb="5" eb="7">
      <t>シュウセイ</t>
    </rPh>
    <rPh sb="13" eb="14">
      <t>モト</t>
    </rPh>
    <rPh sb="14" eb="16">
      <t>ハンイ</t>
    </rPh>
    <phoneticPr fontId="2"/>
  </si>
  <si>
    <t>UNMM0110_IF_B_LIST_COPY_MODE_SHUSEI_MOTO</t>
    <phoneticPr fontId="2"/>
  </si>
  <si>
    <t>【リスト：コード属性】</t>
    <rPh sb="8" eb="10">
      <t>ゾクセイ</t>
    </rPh>
    <phoneticPr fontId="2"/>
  </si>
  <si>
    <t>数字</t>
    <rPh sb="0" eb="2">
      <t>スウジ</t>
    </rPh>
    <phoneticPr fontId="2"/>
  </si>
  <si>
    <t>文字</t>
    <rPh sb="0" eb="2">
      <t>モジ</t>
    </rPh>
    <phoneticPr fontId="2"/>
  </si>
  <si>
    <t>保存数式コピー元</t>
    <rPh sb="0" eb="2">
      <t>ホゾン</t>
    </rPh>
    <rPh sb="2" eb="4">
      <t>スウシキ</t>
    </rPh>
    <rPh sb="7" eb="8">
      <t>モト</t>
    </rPh>
    <phoneticPr fontId="2"/>
  </si>
  <si>
    <t>UNMM0110_IF_SAVE_COPY_MOTO</t>
  </si>
  <si>
    <t>UNMM0110_IF_MODE</t>
  </si>
  <si>
    <t>保存判定列</t>
    <rPh sb="0" eb="2">
      <t>ホゾン</t>
    </rPh>
    <rPh sb="2" eb="4">
      <t>ハンテイ</t>
    </rPh>
    <rPh sb="4" eb="5">
      <t>レツ</t>
    </rPh>
    <phoneticPr fontId="2"/>
  </si>
  <si>
    <t>UNMM0110_IF_SAVE_INPUT_CHECK_COLUMN</t>
  </si>
  <si>
    <t>シリアル</t>
    <phoneticPr fontId="2"/>
  </si>
  <si>
    <t>行番号</t>
    <rPh sb="0" eb="1">
      <t>ギョウ</t>
    </rPh>
    <rPh sb="1" eb="3">
      <t>バンゴウ</t>
    </rPh>
    <phoneticPr fontId="2"/>
  </si>
  <si>
    <t>モード</t>
    <phoneticPr fontId="2"/>
  </si>
  <si>
    <t>UNMM0110_IF_BUTTON_06_NAME</t>
  </si>
  <si>
    <t>参照</t>
    <phoneticPr fontId="2"/>
  </si>
  <si>
    <t>修正</t>
    <phoneticPr fontId="2"/>
  </si>
  <si>
    <t>展開開始位置</t>
    <rPh sb="0" eb="2">
      <t>テンカイ</t>
    </rPh>
    <rPh sb="2" eb="4">
      <t>カイシ</t>
    </rPh>
    <rPh sb="4" eb="6">
      <t>イチ</t>
    </rPh>
    <phoneticPr fontId="2"/>
  </si>
  <si>
    <t>UNMM0110_IF_SAVE_COPY_START</t>
  </si>
  <si>
    <t>検索実行ボタン</t>
    <rPh sb="0" eb="2">
      <t>ケンサク</t>
    </rPh>
    <rPh sb="2" eb="4">
      <t>ジッコウ</t>
    </rPh>
    <phoneticPr fontId="2"/>
  </si>
  <si>
    <t>UNMM0110_IF_BUTTON_03_HYOJI</t>
    <phoneticPr fontId="2"/>
  </si>
  <si>
    <t>UNMM0110_IF_BUTTON_04_HYOJI</t>
  </si>
  <si>
    <t>キャンセルボタン</t>
    <phoneticPr fontId="2"/>
  </si>
  <si>
    <t>UNMM0110_IF_BUTTON_09_HYOJI</t>
  </si>
  <si>
    <t>UNMM0110_IF_BUTTON_10_HYOJI</t>
  </si>
  <si>
    <t>UNMM0110_IF_BUTTON_13_HYOJI</t>
    <phoneticPr fontId="2"/>
  </si>
  <si>
    <t>明細ボタン</t>
    <rPh sb="0" eb="2">
      <t>メイサイ</t>
    </rPh>
    <phoneticPr fontId="2"/>
  </si>
  <si>
    <t>UNMM0110_IF_BUTTON_18_HYOJI</t>
    <phoneticPr fontId="2"/>
  </si>
  <si>
    <t>UNMM0110_IF_BUTTON_20_HYOJI</t>
  </si>
  <si>
    <t>【ワークテーブル用】</t>
    <rPh sb="8" eb="9">
      <t>ヨウ</t>
    </rPh>
    <phoneticPr fontId="2"/>
  </si>
  <si>
    <t>ユーザーID</t>
  </si>
  <si>
    <t>UNMM0110_IF_SAVE_W_USER_ID</t>
  </si>
  <si>
    <t>UNMM0110_IF_SAVE_W_SERIAL</t>
  </si>
  <si>
    <t>UNMM0110_IF_SAVE_W_MODE</t>
  </si>
  <si>
    <t>保存対象行数</t>
    <rPh sb="0" eb="2">
      <t>ホゾン</t>
    </rPh>
    <rPh sb="2" eb="4">
      <t>タイショウ</t>
    </rPh>
    <rPh sb="4" eb="6">
      <t>ギョウスウ</t>
    </rPh>
    <phoneticPr fontId="2"/>
  </si>
  <si>
    <t>UNMM0110_IF_SAVE_GYO_SU</t>
    <phoneticPr fontId="2"/>
  </si>
  <si>
    <t>更新開始位置</t>
    <rPh sb="0" eb="2">
      <t>コウシン</t>
    </rPh>
    <rPh sb="2" eb="4">
      <t>カイシ</t>
    </rPh>
    <rPh sb="4" eb="6">
      <t>イチ</t>
    </rPh>
    <phoneticPr fontId="2"/>
  </si>
  <si>
    <t>UNMM0110_IF_UPDATE_START</t>
    <phoneticPr fontId="2"/>
  </si>
  <si>
    <t>【保存数式】</t>
    <rPh sb="1" eb="3">
      <t>ホゾン</t>
    </rPh>
    <rPh sb="3" eb="5">
      <t>スウシキ</t>
    </rPh>
    <phoneticPr fontId="2"/>
  </si>
  <si>
    <t>保存数式コピー先</t>
    <rPh sb="0" eb="2">
      <t>ホゾン</t>
    </rPh>
    <rPh sb="2" eb="4">
      <t>スウシキ</t>
    </rPh>
    <rPh sb="7" eb="8">
      <t>サキ</t>
    </rPh>
    <phoneticPr fontId="2"/>
  </si>
  <si>
    <t>UNMM0110_IF_SAVE_COPY_SAKI</t>
    <phoneticPr fontId="2"/>
  </si>
  <si>
    <t>UNMM0110_IF_SAVE_INPUT_CHECK</t>
    <phoneticPr fontId="2"/>
  </si>
  <si>
    <t>1:OK / 0:NG</t>
  </si>
  <si>
    <t>UNMM0110_IF_SAVE_RESULT_CD</t>
  </si>
  <si>
    <t>UNMM0110_IF_SAVE_RESULT_MESSAGE</t>
  </si>
  <si>
    <t>UNMM0110_IF_SAVE_ERROR_CHECK</t>
  </si>
  <si>
    <t>UNMM0110_IF_SAVE_ERROR_MESSAGE</t>
  </si>
  <si>
    <t>名称マスタリスト読込SQL</t>
    <rPh sb="0" eb="2">
      <t>メイショウ</t>
    </rPh>
    <rPh sb="8" eb="10">
      <t>ヨミコミ</t>
    </rPh>
    <phoneticPr fontId="2"/>
  </si>
  <si>
    <t>UNMM0110_SQL_SELECT_MEISHO_LIST</t>
    <phoneticPr fontId="2"/>
  </si>
  <si>
    <t xml:space="preserve">SELECT *
  FROM V_MEISHO_LIST
</t>
    <phoneticPr fontId="2"/>
  </si>
  <si>
    <t>MEISHO_KBN</t>
  </si>
  <si>
    <t>名称マスタメンテ（明細）</t>
    <rPh sb="0" eb="2">
      <t>メイショウ</t>
    </rPh>
    <rPh sb="9" eb="11">
      <t>メイサイ</t>
    </rPh>
    <phoneticPr fontId="2"/>
  </si>
  <si>
    <t>コード</t>
    <phoneticPr fontId="2"/>
  </si>
  <si>
    <t>データ1</t>
    <phoneticPr fontId="2"/>
  </si>
  <si>
    <t>データ2</t>
    <phoneticPr fontId="2"/>
  </si>
  <si>
    <t>ソート順</t>
    <rPh sb="3" eb="4">
      <t>ジュン</t>
    </rPh>
    <phoneticPr fontId="2"/>
  </si>
  <si>
    <t>名称区分</t>
    <rPh sb="2" eb="4">
      <t>クブン</t>
    </rPh>
    <phoneticPr fontId="2"/>
  </si>
  <si>
    <t>UNMM0111_B_GET_DATA_SU</t>
  </si>
  <si>
    <t>UNMM0111_B_TSUIKAHYOJI_KENSU</t>
    <phoneticPr fontId="2"/>
  </si>
  <si>
    <t>UNMM0111_B_GYO_SU_HENDOU</t>
    <phoneticPr fontId="2"/>
  </si>
  <si>
    <t>UNMM0111_B_HYOJI_KENSU</t>
  </si>
  <si>
    <t>UNMM0111_B_LIST_START</t>
  </si>
  <si>
    <t>UNMM0111_B_LIST_SHOSHIKI_COPY_SAKI1</t>
    <phoneticPr fontId="2"/>
  </si>
  <si>
    <t>UNMM0111_B_LIST_SHOSHIKI_COPY_SAKI2</t>
    <phoneticPr fontId="2"/>
  </si>
  <si>
    <t>UNMM0111_B_LIST_CLEAR</t>
  </si>
  <si>
    <t>UNMM0111_B_SELECT_GYO_NO</t>
  </si>
  <si>
    <t>UNMM0111_B_SELECT_RANGE</t>
  </si>
  <si>
    <t>UNMM0111_B_SHOSHIKI_SELECT_RANGE</t>
    <phoneticPr fontId="2"/>
  </si>
  <si>
    <t>UNMM0111_B_GYO_SU_HENDOU_INC</t>
    <phoneticPr fontId="2"/>
  </si>
  <si>
    <t>UNMM0111_B_GYO_SU_HENDOU_DEC</t>
    <phoneticPr fontId="2"/>
  </si>
  <si>
    <t>UNMM0111_B_SCROLL_LOCK</t>
  </si>
  <si>
    <t>UNMM0111_B_HIDE_ROW</t>
    <phoneticPr fontId="2"/>
  </si>
  <si>
    <t>UNMM0111_B_HIDE_COLUMN</t>
    <phoneticPr fontId="2"/>
  </si>
  <si>
    <t>コード</t>
    <phoneticPr fontId="2"/>
  </si>
  <si>
    <t>データ1</t>
    <phoneticPr fontId="2"/>
  </si>
  <si>
    <t>データ2</t>
    <phoneticPr fontId="2"/>
  </si>
  <si>
    <t>UNMM0111_IF_B_LIST_DEFAULT</t>
  </si>
  <si>
    <t>UNMM0111_IF_B_LIST_COPY_MODE_SANSHO_MOTO</t>
  </si>
  <si>
    <t>＞</t>
    <phoneticPr fontId="2"/>
  </si>
  <si>
    <t>UNMM0111_IF_B_LIST_COPY_MODE_SHUSEI_MOTO</t>
    <phoneticPr fontId="2"/>
  </si>
  <si>
    <t>UNMM0111_IF_MODE</t>
  </si>
  <si>
    <t>チェックボックス：参照モード</t>
    <rPh sb="9" eb="11">
      <t>サンショウ</t>
    </rPh>
    <phoneticPr fontId="2"/>
  </si>
  <si>
    <t>UNMM0111_IF_B_CHECKBOX_MODE_SANSHO</t>
    <phoneticPr fontId="2"/>
  </si>
  <si>
    <t>チェックボックス：修正モード</t>
    <rPh sb="9" eb="11">
      <t>シュウセイ</t>
    </rPh>
    <phoneticPr fontId="2"/>
  </si>
  <si>
    <t>UNMM0111_IF_B_CHECKBOX_MODE_SHUSEI</t>
    <phoneticPr fontId="2"/>
  </si>
  <si>
    <t>UNMM0111_IF_SAVE_COPY_MOTO</t>
  </si>
  <si>
    <t>UNMM0111_IF_BUTTON_06_NAME</t>
  </si>
  <si>
    <t>参照</t>
    <phoneticPr fontId="2"/>
  </si>
  <si>
    <t>修正</t>
    <phoneticPr fontId="2"/>
  </si>
  <si>
    <t>UNMM0111_IF_SAVE_INPUT_CHECK_COLUMN</t>
  </si>
  <si>
    <t>ユーザーID</t>
    <phoneticPr fontId="2"/>
  </si>
  <si>
    <t>シリアル</t>
    <phoneticPr fontId="2"/>
  </si>
  <si>
    <t>モード</t>
    <phoneticPr fontId="2"/>
  </si>
  <si>
    <t>コード</t>
    <phoneticPr fontId="2"/>
  </si>
  <si>
    <t>データ1</t>
    <phoneticPr fontId="2"/>
  </si>
  <si>
    <t>データ2</t>
    <phoneticPr fontId="2"/>
  </si>
  <si>
    <t>名称コード_x000D_</t>
    <phoneticPr fontId="2"/>
  </si>
  <si>
    <t>UNMM0111_IF_BUTTON_04_HYOJI</t>
  </si>
  <si>
    <t>UNMM0111_IF_SAVE_COPY_START</t>
  </si>
  <si>
    <t>キャンセルボタン</t>
    <phoneticPr fontId="2"/>
  </si>
  <si>
    <t>UNMM0111_IF_BUTTON_09_HYOJI</t>
  </si>
  <si>
    <t>保存ボタン</t>
    <rPh sb="0" eb="2">
      <t>ホゾン</t>
    </rPh>
    <phoneticPr fontId="2"/>
  </si>
  <si>
    <t>UNMM0111_IF_BUTTON_10_HYOJI</t>
  </si>
  <si>
    <t>UNMM0111_IF_BUTTON_13_HYOJI</t>
  </si>
  <si>
    <t>行削除ボタン</t>
    <rPh sb="0" eb="1">
      <t>ギョウ</t>
    </rPh>
    <rPh sb="1" eb="3">
      <t>サクジョ</t>
    </rPh>
    <phoneticPr fontId="2"/>
  </si>
  <si>
    <t>UNMM0111_IF_BUTTON_14_HYOJI</t>
    <phoneticPr fontId="2"/>
  </si>
  <si>
    <t>UNMM0111_IF_BUTTON_20_HYOJI</t>
  </si>
  <si>
    <t>UNMM0111_IF_SAVE_W_USER_ID</t>
  </si>
  <si>
    <t>UNMM0111_IF_SAVE_W_SERIAL</t>
  </si>
  <si>
    <t>UNMM0111_IF_SAVE_W_MODE</t>
  </si>
  <si>
    <t>UNMM0111_IF_SAVE_GYO_SU</t>
  </si>
  <si>
    <t>UNMM0111_IF_UPDATE_START</t>
  </si>
  <si>
    <t>UNMM0111_IF_SAVE_COPY_SAKI</t>
  </si>
  <si>
    <t>UNMM0111_IF_SAVE_INPUT_CHECK</t>
  </si>
  <si>
    <t>UNMM0111_IF_SAVE_RESULT_CD</t>
  </si>
  <si>
    <t>UNMM0111_IF_SAVE_RESULT_MESSAGE</t>
  </si>
  <si>
    <t>UNMM0111_IF_SAVE_ERROR_CHECK</t>
  </si>
  <si>
    <t>UNMM0111_IF_SAVE_ERROR_MESSAGE</t>
  </si>
  <si>
    <t>UNMM0111_SQL_SELECT_MEISHO_DATA</t>
    <phoneticPr fontId="2"/>
  </si>
  <si>
    <t>SQL1</t>
    <phoneticPr fontId="2"/>
  </si>
  <si>
    <t xml:space="preserve">SELECT *
  FROM V_MEISHO_DATA
</t>
    <phoneticPr fontId="2"/>
  </si>
  <si>
    <t>MEISHO_CD</t>
    <phoneticPr fontId="2"/>
  </si>
  <si>
    <t>無効(2)</t>
    <rPh sb="0" eb="2">
      <t>ムコウ</t>
    </rPh>
    <phoneticPr fontId="2"/>
  </si>
  <si>
    <t>【Excel保存】</t>
    <rPh sb="6" eb="8">
      <t>ホゾン</t>
    </rPh>
    <phoneticPr fontId="2"/>
  </si>
  <si>
    <t>Excel保存ファイル名</t>
    <rPh sb="5" eb="7">
      <t>ホゾン</t>
    </rPh>
    <rPh sb="11" eb="12">
      <t>メイ</t>
    </rPh>
    <phoneticPr fontId="2"/>
  </si>
  <si>
    <t>UNMM0070_IF_EXCEL_FILE_NAME</t>
    <phoneticPr fontId="2"/>
  </si>
  <si>
    <t>UNMM0051_IF_LIST_START</t>
    <phoneticPr fontId="2"/>
  </si>
  <si>
    <t>UNMM0051_IF_LIST_COPY_SAKI</t>
    <phoneticPr fontId="2"/>
  </si>
  <si>
    <t>UNMM0051_IF_EXCEL_FILE_NAME</t>
    <phoneticPr fontId="2"/>
  </si>
  <si>
    <t>UNMM0050_IF_EXCEL_FILE_NAME</t>
    <phoneticPr fontId="2"/>
  </si>
  <si>
    <t>無効(2)</t>
    <rPh sb="0" eb="2">
      <t>ムコウ</t>
    </rPh>
    <phoneticPr fontId="2"/>
  </si>
  <si>
    <t>【ストアド用】</t>
    <rPh sb="5" eb="6">
      <t>ヨウ</t>
    </rPh>
    <phoneticPr fontId="2"/>
  </si>
  <si>
    <t>削除区分</t>
    <rPh sb="0" eb="2">
      <t>サクジョ</t>
    </rPh>
    <rPh sb="2" eb="4">
      <t>クブン</t>
    </rPh>
    <phoneticPr fontId="2"/>
  </si>
  <si>
    <t>UNMM0110_IF_DELETE_KBN</t>
    <phoneticPr fontId="2"/>
  </si>
  <si>
    <t>UNMM0111_IF_EXCEL_FILE_NAME</t>
    <phoneticPr fontId="2"/>
  </si>
  <si>
    <t>1:修正</t>
    <phoneticPr fontId="2"/>
  </si>
  <si>
    <t>SELECT M_MEISHO_B.DATA_2   AS ORDER句
   FROM M_MEISHO_B
 WHERE M_MEISHO_B.MEISHO_KBN = 'O903'
   AND M_MEISHO_B.MEISHO_CD=1</t>
    <rPh sb="35" eb="36">
      <t>ク</t>
    </rPh>
    <phoneticPr fontId="2"/>
  </si>
  <si>
    <t>UNMM0110_IF_EXCEL_FILE_NAME</t>
    <phoneticPr fontId="2"/>
  </si>
  <si>
    <t>UNMM0051_SQL_SELECT_SHAIN_LIST_COPY</t>
    <phoneticPr fontId="2"/>
  </si>
  <si>
    <t>リストオブジェクトコピー先1</t>
    <rPh sb="12" eb="13">
      <t>サキ</t>
    </rPh>
    <phoneticPr fontId="2"/>
  </si>
  <si>
    <t>リストオブジェクトコピー先2</t>
    <rPh sb="12" eb="13">
      <t>サキ</t>
    </rPh>
    <phoneticPr fontId="2"/>
  </si>
  <si>
    <t>UNMM0111_B_LIST_OBJECT_COPY_SAKI1</t>
    <phoneticPr fontId="2"/>
  </si>
  <si>
    <t>UNMM0111_B_LIST_OBJECT_COPY_SAKI2</t>
    <phoneticPr fontId="2"/>
  </si>
  <si>
    <t>UNMM0020_EIGYO_TANTO_CD</t>
    <phoneticPr fontId="2"/>
  </si>
  <si>
    <t>UNMM0020_SEIKYU_FLG</t>
    <phoneticPr fontId="2"/>
  </si>
  <si>
    <t>UNMM0020_SHIIRE_FLG</t>
    <phoneticPr fontId="2"/>
  </si>
  <si>
    <t>UNMM0020_HASSO_FLG</t>
    <phoneticPr fontId="2"/>
  </si>
  <si>
    <t>UNMM0020_HOKOKU_FLG</t>
    <phoneticPr fontId="2"/>
  </si>
  <si>
    <t>メーカーフラグ</t>
    <phoneticPr fontId="2"/>
  </si>
  <si>
    <t>UNMM0020_MAKER_FLG</t>
    <phoneticPr fontId="2"/>
  </si>
  <si>
    <t>UNMM0020_GAICHU_FLG</t>
    <phoneticPr fontId="2"/>
  </si>
  <si>
    <t>UNMM0020_KANKO_FLG</t>
    <phoneticPr fontId="2"/>
  </si>
  <si>
    <t>TEL：</t>
    <phoneticPr fontId="2"/>
  </si>
  <si>
    <t>UNMM0020_DOGYO_FLG</t>
    <phoneticPr fontId="2"/>
  </si>
  <si>
    <t>FAX：</t>
    <phoneticPr fontId="2"/>
  </si>
  <si>
    <t>スポットフラグ</t>
    <phoneticPr fontId="2"/>
  </si>
  <si>
    <t>UNMM0020_SPOT_FLG</t>
    <phoneticPr fontId="2"/>
  </si>
  <si>
    <t>E-MAIL：</t>
    <phoneticPr fontId="2"/>
  </si>
  <si>
    <t>UNMM0020_SEIKYUSHO_FLG</t>
    <phoneticPr fontId="2"/>
  </si>
  <si>
    <t>UNMM0020_JURYOSHO_FLG</t>
    <phoneticPr fontId="2"/>
  </si>
  <si>
    <t>UNMM0020_NOHINSHO_FLG</t>
    <phoneticPr fontId="2"/>
  </si>
  <si>
    <t>UNMM0020_HIKAE_FLG</t>
    <phoneticPr fontId="2"/>
  </si>
  <si>
    <t>UNMM0020_MISHIYO_FLG</t>
    <phoneticPr fontId="2"/>
  </si>
  <si>
    <t>UNMM0020_SEIKYU_BUNRUI_CD</t>
    <phoneticPr fontId="2"/>
  </si>
  <si>
    <t>UNMM0020_SEIKYU_HOHO_CD</t>
    <phoneticPr fontId="2"/>
  </si>
  <si>
    <t>UNMM0020_KAISHU_SHUBETSU_CD</t>
    <phoneticPr fontId="2"/>
  </si>
  <si>
    <t>UNMM0020_TAX_KBN_CD</t>
    <phoneticPr fontId="2"/>
  </si>
  <si>
    <t xml:space="preserve">      メーカー</t>
    <phoneticPr fontId="2"/>
  </si>
  <si>
    <t>UNMM0020_TESURYO_KBN_CD</t>
    <phoneticPr fontId="2"/>
  </si>
  <si>
    <t xml:space="preserve">      スポット</t>
    <phoneticPr fontId="2"/>
  </si>
  <si>
    <t>UNMM0020_SHIHARAI_HOHO_CD</t>
    <phoneticPr fontId="2"/>
  </si>
  <si>
    <t>UNMM0020_SHIIRESAKI_HASU_CD</t>
    <phoneticPr fontId="2"/>
  </si>
  <si>
    <t>UNMM0020_SQL_SELECT_AITESAKI_DATA</t>
    <phoneticPr fontId="2"/>
  </si>
  <si>
    <t>SQL1</t>
    <phoneticPr fontId="2"/>
  </si>
  <si>
    <t xml:space="preserve">SELECT *
  FROM V_AITESAKI_DATA
</t>
    <phoneticPr fontId="2"/>
  </si>
  <si>
    <t>UNMM0020_SQL_DELETE_AITE_DATA</t>
    <phoneticPr fontId="2"/>
  </si>
  <si>
    <t>UNMM0020_SQL_MEISHO_SEIKYU</t>
    <phoneticPr fontId="2"/>
  </si>
  <si>
    <t>UNMM0020_SQL_MEISHO_KAISHU</t>
    <phoneticPr fontId="2"/>
  </si>
  <si>
    <t>UNMM0020_SQL_MEISHO_TAX</t>
    <phoneticPr fontId="2"/>
  </si>
  <si>
    <t>UNMM0020_SQL_MEISHO_HASU_SHORI</t>
    <phoneticPr fontId="2"/>
  </si>
  <si>
    <t>UNMM0020_SQL_MEISHO_TESURYO</t>
    <phoneticPr fontId="2"/>
  </si>
  <si>
    <t>UNMM0020_SQL_MEISHO_SHIHARAI</t>
    <phoneticPr fontId="2"/>
  </si>
  <si>
    <t>UNMM0020_SQL_SANSHO_SAKUSEI</t>
    <phoneticPr fontId="2"/>
  </si>
  <si>
    <t>SANSHO_SQL1</t>
    <phoneticPr fontId="2"/>
  </si>
  <si>
    <t xml:space="preserve">SELECT *
  FROM V_AITESAKI_SANSHO_SAKUSEI
</t>
    <phoneticPr fontId="2"/>
  </si>
  <si>
    <t>UNMM0020_HASSO_FLG</t>
    <phoneticPr fontId="2"/>
  </si>
  <si>
    <t>UNMM0020_IF_SAVE_YUBIN</t>
    <phoneticPr fontId="2"/>
  </si>
  <si>
    <t>LIST_SEIKYU_HOHO</t>
    <phoneticPr fontId="2"/>
  </si>
  <si>
    <t>「=OFFSET(LIST_SEIKYU_TENKAIICHI,,,IF(LIST_SEIKYU_HOHO_KENSU=0,1,LIST_SEIKYU_HOHO_KENSU),1)」</t>
    <phoneticPr fontId="2"/>
  </si>
  <si>
    <t>LIST_KAISHU_SHUBETSU</t>
    <phoneticPr fontId="2"/>
  </si>
  <si>
    <t>「=OFFSET(LIST_KAISHU_SHUBETSU_TENKAIICHI,,,IF(LIST_KAISHU_SHUBETSU_KENSU=0,1,LIST_KAISHU_SHUBETSU_KENSU),1)」</t>
    <phoneticPr fontId="2"/>
  </si>
  <si>
    <t>LIST_TAX_KBN</t>
    <phoneticPr fontId="2"/>
  </si>
  <si>
    <t>「=OFFSET(LIST_TAX_KBN_TENKAIICHI,,,IF(LIST_TAX_KBN_KENSU=0,1,LIST_TAX_KBN_KENSU),1)」</t>
    <phoneticPr fontId="2"/>
  </si>
  <si>
    <t>LIST_HASU_SHORI</t>
    <phoneticPr fontId="2"/>
  </si>
  <si>
    <t>「=OFFSET(LIST_HASU_SHORI_TENKAIICHI,,,IF(LIST_HASU_SHORI_KENSU=0,1,LIST_HASU_SHORI_KENSU),1)」</t>
    <phoneticPr fontId="2"/>
  </si>
  <si>
    <t>LIST_TESURYO_KBN</t>
    <phoneticPr fontId="2"/>
  </si>
  <si>
    <t>「=OFFSET(LIST_TESURYO_KBN_TENKAIICHI,,,IF(LIST_TESURYO_KBN_KENSU=0,1,LIST_TESURYO_KBN_KENSU),1)」</t>
    <phoneticPr fontId="2"/>
  </si>
  <si>
    <t>LIST_SHIIRE_SHIHARAI</t>
    <phoneticPr fontId="2"/>
  </si>
  <si>
    <t>「=OFFSET(LIST_SHIIRE_SHIHARAI_TENKAIICHI,,,IF(LIST_SHIIRE_SHIHARAI_KENSU=0,1,LIST_SHIIRE_SHIHARAI_KENSU),1)」</t>
    <phoneticPr fontId="2"/>
  </si>
  <si>
    <t>LIST_SHIIRE_HASU</t>
    <phoneticPr fontId="2"/>
  </si>
  <si>
    <t>「=OFFSET(LIST_SHIIRE_HASU_TENKAIICHI,,,IF(LIST_SHIIRE_HASU_KENSU=0,1,LIST_SHIIRE_HASU_KENSU),1)」</t>
    <phoneticPr fontId="2"/>
  </si>
  <si>
    <t>LIST_TESURYO</t>
    <phoneticPr fontId="2"/>
  </si>
  <si>
    <t>「=OFFSET(LIST_SHIIRE_TESURYO_TENKAIICHI,,,IF(LIST_SHIIRE_TESURYO_KENSU=0,1,LIST_SHIIRE_TESURYO_KENSU),1)」</t>
    <phoneticPr fontId="2"/>
  </si>
  <si>
    <t>UNMM0020_HOKOKU_FLG</t>
    <phoneticPr fontId="2"/>
  </si>
  <si>
    <t>UNMM0020_IF_SAVE_JUSHO1</t>
    <phoneticPr fontId="2"/>
  </si>
  <si>
    <t>メーカーフラグ</t>
    <phoneticPr fontId="2"/>
  </si>
  <si>
    <t>UNMM0020_MAKER_FLG</t>
    <phoneticPr fontId="2"/>
  </si>
  <si>
    <t>SEIKYU_1</t>
    <phoneticPr fontId="2"/>
  </si>
  <si>
    <t>TAX_1</t>
    <phoneticPr fontId="2"/>
  </si>
  <si>
    <t>HASU_1</t>
    <phoneticPr fontId="2"/>
  </si>
  <si>
    <t>TESURYO_1</t>
    <phoneticPr fontId="2"/>
  </si>
  <si>
    <t>SHIIRE_SHIHARAI_1</t>
    <phoneticPr fontId="2"/>
  </si>
  <si>
    <t>SHIIRE_HASU_1</t>
    <phoneticPr fontId="2"/>
  </si>
  <si>
    <t>SHIIRE_TESURYO_1</t>
    <phoneticPr fontId="2"/>
  </si>
  <si>
    <t>UNMM0020_GAICHU_FLG</t>
    <phoneticPr fontId="2"/>
  </si>
  <si>
    <t>UNMM0020_IF_SAVE_TEL</t>
    <phoneticPr fontId="2"/>
  </si>
  <si>
    <t>UNMM0020_KANKO_FLG</t>
    <phoneticPr fontId="2"/>
  </si>
  <si>
    <t>FAX</t>
    <phoneticPr fontId="2"/>
  </si>
  <si>
    <t>UNMM0020_IF_SAVE_FAX</t>
    <phoneticPr fontId="2"/>
  </si>
  <si>
    <t>UNMM0020_DOGYO_FLG</t>
    <phoneticPr fontId="2"/>
  </si>
  <si>
    <t>MAIL</t>
    <phoneticPr fontId="2"/>
  </si>
  <si>
    <t>UNMM0020_IF_SAVE_MAIL</t>
    <phoneticPr fontId="2"/>
  </si>
  <si>
    <t>スポットフラグ</t>
    <phoneticPr fontId="2"/>
  </si>
  <si>
    <t>UNMM0020_SPOT_FLG</t>
    <phoneticPr fontId="2"/>
  </si>
  <si>
    <t>UNMM0020_IF_SAVE_BUSHO_MEI</t>
    <phoneticPr fontId="2"/>
  </si>
  <si>
    <t>UNMM0020_SEIKYUSHO_FLG</t>
    <phoneticPr fontId="2"/>
  </si>
  <si>
    <t>UNMM0020_IF_SAVE_TANTO_MEI</t>
    <phoneticPr fontId="2"/>
  </si>
  <si>
    <t>UNMM0020_JURYOSHO_FLG</t>
    <phoneticPr fontId="2"/>
  </si>
  <si>
    <t>UNMM0020_IF_SAVE_BIKO</t>
    <phoneticPr fontId="2"/>
  </si>
  <si>
    <t>UNMM0020_NOHINSHO_FLG</t>
    <phoneticPr fontId="2"/>
  </si>
  <si>
    <t>UNMM0020_IF_SAVE_SEIKYU_FLG</t>
    <phoneticPr fontId="2"/>
  </si>
  <si>
    <t>UNMM0020_HIKAE_FLG</t>
    <phoneticPr fontId="2"/>
  </si>
  <si>
    <t>UNMM0020_IF_SAVE_SHIIRE_FLG</t>
    <phoneticPr fontId="2"/>
  </si>
  <si>
    <t>UNMM0020_MISHIYO_FLG</t>
    <phoneticPr fontId="2"/>
  </si>
  <si>
    <t>UNMM0020_IF_SAVE_HASSO_FLG</t>
    <phoneticPr fontId="2"/>
  </si>
  <si>
    <t>UNMM0020_IF_SAVE_HOKOKU_FLG</t>
    <phoneticPr fontId="2"/>
  </si>
  <si>
    <t>UNMM0020_IF_DATA_SEARCH_FLG</t>
    <phoneticPr fontId="2"/>
  </si>
  <si>
    <t>ON:1</t>
    <phoneticPr fontId="2"/>
  </si>
  <si>
    <t>UNMM0020_IF_SAVE_MAKER_FLG</t>
    <phoneticPr fontId="2"/>
  </si>
  <si>
    <t>UNMM0020_IF_SAVE_GAICHU_FLG</t>
    <phoneticPr fontId="2"/>
  </si>
  <si>
    <t>UNMM0020_IF_SAVE_KANKO_FLG</t>
    <phoneticPr fontId="2"/>
  </si>
  <si>
    <t>UNMM0020_IF_DOGYO_FLG</t>
    <phoneticPr fontId="2"/>
  </si>
  <si>
    <t>UNMM0020_IF_SPOT_FLG</t>
    <phoneticPr fontId="2"/>
  </si>
  <si>
    <t>UNMM0020_IF_ACTIVE_SHEET</t>
    <phoneticPr fontId="2"/>
  </si>
  <si>
    <t>UNMM0020</t>
    <phoneticPr fontId="2"/>
  </si>
  <si>
    <t>UNMM0020_IF_EIGYO_TANTO_CD</t>
    <phoneticPr fontId="2"/>
  </si>
  <si>
    <t>UNMM0020_IF_ACTIVE_ROW</t>
    <phoneticPr fontId="2"/>
  </si>
  <si>
    <t>UNMM0020_IF_SEIKYU_BUNRUI</t>
    <phoneticPr fontId="2"/>
  </si>
  <si>
    <t>UNMM0020_IF_ACTIVE_COLUMN</t>
    <phoneticPr fontId="2"/>
  </si>
  <si>
    <t>UNMM0020_IF_SEIKYUSAKI_CHUKI</t>
    <phoneticPr fontId="2"/>
  </si>
  <si>
    <t>UNMM0020_IF_ACTIVE_CELL_NAME</t>
    <phoneticPr fontId="2"/>
  </si>
  <si>
    <t>UNMM0020_IF_SEIKYU_HOHO</t>
    <phoneticPr fontId="2"/>
  </si>
  <si>
    <t>UNMM0020_IF_KAISHU_SHUBETSU</t>
    <phoneticPr fontId="2"/>
  </si>
  <si>
    <t>UNMM0020_IF_KAISHU_MONTH</t>
    <phoneticPr fontId="2"/>
  </si>
  <si>
    <t>UNMM0020_IF_MODE</t>
    <phoneticPr fontId="2"/>
  </si>
  <si>
    <t>UNMM0020_IF_KAISHU_DAY</t>
    <phoneticPr fontId="2"/>
  </si>
  <si>
    <t>UNMM0020_IF_TAX_KEISAN_KBN</t>
    <phoneticPr fontId="2"/>
  </si>
  <si>
    <t>UNMM0020_IF_SEIKYUSHO_FLG</t>
    <phoneticPr fontId="2"/>
  </si>
  <si>
    <t>UNMM0020_IF_JURYOSHO_FLG</t>
    <phoneticPr fontId="2"/>
  </si>
  <si>
    <t>UNMM0020_IF_BUTTON_06_NAME</t>
    <phoneticPr fontId="2"/>
  </si>
  <si>
    <t>-</t>
    <phoneticPr fontId="2"/>
  </si>
  <si>
    <t>UNMM0020_IF_NOHINSHO_FLG</t>
    <phoneticPr fontId="2"/>
  </si>
  <si>
    <t>UNMM0020_IF_BUTTON_10_NAME</t>
    <phoneticPr fontId="2"/>
  </si>
  <si>
    <t>UNMM0020_IF_HIKAE_FLG</t>
    <phoneticPr fontId="2"/>
  </si>
  <si>
    <t>UNMM0020_IF_SEIKYUSAKI_HASU</t>
    <phoneticPr fontId="2"/>
  </si>
  <si>
    <t>UNMM0020_IF_TESURYO_KBN</t>
    <phoneticPr fontId="2"/>
  </si>
  <si>
    <t>UNMM0020_IF_BUTTON_06_FONTCOLOR</t>
    <phoneticPr fontId="2"/>
  </si>
  <si>
    <t>黒(0)</t>
    <phoneticPr fontId="2"/>
  </si>
  <si>
    <t>UNMM0020_IF_SHIHARAI_HOHO</t>
    <phoneticPr fontId="2"/>
  </si>
  <si>
    <t>UNMM0020_IF_BUTTON_10_FONTCOLOR</t>
    <phoneticPr fontId="2"/>
  </si>
  <si>
    <t>UNMM0020_IF_SHIIRESAKI_CHUKI</t>
    <phoneticPr fontId="2"/>
  </si>
  <si>
    <t>UNMM0020_IF_SHIIRESAKI_HASU</t>
    <phoneticPr fontId="2"/>
  </si>
  <si>
    <t>UNMM0020_IF_SHIIRESAKI_TESURYO</t>
    <phoneticPr fontId="2"/>
  </si>
  <si>
    <t>UNMM0020_IF_BUTTON_04_HYOJI</t>
    <phoneticPr fontId="2"/>
  </si>
  <si>
    <t>UNMM0020_IF_MISHIYO_FLG</t>
    <phoneticPr fontId="2"/>
  </si>
  <si>
    <t>UNMM0020_IF_BUTTON_06_HYOJI</t>
    <phoneticPr fontId="2"/>
  </si>
  <si>
    <t>UNMM0020_IF_INSERT_DATETIME</t>
    <phoneticPr fontId="2"/>
  </si>
  <si>
    <t>UNMM0020_IF_BUTTON_10_HYOJI</t>
    <phoneticPr fontId="2"/>
  </si>
  <si>
    <t>UNMM0020_IF_UPDATE_DATETIME</t>
    <phoneticPr fontId="2"/>
  </si>
  <si>
    <t>UNMM0020_IF_BUTTON_07_HYOJI</t>
    <phoneticPr fontId="2"/>
  </si>
  <si>
    <t>ユーザID</t>
    <phoneticPr fontId="2"/>
  </si>
  <si>
    <t>UNMM0020_IF_SAVE_W_USER_ID</t>
    <phoneticPr fontId="2"/>
  </si>
  <si>
    <t>キャンセルボタン</t>
    <phoneticPr fontId="2"/>
  </si>
  <si>
    <t>UNMM0020_IF_BUTTON_09_HYOJI</t>
    <phoneticPr fontId="2"/>
  </si>
  <si>
    <t>UNMM0020_IF_SAVE_W_SERIAL</t>
    <phoneticPr fontId="2"/>
  </si>
  <si>
    <t>UNMM0020_IF_BUTTON_20_HYOJI</t>
    <phoneticPr fontId="2"/>
  </si>
  <si>
    <t>UNMM0020_IF_SAVE_W_ROW</t>
    <phoneticPr fontId="2"/>
  </si>
  <si>
    <t>モード</t>
    <phoneticPr fontId="2"/>
  </si>
  <si>
    <t>UNMM0020_IF_SAVE_W_MODE</t>
    <phoneticPr fontId="2"/>
  </si>
  <si>
    <t>UNMM0020_IF_SAVE_RESULT_CD</t>
    <phoneticPr fontId="2"/>
  </si>
  <si>
    <t>day</t>
    <phoneticPr fontId="2"/>
  </si>
  <si>
    <t>UNMM0020_IF_SAVE_RESULT_MESSAGE</t>
    <phoneticPr fontId="2"/>
  </si>
  <si>
    <t>UNMM0020_IF_SAVE_ERROR_CHECK</t>
    <phoneticPr fontId="2"/>
  </si>
  <si>
    <t>UNMM0020_IF_SAVE_ERROR_MESSAGE</t>
    <phoneticPr fontId="2"/>
  </si>
  <si>
    <t>UNMM0021_B_ALL_KENSU</t>
    <phoneticPr fontId="2"/>
  </si>
  <si>
    <t>UNMM0021_B_PAGE_NO</t>
    <phoneticPr fontId="2"/>
  </si>
  <si>
    <t>ﾒｰｶｰ</t>
    <phoneticPr fontId="2"/>
  </si>
  <si>
    <t>ｽﾎﾟｯﾄ</t>
    <phoneticPr fontId="2"/>
  </si>
  <si>
    <t>TEL</t>
    <phoneticPr fontId="2"/>
  </si>
  <si>
    <t>FAX</t>
    <phoneticPr fontId="2"/>
  </si>
  <si>
    <t>E-MAIL</t>
    <phoneticPr fontId="2"/>
  </si>
  <si>
    <t>UNMM0021_B_ALL_PEGE_SU</t>
    <phoneticPr fontId="2"/>
  </si>
  <si>
    <t>UNMM0021_B_HYOJI_KENSU</t>
    <phoneticPr fontId="2"/>
  </si>
  <si>
    <t>UNMM0021_B_CTRL_HYOJI_GYO_SU</t>
    <phoneticPr fontId="2"/>
  </si>
  <si>
    <t>UNMM0021_B_LIST_START</t>
    <phoneticPr fontId="2"/>
  </si>
  <si>
    <t>UNMM0021_B_LIST_END</t>
    <phoneticPr fontId="2"/>
  </si>
  <si>
    <t>UNMM0021_B_LIST_COPY_SAKI</t>
    <phoneticPr fontId="2"/>
  </si>
  <si>
    <t>UNMM0021_B_LIST_CLEAR</t>
    <phoneticPr fontId="2"/>
  </si>
  <si>
    <t>UNMM0021_B_SELECT_GYO_NO</t>
    <phoneticPr fontId="2"/>
  </si>
  <si>
    <t>UNMM0021_B_SELECT_AITE_CD</t>
    <phoneticPr fontId="2"/>
  </si>
  <si>
    <t>UNMM0021_B_BACK_PAGE</t>
    <phoneticPr fontId="2"/>
  </si>
  <si>
    <t>UNMM0021_B_NEXT_PAGE</t>
    <phoneticPr fontId="2"/>
  </si>
  <si>
    <t>UNMM0021_B_NEXT_PAGE_NUM</t>
    <phoneticPr fontId="2"/>
  </si>
  <si>
    <t>UNMM0021_B_HIDE_ROW</t>
    <phoneticPr fontId="2"/>
  </si>
  <si>
    <t>UNMM0021_B_HIDE_COLUMN</t>
    <phoneticPr fontId="2"/>
  </si>
  <si>
    <t>UNMM0021_B_SCROLL_LOCK</t>
    <phoneticPr fontId="2"/>
  </si>
  <si>
    <t>UNMM0021_SQL_SELECT_AITESAKI_LIST</t>
    <phoneticPr fontId="2"/>
  </si>
  <si>
    <t>UNMM0021_SQL_SELECT_AITESAKI_LIST_CNT</t>
    <phoneticPr fontId="2"/>
  </si>
  <si>
    <t>カウントSQL</t>
    <phoneticPr fontId="2"/>
  </si>
  <si>
    <t xml:space="preserve">SELECT COUNT(*) AS CNT
  FROM V_AITESAKI_LIST 
 WHERE 1=1
</t>
    <phoneticPr fontId="2"/>
  </si>
  <si>
    <t xml:space="preserve">SELECT *
  FROM V_AITESAKI_LIST
 WHERE 1=1
</t>
    <phoneticPr fontId="2"/>
  </si>
  <si>
    <t>&amp;UNMM0021_SQL_CONJUNCTION&amp;</t>
    <phoneticPr fontId="2"/>
  </si>
  <si>
    <t>AITE_CD</t>
    <phoneticPr fontId="2"/>
  </si>
  <si>
    <t>ページング</t>
    <phoneticPr fontId="2"/>
  </si>
  <si>
    <t>印刷用SQL</t>
    <rPh sb="0" eb="3">
      <t>インサツヨウ</t>
    </rPh>
    <phoneticPr fontId="2"/>
  </si>
  <si>
    <t>【印刷領域】</t>
    <rPh sb="1" eb="3">
      <t>インサツ</t>
    </rPh>
    <rPh sb="3" eb="5">
      <t>リョウイキ</t>
    </rPh>
    <phoneticPr fontId="2"/>
  </si>
  <si>
    <t>取得件数</t>
    <rPh sb="0" eb="2">
      <t>シュトク</t>
    </rPh>
    <rPh sb="2" eb="4">
      <t>ケンスウ</t>
    </rPh>
    <phoneticPr fontId="2"/>
  </si>
  <si>
    <t>UNMM0021_IF_PRINT_COUNT</t>
    <phoneticPr fontId="2"/>
  </si>
  <si>
    <t>UNMM0021_IF_PRINT_AREA</t>
    <phoneticPr fontId="2"/>
  </si>
  <si>
    <t>UNMM0021_IF_B_LIST_DEFAULT</t>
    <phoneticPr fontId="2"/>
  </si>
  <si>
    <t>UNMM0021_IF_EXCEL_FILE_NAME</t>
    <phoneticPr fontId="2"/>
  </si>
  <si>
    <t>UNMM0021_IF_B_LIST_COPY_MOTO</t>
    <phoneticPr fontId="2"/>
  </si>
  <si>
    <t>＞</t>
    <phoneticPr fontId="2"/>
  </si>
  <si>
    <t>UNMM0021_IF_DATA_SEARCH_FLG</t>
    <phoneticPr fontId="2"/>
  </si>
  <si>
    <t>ON:1</t>
    <phoneticPr fontId="2"/>
  </si>
  <si>
    <t>UNMM0021_IF_DATA_SEARCH_CHECK</t>
    <phoneticPr fontId="2"/>
  </si>
  <si>
    <t>UNMM0021_IF_ACTIVE_SHEET</t>
    <phoneticPr fontId="2"/>
  </si>
  <si>
    <t>UNMM0021_H</t>
    <phoneticPr fontId="2"/>
  </si>
  <si>
    <t>UNMM0021_IF_ACTIVE_ROW</t>
    <phoneticPr fontId="2"/>
  </si>
  <si>
    <t>UNMM0021_IF_ACTIVE_COLUMN</t>
    <phoneticPr fontId="2"/>
  </si>
  <si>
    <t>UNMM0021_IF_ACTIVE_CELL_NAME</t>
    <phoneticPr fontId="2"/>
  </si>
  <si>
    <t>UNMM0021_H_AITESAKI_CD</t>
    <phoneticPr fontId="2"/>
  </si>
  <si>
    <t>UNMM0020_IF_DATA_SEARCH_FLG</t>
    <phoneticPr fontId="2"/>
  </si>
  <si>
    <t>ON:1</t>
    <phoneticPr fontId="2"/>
  </si>
  <si>
    <t>UNMM0021_IF_FLG_COYO_MOTO</t>
    <phoneticPr fontId="2"/>
  </si>
  <si>
    <t>UNMM0021_H_MODE_COPY_SAKI</t>
    <phoneticPr fontId="2"/>
  </si>
  <si>
    <t>G3:I5</t>
    <phoneticPr fontId="2"/>
  </si>
  <si>
    <t>UNMM0021_H_EIGYO_TANTO_CD</t>
    <phoneticPr fontId="2"/>
  </si>
  <si>
    <t>相手先CD▽</t>
    <phoneticPr fontId="2"/>
  </si>
  <si>
    <t>UNMM0021_H_MISHIYO_FLG</t>
    <phoneticPr fontId="2"/>
  </si>
  <si>
    <t>フリーワード：</t>
    <phoneticPr fontId="2"/>
  </si>
  <si>
    <t>UNMM0021_H_SEIKYU_FLG</t>
    <phoneticPr fontId="2"/>
  </si>
  <si>
    <t>UNMM0021_H_SHIIRE_FLG</t>
    <phoneticPr fontId="2"/>
  </si>
  <si>
    <t>　　請求先</t>
    <rPh sb="2" eb="4">
      <t>セイキュウ</t>
    </rPh>
    <rPh sb="4" eb="5">
      <t>サキ</t>
    </rPh>
    <phoneticPr fontId="2"/>
  </si>
  <si>
    <t>発送先</t>
    <phoneticPr fontId="2"/>
  </si>
  <si>
    <t>報告先</t>
    <phoneticPr fontId="2"/>
  </si>
  <si>
    <t>メーカー</t>
    <phoneticPr fontId="2"/>
  </si>
  <si>
    <t>UNMM0021_H_HASSO_FLG</t>
    <phoneticPr fontId="2"/>
  </si>
  <si>
    <t>　　外注先</t>
    <rPh sb="2" eb="5">
      <t>ガイチュウサキ</t>
    </rPh>
    <phoneticPr fontId="2"/>
  </si>
  <si>
    <t>同業者</t>
    <phoneticPr fontId="2"/>
  </si>
  <si>
    <t>スポット</t>
    <phoneticPr fontId="2"/>
  </si>
  <si>
    <t>UNMM0021_H_HOKOKU_FLG</t>
    <phoneticPr fontId="2"/>
  </si>
  <si>
    <t>UNMM0021_H_MAKER_FLG</t>
    <phoneticPr fontId="2"/>
  </si>
  <si>
    <t>UNMM0021_H_GAICHU_FLG</t>
    <phoneticPr fontId="2"/>
  </si>
  <si>
    <t>UNMM0021_H_KANKO_FLG</t>
    <phoneticPr fontId="2"/>
  </si>
  <si>
    <t>UNMM0021_H_DOGYO_FLG</t>
    <phoneticPr fontId="2"/>
  </si>
  <si>
    <t>UNMM0021_H_SPOT_FLG</t>
    <phoneticPr fontId="2"/>
  </si>
  <si>
    <t>UNMM0021_H_FREEWD_KBN</t>
    <phoneticPr fontId="2"/>
  </si>
  <si>
    <t>1:AND2:OR3:NAND</t>
    <phoneticPr fontId="2"/>
  </si>
  <si>
    <t>UNMM0021_H_HIDE_ROW</t>
    <phoneticPr fontId="2"/>
  </si>
  <si>
    <t>UNMM0021_H_HIDE_COLUMN</t>
    <phoneticPr fontId="2"/>
  </si>
  <si>
    <t>UNMM0021_IF_LIST_START</t>
    <phoneticPr fontId="2"/>
  </si>
  <si>
    <t>UNMM0021_IF_LIST_COPY_SAKI</t>
    <phoneticPr fontId="2"/>
  </si>
  <si>
    <t>UNMM0020_IF_EXCEL_FILE_NAME</t>
    <phoneticPr fontId="2"/>
  </si>
  <si>
    <t>予算コード検索</t>
    <rPh sb="5" eb="7">
      <t>ケンサク</t>
    </rPh>
    <phoneticPr fontId="2"/>
  </si>
  <si>
    <t>予算コード▽</t>
    <rPh sb="0" eb="2">
      <t>ヨサン</t>
    </rPh>
    <phoneticPr fontId="2"/>
  </si>
  <si>
    <t>～</t>
    <phoneticPr fontId="2"/>
  </si>
  <si>
    <t>予算コード</t>
    <rPh sb="0" eb="2">
      <t>ヨサン</t>
    </rPh>
    <phoneticPr fontId="2"/>
  </si>
  <si>
    <t>予算名</t>
    <rPh sb="0" eb="2">
      <t>ヨサン</t>
    </rPh>
    <rPh sb="2" eb="3">
      <t>メイ</t>
    </rPh>
    <phoneticPr fontId="2"/>
  </si>
  <si>
    <t>UNMM0091_B_ALL_KENSU</t>
    <phoneticPr fontId="2"/>
  </si>
  <si>
    <t>UNMM0091_B_PAGE_NO</t>
    <phoneticPr fontId="2"/>
  </si>
  <si>
    <t>UNMM0091_B_ALL_PEGE_SU</t>
    <phoneticPr fontId="2"/>
  </si>
  <si>
    <t>UNMM0091_B_HYOJI_KENSU</t>
    <phoneticPr fontId="2"/>
  </si>
  <si>
    <t>UNMM0091_B_CTRL_HYOJI_GYO_SU</t>
    <phoneticPr fontId="2"/>
  </si>
  <si>
    <t>UNMM0091_B_LIST_START</t>
    <phoneticPr fontId="2"/>
  </si>
  <si>
    <t>UNMM0091_B_LIST_END</t>
    <phoneticPr fontId="2"/>
  </si>
  <si>
    <t>UNMM0091_B_LIST_COPY_SAKI</t>
    <phoneticPr fontId="2"/>
  </si>
  <si>
    <t>UNMM0091_B_LIST_CLEAR</t>
    <phoneticPr fontId="2"/>
  </si>
  <si>
    <t>UNMM0091_B_SELECT_GYO_NO</t>
    <phoneticPr fontId="2"/>
  </si>
  <si>
    <t>UNMM0091_B_BACK_PAGE</t>
    <phoneticPr fontId="2"/>
  </si>
  <si>
    <t>UNMM0091_B_NEXT_PAGE</t>
    <phoneticPr fontId="2"/>
  </si>
  <si>
    <t>UNMM0091_B_BACK_PAGE_NUM</t>
    <phoneticPr fontId="2"/>
  </si>
  <si>
    <t>UNMM0091_B_NEXT_PAGE_NUM</t>
    <phoneticPr fontId="2"/>
  </si>
  <si>
    <t>UNMM0091_B_HIDE_ROW</t>
    <phoneticPr fontId="2"/>
  </si>
  <si>
    <t>UNMM0091_B_HIDE_COLUMN</t>
    <phoneticPr fontId="2"/>
  </si>
  <si>
    <t>UNMM0091_B_SCROLL_LOCK</t>
    <phoneticPr fontId="2"/>
  </si>
  <si>
    <t>UNMM0091_IF_B_LIST_DEFAULT</t>
    <phoneticPr fontId="2"/>
  </si>
  <si>
    <t>UNMM0091_IF_B_LIST_COPY_MOTO</t>
    <phoneticPr fontId="2"/>
  </si>
  <si>
    <t>UNMM0091_IF_DATA_SEARCH_FLG</t>
    <phoneticPr fontId="2"/>
  </si>
  <si>
    <t>UNMM0091_IF_DATA_SEARCH_CHECK</t>
    <phoneticPr fontId="2"/>
  </si>
  <si>
    <t>UNMM0091_IF_ACTIVE_SHEET</t>
    <phoneticPr fontId="2"/>
  </si>
  <si>
    <t>UNMM0091_IF_ACTIVE_ROW</t>
    <phoneticPr fontId="2"/>
  </si>
  <si>
    <t>UNMM0091_IF_ACTIVE_COLUMN</t>
    <phoneticPr fontId="2"/>
  </si>
  <si>
    <t>UNMM0091_IF_ACTIVE_CELL_NAME</t>
    <phoneticPr fontId="2"/>
  </si>
  <si>
    <t>UNMM0091_IF_LIST_START</t>
    <phoneticPr fontId="2"/>
  </si>
  <si>
    <t>UNMM0091_IF_LIST_COPY_SAKI</t>
    <phoneticPr fontId="2"/>
  </si>
  <si>
    <t>UNMM0091_H_FREEWD_KBN</t>
    <phoneticPr fontId="2"/>
  </si>
  <si>
    <t>UNMM0091_H_MODE_COPY_SAKI</t>
    <phoneticPr fontId="2"/>
  </si>
  <si>
    <t>UNMM0091_H_HIDE_COLUMN</t>
    <phoneticPr fontId="2"/>
  </si>
  <si>
    <t>インフォメーション検索用SQL</t>
    <rPh sb="9" eb="12">
      <t>ケンサクヨウ</t>
    </rPh>
    <phoneticPr fontId="2"/>
  </si>
  <si>
    <t>UNMM_COMMON_SQL_INFO_SEARCH</t>
    <phoneticPr fontId="2"/>
  </si>
  <si>
    <t>インフォメーションID</t>
    <phoneticPr fontId="2"/>
  </si>
  <si>
    <t>UNMM0100_H_INFO_ID</t>
    <phoneticPr fontId="2"/>
  </si>
  <si>
    <t>インフォメーション名▼</t>
    <rPh sb="9" eb="10">
      <t>メイ</t>
    </rPh>
    <phoneticPr fontId="2"/>
  </si>
  <si>
    <t>UNMM0100_H_HIDE_COLUMN</t>
    <phoneticPr fontId="2"/>
  </si>
  <si>
    <t>インフォメーション区分：</t>
    <phoneticPr fontId="2"/>
  </si>
  <si>
    <t>メッセージ：</t>
    <phoneticPr fontId="2"/>
  </si>
  <si>
    <t>赤字表示フラグ</t>
    <rPh sb="0" eb="2">
      <t>アカジ</t>
    </rPh>
    <rPh sb="2" eb="4">
      <t>ヒョウジ</t>
    </rPh>
    <phoneticPr fontId="2"/>
  </si>
  <si>
    <t>UNMM0100_H_RED_FLG</t>
    <phoneticPr fontId="2"/>
  </si>
  <si>
    <t>赤字表示：</t>
    <rPh sb="0" eb="2">
      <t>アカジ</t>
    </rPh>
    <rPh sb="2" eb="4">
      <t>ヒョウジ</t>
    </rPh>
    <phoneticPr fontId="2"/>
  </si>
  <si>
    <t>入力者へ通知フラグ</t>
    <rPh sb="0" eb="2">
      <t>ニュウリョク</t>
    </rPh>
    <rPh sb="2" eb="3">
      <t>シャ</t>
    </rPh>
    <rPh sb="4" eb="6">
      <t>ツウチ</t>
    </rPh>
    <phoneticPr fontId="2"/>
  </si>
  <si>
    <t>UNMM0100_H_NYURYOKUSHA_FLG</t>
    <phoneticPr fontId="2"/>
  </si>
  <si>
    <t>入力者へ通知：</t>
    <rPh sb="0" eb="2">
      <t>ニュウリョク</t>
    </rPh>
    <rPh sb="2" eb="3">
      <t>シャ</t>
    </rPh>
    <rPh sb="4" eb="6">
      <t>ツウチ</t>
    </rPh>
    <phoneticPr fontId="2"/>
  </si>
  <si>
    <t>行</t>
    <rPh sb="0" eb="1">
      <t>ギョウ</t>
    </rPh>
    <phoneticPr fontId="2"/>
  </si>
  <si>
    <t>通知先部署CD</t>
    <rPh sb="0" eb="2">
      <t>ツウチ</t>
    </rPh>
    <rPh sb="2" eb="3">
      <t>サキ</t>
    </rPh>
    <rPh sb="3" eb="5">
      <t>ブショ</t>
    </rPh>
    <phoneticPr fontId="2"/>
  </si>
  <si>
    <t>通知先部署名</t>
    <rPh sb="0" eb="2">
      <t>ツウチ</t>
    </rPh>
    <rPh sb="2" eb="3">
      <t>サキ</t>
    </rPh>
    <rPh sb="3" eb="5">
      <t>ブショ</t>
    </rPh>
    <rPh sb="5" eb="6">
      <t>メイ</t>
    </rPh>
    <phoneticPr fontId="2"/>
  </si>
  <si>
    <t>通知先担当者CD</t>
    <rPh sb="0" eb="2">
      <t>ツウチ</t>
    </rPh>
    <rPh sb="2" eb="3">
      <t>サキ</t>
    </rPh>
    <rPh sb="3" eb="6">
      <t>タントウシャ</t>
    </rPh>
    <phoneticPr fontId="2"/>
  </si>
  <si>
    <t>通知先担当者名</t>
    <rPh sb="0" eb="2">
      <t>ツウチ</t>
    </rPh>
    <rPh sb="2" eb="3">
      <t>サキ</t>
    </rPh>
    <rPh sb="3" eb="6">
      <t>タントウシャ</t>
    </rPh>
    <rPh sb="6" eb="7">
      <t>メイ</t>
    </rPh>
    <phoneticPr fontId="2"/>
  </si>
  <si>
    <t>インフォメーションID</t>
    <phoneticPr fontId="2"/>
  </si>
  <si>
    <t>UNMM0100_B_HYOJI_KENSU</t>
  </si>
  <si>
    <t>UNMM0100_B_LIST_START</t>
  </si>
  <si>
    <t>UNMM0100_B_LIST_SHOSHIKI_COPY_SAKI</t>
    <phoneticPr fontId="2"/>
  </si>
  <si>
    <t>リスト数式コピー先</t>
    <rPh sb="3" eb="5">
      <t>スウシキ</t>
    </rPh>
    <rPh sb="8" eb="9">
      <t>サキ</t>
    </rPh>
    <phoneticPr fontId="2"/>
  </si>
  <si>
    <t>UNMM0100_B_LIST_SUSHIKI_COPY_SAKI</t>
    <phoneticPr fontId="2"/>
  </si>
  <si>
    <t>UNMM0100_B_LIST_CLEAR</t>
  </si>
  <si>
    <t>コード検索結果貼付先セル(名)</t>
    <rPh sb="3" eb="5">
      <t>ケンサク</t>
    </rPh>
    <rPh sb="5" eb="7">
      <t>ケッカ</t>
    </rPh>
    <rPh sb="7" eb="9">
      <t>ハリツケ</t>
    </rPh>
    <rPh sb="9" eb="10">
      <t>サキ</t>
    </rPh>
    <rPh sb="13" eb="14">
      <t>メイ</t>
    </rPh>
    <phoneticPr fontId="2"/>
  </si>
  <si>
    <t>UNMM0100_B_SEARCH_RESULT_MEI</t>
    <phoneticPr fontId="2"/>
  </si>
  <si>
    <t>コード検索結果貼付先セル(コード)</t>
    <rPh sb="3" eb="5">
      <t>ケンサク</t>
    </rPh>
    <rPh sb="5" eb="7">
      <t>ケッカ</t>
    </rPh>
    <rPh sb="7" eb="9">
      <t>ハリツケ</t>
    </rPh>
    <rPh sb="9" eb="10">
      <t>サキ</t>
    </rPh>
    <phoneticPr fontId="2"/>
  </si>
  <si>
    <t>UNMM0100_B_SEARCH_RESULT_CD</t>
    <phoneticPr fontId="2"/>
  </si>
  <si>
    <t>UNMM0100_B_SELECT_RANGE</t>
  </si>
  <si>
    <t>UNMM0100_B_SHOSHIKI_SELECT_RANGE</t>
  </si>
  <si>
    <t>UNMM0100_B_GYO_SU_HENDOU_INC</t>
  </si>
  <si>
    <t>UNMM0100_B_GYO_SU_HENDOU_DEC</t>
  </si>
  <si>
    <t>UNMM0100_B_SCROLL_LOCK</t>
  </si>
  <si>
    <t>UNMM0100_B_HIDE_ROW</t>
  </si>
  <si>
    <t>UNMM0100_B_HIDE_COLUMN</t>
  </si>
  <si>
    <t>UNMM0100_IF_DATA_SEARCH_FLG</t>
  </si>
  <si>
    <t>ON:1</t>
    <phoneticPr fontId="2"/>
  </si>
  <si>
    <t>UNMM0100_IF_ACTIVE_SHEET</t>
  </si>
  <si>
    <t>UNMM0100_IF_B_LIST_DEFAULT</t>
  </si>
  <si>
    <t>UNMM0100_IF_ACTIVE_ROW</t>
  </si>
  <si>
    <t>UNMM0100_IF_B_LIST_COPY_MODE_SANSHO_MOTO</t>
  </si>
  <si>
    <t>UNMM0100_IF_ACTIVE_COLUMN</t>
  </si>
  <si>
    <t>UNMM0100_IF_B_LIST_COPY_MODE_SHUSEI_MOTO</t>
  </si>
  <si>
    <t>UNMM0100_IF_ACTIVE_CELL_NAME</t>
  </si>
  <si>
    <t>UNMM0100_IF_GYO_NO</t>
    <phoneticPr fontId="2"/>
  </si>
  <si>
    <t>UNMM0100_IF_MODE</t>
  </si>
  <si>
    <t>1:修正</t>
    <phoneticPr fontId="2"/>
  </si>
  <si>
    <t>UNMM0100_IF_SAVE_COPY_MOTO</t>
  </si>
  <si>
    <t>UNMM0100_IF_BUTTON_06_NAME</t>
  </si>
  <si>
    <t>参照</t>
    <phoneticPr fontId="2"/>
  </si>
  <si>
    <t>修正</t>
    <phoneticPr fontId="2"/>
  </si>
  <si>
    <t>UNMM0100_IF_SAVE_SEQ</t>
  </si>
  <si>
    <t>UNMM0100_IF_SAVE_INPUT_CHECK_COLUMN</t>
  </si>
  <si>
    <t>ユーザーID</t>
    <phoneticPr fontId="2"/>
  </si>
  <si>
    <t>シリアル</t>
    <phoneticPr fontId="2"/>
  </si>
  <si>
    <t>モード</t>
    <phoneticPr fontId="2"/>
  </si>
  <si>
    <t>インフォメーションID</t>
    <phoneticPr fontId="2"/>
  </si>
  <si>
    <t>SEQ</t>
    <phoneticPr fontId="2"/>
  </si>
  <si>
    <t>UNMM0100_IF_SAVE_COPY_START</t>
  </si>
  <si>
    <t>キャンセルボタン</t>
    <phoneticPr fontId="2"/>
  </si>
  <si>
    <t>UNMM0100_IF_BUTTON_09_HYOJI</t>
  </si>
  <si>
    <t>UNMM0100_IF_BUTTON_10_HYOJI</t>
  </si>
  <si>
    <t>UNMM0100_IF_BUTTON_13_HYOJI</t>
  </si>
  <si>
    <t>UNMM0100_IF_BUTTON_14_HYOJI</t>
    <phoneticPr fontId="2"/>
  </si>
  <si>
    <t>UNMM0100_IF_BUTTON_20_HYOJI</t>
  </si>
  <si>
    <t>UNMM0100_IF_SAVE_W_USER_ID</t>
  </si>
  <si>
    <t>UNMM0100_IF_SAVE_W_SERIAL</t>
  </si>
  <si>
    <t>UNMM0100_IF_SAVE_W_MODE</t>
  </si>
  <si>
    <t>UNMM0100_IF_SAVE_GYO_SU</t>
  </si>
  <si>
    <t>UNMM0100_IF_UPDATE_START</t>
  </si>
  <si>
    <t>UNMM0100_IF_SAVE_COPY_SAKI</t>
  </si>
  <si>
    <t>UNMM0100_IF_SAVE_INPUT_CHECK</t>
  </si>
  <si>
    <t>UNMM0100_IF_SAVE_RESULT_CD</t>
  </si>
  <si>
    <t>UNMM0100_IF_SAVE_RESULT_MESSAGE</t>
  </si>
  <si>
    <t>UNMM0100_IF_SAVE_ERROR_CHECK</t>
  </si>
  <si>
    <t>1:エラー / 2:正常終了</t>
  </si>
  <si>
    <t>UNMM0100_IF_SAVE_ERROR_MESSAGE</t>
  </si>
  <si>
    <t>UNMM0100_IF_EXCEL_FILE_NAME</t>
    <phoneticPr fontId="2"/>
  </si>
  <si>
    <t>UNMM0100_SQL_SELECT_INFO_LIST</t>
    <phoneticPr fontId="2"/>
  </si>
  <si>
    <t>SQL1</t>
    <phoneticPr fontId="2"/>
  </si>
  <si>
    <t>UNMM0091_SQL_SELECT_YOSAN_LIST_CNT</t>
    <phoneticPr fontId="2"/>
  </si>
  <si>
    <t xml:space="preserve">SELECT COUNT(*) AS CNT
  FROM V_YOSAN_LIST 
 WHERE 1=1
</t>
    <phoneticPr fontId="2"/>
  </si>
  <si>
    <t xml:space="preserve">SELECT *
  FROM V_YOSAN_LIST
 WHERE 1=1
</t>
    <phoneticPr fontId="2"/>
  </si>
  <si>
    <t>予算コード入力</t>
    <rPh sb="5" eb="7">
      <t>ニュウリョク</t>
    </rPh>
    <phoneticPr fontId="2"/>
  </si>
  <si>
    <t>予算コード：</t>
    <rPh sb="0" eb="2">
      <t>ヨサン</t>
    </rPh>
    <phoneticPr fontId="2"/>
  </si>
  <si>
    <t>予算名：</t>
    <rPh sb="0" eb="2">
      <t>ヨサン</t>
    </rPh>
    <rPh sb="2" eb="3">
      <t>メイ</t>
    </rPh>
    <phoneticPr fontId="2"/>
  </si>
  <si>
    <t>UNMM0090_HIDE_COLUMN</t>
    <phoneticPr fontId="2"/>
  </si>
  <si>
    <t>UNMM0090_UPDATE_DATETIME</t>
    <phoneticPr fontId="2"/>
  </si>
  <si>
    <t>UNMM0090_INSERT_DATETIME</t>
    <phoneticPr fontId="2"/>
  </si>
  <si>
    <t>予算コード検索用SQL</t>
    <rPh sb="0" eb="2">
      <t>ヨサン</t>
    </rPh>
    <rPh sb="5" eb="7">
      <t>ケンサク</t>
    </rPh>
    <rPh sb="7" eb="8">
      <t>ヨウ</t>
    </rPh>
    <phoneticPr fontId="2"/>
  </si>
  <si>
    <t>UNMM_COMMON_SQL_YOSAN_SERCH</t>
    <phoneticPr fontId="2"/>
  </si>
  <si>
    <t>SELECT M_YOSAN.YOSAN_CD  AS '予算コード'
      ,M_YOSAN.YOSAN_MEI AS '予算名'
  FROM M_YOSAN</t>
    <rPh sb="65" eb="67">
      <t>ヨサン</t>
    </rPh>
    <rPh sb="67" eb="68">
      <t>メイ</t>
    </rPh>
    <phoneticPr fontId="2"/>
  </si>
  <si>
    <t>UNMM0090_IF_MODE_SHINKI_COPY_MOTO</t>
    <phoneticPr fontId="2"/>
  </si>
  <si>
    <t>UNMM0090_IF_MODE_SHUSEI_COPY_MOTO</t>
    <phoneticPr fontId="2"/>
  </si>
  <si>
    <t>UNMM0090_IF_MODE_SANSHO_COPY_MOTO</t>
    <phoneticPr fontId="2"/>
  </si>
  <si>
    <t>0:参照</t>
    <rPh sb="2" eb="4">
      <t>サンショウ</t>
    </rPh>
    <phoneticPr fontId="2"/>
  </si>
  <si>
    <t>UNMM0090_IF_MODE</t>
    <phoneticPr fontId="2"/>
  </si>
  <si>
    <t>UNMM0090_SQL_SELECT_YOSAN_DATA</t>
    <phoneticPr fontId="2"/>
  </si>
  <si>
    <t xml:space="preserve">SELECT *
  FROM V_YOSAN_DATA
</t>
    <phoneticPr fontId="2"/>
  </si>
  <si>
    <t>条件(予算CDスタート)</t>
    <rPh sb="0" eb="2">
      <t>ジョウケン</t>
    </rPh>
    <rPh sb="3" eb="5">
      <t>ヨサン</t>
    </rPh>
    <phoneticPr fontId="2"/>
  </si>
  <si>
    <t>条件(予算CDエンド)</t>
    <rPh sb="0" eb="2">
      <t>ジョウケン</t>
    </rPh>
    <rPh sb="3" eb="5">
      <t>ヨサン</t>
    </rPh>
    <phoneticPr fontId="2"/>
  </si>
  <si>
    <t>コード検索結果クリア先セル(名)</t>
    <rPh sb="3" eb="5">
      <t>ケンサク</t>
    </rPh>
    <rPh sb="5" eb="7">
      <t>ケッカ</t>
    </rPh>
    <rPh sb="10" eb="11">
      <t>サキ</t>
    </rPh>
    <rPh sb="14" eb="15">
      <t>メイ</t>
    </rPh>
    <phoneticPr fontId="2"/>
  </si>
  <si>
    <t>UNMM0100_B_SEARCH_CLEAR_MEI</t>
  </si>
  <si>
    <t>インフォメーションマスタリスト読込SQL</t>
    <rPh sb="15" eb="17">
      <t>ヨミコミ</t>
    </rPh>
    <phoneticPr fontId="2"/>
  </si>
  <si>
    <t>UNMM0091_SQL_SELECT_YOSAN_LIST</t>
    <phoneticPr fontId="2"/>
  </si>
  <si>
    <t>UNMM0091_B_SELECT_YOSAN_CD</t>
    <phoneticPr fontId="2"/>
  </si>
  <si>
    <t>選択予算コード</t>
    <rPh sb="0" eb="2">
      <t>センタク</t>
    </rPh>
    <rPh sb="2" eb="4">
      <t>ヨサン</t>
    </rPh>
    <phoneticPr fontId="2"/>
  </si>
  <si>
    <t>UNMM0090_IF_SAVE_W_USER_ID</t>
    <phoneticPr fontId="2"/>
  </si>
  <si>
    <t>UNMM0090_IF_SAVE_W_SERIAL</t>
    <phoneticPr fontId="2"/>
  </si>
  <si>
    <t>UNMM0090_IF_SAVE_W_ROW</t>
    <phoneticPr fontId="2"/>
  </si>
  <si>
    <t>UNMM0090_IF_SAVE_W_MODE</t>
    <phoneticPr fontId="2"/>
  </si>
  <si>
    <t>UNMM0090_IF_SAVE_RESULT_CD</t>
    <phoneticPr fontId="2"/>
  </si>
  <si>
    <t>UNMM0090_IF_SAVE_RESULT_MESSAGE</t>
    <phoneticPr fontId="2"/>
  </si>
  <si>
    <t>UNMM0090_IF_SAVE_ERROR_CHECK</t>
    <phoneticPr fontId="2"/>
  </si>
  <si>
    <t>UNMM0090_IF_SAVE_INPUT_CHECK</t>
    <phoneticPr fontId="2"/>
  </si>
  <si>
    <t xml:space="preserve">SELECT *
  FROM V_INFO_TUCHI_LIST
</t>
    <phoneticPr fontId="2"/>
  </si>
  <si>
    <t>YOSAN_CD</t>
    <phoneticPr fontId="2"/>
  </si>
  <si>
    <t xml:space="preserve"> ORDER BY YOSAN_CD</t>
    <phoneticPr fontId="2"/>
  </si>
  <si>
    <t xml:space="preserve"> ORDER BY AITE_CD</t>
    <phoneticPr fontId="2"/>
  </si>
  <si>
    <t>UNMM0091_SQL_SELECT_YOSAN_LIST_COPY</t>
    <phoneticPr fontId="2"/>
  </si>
  <si>
    <t>UNMM0091_IF_EXCEL_FILE_NAME</t>
    <phoneticPr fontId="2"/>
  </si>
  <si>
    <t>名称区分：</t>
    <rPh sb="0" eb="2">
      <t>メイショウ</t>
    </rPh>
    <rPh sb="2" eb="4">
      <t>クブン</t>
    </rPh>
    <phoneticPr fontId="2"/>
  </si>
  <si>
    <t>名称：</t>
    <rPh sb="0" eb="2">
      <t>メイショウ</t>
    </rPh>
    <phoneticPr fontId="2"/>
  </si>
  <si>
    <t>-</t>
    <phoneticPr fontId="2"/>
  </si>
  <si>
    <t>修正</t>
    <rPh sb="0" eb="2">
      <t>シュウセイ</t>
    </rPh>
    <phoneticPr fontId="2"/>
  </si>
  <si>
    <t>黒(0)</t>
    <rPh sb="0" eb="1">
      <t>クロ</t>
    </rPh>
    <phoneticPr fontId="2"/>
  </si>
  <si>
    <t>白(5)</t>
    <rPh sb="0" eb="1">
      <t>シロ</t>
    </rPh>
    <phoneticPr fontId="2"/>
  </si>
  <si>
    <t>UNMM0090_IF_BUTTON_06_NAME</t>
    <phoneticPr fontId="2"/>
  </si>
  <si>
    <t>UNMM0090_IF_BUTTON_10_NAME</t>
    <phoneticPr fontId="2"/>
  </si>
  <si>
    <t>UNMM0090_IF_BUTTON_06_FONTCOLOR</t>
    <phoneticPr fontId="2"/>
  </si>
  <si>
    <t>UNMM0090_IF_BUTTON_10_FONTCOLOR</t>
    <phoneticPr fontId="2"/>
  </si>
  <si>
    <t>UNMM0090_IF_BUTTON_04_HYOJI</t>
    <phoneticPr fontId="2"/>
  </si>
  <si>
    <t>UNMM0090_IF_BUTTON_06_HYOJI</t>
    <phoneticPr fontId="2"/>
  </si>
  <si>
    <t>UNMM0090_IF_BUTTON_10_HYOJI</t>
    <phoneticPr fontId="2"/>
  </si>
  <si>
    <t>UNMM0090_IF_BUTTON_07_HYOJI</t>
    <phoneticPr fontId="2"/>
  </si>
  <si>
    <t>UNMM0090_IF_BUTTON_09_HYOJI</t>
    <phoneticPr fontId="2"/>
  </si>
  <si>
    <t>UNMM0090_IF_BUTTON_20_HYOJI</t>
    <phoneticPr fontId="2"/>
  </si>
  <si>
    <t>UNMM0090_IF_SAVE_ERROR_MESSAGE</t>
    <phoneticPr fontId="2"/>
  </si>
  <si>
    <t>UNMM0090_IF_EXCEL_FILE_NAME</t>
    <phoneticPr fontId="2"/>
  </si>
  <si>
    <t>削除入力チェック</t>
    <rPh sb="0" eb="2">
      <t>サクジョ</t>
    </rPh>
    <rPh sb="2" eb="4">
      <t>ニュウリョク</t>
    </rPh>
    <phoneticPr fontId="2"/>
  </si>
  <si>
    <t>UNMM0070_IF_SAVE_DELETE_CHECK</t>
    <phoneticPr fontId="2"/>
  </si>
  <si>
    <t>削除確認</t>
    <rPh sb="0" eb="2">
      <t>サクジョ</t>
    </rPh>
    <rPh sb="2" eb="4">
      <t>カクニン</t>
    </rPh>
    <phoneticPr fontId="2"/>
  </si>
  <si>
    <t>UNMM0090_IF_SAVE_DELETE_CHECK</t>
    <phoneticPr fontId="2"/>
  </si>
  <si>
    <t>予算CDスタート</t>
    <rPh sb="0" eb="2">
      <t>ヨサン</t>
    </rPh>
    <phoneticPr fontId="2"/>
  </si>
  <si>
    <t>予算CDエンド</t>
    <rPh sb="0" eb="2">
      <t>ヨサン</t>
    </rPh>
    <phoneticPr fontId="2"/>
  </si>
  <si>
    <t>フリーワード</t>
    <phoneticPr fontId="2"/>
  </si>
  <si>
    <t>UNMM0091_SQL_YOSAN_CD_START</t>
    <phoneticPr fontId="2"/>
  </si>
  <si>
    <t>UNMM0091_SQL_YOSAN_CD_END</t>
    <phoneticPr fontId="2"/>
  </si>
  <si>
    <t>UNMM0091_SQL_FREEWORD_1</t>
    <phoneticPr fontId="2"/>
  </si>
  <si>
    <t>UNMM0091_SQL_FREEWORD_2</t>
    <phoneticPr fontId="2"/>
  </si>
  <si>
    <t>UNMM0091_SQL_FREEWORD_3</t>
    <phoneticPr fontId="2"/>
  </si>
  <si>
    <t>UNMM0091_SQL_FREEWD_KBN</t>
    <phoneticPr fontId="2"/>
  </si>
  <si>
    <t>UNMM0091_SQL_JOKEN_COPY_MOTO</t>
    <phoneticPr fontId="2"/>
  </si>
  <si>
    <t>UNMM0091_SQL_JOKEN_COPY_SAKI</t>
    <phoneticPr fontId="2"/>
  </si>
  <si>
    <t>UNMM0051_SQL_BUNSEKIKOMOKU_FLG</t>
    <phoneticPr fontId="2"/>
  </si>
  <si>
    <t>UNMM0051_SQL_SHOHIN_FLG</t>
    <phoneticPr fontId="2"/>
  </si>
  <si>
    <t>UNMM0051_SQL_KOBAIHIN_FLG</t>
    <phoneticPr fontId="2"/>
  </si>
  <si>
    <t>UNMM0051_SQL_SHOKEIHI_FLG</t>
    <phoneticPr fontId="2"/>
  </si>
  <si>
    <t>UNMM0051_SQL_KARI_STS</t>
    <phoneticPr fontId="2"/>
  </si>
  <si>
    <t>UNMM0051_SQL_SAIYO_STS</t>
    <phoneticPr fontId="2"/>
  </si>
  <si>
    <t>UNMM0051_SQL_MISHIYO</t>
    <phoneticPr fontId="2"/>
  </si>
  <si>
    <t>UNMM0051_SQL_JOKEN_COPY_SAKI</t>
    <phoneticPr fontId="2"/>
  </si>
  <si>
    <t>商品CD</t>
    <rPh sb="0" eb="2">
      <t>ショウヒン</t>
    </rPh>
    <phoneticPr fontId="2"/>
  </si>
  <si>
    <t>仕入先CD</t>
    <rPh sb="0" eb="2">
      <t>シイレ</t>
    </rPh>
    <rPh sb="2" eb="3">
      <t>サキ</t>
    </rPh>
    <phoneticPr fontId="2"/>
  </si>
  <si>
    <t>メーカーCD</t>
    <phoneticPr fontId="2"/>
  </si>
  <si>
    <t>フリーワード</t>
    <phoneticPr fontId="2"/>
  </si>
  <si>
    <t>フリーワード検索条件</t>
    <rPh sb="6" eb="8">
      <t>ケンサク</t>
    </rPh>
    <rPh sb="8" eb="10">
      <t>ジョウケン</t>
    </rPh>
    <phoneticPr fontId="2"/>
  </si>
  <si>
    <t>UNMM0051_SQL_SHOHIN_CD</t>
    <phoneticPr fontId="2"/>
  </si>
  <si>
    <t>UNMM0051_SQL_SHIIRE_CD</t>
    <phoneticPr fontId="2"/>
  </si>
  <si>
    <t>UNMM0051_SQL_MAKER_CD</t>
    <phoneticPr fontId="2"/>
  </si>
  <si>
    <t>UNMM0051_SQL_FREEWD_1</t>
    <phoneticPr fontId="2"/>
  </si>
  <si>
    <t>UNMM0051_SQL_FREEWD_2</t>
    <phoneticPr fontId="2"/>
  </si>
  <si>
    <t>UNMM0051_SQL_FREEWD_3</t>
    <phoneticPr fontId="2"/>
  </si>
  <si>
    <t>UNMM0051_SQL_FREEWD_KBN</t>
    <phoneticPr fontId="2"/>
  </si>
  <si>
    <t>フリーワード</t>
    <phoneticPr fontId="2"/>
  </si>
  <si>
    <t>フリーワード区分</t>
    <rPh sb="6" eb="8">
      <t>クブン</t>
    </rPh>
    <phoneticPr fontId="2"/>
  </si>
  <si>
    <t>UNMM0021_SQL_AITE_CD</t>
    <phoneticPr fontId="2"/>
  </si>
  <si>
    <t>UNMM0021_SQL_EIGYO_TANTO_CD</t>
    <phoneticPr fontId="2"/>
  </si>
  <si>
    <t>UNMM0021_SQL_MISHIYO_FLG</t>
    <phoneticPr fontId="2"/>
  </si>
  <si>
    <t>UNMM0021_SQL_SEIKYU_FLG</t>
    <phoneticPr fontId="2"/>
  </si>
  <si>
    <t>UNMM0021_SQL_SHIIRE_FLG</t>
    <phoneticPr fontId="2"/>
  </si>
  <si>
    <t>UNMM0021_SQL_HASSO_FLG</t>
    <phoneticPr fontId="2"/>
  </si>
  <si>
    <t>UNMM0021_SQL_HOKOKU_FLG</t>
    <phoneticPr fontId="2"/>
  </si>
  <si>
    <t>UNMM0021_SQL_MAKER_FLG</t>
    <phoneticPr fontId="2"/>
  </si>
  <si>
    <t>UNMM0021_SQL_GAICHU_FLG</t>
    <phoneticPr fontId="2"/>
  </si>
  <si>
    <t>UNMM0021_SQL_KANKO_FLG</t>
    <phoneticPr fontId="2"/>
  </si>
  <si>
    <t>UNMM0021_SQL_DOGYO_FLG</t>
    <phoneticPr fontId="2"/>
  </si>
  <si>
    <t>UNMM0021_SQL_SPOT_FLG</t>
    <phoneticPr fontId="2"/>
  </si>
  <si>
    <t>UNMM0021_SQL_FREEWORD_1</t>
    <phoneticPr fontId="2"/>
  </si>
  <si>
    <t>UNMM0021_SQL_FREEWORD_2</t>
    <phoneticPr fontId="2"/>
  </si>
  <si>
    <t>UNMM0021_SQL_FREEWORD_3</t>
    <phoneticPr fontId="2"/>
  </si>
  <si>
    <t>UNMM0021_SQL_FREEWD_KBN</t>
    <phoneticPr fontId="2"/>
  </si>
  <si>
    <t>&amp;IF(UNMM0051_SQL_FREEWD_KBN=3," NOT ", "") &amp;"LIKE " &amp;"'%" &amp;UNMM0051_SQL_FREEWORD_1 &amp;"%'  ")</t>
    <phoneticPr fontId="2"/>
  </si>
  <si>
    <t>UNMM0051_SQL_JOKEN_COPY_MOTO</t>
    <phoneticPr fontId="2"/>
  </si>
  <si>
    <t>社員CD▽</t>
    <phoneticPr fontId="2"/>
  </si>
  <si>
    <t>UNMM0011_H_BUSHO_CD</t>
    <phoneticPr fontId="2"/>
  </si>
  <si>
    <t>UNMM0011_H_MISHIYO_FLG</t>
    <phoneticPr fontId="2"/>
  </si>
  <si>
    <t>フリーワード：</t>
    <phoneticPr fontId="2"/>
  </si>
  <si>
    <t>1:AND / 2:OR / 3:NAND</t>
    <phoneticPr fontId="2"/>
  </si>
  <si>
    <t>UNMM0011_H_HIDE_ROW</t>
    <phoneticPr fontId="2"/>
  </si>
  <si>
    <t>UNMM0011_H_HIDE_COLUMN</t>
    <phoneticPr fontId="2"/>
  </si>
  <si>
    <t>$A$1:$D$1</t>
    <phoneticPr fontId="2"/>
  </si>
  <si>
    <t>UNMM0011_B_ALL_KENSU</t>
    <phoneticPr fontId="2"/>
  </si>
  <si>
    <t>UNMM0011_B_PAGE_NO</t>
    <phoneticPr fontId="2"/>
  </si>
  <si>
    <t>UNMM0011_B_ALL_PEGE_SU</t>
    <phoneticPr fontId="2"/>
  </si>
  <si>
    <t>UNMM0011_B_HYOJI_KENSU</t>
    <phoneticPr fontId="2"/>
  </si>
  <si>
    <t>UNMM0011_B_BACK_PAGE</t>
    <phoneticPr fontId="2"/>
  </si>
  <si>
    <t>UNMM0011_B_NEXT_PAGE</t>
    <phoneticPr fontId="2"/>
  </si>
  <si>
    <t>UNMM0011_B_BACK_PAGE_NUM</t>
    <phoneticPr fontId="2"/>
  </si>
  <si>
    <t>UNMM0011_B_NEXT_PAGE_NUM</t>
    <phoneticPr fontId="2"/>
  </si>
  <si>
    <t>UNMM0011_B_HIDE_ROW</t>
    <phoneticPr fontId="2"/>
  </si>
  <si>
    <t>UNMM0011_B_HIDE_COLUMN</t>
    <phoneticPr fontId="2"/>
  </si>
  <si>
    <t>UNMM0011_B_SCROLL_LOCK</t>
    <phoneticPr fontId="2"/>
  </si>
  <si>
    <t>UNMM0011_IF_PRINT_COUNT</t>
    <phoneticPr fontId="2"/>
  </si>
  <si>
    <t>社員CD</t>
    <phoneticPr fontId="2"/>
  </si>
  <si>
    <t>UNMM0011_IF_EXCEL_FILE_NAME</t>
    <phoneticPr fontId="2"/>
  </si>
  <si>
    <t>UNMM0011_IF_B_LIST_DEFAULT</t>
    <phoneticPr fontId="2"/>
  </si>
  <si>
    <t>UNMM0011_IF_PRINT_AREA</t>
    <phoneticPr fontId="2"/>
  </si>
  <si>
    <t>UNMM0011_IF_B_LIST_COPY</t>
    <phoneticPr fontId="2"/>
  </si>
  <si>
    <t>＞</t>
    <phoneticPr fontId="2"/>
  </si>
  <si>
    <t>UNMM0011_IF_DATA_SEARCH_FLG</t>
    <phoneticPr fontId="2"/>
  </si>
  <si>
    <t>ON:1</t>
    <phoneticPr fontId="2"/>
  </si>
  <si>
    <t>UNMM0011_IF_DATA_SEARCH_CHECK</t>
    <phoneticPr fontId="2"/>
  </si>
  <si>
    <t>UNMM0011_IF_BUTTON_11_HYOJI</t>
    <phoneticPr fontId="2"/>
  </si>
  <si>
    <t>ページ番号が2以上の場合、前ページボタンを無効化</t>
    <rPh sb="3" eb="5">
      <t>バンゴウ</t>
    </rPh>
    <rPh sb="7" eb="9">
      <t>イジョウ</t>
    </rPh>
    <rPh sb="10" eb="12">
      <t>バアイ</t>
    </rPh>
    <rPh sb="13" eb="14">
      <t>マエ</t>
    </rPh>
    <rPh sb="21" eb="24">
      <t>ムコウカ</t>
    </rPh>
    <phoneticPr fontId="2"/>
  </si>
  <si>
    <t>UNMM0011_IF_BUTTON_12_HYOJI</t>
    <phoneticPr fontId="2"/>
  </si>
  <si>
    <t>総件数/(表示行数*ページ番号)の余りが表示件数以下の場合、次ページボタンを無効化</t>
    <rPh sb="0" eb="3">
      <t>ソウケンスウ</t>
    </rPh>
    <rPh sb="5" eb="7">
      <t>ヒョウジ</t>
    </rPh>
    <rPh sb="7" eb="9">
      <t>ギョウスウ</t>
    </rPh>
    <rPh sb="13" eb="15">
      <t>バンゴウ</t>
    </rPh>
    <rPh sb="17" eb="18">
      <t>アマ</t>
    </rPh>
    <rPh sb="20" eb="22">
      <t>ヒョウジ</t>
    </rPh>
    <rPh sb="22" eb="24">
      <t>ケンスウ</t>
    </rPh>
    <rPh sb="24" eb="26">
      <t>イカ</t>
    </rPh>
    <rPh sb="27" eb="29">
      <t>バアイ</t>
    </rPh>
    <rPh sb="30" eb="31">
      <t>ツギ</t>
    </rPh>
    <rPh sb="38" eb="41">
      <t>ムコウカ</t>
    </rPh>
    <phoneticPr fontId="2"/>
  </si>
  <si>
    <t>UNMM0011_SQL_SELECT_SHAIN_LIST</t>
    <phoneticPr fontId="2"/>
  </si>
  <si>
    <t>UNMM0011_SQL_SELECT_SHAIN_LIST_CNT</t>
    <phoneticPr fontId="2"/>
  </si>
  <si>
    <t>カウントSQL</t>
    <phoneticPr fontId="2"/>
  </si>
  <si>
    <t xml:space="preserve">SELECT COUNT(*)   AS CNT
  FROM V_SHAIN_LIST
 WHERE 1=1
</t>
    <phoneticPr fontId="2"/>
  </si>
  <si>
    <t>SQL1</t>
    <phoneticPr fontId="2"/>
  </si>
  <si>
    <t xml:space="preserve">SELECT *
FROM V_SHAIN_LIST
WHERE 1=1
</t>
    <phoneticPr fontId="2"/>
  </si>
  <si>
    <t>IF(OR(D4=0,D4=FALSE),"","AND V_SHAIN_LIST.MISHIYO_FLG IS NULL ")</t>
    <phoneticPr fontId="2"/>
  </si>
  <si>
    <t>フリーワード接続文</t>
    <rPh sb="6" eb="8">
      <t>セツゾク</t>
    </rPh>
    <rPh sb="8" eb="9">
      <t>ブン</t>
    </rPh>
    <phoneticPr fontId="2"/>
  </si>
  <si>
    <t>フリーワード1</t>
    <phoneticPr fontId="2"/>
  </si>
  <si>
    <t>UNMM0011_SQL_SELECT_SHAIN_LIST_ORDER</t>
    <phoneticPr fontId="2"/>
  </si>
  <si>
    <t>ページング</t>
    <phoneticPr fontId="2"/>
  </si>
  <si>
    <t>初期ORDER BY句取得SQL</t>
    <rPh sb="0" eb="2">
      <t>ショキ</t>
    </rPh>
    <rPh sb="10" eb="11">
      <t>ク</t>
    </rPh>
    <rPh sb="11" eb="13">
      <t>シュトク</t>
    </rPh>
    <phoneticPr fontId="2"/>
  </si>
  <si>
    <t>UNMM0011_SQL_SELECT_ORDER</t>
    <phoneticPr fontId="2"/>
  </si>
  <si>
    <t>並べ替え順序検索用SQL</t>
    <rPh sb="0" eb="1">
      <t>ナラ</t>
    </rPh>
    <rPh sb="2" eb="3">
      <t>カ</t>
    </rPh>
    <rPh sb="4" eb="6">
      <t>ジュンジョ</t>
    </rPh>
    <rPh sb="6" eb="9">
      <t>ケンサクヨウ</t>
    </rPh>
    <phoneticPr fontId="2"/>
  </si>
  <si>
    <t>UNMM0011_SQL_SORT_SEARCH</t>
    <phoneticPr fontId="2"/>
  </si>
  <si>
    <t>UNMM0011_SQL_PRINT</t>
    <phoneticPr fontId="2"/>
  </si>
  <si>
    <t>UNMM0010_MODE_COPY_SAKI</t>
    <phoneticPr fontId="2"/>
  </si>
  <si>
    <t>G3:I5</t>
    <phoneticPr fontId="2"/>
  </si>
  <si>
    <t>UNMM0010_IMG_PATH</t>
    <phoneticPr fontId="2"/>
  </si>
  <si>
    <t>UNMM0010_INSERT_DATETIME</t>
    <phoneticPr fontId="2"/>
  </si>
  <si>
    <t>UNMM0010_UPDATE_DATETIME</t>
    <phoneticPr fontId="2"/>
  </si>
  <si>
    <t>UNMM0010_HIDE_ROW</t>
    <phoneticPr fontId="2"/>
  </si>
  <si>
    <t>UNMM0010_HIDE_COLUMN</t>
    <phoneticPr fontId="2"/>
  </si>
  <si>
    <t>$A$1:$D$1</t>
    <phoneticPr fontId="2"/>
  </si>
  <si>
    <t>UNMM0010_SCROLL_LOCK</t>
    <phoneticPr fontId="2"/>
  </si>
  <si>
    <t>UNMM0010_IF_MODE_SHINKI_COPY_MOTO</t>
    <phoneticPr fontId="2"/>
  </si>
  <si>
    <t>UNMM0010_IF_SAVE_W_USER_ID</t>
    <phoneticPr fontId="2"/>
  </si>
  <si>
    <t>UNMM0010_IF_SAVE_W_SERIAL</t>
    <phoneticPr fontId="2"/>
  </si>
  <si>
    <t>UNMM0010_IF_SAVE_W_ROW</t>
    <phoneticPr fontId="2"/>
  </si>
  <si>
    <t>UNMM0010_IF_SAVE_W_MODE</t>
    <phoneticPr fontId="2"/>
  </si>
  <si>
    <t>1:新規 / 2:修正 / 3:削除</t>
    <rPh sb="2" eb="4">
      <t>シンキ</t>
    </rPh>
    <rPh sb="9" eb="11">
      <t>シュウセイ</t>
    </rPh>
    <rPh sb="16" eb="18">
      <t>サクジョ</t>
    </rPh>
    <phoneticPr fontId="2"/>
  </si>
  <si>
    <t>UNMM0010_IF_SAVE_SHAIN_CD</t>
    <phoneticPr fontId="2"/>
  </si>
  <si>
    <t>UNMM0010_IF_MODE_SHUSEI_COPY_MOTO</t>
    <phoneticPr fontId="2"/>
  </si>
  <si>
    <t>UNMM0010_IF_SAVE_BUSHO_CD</t>
    <phoneticPr fontId="2"/>
  </si>
  <si>
    <t>UNMM0010_IF_SAVE_SHIMEI</t>
    <phoneticPr fontId="2"/>
  </si>
  <si>
    <t>UNMM0010_IF_SAVE_IMG_PATH</t>
    <phoneticPr fontId="2"/>
  </si>
  <si>
    <t>UNMM0010_IF_SAVE_MISHIYO_FLG</t>
    <phoneticPr fontId="2"/>
  </si>
  <si>
    <t>UNMM0010_IF_MODE_SANSHO_COPY_MOTO</t>
    <phoneticPr fontId="2"/>
  </si>
  <si>
    <t>UNMM0010_IF_SAVE_INPUT_CHECK</t>
    <phoneticPr fontId="2"/>
  </si>
  <si>
    <t>UNMM0010_IF_SAVE_RESULT_CD</t>
    <phoneticPr fontId="2"/>
  </si>
  <si>
    <t>UNMM0010_IF_SAVE_RESULT_MESSAGE</t>
    <phoneticPr fontId="2"/>
  </si>
  <si>
    <t>UNMM0010_IF_SAVE_ERROR_CHECK</t>
    <phoneticPr fontId="2"/>
  </si>
  <si>
    <t>エラーメッセージ</t>
    <phoneticPr fontId="2"/>
  </si>
  <si>
    <t>UNMM0010_IF_SAVE_ERROR_MESSAGE</t>
    <phoneticPr fontId="2"/>
  </si>
  <si>
    <t>UNMM0010_IF_ACTIVE_SHEET</t>
    <phoneticPr fontId="2"/>
  </si>
  <si>
    <t>UNMM0010</t>
    <phoneticPr fontId="2"/>
  </si>
  <si>
    <t>UNMM0010_IF_ACTIVE_ROW</t>
    <phoneticPr fontId="2"/>
  </si>
  <si>
    <t>UNMM0010_IF_ACTIVE_COLUMN</t>
    <phoneticPr fontId="2"/>
  </si>
  <si>
    <t>UNMM0010_IF_ACTIVE_CELL_NAME</t>
    <phoneticPr fontId="2"/>
  </si>
  <si>
    <t>↓UNMM0010_IF_Shape_IMG</t>
    <phoneticPr fontId="2"/>
  </si>
  <si>
    <t>↓UNMM0010_IF_IMG_CELL</t>
    <phoneticPr fontId="2"/>
  </si>
  <si>
    <t>UNMM0010_IF_IMG_CELL</t>
    <phoneticPr fontId="2"/>
  </si>
  <si>
    <t>B47セル</t>
    <phoneticPr fontId="2"/>
  </si>
  <si>
    <t>UNMM0010_IF_IMG_SELECT_FOLDER</t>
    <phoneticPr fontId="2"/>
  </si>
  <si>
    <t>UNMM0010_IF_IMG_SELECT_FILE</t>
    <phoneticPr fontId="2"/>
  </si>
  <si>
    <t>UNMM0010_IF_IMG_SELECT_PATH</t>
    <phoneticPr fontId="2"/>
  </si>
  <si>
    <t>UNMM0010_IF_IMG_SAVE_UPLOAD_FOLDER_PATH</t>
    <phoneticPr fontId="2"/>
  </si>
  <si>
    <t>UNMM0010_IF_IMG_SAVE_LOCAL_FOLDER_PATH</t>
    <phoneticPr fontId="2"/>
  </si>
  <si>
    <t>UNMM0010_IF_IMG_SAVE_KIZON_FLG</t>
    <phoneticPr fontId="2"/>
  </si>
  <si>
    <t>アップロードパス</t>
    <phoneticPr fontId="2"/>
  </si>
  <si>
    <t>UNMM0010_IF_IMG_SAVE_UPLOAD_PATH</t>
    <phoneticPr fontId="2"/>
  </si>
  <si>
    <t>UNMM0010_IF_IMG_SAVE_LOCAL_PATH</t>
    <phoneticPr fontId="2"/>
  </si>
  <si>
    <t>UNMM0010_IF_IMG_SAVE_UPDATE_FLG</t>
    <phoneticPr fontId="2"/>
  </si>
  <si>
    <t>担当者印選択を行った場合、1に設定する</t>
    <rPh sb="0" eb="3">
      <t>タントウシャ</t>
    </rPh>
    <rPh sb="3" eb="4">
      <t>イン</t>
    </rPh>
    <rPh sb="4" eb="6">
      <t>センタク</t>
    </rPh>
    <rPh sb="7" eb="8">
      <t>オコナ</t>
    </rPh>
    <rPh sb="10" eb="12">
      <t>バアイ</t>
    </rPh>
    <rPh sb="15" eb="17">
      <t>セッテイ</t>
    </rPh>
    <phoneticPr fontId="2"/>
  </si>
  <si>
    <t>UNMM0010_IF_IMG_SAVE_CHECK_FLG</t>
    <phoneticPr fontId="2"/>
  </si>
  <si>
    <t>UNMM0010_SQL_SELECT_SHAIN_DATA</t>
    <phoneticPr fontId="2"/>
  </si>
  <si>
    <t>SQL1</t>
    <phoneticPr fontId="2"/>
  </si>
  <si>
    <t xml:space="preserve">SELECT *
  FROM V_SHAIN_DATA
</t>
    <phoneticPr fontId="2"/>
  </si>
  <si>
    <t>UNMM0010_SQL_DELETE_SHAIN_DATA</t>
    <phoneticPr fontId="2"/>
  </si>
  <si>
    <t>SQL1</t>
    <phoneticPr fontId="2"/>
  </si>
  <si>
    <t>UNMM0011_SQL_SHAIN_CD</t>
    <phoneticPr fontId="2"/>
  </si>
  <si>
    <t>UNMM0011_SQL_SHIMEI</t>
    <phoneticPr fontId="2"/>
  </si>
  <si>
    <t>UNMM0011_SQL_BUSHO_CD</t>
    <phoneticPr fontId="2"/>
  </si>
  <si>
    <t>フリーワード</t>
    <phoneticPr fontId="2"/>
  </si>
  <si>
    <t>フリーワード区分</t>
    <rPh sb="6" eb="8">
      <t>クブン</t>
    </rPh>
    <phoneticPr fontId="2"/>
  </si>
  <si>
    <t>UNMM0011_SQL_FREEWORD_1</t>
    <phoneticPr fontId="2"/>
  </si>
  <si>
    <t>UNMM0011_SQL_FREEWORD_2</t>
    <phoneticPr fontId="2"/>
  </si>
  <si>
    <t>UNMM0011_SQL_FREEWORD_3</t>
    <phoneticPr fontId="2"/>
  </si>
  <si>
    <t>UNMM0011_SQL_FREEWD_KBN</t>
    <phoneticPr fontId="2"/>
  </si>
  <si>
    <t>UNMM0011_SQL_MISHIYO_FLG</t>
    <phoneticPr fontId="2"/>
  </si>
  <si>
    <t>UNMM0011_IF_LIST_START</t>
    <phoneticPr fontId="2"/>
  </si>
  <si>
    <t>UNMM0011_IF_LIST_COPY_SAKI</t>
    <phoneticPr fontId="2"/>
  </si>
  <si>
    <t>-----------------------------</t>
    <phoneticPr fontId="2"/>
  </si>
  <si>
    <t>----------------------------</t>
    <phoneticPr fontId="2"/>
  </si>
  <si>
    <t>--------------------------</t>
    <phoneticPr fontId="2"/>
  </si>
  <si>
    <t>UNMM0010_IF_EXCEL_FILE_NAME</t>
    <phoneticPr fontId="2"/>
  </si>
  <si>
    <t>分析項目：</t>
    <rPh sb="0" eb="2">
      <t>ブンセキ</t>
    </rPh>
    <rPh sb="2" eb="4">
      <t>コウモク</t>
    </rPh>
    <phoneticPr fontId="2"/>
  </si>
  <si>
    <t>項番</t>
    <rPh sb="0" eb="2">
      <t>コウバン</t>
    </rPh>
    <phoneticPr fontId="2"/>
  </si>
  <si>
    <t>入力方法</t>
    <rPh sb="0" eb="2">
      <t>ニュウリョク</t>
    </rPh>
    <rPh sb="2" eb="4">
      <t>ホウホウ</t>
    </rPh>
    <phoneticPr fontId="2"/>
  </si>
  <si>
    <t>列の型</t>
    <rPh sb="0" eb="1">
      <t>レツ</t>
    </rPh>
    <rPh sb="2" eb="3">
      <t>カタ</t>
    </rPh>
    <phoneticPr fontId="2"/>
  </si>
  <si>
    <t>全桁数</t>
    <rPh sb="0" eb="1">
      <t>ゼン</t>
    </rPh>
    <rPh sb="1" eb="3">
      <t>ケタスウ</t>
    </rPh>
    <phoneticPr fontId="2"/>
  </si>
  <si>
    <t>小数以下
桁数</t>
    <rPh sb="0" eb="2">
      <t>ショウスウ</t>
    </rPh>
    <rPh sb="2" eb="4">
      <t>イカ</t>
    </rPh>
    <rPh sb="5" eb="7">
      <t>ケタスウ</t>
    </rPh>
    <phoneticPr fontId="2"/>
  </si>
  <si>
    <t>設定値</t>
    <rPh sb="0" eb="3">
      <t>セッテイチ</t>
    </rPh>
    <phoneticPr fontId="2"/>
  </si>
  <si>
    <t>(隠)分析項目CD</t>
    <rPh sb="1" eb="2">
      <t>カク</t>
    </rPh>
    <rPh sb="3" eb="5">
      <t>ブンセキ</t>
    </rPh>
    <rPh sb="5" eb="7">
      <t>コウモク</t>
    </rPh>
    <phoneticPr fontId="2"/>
  </si>
  <si>
    <t>UNMM0080_HYOJI_KENSU</t>
  </si>
  <si>
    <t>UNMM0080_LIST_START</t>
  </si>
  <si>
    <t>UNMM0080_LIST_SHOSHIKI_COPY_SAKI</t>
  </si>
  <si>
    <t>UNMM0080_LIST_SUSHIKI_COPY_SAKI</t>
  </si>
  <si>
    <t>UNMM0080_LIST_CLEAR</t>
  </si>
  <si>
    <t>UNMM0080_B_SELECT_GYO_NO</t>
    <phoneticPr fontId="2"/>
  </si>
  <si>
    <t>UNMM0080_SELECT_RANGE</t>
  </si>
  <si>
    <t>UNMM0080_SHOSHIKI_SELECT_RANGE</t>
  </si>
  <si>
    <t>UNMM0080_GYO_SU_HENDOU_INC</t>
  </si>
  <si>
    <t>UNMM0080_GYO_SU_HENDOU_DEC</t>
  </si>
  <si>
    <t>UNMM0080_SCROLL_LOCK</t>
  </si>
  <si>
    <t>UNMM0080_HIDE_ROW</t>
  </si>
  <si>
    <t>UNMM0080_HIDE_COLUMN</t>
  </si>
  <si>
    <t>UNMM0080_IF_DATA_SEARCH_FLG</t>
  </si>
  <si>
    <t>UNMM0080_IF_LIST_DEFAULT</t>
    <phoneticPr fontId="2"/>
  </si>
  <si>
    <t>UNMM0080_IF_LIST_COPY_MODE_SANSHO_MOTO</t>
    <phoneticPr fontId="2"/>
  </si>
  <si>
    <t>UNMM0080_IF_MODE</t>
  </si>
  <si>
    <t>UNMM0080_IF_LIST_COPY_MODE_SHUSEI_MOTO</t>
    <phoneticPr fontId="2"/>
  </si>
  <si>
    <t>UNMM0080_IF_KOBAN</t>
    <phoneticPr fontId="2"/>
  </si>
  <si>
    <t>UNMM0080_IF_BUTTON_06_NAME</t>
  </si>
  <si>
    <t>参照</t>
    <phoneticPr fontId="2"/>
  </si>
  <si>
    <t>修正</t>
    <phoneticPr fontId="2"/>
  </si>
  <si>
    <t>UNMM0080_IF_SAVE_COPY_MOTO</t>
  </si>
  <si>
    <t>UNMM0080_IF_BUTTON_02_HYOJI</t>
    <phoneticPr fontId="2"/>
  </si>
  <si>
    <t>UNMM0080_IF_BUTTON_04_HYOJI</t>
    <phoneticPr fontId="2"/>
  </si>
  <si>
    <t>UNMM0080_IF_BUTTON_07_HYOJI</t>
    <phoneticPr fontId="2"/>
  </si>
  <si>
    <t>UNMM0080_IF_SAVE_INPUT_CHECK_COLUMN</t>
  </si>
  <si>
    <t>UNMM0080_IF_BUTTON_09_HYOJI</t>
  </si>
  <si>
    <t>UNMM0080_IF_SAVE_COPY_START</t>
  </si>
  <si>
    <t>UNMM0080_IF_BUTTON_10_HYOJI</t>
  </si>
  <si>
    <t>UNMM0080_IF_BUTTON_13_HYOJI</t>
  </si>
  <si>
    <t>UNMM0080_IF_BUTTON_14_HYOJI</t>
  </si>
  <si>
    <t>UNMM0080_IF_BUTTON_20_HYOJI</t>
  </si>
  <si>
    <t>UNMM0080_IF_SAVE_W_USER_ID</t>
  </si>
  <si>
    <t>UNMM0080_IF_SAVE_W_SERIAL</t>
  </si>
  <si>
    <t>UNMM0080_IF_SAVE_W_MODE</t>
  </si>
  <si>
    <t>UNMM0080_IF_UPDATE_START</t>
  </si>
  <si>
    <t>UNMM0080_IF_SAVE_COPY_SAKI</t>
  </si>
  <si>
    <t>UNMM0080_IF_SAVE_INPUT_CHECK</t>
  </si>
  <si>
    <t>UNMM0080_IF_SAVE_RESULT_CD</t>
  </si>
  <si>
    <t>UNMM0080_IF_SAVE_RESULT_MESSAGE</t>
  </si>
  <si>
    <t>UNMM0080_IF_SAVE_ERROR_CHECK</t>
  </si>
  <si>
    <t>UNMM0080_IF_SAVE_ERROR_MESSAGE</t>
  </si>
  <si>
    <t>UNMM0080_IF_EXCEL_FILE_NAME</t>
  </si>
  <si>
    <t>【コンボボックス】</t>
    <phoneticPr fontId="2"/>
  </si>
  <si>
    <t>LIST_NYURYOKU_HOHO</t>
    <phoneticPr fontId="2"/>
  </si>
  <si>
    <t>「=OFFSET(LIST_NYURYOKU_TENKAIICHI,,,IF(LIST_NYURYOKU_HOHO_KENSU=0,1,LIST_NYURYOKU_HOHO_KENSU),1)」</t>
    <phoneticPr fontId="2"/>
  </si>
  <si>
    <t>LIST_RETSU_KATA</t>
    <phoneticPr fontId="2"/>
  </si>
  <si>
    <t>「=OFFSET(LIST_RETSU_KATA_TENKAIICHI,,,IF(LIST_RETSU_KATA_KENSU=0,1,LIST_RETSU_KATA_KENSU),1)」</t>
    <phoneticPr fontId="2"/>
  </si>
  <si>
    <t>NYURYOKU</t>
    <phoneticPr fontId="2"/>
  </si>
  <si>
    <t>KATA</t>
    <phoneticPr fontId="2"/>
  </si>
  <si>
    <t>項目別サンプル値マスタリスト読込SQL</t>
    <rPh sb="0" eb="2">
      <t>コウモク</t>
    </rPh>
    <rPh sb="2" eb="3">
      <t>ベツ</t>
    </rPh>
    <rPh sb="7" eb="8">
      <t>チ</t>
    </rPh>
    <rPh sb="14" eb="16">
      <t>ヨミコミ</t>
    </rPh>
    <phoneticPr fontId="2"/>
  </si>
  <si>
    <t>UNMM0080_SQL_SELECT_INFO_LIST</t>
  </si>
  <si>
    <t xml:space="preserve">SELECT *
  FROM V_KOMOKU_SAMPLE_LIST
</t>
    <phoneticPr fontId="2"/>
  </si>
  <si>
    <t>KOBAN</t>
    <phoneticPr fontId="2"/>
  </si>
  <si>
    <t>コンボボックス読込SQL</t>
    <rPh sb="7" eb="8">
      <t>ヨ</t>
    </rPh>
    <rPh sb="8" eb="9">
      <t>コ</t>
    </rPh>
    <phoneticPr fontId="2"/>
  </si>
  <si>
    <t>UNMM0080_SQL_NYURYOKU_HOHO</t>
    <phoneticPr fontId="2"/>
  </si>
  <si>
    <t>SELECT *
  FROM V_KOMOKU_SAMPLE_NYURYOKU</t>
    <phoneticPr fontId="2"/>
  </si>
  <si>
    <t>UNMM0080_SQL_RETSU_KATA</t>
    <phoneticPr fontId="2"/>
  </si>
  <si>
    <t>SELECT *
  FROM V_KOMOKU_SAMPLE_KATA</t>
    <phoneticPr fontId="2"/>
  </si>
  <si>
    <t>Excel出力SQL</t>
    <rPh sb="5" eb="7">
      <t>シュツリョク</t>
    </rPh>
    <phoneticPr fontId="2"/>
  </si>
  <si>
    <t>UNMM0021_IF_PRINT_SHOSHIKI</t>
    <phoneticPr fontId="2"/>
  </si>
  <si>
    <t xml:space="preserve">SELECT M_AITESAKI.*
  FROM M_AITESAKI
  LEFT JOIN
       V_AITESAKI_LIST
    ON V_AITESAKI_LIST.AITE_CD = M_AITESAKI.AITE_CD
 WHERE 1=1
</t>
    <phoneticPr fontId="2"/>
  </si>
  <si>
    <t>商品CD</t>
  </si>
  <si>
    <t>商品名</t>
  </si>
  <si>
    <t>相手先商品名</t>
  </si>
  <si>
    <t>分析項目フラグ</t>
  </si>
  <si>
    <t>販売商品フラグ</t>
  </si>
  <si>
    <t>購買品フラグ</t>
  </si>
  <si>
    <t>諸経費フラグ</t>
  </si>
  <si>
    <t>商品ステータス</t>
  </si>
  <si>
    <t>商品分類</t>
  </si>
  <si>
    <t>調整試薬フラグ</t>
  </si>
  <si>
    <t>毒劇物フラグ</t>
  </si>
  <si>
    <t>試薬フラグ</t>
  </si>
  <si>
    <t>メーカーCD</t>
  </si>
  <si>
    <t>外注先CD</t>
  </si>
  <si>
    <t>入数</t>
  </si>
  <si>
    <t>入数単位</t>
  </si>
  <si>
    <t>バラ単位</t>
  </si>
  <si>
    <t>標準価格</t>
  </si>
  <si>
    <t>原価</t>
  </si>
  <si>
    <t>売価</t>
  </si>
  <si>
    <t>仕入単価</t>
  </si>
  <si>
    <t>仕入入数</t>
  </si>
  <si>
    <t>仕入入数単位</t>
  </si>
  <si>
    <t>標準納期</t>
  </si>
  <si>
    <t>標準工数</t>
  </si>
  <si>
    <t>定価</t>
  </si>
  <si>
    <t>最低価格</t>
  </si>
  <si>
    <t>市場価格</t>
  </si>
  <si>
    <t>保管場所</t>
  </si>
  <si>
    <t>購買閾値</t>
  </si>
  <si>
    <t>分析項目単位</t>
  </si>
  <si>
    <t>分析番号</t>
  </si>
  <si>
    <t>分析フロー</t>
  </si>
  <si>
    <t>未使用フラグ</t>
  </si>
  <si>
    <t>レコード状態</t>
  </si>
  <si>
    <t>作成ユーザＩＤ</t>
  </si>
  <si>
    <t>作成日時</t>
  </si>
  <si>
    <t>更新ユーザＩＤ</t>
  </si>
  <si>
    <t>更新日時</t>
  </si>
  <si>
    <t>UNMM0051_IF_PRINT_SHOSHIKI</t>
    <phoneticPr fontId="2"/>
  </si>
  <si>
    <t xml:space="preserve">SELECT M_SHOHIN.*
  FROM M_SHOHIN
  LEFT JOIN
       V_SHOHIN_LIST
    ON V_SHOHIN_LIST.SHOHIN_CD = M_SHOHIN.SHOHIN_CD
 WHERE 1=1
</t>
    <phoneticPr fontId="2"/>
  </si>
  <si>
    <t>Excel出力用SQL</t>
    <rPh sb="5" eb="8">
      <t>シュツリョクヨウ</t>
    </rPh>
    <phoneticPr fontId="2"/>
  </si>
  <si>
    <t xml:space="preserve">SELECT M_SHAIN.*
  FROM M_SHAIN
  LEFT JOIN
       V_SHAIN_LIST
    ON V_SHAIN_LIST.SHAIN_CD = M_SHAIN.SHAIN_CD
 WHERE 1=1
</t>
    <phoneticPr fontId="2"/>
  </si>
  <si>
    <t>社員CD</t>
  </si>
  <si>
    <t>所属部署CD</t>
  </si>
  <si>
    <t>氏名</t>
  </si>
  <si>
    <t>担当者印パス</t>
  </si>
  <si>
    <t>UNMM0011_IF_PRINT_SHOSHIKI</t>
    <phoneticPr fontId="2"/>
  </si>
  <si>
    <t>日</t>
    <rPh sb="0" eb="1">
      <t>ヒ</t>
    </rPh>
    <phoneticPr fontId="2"/>
  </si>
  <si>
    <t>敬称</t>
    <rPh sb="0" eb="2">
      <t>ケイショウ</t>
    </rPh>
    <phoneticPr fontId="2"/>
  </si>
  <si>
    <t>LIST_KEISHO</t>
    <phoneticPr fontId="2"/>
  </si>
  <si>
    <t>「=OFFSET(LIST_KEISHO_TENKAIICHI,,,IF(LIST_KEISHO_KENSU=0,1,LIST_KEISHO_KENSU),1)」</t>
    <phoneticPr fontId="2"/>
  </si>
  <si>
    <t>品番：</t>
    <rPh sb="0" eb="2">
      <t>ヒンバン</t>
    </rPh>
    <phoneticPr fontId="2"/>
  </si>
  <si>
    <t>調製試薬内容：</t>
    <rPh sb="0" eb="2">
      <t>チョウセイ</t>
    </rPh>
    <rPh sb="2" eb="4">
      <t>シヤク</t>
    </rPh>
    <rPh sb="4" eb="6">
      <t>ナイヨウ</t>
    </rPh>
    <phoneticPr fontId="2"/>
  </si>
  <si>
    <t>　　調製試薬</t>
    <rPh sb="2" eb="4">
      <t>チョウセイ</t>
    </rPh>
    <rPh sb="4" eb="6">
      <t>シヤク</t>
    </rPh>
    <phoneticPr fontId="2"/>
  </si>
  <si>
    <t>毒劇物名称：</t>
    <rPh sb="0" eb="1">
      <t>ドク</t>
    </rPh>
    <rPh sb="1" eb="3">
      <t>ゲキブツ</t>
    </rPh>
    <rPh sb="3" eb="5">
      <t>メイショウ</t>
    </rPh>
    <phoneticPr fontId="2"/>
  </si>
  <si>
    <t xml:space="preserve"> 試薬</t>
    <phoneticPr fontId="2"/>
  </si>
  <si>
    <t>HIMBAN</t>
    <phoneticPr fontId="2"/>
  </si>
  <si>
    <t>SHIYAKU_NAIYO</t>
    <phoneticPr fontId="2"/>
  </si>
  <si>
    <t>DOKU_MEISHO</t>
    <phoneticPr fontId="2"/>
  </si>
  <si>
    <t>敬称取得</t>
    <rPh sb="0" eb="2">
      <t>ケイショウ</t>
    </rPh>
    <rPh sb="2" eb="4">
      <t>シュトク</t>
    </rPh>
    <phoneticPr fontId="2"/>
  </si>
  <si>
    <t>UNMM0020_SQL_SELECT_KEISHO</t>
    <phoneticPr fontId="2"/>
  </si>
  <si>
    <t>UNMM0020_IF_SAVE_KEISHO</t>
    <phoneticPr fontId="2"/>
  </si>
  <si>
    <t>検索実行をせずにExcel出力を行った場合、データを1つも出力しないようにするため'-'を初期状態に</t>
    <rPh sb="0" eb="2">
      <t>ケンサク</t>
    </rPh>
    <rPh sb="2" eb="4">
      <t>ジッコウ</t>
    </rPh>
    <rPh sb="13" eb="15">
      <t>シュツリョク</t>
    </rPh>
    <rPh sb="16" eb="17">
      <t>オコナ</t>
    </rPh>
    <rPh sb="19" eb="21">
      <t>バアイ</t>
    </rPh>
    <rPh sb="29" eb="31">
      <t>シュツリョク</t>
    </rPh>
    <rPh sb="45" eb="47">
      <t>ショキ</t>
    </rPh>
    <rPh sb="47" eb="49">
      <t>ジョウタイ</t>
    </rPh>
    <phoneticPr fontId="2"/>
  </si>
  <si>
    <t>ほか画面も同様</t>
    <rPh sb="2" eb="4">
      <t>ガメン</t>
    </rPh>
    <rPh sb="5" eb="7">
      <t>ドウヨウ</t>
    </rPh>
    <phoneticPr fontId="2"/>
  </si>
  <si>
    <t>$A$1:$D$1,$K$1,$L$1</t>
    <phoneticPr fontId="2"/>
  </si>
  <si>
    <t>相手先CD</t>
  </si>
  <si>
    <t>相手先名</t>
  </si>
  <si>
    <t>郵便番号</t>
  </si>
  <si>
    <t>住所１</t>
  </si>
  <si>
    <t>住所２</t>
  </si>
  <si>
    <t>TEL</t>
  </si>
  <si>
    <t>FAX</t>
  </si>
  <si>
    <t>E-MAIL</t>
  </si>
  <si>
    <t>部署名</t>
  </si>
  <si>
    <t>担当者名</t>
  </si>
  <si>
    <t>敬称</t>
  </si>
  <si>
    <t>請求先フラグ</t>
  </si>
  <si>
    <t>仕入先フラグ</t>
  </si>
  <si>
    <t>発送先フラグ</t>
  </si>
  <si>
    <t>報告先フラグ</t>
  </si>
  <si>
    <t>メーカーフラグ</t>
  </si>
  <si>
    <t>外注先フラグ</t>
  </si>
  <si>
    <t>官公庁フラグ</t>
  </si>
  <si>
    <t>同業者フラグ</t>
  </si>
  <si>
    <t>スポットフラグ</t>
  </si>
  <si>
    <t>営業担当者CD</t>
  </si>
  <si>
    <t>請求先分類</t>
  </si>
  <si>
    <t>請求先注記</t>
  </si>
  <si>
    <t>請求方法区分</t>
  </si>
  <si>
    <t>回収種別区分</t>
  </si>
  <si>
    <t>回収月</t>
  </si>
  <si>
    <t>回収日</t>
  </si>
  <si>
    <t>消費税計算区分</t>
  </si>
  <si>
    <t>請求書発行フラグ</t>
  </si>
  <si>
    <t>受領書発行フラグ</t>
  </si>
  <si>
    <t>納品書発行フラグ</t>
  </si>
  <si>
    <t>控発行フラグ</t>
  </si>
  <si>
    <t>請求先端数処理区分</t>
  </si>
  <si>
    <t>請求先手数料負担区分</t>
  </si>
  <si>
    <t>支払方法区分</t>
  </si>
  <si>
    <t>仕入先注記</t>
  </si>
  <si>
    <t>仕入先端数処理区分</t>
  </si>
  <si>
    <t>仕入先手数料負担区分</t>
  </si>
  <si>
    <t>品番</t>
  </si>
  <si>
    <t>調製試薬内容</t>
  </si>
  <si>
    <t>毒劇物名称</t>
  </si>
  <si>
    <t>会社角印パス</t>
    <rPh sb="0" eb="2">
      <t>カイシャ</t>
    </rPh>
    <rPh sb="2" eb="3">
      <t>カド</t>
    </rPh>
    <rPh sb="3" eb="4">
      <t>イン</t>
    </rPh>
    <phoneticPr fontId="2"/>
  </si>
  <si>
    <t>UNMM0130_KAISHA_MARK_PATH</t>
    <phoneticPr fontId="2"/>
  </si>
  <si>
    <t>会社角印：</t>
    <rPh sb="0" eb="2">
      <t>カイシャ</t>
    </rPh>
    <rPh sb="2" eb="4">
      <t>カクイン</t>
    </rPh>
    <phoneticPr fontId="2"/>
  </si>
  <si>
    <t>UNMM0130_MODE_SHOSHIKI_COPY_SAKI</t>
    <phoneticPr fontId="2"/>
  </si>
  <si>
    <t>モード数式コピー先</t>
    <rPh sb="3" eb="5">
      <t>スウシキ</t>
    </rPh>
    <rPh sb="8" eb="9">
      <t>サキ</t>
    </rPh>
    <phoneticPr fontId="2"/>
  </si>
  <si>
    <t>UNMM0130_MODE_SUSHIKI_COPY_SAKI</t>
    <phoneticPr fontId="2"/>
  </si>
  <si>
    <t>画面クリアコピー先</t>
    <rPh sb="0" eb="2">
      <t>ガメン</t>
    </rPh>
    <rPh sb="8" eb="9">
      <t>サキ</t>
    </rPh>
    <phoneticPr fontId="2"/>
  </si>
  <si>
    <t>UNMM0130_MODE_CLEAR_COPY_SAKI</t>
    <phoneticPr fontId="2"/>
  </si>
  <si>
    <t>UNMM0130_HIDE_ROW</t>
  </si>
  <si>
    <t>代表者名：</t>
    <rPh sb="3" eb="4">
      <t>メイ</t>
    </rPh>
    <phoneticPr fontId="2"/>
  </si>
  <si>
    <t>UNMM0130_HIDE_COLUMN</t>
    <phoneticPr fontId="2"/>
  </si>
  <si>
    <t>消費税率１：</t>
    <rPh sb="0" eb="3">
      <t>ショウヒゼイ</t>
    </rPh>
    <rPh sb="3" eb="4">
      <t>リツ</t>
    </rPh>
    <phoneticPr fontId="2"/>
  </si>
  <si>
    <t>消費税率１</t>
    <rPh sb="0" eb="3">
      <t>ショウヒゼイ</t>
    </rPh>
    <rPh sb="3" eb="4">
      <t>リツ</t>
    </rPh>
    <phoneticPr fontId="2"/>
  </si>
  <si>
    <t>UNMM0130_TAX_1</t>
    <phoneticPr fontId="2"/>
  </si>
  <si>
    <t>%</t>
    <phoneticPr fontId="2"/>
  </si>
  <si>
    <t>%</t>
    <phoneticPr fontId="2"/>
  </si>
  <si>
    <t>消費税率２：</t>
    <rPh sb="0" eb="3">
      <t>ショウヒゼイ</t>
    </rPh>
    <rPh sb="3" eb="4">
      <t>リツ</t>
    </rPh>
    <phoneticPr fontId="2"/>
  </si>
  <si>
    <t>消費税率２</t>
    <rPh sb="0" eb="2">
      <t>ショウヒ</t>
    </rPh>
    <rPh sb="2" eb="4">
      <t>ゼイリツ</t>
    </rPh>
    <phoneticPr fontId="2"/>
  </si>
  <si>
    <t>UNMM0130_TAX_2</t>
    <phoneticPr fontId="2"/>
  </si>
  <si>
    <t>表示行数：</t>
    <rPh sb="0" eb="2">
      <t>ヒョウジ</t>
    </rPh>
    <rPh sb="2" eb="4">
      <t>ギョウスウ</t>
    </rPh>
    <phoneticPr fontId="2"/>
  </si>
  <si>
    <t>共有インフォメーション：</t>
    <rPh sb="0" eb="2">
      <t>キョウユウ</t>
    </rPh>
    <phoneticPr fontId="2"/>
  </si>
  <si>
    <t>【商魂商管 前回連動日時】</t>
    <rPh sb="1" eb="3">
      <t>ショウコン</t>
    </rPh>
    <rPh sb="3" eb="5">
      <t>ショウカン</t>
    </rPh>
    <rPh sb="6" eb="8">
      <t>ゼンカイ</t>
    </rPh>
    <rPh sb="8" eb="10">
      <t>レンドウ</t>
    </rPh>
    <rPh sb="10" eb="12">
      <t>ニチジ</t>
    </rPh>
    <phoneticPr fontId="2"/>
  </si>
  <si>
    <t>商品マスタ：</t>
    <rPh sb="0" eb="2">
      <t>ショウヒン</t>
    </rPh>
    <phoneticPr fontId="2"/>
  </si>
  <si>
    <t>請求先マスタ：</t>
    <rPh sb="0" eb="2">
      <t>セイキュウ</t>
    </rPh>
    <rPh sb="2" eb="3">
      <t>サキ</t>
    </rPh>
    <phoneticPr fontId="2"/>
  </si>
  <si>
    <t>仕入先マスタ：</t>
    <rPh sb="0" eb="2">
      <t>シイレ</t>
    </rPh>
    <rPh sb="2" eb="3">
      <t>サキ</t>
    </rPh>
    <phoneticPr fontId="2"/>
  </si>
  <si>
    <t>登録日時</t>
  </si>
  <si>
    <t>UNMM0130_INSERT_DATETIME</t>
  </si>
  <si>
    <t>UNMM0130_UPDATE_DATETIME</t>
  </si>
  <si>
    <t>UNMM0130_IF_DATA_SEARCH_FLG</t>
  </si>
  <si>
    <t>ON:1</t>
  </si>
  <si>
    <t>UNMM0130_IF_MODE_SHUSEI_COPY_MOTO</t>
  </si>
  <si>
    <t>画面クリアコピー元範囲</t>
    <rPh sb="0" eb="2">
      <t>ガメン</t>
    </rPh>
    <rPh sb="8" eb="9">
      <t>モト</t>
    </rPh>
    <rPh sb="9" eb="11">
      <t>ハンイ</t>
    </rPh>
    <phoneticPr fontId="2"/>
  </si>
  <si>
    <t>UNMM0130_IF_MODE_CLEAR_COPY_MOTO</t>
    <phoneticPr fontId="2"/>
  </si>
  <si>
    <t>UNMM0130_IF_ACTIVE_SHEET</t>
  </si>
  <si>
    <t>UNMM0130_IF_ACTIVE_ROW</t>
  </si>
  <si>
    <t>UNMM0130_IF_ACTIVE_COLUMN</t>
  </si>
  <si>
    <t>UNMM0130_IF_ACTIVE_CELL_NAME</t>
  </si>
  <si>
    <t>UNMM0130_IF_MODE</t>
  </si>
  <si>
    <t>UNMM0130_IF_BUTTON_06_NAME</t>
  </si>
  <si>
    <t>UNMM0130_IF_BUTTON_02_HYOJI</t>
  </si>
  <si>
    <t>UNMM0130_IF_BUTTON_09_HYOJI</t>
  </si>
  <si>
    <t>UNMM0130_IF_MODE_SANSHO_COPY_MOTO</t>
  </si>
  <si>
    <t>UNMM0130_IF_BUTTON_10_HYOJI</t>
  </si>
  <si>
    <t>会社角印選択ボタン</t>
    <rPh sb="0" eb="2">
      <t>カイシャ</t>
    </rPh>
    <rPh sb="2" eb="3">
      <t>カク</t>
    </rPh>
    <rPh sb="3" eb="4">
      <t>イン</t>
    </rPh>
    <rPh sb="4" eb="6">
      <t>センタク</t>
    </rPh>
    <phoneticPr fontId="2"/>
  </si>
  <si>
    <t>UNMM0130_IF_BUTTON_11_HYOJI</t>
    <phoneticPr fontId="2"/>
  </si>
  <si>
    <t>UNMM0130_IF_BUTTON_20_HYOJI</t>
  </si>
  <si>
    <t>UNMM0130_IF_SAVE_W_USER_ID</t>
  </si>
  <si>
    <t>UNMM0130_IF_SAVE_W_SERIAL</t>
  </si>
  <si>
    <t>UNMM0130_IF_SAVE_W_ROW</t>
  </si>
  <si>
    <t>UNMM0130_IF_SAVE_W_MODE</t>
  </si>
  <si>
    <t>会社角印パス</t>
    <phoneticPr fontId="2"/>
  </si>
  <si>
    <t>UNMM0130_IF_SAVE_KAISHA_MARK_PATH</t>
    <phoneticPr fontId="2"/>
  </si>
  <si>
    <t>代表者名</t>
  </si>
  <si>
    <t>UNMM0130_IF_SAVE_DAIHYO_MEI</t>
    <phoneticPr fontId="2"/>
  </si>
  <si>
    <t>実施日１</t>
  </si>
  <si>
    <t>UNMM0130_IF_SAVE_TAX_1_DATE</t>
    <phoneticPr fontId="2"/>
  </si>
  <si>
    <t>消費税率１</t>
  </si>
  <si>
    <t>UNMM0130_IF_SAVE_TAX_1</t>
    <phoneticPr fontId="2"/>
  </si>
  <si>
    <t>実施日２</t>
  </si>
  <si>
    <t>UNMM0130_IF_SAVE_TAX_2_DATE</t>
    <phoneticPr fontId="2"/>
  </si>
  <si>
    <t>消費税率２</t>
  </si>
  <si>
    <t>UNMM0130_IF_SAVE_TAX_2</t>
    <phoneticPr fontId="2"/>
  </si>
  <si>
    <t>数式コピー元範囲</t>
    <rPh sb="0" eb="2">
      <t>スウシキ</t>
    </rPh>
    <rPh sb="5" eb="6">
      <t>モト</t>
    </rPh>
    <rPh sb="6" eb="8">
      <t>ハンイ</t>
    </rPh>
    <phoneticPr fontId="2"/>
  </si>
  <si>
    <t>UNMM0130_IF_SUSHIKI_COPY_MOTO</t>
    <phoneticPr fontId="2"/>
  </si>
  <si>
    <t>表示行数</t>
    <rPh sb="0" eb="2">
      <t>ヒョウジ</t>
    </rPh>
    <rPh sb="2" eb="4">
      <t>ギョウスウ</t>
    </rPh>
    <phoneticPr fontId="2"/>
  </si>
  <si>
    <t>UNMM0130_IF_SAVE_HYOJI_GYO_SU</t>
    <phoneticPr fontId="2"/>
  </si>
  <si>
    <t>%</t>
  </si>
  <si>
    <t>共有インフォメーション</t>
    <rPh sb="0" eb="2">
      <t>キョウユウ</t>
    </rPh>
    <phoneticPr fontId="2"/>
  </si>
  <si>
    <t>UNMM0130_IF_SAVE_COMMON_INFO</t>
    <phoneticPr fontId="2"/>
  </si>
  <si>
    <t>商品マスタ連動日時</t>
    <phoneticPr fontId="2"/>
  </si>
  <si>
    <t>UNMM0130_IF_SAVE_SHOHIN_MASTER_LINK_DATE_TIME</t>
    <phoneticPr fontId="2"/>
  </si>
  <si>
    <t>請求先マスタ連動日時</t>
    <phoneticPr fontId="2"/>
  </si>
  <si>
    <t>UNMM0130_IF_SAVE_SEIKYUSAKI_MASTER_LINK_DATE_TIME</t>
    <phoneticPr fontId="2"/>
  </si>
  <si>
    <t>仕入先マスタ連動日時</t>
    <phoneticPr fontId="2"/>
  </si>
  <si>
    <t>UNMM0130_IF_SAVE_SHIIRESAKI_MASTER_LINK_DATE_TIME</t>
    <phoneticPr fontId="2"/>
  </si>
  <si>
    <t>UNMM0130_IF_SAVE_RESULT_CD</t>
  </si>
  <si>
    <t>UNMM0130_IF_SAVE_RESULT_MESSAGE</t>
  </si>
  <si>
    <t>UNMM0130_IF_SAVE_ERROR_CHECK</t>
  </si>
  <si>
    <t>UNMM0130_IF_SAVE_ERROR_MESSAGE</t>
  </si>
  <si>
    <t>UNMM0130_IF_EXCEL_FILE_NAME</t>
    <phoneticPr fontId="2"/>
  </si>
  <si>
    <t>↓UNMM0130_IF_Shape_IMG</t>
    <phoneticPr fontId="2"/>
  </si>
  <si>
    <t>↓UNMM0130_IF_IMG_CELL</t>
    <phoneticPr fontId="2"/>
  </si>
  <si>
    <t>【会社角印】</t>
    <rPh sb="1" eb="3">
      <t>カイシャ</t>
    </rPh>
    <rPh sb="3" eb="4">
      <t>カド</t>
    </rPh>
    <rPh sb="4" eb="5">
      <t>イン</t>
    </rPh>
    <phoneticPr fontId="2"/>
  </si>
  <si>
    <t>NO
IMAGE</t>
    <phoneticPr fontId="2"/>
  </si>
  <si>
    <t>UNMM0130_IF_IMG_CELL</t>
  </si>
  <si>
    <t>B53セル</t>
    <phoneticPr fontId="2"/>
  </si>
  <si>
    <t>枠:160x160px</t>
    <rPh sb="0" eb="1">
      <t>ワク</t>
    </rPh>
    <phoneticPr fontId="2"/>
  </si>
  <si>
    <t>画像:159x159px</t>
    <rPh sb="0" eb="2">
      <t>ガゾウ</t>
    </rPh>
    <phoneticPr fontId="2"/>
  </si>
  <si>
    <t>UNMM0130_IF_IMG_SELECT_FOLDER</t>
  </si>
  <si>
    <t>UNMM0130_IF_IMG_SELECT_FILE</t>
  </si>
  <si>
    <t>UNMM0130_IF_IMG_SELECT_PATH</t>
  </si>
  <si>
    <t>UNMM0130_IF_IMG_SAVE_UPLOAD_FOLDER_PATH</t>
  </si>
  <si>
    <t>C:\uniss\image\daihyo_mark\</t>
    <phoneticPr fontId="2"/>
  </si>
  <si>
    <t>UNMM0130_IF_IMG_SAVE_LOCAL_FOLDER_PATH</t>
  </si>
  <si>
    <t>C:\dbsc_2015_UNISS\image\daihyo_mark\</t>
    <phoneticPr fontId="2"/>
  </si>
  <si>
    <t>UNMM0130_IF_IMG_SAVE_KIZON_FLG</t>
  </si>
  <si>
    <t>アップロードパス</t>
  </si>
  <si>
    <t>UNMM0130_IF_IMG_SAVE_UPLOAD_PATH</t>
  </si>
  <si>
    <t>UNMM0130_IF_IMG_SAVE_LOCAL_PATH</t>
  </si>
  <si>
    <t>UNMM0130_IF_IMG_SAVE_UPDATE_FLG</t>
  </si>
  <si>
    <t>UNMM0130_IF_IMG_SAVE_CHECK_FLG</t>
  </si>
  <si>
    <t>コントロールキー</t>
    <phoneticPr fontId="2"/>
  </si>
  <si>
    <t>UNMM0130_SQL_CTRL_KEY</t>
    <phoneticPr fontId="2"/>
  </si>
  <si>
    <t>コントロールマスタリスト読込SQL</t>
    <rPh sb="12" eb="14">
      <t>ヨミコミ</t>
    </rPh>
    <phoneticPr fontId="2"/>
  </si>
  <si>
    <t>UNMM0130_SQL_SELECT_CONTROL_LIST</t>
    <phoneticPr fontId="2"/>
  </si>
  <si>
    <t>SQL1</t>
    <phoneticPr fontId="2"/>
  </si>
  <si>
    <t xml:space="preserve">SELECT *
  FROM V_CONTROL_LIST
</t>
    <phoneticPr fontId="2"/>
  </si>
  <si>
    <t xml:space="preserve">  調製試薬</t>
    <rPh sb="2" eb="4">
      <t>チョウセイ</t>
    </rPh>
    <rPh sb="4" eb="6">
      <t>シヤク</t>
    </rPh>
    <phoneticPr fontId="2"/>
  </si>
  <si>
    <t>画面遷移確認メッセージ表示判定</t>
    <rPh sb="0" eb="2">
      <t>ガメン</t>
    </rPh>
    <rPh sb="2" eb="4">
      <t>センイ</t>
    </rPh>
    <rPh sb="4" eb="6">
      <t>カクニン</t>
    </rPh>
    <rPh sb="11" eb="13">
      <t>ヒョウジ</t>
    </rPh>
    <rPh sb="13" eb="15">
      <t>ハンテイ</t>
    </rPh>
    <phoneticPr fontId="2"/>
  </si>
  <si>
    <t>表示中シート名</t>
    <rPh sb="0" eb="3">
      <t>ヒョウジチュウ</t>
    </rPh>
    <rPh sb="6" eb="7">
      <t>メイ</t>
    </rPh>
    <phoneticPr fontId="2"/>
  </si>
  <si>
    <t>UNMM_COMMON_CHANGE_CHECK</t>
    <phoneticPr fontId="2"/>
  </si>
  <si>
    <t>UNMM_COMMON_ACTIVE_SHEET_NAME</t>
    <phoneticPr fontId="2"/>
  </si>
  <si>
    <t>UNMM0050</t>
    <phoneticPr fontId="2"/>
  </si>
  <si>
    <t>UNMM0080</t>
    <phoneticPr fontId="2"/>
  </si>
  <si>
    <t>UNMM0090</t>
    <phoneticPr fontId="2"/>
  </si>
  <si>
    <t>UNMM0100</t>
    <phoneticPr fontId="2"/>
  </si>
  <si>
    <t>UNMM0110</t>
    <phoneticPr fontId="2"/>
  </si>
  <si>
    <t>UNMM0111</t>
    <phoneticPr fontId="2"/>
  </si>
  <si>
    <t>UNMM0130</t>
    <phoneticPr fontId="2"/>
  </si>
  <si>
    <t>UNMM0130_IF_MODE</t>
    <phoneticPr fontId="2"/>
  </si>
  <si>
    <t>UNMM0111_IF_MODE</t>
    <phoneticPr fontId="2"/>
  </si>
  <si>
    <t>UNMM0110_IF_MODE</t>
    <phoneticPr fontId="2"/>
  </si>
  <si>
    <t>UNMM0100_IF_MODE</t>
    <phoneticPr fontId="2"/>
  </si>
  <si>
    <t>UNMM0010_IF_MODE</t>
    <phoneticPr fontId="2"/>
  </si>
  <si>
    <t>UNMM0080_IF_MODE</t>
    <phoneticPr fontId="2"/>
  </si>
  <si>
    <t>対象シート範囲</t>
    <rPh sb="0" eb="2">
      <t>タイショウ</t>
    </rPh>
    <rPh sb="5" eb="7">
      <t>ハンイ</t>
    </rPh>
    <phoneticPr fontId="2"/>
  </si>
  <si>
    <t>UNMM_COMMON_CHANGE_CHECK_AREA</t>
    <phoneticPr fontId="2"/>
  </si>
  <si>
    <t>1:表示する / 2:表示しない</t>
    <rPh sb="2" eb="4">
      <t>ヒョウジ</t>
    </rPh>
    <rPh sb="11" eb="13">
      <t>ヒョウジ</t>
    </rPh>
    <phoneticPr fontId="2"/>
  </si>
  <si>
    <t>シート名</t>
    <rPh sb="3" eb="4">
      <t>メイ</t>
    </rPh>
    <phoneticPr fontId="2"/>
  </si>
  <si>
    <t>状態</t>
    <rPh sb="0" eb="2">
      <t>ジョウタイ</t>
    </rPh>
    <phoneticPr fontId="2"/>
  </si>
  <si>
    <t>モードセル名</t>
    <rPh sb="5" eb="6">
      <t>メイ</t>
    </rPh>
    <phoneticPr fontId="2"/>
  </si>
  <si>
    <t>UNMM0051_IF_PRINT_COUNT</t>
    <phoneticPr fontId="2"/>
  </si>
  <si>
    <t>UNMM0091_IF_PRINT_COUNT</t>
    <phoneticPr fontId="2"/>
  </si>
  <si>
    <t>SELECT M_MEISHO_B.DATA_2    AS ORDER句
  FROM M_MEISHO_B
 WHERE M_MEISHO_B.MEISHO_KBN = 'O901'
   AND M_MEISHO_B.MEISHO_CD  = 1</t>
    <phoneticPr fontId="2"/>
  </si>
  <si>
    <t xml:space="preserve">SELECT M_MEISHO_B.DATA_1    AS 並べ替え
      ,M_MEISHO_B.DATA_2    AS ORDER句
  FROM M_MEISHO_B
 WHERE M_MEISHO_B.MEISHO_KBN = 'O901'
 ORDER BY M_MEISHO_B.SORT_NO ASC
      ,CAST(M_MEISHO_B.MEISHO_CD AS INT) ASC
</t>
    <phoneticPr fontId="2"/>
  </si>
  <si>
    <t>SELECT M_MEISHO_B.DATA_1   AS 並び替え
           ,M_MEISHO_B.DATA_2   AS ORDER句
   FROM M_MEISHO_B
 WHERE M_MEISHO_B.MEISHO_KBN = 'O902'
 ORDER BY M_MEISHO_B.SORT_NO ASC
      ,CAST(M_MEISHO_B.MEISHO_CD AS INT) ASC</t>
    <rPh sb="30" eb="31">
      <t>ナラ</t>
    </rPh>
    <rPh sb="32" eb="33">
      <t>カ</t>
    </rPh>
    <rPh sb="75" eb="76">
      <t>ク</t>
    </rPh>
    <phoneticPr fontId="2"/>
  </si>
  <si>
    <t>SELECT M_MEISHO_B.DATA_1 AS 敬称
  FROM M_MEISHO_B
 WHERE M_MEISHO_B.MEISHO_KBN =  'K011'
 ORDER BY M_MEISHO_B.SORT_NO ASC
      ,CAST(M_MEISHO_B.MEISHO_CD AS INT) ASC</t>
    <rPh sb="28" eb="30">
      <t>ケイショウ</t>
    </rPh>
    <phoneticPr fontId="2"/>
  </si>
  <si>
    <t>SELECT M_MEISHO_B.DATA_1   AS 並び替え
      ,M_MEISHO_B.DATA_2   AS ORDER句
  FROM M_MEISHO_B
 WHERE M_MEISHO_B.MEISHO_KBN = 'O904'
 ORDER BY M_MEISHO_B.SORT_NO ASC
      ,CAST(M_MEISHO_B.MEISHO_CD AS INT) ASC</t>
    <rPh sb="30" eb="31">
      <t>ナラ</t>
    </rPh>
    <rPh sb="32" eb="33">
      <t>カ</t>
    </rPh>
    <rPh sb="70" eb="71">
      <t>ク</t>
    </rPh>
    <phoneticPr fontId="2"/>
  </si>
  <si>
    <t>SELECT M_MEISHO_B.MEISHO_CD
      ,M_MEISHO_B.DATA_1    AS '部署名'
  FROM M_MEISHO_B
 WHERE M_MEISHO_B.MEISHO_KBN = 'M001'
 ORDER BY M_MEISHO_B.SORT_NO ASC
      ,CAST(M_MEISHO_B.MEISHO_CD AS INT) ASC</t>
    <phoneticPr fontId="2"/>
  </si>
  <si>
    <t>SELECT M_MEISHO_B.MEISHO_CD
      ,M_MEISHO_B.DATA_1
      ,M_MEISHO_B.DATA_2
  FROM M_MEISHO_B
 WHERE M_MEISHO_B.MEISHO_KBN = 'O903'
 ORDER BY M_MEISHO_B.SORT_NO ASC
      ,CAST(M_MEISHO_B.MEISHO_CD AS INT) ASC</t>
    <phoneticPr fontId="2"/>
  </si>
  <si>
    <t xml:space="preserve"> ORDER BY CAST(SHAIN_CD AS INT) ASC
</t>
    <phoneticPr fontId="2"/>
  </si>
  <si>
    <t>敬称▽</t>
    <rPh sb="0" eb="2">
      <t>ケイショウ</t>
    </rPh>
    <phoneticPr fontId="2"/>
  </si>
  <si>
    <t>UNMM0131_H_HIDE_ROW</t>
    <phoneticPr fontId="2"/>
  </si>
  <si>
    <t>UNMM0131_H_HIDE_COLUMN</t>
    <phoneticPr fontId="2"/>
  </si>
  <si>
    <t>年▽</t>
    <rPh sb="0" eb="1">
      <t>ネン</t>
    </rPh>
    <phoneticPr fontId="2"/>
  </si>
  <si>
    <t>【コンボボックス】</t>
    <phoneticPr fontId="2"/>
  </si>
  <si>
    <t>コンボボックス用年範囲</t>
    <rPh sb="7" eb="8">
      <t>ヨウ</t>
    </rPh>
    <rPh sb="8" eb="9">
      <t>ネン</t>
    </rPh>
    <rPh sb="9" eb="11">
      <t>ハンイ</t>
    </rPh>
    <phoneticPr fontId="2"/>
  </si>
  <si>
    <t>UNMM0131_H_LIST_YEAR_RANGE</t>
    <phoneticPr fontId="2"/>
  </si>
  <si>
    <t>年リストコピー元</t>
    <rPh sb="0" eb="1">
      <t>ネン</t>
    </rPh>
    <rPh sb="7" eb="8">
      <t>モト</t>
    </rPh>
    <phoneticPr fontId="2"/>
  </si>
  <si>
    <t>UNMM0131_H_LIST_YEAR_COPY_MOTO</t>
    <phoneticPr fontId="2"/>
  </si>
  <si>
    <t>年リストコピー先範囲</t>
    <rPh sb="0" eb="1">
      <t>ネン</t>
    </rPh>
    <rPh sb="7" eb="8">
      <t>サキ</t>
    </rPh>
    <rPh sb="8" eb="10">
      <t>ハンイ</t>
    </rPh>
    <phoneticPr fontId="2"/>
  </si>
  <si>
    <t>UNMM0131_H_LIST_YEAR_COPY_SAKI</t>
    <phoneticPr fontId="2"/>
  </si>
  <si>
    <t>コンボボックス用年リスト</t>
    <rPh sb="7" eb="8">
      <t>ヨウ</t>
    </rPh>
    <rPh sb="8" eb="9">
      <t>ネン</t>
    </rPh>
    <phoneticPr fontId="2"/>
  </si>
  <si>
    <t>UNMM0131_H_LIST_YEAR</t>
    <phoneticPr fontId="2"/>
  </si>
  <si>
    <t>「=OFFSET(UNMM0131_H_LIST_YEAR_START,,,UNMM0131_H_LIST_YEAR_RANGE)」</t>
    <phoneticPr fontId="2"/>
  </si>
  <si>
    <t>年リスト展開開始位置</t>
    <rPh sb="0" eb="1">
      <t>ネン</t>
    </rPh>
    <rPh sb="4" eb="6">
      <t>テンカイ</t>
    </rPh>
    <rPh sb="6" eb="8">
      <t>カイシ</t>
    </rPh>
    <rPh sb="8" eb="10">
      <t>イチ</t>
    </rPh>
    <phoneticPr fontId="2"/>
  </si>
  <si>
    <t>UNMM0131_H_LIST_YEAR_START</t>
    <phoneticPr fontId="2"/>
  </si>
  <si>
    <t>リストコピー元範囲1月</t>
    <rPh sb="6" eb="7">
      <t>モト</t>
    </rPh>
    <rPh sb="7" eb="9">
      <t>ハンイ</t>
    </rPh>
    <rPh sb="10" eb="11">
      <t>ガツ</t>
    </rPh>
    <phoneticPr fontId="2"/>
  </si>
  <si>
    <t>UNMM0131_B_LIST_COPY_MOTO_RANGE1</t>
  </si>
  <si>
    <t>月</t>
    <rPh sb="0" eb="1">
      <t>ツキ</t>
    </rPh>
    <phoneticPr fontId="2"/>
  </si>
  <si>
    <t>リストコピー元範囲2月</t>
    <rPh sb="6" eb="7">
      <t>モト</t>
    </rPh>
    <rPh sb="7" eb="9">
      <t>ハンイ</t>
    </rPh>
    <rPh sb="10" eb="11">
      <t>ガツ</t>
    </rPh>
    <phoneticPr fontId="2"/>
  </si>
  <si>
    <t>UNMM0131_B_LIST_COPY_MOTO_RANGE2</t>
  </si>
  <si>
    <t>リストコピー元範囲3月</t>
    <rPh sb="6" eb="7">
      <t>モト</t>
    </rPh>
    <rPh sb="7" eb="9">
      <t>ハンイ</t>
    </rPh>
    <rPh sb="10" eb="11">
      <t>ガツ</t>
    </rPh>
    <phoneticPr fontId="2"/>
  </si>
  <si>
    <t>UNMM0131_B_LIST_COPY_MOTO_RANGE3</t>
  </si>
  <si>
    <t>曜</t>
    <rPh sb="0" eb="1">
      <t>ヨウ</t>
    </rPh>
    <phoneticPr fontId="2"/>
  </si>
  <si>
    <t>区分</t>
    <rPh sb="0" eb="2">
      <t>クブン</t>
    </rPh>
    <phoneticPr fontId="2"/>
  </si>
  <si>
    <t>リストコピー元範囲4月</t>
    <rPh sb="6" eb="7">
      <t>モト</t>
    </rPh>
    <rPh sb="7" eb="9">
      <t>ハンイ</t>
    </rPh>
    <rPh sb="10" eb="11">
      <t>ガツ</t>
    </rPh>
    <phoneticPr fontId="2"/>
  </si>
  <si>
    <t>UNMM0131_B_LIST_COPY_MOTO_RANGE4</t>
  </si>
  <si>
    <t>リストコピー元範囲5月</t>
    <rPh sb="6" eb="7">
      <t>モト</t>
    </rPh>
    <rPh sb="7" eb="9">
      <t>ハンイ</t>
    </rPh>
    <rPh sb="10" eb="11">
      <t>ガツ</t>
    </rPh>
    <phoneticPr fontId="2"/>
  </si>
  <si>
    <t>UNMM0131_B_LIST_COPY_MOTO_RANGE5</t>
  </si>
  <si>
    <t>リストコピー元範囲6月</t>
    <rPh sb="6" eb="7">
      <t>モト</t>
    </rPh>
    <rPh sb="7" eb="9">
      <t>ハンイ</t>
    </rPh>
    <rPh sb="10" eb="11">
      <t>ガツ</t>
    </rPh>
    <phoneticPr fontId="2"/>
  </si>
  <si>
    <t>UNMM0131_B_LIST_COPY_MOTO_RANGE6</t>
  </si>
  <si>
    <t>リストコピー元範囲7月</t>
    <rPh sb="6" eb="7">
      <t>モト</t>
    </rPh>
    <rPh sb="7" eb="9">
      <t>ハンイ</t>
    </rPh>
    <rPh sb="10" eb="11">
      <t>ガツ</t>
    </rPh>
    <phoneticPr fontId="2"/>
  </si>
  <si>
    <t>UNMM0131_B_LIST_COPY_MOTO_RANGE7</t>
  </si>
  <si>
    <t>リストコピー元範囲8月</t>
    <rPh sb="6" eb="7">
      <t>モト</t>
    </rPh>
    <rPh sb="7" eb="9">
      <t>ハンイ</t>
    </rPh>
    <rPh sb="10" eb="11">
      <t>ガツ</t>
    </rPh>
    <phoneticPr fontId="2"/>
  </si>
  <si>
    <t>UNMM0131_B_LIST_COPY_MOTO_RANGE8</t>
  </si>
  <si>
    <t>リストコピー元範囲9月</t>
    <rPh sb="6" eb="7">
      <t>モト</t>
    </rPh>
    <rPh sb="7" eb="9">
      <t>ハンイ</t>
    </rPh>
    <rPh sb="10" eb="11">
      <t>ガツ</t>
    </rPh>
    <phoneticPr fontId="2"/>
  </si>
  <si>
    <t>UNMM0131_B_LIST_COPY_MOTO_RANGE9</t>
  </si>
  <si>
    <t>リストコピー元範囲10月</t>
    <rPh sb="6" eb="7">
      <t>モト</t>
    </rPh>
    <rPh sb="7" eb="9">
      <t>ハンイ</t>
    </rPh>
    <rPh sb="11" eb="12">
      <t>ガツ</t>
    </rPh>
    <phoneticPr fontId="2"/>
  </si>
  <si>
    <t>UNMM0131_B_LIST_COPY_MOTO_RANGE10</t>
  </si>
  <si>
    <t>リストコピー元範囲11月</t>
    <rPh sb="6" eb="7">
      <t>モト</t>
    </rPh>
    <rPh sb="7" eb="9">
      <t>ハンイ</t>
    </rPh>
    <rPh sb="11" eb="12">
      <t>ガツ</t>
    </rPh>
    <phoneticPr fontId="2"/>
  </si>
  <si>
    <t>UNMM0131_B_LIST_COPY_MOTO_RANGE11</t>
  </si>
  <si>
    <t>リストコピー元範囲12月</t>
    <rPh sb="6" eb="7">
      <t>モト</t>
    </rPh>
    <rPh sb="7" eb="9">
      <t>ハンイ</t>
    </rPh>
    <rPh sb="11" eb="12">
      <t>ガツ</t>
    </rPh>
    <phoneticPr fontId="2"/>
  </si>
  <si>
    <t>UNMM0131_B_LIST_COPY_MOTO_RANGE12</t>
  </si>
  <si>
    <t>UNMM0131_B_LIST_SHOSHIKI_COPY_SAKI</t>
    <phoneticPr fontId="2"/>
  </si>
  <si>
    <t>UNMM0131_B_HIDE_ROW</t>
  </si>
  <si>
    <t>UNMM0131_B_HIDE_COLUMN</t>
  </si>
  <si>
    <t>既存データ有無</t>
    <rPh sb="0" eb="2">
      <t>キゾン</t>
    </rPh>
    <rPh sb="5" eb="7">
      <t>ウム</t>
    </rPh>
    <phoneticPr fontId="2"/>
  </si>
  <si>
    <t>UNMM0131_B_DATA_CHECK</t>
    <phoneticPr fontId="2"/>
  </si>
  <si>
    <t>↓リスト展開開始位置</t>
    <phoneticPr fontId="2"/>
  </si>
  <si>
    <t>UNMM0131_B_LIST_START</t>
  </si>
  <si>
    <t>リストコピー元開始位置</t>
    <rPh sb="6" eb="7">
      <t>モト</t>
    </rPh>
    <rPh sb="7" eb="9">
      <t>カイシ</t>
    </rPh>
    <rPh sb="9" eb="11">
      <t>イチ</t>
    </rPh>
    <phoneticPr fontId="2"/>
  </si>
  <si>
    <t>↓UNMM0131_B_LIST_COPY_MOTO_START</t>
  </si>
  <si>
    <t>UNMM0131_IF_SAVE_COPY_MOTO</t>
  </si>
  <si>
    <t>UNMM0131_IF_MODE</t>
  </si>
  <si>
    <t>1:修正</t>
    <phoneticPr fontId="2"/>
  </si>
  <si>
    <t>UNMM0131_IF_LIST_COPY_MODE_SANSHO_MOTO</t>
    <phoneticPr fontId="2"/>
  </si>
  <si>
    <t>UNMM0131_IF_SAVE_INPUT_CHECK_COLUMN</t>
  </si>
  <si>
    <t>ユーザーID</t>
    <phoneticPr fontId="2"/>
  </si>
  <si>
    <t>シリアル</t>
    <phoneticPr fontId="2"/>
  </si>
  <si>
    <t>モード</t>
    <phoneticPr fontId="2"/>
  </si>
  <si>
    <t>年</t>
    <rPh sb="0" eb="1">
      <t>ネン</t>
    </rPh>
    <phoneticPr fontId="2"/>
  </si>
  <si>
    <t>カレンダー区分</t>
    <rPh sb="5" eb="7">
      <t>クブン</t>
    </rPh>
    <phoneticPr fontId="2"/>
  </si>
  <si>
    <t>UNMM0131_IF_BUTTON_06_NAME</t>
  </si>
  <si>
    <t>参照</t>
    <phoneticPr fontId="2"/>
  </si>
  <si>
    <t>修正</t>
    <phoneticPr fontId="2"/>
  </si>
  <si>
    <t>UNMM0131_IF_SAVE_COPY_START</t>
  </si>
  <si>
    <t>カレンダー表示</t>
    <rPh sb="5" eb="7">
      <t>ヒョウジ</t>
    </rPh>
    <phoneticPr fontId="2"/>
  </si>
  <si>
    <t>UNMM0131_IF_BUTTON_03_HYOJI</t>
    <phoneticPr fontId="2"/>
  </si>
  <si>
    <t>キャンセルボタン</t>
    <phoneticPr fontId="2"/>
  </si>
  <si>
    <t>UNMM0131_IF_BUTTON_09_HYOJI</t>
  </si>
  <si>
    <t>UNMM0131_IF_BUTTON_10_HYOJI</t>
  </si>
  <si>
    <t>a</t>
    <phoneticPr fontId="2"/>
  </si>
  <si>
    <t>土曜休ボタン</t>
    <rPh sb="0" eb="2">
      <t>ドヨウ</t>
    </rPh>
    <rPh sb="2" eb="3">
      <t>キュウ</t>
    </rPh>
    <phoneticPr fontId="2"/>
  </si>
  <si>
    <t>UNMM0131_IF_BUTTON_11_HYOJI</t>
    <phoneticPr fontId="2"/>
  </si>
  <si>
    <t>日曜休みボタン</t>
    <rPh sb="0" eb="2">
      <t>ニチヨウ</t>
    </rPh>
    <rPh sb="2" eb="3">
      <t>ヤス</t>
    </rPh>
    <phoneticPr fontId="2"/>
  </si>
  <si>
    <t>UNMM0131_IF_BUTTON_12_HYOJI</t>
    <phoneticPr fontId="2"/>
  </si>
  <si>
    <t>UNMM0131_IF_BUTTON_20_HYOJI</t>
  </si>
  <si>
    <t>UNMM0131_IF_SAVE_W_USER_ID</t>
  </si>
  <si>
    <t>UNMM0131_IF_SAVE_W_SERIAL</t>
  </si>
  <si>
    <t>UNMM0131_IF_SAVE_W_MODE</t>
  </si>
  <si>
    <t>UNMM0131_IF_UPDATE_START</t>
  </si>
  <si>
    <t>保存行数</t>
    <rPh sb="0" eb="2">
      <t>ホゾン</t>
    </rPh>
    <rPh sb="2" eb="4">
      <t>ギョウスウ</t>
    </rPh>
    <phoneticPr fontId="2"/>
  </si>
  <si>
    <t>UNMM0131_IF_SAVE_GYO_SU</t>
    <phoneticPr fontId="2"/>
  </si>
  <si>
    <t>UNMM0131_IF_SAVE_COPY_SAKI</t>
  </si>
  <si>
    <t>UNMM0131_IF_SAVE_INPUT_CHECK</t>
  </si>
  <si>
    <t>UNMM0131_IF_SAVE_RESULT_CD</t>
  </si>
  <si>
    <t>UNMM0131_IF_SAVE_RESULT_MESSAGE</t>
  </si>
  <si>
    <t>UNMM0131_IF_SAVE_ERROR_CHECK</t>
  </si>
  <si>
    <t>UNMM0131_IF_SAVE_ERROR_MESSAGE</t>
  </si>
  <si>
    <t>UNMM0131_IF_EXCEL_FILE_NAME</t>
  </si>
  <si>
    <t>UNMM0131_IF_LIST_COPY_MODE_SHUSEI_MOTO</t>
    <phoneticPr fontId="2"/>
  </si>
  <si>
    <t>LIST_CALENDAR_KBN</t>
    <phoneticPr fontId="2"/>
  </si>
  <si>
    <t>「=OFFSET(LIST_CALENDAR_KBN_TENKAIICHI,,,IF(LIST_CALENDAR_KBN_KENSU=0,1,LIST_CALENDAR_KBN_KENSU),1)」</t>
    <phoneticPr fontId="2"/>
  </si>
  <si>
    <t>営</t>
    <rPh sb="0" eb="1">
      <t>エイ</t>
    </rPh>
    <phoneticPr fontId="2"/>
  </si>
  <si>
    <t>カレンダーマスタリスト読込SQL</t>
    <rPh sb="11" eb="13">
      <t>ヨミコミ</t>
    </rPh>
    <phoneticPr fontId="2"/>
  </si>
  <si>
    <t>UNMM0131_SQL_SELECT_CALENDAR_LIST</t>
    <phoneticPr fontId="2"/>
  </si>
  <si>
    <t>SQL1</t>
    <phoneticPr fontId="2"/>
  </si>
  <si>
    <t xml:space="preserve">SELECT *
  FROM V_CALENDAR_LIST
</t>
    <phoneticPr fontId="2"/>
  </si>
  <si>
    <t>UNMM0131_SQL_CALENDAR_KBN</t>
    <phoneticPr fontId="2"/>
  </si>
  <si>
    <t>SELECT *
  FROM V_CALENDAR_KBN</t>
    <phoneticPr fontId="2"/>
  </si>
  <si>
    <t>【画面遷移制御】</t>
    <rPh sb="1" eb="3">
      <t>ガメン</t>
    </rPh>
    <rPh sb="3" eb="5">
      <t>センイ</t>
    </rPh>
    <rPh sb="5" eb="7">
      <t>セイギョ</t>
    </rPh>
    <phoneticPr fontId="2"/>
  </si>
  <si>
    <t>【共通エラーメッセージ】</t>
    <rPh sb="1" eb="3">
      <t>キョウツウ</t>
    </rPh>
    <phoneticPr fontId="2"/>
  </si>
  <si>
    <t>エラーメッセージ一覧</t>
    <rPh sb="8" eb="10">
      <t>イチラン</t>
    </rPh>
    <phoneticPr fontId="2"/>
  </si>
  <si>
    <t>UNMM_COMMON_ERROR_MESSAGE_AREA</t>
    <phoneticPr fontId="2"/>
  </si>
  <si>
    <t>エラーコード</t>
    <phoneticPr fontId="2"/>
  </si>
  <si>
    <t>入力されたコードは既に存在しています。
別のコードで登録してください。</t>
    <rPh sb="0" eb="2">
      <t>ニュウリョク</t>
    </rPh>
    <rPh sb="9" eb="10">
      <t>スデ</t>
    </rPh>
    <rPh sb="11" eb="13">
      <t>ソンザイ</t>
    </rPh>
    <rPh sb="20" eb="21">
      <t>ベツ</t>
    </rPh>
    <rPh sb="26" eb="28">
      <t>トウロク</t>
    </rPh>
    <phoneticPr fontId="2"/>
  </si>
  <si>
    <t>入力されていない必須項目があります。
入力内容を確認してください。</t>
    <rPh sb="0" eb="2">
      <t>ニュウリョク</t>
    </rPh>
    <rPh sb="8" eb="10">
      <t>ヒッス</t>
    </rPh>
    <rPh sb="10" eb="12">
      <t>コウモク</t>
    </rPh>
    <rPh sb="19" eb="21">
      <t>ニュウリョク</t>
    </rPh>
    <rPh sb="21" eb="23">
      <t>ナイヨウ</t>
    </rPh>
    <rPh sb="24" eb="26">
      <t>カクニン</t>
    </rPh>
    <phoneticPr fontId="2"/>
  </si>
  <si>
    <t>【入力規制用】</t>
    <rPh sb="1" eb="3">
      <t>ニュウリョク</t>
    </rPh>
    <rPh sb="3" eb="5">
      <t>キセイ</t>
    </rPh>
    <rPh sb="5" eb="6">
      <t>ヨウ</t>
    </rPh>
    <phoneticPr fontId="2"/>
  </si>
  <si>
    <t>コード桁数</t>
    <rPh sb="3" eb="5">
      <t>ケタスウ</t>
    </rPh>
    <phoneticPr fontId="2"/>
  </si>
  <si>
    <t>コード属性</t>
    <rPh sb="3" eb="5">
      <t>ゾクセイ</t>
    </rPh>
    <phoneticPr fontId="2"/>
  </si>
  <si>
    <t>データ桁数</t>
    <rPh sb="3" eb="5">
      <t>ケタスウ</t>
    </rPh>
    <phoneticPr fontId="2"/>
  </si>
  <si>
    <t>UNMM0111_IF_CODE_KETA</t>
    <phoneticPr fontId="2"/>
  </si>
  <si>
    <t>UNMM0111_IF_ZOKUSEI</t>
    <phoneticPr fontId="2"/>
  </si>
  <si>
    <t>UNMM0111_IF_DATA_KETA</t>
    <phoneticPr fontId="2"/>
  </si>
  <si>
    <t>UNMM0020_IF_MODE_SHINKI_FLG_COPY_MOTO</t>
    <phoneticPr fontId="2"/>
  </si>
  <si>
    <t>修正モードコピー元範囲</t>
  </si>
  <si>
    <t>【固定コンボボックス】</t>
    <rPh sb="1" eb="3">
      <t>コテイ</t>
    </rPh>
    <phoneticPr fontId="2"/>
  </si>
  <si>
    <t>【可変コンボボックス】</t>
    <rPh sb="1" eb="3">
      <t>カヘン</t>
    </rPh>
    <phoneticPr fontId="2"/>
  </si>
  <si>
    <t>-</t>
    <phoneticPr fontId="2"/>
  </si>
  <si>
    <t>コード属性リスト</t>
    <rPh sb="3" eb="5">
      <t>ゾクセイ</t>
    </rPh>
    <phoneticPr fontId="2"/>
  </si>
  <si>
    <t>UNMM0110_IF_CODE_ZOKUSEI_LIST</t>
    <phoneticPr fontId="2"/>
  </si>
  <si>
    <t>UNMM0070_IF_BUTTON_14_ERROR</t>
    <phoneticPr fontId="2"/>
  </si>
  <si>
    <t>1:エラー / 0:OK</t>
    <phoneticPr fontId="2"/>
  </si>
  <si>
    <t>【ボタンエラー判定】</t>
    <rPh sb="7" eb="9">
      <t>ハンテイ</t>
    </rPh>
    <phoneticPr fontId="2"/>
  </si>
  <si>
    <t>エラー(1)</t>
    <phoneticPr fontId="2"/>
  </si>
  <si>
    <t>ＯＫ(2)</t>
    <phoneticPr fontId="2"/>
  </si>
  <si>
    <t>UNMM0080_IF_BUTTON_14_ERROR</t>
    <phoneticPr fontId="2"/>
  </si>
  <si>
    <t>UNMM0100_IF_BUTTON_14_ERROR</t>
    <phoneticPr fontId="2"/>
  </si>
  <si>
    <t>NG(1)</t>
    <phoneticPr fontId="2"/>
  </si>
  <si>
    <t>OK(0)</t>
    <phoneticPr fontId="2"/>
  </si>
  <si>
    <t>UNMM0110_IF_BUTTON_14_ERROR</t>
    <phoneticPr fontId="2"/>
  </si>
  <si>
    <t>1:NG / 0:OK</t>
    <phoneticPr fontId="2"/>
  </si>
  <si>
    <t>OK(2)</t>
    <phoneticPr fontId="2"/>
  </si>
  <si>
    <t>UNMM0111_IF_BUTTON_14_ERROR</t>
    <phoneticPr fontId="2"/>
  </si>
  <si>
    <t>コード桁数</t>
  </si>
  <si>
    <t>データ桁数</t>
  </si>
  <si>
    <t>UNMM0110_B_SELECT_CODE_KETASU</t>
    <phoneticPr fontId="2"/>
  </si>
  <si>
    <t>UNMM0110_B_SELECT_CODE_ZOKUSEI</t>
    <phoneticPr fontId="2"/>
  </si>
  <si>
    <t>UNMM0110_B_SELECT_DATA_KETASU</t>
    <phoneticPr fontId="2"/>
  </si>
  <si>
    <t>MONTH,DAY</t>
    <phoneticPr fontId="2"/>
  </si>
  <si>
    <t xml:space="preserve">SELECT M_BUNSEKI_GUN_H.BUNSEKI_GUN_CD  AS 分析項目群CD
      ,M_BUNSEKI_GUN_H.BUNSEKI_GUN_MEI AS 分析項目群名
  FROM M_BUNSEKI_GUN_H
 ORDER BY CAST(M_BUNSEKI_GUN_H.BUNSEKI_GUN_CD AS INT) ASC
</t>
    <phoneticPr fontId="2"/>
  </si>
  <si>
    <t xml:space="preserve">SELECT M_SHAIN.SHAIN_CD     AS 社員CD
      ,M_MEISHO_B.DATA_1    AS 所属部署
      ,M_SHAIN.SHIMEI       AS 氏名
  FROM M_SHAIN
  LEFT JOIN
       M_MEISHO_B
    ON M_MEISHO_B.MEISHO_KBN = 'M001'
   AND M_MEISHO_B.MEISHO_CD  = M_SHAIN.BUSHO_CD
 WHERE M_SHAIN.MISHIYO_FLG = 'False'
 ORDER BY
       CAST(M_SHAIN.SHAIN_CD AS INT) ASC
</t>
    <phoneticPr fontId="2"/>
  </si>
  <si>
    <t>必須情報</t>
    <rPh sb="0" eb="2">
      <t>ヒッス</t>
    </rPh>
    <rPh sb="2" eb="4">
      <t>ジョウホウ</t>
    </rPh>
    <phoneticPr fontId="2"/>
  </si>
  <si>
    <t>必須チェック設定</t>
    <rPh sb="0" eb="2">
      <t>ヒッス</t>
    </rPh>
    <rPh sb="6" eb="8">
      <t>セッテイ</t>
    </rPh>
    <phoneticPr fontId="2"/>
  </si>
  <si>
    <t>結果出力先シート名</t>
    <rPh sb="0" eb="2">
      <t>ケッカ</t>
    </rPh>
    <rPh sb="2" eb="5">
      <t>シュツリョクサキ</t>
    </rPh>
    <rPh sb="8" eb="9">
      <t>メイ</t>
    </rPh>
    <phoneticPr fontId="2"/>
  </si>
  <si>
    <t>結果出力先セル</t>
    <rPh sb="0" eb="2">
      <t>ケッカ</t>
    </rPh>
    <rPh sb="2" eb="5">
      <t>シュツリョクサキ</t>
    </rPh>
    <phoneticPr fontId="2"/>
  </si>
  <si>
    <t>項目名</t>
    <rPh sb="0" eb="3">
      <t>コウモクメイ</t>
    </rPh>
    <phoneticPr fontId="2"/>
  </si>
  <si>
    <t>情報</t>
    <rPh sb="0" eb="2">
      <t>ジョウホウ</t>
    </rPh>
    <phoneticPr fontId="2"/>
  </si>
  <si>
    <t>入力チェックセル名</t>
    <rPh sb="0" eb="2">
      <t>ニュウリョク</t>
    </rPh>
    <rPh sb="8" eb="9">
      <t>メイ</t>
    </rPh>
    <phoneticPr fontId="2"/>
  </si>
  <si>
    <t>入力チェックセル項目名</t>
    <rPh sb="0" eb="2">
      <t>ニュウリョク</t>
    </rPh>
    <rPh sb="8" eb="11">
      <t>コウモクメイ</t>
    </rPh>
    <phoneticPr fontId="2"/>
  </si>
  <si>
    <t>入力チェック・リスト</t>
    <rPh sb="0" eb="2">
      <t>ニュウリョク</t>
    </rPh>
    <phoneticPr fontId="2"/>
  </si>
  <si>
    <t>開始位置</t>
    <rPh sb="0" eb="2">
      <t>カイシ</t>
    </rPh>
    <rPh sb="2" eb="4">
      <t>イチ</t>
    </rPh>
    <phoneticPr fontId="2"/>
  </si>
  <si>
    <t>横幅（列数）</t>
    <rPh sb="0" eb="2">
      <t>ヨコハバ</t>
    </rPh>
    <rPh sb="3" eb="4">
      <t>レツ</t>
    </rPh>
    <rPh sb="4" eb="5">
      <t>スウ</t>
    </rPh>
    <phoneticPr fontId="2"/>
  </si>
  <si>
    <t>縦幅（行数）</t>
    <rPh sb="0" eb="2">
      <t>タテハバ</t>
    </rPh>
    <rPh sb="3" eb="5">
      <t>ギョウスウ</t>
    </rPh>
    <phoneticPr fontId="2"/>
  </si>
  <si>
    <t>項目名リスト</t>
    <rPh sb="0" eb="2">
      <t>コウモク</t>
    </rPh>
    <rPh sb="2" eb="3">
      <t>メイ</t>
    </rPh>
    <phoneticPr fontId="2"/>
  </si>
  <si>
    <t>除外セル(アドレス)</t>
    <rPh sb="0" eb="2">
      <t>ジョガイ</t>
    </rPh>
    <phoneticPr fontId="2"/>
  </si>
  <si>
    <t>除外列リスト(列数)</t>
    <rPh sb="0" eb="2">
      <t>ジョガイ</t>
    </rPh>
    <rPh sb="2" eb="3">
      <t>レツ</t>
    </rPh>
    <rPh sb="7" eb="8">
      <t>レツ</t>
    </rPh>
    <rPh sb="8" eb="9">
      <t>スウ</t>
    </rPh>
    <phoneticPr fontId="2"/>
  </si>
  <si>
    <t>除外行リスト(行数)</t>
    <rPh sb="0" eb="2">
      <t>ジョガイ</t>
    </rPh>
    <rPh sb="2" eb="3">
      <t>ギョウ</t>
    </rPh>
    <rPh sb="7" eb="9">
      <t>ギョウスウ</t>
    </rPh>
    <phoneticPr fontId="2"/>
  </si>
  <si>
    <t>※エラー結果をExcelシートに出力</t>
    <rPh sb="4" eb="6">
      <t>ケッカ</t>
    </rPh>
    <rPh sb="16" eb="18">
      <t>シュツリョク</t>
    </rPh>
    <phoneticPr fontId="2"/>
  </si>
  <si>
    <t>リスト：行番号、項目名</t>
    <rPh sb="8" eb="11">
      <t>コウモクメイ</t>
    </rPh>
    <phoneticPr fontId="2"/>
  </si>
  <si>
    <t>個別：行番号はゼロ、項目名</t>
    <rPh sb="0" eb="2">
      <t>コベツ</t>
    </rPh>
    <rPh sb="10" eb="13">
      <t>コウモクメイ</t>
    </rPh>
    <phoneticPr fontId="2"/>
  </si>
  <si>
    <t>開始位置が無い場合はリストチェックをしない</t>
    <rPh sb="0" eb="2">
      <t>カイシ</t>
    </rPh>
    <rPh sb="2" eb="4">
      <t>イチ</t>
    </rPh>
    <rPh sb="5" eb="6">
      <t>ナ</t>
    </rPh>
    <rPh sb="7" eb="9">
      <t>バアイ</t>
    </rPh>
    <phoneticPr fontId="2"/>
  </si>
  <si>
    <t>【必須チェック】</t>
    <rPh sb="1" eb="3">
      <t>ヒッス</t>
    </rPh>
    <phoneticPr fontId="2"/>
  </si>
  <si>
    <t>必須チェック結果出力先</t>
    <rPh sb="0" eb="2">
      <t>ヒッス</t>
    </rPh>
    <rPh sb="6" eb="8">
      <t>ケッカ</t>
    </rPh>
    <rPh sb="8" eb="10">
      <t>シュツリョク</t>
    </rPh>
    <rPh sb="10" eb="11">
      <t>サキ</t>
    </rPh>
    <phoneticPr fontId="2"/>
  </si>
  <si>
    <t>UNMM0020_IF</t>
    <phoneticPr fontId="2"/>
  </si>
  <si>
    <t>UNMM0020</t>
    <phoneticPr fontId="2"/>
  </si>
  <si>
    <t>UNMM0020_IF_SAVE_CHECK_ERROR_KOMOKU</t>
  </si>
  <si>
    <t>UNMM0020_IF_INPUT_CHECK</t>
    <phoneticPr fontId="2"/>
  </si>
  <si>
    <t>UNMM0020_IF_INPUT_ERROR_MESSAGE</t>
    <phoneticPr fontId="2"/>
  </si>
  <si>
    <t>UNMM0020_IF_SAVE_CHECK_RESULT</t>
    <phoneticPr fontId="2"/>
  </si>
  <si>
    <t>取引区分フラグ判定</t>
    <rPh sb="0" eb="2">
      <t>トリヒキ</t>
    </rPh>
    <rPh sb="2" eb="4">
      <t>クブン</t>
    </rPh>
    <rPh sb="7" eb="9">
      <t>ハンテイ</t>
    </rPh>
    <phoneticPr fontId="2"/>
  </si>
  <si>
    <t>納品請求書発行フラグ判定</t>
    <rPh sb="0" eb="2">
      <t>ノウヒン</t>
    </rPh>
    <rPh sb="2" eb="5">
      <t>セイキュウショ</t>
    </rPh>
    <rPh sb="5" eb="7">
      <t>ハッコウ</t>
    </rPh>
    <rPh sb="10" eb="12">
      <t>ハンテイ</t>
    </rPh>
    <phoneticPr fontId="2"/>
  </si>
  <si>
    <t>UNMM0020_TORIHIKI_KBN_FLG_CHECK</t>
    <phoneticPr fontId="2"/>
  </si>
  <si>
    <t>UNMM0020_SEIKYUSHO_HAKKO_FLG_CHECK</t>
    <phoneticPr fontId="2"/>
  </si>
  <si>
    <t>UNMM0050_IF</t>
    <phoneticPr fontId="2"/>
  </si>
  <si>
    <t>UNMM0050_IF_INPUT_CHECK</t>
  </si>
  <si>
    <t>UNMM0050_IF_SAVE_CHECK_ERROR_KOMOKU</t>
  </si>
  <si>
    <t>UNMM0050_IF_SAVE_CHECK_RESULT</t>
    <phoneticPr fontId="2"/>
  </si>
  <si>
    <t>UNMM0050</t>
    <phoneticPr fontId="2"/>
  </si>
  <si>
    <t>取扱区分フラグ判定</t>
    <rPh sb="0" eb="2">
      <t>トリアツカイ</t>
    </rPh>
    <rPh sb="2" eb="4">
      <t>クブン</t>
    </rPh>
    <rPh sb="7" eb="9">
      <t>ハンテイ</t>
    </rPh>
    <phoneticPr fontId="2"/>
  </si>
  <si>
    <t>UNMM0050_TORIATSUKAI_KBN_FLG_CHECK</t>
    <phoneticPr fontId="2"/>
  </si>
  <si>
    <t>UNMM0050_TORIATSUKAI_KBN_FLG_CHECK,UNMM0050_STS,UNMM0050_SHOHIN_BUNRUI,UNMM0050_SHOHIN_CD,UNMM0050_SHOHIN_MEI</t>
    <phoneticPr fontId="2"/>
  </si>
  <si>
    <t>取扱区分,ステータス,分類,商品CD,商品名</t>
    <phoneticPr fontId="2"/>
  </si>
  <si>
    <t>SHIYAKU_MEI</t>
  </si>
  <si>
    <t>DOKU_SURYO</t>
  </si>
  <si>
    <t>調製試薬名：</t>
    <rPh sb="0" eb="2">
      <t>チョウセイ</t>
    </rPh>
    <rPh sb="2" eb="4">
      <t>シヤク</t>
    </rPh>
    <rPh sb="4" eb="5">
      <t>メイ</t>
    </rPh>
    <phoneticPr fontId="2"/>
  </si>
  <si>
    <t>毒劇物基本数量：</t>
    <rPh sb="0" eb="1">
      <t>ドク</t>
    </rPh>
    <rPh sb="1" eb="3">
      <t>ゲキブツ</t>
    </rPh>
    <rPh sb="3" eb="5">
      <t>キホン</t>
    </rPh>
    <rPh sb="5" eb="7">
      <t>スウリョウ</t>
    </rPh>
    <phoneticPr fontId="2"/>
  </si>
  <si>
    <t>UNMM0050_IF_INPUT_ERROR_MESSAGE</t>
    <phoneticPr fontId="2"/>
  </si>
  <si>
    <t>コード重複判定</t>
    <rPh sb="3" eb="5">
      <t>チョウフク</t>
    </rPh>
    <rPh sb="5" eb="7">
      <t>ハンテイ</t>
    </rPh>
    <phoneticPr fontId="2"/>
  </si>
  <si>
    <t>UNMM0050_IF_SAVE_CD_ERROR</t>
    <phoneticPr fontId="2"/>
  </si>
  <si>
    <t>UNMM0020_IF_SAVE_CD_ERROR</t>
    <phoneticPr fontId="2"/>
  </si>
  <si>
    <t>UNMM0020_SQL_OVERLAP_CHECK</t>
    <phoneticPr fontId="2"/>
  </si>
  <si>
    <t>UNMM0050_SQL_OVERLAP_CHECK</t>
    <phoneticPr fontId="2"/>
  </si>
  <si>
    <t>ステータス▼</t>
    <phoneticPr fontId="2"/>
  </si>
  <si>
    <t>メーカー▼</t>
    <phoneticPr fontId="2"/>
  </si>
  <si>
    <t>標準納期：</t>
    <phoneticPr fontId="2"/>
  </si>
  <si>
    <t>SELECT M_SHOHIN.SHOHIN_CD               AS 商品CD
      ,M_SHOHIN.SHOHIN_MEI              AS 商品名
      ,M_SHOHIN.AITE_SHOHIN_MEI         AS 相手先商品名
      ,M_SHOHIN.IRISU                   AS 入数
      ,M_SHOHIN.IRISU_TANI              AS 入数単位
      ,M_SHOHIN.GENKA                   AS 原価
      ,M_SHOHIN.BAIKA                   AS 売価
      ,CASE M_SHOHIN.DOKU_FLG
       WHEN 'True' THEN '×'
       ELSE NULL
       END                              AS 毒             
      ,CASE M_SHOHIN.CHOSEI_SHIYAKU_FLG      
       WHEN 'True' THEN '×'
       ELSE NULL
       END                              AS 試薬
      ,R_STATUS.DATA_1                  AS ステータス
      ,M_SHOHIN.BIKO                    AS 備考
  FROM M_SHOHIN
  LEFT JOIN M_AITESAKI        AS R_SHIIRE_SAKI
    ON M_SHOHIN.SHIIRE_CD = R_SHIIRE_SAKI.AITE_CD
  LEFT JOIN M_MEISHO_B          AS R_STATUS
    ON M_SHOHIN.SHOHIN_STS = R_STATUS.MEISHO_CD
   AND R_STATUS.MEISHO_KBN = 'S001'
 ORDER BY SHOHIN_CD ASC</t>
    <phoneticPr fontId="2"/>
  </si>
  <si>
    <t xml:space="preserve">SELECT M_AITESAKI.AITE_CD           AS 仕入先CD
      ,M_AITESAKI.AITE_MEI          AS 仕入先名
      ,M_AITESAKI.BUSHO_MEI         AS 相手先部署名
      ,M_AITESAKI.TANTO_MEI         AS 相手先担当名
      ,R_SHIHARAIHOHO.DATA_1        AS 支払方法
      ,M_AITESAKI.SHIIRE_CHUKI      AS 注記
  FROM M_AITESAKI    
  LEFT JOIN M_MEISHO_B      AS R_SHIHARAIHOHO
    ON R_SHIHARAIHOHO.MEISHO_KBN = 'K006'
   AND M_AITESAKI.SHIHARAIHOHO_KBN = R_SHIHARAIHOHO.MEISHO_CD 
 WHERE M_AITESAKI.SHIRE_FLG   = 'True'
   AND M_AITESAKI.MISHIYO_FLG = 'False'
 ORDER BY
       AITE_CD ASC
</t>
    <phoneticPr fontId="2"/>
  </si>
  <si>
    <t xml:space="preserve">SELECT CASE M_AITESAKI.SEIKYU_FLG
       WHEN 'True' THEN '×'
       ELSE NULL
       END                                  AS  請求
      ,CASE M_AITESAKI.SHIRE_FLG
       WHEN 'True' THEN '×'
       ELSE NULL
       END                                  AS  仕入
      ,CASE M_AITESAKI.HASSO_FLG
       WHEN 'True' THEN '×'
       ELSE NULL
       END                                  AS  発送
      ,CASE M_AITESAKI.HOKOKU_FLG
       WHEN 'True' THEN '×'
       ELSE NULL
       END                                  AS  報告
      ,CASE M_AITESAKI.MAKER_FLG
       WHEN 'True' THEN '×'
       ELSE NULL
       END                                  AS  ﾒｰｶｰ
      ,CASE M_AITESAKI.GAICHU_FLG
       WHEN 'True' THEN '×'
       ELSE NULL
       END                                  AS  外注
      ,CASE M_AITESAKI.KANKO_FLG
       WHEN 'True' THEN '×'
       ELSE NULL
       END                                  AS  官公
      ,CASE M_AITESAKI.DOGYO_FLG
       WHEN 'True' THEN '×'
       ELSE NULL
       END                                  AS  同業
      ,CASE M_AITESAKI.SPOT_FLG
       WHEN 'True' THEN '×'
       ELSE NULL
       END                                  AS  ｽﾎﾟｯﾄ
      ,M_AITESAKI.AITE_CD                   AS  相手先CD
      ,M_AITESAKI.AITE_MEI                  AS  相手先名
      ,M_AITESAKI.BUSHO_MEI                 AS  相手先部署名
      ,M_AITESAKI.TEL                       AS  TEL
      ,M_AITESAKI.FAX                       AS  FAX
      ,M_AITESAKI.MAIL                      AS  'E-MAIL'
      ,M_AITESAKI.YUBIN_NO                  AS  郵便番号
      ,M_AITESAKI.BIKO                      AS  備考
  FROM M_AITESAKI
 WHERE M_AITESAKI.MISHIYO_FLG = 'False'
 ORDER BY
       AITE_CD ASC
</t>
    <phoneticPr fontId="2"/>
  </si>
  <si>
    <t xml:space="preserve">SELECT CASE M_AITESAKI.SEIKYU_FLG
       WHEN 'True' THEN '×'
       ELSE NULL
       END                                  AS  請求
      ,CASE M_AITESAKI.SHIRE_FLG
       WHEN 'True' THEN '×'
       ELSE NULL
       END                                  AS  仕入
      ,CASE M_AITESAKI.HASSO_FLG
       WHEN 'True' THEN '×'
       ELSE NULL
       END                                  AS  発送
      ,CASE M_AITESAKI.HOKOKU_FLG
       WHEN 'True' THEN '×'
       ELSE NULL
       END                                  AS  報告
      ,CASE M_AITESAKI.MAKER_FLG
       WHEN 'True' THEN '×'
       ELSE NULL
       END                                  AS  ﾒｰｶｰ
      ,CASE M_AITESAKI.GAICHU_FLG
       WHEN 'True' THEN '×'
       ELSE NULL
       END                                  AS  外注
      ,CASE M_AITESAKI.KANKO_FLG
       WHEN 'True' THEN '×'
       ELSE NULL
       END                                  AS  官公
      ,CASE M_AITESAKI.DOGYO_FLG
       WHEN 'True' THEN '×'
       ELSE NULL
       END                                  AS  同業
      ,CASE M_AITESAKI.SPOT_FLG
       WHEN 'True' THEN '×'
       ELSE NULL
       END                                  AS  ｽﾎﾟｯﾄ
      ,M_AITESAKI.AITE_CD                   AS  相手先CD
      ,M_AITESAKI.AITE_MEI                  AS  相手先名
      ,M_AITESAKI.BUSHO_MEI                 AS  相手先部署名
      ,M_AITESAKI.TEL                       AS  TEL
      ,M_AITESAKI.FAX                       AS  FAX
      ,M_AITESAKI.MAIL                      AS  'E-MAIL'
      ,M_AITESAKI.YUBIN_NO                  AS  郵便番号
      ,M_AITESAKI.BIKO                      AS  備考
  FROM M_AITESAKI
 WHERE M_AITESAKI.MISHIYO_FLG = 'False'
   AND M_AITESAKI.MAKER_FLG   = 'True'
 ORDER BY
       AITE_CD ASC
</t>
    <phoneticPr fontId="2"/>
  </si>
  <si>
    <t>SELECT CASE M_AITESAKI.SEIKYU_FLG
       WHEN 'True' THEN '×'
       ELSE NULL
       END                                  AS  請求
      ,CASE M_AITESAKI.SHIRE_FLG
       WHEN 'True' THEN '×'
       ELSE NULL
       END                                  AS  仕入
      ,CASE M_AITESAKI.HASSO_FLG
       WHEN 'True' THEN '×'
       ELSE NULL
       END                                  AS  発送
      ,CASE M_AITESAKI.HOKOKU_FLG
       WHEN 'True' THEN '×'
       ELSE NULL
       END                                  AS  報告
      ,CASE M_AITESAKI.MAKER_FLG
       WHEN 'True' THEN '×'
       ELSE NULL
       END                                  AS  ﾒｰｶｰ
      ,CASE M_AITESAKI.GAICHU_FLG
       WHEN 'True' THEN '×'
       ELSE NULL
       END                                  AS  外注
      ,CASE M_AITESAKI.KANKO_FLG
       WHEN 'True' THEN '×'
       ELSE NULL
       END                                  AS  官公
      ,CASE M_AITESAKI.DOGYO_FLG
       WHEN 'True' THEN '×'
       ELSE NULL
       END                                  AS  同業
      ,CASE M_AITESAKI.SPOT_FLG
       WHEN 'True' THEN '×'
       ELSE NULL
       END                                  AS  ｽﾎﾟｯﾄ
      ,M_AITESAKI.AITE_CD                   AS  相手先CD
      ,M_AITESAKI.AITE_MEI                  AS  相手先名
      ,M_AITESAKI.BUSHO_MEI                 AS  相手先部署名
      ,M_AITESAKI.TEL                       AS  TEL
      ,M_AITESAKI.FAX                       AS  FAX
      ,M_AITESAKI.MAIL                      AS  'E-MAIL'
      ,M_AITESAKI.YUBIN_NO                  AS  郵便番号
      ,M_AITESAKI.BIKO                      AS  備考
  FROM M_AITESAKI
 WHERE M_AITESAKI.MISHIYO_FLG = 'False'
   AND M_AITESAKI.GAICHU_FLG  = 'True'
 ORDER BY
       AITE_CD ASC</t>
    <phoneticPr fontId="2"/>
  </si>
  <si>
    <t xml:space="preserve">SELECT M_MEISHO_B.DATA_1            AS 商品分類
      ,M_MEISHO_B.MEISHO_CD         AS 商品分類CD
  FROM M_MEISHO_B
 WHERE M_MEISHO_B.MEISHO_KBN  = 'K025'
   AND M_MEISHO_B.MISHIYO_FLG = 'False'
 ORDER BY M_MEISHO_B.SORT_NO ASC
      ,CAST(M_MEISHO_B.MEISHO_CD AS INT) ASC
</t>
    <phoneticPr fontId="2"/>
  </si>
  <si>
    <t>SELECT M_MEISHO_B.DATA_1            AS 保管場所
      ,M_MEISHO_B.MEISHO_CD         AS 保管場所CD
  FROM M_MEISHO_B
 WHERE M_MEISHO_B.MEISHO_KBN = 'M002'
   AND M_MEISHO_B.MISHIYO_FLG = 'False'
 ORDER BY M_MEISHO_B.SORT_NO ASC
      ,CAST(M_MEISHO_B.MEISHO_CD AS INT) ASC</t>
    <rPh sb="83" eb="85">
      <t>ホカン</t>
    </rPh>
    <rPh sb="85" eb="87">
      <t>バショ</t>
    </rPh>
    <phoneticPr fontId="2"/>
  </si>
  <si>
    <t xml:space="preserve">SELECT M_MEISHO_B.DATA_1    AS 名称
      ,M_MEISHO_B.MEISHO_CD AS 名称CD
  FROM M_MEISHO_B
  LEFT JOIN
       M_MEISHO_H
    ON M_MEISHO_H.MEISHO_KBN = M_MEISHO_B.MEISHO_KBN
 WHERE M_MEISHO_B.MEISHO_KBN = 'K001' 
   AND M_MEISHO_B.MISHIYO_FLG = 'False'
 ORDER BY M_MEISHO_B.SORT_NO ASC
      ,CAST(M_MEISHO_B.MEISHO_CD AS INT) ASC
</t>
    <phoneticPr fontId="2"/>
  </si>
  <si>
    <t>SELECT M_SHOHIN.SHOHIN_CD    AS 分析項目CD
      ,M_SHOHIN.SHOHIN_MEI   AS 分析項目
      ,M_SHOHIN.BUNSEKI_TANI AS 単位
      ,M_SHOHIN.BUNSEKI_FLOW AS 分析フロー
  FROM M_SHOHIN
 WHERE M_SHOHIN.BUNSEKI_FLG   =  'True'
   AND M_SHOHIN.SHOKEIHI_FLG  &lt;&gt; 'True'
   AND M_SHOHIN.SHOHIN_STS    =  '1'
   AND M_SHOHIN.MISHIYO_FLG   =  'False'
 ORDER BY SHOHIN_CD ASC</t>
    <phoneticPr fontId="2"/>
  </si>
  <si>
    <t xml:space="preserve">SELECT INFO_ID            AS 'インフォメーションID'
      ,INFO_KBN           AS 'インフォメーション区分'
      ,INFO_MEI           AS 'インフォメーション名'
      ,MESSAGE            AS 'メッセージ'
      ,NYURYOKUSHA_FLG    AS '入力者通知フラグ'
      ,RED_FLG            AS '赤字表示フラグ'
  FROM M_INFO_H
</t>
    <rPh sb="82" eb="84">
      <t>クブン</t>
    </rPh>
    <rPh sb="125" eb="126">
      <t>メイ</t>
    </rPh>
    <phoneticPr fontId="2"/>
  </si>
  <si>
    <t>SELECT *
  FROM V_AITESAKI_MEISHO_SEIKYU
 ORDER BY CAST(MEISHO_CD AS INT) ASC</t>
    <phoneticPr fontId="2"/>
  </si>
  <si>
    <t>SELECT *
  FROM V_AITESAKI_MEISHO_KAISHU
 ORDER BY CAST(MEISHO_CD AS INT) ASC</t>
    <phoneticPr fontId="2"/>
  </si>
  <si>
    <t xml:space="preserve">SELECT *
  FROM V_AITESAKI_MEISHO_TAX
 ORDER BY CAST(MEISHO_CD AS INT) ASC </t>
    <phoneticPr fontId="2"/>
  </si>
  <si>
    <t xml:space="preserve">SELECT *
  FROM V_AITESAKI_MEISHO_HASU
 ORDER BY CAST(MEISHO_CD AS INT) ASC
</t>
    <phoneticPr fontId="2"/>
  </si>
  <si>
    <t xml:space="preserve">SELECT *
  FROM V_AITESAKI_MEISHO_TESURYO
 ORDER BY CAST(MEISHO_CD AS INT) ASC
</t>
    <phoneticPr fontId="2"/>
  </si>
  <si>
    <t xml:space="preserve">SELECT *
  FROM V_AITESAKI_MEISHO_SHIHARAI
 ORDER BY CAST(MEISHO_CD AS INT) ASC
</t>
    <phoneticPr fontId="2"/>
  </si>
  <si>
    <t>----------------------------------</t>
  </si>
  <si>
    <t>条件（取扱区分）</t>
    <rPh sb="0" eb="2">
      <t>ジョウケン</t>
    </rPh>
    <rPh sb="3" eb="4">
      <t>ト</t>
    </rPh>
    <rPh sb="4" eb="5">
      <t>アツカ</t>
    </rPh>
    <rPh sb="5" eb="7">
      <t>クブン</t>
    </rPh>
    <phoneticPr fontId="2"/>
  </si>
  <si>
    <t>条件（ステータス）</t>
    <rPh sb="0" eb="2">
      <t>ジョウケン</t>
    </rPh>
    <phoneticPr fontId="2"/>
  </si>
  <si>
    <t>UNMM0091_H_HIDE_ROW</t>
    <phoneticPr fontId="2"/>
  </si>
  <si>
    <t>UNMM0090_HIDE_ROW</t>
    <phoneticPr fontId="2"/>
  </si>
  <si>
    <t>非表示行</t>
    <rPh sb="3" eb="4">
      <t>ギョウ</t>
    </rPh>
    <phoneticPr fontId="2"/>
  </si>
  <si>
    <t>UNMM0100_H_HIDE_ROW</t>
    <phoneticPr fontId="2"/>
  </si>
  <si>
    <t>UNMM0110_H_HIDE_ROW</t>
    <phoneticPr fontId="2"/>
  </si>
  <si>
    <t>UNMM0110_H_HIDE_COLUMN</t>
    <phoneticPr fontId="2"/>
  </si>
  <si>
    <t>UNMM0111_H_HIDE_ROW</t>
    <phoneticPr fontId="2"/>
  </si>
  <si>
    <t>UNMM0111_H_HIDE_COLUMN</t>
    <phoneticPr fontId="2"/>
  </si>
  <si>
    <t>UNMM0070_IF_BUTTON_06_ERROR</t>
    <phoneticPr fontId="2"/>
  </si>
  <si>
    <t>LINK_DATETIME</t>
    <phoneticPr fontId="2"/>
  </si>
  <si>
    <t>連動日時</t>
    <rPh sb="0" eb="2">
      <t>レンドウ</t>
    </rPh>
    <rPh sb="2" eb="4">
      <t>ニチジ</t>
    </rPh>
    <phoneticPr fontId="2"/>
  </si>
  <si>
    <t>UNMM0050_LINK_DATETIME</t>
    <phoneticPr fontId="2"/>
  </si>
  <si>
    <t>連動日時</t>
    <rPh sb="0" eb="2">
      <t>レンドウ</t>
    </rPh>
    <rPh sb="2" eb="4">
      <t>ニチジ</t>
    </rPh>
    <phoneticPr fontId="2"/>
  </si>
  <si>
    <t>UNMM0020_LINK_DATETIME</t>
    <phoneticPr fontId="2"/>
  </si>
  <si>
    <t>UNMM0020_IF_LINK_DATETIME</t>
    <phoneticPr fontId="2"/>
  </si>
  <si>
    <t>UNMM0020_SHINKI_FLG_COPY_SAKI</t>
  </si>
  <si>
    <t>条件(取引区分)</t>
    <rPh sb="0" eb="2">
      <t>ジョウケン</t>
    </rPh>
    <rPh sb="3" eb="5">
      <t>トリヒキ</t>
    </rPh>
    <rPh sb="5" eb="7">
      <t>クブン</t>
    </rPh>
    <phoneticPr fontId="2"/>
  </si>
  <si>
    <t>【参照モード】</t>
  </si>
  <si>
    <t>予算コード入力</t>
  </si>
  <si>
    <t>予算コード：</t>
  </si>
  <si>
    <t>予算名：</t>
  </si>
  <si>
    <t>調整試薬名</t>
    <rPh sb="0" eb="2">
      <t>チョウセイ</t>
    </rPh>
    <rPh sb="2" eb="4">
      <t>シヤク</t>
    </rPh>
    <rPh sb="4" eb="5">
      <t>メイ</t>
    </rPh>
    <phoneticPr fontId="2"/>
  </si>
  <si>
    <t>毒劇物基本数量</t>
    <rPh sb="0" eb="1">
      <t>ドク</t>
    </rPh>
    <rPh sb="1" eb="3">
      <t>ゲキブツ</t>
    </rPh>
    <rPh sb="3" eb="5">
      <t>キホン</t>
    </rPh>
    <rPh sb="5" eb="7">
      <t>スウリョウ</t>
    </rPh>
    <phoneticPr fontId="2"/>
  </si>
  <si>
    <t>UNMM0050_IF_SANSHO_FLG</t>
    <phoneticPr fontId="2"/>
  </si>
  <si>
    <t>参照作成フラグ</t>
    <rPh sb="0" eb="2">
      <t>サンショウ</t>
    </rPh>
    <rPh sb="2" eb="4">
      <t>サクセイ</t>
    </rPh>
    <phoneticPr fontId="2"/>
  </si>
  <si>
    <t>1:参照作成</t>
    <rPh sb="2" eb="4">
      <t>サンショウ</t>
    </rPh>
    <rPh sb="4" eb="6">
      <t>サクセイ</t>
    </rPh>
    <phoneticPr fontId="2"/>
  </si>
  <si>
    <t>0:通常</t>
    <rPh sb="2" eb="4">
      <t>ツウジョウ</t>
    </rPh>
    <phoneticPr fontId="2"/>
  </si>
  <si>
    <t>参照作成用</t>
    <rPh sb="0" eb="2">
      <t>サンショウ</t>
    </rPh>
    <rPh sb="2" eb="4">
      <t>サクセイ</t>
    </rPh>
    <rPh sb="4" eb="5">
      <t>ヨウ</t>
    </rPh>
    <phoneticPr fontId="2"/>
  </si>
  <si>
    <t xml:space="preserve">SELECT *
  FROM V_SHOHIN_DATA_SANSHO
WHERE 1=1
</t>
    <phoneticPr fontId="2"/>
  </si>
  <si>
    <t>ＰＲＴＲ：</t>
    <phoneticPr fontId="2"/>
  </si>
  <si>
    <t>実施日▽</t>
    <rPh sb="0" eb="3">
      <t>ジッシビ</t>
    </rPh>
    <phoneticPr fontId="2"/>
  </si>
  <si>
    <t>分析項目並べ替え検索</t>
    <phoneticPr fontId="2"/>
  </si>
  <si>
    <t>UNMM0150_H_HIDE_ROW</t>
    <phoneticPr fontId="2"/>
  </si>
  <si>
    <t>UNMM0150_H_HIDE_COLUMN</t>
    <phoneticPr fontId="2"/>
  </si>
  <si>
    <t>分析方法▽</t>
    <phoneticPr fontId="2"/>
  </si>
  <si>
    <t>分析方法必須チェック</t>
    <phoneticPr fontId="2"/>
  </si>
  <si>
    <t>UNMM0150_H_BUNSEKI_HOHO_CD_FLG</t>
    <phoneticPr fontId="2"/>
  </si>
  <si>
    <t>UNMM0150_B_ALL_KENSU</t>
    <phoneticPr fontId="2"/>
  </si>
  <si>
    <t>分析方法CD</t>
    <rPh sb="0" eb="2">
      <t>ブンセキ</t>
    </rPh>
    <rPh sb="2" eb="4">
      <t>ホウホウ</t>
    </rPh>
    <phoneticPr fontId="2"/>
  </si>
  <si>
    <t>FLG</t>
    <phoneticPr fontId="2"/>
  </si>
  <si>
    <t>デフォルト設定</t>
    <rPh sb="5" eb="7">
      <t>セッテイ</t>
    </rPh>
    <phoneticPr fontId="2"/>
  </si>
  <si>
    <t>UNMM0150_B_PAGE_NO</t>
    <phoneticPr fontId="2"/>
  </si>
  <si>
    <t>UNMM0150_B_ALL_PEGE_SU</t>
    <phoneticPr fontId="2"/>
  </si>
  <si>
    <t>UNMM0150_B_HYOJI_KENSU</t>
    <phoneticPr fontId="2"/>
  </si>
  <si>
    <t>UNMM0150_B_CTRL_HYOJI_GYO_SU</t>
    <phoneticPr fontId="2"/>
  </si>
  <si>
    <t>UNMM0150_B_LIST_START</t>
    <phoneticPr fontId="2"/>
  </si>
  <si>
    <t>UNMM0150_B_LIST_END</t>
    <phoneticPr fontId="2"/>
  </si>
  <si>
    <t>UNMM0150_B_LIST_COPY_SAKI</t>
    <phoneticPr fontId="2"/>
  </si>
  <si>
    <t>UNMM0150_B_LIST_CLEAR</t>
    <phoneticPr fontId="2"/>
  </si>
  <si>
    <t>デフォルト範囲</t>
    <rPh sb="5" eb="7">
      <t>ハンイ</t>
    </rPh>
    <phoneticPr fontId="2"/>
  </si>
  <si>
    <t>UNMM0150_B_LIST_DEFAULT</t>
    <phoneticPr fontId="2"/>
  </si>
  <si>
    <t>デフォルト設定判定</t>
    <rPh sb="5" eb="7">
      <t>セッテイ</t>
    </rPh>
    <rPh sb="7" eb="9">
      <t>ハンテイ</t>
    </rPh>
    <phoneticPr fontId="2"/>
  </si>
  <si>
    <t>UNMM0150_B_DEFAULT_SET_FLG</t>
    <phoneticPr fontId="2"/>
  </si>
  <si>
    <t>UNMM0150_B_SELECT_GYO_NO</t>
    <phoneticPr fontId="2"/>
  </si>
  <si>
    <t>UNMM0150_B_SELECT_BUNSEKI_HOHO_CD</t>
    <phoneticPr fontId="2"/>
  </si>
  <si>
    <t>UNMM0150_B_SELECT_SEQ</t>
    <phoneticPr fontId="2"/>
  </si>
  <si>
    <t>UNMM0150_B_SELECT_BUN_SORT_MEI</t>
    <phoneticPr fontId="2"/>
  </si>
  <si>
    <t>デフォルト</t>
    <phoneticPr fontId="2"/>
  </si>
  <si>
    <t>UNMM0150_B_SELECT_DEFAULT_FLG</t>
    <phoneticPr fontId="2"/>
  </si>
  <si>
    <t>UNMM0150_B_BACK_PAGE</t>
    <phoneticPr fontId="2"/>
  </si>
  <si>
    <t>UNMM0150_B_NEXT_PAGE</t>
    <phoneticPr fontId="2"/>
  </si>
  <si>
    <t>UNMM0150_B_BACK_PAGE_NUM</t>
    <phoneticPr fontId="2"/>
  </si>
  <si>
    <t>UNMM0150_B_NEXT_PAGE_NUM</t>
    <phoneticPr fontId="2"/>
  </si>
  <si>
    <t>UNMM0150_B_HIDE_ROW</t>
    <phoneticPr fontId="2"/>
  </si>
  <si>
    <t>UNMM0150_B_HIDE_COLUMN</t>
    <phoneticPr fontId="2"/>
  </si>
  <si>
    <t>UNMM0150_B_SCROLL_LOCK</t>
    <phoneticPr fontId="2"/>
  </si>
  <si>
    <t>※入力規則用</t>
    <rPh sb="1" eb="3">
      <t>ニュウリョク</t>
    </rPh>
    <rPh sb="3" eb="5">
      <t>キソク</t>
    </rPh>
    <rPh sb="5" eb="6">
      <t>ヨウ</t>
    </rPh>
    <phoneticPr fontId="2"/>
  </si>
  <si>
    <t>分析方法</t>
    <rPh sb="0" eb="2">
      <t>ブンセキ</t>
    </rPh>
    <rPh sb="2" eb="4">
      <t>ホウホウ</t>
    </rPh>
    <phoneticPr fontId="2"/>
  </si>
  <si>
    <t>UNMM0150_IF_B_LIST_DEFAULT</t>
    <phoneticPr fontId="2"/>
  </si>
  <si>
    <t>UNMM0150_IF_LIST_BUNSEKI_HOHO_CD</t>
    <phoneticPr fontId="2"/>
  </si>
  <si>
    <t>「=OFFSET(UNMM0150_IF_LIST_BUNSEKIHOHO_START,,,IF(UNMM0150_IF_LIST_BUNSEKIHOHO_KENSU=0,1,UNMM0150_IF_LIST_BUNSEKIHOHO_KENSU),1)」</t>
    <phoneticPr fontId="2"/>
  </si>
  <si>
    <t>UNMM0150_IF_B_LIST_COPY_MOTO</t>
    <phoneticPr fontId="2"/>
  </si>
  <si>
    <t>名称</t>
    <phoneticPr fontId="2"/>
  </si>
  <si>
    <t>S49環告64号(排水)</t>
  </si>
  <si>
    <t>S46環告59号(公共用水域)</t>
  </si>
  <si>
    <t>H9環告10号(地下水)</t>
  </si>
  <si>
    <t>UNMM0150_IF_DATA_SEARCH_FLG</t>
    <phoneticPr fontId="2"/>
  </si>
  <si>
    <t>H3環告46号(土壌汚染)</t>
  </si>
  <si>
    <t>UNMM0150_IF_DATA_SEARCH_CHECK</t>
    <phoneticPr fontId="2"/>
  </si>
  <si>
    <t>H15環告17号(土対法 地下水)</t>
  </si>
  <si>
    <t>H15環告18号(土対法 土壌溶出量)</t>
  </si>
  <si>
    <t>H15環告19号(土対法 土壌含有量)</t>
  </si>
  <si>
    <t>UNMM0150_IF_ACTIVE_SHEET</t>
  </si>
  <si>
    <t>UNMM0150_H</t>
  </si>
  <si>
    <t>S48環告13号(産廃の溶出)</t>
  </si>
  <si>
    <t>UNMM0150_IF_ACTIVE_ROW</t>
    <phoneticPr fontId="2"/>
  </si>
  <si>
    <t>JIS K 0101(工業用水)</t>
  </si>
  <si>
    <t>UNMM0150_IF_ACTIVE_COLUMN</t>
    <phoneticPr fontId="2"/>
  </si>
  <si>
    <t>JIS K 0102(工場排水)</t>
  </si>
  <si>
    <t>UNMM0150_IF_ACTIVE_CELL_NAME</t>
    <phoneticPr fontId="2"/>
  </si>
  <si>
    <t>UNMM0150_IF_BUTTON_11_HYOJI</t>
    <phoneticPr fontId="2"/>
  </si>
  <si>
    <t>UNMM0150_IF_BUTTON_12_HYOJI</t>
  </si>
  <si>
    <t>【モード判定】</t>
    <rPh sb="4" eb="6">
      <t>ハンテイ</t>
    </rPh>
    <phoneticPr fontId="2"/>
  </si>
  <si>
    <t>UNMM0150_IF_MODE</t>
    <phoneticPr fontId="2"/>
  </si>
  <si>
    <t>1：新規2：修正0：参照</t>
    <rPh sb="2" eb="4">
      <t>シンキ</t>
    </rPh>
    <rPh sb="6" eb="8">
      <t>シュウセイ</t>
    </rPh>
    <rPh sb="10" eb="12">
      <t>サンショウ</t>
    </rPh>
    <phoneticPr fontId="2"/>
  </si>
  <si>
    <t>【データ取得】</t>
    <rPh sb="4" eb="6">
      <t>シュトク</t>
    </rPh>
    <phoneticPr fontId="2"/>
  </si>
  <si>
    <t>分析方法マスタリスト</t>
    <rPh sb="0" eb="2">
      <t>ブンセキ</t>
    </rPh>
    <rPh sb="2" eb="4">
      <t>ホウホウ</t>
    </rPh>
    <phoneticPr fontId="2"/>
  </si>
  <si>
    <t>UNMM0150_SQL_SELECT_BUNSEKI_HOHO_LIST</t>
    <phoneticPr fontId="2"/>
  </si>
  <si>
    <t>カウント</t>
    <phoneticPr fontId="2"/>
  </si>
  <si>
    <t>UNMM0150_SQL_SELECT_BUNSEKI_HOHO_LIST_CNT</t>
    <phoneticPr fontId="2"/>
  </si>
  <si>
    <t xml:space="preserve">SELECT COUNT(*) AS CNT
    FROM V_BUNSEKI_HOHO_LIST
  WHERE 1=1
</t>
    <phoneticPr fontId="2"/>
  </si>
  <si>
    <t xml:space="preserve">SELECT *
    FROM V_BUNSEKI_HOHO_LIST
  WHERE 1=1
</t>
    <phoneticPr fontId="2"/>
  </si>
  <si>
    <t>条件(分析方法CD)</t>
    <rPh sb="0" eb="2">
      <t>ジョウケン</t>
    </rPh>
    <rPh sb="3" eb="5">
      <t>ブンセキ</t>
    </rPh>
    <rPh sb="5" eb="7">
      <t>ホウホウ</t>
    </rPh>
    <phoneticPr fontId="2"/>
  </si>
  <si>
    <t>UNMM0150_SQL_ORDER_BY</t>
    <phoneticPr fontId="2"/>
  </si>
  <si>
    <t xml:space="preserve"> ORDER BY SEQ DESC</t>
    <phoneticPr fontId="2"/>
  </si>
  <si>
    <t>【POPUP用】</t>
    <phoneticPr fontId="2"/>
  </si>
  <si>
    <t>並び替え</t>
    <phoneticPr fontId="2"/>
  </si>
  <si>
    <t>UNMM0150_SQL_SORT_POP</t>
    <phoneticPr fontId="2"/>
  </si>
  <si>
    <t>SELECT M_MEISHO_B.DATA_1   AS 並び替え
      ,M_MEISHO_B.DATA_2   AS ORDER句
  FROM M_MEISHO_B
 WHERE M_MEISHO_B.MEISHO_KBN = 'O905'
 ORDER BY M_MEISHO_B.SORT_NO ASC
      ,CAST(M_MEISHO_B.MEISHO_CD AS INT) ASC</t>
    <rPh sb="30" eb="31">
      <t>ナラ</t>
    </rPh>
    <rPh sb="32" eb="33">
      <t>カ</t>
    </rPh>
    <rPh sb="70" eb="71">
      <t>ク</t>
    </rPh>
    <phoneticPr fontId="2"/>
  </si>
  <si>
    <t>分析方法取得</t>
    <rPh sb="0" eb="2">
      <t>ブンセキ</t>
    </rPh>
    <rPh sb="2" eb="4">
      <t>ホウホウ</t>
    </rPh>
    <rPh sb="4" eb="6">
      <t>シュトク</t>
    </rPh>
    <phoneticPr fontId="2"/>
  </si>
  <si>
    <t>UNMM0150_SQL_MEISHO_BUNSEKI_HOHO</t>
    <phoneticPr fontId="2"/>
  </si>
  <si>
    <t>UNMM0151_CELL_JUMP_SAKI</t>
    <phoneticPr fontId="2"/>
  </si>
  <si>
    <t>分析項目並べ替え</t>
    <rPh sb="0" eb="2">
      <t>ブンセキ</t>
    </rPh>
    <rPh sb="2" eb="4">
      <t>コウモク</t>
    </rPh>
    <rPh sb="4" eb="5">
      <t>ナラ</t>
    </rPh>
    <rPh sb="6" eb="7">
      <t>カ</t>
    </rPh>
    <phoneticPr fontId="2"/>
  </si>
  <si>
    <t>デフォルト設定：</t>
    <rPh sb="5" eb="7">
      <t>セッテイ</t>
    </rPh>
    <phoneticPr fontId="2"/>
  </si>
  <si>
    <t>する</t>
    <phoneticPr fontId="2"/>
  </si>
  <si>
    <t>UNMM0151_HIDE_ROW</t>
    <phoneticPr fontId="2"/>
  </si>
  <si>
    <t>分析方法：</t>
    <rPh sb="0" eb="2">
      <t>ブンセキ</t>
    </rPh>
    <rPh sb="2" eb="4">
      <t>ホウホウ</t>
    </rPh>
    <phoneticPr fontId="2"/>
  </si>
  <si>
    <t>UNMM0151_HIDE_COLUMN</t>
    <phoneticPr fontId="2"/>
  </si>
  <si>
    <t>行番号</t>
    <phoneticPr fontId="2"/>
  </si>
  <si>
    <t>分析項目並び順名称</t>
    <phoneticPr fontId="2"/>
  </si>
  <si>
    <t>ソート順</t>
  </si>
  <si>
    <t>削除フラグ</t>
    <rPh sb="0" eb="2">
      <t>サクジョ</t>
    </rPh>
    <phoneticPr fontId="2"/>
  </si>
  <si>
    <t>選択フラグ</t>
    <rPh sb="0" eb="2">
      <t>センタク</t>
    </rPh>
    <phoneticPr fontId="2"/>
  </si>
  <si>
    <t>上DBS</t>
    <phoneticPr fontId="2"/>
  </si>
  <si>
    <t>UNMM0151_SORT_UP</t>
    <phoneticPr fontId="2"/>
  </si>
  <si>
    <t>DBS#901519012</t>
    <phoneticPr fontId="2"/>
  </si>
  <si>
    <t>下DBS</t>
    <phoneticPr fontId="2"/>
  </si>
  <si>
    <t>UNMM0151_SORT_DOWN</t>
    <phoneticPr fontId="2"/>
  </si>
  <si>
    <t>DBS#901519013</t>
    <phoneticPr fontId="2"/>
  </si>
  <si>
    <t>UNMM0151_GYO_NO</t>
  </si>
  <si>
    <t>行追加番号</t>
    <rPh sb="0" eb="1">
      <t>ギョウ</t>
    </rPh>
    <rPh sb="1" eb="3">
      <t>ツイカ</t>
    </rPh>
    <rPh sb="3" eb="5">
      <t>バンゴウ</t>
    </rPh>
    <phoneticPr fontId="2"/>
  </si>
  <si>
    <t>UNMM0151_GYO_INSERT_NO</t>
  </si>
  <si>
    <t>行削除番号</t>
    <rPh sb="0" eb="3">
      <t>ギョウサクジョ</t>
    </rPh>
    <rPh sb="3" eb="5">
      <t>バンゴウ</t>
    </rPh>
    <phoneticPr fontId="2"/>
  </si>
  <si>
    <t>UNMM0151_GYO_DELETE_NO</t>
  </si>
  <si>
    <t>削除行範囲</t>
    <rPh sb="0" eb="2">
      <t>サクジョ</t>
    </rPh>
    <rPh sb="2" eb="3">
      <t>ギョウ</t>
    </rPh>
    <rPh sb="3" eb="5">
      <t>ハンイ</t>
    </rPh>
    <phoneticPr fontId="2"/>
  </si>
  <si>
    <t>UNMM0151_GYO_DELETE_AREA</t>
  </si>
  <si>
    <t>UNMM0151_LIST_START</t>
  </si>
  <si>
    <t>リストコピーフラグ</t>
    <phoneticPr fontId="2"/>
  </si>
  <si>
    <t>UNMM0151_LIST_COPY_FLG</t>
    <phoneticPr fontId="2"/>
  </si>
  <si>
    <t>UNMM0151_LIST_SHOSHIKI_COPY_SAKI_1</t>
    <phoneticPr fontId="2"/>
  </si>
  <si>
    <t>UNMM0151_LIST_SHOSHIKI_COPY_SAKI_2</t>
    <phoneticPr fontId="2"/>
  </si>
  <si>
    <t>UNMM0151_LIST_CLEAR_AREA</t>
    <phoneticPr fontId="2"/>
  </si>
  <si>
    <t>行挿入位置</t>
    <rPh sb="0" eb="1">
      <t>ギョウ</t>
    </rPh>
    <rPh sb="1" eb="3">
      <t>ソウニュウ</t>
    </rPh>
    <rPh sb="3" eb="5">
      <t>イチ</t>
    </rPh>
    <phoneticPr fontId="2"/>
  </si>
  <si>
    <t>UNMM0151_GYO_INSERT</t>
    <phoneticPr fontId="2"/>
  </si>
  <si>
    <t>UNMM0151_GYO_COPY_SAKI_1</t>
    <phoneticPr fontId="2"/>
  </si>
  <si>
    <t>UNMM0151_GYO_COPY_SAKI_2</t>
    <phoneticPr fontId="2"/>
  </si>
  <si>
    <t>行削除位置</t>
    <rPh sb="0" eb="3">
      <t>ギョウサクジョ</t>
    </rPh>
    <rPh sb="3" eb="5">
      <t>イチ</t>
    </rPh>
    <phoneticPr fontId="2"/>
  </si>
  <si>
    <t>UNMM0151_GYO_DELETE</t>
  </si>
  <si>
    <t>行挿入後セル位置</t>
    <rPh sb="0" eb="1">
      <t>ギョウ</t>
    </rPh>
    <rPh sb="1" eb="3">
      <t>ソウニュウ</t>
    </rPh>
    <rPh sb="3" eb="4">
      <t>ゴ</t>
    </rPh>
    <rPh sb="6" eb="8">
      <t>イチ</t>
    </rPh>
    <phoneticPr fontId="2"/>
  </si>
  <si>
    <t>UNMM0151_GYO_INSERT_SELECT_CELL</t>
  </si>
  <si>
    <t>UNMM0151_SET_BUNSEKIKOMOKU_CD</t>
    <phoneticPr fontId="2"/>
  </si>
  <si>
    <t>UNMM0151_SET_BUNSEKIKOMOKU_MEI</t>
    <phoneticPr fontId="2"/>
  </si>
  <si>
    <t>複数選択コピー先</t>
    <rPh sb="0" eb="2">
      <t>フクスウ</t>
    </rPh>
    <rPh sb="2" eb="4">
      <t>センタク</t>
    </rPh>
    <rPh sb="7" eb="8">
      <t>サキ</t>
    </rPh>
    <phoneticPr fontId="2"/>
  </si>
  <si>
    <t>UNMM0151_MULTI_SELECT_COPY_SAKI_1</t>
    <phoneticPr fontId="2"/>
  </si>
  <si>
    <t>UNMM0151_MULTI_SELECT_COPY_SAKI_2</t>
    <phoneticPr fontId="2"/>
  </si>
  <si>
    <t>分析項目群</t>
    <phoneticPr fontId="2"/>
  </si>
  <si>
    <t>UNMM0151_BUNSEKI_KOMOKU_GUN_CD</t>
    <phoneticPr fontId="2"/>
  </si>
  <si>
    <t>【書式コピー元】</t>
    <rPh sb="1" eb="3">
      <t>ショシキ</t>
    </rPh>
    <rPh sb="6" eb="7">
      <t>モト</t>
    </rPh>
    <phoneticPr fontId="2"/>
  </si>
  <si>
    <t>【ボディコピー元書式】</t>
    <rPh sb="7" eb="8">
      <t>モト</t>
    </rPh>
    <rPh sb="8" eb="10">
      <t>ショシキ</t>
    </rPh>
    <phoneticPr fontId="2"/>
  </si>
  <si>
    <t>SEQ</t>
    <phoneticPr fontId="2"/>
  </si>
  <si>
    <t>UNMM0151_IF_SAVE_SEQ</t>
    <phoneticPr fontId="2"/>
  </si>
  <si>
    <t>UNMM0151_IF_SAVE_DEFAULT_LFG</t>
    <phoneticPr fontId="2"/>
  </si>
  <si>
    <t>【新規】</t>
    <rPh sb="1" eb="3">
      <t>シンキ</t>
    </rPh>
    <phoneticPr fontId="2"/>
  </si>
  <si>
    <t>UNMM0151_IF_SHINKI_COPY_MOTO</t>
    <phoneticPr fontId="2"/>
  </si>
  <si>
    <t>UNMM0151_IF_SHINKI_LIST_COPY_MOTO</t>
    <phoneticPr fontId="2"/>
  </si>
  <si>
    <t>【分析項目複数選択】</t>
    <rPh sb="1" eb="3">
      <t>ブンセキ</t>
    </rPh>
    <rPh sb="3" eb="5">
      <t>コウモク</t>
    </rPh>
    <rPh sb="5" eb="7">
      <t>フクスウ</t>
    </rPh>
    <rPh sb="7" eb="9">
      <t>センタク</t>
    </rPh>
    <phoneticPr fontId="2"/>
  </si>
  <si>
    <t>【分析項目保存】</t>
    <rPh sb="1" eb="3">
      <t>ブンセキ</t>
    </rPh>
    <rPh sb="3" eb="5">
      <t>コウモク</t>
    </rPh>
    <rPh sb="5" eb="7">
      <t>ホゾン</t>
    </rPh>
    <phoneticPr fontId="2"/>
  </si>
  <si>
    <t>UNMM0151_IF_SAVE_COPY_MOTO</t>
    <phoneticPr fontId="2"/>
  </si>
  <si>
    <t>複数選択件数</t>
    <rPh sb="0" eb="2">
      <t>フクスウ</t>
    </rPh>
    <rPh sb="2" eb="4">
      <t>センタク</t>
    </rPh>
    <rPh sb="4" eb="6">
      <t>ケンスウ</t>
    </rPh>
    <phoneticPr fontId="2"/>
  </si>
  <si>
    <t>UNMM0151_IF_MULTI_SELECT_KENSU</t>
    <phoneticPr fontId="2"/>
  </si>
  <si>
    <t>行番号</t>
    <phoneticPr fontId="2"/>
  </si>
  <si>
    <t>SEQ</t>
    <phoneticPr fontId="2"/>
  </si>
  <si>
    <t>分析項目並び順名称</t>
    <phoneticPr fontId="2"/>
  </si>
  <si>
    <t>ユーザーID</t>
    <phoneticPr fontId="2"/>
  </si>
  <si>
    <t>シリアル</t>
    <phoneticPr fontId="2"/>
  </si>
  <si>
    <t>UNMM0151_IF_MODE</t>
    <phoneticPr fontId="2"/>
  </si>
  <si>
    <t>↓UNMM0151_IF_CHECKBOX_COPY_MOTO</t>
    <phoneticPr fontId="2"/>
  </si>
  <si>
    <t>↓</t>
    <phoneticPr fontId="2"/>
  </si>
  <si>
    <t>UNMM0151_IF_COPY_B_SHINKI</t>
    <phoneticPr fontId="2"/>
  </si>
  <si>
    <t>移動フラグ</t>
    <rPh sb="0" eb="2">
      <t>イドウ</t>
    </rPh>
    <phoneticPr fontId="2"/>
  </si>
  <si>
    <t>分析項目CD</t>
  </si>
  <si>
    <t>分析項目並び順名称</t>
  </si>
  <si>
    <t>シリアル</t>
  </si>
  <si>
    <t>行番号</t>
  </si>
  <si>
    <t>分析方法CD</t>
  </si>
  <si>
    <t>SEQ</t>
  </si>
  <si>
    <t>ソート順</t>
    <phoneticPr fontId="2"/>
  </si>
  <si>
    <t>デフォルト</t>
    <phoneticPr fontId="2"/>
  </si>
  <si>
    <t>展開件数</t>
    <rPh sb="0" eb="2">
      <t>テンカイ</t>
    </rPh>
    <rPh sb="2" eb="4">
      <t>ケンスウ</t>
    </rPh>
    <phoneticPr fontId="2"/>
  </si>
  <si>
    <t>UNMM0151_IF_MULTI_SELECT_TENKAI_KENSU</t>
    <phoneticPr fontId="2"/>
  </si>
  <si>
    <t>【修正】</t>
    <rPh sb="1" eb="3">
      <t>シュウセイ</t>
    </rPh>
    <phoneticPr fontId="2"/>
  </si>
  <si>
    <t>UNMM0151_IF_SHUSEI_COPY_MOTO</t>
    <phoneticPr fontId="2"/>
  </si>
  <si>
    <t>保存数式展開開始位置</t>
    <rPh sb="0" eb="2">
      <t>ホゾン</t>
    </rPh>
    <rPh sb="2" eb="4">
      <t>スウシキ</t>
    </rPh>
    <rPh sb="4" eb="6">
      <t>テンカイ</t>
    </rPh>
    <rPh sb="6" eb="8">
      <t>カイシ</t>
    </rPh>
    <rPh sb="8" eb="10">
      <t>イチ</t>
    </rPh>
    <phoneticPr fontId="2"/>
  </si>
  <si>
    <t>UNMM0151_IF_SAVE_COPY_START</t>
    <phoneticPr fontId="2"/>
  </si>
  <si>
    <t>展開処理実行判定</t>
    <rPh sb="0" eb="2">
      <t>テンカイ</t>
    </rPh>
    <rPh sb="2" eb="4">
      <t>ショリ</t>
    </rPh>
    <rPh sb="4" eb="6">
      <t>ジッコウ</t>
    </rPh>
    <rPh sb="6" eb="8">
      <t>ハンテイ</t>
    </rPh>
    <phoneticPr fontId="2"/>
  </si>
  <si>
    <t>UNMM0151_IF_MULTI_SELECT_CHECK</t>
    <phoneticPr fontId="2"/>
  </si>
  <si>
    <t>1:有効 / 2:無効</t>
    <rPh sb="2" eb="4">
      <t>ユウコウ</t>
    </rPh>
    <rPh sb="9" eb="11">
      <t>ムコウ</t>
    </rPh>
    <phoneticPr fontId="2"/>
  </si>
  <si>
    <t>UNMM0151_IF_BUTTON_06_NAME</t>
    <phoneticPr fontId="2"/>
  </si>
  <si>
    <t>-</t>
    <phoneticPr fontId="2"/>
  </si>
  <si>
    <t>参照</t>
    <phoneticPr fontId="2"/>
  </si>
  <si>
    <t>保存件数</t>
    <rPh sb="0" eb="2">
      <t>ホゾン</t>
    </rPh>
    <rPh sb="2" eb="4">
      <t>ケンスウ</t>
    </rPh>
    <phoneticPr fontId="2"/>
  </si>
  <si>
    <t>UNMM0151_IF_SAVE_KENSU</t>
    <phoneticPr fontId="2"/>
  </si>
  <si>
    <t>展開後件数</t>
    <rPh sb="0" eb="2">
      <t>テンカイ</t>
    </rPh>
    <rPh sb="2" eb="3">
      <t>ゴ</t>
    </rPh>
    <rPh sb="3" eb="5">
      <t>ケンスウ</t>
    </rPh>
    <phoneticPr fontId="2"/>
  </si>
  <si>
    <t>UNMM0151_IF_MULTI_SELECT_GYO_INCREMENT</t>
    <phoneticPr fontId="2"/>
  </si>
  <si>
    <t>UNMM0151_IF_BUTTON_10_NAME</t>
    <phoneticPr fontId="2"/>
  </si>
  <si>
    <t>-</t>
    <phoneticPr fontId="2"/>
  </si>
  <si>
    <t>UNMM0151_IF_SAVE_COPY_SAKI</t>
    <phoneticPr fontId="2"/>
  </si>
  <si>
    <t>UNMM0151_IF_COPY_B_SHUSEI</t>
    <phoneticPr fontId="2"/>
  </si>
  <si>
    <t>書式コピー先</t>
    <rPh sb="0" eb="2">
      <t>ショシキ</t>
    </rPh>
    <rPh sb="5" eb="6">
      <t>サキ</t>
    </rPh>
    <phoneticPr fontId="2"/>
  </si>
  <si>
    <t>UNMM0151_IF_MULTI_SELECT_SHOSHIKI_COPY_SAKI</t>
    <phoneticPr fontId="2"/>
  </si>
  <si>
    <t>【参照】</t>
    <rPh sb="1" eb="3">
      <t>サンショウ</t>
    </rPh>
    <phoneticPr fontId="2"/>
  </si>
  <si>
    <t>UNMM0151_IF_SANSHO_COPY_MOTO</t>
    <phoneticPr fontId="2"/>
  </si>
  <si>
    <t>削除チェック</t>
    <phoneticPr fontId="2"/>
  </si>
  <si>
    <t>UNMM0151_IF_LIST_DELETE_CHECK</t>
    <phoneticPr fontId="2"/>
  </si>
  <si>
    <t>UNMM0151_IF_BUTTON_06_FONTCOLOR</t>
    <phoneticPr fontId="2"/>
  </si>
  <si>
    <t>削除リスト</t>
    <rPh sb="0" eb="2">
      <t>サクジョ</t>
    </rPh>
    <phoneticPr fontId="2"/>
  </si>
  <si>
    <t>UNMM0151_IF_LIST_DELETE</t>
    <phoneticPr fontId="2"/>
  </si>
  <si>
    <t>コピー元</t>
    <rPh sb="3" eb="4">
      <t>モト</t>
    </rPh>
    <phoneticPr fontId="2"/>
  </si>
  <si>
    <t>UNMM0151_IF_MULTI_SELECT_COPY_MOTO</t>
    <phoneticPr fontId="2"/>
  </si>
  <si>
    <t>UNMM0151_IF_BUTTON_10_FONTCOLOR</t>
    <phoneticPr fontId="2"/>
  </si>
  <si>
    <t>重複チェック</t>
    <rPh sb="0" eb="2">
      <t>チョウフク</t>
    </rPh>
    <phoneticPr fontId="2"/>
  </si>
  <si>
    <t>UNMM0151_IF_DUPLICATE_CHECK</t>
    <phoneticPr fontId="2"/>
  </si>
  <si>
    <t>UNMM0151_IF_COPY_B_SANSHO</t>
    <phoneticPr fontId="2"/>
  </si>
  <si>
    <t>重複リスト</t>
    <rPh sb="0" eb="2">
      <t>チョウフク</t>
    </rPh>
    <phoneticPr fontId="2"/>
  </si>
  <si>
    <t>UNMM0151_IF_LIST_DUPLICATE</t>
    <phoneticPr fontId="2"/>
  </si>
  <si>
    <t>メッセージ処理実行判定</t>
    <rPh sb="5" eb="7">
      <t>ショリ</t>
    </rPh>
    <rPh sb="7" eb="9">
      <t>ジッコウ</t>
    </rPh>
    <rPh sb="9" eb="11">
      <t>ハンテイ</t>
    </rPh>
    <phoneticPr fontId="2"/>
  </si>
  <si>
    <t>UNMM0151_IF_KOMOKUGUN_ADD_MESSAGE</t>
    <phoneticPr fontId="2"/>
  </si>
  <si>
    <t>UNMM0151_IF_BUTTON_04_HYOJI</t>
    <phoneticPr fontId="2"/>
  </si>
  <si>
    <t>UNMM0151_IF_BUTTON_06_HYOJI</t>
    <phoneticPr fontId="2"/>
  </si>
  <si>
    <t>UNMM0151_IF_BUTTON_07_HYOJI</t>
  </si>
  <si>
    <t>UNMM0151_IF_BUTTON_09_HYOJI</t>
  </si>
  <si>
    <t>UNMM0151_IF_BUTTON_10_HYOJI</t>
  </si>
  <si>
    <t>追加行ボタン</t>
    <phoneticPr fontId="2"/>
  </si>
  <si>
    <t>UNMM0151_IF_BUTTON_11_HYOJI</t>
    <phoneticPr fontId="2"/>
  </si>
  <si>
    <t>分析項目軍追加ボタン</t>
    <rPh sb="0" eb="2">
      <t>ブンセキ</t>
    </rPh>
    <rPh sb="2" eb="4">
      <t>コウモク</t>
    </rPh>
    <rPh sb="4" eb="5">
      <t>グン</t>
    </rPh>
    <rPh sb="5" eb="7">
      <t>ツイカ</t>
    </rPh>
    <phoneticPr fontId="2"/>
  </si>
  <si>
    <t>UNMM0151_IF_BUTTON_12_HYOJI</t>
    <phoneticPr fontId="2"/>
  </si>
  <si>
    <t>UNMM0151_IF_DATA_SEARCH_FLG</t>
    <phoneticPr fontId="2"/>
  </si>
  <si>
    <t>複数分析項目選択フラグ</t>
    <rPh sb="0" eb="2">
      <t>フクスウ</t>
    </rPh>
    <rPh sb="2" eb="4">
      <t>ブンセキ</t>
    </rPh>
    <rPh sb="4" eb="6">
      <t>コウモク</t>
    </rPh>
    <rPh sb="6" eb="8">
      <t>センタク</t>
    </rPh>
    <phoneticPr fontId="2"/>
  </si>
  <si>
    <t>UNMM0151_IF_MULTI_SELECT_FLG</t>
    <phoneticPr fontId="2"/>
  </si>
  <si>
    <t>OFF:2</t>
  </si>
  <si>
    <t>UNMM0151_IF_SAVE_W_USER_ID</t>
  </si>
  <si>
    <t>UNMM0151_IF_SAVE_W_SERIAL</t>
    <phoneticPr fontId="2"/>
  </si>
  <si>
    <t>UNMM0151_IF_SAVE_W_SERIAL_CREATE</t>
    <phoneticPr fontId="2"/>
  </si>
  <si>
    <t>UNMM0151_IF_SAVE_W_ROW</t>
  </si>
  <si>
    <t>UNMM0151_IF_SAVE_W_MODE</t>
  </si>
  <si>
    <t>UNMM0151_IF_ACTIVE_SHEET</t>
    <phoneticPr fontId="2"/>
  </si>
  <si>
    <t>UNMM0151</t>
    <phoneticPr fontId="2"/>
  </si>
  <si>
    <t>UNMM0151_IF_ACTIVE_ROW</t>
    <phoneticPr fontId="2"/>
  </si>
  <si>
    <t>UNMM0151_IF_ACTIVE_COLUMN</t>
    <phoneticPr fontId="2"/>
  </si>
  <si>
    <t>UNMM0151_IF_ACTIVE_CELL_NAME</t>
    <phoneticPr fontId="2"/>
  </si>
  <si>
    <t>UNMM0151_W_ROW</t>
  </si>
  <si>
    <t>UNMM0151_IF_SAVE_RESULT_CD</t>
  </si>
  <si>
    <t>UNMM0151_IF_SAVE_RESULT_MESSAGE</t>
  </si>
  <si>
    <t>UNMM0151_IF_SAVE_ERROR_CHECK</t>
  </si>
  <si>
    <t>UNMM0151_IF_SAVE_ERROR_MESSAGE</t>
  </si>
  <si>
    <t>処理に失敗しました。再度実行してください。</t>
    <phoneticPr fontId="2"/>
  </si>
  <si>
    <t>UNMM0151_IF_SAVE_INPUT_CHECK</t>
  </si>
  <si>
    <t>UNMM0151_IF_SAVE_DELETE_CHECK</t>
  </si>
  <si>
    <t>0:OK 1:削除不能</t>
    <rPh sb="7" eb="9">
      <t>サクジョ</t>
    </rPh>
    <rPh sb="9" eb="11">
      <t>フノウ</t>
    </rPh>
    <phoneticPr fontId="2"/>
  </si>
  <si>
    <t>分析方法CD</t>
    <phoneticPr fontId="2"/>
  </si>
  <si>
    <t>分析方法詳細読込SQL</t>
    <rPh sb="0" eb="2">
      <t>ブンセキ</t>
    </rPh>
    <rPh sb="2" eb="4">
      <t>ホウホウ</t>
    </rPh>
    <rPh sb="4" eb="6">
      <t>ショウサイ</t>
    </rPh>
    <rPh sb="6" eb="8">
      <t>ヨミコミ</t>
    </rPh>
    <phoneticPr fontId="2"/>
  </si>
  <si>
    <t>UNMM0151_SQL_SELECT_BUN_SORT_DATA</t>
    <phoneticPr fontId="2"/>
  </si>
  <si>
    <t xml:space="preserve">SELECT V_BUN_SORT_DATA.BUNSEKI_CD
           ,V_BUN_SORT_DATA.BUNSEKI_MEI
           ,NULL
           ,V_BUN_SORT_DATA.W_ROW
           ,V_BUN_SORT_DATA.SEQ
           ,V_BUN_SORT_DATA.BUN_SORT_MEI
           ,V_BUN_SORT_DATA.SORT_NO
           ,V_BUN_SORT_DATA.BUNSEKI_HOHO_CD
           ,V_BUN_SORT_DATA.W_USER_ID 
           ,V_BUN_SORT_DATA.W_SERIAL
  FROM V_BUN_SORT_DATA
</t>
    <phoneticPr fontId="2"/>
  </si>
  <si>
    <t xml:space="preserve"> WHERE 1 = 1
</t>
    <phoneticPr fontId="2"/>
  </si>
  <si>
    <t>案件　（分析方法CD）</t>
    <rPh sb="0" eb="2">
      <t>アンケン</t>
    </rPh>
    <rPh sb="6" eb="8">
      <t>ホウホウ</t>
    </rPh>
    <phoneticPr fontId="2"/>
  </si>
  <si>
    <t>条件　（分析項目並び順名称）</t>
    <rPh sb="0" eb="2">
      <t>ジョウケン</t>
    </rPh>
    <phoneticPr fontId="2"/>
  </si>
  <si>
    <t>条件（ユーザーID）</t>
    <rPh sb="0" eb="2">
      <t>ジョウケン</t>
    </rPh>
    <phoneticPr fontId="2"/>
  </si>
  <si>
    <t>条件（シリアル）</t>
    <rPh sb="0" eb="2">
      <t>ジョウケン</t>
    </rPh>
    <phoneticPr fontId="2"/>
  </si>
  <si>
    <t>条件（SEQ）</t>
    <rPh sb="0" eb="2">
      <t>ジョウケン</t>
    </rPh>
    <phoneticPr fontId="2"/>
  </si>
  <si>
    <t xml:space="preserve"> ORDER BY V_BUN_SORT_DATA.SORT_NO ASC</t>
    <phoneticPr fontId="2"/>
  </si>
  <si>
    <t>名称読込SQL</t>
    <rPh sb="0" eb="2">
      <t>メイショウ</t>
    </rPh>
    <rPh sb="2" eb="4">
      <t>ヨミコミ</t>
    </rPh>
    <phoneticPr fontId="2"/>
  </si>
  <si>
    <t>UNMM0151_SQL_SELECT_BUN_SORT_MEISYO</t>
    <phoneticPr fontId="2"/>
  </si>
  <si>
    <t xml:space="preserve">SELECT M_BUN_SORT_H.BUN_SORT_MEI
           ,M_BUN_SORT_H.DEFAULT_FLG
  FROM M_BUN_SORT_H
</t>
    <phoneticPr fontId="2"/>
  </si>
  <si>
    <t>分析方法テーブル更新用SQL</t>
    <rPh sb="0" eb="2">
      <t>ブンセキ</t>
    </rPh>
    <rPh sb="2" eb="4">
      <t>ホウホウ</t>
    </rPh>
    <rPh sb="8" eb="10">
      <t>コウシン</t>
    </rPh>
    <rPh sb="10" eb="11">
      <t>ヨウ</t>
    </rPh>
    <phoneticPr fontId="2"/>
  </si>
  <si>
    <t>UNMM0151_SQL_SELECT_TABLE_UPDATE</t>
    <phoneticPr fontId="2"/>
  </si>
  <si>
    <t>SELECT</t>
  </si>
  <si>
    <t xml:space="preserve">SELECT *
  FROM W_BUN_SORT
</t>
    <phoneticPr fontId="2"/>
  </si>
  <si>
    <t>複数選択用SQL</t>
    <rPh sb="0" eb="2">
      <t>フクスウ</t>
    </rPh>
    <rPh sb="2" eb="4">
      <t>センタク</t>
    </rPh>
    <rPh sb="4" eb="5">
      <t>ヨウ</t>
    </rPh>
    <phoneticPr fontId="2"/>
  </si>
  <si>
    <t>UNMM0151_SQL_MULTI_SELECT</t>
    <phoneticPr fontId="2"/>
  </si>
  <si>
    <t>SELECT M_SHOHIN.SHOHIN_CD       AS 分析項目CD
      ,M_SHOHIN.SHOHIN_MEI           AS 分析項目名
      ,M_SHOHIN.BUNSEKI_TANI        AS 単位
      ,NULL                                   AS 空白１
      ,NULL                                   AS 空白２
      ,NULL                                   AS 空白３
      ,NULL                                  AS 空白４
      ,M_SHOHIN.BUNSEKI_NO          AS 分析番号
      ,M_SHOHIN.BUNSEKI_FLOW AS 分析フロー
  FROM M_SHOHIN
 WHERE M_SHOHIN.BUNSEKI_FLG  = 'True'
   AND M_SHOHIN.SHOKEIHI_FLG = 'False'
   AND M_SHOHIN.MISHIYO_FLG  = 'False'
 ORDER BY M_SHOHIN.SHOHIN_CD ASC</t>
    <phoneticPr fontId="2"/>
  </si>
  <si>
    <t>分析項目群展開用SQL</t>
    <rPh sb="0" eb="2">
      <t>ブンセキ</t>
    </rPh>
    <rPh sb="2" eb="4">
      <t>コウモク</t>
    </rPh>
    <rPh sb="4" eb="5">
      <t>グン</t>
    </rPh>
    <rPh sb="5" eb="7">
      <t>テンカイ</t>
    </rPh>
    <rPh sb="7" eb="8">
      <t>ヨウ</t>
    </rPh>
    <phoneticPr fontId="2"/>
  </si>
  <si>
    <t>UNMM0151_SQL_SELECT_BUNSEKI_GUN</t>
    <phoneticPr fontId="2"/>
  </si>
  <si>
    <t>SELECT</t>
    <phoneticPr fontId="2"/>
  </si>
  <si>
    <t xml:space="preserve">SELECT M_BUNSEKI_GUN_B.BUNSEKI_CD    AS BUNSEKI_CD       --分析項目CD
      ,M_SHOHIN.SHOHIN_MEI           AS BUNSEKI_MEI      --分析項目名
      ,NULL                          AS 空白１
      ,NULL                          AS 空白２
      ,NULL                          AS 空白３
      ,NULL                          AS 空白４
      ,NULL                          AS 空白５
      ,NULL                          AS 空白６
　　　,NULL                          AS 空白７
  FROM M_BUNSEKI_GUN_H
  LEFT JOIN
       M_BUNSEKI_GUN_B
    ON M_BUNSEKI_GUN_B.BUNSEKI_GUN_CD = M_BUNSEKI_GUN_H.BUNSEKI_GUN_CD
  LEFT JOIN
       M_SHOHIN
    ON M_SHOHIN.SHOHIN_CD = M_BUNSEKI_GUN_B.BUNSEKI_CD
</t>
    <phoneticPr fontId="2"/>
  </si>
  <si>
    <t>条件（分析項目郡CD）</t>
    <rPh sb="0" eb="2">
      <t>ジョウケン</t>
    </rPh>
    <rPh sb="3" eb="5">
      <t>ブンセキ</t>
    </rPh>
    <rPh sb="5" eb="7">
      <t>コウモク</t>
    </rPh>
    <rPh sb="7" eb="8">
      <t>グン</t>
    </rPh>
    <phoneticPr fontId="2"/>
  </si>
  <si>
    <t>ORDER BY</t>
    <phoneticPr fontId="2"/>
  </si>
  <si>
    <t xml:space="preserve"> ORDER BY
       M_BUNSEKI_GUN_B.SEQ
</t>
    <phoneticPr fontId="2"/>
  </si>
  <si>
    <t>SEQ</t>
    <phoneticPr fontId="2"/>
  </si>
  <si>
    <t>UNMM0151_SQL_SEQ_SELECT</t>
    <phoneticPr fontId="2"/>
  </si>
  <si>
    <t>SELECT ISNULL(MAX(M_BUN_SORT_H.SEQ),0) + 1
      FROM M_BUN_SORT_H</t>
    <phoneticPr fontId="2"/>
  </si>
  <si>
    <t>UNMM0151_SQL_DELETE_CHECK</t>
    <phoneticPr fontId="2"/>
  </si>
  <si>
    <t xml:space="preserve">SELECT CASE COUNT(*)
      WHEN 0 THEN 0
    ELSE 1 END AS CHECK_FLG
 FROM T_BUN_JUCHU_H
</t>
    <phoneticPr fontId="2"/>
  </si>
  <si>
    <t xml:space="preserve"> WHERE 1 = 1
</t>
    <phoneticPr fontId="2"/>
  </si>
  <si>
    <t xml:space="preserve">SELECT MEISHO_CD AS 'コード'
      ,DATA_1 AS '分析方法'
  FROM M_MEISHO_B
 WHERE MEISHO_KBN = 'K017'
 ORDER BY
       SORT_NO ASC
      ,MEISHO_CD ASC
</t>
    <rPh sb="44" eb="46">
      <t>ブンセキ</t>
    </rPh>
    <rPh sb="46" eb="48">
      <t>ホウホウ</t>
    </rPh>
    <phoneticPr fontId="2"/>
  </si>
  <si>
    <t>UNMM0131_IF_MODE</t>
    <phoneticPr fontId="2"/>
  </si>
  <si>
    <t>UNMM0131</t>
    <phoneticPr fontId="2"/>
  </si>
  <si>
    <t>UNMM0151_IF_MODE</t>
    <phoneticPr fontId="2"/>
  </si>
  <si>
    <t>UNMM0151</t>
    <phoneticPr fontId="2"/>
  </si>
  <si>
    <t>保存データなしチェック</t>
    <rPh sb="0" eb="2">
      <t>ホゾン</t>
    </rPh>
    <phoneticPr fontId="2"/>
  </si>
  <si>
    <t>UNMM0151_IF_SAVE0_CHECK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</si>
</sst>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yyyy/mm/dd\ hh:mm:ss"/>
    <numFmt numFmtId="177" formatCode="#,##0_ "/>
    <numFmt numFmtId="178" formatCode="yyyy/mm/dd"/>
    <numFmt numFmtId="179" formatCode="#,##0.00_ ;[Red]\-#,##0.00\ "/>
    <numFmt numFmtId="180" formatCode="0.00_ "/>
    <numFmt numFmtId="181" formatCode="aaa"/>
    <numFmt numFmtId="182" formatCode="yyyy/mm/dd\ hh:mm:dd"/>
  </numFmts>
  <fonts count="36"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8"/>
      <color theme="3" tint="-0.499984740745262"/>
      <name val="メイリオ"/>
      <family val="3"/>
      <charset val="128"/>
    </font>
    <font>
      <sz val="10"/>
      <color theme="3" tint="-0.499984740745262"/>
      <name val="メイリオ"/>
      <family val="3"/>
      <charset val="128"/>
    </font>
    <font>
      <b/>
      <sz val="12"/>
      <color theme="0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1"/>
      <name val="メイリオ"/>
      <family val="3"/>
      <charset val="128"/>
    </font>
    <font>
      <sz val="10"/>
      <color rgb="FFFF0000"/>
      <name val="メイリオ"/>
      <family val="3"/>
      <charset val="128"/>
    </font>
    <font>
      <sz val="10"/>
      <name val="メイリオ"/>
      <family val="3"/>
      <charset val="128"/>
    </font>
    <font>
      <b/>
      <sz val="10"/>
      <color theme="1"/>
      <name val="メイリオ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rgb="FFFF0000"/>
      <name val="ＭＳ Ｐゴシック"/>
      <family val="2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Meiryo UI"/>
      <family val="3"/>
      <charset val="128"/>
    </font>
    <font>
      <sz val="8"/>
      <color theme="0" tint="-0.499984740745262"/>
      <name val="メイリオ"/>
      <family val="3"/>
      <charset val="128"/>
    </font>
    <font>
      <sz val="11"/>
      <color theme="1"/>
      <name val="メイリオ"/>
      <family val="3"/>
      <charset val="128"/>
    </font>
    <font>
      <b/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theme="1" tint="0.249977111117893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1"/>
      <color theme="1" tint="0.249977111117893"/>
      <name val="ＭＳ Ｐゴシック"/>
      <family val="3"/>
      <charset val="128"/>
    </font>
    <font>
      <b/>
      <i/>
      <sz val="11"/>
      <color theme="1" tint="0.249977111117893"/>
      <name val="ＭＳ Ｐゴシック"/>
      <family val="3"/>
      <charset val="128"/>
    </font>
    <font>
      <sz val="11"/>
      <color rgb="FFFF0000"/>
      <name val="ＭＳ ゴシック"/>
      <family val="3"/>
      <charset val="128"/>
    </font>
    <font>
      <b/>
      <sz val="10"/>
      <name val="メイリオ"/>
      <family val="3"/>
      <charset val="128"/>
    </font>
    <font>
      <sz val="11"/>
      <name val="ＭＳ Ｐゴシック"/>
      <family val="2"/>
      <charset val="128"/>
      <scheme val="minor"/>
    </font>
    <font>
      <b/>
      <sz val="8"/>
      <color theme="1"/>
      <name val="メイリオ"/>
      <family val="3"/>
      <charset val="128"/>
    </font>
    <font>
      <sz val="6"/>
      <color theme="1"/>
      <name val="メイリオ"/>
      <family val="3"/>
      <charset val="128"/>
    </font>
    <font>
      <sz val="11"/>
      <color rgb="FF000000"/>
      <name val="ＭＳ Ｐゴシック"/>
      <family val="3"/>
      <charset val="128"/>
    </font>
    <font>
      <b/>
      <i/>
      <sz val="8"/>
      <color theme="0" tint="-0.499984740745262"/>
      <name val="メイリオ"/>
      <family val="3"/>
      <charset val="128"/>
    </font>
    <font>
      <sz val="10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87E7AD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/>
      <right/>
      <top/>
      <bottom/>
      <diagonal style="thin">
        <color auto="1"/>
      </diagonal>
    </border>
    <border>
      <left style="thin">
        <color indexed="64"/>
      </left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/>
      <bottom style="mediumDashDot">
        <color theme="1" tint="0.24994659260841701"/>
      </bottom>
      <diagonal/>
    </border>
    <border>
      <left/>
      <right style="dashed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ashed">
        <color indexed="64"/>
      </right>
      <top style="dotted">
        <color indexed="64"/>
      </top>
      <bottom style="dotted">
        <color indexed="64"/>
      </bottom>
      <diagonal/>
    </border>
    <border>
      <left style="dash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ashed">
        <color indexed="64"/>
      </right>
      <top style="dotted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 diagonalDown="1">
      <left style="dashed">
        <color indexed="64"/>
      </left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Down="1"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/>
      <bottom style="mediumDashDot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 tint="-0.499984740745262"/>
      </bottom>
      <diagonal/>
    </border>
  </borders>
  <cellStyleXfs count="4">
    <xf numFmtId="0" fontId="0" fillId="0" borderId="0">
      <alignment vertical="center"/>
    </xf>
    <xf numFmtId="0" fontId="1" fillId="0" borderId="0"/>
    <xf numFmtId="0" fontId="21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</cellStyleXfs>
  <cellXfs count="735">
    <xf numFmtId="0" fontId="0" fillId="0" borderId="0" xfId="0">
      <alignment vertical="center"/>
    </xf>
    <xf numFmtId="0" fontId="6" fillId="0" borderId="1" xfId="0" applyFont="1" applyFill="1" applyBorder="1" applyAlignment="1">
      <alignment vertical="center"/>
    </xf>
    <xf numFmtId="0" fontId="6" fillId="4" borderId="1" xfId="0" applyFont="1" applyFill="1" applyBorder="1" applyAlignment="1">
      <alignment vertical="center"/>
    </xf>
    <xf numFmtId="0" fontId="6" fillId="4" borderId="0" xfId="0" applyFont="1" applyFill="1" applyBorder="1" applyAlignment="1">
      <alignment horizontal="left" vertical="center"/>
    </xf>
    <xf numFmtId="0" fontId="6" fillId="4" borderId="0" xfId="0" applyFont="1" applyFill="1" applyBorder="1" applyAlignment="1">
      <alignment horizontal="right" vertical="center" shrinkToFit="1"/>
    </xf>
    <xf numFmtId="0" fontId="5" fillId="3" borderId="0" xfId="0" applyFont="1" applyFill="1" applyBorder="1" applyAlignment="1">
      <alignment vertical="center"/>
    </xf>
    <xf numFmtId="0" fontId="6" fillId="0" borderId="0" xfId="0" applyFont="1" applyBorder="1" applyAlignment="1">
      <alignment vertical="center"/>
    </xf>
    <xf numFmtId="0" fontId="6" fillId="4" borderId="0" xfId="0" applyFont="1" applyFill="1" applyBorder="1" applyAlignment="1">
      <alignment horizontal="right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vertical="center"/>
    </xf>
    <xf numFmtId="0" fontId="6" fillId="4" borderId="4" xfId="0" applyFont="1" applyFill="1" applyBorder="1" applyAlignment="1">
      <alignment vertical="center"/>
    </xf>
    <xf numFmtId="0" fontId="6" fillId="4" borderId="7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6" fillId="4" borderId="0" xfId="0" applyFont="1" applyFill="1" applyBorder="1" applyAlignment="1">
      <alignment vertical="center"/>
    </xf>
    <xf numFmtId="0" fontId="6" fillId="4" borderId="8" xfId="0" applyFont="1" applyFill="1" applyBorder="1" applyAlignment="1">
      <alignment vertical="center" shrinkToFit="1"/>
    </xf>
    <xf numFmtId="0" fontId="10" fillId="4" borderId="0" xfId="0" applyFont="1" applyFill="1" applyBorder="1" applyAlignment="1">
      <alignment horizontal="right" vertical="center"/>
    </xf>
    <xf numFmtId="0" fontId="5" fillId="0" borderId="0" xfId="0" applyFont="1" applyFill="1" applyBorder="1" applyAlignment="1" applyProtection="1">
      <alignment vertical="center"/>
      <protection locked="0"/>
    </xf>
    <xf numFmtId="0" fontId="6" fillId="0" borderId="0" xfId="0" applyFont="1" applyFill="1" applyBorder="1" applyAlignment="1" applyProtection="1">
      <alignment vertical="center"/>
      <protection locked="0"/>
    </xf>
    <xf numFmtId="0" fontId="6" fillId="9" borderId="0" xfId="0" applyFont="1" applyFill="1" applyBorder="1" applyAlignment="1" applyProtection="1">
      <alignment vertical="center"/>
      <protection locked="0"/>
    </xf>
    <xf numFmtId="0" fontId="0" fillId="0" borderId="0" xfId="0" quotePrefix="1">
      <alignment vertical="center"/>
    </xf>
    <xf numFmtId="0" fontId="11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vertical="center" shrinkToFit="1"/>
    </xf>
    <xf numFmtId="0" fontId="12" fillId="0" borderId="0" xfId="0" applyFont="1">
      <alignment vertical="center"/>
    </xf>
    <xf numFmtId="0" fontId="13" fillId="0" borderId="0" xfId="0" applyFont="1" applyAlignment="1">
      <alignment vertical="center" shrinkToFit="1"/>
    </xf>
    <xf numFmtId="0" fontId="13" fillId="9" borderId="0" xfId="0" applyFont="1" applyFill="1" applyAlignment="1">
      <alignment vertical="center" wrapText="1"/>
    </xf>
    <xf numFmtId="0" fontId="13" fillId="0" borderId="0" xfId="0" applyFont="1">
      <alignment vertical="center"/>
    </xf>
    <xf numFmtId="0" fontId="13" fillId="0" borderId="0" xfId="0" applyFont="1" applyAlignment="1">
      <alignment vertical="center" wrapText="1"/>
    </xf>
    <xf numFmtId="0" fontId="0" fillId="9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Fill="1" applyBorder="1" applyAlignment="1" applyProtection="1">
      <alignment vertical="center" shrinkToFit="1"/>
      <protection locked="0"/>
    </xf>
    <xf numFmtId="0" fontId="6" fillId="0" borderId="0" xfId="0" applyFont="1" applyFill="1" applyBorder="1" applyAlignment="1" applyProtection="1">
      <alignment vertical="center" shrinkToFit="1"/>
      <protection locked="0"/>
    </xf>
    <xf numFmtId="0" fontId="12" fillId="0" borderId="0" xfId="0" applyFont="1" applyAlignment="1">
      <alignment vertical="center" shrinkToFit="1"/>
    </xf>
    <xf numFmtId="0" fontId="14" fillId="0" borderId="0" xfId="0" applyFont="1">
      <alignment vertical="center"/>
    </xf>
    <xf numFmtId="0" fontId="15" fillId="9" borderId="0" xfId="0" applyFont="1" applyFill="1">
      <alignment vertical="center"/>
    </xf>
    <xf numFmtId="0" fontId="16" fillId="0" borderId="0" xfId="0" applyFont="1">
      <alignment vertical="center"/>
    </xf>
    <xf numFmtId="0" fontId="6" fillId="0" borderId="0" xfId="0" applyFont="1" applyFill="1">
      <alignment vertical="center"/>
    </xf>
    <xf numFmtId="0" fontId="6" fillId="0" borderId="0" xfId="0" applyFont="1" applyFill="1" applyAlignment="1">
      <alignment vertical="center" shrinkToFit="1"/>
    </xf>
    <xf numFmtId="0" fontId="6" fillId="9" borderId="0" xfId="0" applyFont="1" applyFill="1" applyBorder="1" applyAlignment="1">
      <alignment vertical="center" shrinkToFit="1"/>
    </xf>
    <xf numFmtId="0" fontId="5" fillId="0" borderId="0" xfId="0" applyFont="1" applyFill="1" applyBorder="1" applyAlignment="1">
      <alignment vertical="center"/>
    </xf>
    <xf numFmtId="0" fontId="6" fillId="9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 shrinkToFit="1"/>
    </xf>
    <xf numFmtId="0" fontId="6" fillId="2" borderId="1" xfId="0" applyFont="1" applyFill="1" applyBorder="1" applyAlignment="1">
      <alignment horizontal="center" vertical="center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13" fillId="9" borderId="0" xfId="0" applyFont="1" applyFill="1">
      <alignment vertical="center"/>
    </xf>
    <xf numFmtId="49" fontId="6" fillId="0" borderId="12" xfId="0" applyNumberFormat="1" applyFont="1" applyFill="1" applyBorder="1" applyAlignment="1" applyProtection="1">
      <alignment vertical="center" shrinkToFit="1"/>
      <protection locked="0"/>
    </xf>
    <xf numFmtId="49" fontId="6" fillId="12" borderId="12" xfId="0" applyNumberFormat="1" applyFont="1" applyFill="1" applyBorder="1" applyAlignment="1" applyProtection="1">
      <alignment vertical="center" shrinkToFit="1"/>
    </xf>
    <xf numFmtId="0" fontId="18" fillId="13" borderId="0" xfId="0" applyFont="1" applyFill="1" applyAlignment="1">
      <alignment horizontal="center" vertical="center" wrapText="1" shrinkToFit="1"/>
    </xf>
    <xf numFmtId="0" fontId="0" fillId="4" borderId="0" xfId="0" applyFill="1">
      <alignment vertical="center"/>
    </xf>
    <xf numFmtId="0" fontId="0" fillId="9" borderId="0" xfId="0" applyFill="1">
      <alignment vertical="center"/>
    </xf>
    <xf numFmtId="0" fontId="6" fillId="4" borderId="2" xfId="0" applyFont="1" applyFill="1" applyBorder="1" applyAlignment="1">
      <alignment vertical="center"/>
    </xf>
    <xf numFmtId="0" fontId="6" fillId="4" borderId="3" xfId="0" applyFont="1" applyFill="1" applyBorder="1" applyAlignment="1">
      <alignment vertical="center"/>
    </xf>
    <xf numFmtId="0" fontId="6" fillId="4" borderId="13" xfId="0" applyFont="1" applyFill="1" applyBorder="1" applyAlignment="1">
      <alignment vertical="center"/>
    </xf>
    <xf numFmtId="0" fontId="6" fillId="4" borderId="5" xfId="0" applyFont="1" applyFill="1" applyBorder="1" applyAlignment="1">
      <alignment vertical="center"/>
    </xf>
    <xf numFmtId="0" fontId="6" fillId="4" borderId="6" xfId="0" applyFont="1" applyFill="1" applyBorder="1" applyAlignment="1">
      <alignment vertical="center"/>
    </xf>
    <xf numFmtId="0" fontId="0" fillId="0" borderId="0" xfId="0">
      <alignment vertical="center"/>
    </xf>
    <xf numFmtId="0" fontId="6" fillId="2" borderId="9" xfId="0" applyFont="1" applyFill="1" applyBorder="1" applyAlignment="1">
      <alignment horizontal="center" vertical="center" shrinkToFit="1"/>
    </xf>
    <xf numFmtId="0" fontId="6" fillId="2" borderId="26" xfId="0" applyFont="1" applyFill="1" applyBorder="1" applyAlignment="1">
      <alignment horizontal="center" vertical="center" shrinkToFit="1"/>
    </xf>
    <xf numFmtId="0" fontId="6" fillId="2" borderId="11" xfId="0" applyFont="1" applyFill="1" applyBorder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11" fillId="0" borderId="0" xfId="0" applyFont="1" applyAlignment="1">
      <alignment vertical="center" shrinkToFit="1"/>
    </xf>
    <xf numFmtId="0" fontId="0" fillId="9" borderId="0" xfId="0" applyFill="1" applyAlignment="1">
      <alignment vertical="center" wrapText="1"/>
    </xf>
    <xf numFmtId="0" fontId="20" fillId="0" borderId="0" xfId="0" applyFont="1" applyAlignment="1">
      <alignment vertical="center" shrinkToFit="1"/>
    </xf>
    <xf numFmtId="0" fontId="6" fillId="9" borderId="0" xfId="0" applyFont="1" applyFill="1" applyBorder="1" applyAlignment="1" applyProtection="1">
      <alignment vertical="center"/>
    </xf>
    <xf numFmtId="0" fontId="6" fillId="0" borderId="0" xfId="0" applyFont="1" applyFill="1" applyBorder="1" applyAlignment="1" applyProtection="1">
      <alignment vertical="center"/>
    </xf>
    <xf numFmtId="0" fontId="0" fillId="0" borderId="0" xfId="0" applyAlignment="1">
      <alignment horizontal="center" vertical="center" shrinkToFit="1"/>
    </xf>
    <xf numFmtId="0" fontId="6" fillId="0" borderId="22" xfId="0" applyFont="1" applyFill="1" applyBorder="1" applyAlignment="1">
      <alignment vertical="center"/>
    </xf>
    <xf numFmtId="0" fontId="6" fillId="0" borderId="23" xfId="0" applyFont="1" applyFill="1" applyBorder="1" applyAlignment="1">
      <alignment vertical="center"/>
    </xf>
    <xf numFmtId="0" fontId="6" fillId="0" borderId="24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 shrinkToFit="1"/>
    </xf>
    <xf numFmtId="0" fontId="10" fillId="0" borderId="0" xfId="0" applyFont="1" applyFill="1" applyBorder="1" applyAlignment="1">
      <alignment vertical="center"/>
    </xf>
    <xf numFmtId="0" fontId="3" fillId="0" borderId="0" xfId="1" applyFont="1" applyFill="1" applyBorder="1" applyAlignment="1">
      <alignment vertical="center" shrinkToFit="1"/>
    </xf>
    <xf numFmtId="0" fontId="4" fillId="0" borderId="0" xfId="1" applyFont="1" applyFill="1" applyBorder="1" applyAlignment="1">
      <alignment vertical="center" shrinkToFi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shrinkToFit="1"/>
    </xf>
    <xf numFmtId="0" fontId="16" fillId="0" borderId="0" xfId="0" applyFont="1" applyAlignment="1">
      <alignment vertical="center" shrinkToFit="1"/>
    </xf>
    <xf numFmtId="0" fontId="6" fillId="4" borderId="0" xfId="0" applyFont="1" applyFill="1" applyBorder="1" applyAlignment="1">
      <alignment vertical="center" shrinkToFit="1"/>
    </xf>
    <xf numFmtId="0" fontId="13" fillId="9" borderId="0" xfId="0" applyNumberFormat="1" applyFont="1" applyFill="1" applyAlignment="1">
      <alignment vertical="center" wrapText="1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 shrinkToFit="1"/>
    </xf>
    <xf numFmtId="0" fontId="0" fillId="0" borderId="0" xfId="0">
      <alignment vertical="center"/>
    </xf>
    <xf numFmtId="0" fontId="6" fillId="4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1" fillId="0" borderId="0" xfId="0" applyFont="1">
      <alignment vertical="center"/>
    </xf>
    <xf numFmtId="0" fontId="0" fillId="0" borderId="0" xfId="0" applyAlignment="1">
      <alignment vertical="center" shrinkToFit="1"/>
    </xf>
    <xf numFmtId="0" fontId="13" fillId="9" borderId="0" xfId="0" applyFont="1" applyFill="1" applyAlignment="1">
      <alignment vertical="center" wrapText="1"/>
    </xf>
    <xf numFmtId="0" fontId="6" fillId="9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 shrinkToFit="1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6" fillId="13" borderId="0" xfId="0" applyFont="1" applyFill="1" applyBorder="1" applyAlignment="1">
      <alignment vertical="center"/>
    </xf>
    <xf numFmtId="0" fontId="10" fillId="0" borderId="0" xfId="0" applyFont="1" applyFill="1" applyBorder="1" applyAlignment="1" applyProtection="1">
      <alignment vertical="center"/>
      <protection locked="0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 wrapText="1" shrinkToFit="1"/>
    </xf>
    <xf numFmtId="0" fontId="0" fillId="0" borderId="35" xfId="0" applyBorder="1">
      <alignment vertical="center"/>
    </xf>
    <xf numFmtId="0" fontId="0" fillId="0" borderId="35" xfId="0" applyBorder="1" applyAlignment="1">
      <alignment vertical="center" shrinkToFit="1"/>
    </xf>
    <xf numFmtId="0" fontId="0" fillId="9" borderId="35" xfId="0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0" fillId="0" borderId="5" xfId="0" applyBorder="1">
      <alignment vertical="center"/>
    </xf>
    <xf numFmtId="0" fontId="0" fillId="0" borderId="36" xfId="0" applyBorder="1">
      <alignment vertical="center"/>
    </xf>
    <xf numFmtId="0" fontId="0" fillId="0" borderId="0" xfId="0" applyBorder="1">
      <alignment vertical="center"/>
    </xf>
    <xf numFmtId="0" fontId="0" fillId="9" borderId="3" xfId="0" applyFill="1" applyBorder="1" applyAlignment="1">
      <alignment vertical="center"/>
    </xf>
    <xf numFmtId="0" fontId="0" fillId="0" borderId="37" xfId="0" applyFill="1" applyBorder="1" applyAlignment="1">
      <alignment vertical="center"/>
    </xf>
    <xf numFmtId="0" fontId="0" fillId="0" borderId="0" xfId="0" applyAlignment="1">
      <alignment horizontal="center" vertical="center" shrinkToFit="1"/>
    </xf>
    <xf numFmtId="0" fontId="0" fillId="9" borderId="12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Border="1" applyAlignment="1">
      <alignment vertical="center" shrinkToFit="1"/>
    </xf>
    <xf numFmtId="0" fontId="0" fillId="9" borderId="0" xfId="0" applyFill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shrinkToFit="1"/>
    </xf>
    <xf numFmtId="0" fontId="0" fillId="0" borderId="0" xfId="0" quotePrefix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1" fillId="5" borderId="38" xfId="0" applyFont="1" applyFill="1" applyBorder="1" applyAlignment="1">
      <alignment horizontal="center" vertical="center" wrapText="1" shrinkToFit="1"/>
    </xf>
    <xf numFmtId="0" fontId="11" fillId="5" borderId="38" xfId="0" applyFont="1" applyFill="1" applyBorder="1" applyAlignment="1">
      <alignment horizontal="center" vertical="center" wrapText="1"/>
    </xf>
    <xf numFmtId="0" fontId="23" fillId="13" borderId="40" xfId="2" applyFont="1" applyFill="1" applyBorder="1" applyAlignment="1">
      <alignment horizontal="center" vertical="center" wrapText="1" shrinkToFit="1"/>
    </xf>
    <xf numFmtId="0" fontId="23" fillId="13" borderId="42" xfId="2" applyFont="1" applyFill="1" applyBorder="1" applyAlignment="1">
      <alignment horizontal="center" vertical="center" wrapText="1" shrinkToFit="1"/>
    </xf>
    <xf numFmtId="0" fontId="23" fillId="13" borderId="44" xfId="2" applyFont="1" applyFill="1" applyBorder="1" applyAlignment="1">
      <alignment horizontal="center" vertical="center" wrapText="1" shrinkToFit="1"/>
    </xf>
    <xf numFmtId="0" fontId="24" fillId="0" borderId="0" xfId="0" applyFont="1" applyAlignment="1">
      <alignment horizontal="center" vertical="center"/>
    </xf>
    <xf numFmtId="0" fontId="25" fillId="13" borderId="42" xfId="2" applyFont="1" applyFill="1" applyBorder="1" applyAlignment="1">
      <alignment horizontal="center" vertical="center" wrapText="1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/>
    </xf>
    <xf numFmtId="0" fontId="26" fillId="13" borderId="42" xfId="2" applyFont="1" applyFill="1" applyBorder="1" applyAlignment="1">
      <alignment horizontal="center" vertical="center" wrapText="1" shrinkToFit="1"/>
    </xf>
    <xf numFmtId="0" fontId="22" fillId="0" borderId="0" xfId="2" applyFont="1" applyFill="1" applyBorder="1" applyAlignment="1">
      <alignment vertical="center" shrinkToFit="1"/>
    </xf>
    <xf numFmtId="0" fontId="0" fillId="9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>
      <alignment vertical="center"/>
    </xf>
    <xf numFmtId="0" fontId="0" fillId="9" borderId="0" xfId="0" applyFill="1" applyAlignment="1">
      <alignment horizontal="center" vertical="center"/>
    </xf>
    <xf numFmtId="0" fontId="25" fillId="13" borderId="30" xfId="2" applyFont="1" applyFill="1" applyBorder="1" applyAlignment="1">
      <alignment horizontal="center" vertical="center" wrapText="1" shrinkToFit="1"/>
    </xf>
    <xf numFmtId="0" fontId="26" fillId="13" borderId="46" xfId="2" applyFont="1" applyFill="1" applyBorder="1" applyAlignment="1">
      <alignment horizontal="center" vertical="center" wrapText="1" shrinkToFit="1"/>
    </xf>
    <xf numFmtId="0" fontId="26" fillId="13" borderId="48" xfId="2" applyFont="1" applyFill="1" applyBorder="1" applyAlignment="1">
      <alignment horizontal="center" vertical="center" wrapText="1" shrinkToFit="1"/>
    </xf>
    <xf numFmtId="0" fontId="26" fillId="13" borderId="50" xfId="2" applyFont="1" applyFill="1" applyBorder="1" applyAlignment="1">
      <alignment horizontal="center" vertical="center" wrapText="1" shrinkToFit="1"/>
    </xf>
    <xf numFmtId="49" fontId="6" fillId="4" borderId="0" xfId="0" applyNumberFormat="1" applyFont="1" applyFill="1" applyBorder="1" applyAlignment="1">
      <alignment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0" xfId="0" quotePrefix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76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54" xfId="0" applyBorder="1">
      <alignment vertical="center"/>
    </xf>
    <xf numFmtId="0" fontId="0" fillId="0" borderId="54" xfId="0" applyBorder="1" applyAlignment="1">
      <alignment vertical="center" shrinkToFit="1"/>
    </xf>
    <xf numFmtId="0" fontId="0" fillId="0" borderId="54" xfId="0" applyFill="1" applyBorder="1">
      <alignment vertical="center"/>
    </xf>
    <xf numFmtId="0" fontId="13" fillId="0" borderId="0" xfId="0" applyFont="1" applyBorder="1" applyAlignment="1">
      <alignment vertical="center" shrinkToFit="1"/>
    </xf>
    <xf numFmtId="0" fontId="13" fillId="0" borderId="27" xfId="0" applyFont="1" applyBorder="1" applyAlignment="1">
      <alignment vertical="center" shrinkToFit="1"/>
    </xf>
    <xf numFmtId="0" fontId="27" fillId="0" borderId="0" xfId="0" applyFont="1" applyFill="1">
      <alignment vertical="center"/>
    </xf>
    <xf numFmtId="0" fontId="11" fillId="0" borderId="0" xfId="0" applyFont="1" applyBorder="1" applyAlignment="1">
      <alignment vertical="center" shrinkToFit="1"/>
    </xf>
    <xf numFmtId="0" fontId="0" fillId="0" borderId="0" xfId="0" applyBorder="1" applyAlignment="1">
      <alignment vertical="center" wrapText="1"/>
    </xf>
    <xf numFmtId="0" fontId="0" fillId="0" borderId="55" xfId="0" applyBorder="1" applyAlignment="1">
      <alignment vertical="center" shrinkToFit="1"/>
    </xf>
    <xf numFmtId="0" fontId="7" fillId="6" borderId="55" xfId="0" applyFont="1" applyFill="1" applyBorder="1" applyAlignment="1">
      <alignment vertical="center" wrapText="1"/>
    </xf>
    <xf numFmtId="0" fontId="19" fillId="6" borderId="55" xfId="0" applyFont="1" applyFill="1" applyBorder="1" applyAlignment="1">
      <alignment vertical="center" wrapText="1"/>
    </xf>
    <xf numFmtId="0" fontId="19" fillId="0" borderId="55" xfId="0" applyFont="1" applyFill="1" applyBorder="1" applyAlignment="1">
      <alignment vertical="center" wrapText="1"/>
    </xf>
    <xf numFmtId="0" fontId="0" fillId="0" borderId="14" xfId="0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0" fontId="9" fillId="9" borderId="32" xfId="0" applyFont="1" applyFill="1" applyBorder="1" applyAlignment="1" applyProtection="1">
      <alignment vertical="center"/>
      <protection locked="0"/>
    </xf>
    <xf numFmtId="0" fontId="9" fillId="9" borderId="33" xfId="0" applyFont="1" applyFill="1" applyBorder="1" applyAlignment="1" applyProtection="1">
      <alignment vertical="center"/>
      <protection locked="0"/>
    </xf>
    <xf numFmtId="0" fontId="6" fillId="0" borderId="33" xfId="0" applyFont="1" applyFill="1" applyBorder="1" applyAlignment="1" applyProtection="1">
      <alignment vertical="center"/>
      <protection locked="0"/>
    </xf>
    <xf numFmtId="0" fontId="9" fillId="0" borderId="33" xfId="0" applyFont="1" applyFill="1" applyBorder="1" applyAlignment="1" applyProtection="1">
      <alignment vertical="center"/>
      <protection locked="0"/>
    </xf>
    <xf numFmtId="0" fontId="9" fillId="9" borderId="34" xfId="0" applyFont="1" applyFill="1" applyBorder="1" applyAlignment="1" applyProtection="1">
      <alignment vertical="center"/>
      <protection locked="0"/>
    </xf>
    <xf numFmtId="0" fontId="6" fillId="9" borderId="27" xfId="0" applyFont="1" applyFill="1" applyBorder="1" applyAlignment="1" applyProtection="1">
      <alignment vertical="center"/>
      <protection locked="0"/>
    </xf>
    <xf numFmtId="0" fontId="6" fillId="0" borderId="0" xfId="0" applyFont="1" applyFill="1" applyBorder="1" applyAlignment="1" applyProtection="1">
      <alignment vertical="center"/>
      <protection locked="0"/>
    </xf>
    <xf numFmtId="0" fontId="6" fillId="0" borderId="0" xfId="0" applyFont="1" applyFill="1" applyBorder="1" applyAlignment="1" applyProtection="1">
      <alignment vertical="center" shrinkToFit="1"/>
      <protection locked="0"/>
    </xf>
    <xf numFmtId="0" fontId="6" fillId="9" borderId="0" xfId="0" applyFont="1" applyFill="1" applyBorder="1" applyAlignment="1" applyProtection="1">
      <alignment vertical="center"/>
      <protection locked="0"/>
    </xf>
    <xf numFmtId="0" fontId="6" fillId="13" borderId="1" xfId="0" applyFont="1" applyFill="1" applyBorder="1" applyAlignment="1" applyProtection="1">
      <alignment vertical="center"/>
      <protection locked="0"/>
    </xf>
    <xf numFmtId="0" fontId="6" fillId="0" borderId="0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vertical="center"/>
    </xf>
    <xf numFmtId="0" fontId="5" fillId="3" borderId="0" xfId="0" applyFont="1" applyFill="1" applyBorder="1" applyAlignment="1" applyProtection="1">
      <alignment vertical="center"/>
    </xf>
    <xf numFmtId="0" fontId="6" fillId="0" borderId="0" xfId="0" applyFont="1" applyFill="1" applyBorder="1" applyAlignment="1" applyProtection="1">
      <alignment horizontal="center" vertical="center" shrinkToFit="1"/>
    </xf>
    <xf numFmtId="0" fontId="6" fillId="4" borderId="0" xfId="0" applyFont="1" applyFill="1" applyBorder="1" applyAlignment="1" applyProtection="1">
      <alignment vertical="center"/>
    </xf>
    <xf numFmtId="0" fontId="6" fillId="0" borderId="0" xfId="0" applyFont="1" applyFill="1" applyBorder="1" applyAlignment="1" applyProtection="1">
      <alignment vertical="center" shrinkToFit="1"/>
    </xf>
    <xf numFmtId="0" fontId="6" fillId="4" borderId="0" xfId="0" applyFont="1" applyFill="1" applyBorder="1" applyAlignment="1" applyProtection="1">
      <alignment horizontal="right" vertical="center"/>
    </xf>
    <xf numFmtId="0" fontId="6" fillId="0" borderId="22" xfId="0" applyFont="1" applyFill="1" applyBorder="1" applyAlignment="1" applyProtection="1">
      <alignment horizontal="right" vertical="center"/>
    </xf>
    <xf numFmtId="0" fontId="6" fillId="0" borderId="23" xfId="0" applyFont="1" applyFill="1" applyBorder="1" applyAlignment="1" applyProtection="1">
      <alignment horizontal="right" vertical="center"/>
    </xf>
    <xf numFmtId="0" fontId="10" fillId="0" borderId="0" xfId="0" applyFont="1" applyFill="1" applyBorder="1" applyAlignment="1" applyProtection="1">
      <alignment vertical="center" shrinkToFit="1"/>
    </xf>
    <xf numFmtId="0" fontId="6" fillId="4" borderId="0" xfId="0" applyFont="1" applyFill="1" applyBorder="1" applyAlignment="1" applyProtection="1">
      <alignment horizontal="center" vertical="center" shrinkToFit="1"/>
    </xf>
    <xf numFmtId="0" fontId="3" fillId="0" borderId="0" xfId="1" applyFont="1" applyFill="1" applyBorder="1" applyAlignment="1" applyProtection="1">
      <alignment vertical="center" shrinkToFit="1"/>
    </xf>
    <xf numFmtId="0" fontId="9" fillId="0" borderId="27" xfId="0" applyFont="1" applyFill="1" applyBorder="1" applyAlignment="1" applyProtection="1">
      <alignment vertical="center"/>
    </xf>
    <xf numFmtId="0" fontId="10" fillId="0" borderId="0" xfId="0" applyFont="1" applyFill="1" applyBorder="1" applyAlignment="1" applyProtection="1">
      <alignment vertical="center"/>
    </xf>
    <xf numFmtId="0" fontId="3" fillId="0" borderId="21" xfId="1" applyFont="1" applyFill="1" applyBorder="1" applyAlignment="1" applyProtection="1">
      <alignment vertical="center" shrinkToFit="1"/>
    </xf>
    <xf numFmtId="0" fontId="6" fillId="9" borderId="27" xfId="0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9" fillId="9" borderId="0" xfId="0" applyFont="1" applyFill="1" applyBorder="1" applyAlignment="1" applyProtection="1">
      <alignment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6" fillId="0" borderId="56" xfId="0" applyFont="1" applyFill="1" applyBorder="1" applyAlignment="1">
      <alignment vertical="center"/>
    </xf>
    <xf numFmtId="0" fontId="6" fillId="0" borderId="57" xfId="0" applyFont="1" applyFill="1" applyBorder="1" applyAlignment="1">
      <alignment vertical="center"/>
    </xf>
    <xf numFmtId="0" fontId="6" fillId="0" borderId="58" xfId="0" applyFont="1" applyFill="1" applyBorder="1" applyAlignment="1">
      <alignment vertical="center"/>
    </xf>
    <xf numFmtId="0" fontId="6" fillId="0" borderId="59" xfId="0" applyFont="1" applyFill="1" applyBorder="1" applyAlignment="1">
      <alignment vertical="center"/>
    </xf>
    <xf numFmtId="0" fontId="6" fillId="0" borderId="60" xfId="0" applyFont="1" applyFill="1" applyBorder="1" applyAlignment="1">
      <alignment vertical="center"/>
    </xf>
    <xf numFmtId="0" fontId="6" fillId="0" borderId="61" xfId="0" applyFont="1" applyFill="1" applyBorder="1" applyAlignment="1">
      <alignment vertical="center"/>
    </xf>
    <xf numFmtId="0" fontId="6" fillId="8" borderId="1" xfId="0" applyFont="1" applyFill="1" applyBorder="1" applyAlignment="1" applyProtection="1">
      <alignment horizontal="left" vertical="center" shrinkToFit="1"/>
      <protection locked="0"/>
    </xf>
    <xf numFmtId="0" fontId="6" fillId="0" borderId="1" xfId="0" applyFont="1" applyFill="1" applyBorder="1" applyAlignment="1" applyProtection="1">
      <alignment vertical="center" shrinkToFit="1"/>
      <protection locked="0"/>
    </xf>
    <xf numFmtId="0" fontId="28" fillId="4" borderId="0" xfId="0" applyFont="1" applyFill="1" applyBorder="1" applyAlignment="1">
      <alignment horizontal="right" vertical="center"/>
    </xf>
    <xf numFmtId="0" fontId="6" fillId="0" borderId="0" xfId="0" applyFont="1" applyFill="1" applyProtection="1">
      <alignment vertical="center"/>
      <protection locked="0"/>
    </xf>
    <xf numFmtId="0" fontId="6" fillId="0" borderId="0" xfId="0" applyFont="1" applyFill="1" applyAlignment="1" applyProtection="1">
      <alignment vertical="center" shrinkToFit="1"/>
      <protection locked="0"/>
    </xf>
    <xf numFmtId="0" fontId="6" fillId="4" borderId="5" xfId="0" applyFont="1" applyFill="1" applyBorder="1" applyAlignment="1" applyProtection="1">
      <alignment vertical="center"/>
    </xf>
    <xf numFmtId="0" fontId="13" fillId="0" borderId="0" xfId="0" applyFont="1" applyFill="1" applyAlignment="1">
      <alignment vertical="center" wrapText="1"/>
    </xf>
    <xf numFmtId="0" fontId="6" fillId="2" borderId="12" xfId="0" applyFont="1" applyFill="1" applyBorder="1" applyAlignment="1">
      <alignment horizontal="center" vertical="center"/>
    </xf>
    <xf numFmtId="0" fontId="6" fillId="13" borderId="19" xfId="0" applyFont="1" applyFill="1" applyBorder="1" applyAlignment="1" applyProtection="1">
      <alignment horizontal="center" vertical="center"/>
      <protection locked="0"/>
    </xf>
    <xf numFmtId="0" fontId="0" fillId="9" borderId="0" xfId="0" applyFill="1" applyAlignment="1">
      <alignment vertical="center" shrinkToFit="1"/>
    </xf>
    <xf numFmtId="0" fontId="0" fillId="9" borderId="1" xfId="0" applyFill="1" applyBorder="1">
      <alignment vertical="center"/>
    </xf>
    <xf numFmtId="49" fontId="0" fillId="9" borderId="0" xfId="0" applyNumberFormat="1" applyFill="1" applyAlignment="1">
      <alignment vertical="center" shrinkToFit="1"/>
    </xf>
    <xf numFmtId="0" fontId="6" fillId="4" borderId="0" xfId="0" applyFont="1" applyFill="1" applyBorder="1" applyAlignment="1">
      <alignment horizontal="center" vertical="center" shrinkToFit="1"/>
    </xf>
    <xf numFmtId="0" fontId="13" fillId="9" borderId="0" xfId="0" applyFont="1" applyFill="1" applyBorder="1" applyAlignment="1">
      <alignment vertical="center" wrapText="1"/>
    </xf>
    <xf numFmtId="0" fontId="13" fillId="0" borderId="0" xfId="0" applyFont="1" applyBorder="1">
      <alignment vertical="center"/>
    </xf>
    <xf numFmtId="0" fontId="13" fillId="9" borderId="0" xfId="0" applyFont="1" applyFill="1" applyAlignment="1">
      <alignment vertical="center" wrapText="1"/>
    </xf>
    <xf numFmtId="0" fontId="13" fillId="0" borderId="0" xfId="0" applyFont="1">
      <alignment vertical="center"/>
    </xf>
    <xf numFmtId="0" fontId="0" fillId="9" borderId="41" xfId="0" applyFill="1" applyBorder="1" applyAlignment="1">
      <alignment horizontal="center" vertical="center"/>
    </xf>
    <xf numFmtId="0" fontId="0" fillId="9" borderId="43" xfId="0" applyNumberFormat="1" applyFill="1" applyBorder="1" applyAlignment="1">
      <alignment horizontal="center" vertical="center"/>
    </xf>
    <xf numFmtId="0" fontId="0" fillId="9" borderId="45" xfId="0" applyFill="1" applyBorder="1" applyAlignment="1">
      <alignment horizontal="center" vertical="center"/>
    </xf>
    <xf numFmtId="0" fontId="0" fillId="9" borderId="31" xfId="0" applyFill="1" applyBorder="1" applyAlignment="1">
      <alignment horizontal="center" vertical="center"/>
    </xf>
    <xf numFmtId="0" fontId="0" fillId="9" borderId="43" xfId="0" applyFill="1" applyBorder="1" applyAlignment="1">
      <alignment horizontal="center" vertical="center" shrinkToFit="1"/>
    </xf>
    <xf numFmtId="0" fontId="0" fillId="9" borderId="43" xfId="0" applyFill="1" applyBorder="1" applyAlignment="1">
      <alignment horizontal="center" vertical="center"/>
    </xf>
    <xf numFmtId="0" fontId="0" fillId="9" borderId="47" xfId="0" applyFill="1" applyBorder="1" applyAlignment="1">
      <alignment horizontal="center" vertical="center"/>
    </xf>
    <xf numFmtId="0" fontId="0" fillId="9" borderId="49" xfId="0" applyFill="1" applyBorder="1" applyAlignment="1">
      <alignment horizontal="center" vertical="center"/>
    </xf>
    <xf numFmtId="0" fontId="0" fillId="9" borderId="51" xfId="0" applyFill="1" applyBorder="1" applyAlignment="1">
      <alignment horizontal="center" vertical="center"/>
    </xf>
    <xf numFmtId="0" fontId="0" fillId="9" borderId="29" xfId="0" applyFill="1" applyBorder="1" applyAlignment="1">
      <alignment horizontal="center" vertical="center"/>
    </xf>
    <xf numFmtId="0" fontId="6" fillId="2" borderId="63" xfId="0" applyFont="1" applyFill="1" applyBorder="1" applyAlignment="1">
      <alignment horizontal="center" vertical="center" shrinkToFit="1"/>
    </xf>
    <xf numFmtId="0" fontId="0" fillId="4" borderId="0" xfId="0" applyFill="1" applyBorder="1">
      <alignment vertical="center"/>
    </xf>
    <xf numFmtId="0" fontId="6" fillId="2" borderId="12" xfId="0" applyFont="1" applyFill="1" applyBorder="1" applyAlignment="1">
      <alignment horizontal="center" vertical="center" shrinkToFit="1"/>
    </xf>
    <xf numFmtId="0" fontId="0" fillId="0" borderId="12" xfId="0" applyBorder="1">
      <alignment vertical="center"/>
    </xf>
    <xf numFmtId="0" fontId="0" fillId="0" borderId="0" xfId="0" applyFill="1">
      <alignment vertical="center"/>
    </xf>
    <xf numFmtId="49" fontId="6" fillId="4" borderId="20" xfId="0" applyNumberFormat="1" applyFont="1" applyFill="1" applyBorder="1" applyAlignment="1">
      <alignment vertical="center" shrinkToFit="1"/>
    </xf>
    <xf numFmtId="0" fontId="6" fillId="4" borderId="20" xfId="0" applyFont="1" applyFill="1" applyBorder="1" applyAlignment="1">
      <alignment vertical="center" shrinkToFit="1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0" fontId="29" fillId="0" borderId="0" xfId="0" applyFont="1" applyFill="1">
      <alignment vertical="center"/>
    </xf>
    <xf numFmtId="0" fontId="0" fillId="0" borderId="0" xfId="0" quotePrefix="1" applyAlignment="1">
      <alignment horizontal="center" vertical="center"/>
    </xf>
    <xf numFmtId="0" fontId="0" fillId="9" borderId="0" xfId="0" applyNumberFormat="1" applyFill="1">
      <alignment vertical="center"/>
    </xf>
    <xf numFmtId="0" fontId="0" fillId="0" borderId="0" xfId="0" applyNumberFormat="1">
      <alignment vertical="center"/>
    </xf>
    <xf numFmtId="0" fontId="6" fillId="0" borderId="20" xfId="0" applyFont="1" applyFill="1" applyBorder="1" applyAlignment="1" applyProtection="1">
      <alignment horizontal="center" vertical="center" shrinkToFit="1"/>
      <protection locked="0"/>
    </xf>
    <xf numFmtId="0" fontId="6" fillId="9" borderId="32" xfId="0" applyFont="1" applyFill="1" applyBorder="1" applyAlignment="1">
      <alignment horizontal="center" vertical="center"/>
    </xf>
    <xf numFmtId="0" fontId="6" fillId="9" borderId="33" xfId="0" applyFont="1" applyFill="1" applyBorder="1" applyAlignment="1">
      <alignment horizontal="center" vertical="center"/>
    </xf>
    <xf numFmtId="0" fontId="6" fillId="9" borderId="33" xfId="0" applyFont="1" applyFill="1" applyBorder="1" applyAlignment="1">
      <alignment vertical="center"/>
    </xf>
    <xf numFmtId="0" fontId="6" fillId="9" borderId="34" xfId="0" applyFont="1" applyFill="1" applyBorder="1" applyAlignment="1">
      <alignment vertical="center"/>
    </xf>
    <xf numFmtId="0" fontId="6" fillId="4" borderId="62" xfId="0" applyFont="1" applyFill="1" applyBorder="1" applyAlignment="1" applyProtection="1">
      <alignment vertical="center"/>
    </xf>
    <xf numFmtId="0" fontId="6" fillId="2" borderId="63" xfId="0" applyFont="1" applyFill="1" applyBorder="1" applyAlignment="1" applyProtection="1">
      <alignment horizontal="center" vertical="center" shrinkToFit="1"/>
    </xf>
    <xf numFmtId="0" fontId="10" fillId="2" borderId="63" xfId="0" applyFont="1" applyFill="1" applyBorder="1" applyAlignment="1" applyProtection="1">
      <alignment horizontal="center" vertical="center" shrinkToFit="1"/>
    </xf>
    <xf numFmtId="0" fontId="8" fillId="0" borderId="0" xfId="0" applyFont="1" applyFill="1" applyBorder="1" applyAlignment="1" applyProtection="1">
      <alignment vertical="center"/>
      <protection locked="0"/>
    </xf>
    <xf numFmtId="0" fontId="0" fillId="0" borderId="0" xfId="0" applyProtection="1">
      <alignment vertical="center"/>
    </xf>
    <xf numFmtId="0" fontId="10" fillId="2" borderId="63" xfId="0" applyFont="1" applyFill="1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6" fillId="4" borderId="8" xfId="0" applyFont="1" applyFill="1" applyBorder="1" applyAlignment="1" applyProtection="1">
      <alignment vertical="center" shrinkToFit="1"/>
    </xf>
    <xf numFmtId="0" fontId="6" fillId="13" borderId="8" xfId="0" applyFont="1" applyFill="1" applyBorder="1" applyAlignment="1" applyProtection="1">
      <alignment vertical="center" shrinkToFit="1"/>
      <protection locked="0"/>
    </xf>
    <xf numFmtId="0" fontId="29" fillId="9" borderId="0" xfId="0" applyFont="1" applyFill="1" applyAlignment="1">
      <alignment vertical="center" shrinkToFit="1"/>
    </xf>
    <xf numFmtId="0" fontId="29" fillId="9" borderId="0" xfId="0" applyFont="1" applyFill="1">
      <alignment vertical="center"/>
    </xf>
    <xf numFmtId="0" fontId="10" fillId="9" borderId="63" xfId="0" applyFont="1" applyFill="1" applyBorder="1" applyAlignment="1">
      <alignment horizontal="center" vertical="center" shrinkToFit="1"/>
    </xf>
    <xf numFmtId="49" fontId="0" fillId="9" borderId="0" xfId="0" applyNumberFormat="1" applyFill="1" applyAlignment="1">
      <alignment horizontal="center" vertical="center"/>
    </xf>
    <xf numFmtId="0" fontId="9" fillId="4" borderId="1" xfId="0" applyFont="1" applyFill="1" applyBorder="1" applyAlignment="1" applyProtection="1">
      <alignment horizontal="center" vertical="center"/>
    </xf>
    <xf numFmtId="0" fontId="9" fillId="13" borderId="1" xfId="0" applyFont="1" applyFill="1" applyBorder="1" applyAlignment="1" applyProtection="1">
      <alignment horizontal="center" vertical="center"/>
      <protection locked="0"/>
    </xf>
    <xf numFmtId="0" fontId="14" fillId="13" borderId="0" xfId="0" applyFont="1" applyFill="1">
      <alignment vertical="center"/>
    </xf>
    <xf numFmtId="0" fontId="0" fillId="13" borderId="0" xfId="0" applyFill="1" applyAlignment="1">
      <alignment horizontal="center" vertical="center"/>
    </xf>
    <xf numFmtId="0" fontId="0" fillId="13" borderId="0" xfId="0" applyFill="1">
      <alignment vertical="center"/>
    </xf>
    <xf numFmtId="0" fontId="6" fillId="4" borderId="0" xfId="0" applyFont="1" applyFill="1" applyBorder="1" applyAlignment="1">
      <alignment horizontal="center" vertical="center" shrinkToFit="1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6" fillId="2" borderId="12" xfId="0" applyNumberFormat="1" applyFont="1" applyFill="1" applyBorder="1" applyAlignment="1">
      <alignment horizontal="center" vertical="center"/>
    </xf>
    <xf numFmtId="0" fontId="6" fillId="4" borderId="8" xfId="0" applyFont="1" applyFill="1" applyBorder="1" applyAlignment="1" applyProtection="1">
      <alignment vertical="center"/>
    </xf>
    <xf numFmtId="0" fontId="6" fillId="4" borderId="0" xfId="0" applyFont="1" applyFill="1" applyBorder="1" applyAlignment="1">
      <alignment horizontal="center" vertical="center"/>
    </xf>
    <xf numFmtId="0" fontId="6" fillId="4" borderId="62" xfId="0" applyFont="1" applyFill="1" applyBorder="1" applyAlignment="1">
      <alignment vertical="center"/>
    </xf>
    <xf numFmtId="0" fontId="6" fillId="4" borderId="0" xfId="0" applyFont="1" applyFill="1" applyBorder="1" applyAlignment="1">
      <alignment horizontal="center" vertical="center" shrinkToFit="1"/>
    </xf>
    <xf numFmtId="0" fontId="6" fillId="4" borderId="20" xfId="0" applyFont="1" applyFill="1" applyBorder="1" applyAlignment="1">
      <alignment horizontal="center" vertical="center" shrinkToFit="1"/>
    </xf>
    <xf numFmtId="0" fontId="6" fillId="0" borderId="20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>
      <alignment horizontal="right" vertical="top"/>
    </xf>
    <xf numFmtId="0" fontId="6" fillId="4" borderId="0" xfId="0" applyFont="1" applyFill="1" applyBorder="1" applyAlignment="1">
      <alignment horizontal="left" vertical="top" wrapText="1"/>
    </xf>
    <xf numFmtId="0" fontId="6" fillId="9" borderId="63" xfId="0" applyFont="1" applyFill="1" applyBorder="1" applyAlignment="1">
      <alignment horizontal="center" vertical="center" shrinkToFit="1"/>
    </xf>
    <xf numFmtId="0" fontId="13" fillId="0" borderId="0" xfId="0" applyFont="1" applyFill="1">
      <alignment vertical="center"/>
    </xf>
    <xf numFmtId="0" fontId="0" fillId="0" borderId="0" xfId="0" applyFill="1" applyAlignment="1">
      <alignment horizontal="center" vertical="center"/>
    </xf>
    <xf numFmtId="0" fontId="19" fillId="0" borderId="0" xfId="0" applyFont="1" applyAlignment="1">
      <alignment vertical="center" shrinkToFit="1"/>
    </xf>
    <xf numFmtId="0" fontId="6" fillId="9" borderId="0" xfId="0" applyFont="1" applyFill="1" applyBorder="1" applyAlignment="1" applyProtection="1">
      <alignment vertical="center"/>
      <protection locked="0"/>
    </xf>
    <xf numFmtId="49" fontId="6" fillId="0" borderId="1" xfId="0" applyNumberFormat="1" applyFont="1" applyFill="1" applyBorder="1" applyAlignment="1" applyProtection="1">
      <alignment vertical="center" shrinkToFit="1"/>
      <protection locked="0"/>
    </xf>
    <xf numFmtId="0" fontId="6" fillId="4" borderId="7" xfId="0" applyFont="1" applyFill="1" applyBorder="1" applyAlignment="1" applyProtection="1">
      <alignment vertical="center"/>
    </xf>
    <xf numFmtId="0" fontId="0" fillId="0" borderId="0" xfId="0" applyFill="1" applyAlignment="1">
      <alignment vertical="center" shrinkToFit="1"/>
    </xf>
    <xf numFmtId="0" fontId="6" fillId="4" borderId="0" xfId="0" applyFont="1" applyFill="1" applyBorder="1" applyAlignment="1">
      <alignment horizontal="center" vertical="center" shrinkToFit="1"/>
    </xf>
    <xf numFmtId="49" fontId="6" fillId="2" borderId="1" xfId="0" applyNumberFormat="1" applyFont="1" applyFill="1" applyBorder="1" applyAlignment="1">
      <alignment horizontal="center" vertical="center"/>
    </xf>
    <xf numFmtId="0" fontId="0" fillId="9" borderId="0" xfId="0" applyNumberFormat="1" applyFill="1" applyAlignment="1">
      <alignment horizontal="center" vertical="center"/>
    </xf>
    <xf numFmtId="0" fontId="13" fillId="0" borderId="0" xfId="0" quotePrefix="1" applyFont="1" applyAlignment="1">
      <alignment vertical="center" wrapText="1"/>
    </xf>
    <xf numFmtId="0" fontId="13" fillId="0" borderId="0" xfId="0" quotePrefix="1" applyFont="1">
      <alignment vertical="center"/>
    </xf>
    <xf numFmtId="0" fontId="0" fillId="0" borderId="0" xfId="0" quotePrefix="1" applyAlignment="1">
      <alignment vertical="center" shrinkToFit="1"/>
    </xf>
    <xf numFmtId="0" fontId="30" fillId="2" borderId="63" xfId="0" applyFont="1" applyFill="1" applyBorder="1" applyAlignment="1">
      <alignment horizontal="center" vertical="center" wrapText="1" shrinkToFit="1"/>
    </xf>
    <xf numFmtId="0" fontId="31" fillId="2" borderId="63" xfId="0" applyFont="1" applyFill="1" applyBorder="1" applyAlignment="1">
      <alignment horizontal="center" vertical="center" wrapText="1" shrinkToFit="1"/>
    </xf>
    <xf numFmtId="0" fontId="6" fillId="4" borderId="0" xfId="0" applyFont="1" applyFill="1" applyBorder="1" applyAlignment="1" applyProtection="1">
      <alignment horizontal="center" vertical="center"/>
    </xf>
    <xf numFmtId="0" fontId="6" fillId="4" borderId="20" xfId="0" applyFont="1" applyFill="1" applyBorder="1" applyAlignment="1" applyProtection="1">
      <alignment horizontal="center" vertical="center"/>
    </xf>
    <xf numFmtId="0" fontId="6" fillId="4" borderId="20" xfId="0" applyFont="1" applyFill="1" applyBorder="1" applyAlignment="1" applyProtection="1">
      <alignment horizontal="center" vertical="center" shrinkToFit="1"/>
    </xf>
    <xf numFmtId="0" fontId="6" fillId="13" borderId="1" xfId="0" applyFont="1" applyFill="1" applyBorder="1" applyAlignment="1" applyProtection="1">
      <alignment horizontal="center" vertical="center" shrinkToFit="1"/>
      <protection locked="0"/>
    </xf>
    <xf numFmtId="0" fontId="29" fillId="9" borderId="0" xfId="0" applyFont="1" applyFill="1" applyAlignment="1">
      <alignment horizontal="center" vertical="center"/>
    </xf>
    <xf numFmtId="0" fontId="0" fillId="0" borderId="1" xfId="0" applyBorder="1" applyAlignment="1">
      <alignment vertical="center" shrinkToFit="1"/>
    </xf>
    <xf numFmtId="0" fontId="6" fillId="0" borderId="20" xfId="0" applyFont="1" applyFill="1" applyBorder="1" applyAlignment="1" applyProtection="1">
      <alignment vertical="center"/>
    </xf>
    <xf numFmtId="0" fontId="6" fillId="0" borderId="8" xfId="0" applyFont="1" applyFill="1" applyBorder="1" applyAlignment="1" applyProtection="1">
      <alignment vertical="center"/>
    </xf>
    <xf numFmtId="0" fontId="6" fillId="0" borderId="8" xfId="0" applyFont="1" applyFill="1" applyBorder="1" applyAlignment="1">
      <alignment vertical="center" shrinkToFit="1"/>
    </xf>
    <xf numFmtId="0" fontId="6" fillId="0" borderId="8" xfId="0" applyFont="1" applyFill="1" applyBorder="1" applyAlignment="1">
      <alignment horizontal="center" vertical="center"/>
    </xf>
    <xf numFmtId="0" fontId="6" fillId="0" borderId="65" xfId="0" applyFont="1" applyFill="1" applyBorder="1" applyAlignment="1">
      <alignment vertical="center"/>
    </xf>
    <xf numFmtId="0" fontId="6" fillId="0" borderId="66" xfId="0" applyFont="1" applyFill="1" applyBorder="1" applyAlignment="1">
      <alignment vertical="center"/>
    </xf>
    <xf numFmtId="0" fontId="6" fillId="0" borderId="67" xfId="0" applyFont="1" applyFill="1" applyBorder="1" applyAlignment="1">
      <alignment vertical="center"/>
    </xf>
    <xf numFmtId="0" fontId="0" fillId="0" borderId="37" xfId="0" applyFill="1" applyBorder="1">
      <alignment vertical="center"/>
    </xf>
    <xf numFmtId="0" fontId="6" fillId="4" borderId="6" xfId="0" applyFont="1" applyFill="1" applyBorder="1" applyAlignment="1">
      <alignment horizontal="right" vertical="center" shrinkToFit="1"/>
    </xf>
    <xf numFmtId="0" fontId="6" fillId="4" borderId="7" xfId="0" applyFont="1" applyFill="1" applyBorder="1" applyAlignment="1">
      <alignment horizontal="right" vertical="center" shrinkToFit="1"/>
    </xf>
    <xf numFmtId="49" fontId="6" fillId="4" borderId="7" xfId="0" applyNumberFormat="1" applyFont="1" applyFill="1" applyBorder="1" applyAlignment="1">
      <alignment vertical="center"/>
    </xf>
    <xf numFmtId="0" fontId="10" fillId="4" borderId="0" xfId="0" applyFont="1" applyFill="1" applyBorder="1" applyAlignment="1" applyProtection="1">
      <alignment horizontal="right" vertical="center"/>
    </xf>
    <xf numFmtId="0" fontId="6" fillId="4" borderId="22" xfId="0" applyFont="1" applyFill="1" applyBorder="1" applyAlignment="1" applyProtection="1">
      <alignment vertical="center"/>
    </xf>
    <xf numFmtId="0" fontId="6" fillId="4" borderId="23" xfId="0" applyFont="1" applyFill="1" applyBorder="1" applyAlignment="1" applyProtection="1">
      <alignment vertical="center"/>
    </xf>
    <xf numFmtId="0" fontId="6" fillId="4" borderId="24" xfId="0" applyFont="1" applyFill="1" applyBorder="1" applyAlignment="1" applyProtection="1">
      <alignment vertical="center"/>
    </xf>
    <xf numFmtId="0" fontId="6" fillId="4" borderId="2" xfId="0" applyFont="1" applyFill="1" applyBorder="1" applyAlignment="1" applyProtection="1">
      <alignment vertical="center"/>
    </xf>
    <xf numFmtId="0" fontId="6" fillId="4" borderId="3" xfId="0" applyFont="1" applyFill="1" applyBorder="1" applyAlignment="1" applyProtection="1">
      <alignment vertical="center"/>
    </xf>
    <xf numFmtId="0" fontId="6" fillId="4" borderId="13" xfId="0" applyFont="1" applyFill="1" applyBorder="1" applyAlignment="1" applyProtection="1">
      <alignment vertical="center"/>
    </xf>
    <xf numFmtId="0" fontId="6" fillId="4" borderId="4" xfId="0" applyFont="1" applyFill="1" applyBorder="1" applyAlignment="1" applyProtection="1">
      <alignment vertical="center"/>
    </xf>
    <xf numFmtId="0" fontId="6" fillId="4" borderId="6" xfId="0" applyFont="1" applyFill="1" applyBorder="1" applyAlignment="1" applyProtection="1">
      <alignment vertical="center"/>
    </xf>
    <xf numFmtId="49" fontId="6" fillId="4" borderId="0" xfId="0" applyNumberFormat="1" applyFont="1" applyFill="1" applyBorder="1" applyAlignment="1" applyProtection="1">
      <alignment vertical="center"/>
    </xf>
    <xf numFmtId="0" fontId="6" fillId="4" borderId="6" xfId="0" applyFont="1" applyFill="1" applyBorder="1" applyAlignment="1" applyProtection="1">
      <alignment horizontal="right" vertical="center" shrinkToFit="1"/>
    </xf>
    <xf numFmtId="0" fontId="6" fillId="4" borderId="7" xfId="0" applyFont="1" applyFill="1" applyBorder="1" applyAlignment="1" applyProtection="1">
      <alignment horizontal="right" vertical="center" shrinkToFit="1"/>
    </xf>
    <xf numFmtId="49" fontId="6" fillId="4" borderId="7" xfId="0" applyNumberFormat="1" applyFont="1" applyFill="1" applyBorder="1" applyAlignment="1" applyProtection="1">
      <alignment vertical="center"/>
    </xf>
    <xf numFmtId="0" fontId="25" fillId="13" borderId="28" xfId="2" applyFont="1" applyFill="1" applyBorder="1" applyAlignment="1">
      <alignment horizontal="center" vertical="center" wrapText="1" shrinkToFit="1"/>
    </xf>
    <xf numFmtId="0" fontId="33" fillId="13" borderId="0" xfId="0" applyFont="1" applyFill="1" applyAlignment="1">
      <alignment horizontal="center" vertical="center" wrapText="1" shrinkToFit="1"/>
    </xf>
    <xf numFmtId="179" fontId="6" fillId="0" borderId="1" xfId="0" quotePrefix="1" applyNumberFormat="1" applyFont="1" applyFill="1" applyBorder="1" applyAlignment="1" applyProtection="1">
      <alignment vertical="center" shrinkToFit="1"/>
      <protection locked="0"/>
    </xf>
    <xf numFmtId="179" fontId="6" fillId="4" borderId="1" xfId="0" quotePrefix="1" applyNumberFormat="1" applyFont="1" applyFill="1" applyBorder="1" applyAlignment="1" applyProtection="1">
      <alignment vertical="center" shrinkToFit="1"/>
    </xf>
    <xf numFmtId="180" fontId="0" fillId="9" borderId="43" xfId="0" applyNumberFormat="1" applyFill="1" applyBorder="1" applyAlignment="1">
      <alignment horizontal="center" vertical="center"/>
    </xf>
    <xf numFmtId="0" fontId="0" fillId="9" borderId="68" xfId="0" applyFill="1" applyBorder="1">
      <alignment vertical="center"/>
    </xf>
    <xf numFmtId="0" fontId="0" fillId="9" borderId="69" xfId="0" applyFill="1" applyBorder="1">
      <alignment vertical="center"/>
    </xf>
    <xf numFmtId="0" fontId="0" fillId="9" borderId="70" xfId="0" applyFill="1" applyBorder="1">
      <alignment vertical="center"/>
    </xf>
    <xf numFmtId="0" fontId="0" fillId="9" borderId="71" xfId="0" applyFill="1" applyBorder="1">
      <alignment vertical="center"/>
    </xf>
    <xf numFmtId="0" fontId="0" fillId="9" borderId="72" xfId="0" applyFill="1" applyBorder="1">
      <alignment vertical="center"/>
    </xf>
    <xf numFmtId="0" fontId="0" fillId="9" borderId="73" xfId="0" applyFill="1" applyBorder="1">
      <alignment vertical="center"/>
    </xf>
    <xf numFmtId="0" fontId="0" fillId="9" borderId="74" xfId="0" applyFill="1" applyBorder="1">
      <alignment vertical="center"/>
    </xf>
    <xf numFmtId="0" fontId="0" fillId="9" borderId="75" xfId="0" applyFill="1" applyBorder="1">
      <alignment vertical="center"/>
    </xf>
    <xf numFmtId="49" fontId="6" fillId="4" borderId="8" xfId="0" applyNumberFormat="1" applyFont="1" applyFill="1" applyBorder="1" applyAlignment="1">
      <alignment vertical="center" shrinkToFit="1"/>
    </xf>
    <xf numFmtId="49" fontId="6" fillId="9" borderId="0" xfId="0" applyNumberFormat="1" applyFont="1" applyFill="1" applyBorder="1" applyAlignment="1" applyProtection="1">
      <alignment vertical="center"/>
      <protection locked="0"/>
    </xf>
    <xf numFmtId="49" fontId="6" fillId="0" borderId="0" xfId="0" applyNumberFormat="1" applyFont="1" applyFill="1" applyBorder="1" applyAlignment="1" applyProtection="1">
      <alignment vertical="center"/>
      <protection locked="0"/>
    </xf>
    <xf numFmtId="49" fontId="6" fillId="0" borderId="20" xfId="0" applyNumberFormat="1" applyFont="1" applyFill="1" applyBorder="1" applyAlignment="1" applyProtection="1">
      <alignment vertical="center"/>
    </xf>
    <xf numFmtId="49" fontId="6" fillId="0" borderId="8" xfId="0" applyNumberFormat="1" applyFont="1" applyFill="1" applyBorder="1" applyAlignment="1" applyProtection="1">
      <alignment vertical="center"/>
    </xf>
    <xf numFmtId="49" fontId="6" fillId="0" borderId="20" xfId="0" applyNumberFormat="1" applyFont="1" applyFill="1" applyBorder="1" applyAlignment="1">
      <alignment vertical="center" shrinkToFit="1"/>
    </xf>
    <xf numFmtId="49" fontId="6" fillId="0" borderId="8" xfId="0" applyNumberFormat="1" applyFont="1" applyFill="1" applyBorder="1" applyAlignment="1">
      <alignment vertical="center" shrinkToFit="1"/>
    </xf>
    <xf numFmtId="49" fontId="0" fillId="9" borderId="39" xfId="0" applyNumberFormat="1" applyFill="1" applyBorder="1" applyAlignment="1">
      <alignment vertical="center" shrinkToFit="1"/>
    </xf>
    <xf numFmtId="49" fontId="0" fillId="9" borderId="39" xfId="0" applyNumberFormat="1" applyFill="1" applyBorder="1">
      <alignment vertical="center"/>
    </xf>
    <xf numFmtId="49" fontId="0" fillId="9" borderId="43" xfId="0" applyNumberFormat="1" applyFill="1" applyBorder="1" applyAlignment="1">
      <alignment horizontal="center" vertical="center" shrinkToFit="1"/>
    </xf>
    <xf numFmtId="49" fontId="0" fillId="9" borderId="43" xfId="0" applyNumberFormat="1" applyFill="1" applyBorder="1" applyAlignment="1">
      <alignment horizontal="center" vertical="center"/>
    </xf>
    <xf numFmtId="49" fontId="6" fillId="8" borderId="20" xfId="0" applyNumberFormat="1" applyFont="1" applyFill="1" applyBorder="1" applyAlignment="1" applyProtection="1">
      <alignment vertical="center" shrinkToFit="1"/>
      <protection locked="0"/>
    </xf>
    <xf numFmtId="49" fontId="0" fillId="9" borderId="0" xfId="0" applyNumberFormat="1" applyFill="1">
      <alignment vertical="center"/>
    </xf>
    <xf numFmtId="49" fontId="29" fillId="9" borderId="0" xfId="0" applyNumberFormat="1" applyFont="1" applyFill="1" applyAlignment="1">
      <alignment vertical="center" shrinkToFit="1"/>
    </xf>
    <xf numFmtId="49" fontId="6" fillId="4" borderId="20" xfId="0" applyNumberFormat="1" applyFont="1" applyFill="1" applyBorder="1" applyAlignment="1">
      <alignment horizontal="center" vertical="center" shrinkToFit="1"/>
    </xf>
    <xf numFmtId="49" fontId="6" fillId="8" borderId="64" xfId="0" applyNumberFormat="1" applyFont="1" applyFill="1" applyBorder="1" applyAlignment="1" applyProtection="1">
      <alignment vertical="center" shrinkToFit="1"/>
      <protection locked="0"/>
    </xf>
    <xf numFmtId="49" fontId="29" fillId="9" borderId="0" xfId="0" applyNumberFormat="1" applyFont="1" applyFill="1">
      <alignment vertical="center"/>
    </xf>
    <xf numFmtId="49" fontId="6" fillId="4" borderId="8" xfId="0" applyNumberFormat="1" applyFont="1" applyFill="1" applyBorder="1" applyAlignment="1" applyProtection="1">
      <alignment vertical="center" shrinkToFit="1"/>
    </xf>
    <xf numFmtId="49" fontId="6" fillId="13" borderId="8" xfId="0" applyNumberFormat="1" applyFont="1" applyFill="1" applyBorder="1" applyAlignment="1" applyProtection="1">
      <alignment vertical="center" shrinkToFit="1"/>
      <protection locked="0"/>
    </xf>
    <xf numFmtId="49" fontId="6" fillId="4" borderId="0" xfId="0" applyNumberFormat="1" applyFont="1" applyFill="1" applyBorder="1" applyAlignment="1">
      <alignment horizontal="center" vertical="center" shrinkToFit="1"/>
    </xf>
    <xf numFmtId="0" fontId="6" fillId="4" borderId="0" xfId="0" applyNumberFormat="1" applyFont="1" applyFill="1" applyBorder="1" applyAlignment="1">
      <alignment vertical="center"/>
    </xf>
    <xf numFmtId="0" fontId="6" fillId="4" borderId="7" xfId="0" applyNumberFormat="1" applyFont="1" applyFill="1" applyBorder="1" applyAlignment="1" applyProtection="1">
      <alignment vertical="center"/>
    </xf>
    <xf numFmtId="0" fontId="6" fillId="4" borderId="0" xfId="0" applyNumberFormat="1" applyFont="1" applyFill="1" applyBorder="1" applyAlignment="1" applyProtection="1">
      <alignment vertical="center"/>
    </xf>
    <xf numFmtId="0" fontId="6" fillId="2" borderId="1" xfId="0" applyNumberFormat="1" applyFont="1" applyFill="1" applyBorder="1" applyAlignment="1" applyProtection="1">
      <alignment horizontal="center" vertical="center"/>
    </xf>
    <xf numFmtId="0" fontId="6" fillId="4" borderId="25" xfId="0" applyNumberFormat="1" applyFont="1" applyFill="1" applyBorder="1" applyAlignment="1">
      <alignment vertical="center"/>
    </xf>
    <xf numFmtId="0" fontId="6" fillId="4" borderId="7" xfId="0" applyNumberFormat="1" applyFont="1" applyFill="1" applyBorder="1" applyAlignment="1">
      <alignment vertical="center"/>
    </xf>
    <xf numFmtId="0" fontId="6" fillId="2" borderId="9" xfId="0" applyNumberFormat="1" applyFont="1" applyFill="1" applyBorder="1" applyAlignment="1">
      <alignment horizontal="center" vertical="center" shrinkToFit="1"/>
    </xf>
    <xf numFmtId="0" fontId="6" fillId="2" borderId="26" xfId="0" applyNumberFormat="1" applyFont="1" applyFill="1" applyBorder="1" applyAlignment="1">
      <alignment horizontal="center" vertical="center" shrinkToFit="1"/>
    </xf>
    <xf numFmtId="0" fontId="6" fillId="2" borderId="11" xfId="0" applyNumberFormat="1" applyFont="1" applyFill="1" applyBorder="1" applyAlignment="1">
      <alignment horizontal="center" vertical="center" shrinkToFit="1"/>
    </xf>
    <xf numFmtId="0" fontId="6" fillId="2" borderId="1" xfId="0" applyNumberFormat="1" applyFont="1" applyFill="1" applyBorder="1" applyAlignment="1">
      <alignment horizontal="center" vertical="center" shrinkToFit="1"/>
    </xf>
    <xf numFmtId="0" fontId="6" fillId="4" borderId="1" xfId="0" applyNumberFormat="1" applyFont="1" applyFill="1" applyBorder="1" applyAlignment="1">
      <alignment horizontal="center" vertical="center"/>
    </xf>
    <xf numFmtId="0" fontId="6" fillId="7" borderId="0" xfId="0" applyNumberFormat="1" applyFont="1" applyFill="1" applyBorder="1" applyAlignment="1">
      <alignment horizontal="center" vertical="center" shrinkToFit="1"/>
    </xf>
    <xf numFmtId="0" fontId="6" fillId="7" borderId="25" xfId="0" applyNumberFormat="1" applyFont="1" applyFill="1" applyBorder="1" applyAlignment="1">
      <alignment horizontal="center" vertical="center" shrinkToFit="1"/>
    </xf>
    <xf numFmtId="0" fontId="6" fillId="7" borderId="0" xfId="0" applyNumberFormat="1" applyFont="1" applyFill="1" applyBorder="1" applyAlignment="1">
      <alignment vertical="center" shrinkToFit="1"/>
    </xf>
    <xf numFmtId="0" fontId="6" fillId="7" borderId="0" xfId="0" applyNumberFormat="1" applyFont="1" applyFill="1" applyBorder="1" applyAlignment="1">
      <alignment horizontal="center" vertical="center"/>
    </xf>
    <xf numFmtId="0" fontId="6" fillId="7" borderId="25" xfId="0" applyNumberFormat="1" applyFont="1" applyFill="1" applyBorder="1" applyAlignment="1">
      <alignment vertical="center"/>
    </xf>
    <xf numFmtId="0" fontId="6" fillId="7" borderId="0" xfId="0" applyNumberFormat="1" applyFont="1" applyFill="1" applyBorder="1" applyAlignment="1">
      <alignment vertical="center"/>
    </xf>
    <xf numFmtId="0" fontId="6" fillId="4" borderId="0" xfId="0" applyNumberFormat="1" applyFont="1" applyFill="1" applyBorder="1" applyAlignment="1">
      <alignment horizontal="center" vertical="center" shrinkToFit="1"/>
    </xf>
    <xf numFmtId="0" fontId="0" fillId="4" borderId="0" xfId="0" applyNumberFormat="1" applyFill="1" applyBorder="1">
      <alignment vertical="center"/>
    </xf>
    <xf numFmtId="0" fontId="6" fillId="2" borderId="63" xfId="0" applyNumberFormat="1" applyFont="1" applyFill="1" applyBorder="1" applyAlignment="1">
      <alignment horizontal="center" vertical="center" shrinkToFit="1"/>
    </xf>
    <xf numFmtId="0" fontId="5" fillId="3" borderId="0" xfId="0" applyNumberFormat="1" applyFont="1" applyFill="1" applyBorder="1" applyAlignment="1" applyProtection="1">
      <alignment vertical="center"/>
    </xf>
    <xf numFmtId="0" fontId="6" fillId="2" borderId="63" xfId="0" applyNumberFormat="1" applyFont="1" applyFill="1" applyBorder="1" applyAlignment="1" applyProtection="1">
      <alignment horizontal="center" vertical="center" shrinkToFit="1"/>
    </xf>
    <xf numFmtId="0" fontId="10" fillId="2" borderId="63" xfId="0" applyNumberFormat="1" applyFont="1" applyFill="1" applyBorder="1" applyAlignment="1" applyProtection="1">
      <alignment horizontal="center" vertical="center" shrinkToFit="1"/>
    </xf>
    <xf numFmtId="49" fontId="0" fillId="4" borderId="0" xfId="0" applyNumberFormat="1" applyFill="1">
      <alignment vertical="center"/>
    </xf>
    <xf numFmtId="0" fontId="8" fillId="0" borderId="0" xfId="0" applyFont="1" applyFill="1" applyBorder="1" applyAlignment="1" applyProtection="1">
      <alignment vertical="center"/>
    </xf>
    <xf numFmtId="0" fontId="6" fillId="0" borderId="1" xfId="0" applyFont="1" applyFill="1" applyBorder="1" applyAlignment="1">
      <alignment vertical="center" shrinkToFit="1"/>
    </xf>
    <xf numFmtId="0" fontId="6" fillId="9" borderId="1" xfId="0" applyNumberFormat="1" applyFont="1" applyFill="1" applyBorder="1" applyAlignment="1">
      <alignment vertical="center"/>
    </xf>
    <xf numFmtId="0" fontId="6" fillId="9" borderId="1" xfId="0" applyFont="1" applyFill="1" applyBorder="1" applyAlignment="1">
      <alignment vertical="center"/>
    </xf>
    <xf numFmtId="0" fontId="6" fillId="15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181" fontId="6" fillId="4" borderId="1" xfId="0" applyNumberFormat="1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29" fillId="9" borderId="0" xfId="0" applyFont="1" applyFill="1" applyAlignment="1">
      <alignment horizontal="center" vertical="center" shrinkToFit="1"/>
    </xf>
    <xf numFmtId="0" fontId="29" fillId="9" borderId="0" xfId="0" applyNumberFormat="1" applyFont="1" applyFill="1" applyAlignment="1">
      <alignment horizontal="center" vertical="center"/>
    </xf>
    <xf numFmtId="0" fontId="16" fillId="9" borderId="0" xfId="0" applyFont="1" applyFill="1" applyAlignment="1" applyProtection="1">
      <alignment vertical="center"/>
    </xf>
    <xf numFmtId="0" fontId="16" fillId="0" borderId="0" xfId="0" applyFont="1" applyAlignment="1" applyProtection="1">
      <alignment vertical="center"/>
    </xf>
    <xf numFmtId="0" fontId="10" fillId="2" borderId="63" xfId="0" applyFont="1" applyFill="1" applyBorder="1" applyAlignment="1">
      <alignment vertical="center" shrinkToFit="1"/>
    </xf>
    <xf numFmtId="0" fontId="0" fillId="0" borderId="0" xfId="0" applyAlignment="1">
      <alignment horizontal="center" vertical="center"/>
    </xf>
    <xf numFmtId="0" fontId="6" fillId="4" borderId="0" xfId="0" applyFont="1" applyFill="1" applyBorder="1" applyAlignment="1">
      <alignment horizontal="left" vertical="center" shrinkToFit="1"/>
    </xf>
    <xf numFmtId="0" fontId="0" fillId="9" borderId="0" xfId="0" applyFill="1" applyBorder="1" applyAlignment="1">
      <alignment vertical="center" wrapText="1"/>
    </xf>
    <xf numFmtId="49" fontId="6" fillId="5" borderId="9" xfId="0" applyNumberFormat="1" applyFont="1" applyFill="1" applyBorder="1" applyAlignment="1" applyProtection="1">
      <alignment vertical="center" shrinkToFit="1"/>
      <protection locked="0"/>
    </xf>
    <xf numFmtId="49" fontId="6" fillId="0" borderId="1" xfId="0" applyNumberFormat="1" applyFont="1" applyFill="1" applyBorder="1" applyAlignment="1" applyProtection="1">
      <alignment horizontal="center" vertical="center" shrinkToFit="1"/>
      <protection locked="0"/>
    </xf>
    <xf numFmtId="0" fontId="6" fillId="4" borderId="8" xfId="0" applyFont="1" applyFill="1" applyBorder="1" applyAlignment="1">
      <alignment horizontal="center" vertical="center" shrinkToFit="1"/>
    </xf>
    <xf numFmtId="0" fontId="6" fillId="4" borderId="20" xfId="0" applyFont="1" applyFill="1" applyBorder="1" applyAlignment="1" applyProtection="1">
      <alignment vertical="center" shrinkToFit="1"/>
    </xf>
    <xf numFmtId="0" fontId="6" fillId="0" borderId="1" xfId="0" applyFont="1" applyFill="1" applyBorder="1" applyAlignment="1" applyProtection="1">
      <alignment horizontal="right" vertical="center" shrinkToFit="1"/>
      <protection locked="0"/>
    </xf>
    <xf numFmtId="0" fontId="6" fillId="4" borderId="1" xfId="0" applyFont="1" applyFill="1" applyBorder="1" applyAlignment="1" applyProtection="1">
      <alignment vertical="center" shrinkToFit="1"/>
    </xf>
    <xf numFmtId="0" fontId="0" fillId="4" borderId="20" xfId="0" applyFill="1" applyBorder="1" applyAlignment="1">
      <alignment vertical="center" shrinkToFit="1"/>
    </xf>
    <xf numFmtId="177" fontId="6" fillId="0" borderId="1" xfId="0" applyNumberFormat="1" applyFont="1" applyFill="1" applyBorder="1" applyAlignment="1" applyProtection="1">
      <alignment horizontal="right" vertical="center" shrinkToFit="1"/>
      <protection locked="0"/>
    </xf>
    <xf numFmtId="0" fontId="6" fillId="13" borderId="1" xfId="0" applyFont="1" applyFill="1" applyBorder="1" applyAlignment="1" applyProtection="1">
      <alignment vertical="center" shrinkToFit="1"/>
      <protection locked="0"/>
    </xf>
    <xf numFmtId="0" fontId="6" fillId="0" borderId="20" xfId="0" applyFont="1" applyFill="1" applyBorder="1" applyAlignment="1" applyProtection="1">
      <alignment vertical="center" shrinkToFit="1"/>
      <protection locked="0"/>
    </xf>
    <xf numFmtId="0" fontId="6" fillId="0" borderId="22" xfId="0" applyFont="1" applyFill="1" applyBorder="1" applyAlignment="1">
      <alignment vertical="center" shrinkToFit="1"/>
    </xf>
    <xf numFmtId="0" fontId="6" fillId="0" borderId="23" xfId="0" applyFont="1" applyFill="1" applyBorder="1" applyAlignment="1">
      <alignment vertical="center" shrinkToFit="1"/>
    </xf>
    <xf numFmtId="177" fontId="6" fillId="4" borderId="1" xfId="0" applyNumberFormat="1" applyFont="1" applyFill="1" applyBorder="1" applyAlignment="1" applyProtection="1">
      <alignment horizontal="right" vertical="center" shrinkToFit="1"/>
    </xf>
    <xf numFmtId="49" fontId="6" fillId="8" borderId="9" xfId="0" applyNumberFormat="1" applyFont="1" applyFill="1" applyBorder="1" applyAlignment="1">
      <alignment vertical="center" shrinkToFit="1"/>
    </xf>
    <xf numFmtId="0" fontId="6" fillId="4" borderId="8" xfId="0" applyFont="1" applyFill="1" applyBorder="1" applyAlignment="1" applyProtection="1">
      <alignment horizontal="center" vertical="center" shrinkToFit="1"/>
    </xf>
    <xf numFmtId="0" fontId="6" fillId="13" borderId="8" xfId="0" applyFont="1" applyFill="1" applyBorder="1" applyAlignment="1" applyProtection="1">
      <alignment horizontal="center" vertical="center" shrinkToFit="1"/>
      <protection locked="0"/>
    </xf>
    <xf numFmtId="49" fontId="6" fillId="4" borderId="0" xfId="0" applyNumberFormat="1" applyFont="1" applyFill="1" applyBorder="1" applyAlignment="1" applyProtection="1">
      <alignment vertical="center" shrinkToFit="1"/>
    </xf>
    <xf numFmtId="49" fontId="6" fillId="4" borderId="8" xfId="0" applyNumberFormat="1" applyFont="1" applyFill="1" applyBorder="1" applyAlignment="1" applyProtection="1">
      <alignment horizontal="center" vertical="center" shrinkToFit="1"/>
    </xf>
    <xf numFmtId="178" fontId="6" fillId="4" borderId="1" xfId="0" applyNumberFormat="1" applyFont="1" applyFill="1" applyBorder="1" applyAlignment="1" applyProtection="1">
      <alignment horizontal="right" vertical="center" shrinkToFit="1"/>
    </xf>
    <xf numFmtId="0" fontId="6" fillId="4" borderId="1" xfId="0" applyFont="1" applyFill="1" applyBorder="1" applyAlignment="1" applyProtection="1">
      <alignment horizontal="right" vertical="center" shrinkToFit="1"/>
    </xf>
    <xf numFmtId="176" fontId="6" fillId="4" borderId="1" xfId="0" applyNumberFormat="1" applyFont="1" applyFill="1" applyBorder="1" applyAlignment="1">
      <alignment vertical="center" shrinkToFit="1"/>
    </xf>
    <xf numFmtId="0" fontId="6" fillId="0" borderId="1" xfId="0" applyNumberFormat="1" applyFont="1" applyFill="1" applyBorder="1" applyAlignment="1" applyProtection="1">
      <alignment horizontal="right" vertical="center" shrinkToFit="1"/>
      <protection locked="0"/>
    </xf>
    <xf numFmtId="0" fontId="6" fillId="9" borderId="1" xfId="0" applyNumberFormat="1" applyFont="1" applyFill="1" applyBorder="1" applyAlignment="1" applyProtection="1">
      <alignment horizontal="right" vertical="center" shrinkToFit="1"/>
      <protection locked="0"/>
    </xf>
    <xf numFmtId="0" fontId="0" fillId="0" borderId="0" xfId="0" applyAlignment="1">
      <alignment horizontal="center" vertical="center"/>
    </xf>
    <xf numFmtId="0" fontId="6" fillId="13" borderId="8" xfId="0" applyNumberFormat="1" applyFont="1" applyFill="1" applyBorder="1" applyAlignment="1" applyProtection="1">
      <alignment vertical="center" shrinkToFit="1"/>
      <protection locked="0"/>
    </xf>
    <xf numFmtId="0" fontId="6" fillId="4" borderId="8" xfId="0" applyNumberFormat="1" applyFont="1" applyFill="1" applyBorder="1" applyAlignment="1" applyProtection="1">
      <alignment vertical="center" shrinkToFit="1"/>
    </xf>
    <xf numFmtId="0" fontId="25" fillId="13" borderId="0" xfId="2" applyFont="1" applyFill="1" applyBorder="1" applyAlignment="1">
      <alignment horizontal="center" vertical="center" wrapText="1" shrinkToFit="1"/>
    </xf>
    <xf numFmtId="0" fontId="11" fillId="0" borderId="0" xfId="0" applyFont="1" applyAlignment="1">
      <alignment vertical="center"/>
    </xf>
    <xf numFmtId="0" fontId="29" fillId="9" borderId="0" xfId="0" applyNumberFormat="1" applyFont="1" applyFill="1">
      <alignment vertical="center"/>
    </xf>
    <xf numFmtId="178" fontId="0" fillId="9" borderId="0" xfId="0" applyNumberFormat="1" applyFill="1" applyAlignment="1">
      <alignment horizontal="center" vertical="center"/>
    </xf>
    <xf numFmtId="176" fontId="0" fillId="9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vertical="center" shrinkToFit="1"/>
    </xf>
    <xf numFmtId="0" fontId="6" fillId="0" borderId="1" xfId="0" applyFont="1" applyFill="1" applyBorder="1" applyAlignment="1">
      <alignment horizontal="left" vertical="center" shrinkToFit="1"/>
    </xf>
    <xf numFmtId="14" fontId="6" fillId="0" borderId="0" xfId="0" applyNumberFormat="1" applyFont="1" applyFill="1" applyBorder="1" applyAlignment="1">
      <alignment vertical="center"/>
    </xf>
    <xf numFmtId="14" fontId="6" fillId="0" borderId="0" xfId="0" applyNumberFormat="1" applyFont="1" applyFill="1" applyBorder="1" applyAlignment="1">
      <alignment vertical="center" shrinkToFit="1"/>
    </xf>
    <xf numFmtId="0" fontId="0" fillId="0" borderId="0" xfId="0">
      <alignment vertical="center"/>
    </xf>
    <xf numFmtId="0" fontId="34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/>
    </xf>
    <xf numFmtId="0" fontId="0" fillId="4" borderId="20" xfId="0" applyFill="1" applyBorder="1" applyAlignment="1">
      <alignment horizontal="center" vertical="center" shrinkToFit="1"/>
    </xf>
    <xf numFmtId="49" fontId="0" fillId="4" borderId="20" xfId="0" applyNumberFormat="1" applyFill="1" applyBorder="1" applyAlignment="1">
      <alignment horizontal="center" vertical="center" shrinkToFit="1"/>
    </xf>
    <xf numFmtId="49" fontId="6" fillId="5" borderId="9" xfId="0" applyNumberFormat="1" applyFont="1" applyFill="1" applyBorder="1" applyAlignment="1" applyProtection="1">
      <alignment horizontal="center" vertical="center" shrinkToFit="1"/>
      <protection locked="0"/>
    </xf>
    <xf numFmtId="0" fontId="6" fillId="8" borderId="1" xfId="0" applyFont="1" applyFill="1" applyBorder="1" applyAlignment="1" applyProtection="1">
      <alignment horizontal="center" vertical="center" shrinkToFit="1"/>
      <protection locked="0"/>
    </xf>
    <xf numFmtId="49" fontId="6" fillId="0" borderId="12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1" xfId="0" applyFont="1" applyFill="1" applyBorder="1" applyAlignment="1" applyProtection="1">
      <alignment horizontal="center" vertical="center" shrinkToFit="1"/>
      <protection locked="0"/>
    </xf>
    <xf numFmtId="49" fontId="6" fillId="4" borderId="12" xfId="0" applyNumberFormat="1" applyFont="1" applyFill="1" applyBorder="1" applyAlignment="1" applyProtection="1">
      <alignment horizontal="center" vertical="center" shrinkToFit="1"/>
    </xf>
    <xf numFmtId="0" fontId="6" fillId="4" borderId="0" xfId="0" applyFont="1" applyFill="1" applyBorder="1" applyAlignment="1" applyProtection="1">
      <alignment horizontal="left" vertical="center"/>
    </xf>
    <xf numFmtId="0" fontId="6" fillId="4" borderId="0" xfId="0" applyFont="1" applyFill="1" applyBorder="1" applyAlignment="1" applyProtection="1">
      <alignment vertical="center" shrinkToFit="1"/>
    </xf>
    <xf numFmtId="0" fontId="6" fillId="4" borderId="0" xfId="0" applyFont="1" applyFill="1" applyBorder="1" applyAlignment="1" applyProtection="1">
      <alignment horizontal="right" vertical="center" shrinkToFit="1"/>
    </xf>
    <xf numFmtId="0" fontId="6" fillId="4" borderId="1" xfId="0" applyFont="1" applyFill="1" applyBorder="1" applyAlignment="1" applyProtection="1">
      <alignment horizontal="center" vertical="center" shrinkToFit="1"/>
    </xf>
    <xf numFmtId="0" fontId="6" fillId="4" borderId="56" xfId="0" applyFont="1" applyFill="1" applyBorder="1" applyAlignment="1" applyProtection="1">
      <alignment vertical="center"/>
    </xf>
    <xf numFmtId="0" fontId="6" fillId="4" borderId="57" xfId="0" applyFont="1" applyFill="1" applyBorder="1" applyAlignment="1" applyProtection="1">
      <alignment vertical="center"/>
    </xf>
    <xf numFmtId="0" fontId="6" fillId="4" borderId="58" xfId="0" applyFont="1" applyFill="1" applyBorder="1" applyAlignment="1" applyProtection="1">
      <alignment vertical="center"/>
    </xf>
    <xf numFmtId="0" fontId="6" fillId="4" borderId="59" xfId="0" applyFont="1" applyFill="1" applyBorder="1" applyAlignment="1" applyProtection="1">
      <alignment vertical="center"/>
    </xf>
    <xf numFmtId="0" fontId="6" fillId="4" borderId="60" xfId="0" applyFont="1" applyFill="1" applyBorder="1" applyAlignment="1" applyProtection="1">
      <alignment vertical="center"/>
    </xf>
    <xf numFmtId="0" fontId="6" fillId="4" borderId="61" xfId="0" applyFont="1" applyFill="1" applyBorder="1" applyAlignment="1" applyProtection="1">
      <alignment vertical="center"/>
    </xf>
    <xf numFmtId="0" fontId="28" fillId="4" borderId="0" xfId="0" applyFont="1" applyFill="1" applyBorder="1" applyAlignment="1" applyProtection="1">
      <alignment horizontal="right" vertical="center"/>
    </xf>
    <xf numFmtId="0" fontId="6" fillId="4" borderId="65" xfId="0" applyFont="1" applyFill="1" applyBorder="1" applyAlignment="1" applyProtection="1">
      <alignment vertical="center"/>
    </xf>
    <xf numFmtId="0" fontId="6" fillId="4" borderId="66" xfId="0" applyFont="1" applyFill="1" applyBorder="1" applyAlignment="1" applyProtection="1">
      <alignment vertical="center"/>
    </xf>
    <xf numFmtId="0" fontId="6" fillId="4" borderId="67" xfId="0" applyFont="1" applyFill="1" applyBorder="1" applyAlignment="1" applyProtection="1">
      <alignment vertical="center"/>
    </xf>
    <xf numFmtId="0" fontId="6" fillId="13" borderId="1" xfId="0" quotePrefix="1" applyFont="1" applyFill="1" applyBorder="1" applyAlignment="1" applyProtection="1">
      <alignment horizontal="center" vertical="center" shrinkToFit="1"/>
      <protection locked="0"/>
    </xf>
    <xf numFmtId="49" fontId="6" fillId="8" borderId="1" xfId="0" quotePrefix="1" applyNumberFormat="1" applyFont="1" applyFill="1" applyBorder="1" applyAlignment="1" applyProtection="1">
      <alignment horizontal="center" vertical="center" shrinkToFit="1"/>
      <protection locked="0"/>
    </xf>
    <xf numFmtId="0" fontId="6" fillId="8" borderId="1" xfId="0" quotePrefix="1" applyFont="1" applyFill="1" applyBorder="1" applyAlignment="1" applyProtection="1">
      <alignment horizontal="center" vertical="center" shrinkToFit="1"/>
      <protection locked="0"/>
    </xf>
    <xf numFmtId="0" fontId="6" fillId="4" borderId="1" xfId="0" quotePrefix="1" applyFont="1" applyFill="1" applyBorder="1" applyAlignment="1" applyProtection="1">
      <alignment horizontal="center" vertical="center" shrinkToFit="1"/>
    </xf>
    <xf numFmtId="49" fontId="6" fillId="4" borderId="1" xfId="0" quotePrefix="1" applyNumberFormat="1" applyFont="1" applyFill="1" applyBorder="1" applyAlignment="1" applyProtection="1">
      <alignment horizontal="center" vertical="center" shrinkToFit="1"/>
    </xf>
    <xf numFmtId="49" fontId="6" fillId="4" borderId="1" xfId="0" applyNumberFormat="1" applyFont="1" applyFill="1" applyBorder="1" applyAlignment="1" applyProtection="1">
      <alignment horizontal="center" vertical="center" shrinkToFit="1"/>
    </xf>
    <xf numFmtId="0" fontId="19" fillId="0" borderId="0" xfId="0" applyFont="1" applyFill="1" applyAlignment="1">
      <alignment vertical="center" shrinkToFit="1"/>
    </xf>
    <xf numFmtId="181" fontId="6" fillId="0" borderId="0" xfId="0" applyNumberFormat="1" applyFont="1" applyFill="1" applyBorder="1" applyAlignment="1">
      <alignment vertical="center"/>
    </xf>
    <xf numFmtId="0" fontId="6" fillId="0" borderId="7" xfId="0" applyFont="1" applyFill="1" applyBorder="1" applyAlignment="1" applyProtection="1">
      <alignment vertical="center"/>
    </xf>
    <xf numFmtId="0" fontId="6" fillId="0" borderId="62" xfId="0" applyFont="1" applyFill="1" applyBorder="1" applyAlignment="1" applyProtection="1">
      <alignment vertical="center"/>
    </xf>
    <xf numFmtId="0" fontId="6" fillId="0" borderId="62" xfId="0" applyFont="1" applyFill="1" applyBorder="1" applyAlignment="1">
      <alignment vertical="center"/>
    </xf>
    <xf numFmtId="49" fontId="6" fillId="4" borderId="1" xfId="0" applyNumberFormat="1" applyFont="1" applyFill="1" applyBorder="1" applyAlignment="1">
      <alignment horizontal="center" vertical="center" shrinkToFit="1"/>
    </xf>
    <xf numFmtId="0" fontId="13" fillId="9" borderId="0" xfId="0" applyFont="1" applyFill="1" applyAlignment="1">
      <alignment vertical="top" wrapText="1"/>
    </xf>
    <xf numFmtId="0" fontId="0" fillId="0" borderId="0" xfId="0" applyAlignment="1">
      <alignment horizontal="center" vertical="center"/>
    </xf>
    <xf numFmtId="182" fontId="0" fillId="9" borderId="29" xfId="0" applyNumberFormat="1" applyFill="1" applyBorder="1" applyAlignment="1">
      <alignment horizontal="center" vertical="center"/>
    </xf>
    <xf numFmtId="176" fontId="0" fillId="9" borderId="0" xfId="0" applyNumberFormat="1" applyFill="1" applyAlignment="1">
      <alignment vertical="center" shrinkToFit="1"/>
    </xf>
    <xf numFmtId="0" fontId="6" fillId="9" borderId="76" xfId="0" applyFont="1" applyFill="1" applyBorder="1" applyAlignment="1" applyProtection="1">
      <alignment vertical="center"/>
      <protection locked="0"/>
    </xf>
    <xf numFmtId="0" fontId="6" fillId="9" borderId="77" xfId="0" applyFont="1" applyFill="1" applyBorder="1" applyAlignment="1" applyProtection="1">
      <alignment vertical="center"/>
      <protection locked="0"/>
    </xf>
    <xf numFmtId="0" fontId="6" fillId="9" borderId="78" xfId="0" applyFont="1" applyFill="1" applyBorder="1" applyAlignment="1" applyProtection="1">
      <alignment vertical="center"/>
      <protection locked="0"/>
    </xf>
    <xf numFmtId="49" fontId="6" fillId="9" borderId="77" xfId="0" applyNumberFormat="1" applyFont="1" applyFill="1" applyBorder="1" applyAlignment="1" applyProtection="1">
      <alignment vertical="center"/>
      <protection locked="0"/>
    </xf>
    <xf numFmtId="176" fontId="6" fillId="9" borderId="77" xfId="0" applyNumberFormat="1" applyFont="1" applyFill="1" applyBorder="1" applyAlignment="1" applyProtection="1">
      <alignment vertical="center" shrinkToFit="1"/>
      <protection locked="0"/>
    </xf>
    <xf numFmtId="0" fontId="10" fillId="0" borderId="79" xfId="0" applyFont="1" applyFill="1" applyBorder="1" applyAlignment="1">
      <alignment vertical="center" shrinkToFit="1"/>
    </xf>
    <xf numFmtId="0" fontId="9" fillId="9" borderId="80" xfId="0" applyFont="1" applyFill="1" applyBorder="1" applyAlignment="1">
      <alignment vertical="center"/>
    </xf>
    <xf numFmtId="0" fontId="10" fillId="0" borderId="81" xfId="0" applyFont="1" applyFill="1" applyBorder="1" applyAlignment="1">
      <alignment vertical="center" shrinkToFit="1"/>
    </xf>
    <xf numFmtId="0" fontId="9" fillId="9" borderId="82" xfId="0" applyFont="1" applyFill="1" applyBorder="1" applyAlignment="1">
      <alignment vertical="center"/>
    </xf>
    <xf numFmtId="0" fontId="6" fillId="0" borderId="81" xfId="0" applyFont="1" applyFill="1" applyBorder="1" applyAlignment="1">
      <alignment vertical="center"/>
    </xf>
    <xf numFmtId="0" fontId="6" fillId="9" borderId="82" xfId="0" applyFont="1" applyFill="1" applyBorder="1" applyAlignment="1">
      <alignment vertical="center"/>
    </xf>
    <xf numFmtId="0" fontId="10" fillId="0" borderId="81" xfId="0" applyFont="1" applyFill="1" applyBorder="1" applyAlignment="1">
      <alignment vertical="center"/>
    </xf>
    <xf numFmtId="0" fontId="6" fillId="9" borderId="82" xfId="0" applyFont="1" applyFill="1" applyBorder="1" applyAlignment="1" applyProtection="1">
      <alignment vertical="center"/>
      <protection locked="0"/>
    </xf>
    <xf numFmtId="0" fontId="10" fillId="0" borderId="81" xfId="0" applyFont="1" applyFill="1" applyBorder="1" applyAlignment="1" applyProtection="1">
      <alignment vertical="center"/>
      <protection locked="0"/>
    </xf>
    <xf numFmtId="176" fontId="6" fillId="9" borderId="82" xfId="0" applyNumberFormat="1" applyFont="1" applyFill="1" applyBorder="1" applyAlignment="1" applyProtection="1">
      <alignment vertical="center" shrinkToFit="1"/>
      <protection locked="0"/>
    </xf>
    <xf numFmtId="0" fontId="6" fillId="9" borderId="82" xfId="0" applyFont="1" applyFill="1" applyBorder="1" applyAlignment="1" applyProtection="1">
      <alignment vertical="center" shrinkToFit="1"/>
      <protection locked="0"/>
    </xf>
    <xf numFmtId="0" fontId="10" fillId="0" borderId="83" xfId="0" applyFont="1" applyFill="1" applyBorder="1" applyAlignment="1" applyProtection="1">
      <alignment vertical="center"/>
      <protection locked="0"/>
    </xf>
    <xf numFmtId="0" fontId="6" fillId="9" borderId="84" xfId="0" applyFont="1" applyFill="1" applyBorder="1" applyAlignment="1" applyProtection="1">
      <alignment vertical="center" shrinkToFit="1"/>
      <protection locked="0"/>
    </xf>
    <xf numFmtId="0" fontId="6" fillId="0" borderId="33" xfId="0" applyFont="1" applyFill="1" applyBorder="1" applyAlignment="1">
      <alignment vertical="center"/>
    </xf>
    <xf numFmtId="0" fontId="6" fillId="9" borderId="33" xfId="0" applyFont="1" applyFill="1" applyBorder="1" applyAlignment="1" applyProtection="1">
      <alignment vertical="center"/>
      <protection locked="0"/>
    </xf>
    <xf numFmtId="176" fontId="6" fillId="9" borderId="33" xfId="0" applyNumberFormat="1" applyFont="1" applyFill="1" applyBorder="1" applyAlignment="1" applyProtection="1">
      <alignment vertical="center" shrinkToFit="1"/>
      <protection locked="0"/>
    </xf>
    <xf numFmtId="0" fontId="6" fillId="9" borderId="33" xfId="0" applyFont="1" applyFill="1" applyBorder="1" applyAlignment="1" applyProtection="1">
      <alignment vertical="center" shrinkToFit="1"/>
      <protection locked="0"/>
    </xf>
    <xf numFmtId="0" fontId="6" fillId="9" borderId="34" xfId="0" applyFont="1" applyFill="1" applyBorder="1" applyAlignment="1" applyProtection="1">
      <alignment vertical="center" shrinkToFit="1"/>
      <protection locked="0"/>
    </xf>
    <xf numFmtId="0" fontId="6" fillId="13" borderId="56" xfId="0" applyFont="1" applyFill="1" applyBorder="1" applyAlignment="1">
      <alignment horizontal="left" vertical="center"/>
    </xf>
    <xf numFmtId="0" fontId="6" fillId="13" borderId="57" xfId="0" applyFont="1" applyFill="1" applyBorder="1" applyAlignment="1">
      <alignment horizontal="right" vertical="center"/>
    </xf>
    <xf numFmtId="0" fontId="6" fillId="13" borderId="57" xfId="0" applyFont="1" applyFill="1" applyBorder="1" applyAlignment="1">
      <alignment horizontal="left" vertical="center" shrinkToFit="1"/>
    </xf>
    <xf numFmtId="0" fontId="6" fillId="13" borderId="57" xfId="0" applyFont="1" applyFill="1" applyBorder="1" applyAlignment="1">
      <alignment vertical="center" shrinkToFit="1"/>
    </xf>
    <xf numFmtId="0" fontId="6" fillId="13" borderId="58" xfId="0" applyFont="1" applyFill="1" applyBorder="1" applyAlignment="1">
      <alignment horizontal="left" vertical="center" shrinkToFit="1"/>
    </xf>
    <xf numFmtId="0" fontId="6" fillId="13" borderId="6" xfId="0" applyFont="1" applyFill="1" applyBorder="1" applyAlignment="1">
      <alignment horizontal="left" vertical="center"/>
    </xf>
    <xf numFmtId="0" fontId="6" fillId="13" borderId="7" xfId="0" applyFont="1" applyFill="1" applyBorder="1" applyAlignment="1">
      <alignment horizontal="right" vertical="center"/>
    </xf>
    <xf numFmtId="0" fontId="6" fillId="13" borderId="60" xfId="0" applyFont="1" applyFill="1" applyBorder="1" applyAlignment="1">
      <alignment horizontal="left" vertical="center" shrinkToFit="1"/>
    </xf>
    <xf numFmtId="0" fontId="6" fillId="13" borderId="60" xfId="0" applyFont="1" applyFill="1" applyBorder="1" applyAlignment="1">
      <alignment vertical="center" shrinkToFit="1"/>
    </xf>
    <xf numFmtId="0" fontId="6" fillId="13" borderId="61" xfId="0" applyFont="1" applyFill="1" applyBorder="1" applyAlignment="1">
      <alignment horizontal="left" vertical="center" shrinkToFit="1"/>
    </xf>
    <xf numFmtId="0" fontId="13" fillId="0" borderId="0" xfId="0" applyFont="1" applyAlignment="1">
      <alignment horizontal="right" vertical="center"/>
    </xf>
    <xf numFmtId="0" fontId="13" fillId="0" borderId="12" xfId="0" applyFont="1" applyBorder="1" applyAlignment="1">
      <alignment vertical="center" wrapText="1"/>
    </xf>
    <xf numFmtId="0" fontId="13" fillId="0" borderId="37" xfId="0" applyFont="1" applyBorder="1" applyAlignment="1">
      <alignment vertical="center" wrapText="1"/>
    </xf>
    <xf numFmtId="0" fontId="13" fillId="0" borderId="20" xfId="0" applyFont="1" applyBorder="1" applyAlignment="1">
      <alignment vertical="center" wrapText="1"/>
    </xf>
    <xf numFmtId="0" fontId="0" fillId="0" borderId="0" xfId="0">
      <alignment vertical="center"/>
    </xf>
    <xf numFmtId="0" fontId="6" fillId="2" borderId="11" xfId="0" applyFont="1" applyFill="1" applyBorder="1" applyAlignment="1">
      <alignment horizontal="center" vertical="center" shrinkToFit="1"/>
    </xf>
    <xf numFmtId="49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0" fontId="0" fillId="0" borderId="0" xfId="0">
      <alignment vertical="center"/>
    </xf>
    <xf numFmtId="0" fontId="6" fillId="2" borderId="11" xfId="0" applyFont="1" applyFill="1" applyBorder="1" applyAlignment="1">
      <alignment horizontal="center" vertical="center" shrinkToFit="1"/>
    </xf>
    <xf numFmtId="0" fontId="6" fillId="2" borderId="11" xfId="0" applyFont="1" applyFill="1" applyBorder="1" applyAlignment="1">
      <alignment horizontal="center" vertical="center" shrinkToFit="1"/>
    </xf>
    <xf numFmtId="176" fontId="0" fillId="0" borderId="1" xfId="0" applyNumberFormat="1" applyFill="1" applyBorder="1">
      <alignment vertical="center"/>
    </xf>
    <xf numFmtId="49" fontId="6" fillId="2" borderId="26" xfId="0" applyNumberFormat="1" applyFont="1" applyFill="1" applyBorder="1" applyAlignment="1">
      <alignment horizontal="center" vertical="center" shrinkToFit="1"/>
    </xf>
    <xf numFmtId="0" fontId="11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vertical="center" wrapText="1" shrinkToFit="1"/>
    </xf>
    <xf numFmtId="0" fontId="11" fillId="0" borderId="0" xfId="0" applyFont="1" applyBorder="1" applyAlignment="1">
      <alignment horizontal="center" vertical="center"/>
    </xf>
    <xf numFmtId="0" fontId="0" fillId="6" borderId="0" xfId="0" applyFill="1" applyAlignment="1">
      <alignment vertical="center" wrapText="1"/>
    </xf>
    <xf numFmtId="178" fontId="6" fillId="5" borderId="1" xfId="0" applyNumberFormat="1" applyFont="1" applyFill="1" applyBorder="1" applyAlignment="1" applyProtection="1">
      <alignment horizontal="right" vertical="center" shrinkToFit="1"/>
      <protection locked="0"/>
    </xf>
    <xf numFmtId="0" fontId="0" fillId="0" borderId="0" xfId="0" applyAlignment="1">
      <alignment horizontal="center" vertical="center"/>
    </xf>
    <xf numFmtId="0" fontId="6" fillId="16" borderId="1" xfId="0" applyFont="1" applyFill="1" applyBorder="1" applyAlignment="1">
      <alignment horizontal="center" vertical="center" shrinkToFit="1"/>
    </xf>
    <xf numFmtId="0" fontId="6" fillId="16" borderId="17" xfId="0" applyFont="1" applyFill="1" applyBorder="1" applyAlignment="1">
      <alignment horizontal="center" vertical="center"/>
    </xf>
    <xf numFmtId="0" fontId="0" fillId="9" borderId="1" xfId="0" applyFill="1" applyBorder="1" applyAlignment="1">
      <alignment vertical="center" shrinkToFit="1"/>
    </xf>
    <xf numFmtId="0" fontId="6" fillId="4" borderId="8" xfId="0" applyNumberFormat="1" applyFont="1" applyFill="1" applyBorder="1" applyAlignment="1">
      <alignment vertical="center" shrinkToFit="1"/>
    </xf>
    <xf numFmtId="0" fontId="6" fillId="4" borderId="8" xfId="0" applyNumberFormat="1" applyFont="1" applyFill="1" applyBorder="1" applyAlignment="1">
      <alignment horizontal="center" vertical="center" shrinkToFit="1"/>
    </xf>
    <xf numFmtId="0" fontId="0" fillId="9" borderId="0" xfId="0" applyFill="1" applyBorder="1" applyAlignment="1">
      <alignment horizontal="right" vertical="center" shrinkToFit="1"/>
    </xf>
    <xf numFmtId="49" fontId="0" fillId="0" borderId="0" xfId="0" applyNumberFormat="1" applyFill="1" applyBorder="1" applyAlignment="1">
      <alignment vertical="center" shrinkToFit="1"/>
    </xf>
    <xf numFmtId="49" fontId="0" fillId="0" borderId="0" xfId="0" applyNumberFormat="1" applyAlignment="1">
      <alignment vertical="center" shrinkToFit="1"/>
    </xf>
    <xf numFmtId="0" fontId="13" fillId="0" borderId="0" xfId="0" applyFont="1" applyAlignment="1">
      <alignment horizontal="center" vertical="center" wrapText="1"/>
    </xf>
    <xf numFmtId="0" fontId="19" fillId="4" borderId="0" xfId="0" applyFont="1" applyFill="1" applyBorder="1" applyAlignment="1">
      <alignment vertical="center"/>
    </xf>
    <xf numFmtId="0" fontId="6" fillId="4" borderId="1" xfId="0" applyFont="1" applyFill="1" applyBorder="1" applyAlignment="1">
      <alignment horizontal="left" vertical="center" shrinkToFit="1"/>
    </xf>
    <xf numFmtId="0" fontId="6" fillId="4" borderId="85" xfId="0" applyFont="1" applyFill="1" applyBorder="1" applyAlignment="1">
      <alignment vertical="center"/>
    </xf>
    <xf numFmtId="0" fontId="0" fillId="7" borderId="11" xfId="0" applyFill="1" applyBorder="1" applyAlignment="1">
      <alignment vertical="center"/>
    </xf>
    <xf numFmtId="0" fontId="35" fillId="4" borderId="85" xfId="3" applyFill="1" applyBorder="1" applyAlignment="1" applyProtection="1">
      <alignment horizontal="center" vertical="center"/>
      <protection locked="0"/>
    </xf>
    <xf numFmtId="0" fontId="0" fillId="7" borderId="0" xfId="0" applyFill="1">
      <alignment vertical="center"/>
    </xf>
    <xf numFmtId="0" fontId="19" fillId="0" borderId="0" xfId="0" applyFont="1">
      <alignment vertical="center"/>
    </xf>
    <xf numFmtId="0" fontId="19" fillId="0" borderId="0" xfId="0" applyFont="1" applyProtection="1">
      <alignment vertical="center"/>
      <protection locked="0"/>
    </xf>
    <xf numFmtId="0" fontId="21" fillId="17" borderId="1" xfId="2" applyFont="1" applyFill="1" applyBorder="1">
      <alignment vertical="center"/>
    </xf>
    <xf numFmtId="0" fontId="21" fillId="9" borderId="1" xfId="2" applyFont="1" applyFill="1" applyBorder="1">
      <alignment vertical="center"/>
    </xf>
    <xf numFmtId="0" fontId="6" fillId="8" borderId="1" xfId="0" applyFont="1" applyFill="1" applyBorder="1" applyAlignment="1" applyProtection="1">
      <alignment vertical="center" shrinkToFit="1"/>
      <protection locked="0"/>
    </xf>
    <xf numFmtId="0" fontId="0" fillId="4" borderId="1" xfId="0" applyFill="1" applyBorder="1" applyAlignment="1">
      <alignment vertical="center"/>
    </xf>
    <xf numFmtId="0" fontId="7" fillId="4" borderId="1" xfId="0" applyFont="1" applyFill="1" applyBorder="1" applyAlignment="1" applyProtection="1">
      <alignment horizontal="center" vertical="center"/>
    </xf>
    <xf numFmtId="0" fontId="19" fillId="4" borderId="0" xfId="0" applyFont="1" applyFill="1" applyBorder="1" applyProtection="1">
      <alignment vertical="center"/>
      <protection locked="0"/>
    </xf>
    <xf numFmtId="0" fontId="6" fillId="7" borderId="1" xfId="0" applyFont="1" applyFill="1" applyBorder="1" applyAlignment="1">
      <alignment vertical="center" shrinkToFit="1"/>
    </xf>
    <xf numFmtId="0" fontId="13" fillId="0" borderId="0" xfId="0" applyFont="1" applyAlignment="1">
      <alignment horizontal="right" vertical="center" shrinkToFit="1"/>
    </xf>
    <xf numFmtId="0" fontId="6" fillId="8" borderId="9" xfId="0" applyFont="1" applyFill="1" applyBorder="1" applyAlignment="1" applyProtection="1">
      <alignment horizontal="left" vertical="center" shrinkToFit="1"/>
      <protection locked="0"/>
    </xf>
    <xf numFmtId="0" fontId="6" fillId="8" borderId="10" xfId="0" applyFont="1" applyFill="1" applyBorder="1" applyAlignment="1" applyProtection="1">
      <alignment horizontal="left" vertical="center" shrinkToFit="1"/>
      <protection locked="0"/>
    </xf>
    <xf numFmtId="0" fontId="6" fillId="8" borderId="11" xfId="0" applyFont="1" applyFill="1" applyBorder="1" applyAlignment="1" applyProtection="1">
      <alignment horizontal="left" vertical="center" shrinkToFit="1"/>
      <protection locked="0"/>
    </xf>
    <xf numFmtId="0" fontId="6" fillId="0" borderId="9" xfId="0" applyFont="1" applyFill="1" applyBorder="1" applyAlignment="1" applyProtection="1">
      <alignment horizontal="left" vertical="center" shrinkToFit="1"/>
      <protection locked="0"/>
    </xf>
    <xf numFmtId="0" fontId="6" fillId="0" borderId="10" xfId="0" applyFont="1" applyFill="1" applyBorder="1" applyAlignment="1" applyProtection="1">
      <alignment horizontal="left" vertical="center" shrinkToFit="1"/>
      <protection locked="0"/>
    </xf>
    <xf numFmtId="0" fontId="6" fillId="0" borderId="11" xfId="0" applyFont="1" applyFill="1" applyBorder="1" applyAlignment="1" applyProtection="1">
      <alignment horizontal="left" vertical="center" shrinkToFit="1"/>
      <protection locked="0"/>
    </xf>
    <xf numFmtId="0" fontId="6" fillId="4" borderId="0" xfId="0" applyFont="1" applyFill="1" applyBorder="1" applyAlignment="1">
      <alignment horizontal="left" vertical="center" shrinkToFit="1"/>
    </xf>
    <xf numFmtId="0" fontId="6" fillId="11" borderId="1" xfId="0" applyFont="1" applyFill="1" applyBorder="1" applyAlignment="1" applyProtection="1">
      <alignment horizontal="left" vertical="center" shrinkToFit="1"/>
      <protection locked="0"/>
    </xf>
    <xf numFmtId="0" fontId="6" fillId="10" borderId="1" xfId="0" applyFont="1" applyFill="1" applyBorder="1" applyAlignment="1" applyProtection="1">
      <alignment horizontal="left" vertical="center" shrinkToFit="1"/>
      <protection locked="0"/>
    </xf>
    <xf numFmtId="0" fontId="6" fillId="4" borderId="9" xfId="0" applyFont="1" applyFill="1" applyBorder="1" applyAlignment="1">
      <alignment horizontal="center" vertical="center" shrinkToFit="1"/>
    </xf>
    <xf numFmtId="0" fontId="6" fillId="4" borderId="11" xfId="0" applyFont="1" applyFill="1" applyBorder="1" applyAlignment="1">
      <alignment horizontal="center" vertical="center" shrinkToFit="1"/>
    </xf>
    <xf numFmtId="0" fontId="6" fillId="4" borderId="1" xfId="0" applyFont="1" applyFill="1" applyBorder="1" applyAlignment="1" applyProtection="1">
      <alignment horizontal="left" vertical="center" shrinkToFit="1"/>
    </xf>
    <xf numFmtId="49" fontId="6" fillId="0" borderId="9" xfId="0" applyNumberFormat="1" applyFont="1" applyFill="1" applyBorder="1" applyAlignment="1" applyProtection="1">
      <alignment vertical="center" shrinkToFit="1"/>
      <protection locked="0"/>
    </xf>
    <xf numFmtId="49" fontId="6" fillId="0" borderId="10" xfId="0" applyNumberFormat="1" applyFont="1" applyFill="1" applyBorder="1" applyAlignment="1" applyProtection="1">
      <alignment vertical="center" shrinkToFit="1"/>
      <protection locked="0"/>
    </xf>
    <xf numFmtId="49" fontId="6" fillId="0" borderId="11" xfId="0" applyNumberFormat="1" applyFont="1" applyFill="1" applyBorder="1" applyAlignment="1" applyProtection="1">
      <alignment vertical="center" shrinkToFit="1"/>
      <protection locked="0"/>
    </xf>
    <xf numFmtId="49" fontId="0" fillId="0" borderId="11" xfId="0" applyNumberFormat="1" applyBorder="1" applyAlignment="1" applyProtection="1">
      <alignment vertical="center" shrinkToFit="1"/>
      <protection locked="0"/>
    </xf>
    <xf numFmtId="0" fontId="6" fillId="0" borderId="2" xfId="0" applyFont="1" applyFill="1" applyBorder="1" applyAlignment="1" applyProtection="1">
      <alignment horizontal="left" vertical="top" wrapText="1" shrinkToFit="1"/>
      <protection locked="0"/>
    </xf>
    <xf numFmtId="0" fontId="0" fillId="0" borderId="3" xfId="0" applyBorder="1" applyAlignment="1" applyProtection="1">
      <alignment horizontal="left" vertical="top" wrapText="1" shrinkToFit="1"/>
      <protection locked="0"/>
    </xf>
    <xf numFmtId="0" fontId="0" fillId="0" borderId="13" xfId="0" applyBorder="1" applyAlignment="1" applyProtection="1">
      <alignment horizontal="left" vertical="top" wrapText="1" shrinkToFit="1"/>
      <protection locked="0"/>
    </xf>
    <xf numFmtId="0" fontId="0" fillId="0" borderId="4" xfId="0" applyBorder="1" applyAlignment="1" applyProtection="1">
      <alignment horizontal="left" vertical="top" wrapText="1" shrinkToFit="1"/>
      <protection locked="0"/>
    </xf>
    <xf numFmtId="0" fontId="0" fillId="0" borderId="0" xfId="0" applyAlignment="1" applyProtection="1">
      <alignment horizontal="left" vertical="top" wrapText="1" shrinkToFit="1"/>
      <protection locked="0"/>
    </xf>
    <xf numFmtId="0" fontId="0" fillId="0" borderId="5" xfId="0" applyBorder="1" applyAlignment="1" applyProtection="1">
      <alignment horizontal="left" vertical="top" wrapText="1" shrinkToFit="1"/>
      <protection locked="0"/>
    </xf>
    <xf numFmtId="0" fontId="0" fillId="0" borderId="6" xfId="0" applyBorder="1" applyAlignment="1" applyProtection="1">
      <alignment horizontal="left" vertical="top" wrapText="1" shrinkToFit="1"/>
      <protection locked="0"/>
    </xf>
    <xf numFmtId="0" fontId="0" fillId="0" borderId="7" xfId="0" applyBorder="1" applyAlignment="1" applyProtection="1">
      <alignment horizontal="left" vertical="top" wrapText="1" shrinkToFit="1"/>
      <protection locked="0"/>
    </xf>
    <xf numFmtId="0" fontId="0" fillId="0" borderId="8" xfId="0" applyBorder="1" applyAlignment="1" applyProtection="1">
      <alignment horizontal="left" vertical="top" wrapText="1" shrinkToFit="1"/>
      <protection locked="0"/>
    </xf>
    <xf numFmtId="0" fontId="6" fillId="8" borderId="9" xfId="0" applyFont="1" applyFill="1" applyBorder="1" applyAlignment="1" applyProtection="1">
      <alignment horizontal="center" vertical="center" shrinkToFit="1"/>
      <protection locked="0"/>
    </xf>
    <xf numFmtId="0" fontId="0" fillId="8" borderId="11" xfId="0" applyFill="1" applyBorder="1" applyAlignment="1" applyProtection="1">
      <alignment horizontal="center" vertical="center" shrinkToFit="1"/>
      <protection locked="0"/>
    </xf>
    <xf numFmtId="0" fontId="6" fillId="0" borderId="2" xfId="0" applyFont="1" applyFill="1" applyBorder="1" applyAlignment="1" applyProtection="1">
      <alignment horizontal="left" vertical="top" wrapText="1"/>
      <protection locked="0"/>
    </xf>
    <xf numFmtId="0" fontId="0" fillId="0" borderId="3" xfId="0" applyBorder="1" applyAlignment="1" applyProtection="1">
      <alignment horizontal="left" vertical="top" wrapText="1"/>
      <protection locked="0"/>
    </xf>
    <xf numFmtId="0" fontId="0" fillId="0" borderId="13" xfId="0" applyBorder="1" applyAlignment="1" applyProtection="1">
      <alignment horizontal="left" vertical="top" wrapText="1"/>
      <protection locked="0"/>
    </xf>
    <xf numFmtId="0" fontId="0" fillId="0" borderId="4" xfId="0" applyBorder="1" applyAlignment="1" applyProtection="1">
      <alignment horizontal="left" vertical="top" wrapText="1"/>
      <protection locked="0"/>
    </xf>
    <xf numFmtId="0" fontId="0" fillId="0" borderId="0" xfId="0" applyBorder="1" applyAlignment="1" applyProtection="1">
      <alignment horizontal="left" vertical="top" wrapText="1"/>
      <protection locked="0"/>
    </xf>
    <xf numFmtId="0" fontId="0" fillId="0" borderId="5" xfId="0" applyBorder="1" applyAlignment="1" applyProtection="1">
      <alignment horizontal="left" vertical="top" wrapText="1"/>
      <protection locked="0"/>
    </xf>
    <xf numFmtId="0" fontId="0" fillId="0" borderId="6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0" fontId="0" fillId="0" borderId="8" xfId="0" applyBorder="1" applyAlignment="1" applyProtection="1">
      <alignment horizontal="left" vertical="top" wrapText="1"/>
      <protection locked="0"/>
    </xf>
    <xf numFmtId="49" fontId="6" fillId="0" borderId="1" xfId="0" applyNumberFormat="1" applyFont="1" applyFill="1" applyBorder="1" applyAlignment="1" applyProtection="1">
      <alignment horizontal="left" vertical="center" shrinkToFit="1"/>
      <protection locked="0"/>
    </xf>
    <xf numFmtId="0" fontId="6" fillId="0" borderId="9" xfId="0" applyFont="1" applyFill="1" applyBorder="1" applyAlignment="1" applyProtection="1">
      <alignment vertical="center" shrinkToFit="1"/>
      <protection locked="0"/>
    </xf>
    <xf numFmtId="0" fontId="6" fillId="0" borderId="10" xfId="0" applyFont="1" applyFill="1" applyBorder="1" applyAlignment="1" applyProtection="1">
      <alignment vertical="center" shrinkToFit="1"/>
      <protection locked="0"/>
    </xf>
    <xf numFmtId="0" fontId="6" fillId="0" borderId="11" xfId="0" applyFont="1" applyFill="1" applyBorder="1" applyAlignment="1" applyProtection="1">
      <alignment vertical="center" shrinkToFit="1"/>
      <protection locked="0"/>
    </xf>
    <xf numFmtId="0" fontId="6" fillId="2" borderId="1" xfId="0" applyFont="1" applyFill="1" applyBorder="1" applyAlignment="1">
      <alignment horizontal="left" vertical="center" shrinkToFit="1"/>
    </xf>
    <xf numFmtId="0" fontId="6" fillId="4" borderId="2" xfId="0" applyFont="1" applyFill="1" applyBorder="1" applyAlignment="1" applyProtection="1">
      <alignment horizontal="left" vertical="top" wrapText="1" shrinkToFit="1"/>
    </xf>
    <xf numFmtId="0" fontId="0" fillId="4" borderId="3" xfId="0" applyFill="1" applyBorder="1" applyAlignment="1" applyProtection="1">
      <alignment horizontal="left" vertical="top" wrapText="1" shrinkToFit="1"/>
    </xf>
    <xf numFmtId="0" fontId="0" fillId="4" borderId="13" xfId="0" applyFill="1" applyBorder="1" applyAlignment="1" applyProtection="1">
      <alignment horizontal="left" vertical="top" wrapText="1" shrinkToFit="1"/>
    </xf>
    <xf numFmtId="0" fontId="0" fillId="4" borderId="4" xfId="0" applyFill="1" applyBorder="1" applyAlignment="1" applyProtection="1">
      <alignment horizontal="left" vertical="top" wrapText="1" shrinkToFit="1"/>
    </xf>
    <xf numFmtId="0" fontId="0" fillId="4" borderId="0" xfId="0" applyFill="1" applyAlignment="1" applyProtection="1">
      <alignment horizontal="left" vertical="top" wrapText="1" shrinkToFit="1"/>
    </xf>
    <xf numFmtId="0" fontId="0" fillId="4" borderId="5" xfId="0" applyFill="1" applyBorder="1" applyAlignment="1" applyProtection="1">
      <alignment horizontal="left" vertical="top" wrapText="1" shrinkToFit="1"/>
    </xf>
    <xf numFmtId="0" fontId="0" fillId="4" borderId="6" xfId="0" applyFill="1" applyBorder="1" applyAlignment="1" applyProtection="1">
      <alignment horizontal="left" vertical="top" wrapText="1" shrinkToFit="1"/>
    </xf>
    <xf numFmtId="0" fontId="0" fillId="4" borderId="7" xfId="0" applyFill="1" applyBorder="1" applyAlignment="1" applyProtection="1">
      <alignment horizontal="left" vertical="top" wrapText="1" shrinkToFit="1"/>
    </xf>
    <xf numFmtId="0" fontId="0" fillId="4" borderId="8" xfId="0" applyFill="1" applyBorder="1" applyAlignment="1" applyProtection="1">
      <alignment horizontal="left" vertical="top" wrapText="1" shrinkToFit="1"/>
    </xf>
    <xf numFmtId="0" fontId="6" fillId="4" borderId="9" xfId="0" applyFont="1" applyFill="1" applyBorder="1" applyAlignment="1" applyProtection="1">
      <alignment horizontal="center" vertical="center" shrinkToFit="1"/>
    </xf>
    <xf numFmtId="0" fontId="0" fillId="4" borderId="11" xfId="0" applyFill="1" applyBorder="1" applyAlignment="1" applyProtection="1">
      <alignment horizontal="center" vertical="center" shrinkToFit="1"/>
    </xf>
    <xf numFmtId="0" fontId="6" fillId="4" borderId="2" xfId="0" applyFont="1" applyFill="1" applyBorder="1" applyAlignment="1" applyProtection="1">
      <alignment horizontal="left" vertical="top" wrapText="1"/>
    </xf>
    <xf numFmtId="0" fontId="0" fillId="4" borderId="3" xfId="0" applyFill="1" applyBorder="1" applyAlignment="1" applyProtection="1">
      <alignment horizontal="left" vertical="top" wrapText="1"/>
    </xf>
    <xf numFmtId="0" fontId="0" fillId="4" borderId="13" xfId="0" applyFill="1" applyBorder="1" applyAlignment="1" applyProtection="1">
      <alignment horizontal="left" vertical="top" wrapText="1"/>
    </xf>
    <xf numFmtId="0" fontId="0" fillId="4" borderId="4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0" fillId="4" borderId="5" xfId="0" applyFill="1" applyBorder="1" applyAlignment="1" applyProtection="1">
      <alignment horizontal="left" vertical="top" wrapText="1"/>
    </xf>
    <xf numFmtId="0" fontId="0" fillId="4" borderId="6" xfId="0" applyFill="1" applyBorder="1" applyAlignment="1" applyProtection="1">
      <alignment horizontal="left" vertical="top" wrapText="1"/>
    </xf>
    <xf numFmtId="0" fontId="0" fillId="4" borderId="7" xfId="0" applyFill="1" applyBorder="1" applyAlignment="1" applyProtection="1">
      <alignment horizontal="left" vertical="top" wrapText="1"/>
    </xf>
    <xf numFmtId="0" fontId="0" fillId="4" borderId="8" xfId="0" applyFill="1" applyBorder="1" applyAlignment="1" applyProtection="1">
      <alignment horizontal="left" vertical="top" wrapText="1"/>
    </xf>
    <xf numFmtId="49" fontId="6" fillId="4" borderId="9" xfId="0" applyNumberFormat="1" applyFont="1" applyFill="1" applyBorder="1" applyAlignment="1" applyProtection="1">
      <alignment vertical="center" shrinkToFit="1"/>
    </xf>
    <xf numFmtId="49" fontId="0" fillId="4" borderId="11" xfId="0" applyNumberFormat="1" applyFill="1" applyBorder="1" applyAlignment="1" applyProtection="1">
      <alignment vertical="center" shrinkToFit="1"/>
    </xf>
    <xf numFmtId="0" fontId="6" fillId="4" borderId="9" xfId="0" applyFont="1" applyFill="1" applyBorder="1" applyAlignment="1" applyProtection="1">
      <alignment vertical="center" shrinkToFit="1"/>
    </xf>
    <xf numFmtId="0" fontId="6" fillId="4" borderId="10" xfId="0" applyFont="1" applyFill="1" applyBorder="1" applyAlignment="1" applyProtection="1">
      <alignment vertical="center" shrinkToFit="1"/>
    </xf>
    <xf numFmtId="0" fontId="6" fillId="4" borderId="11" xfId="0" applyFont="1" applyFill="1" applyBorder="1" applyAlignment="1" applyProtection="1">
      <alignment vertical="center" shrinkToFit="1"/>
    </xf>
    <xf numFmtId="49" fontId="6" fillId="4" borderId="1" xfId="0" applyNumberFormat="1" applyFont="1" applyFill="1" applyBorder="1" applyAlignment="1" applyProtection="1">
      <alignment horizontal="left" vertical="center" shrinkToFit="1"/>
    </xf>
    <xf numFmtId="49" fontId="6" fillId="4" borderId="11" xfId="0" applyNumberFormat="1" applyFont="1" applyFill="1" applyBorder="1" applyAlignment="1" applyProtection="1">
      <alignment vertical="center" shrinkToFit="1"/>
    </xf>
    <xf numFmtId="49" fontId="6" fillId="4" borderId="10" xfId="0" applyNumberFormat="1" applyFont="1" applyFill="1" applyBorder="1" applyAlignment="1" applyProtection="1">
      <alignment vertical="center" shrinkToFit="1"/>
    </xf>
    <xf numFmtId="49" fontId="6" fillId="0" borderId="9" xfId="0" applyNumberFormat="1" applyFont="1" applyFill="1" applyBorder="1" applyAlignment="1" applyProtection="1">
      <alignment horizontal="left" vertical="center" shrinkToFit="1"/>
      <protection locked="0"/>
    </xf>
    <xf numFmtId="49" fontId="6" fillId="0" borderId="10" xfId="0" applyNumberFormat="1" applyFont="1" applyFill="1" applyBorder="1" applyAlignment="1" applyProtection="1">
      <alignment horizontal="left" vertical="center" shrinkToFit="1"/>
      <protection locked="0"/>
    </xf>
    <xf numFmtId="49" fontId="6" fillId="0" borderId="11" xfId="0" applyNumberFormat="1" applyFont="1" applyFill="1" applyBorder="1" applyAlignment="1" applyProtection="1">
      <alignment horizontal="left" vertical="center" shrinkToFit="1"/>
      <protection locked="0"/>
    </xf>
    <xf numFmtId="0" fontId="6" fillId="4" borderId="9" xfId="0" applyFont="1" applyFill="1" applyBorder="1" applyAlignment="1" applyProtection="1">
      <alignment horizontal="left" vertical="center" shrinkToFit="1"/>
    </xf>
    <xf numFmtId="0" fontId="6" fillId="4" borderId="10" xfId="0" applyFont="1" applyFill="1" applyBorder="1" applyAlignment="1" applyProtection="1">
      <alignment horizontal="left" vertical="center" shrinkToFit="1"/>
    </xf>
    <xf numFmtId="0" fontId="6" fillId="4" borderId="11" xfId="0" applyFont="1" applyFill="1" applyBorder="1" applyAlignment="1" applyProtection="1">
      <alignment horizontal="left" vertical="center" shrinkToFit="1"/>
    </xf>
    <xf numFmtId="49" fontId="6" fillId="5" borderId="9" xfId="0" applyNumberFormat="1" applyFont="1" applyFill="1" applyBorder="1" applyAlignment="1" applyProtection="1">
      <alignment horizontal="center" vertical="center" shrinkToFit="1"/>
      <protection locked="0"/>
    </xf>
    <xf numFmtId="49" fontId="6" fillId="5" borderId="10" xfId="0" applyNumberFormat="1" applyFont="1" applyFill="1" applyBorder="1" applyAlignment="1" applyProtection="1">
      <alignment horizontal="center" vertical="center" shrinkToFit="1"/>
      <protection locked="0"/>
    </xf>
    <xf numFmtId="49" fontId="6" fillId="5" borderId="11" xfId="0" applyNumberFormat="1" applyFont="1" applyFill="1" applyBorder="1" applyAlignment="1" applyProtection="1">
      <alignment horizontal="center" vertical="center" shrinkToFit="1"/>
      <protection locked="0"/>
    </xf>
    <xf numFmtId="49" fontId="6" fillId="8" borderId="9" xfId="0" applyNumberFormat="1" applyFont="1" applyFill="1" applyBorder="1" applyAlignment="1" applyProtection="1">
      <alignment horizontal="center" vertical="center" shrinkToFit="1"/>
      <protection locked="0"/>
    </xf>
    <xf numFmtId="49" fontId="6" fillId="8" borderId="10" xfId="0" applyNumberFormat="1" applyFont="1" applyFill="1" applyBorder="1" applyAlignment="1" applyProtection="1">
      <alignment horizontal="center" vertical="center" shrinkToFit="1"/>
      <protection locked="0"/>
    </xf>
    <xf numFmtId="49" fontId="6" fillId="8" borderId="11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23" xfId="0" applyFont="1" applyFill="1" applyBorder="1" applyAlignment="1" applyProtection="1">
      <alignment horizontal="left" vertical="center" shrinkToFit="1"/>
    </xf>
    <xf numFmtId="0" fontId="6" fillId="0" borderId="24" xfId="0" applyFont="1" applyFill="1" applyBorder="1" applyAlignment="1" applyProtection="1">
      <alignment horizontal="left" vertical="center" shrinkToFit="1"/>
    </xf>
    <xf numFmtId="0" fontId="6" fillId="0" borderId="0" xfId="0" applyFont="1" applyFill="1" applyBorder="1" applyAlignment="1" applyProtection="1">
      <alignment horizontal="center" vertical="center" shrinkToFit="1"/>
    </xf>
    <xf numFmtId="0" fontId="19" fillId="9" borderId="0" xfId="0" applyFont="1" applyFill="1" applyAlignment="1">
      <alignment vertical="center" wrapText="1"/>
    </xf>
    <xf numFmtId="0" fontId="19" fillId="14" borderId="55" xfId="0" applyFont="1" applyFill="1" applyBorder="1" applyAlignment="1">
      <alignment horizontal="left" vertical="top" wrapText="1"/>
    </xf>
    <xf numFmtId="0" fontId="19" fillId="14" borderId="55" xfId="0" applyFont="1" applyFill="1" applyBorder="1" applyAlignment="1">
      <alignment horizontal="left" vertical="center" wrapText="1"/>
    </xf>
    <xf numFmtId="0" fontId="7" fillId="14" borderId="55" xfId="0" applyFont="1" applyFill="1" applyBorder="1" applyAlignment="1">
      <alignment horizontal="left" vertical="center" wrapText="1"/>
    </xf>
    <xf numFmtId="0" fontId="7" fillId="14" borderId="55" xfId="0" applyFont="1" applyFill="1" applyBorder="1" applyAlignment="1">
      <alignment horizontal="left" vertical="top" wrapText="1"/>
    </xf>
    <xf numFmtId="0" fontId="19" fillId="9" borderId="55" xfId="0" applyFont="1" applyFill="1" applyBorder="1" applyAlignment="1">
      <alignment horizontal="left" vertical="center" wrapText="1"/>
    </xf>
    <xf numFmtId="0" fontId="6" fillId="0" borderId="2" xfId="0" applyFont="1" applyFill="1" applyBorder="1" applyAlignment="1" applyProtection="1">
      <alignment horizontal="left" vertical="center" shrinkToFit="1"/>
      <protection locked="0"/>
    </xf>
    <xf numFmtId="0" fontId="6" fillId="0" borderId="3" xfId="0" applyFont="1" applyFill="1" applyBorder="1" applyAlignment="1" applyProtection="1">
      <alignment horizontal="left" vertical="center" shrinkToFit="1"/>
      <protection locked="0"/>
    </xf>
    <xf numFmtId="0" fontId="6" fillId="0" borderId="13" xfId="0" applyFont="1" applyFill="1" applyBorder="1" applyAlignment="1" applyProtection="1">
      <alignment horizontal="left" vertical="center" shrinkToFit="1"/>
      <protection locked="0"/>
    </xf>
    <xf numFmtId="177" fontId="6" fillId="0" borderId="9" xfId="0" applyNumberFormat="1" applyFont="1" applyFill="1" applyBorder="1" applyAlignment="1" applyProtection="1">
      <alignment horizontal="right" vertical="center" shrinkToFit="1"/>
      <protection locked="0"/>
    </xf>
    <xf numFmtId="177" fontId="6" fillId="0" borderId="11" xfId="0" applyNumberFormat="1" applyFont="1" applyFill="1" applyBorder="1" applyAlignment="1" applyProtection="1">
      <alignment horizontal="right" vertical="center" shrinkToFit="1"/>
      <protection locked="0"/>
    </xf>
    <xf numFmtId="179" fontId="6" fillId="0" borderId="9" xfId="0" quotePrefix="1" applyNumberFormat="1" applyFont="1" applyFill="1" applyBorder="1" applyAlignment="1" applyProtection="1">
      <alignment vertical="center" shrinkToFit="1"/>
      <protection locked="0"/>
    </xf>
    <xf numFmtId="179" fontId="6" fillId="0" borderId="11" xfId="0" quotePrefix="1" applyNumberFormat="1" applyFont="1" applyFill="1" applyBorder="1" applyAlignment="1" applyProtection="1">
      <alignment vertical="center" shrinkToFit="1"/>
      <protection locked="0"/>
    </xf>
    <xf numFmtId="0" fontId="6" fillId="0" borderId="1" xfId="0" applyFont="1" applyFill="1" applyBorder="1" applyAlignment="1" applyProtection="1">
      <alignment horizontal="left" vertical="center" shrinkToFit="1"/>
      <protection locked="0"/>
    </xf>
    <xf numFmtId="49" fontId="6" fillId="0" borderId="2" xfId="0" applyNumberFormat="1" applyFont="1" applyFill="1" applyBorder="1" applyAlignment="1" applyProtection="1">
      <alignment horizontal="left" vertical="top" wrapText="1"/>
      <protection locked="0"/>
    </xf>
    <xf numFmtId="49" fontId="6" fillId="0" borderId="3" xfId="0" applyNumberFormat="1" applyFont="1" applyFill="1" applyBorder="1" applyAlignment="1" applyProtection="1">
      <alignment horizontal="left" vertical="top" wrapText="1"/>
      <protection locked="0"/>
    </xf>
    <xf numFmtId="49" fontId="6" fillId="0" borderId="13" xfId="0" applyNumberFormat="1" applyFont="1" applyFill="1" applyBorder="1" applyAlignment="1" applyProtection="1">
      <alignment horizontal="left" vertical="top" wrapText="1"/>
      <protection locked="0"/>
    </xf>
    <xf numFmtId="49" fontId="6" fillId="0" borderId="4" xfId="0" applyNumberFormat="1" applyFont="1" applyFill="1" applyBorder="1" applyAlignment="1" applyProtection="1">
      <alignment horizontal="left" vertical="top" wrapText="1"/>
      <protection locked="0"/>
    </xf>
    <xf numFmtId="49" fontId="6" fillId="0" borderId="0" xfId="0" applyNumberFormat="1" applyFont="1" applyFill="1" applyBorder="1" applyAlignment="1" applyProtection="1">
      <alignment horizontal="left" vertical="top" wrapText="1"/>
      <protection locked="0"/>
    </xf>
    <xf numFmtId="49" fontId="6" fillId="0" borderId="5" xfId="0" applyNumberFormat="1" applyFont="1" applyFill="1" applyBorder="1" applyAlignment="1" applyProtection="1">
      <alignment horizontal="left" vertical="top" wrapText="1"/>
      <protection locked="0"/>
    </xf>
    <xf numFmtId="49" fontId="6" fillId="0" borderId="6" xfId="0" applyNumberFormat="1" applyFont="1" applyFill="1" applyBorder="1" applyAlignment="1" applyProtection="1">
      <alignment horizontal="left" vertical="top" wrapText="1"/>
      <protection locked="0"/>
    </xf>
    <xf numFmtId="49" fontId="6" fillId="0" borderId="7" xfId="0" applyNumberFormat="1" applyFont="1" applyFill="1" applyBorder="1" applyAlignment="1" applyProtection="1">
      <alignment horizontal="left" vertical="top" wrapText="1"/>
      <protection locked="0"/>
    </xf>
    <xf numFmtId="49" fontId="6" fillId="0" borderId="8" xfId="0" applyNumberFormat="1" applyFont="1" applyFill="1" applyBorder="1" applyAlignment="1" applyProtection="1">
      <alignment horizontal="left" vertical="top" wrapText="1"/>
      <protection locked="0"/>
    </xf>
    <xf numFmtId="176" fontId="6" fillId="4" borderId="9" xfId="0" applyNumberFormat="1" applyFont="1" applyFill="1" applyBorder="1" applyAlignment="1">
      <alignment horizontal="center" vertical="center" shrinkToFit="1"/>
    </xf>
    <xf numFmtId="176" fontId="6" fillId="4" borderId="11" xfId="0" applyNumberFormat="1" applyFont="1" applyFill="1" applyBorder="1" applyAlignment="1">
      <alignment horizontal="center" vertical="center" shrinkToFit="1"/>
    </xf>
    <xf numFmtId="176" fontId="6" fillId="4" borderId="10" xfId="0" applyNumberFormat="1" applyFont="1" applyFill="1" applyBorder="1" applyAlignment="1">
      <alignment horizontal="center" vertical="center" shrinkToFit="1"/>
    </xf>
    <xf numFmtId="0" fontId="6" fillId="4" borderId="9" xfId="0" applyFont="1" applyFill="1" applyBorder="1" applyAlignment="1">
      <alignment horizontal="left" vertical="center" shrinkToFit="1"/>
    </xf>
    <xf numFmtId="0" fontId="6" fillId="4" borderId="10" xfId="0" applyFont="1" applyFill="1" applyBorder="1" applyAlignment="1">
      <alignment horizontal="left" vertical="center" shrinkToFit="1"/>
    </xf>
    <xf numFmtId="0" fontId="6" fillId="4" borderId="11" xfId="0" applyFont="1" applyFill="1" applyBorder="1" applyAlignment="1">
      <alignment horizontal="left" vertical="center" shrinkToFit="1"/>
    </xf>
    <xf numFmtId="0" fontId="6" fillId="4" borderId="4" xfId="0" applyFont="1" applyFill="1" applyBorder="1" applyAlignment="1">
      <alignment horizontal="right" vertical="center" shrinkToFit="1"/>
    </xf>
    <xf numFmtId="0" fontId="6" fillId="4" borderId="5" xfId="0" applyFont="1" applyFill="1" applyBorder="1" applyAlignment="1">
      <alignment horizontal="right" vertical="center" shrinkToFit="1"/>
    </xf>
    <xf numFmtId="49" fontId="6" fillId="4" borderId="2" xfId="0" applyNumberFormat="1" applyFont="1" applyFill="1" applyBorder="1" applyAlignment="1" applyProtection="1">
      <alignment horizontal="left" vertical="top" wrapText="1"/>
    </xf>
    <xf numFmtId="49" fontId="6" fillId="4" borderId="3" xfId="0" applyNumberFormat="1" applyFont="1" applyFill="1" applyBorder="1" applyAlignment="1" applyProtection="1">
      <alignment horizontal="left" vertical="top" wrapText="1"/>
    </xf>
    <xf numFmtId="49" fontId="6" fillId="4" borderId="13" xfId="0" applyNumberFormat="1" applyFont="1" applyFill="1" applyBorder="1" applyAlignment="1" applyProtection="1">
      <alignment horizontal="left" vertical="top" wrapText="1"/>
    </xf>
    <xf numFmtId="49" fontId="6" fillId="4" borderId="4" xfId="0" applyNumberFormat="1" applyFont="1" applyFill="1" applyBorder="1" applyAlignment="1" applyProtection="1">
      <alignment horizontal="left" vertical="top" wrapText="1"/>
    </xf>
    <xf numFmtId="49" fontId="6" fillId="4" borderId="0" xfId="0" applyNumberFormat="1" applyFont="1" applyFill="1" applyBorder="1" applyAlignment="1" applyProtection="1">
      <alignment horizontal="left" vertical="top" wrapText="1"/>
    </xf>
    <xf numFmtId="49" fontId="6" fillId="4" borderId="5" xfId="0" applyNumberFormat="1" applyFont="1" applyFill="1" applyBorder="1" applyAlignment="1" applyProtection="1">
      <alignment horizontal="left" vertical="top" wrapText="1"/>
    </xf>
    <xf numFmtId="49" fontId="6" fillId="4" borderId="6" xfId="0" applyNumberFormat="1" applyFont="1" applyFill="1" applyBorder="1" applyAlignment="1" applyProtection="1">
      <alignment horizontal="left" vertical="top" wrapText="1"/>
    </xf>
    <xf numFmtId="49" fontId="6" fillId="4" borderId="7" xfId="0" applyNumberFormat="1" applyFont="1" applyFill="1" applyBorder="1" applyAlignment="1" applyProtection="1">
      <alignment horizontal="left" vertical="top" wrapText="1"/>
    </xf>
    <xf numFmtId="49" fontId="6" fillId="4" borderId="8" xfId="0" applyNumberFormat="1" applyFont="1" applyFill="1" applyBorder="1" applyAlignment="1" applyProtection="1">
      <alignment horizontal="left" vertical="top" wrapText="1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177" fontId="6" fillId="4" borderId="9" xfId="0" applyNumberFormat="1" applyFont="1" applyFill="1" applyBorder="1" applyAlignment="1" applyProtection="1">
      <alignment horizontal="right" vertical="center" shrinkToFit="1"/>
    </xf>
    <xf numFmtId="177" fontId="6" fillId="4" borderId="11" xfId="0" applyNumberFormat="1" applyFont="1" applyFill="1" applyBorder="1" applyAlignment="1" applyProtection="1">
      <alignment horizontal="right" vertical="center" shrinkToFit="1"/>
    </xf>
    <xf numFmtId="179" fontId="6" fillId="4" borderId="9" xfId="0" quotePrefix="1" applyNumberFormat="1" applyFont="1" applyFill="1" applyBorder="1" applyAlignment="1" applyProtection="1">
      <alignment vertical="center" shrinkToFit="1"/>
    </xf>
    <xf numFmtId="179" fontId="6" fillId="4" borderId="11" xfId="0" quotePrefix="1" applyNumberFormat="1" applyFont="1" applyFill="1" applyBorder="1" applyAlignment="1" applyProtection="1">
      <alignment vertical="center" shrinkToFit="1"/>
    </xf>
    <xf numFmtId="0" fontId="6" fillId="4" borderId="4" xfId="0" applyFont="1" applyFill="1" applyBorder="1" applyAlignment="1" applyProtection="1">
      <alignment horizontal="right" vertical="center" shrinkToFit="1"/>
    </xf>
    <xf numFmtId="0" fontId="6" fillId="4" borderId="5" xfId="0" applyFont="1" applyFill="1" applyBorder="1" applyAlignment="1" applyProtection="1">
      <alignment horizontal="right" vertical="center" shrinkToFit="1"/>
    </xf>
    <xf numFmtId="49" fontId="6" fillId="4" borderId="9" xfId="0" applyNumberFormat="1" applyFont="1" applyFill="1" applyBorder="1" applyAlignment="1" applyProtection="1">
      <alignment horizontal="left" vertical="center" shrinkToFit="1"/>
    </xf>
    <xf numFmtId="49" fontId="6" fillId="4" borderId="10" xfId="0" applyNumberFormat="1" applyFont="1" applyFill="1" applyBorder="1" applyAlignment="1" applyProtection="1">
      <alignment horizontal="left" vertical="center" shrinkToFit="1"/>
    </xf>
    <xf numFmtId="49" fontId="6" fillId="4" borderId="11" xfId="0" applyNumberFormat="1" applyFont="1" applyFill="1" applyBorder="1" applyAlignment="1" applyProtection="1">
      <alignment horizontal="left" vertical="center" shrinkToFit="1"/>
    </xf>
    <xf numFmtId="0" fontId="6" fillId="4" borderId="2" xfId="0" applyFont="1" applyFill="1" applyBorder="1" applyAlignment="1" applyProtection="1">
      <alignment horizontal="left" vertical="center" shrinkToFit="1"/>
    </xf>
    <xf numFmtId="0" fontId="6" fillId="4" borderId="3" xfId="0" applyFont="1" applyFill="1" applyBorder="1" applyAlignment="1" applyProtection="1">
      <alignment horizontal="left" vertical="center" shrinkToFit="1"/>
    </xf>
    <xf numFmtId="0" fontId="6" fillId="4" borderId="13" xfId="0" applyFont="1" applyFill="1" applyBorder="1" applyAlignment="1" applyProtection="1">
      <alignment horizontal="left" vertical="center" shrinkToFit="1"/>
    </xf>
    <xf numFmtId="49" fontId="6" fillId="8" borderId="1" xfId="0" applyNumberFormat="1" applyFont="1" applyFill="1" applyBorder="1" applyAlignment="1" applyProtection="1">
      <alignment horizontal="left" vertical="center" shrinkToFit="1"/>
      <protection locked="0"/>
    </xf>
    <xf numFmtId="49" fontId="6" fillId="4" borderId="9" xfId="0" applyNumberFormat="1" applyFont="1" applyFill="1" applyBorder="1" applyAlignment="1">
      <alignment vertical="center" shrinkToFit="1"/>
    </xf>
    <xf numFmtId="49" fontId="6" fillId="4" borderId="11" xfId="0" applyNumberFormat="1" applyFont="1" applyFill="1" applyBorder="1" applyAlignment="1">
      <alignment vertical="center" shrinkToFit="1"/>
    </xf>
    <xf numFmtId="49" fontId="6" fillId="7" borderId="9" xfId="0" applyNumberFormat="1" applyFont="1" applyFill="1" applyBorder="1" applyAlignment="1">
      <alignment vertical="center" shrinkToFit="1"/>
    </xf>
    <xf numFmtId="49" fontId="6" fillId="7" borderId="11" xfId="0" applyNumberFormat="1" applyFont="1" applyFill="1" applyBorder="1" applyAlignment="1">
      <alignment vertical="center" shrinkToFit="1"/>
    </xf>
    <xf numFmtId="49" fontId="6" fillId="5" borderId="1" xfId="0" applyNumberFormat="1" applyFont="1" applyFill="1" applyBorder="1" applyAlignment="1" applyProtection="1">
      <alignment horizontal="center" vertical="center" shrinkToFit="1"/>
      <protection locked="0"/>
    </xf>
    <xf numFmtId="49" fontId="6" fillId="13" borderId="1" xfId="0" applyNumberFormat="1" applyFont="1" applyFill="1" applyBorder="1" applyAlignment="1" applyProtection="1">
      <alignment horizontal="center" vertical="center" shrinkToFit="1"/>
      <protection locked="0"/>
    </xf>
    <xf numFmtId="49" fontId="6" fillId="4" borderId="9" xfId="0" applyNumberFormat="1" applyFont="1" applyFill="1" applyBorder="1" applyAlignment="1">
      <alignment horizontal="left" vertical="center" shrinkToFit="1"/>
    </xf>
    <xf numFmtId="49" fontId="6" fillId="4" borderId="10" xfId="0" applyNumberFormat="1" applyFont="1" applyFill="1" applyBorder="1" applyAlignment="1">
      <alignment horizontal="left" vertical="center" shrinkToFit="1"/>
    </xf>
    <xf numFmtId="49" fontId="6" fillId="4" borderId="11" xfId="0" applyNumberFormat="1" applyFont="1" applyFill="1" applyBorder="1" applyAlignment="1">
      <alignment horizontal="left" vertical="center" shrinkToFit="1"/>
    </xf>
    <xf numFmtId="0" fontId="6" fillId="4" borderId="0" xfId="0" applyFont="1" applyFill="1" applyBorder="1" applyAlignment="1" applyProtection="1">
      <alignment horizontal="left" vertical="top" wrapText="1"/>
    </xf>
    <xf numFmtId="0" fontId="6" fillId="4" borderId="0" xfId="0" applyFont="1" applyFill="1" applyBorder="1" applyAlignment="1" applyProtection="1">
      <alignment horizontal="center" vertical="center"/>
    </xf>
    <xf numFmtId="0" fontId="6" fillId="4" borderId="2" xfId="0" applyFont="1" applyFill="1" applyBorder="1" applyAlignment="1" applyProtection="1">
      <alignment horizontal="left" vertical="center" wrapText="1"/>
    </xf>
    <xf numFmtId="0" fontId="6" fillId="4" borderId="3" xfId="0" applyFont="1" applyFill="1" applyBorder="1" applyAlignment="1" applyProtection="1">
      <alignment horizontal="left" vertical="center" wrapText="1"/>
    </xf>
    <xf numFmtId="0" fontId="6" fillId="4" borderId="13" xfId="0" applyFont="1" applyFill="1" applyBorder="1" applyAlignment="1" applyProtection="1">
      <alignment horizontal="left" vertical="center" wrapText="1"/>
    </xf>
    <xf numFmtId="0" fontId="6" fillId="4" borderId="4" xfId="0" applyFont="1" applyFill="1" applyBorder="1" applyAlignment="1" applyProtection="1">
      <alignment horizontal="left" vertical="center" wrapText="1"/>
    </xf>
    <xf numFmtId="0" fontId="6" fillId="4" borderId="0" xfId="0" applyFont="1" applyFill="1" applyBorder="1" applyAlignment="1" applyProtection="1">
      <alignment horizontal="left" vertical="center" wrapText="1"/>
    </xf>
    <xf numFmtId="0" fontId="6" fillId="4" borderId="5" xfId="0" applyFont="1" applyFill="1" applyBorder="1" applyAlignment="1" applyProtection="1">
      <alignment horizontal="left" vertical="center" wrapText="1"/>
    </xf>
    <xf numFmtId="0" fontId="6" fillId="4" borderId="6" xfId="0" applyFont="1" applyFill="1" applyBorder="1" applyAlignment="1" applyProtection="1">
      <alignment horizontal="left" vertical="center" wrapText="1"/>
    </xf>
    <xf numFmtId="0" fontId="6" fillId="4" borderId="7" xfId="0" applyFont="1" applyFill="1" applyBorder="1" applyAlignment="1" applyProtection="1">
      <alignment horizontal="left" vertical="center" wrapText="1"/>
    </xf>
    <xf numFmtId="0" fontId="6" fillId="4" borderId="8" xfId="0" applyFont="1" applyFill="1" applyBorder="1" applyAlignment="1" applyProtection="1">
      <alignment horizontal="left" vertical="center" wrapText="1"/>
    </xf>
    <xf numFmtId="0" fontId="6" fillId="0" borderId="2" xfId="0" applyFont="1" applyFill="1" applyBorder="1" applyAlignment="1" applyProtection="1">
      <alignment horizontal="left" vertical="center" wrapText="1"/>
      <protection locked="0"/>
    </xf>
    <xf numFmtId="0" fontId="6" fillId="0" borderId="3" xfId="0" applyFont="1" applyFill="1" applyBorder="1" applyAlignment="1" applyProtection="1">
      <alignment horizontal="left" vertical="center" wrapText="1"/>
      <protection locked="0"/>
    </xf>
    <xf numFmtId="0" fontId="6" fillId="0" borderId="13" xfId="0" applyFont="1" applyFill="1" applyBorder="1" applyAlignment="1" applyProtection="1">
      <alignment horizontal="left" vertical="center" wrapText="1"/>
      <protection locked="0"/>
    </xf>
    <xf numFmtId="0" fontId="6" fillId="0" borderId="4" xfId="0" applyFont="1" applyFill="1" applyBorder="1" applyAlignment="1" applyProtection="1">
      <alignment horizontal="left" vertical="center" wrapText="1"/>
      <protection locked="0"/>
    </xf>
    <xf numFmtId="0" fontId="6" fillId="0" borderId="0" xfId="0" applyFont="1" applyFill="1" applyBorder="1" applyAlignment="1" applyProtection="1">
      <alignment horizontal="left" vertical="center" wrapText="1"/>
      <protection locked="0"/>
    </xf>
    <xf numFmtId="0" fontId="6" fillId="0" borderId="5" xfId="0" applyFont="1" applyFill="1" applyBorder="1" applyAlignment="1" applyProtection="1">
      <alignment horizontal="left" vertical="center" wrapText="1"/>
      <protection locked="0"/>
    </xf>
    <xf numFmtId="0" fontId="6" fillId="0" borderId="6" xfId="0" applyFont="1" applyFill="1" applyBorder="1" applyAlignment="1" applyProtection="1">
      <alignment horizontal="left" vertical="center" wrapText="1"/>
      <protection locked="0"/>
    </xf>
    <xf numFmtId="0" fontId="6" fillId="0" borderId="7" xfId="0" applyFont="1" applyFill="1" applyBorder="1" applyAlignment="1" applyProtection="1">
      <alignment horizontal="left" vertical="center" wrapText="1"/>
      <protection locked="0"/>
    </xf>
    <xf numFmtId="0" fontId="6" fillId="0" borderId="8" xfId="0" applyFont="1" applyFill="1" applyBorder="1" applyAlignment="1" applyProtection="1">
      <alignment horizontal="left" vertical="center" wrapText="1"/>
      <protection locked="0"/>
    </xf>
    <xf numFmtId="0" fontId="6" fillId="4" borderId="9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15" borderId="9" xfId="0" applyFont="1" applyFill="1" applyBorder="1" applyAlignment="1">
      <alignment horizontal="center" vertical="center"/>
    </xf>
    <xf numFmtId="0" fontId="6" fillId="15" borderId="10" xfId="0" applyFont="1" applyFill="1" applyBorder="1" applyAlignment="1">
      <alignment horizontal="center" vertical="center"/>
    </xf>
    <xf numFmtId="0" fontId="6" fillId="15" borderId="1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5" borderId="9" xfId="0" applyFont="1" applyFill="1" applyBorder="1" applyAlignment="1" applyProtection="1">
      <alignment horizontal="left" vertical="center"/>
      <protection locked="0"/>
    </xf>
    <xf numFmtId="0" fontId="6" fillId="5" borderId="10" xfId="0" applyFont="1" applyFill="1" applyBorder="1" applyAlignment="1" applyProtection="1">
      <alignment horizontal="left" vertical="center"/>
      <protection locked="0"/>
    </xf>
    <xf numFmtId="0" fontId="6" fillId="5" borderId="11" xfId="0" applyFont="1" applyFill="1" applyBorder="1" applyAlignment="1" applyProtection="1">
      <alignment horizontal="left" vertical="center"/>
      <protection locked="0"/>
    </xf>
    <xf numFmtId="0" fontId="6" fillId="4" borderId="9" xfId="0" applyFont="1" applyFill="1" applyBorder="1" applyAlignment="1">
      <alignment horizontal="left" vertical="center"/>
    </xf>
    <xf numFmtId="0" fontId="6" fillId="4" borderId="10" xfId="0" applyFont="1" applyFill="1" applyBorder="1" applyAlignment="1">
      <alignment horizontal="left" vertical="center"/>
    </xf>
    <xf numFmtId="0" fontId="6" fillId="4" borderId="11" xfId="0" applyFont="1" applyFill="1" applyBorder="1" applyAlignment="1">
      <alignment horizontal="left" vertical="center"/>
    </xf>
    <xf numFmtId="0" fontId="6" fillId="2" borderId="9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vertical="center"/>
    </xf>
    <xf numFmtId="0" fontId="6" fillId="4" borderId="11" xfId="0" applyFont="1" applyFill="1" applyBorder="1" applyAlignment="1">
      <alignment vertical="center"/>
    </xf>
    <xf numFmtId="0" fontId="0" fillId="7" borderId="0" xfId="0" applyFill="1" applyAlignment="1">
      <alignment vertical="center"/>
    </xf>
    <xf numFmtId="0" fontId="0" fillId="0" borderId="11" xfId="0" applyBorder="1" applyAlignment="1">
      <alignment vertical="center"/>
    </xf>
    <xf numFmtId="0" fontId="19" fillId="4" borderId="4" xfId="0" applyFont="1" applyFill="1" applyBorder="1" applyAlignment="1" applyProtection="1">
      <alignment horizontal="center" vertical="center"/>
    </xf>
    <xf numFmtId="0" fontId="19" fillId="4" borderId="0" xfId="0" applyFont="1" applyFill="1" applyBorder="1" applyAlignment="1" applyProtection="1">
      <alignment horizontal="center" vertical="center"/>
    </xf>
    <xf numFmtId="0" fontId="6" fillId="7" borderId="9" xfId="0" applyFont="1" applyFill="1" applyBorder="1" applyAlignment="1">
      <alignment horizontal="left" vertical="center" shrinkToFit="1"/>
    </xf>
    <xf numFmtId="0" fontId="6" fillId="7" borderId="10" xfId="0" applyFont="1" applyFill="1" applyBorder="1" applyAlignment="1">
      <alignment horizontal="left" vertical="center" shrinkToFit="1"/>
    </xf>
    <xf numFmtId="0" fontId="6" fillId="7" borderId="11" xfId="0" applyFont="1" applyFill="1" applyBorder="1" applyAlignment="1">
      <alignment horizontal="left" vertical="center" shrinkToFit="1"/>
    </xf>
  </cellXfs>
  <cellStyles count="4">
    <cellStyle name="ハイパーリンク" xfId="3" builtinId="8"/>
    <cellStyle name="標準" xfId="0" builtinId="0"/>
    <cellStyle name="標準 2" xfId="2"/>
    <cellStyle name="標準_外部一覧" xfId="1"/>
  </cellStyles>
  <dxfs count="69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color rgb="FFFF0000"/>
      </font>
      <fill>
        <patternFill>
          <bgColor rgb="FFFFFF00"/>
        </patternFill>
      </fill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font>
        <color rgb="FFFF0000"/>
      </font>
      <fill>
        <patternFill>
          <bgColor rgb="FFFFFF00"/>
        </patternFill>
      </fill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numFmt numFmtId="183" formatCode="#,##0_ ;[Red]\-#,##0\ "/>
    </dxf>
    <dxf>
      <fill>
        <patternFill>
          <bgColor rgb="FFFFFF66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99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99"/>
        </patternFill>
      </fill>
    </dxf>
  </dxfs>
  <tableStyles count="0" defaultTableStyle="TableStyleMedium9" defaultPivotStyle="PivotStyleLight16"/>
  <colors>
    <mruColors>
      <color rgb="FFCCFFCC"/>
      <color rgb="FFFFFF99"/>
      <color rgb="FFFFFF66"/>
      <color rgb="FFFFFFCC"/>
      <color rgb="FF8DB4E2"/>
      <color rgb="FFC0C0C0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Radio" checked="Checked" firstButton="1" fmlaLink="UNMM0011_H_FREEWD_KBN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CheckBox" checked="Checked" fmlaLink="UNMM0011_H_MISHIYO_FLG" lockText="1" noThreeD="1"/>
</file>

<file path=xl/ctrlProps/ctrlProp6.xml><?xml version="1.0" encoding="utf-8"?>
<formControlPr xmlns="http://schemas.microsoft.com/office/spreadsheetml/2009/9/main" objectType="CheckBox" fmlaLink="UNMM0010_MISHIYO_FLG" lockText="1" noThreeD="1"/>
</file>

<file path=xl/ctrlProps/ctrlProp7.xml><?xml version="1.0" encoding="utf-8"?>
<formControlPr xmlns="http://schemas.microsoft.com/office/spreadsheetml/2009/9/main" objectType="CheckBox" checked="Checked" fmlaLink="UNMM0021_H_SEIKYU_FLG" lockText="1" noThreeD="1"/>
</file>

<file path=xl/ctrlProps/ctrlProp8.xml><?xml version="1.0" encoding="utf-8"?>
<formControlPr xmlns="http://schemas.microsoft.com/office/spreadsheetml/2009/9/main" objectType="CheckBox" checked="Checked" fmlaLink="UNMM0021_H_GAICHU_FLG" lockText="1" noThreeD="1"/>
</file>

<file path=xl/ctrlProps/ctrlProp9.xml><?xml version="1.0" encoding="utf-8"?>
<formControlPr xmlns="http://schemas.microsoft.com/office/spreadsheetml/2009/9/main" objectType="CheckBox" checked="Checked" fmlaLink="UNMM0021_H_SHIIRE_FLG" lockText="1" noThreeD="1"/>
</file>

<file path=xl/ctrlProps/ctrlProp10.xml><?xml version="1.0" encoding="utf-8"?>
<formControlPr xmlns="http://schemas.microsoft.com/office/spreadsheetml/2009/9/main" objectType="CheckBox" checked="Checked" fmlaLink="UNMM0021_H_KANKO_FLG" lockText="1" noThreeD="1"/>
</file>

<file path=xl/ctrlProps/ctrlProp11.xml><?xml version="1.0" encoding="utf-8"?>
<formControlPr xmlns="http://schemas.microsoft.com/office/spreadsheetml/2009/9/main" objectType="CheckBox" checked="Checked" fmlaLink="UNMM0021_H_HASSO_FLG" lockText="1" noThreeD="1"/>
</file>

<file path=xl/ctrlProps/ctrlProp12.xml><?xml version="1.0" encoding="utf-8"?>
<formControlPr xmlns="http://schemas.microsoft.com/office/spreadsheetml/2009/9/main" objectType="CheckBox" checked="Checked" fmlaLink="UNMM0021_H_DOGYO_FLG" lockText="1" noThreeD="1"/>
</file>

<file path=xl/ctrlProps/ctrlProp13.xml><?xml version="1.0" encoding="utf-8"?>
<formControlPr xmlns="http://schemas.microsoft.com/office/spreadsheetml/2009/9/main" objectType="CheckBox" checked="Checked" fmlaLink="UNMM0021_H_HOKOKU_FLG" lockText="1" noThreeD="1"/>
</file>

<file path=xl/ctrlProps/ctrlProp14.xml><?xml version="1.0" encoding="utf-8"?>
<formControlPr xmlns="http://schemas.microsoft.com/office/spreadsheetml/2009/9/main" objectType="CheckBox" checked="Checked" fmlaLink="UNMM0021_H_SPOT_FLG" lockText="1" noThreeD="1"/>
</file>

<file path=xl/ctrlProps/ctrlProp15.xml><?xml version="1.0" encoding="utf-8"?>
<formControlPr xmlns="http://schemas.microsoft.com/office/spreadsheetml/2009/9/main" objectType="CheckBox" checked="Checked" fmlaLink="UNMM0021_H_MAKER_FLG" lockText="1" noThreeD="1"/>
</file>

<file path=xl/ctrlProps/ctrlProp16.xml><?xml version="1.0" encoding="utf-8"?>
<formControlPr xmlns="http://schemas.microsoft.com/office/spreadsheetml/2009/9/main" objectType="CheckBox" fmlaLink="UNMM0021_H_MISHIYO_FLG" lockText="1" noThreeD="1"/>
</file>

<file path=xl/ctrlProps/ctrlProp17.xml><?xml version="1.0" encoding="utf-8"?>
<formControlPr xmlns="http://schemas.microsoft.com/office/spreadsheetml/2009/9/main" objectType="Radio" checked="Checked" firstButton="1" fmlaLink="UNMM0021_H_FREEWD_KBN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CheckBox" fmlaLink="UNMM0020_SEIKYU_FLG" lockText="1" noThreeD="1"/>
</file>

<file path=xl/ctrlProps/ctrlProp21.xml><?xml version="1.0" encoding="utf-8"?>
<formControlPr xmlns="http://schemas.microsoft.com/office/spreadsheetml/2009/9/main" objectType="CheckBox" fmlaLink="UNMM0020_SHIIRE_FLG" lockText="1" noThreeD="1"/>
</file>

<file path=xl/ctrlProps/ctrlProp22.xml><?xml version="1.0" encoding="utf-8"?>
<formControlPr xmlns="http://schemas.microsoft.com/office/spreadsheetml/2009/9/main" objectType="CheckBox" fmlaLink="UNMM0020_GAICHU_FLG" lockText="1" noThreeD="1"/>
</file>

<file path=xl/ctrlProps/ctrlProp23.xml><?xml version="1.0" encoding="utf-8"?>
<formControlPr xmlns="http://schemas.microsoft.com/office/spreadsheetml/2009/9/main" objectType="CheckBox" fmlaLink="UNMM0020_KANKO_FLG" lockText="1" noThreeD="1"/>
</file>

<file path=xl/ctrlProps/ctrlProp24.xml><?xml version="1.0" encoding="utf-8"?>
<formControlPr xmlns="http://schemas.microsoft.com/office/spreadsheetml/2009/9/main" objectType="CheckBox" fmlaLink="UNMM0020_HASSO_FLG" lockText="1" noThreeD="1"/>
</file>

<file path=xl/ctrlProps/ctrlProp25.xml><?xml version="1.0" encoding="utf-8"?>
<formControlPr xmlns="http://schemas.microsoft.com/office/spreadsheetml/2009/9/main" objectType="CheckBox" fmlaLink="UNMM0020_DOGYO_FLG" lockText="1" noThreeD="1"/>
</file>

<file path=xl/ctrlProps/ctrlProp26.xml><?xml version="1.0" encoding="utf-8"?>
<formControlPr xmlns="http://schemas.microsoft.com/office/spreadsheetml/2009/9/main" objectType="CheckBox" fmlaLink="UNMM0020_HOKOKU_FLG" lockText="1" noThreeD="1"/>
</file>

<file path=xl/ctrlProps/ctrlProp27.xml><?xml version="1.0" encoding="utf-8"?>
<formControlPr xmlns="http://schemas.microsoft.com/office/spreadsheetml/2009/9/main" objectType="CheckBox" fmlaLink="UNMM0020_SPOT_FLG" lockText="1" noThreeD="1"/>
</file>

<file path=xl/ctrlProps/ctrlProp28.xml><?xml version="1.0" encoding="utf-8"?>
<formControlPr xmlns="http://schemas.microsoft.com/office/spreadsheetml/2009/9/main" objectType="CheckBox" fmlaLink="UNMM0020_MAKER_FLG" lockText="1" noThreeD="1"/>
</file>

<file path=xl/ctrlProps/ctrlProp29.xml><?xml version="1.0" encoding="utf-8"?>
<formControlPr xmlns="http://schemas.microsoft.com/office/spreadsheetml/2009/9/main" objectType="CheckBox" fmlaLink="UNMM0020_SEIKYUSHO_FLG" lockText="1" noThreeD="1"/>
</file>

<file path=xl/ctrlProps/ctrlProp30.xml><?xml version="1.0" encoding="utf-8"?>
<formControlPr xmlns="http://schemas.microsoft.com/office/spreadsheetml/2009/9/main" objectType="CheckBox" fmlaLink="UNMM0020_JURYOSHO_FLG" lockText="1" noThreeD="1"/>
</file>

<file path=xl/ctrlProps/ctrlProp31.xml><?xml version="1.0" encoding="utf-8"?>
<formControlPr xmlns="http://schemas.microsoft.com/office/spreadsheetml/2009/9/main" objectType="CheckBox" fmlaLink="UNMM0020_NOHINSHO_FLG" lockText="1" noThreeD="1"/>
</file>

<file path=xl/ctrlProps/ctrlProp32.xml><?xml version="1.0" encoding="utf-8"?>
<formControlPr xmlns="http://schemas.microsoft.com/office/spreadsheetml/2009/9/main" objectType="CheckBox" fmlaLink="UNMM0020_HIKAE_FLG" lockText="1" noThreeD="1"/>
</file>

<file path=xl/ctrlProps/ctrlProp33.xml><?xml version="1.0" encoding="utf-8"?>
<formControlPr xmlns="http://schemas.microsoft.com/office/spreadsheetml/2009/9/main" objectType="CheckBox" fmlaLink="UNMM0020_MISHIYO_FLG" lockText="1" noThreeD="1"/>
</file>

<file path=xl/ctrlProps/ctrlProp34.xml><?xml version="1.0" encoding="utf-8"?>
<formControlPr xmlns="http://schemas.microsoft.com/office/spreadsheetml/2009/9/main" objectType="CheckBox" checked="Checked" fmlaLink="UNMM0051_H_BUNSEKIKOMOKU_FLG" lockText="1" noThreeD="1"/>
</file>

<file path=xl/ctrlProps/ctrlProp35.xml><?xml version="1.0" encoding="utf-8"?>
<formControlPr xmlns="http://schemas.microsoft.com/office/spreadsheetml/2009/9/main" objectType="CheckBox" checked="Checked" fmlaLink="UNMM0051_H_SHOHIN_FLG" lockText="1" noThreeD="1"/>
</file>

<file path=xl/ctrlProps/ctrlProp36.xml><?xml version="1.0" encoding="utf-8"?>
<formControlPr xmlns="http://schemas.microsoft.com/office/spreadsheetml/2009/9/main" objectType="CheckBox" checked="Checked" fmlaLink="UNMM0051_H_KOBAIHIN_FLG" lockText="1" noThreeD="1"/>
</file>

<file path=xl/ctrlProps/ctrlProp37.xml><?xml version="1.0" encoding="utf-8"?>
<formControlPr xmlns="http://schemas.microsoft.com/office/spreadsheetml/2009/9/main" objectType="CheckBox" checked="Checked" fmlaLink="UNMM0051_H_SHOKEIHI_FLG" lockText="1" noThreeD="1"/>
</file>

<file path=xl/ctrlProps/ctrlProp38.xml><?xml version="1.0" encoding="utf-8"?>
<formControlPr xmlns="http://schemas.microsoft.com/office/spreadsheetml/2009/9/main" objectType="CheckBox" checked="Checked" fmlaLink="UNMM0051_H_KARI_STS" lockText="1" noThreeD="1"/>
</file>

<file path=xl/ctrlProps/ctrlProp39.xml><?xml version="1.0" encoding="utf-8"?>
<formControlPr xmlns="http://schemas.microsoft.com/office/spreadsheetml/2009/9/main" objectType="CheckBox" checked="Checked" fmlaLink="UNMM0051_H_SAIYO_STS" lockText="1" noThreeD="1"/>
</file>

<file path=xl/ctrlProps/ctrlProp40.xml><?xml version="1.0" encoding="utf-8"?>
<formControlPr xmlns="http://schemas.microsoft.com/office/spreadsheetml/2009/9/main" objectType="CheckBox" fmlaLink="UNMM0051_H_MISHIYO" lockText="1" noThreeD="1"/>
</file>

<file path=xl/ctrlProps/ctrlProp41.xml><?xml version="1.0" encoding="utf-8"?>
<formControlPr xmlns="http://schemas.microsoft.com/office/spreadsheetml/2009/9/main" objectType="Radio" checked="Checked" firstButton="1" fmlaLink="UNMM0051_H_FREEWD_KBN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CheckBox" fmlaLink="UNMM0050_BUNSEKIKOMOKU_FLG" lockText="1" noThreeD="1"/>
</file>

<file path=xl/ctrlProps/ctrlProp45.xml><?xml version="1.0" encoding="utf-8"?>
<formControlPr xmlns="http://schemas.microsoft.com/office/spreadsheetml/2009/9/main" objectType="CheckBox" fmlaLink="UNMM0050_SHOHIN_FLG" lockText="1" noThreeD="1"/>
</file>

<file path=xl/ctrlProps/ctrlProp46.xml><?xml version="1.0" encoding="utf-8"?>
<formControlPr xmlns="http://schemas.microsoft.com/office/spreadsheetml/2009/9/main" objectType="CheckBox" fmlaLink="UNMM0050_KOBAIHIN_FLG" lockText="1" noThreeD="1"/>
</file>

<file path=xl/ctrlProps/ctrlProp47.xml><?xml version="1.0" encoding="utf-8"?>
<formControlPr xmlns="http://schemas.microsoft.com/office/spreadsheetml/2009/9/main" objectType="CheckBox" fmlaLink="UNMM0050_SHOKEIHI_FLG" lockText="1" noThreeD="1"/>
</file>

<file path=xl/ctrlProps/ctrlProp48.xml><?xml version="1.0" encoding="utf-8"?>
<formControlPr xmlns="http://schemas.microsoft.com/office/spreadsheetml/2009/9/main" objectType="CheckBox" fmlaLink="UNMM0050_CHOSEI_SHIYAKU_FLG" lockText="1" noThreeD="1"/>
</file>

<file path=xl/ctrlProps/ctrlProp49.xml><?xml version="1.0" encoding="utf-8"?>
<formControlPr xmlns="http://schemas.microsoft.com/office/spreadsheetml/2009/9/main" objectType="CheckBox" fmlaLink="UNMM0050_DOKU_FLG" lockText="1" noThreeD="1"/>
</file>

<file path=xl/ctrlProps/ctrlProp50.xml><?xml version="1.0" encoding="utf-8"?>
<formControlPr xmlns="http://schemas.microsoft.com/office/spreadsheetml/2009/9/main" objectType="CheckBox" fmlaLink="UNMM0050_SHIYAKU_FLG" lockText="1" noThreeD="1"/>
</file>

<file path=xl/ctrlProps/ctrlProp51.xml><?xml version="1.0" encoding="utf-8"?>
<formControlPr xmlns="http://schemas.microsoft.com/office/spreadsheetml/2009/9/main" objectType="CheckBox" fmlaLink="$C$13" lockText="1" noThreeD="1"/>
</file>

<file path=xl/ctrlProps/ctrlProp52.xml><?xml version="1.0" encoding="utf-8"?>
<formControlPr xmlns="http://schemas.microsoft.com/office/spreadsheetml/2009/9/main" objectType="Radio" checked="Checked" firstButton="1" fmlaLink="$D$12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CheckBox" fmlaLink="UNMM0100_H_RED_FLG" lockText="1" noThreeD="1"/>
</file>

<file path=xl/ctrlProps/ctrlProp56.xml><?xml version="1.0" encoding="utf-8"?>
<formControlPr xmlns="http://schemas.microsoft.com/office/spreadsheetml/2009/9/main" objectType="CheckBox" fmlaLink="UNMM0100_H_NYURYOKUSHA_FLG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noThreeD="1"/>
</file>

<file path=xl/ctrlProps/ctrlProp61.xml><?xml version="1.0" encoding="utf-8"?>
<formControlPr xmlns="http://schemas.microsoft.com/office/spreadsheetml/2009/9/main" objectType="CheckBox" fmlaLink="UNMM0151_IF_SAVE_DEFAULT_FLG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5</xdr:row>
          <xdr:rowOff>180975</xdr:rowOff>
        </xdr:from>
        <xdr:to>
          <xdr:col>12</xdr:col>
          <xdr:colOff>114300</xdr:colOff>
          <xdr:row>7</xdr:row>
          <xdr:rowOff>9525</xdr:rowOff>
        </xdr:to>
        <xdr:sp macro="" textlink="">
          <xdr:nvSpPr>
            <xdr:cNvPr id="1419265" name="Option Button 1" hidden="1">
              <a:extLst>
                <a:ext uri="{63B3BB69-23CF-44E3-9099-C40C66FF867C}">
                  <a14:compatExt spid="_x0000_s1419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114300</xdr:colOff>
          <xdr:row>5</xdr:row>
          <xdr:rowOff>180975</xdr:rowOff>
        </xdr:from>
        <xdr:to>
          <xdr:col>13</xdr:col>
          <xdr:colOff>0</xdr:colOff>
          <xdr:row>7</xdr:row>
          <xdr:rowOff>9525</xdr:rowOff>
        </xdr:to>
        <xdr:sp macro="" textlink="">
          <xdr:nvSpPr>
            <xdr:cNvPr id="1419266" name="Option Button 2" hidden="1">
              <a:extLst>
                <a:ext uri="{63B3BB69-23CF-44E3-9099-C40C66FF867C}">
                  <a14:compatExt spid="_x0000_s1419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5</xdr:row>
          <xdr:rowOff>180975</xdr:rowOff>
        </xdr:from>
        <xdr:to>
          <xdr:col>13</xdr:col>
          <xdr:colOff>581025</xdr:colOff>
          <xdr:row>7</xdr:row>
          <xdr:rowOff>9525</xdr:rowOff>
        </xdr:to>
        <xdr:sp macro="" textlink="">
          <xdr:nvSpPr>
            <xdr:cNvPr id="1419267" name="Option Button 3" hidden="1">
              <a:extLst>
                <a:ext uri="{63B3BB69-23CF-44E3-9099-C40C66FF867C}">
                  <a14:compatExt spid="_x0000_s1419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NAND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</xdr:row>
          <xdr:rowOff>66675</xdr:rowOff>
        </xdr:from>
        <xdr:to>
          <xdr:col>14</xdr:col>
          <xdr:colOff>76200</xdr:colOff>
          <xdr:row>7</xdr:row>
          <xdr:rowOff>66675</xdr:rowOff>
        </xdr:to>
        <xdr:sp macro="" textlink="">
          <xdr:nvSpPr>
            <xdr:cNvPr id="1419268" name="Group Box 4" hidden="1">
              <a:extLst>
                <a:ext uri="{63B3BB69-23CF-44E3-9099-C40C66FF867C}">
                  <a14:compatExt spid="_x0000_s1419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グループ 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2</xdr:row>
          <xdr:rowOff>0</xdr:rowOff>
        </xdr:from>
        <xdr:to>
          <xdr:col>10</xdr:col>
          <xdr:colOff>28575</xdr:colOff>
          <xdr:row>3</xdr:row>
          <xdr:rowOff>0</xdr:rowOff>
        </xdr:to>
        <xdr:sp macro="" textlink="">
          <xdr:nvSpPr>
            <xdr:cNvPr id="1419269" name="UNMM0011_Shape_MISHIYO_FLG" hidden="1">
              <a:extLst>
                <a:ext uri="{63B3BB69-23CF-44E3-9099-C40C66FF867C}">
                  <a14:compatExt spid="_x0000_s1419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190500</xdr:rowOff>
        </xdr:from>
        <xdr:to>
          <xdr:col>9</xdr:col>
          <xdr:colOff>209550</xdr:colOff>
          <xdr:row>9</xdr:row>
          <xdr:rowOff>190500</xdr:rowOff>
        </xdr:to>
        <xdr:sp macro="" textlink="">
          <xdr:nvSpPr>
            <xdr:cNvPr id="1420289" name="UNMM0010_Shape_MISHIYO_FLG" hidden="1">
              <a:extLst>
                <a:ext uri="{63B3BB69-23CF-44E3-9099-C40C66FF867C}">
                  <a14:compatExt spid="_x0000_s1420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876300</xdr:colOff>
      <xdr:row>5</xdr:row>
      <xdr:rowOff>171450</xdr:rowOff>
    </xdr:from>
    <xdr:to>
      <xdr:col>6</xdr:col>
      <xdr:colOff>762000</xdr:colOff>
      <xdr:row>9</xdr:row>
      <xdr:rowOff>142875</xdr:rowOff>
    </xdr:to>
    <xdr:grpSp>
      <xdr:nvGrpSpPr>
        <xdr:cNvPr id="4" name="グループ化 3"/>
        <xdr:cNvGrpSpPr/>
      </xdr:nvGrpSpPr>
      <xdr:grpSpPr>
        <a:xfrm>
          <a:off x="1133475" y="1257300"/>
          <a:ext cx="781050" cy="809625"/>
          <a:chOff x="1133475" y="1257300"/>
          <a:chExt cx="781050" cy="809625"/>
        </a:xfrm>
      </xdr:grpSpPr>
      <mc:AlternateContent xmlns:mc="http://schemas.openxmlformats.org/markup-compatibility/2006" xmlns:a14="http://schemas.microsoft.com/office/drawing/2010/main">
        <mc:Choice Requires="a14">
          <xdr:pic>
            <xdr:nvPicPr>
              <xdr:cNvPr id="3" name="図 2"/>
              <xdr:cNvPicPr>
                <a:picLocks noChangeAspect="1" noChangeArrowheads="1"/>
                <a:extLst>
                  <a:ext uri="{84589F7E-364E-4C9E-8A38-B11213B215E9}">
                    <a14:cameraTool cellRange="UNMM0010_IF!$B$54" spid="_x0000_s1420712"/>
                  </a:ext>
                </a:extLst>
              </xdr:cNvPicPr>
            </xdr:nvPicPr>
            <xdr:blipFill>
              <a:blip xmlns:r="http://schemas.openxmlformats.org/officeDocument/2006/relationships" r:embed="rId1"/>
              <a:srcRect/>
              <a:stretch>
                <a:fillRect/>
              </a:stretch>
            </xdr:blipFill>
            <xdr:spPr bwMode="auto">
              <a:xfrm>
                <a:off x="1157909" y="1304098"/>
                <a:ext cx="723900" cy="7239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  <xdr:sp macro="" textlink="">
        <xdr:nvSpPr>
          <xdr:cNvPr id="2" name="テキスト ボックス 1"/>
          <xdr:cNvSpPr txBox="1"/>
        </xdr:nvSpPr>
        <xdr:spPr>
          <a:xfrm>
            <a:off x="1133475" y="1257300"/>
            <a:ext cx="781050" cy="809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kumimoji="1" lang="ja-JP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5</xdr:row>
          <xdr:rowOff>9525</xdr:rowOff>
        </xdr:from>
        <xdr:to>
          <xdr:col>10</xdr:col>
          <xdr:colOff>219075</xdr:colOff>
          <xdr:row>5</xdr:row>
          <xdr:rowOff>190500</xdr:rowOff>
        </xdr:to>
        <xdr:sp macro="" textlink="">
          <xdr:nvSpPr>
            <xdr:cNvPr id="1241089" name="Check Box 1" hidden="1">
              <a:extLst>
                <a:ext uri="{63B3BB69-23CF-44E3-9099-C40C66FF867C}">
                  <a14:compatExt spid="_x0000_s124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9525</xdr:rowOff>
        </xdr:from>
        <xdr:to>
          <xdr:col>10</xdr:col>
          <xdr:colOff>219075</xdr:colOff>
          <xdr:row>6</xdr:row>
          <xdr:rowOff>190500</xdr:rowOff>
        </xdr:to>
        <xdr:sp macro="" textlink="">
          <xdr:nvSpPr>
            <xdr:cNvPr id="1241090" name="Check Box 2" hidden="1">
              <a:extLst>
                <a:ext uri="{63B3BB69-23CF-44E3-9099-C40C66FF867C}">
                  <a14:compatExt spid="_x0000_s124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5</xdr:row>
          <xdr:rowOff>9525</xdr:rowOff>
        </xdr:from>
        <xdr:to>
          <xdr:col>11</xdr:col>
          <xdr:colOff>209550</xdr:colOff>
          <xdr:row>5</xdr:row>
          <xdr:rowOff>190500</xdr:rowOff>
        </xdr:to>
        <xdr:sp macro="" textlink="">
          <xdr:nvSpPr>
            <xdr:cNvPr id="1241091" name="Check Box 3" hidden="1">
              <a:extLst>
                <a:ext uri="{63B3BB69-23CF-44E3-9099-C40C66FF867C}">
                  <a14:compatExt spid="_x0000_s124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6</xdr:row>
          <xdr:rowOff>9525</xdr:rowOff>
        </xdr:from>
        <xdr:to>
          <xdr:col>11</xdr:col>
          <xdr:colOff>209550</xdr:colOff>
          <xdr:row>6</xdr:row>
          <xdr:rowOff>190500</xdr:rowOff>
        </xdr:to>
        <xdr:sp macro="" textlink="">
          <xdr:nvSpPr>
            <xdr:cNvPr id="1241092" name="Check Box 4" hidden="1">
              <a:extLst>
                <a:ext uri="{63B3BB69-23CF-44E3-9099-C40C66FF867C}">
                  <a14:compatExt spid="_x0000_s124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5</xdr:row>
          <xdr:rowOff>0</xdr:rowOff>
        </xdr:from>
        <xdr:to>
          <xdr:col>13</xdr:col>
          <xdr:colOff>200025</xdr:colOff>
          <xdr:row>5</xdr:row>
          <xdr:rowOff>200025</xdr:rowOff>
        </xdr:to>
        <xdr:sp macro="" textlink="">
          <xdr:nvSpPr>
            <xdr:cNvPr id="1241093" name="Check Box 5" hidden="1">
              <a:extLst>
                <a:ext uri="{63B3BB69-23CF-44E3-9099-C40C66FF867C}">
                  <a14:compatExt spid="_x0000_s124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6</xdr:row>
          <xdr:rowOff>19050</xdr:rowOff>
        </xdr:from>
        <xdr:to>
          <xdr:col>13</xdr:col>
          <xdr:colOff>200025</xdr:colOff>
          <xdr:row>6</xdr:row>
          <xdr:rowOff>200025</xdr:rowOff>
        </xdr:to>
        <xdr:sp macro="" textlink="">
          <xdr:nvSpPr>
            <xdr:cNvPr id="1241094" name="Check Box 6" hidden="1">
              <a:extLst>
                <a:ext uri="{63B3BB69-23CF-44E3-9099-C40C66FF867C}">
                  <a14:compatExt spid="_x0000_s124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5</xdr:row>
          <xdr:rowOff>9525</xdr:rowOff>
        </xdr:from>
        <xdr:to>
          <xdr:col>15</xdr:col>
          <xdr:colOff>200025</xdr:colOff>
          <xdr:row>5</xdr:row>
          <xdr:rowOff>190500</xdr:rowOff>
        </xdr:to>
        <xdr:sp macro="" textlink="">
          <xdr:nvSpPr>
            <xdr:cNvPr id="1241095" name="Check Box 7" hidden="1">
              <a:extLst>
                <a:ext uri="{63B3BB69-23CF-44E3-9099-C40C66FF867C}">
                  <a14:compatExt spid="_x0000_s124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6</xdr:row>
          <xdr:rowOff>9525</xdr:rowOff>
        </xdr:from>
        <xdr:to>
          <xdr:col>15</xdr:col>
          <xdr:colOff>200025</xdr:colOff>
          <xdr:row>6</xdr:row>
          <xdr:rowOff>190500</xdr:rowOff>
        </xdr:to>
        <xdr:sp macro="" textlink="">
          <xdr:nvSpPr>
            <xdr:cNvPr id="1241096" name="Check Box 8" hidden="1">
              <a:extLst>
                <a:ext uri="{63B3BB69-23CF-44E3-9099-C40C66FF867C}">
                  <a14:compatExt spid="_x0000_s124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5</xdr:row>
          <xdr:rowOff>9525</xdr:rowOff>
        </xdr:from>
        <xdr:to>
          <xdr:col>17</xdr:col>
          <xdr:colOff>209550</xdr:colOff>
          <xdr:row>5</xdr:row>
          <xdr:rowOff>190500</xdr:rowOff>
        </xdr:to>
        <xdr:sp macro="" textlink="">
          <xdr:nvSpPr>
            <xdr:cNvPr id="1241097" name="Check Box 9" hidden="1">
              <a:extLst>
                <a:ext uri="{63B3BB69-23CF-44E3-9099-C40C66FF867C}">
                  <a14:compatExt spid="_x0000_s124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1</xdr:row>
          <xdr:rowOff>180975</xdr:rowOff>
        </xdr:from>
        <xdr:to>
          <xdr:col>16</xdr:col>
          <xdr:colOff>57150</xdr:colOff>
          <xdr:row>3</xdr:row>
          <xdr:rowOff>9525</xdr:rowOff>
        </xdr:to>
        <xdr:sp macro="" textlink="">
          <xdr:nvSpPr>
            <xdr:cNvPr id="1241098" name="Check Box 10" hidden="1">
              <a:extLst>
                <a:ext uri="{63B3BB69-23CF-44E3-9099-C40C66FF867C}">
                  <a14:compatExt spid="_x0000_s124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3</xdr:row>
          <xdr:rowOff>28575</xdr:rowOff>
        </xdr:from>
        <xdr:to>
          <xdr:col>16</xdr:col>
          <xdr:colOff>285750</xdr:colOff>
          <xdr:row>4</xdr:row>
          <xdr:rowOff>66675</xdr:rowOff>
        </xdr:to>
        <xdr:sp macro="" textlink="">
          <xdr:nvSpPr>
            <xdr:cNvPr id="1241099" name="Option Button 11" descr="AND" hidden="1">
              <a:extLst>
                <a:ext uri="{63B3BB69-23CF-44E3-9099-C40C66FF867C}">
                  <a14:compatExt spid="_x0000_s124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304800</xdr:colOff>
          <xdr:row>3</xdr:row>
          <xdr:rowOff>28575</xdr:rowOff>
        </xdr:from>
        <xdr:to>
          <xdr:col>16</xdr:col>
          <xdr:colOff>752475</xdr:colOff>
          <xdr:row>4</xdr:row>
          <xdr:rowOff>66675</xdr:rowOff>
        </xdr:to>
        <xdr:sp macro="" textlink="">
          <xdr:nvSpPr>
            <xdr:cNvPr id="1241100" name="Option Button 12" hidden="1">
              <a:extLst>
                <a:ext uri="{63B3BB69-23CF-44E3-9099-C40C66FF867C}">
                  <a14:compatExt spid="_x0000_s124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723900</xdr:colOff>
          <xdr:row>3</xdr:row>
          <xdr:rowOff>28575</xdr:rowOff>
        </xdr:from>
        <xdr:to>
          <xdr:col>18</xdr:col>
          <xdr:colOff>219075</xdr:colOff>
          <xdr:row>4</xdr:row>
          <xdr:rowOff>66675</xdr:rowOff>
        </xdr:to>
        <xdr:sp macro="" textlink="">
          <xdr:nvSpPr>
            <xdr:cNvPr id="1241101" name="Option Button 13" descr="AND" hidden="1">
              <a:extLst>
                <a:ext uri="{63B3BB69-23CF-44E3-9099-C40C66FF867C}">
                  <a14:compatExt spid="_x0000_s124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NAND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20</xdr:row>
          <xdr:rowOff>19050</xdr:rowOff>
        </xdr:from>
        <xdr:to>
          <xdr:col>8</xdr:col>
          <xdr:colOff>190500</xdr:colOff>
          <xdr:row>20</xdr:row>
          <xdr:rowOff>180975</xdr:rowOff>
        </xdr:to>
        <xdr:sp macro="" textlink="">
          <xdr:nvSpPr>
            <xdr:cNvPr id="1239041" name="Check Box 1" hidden="1">
              <a:extLst>
                <a:ext uri="{63B3BB69-23CF-44E3-9099-C40C66FF867C}">
                  <a14:compatExt spid="_x0000_s123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20</xdr:row>
          <xdr:rowOff>19050</xdr:rowOff>
        </xdr:from>
        <xdr:to>
          <xdr:col>9</xdr:col>
          <xdr:colOff>180975</xdr:colOff>
          <xdr:row>20</xdr:row>
          <xdr:rowOff>180975</xdr:rowOff>
        </xdr:to>
        <xdr:sp macro="" textlink="">
          <xdr:nvSpPr>
            <xdr:cNvPr id="1239042" name="Check Box 2" hidden="1">
              <a:extLst>
                <a:ext uri="{63B3BB69-23CF-44E3-9099-C40C66FF867C}">
                  <a14:compatExt spid="_x0000_s123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21</xdr:row>
          <xdr:rowOff>19050</xdr:rowOff>
        </xdr:from>
        <xdr:to>
          <xdr:col>8</xdr:col>
          <xdr:colOff>190500</xdr:colOff>
          <xdr:row>21</xdr:row>
          <xdr:rowOff>180975</xdr:rowOff>
        </xdr:to>
        <xdr:sp macro="" textlink="">
          <xdr:nvSpPr>
            <xdr:cNvPr id="1239043" name="Check Box 3" hidden="1">
              <a:extLst>
                <a:ext uri="{63B3BB69-23CF-44E3-9099-C40C66FF867C}">
                  <a14:compatExt spid="_x0000_s123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21</xdr:row>
          <xdr:rowOff>19050</xdr:rowOff>
        </xdr:from>
        <xdr:to>
          <xdr:col>9</xdr:col>
          <xdr:colOff>180975</xdr:colOff>
          <xdr:row>21</xdr:row>
          <xdr:rowOff>180975</xdr:rowOff>
        </xdr:to>
        <xdr:sp macro="" textlink="">
          <xdr:nvSpPr>
            <xdr:cNvPr id="1239044" name="Check Box 4" hidden="1">
              <a:extLst>
                <a:ext uri="{63B3BB69-23CF-44E3-9099-C40C66FF867C}">
                  <a14:compatExt spid="_x0000_s123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19050</xdr:rowOff>
        </xdr:from>
        <xdr:to>
          <xdr:col>10</xdr:col>
          <xdr:colOff>171450</xdr:colOff>
          <xdr:row>20</xdr:row>
          <xdr:rowOff>180975</xdr:rowOff>
        </xdr:to>
        <xdr:sp macro="" textlink="">
          <xdr:nvSpPr>
            <xdr:cNvPr id="1239045" name="Check Box 5" hidden="1">
              <a:extLst>
                <a:ext uri="{63B3BB69-23CF-44E3-9099-C40C66FF867C}">
                  <a14:compatExt spid="_x0000_s123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21</xdr:row>
          <xdr:rowOff>19050</xdr:rowOff>
        </xdr:from>
        <xdr:to>
          <xdr:col>10</xdr:col>
          <xdr:colOff>171450</xdr:colOff>
          <xdr:row>21</xdr:row>
          <xdr:rowOff>180975</xdr:rowOff>
        </xdr:to>
        <xdr:sp macro="" textlink="">
          <xdr:nvSpPr>
            <xdr:cNvPr id="1239046" name="Check Box 6" hidden="1">
              <a:extLst>
                <a:ext uri="{63B3BB69-23CF-44E3-9099-C40C66FF867C}">
                  <a14:compatExt spid="_x0000_s123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19050</xdr:rowOff>
        </xdr:from>
        <xdr:to>
          <xdr:col>11</xdr:col>
          <xdr:colOff>180975</xdr:colOff>
          <xdr:row>20</xdr:row>
          <xdr:rowOff>180975</xdr:rowOff>
        </xdr:to>
        <xdr:sp macro="" textlink="">
          <xdr:nvSpPr>
            <xdr:cNvPr id="1239047" name="Check Box 7" hidden="1">
              <a:extLst>
                <a:ext uri="{63B3BB69-23CF-44E3-9099-C40C66FF867C}">
                  <a14:compatExt spid="_x0000_s123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21</xdr:row>
          <xdr:rowOff>19050</xdr:rowOff>
        </xdr:from>
        <xdr:to>
          <xdr:col>11</xdr:col>
          <xdr:colOff>180975</xdr:colOff>
          <xdr:row>21</xdr:row>
          <xdr:rowOff>180975</xdr:rowOff>
        </xdr:to>
        <xdr:sp macro="" textlink="">
          <xdr:nvSpPr>
            <xdr:cNvPr id="1239048" name="Check Box 8" hidden="1">
              <a:extLst>
                <a:ext uri="{63B3BB69-23CF-44E3-9099-C40C66FF867C}">
                  <a14:compatExt spid="_x0000_s1239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20</xdr:row>
          <xdr:rowOff>19050</xdr:rowOff>
        </xdr:from>
        <xdr:to>
          <xdr:col>12</xdr:col>
          <xdr:colOff>190500</xdr:colOff>
          <xdr:row>20</xdr:row>
          <xdr:rowOff>180975</xdr:rowOff>
        </xdr:to>
        <xdr:sp macro="" textlink="">
          <xdr:nvSpPr>
            <xdr:cNvPr id="1239049" name="Check Box 9" hidden="1">
              <a:extLst>
                <a:ext uri="{63B3BB69-23CF-44E3-9099-C40C66FF867C}">
                  <a14:compatExt spid="_x0000_s1239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39</xdr:row>
          <xdr:rowOff>180975</xdr:rowOff>
        </xdr:from>
        <xdr:to>
          <xdr:col>10</xdr:col>
          <xdr:colOff>219075</xdr:colOff>
          <xdr:row>41</xdr:row>
          <xdr:rowOff>0</xdr:rowOff>
        </xdr:to>
        <xdr:sp macro="" textlink="">
          <xdr:nvSpPr>
            <xdr:cNvPr id="1239050" name="Check Box 10" hidden="1">
              <a:extLst>
                <a:ext uri="{63B3BB69-23CF-44E3-9099-C40C66FF867C}">
                  <a14:compatExt spid="_x0000_s1239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39</xdr:row>
          <xdr:rowOff>180975</xdr:rowOff>
        </xdr:from>
        <xdr:to>
          <xdr:col>11</xdr:col>
          <xdr:colOff>228600</xdr:colOff>
          <xdr:row>41</xdr:row>
          <xdr:rowOff>0</xdr:rowOff>
        </xdr:to>
        <xdr:sp macro="" textlink="">
          <xdr:nvSpPr>
            <xdr:cNvPr id="1239051" name="Check Box 11" hidden="1">
              <a:extLst>
                <a:ext uri="{63B3BB69-23CF-44E3-9099-C40C66FF867C}">
                  <a14:compatExt spid="_x0000_s1239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39</xdr:row>
          <xdr:rowOff>180975</xdr:rowOff>
        </xdr:from>
        <xdr:to>
          <xdr:col>12</xdr:col>
          <xdr:colOff>238125</xdr:colOff>
          <xdr:row>41</xdr:row>
          <xdr:rowOff>0</xdr:rowOff>
        </xdr:to>
        <xdr:sp macro="" textlink="">
          <xdr:nvSpPr>
            <xdr:cNvPr id="1239052" name="Check Box 12" hidden="1">
              <a:extLst>
                <a:ext uri="{63B3BB69-23CF-44E3-9099-C40C66FF867C}">
                  <a14:compatExt spid="_x0000_s1239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904875</xdr:colOff>
          <xdr:row>39</xdr:row>
          <xdr:rowOff>180975</xdr:rowOff>
        </xdr:from>
        <xdr:to>
          <xdr:col>13</xdr:col>
          <xdr:colOff>200025</xdr:colOff>
          <xdr:row>41</xdr:row>
          <xdr:rowOff>0</xdr:rowOff>
        </xdr:to>
        <xdr:sp macro="" textlink="">
          <xdr:nvSpPr>
            <xdr:cNvPr id="1239053" name="Check Box 13" hidden="1">
              <a:extLst>
                <a:ext uri="{63B3BB69-23CF-44E3-9099-C40C66FF867C}">
                  <a14:compatExt spid="_x0000_s123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857250</xdr:colOff>
          <xdr:row>57</xdr:row>
          <xdr:rowOff>190500</xdr:rowOff>
        </xdr:from>
        <xdr:to>
          <xdr:col>8</xdr:col>
          <xdr:colOff>171450</xdr:colOff>
          <xdr:row>59</xdr:row>
          <xdr:rowOff>9525</xdr:rowOff>
        </xdr:to>
        <xdr:sp macro="" textlink="">
          <xdr:nvSpPr>
            <xdr:cNvPr id="1239054" name="Check Box 14" hidden="1">
              <a:extLst>
                <a:ext uri="{63B3BB69-23CF-44E3-9099-C40C66FF867C}">
                  <a14:compatExt spid="_x0000_s123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1</xdr:row>
          <xdr:rowOff>180975</xdr:rowOff>
        </xdr:from>
        <xdr:to>
          <xdr:col>12</xdr:col>
          <xdr:colOff>38100</xdr:colOff>
          <xdr:row>3</xdr:row>
          <xdr:rowOff>0</xdr:rowOff>
        </xdr:to>
        <xdr:sp macro="" textlink="">
          <xdr:nvSpPr>
            <xdr:cNvPr id="971777" name="Check Box 1" hidden="1">
              <a:extLst>
                <a:ext uri="{63B3BB69-23CF-44E3-9099-C40C66FF867C}">
                  <a14:compatExt spid="_x0000_s97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1</xdr:row>
          <xdr:rowOff>180975</xdr:rowOff>
        </xdr:from>
        <xdr:to>
          <xdr:col>16</xdr:col>
          <xdr:colOff>47625</xdr:colOff>
          <xdr:row>3</xdr:row>
          <xdr:rowOff>0</xdr:rowOff>
        </xdr:to>
        <xdr:sp macro="" textlink="">
          <xdr:nvSpPr>
            <xdr:cNvPr id="971778" name="Check Box 2" hidden="1">
              <a:extLst>
                <a:ext uri="{63B3BB69-23CF-44E3-9099-C40C66FF867C}">
                  <a14:compatExt spid="_x0000_s97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1</xdr:row>
          <xdr:rowOff>180975</xdr:rowOff>
        </xdr:from>
        <xdr:to>
          <xdr:col>19</xdr:col>
          <xdr:colOff>152400</xdr:colOff>
          <xdr:row>3</xdr:row>
          <xdr:rowOff>0</xdr:rowOff>
        </xdr:to>
        <xdr:sp macro="" textlink="">
          <xdr:nvSpPr>
            <xdr:cNvPr id="971779" name="Check Box 3" hidden="1">
              <a:extLst>
                <a:ext uri="{63B3BB69-23CF-44E3-9099-C40C66FF867C}">
                  <a14:compatExt spid="_x0000_s97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76200</xdr:colOff>
          <xdr:row>1</xdr:row>
          <xdr:rowOff>180975</xdr:rowOff>
        </xdr:from>
        <xdr:to>
          <xdr:col>23</xdr:col>
          <xdr:colOff>180975</xdr:colOff>
          <xdr:row>3</xdr:row>
          <xdr:rowOff>0</xdr:rowOff>
        </xdr:to>
        <xdr:sp macro="" textlink="">
          <xdr:nvSpPr>
            <xdr:cNvPr id="971780" name="Check Box 4" hidden="1">
              <a:extLst>
                <a:ext uri="{63B3BB69-23CF-44E3-9099-C40C66FF867C}">
                  <a14:compatExt spid="_x0000_s97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180975</xdr:rowOff>
        </xdr:from>
        <xdr:to>
          <xdr:col>11</xdr:col>
          <xdr:colOff>152400</xdr:colOff>
          <xdr:row>4</xdr:row>
          <xdr:rowOff>0</xdr:rowOff>
        </xdr:to>
        <xdr:sp macro="" textlink="">
          <xdr:nvSpPr>
            <xdr:cNvPr id="971781" name="Check Box 5" hidden="1">
              <a:extLst>
                <a:ext uri="{63B3BB69-23CF-44E3-9099-C40C66FF867C}">
                  <a14:compatExt spid="_x0000_s97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2</xdr:row>
          <xdr:rowOff>180975</xdr:rowOff>
        </xdr:from>
        <xdr:to>
          <xdr:col>15</xdr:col>
          <xdr:colOff>161925</xdr:colOff>
          <xdr:row>4</xdr:row>
          <xdr:rowOff>0</xdr:rowOff>
        </xdr:to>
        <xdr:sp macro="" textlink="">
          <xdr:nvSpPr>
            <xdr:cNvPr id="971782" name="Check Box 6" hidden="1">
              <a:extLst>
                <a:ext uri="{63B3BB69-23CF-44E3-9099-C40C66FF867C}">
                  <a14:compatExt spid="_x0000_s97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47625</xdr:colOff>
          <xdr:row>1</xdr:row>
          <xdr:rowOff>190500</xdr:rowOff>
        </xdr:from>
        <xdr:to>
          <xdr:col>30</xdr:col>
          <xdr:colOff>47625</xdr:colOff>
          <xdr:row>2</xdr:row>
          <xdr:rowOff>200025</xdr:rowOff>
        </xdr:to>
        <xdr:sp macro="" textlink="">
          <xdr:nvSpPr>
            <xdr:cNvPr id="971783" name="Check Box 7" hidden="1">
              <a:extLst>
                <a:ext uri="{63B3BB69-23CF-44E3-9099-C40C66FF867C}">
                  <a14:compatExt spid="_x0000_s97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85725</xdr:colOff>
          <xdr:row>8</xdr:row>
          <xdr:rowOff>190500</xdr:rowOff>
        </xdr:from>
        <xdr:to>
          <xdr:col>25</xdr:col>
          <xdr:colOff>114300</xdr:colOff>
          <xdr:row>10</xdr:row>
          <xdr:rowOff>9525</xdr:rowOff>
        </xdr:to>
        <xdr:sp macro="" textlink="">
          <xdr:nvSpPr>
            <xdr:cNvPr id="971784" name="Option Button 8" hidden="1">
              <a:extLst>
                <a:ext uri="{63B3BB69-23CF-44E3-9099-C40C66FF867C}">
                  <a14:compatExt spid="_x0000_s97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114300</xdr:colOff>
          <xdr:row>8</xdr:row>
          <xdr:rowOff>190500</xdr:rowOff>
        </xdr:from>
        <xdr:to>
          <xdr:col>27</xdr:col>
          <xdr:colOff>123825</xdr:colOff>
          <xdr:row>10</xdr:row>
          <xdr:rowOff>9525</xdr:rowOff>
        </xdr:to>
        <xdr:sp macro="" textlink="">
          <xdr:nvSpPr>
            <xdr:cNvPr id="971785" name="Option Button 9" hidden="1">
              <a:extLst>
                <a:ext uri="{63B3BB69-23CF-44E3-9099-C40C66FF867C}">
                  <a14:compatExt spid="_x0000_s97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8</xdr:row>
          <xdr:rowOff>190500</xdr:rowOff>
        </xdr:from>
        <xdr:to>
          <xdr:col>29</xdr:col>
          <xdr:colOff>180975</xdr:colOff>
          <xdr:row>10</xdr:row>
          <xdr:rowOff>9525</xdr:rowOff>
        </xdr:to>
        <xdr:sp macro="" textlink="">
          <xdr:nvSpPr>
            <xdr:cNvPr id="971786" name="Option Button 10" hidden="1">
              <a:extLst>
                <a:ext uri="{63B3BB69-23CF-44E3-9099-C40C66FF867C}">
                  <a14:compatExt spid="_x0000_s97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NAND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0</xdr:rowOff>
        </xdr:from>
        <xdr:to>
          <xdr:col>7</xdr:col>
          <xdr:colOff>866775</xdr:colOff>
          <xdr:row>2</xdr:row>
          <xdr:rowOff>180975</xdr:rowOff>
        </xdr:to>
        <xdr:sp macro="" textlink="">
          <xdr:nvSpPr>
            <xdr:cNvPr id="1006593" name="Check Box 1" hidden="1">
              <a:extLst>
                <a:ext uri="{63B3BB69-23CF-44E3-9099-C40C66FF867C}">
                  <a14:compatExt spid="_x0000_s1006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</xdr:row>
          <xdr:rowOff>19050</xdr:rowOff>
        </xdr:from>
        <xdr:to>
          <xdr:col>8</xdr:col>
          <xdr:colOff>790575</xdr:colOff>
          <xdr:row>2</xdr:row>
          <xdr:rowOff>171450</xdr:rowOff>
        </xdr:to>
        <xdr:sp macro="" textlink="">
          <xdr:nvSpPr>
            <xdr:cNvPr id="1006594" name="Check Box 2" hidden="1">
              <a:extLst>
                <a:ext uri="{63B3BB69-23CF-44E3-9099-C40C66FF867C}">
                  <a14:compatExt spid="_x0000_s1006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</xdr:row>
          <xdr:rowOff>19050</xdr:rowOff>
        </xdr:from>
        <xdr:to>
          <xdr:col>9</xdr:col>
          <xdr:colOff>685800</xdr:colOff>
          <xdr:row>2</xdr:row>
          <xdr:rowOff>171450</xdr:rowOff>
        </xdr:to>
        <xdr:sp macro="" textlink="">
          <xdr:nvSpPr>
            <xdr:cNvPr id="1006595" name="Check Box 3" hidden="1">
              <a:extLst>
                <a:ext uri="{63B3BB69-23CF-44E3-9099-C40C66FF867C}">
                  <a14:compatExt spid="_x0000_s1006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</xdr:row>
          <xdr:rowOff>19050</xdr:rowOff>
        </xdr:from>
        <xdr:to>
          <xdr:col>10</xdr:col>
          <xdr:colOff>638175</xdr:colOff>
          <xdr:row>2</xdr:row>
          <xdr:rowOff>171450</xdr:rowOff>
        </xdr:to>
        <xdr:sp macro="" textlink="">
          <xdr:nvSpPr>
            <xdr:cNvPr id="1006596" name="Check Box 4" hidden="1">
              <a:extLst>
                <a:ext uri="{63B3BB69-23CF-44E3-9099-C40C66FF867C}">
                  <a14:compatExt spid="_x0000_s1006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5</xdr:row>
          <xdr:rowOff>180975</xdr:rowOff>
        </xdr:from>
        <xdr:to>
          <xdr:col>8</xdr:col>
          <xdr:colOff>885825</xdr:colOff>
          <xdr:row>7</xdr:row>
          <xdr:rowOff>0</xdr:rowOff>
        </xdr:to>
        <xdr:sp macro="" textlink="">
          <xdr:nvSpPr>
            <xdr:cNvPr id="1006597" name="Check Box 5" hidden="1">
              <a:extLst>
                <a:ext uri="{63B3BB69-23CF-44E3-9099-C40C66FF867C}">
                  <a14:compatExt spid="_x0000_s1006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5</xdr:row>
          <xdr:rowOff>180975</xdr:rowOff>
        </xdr:from>
        <xdr:to>
          <xdr:col>10</xdr:col>
          <xdr:colOff>9525</xdr:colOff>
          <xdr:row>7</xdr:row>
          <xdr:rowOff>0</xdr:rowOff>
        </xdr:to>
        <xdr:sp macro="" textlink="">
          <xdr:nvSpPr>
            <xdr:cNvPr id="1006598" name="Check Box 6" hidden="1">
              <a:extLst>
                <a:ext uri="{63B3BB69-23CF-44E3-9099-C40C66FF867C}">
                  <a14:compatExt spid="_x0000_s1006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5</xdr:row>
          <xdr:rowOff>180975</xdr:rowOff>
        </xdr:from>
        <xdr:to>
          <xdr:col>10</xdr:col>
          <xdr:colOff>923925</xdr:colOff>
          <xdr:row>7</xdr:row>
          <xdr:rowOff>0</xdr:rowOff>
        </xdr:to>
        <xdr:sp macro="" textlink="">
          <xdr:nvSpPr>
            <xdr:cNvPr id="1006599" name="Check Box 7" hidden="1">
              <a:extLst>
                <a:ext uri="{63B3BB69-23CF-44E3-9099-C40C66FF867C}">
                  <a14:compatExt spid="_x0000_s1006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866775</xdr:colOff>
          <xdr:row>39</xdr:row>
          <xdr:rowOff>190500</xdr:rowOff>
        </xdr:from>
        <xdr:to>
          <xdr:col>7</xdr:col>
          <xdr:colOff>228600</xdr:colOff>
          <xdr:row>41</xdr:row>
          <xdr:rowOff>9525</xdr:rowOff>
        </xdr:to>
        <xdr:sp macro="" textlink="">
          <xdr:nvSpPr>
            <xdr:cNvPr id="1006600" name="Check Box 8" hidden="1">
              <a:extLst>
                <a:ext uri="{63B3BB69-23CF-44E3-9099-C40C66FF867C}">
                  <a14:compatExt spid="_x0000_s1006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3</xdr:row>
          <xdr:rowOff>190500</xdr:rowOff>
        </xdr:from>
        <xdr:to>
          <xdr:col>26</xdr:col>
          <xdr:colOff>28575</xdr:colOff>
          <xdr:row>5</xdr:row>
          <xdr:rowOff>9525</xdr:rowOff>
        </xdr:to>
        <xdr:sp macro="" textlink="">
          <xdr:nvSpPr>
            <xdr:cNvPr id="1249281" name="Option Button 1" hidden="1">
              <a:extLst>
                <a:ext uri="{63B3BB69-23CF-44E3-9099-C40C66FF867C}">
                  <a14:compatExt spid="_x0000_s1249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AND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57150</xdr:colOff>
          <xdr:row>3</xdr:row>
          <xdr:rowOff>190500</xdr:rowOff>
        </xdr:from>
        <xdr:to>
          <xdr:col>27</xdr:col>
          <xdr:colOff>228600</xdr:colOff>
          <xdr:row>5</xdr:row>
          <xdr:rowOff>9525</xdr:rowOff>
        </xdr:to>
        <xdr:sp macro="" textlink="">
          <xdr:nvSpPr>
            <xdr:cNvPr id="1249282" name="Option Button 2" hidden="1">
              <a:extLst>
                <a:ext uri="{63B3BB69-23CF-44E3-9099-C40C66FF867C}">
                  <a14:compatExt spid="_x0000_s1249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OR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3</xdr:row>
          <xdr:rowOff>190500</xdr:rowOff>
        </xdr:from>
        <xdr:to>
          <xdr:col>30</xdr:col>
          <xdr:colOff>114300</xdr:colOff>
          <xdr:row>5</xdr:row>
          <xdr:rowOff>9525</xdr:rowOff>
        </xdr:to>
        <xdr:sp macro="" textlink="">
          <xdr:nvSpPr>
            <xdr:cNvPr id="1249284" name="Option Button 4" hidden="1">
              <a:extLst>
                <a:ext uri="{63B3BB69-23CF-44E3-9099-C40C66FF867C}">
                  <a14:compatExt spid="_x0000_s1249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NAND</a:t>
              </a:r>
            </a:p>
          </xdr:txBody>
        </xdr:sp>
        <xdr:clientData fLock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885825</xdr:colOff>
          <xdr:row>4</xdr:row>
          <xdr:rowOff>619125</xdr:rowOff>
        </xdr:from>
        <xdr:to>
          <xdr:col>7</xdr:col>
          <xdr:colOff>228600</xdr:colOff>
          <xdr:row>5</xdr:row>
          <xdr:rowOff>190500</xdr:rowOff>
        </xdr:to>
        <xdr:sp macro="" textlink="">
          <xdr:nvSpPr>
            <xdr:cNvPr id="1257473" name="Check Box 1" hidden="1">
              <a:extLst>
                <a:ext uri="{63B3BB69-23CF-44E3-9099-C40C66FF867C}">
                  <a14:compatExt spid="_x0000_s1257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885825</xdr:colOff>
          <xdr:row>5</xdr:row>
          <xdr:rowOff>619125</xdr:rowOff>
        </xdr:from>
        <xdr:to>
          <xdr:col>7</xdr:col>
          <xdr:colOff>228600</xdr:colOff>
          <xdr:row>6</xdr:row>
          <xdr:rowOff>200025</xdr:rowOff>
        </xdr:to>
        <xdr:sp macro="" textlink="">
          <xdr:nvSpPr>
            <xdr:cNvPr id="1257474" name="Check Box 2" hidden="1">
              <a:extLst>
                <a:ext uri="{63B3BB69-23CF-44E3-9099-C40C66FF867C}">
                  <a14:compatExt spid="_x0000_s1257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133350</xdr:colOff>
          <xdr:row>6</xdr:row>
          <xdr:rowOff>19050</xdr:rowOff>
        </xdr:from>
        <xdr:to>
          <xdr:col>22</xdr:col>
          <xdr:colOff>304800</xdr:colOff>
          <xdr:row>6</xdr:row>
          <xdr:rowOff>200025</xdr:rowOff>
        </xdr:to>
        <xdr:sp macro="" textlink="">
          <xdr:nvSpPr>
            <xdr:cNvPr id="1095681" name="Check Box 1" hidden="1">
              <a:extLst>
                <a:ext uri="{63B3BB69-23CF-44E3-9099-C40C66FF867C}">
                  <a14:compatExt spid="_x0000_s1095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133350</xdr:colOff>
          <xdr:row>5</xdr:row>
          <xdr:rowOff>19050</xdr:rowOff>
        </xdr:from>
        <xdr:to>
          <xdr:col>22</xdr:col>
          <xdr:colOff>361950</xdr:colOff>
          <xdr:row>5</xdr:row>
          <xdr:rowOff>190500</xdr:rowOff>
        </xdr:to>
        <xdr:sp macro="" textlink="">
          <xdr:nvSpPr>
            <xdr:cNvPr id="1095682" name="Check Box 2" hidden="1">
              <a:extLst>
                <a:ext uri="{63B3BB69-23CF-44E3-9099-C40C66FF867C}">
                  <a14:compatExt spid="_x0000_s1095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133350</xdr:colOff>
          <xdr:row>9</xdr:row>
          <xdr:rowOff>19050</xdr:rowOff>
        </xdr:from>
        <xdr:to>
          <xdr:col>22</xdr:col>
          <xdr:colOff>304800</xdr:colOff>
          <xdr:row>9</xdr:row>
          <xdr:rowOff>200025</xdr:rowOff>
        </xdr:to>
        <xdr:sp macro="" textlink="">
          <xdr:nvSpPr>
            <xdr:cNvPr id="1095683" name="Check Box 3" hidden="1">
              <a:extLst>
                <a:ext uri="{63B3BB69-23CF-44E3-9099-C40C66FF867C}">
                  <a14:compatExt spid="_x0000_s1095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133350</xdr:colOff>
          <xdr:row>8</xdr:row>
          <xdr:rowOff>19050</xdr:rowOff>
        </xdr:from>
        <xdr:to>
          <xdr:col>22</xdr:col>
          <xdr:colOff>361950</xdr:colOff>
          <xdr:row>8</xdr:row>
          <xdr:rowOff>190500</xdr:rowOff>
        </xdr:to>
        <xdr:sp macro="" textlink="">
          <xdr:nvSpPr>
            <xdr:cNvPr id="1095684" name="Check Box 4" hidden="1">
              <a:extLst>
                <a:ext uri="{63B3BB69-23CF-44E3-9099-C40C66FF867C}">
                  <a14:compatExt spid="_x0000_s1095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1466850</xdr:colOff>
      <xdr:row>1</xdr:row>
      <xdr:rowOff>190501</xdr:rowOff>
    </xdr:from>
    <xdr:to>
      <xdr:col>7</xdr:col>
      <xdr:colOff>57150</xdr:colOff>
      <xdr:row>6</xdr:row>
      <xdr:rowOff>114301</xdr:rowOff>
    </xdr:to>
    <xdr:grpSp>
      <xdr:nvGrpSpPr>
        <xdr:cNvPr id="4" name="グループ化 3"/>
        <xdr:cNvGrpSpPr/>
      </xdr:nvGrpSpPr>
      <xdr:grpSpPr>
        <a:xfrm>
          <a:off x="1724025" y="438151"/>
          <a:ext cx="990600" cy="1066800"/>
          <a:chOff x="1724025" y="438151"/>
          <a:chExt cx="990600" cy="1066800"/>
        </a:xfrm>
      </xdr:grpSpPr>
      <mc:AlternateContent xmlns:mc="http://schemas.openxmlformats.org/markup-compatibility/2006" xmlns:a14="http://schemas.microsoft.com/office/drawing/2010/main">
        <mc:Choice Requires="a14">
          <xdr:pic>
            <xdr:nvPicPr>
              <xdr:cNvPr id="2" name="図 1"/>
              <xdr:cNvPicPr preferRelativeResize="0">
                <a:picLocks noChangeAspect="1" noChangeArrowheads="1"/>
                <a:extLst>
                  <a:ext uri="{84589F7E-364E-4C9E-8A38-B11213B215E9}">
                    <a14:cameraTool cellRange="UNMM0130_IF_IMG_CELL" spid="_x0000_s1476918"/>
                  </a:ext>
                </a:extLst>
              </xdr:cNvPicPr>
            </xdr:nvPicPr>
            <xdr:blipFill>
              <a:blip xmlns:r="http://schemas.openxmlformats.org/officeDocument/2006/relationships" r:embed="rId1"/>
              <a:srcRect/>
              <a:stretch>
                <a:fillRect/>
              </a:stretch>
            </xdr:blipFill>
            <xdr:spPr bwMode="auto">
              <a:xfrm>
                <a:off x="1781175" y="514349"/>
                <a:ext cx="867600" cy="8676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  <xdr:sp macro="" textlink="">
        <xdr:nvSpPr>
          <xdr:cNvPr id="3" name="テキスト ボックス 2"/>
          <xdr:cNvSpPr txBox="1"/>
        </xdr:nvSpPr>
        <xdr:spPr>
          <a:xfrm>
            <a:off x="1724025" y="438151"/>
            <a:ext cx="990600" cy="1066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kumimoji="1" lang="ja-JP" altLang="en-US" sz="1100"/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666750</xdr:colOff>
          <xdr:row>1</xdr:row>
          <xdr:rowOff>238125</xdr:rowOff>
        </xdr:from>
        <xdr:to>
          <xdr:col>22</xdr:col>
          <xdr:colOff>9525</xdr:colOff>
          <xdr:row>2</xdr:row>
          <xdr:rowOff>200025</xdr:rowOff>
        </xdr:to>
        <xdr:sp macro="" textlink="">
          <xdr:nvSpPr>
            <xdr:cNvPr id="1478657" name="DEFAULT_CHECKBOX" descr="する" hidden="1">
              <a:extLst>
                <a:ext uri="{63B3BB69-23CF-44E3-9099-C40C66FF867C}">
                  <a14:compatExt spid="_x0000_s147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7</xdr:row>
          <xdr:rowOff>19050</xdr:rowOff>
        </xdr:from>
        <xdr:to>
          <xdr:col>33</xdr:col>
          <xdr:colOff>266700</xdr:colOff>
          <xdr:row>7</xdr:row>
          <xdr:rowOff>219075</xdr:rowOff>
        </xdr:to>
        <xdr:sp macro="" textlink="">
          <xdr:nvSpPr>
            <xdr:cNvPr id="1479681" name="Check Box 1" hidden="1">
              <a:extLst>
                <a:ext uri="{63B3BB69-23CF-44E3-9099-C40C66FF867C}">
                  <a14:compatExt spid="_x0000_s1479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142875</xdr:colOff>
          <xdr:row>7</xdr:row>
          <xdr:rowOff>9525</xdr:rowOff>
        </xdr:from>
        <xdr:to>
          <xdr:col>35</xdr:col>
          <xdr:colOff>123825</xdr:colOff>
          <xdr:row>7</xdr:row>
          <xdr:rowOff>219075</xdr:rowOff>
        </xdr:to>
        <xdr:sp macro="" textlink="">
          <xdr:nvSpPr>
            <xdr:cNvPr id="1479682" name="Check Box 2" hidden="1">
              <a:extLst>
                <a:ext uri="{63B3BB69-23CF-44E3-9099-C40C66FF867C}">
                  <a14:compatExt spid="_x0000_s1479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19050</xdr:rowOff>
        </xdr:from>
        <xdr:to>
          <xdr:col>7</xdr:col>
          <xdr:colOff>66675</xdr:colOff>
          <xdr:row>3</xdr:row>
          <xdr:rowOff>142875</xdr:rowOff>
        </xdr:to>
        <xdr:sp macro="" textlink="">
          <xdr:nvSpPr>
            <xdr:cNvPr id="1468417" name="Button 1" hidden="1">
              <a:extLst>
                <a:ext uri="{63B3BB69-23CF-44E3-9099-C40C66FF867C}">
                  <a14:compatExt spid="_x0000_s1468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保護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2</xdr:row>
          <xdr:rowOff>9525</xdr:rowOff>
        </xdr:from>
        <xdr:to>
          <xdr:col>9</xdr:col>
          <xdr:colOff>142875</xdr:colOff>
          <xdr:row>3</xdr:row>
          <xdr:rowOff>152400</xdr:rowOff>
        </xdr:to>
        <xdr:sp macro="" textlink="">
          <xdr:nvSpPr>
            <xdr:cNvPr id="1468418" name="Button 2" hidden="1">
              <a:extLst>
                <a:ext uri="{63B3BB69-23CF-44E3-9099-C40C66FF867C}">
                  <a14:compatExt spid="_x0000_s1468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保護解除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13" Type="http://schemas.openxmlformats.org/officeDocument/2006/relationships/ctrlProp" Target="../ctrlProps/ctrlProp4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7.xml"/><Relationship Id="rId12" Type="http://schemas.openxmlformats.org/officeDocument/2006/relationships/ctrlProp" Target="../ctrlProps/ctrlProp4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6.xml"/><Relationship Id="rId11" Type="http://schemas.openxmlformats.org/officeDocument/2006/relationships/ctrlProp" Target="../ctrlProps/ctrlProp41.xml"/><Relationship Id="rId5" Type="http://schemas.openxmlformats.org/officeDocument/2006/relationships/ctrlProp" Target="../ctrlProps/ctrlProp35.xml"/><Relationship Id="rId10" Type="http://schemas.openxmlformats.org/officeDocument/2006/relationships/ctrlProp" Target="../ctrlProps/ctrlProp40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6.xml"/><Relationship Id="rId11" Type="http://schemas.openxmlformats.org/officeDocument/2006/relationships/ctrlProp" Target="../ctrlProps/ctrlProp51.xml"/><Relationship Id="rId5" Type="http://schemas.openxmlformats.org/officeDocument/2006/relationships/ctrlProp" Target="../ctrlProps/ctrlProp45.xml"/><Relationship Id="rId10" Type="http://schemas.openxmlformats.org/officeDocument/2006/relationships/ctrlProp" Target="../ctrlProps/ctrlProp50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6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6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63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6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FF00"/>
  </sheetPr>
  <dimension ref="A1:S10"/>
  <sheetViews>
    <sheetView showGridLines="0" showRowColHeaders="0" topLeftCell="E1" workbookViewId="0">
      <selection activeCell="G3" sqref="G3"/>
    </sheetView>
  </sheetViews>
  <sheetFormatPr defaultColWidth="3.375" defaultRowHeight="16.5"/>
  <cols>
    <col min="1" max="1" width="15" style="84" hidden="1" customWidth="1"/>
    <col min="2" max="2" width="15.25" style="84" hidden="1" customWidth="1"/>
    <col min="3" max="3" width="14.5" style="84" hidden="1" customWidth="1"/>
    <col min="4" max="4" width="3.375" style="84" hidden="1" customWidth="1"/>
    <col min="5" max="5" width="8.25" style="83" customWidth="1"/>
    <col min="6" max="6" width="6.25" style="83" customWidth="1"/>
    <col min="7" max="7" width="12.5" style="83" customWidth="1"/>
    <col min="8" max="8" width="4.625" style="83" customWidth="1"/>
    <col min="9" max="9" width="12.5" style="83" customWidth="1"/>
    <col min="10" max="10" width="4.625" style="83" customWidth="1"/>
    <col min="11" max="11" width="12.5" style="83" customWidth="1"/>
    <col min="12" max="12" width="5.5" style="83" customWidth="1"/>
    <col min="13" max="13" width="6.875" style="83" customWidth="1"/>
    <col min="14" max="14" width="7.875" style="83" customWidth="1"/>
    <col min="15" max="16384" width="3.375" style="83"/>
  </cols>
  <sheetData>
    <row r="1" spans="1:19" s="5" customFormat="1" ht="19.5">
      <c r="A1" s="41"/>
      <c r="B1" s="41"/>
      <c r="C1" s="41"/>
      <c r="D1" s="41"/>
      <c r="E1" s="5" t="s">
        <v>24</v>
      </c>
    </row>
    <row r="3" spans="1:19">
      <c r="F3" s="7" t="s">
        <v>1410</v>
      </c>
      <c r="G3" s="388"/>
      <c r="H3" s="12"/>
      <c r="I3" s="7"/>
      <c r="K3" s="83" t="s">
        <v>118</v>
      </c>
    </row>
    <row r="4" spans="1:19">
      <c r="A4" s="163" t="s">
        <v>40</v>
      </c>
      <c r="B4" s="164" t="s">
        <v>1411</v>
      </c>
      <c r="C4" s="271"/>
      <c r="F4" s="7" t="s">
        <v>33</v>
      </c>
      <c r="G4" s="543"/>
      <c r="H4" s="544"/>
      <c r="I4" s="545"/>
    </row>
    <row r="5" spans="1:19">
      <c r="A5" s="163" t="s">
        <v>37</v>
      </c>
      <c r="B5" s="164" t="s">
        <v>1412</v>
      </c>
      <c r="C5" s="271" t="b">
        <v>1</v>
      </c>
      <c r="F5" s="7" t="s">
        <v>36</v>
      </c>
      <c r="G5" s="546"/>
      <c r="H5" s="547"/>
      <c r="I5" s="548"/>
    </row>
    <row r="6" spans="1:19">
      <c r="F6" s="7"/>
    </row>
    <row r="7" spans="1:19">
      <c r="A7" s="84" t="s">
        <v>119</v>
      </c>
      <c r="B7" s="164" t="s">
        <v>120</v>
      </c>
      <c r="C7" s="271">
        <v>1</v>
      </c>
      <c r="F7" s="7" t="s">
        <v>1413</v>
      </c>
      <c r="G7" s="389"/>
      <c r="H7" s="275" t="str">
        <f>IF(UNMM0011_H_FREEWD_KBN=1,"AND",IF(UNMM0011_H_FREEWD_KBN=2,"OR","NAND"))</f>
        <v>AND</v>
      </c>
      <c r="I7" s="389"/>
      <c r="J7" s="275" t="str">
        <f>IF(UNMM0011_H_FREEWD_KBN=1,"AND",IF(UNMM0011_H_FREEWD_KBN=2,"OR","NAND"))</f>
        <v>AND</v>
      </c>
      <c r="K7" s="389"/>
      <c r="M7" s="549"/>
      <c r="N7" s="549"/>
      <c r="R7" s="78"/>
      <c r="S7" s="78"/>
    </row>
    <row r="8" spans="1:19">
      <c r="C8" s="89" t="s">
        <v>1414</v>
      </c>
    </row>
    <row r="9" spans="1:19">
      <c r="A9" s="163" t="s">
        <v>494</v>
      </c>
      <c r="B9" s="164" t="s">
        <v>1415</v>
      </c>
      <c r="C9" s="271"/>
    </row>
    <row r="10" spans="1:19">
      <c r="A10" s="163" t="s">
        <v>495</v>
      </c>
      <c r="B10" s="164" t="s">
        <v>1416</v>
      </c>
      <c r="C10" s="271" t="s">
        <v>1417</v>
      </c>
    </row>
  </sheetData>
  <sheetProtection sheet="1" objects="1" scenarios="1" selectLockedCells="1"/>
  <mergeCells count="3">
    <mergeCell ref="G4:I4"/>
    <mergeCell ref="G5:I5"/>
    <mergeCell ref="M7:N7"/>
  </mergeCells>
  <phoneticPr fontId="2"/>
  <dataValidations count="2">
    <dataValidation type="custom" allowBlank="1" showInputMessage="1" showErrorMessage="1" sqref="G3">
      <formula1>AND(LEN(G3)=LENB(G3),LEN(G3)&lt;=10)</formula1>
    </dataValidation>
    <dataValidation type="custom" allowBlank="1" showInputMessage="1" showErrorMessage="1" sqref="G5:I5">
      <formula1>LENB(G5)&lt;=40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19265" r:id="rId4" name="Option Button 1">
              <controlPr defaultSize="0" autoFill="0" autoLine="0" autoPict="0">
                <anchor moveWithCells="1">
                  <from>
                    <xdr:col>11</xdr:col>
                    <xdr:colOff>28575</xdr:colOff>
                    <xdr:row>5</xdr:row>
                    <xdr:rowOff>180975</xdr:rowOff>
                  </from>
                  <to>
                    <xdr:col>12</xdr:col>
                    <xdr:colOff>114300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266" r:id="rId5" name="Option Button 2">
              <controlPr defaultSize="0" autoFill="0" autoLine="0" autoPict="0">
                <anchor moveWithCells="1">
                  <from>
                    <xdr:col>12</xdr:col>
                    <xdr:colOff>114300</xdr:colOff>
                    <xdr:row>5</xdr:row>
                    <xdr:rowOff>180975</xdr:rowOff>
                  </from>
                  <to>
                    <xdr:col>13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267" r:id="rId6" name="Option Button 3">
              <controlPr defaultSize="0" autoFill="0" autoLine="0" autoPict="0">
                <anchor moveWithCells="1">
                  <from>
                    <xdr:col>13</xdr:col>
                    <xdr:colOff>9525</xdr:colOff>
                    <xdr:row>5</xdr:row>
                    <xdr:rowOff>180975</xdr:rowOff>
                  </from>
                  <to>
                    <xdr:col>13</xdr:col>
                    <xdr:colOff>581025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268" r:id="rId7" name="Group Box 4">
              <controlPr defaultSize="0" autoFill="0" autoPict="0" altText="">
                <anchor moveWithCells="1">
                  <from>
                    <xdr:col>11</xdr:col>
                    <xdr:colOff>9525</xdr:colOff>
                    <xdr:row>5</xdr:row>
                    <xdr:rowOff>66675</xdr:rowOff>
                  </from>
                  <to>
                    <xdr:col>14</xdr:col>
                    <xdr:colOff>76200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269" r:id="rId8" name="UNMM0011_Shape_MISHIYO_FLG">
              <controlPr defaultSize="0" autoFill="0" autoLine="0" autoPict="0">
                <anchor moveWithCells="1">
                  <from>
                    <xdr:col>9</xdr:col>
                    <xdr:colOff>171450</xdr:colOff>
                    <xdr:row>2</xdr:row>
                    <xdr:rowOff>0</xdr:rowOff>
                  </from>
                  <to>
                    <xdr:col>10</xdr:col>
                    <xdr:colOff>28575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L24"/>
  <sheetViews>
    <sheetView showGridLines="0" showRowColHeaders="0" topLeftCell="E1" workbookViewId="0">
      <selection sqref="A1:D1 K1 L1"/>
    </sheetView>
  </sheetViews>
  <sheetFormatPr defaultRowHeight="16.5"/>
  <cols>
    <col min="1" max="1" width="16.75" style="163" hidden="1" customWidth="1"/>
    <col min="2" max="2" width="33.625" style="163" hidden="1" customWidth="1"/>
    <col min="3" max="3" width="11" style="163" hidden="1" customWidth="1"/>
    <col min="4" max="4" width="14.625" style="163" hidden="1" customWidth="1"/>
    <col min="5" max="5" width="5.5" style="83" customWidth="1"/>
    <col min="6" max="6" width="5" style="83" bestFit="1" customWidth="1"/>
    <col min="7" max="7" width="13" style="83" bestFit="1" customWidth="1"/>
    <col min="8" max="8" width="20.875" style="83" customWidth="1"/>
    <col min="9" max="9" width="22.625" style="83" customWidth="1"/>
    <col min="10" max="10" width="6.375" style="83" bestFit="1" customWidth="1"/>
    <col min="11" max="11" width="3.875" style="83" hidden="1" customWidth="1"/>
    <col min="12" max="12" width="9" style="83" hidden="1" customWidth="1"/>
    <col min="13" max="16384" width="9" style="83"/>
  </cols>
  <sheetData>
    <row r="1" spans="1:11">
      <c r="E1" s="83" t="str">
        <f>IF(UNMM0011_B_PAGE_NO=0,"","("&amp;UNMM0011_B_PAGE_NO&amp;"/"&amp;UNMM0011_B_ALL_PEGE_SU&amp;")")</f>
        <v>(1/1)</v>
      </c>
      <c r="F1" s="13"/>
    </row>
    <row r="2" spans="1:11">
      <c r="A2" s="163" t="s">
        <v>122</v>
      </c>
      <c r="B2" s="163" t="s">
        <v>1418</v>
      </c>
      <c r="C2" s="271"/>
      <c r="F2" s="44" t="s">
        <v>15</v>
      </c>
      <c r="G2" s="44" t="s">
        <v>23</v>
      </c>
      <c r="H2" s="44" t="s">
        <v>34</v>
      </c>
      <c r="I2" s="44" t="s">
        <v>31</v>
      </c>
      <c r="J2" s="44" t="s">
        <v>32</v>
      </c>
      <c r="K2" s="12"/>
    </row>
    <row r="3" spans="1:11">
      <c r="A3" s="163" t="s">
        <v>123</v>
      </c>
      <c r="B3" s="163" t="s">
        <v>1419</v>
      </c>
      <c r="C3" s="271">
        <v>1</v>
      </c>
    </row>
    <row r="4" spans="1:11">
      <c r="A4" s="163" t="s">
        <v>124</v>
      </c>
      <c r="B4" s="163" t="s">
        <v>1420</v>
      </c>
      <c r="C4" s="271">
        <f>IF(OR(UNMM0011_B_ALL_KENSU=0,UNMM0011_B_CTRL_HYOJI_GYO_SU=0),1,ROUNDUP(UNMM0011_B_ALL_KENSU/UNMM0011_B_CTRL_HYOJI_GYO_SU,0))</f>
        <v>1</v>
      </c>
    </row>
    <row r="5" spans="1:11">
      <c r="A5" s="163" t="s">
        <v>125</v>
      </c>
      <c r="B5" s="163" t="s">
        <v>1421</v>
      </c>
      <c r="C5" s="271"/>
    </row>
    <row r="6" spans="1:11">
      <c r="A6" s="163" t="s">
        <v>143</v>
      </c>
      <c r="B6" s="163" t="s">
        <v>144</v>
      </c>
      <c r="C6" s="271">
        <v>3</v>
      </c>
    </row>
    <row r="10" spans="1:11">
      <c r="A10" s="163" t="s">
        <v>141</v>
      </c>
      <c r="B10" s="163" t="s">
        <v>142</v>
      </c>
      <c r="C10" s="271" t="str">
        <f>ADDRESS(ROW(UNMM0011_B_SENTAKU)+1,COLUMN(UNMM0011_B_SENTAKU))</f>
        <v>$F$3</v>
      </c>
    </row>
    <row r="11" spans="1:11">
      <c r="A11" s="163" t="s">
        <v>145</v>
      </c>
      <c r="B11" s="163" t="s">
        <v>146</v>
      </c>
      <c r="C11" s="271" t="str">
        <f>ADDRESS(ROW(UNMM0011_B_SENTAKU)+1+UNMM0011_B_HYOJI_KENSU-1,COLUMN(UNMM0011_B_SENTAKU)+COLUMNS(UNMM0011_IF_B_LIST_COPY_MOTO)-1)</f>
        <v>$J$2</v>
      </c>
    </row>
    <row r="12" spans="1:11">
      <c r="A12" s="163" t="s">
        <v>139</v>
      </c>
      <c r="B12" s="163" t="s">
        <v>129</v>
      </c>
      <c r="C12" s="271" t="str">
        <f>IF(UNMM0011_B_HYOJI_KENSU=0,"",UNMM0011_B_LIST_START&amp;":"&amp;
ADDRESS(ROW(UNMM0011_B_SENTAKU)+1+UNMM0011_B_HYOJI_KENSU-1,COLUMN(UNMM0011_B_SENTAKU)+COLUMNS(UNMM0011_IF_B_LIST_COPY_MOTO)-1))</f>
        <v/>
      </c>
    </row>
    <row r="13" spans="1:11">
      <c r="A13" s="163" t="s">
        <v>140</v>
      </c>
      <c r="B13" s="163" t="s">
        <v>130</v>
      </c>
      <c r="C13" s="271" t="str">
        <f>ADDRESS(ROW(UNMM0011_B_SENTAKU)+1,COLUMN(UNMM0011_B_SENTAKU))&amp;":"&amp;
ADDRESS(ROW(UNMM0011_B_SENTAKU)+1+UNMM0011_B_CTRL_HYOJI_GYO_SU-1,COLUMN(UNMM0011_B_SENTAKU)+COLUMNS(UNMM0011_IF_B_LIST_COPY_MOTO)-1)</f>
        <v>$F$3:$J$5</v>
      </c>
    </row>
    <row r="15" spans="1:11">
      <c r="A15" s="163" t="s">
        <v>147</v>
      </c>
      <c r="B15" s="163" t="s">
        <v>148</v>
      </c>
      <c r="C15" s="271"/>
    </row>
    <row r="16" spans="1:11">
      <c r="A16" s="163" t="s">
        <v>128</v>
      </c>
      <c r="B16" s="163" t="s">
        <v>131</v>
      </c>
      <c r="C16" s="271">
        <f ca="1">IF(UNMM0011_B_SELECT_GYO_NO=0,0,INDIRECT(ADDRESS(UNMM0011_B_SELECT_GYO_NO,COLUMN(UNMM0011_B_SHAIN_CD))))</f>
        <v>0</v>
      </c>
    </row>
    <row r="18" spans="1:4">
      <c r="A18" s="163" t="s">
        <v>586</v>
      </c>
      <c r="B18" s="163" t="s">
        <v>1422</v>
      </c>
      <c r="C18" s="271">
        <f>IF(1&lt;UNMM0011_B_PAGE_NO,1,2)</f>
        <v>2</v>
      </c>
      <c r="D18" s="163" t="s">
        <v>587</v>
      </c>
    </row>
    <row r="19" spans="1:4">
      <c r="A19" s="163" t="s">
        <v>588</v>
      </c>
      <c r="B19" s="163" t="s">
        <v>1423</v>
      </c>
      <c r="C19" s="271">
        <f>IF(UNMM0011_B_PAGE_NO&lt;UNMM0011_B_ALL_PEGE_SU,1,2)</f>
        <v>2</v>
      </c>
    </row>
    <row r="20" spans="1:4">
      <c r="A20" s="163" t="s">
        <v>393</v>
      </c>
      <c r="B20" s="163" t="s">
        <v>1424</v>
      </c>
      <c r="C20" s="271">
        <f>UNMM0011_B_PAGE_NO-1</f>
        <v>0</v>
      </c>
      <c r="D20" s="163" t="s">
        <v>590</v>
      </c>
    </row>
    <row r="21" spans="1:4">
      <c r="A21" s="163" t="s">
        <v>392</v>
      </c>
      <c r="B21" s="163" t="s">
        <v>1425</v>
      </c>
      <c r="C21" s="271">
        <f>UNMM0011_B_PAGE_NO+1</f>
        <v>2</v>
      </c>
      <c r="D21" s="163" t="s">
        <v>591</v>
      </c>
    </row>
    <row r="22" spans="1:4">
      <c r="A22" s="163" t="s">
        <v>494</v>
      </c>
      <c r="B22" s="164" t="s">
        <v>1426</v>
      </c>
      <c r="C22" s="271"/>
    </row>
    <row r="23" spans="1:4">
      <c r="A23" s="163" t="s">
        <v>495</v>
      </c>
      <c r="B23" s="164" t="s">
        <v>1427</v>
      </c>
      <c r="C23" s="271" t="s">
        <v>1665</v>
      </c>
      <c r="D23" s="130"/>
    </row>
    <row r="24" spans="1:4">
      <c r="A24" s="163" t="s">
        <v>496</v>
      </c>
      <c r="B24" s="164" t="s">
        <v>1428</v>
      </c>
      <c r="C24" s="271" t="str">
        <f>ADDRESS(ROW(UNMM0011_B_SENTAKU)+1,COLUMN(UNMM0011_B_SENTAKU)+1)</f>
        <v>$G$3</v>
      </c>
      <c r="D24" s="130"/>
    </row>
  </sheetData>
  <sheetProtection sheet="1" objects="1" scenarios="1" selectLockedCells="1"/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1:AA184"/>
  <sheetViews>
    <sheetView zoomScaleNormal="100" workbookViewId="0">
      <selection activeCell="D15" sqref="D15"/>
    </sheetView>
  </sheetViews>
  <sheetFormatPr defaultRowHeight="13.5"/>
  <cols>
    <col min="1" max="4" width="9" style="130"/>
    <col min="5" max="5" width="12.25" style="130" bestFit="1" customWidth="1"/>
    <col min="6" max="6" width="18.375" style="130" customWidth="1"/>
    <col min="7" max="7" width="10.875" style="130" bestFit="1" customWidth="1"/>
    <col min="8" max="14" width="9" style="130"/>
    <col min="15" max="15" width="13.25" style="130" customWidth="1"/>
    <col min="16" max="17" width="9" style="130"/>
    <col min="18" max="21" width="21" style="257" customWidth="1"/>
    <col min="22" max="27" width="21" style="130" customWidth="1"/>
    <col min="28" max="16384" width="9" style="130"/>
  </cols>
  <sheetData>
    <row r="1" spans="4:27" ht="16.5">
      <c r="O1" s="130" t="s">
        <v>1647</v>
      </c>
      <c r="R1" s="331"/>
      <c r="S1" s="332"/>
      <c r="T1" s="292"/>
      <c r="U1" s="291"/>
      <c r="V1" s="291"/>
      <c r="W1" s="292"/>
      <c r="X1" s="332"/>
      <c r="Y1" s="291"/>
      <c r="Z1" s="332"/>
      <c r="AA1" s="292"/>
    </row>
    <row r="2" spans="4:27">
      <c r="D2" s="85" t="s">
        <v>121</v>
      </c>
      <c r="M2" s="85" t="s">
        <v>1130</v>
      </c>
      <c r="O2" s="129"/>
    </row>
    <row r="3" spans="4:27" ht="16.5" customHeight="1">
      <c r="M3" s="85"/>
      <c r="N3" s="130" t="s">
        <v>1131</v>
      </c>
      <c r="O3" s="129" t="s">
        <v>1429</v>
      </c>
      <c r="P3" s="51"/>
      <c r="R3" s="276" t="s">
        <v>1643</v>
      </c>
      <c r="S3" s="276" t="s">
        <v>1644</v>
      </c>
      <c r="T3" s="276" t="s">
        <v>1645</v>
      </c>
      <c r="U3" s="276" t="s">
        <v>1646</v>
      </c>
      <c r="V3" s="44" t="s">
        <v>1633</v>
      </c>
      <c r="W3" s="276" t="s">
        <v>1634</v>
      </c>
      <c r="X3" s="276" t="s">
        <v>1635</v>
      </c>
      <c r="Y3" s="276" t="s">
        <v>1636</v>
      </c>
      <c r="Z3" s="276" t="s">
        <v>1637</v>
      </c>
      <c r="AA3" s="44" t="s">
        <v>1638</v>
      </c>
    </row>
    <row r="4" spans="4:27" ht="16.5" customHeight="1">
      <c r="G4" s="8" t="s">
        <v>15</v>
      </c>
      <c r="H4" s="9" t="s">
        <v>1430</v>
      </c>
      <c r="I4" s="9" t="s">
        <v>34</v>
      </c>
      <c r="J4" s="10" t="s">
        <v>31</v>
      </c>
      <c r="K4" s="10" t="s">
        <v>32</v>
      </c>
      <c r="M4" s="85"/>
      <c r="N4" s="130" t="s">
        <v>929</v>
      </c>
      <c r="O4" s="129" t="s">
        <v>1431</v>
      </c>
      <c r="P4" s="51" t="str">
        <f ca="1">"社員検索画面_"&amp;UNMM0011_H_SHAIN_CD&amp;"_"&amp;TEXT(NOW(),"YYYYMMDD")</f>
        <v>社員検索画面__20170913</v>
      </c>
    </row>
    <row r="5" spans="4:27" ht="16.5" customHeight="1">
      <c r="E5" s="130" t="s">
        <v>153</v>
      </c>
      <c r="F5" s="130" t="s">
        <v>1432</v>
      </c>
      <c r="G5" s="83"/>
      <c r="H5" s="136"/>
      <c r="I5" s="83"/>
      <c r="J5" s="83"/>
      <c r="K5" s="83"/>
      <c r="N5" s="130" t="s">
        <v>1433</v>
      </c>
      <c r="O5" s="129"/>
    </row>
    <row r="6" spans="4:27" ht="16.5" customHeight="1">
      <c r="E6" s="130" t="s">
        <v>152</v>
      </c>
      <c r="F6" s="130" t="s">
        <v>1434</v>
      </c>
      <c r="G6" s="45" t="s">
        <v>1435</v>
      </c>
      <c r="H6" s="326"/>
      <c r="I6" s="16"/>
      <c r="J6" s="16"/>
      <c r="K6" s="390"/>
      <c r="O6" s="163" t="s">
        <v>1523</v>
      </c>
      <c r="P6" s="271" t="str">
        <f>ADDRESS(ROW(UNMM0011_IF_PRINT_AREA)+1,COLUMN(UNMM0011_IF_PRINT_AREA))</f>
        <v>$R$4</v>
      </c>
    </row>
    <row r="7" spans="4:27" ht="16.5" customHeight="1">
      <c r="O7" s="163" t="s">
        <v>1524</v>
      </c>
      <c r="P7" s="271" t="str">
        <f>IF(UNMM0011_IF_PRINT_COUNT=0,"",UNMM0011_IF_LIST_START&amp;":"&amp;
ADDRESS(ROW(UNMM0011_IF_PRINT_AREA)+1+UNMM0011_IF_PRINT_COUNT-1,COLUMN(UNMM0011_IF_PRINT_AREA)+COLUMNS(UNMM0011_IF_PRINT_SHOSHIKI)-1))</f>
        <v/>
      </c>
    </row>
    <row r="8" spans="4:27" ht="16.5" customHeight="1"/>
    <row r="9" spans="4:27" ht="16.5" customHeight="1">
      <c r="D9" s="85" t="s">
        <v>171</v>
      </c>
      <c r="F9" s="129"/>
      <c r="G9" s="124"/>
    </row>
    <row r="10" spans="4:27" ht="16.5" customHeight="1">
      <c r="E10" s="130" t="s">
        <v>172</v>
      </c>
      <c r="F10" s="129" t="s">
        <v>1436</v>
      </c>
      <c r="G10" s="131"/>
      <c r="H10" s="130" t="s">
        <v>1437</v>
      </c>
      <c r="I10" s="130" t="s">
        <v>175</v>
      </c>
    </row>
    <row r="11" spans="4:27" ht="16.5" customHeight="1">
      <c r="E11" s="130" t="s">
        <v>613</v>
      </c>
      <c r="F11" s="130" t="s">
        <v>1438</v>
      </c>
      <c r="G11" s="51">
        <f>IF(UNMM0011_B_ALL_KENSU = 0,2,1)</f>
        <v>2</v>
      </c>
      <c r="H11" s="130" t="s">
        <v>614</v>
      </c>
    </row>
    <row r="12" spans="4:27" ht="16.5" customHeight="1"/>
    <row r="13" spans="4:27" ht="16.5" customHeight="1">
      <c r="D13" s="85" t="s">
        <v>104</v>
      </c>
      <c r="E13" s="129"/>
      <c r="F13" s="124"/>
    </row>
    <row r="14" spans="4:27" ht="16.5" customHeight="1">
      <c r="E14" s="130" t="s">
        <v>105</v>
      </c>
      <c r="F14" s="129" t="s">
        <v>134</v>
      </c>
      <c r="G14" s="131" t="s">
        <v>155</v>
      </c>
    </row>
    <row r="15" spans="4:27" ht="16.5" customHeight="1">
      <c r="E15" s="130" t="s">
        <v>107</v>
      </c>
      <c r="F15" s="129" t="s">
        <v>132</v>
      </c>
      <c r="G15" s="131">
        <v>3</v>
      </c>
    </row>
    <row r="16" spans="4:27" ht="16.5" customHeight="1">
      <c r="E16" s="130" t="s">
        <v>108</v>
      </c>
      <c r="F16" s="129" t="s">
        <v>133</v>
      </c>
      <c r="G16" s="131">
        <v>9</v>
      </c>
    </row>
    <row r="17" spans="4:9" ht="16.5" customHeight="1">
      <c r="F17" s="129"/>
    </row>
    <row r="18" spans="4:9" ht="16.5" customHeight="1">
      <c r="E18" s="130" t="s">
        <v>106</v>
      </c>
      <c r="F18" s="129" t="s">
        <v>135</v>
      </c>
      <c r="G18" s="131" t="s">
        <v>156</v>
      </c>
    </row>
    <row r="19" spans="4:9" ht="16.5" customHeight="1"/>
    <row r="20" spans="4:9" ht="16.5" customHeight="1">
      <c r="D20" s="85" t="s">
        <v>45</v>
      </c>
      <c r="F20" s="129"/>
      <c r="H20" s="130" t="s">
        <v>63</v>
      </c>
      <c r="I20" s="130" t="s">
        <v>64</v>
      </c>
    </row>
    <row r="21" spans="4:9" ht="16.5" customHeight="1">
      <c r="E21" s="130" t="s">
        <v>4</v>
      </c>
      <c r="F21" s="129" t="s">
        <v>1439</v>
      </c>
      <c r="G21" s="51">
        <f>IF(UNMM0011_B_PAGE_NO&gt;=2,1,2)</f>
        <v>2</v>
      </c>
      <c r="H21" s="130" t="s">
        <v>1440</v>
      </c>
    </row>
    <row r="22" spans="4:9" ht="16.5" customHeight="1">
      <c r="E22" s="130" t="s">
        <v>5</v>
      </c>
      <c r="F22" s="129" t="s">
        <v>1441</v>
      </c>
      <c r="G22" s="51">
        <f>IF(MOD(UNMM0011_B_ALL_KENSU,UNMM0011_B_CTRL_HYOJI_GYO_SU*UNMM0011_B_PAGE_NO)&lt;=UNMM0011_B_HYOJI_KENSU,2,1)</f>
        <v>2</v>
      </c>
      <c r="H22" s="130" t="s">
        <v>1442</v>
      </c>
    </row>
    <row r="23" spans="4:9" ht="16.5" customHeight="1">
      <c r="F23" s="129"/>
    </row>
    <row r="24" spans="4:9" ht="16.5" customHeight="1"/>
    <row r="25" spans="4:9" ht="16.5" customHeight="1"/>
    <row r="26" spans="4:9" ht="16.5" customHeight="1"/>
    <row r="27" spans="4:9" ht="16.5" customHeight="1"/>
    <row r="28" spans="4:9" ht="16.5" customHeight="1">
      <c r="F28" s="129"/>
    </row>
    <row r="29" spans="4:9" ht="16.5" customHeight="1">
      <c r="F29" s="129"/>
    </row>
    <row r="30" spans="4:9" ht="16.5" customHeight="1">
      <c r="F30" s="129"/>
    </row>
    <row r="31" spans="4:9" ht="16.5" customHeight="1">
      <c r="F31" s="129"/>
    </row>
    <row r="32" spans="4:9" ht="16.5" customHeight="1">
      <c r="F32" s="129"/>
    </row>
    <row r="33" spans="6:6" ht="16.5" customHeight="1">
      <c r="F33" s="129"/>
    </row>
    <row r="34" spans="6:6" ht="16.5" customHeight="1">
      <c r="F34" s="129"/>
    </row>
    <row r="35" spans="6:6" ht="16.5" customHeight="1">
      <c r="F35" s="129"/>
    </row>
    <row r="36" spans="6:6" ht="16.5" customHeight="1">
      <c r="F36" s="129"/>
    </row>
    <row r="37" spans="6:6" ht="16.5" customHeight="1"/>
    <row r="38" spans="6:6" ht="16.5" customHeight="1"/>
    <row r="39" spans="6:6" ht="16.5" customHeight="1"/>
    <row r="40" spans="6:6" ht="16.5" customHeight="1"/>
    <row r="41" spans="6:6" ht="16.5" customHeight="1"/>
    <row r="42" spans="6:6" ht="16.5" customHeight="1"/>
    <row r="43" spans="6:6" ht="16.5" customHeight="1"/>
    <row r="44" spans="6:6" ht="16.5" customHeight="1"/>
    <row r="45" spans="6:6" ht="16.5" customHeight="1"/>
    <row r="46" spans="6:6" ht="16.5" customHeight="1"/>
    <row r="47" spans="6:6" ht="16.5" customHeight="1"/>
    <row r="48" spans="6:6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</sheetData>
  <phoneticPr fontId="2"/>
  <conditionalFormatting sqref="G6:K6">
    <cfRule type="expression" dxfId="68" priority="5">
      <formula>CELL("row")=ROW()</formula>
    </cfRule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E30"/>
  <sheetViews>
    <sheetView topLeftCell="C21" workbookViewId="0">
      <selection activeCell="D30" sqref="D30"/>
    </sheetView>
  </sheetViews>
  <sheetFormatPr defaultRowHeight="13.5"/>
  <cols>
    <col min="1" max="1" width="9" style="208"/>
    <col min="2" max="2" width="30.5" style="208" customWidth="1"/>
    <col min="3" max="3" width="19" style="26" customWidth="1"/>
    <col min="4" max="4" width="73.875" style="29" customWidth="1"/>
    <col min="5" max="16384" width="9" style="208"/>
  </cols>
  <sheetData>
    <row r="1" spans="2:5">
      <c r="B1" s="34" t="s">
        <v>20</v>
      </c>
      <c r="C1" s="26" t="s">
        <v>1513</v>
      </c>
      <c r="D1" s="278" t="s">
        <v>1527</v>
      </c>
      <c r="E1" s="29" t="str">
        <f>IF(UNMM0011_H_SHAIN_CD="","",UNMM0011_H_SHAIN_CD)</f>
        <v/>
      </c>
    </row>
    <row r="2" spans="2:5" ht="16.5">
      <c r="B2" s="34" t="s">
        <v>40</v>
      </c>
      <c r="C2" s="164" t="s">
        <v>1515</v>
      </c>
      <c r="D2" s="278" t="s">
        <v>1527</v>
      </c>
      <c r="E2" s="29" t="str">
        <f>IF(OR(UNMM0011_H_BUSHO_CD="",UNMM0011_H_BUSHO_MEI=""),"",UNMM0011_H_BUSHO_CD)</f>
        <v/>
      </c>
    </row>
    <row r="3" spans="2:5">
      <c r="B3" s="34" t="s">
        <v>34</v>
      </c>
      <c r="C3" s="26" t="s">
        <v>1514</v>
      </c>
      <c r="D3" s="278" t="s">
        <v>1527</v>
      </c>
      <c r="E3" s="29" t="str">
        <f>IF(UNMM0011_H_SHIMEI="","",UNMM0011_H_SHIMEI)</f>
        <v/>
      </c>
    </row>
    <row r="4" spans="2:5" ht="16.5">
      <c r="B4" s="34" t="s">
        <v>593</v>
      </c>
      <c r="C4" s="164" t="s">
        <v>1522</v>
      </c>
      <c r="D4" s="29" t="b">
        <v>0</v>
      </c>
      <c r="E4" s="29" t="b">
        <f>NOT(UNMM0011_H_MISHIYO_FLG)</f>
        <v>0</v>
      </c>
    </row>
    <row r="5" spans="2:5">
      <c r="B5" s="208" t="s">
        <v>1516</v>
      </c>
      <c r="C5" s="34" t="s">
        <v>1518</v>
      </c>
      <c r="D5" s="278" t="s">
        <v>1527</v>
      </c>
      <c r="E5" s="29" t="str">
        <f>IF(UNMM0011_H_FREEWD_1="","",UNMM0011_H_FREEWD_1)</f>
        <v/>
      </c>
    </row>
    <row r="6" spans="2:5">
      <c r="C6" s="34" t="s">
        <v>1519</v>
      </c>
      <c r="D6" s="278" t="s">
        <v>1527</v>
      </c>
      <c r="E6" s="29" t="str">
        <f>IF(UNMM0011_H_FREEWD_2="","",UNMM0011_H_FREEWD_2)</f>
        <v/>
      </c>
    </row>
    <row r="7" spans="2:5">
      <c r="C7" s="34" t="s">
        <v>1520</v>
      </c>
      <c r="D7" s="278" t="s">
        <v>1527</v>
      </c>
      <c r="E7" s="29" t="str">
        <f>IF(UNMM0011_H_FREEWD_3="","",UNMM0011_H_FREEWD_3)</f>
        <v/>
      </c>
    </row>
    <row r="8" spans="2:5">
      <c r="B8" s="208" t="s">
        <v>1517</v>
      </c>
      <c r="C8" s="34" t="s">
        <v>1521</v>
      </c>
      <c r="D8" s="29">
        <v>1</v>
      </c>
      <c r="E8" s="29">
        <f>UNMM0011_H_FREEWD_KBN</f>
        <v>1</v>
      </c>
    </row>
    <row r="9" spans="2:5">
      <c r="C9" s="34"/>
    </row>
    <row r="11" spans="2:5" ht="272.25" customHeight="1">
      <c r="B11" s="25" t="s">
        <v>127</v>
      </c>
      <c r="C11" s="26" t="s">
        <v>1443</v>
      </c>
      <c r="D11" s="207" t="str">
        <f>D14&amp;D15&amp;D16&amp;D17&amp;D18&amp;D19&amp;UNMM0011_SQL_SELECT_SHAIN_LIST_ORDER&amp;D24</f>
        <v>SELECT *
FROM V_SHAIN_LIST
WHERE 1=1
AND V_SHAIN_LIST.SHAIN_CD = '--------------------------' AND V_SHAIN_LIST.BUSHO_CD = '--------------------------' AND V_SHAIN_LIST.SHIMEI = '--------------------------'    AND(
        1=1
 AND V_SHAIN_LIST.FREEWD LIKE '%--------------------------%'  
 AND V_SHAIN_LIST.FREEWD LIKE '%--------------------------%'  
 AND V_SHAIN_LIST.FREEWD LIKE '%--------------------------%'  
) ORDER BY CAST(SHAIN_CD AS INT) ASC
 OFFSET 0*3 ROWS
 FETCH NEXT 3 ROWS ONLY</v>
      </c>
    </row>
    <row r="12" spans="2:5" ht="114" customHeight="1">
      <c r="B12" s="25"/>
      <c r="C12" s="26" t="s">
        <v>1444</v>
      </c>
      <c r="D12" s="207" t="str">
        <f>D13&amp;D15&amp;D16&amp;D17&amp;D18&amp;D19</f>
        <v>SELECT COUNT(*)   AS CNT
  FROM V_SHAIN_LIST
 WHERE 1=1
AND V_SHAIN_LIST.SHAIN_CD = '--------------------------' AND V_SHAIN_LIST.BUSHO_CD = '--------------------------' AND V_SHAIN_LIST.SHIMEI = '--------------------------'    AND(
        1=1
 AND V_SHAIN_LIST.FREEWD LIKE '%--------------------------%'  
 AND V_SHAIN_LIST.FREEWD LIKE '%--------------------------%'  
 AND V_SHAIN_LIST.FREEWD LIKE '%--------------------------%'  
)</v>
      </c>
    </row>
    <row r="13" spans="2:5" ht="72" customHeight="1">
      <c r="B13" s="25"/>
      <c r="C13" s="26" t="s">
        <v>1445</v>
      </c>
      <c r="D13" s="29" t="s">
        <v>1446</v>
      </c>
    </row>
    <row r="14" spans="2:5" ht="43.5" customHeight="1">
      <c r="C14" s="208" t="s">
        <v>1447</v>
      </c>
      <c r="D14" s="29" t="s">
        <v>1448</v>
      </c>
    </row>
    <row r="15" spans="2:5">
      <c r="C15" s="208" t="s">
        <v>161</v>
      </c>
      <c r="D15" s="29" t="str">
        <f>IF(UNMM0011_SQL_SHAIN_CD="","","AND V_SHAIN_LIST.SHAIN_CD = '"&amp;UNMM0011_SQL_SHAIN_CD&amp;"' ")</f>
        <v xml:space="preserve">AND V_SHAIN_LIST.SHAIN_CD = '--------------------------' </v>
      </c>
      <c r="E15" s="208" t="s">
        <v>20</v>
      </c>
    </row>
    <row r="16" spans="2:5">
      <c r="C16" s="208" t="s">
        <v>160</v>
      </c>
      <c r="D16" s="29" t="str">
        <f>IF(UNMM0011_SQL_BUSHO_CD="","","AND V_SHAIN_LIST.BUSHO_CD = '"&amp;UNMM0011_SQL_BUSHO_CD&amp;"' ")</f>
        <v xml:space="preserve">AND V_SHAIN_LIST.BUSHO_CD = '--------------------------' </v>
      </c>
      <c r="E16" s="208" t="s">
        <v>40</v>
      </c>
    </row>
    <row r="17" spans="2:5">
      <c r="C17" s="208" t="s">
        <v>162</v>
      </c>
      <c r="D17" s="29" t="str">
        <f>IF(UNMM0011_SQL_SHIMEI="","","AND V_SHAIN_LIST.SHIMEI = '"&amp;UNMM0011_SQL_SHIMEI&amp;"' ")</f>
        <v xml:space="preserve">AND V_SHAIN_LIST.SHIMEI = '--------------------------' </v>
      </c>
      <c r="E17" s="208" t="s">
        <v>34</v>
      </c>
    </row>
    <row r="18" spans="2:5" ht="40.5">
      <c r="B18" s="29" t="s">
        <v>1449</v>
      </c>
      <c r="C18" s="208" t="s">
        <v>163</v>
      </c>
      <c r="D18" s="29" t="str">
        <f>IF(OR(UNMM0011_SQL_MISHIYO_FLG=0,UNMM0011_SQL_MISHIYO_FLG=FALSE),"","AND V_SHAIN_LIST.MISHIYO_FLG IS NULL ")</f>
        <v/>
      </c>
      <c r="E18" s="208" t="s">
        <v>37</v>
      </c>
    </row>
    <row r="19" spans="2:5" ht="100.5" customHeight="1">
      <c r="B19" s="29"/>
      <c r="C19" s="208" t="s">
        <v>1450</v>
      </c>
      <c r="D19" s="29" t="str">
        <f>"   AND(
        " &amp;IF(AND(UNMM0011_SQL_FREEWORD_1="",
                  UNMM0011_SQL_FREEWORD_2="",
                  UNMM0011_SQL_FREEWORD_3=""), "1=1",
              IF(UNMM0011_SQL_FREEWD_KBN=1,"1=1","1!=1") )&amp;"
"
         &amp;UNMM0011_SQL_FREEWD_1 &amp;"
"
         &amp;UNMM0011_SQL_FREEWD_2 &amp;"
"
         &amp;UNMM0011_SQL_FREEWD_3 &amp;"
"
&amp;")"</f>
        <v xml:space="preserve">   AND(
        1=1
 AND V_SHAIN_LIST.FREEWD LIKE '%--------------------------%'  
 AND V_SHAIN_LIST.FREEWD LIKE '%--------------------------%'  
 AND V_SHAIN_LIST.FREEWD LIKE '%--------------------------%'  
)</v>
      </c>
      <c r="E19" s="46" t="str">
        <f>IF(UNMM0011_SQL_FREEWD_KBN=1,"AND","OR")</f>
        <v>AND</v>
      </c>
    </row>
    <row r="20" spans="2:5">
      <c r="C20" s="208" t="s">
        <v>165</v>
      </c>
      <c r="D20" s="29" t="str">
        <f>IF(UNMM0011_SQL_FREEWORD_1="",""," "&amp;UNMM0011_SQL_CONJUNCTION&amp;" V_SHAIN_LIST.FREEWD " &amp;IF(UNMM0011_SQL_FREEWD_KBN=3," NOT ","") &amp;"LIKE "&amp;"'%"&amp;UNMM0011_SQL_FREEWORD_1 &amp;"%'  ")</f>
        <v xml:space="preserve"> AND V_SHAIN_LIST.FREEWD LIKE '%--------------------------%'  </v>
      </c>
      <c r="E20" s="208" t="s">
        <v>1451</v>
      </c>
    </row>
    <row r="21" spans="2:5">
      <c r="C21" s="208" t="s">
        <v>164</v>
      </c>
      <c r="D21" s="29" t="str">
        <f>IF(UNMM0011_SQL_FREEWORD_2="",""," "&amp;UNMM0011_SQL_CONJUNCTION&amp;" V_SHAIN_LIST.FREEWD " &amp;IF(UNMM0011_SQL_FREEWD_KBN=3," NOT ","") &amp;"LIKE "&amp;"'%"&amp;UNMM0011_SQL_FREEWORD_2 &amp;"%'  ")</f>
        <v xml:space="preserve"> AND V_SHAIN_LIST.FREEWD LIKE '%--------------------------%'  </v>
      </c>
      <c r="E21" s="208" t="s">
        <v>136</v>
      </c>
    </row>
    <row r="22" spans="2:5">
      <c r="C22" s="208" t="s">
        <v>166</v>
      </c>
      <c r="D22" s="29" t="str">
        <f>IF(UNMM0011_SQL_FREEWORD_3="",""," "&amp;UNMM0011_SQL_CONJUNCTION&amp;" V_SHAIN_LIST.FREEWD " &amp;IF(UNMM0011_SQL_FREEWD_KBN=3," NOT ","") &amp;"LIKE "&amp;"'%"&amp;UNMM0011_SQL_FREEWORD_3 &amp;"%'  ")</f>
        <v xml:space="preserve"> AND V_SHAIN_LIST.FREEWD LIKE '%--------------------------%'  </v>
      </c>
      <c r="E22" s="208" t="s">
        <v>137</v>
      </c>
    </row>
    <row r="23" spans="2:5" ht="27">
      <c r="C23" s="26" t="s">
        <v>138</v>
      </c>
      <c r="D23" s="207" t="s">
        <v>1847</v>
      </c>
      <c r="E23" s="26" t="s">
        <v>1452</v>
      </c>
    </row>
    <row r="24" spans="2:5" ht="27">
      <c r="C24" s="26" t="s">
        <v>1453</v>
      </c>
      <c r="D24" s="29" t="str">
        <f>" OFFSET "&amp;UNMM0011_B_PAGE_NO-1&amp;"*"&amp;UNMM0011_B_CTRL_HYOJI_GYO_SU&amp;" ROWS
 FETCH NEXT "&amp;UNMM0011_B_CTRL_HYOJI_GYO_SU&amp;" ROWS ONLY"</f>
        <v xml:space="preserve"> OFFSET 0*3 ROWS
 FETCH NEXT 3 ROWS ONLY</v>
      </c>
    </row>
    <row r="26" spans="2:5" ht="54">
      <c r="B26" s="208" t="s">
        <v>1454</v>
      </c>
      <c r="C26" s="26" t="s">
        <v>1455</v>
      </c>
      <c r="D26" s="207" t="s">
        <v>1840</v>
      </c>
    </row>
    <row r="27" spans="2:5" ht="94.5">
      <c r="B27" s="208" t="s">
        <v>1456</v>
      </c>
      <c r="C27" s="26" t="s">
        <v>1457</v>
      </c>
      <c r="D27" s="207" t="s">
        <v>1841</v>
      </c>
    </row>
    <row r="28" spans="2:5" ht="162.75" customHeight="1">
      <c r="C28" s="26" t="s">
        <v>1458</v>
      </c>
      <c r="D28" s="207" t="str">
        <f>D30&amp;D15&amp;D16&amp;D17&amp;D18&amp;D19</f>
        <v>SELECT M_SHAIN.*
  FROM M_SHAIN
  LEFT JOIN
       V_SHAIN_LIST
    ON V_SHAIN_LIST.SHAIN_CD = M_SHAIN.SHAIN_CD
 WHERE 1=1
AND V_SHAIN_LIST.SHAIN_CD = '--------------------------' AND V_SHAIN_LIST.BUSHO_CD = '--------------------------' AND V_SHAIN_LIST.SHIMEI = '--------------------------'    AND(
        1=1
 AND V_SHAIN_LIST.FREEWD LIKE '%--------------------------%'  
 AND V_SHAIN_LIST.FREEWD LIKE '%--------------------------%'  
 AND V_SHAIN_LIST.FREEWD LIKE '%--------------------------%'  
)</v>
      </c>
    </row>
    <row r="30" spans="2:5" ht="94.5">
      <c r="C30" s="26" t="s">
        <v>1641</v>
      </c>
      <c r="D30" s="29" t="s">
        <v>1642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A1:K14"/>
  <sheetViews>
    <sheetView showGridLines="0" showRowColHeaders="0" topLeftCell="E1" zoomScaleNormal="100" workbookViewId="0">
      <selection sqref="A1:D1"/>
    </sheetView>
  </sheetViews>
  <sheetFormatPr defaultRowHeight="16.5"/>
  <cols>
    <col min="1" max="1" width="16.875" style="163" hidden="1" customWidth="1"/>
    <col min="2" max="2" width="12.125" style="164" hidden="1" customWidth="1"/>
    <col min="3" max="4" width="9" style="163" hidden="1" customWidth="1"/>
    <col min="5" max="5" width="3.375" style="83" customWidth="1"/>
    <col min="6" max="10" width="11.75" style="83" customWidth="1"/>
    <col min="11" max="11" width="12" style="83" customWidth="1"/>
    <col min="12" max="12" width="5.5" style="83" customWidth="1"/>
    <col min="13" max="16384" width="9" style="83"/>
  </cols>
  <sheetData>
    <row r="1" spans="1:11" s="5" customFormat="1" ht="19.5">
      <c r="A1" s="18"/>
      <c r="B1" s="32"/>
      <c r="C1" s="18"/>
      <c r="D1" s="18"/>
      <c r="E1" s="5" t="s">
        <v>17</v>
      </c>
      <c r="H1" s="5" t="str">
        <f>IF(UNMM0010_IF_MODE=1,"【新規作成モード】",IF(UNMM0010_IF_MODE=2,"【修正モード】","【参照モード】"))</f>
        <v>【参照モード】</v>
      </c>
    </row>
    <row r="3" spans="1:11">
      <c r="A3" s="163" t="s">
        <v>126</v>
      </c>
      <c r="B3" s="164" t="s">
        <v>1459</v>
      </c>
      <c r="C3" s="163" t="s">
        <v>1460</v>
      </c>
      <c r="F3" s="17" t="s">
        <v>18</v>
      </c>
      <c r="G3" s="48"/>
      <c r="H3" s="3"/>
    </row>
    <row r="4" spans="1:11">
      <c r="A4" s="163" t="s">
        <v>40</v>
      </c>
      <c r="B4" s="164" t="s">
        <v>80</v>
      </c>
      <c r="C4" s="327"/>
      <c r="F4" s="17" t="s">
        <v>33</v>
      </c>
      <c r="G4" s="550"/>
      <c r="H4" s="550"/>
      <c r="I4" s="550"/>
    </row>
    <row r="5" spans="1:11">
      <c r="A5" s="38" t="s">
        <v>79</v>
      </c>
      <c r="B5" s="39" t="s">
        <v>1461</v>
      </c>
      <c r="C5" s="271"/>
      <c r="F5" s="17" t="s">
        <v>35</v>
      </c>
      <c r="G5" s="551"/>
      <c r="H5" s="551"/>
      <c r="I5" s="551"/>
    </row>
    <row r="6" spans="1:11">
      <c r="A6" s="163" t="s">
        <v>37</v>
      </c>
      <c r="B6" s="164" t="s">
        <v>81</v>
      </c>
      <c r="C6" s="271" t="b">
        <v>0</v>
      </c>
    </row>
    <row r="7" spans="1:11">
      <c r="A7" s="163" t="s">
        <v>109</v>
      </c>
      <c r="B7" s="164" t="s">
        <v>1462</v>
      </c>
      <c r="C7" s="40"/>
      <c r="F7" s="7" t="s">
        <v>19</v>
      </c>
    </row>
    <row r="8" spans="1:11">
      <c r="A8" s="163" t="s">
        <v>110</v>
      </c>
      <c r="B8" s="164" t="s">
        <v>1463</v>
      </c>
      <c r="C8" s="40"/>
    </row>
    <row r="9" spans="1:11">
      <c r="A9" s="163" t="s">
        <v>494</v>
      </c>
      <c r="B9" s="164" t="s">
        <v>1464</v>
      </c>
      <c r="C9" s="271"/>
    </row>
    <row r="10" spans="1:11">
      <c r="A10" s="163" t="s">
        <v>495</v>
      </c>
      <c r="B10" s="164" t="s">
        <v>1465</v>
      </c>
      <c r="C10" s="271" t="s">
        <v>1466</v>
      </c>
      <c r="I10" s="7" t="s">
        <v>6</v>
      </c>
    </row>
    <row r="11" spans="1:11">
      <c r="A11" s="163" t="s">
        <v>496</v>
      </c>
      <c r="B11" s="164" t="s">
        <v>1467</v>
      </c>
      <c r="C11" s="271"/>
    </row>
    <row r="12" spans="1:11">
      <c r="F12" s="7" t="s">
        <v>7</v>
      </c>
      <c r="G12" s="552" t="str">
        <f>IF(UNMM0010_INSERT_DATETIME="","",MID(UNMM0010_INSERT_DATETIME,3,4)&amp;"/"&amp;MID(UNMM0010_INSERT_DATETIME,8,2)&amp;"/"&amp;MID(UNMM0010_INSERT_DATETIME,11,2)&amp;" "&amp;MID(UNMM0010_INSERT_DATETIME,14,8))</f>
        <v/>
      </c>
      <c r="H12" s="553"/>
      <c r="I12" s="7" t="s">
        <v>8</v>
      </c>
      <c r="J12" s="552" t="str">
        <f>IF(UNMM0010_UPDATE_DATETIME="","",MID(UNMM0010_UPDATE_DATETIME,3,4)&amp;"/"&amp;MID(UNMM0010_UPDATE_DATETIME,8,2)&amp;"/"&amp;MID(UNMM0010_UPDATE_DATETIME,11,2)&amp;" "&amp;MID(UNMM0010_UPDATE_DATETIME,14,8))</f>
        <v/>
      </c>
      <c r="K12" s="553"/>
    </row>
    <row r="13" spans="1:11">
      <c r="F13" s="7"/>
    </row>
    <row r="14" spans="1:11">
      <c r="F14" s="7"/>
    </row>
  </sheetData>
  <sheetProtection sheet="1" objects="1" scenarios="1" selectLockedCells="1"/>
  <dataConsolidate/>
  <mergeCells count="4">
    <mergeCell ref="G4:I4"/>
    <mergeCell ref="G5:I5"/>
    <mergeCell ref="G12:H12"/>
    <mergeCell ref="J12:K12"/>
  </mergeCells>
  <phoneticPr fontId="2"/>
  <conditionalFormatting sqref="E1:XFD1">
    <cfRule type="expression" dxfId="67" priority="1">
      <formula>UNMM0010_IF_MODE=2</formula>
    </cfRule>
  </conditionalFormatting>
  <dataValidations count="2">
    <dataValidation type="textLength" operator="lessThanOrEqual" allowBlank="1" showInputMessage="1" showErrorMessage="1" sqref="G5:I5">
      <formula1>20</formula1>
    </dataValidation>
    <dataValidation type="custom" operator="lessThanOrEqual" allowBlank="1" showInputMessage="1" showErrorMessage="1" sqref="G3">
      <formula1>AND(LEN(G3)=LENB(G3),LEN(G3)&lt;=10)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0289" r:id="rId4" name="UNMM0010_Shape_MISHIYO_FLG">
              <controlPr defaultSize="0" autoFill="0" autoLine="0" autoPict="0">
                <anchor moveWithCells="1">
                  <from>
                    <xdr:col>9</xdr:col>
                    <xdr:colOff>0</xdr:colOff>
                    <xdr:row>8</xdr:row>
                    <xdr:rowOff>190500</xdr:rowOff>
                  </from>
                  <to>
                    <xdr:col>9</xdr:col>
                    <xdr:colOff>209550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B1:Q75"/>
  <sheetViews>
    <sheetView zoomScale="115" zoomScaleNormal="115" workbookViewId="0">
      <selection activeCell="L20" sqref="A20:L22"/>
    </sheetView>
  </sheetViews>
  <sheetFormatPr defaultRowHeight="13.5"/>
  <cols>
    <col min="1" max="1" width="2.375" style="130" customWidth="1"/>
    <col min="2" max="2" width="9.375" style="130" customWidth="1"/>
    <col min="3" max="3" width="9" style="130"/>
    <col min="4" max="4" width="4.75" style="130" customWidth="1"/>
    <col min="5" max="5" width="23.875" style="130" customWidth="1"/>
    <col min="6" max="6" width="18.375" style="129" customWidth="1"/>
    <col min="7" max="7" width="36.875" style="124" bestFit="1" customWidth="1"/>
    <col min="8" max="13" width="9" style="130"/>
    <col min="14" max="14" width="13.5" style="130" bestFit="1" customWidth="1"/>
    <col min="15" max="15" width="32.5" style="130" bestFit="1" customWidth="1"/>
    <col min="16" max="16" width="16.125" style="130" bestFit="1" customWidth="1"/>
    <col min="17" max="17" width="9.375" style="130" customWidth="1"/>
    <col min="18" max="16384" width="9" style="130"/>
  </cols>
  <sheetData>
    <row r="1" spans="4:17">
      <c r="D1" s="85" t="s">
        <v>111</v>
      </c>
      <c r="M1" s="85" t="s">
        <v>42</v>
      </c>
      <c r="O1" s="129"/>
      <c r="P1" s="124"/>
    </row>
    <row r="2" spans="4:17">
      <c r="D2" s="85"/>
      <c r="E2" s="130" t="s">
        <v>114</v>
      </c>
      <c r="F2" s="129" t="s">
        <v>1468</v>
      </c>
      <c r="M2" s="85"/>
      <c r="N2" s="130" t="s">
        <v>76</v>
      </c>
      <c r="O2" s="129"/>
      <c r="P2" s="124"/>
    </row>
    <row r="3" spans="4:17" ht="16.5">
      <c r="E3" s="47"/>
      <c r="F3" s="3"/>
      <c r="G3" s="83"/>
      <c r="N3" s="130" t="s">
        <v>895</v>
      </c>
      <c r="O3" s="129" t="s">
        <v>1469</v>
      </c>
      <c r="P3" s="131"/>
    </row>
    <row r="4" spans="4:17" ht="16.5">
      <c r="E4" s="550"/>
      <c r="F4" s="550"/>
      <c r="G4" s="550"/>
      <c r="N4" s="130" t="s">
        <v>746</v>
      </c>
      <c r="O4" s="129" t="s">
        <v>1470</v>
      </c>
      <c r="P4" s="277">
        <f ca="1">NOW()</f>
        <v>42991.659979282405</v>
      </c>
    </row>
    <row r="5" spans="4:17" ht="16.5">
      <c r="E5" s="551"/>
      <c r="F5" s="551"/>
      <c r="G5" s="551"/>
      <c r="N5" s="130" t="s">
        <v>645</v>
      </c>
      <c r="O5" s="129" t="s">
        <v>1471</v>
      </c>
      <c r="P5" s="277">
        <v>1</v>
      </c>
    </row>
    <row r="6" spans="4:17">
      <c r="N6" s="130" t="s">
        <v>702</v>
      </c>
      <c r="O6" s="129" t="s">
        <v>1472</v>
      </c>
      <c r="P6" s="131">
        <v>1</v>
      </c>
      <c r="Q6" s="130" t="s">
        <v>1473</v>
      </c>
    </row>
    <row r="7" spans="4:17">
      <c r="D7" s="85" t="s">
        <v>112</v>
      </c>
      <c r="N7" s="130" t="s">
        <v>20</v>
      </c>
      <c r="O7" s="129" t="s">
        <v>1474</v>
      </c>
      <c r="P7" s="249" t="str">
        <f>IF(UNMM0010_SHAIN_CD="","",UNMM0010_SHAIN_CD)</f>
        <v/>
      </c>
    </row>
    <row r="8" spans="4:17">
      <c r="D8" s="85"/>
      <c r="E8" s="130" t="s">
        <v>115</v>
      </c>
      <c r="F8" s="129" t="s">
        <v>1475</v>
      </c>
      <c r="N8" s="130" t="s">
        <v>40</v>
      </c>
      <c r="O8" s="129" t="s">
        <v>1476</v>
      </c>
      <c r="P8" s="249" t="str">
        <f>IF(OR(UNMM0010_BUSHO_CD=0,UNMM0010_BUSHO_MEI=""),"",UNMM0010_BUSHO_CD)</f>
        <v/>
      </c>
    </row>
    <row r="9" spans="4:17" ht="16.5">
      <c r="E9" s="48"/>
      <c r="F9" s="3"/>
      <c r="G9" s="83"/>
      <c r="N9" s="130" t="s">
        <v>38</v>
      </c>
      <c r="O9" s="129" t="s">
        <v>1477</v>
      </c>
      <c r="P9" s="131" t="str">
        <f>IF(UNMM0010_SHIMEI=0,"",UNMM0010_SHIMEI)</f>
        <v/>
      </c>
    </row>
    <row r="10" spans="4:17" ht="16.5">
      <c r="E10" s="550"/>
      <c r="F10" s="550"/>
      <c r="G10" s="550"/>
      <c r="N10" s="130" t="s">
        <v>79</v>
      </c>
      <c r="O10" s="129" t="s">
        <v>1478</v>
      </c>
      <c r="P10" s="131" t="str">
        <f>IF(UNMM0010_IF_IMG_SAVE_CHECK_FLG=FALSE,"",IF(UNMM0010_IF_IMG_SAVE_KIZON_FLG=TRUE,UNMM0010_IMG_PATH,IF(UNMM0010_IF_IMG_SAVE_UPDATE_FLG=1,UNMM0010_IF_IMG_SAVE_UPLOAD_PATH,"")))</f>
        <v/>
      </c>
    </row>
    <row r="11" spans="4:17" ht="16.5">
      <c r="E11" s="551"/>
      <c r="F11" s="551"/>
      <c r="G11" s="551"/>
      <c r="N11" s="130" t="s">
        <v>37</v>
      </c>
      <c r="O11" s="129" t="s">
        <v>1479</v>
      </c>
      <c r="P11" s="131" t="b">
        <f>IF(UNMM0010_MISHIYO_FLG=TRUE,TRUE,FALSE)</f>
        <v>0</v>
      </c>
    </row>
    <row r="12" spans="4:17">
      <c r="F12" s="130"/>
      <c r="G12" s="130"/>
      <c r="O12" s="129"/>
      <c r="P12" s="124"/>
    </row>
    <row r="13" spans="4:17">
      <c r="D13" s="85" t="s">
        <v>113</v>
      </c>
      <c r="F13" s="130"/>
      <c r="G13" s="130"/>
      <c r="N13" s="130" t="s">
        <v>46</v>
      </c>
      <c r="O13" s="129"/>
      <c r="P13" s="124"/>
      <c r="Q13" s="130" t="s">
        <v>47</v>
      </c>
    </row>
    <row r="14" spans="4:17">
      <c r="D14" s="85"/>
      <c r="E14" s="130" t="s">
        <v>116</v>
      </c>
      <c r="F14" s="129" t="s">
        <v>1480</v>
      </c>
      <c r="G14" s="130"/>
      <c r="N14" s="130" t="s">
        <v>75</v>
      </c>
      <c r="O14" s="129" t="s">
        <v>1481</v>
      </c>
      <c r="P14" s="131">
        <f>IF(UNMM0010_IF_SAVE_W_MODE=3,IF(UNMM0010_IF_SAVE_SHAIN_CD&lt;&gt;"",1,0),IF(AND(UNMM0010_IF_SAVE_SHAIN_CD&lt;&gt;"",UNMM0010_IF_SAVE_BUSHO_CD&lt;&gt;"",UNMM0010_IF_SAVE_SHIMEI&lt;&gt;""),1,0))</f>
        <v>0</v>
      </c>
    </row>
    <row r="15" spans="4:17" ht="16.5">
      <c r="E15" s="48"/>
      <c r="F15" s="3"/>
      <c r="G15" s="83"/>
    </row>
    <row r="16" spans="4:17" ht="16.5">
      <c r="E16" s="554"/>
      <c r="F16" s="554"/>
      <c r="G16" s="554"/>
      <c r="N16" s="130" t="s">
        <v>465</v>
      </c>
    </row>
    <row r="17" spans="4:17" ht="16.5">
      <c r="E17" s="554"/>
      <c r="F17" s="554"/>
      <c r="G17" s="554"/>
      <c r="N17" s="130" t="s">
        <v>466</v>
      </c>
      <c r="O17" s="129" t="s">
        <v>1482</v>
      </c>
      <c r="P17" s="51"/>
    </row>
    <row r="18" spans="4:17">
      <c r="N18" s="130" t="s">
        <v>467</v>
      </c>
      <c r="O18" s="129" t="s">
        <v>1483</v>
      </c>
      <c r="P18" s="51"/>
    </row>
    <row r="19" spans="4:17">
      <c r="N19" s="130" t="s">
        <v>468</v>
      </c>
      <c r="O19" s="129" t="s">
        <v>1484</v>
      </c>
      <c r="P19" s="51">
        <f>IF(UNMM0010_IF_SAVE_RESULT_CD=0,2,1)</f>
        <v>2</v>
      </c>
      <c r="Q19" s="130" t="s">
        <v>470</v>
      </c>
    </row>
    <row r="20" spans="4:17">
      <c r="D20" s="85" t="s">
        <v>171</v>
      </c>
      <c r="N20" s="130" t="s">
        <v>1485</v>
      </c>
      <c r="O20" s="129" t="s">
        <v>1486</v>
      </c>
      <c r="P20" s="51" t="str">
        <f>IF(UNMM0010_IF_SAVE_W_MODE=3,"削除に失敗しました。",
IF(ISERROR(VLOOKUP(UNMM0010_IF_SAVE_RESULT_CD,UNMM_COMMON_ERROR_MESSAGE_AREA,2,FALSE)),
"保存に失敗しました。入力内容を確認後、再度実行してください。",
VLOOKUP(UNMM0010_IF_SAVE_RESULT_CD,UNMM_COMMON_ERROR_MESSAGE_AREA,2,FALSE)))</f>
        <v>保存に失敗しました。入力内容を確認後、再度実行してください。</v>
      </c>
    </row>
    <row r="21" spans="4:17">
      <c r="E21" s="130" t="s">
        <v>172</v>
      </c>
      <c r="F21" s="129" t="s">
        <v>173</v>
      </c>
      <c r="G21" s="131"/>
      <c r="H21" s="130" t="s">
        <v>174</v>
      </c>
      <c r="I21" s="130" t="s">
        <v>175</v>
      </c>
    </row>
    <row r="25" spans="4:17">
      <c r="D25" s="85" t="s">
        <v>104</v>
      </c>
    </row>
    <row r="26" spans="4:17">
      <c r="E26" s="130" t="s">
        <v>105</v>
      </c>
      <c r="F26" s="129" t="s">
        <v>1487</v>
      </c>
      <c r="G26" s="131" t="s">
        <v>1488</v>
      </c>
    </row>
    <row r="27" spans="4:17">
      <c r="E27" s="130" t="s">
        <v>107</v>
      </c>
      <c r="F27" s="129" t="s">
        <v>1489</v>
      </c>
      <c r="G27" s="131">
        <v>5</v>
      </c>
    </row>
    <row r="28" spans="4:17">
      <c r="E28" s="130" t="s">
        <v>108</v>
      </c>
      <c r="F28" s="129" t="s">
        <v>1490</v>
      </c>
      <c r="G28" s="131">
        <v>7</v>
      </c>
    </row>
    <row r="29" spans="4:17">
      <c r="E29" s="130" t="s">
        <v>106</v>
      </c>
      <c r="F29" s="129" t="s">
        <v>1491</v>
      </c>
      <c r="G29" s="131"/>
    </row>
    <row r="31" spans="4:17">
      <c r="D31" s="85" t="s">
        <v>103</v>
      </c>
    </row>
    <row r="32" spans="4:17">
      <c r="E32" s="130" t="s">
        <v>39</v>
      </c>
      <c r="F32" s="129" t="s">
        <v>65</v>
      </c>
      <c r="G32" s="131">
        <v>0</v>
      </c>
      <c r="H32" s="23" t="s">
        <v>57</v>
      </c>
      <c r="I32" s="23" t="s">
        <v>55</v>
      </c>
      <c r="J32" s="23" t="s">
        <v>56</v>
      </c>
    </row>
    <row r="33" spans="4:10">
      <c r="G33" s="130"/>
      <c r="H33" s="23"/>
      <c r="I33" s="23"/>
      <c r="J33" s="23"/>
    </row>
    <row r="35" spans="4:10">
      <c r="D35" s="85" t="s">
        <v>41</v>
      </c>
      <c r="H35" s="85" t="s">
        <v>49</v>
      </c>
    </row>
    <row r="36" spans="4:10">
      <c r="E36" s="130" t="s">
        <v>43</v>
      </c>
      <c r="F36" s="129" t="s">
        <v>66</v>
      </c>
      <c r="G36" s="131" t="str">
        <f>IF(UNMM0010_IF_MODE=1,"-",IF(UNMM0010_IF_MODE=2,"修正キャンセル","修正"))</f>
        <v>修正</v>
      </c>
      <c r="H36" s="21" t="s">
        <v>58</v>
      </c>
      <c r="I36" s="130" t="s">
        <v>59</v>
      </c>
      <c r="J36" s="130" t="s">
        <v>60</v>
      </c>
    </row>
    <row r="37" spans="4:10">
      <c r="E37" s="130" t="s">
        <v>44</v>
      </c>
      <c r="F37" s="129" t="s">
        <v>67</v>
      </c>
      <c r="G37" s="131" t="str">
        <f>IF(UNMM0010_IF_MODE=1,"新規登録",IF(UNMM0010_IF_MODE=2,"保存","-"))</f>
        <v>-</v>
      </c>
      <c r="H37" s="130" t="s">
        <v>3</v>
      </c>
      <c r="I37" s="130" t="s">
        <v>61</v>
      </c>
      <c r="J37" s="21" t="s">
        <v>58</v>
      </c>
    </row>
    <row r="39" spans="4:10">
      <c r="D39" s="85" t="s">
        <v>48</v>
      </c>
      <c r="H39" s="85" t="s">
        <v>49</v>
      </c>
    </row>
    <row r="40" spans="4:10">
      <c r="E40" s="130" t="s">
        <v>43</v>
      </c>
      <c r="F40" s="129" t="s">
        <v>68</v>
      </c>
      <c r="G40" s="131">
        <f>IF(UNMM0010_IF_MODE=1,5,IF(UNMM0010_IF_MODE=2,0,0))</f>
        <v>0</v>
      </c>
      <c r="H40" s="130" t="s">
        <v>62</v>
      </c>
      <c r="I40" s="130" t="s">
        <v>167</v>
      </c>
      <c r="J40" s="130" t="s">
        <v>167</v>
      </c>
    </row>
    <row r="41" spans="4:10">
      <c r="E41" s="130" t="s">
        <v>44</v>
      </c>
      <c r="F41" s="129" t="s">
        <v>69</v>
      </c>
      <c r="G41" s="131">
        <f>IF(UNMM0010_IF_MODE=1,0,IF(UNMM0010_IF_MODE=2,0,5))</f>
        <v>5</v>
      </c>
      <c r="H41" s="130" t="s">
        <v>167</v>
      </c>
      <c r="I41" s="130" t="s">
        <v>167</v>
      </c>
      <c r="J41" s="130" t="s">
        <v>62</v>
      </c>
    </row>
    <row r="43" spans="4:10">
      <c r="D43" s="85" t="s">
        <v>45</v>
      </c>
      <c r="H43" s="85" t="s">
        <v>49</v>
      </c>
    </row>
    <row r="44" spans="4:10">
      <c r="E44" s="130" t="s">
        <v>50</v>
      </c>
      <c r="F44" s="129" t="s">
        <v>70</v>
      </c>
      <c r="G44" s="131">
        <f>IF(UNMM0010_IF_MODE=1,2,IF(UNMM0010_IF_MODE=2,1,1))</f>
        <v>1</v>
      </c>
      <c r="H44" s="130" t="s">
        <v>64</v>
      </c>
      <c r="I44" s="130" t="s">
        <v>63</v>
      </c>
      <c r="J44" s="130" t="s">
        <v>63</v>
      </c>
    </row>
    <row r="45" spans="4:10">
      <c r="E45" s="130" t="s">
        <v>43</v>
      </c>
      <c r="F45" s="129" t="s">
        <v>169</v>
      </c>
      <c r="G45" s="131">
        <f>IF(UNMM0010_IF_MODE=1,2,IF(UNMM0010_IF_MODE=2,1,1))</f>
        <v>1</v>
      </c>
      <c r="H45" s="130" t="s">
        <v>64</v>
      </c>
      <c r="I45" s="130" t="s">
        <v>63</v>
      </c>
      <c r="J45" s="130" t="s">
        <v>63</v>
      </c>
    </row>
    <row r="46" spans="4:10">
      <c r="E46" s="130" t="s">
        <v>44</v>
      </c>
      <c r="F46" s="129" t="s">
        <v>170</v>
      </c>
      <c r="G46" s="131">
        <f>IF(UNMM0010_IF_MODE=1,1,IF(UNMM0010_IF_MODE=2,1,2))</f>
        <v>2</v>
      </c>
      <c r="H46" s="130" t="s">
        <v>63</v>
      </c>
      <c r="I46" s="130" t="s">
        <v>63</v>
      </c>
      <c r="J46" s="130" t="s">
        <v>64</v>
      </c>
    </row>
    <row r="47" spans="4:10">
      <c r="E47" s="130" t="s">
        <v>51</v>
      </c>
      <c r="F47" s="129" t="s">
        <v>71</v>
      </c>
      <c r="G47" s="131">
        <f>IF(UNMM0010_IF_MODE=1,2,IF(UNMM0010_IF_MODE=2,1,2))</f>
        <v>2</v>
      </c>
      <c r="H47" s="130" t="s">
        <v>64</v>
      </c>
      <c r="I47" s="130" t="s">
        <v>63</v>
      </c>
      <c r="J47" s="130" t="s">
        <v>64</v>
      </c>
    </row>
    <row r="48" spans="4:10">
      <c r="E48" s="130" t="s">
        <v>52</v>
      </c>
      <c r="F48" s="129" t="s">
        <v>72</v>
      </c>
      <c r="G48" s="131">
        <f>IF(UNMM0010_IF_MODE=1,1,IF(UNMM0010_IF_MODE=2,1,2))</f>
        <v>2</v>
      </c>
      <c r="H48" s="130" t="s">
        <v>63</v>
      </c>
      <c r="I48" s="130" t="s">
        <v>63</v>
      </c>
      <c r="J48" s="130" t="s">
        <v>64</v>
      </c>
    </row>
    <row r="49" spans="2:10">
      <c r="E49" s="130" t="s">
        <v>53</v>
      </c>
      <c r="F49" s="129" t="s">
        <v>73</v>
      </c>
      <c r="G49" s="131">
        <f>IF(UNMM0010_IF_MODE=1,1,IF(UNMM0010_IF_MODE=2,1,2))</f>
        <v>2</v>
      </c>
      <c r="H49" s="130" t="s">
        <v>63</v>
      </c>
      <c r="I49" s="130" t="s">
        <v>63</v>
      </c>
      <c r="J49" s="130" t="s">
        <v>64</v>
      </c>
    </row>
    <row r="50" spans="2:10">
      <c r="E50" s="130" t="s">
        <v>54</v>
      </c>
      <c r="F50" s="129" t="s">
        <v>74</v>
      </c>
      <c r="G50" s="131">
        <f>IF(UNMM0010_IF_MODE=1,2,IF(UNMM0010_IF_MODE=2,1,1))</f>
        <v>1</v>
      </c>
      <c r="H50" s="130" t="s">
        <v>64</v>
      </c>
      <c r="I50" s="130" t="s">
        <v>63</v>
      </c>
      <c r="J50" s="130" t="s">
        <v>63</v>
      </c>
    </row>
    <row r="52" spans="2:10">
      <c r="B52" s="130" t="s">
        <v>1492</v>
      </c>
    </row>
    <row r="53" spans="2:10">
      <c r="B53" s="36" t="s">
        <v>1493</v>
      </c>
      <c r="D53" s="85" t="s">
        <v>83</v>
      </c>
    </row>
    <row r="54" spans="2:10" ht="56.25" customHeight="1">
      <c r="B54" s="49" t="s">
        <v>168</v>
      </c>
      <c r="C54" s="35" t="s">
        <v>85</v>
      </c>
      <c r="E54" s="85" t="s">
        <v>86</v>
      </c>
      <c r="F54" s="129" t="s">
        <v>1494</v>
      </c>
      <c r="G54" s="124" t="s">
        <v>1495</v>
      </c>
    </row>
    <row r="55" spans="2:10">
      <c r="B55" s="85" t="s">
        <v>99</v>
      </c>
      <c r="C55" s="35"/>
      <c r="E55" s="37"/>
    </row>
    <row r="56" spans="2:10">
      <c r="B56" s="85" t="s">
        <v>100</v>
      </c>
      <c r="C56" s="35"/>
      <c r="E56" s="37" t="s">
        <v>94</v>
      </c>
    </row>
    <row r="57" spans="2:10">
      <c r="C57" s="35"/>
      <c r="E57" s="37" t="s">
        <v>97</v>
      </c>
      <c r="F57" s="129" t="s">
        <v>1496</v>
      </c>
      <c r="G57" s="131"/>
    </row>
    <row r="58" spans="2:10">
      <c r="C58" s="35"/>
      <c r="E58" s="37" t="s">
        <v>98</v>
      </c>
      <c r="F58" s="129" t="s">
        <v>1497</v>
      </c>
      <c r="G58" s="131"/>
    </row>
    <row r="59" spans="2:10">
      <c r="C59" s="35"/>
      <c r="E59" s="37" t="s">
        <v>95</v>
      </c>
      <c r="F59" s="129" t="s">
        <v>1498</v>
      </c>
      <c r="G59" s="131" t="str">
        <f>IF(OR(UNMM0010_IF_IMG_SELECT_FOLDER="",UNMM0010_IF_IMG_SELECT_FILE=""),"",UNMM0010_IF_IMG_SELECT_FOLDER&amp;"\"&amp;UNMM0010_IF_IMG_SELECT_FILE)</f>
        <v/>
      </c>
    </row>
    <row r="60" spans="2:10">
      <c r="C60" s="35"/>
      <c r="E60" s="37"/>
    </row>
    <row r="61" spans="2:10">
      <c r="C61" s="35"/>
      <c r="E61" s="37"/>
    </row>
    <row r="62" spans="2:10">
      <c r="C62" s="35"/>
      <c r="E62" s="37" t="s">
        <v>93</v>
      </c>
    </row>
    <row r="63" spans="2:10">
      <c r="E63" s="130" t="s">
        <v>84</v>
      </c>
      <c r="F63" s="129" t="s">
        <v>1499</v>
      </c>
      <c r="G63" s="131" t="str">
        <f>"C:\uniss\image\tanto_mark\"</f>
        <v>C:\uniss\image\tanto_mark\</v>
      </c>
    </row>
    <row r="64" spans="2:10">
      <c r="E64" s="130" t="s">
        <v>88</v>
      </c>
      <c r="F64" s="129" t="s">
        <v>1500</v>
      </c>
      <c r="G64" s="131" t="str">
        <f>"C:\dbsc_2015_UNISS\image\tanto_mark\"</f>
        <v>C:\dbsc_2015_UNISS\image\tanto_mark\</v>
      </c>
    </row>
    <row r="65" spans="5:8">
      <c r="G65" s="130"/>
    </row>
    <row r="66" spans="5:8">
      <c r="E66" s="130" t="s">
        <v>87</v>
      </c>
      <c r="F66" s="129" t="s">
        <v>1501</v>
      </c>
      <c r="G66" s="131" t="b">
        <f>IF(UNMM0010_IMG_PATH="",FALSE,TRUE)</f>
        <v>0</v>
      </c>
      <c r="H66" s="130" t="s">
        <v>92</v>
      </c>
    </row>
    <row r="67" spans="5:8">
      <c r="G67" s="130"/>
    </row>
    <row r="68" spans="5:8">
      <c r="E68" s="130" t="s">
        <v>1502</v>
      </c>
      <c r="F68" s="129" t="s">
        <v>1503</v>
      </c>
      <c r="G68" s="131" t="str">
        <f>UNMM0010_IF_IMG_SAVE_UPLOAD_FOLDER_PATH&amp;UNMM0010_IF_SAVE_SHAIN_CD&amp;"_mark_img.jpg"</f>
        <v>C:\uniss\image\tanto_mark\_mark_img.jpg</v>
      </c>
    </row>
    <row r="69" spans="5:8">
      <c r="E69" s="130" t="s">
        <v>89</v>
      </c>
      <c r="F69" s="129" t="s">
        <v>1504</v>
      </c>
      <c r="G69" s="131" t="str">
        <f>UNMM0010_IF_IMG_SAVE_LOCAL_FOLDER_PATH&amp;UNMM0010_IF_SAVE_SHAIN_CD&amp;"_mark_img.jpg"</f>
        <v>C:\dbsc_2015_UNISS\image\tanto_mark\_mark_img.jpg</v>
      </c>
    </row>
    <row r="70" spans="5:8">
      <c r="G70" s="130"/>
    </row>
    <row r="71" spans="5:8">
      <c r="E71" s="130" t="s">
        <v>90</v>
      </c>
      <c r="F71" s="129" t="s">
        <v>1505</v>
      </c>
      <c r="G71" s="131">
        <v>2</v>
      </c>
      <c r="H71" s="130" t="s">
        <v>1506</v>
      </c>
    </row>
    <row r="72" spans="5:8">
      <c r="G72" s="130"/>
    </row>
    <row r="73" spans="5:8">
      <c r="E73" s="130" t="s">
        <v>96</v>
      </c>
      <c r="F73" s="129" t="s">
        <v>1507</v>
      </c>
      <c r="G73" s="131" t="b">
        <f>IF(OR(UNMM0010_IF_IMG_SAVE_KIZON_FLG=TRUE,UNMM0010_IF_IMG_SAVE_UPDATE_FLG=1),TRUE,FALSE)</f>
        <v>0</v>
      </c>
      <c r="H73" s="130" t="s">
        <v>91</v>
      </c>
    </row>
    <row r="75" spans="5:8">
      <c r="E75" s="130" t="s">
        <v>929</v>
      </c>
      <c r="F75" s="129" t="s">
        <v>1528</v>
      </c>
      <c r="G75" s="51" t="str">
        <f ca="1">"社員マスタメンテ画面_"&amp;UNMM0010_SHAIN_CD&amp;"_"&amp;TEXT(NOW(),"YYYYMMDD")</f>
        <v>社員マスタメンテ画面__20170913</v>
      </c>
    </row>
  </sheetData>
  <mergeCells count="6">
    <mergeCell ref="E17:G17"/>
    <mergeCell ref="E4:G4"/>
    <mergeCell ref="E5:G5"/>
    <mergeCell ref="E10:G10"/>
    <mergeCell ref="E11:G11"/>
    <mergeCell ref="E16:G16"/>
  </mergeCells>
  <phoneticPr fontId="2"/>
  <dataValidations count="2">
    <dataValidation type="custom" operator="lessThanOrEqual" allowBlank="1" showInputMessage="1" showErrorMessage="1" sqref="E3 E9 E15">
      <formula1>AND(LEN(E3)=LENB(E3),LEN(E3)&lt;=10)</formula1>
    </dataValidation>
    <dataValidation type="textLength" operator="lessThanOrEqual" allowBlank="1" showInputMessage="1" showErrorMessage="1" sqref="E5:G5 E17:G17 E11:G11">
      <formula1>20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B1:D8"/>
  <sheetViews>
    <sheetView workbookViewId="0">
      <selection activeCell="D8" sqref="D8"/>
    </sheetView>
  </sheetViews>
  <sheetFormatPr defaultRowHeight="13.5"/>
  <cols>
    <col min="1" max="1" width="9" style="208"/>
    <col min="2" max="2" width="24.25" style="208" bestFit="1" customWidth="1"/>
    <col min="3" max="3" width="19" style="26" customWidth="1"/>
    <col min="4" max="4" width="73.875" style="29" customWidth="1"/>
    <col min="5" max="16384" width="9" style="208"/>
  </cols>
  <sheetData>
    <row r="1" spans="2:4">
      <c r="C1" s="34" t="s">
        <v>20</v>
      </c>
      <c r="D1" s="29">
        <f>UNMM0010_SHAIN_CD</f>
        <v>0</v>
      </c>
    </row>
    <row r="3" spans="2:4" ht="33" customHeight="1">
      <c r="B3" s="25" t="s">
        <v>77</v>
      </c>
      <c r="C3" s="26" t="s">
        <v>1508</v>
      </c>
      <c r="D3" s="207" t="str">
        <f>D4&amp;D5</f>
        <v>SELECT *
  FROM V_SHAIN_DATA
 WHERE V_SHAIN_DATA.SHAIN_CD = '0'</v>
      </c>
    </row>
    <row r="4" spans="2:4" ht="25.5" customHeight="1">
      <c r="C4" s="208" t="s">
        <v>1509</v>
      </c>
      <c r="D4" s="29" t="s">
        <v>1510</v>
      </c>
    </row>
    <row r="5" spans="2:4" ht="25.5" customHeight="1">
      <c r="C5" s="208" t="s">
        <v>154</v>
      </c>
      <c r="D5" s="29" t="str">
        <f>" WHERE V_SHAIN_DATA.SHAIN_CD = '"&amp;D1&amp;"'"</f>
        <v xml:space="preserve"> WHERE V_SHAIN_DATA.SHAIN_CD = '0'</v>
      </c>
    </row>
    <row r="7" spans="2:4" ht="40.5">
      <c r="B7" s="25" t="s">
        <v>82</v>
      </c>
      <c r="C7" s="26" t="s">
        <v>1511</v>
      </c>
      <c r="D7" s="207" t="str">
        <f>D8</f>
        <v>DELETE
  FROM M_SHAIN
 WHERE M_SHAIN.SHAIN_CD = '0'</v>
      </c>
    </row>
    <row r="8" spans="2:4" ht="40.5">
      <c r="C8" s="208" t="s">
        <v>1512</v>
      </c>
      <c r="D8" s="29" t="str">
        <f>"DELETE
  FROM M_SHAIN
 WHERE M_SHAIN.SHAIN_CD = '"&amp;D1&amp;"'"</f>
        <v>DELETE
  FROM M_SHAIN
 WHERE M_SHAIN.SHAIN_CD = '0'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>
    <tabColor rgb="FFFFFF00"/>
  </sheetPr>
  <dimension ref="A1:S16"/>
  <sheetViews>
    <sheetView showGridLines="0" showRowColHeaders="0" topLeftCell="I1" zoomScaleNormal="100" workbookViewId="0">
      <selection sqref="A1:H1"/>
    </sheetView>
  </sheetViews>
  <sheetFormatPr defaultColWidth="3.375" defaultRowHeight="16.5"/>
  <cols>
    <col min="1" max="1" width="16.875" style="84" hidden="1" customWidth="1"/>
    <col min="2" max="2" width="16.375" style="84" hidden="1" customWidth="1"/>
    <col min="3" max="3" width="10.125" style="84" hidden="1" customWidth="1"/>
    <col min="4" max="4" width="8.5" style="84" hidden="1" customWidth="1"/>
    <col min="5" max="8" width="3.375" style="84" hidden="1" customWidth="1"/>
    <col min="9" max="9" width="10" style="83" customWidth="1"/>
    <col min="10" max="10" width="4.5" style="83" customWidth="1"/>
    <col min="11" max="11" width="13.75" style="83" customWidth="1"/>
    <col min="12" max="12" width="3.375" style="83"/>
    <col min="13" max="13" width="13.75" style="83" customWidth="1"/>
    <col min="14" max="14" width="3.375" style="83"/>
    <col min="15" max="15" width="13.75" style="83" customWidth="1"/>
    <col min="16" max="16" width="3.375" style="83"/>
    <col min="17" max="17" width="10.625" style="83" customWidth="1"/>
    <col min="18" max="18" width="3.375" style="83"/>
    <col min="19" max="19" width="10.625" style="83" customWidth="1"/>
    <col min="20" max="16384" width="3.375" style="83"/>
  </cols>
  <sheetData>
    <row r="1" spans="1:19" s="5" customFormat="1" ht="19.5">
      <c r="A1" s="18"/>
      <c r="B1" s="18"/>
      <c r="C1" s="18"/>
      <c r="D1" s="18"/>
      <c r="E1" s="18"/>
      <c r="F1" s="18"/>
      <c r="G1" s="18"/>
      <c r="H1" s="18"/>
      <c r="I1" s="5" t="s">
        <v>566</v>
      </c>
    </row>
    <row r="2" spans="1:19">
      <c r="A2" s="163" t="s">
        <v>126</v>
      </c>
      <c r="B2" s="164" t="s">
        <v>1150</v>
      </c>
      <c r="C2" s="163" t="s">
        <v>1151</v>
      </c>
      <c r="D2" s="163"/>
      <c r="E2" s="163"/>
      <c r="F2" s="163"/>
      <c r="G2" s="163"/>
      <c r="H2" s="163"/>
    </row>
    <row r="3" spans="1:19">
      <c r="A3" s="195" t="s">
        <v>567</v>
      </c>
      <c r="B3" s="196" t="s">
        <v>1152</v>
      </c>
      <c r="C3" s="165"/>
      <c r="D3" s="163"/>
      <c r="E3" s="163"/>
      <c r="F3" s="163"/>
      <c r="G3" s="163"/>
      <c r="H3" s="163"/>
      <c r="J3" s="7" t="s">
        <v>1153</v>
      </c>
      <c r="K3" s="431"/>
      <c r="L3" s="12"/>
      <c r="N3" s="7" t="s">
        <v>553</v>
      </c>
      <c r="O3" s="432"/>
      <c r="Q3" s="83" t="s">
        <v>118</v>
      </c>
      <c r="R3" s="7"/>
    </row>
    <row r="4" spans="1:19">
      <c r="A4" s="163" t="s">
        <v>37</v>
      </c>
      <c r="B4" s="164" t="s">
        <v>1154</v>
      </c>
      <c r="C4" s="165" t="b">
        <v>0</v>
      </c>
      <c r="D4" s="163"/>
      <c r="E4" s="163"/>
      <c r="F4" s="163"/>
      <c r="G4" s="163"/>
      <c r="H4" s="163"/>
      <c r="J4" s="7" t="s">
        <v>1155</v>
      </c>
      <c r="K4" s="272"/>
      <c r="L4" s="255" t="str">
        <f>IF(UNMM0021_H_FREEWD_KBN=1,"AND",IF(UNMM0021_H_FREEWD_KBN=2,"OR","NAND"))</f>
        <v>AND</v>
      </c>
      <c r="M4" s="272"/>
      <c r="N4" s="255" t="str">
        <f>IF(UNMM0021_H_FREEWD_KBN=1,"AND",IF(UNMM0021_H_FREEWD_KBN=2,"OR","NAND"))</f>
        <v>AND</v>
      </c>
      <c r="O4" s="272"/>
    </row>
    <row r="5" spans="1:19">
      <c r="A5" s="163" t="s">
        <v>511</v>
      </c>
      <c r="B5" s="164" t="s">
        <v>1156</v>
      </c>
      <c r="C5" s="165" t="b">
        <v>1</v>
      </c>
      <c r="D5" s="163"/>
      <c r="E5" s="163"/>
      <c r="F5" s="163"/>
      <c r="G5" s="163"/>
      <c r="H5" s="163"/>
      <c r="J5" s="7"/>
    </row>
    <row r="6" spans="1:19">
      <c r="A6" s="163" t="s">
        <v>514</v>
      </c>
      <c r="B6" s="164" t="s">
        <v>1157</v>
      </c>
      <c r="C6" s="165" t="b">
        <v>1</v>
      </c>
      <c r="D6" s="163"/>
      <c r="E6" s="163"/>
      <c r="F6" s="163"/>
      <c r="G6" s="163"/>
      <c r="H6" s="163"/>
      <c r="J6" s="7" t="s">
        <v>537</v>
      </c>
      <c r="K6" s="489" t="s">
        <v>1158</v>
      </c>
      <c r="L6" s="490"/>
      <c r="M6" s="491" t="s">
        <v>176</v>
      </c>
      <c r="N6" s="492"/>
      <c r="O6" s="492" t="s">
        <v>1159</v>
      </c>
      <c r="P6" s="492"/>
      <c r="Q6" s="492" t="s">
        <v>1160</v>
      </c>
      <c r="R6" s="490"/>
      <c r="S6" s="493" t="s">
        <v>1161</v>
      </c>
    </row>
    <row r="7" spans="1:19">
      <c r="A7" s="163" t="s">
        <v>568</v>
      </c>
      <c r="B7" s="164" t="s">
        <v>1162</v>
      </c>
      <c r="C7" s="165" t="b">
        <v>1</v>
      </c>
      <c r="D7" s="163"/>
      <c r="E7" s="163"/>
      <c r="F7" s="163"/>
      <c r="G7" s="163"/>
      <c r="H7" s="163"/>
      <c r="K7" s="494" t="s">
        <v>1163</v>
      </c>
      <c r="L7" s="495"/>
      <c r="M7" s="496" t="s">
        <v>569</v>
      </c>
      <c r="N7" s="497"/>
      <c r="O7" s="497" t="s">
        <v>1164</v>
      </c>
      <c r="P7" s="497"/>
      <c r="Q7" s="497" t="s">
        <v>1165</v>
      </c>
      <c r="R7" s="495"/>
      <c r="S7" s="498"/>
    </row>
    <row r="8" spans="1:19">
      <c r="A8" s="163" t="s">
        <v>518</v>
      </c>
      <c r="B8" s="164" t="s">
        <v>1166</v>
      </c>
      <c r="C8" s="165" t="b">
        <v>1</v>
      </c>
      <c r="D8" s="163"/>
      <c r="E8" s="163"/>
      <c r="F8" s="163"/>
      <c r="G8" s="163"/>
      <c r="H8" s="163"/>
    </row>
    <row r="9" spans="1:19">
      <c r="A9" s="163" t="s">
        <v>953</v>
      </c>
      <c r="B9" s="164" t="s">
        <v>1167</v>
      </c>
      <c r="C9" s="165" t="b">
        <v>1</v>
      </c>
      <c r="D9" s="163"/>
      <c r="E9" s="163"/>
      <c r="F9" s="163"/>
      <c r="G9" s="163"/>
      <c r="H9" s="163"/>
    </row>
    <row r="10" spans="1:19">
      <c r="A10" s="163" t="s">
        <v>521</v>
      </c>
      <c r="B10" s="164" t="s">
        <v>1168</v>
      </c>
      <c r="C10" s="165" t="b">
        <v>1</v>
      </c>
      <c r="D10" s="163"/>
      <c r="E10" s="163"/>
      <c r="F10" s="163"/>
      <c r="G10" s="163"/>
      <c r="H10" s="163"/>
    </row>
    <row r="11" spans="1:19">
      <c r="A11" s="163" t="s">
        <v>523</v>
      </c>
      <c r="B11" s="164" t="s">
        <v>1169</v>
      </c>
      <c r="C11" s="165" t="b">
        <v>1</v>
      </c>
      <c r="D11" s="163"/>
      <c r="E11" s="163"/>
      <c r="F11" s="163"/>
      <c r="G11" s="163"/>
      <c r="H11" s="163"/>
    </row>
    <row r="12" spans="1:19">
      <c r="A12" s="163" t="s">
        <v>524</v>
      </c>
      <c r="B12" s="164" t="s">
        <v>1170</v>
      </c>
      <c r="C12" s="165" t="b">
        <v>1</v>
      </c>
      <c r="D12" s="163"/>
      <c r="E12" s="163"/>
      <c r="F12" s="163"/>
      <c r="G12" s="163"/>
      <c r="H12" s="163"/>
    </row>
    <row r="13" spans="1:19">
      <c r="A13" s="163" t="s">
        <v>960</v>
      </c>
      <c r="B13" s="164" t="s">
        <v>1171</v>
      </c>
      <c r="C13" s="165" t="b">
        <v>1</v>
      </c>
      <c r="D13" s="163"/>
      <c r="E13" s="163"/>
      <c r="F13" s="163"/>
      <c r="G13" s="163"/>
      <c r="H13" s="163"/>
    </row>
    <row r="14" spans="1:19">
      <c r="A14" s="163" t="s">
        <v>119</v>
      </c>
      <c r="B14" s="164" t="s">
        <v>1172</v>
      </c>
      <c r="C14" s="165">
        <v>1</v>
      </c>
      <c r="D14" s="163" t="s">
        <v>1173</v>
      </c>
      <c r="E14" s="163"/>
      <c r="F14" s="163"/>
      <c r="G14" s="163"/>
      <c r="H14" s="163"/>
    </row>
    <row r="15" spans="1:19">
      <c r="A15" s="163" t="s">
        <v>494</v>
      </c>
      <c r="B15" s="164" t="s">
        <v>1174</v>
      </c>
      <c r="C15" s="165"/>
    </row>
    <row r="16" spans="1:19">
      <c r="A16" s="163" t="s">
        <v>495</v>
      </c>
      <c r="B16" s="164" t="s">
        <v>1175</v>
      </c>
      <c r="C16" s="165" t="str">
        <f>ADDRESS(ROW(A1),COLUMN(A1))&amp;":"&amp;ADDRESS(ROW(H1),COLUMN(H1))</f>
        <v>$A$1:$H$1</v>
      </c>
    </row>
  </sheetData>
  <sheetProtection sheet="1" objects="1" scenarios="1" selectLockedCells="1"/>
  <phoneticPr fontId="2"/>
  <conditionalFormatting sqref="K3">
    <cfRule type="expression" priority="1">
      <formula>LEN(UNMM0021_H_AITE_CD)=LENB(UNMM0021_H_AITE_CD)=10</formula>
    </cfRule>
  </conditionalFormatting>
  <dataValidations count="1">
    <dataValidation type="custom" allowBlank="1" showInputMessage="1" showErrorMessage="1" sqref="K3">
      <formula1>AND(LEN(K3)=LENB(K3),LEN(K3)=10)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1089" r:id="rId4" name="Check Box 1">
              <controlPr defaultSize="0" autoFill="0" autoLine="0" autoPict="0">
                <anchor moveWithCells="1">
                  <from>
                    <xdr:col>10</xdr:col>
                    <xdr:colOff>38100</xdr:colOff>
                    <xdr:row>5</xdr:row>
                    <xdr:rowOff>9525</xdr:rowOff>
                  </from>
                  <to>
                    <xdr:col>10</xdr:col>
                    <xdr:colOff>219075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90" r:id="rId5" name="Check Box 2">
              <controlPr defaultSize="0" autoFill="0" autoLine="0" autoPict="0">
                <anchor moveWithCells="1">
                  <from>
                    <xdr:col>10</xdr:col>
                    <xdr:colOff>38100</xdr:colOff>
                    <xdr:row>6</xdr:row>
                    <xdr:rowOff>9525</xdr:rowOff>
                  </from>
                  <to>
                    <xdr:col>10</xdr:col>
                    <xdr:colOff>219075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91" r:id="rId6" name="Check Box 3">
              <controlPr defaultSize="0" autoFill="0" autoLine="0" autoPict="0">
                <anchor moveWithCells="1">
                  <from>
                    <xdr:col>11</xdr:col>
                    <xdr:colOff>28575</xdr:colOff>
                    <xdr:row>5</xdr:row>
                    <xdr:rowOff>9525</xdr:rowOff>
                  </from>
                  <to>
                    <xdr:col>11</xdr:col>
                    <xdr:colOff>209550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92" r:id="rId7" name="Check Box 4">
              <controlPr defaultSize="0" autoFill="0" autoLine="0" autoPict="0">
                <anchor moveWithCells="1">
                  <from>
                    <xdr:col>11</xdr:col>
                    <xdr:colOff>28575</xdr:colOff>
                    <xdr:row>6</xdr:row>
                    <xdr:rowOff>9525</xdr:rowOff>
                  </from>
                  <to>
                    <xdr:col>11</xdr:col>
                    <xdr:colOff>209550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93" r:id="rId8" name="Check Box 5">
              <controlPr defaultSize="0" autoFill="0" autoLine="0" autoPict="0">
                <anchor moveWithCells="1">
                  <from>
                    <xdr:col>13</xdr:col>
                    <xdr:colOff>19050</xdr:colOff>
                    <xdr:row>5</xdr:row>
                    <xdr:rowOff>0</xdr:rowOff>
                  </from>
                  <to>
                    <xdr:col>13</xdr:col>
                    <xdr:colOff>200025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94" r:id="rId9" name="Check Box 6">
              <controlPr defaultSize="0" autoFill="0" autoLine="0" autoPict="0">
                <anchor moveWithCells="1">
                  <from>
                    <xdr:col>13</xdr:col>
                    <xdr:colOff>19050</xdr:colOff>
                    <xdr:row>6</xdr:row>
                    <xdr:rowOff>19050</xdr:rowOff>
                  </from>
                  <to>
                    <xdr:col>13</xdr:col>
                    <xdr:colOff>200025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95" r:id="rId10" name="Check Box 7">
              <controlPr defaultSize="0" autoFill="0" autoLine="0" autoPict="0">
                <anchor moveWithCells="1">
                  <from>
                    <xdr:col>15</xdr:col>
                    <xdr:colOff>19050</xdr:colOff>
                    <xdr:row>5</xdr:row>
                    <xdr:rowOff>9525</xdr:rowOff>
                  </from>
                  <to>
                    <xdr:col>15</xdr:col>
                    <xdr:colOff>200025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96" r:id="rId11" name="Check Box 8">
              <controlPr defaultSize="0" autoFill="0" autoLine="0" autoPict="0">
                <anchor moveWithCells="1">
                  <from>
                    <xdr:col>15</xdr:col>
                    <xdr:colOff>19050</xdr:colOff>
                    <xdr:row>6</xdr:row>
                    <xdr:rowOff>9525</xdr:rowOff>
                  </from>
                  <to>
                    <xdr:col>15</xdr:col>
                    <xdr:colOff>200025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97" r:id="rId12" name="Check Box 9">
              <controlPr defaultSize="0" autoFill="0" autoLine="0" autoPict="0">
                <anchor moveWithCells="1">
                  <from>
                    <xdr:col>17</xdr:col>
                    <xdr:colOff>28575</xdr:colOff>
                    <xdr:row>5</xdr:row>
                    <xdr:rowOff>9525</xdr:rowOff>
                  </from>
                  <to>
                    <xdr:col>17</xdr:col>
                    <xdr:colOff>209550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98" r:id="rId13" name="Check Box 10">
              <controlPr defaultSize="0" autoFill="0" autoLine="0" autoPict="0">
                <anchor moveWithCells="1">
                  <from>
                    <xdr:col>15</xdr:col>
                    <xdr:colOff>85725</xdr:colOff>
                    <xdr:row>1</xdr:row>
                    <xdr:rowOff>180975</xdr:rowOff>
                  </from>
                  <to>
                    <xdr:col>16</xdr:col>
                    <xdr:colOff>57150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99" r:id="rId14" name="Option Button 11">
              <controlPr defaultSize="0" autoFill="0" autoLine="0" autoPict="0" altText="AND">
                <anchor moveWithCells="1">
                  <from>
                    <xdr:col>15</xdr:col>
                    <xdr:colOff>57150</xdr:colOff>
                    <xdr:row>3</xdr:row>
                    <xdr:rowOff>28575</xdr:rowOff>
                  </from>
                  <to>
                    <xdr:col>16</xdr:col>
                    <xdr:colOff>285750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100" r:id="rId15" name="Option Button 12">
              <controlPr defaultSize="0" autoFill="0" autoLine="0" autoPict="0">
                <anchor moveWithCells="1">
                  <from>
                    <xdr:col>16</xdr:col>
                    <xdr:colOff>304800</xdr:colOff>
                    <xdr:row>3</xdr:row>
                    <xdr:rowOff>28575</xdr:rowOff>
                  </from>
                  <to>
                    <xdr:col>16</xdr:col>
                    <xdr:colOff>752475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101" r:id="rId16" name="Option Button 13">
              <controlPr defaultSize="0" autoFill="0" autoLine="0" autoPict="0" altText="AND">
                <anchor moveWithCells="1">
                  <from>
                    <xdr:col>16</xdr:col>
                    <xdr:colOff>723900</xdr:colOff>
                    <xdr:row>3</xdr:row>
                    <xdr:rowOff>28575</xdr:rowOff>
                  </from>
                  <to>
                    <xdr:col>18</xdr:col>
                    <xdr:colOff>219075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AH25"/>
  <sheetViews>
    <sheetView showGridLines="0" showRowColHeaders="0" topLeftCell="G1" zoomScaleNormal="100" workbookViewId="0">
      <selection sqref="A1:F1 AE2:AH2"/>
    </sheetView>
  </sheetViews>
  <sheetFormatPr defaultRowHeight="16.5"/>
  <cols>
    <col min="1" max="1" width="15.625" style="84" hidden="1" customWidth="1"/>
    <col min="2" max="2" width="34.25" style="84" hidden="1" customWidth="1"/>
    <col min="3" max="3" width="16.75" style="84" hidden="1" customWidth="1"/>
    <col min="4" max="6" width="9" style="84" hidden="1" customWidth="1"/>
    <col min="7" max="7" width="3.375" style="83" customWidth="1"/>
    <col min="8" max="8" width="5" style="346" bestFit="1" customWidth="1"/>
    <col min="9" max="17" width="5" style="346" customWidth="1"/>
    <col min="18" max="18" width="13" style="346" bestFit="1" customWidth="1"/>
    <col min="19" max="19" width="32.125" style="346" customWidth="1"/>
    <col min="20" max="20" width="13.125" style="346" customWidth="1"/>
    <col min="21" max="21" width="9.625" style="346" bestFit="1" customWidth="1"/>
    <col min="22" max="23" width="30.5" style="346" customWidth="1"/>
    <col min="24" max="25" width="15.625" style="346" bestFit="1" customWidth="1"/>
    <col min="26" max="26" width="16.625" style="346" customWidth="1"/>
    <col min="27" max="28" width="11.625" style="346" customWidth="1"/>
    <col min="29" max="29" width="53" style="346" customWidth="1"/>
    <col min="30" max="30" width="6.375" style="346" bestFit="1" customWidth="1"/>
    <col min="31" max="31" width="3.375" style="83" hidden="1" customWidth="1"/>
    <col min="32" max="34" width="9" style="83" hidden="1" customWidth="1"/>
    <col min="35" max="42" width="9" style="83" customWidth="1"/>
    <col min="43" max="16384" width="9" style="83"/>
  </cols>
  <sheetData>
    <row r="1" spans="1:30">
      <c r="A1" s="163" t="s">
        <v>122</v>
      </c>
      <c r="B1" s="163" t="s">
        <v>1099</v>
      </c>
      <c r="C1" s="165">
        <v>0</v>
      </c>
      <c r="D1" s="163"/>
      <c r="E1" s="163"/>
      <c r="F1" s="163"/>
      <c r="G1" s="171" t="str">
        <f>"("&amp;UNMM0021_B_PAGE_NO&amp;"/"&amp;UNMM0021_B_ALL_PEGE_SU&amp;")"</f>
        <v>(1/1)</v>
      </c>
      <c r="H1" s="347"/>
      <c r="I1" s="347"/>
      <c r="J1" s="347"/>
      <c r="K1" s="348"/>
      <c r="L1" s="348"/>
      <c r="M1" s="348"/>
      <c r="N1" s="348"/>
      <c r="O1" s="348"/>
      <c r="P1" s="348"/>
      <c r="Q1" s="348"/>
      <c r="R1" s="348"/>
      <c r="S1" s="348"/>
      <c r="T1" s="348"/>
      <c r="U1" s="348"/>
      <c r="V1" s="348"/>
      <c r="W1" s="348"/>
      <c r="X1" s="348"/>
      <c r="Y1" s="348"/>
      <c r="Z1" s="348"/>
      <c r="AA1" s="348"/>
      <c r="AB1" s="348"/>
      <c r="AC1" s="348"/>
      <c r="AD1" s="348"/>
    </row>
    <row r="2" spans="1:30">
      <c r="A2" s="163" t="s">
        <v>123</v>
      </c>
      <c r="B2" s="163" t="s">
        <v>1100</v>
      </c>
      <c r="C2" s="165">
        <v>1</v>
      </c>
      <c r="D2" s="163"/>
      <c r="E2" s="163"/>
      <c r="F2" s="163"/>
      <c r="G2" s="197"/>
      <c r="H2" s="349" t="s">
        <v>15</v>
      </c>
      <c r="I2" s="349" t="s">
        <v>570</v>
      </c>
      <c r="J2" s="349" t="s">
        <v>571</v>
      </c>
      <c r="K2" s="349" t="s">
        <v>572</v>
      </c>
      <c r="L2" s="349" t="s">
        <v>573</v>
      </c>
      <c r="M2" s="349" t="s">
        <v>1101</v>
      </c>
      <c r="N2" s="349" t="s">
        <v>574</v>
      </c>
      <c r="O2" s="349" t="s">
        <v>575</v>
      </c>
      <c r="P2" s="349" t="s">
        <v>576</v>
      </c>
      <c r="Q2" s="349" t="s">
        <v>1102</v>
      </c>
      <c r="R2" s="349" t="s">
        <v>577</v>
      </c>
      <c r="S2" s="349" t="s">
        <v>578</v>
      </c>
      <c r="T2" s="349" t="s">
        <v>579</v>
      </c>
      <c r="U2" s="349" t="s">
        <v>580</v>
      </c>
      <c r="V2" s="349" t="s">
        <v>581</v>
      </c>
      <c r="W2" s="349" t="s">
        <v>582</v>
      </c>
      <c r="X2" s="349" t="s">
        <v>1103</v>
      </c>
      <c r="Y2" s="349" t="s">
        <v>1104</v>
      </c>
      <c r="Z2" s="349" t="s">
        <v>1105</v>
      </c>
      <c r="AA2" s="349" t="s">
        <v>583</v>
      </c>
      <c r="AB2" s="349" t="s">
        <v>584</v>
      </c>
      <c r="AC2" s="349" t="s">
        <v>1</v>
      </c>
      <c r="AD2" s="349" t="s">
        <v>32</v>
      </c>
    </row>
    <row r="3" spans="1:30">
      <c r="A3" s="163" t="s">
        <v>124</v>
      </c>
      <c r="B3" s="163" t="s">
        <v>1106</v>
      </c>
      <c r="C3" s="165">
        <f>IF(OR(UNMM0021_B_ALL_KENSU=0,UNMM0021_B_CTRL_HYOJI_GYO_SU=0),1,ROUNDUP(UNMM0021_B_ALL_KENSU/UNMM0021_B_CTRL_HYOJI_GYO_SU,0))</f>
        <v>1</v>
      </c>
      <c r="D3" s="163"/>
      <c r="E3" s="163"/>
      <c r="F3" s="163"/>
      <c r="G3" s="171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  <c r="S3" s="348"/>
      <c r="T3" s="348"/>
      <c r="U3" s="348"/>
      <c r="V3" s="348"/>
      <c r="W3" s="348"/>
      <c r="X3" s="348"/>
      <c r="Y3" s="348"/>
      <c r="Z3" s="348"/>
      <c r="AA3" s="348"/>
      <c r="AB3" s="348"/>
      <c r="AC3" s="348"/>
      <c r="AD3" s="348"/>
    </row>
    <row r="4" spans="1:30">
      <c r="A4" s="163" t="s">
        <v>125</v>
      </c>
      <c r="B4" s="163" t="s">
        <v>1107</v>
      </c>
      <c r="C4" s="165">
        <v>0</v>
      </c>
      <c r="D4" s="163"/>
      <c r="E4" s="163"/>
      <c r="F4" s="163"/>
      <c r="G4" s="171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  <c r="AD4" s="348"/>
    </row>
    <row r="5" spans="1:30">
      <c r="A5" s="163" t="s">
        <v>143</v>
      </c>
      <c r="B5" s="163" t="s">
        <v>1108</v>
      </c>
      <c r="C5" s="165">
        <v>3</v>
      </c>
      <c r="D5" s="163"/>
      <c r="E5" s="163"/>
      <c r="F5" s="163"/>
      <c r="G5" s="171"/>
      <c r="H5" s="348"/>
      <c r="I5" s="348"/>
      <c r="J5" s="348"/>
      <c r="K5" s="348"/>
      <c r="L5" s="348"/>
      <c r="M5" s="348"/>
      <c r="N5" s="348"/>
      <c r="O5" s="348"/>
      <c r="P5" s="348"/>
      <c r="Q5" s="348"/>
      <c r="R5" s="348"/>
      <c r="S5" s="348"/>
      <c r="T5" s="348"/>
      <c r="U5" s="348"/>
      <c r="V5" s="348"/>
      <c r="W5" s="348"/>
      <c r="X5" s="348"/>
      <c r="Y5" s="348"/>
      <c r="Z5" s="348"/>
      <c r="AA5" s="348"/>
      <c r="AB5" s="348"/>
      <c r="AC5" s="348"/>
      <c r="AD5" s="348"/>
    </row>
    <row r="6" spans="1:30">
      <c r="A6" s="163"/>
      <c r="B6" s="163"/>
      <c r="C6" s="163"/>
      <c r="D6" s="163"/>
      <c r="E6" s="163"/>
      <c r="F6" s="163"/>
      <c r="G6" s="171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D6" s="348"/>
    </row>
    <row r="7" spans="1:30">
      <c r="A7" s="163"/>
      <c r="B7" s="163"/>
      <c r="C7" s="163"/>
      <c r="D7" s="163"/>
      <c r="E7" s="163"/>
      <c r="F7" s="163"/>
      <c r="G7" s="171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  <c r="AD7" s="348"/>
    </row>
    <row r="8" spans="1:30">
      <c r="A8" s="163"/>
      <c r="B8" s="163"/>
      <c r="C8" s="163"/>
      <c r="D8" s="163"/>
      <c r="E8" s="163"/>
      <c r="F8" s="163"/>
      <c r="G8" s="171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  <c r="AD8" s="348"/>
    </row>
    <row r="9" spans="1:30">
      <c r="A9" s="163" t="s">
        <v>141</v>
      </c>
      <c r="B9" s="163" t="s">
        <v>1109</v>
      </c>
      <c r="C9" s="165" t="str">
        <f>ADDRESS(ROW(UNMM0021_B_SENTAKU)+1,COLUMN(UNMM0021_B_SENTAKU))</f>
        <v>$H$3</v>
      </c>
      <c r="D9" s="163"/>
      <c r="E9" s="163"/>
      <c r="F9" s="163"/>
      <c r="G9" s="171"/>
      <c r="H9" s="348"/>
      <c r="I9" s="348"/>
      <c r="J9" s="348"/>
      <c r="K9" s="348"/>
      <c r="L9" s="348"/>
      <c r="M9" s="348"/>
      <c r="N9" s="348"/>
      <c r="O9" s="348"/>
      <c r="P9" s="348"/>
      <c r="Q9" s="348"/>
      <c r="R9" s="348"/>
      <c r="S9" s="348"/>
      <c r="T9" s="348"/>
      <c r="U9" s="348"/>
      <c r="V9" s="348"/>
      <c r="W9" s="348"/>
      <c r="X9" s="348"/>
      <c r="Y9" s="348"/>
      <c r="Z9" s="348"/>
      <c r="AA9" s="348"/>
      <c r="AB9" s="348"/>
      <c r="AC9" s="348"/>
      <c r="AD9" s="348"/>
    </row>
    <row r="10" spans="1:30">
      <c r="A10" s="163" t="s">
        <v>145</v>
      </c>
      <c r="B10" s="163" t="s">
        <v>1110</v>
      </c>
      <c r="C10" s="165" t="str">
        <f>ADDRESS(ROW(UNMM0021_B_SENTAKU)+1+UNMM0021_B_HYOJI_KENSU-1,COLUMN(UNMM0021_B_SENTAKU)+COLUMNS(UNMM0021_IF_B_LIST_COPY_MOTO)-1)</f>
        <v>$AD$2</v>
      </c>
      <c r="D10" s="163"/>
      <c r="E10" s="163"/>
      <c r="F10" s="163"/>
      <c r="G10" s="171"/>
      <c r="H10" s="348"/>
      <c r="I10" s="348"/>
      <c r="J10" s="348"/>
      <c r="K10" s="348"/>
      <c r="L10" s="348"/>
      <c r="M10" s="348"/>
      <c r="N10" s="348"/>
      <c r="O10" s="348"/>
      <c r="P10" s="348"/>
      <c r="Q10" s="348"/>
      <c r="R10" s="348"/>
      <c r="S10" s="348"/>
      <c r="T10" s="348"/>
      <c r="U10" s="348"/>
      <c r="V10" s="348"/>
      <c r="W10" s="348"/>
      <c r="X10" s="348"/>
      <c r="Y10" s="348"/>
      <c r="Z10" s="348"/>
      <c r="AA10" s="348"/>
      <c r="AB10" s="348"/>
      <c r="AC10" s="348"/>
      <c r="AD10" s="348"/>
    </row>
    <row r="11" spans="1:30">
      <c r="A11" s="163" t="s">
        <v>139</v>
      </c>
      <c r="B11" s="163" t="s">
        <v>1111</v>
      </c>
      <c r="C11" s="165" t="str">
        <f>IF(UNMM0021_B_HYOJI_KENSU=0,"",UNMM0021_B_LIST_START&amp;":"&amp;
ADDRESS(ROW(UNMM0021_B_SENTAKU)+1+UNMM0021_B_HYOJI_KENSU-1,COLUMN(UNMM0021_B_SENTAKU)+COLUMNS(UNMM0021_IF_B_LIST_COPY_MOTO)-1))</f>
        <v/>
      </c>
      <c r="D11" s="163"/>
      <c r="E11" s="163"/>
      <c r="F11" s="163"/>
      <c r="G11" s="171"/>
      <c r="H11" s="348"/>
      <c r="I11" s="348"/>
      <c r="J11" s="348"/>
      <c r="K11" s="348"/>
      <c r="L11" s="348"/>
      <c r="M11" s="348"/>
      <c r="N11" s="348"/>
      <c r="O11" s="348"/>
      <c r="P11" s="348"/>
      <c r="Q11" s="348"/>
      <c r="R11" s="348"/>
      <c r="S11" s="348"/>
      <c r="T11" s="348"/>
      <c r="U11" s="348"/>
      <c r="V11" s="348"/>
      <c r="W11" s="348"/>
      <c r="X11" s="348"/>
      <c r="Y11" s="348"/>
      <c r="Z11" s="348"/>
      <c r="AA11" s="348"/>
      <c r="AB11" s="348"/>
      <c r="AC11" s="348"/>
      <c r="AD11" s="348"/>
    </row>
    <row r="12" spans="1:30">
      <c r="A12" s="163" t="s">
        <v>140</v>
      </c>
      <c r="B12" s="163" t="s">
        <v>1112</v>
      </c>
      <c r="C12" s="165" t="str">
        <f>ADDRESS(ROW(UNMM0021_B_SENTAKU)+1,COLUMN(UNMM0021_B_SENTAKU))&amp;":"&amp;
ADDRESS(ROW(UNMM0021_B_SENTAKU)+1+UNMM0021_B_CTRL_HYOJI_GYO_SU-1,COLUMN(UNMM0021_B_SENTAKU)+COLUMNS(UNMM0021_IF_B_LIST_COPY_MOTO)-1)</f>
        <v>$H$3:$AD$5</v>
      </c>
      <c r="D12" s="163"/>
      <c r="E12" s="163"/>
      <c r="F12" s="163"/>
      <c r="G12" s="171"/>
      <c r="H12" s="348"/>
      <c r="I12" s="348"/>
      <c r="J12" s="348"/>
      <c r="K12" s="348"/>
      <c r="L12" s="348"/>
      <c r="M12" s="348"/>
      <c r="N12" s="348"/>
      <c r="O12" s="348"/>
      <c r="P12" s="348"/>
      <c r="Q12" s="348"/>
      <c r="R12" s="348"/>
      <c r="S12" s="348"/>
      <c r="T12" s="348"/>
      <c r="U12" s="348"/>
      <c r="V12" s="348"/>
      <c r="W12" s="348"/>
      <c r="X12" s="348"/>
      <c r="Y12" s="348"/>
      <c r="Z12" s="348"/>
      <c r="AA12" s="348"/>
      <c r="AB12" s="348"/>
      <c r="AC12" s="348"/>
      <c r="AD12" s="348"/>
    </row>
    <row r="13" spans="1:30">
      <c r="A13" s="163"/>
      <c r="B13" s="163"/>
      <c r="C13" s="163"/>
      <c r="D13" s="163"/>
      <c r="E13" s="163"/>
      <c r="F13" s="163"/>
      <c r="G13" s="171"/>
      <c r="H13" s="348"/>
      <c r="I13" s="348"/>
      <c r="J13" s="348"/>
      <c r="K13" s="348"/>
      <c r="L13" s="348"/>
      <c r="M13" s="348"/>
      <c r="N13" s="348"/>
      <c r="O13" s="348"/>
      <c r="P13" s="348"/>
      <c r="Q13" s="348"/>
      <c r="R13" s="348"/>
      <c r="S13" s="348"/>
      <c r="T13" s="348"/>
      <c r="U13" s="348"/>
      <c r="V13" s="348"/>
      <c r="W13" s="348"/>
      <c r="X13" s="348"/>
      <c r="Y13" s="348"/>
      <c r="Z13" s="348"/>
      <c r="AA13" s="348"/>
      <c r="AB13" s="348"/>
      <c r="AC13" s="348"/>
      <c r="AD13" s="348"/>
    </row>
    <row r="14" spans="1:30">
      <c r="A14" s="163" t="s">
        <v>147</v>
      </c>
      <c r="B14" s="163" t="s">
        <v>1113</v>
      </c>
      <c r="C14" s="165"/>
      <c r="D14" s="163"/>
      <c r="E14" s="163"/>
      <c r="F14" s="163"/>
      <c r="G14" s="171"/>
      <c r="H14" s="348"/>
      <c r="I14" s="348"/>
      <c r="J14" s="348"/>
      <c r="K14" s="348"/>
      <c r="L14" s="348"/>
      <c r="M14" s="348"/>
      <c r="N14" s="348"/>
      <c r="O14" s="348"/>
      <c r="P14" s="348"/>
      <c r="Q14" s="348"/>
      <c r="R14" s="348"/>
      <c r="S14" s="348"/>
      <c r="T14" s="348"/>
      <c r="U14" s="348"/>
      <c r="V14" s="348"/>
      <c r="W14" s="348"/>
      <c r="X14" s="348"/>
      <c r="Y14" s="348"/>
      <c r="Z14" s="348"/>
      <c r="AA14" s="348"/>
      <c r="AB14" s="348"/>
      <c r="AC14" s="348"/>
      <c r="AD14" s="348"/>
    </row>
    <row r="15" spans="1:30">
      <c r="A15" s="163" t="s">
        <v>585</v>
      </c>
      <c r="B15" s="163" t="s">
        <v>1114</v>
      </c>
      <c r="C15" s="165">
        <f ca="1">IF(UNMM0021_B_SELECT_GYO_NO=0,0,INDIRECT(ADDRESS(UNMM0021_B_SELECT_GYO_NO,COLUMN(UNMM0021_B_AITE_CD))))</f>
        <v>0</v>
      </c>
      <c r="D15" s="163"/>
      <c r="E15" s="163"/>
      <c r="F15" s="163"/>
      <c r="G15" s="171"/>
      <c r="H15" s="348"/>
      <c r="I15" s="348"/>
      <c r="J15" s="348"/>
      <c r="K15" s="348"/>
      <c r="L15" s="348"/>
      <c r="M15" s="348"/>
      <c r="N15" s="348"/>
      <c r="O15" s="348"/>
      <c r="P15" s="348"/>
      <c r="Q15" s="348"/>
      <c r="R15" s="348"/>
      <c r="S15" s="348"/>
      <c r="T15" s="348"/>
      <c r="U15" s="348"/>
      <c r="V15" s="348"/>
      <c r="W15" s="348"/>
      <c r="X15" s="348"/>
      <c r="Y15" s="348"/>
      <c r="Z15" s="348"/>
      <c r="AA15" s="348"/>
      <c r="AB15" s="348"/>
      <c r="AC15" s="348"/>
      <c r="AD15" s="348"/>
    </row>
    <row r="16" spans="1:30">
      <c r="A16" s="163"/>
      <c r="B16" s="163"/>
      <c r="C16" s="163"/>
      <c r="D16" s="163"/>
      <c r="E16" s="163"/>
      <c r="F16" s="163"/>
      <c r="G16" s="171"/>
      <c r="H16" s="348"/>
      <c r="I16" s="348"/>
      <c r="J16" s="348"/>
      <c r="K16" s="348"/>
      <c r="L16" s="348"/>
      <c r="M16" s="348"/>
      <c r="N16" s="348"/>
      <c r="O16" s="348"/>
      <c r="P16" s="348"/>
      <c r="Q16" s="348"/>
      <c r="R16" s="348"/>
      <c r="S16" s="348"/>
      <c r="T16" s="348"/>
      <c r="U16" s="348"/>
      <c r="V16" s="348"/>
      <c r="W16" s="348"/>
      <c r="X16" s="348"/>
      <c r="Y16" s="348"/>
      <c r="Z16" s="348"/>
      <c r="AA16" s="348"/>
      <c r="AB16" s="348"/>
      <c r="AC16" s="348"/>
      <c r="AD16" s="348"/>
    </row>
    <row r="17" spans="1:30">
      <c r="A17" s="163" t="s">
        <v>586</v>
      </c>
      <c r="B17" s="163" t="s">
        <v>1115</v>
      </c>
      <c r="C17" s="165">
        <f>IF(1&lt;UNMM0021_B_PAGE_NO,1,2)</f>
        <v>2</v>
      </c>
      <c r="D17" s="163" t="s">
        <v>587</v>
      </c>
      <c r="E17" s="163"/>
      <c r="F17" s="163"/>
      <c r="G17" s="171"/>
      <c r="H17" s="348"/>
      <c r="I17" s="348"/>
      <c r="J17" s="348"/>
      <c r="K17" s="348"/>
      <c r="L17" s="348"/>
      <c r="M17" s="348"/>
      <c r="N17" s="348"/>
      <c r="O17" s="348"/>
      <c r="P17" s="348"/>
      <c r="Q17" s="348"/>
      <c r="R17" s="348"/>
      <c r="S17" s="348"/>
      <c r="T17" s="348"/>
      <c r="U17" s="348"/>
      <c r="V17" s="348"/>
      <c r="W17" s="348"/>
      <c r="X17" s="348"/>
      <c r="Y17" s="348"/>
      <c r="Z17" s="348"/>
      <c r="AA17" s="348"/>
      <c r="AB17" s="348"/>
      <c r="AC17" s="348"/>
      <c r="AD17" s="348"/>
    </row>
    <row r="18" spans="1:30">
      <c r="A18" s="163" t="s">
        <v>588</v>
      </c>
      <c r="B18" s="163" t="s">
        <v>1116</v>
      </c>
      <c r="C18" s="165">
        <f>IF(UNMM0021_B_PAGE_NO&lt;UNMM0021_B_ALL_PEGE_SU,1,2)</f>
        <v>2</v>
      </c>
      <c r="D18" s="163"/>
      <c r="E18" s="163"/>
      <c r="F18" s="163"/>
      <c r="G18" s="171"/>
      <c r="H18" s="348"/>
      <c r="I18" s="348"/>
      <c r="J18" s="348"/>
      <c r="K18" s="348"/>
      <c r="L18" s="348"/>
      <c r="M18" s="348"/>
      <c r="N18" s="348"/>
      <c r="O18" s="348"/>
      <c r="P18" s="348"/>
      <c r="Q18" s="348"/>
      <c r="R18" s="348"/>
      <c r="S18" s="348"/>
      <c r="T18" s="348"/>
      <c r="U18" s="348"/>
      <c r="V18" s="348"/>
      <c r="W18" s="348"/>
      <c r="X18" s="348"/>
      <c r="Y18" s="348"/>
      <c r="Z18" s="348"/>
      <c r="AA18" s="348"/>
      <c r="AB18" s="348"/>
      <c r="AC18" s="348"/>
      <c r="AD18" s="348"/>
    </row>
    <row r="19" spans="1:30">
      <c r="A19" s="163" t="s">
        <v>393</v>
      </c>
      <c r="B19" s="163" t="s">
        <v>589</v>
      </c>
      <c r="C19" s="165">
        <f>UNMM0021_B_PAGE_NO-1</f>
        <v>0</v>
      </c>
      <c r="D19" s="163" t="s">
        <v>590</v>
      </c>
      <c r="E19" s="163"/>
      <c r="F19" s="163"/>
      <c r="G19" s="171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  <c r="S19" s="348"/>
      <c r="T19" s="348"/>
      <c r="U19" s="348"/>
      <c r="V19" s="348"/>
      <c r="W19" s="348"/>
      <c r="X19" s="348"/>
      <c r="Y19" s="348"/>
      <c r="Z19" s="348"/>
      <c r="AA19" s="348"/>
      <c r="AB19" s="348"/>
      <c r="AC19" s="348"/>
      <c r="AD19" s="348"/>
    </row>
    <row r="20" spans="1:30">
      <c r="A20" s="163" t="s">
        <v>392</v>
      </c>
      <c r="B20" s="163" t="s">
        <v>1117</v>
      </c>
      <c r="C20" s="165">
        <f>UNMM0021_B_PAGE_NO+1</f>
        <v>2</v>
      </c>
      <c r="D20" s="163" t="s">
        <v>591</v>
      </c>
      <c r="E20" s="163"/>
      <c r="F20" s="163"/>
      <c r="G20" s="171"/>
      <c r="H20" s="348"/>
      <c r="I20" s="348"/>
      <c r="J20" s="348"/>
      <c r="K20" s="348"/>
      <c r="L20" s="348"/>
      <c r="M20" s="348"/>
      <c r="N20" s="348"/>
      <c r="O20" s="348"/>
      <c r="P20" s="348"/>
      <c r="Q20" s="348"/>
      <c r="R20" s="348"/>
      <c r="S20" s="348"/>
      <c r="T20" s="348"/>
      <c r="U20" s="348"/>
      <c r="V20" s="348"/>
      <c r="W20" s="348"/>
      <c r="X20" s="348"/>
      <c r="Y20" s="348"/>
      <c r="Z20" s="348"/>
      <c r="AA20" s="348"/>
      <c r="AB20" s="348"/>
      <c r="AC20" s="348"/>
      <c r="AD20" s="348"/>
    </row>
    <row r="21" spans="1:30">
      <c r="A21" s="163" t="s">
        <v>494</v>
      </c>
      <c r="B21" s="164" t="s">
        <v>1118</v>
      </c>
      <c r="C21" s="165"/>
      <c r="D21" s="163"/>
      <c r="E21" s="163"/>
      <c r="F21" s="163"/>
      <c r="G21" s="171"/>
      <c r="H21" s="348"/>
      <c r="I21" s="348"/>
      <c r="J21" s="348"/>
      <c r="K21" s="348"/>
      <c r="L21" s="348"/>
      <c r="M21" s="348"/>
      <c r="N21" s="348"/>
      <c r="O21" s="348"/>
      <c r="P21" s="348"/>
      <c r="Q21" s="348"/>
      <c r="R21" s="348"/>
      <c r="S21" s="348"/>
      <c r="T21" s="348"/>
      <c r="U21" s="348"/>
      <c r="V21" s="348"/>
      <c r="W21" s="348"/>
      <c r="X21" s="348"/>
      <c r="Y21" s="348"/>
      <c r="Z21" s="348"/>
      <c r="AA21" s="348"/>
      <c r="AB21" s="348"/>
      <c r="AC21" s="348"/>
      <c r="AD21" s="348"/>
    </row>
    <row r="22" spans="1:30">
      <c r="A22" s="163" t="s">
        <v>495</v>
      </c>
      <c r="B22" s="164" t="s">
        <v>1119</v>
      </c>
      <c r="C22" s="165" t="str">
        <f>ADDRESS(ROW(A1),COLUMN(A1))&amp;":"&amp;ADDRESS(ROW(F1),COLUMN(F1))&amp;","&amp;ADDRESS(ROW(AE2),COLUMN(AE2))&amp;":"&amp;ADDRESS(ROW(AH2),COLUMN(AH2))</f>
        <v>$A$1:$F$1,$AE$2:$AH$2</v>
      </c>
      <c r="G22" s="171"/>
      <c r="H22" s="348"/>
      <c r="I22" s="348"/>
      <c r="J22" s="348"/>
      <c r="K22" s="348"/>
      <c r="L22" s="348"/>
      <c r="M22" s="348"/>
      <c r="N22" s="348"/>
      <c r="O22" s="348"/>
      <c r="P22" s="348"/>
      <c r="Q22" s="348"/>
      <c r="R22" s="348"/>
      <c r="S22" s="348"/>
      <c r="T22" s="348"/>
      <c r="U22" s="348"/>
      <c r="V22" s="348"/>
      <c r="W22" s="348"/>
      <c r="X22" s="348"/>
      <c r="Y22" s="348"/>
      <c r="Z22" s="348"/>
      <c r="AA22" s="348"/>
      <c r="AB22" s="348"/>
      <c r="AC22" s="348"/>
      <c r="AD22" s="348"/>
    </row>
    <row r="23" spans="1:30">
      <c r="A23" s="163" t="s">
        <v>496</v>
      </c>
      <c r="B23" s="164" t="s">
        <v>1120</v>
      </c>
      <c r="C23" s="165" t="str">
        <f>ADDRESS(ROW(UNMM0021_B_SENTAKU)+1,COLUMN(UNMM0021_B_SENTAKU)+1)</f>
        <v>$I$3</v>
      </c>
      <c r="G23" s="171"/>
      <c r="H23" s="348"/>
      <c r="I23" s="348"/>
      <c r="J23" s="348"/>
      <c r="K23" s="348"/>
      <c r="L23" s="348"/>
      <c r="M23" s="348"/>
      <c r="N23" s="348"/>
      <c r="O23" s="348"/>
      <c r="P23" s="348"/>
      <c r="Q23" s="348"/>
      <c r="R23" s="348"/>
      <c r="S23" s="348"/>
      <c r="T23" s="348"/>
      <c r="U23" s="348"/>
      <c r="V23" s="348"/>
      <c r="W23" s="348"/>
      <c r="X23" s="348"/>
      <c r="Y23" s="348"/>
      <c r="Z23" s="348"/>
      <c r="AA23" s="348"/>
      <c r="AB23" s="348"/>
      <c r="AC23" s="348"/>
      <c r="AD23" s="348"/>
    </row>
    <row r="24" spans="1:30">
      <c r="G24" s="171"/>
      <c r="H24" s="348"/>
      <c r="I24" s="348"/>
      <c r="J24" s="348"/>
      <c r="K24" s="348"/>
      <c r="L24" s="348"/>
      <c r="M24" s="348"/>
      <c r="N24" s="348"/>
      <c r="O24" s="348"/>
      <c r="P24" s="348"/>
      <c r="Q24" s="348"/>
      <c r="R24" s="348"/>
      <c r="S24" s="348"/>
      <c r="T24" s="348"/>
      <c r="U24" s="348"/>
      <c r="V24" s="348"/>
      <c r="W24" s="348"/>
      <c r="X24" s="348"/>
      <c r="Y24" s="348"/>
      <c r="Z24" s="348"/>
      <c r="AA24" s="348"/>
      <c r="AB24" s="348"/>
      <c r="AC24" s="348"/>
      <c r="AD24" s="348"/>
    </row>
    <row r="25" spans="1:30">
      <c r="G25" s="171"/>
      <c r="H25" s="348"/>
      <c r="I25" s="348"/>
      <c r="J25" s="348"/>
      <c r="K25" s="348"/>
      <c r="L25" s="348"/>
      <c r="M25" s="348"/>
      <c r="N25" s="348"/>
      <c r="O25" s="348"/>
      <c r="P25" s="348"/>
      <c r="Q25" s="348"/>
      <c r="R25" s="348"/>
      <c r="S25" s="348"/>
      <c r="T25" s="348"/>
      <c r="U25" s="348"/>
      <c r="V25" s="348"/>
      <c r="W25" s="348"/>
      <c r="X25" s="348"/>
      <c r="Y25" s="348"/>
      <c r="Z25" s="348"/>
      <c r="AA25" s="348"/>
      <c r="AB25" s="348"/>
      <c r="AC25" s="348"/>
      <c r="AD25" s="348"/>
    </row>
  </sheetData>
  <sheetProtection sheet="1" objects="1" scenarios="1" selectLockedCells="1"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CA36"/>
  <sheetViews>
    <sheetView workbookViewId="0"/>
  </sheetViews>
  <sheetFormatPr defaultRowHeight="13.5"/>
  <cols>
    <col min="1" max="1" width="9" style="130"/>
    <col min="2" max="2" width="23.5" style="130" customWidth="1"/>
    <col min="3" max="3" width="29.625" style="130" customWidth="1"/>
    <col min="4" max="4" width="22.375" style="130" customWidth="1"/>
    <col min="5" max="5" width="4.625" style="130" customWidth="1"/>
    <col min="6" max="6" width="5" style="130" bestFit="1" customWidth="1"/>
    <col min="7" max="13" width="5" style="130" customWidth="1"/>
    <col min="14" max="14" width="5.75" style="130" customWidth="1"/>
    <col min="15" max="15" width="8.625" style="130" customWidth="1"/>
    <col min="16" max="16" width="12.875" style="130" customWidth="1"/>
    <col min="17" max="17" width="13.75" style="130" customWidth="1"/>
    <col min="18" max="18" width="17.125" style="130" customWidth="1"/>
    <col min="19" max="19" width="13.875" style="130" customWidth="1"/>
    <col min="20" max="20" width="25.5" style="130" customWidth="1"/>
    <col min="21" max="21" width="22.25" style="130" customWidth="1"/>
    <col min="22" max="22" width="24" style="130" customWidth="1"/>
    <col min="23" max="23" width="15.625" style="130" bestFit="1" customWidth="1"/>
    <col min="24" max="24" width="16.625" style="130" customWidth="1"/>
    <col min="25" max="26" width="11.625" style="130" customWidth="1"/>
    <col min="27" max="27" width="18.875" style="130" customWidth="1"/>
    <col min="28" max="28" width="6.375" style="130" bestFit="1" customWidth="1"/>
    <col min="29" max="29" width="9" style="130"/>
    <col min="30" max="30" width="14.625" style="130" customWidth="1"/>
    <col min="31" max="31" width="17.5" style="130" customWidth="1"/>
    <col min="32" max="32" width="9" style="130"/>
    <col min="33" max="33" width="9" style="130" customWidth="1"/>
    <col min="34" max="34" width="29.375" style="130" bestFit="1" customWidth="1"/>
    <col min="35" max="44" width="21.5" style="124" customWidth="1"/>
    <col min="45" max="56" width="21.5" style="257" customWidth="1"/>
    <col min="57" max="57" width="21.5" style="124" customWidth="1"/>
    <col min="58" max="79" width="21.5" style="130" customWidth="1"/>
    <col min="80" max="16384" width="9" style="130"/>
  </cols>
  <sheetData>
    <row r="1" spans="1:79" ht="16.5">
      <c r="AH1" s="102" t="s">
        <v>1598</v>
      </c>
      <c r="AI1" s="329"/>
      <c r="AJ1" s="330"/>
      <c r="AK1" s="330"/>
      <c r="AL1" s="330"/>
      <c r="AM1" s="330"/>
      <c r="AN1" s="330"/>
      <c r="AO1" s="330"/>
      <c r="AP1" s="330"/>
      <c r="AQ1" s="290"/>
      <c r="AR1" s="290"/>
      <c r="AS1" s="289"/>
      <c r="AT1" s="290"/>
      <c r="AU1" s="289"/>
      <c r="AV1" s="289"/>
      <c r="AW1" s="289"/>
      <c r="AX1" s="289"/>
      <c r="AY1" s="289"/>
      <c r="AZ1" s="289"/>
      <c r="BA1" s="289"/>
      <c r="BB1" s="289"/>
      <c r="BC1" s="290"/>
      <c r="BD1" s="330"/>
      <c r="BE1" s="290"/>
      <c r="BF1" s="290"/>
      <c r="BG1" s="290"/>
      <c r="BH1" s="290"/>
      <c r="BI1" s="290"/>
      <c r="BJ1" s="290"/>
      <c r="BK1" s="290"/>
      <c r="BL1" s="290"/>
      <c r="BM1" s="289"/>
      <c r="BN1" s="290"/>
      <c r="BO1" s="289"/>
      <c r="BP1" s="289"/>
      <c r="BQ1" s="289"/>
      <c r="BR1" s="289"/>
      <c r="BS1" s="289"/>
      <c r="BT1" s="289"/>
      <c r="BU1" s="289"/>
      <c r="BV1" s="289"/>
      <c r="BW1" s="290"/>
      <c r="BX1" s="330"/>
      <c r="BY1" s="290"/>
      <c r="BZ1" s="330"/>
      <c r="CA1" s="290"/>
    </row>
    <row r="2" spans="1:79">
      <c r="A2" s="85" t="s">
        <v>121</v>
      </c>
    </row>
    <row r="3" spans="1:79">
      <c r="AC3" s="85" t="s">
        <v>1130</v>
      </c>
      <c r="AE3" s="129"/>
    </row>
    <row r="4" spans="1:79" ht="16.5" customHeight="1">
      <c r="E4" s="199" t="s">
        <v>15</v>
      </c>
      <c r="F4" s="199" t="s">
        <v>570</v>
      </c>
      <c r="G4" s="199" t="s">
        <v>571</v>
      </c>
      <c r="H4" s="199" t="s">
        <v>572</v>
      </c>
      <c r="I4" s="199" t="s">
        <v>573</v>
      </c>
      <c r="J4" s="199" t="s">
        <v>1101</v>
      </c>
      <c r="K4" s="199" t="s">
        <v>574</v>
      </c>
      <c r="L4" s="199" t="s">
        <v>575</v>
      </c>
      <c r="M4" s="199" t="s">
        <v>576</v>
      </c>
      <c r="N4" s="199" t="s">
        <v>1102</v>
      </c>
      <c r="O4" s="199" t="s">
        <v>577</v>
      </c>
      <c r="P4" s="199" t="s">
        <v>578</v>
      </c>
      <c r="Q4" s="199" t="s">
        <v>579</v>
      </c>
      <c r="R4" s="199" t="s">
        <v>580</v>
      </c>
      <c r="S4" s="199" t="s">
        <v>581</v>
      </c>
      <c r="T4" s="199" t="s">
        <v>582</v>
      </c>
      <c r="U4" s="199" t="s">
        <v>1103</v>
      </c>
      <c r="V4" s="199" t="s">
        <v>1104</v>
      </c>
      <c r="W4" s="199" t="s">
        <v>1105</v>
      </c>
      <c r="X4" s="199" t="s">
        <v>583</v>
      </c>
      <c r="Y4" s="199" t="s">
        <v>584</v>
      </c>
      <c r="Z4" s="199" t="s">
        <v>1</v>
      </c>
      <c r="AA4" s="199" t="s">
        <v>32</v>
      </c>
      <c r="AC4" s="85"/>
      <c r="AD4" s="130" t="s">
        <v>1131</v>
      </c>
      <c r="AE4" s="129" t="s">
        <v>1132</v>
      </c>
      <c r="AF4" s="51"/>
      <c r="AH4" s="130" t="s">
        <v>1133</v>
      </c>
      <c r="AI4" s="199" t="s">
        <v>1666</v>
      </c>
      <c r="AJ4" s="199" t="s">
        <v>1667</v>
      </c>
      <c r="AK4" s="199" t="s">
        <v>1668</v>
      </c>
      <c r="AL4" s="199" t="s">
        <v>1669</v>
      </c>
      <c r="AM4" s="199" t="s">
        <v>1670</v>
      </c>
      <c r="AN4" s="199" t="s">
        <v>1671</v>
      </c>
      <c r="AO4" s="199" t="s">
        <v>1672</v>
      </c>
      <c r="AP4" s="199" t="s">
        <v>1673</v>
      </c>
      <c r="AQ4" s="199" t="s">
        <v>1674</v>
      </c>
      <c r="AR4" s="199" t="s">
        <v>1675</v>
      </c>
      <c r="AS4" s="258" t="s">
        <v>1676</v>
      </c>
      <c r="AT4" s="258" t="s">
        <v>13</v>
      </c>
      <c r="AU4" s="258" t="s">
        <v>1677</v>
      </c>
      <c r="AV4" s="258" t="s">
        <v>1678</v>
      </c>
      <c r="AW4" s="258" t="s">
        <v>1679</v>
      </c>
      <c r="AX4" s="258" t="s">
        <v>1680</v>
      </c>
      <c r="AY4" s="258" t="s">
        <v>1681</v>
      </c>
      <c r="AZ4" s="258" t="s">
        <v>1682</v>
      </c>
      <c r="BA4" s="258" t="s">
        <v>1683</v>
      </c>
      <c r="BB4" s="258" t="s">
        <v>1684</v>
      </c>
      <c r="BC4" s="258" t="s">
        <v>1685</v>
      </c>
      <c r="BD4" s="258" t="s">
        <v>1686</v>
      </c>
      <c r="BE4" s="199" t="s">
        <v>1687</v>
      </c>
      <c r="BF4" s="199" t="s">
        <v>1688</v>
      </c>
      <c r="BG4" s="199" t="s">
        <v>1689</v>
      </c>
      <c r="BH4" s="199" t="s">
        <v>1690</v>
      </c>
      <c r="BI4" s="199" t="s">
        <v>1691</v>
      </c>
      <c r="BJ4" s="199" t="s">
        <v>1692</v>
      </c>
      <c r="BK4" s="199" t="s">
        <v>1693</v>
      </c>
      <c r="BL4" s="199" t="s">
        <v>1694</v>
      </c>
      <c r="BM4" s="199" t="s">
        <v>1695</v>
      </c>
      <c r="BN4" s="199" t="s">
        <v>1696</v>
      </c>
      <c r="BO4" s="199" t="s">
        <v>1697</v>
      </c>
      <c r="BP4" s="258" t="s">
        <v>1698</v>
      </c>
      <c r="BQ4" s="258" t="s">
        <v>1699</v>
      </c>
      <c r="BR4" s="258" t="s">
        <v>1700</v>
      </c>
      <c r="BS4" s="258" t="s">
        <v>1701</v>
      </c>
      <c r="BT4" s="258" t="s">
        <v>1702</v>
      </c>
      <c r="BU4" s="258" t="s">
        <v>1703</v>
      </c>
      <c r="BV4" s="258" t="s">
        <v>1633</v>
      </c>
      <c r="BW4" s="258" t="s">
        <v>1634</v>
      </c>
      <c r="BX4" s="258" t="s">
        <v>1635</v>
      </c>
      <c r="BY4" s="258" t="s">
        <v>1636</v>
      </c>
      <c r="BZ4" s="258" t="s">
        <v>1637</v>
      </c>
      <c r="CA4" s="258" t="s">
        <v>1638</v>
      </c>
    </row>
    <row r="5" spans="1:79" ht="16.5" customHeight="1">
      <c r="B5" s="130" t="s">
        <v>153</v>
      </c>
      <c r="C5" s="130" t="s">
        <v>1134</v>
      </c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309"/>
      <c r="P5" s="309"/>
      <c r="Q5" s="309"/>
      <c r="R5" s="309"/>
      <c r="S5" s="309"/>
      <c r="T5" s="309"/>
      <c r="U5" s="309"/>
      <c r="V5" s="309"/>
      <c r="W5" s="309"/>
      <c r="X5" s="171"/>
      <c r="Y5" s="171"/>
      <c r="Z5" s="171"/>
      <c r="AA5" s="171"/>
      <c r="AC5" s="85"/>
      <c r="AD5" s="130" t="s">
        <v>929</v>
      </c>
      <c r="AE5" s="129" t="s">
        <v>1135</v>
      </c>
      <c r="AF5" s="51" t="str">
        <f ca="1">"相手先マスタ検索画面_"&amp;UNMM0021_H_AITE_CD&amp;"_"&amp;TEXT(NOW(),"YYYYMMDD")</f>
        <v>相手先マスタ検索画面__20170913</v>
      </c>
    </row>
    <row r="6" spans="1:79" ht="16.5" customHeight="1">
      <c r="B6" s="130" t="s">
        <v>152</v>
      </c>
      <c r="C6" s="130" t="s">
        <v>1136</v>
      </c>
      <c r="E6" s="200" t="s">
        <v>1137</v>
      </c>
      <c r="F6" s="402"/>
      <c r="G6" s="402"/>
      <c r="H6" s="402"/>
      <c r="I6" s="402"/>
      <c r="J6" s="402"/>
      <c r="K6" s="402"/>
      <c r="L6" s="402"/>
      <c r="M6" s="402"/>
      <c r="N6" s="402"/>
      <c r="O6" s="402"/>
      <c r="P6" s="244"/>
      <c r="Q6" s="285"/>
      <c r="R6" s="402"/>
      <c r="S6" s="391"/>
      <c r="T6" s="391"/>
      <c r="U6" s="285"/>
      <c r="V6" s="285"/>
      <c r="W6" s="285"/>
      <c r="X6" s="391"/>
      <c r="Y6" s="285"/>
      <c r="Z6" s="391"/>
      <c r="AA6" s="285"/>
      <c r="AE6" s="163" t="s">
        <v>1176</v>
      </c>
      <c r="AF6" s="165" t="str">
        <f>ADDRESS(ROW(UNMM0021_IF_PRINT_AREA)+1,COLUMN(UNMM0021_IF_PRINT_AREA))</f>
        <v>$AI$5</v>
      </c>
    </row>
    <row r="7" spans="1:79" ht="16.5" customHeight="1">
      <c r="I7" s="104"/>
      <c r="AE7" s="163" t="s">
        <v>1177</v>
      </c>
      <c r="AF7" s="165" t="str">
        <f>IF(UNMM0021_IF_PRINT_COUNT=0,"",UNMM0021_IF_LIST_START&amp;":"&amp;
ADDRESS(ROW(UNMM0021_IF_PRINT_AREA)+1+UNMM0021_IF_PRINT_COUNT-1,COLUMN(UNMM0021_IF_PRINT_AREA)+COLUMNS(UNMM0021_IF_PRINT_SHOSHIKI)-1))</f>
        <v/>
      </c>
    </row>
    <row r="8" spans="1:79" ht="16.5" customHeight="1"/>
    <row r="9" spans="1:79" ht="16.5" customHeight="1">
      <c r="A9" s="85" t="s">
        <v>171</v>
      </c>
      <c r="C9" s="129"/>
      <c r="D9" s="124"/>
    </row>
    <row r="10" spans="1:79" ht="16.5" customHeight="1">
      <c r="B10" s="130" t="s">
        <v>172</v>
      </c>
      <c r="C10" s="129" t="s">
        <v>1138</v>
      </c>
      <c r="D10" s="131"/>
      <c r="E10" s="130" t="s">
        <v>1139</v>
      </c>
      <c r="F10" s="130" t="s">
        <v>175</v>
      </c>
    </row>
    <row r="11" spans="1:79" ht="16.5" customHeight="1">
      <c r="B11" s="130" t="s">
        <v>613</v>
      </c>
      <c r="C11" s="130" t="s">
        <v>1140</v>
      </c>
      <c r="D11" s="51">
        <f>IF(UNMM0021_B_ALL_KENSU=0,2,1)</f>
        <v>2</v>
      </c>
      <c r="E11" s="130" t="s">
        <v>614</v>
      </c>
      <c r="M11" s="104"/>
    </row>
    <row r="12" spans="1:79" ht="16.5" customHeight="1"/>
    <row r="13" spans="1:79" ht="16.5" customHeight="1">
      <c r="A13" s="85" t="s">
        <v>104</v>
      </c>
      <c r="B13" s="129"/>
      <c r="C13" s="124"/>
    </row>
    <row r="14" spans="1:79" ht="16.5" customHeight="1">
      <c r="B14" s="130" t="s">
        <v>105</v>
      </c>
      <c r="C14" s="129" t="s">
        <v>1141</v>
      </c>
      <c r="D14" s="131" t="s">
        <v>1142</v>
      </c>
    </row>
    <row r="15" spans="1:79" ht="16.5" customHeight="1">
      <c r="B15" s="130" t="s">
        <v>107</v>
      </c>
      <c r="C15" s="129" t="s">
        <v>1143</v>
      </c>
      <c r="D15" s="131"/>
    </row>
    <row r="16" spans="1:79" ht="16.5" customHeight="1">
      <c r="B16" s="130" t="s">
        <v>108</v>
      </c>
      <c r="C16" s="129" t="s">
        <v>1144</v>
      </c>
      <c r="D16" s="131"/>
    </row>
    <row r="17" spans="1:6" ht="16.5" customHeight="1">
      <c r="C17" s="129"/>
    </row>
    <row r="18" spans="1:6" ht="16.5" customHeight="1">
      <c r="B18" s="130" t="s">
        <v>106</v>
      </c>
      <c r="C18" s="129" t="s">
        <v>1145</v>
      </c>
      <c r="D18" s="131" t="s">
        <v>1146</v>
      </c>
    </row>
    <row r="19" spans="1:6" ht="16.5" customHeight="1"/>
    <row r="20" spans="1:6" ht="16.5" customHeight="1">
      <c r="A20" s="85" t="s">
        <v>171</v>
      </c>
      <c r="C20" s="129"/>
      <c r="D20" s="124"/>
    </row>
    <row r="21" spans="1:6" ht="16.5" customHeight="1">
      <c r="B21" s="130" t="s">
        <v>172</v>
      </c>
      <c r="C21" s="129" t="s">
        <v>1147</v>
      </c>
      <c r="D21" s="131"/>
      <c r="E21" s="130" t="s">
        <v>1148</v>
      </c>
      <c r="F21" s="130" t="s">
        <v>175</v>
      </c>
    </row>
    <row r="22" spans="1:6" ht="16.5" customHeight="1"/>
    <row r="23" spans="1:6" ht="16.5" customHeight="1">
      <c r="A23" s="130" t="s">
        <v>615</v>
      </c>
      <c r="B23" s="130" t="s">
        <v>1149</v>
      </c>
    </row>
    <row r="24" spans="1:6" ht="16.5" customHeight="1">
      <c r="B24" s="165" t="b">
        <v>0</v>
      </c>
    </row>
    <row r="25" spans="1:6" ht="16.5" customHeight="1">
      <c r="B25" s="165" t="b">
        <v>1</v>
      </c>
    </row>
    <row r="26" spans="1:6" ht="16.5" customHeight="1">
      <c r="B26" s="165" t="b">
        <v>1</v>
      </c>
    </row>
    <row r="27" spans="1:6" ht="16.5" customHeight="1">
      <c r="B27" s="165" t="b">
        <v>1</v>
      </c>
    </row>
    <row r="28" spans="1:6" ht="16.5" customHeight="1">
      <c r="B28" s="165" t="b">
        <v>1</v>
      </c>
    </row>
    <row r="29" spans="1:6" ht="16.5" customHeight="1">
      <c r="B29" s="165" t="b">
        <v>1</v>
      </c>
    </row>
    <row r="30" spans="1:6" ht="16.5" customHeight="1">
      <c r="B30" s="165" t="b">
        <v>1</v>
      </c>
    </row>
    <row r="31" spans="1:6" ht="16.5" customHeight="1">
      <c r="B31" s="165" t="b">
        <v>1</v>
      </c>
    </row>
    <row r="32" spans="1:6" ht="16.5" customHeight="1">
      <c r="B32" s="165" t="b">
        <v>1</v>
      </c>
    </row>
    <row r="33" spans="2:2" ht="16.5" customHeight="1">
      <c r="B33" s="165" t="b">
        <v>1</v>
      </c>
    </row>
    <row r="34" spans="2:2" ht="16.5" customHeight="1">
      <c r="B34" s="165">
        <v>1</v>
      </c>
    </row>
    <row r="35" spans="2:2" ht="16.5" customHeight="1"/>
    <row r="36" spans="2:2" ht="16.5" customHeight="1"/>
  </sheetData>
  <phoneticPr fontId="2"/>
  <conditionalFormatting sqref="E6:AA6">
    <cfRule type="expression" dxfId="66" priority="4">
      <formula>CELL("row")=ROW()</formula>
    </cfRule>
  </conditionalFormatting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46"/>
  <sheetViews>
    <sheetView topLeftCell="A4" zoomScale="70" zoomScaleNormal="70" workbookViewId="0">
      <selection activeCell="C19" sqref="C19"/>
    </sheetView>
  </sheetViews>
  <sheetFormatPr defaultRowHeight="15.75" customHeight="1"/>
  <cols>
    <col min="1" max="1" width="22" style="130" bestFit="1" customWidth="1"/>
    <col min="2" max="2" width="25.625" style="130" customWidth="1"/>
    <col min="3" max="3" width="73.875" style="130" customWidth="1"/>
    <col min="4" max="4" width="17.625" style="130" customWidth="1"/>
    <col min="5" max="16384" width="9" style="130"/>
  </cols>
  <sheetData>
    <row r="1" spans="1:6" ht="15.75" customHeight="1">
      <c r="A1" s="34" t="s">
        <v>577</v>
      </c>
      <c r="B1" s="130" t="s">
        <v>1392</v>
      </c>
      <c r="C1" s="278" t="s">
        <v>1525</v>
      </c>
      <c r="D1" s="29" t="str">
        <f>IF(UNMM0021_H_AITE_CD="","",UNMM0021_H_AITE_CD)</f>
        <v/>
      </c>
      <c r="E1" s="208"/>
      <c r="F1" s="208"/>
    </row>
    <row r="2" spans="1:6" ht="15.75" customHeight="1">
      <c r="A2" s="34" t="s">
        <v>592</v>
      </c>
      <c r="B2" s="196" t="s">
        <v>1393</v>
      </c>
      <c r="C2" s="278" t="s">
        <v>1525</v>
      </c>
      <c r="D2" s="29" t="str">
        <f>IF(UNMM0021_H_EIGYO_TANTO_MEI="","",UNMM0021_H_EIGYO_TANTO_CD)</f>
        <v/>
      </c>
      <c r="E2" s="208"/>
      <c r="F2" s="208"/>
    </row>
    <row r="3" spans="1:6" ht="15.75" customHeight="1">
      <c r="A3" s="34" t="s">
        <v>593</v>
      </c>
      <c r="B3" s="164" t="s">
        <v>1394</v>
      </c>
      <c r="C3" s="29" t="b">
        <f>NOT(UNMM0021_H_MISHIYO_FLG)</f>
        <v>1</v>
      </c>
      <c r="D3" s="29" t="b">
        <f>NOT(UNMM0021_H_MISHIYO_FLG)</f>
        <v>1</v>
      </c>
      <c r="E3" s="208"/>
      <c r="F3" s="208"/>
    </row>
    <row r="4" spans="1:6" ht="15.75" customHeight="1">
      <c r="A4" s="34" t="s">
        <v>594</v>
      </c>
      <c r="B4" s="164" t="s">
        <v>1395</v>
      </c>
      <c r="C4" s="29" t="b">
        <f>UNMM0021_H_SEIKYU_FLG</f>
        <v>1</v>
      </c>
      <c r="D4" s="29" t="b">
        <f>UNMM0021_H_SEIKYU_FLG</f>
        <v>1</v>
      </c>
      <c r="E4" s="208"/>
      <c r="F4" s="208"/>
    </row>
    <row r="5" spans="1:6" ht="15.75" customHeight="1">
      <c r="A5" s="34" t="s">
        <v>595</v>
      </c>
      <c r="B5" s="164" t="s">
        <v>1396</v>
      </c>
      <c r="C5" s="29" t="b">
        <f>UNMM0021_H_SHIIRE_FLG</f>
        <v>1</v>
      </c>
      <c r="D5" s="29" t="b">
        <f>UNMM0021_H_SHIIRE_FLG</f>
        <v>1</v>
      </c>
      <c r="E5" s="208"/>
      <c r="F5" s="208"/>
    </row>
    <row r="6" spans="1:6" ht="15.75" customHeight="1">
      <c r="A6" s="34" t="s">
        <v>596</v>
      </c>
      <c r="B6" s="164" t="s">
        <v>1397</v>
      </c>
      <c r="C6" s="29" t="b">
        <f>UNMM0021_H_HASSO_FLG</f>
        <v>1</v>
      </c>
      <c r="D6" s="29" t="b">
        <f>UNMM0021_H_HASSO_FLG</f>
        <v>1</v>
      </c>
      <c r="E6" s="208"/>
      <c r="F6" s="208"/>
    </row>
    <row r="7" spans="1:6" ht="15.75" customHeight="1">
      <c r="A7" s="34" t="s">
        <v>597</v>
      </c>
      <c r="B7" s="164" t="s">
        <v>1398</v>
      </c>
      <c r="C7" s="29" t="b">
        <f>UNMM0021_H_HOKOKU_FLG</f>
        <v>1</v>
      </c>
      <c r="D7" s="29" t="b">
        <f>UNMM0021_H_HOKOKU_FLG</f>
        <v>1</v>
      </c>
      <c r="E7" s="208"/>
      <c r="F7" s="208"/>
    </row>
    <row r="8" spans="1:6" ht="15.75" customHeight="1">
      <c r="A8" s="34" t="s">
        <v>953</v>
      </c>
      <c r="B8" s="164" t="s">
        <v>1399</v>
      </c>
      <c r="C8" s="29" t="b">
        <f>UNMM0021_H_MAKER_FLG</f>
        <v>1</v>
      </c>
      <c r="D8" s="29" t="b">
        <f>UNMM0021_H_MAKER_FLG</f>
        <v>1</v>
      </c>
      <c r="E8" s="208"/>
      <c r="F8" s="208"/>
    </row>
    <row r="9" spans="1:6" ht="15.75" customHeight="1">
      <c r="A9" s="34" t="s">
        <v>598</v>
      </c>
      <c r="B9" s="164" t="s">
        <v>1400</v>
      </c>
      <c r="C9" s="29" t="b">
        <f>UNMM0021_H_GAICHU_FLG</f>
        <v>1</v>
      </c>
      <c r="D9" s="29" t="b">
        <f>UNMM0021_H_GAICHU_FLG</f>
        <v>1</v>
      </c>
      <c r="E9" s="208"/>
      <c r="F9" s="208"/>
    </row>
    <row r="10" spans="1:6" ht="15.75" customHeight="1">
      <c r="A10" s="34" t="s">
        <v>523</v>
      </c>
      <c r="B10" s="164" t="s">
        <v>1401</v>
      </c>
      <c r="C10" s="29" t="b">
        <f>UNMM0021_H_KANKO_FLG</f>
        <v>1</v>
      </c>
      <c r="D10" s="29" t="b">
        <f>UNMM0021_H_KANKO_FLG</f>
        <v>1</v>
      </c>
      <c r="E10" s="208"/>
      <c r="F10" s="208"/>
    </row>
    <row r="11" spans="1:6" ht="15.75" customHeight="1">
      <c r="A11" s="34" t="s">
        <v>599</v>
      </c>
      <c r="B11" s="164" t="s">
        <v>1402</v>
      </c>
      <c r="C11" s="29" t="b">
        <f>UNMM0021_H_DOGYO_FLG</f>
        <v>1</v>
      </c>
      <c r="D11" s="29" t="b">
        <f>UNMM0021_H_DOGYO_FLG</f>
        <v>1</v>
      </c>
      <c r="E11" s="208"/>
      <c r="F11" s="208"/>
    </row>
    <row r="12" spans="1:6" ht="15.75" customHeight="1">
      <c r="A12" s="34" t="s">
        <v>960</v>
      </c>
      <c r="B12" s="164" t="s">
        <v>1403</v>
      </c>
      <c r="C12" s="29" t="b">
        <f>UNMM0021_H_SPOT_FLG</f>
        <v>1</v>
      </c>
      <c r="D12" s="29" t="b">
        <f>UNMM0021_H_SPOT_FLG</f>
        <v>1</v>
      </c>
      <c r="E12" s="208"/>
      <c r="F12" s="208"/>
    </row>
    <row r="13" spans="1:6" ht="15.75" customHeight="1">
      <c r="A13" s="34" t="s">
        <v>1390</v>
      </c>
      <c r="B13" s="34" t="s">
        <v>1404</v>
      </c>
      <c r="C13" s="279" t="s">
        <v>1525</v>
      </c>
      <c r="D13" s="208" t="str">
        <f>IF(UNMM0021_H_FREEWD_1="","",UNMM0021_H_FREEWD_1)</f>
        <v/>
      </c>
      <c r="E13" s="208"/>
      <c r="F13" s="208"/>
    </row>
    <row r="14" spans="1:6" ht="15.75" customHeight="1">
      <c r="B14" s="34" t="s">
        <v>1405</v>
      </c>
      <c r="C14" s="279" t="s">
        <v>1525</v>
      </c>
      <c r="D14" s="208" t="str">
        <f>IF(UNMM0021_H_FREEWD_2="","",UNMM0021_H_FREEWD_2)</f>
        <v/>
      </c>
      <c r="E14" s="208"/>
      <c r="F14" s="208"/>
    </row>
    <row r="15" spans="1:6" ht="15.75" customHeight="1">
      <c r="B15" s="34" t="s">
        <v>1406</v>
      </c>
      <c r="C15" s="279" t="s">
        <v>1525</v>
      </c>
      <c r="D15" s="208" t="str">
        <f>IF(UNMM0021_H_FREEWD_3="","",UNMM0021_H_FREEWD_3)</f>
        <v/>
      </c>
      <c r="E15" s="208"/>
      <c r="F15" s="208"/>
    </row>
    <row r="16" spans="1:6" ht="15.75" customHeight="1">
      <c r="A16" s="34" t="s">
        <v>1391</v>
      </c>
      <c r="B16" s="34" t="s">
        <v>1407</v>
      </c>
      <c r="C16" s="208">
        <f>UNMM0021_H_FREEWD_KBN</f>
        <v>1</v>
      </c>
      <c r="D16" s="208">
        <f>UNMM0021_H_FREEWD_KBN</f>
        <v>1</v>
      </c>
      <c r="E16" s="208"/>
      <c r="F16" s="208"/>
    </row>
    <row r="17" spans="2:6" ht="15.75" customHeight="1">
      <c r="B17" s="34"/>
      <c r="C17" s="29"/>
      <c r="D17" s="208"/>
      <c r="E17" s="208"/>
      <c r="F17" s="208"/>
    </row>
    <row r="18" spans="2:6" ht="15.75" customHeight="1">
      <c r="B18" s="26"/>
      <c r="C18" s="29"/>
      <c r="D18" s="208"/>
      <c r="E18" s="208"/>
      <c r="F18" s="208"/>
    </row>
    <row r="19" spans="2:6" ht="15.75" customHeight="1">
      <c r="B19" s="26" t="s">
        <v>1121</v>
      </c>
      <c r="C19" s="207" t="str">
        <f>C22&amp;C23&amp;C24&amp;C25&amp;C35&amp;C36&amp;UNMM0021_SQL_ORDER_BY&amp;C41</f>
        <v>SELECT *
  FROM V_AITESAKI_LIST
 WHERE 1=1
AND V_AITESAKI_LIST.AITE_CD = '-----------------------------' AND V_AITESAKI_LIST.EIGYO_TANTO_CD = '----------------------------- '
AND (1!=1 
 OR V_AITESAKI_LIST.SEIKYU_FLG = '×' 
 OR V_AITESAKI_LIST.SHIIRE_FLG = '×' 
 OR V_AITESAKI_LIST.HASSO_FLG = '×' 
 OR V_AITESAKI_LIST.HOKOKU_FLG = '×' 
 OR V_AITESAKI_LIST.MAKER_FLG = '×' 
 OR V_AITESAKI_LIST.GAICHU_FLG = '×' 
 OR V_AITESAKI_LIST.KANKO_FLG = '×' 
 OR V_AITESAKI_LIST.DOGYO_FLG = '×' 
 OR V_AITESAKI_LIST.SPOT_FLG = '×' )   
   AND V_AITESAKI_LIST.MISHIYO_FLG IS NULL    AND(
        1=1
 AND V_AITESAKI_LIST.FREEWD LIKE '%-----------------------------%'  
 AND V_AITESAKI_LIST.FREEWD LIKE '%-----------------------------%'  
 AND V_AITESAKI_LIST.FREEWD LIKE '%-----------------------------%'  
) ORDER BY AITE_CD
OFFSET 0*3 ROWS
 FETCH NEXT 3 ROWS ONLY</v>
      </c>
      <c r="D19" s="208"/>
      <c r="E19" s="208"/>
      <c r="F19" s="208"/>
    </row>
    <row r="20" spans="2:6" ht="15.75" customHeight="1">
      <c r="B20" s="26" t="s">
        <v>1122</v>
      </c>
      <c r="C20" s="207" t="str">
        <f>C21&amp;C23&amp;C24&amp;C25&amp;C35&amp;C36</f>
        <v>SELECT COUNT(*) AS CNT
  FROM V_AITESAKI_LIST 
 WHERE 1=1
AND V_AITESAKI_LIST.AITE_CD = '-----------------------------' AND V_AITESAKI_LIST.EIGYO_TANTO_CD = '----------------------------- '
AND (1!=1 
 OR V_AITESAKI_LIST.SEIKYU_FLG = '×' 
 OR V_AITESAKI_LIST.SHIIRE_FLG = '×' 
 OR V_AITESAKI_LIST.HASSO_FLG = '×' 
 OR V_AITESAKI_LIST.HOKOKU_FLG = '×' 
 OR V_AITESAKI_LIST.MAKER_FLG = '×' 
 OR V_AITESAKI_LIST.GAICHU_FLG = '×' 
 OR V_AITESAKI_LIST.KANKO_FLG = '×' 
 OR V_AITESAKI_LIST.DOGYO_FLG = '×' 
 OR V_AITESAKI_LIST.SPOT_FLG = '×' )   
   AND V_AITESAKI_LIST.MISHIYO_FLG IS NULL    AND(
        1=1
 AND V_AITESAKI_LIST.FREEWD LIKE '%-----------------------------%'  
 AND V_AITESAKI_LIST.FREEWD LIKE '%-----------------------------%'  
 AND V_AITESAKI_LIST.FREEWD LIKE '%-----------------------------%'  
)</v>
      </c>
      <c r="D20" s="198" t="str">
        <f>D21&amp;D23&amp;D35&amp;D37&amp;D38&amp;D39</f>
        <v>AND</v>
      </c>
      <c r="E20" s="208"/>
      <c r="F20" s="208"/>
    </row>
    <row r="21" spans="2:6" ht="15.75" customHeight="1">
      <c r="B21" s="26" t="s">
        <v>1123</v>
      </c>
      <c r="C21" s="29" t="s">
        <v>1124</v>
      </c>
      <c r="D21" s="208"/>
      <c r="E21" s="208"/>
      <c r="F21" s="208"/>
    </row>
    <row r="22" spans="2:6" ht="15.75" customHeight="1">
      <c r="B22" s="208" t="s">
        <v>978</v>
      </c>
      <c r="C22" s="29" t="s">
        <v>1125</v>
      </c>
      <c r="D22" s="208"/>
      <c r="E22" s="208"/>
      <c r="F22" s="208"/>
    </row>
    <row r="23" spans="2:6" ht="15.75" customHeight="1">
      <c r="B23" s="25" t="s">
        <v>600</v>
      </c>
      <c r="C23" s="29" t="str">
        <f>IF(UNMM0021_SQL_AITE_CD="","","AND V_AITESAKI_LIST.AITE_CD = '"&amp;UNMM0021_SQL_AITE_CD&amp; "' ")</f>
        <v xml:space="preserve">AND V_AITESAKI_LIST.AITE_CD = '-----------------------------' </v>
      </c>
      <c r="D23" s="208"/>
      <c r="E23" s="208"/>
      <c r="F23" s="208"/>
    </row>
    <row r="24" spans="2:6" ht="15.75" customHeight="1">
      <c r="B24" s="25" t="s">
        <v>601</v>
      </c>
      <c r="C24" s="29" t="str">
        <f>IF(UNMM0021_SQL_EIGYO_TANTO_CD="","","AND V_AITESAKI_LIST.EIGYO_TANTO_CD = '"&amp;UNMM0021_SQL_EIGYO_TANTO_CD&amp; " '")</f>
        <v>AND V_AITESAKI_LIST.EIGYO_TANTO_CD = '----------------------------- '</v>
      </c>
      <c r="D24" s="208"/>
      <c r="E24" s="208"/>
      <c r="F24" s="208"/>
    </row>
    <row r="25" spans="2:6" s="425" customFormat="1" ht="15.75" customHeight="1">
      <c r="B25" s="25" t="s">
        <v>2079</v>
      </c>
      <c r="C25" s="29" t="str">
        <f>"
AND (1!=1 "&amp;C26&amp;C27&amp;C28&amp;C29&amp;C30&amp;C31&amp;C32&amp;C33&amp;C34&amp;")   
"</f>
        <v xml:space="preserve">
AND (1!=1 
 OR V_AITESAKI_LIST.SEIKYU_FLG = '×' 
 OR V_AITESAKI_LIST.SHIIRE_FLG = '×' 
 OR V_AITESAKI_LIST.HASSO_FLG = '×' 
 OR V_AITESAKI_LIST.HOKOKU_FLG = '×' 
 OR V_AITESAKI_LIST.MAKER_FLG = '×' 
 OR V_AITESAKI_LIST.GAICHU_FLG = '×' 
 OR V_AITESAKI_LIST.KANKO_FLG = '×' 
 OR V_AITESAKI_LIST.DOGYO_FLG = '×' 
 OR V_AITESAKI_LIST.SPOT_FLG = '×' )   
</v>
      </c>
      <c r="D25" s="208"/>
      <c r="E25" s="208"/>
      <c r="F25" s="208"/>
    </row>
    <row r="26" spans="2:6" ht="15.75" customHeight="1">
      <c r="B26" s="499" t="s">
        <v>602</v>
      </c>
      <c r="C26" s="500" t="str">
        <f>IF(OR(UNMM0021_SQL_SEIKYU_FLG=0,UNMM0021_SQL_SEIKYU_FLG=FALSE),"","
 OR V_AITESAKI_LIST.SEIKYU_FLG = '×' ")</f>
        <v xml:space="preserve">
 OR V_AITESAKI_LIST.SEIKYU_FLG = '×' </v>
      </c>
      <c r="D26" s="208"/>
      <c r="E26" s="208"/>
      <c r="F26" s="208"/>
    </row>
    <row r="27" spans="2:6" ht="15.75" customHeight="1">
      <c r="B27" s="499" t="s">
        <v>603</v>
      </c>
      <c r="C27" s="501" t="str">
        <f>IF(OR(UNMM0021_SQL_SHIIRE_FLG=0,UNMM0021_SQL_SHIIRE_FLG=FALSE),"","
 OR V_AITESAKI_LIST.SHIIRE_FLG = '×' ")</f>
        <v xml:space="preserve">
 OR V_AITESAKI_LIST.SHIIRE_FLG = '×' </v>
      </c>
      <c r="D27" s="208"/>
      <c r="E27" s="208"/>
      <c r="F27" s="208"/>
    </row>
    <row r="28" spans="2:6" ht="15.75" customHeight="1">
      <c r="B28" s="499" t="s">
        <v>604</v>
      </c>
      <c r="C28" s="501" t="str">
        <f>IF(OR(UNMM0021_SQL_HASSO_FLG=0,UNMM0021_SQL_HASSO_FLG=FALSE),"","
 OR V_AITESAKI_LIST.HASSO_FLG = '×' ")</f>
        <v xml:space="preserve">
 OR V_AITESAKI_LIST.HASSO_FLG = '×' </v>
      </c>
      <c r="D28" s="208"/>
      <c r="E28" s="208"/>
      <c r="F28" s="208"/>
    </row>
    <row r="29" spans="2:6" ht="15.75" customHeight="1">
      <c r="B29" s="499" t="s">
        <v>605</v>
      </c>
      <c r="C29" s="501" t="str">
        <f>IF(OR(UNMM0021_SQL_HOKOKU_FLG=0,UNMM0021_SQL_HOKOKU_FLG=FALSE),"","
 OR V_AITESAKI_LIST.HOKOKU_FLG = '×' ")</f>
        <v xml:space="preserve">
 OR V_AITESAKI_LIST.HOKOKU_FLG = '×' </v>
      </c>
      <c r="D29" s="208"/>
      <c r="E29" s="208"/>
      <c r="F29" s="208"/>
    </row>
    <row r="30" spans="2:6" ht="15.75" customHeight="1">
      <c r="B30" s="499" t="s">
        <v>606</v>
      </c>
      <c r="C30" s="501" t="str">
        <f>IF(OR(UNMM0021_SQL_MAKER_FLG=0,UNMM0021_SQL_MAKER_FLG=FALSE),"","
 OR V_AITESAKI_LIST.MAKER_FLG = '×' ")</f>
        <v xml:space="preserve">
 OR V_AITESAKI_LIST.MAKER_FLG = '×' </v>
      </c>
      <c r="D30" s="208"/>
      <c r="E30" s="208"/>
      <c r="F30" s="208"/>
    </row>
    <row r="31" spans="2:6" ht="15.75" customHeight="1">
      <c r="B31" s="499" t="s">
        <v>607</v>
      </c>
      <c r="C31" s="501" t="str">
        <f>IF(OR(UNMM0021_SQL_GAICHU_FLG=0,UNMM0021_SQL_GAICHU_FLG=FALSE),"","
 OR V_AITESAKI_LIST.GAICHU_FLG = '×' ")</f>
        <v xml:space="preserve">
 OR V_AITESAKI_LIST.GAICHU_FLG = '×' </v>
      </c>
      <c r="D31" s="208"/>
      <c r="E31" s="208"/>
      <c r="F31" s="208"/>
    </row>
    <row r="32" spans="2:6" ht="15.75" customHeight="1">
      <c r="B32" s="499" t="s">
        <v>608</v>
      </c>
      <c r="C32" s="501" t="str">
        <f>IF(OR(UNMM0021_SQL_KANKO_FLG=0,UNMM0021_SQL_KANKO_FLG=FALSE),"","
 OR V_AITESAKI_LIST.KANKO_FLG = '×' ")</f>
        <v xml:space="preserve">
 OR V_AITESAKI_LIST.KANKO_FLG = '×' </v>
      </c>
      <c r="D32" s="208"/>
      <c r="E32" s="208"/>
      <c r="F32" s="208"/>
    </row>
    <row r="33" spans="2:6" ht="15.75" customHeight="1">
      <c r="B33" s="499" t="s">
        <v>609</v>
      </c>
      <c r="C33" s="501" t="str">
        <f>IF(OR(UNMM0021_SQL_DOGYO_FLG=0,UNMM0021_SQL_DOGYO_FLG=FALSE),"","
 OR V_AITESAKI_LIST.DOGYO_FLG = '×' ")</f>
        <v xml:space="preserve">
 OR V_AITESAKI_LIST.DOGYO_FLG = '×' </v>
      </c>
      <c r="D33" s="208"/>
      <c r="E33" s="208"/>
      <c r="F33" s="208"/>
    </row>
    <row r="34" spans="2:6" ht="15.75" customHeight="1">
      <c r="B34" s="499" t="s">
        <v>610</v>
      </c>
      <c r="C34" s="502" t="str">
        <f>IF(OR(UNMM0021_SQL_SPOT_FLG=0,UNMM0021_SQL_SPOT_FLG=FALSE),"","
 OR V_AITESAKI_LIST.SPOT_FLG = '×' ")</f>
        <v xml:space="preserve">
 OR V_AITESAKI_LIST.SPOT_FLG = '×' </v>
      </c>
      <c r="D34" s="208" t="s">
        <v>1408</v>
      </c>
      <c r="E34" s="208"/>
      <c r="F34" s="208"/>
    </row>
    <row r="35" spans="2:6" ht="15.75" customHeight="1">
      <c r="B35" s="25" t="s">
        <v>163</v>
      </c>
      <c r="C35" s="29" t="str">
        <f>IF(OR(UNMM0021_SQL_MISHIYO_FLG=0,UNMM0021_SQL_MISHIYO_FLG=FALSE),"","   AND V_AITESAKI_LIST.MISHIYO_FLG IS NULL ")</f>
        <v xml:space="preserve">   AND V_AITESAKI_LIST.MISHIYO_FLG IS NULL </v>
      </c>
      <c r="D35" s="208"/>
      <c r="E35" s="208" t="s">
        <v>1126</v>
      </c>
      <c r="F35" s="208"/>
    </row>
    <row r="36" spans="2:6" ht="15.75" customHeight="1">
      <c r="B36" s="25" t="s">
        <v>611</v>
      </c>
      <c r="C36" s="29" t="str">
        <f>"   AND(
        " &amp;IF(AND(UNMM0021_SQL_FREEWORD_1="",
                  UNMM0021_SQL_FREEWORD_2="",
                  UNMM0021_SQL_FREEWORD_3=""), "1=1",
              IF(UNMM0021_SQL_FREEWD_KBN=1,"1=1","1!=1") )&amp;"
"
         &amp;UNMM0021_SQL_FREEWD_1 &amp;"
"
         &amp;UNMM0021_SQL_FREEWD_2 &amp;"
"
         &amp;UNMM0021_SQL_FREEWD_3 &amp;"
"
&amp;")"</f>
        <v xml:space="preserve">   AND(
        1=1
 AND V_AITESAKI_LIST.FREEWD LIKE '%-----------------------------%'  
 AND V_AITESAKI_LIST.FREEWD LIKE '%-----------------------------%'  
 AND V_AITESAKI_LIST.FREEWD LIKE '%-----------------------------%'  
)</v>
      </c>
      <c r="D36" s="208"/>
      <c r="E36" s="208"/>
      <c r="F36" s="208"/>
    </row>
    <row r="37" spans="2:6" ht="15.75" customHeight="1">
      <c r="B37" s="499" t="s">
        <v>165</v>
      </c>
      <c r="C37" s="500" t="str">
        <f>IF(UNMM0021_SQL_FREEWORD_1="",""," "&amp;UNMM0021_SQL_CONJUNCTION&amp;" V_AITESAKI_LIST.FREEWD " &amp;IF(UNMM0021_SQL_FREEWD_KBN=3," NOT ","") &amp;"LIKE "&amp;"'%"&amp;UNMM0021_SQL_FREEWORD_1 &amp;"%'  ")</f>
        <v xml:space="preserve"> AND V_AITESAKI_LIST.FREEWD LIKE '%-----------------------------%'  </v>
      </c>
      <c r="D37" s="46" t="str">
        <f>IF(UNMM0021_SQL_FREEWD_KBN=1,"AND","OR")</f>
        <v>AND</v>
      </c>
      <c r="E37" s="208"/>
      <c r="F37" s="208"/>
    </row>
    <row r="38" spans="2:6" ht="15.75" customHeight="1">
      <c r="B38" s="499" t="s">
        <v>164</v>
      </c>
      <c r="C38" s="501" t="str">
        <f>IF(UNMM0021_SQL_FREEWORD_2="",""," "&amp;UNMM0021_SQL_CONJUNCTION&amp;" V_AITESAKI_LIST.FREEWD " &amp;IF(UNMM0021_SQL_FREEWD_KBN=3," NOT ","") &amp;"LIKE "&amp;"'%"&amp;UNMM0021_SQL_FREEWORD_2 &amp;"%'  ")</f>
        <v xml:space="preserve"> AND V_AITESAKI_LIST.FREEWD LIKE '%-----------------------------%'  </v>
      </c>
      <c r="D38" s="208"/>
      <c r="E38" s="208"/>
      <c r="F38" s="208"/>
    </row>
    <row r="39" spans="2:6" ht="15.75" customHeight="1">
      <c r="B39" s="499" t="s">
        <v>166</v>
      </c>
      <c r="C39" s="502" t="str">
        <f>IF(UNMM0021_SQL_FREEWORD_3="",""," "&amp;UNMM0021_SQL_CONJUNCTION&amp;" V_AITESAKI_LIST.FREEWD " &amp;IF(UNMM0021_SQL_FREEWD_KBN=3," NOT ","") &amp;"LIKE "&amp;"'%"&amp;UNMM0021_SQL_FREEWORD_3 &amp;"%'  ")</f>
        <v xml:space="preserve"> AND V_AITESAKI_LIST.FREEWD LIKE '%-----------------------------%'  </v>
      </c>
      <c r="D39" s="208"/>
      <c r="E39" s="208"/>
      <c r="F39" s="208"/>
    </row>
    <row r="40" spans="2:6" ht="15.75" customHeight="1">
      <c r="B40" s="26" t="s">
        <v>138</v>
      </c>
      <c r="C40" s="256" t="s">
        <v>1334</v>
      </c>
      <c r="D40" s="46" t="s">
        <v>1127</v>
      </c>
      <c r="E40" s="208"/>
      <c r="F40" s="208"/>
    </row>
    <row r="41" spans="2:6" ht="15.75" customHeight="1">
      <c r="B41" s="26" t="s">
        <v>1128</v>
      </c>
      <c r="C41" s="29" t="str">
        <f>"
OFFSET "&amp;D41&amp;"*"&amp;UNMM0021_B_CTRL_HYOJI_GYO_SU&amp;" ROWS
 FETCH NEXT "&amp;UNMM0021_B_CTRL_HYOJI_GYO_SU&amp;" ROWS ONLY"</f>
        <v xml:space="preserve">
OFFSET 0*3 ROWS
 FETCH NEXT 3 ROWS ONLY</v>
      </c>
      <c r="D41" s="46">
        <f>UNMM0021_B_PAGE_NO-1</f>
        <v>0</v>
      </c>
      <c r="E41" s="208"/>
      <c r="F41" s="208"/>
    </row>
    <row r="43" spans="2:6" ht="15.75" customHeight="1">
      <c r="B43" s="130" t="s">
        <v>612</v>
      </c>
      <c r="C43" s="256" t="s">
        <v>1842</v>
      </c>
    </row>
    <row r="45" spans="2:6" ht="15.75" customHeight="1">
      <c r="B45" s="130" t="s">
        <v>1597</v>
      </c>
      <c r="C45" s="29" t="s">
        <v>1599</v>
      </c>
    </row>
    <row r="46" spans="2:6" ht="15.75" customHeight="1">
      <c r="B46" s="130" t="s">
        <v>1129</v>
      </c>
      <c r="C46" s="207" t="str">
        <f>C45&amp;C23&amp;C24&amp;C26&amp;C27&amp;C28&amp;C29&amp;C30&amp;C31&amp;C32&amp;C33&amp;C34&amp;C35&amp;C36</f>
        <v>SELECT M_AITESAKI.*
  FROM M_AITESAKI
  LEFT JOIN
       V_AITESAKI_LIST
    ON V_AITESAKI_LIST.AITE_CD = M_AITESAKI.AITE_CD
 WHERE 1=1
AND V_AITESAKI_LIST.AITE_CD = '-----------------------------' AND V_AITESAKI_LIST.EIGYO_TANTO_CD = '----------------------------- '
 OR V_AITESAKI_LIST.SEIKYU_FLG = '×' 
 OR V_AITESAKI_LIST.SHIIRE_FLG = '×' 
 OR V_AITESAKI_LIST.HASSO_FLG = '×' 
 OR V_AITESAKI_LIST.HOKOKU_FLG = '×' 
 OR V_AITESAKI_LIST.MAKER_FLG = '×' 
 OR V_AITESAKI_LIST.GAICHU_FLG = '×' 
 OR V_AITESAKI_LIST.KANKO_FLG = '×' 
 OR V_AITESAKI_LIST.DOGYO_FLG = '×' 
 OR V_AITESAKI_LIST.SPOT_FLG = '×'    AND V_AITESAKI_LIST.MISHIYO_FLG IS NULL    AND(
        1=1
 AND V_AITESAKI_LIST.FREEWD LIKE '%-----------------------------%'  
 AND V_AITESAKI_LIST.FREEWD LIKE '%-----------------------------%'  
 AND V_AITESAKI_LIST.FREEWD LIKE '%-----------------------------%'  
)</v>
      </c>
    </row>
  </sheetData>
  <phoneticPr fontId="2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FFFF00"/>
  </sheetPr>
  <dimension ref="A1:O62"/>
  <sheetViews>
    <sheetView showGridLines="0" showRowColHeaders="0" topLeftCell="G1" zoomScaleNormal="100" workbookViewId="0">
      <selection sqref="A1:F1"/>
    </sheetView>
  </sheetViews>
  <sheetFormatPr defaultRowHeight="16.5"/>
  <cols>
    <col min="1" max="1" width="14.125" style="84" hidden="1" customWidth="1"/>
    <col min="2" max="2" width="36.5" style="84" hidden="1" customWidth="1"/>
    <col min="3" max="6" width="9" style="84" hidden="1" customWidth="1"/>
    <col min="7" max="7" width="3.375" style="83" customWidth="1"/>
    <col min="8" max="12" width="11.75" style="83" customWidth="1"/>
    <col min="13" max="13" width="12" style="83" customWidth="1"/>
    <col min="14" max="14" width="9" style="83" customWidth="1"/>
    <col min="15" max="15" width="9" style="83"/>
    <col min="16" max="16" width="3.375" style="83" customWidth="1"/>
    <col min="17" max="16384" width="9" style="83"/>
  </cols>
  <sheetData>
    <row r="1" spans="1:15" s="5" customFormat="1" ht="20.25" thickBot="1">
      <c r="A1" s="18"/>
      <c r="B1" s="18"/>
      <c r="C1" s="18"/>
      <c r="D1" s="18"/>
      <c r="E1" s="18"/>
      <c r="F1" s="18"/>
      <c r="G1" s="5" t="s">
        <v>509</v>
      </c>
      <c r="J1" s="5" t="str">
        <f>IF(UNMM0020_IF_MODE=1,"【新規作成モード】",IF(UNMM0020_IF_MODE=2,"【修正モード】","【参照モード】"))</f>
        <v>【参照モード】</v>
      </c>
    </row>
    <row r="2" spans="1:15">
      <c r="A2" s="163" t="s">
        <v>511</v>
      </c>
      <c r="B2" s="163" t="s">
        <v>949</v>
      </c>
      <c r="C2" s="466" t="b">
        <v>0</v>
      </c>
      <c r="D2" s="163" t="s">
        <v>2078</v>
      </c>
      <c r="E2" s="163"/>
      <c r="F2" s="163"/>
    </row>
    <row r="3" spans="1:15">
      <c r="A3" s="163" t="s">
        <v>514</v>
      </c>
      <c r="B3" s="163" t="s">
        <v>950</v>
      </c>
      <c r="C3" s="467" t="b">
        <v>0</v>
      </c>
      <c r="D3" s="163"/>
      <c r="E3" s="163"/>
      <c r="F3" s="163"/>
      <c r="H3" s="17" t="s">
        <v>513</v>
      </c>
      <c r="I3" s="433"/>
      <c r="J3" s="3"/>
    </row>
    <row r="4" spans="1:15">
      <c r="A4" s="163" t="s">
        <v>517</v>
      </c>
      <c r="B4" s="163" t="s">
        <v>951</v>
      </c>
      <c r="C4" s="467" t="b">
        <v>0</v>
      </c>
      <c r="D4" s="163"/>
      <c r="E4" s="163"/>
      <c r="F4" s="163"/>
      <c r="H4" s="17" t="s">
        <v>516</v>
      </c>
      <c r="I4" s="580"/>
      <c r="J4" s="581"/>
      <c r="K4" s="581"/>
      <c r="L4" s="582"/>
    </row>
    <row r="5" spans="1:15">
      <c r="A5" s="163" t="s">
        <v>518</v>
      </c>
      <c r="B5" s="163" t="s">
        <v>952</v>
      </c>
      <c r="C5" s="467" t="b">
        <v>0</v>
      </c>
      <c r="D5" s="163"/>
      <c r="E5" s="163"/>
      <c r="F5" s="163"/>
    </row>
    <row r="6" spans="1:15">
      <c r="A6" s="163" t="s">
        <v>953</v>
      </c>
      <c r="B6" s="163" t="s">
        <v>954</v>
      </c>
      <c r="C6" s="467" t="b">
        <v>0</v>
      </c>
      <c r="D6" s="163"/>
      <c r="E6" s="163"/>
      <c r="F6" s="163"/>
      <c r="H6" s="7" t="s">
        <v>519</v>
      </c>
      <c r="I6" s="433"/>
      <c r="K6" s="7"/>
    </row>
    <row r="7" spans="1:15">
      <c r="A7" s="163" t="s">
        <v>521</v>
      </c>
      <c r="B7" s="163" t="s">
        <v>955</v>
      </c>
      <c r="C7" s="467" t="b">
        <v>0</v>
      </c>
      <c r="D7" s="163"/>
      <c r="E7" s="163"/>
      <c r="F7" s="163"/>
      <c r="H7" s="7" t="s">
        <v>520</v>
      </c>
      <c r="I7" s="579"/>
      <c r="J7" s="579"/>
      <c r="K7" s="579"/>
      <c r="L7" s="579"/>
      <c r="M7" s="579"/>
      <c r="N7" s="579"/>
      <c r="O7" s="579"/>
    </row>
    <row r="8" spans="1:15">
      <c r="A8" s="163" t="s">
        <v>523</v>
      </c>
      <c r="B8" s="163" t="s">
        <v>956</v>
      </c>
      <c r="C8" s="467" t="b">
        <v>0</v>
      </c>
      <c r="D8" s="163"/>
      <c r="E8" s="163"/>
      <c r="F8" s="163"/>
      <c r="H8" s="7" t="s">
        <v>522</v>
      </c>
      <c r="I8" s="579"/>
      <c r="J8" s="579"/>
      <c r="K8" s="579"/>
      <c r="L8" s="579"/>
      <c r="M8" s="579"/>
      <c r="N8" s="579"/>
      <c r="O8" s="579"/>
    </row>
    <row r="9" spans="1:15">
      <c r="A9" s="163" t="s">
        <v>524</v>
      </c>
      <c r="B9" s="163" t="s">
        <v>958</v>
      </c>
      <c r="C9" s="467" t="b">
        <v>0</v>
      </c>
      <c r="D9" s="163"/>
      <c r="E9" s="163"/>
      <c r="F9" s="163"/>
      <c r="H9" s="7" t="s">
        <v>957</v>
      </c>
      <c r="I9" s="555"/>
      <c r="J9" s="557"/>
      <c r="K9" s="78"/>
      <c r="L9" s="78"/>
      <c r="M9" s="78"/>
      <c r="N9" s="78"/>
      <c r="O9" s="78"/>
    </row>
    <row r="10" spans="1:15">
      <c r="A10" s="163" t="s">
        <v>960</v>
      </c>
      <c r="B10" s="163" t="s">
        <v>961</v>
      </c>
      <c r="C10" s="467" t="b">
        <v>0</v>
      </c>
      <c r="D10" s="163"/>
      <c r="E10" s="163"/>
      <c r="F10" s="163"/>
      <c r="H10" s="7" t="s">
        <v>959</v>
      </c>
      <c r="I10" s="555"/>
      <c r="J10" s="557"/>
      <c r="K10" s="78"/>
      <c r="L10" s="78"/>
      <c r="M10" s="78"/>
      <c r="N10" s="78"/>
      <c r="O10" s="78"/>
    </row>
    <row r="11" spans="1:15">
      <c r="A11" s="163" t="s">
        <v>525</v>
      </c>
      <c r="B11" s="163" t="s">
        <v>963</v>
      </c>
      <c r="C11" s="467" t="b">
        <v>0</v>
      </c>
      <c r="D11" s="163"/>
      <c r="E11" s="163"/>
      <c r="F11" s="163"/>
      <c r="H11" s="7" t="s">
        <v>962</v>
      </c>
      <c r="I11" s="579"/>
      <c r="J11" s="579"/>
      <c r="K11" s="579"/>
      <c r="L11" s="579"/>
      <c r="M11" s="78"/>
      <c r="N11" s="78"/>
      <c r="O11" s="78"/>
    </row>
    <row r="12" spans="1:15">
      <c r="A12" s="163" t="s">
        <v>527</v>
      </c>
      <c r="B12" s="163" t="s">
        <v>964</v>
      </c>
      <c r="C12" s="467" t="b">
        <v>0</v>
      </c>
      <c r="D12" s="163"/>
      <c r="E12" s="163"/>
      <c r="F12" s="163"/>
      <c r="H12" s="7" t="s">
        <v>526</v>
      </c>
      <c r="I12" s="555"/>
      <c r="J12" s="556"/>
      <c r="K12" s="556"/>
      <c r="L12" s="557"/>
      <c r="M12" s="78"/>
      <c r="N12" s="78"/>
      <c r="O12" s="78"/>
    </row>
    <row r="13" spans="1:15">
      <c r="A13" s="163" t="s">
        <v>529</v>
      </c>
      <c r="B13" s="163" t="s">
        <v>965</v>
      </c>
      <c r="C13" s="467" t="b">
        <v>0</v>
      </c>
      <c r="D13" s="163"/>
      <c r="E13" s="163"/>
      <c r="F13" s="163"/>
      <c r="H13" s="7" t="s">
        <v>528</v>
      </c>
      <c r="I13" s="555"/>
      <c r="J13" s="558"/>
      <c r="K13" s="4" t="s">
        <v>1848</v>
      </c>
      <c r="L13" s="434"/>
      <c r="M13" s="78"/>
      <c r="N13" s="78"/>
      <c r="O13" s="78"/>
    </row>
    <row r="14" spans="1:15">
      <c r="A14" s="163" t="s">
        <v>530</v>
      </c>
      <c r="B14" s="163" t="s">
        <v>966</v>
      </c>
      <c r="C14" s="467" t="b">
        <v>0</v>
      </c>
      <c r="D14" s="163"/>
      <c r="E14" s="163"/>
      <c r="F14" s="163"/>
    </row>
    <row r="15" spans="1:15">
      <c r="A15" s="163" t="s">
        <v>37</v>
      </c>
      <c r="B15" s="163" t="s">
        <v>967</v>
      </c>
      <c r="C15" s="467" t="b">
        <v>0</v>
      </c>
      <c r="D15" s="163"/>
      <c r="E15" s="163"/>
      <c r="F15" s="163"/>
      <c r="H15" s="7" t="s">
        <v>223</v>
      </c>
      <c r="I15" s="559"/>
      <c r="J15" s="560"/>
      <c r="K15" s="560"/>
      <c r="L15" s="561"/>
    </row>
    <row r="16" spans="1:15">
      <c r="A16" s="163" t="s">
        <v>510</v>
      </c>
      <c r="B16" s="163" t="s">
        <v>948</v>
      </c>
      <c r="C16" s="469"/>
      <c r="D16" s="163"/>
      <c r="E16" s="163"/>
      <c r="F16" s="163"/>
      <c r="I16" s="562"/>
      <c r="J16" s="563"/>
      <c r="K16" s="563"/>
      <c r="L16" s="564"/>
    </row>
    <row r="17" spans="1:15">
      <c r="A17" s="163" t="s">
        <v>531</v>
      </c>
      <c r="B17" s="163" t="s">
        <v>968</v>
      </c>
      <c r="C17" s="469"/>
      <c r="D17" s="163"/>
      <c r="E17" s="163"/>
      <c r="F17" s="163"/>
      <c r="I17" s="562"/>
      <c r="J17" s="563"/>
      <c r="K17" s="563"/>
      <c r="L17" s="564"/>
    </row>
    <row r="18" spans="1:15">
      <c r="A18" s="163" t="s">
        <v>2075</v>
      </c>
      <c r="B18" s="163" t="s">
        <v>2076</v>
      </c>
      <c r="C18" s="470"/>
      <c r="D18" s="163"/>
      <c r="E18" s="163"/>
      <c r="F18" s="163"/>
      <c r="I18" s="562"/>
      <c r="J18" s="563"/>
      <c r="K18" s="563"/>
      <c r="L18" s="564"/>
    </row>
    <row r="19" spans="1:15">
      <c r="A19" s="163" t="s">
        <v>109</v>
      </c>
      <c r="B19" s="163" t="s">
        <v>554</v>
      </c>
      <c r="C19" s="467"/>
      <c r="D19" s="163"/>
      <c r="E19" s="163"/>
      <c r="F19" s="163"/>
      <c r="I19" s="565"/>
      <c r="J19" s="566"/>
      <c r="K19" s="566"/>
      <c r="L19" s="567"/>
    </row>
    <row r="20" spans="1:15" ht="17.25" thickBot="1">
      <c r="A20" s="163" t="s">
        <v>110</v>
      </c>
      <c r="B20" s="163" t="s">
        <v>555</v>
      </c>
      <c r="C20" s="468"/>
      <c r="D20" s="163"/>
      <c r="E20" s="163"/>
      <c r="F20" s="163"/>
    </row>
    <row r="21" spans="1:15">
      <c r="A21" s="163" t="s">
        <v>532</v>
      </c>
      <c r="B21" s="163" t="s">
        <v>969</v>
      </c>
      <c r="C21" s="165" t="e">
        <f ca="1">VLOOKUP(UNMM0020_SEIKYU_HOHO,OFFSET(LIST_SEIKYU_TENKAIICHI,0,0,LIST_SEIKYU_HOHO_KENSU,2),2,0)</f>
        <v>#N/A</v>
      </c>
      <c r="D21" s="163"/>
      <c r="E21" s="163"/>
      <c r="F21" s="163"/>
      <c r="H21" s="17" t="s">
        <v>537</v>
      </c>
      <c r="I21" s="186" t="s">
        <v>538</v>
      </c>
      <c r="J21" s="187" t="s">
        <v>539</v>
      </c>
      <c r="K21" s="187" t="s">
        <v>540</v>
      </c>
      <c r="L21" s="187" t="s">
        <v>541</v>
      </c>
      <c r="M21" s="188" t="s">
        <v>972</v>
      </c>
    </row>
    <row r="22" spans="1:15">
      <c r="A22" s="163" t="s">
        <v>533</v>
      </c>
      <c r="B22" s="163" t="s">
        <v>970</v>
      </c>
      <c r="C22" s="165" t="e">
        <f ca="1">VLOOKUP(UNMM0020_KAISHU_SHUBETSU,OFFSET(LIST_KAISHU_SHUBETSU_TENKAIICHI,0,0,LIST_KAISHU_SHUBETSU_KENSU,2),2,0)</f>
        <v>#N/A</v>
      </c>
      <c r="D22" s="163"/>
      <c r="E22" s="163"/>
      <c r="F22" s="163"/>
      <c r="H22" s="7"/>
      <c r="I22" s="189" t="s">
        <v>544</v>
      </c>
      <c r="J22" s="190" t="s">
        <v>545</v>
      </c>
      <c r="K22" s="190" t="s">
        <v>546</v>
      </c>
      <c r="L22" s="190" t="s">
        <v>974</v>
      </c>
      <c r="M22" s="191"/>
    </row>
    <row r="23" spans="1:15">
      <c r="A23" s="163" t="s">
        <v>534</v>
      </c>
      <c r="B23" s="163" t="s">
        <v>971</v>
      </c>
      <c r="C23" s="165" t="e">
        <f ca="1">VLOOKUP(UNMM0020_TAX_KEISAN_KBN,OFFSET(LIST_TAX_KBN_TENKAIICHI,0,0,LIST_TAX_KBN_KENSU,2),2,0)</f>
        <v>#N/A</v>
      </c>
      <c r="D23" s="163"/>
      <c r="E23" s="163"/>
      <c r="F23" s="163"/>
      <c r="H23" s="7"/>
    </row>
    <row r="24" spans="1:15">
      <c r="A24" s="163" t="s">
        <v>535</v>
      </c>
      <c r="B24" s="163" t="s">
        <v>536</v>
      </c>
      <c r="C24" s="165" t="e">
        <f ca="1">VLOOKUP(UNMM0020_SEIKYUSAKI_HASU,OFFSET(LIST_HASU_SHORI_TENKAIICHI,0,0,LIST_HASU_SHORI_KENSU,2),2,0)</f>
        <v>#N/A</v>
      </c>
      <c r="D24" s="163"/>
      <c r="E24" s="163"/>
      <c r="F24" s="163"/>
      <c r="H24" s="7"/>
      <c r="I24" s="52" t="s">
        <v>550</v>
      </c>
      <c r="J24" s="53"/>
      <c r="K24" s="53"/>
      <c r="L24" s="53"/>
      <c r="M24" s="53"/>
      <c r="N24" s="53"/>
      <c r="O24" s="54"/>
    </row>
    <row r="25" spans="1:15">
      <c r="A25" s="163" t="s">
        <v>543</v>
      </c>
      <c r="B25" s="163" t="s">
        <v>973</v>
      </c>
      <c r="C25" s="165" t="e">
        <f ca="1">VLOOKUP(UNMM0020_SEIKYUSAKI_TESURYO,OFFSET(LIST_TESURYO_KBN_TENKAIICHI,0,0,LIST_TESURYO_KBN_KENSU,2),2,0)</f>
        <v>#N/A</v>
      </c>
      <c r="D25" s="163"/>
      <c r="E25" s="163"/>
      <c r="F25" s="163"/>
      <c r="H25" s="7"/>
      <c r="I25" s="12"/>
      <c r="J25" s="17" t="s">
        <v>553</v>
      </c>
      <c r="K25" s="568"/>
      <c r="L25" s="569"/>
      <c r="O25" s="55"/>
    </row>
    <row r="26" spans="1:15">
      <c r="A26" s="163" t="s">
        <v>548</v>
      </c>
      <c r="B26" s="163" t="s">
        <v>975</v>
      </c>
      <c r="C26" s="165" t="e">
        <f ca="1">VLOOKUP(UNMM0020_SHIIRE_SHIHARAI_HOHO,OFFSET(LIST_SHIIRE_SHIHARAI_TENKAIICHI,0,0,LIST_SHIIRE_SHIHARAI_KENSU,2),2,0)</f>
        <v>#N/A</v>
      </c>
      <c r="D26" s="163"/>
      <c r="E26" s="163"/>
      <c r="F26" s="163"/>
      <c r="H26" s="7"/>
      <c r="I26" s="12"/>
      <c r="K26" s="53"/>
      <c r="O26" s="55"/>
    </row>
    <row r="27" spans="1:15">
      <c r="A27" s="163" t="s">
        <v>549</v>
      </c>
      <c r="B27" s="163" t="s">
        <v>976</v>
      </c>
      <c r="C27" s="165" t="e">
        <f ca="1">VLOOKUP(UNMM0020_SHIIRESAKI_HASU,OFFSET(LIST_HASU_SHORI,0,0,LIST_HASU_SHORI_KENSU,2),2,0)</f>
        <v>#N/A</v>
      </c>
      <c r="D27" s="163"/>
      <c r="E27" s="163"/>
      <c r="F27" s="163"/>
      <c r="I27" s="12"/>
      <c r="J27" s="17" t="s">
        <v>27</v>
      </c>
      <c r="K27" s="432"/>
      <c r="O27" s="55"/>
    </row>
    <row r="28" spans="1:15">
      <c r="A28" s="163" t="s">
        <v>551</v>
      </c>
      <c r="B28" s="163" t="s">
        <v>552</v>
      </c>
      <c r="C28" s="165" t="e">
        <f ca="1">VLOOKUP(UNMM0020_SHIIRESAKI_TESURYO,OFFSET(LIST_TESURYO_KBN_TENKAIICHI,0,0,LIST_TESURYO_KBN_KENSU,2),2,0)</f>
        <v>#N/A</v>
      </c>
      <c r="F28" s="163"/>
      <c r="I28" s="12"/>
      <c r="O28" s="55"/>
    </row>
    <row r="29" spans="1:15">
      <c r="A29" s="163" t="s">
        <v>494</v>
      </c>
      <c r="B29" s="164" t="s">
        <v>556</v>
      </c>
      <c r="C29" s="165"/>
      <c r="I29" s="12"/>
      <c r="J29" s="7" t="s">
        <v>9</v>
      </c>
      <c r="K29" s="570"/>
      <c r="L29" s="571"/>
      <c r="M29" s="571"/>
      <c r="N29" s="572"/>
      <c r="O29" s="55"/>
    </row>
    <row r="30" spans="1:15">
      <c r="A30" s="163" t="s">
        <v>495</v>
      </c>
      <c r="B30" s="164" t="s">
        <v>557</v>
      </c>
      <c r="C30" s="165" t="str">
        <f>ADDRESS(ROW(A1),COLUMN(A1))&amp;":"&amp;ADDRESS(ROW(F1),COLUMN(F1))</f>
        <v>$A$1:$F$1</v>
      </c>
      <c r="I30" s="12"/>
      <c r="K30" s="573"/>
      <c r="L30" s="574"/>
      <c r="M30" s="574"/>
      <c r="N30" s="575"/>
      <c r="O30" s="55"/>
    </row>
    <row r="31" spans="1:15">
      <c r="I31" s="12"/>
      <c r="K31" s="573"/>
      <c r="L31" s="574"/>
      <c r="M31" s="574"/>
      <c r="N31" s="575"/>
      <c r="O31" s="55"/>
    </row>
    <row r="32" spans="1:15">
      <c r="A32" s="426" t="s">
        <v>2018</v>
      </c>
      <c r="B32" s="77" t="s">
        <v>2020</v>
      </c>
      <c r="C32" s="88" t="str">
        <f>IF(OR(UNMM0020_SEIKYU_FLG,UNMM0020_SHIIRE_FLG,UNMM0020_HASSO_FLG,UNMM0020_HOKOKU_FLG,UNMM0020_MAKER_FLG,UNMM0020_GAICHU_FLG,UNMM0020_KANKO_FLG,UNMM0020_DOGYO_FLG,UNMM0020_SPOT_FLG,)=TRUE,1,"")</f>
        <v/>
      </c>
      <c r="I32" s="12"/>
      <c r="K32" s="573"/>
      <c r="L32" s="574"/>
      <c r="M32" s="574"/>
      <c r="N32" s="575"/>
      <c r="O32" s="55"/>
    </row>
    <row r="33" spans="1:15">
      <c r="A33" s="426" t="s">
        <v>2019</v>
      </c>
      <c r="B33" s="77" t="s">
        <v>2021</v>
      </c>
      <c r="C33" s="88" t="str">
        <f>IF(OR(UNMM0020_SEIKYUSHO_FLG,UNMM0020_JURYOSHO_FLG,UNMM0020_NOHINSHO_FLG,UNMM0020_HIKAE_FLG)=TRUE,1,"")</f>
        <v/>
      </c>
      <c r="I33" s="12"/>
      <c r="K33" s="576"/>
      <c r="L33" s="577"/>
      <c r="M33" s="577"/>
      <c r="N33" s="578"/>
      <c r="O33" s="55"/>
    </row>
    <row r="34" spans="1:15">
      <c r="I34" s="12"/>
      <c r="J34" s="7"/>
      <c r="O34" s="55"/>
    </row>
    <row r="35" spans="1:15">
      <c r="I35" s="12"/>
      <c r="J35" s="17" t="s">
        <v>558</v>
      </c>
      <c r="K35" s="434"/>
      <c r="O35" s="55"/>
    </row>
    <row r="36" spans="1:15">
      <c r="I36" s="12"/>
      <c r="J36" s="7"/>
      <c r="O36" s="55"/>
    </row>
    <row r="37" spans="1:15">
      <c r="I37" s="12"/>
      <c r="J37" s="194" t="s">
        <v>28</v>
      </c>
      <c r="K37" s="434"/>
      <c r="O37" s="55"/>
    </row>
    <row r="38" spans="1:15">
      <c r="I38" s="12"/>
      <c r="J38" s="194" t="s">
        <v>10</v>
      </c>
      <c r="K38" s="392"/>
      <c r="L38" s="83" t="s">
        <v>11</v>
      </c>
      <c r="M38" s="392"/>
      <c r="N38" s="3" t="s">
        <v>1648</v>
      </c>
      <c r="O38" s="55"/>
    </row>
    <row r="39" spans="1:15">
      <c r="I39" s="12"/>
      <c r="O39" s="55"/>
    </row>
    <row r="40" spans="1:15">
      <c r="I40" s="12"/>
      <c r="J40" s="194" t="s">
        <v>559</v>
      </c>
      <c r="K40" s="434"/>
      <c r="O40" s="55"/>
    </row>
    <row r="41" spans="1:15">
      <c r="I41" s="12"/>
      <c r="J41" s="17" t="s">
        <v>30</v>
      </c>
      <c r="K41" s="293" t="s">
        <v>560</v>
      </c>
      <c r="L41" s="294" t="s">
        <v>561</v>
      </c>
      <c r="M41" s="294" t="s">
        <v>562</v>
      </c>
      <c r="N41" s="295" t="s">
        <v>563</v>
      </c>
      <c r="O41" s="55"/>
    </row>
    <row r="42" spans="1:15">
      <c r="I42" s="12"/>
      <c r="J42" s="17" t="s">
        <v>29</v>
      </c>
      <c r="K42" s="434"/>
      <c r="M42" s="7"/>
      <c r="N42" s="7"/>
      <c r="O42" s="55"/>
    </row>
    <row r="43" spans="1:15">
      <c r="I43" s="12"/>
      <c r="J43" s="17" t="s">
        <v>564</v>
      </c>
      <c r="K43" s="434"/>
      <c r="M43" s="7"/>
      <c r="N43" s="7"/>
      <c r="O43" s="55"/>
    </row>
    <row r="44" spans="1:15">
      <c r="I44" s="56"/>
      <c r="J44" s="13"/>
      <c r="K44" s="13"/>
      <c r="L44" s="13"/>
      <c r="M44" s="13"/>
      <c r="N44" s="13"/>
      <c r="O44" s="11"/>
    </row>
    <row r="45" spans="1:15">
      <c r="H45" s="7"/>
    </row>
    <row r="46" spans="1:15">
      <c r="H46" s="7"/>
      <c r="I46" s="52" t="s">
        <v>565</v>
      </c>
      <c r="J46" s="53"/>
      <c r="K46" s="53"/>
      <c r="L46" s="53"/>
      <c r="M46" s="53"/>
      <c r="N46" s="53"/>
      <c r="O46" s="54"/>
    </row>
    <row r="47" spans="1:15">
      <c r="I47" s="12"/>
      <c r="J47" s="17" t="s">
        <v>14</v>
      </c>
      <c r="K47" s="434"/>
      <c r="O47" s="55"/>
    </row>
    <row r="48" spans="1:15">
      <c r="I48" s="12"/>
      <c r="O48" s="55"/>
    </row>
    <row r="49" spans="8:15">
      <c r="I49" s="12"/>
      <c r="J49" s="7" t="s">
        <v>9</v>
      </c>
      <c r="K49" s="570"/>
      <c r="L49" s="571"/>
      <c r="M49" s="571"/>
      <c r="N49" s="572"/>
      <c r="O49" s="55"/>
    </row>
    <row r="50" spans="8:15">
      <c r="I50" s="12"/>
      <c r="K50" s="573"/>
      <c r="L50" s="574"/>
      <c r="M50" s="574"/>
      <c r="N50" s="575"/>
      <c r="O50" s="55"/>
    </row>
    <row r="51" spans="8:15">
      <c r="I51" s="12"/>
      <c r="K51" s="573"/>
      <c r="L51" s="574"/>
      <c r="M51" s="574"/>
      <c r="N51" s="575"/>
      <c r="O51" s="55"/>
    </row>
    <row r="52" spans="8:15">
      <c r="I52" s="12"/>
      <c r="K52" s="573"/>
      <c r="L52" s="574"/>
      <c r="M52" s="574"/>
      <c r="N52" s="575"/>
      <c r="O52" s="55"/>
    </row>
    <row r="53" spans="8:15">
      <c r="I53" s="12"/>
      <c r="K53" s="576"/>
      <c r="L53" s="577"/>
      <c r="M53" s="577"/>
      <c r="N53" s="578"/>
      <c r="O53" s="55"/>
    </row>
    <row r="54" spans="8:15">
      <c r="I54" s="12"/>
      <c r="J54" s="7"/>
      <c r="O54" s="55"/>
    </row>
    <row r="55" spans="8:15">
      <c r="I55" s="12"/>
      <c r="J55" s="17" t="s">
        <v>29</v>
      </c>
      <c r="K55" s="434"/>
      <c r="O55" s="55"/>
    </row>
    <row r="56" spans="8:15">
      <c r="I56" s="12"/>
      <c r="J56" s="17" t="s">
        <v>564</v>
      </c>
      <c r="K56" s="434"/>
      <c r="M56" s="7"/>
      <c r="N56" s="7"/>
      <c r="O56" s="55"/>
    </row>
    <row r="57" spans="8:15">
      <c r="H57" s="7"/>
      <c r="I57" s="56"/>
      <c r="J57" s="13"/>
      <c r="K57" s="13"/>
      <c r="L57" s="13"/>
      <c r="M57" s="13"/>
      <c r="N57" s="13"/>
      <c r="O57" s="11"/>
    </row>
    <row r="58" spans="8:15">
      <c r="H58" s="7"/>
    </row>
    <row r="59" spans="8:15">
      <c r="H59" s="7" t="s">
        <v>6</v>
      </c>
    </row>
    <row r="60" spans="8:15">
      <c r="H60" s="7"/>
    </row>
    <row r="61" spans="8:15">
      <c r="H61" s="7" t="s">
        <v>7</v>
      </c>
      <c r="I61" s="552" t="str">
        <f>IF(UNMM0020_INSERT_DATETIME="","",MID(UNMM0020_INSERT_DATETIME,3,4)&amp;"/"&amp;MID(UNMM0020_INSERT_DATETIME,8,2)&amp;"/"&amp;MID(UNMM0020_INSERT_DATETIME,11,2)&amp;" "&amp;MID(UNMM0020_INSERT_DATETIME,14,8))</f>
        <v/>
      </c>
      <c r="J61" s="553"/>
      <c r="K61" s="7" t="s">
        <v>8</v>
      </c>
      <c r="L61" s="552" t="str">
        <f>IF(UNMM0020_UPDATE_DATETIME="","",MID(UNMM0020_UPDATE_DATETIME,3,4)&amp;"/"&amp;MID(UNMM0020_UPDATE_DATETIME,8,2)&amp;"/"&amp;MID(UNMM0020_UPDATE_DATETIME,11,2)&amp;" "&amp;MID(UNMM0020_UPDATE_DATETIME,14,8))</f>
        <v/>
      </c>
      <c r="M61" s="553"/>
    </row>
    <row r="62" spans="8:15">
      <c r="H62" s="7"/>
    </row>
  </sheetData>
  <sheetProtection sheet="1" objects="1" scenarios="1" selectLockedCells="1"/>
  <mergeCells count="14">
    <mergeCell ref="I11:L11"/>
    <mergeCell ref="I4:L4"/>
    <mergeCell ref="I7:O7"/>
    <mergeCell ref="I8:O8"/>
    <mergeCell ref="I9:J9"/>
    <mergeCell ref="I10:J10"/>
    <mergeCell ref="I61:J61"/>
    <mergeCell ref="L61:M61"/>
    <mergeCell ref="I12:L12"/>
    <mergeCell ref="I13:J13"/>
    <mergeCell ref="I15:L19"/>
    <mergeCell ref="K25:L25"/>
    <mergeCell ref="K29:N33"/>
    <mergeCell ref="K49:N53"/>
  </mergeCells>
  <phoneticPr fontId="2"/>
  <conditionalFormatting sqref="G1:XFD1">
    <cfRule type="expression" dxfId="65" priority="1">
      <formula>UNMM0020_IF_MODE=2</formula>
    </cfRule>
  </conditionalFormatting>
  <dataValidations count="19">
    <dataValidation type="custom" allowBlank="1" showInputMessage="1" showErrorMessage="1" sqref="I8:O8">
      <formula1>LENB(I8)&lt;=36</formula1>
    </dataValidation>
    <dataValidation type="custom" allowBlank="1" showInputMessage="1" showErrorMessage="1" sqref="K29:N33 K49:N53">
      <formula1>LENB(I29)&lt;=256</formula1>
    </dataValidation>
    <dataValidation type="custom" allowBlank="1" showInputMessage="1" showErrorMessage="1" sqref="I12:L12 I13:J13">
      <formula1>LEN(I12)&lt;=20</formula1>
    </dataValidation>
    <dataValidation type="list" allowBlank="1" showInputMessage="1" showErrorMessage="1" sqref="K47">
      <formula1>LIST_SHIIRE_SHIHARAI</formula1>
    </dataValidation>
    <dataValidation type="list" allowBlank="1" showInputMessage="1" showErrorMessage="1" sqref="K43 K56">
      <formula1>LIST_TESURYO_KBN</formula1>
    </dataValidation>
    <dataValidation type="list" allowBlank="1" showInputMessage="1" showErrorMessage="1" sqref="K42 K55">
      <formula1>LIST_HASU_SHORI</formula1>
    </dataValidation>
    <dataValidation type="list" allowBlank="1" showInputMessage="1" showErrorMessage="1" sqref="K40">
      <formula1>LIST_TAX_KBN</formula1>
    </dataValidation>
    <dataValidation type="list" allowBlank="1" showInputMessage="1" showErrorMessage="1" sqref="K37">
      <formula1>LIST_KAISHU_SHUBETSU</formula1>
    </dataValidation>
    <dataValidation type="list" allowBlank="1" showInputMessage="1" showErrorMessage="1" sqref="M38">
      <formula1>LIST_DAY</formula1>
    </dataValidation>
    <dataValidation type="list" allowBlank="1" showInputMessage="1" showErrorMessage="1" sqref="K35">
      <formula1>LIST_SEIKYU_HOHO</formula1>
    </dataValidation>
    <dataValidation type="custom" allowBlank="1" showInputMessage="1" showErrorMessage="1" sqref="I15:L19">
      <formula1>LENB(I15)&lt;=256</formula1>
    </dataValidation>
    <dataValidation type="custom" allowBlank="1" showInputMessage="1" showErrorMessage="1" sqref="I11:L11">
      <formula1>AND(LEN(I11)=LENB(I11),LEN(I11)&lt;=320)</formula1>
    </dataValidation>
    <dataValidation type="custom" allowBlank="1" showInputMessage="1" showErrorMessage="1" sqref="I9:J10">
      <formula1>AND(LEN(I9)=LENB(I9),LEN(I9)&lt;=13)</formula1>
    </dataValidation>
    <dataValidation type="custom" allowBlank="1" showInputMessage="1" showErrorMessage="1" sqref="I6">
      <formula1>AND(LEN(I6)=LENB(I6),LEN(I6)&lt;=8)</formula1>
    </dataValidation>
    <dataValidation type="custom" allowBlank="1" showInputMessage="1" showErrorMessage="1" sqref="I4:L4">
      <formula1>IF(NOT(ISERROR(SEARCHB(" ",I4,1))),IF(SEARCHB(" ",I4,1)&gt;40,FALSE,IF(LENB(I4)-SEARCHB(" ",I4,1)&gt;36,FALSE,TRUE)),IF(NOT(ISERROR(SEARCHB("　",I4,1))),IF(SEARCHB("　",I4,1)-1&gt;40,FALSE,IF(LENB(I4)-SEARCHB("　",I4,1)-1&gt;36,FALSE,TRUE)),IF(LENB(I4)&gt;40,FALSE,TRUE)))</formula1>
    </dataValidation>
    <dataValidation type="custom" allowBlank="1" showInputMessage="1" showErrorMessage="1" sqref="I3">
      <formula1>AND(LEN(I3)=LENB(I3),LEN(I3)&lt;=10)</formula1>
    </dataValidation>
    <dataValidation type="list" allowBlank="1" showInputMessage="1" sqref="L13">
      <formula1>LIST_KEISHO</formula1>
    </dataValidation>
    <dataValidation type="whole" operator="greaterThanOrEqual" allowBlank="1" showInputMessage="1" showErrorMessage="1" sqref="K38">
      <formula1>0</formula1>
    </dataValidation>
    <dataValidation type="custom" allowBlank="1" showInputMessage="1" showErrorMessage="1" sqref="I7:O7">
      <formula1>LENB(I7)&lt;=40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41" r:id="rId4" name="Check Box 1">
              <controlPr defaultSize="0" autoFill="0" autoLine="0" autoPict="0">
                <anchor moveWithCells="1">
                  <from>
                    <xdr:col>8</xdr:col>
                    <xdr:colOff>19050</xdr:colOff>
                    <xdr:row>20</xdr:row>
                    <xdr:rowOff>19050</xdr:rowOff>
                  </from>
                  <to>
                    <xdr:col>8</xdr:col>
                    <xdr:colOff>190500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42" r:id="rId5" name="Check Box 2">
              <controlPr defaultSize="0" autoFill="0" autoLine="0" autoPict="0">
                <anchor moveWithCells="1">
                  <from>
                    <xdr:col>9</xdr:col>
                    <xdr:colOff>9525</xdr:colOff>
                    <xdr:row>20</xdr:row>
                    <xdr:rowOff>19050</xdr:rowOff>
                  </from>
                  <to>
                    <xdr:col>9</xdr:col>
                    <xdr:colOff>180975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43" r:id="rId6" name="Check Box 3">
              <controlPr defaultSize="0" autoFill="0" autoLine="0" autoPict="0">
                <anchor moveWithCells="1">
                  <from>
                    <xdr:col>8</xdr:col>
                    <xdr:colOff>19050</xdr:colOff>
                    <xdr:row>21</xdr:row>
                    <xdr:rowOff>19050</xdr:rowOff>
                  </from>
                  <to>
                    <xdr:col>8</xdr:col>
                    <xdr:colOff>190500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44" r:id="rId7" name="Check Box 4">
              <controlPr defaultSize="0" autoFill="0" autoLine="0" autoPict="0">
                <anchor moveWithCells="1">
                  <from>
                    <xdr:col>9</xdr:col>
                    <xdr:colOff>9525</xdr:colOff>
                    <xdr:row>21</xdr:row>
                    <xdr:rowOff>19050</xdr:rowOff>
                  </from>
                  <to>
                    <xdr:col>9</xdr:col>
                    <xdr:colOff>180975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45" r:id="rId8" name="Check Box 5">
              <controlPr defaultSize="0" autoFill="0" autoLine="0" autoPict="0">
                <anchor moveWithCells="1">
                  <from>
                    <xdr:col>10</xdr:col>
                    <xdr:colOff>0</xdr:colOff>
                    <xdr:row>20</xdr:row>
                    <xdr:rowOff>19050</xdr:rowOff>
                  </from>
                  <to>
                    <xdr:col>10</xdr:col>
                    <xdr:colOff>171450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46" r:id="rId9" name="Check Box 6">
              <controlPr defaultSize="0" autoFill="0" autoLine="0" autoPict="0">
                <anchor moveWithCells="1">
                  <from>
                    <xdr:col>10</xdr:col>
                    <xdr:colOff>0</xdr:colOff>
                    <xdr:row>21</xdr:row>
                    <xdr:rowOff>19050</xdr:rowOff>
                  </from>
                  <to>
                    <xdr:col>10</xdr:col>
                    <xdr:colOff>171450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47" r:id="rId10" name="Check Box 7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19050</xdr:rowOff>
                  </from>
                  <to>
                    <xdr:col>11</xdr:col>
                    <xdr:colOff>180975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48" r:id="rId11" name="Check Box 8">
              <controlPr defaultSize="0" autoFill="0" autoLine="0" autoPict="0">
                <anchor moveWithCells="1">
                  <from>
                    <xdr:col>11</xdr:col>
                    <xdr:colOff>9525</xdr:colOff>
                    <xdr:row>21</xdr:row>
                    <xdr:rowOff>19050</xdr:rowOff>
                  </from>
                  <to>
                    <xdr:col>11</xdr:col>
                    <xdr:colOff>180975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49" r:id="rId12" name="Check Box 9">
              <controlPr defaultSize="0" autoFill="0" autoLine="0" autoPict="0">
                <anchor moveWithCells="1">
                  <from>
                    <xdr:col>12</xdr:col>
                    <xdr:colOff>19050</xdr:colOff>
                    <xdr:row>20</xdr:row>
                    <xdr:rowOff>19050</xdr:rowOff>
                  </from>
                  <to>
                    <xdr:col>12</xdr:col>
                    <xdr:colOff>190500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50" r:id="rId13" name="Check Box 10">
              <controlPr defaultSize="0" autoFill="0" autoLine="0" autoPict="0">
                <anchor moveWithCells="1">
                  <from>
                    <xdr:col>10</xdr:col>
                    <xdr:colOff>9525</xdr:colOff>
                    <xdr:row>39</xdr:row>
                    <xdr:rowOff>180975</xdr:rowOff>
                  </from>
                  <to>
                    <xdr:col>10</xdr:col>
                    <xdr:colOff>219075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51" r:id="rId14" name="Check Box 11">
              <controlPr defaultSize="0" autoFill="0" autoLine="0" autoPict="0">
                <anchor moveWithCells="1">
                  <from>
                    <xdr:col>11</xdr:col>
                    <xdr:colOff>19050</xdr:colOff>
                    <xdr:row>39</xdr:row>
                    <xdr:rowOff>180975</xdr:rowOff>
                  </from>
                  <to>
                    <xdr:col>11</xdr:col>
                    <xdr:colOff>228600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52" r:id="rId15" name="Check Box 12">
              <controlPr defaultSize="0" autoFill="0" autoLine="0" autoPict="0">
                <anchor moveWithCells="1">
                  <from>
                    <xdr:col>12</xdr:col>
                    <xdr:colOff>28575</xdr:colOff>
                    <xdr:row>39</xdr:row>
                    <xdr:rowOff>180975</xdr:rowOff>
                  </from>
                  <to>
                    <xdr:col>12</xdr:col>
                    <xdr:colOff>238125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53" r:id="rId16" name="Check Box 13">
              <controlPr defaultSize="0" autoFill="0" autoLine="0" autoPict="0">
                <anchor moveWithCells="1">
                  <from>
                    <xdr:col>12</xdr:col>
                    <xdr:colOff>904875</xdr:colOff>
                    <xdr:row>39</xdr:row>
                    <xdr:rowOff>180975</xdr:rowOff>
                  </from>
                  <to>
                    <xdr:col>13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54" r:id="rId17" name="Check Box 14">
              <controlPr defaultSize="0" autoFill="0" autoLine="0" autoPict="0">
                <anchor moveWithCells="1">
                  <from>
                    <xdr:col>7</xdr:col>
                    <xdr:colOff>857250</xdr:colOff>
                    <xdr:row>57</xdr:row>
                    <xdr:rowOff>190500</xdr:rowOff>
                  </from>
                  <to>
                    <xdr:col>8</xdr:col>
                    <xdr:colOff>171450</xdr:colOff>
                    <xdr:row>59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BA190"/>
  <sheetViews>
    <sheetView zoomScale="85" zoomScaleNormal="85" workbookViewId="0">
      <selection activeCell="A192" sqref="A192:XFD1048576"/>
    </sheetView>
  </sheetViews>
  <sheetFormatPr defaultRowHeight="13.5"/>
  <cols>
    <col min="1" max="1" width="2.375" style="130" customWidth="1"/>
    <col min="2" max="2" width="14.5" style="130" customWidth="1"/>
    <col min="3" max="3" width="21.75" style="130" customWidth="1"/>
    <col min="4" max="4" width="18.375" style="130" customWidth="1"/>
    <col min="5" max="7" width="9.75" style="130" customWidth="1"/>
    <col min="8" max="8" width="11.75" style="130" customWidth="1"/>
    <col min="9" max="9" width="11.75" style="129" customWidth="1"/>
    <col min="10" max="10" width="11.75" style="124" customWidth="1"/>
    <col min="11" max="12" width="11.75" style="130" customWidth="1"/>
    <col min="13" max="13" width="12" style="130" customWidth="1"/>
    <col min="14" max="14" width="9" style="130" customWidth="1"/>
    <col min="15" max="15" width="9" style="130"/>
    <col min="16" max="16" width="10.5" style="130" customWidth="1"/>
    <col min="17" max="17" width="9" style="130" customWidth="1"/>
    <col min="18" max="18" width="19.375" style="130" customWidth="1"/>
    <col min="19" max="20" width="25" style="130" customWidth="1"/>
    <col min="21" max="21" width="14.625" style="130" customWidth="1"/>
    <col min="22" max="23" width="24.75" style="130" customWidth="1"/>
    <col min="24" max="24" width="24.875" style="130" customWidth="1"/>
    <col min="25" max="26" width="9.375" style="130" customWidth="1"/>
    <col min="27" max="27" width="9" style="130"/>
    <col min="28" max="28" width="21" style="130" customWidth="1"/>
    <col min="29" max="29" width="21.5" style="130" customWidth="1"/>
    <col min="30" max="30" width="9" style="130"/>
    <col min="31" max="31" width="21" style="130" customWidth="1"/>
    <col min="32" max="32" width="21.125" style="130" customWidth="1"/>
    <col min="33" max="33" width="9" style="130"/>
    <col min="34" max="34" width="21" style="130" customWidth="1"/>
    <col min="35" max="35" width="21.125" style="130" customWidth="1"/>
    <col min="36" max="36" width="9" style="130"/>
    <col min="37" max="37" width="21" style="130" customWidth="1"/>
    <col min="38" max="38" width="21.125" style="130" customWidth="1"/>
    <col min="39" max="39" width="9" style="130"/>
    <col min="40" max="40" width="21" style="130" customWidth="1"/>
    <col min="41" max="41" width="21.125" style="130" customWidth="1"/>
    <col min="42" max="42" width="9" style="130"/>
    <col min="43" max="43" width="21" style="130" customWidth="1"/>
    <col min="44" max="44" width="21.125" style="130" customWidth="1"/>
    <col min="45" max="45" width="9" style="130"/>
    <col min="46" max="46" width="21" style="130" customWidth="1"/>
    <col min="47" max="47" width="21.125" style="130" customWidth="1"/>
    <col min="48" max="48" width="9" style="130"/>
    <col min="49" max="49" width="21" style="130" customWidth="1"/>
    <col min="50" max="50" width="21.125" style="130" customWidth="1"/>
    <col min="51" max="51" width="9" style="130"/>
    <col min="52" max="52" width="21" style="130" customWidth="1"/>
    <col min="53" max="53" width="21.125" style="130" customWidth="1"/>
    <col min="54" max="16384" width="9" style="130"/>
  </cols>
  <sheetData>
    <row r="1" spans="1:53">
      <c r="A1" s="85" t="s">
        <v>111</v>
      </c>
      <c r="P1" s="129"/>
      <c r="Q1" s="85" t="s">
        <v>42</v>
      </c>
      <c r="S1" s="129"/>
      <c r="T1" s="129"/>
      <c r="U1" s="129"/>
      <c r="V1" s="124"/>
      <c r="W1" s="419"/>
      <c r="X1" s="419"/>
      <c r="Y1" s="419"/>
      <c r="Z1" s="419"/>
      <c r="AA1" s="85" t="s">
        <v>1965</v>
      </c>
    </row>
    <row r="2" spans="1:53" ht="14.25" thickBot="1">
      <c r="B2" s="130" t="s">
        <v>617</v>
      </c>
      <c r="C2" s="130" t="s">
        <v>1962</v>
      </c>
      <c r="D2" s="85"/>
      <c r="E2" s="85"/>
      <c r="F2" s="85"/>
      <c r="G2" s="85"/>
      <c r="H2" s="130" t="s">
        <v>114</v>
      </c>
      <c r="I2" s="129" t="s">
        <v>618</v>
      </c>
      <c r="P2" s="129"/>
      <c r="Q2" s="85"/>
      <c r="R2" s="130" t="s">
        <v>76</v>
      </c>
      <c r="S2" s="129"/>
      <c r="T2" s="129"/>
      <c r="U2" s="129"/>
      <c r="V2" s="124"/>
      <c r="W2" s="419"/>
      <c r="X2" s="419"/>
      <c r="Y2" s="419"/>
      <c r="Z2" s="419"/>
    </row>
    <row r="3" spans="1:53" ht="16.5">
      <c r="B3" s="84" t="s">
        <v>511</v>
      </c>
      <c r="C3" s="89" t="s">
        <v>512</v>
      </c>
      <c r="D3" s="466" t="b">
        <v>0</v>
      </c>
      <c r="E3" s="84"/>
      <c r="F3" s="84"/>
      <c r="G3" s="84"/>
      <c r="I3" s="433"/>
      <c r="J3" s="3"/>
      <c r="K3" s="83"/>
      <c r="L3" s="83"/>
      <c r="M3" s="83"/>
      <c r="N3" s="83"/>
      <c r="O3" s="83"/>
      <c r="P3" s="129"/>
      <c r="Q3" s="85"/>
      <c r="R3" s="426" t="s">
        <v>1085</v>
      </c>
      <c r="S3" s="77" t="s">
        <v>1086</v>
      </c>
      <c r="T3" s="201"/>
      <c r="U3" s="129"/>
      <c r="V3" s="84" t="s">
        <v>1990</v>
      </c>
      <c r="W3" s="84"/>
      <c r="X3" s="129"/>
      <c r="Y3" s="129"/>
      <c r="Z3" s="419"/>
      <c r="AB3" s="90" t="s">
        <v>385</v>
      </c>
      <c r="AC3" s="90" t="s">
        <v>620</v>
      </c>
      <c r="AE3" s="90" t="s">
        <v>385</v>
      </c>
      <c r="AF3" s="90" t="s">
        <v>621</v>
      </c>
      <c r="AH3" s="90" t="s">
        <v>385</v>
      </c>
      <c r="AI3" s="90" t="s">
        <v>622</v>
      </c>
      <c r="AK3" s="90" t="s">
        <v>385</v>
      </c>
      <c r="AL3" s="90" t="s">
        <v>623</v>
      </c>
      <c r="AN3" s="90" t="s">
        <v>385</v>
      </c>
      <c r="AO3" s="90" t="s">
        <v>624</v>
      </c>
      <c r="AQ3" s="90" t="s">
        <v>385</v>
      </c>
      <c r="AR3" s="90" t="s">
        <v>625</v>
      </c>
      <c r="AT3" s="90" t="s">
        <v>385</v>
      </c>
      <c r="AU3" s="90" t="s">
        <v>626</v>
      </c>
      <c r="AW3" s="90" t="s">
        <v>385</v>
      </c>
      <c r="AX3" s="90" t="s">
        <v>627</v>
      </c>
      <c r="AZ3" s="90" t="s">
        <v>385</v>
      </c>
      <c r="BA3" s="90" t="s">
        <v>1649</v>
      </c>
    </row>
    <row r="4" spans="1:53" ht="16.5">
      <c r="B4" s="84" t="s">
        <v>514</v>
      </c>
      <c r="C4" s="89" t="s">
        <v>515</v>
      </c>
      <c r="D4" s="467" t="b">
        <v>0</v>
      </c>
      <c r="E4" s="84"/>
      <c r="F4" s="84"/>
      <c r="G4" s="84"/>
      <c r="I4" s="580"/>
      <c r="J4" s="581"/>
      <c r="K4" s="581"/>
      <c r="L4" s="582"/>
      <c r="M4" s="83"/>
      <c r="N4" s="83"/>
      <c r="O4" s="83"/>
      <c r="P4" s="129"/>
      <c r="Q4" s="85"/>
      <c r="R4" s="426" t="s">
        <v>644</v>
      </c>
      <c r="S4" s="77" t="s">
        <v>1089</v>
      </c>
      <c r="T4" s="203">
        <f ca="1">NOW()</f>
        <v>42991.659979282405</v>
      </c>
      <c r="U4" s="129"/>
      <c r="V4" s="420" t="s">
        <v>1991</v>
      </c>
      <c r="W4" s="420"/>
      <c r="X4" s="129"/>
      <c r="Y4" s="129"/>
      <c r="Z4" s="419"/>
      <c r="AB4" s="90" t="s">
        <v>629</v>
      </c>
      <c r="AC4" s="90">
        <v>1</v>
      </c>
      <c r="AE4" s="90" t="s">
        <v>629</v>
      </c>
      <c r="AF4" s="90">
        <v>1</v>
      </c>
      <c r="AH4" s="90" t="s">
        <v>629</v>
      </c>
      <c r="AI4" s="90">
        <v>1</v>
      </c>
      <c r="AK4" s="90" t="s">
        <v>629</v>
      </c>
      <c r="AL4" s="90">
        <v>3</v>
      </c>
      <c r="AN4" s="90" t="s">
        <v>629</v>
      </c>
      <c r="AO4" s="90">
        <v>4</v>
      </c>
      <c r="AQ4" s="90" t="s">
        <v>629</v>
      </c>
      <c r="AR4" s="90">
        <v>4</v>
      </c>
      <c r="AT4" s="90" t="s">
        <v>629</v>
      </c>
      <c r="AU4" s="90">
        <v>4</v>
      </c>
      <c r="AW4" s="90" t="s">
        <v>629</v>
      </c>
      <c r="AX4" s="90">
        <v>6</v>
      </c>
      <c r="AZ4" s="90" t="s">
        <v>629</v>
      </c>
      <c r="BA4" s="90"/>
    </row>
    <row r="5" spans="1:53" ht="16.5">
      <c r="B5" s="84" t="s">
        <v>517</v>
      </c>
      <c r="C5" s="89" t="s">
        <v>990</v>
      </c>
      <c r="D5" s="467" t="b">
        <v>0</v>
      </c>
      <c r="E5" s="84"/>
      <c r="F5" s="84"/>
      <c r="G5" s="84"/>
      <c r="I5" s="83"/>
      <c r="J5" s="83"/>
      <c r="K5" s="83"/>
      <c r="L5" s="83"/>
      <c r="M5" s="83"/>
      <c r="N5" s="83"/>
      <c r="O5" s="83"/>
      <c r="P5" s="129"/>
      <c r="Q5" s="85"/>
      <c r="R5" s="426" t="s">
        <v>645</v>
      </c>
      <c r="S5" s="77" t="s">
        <v>1091</v>
      </c>
      <c r="T5" s="201">
        <v>1</v>
      </c>
      <c r="U5" s="129"/>
      <c r="V5" s="1" t="s">
        <v>1992</v>
      </c>
      <c r="W5" s="1" t="s">
        <v>2012</v>
      </c>
      <c r="X5" s="129"/>
      <c r="Y5" s="129"/>
      <c r="Z5" s="419"/>
      <c r="AB5" s="90" t="s">
        <v>992</v>
      </c>
      <c r="AC5" s="90" t="s">
        <v>993</v>
      </c>
      <c r="AE5" s="90" t="s">
        <v>994</v>
      </c>
      <c r="AF5" s="90" t="s">
        <v>995</v>
      </c>
      <c r="AH5" s="90" t="s">
        <v>996</v>
      </c>
      <c r="AI5" s="90" t="s">
        <v>997</v>
      </c>
      <c r="AK5" s="90" t="s">
        <v>998</v>
      </c>
      <c r="AL5" s="90" t="s">
        <v>999</v>
      </c>
      <c r="AN5" s="90" t="s">
        <v>1000</v>
      </c>
      <c r="AO5" s="90" t="s">
        <v>1001</v>
      </c>
      <c r="AQ5" s="90" t="s">
        <v>1002</v>
      </c>
      <c r="AR5" s="90" t="s">
        <v>1003</v>
      </c>
      <c r="AT5" s="90" t="s">
        <v>1004</v>
      </c>
      <c r="AU5" s="90" t="s">
        <v>1005</v>
      </c>
      <c r="AW5" s="90" t="s">
        <v>1006</v>
      </c>
      <c r="AX5" s="90" t="s">
        <v>1007</v>
      </c>
      <c r="AZ5" s="90" t="s">
        <v>1650</v>
      </c>
      <c r="BA5" s="90" t="s">
        <v>1651</v>
      </c>
    </row>
    <row r="6" spans="1:53" ht="16.5">
      <c r="B6" s="84" t="s">
        <v>518</v>
      </c>
      <c r="C6" s="89" t="s">
        <v>1008</v>
      </c>
      <c r="D6" s="467" t="b">
        <v>0</v>
      </c>
      <c r="E6" s="84"/>
      <c r="F6" s="84"/>
      <c r="G6" s="84"/>
      <c r="I6" s="433"/>
      <c r="J6" s="83"/>
      <c r="K6" s="7"/>
      <c r="L6" s="83"/>
      <c r="M6" s="83"/>
      <c r="N6" s="83"/>
      <c r="O6" s="83"/>
      <c r="P6" s="129"/>
      <c r="Q6" s="85"/>
      <c r="R6" s="426" t="s">
        <v>1092</v>
      </c>
      <c r="S6" s="77" t="s">
        <v>1093</v>
      </c>
      <c r="T6" s="201">
        <v>1</v>
      </c>
      <c r="U6" s="129" t="s">
        <v>646</v>
      </c>
      <c r="V6" s="1" t="s">
        <v>1993</v>
      </c>
      <c r="W6" s="1" t="str">
        <f>ADDRESS(ROW(UNMM0020_IF_SAVE_CHECK_RESULT),COLUMN(UNMM0020_IF_SAVE_CHECK_RESULT))</f>
        <v>$W$30</v>
      </c>
      <c r="X6" s="129"/>
      <c r="Y6" s="129"/>
      <c r="Z6" s="419"/>
      <c r="AB6" s="90" t="s">
        <v>387</v>
      </c>
      <c r="AC6" s="90" t="s">
        <v>386</v>
      </c>
      <c r="AE6" s="90" t="s">
        <v>387</v>
      </c>
      <c r="AF6" s="90" t="s">
        <v>386</v>
      </c>
      <c r="AH6" s="90" t="s">
        <v>387</v>
      </c>
      <c r="AI6" s="90" t="s">
        <v>386</v>
      </c>
      <c r="AK6" s="90" t="s">
        <v>387</v>
      </c>
      <c r="AL6" s="90" t="s">
        <v>386</v>
      </c>
      <c r="AN6" s="90" t="s">
        <v>387</v>
      </c>
      <c r="AO6" s="90" t="s">
        <v>386</v>
      </c>
      <c r="AQ6" s="90" t="s">
        <v>387</v>
      </c>
      <c r="AR6" s="90" t="s">
        <v>386</v>
      </c>
      <c r="AT6" s="90" t="s">
        <v>387</v>
      </c>
      <c r="AU6" s="90" t="s">
        <v>386</v>
      </c>
      <c r="AW6" s="90" t="s">
        <v>387</v>
      </c>
      <c r="AX6" s="90" t="s">
        <v>386</v>
      </c>
      <c r="AZ6" s="90" t="s">
        <v>387</v>
      </c>
      <c r="BA6" s="90" t="s">
        <v>386</v>
      </c>
    </row>
    <row r="7" spans="1:53" ht="16.5">
      <c r="B7" s="84" t="s">
        <v>1010</v>
      </c>
      <c r="C7" s="89" t="s">
        <v>1011</v>
      </c>
      <c r="D7" s="467" t="b">
        <v>0</v>
      </c>
      <c r="E7" s="84"/>
      <c r="F7" s="84"/>
      <c r="G7" s="84"/>
      <c r="I7" s="579"/>
      <c r="J7" s="579"/>
      <c r="K7" s="579"/>
      <c r="L7" s="579"/>
      <c r="M7" s="579"/>
      <c r="N7" s="579"/>
      <c r="O7" s="579"/>
      <c r="P7" s="129"/>
      <c r="Q7" s="85"/>
      <c r="R7" s="37" t="s">
        <v>577</v>
      </c>
      <c r="S7" s="77" t="s">
        <v>619</v>
      </c>
      <c r="T7" s="203" t="str">
        <f>IF(UNMM0020_AITE_CD="","",UNMM0020_AITE_CD)</f>
        <v/>
      </c>
      <c r="U7" s="129"/>
      <c r="V7" s="420" t="s">
        <v>1994</v>
      </c>
      <c r="W7" s="420" t="s">
        <v>1995</v>
      </c>
      <c r="X7" s="129"/>
      <c r="Y7" s="129"/>
      <c r="Z7" s="419"/>
      <c r="AB7" s="202" t="s">
        <v>1012</v>
      </c>
      <c r="AC7" s="130">
        <v>5</v>
      </c>
      <c r="AE7" s="202" t="s">
        <v>633</v>
      </c>
      <c r="AF7" s="130">
        <v>2</v>
      </c>
      <c r="AH7" s="202" t="s">
        <v>1013</v>
      </c>
      <c r="AI7" s="130">
        <v>3</v>
      </c>
      <c r="AK7" s="202" t="s">
        <v>1014</v>
      </c>
      <c r="AL7" s="130">
        <v>8</v>
      </c>
      <c r="AN7" s="202" t="s">
        <v>1015</v>
      </c>
      <c r="AO7" s="130">
        <v>5</v>
      </c>
      <c r="AQ7" s="202" t="s">
        <v>1016</v>
      </c>
      <c r="AR7" s="130">
        <v>3</v>
      </c>
      <c r="AT7" s="202" t="s">
        <v>1017</v>
      </c>
      <c r="AU7" s="130">
        <v>2</v>
      </c>
      <c r="AW7" s="202" t="s">
        <v>1018</v>
      </c>
      <c r="AX7" s="130">
        <v>5</v>
      </c>
      <c r="AZ7" s="202"/>
    </row>
    <row r="8" spans="1:53" ht="16.5">
      <c r="B8" s="84" t="s">
        <v>521</v>
      </c>
      <c r="C8" s="89" t="s">
        <v>1019</v>
      </c>
      <c r="D8" s="467" t="b">
        <v>0</v>
      </c>
      <c r="E8" s="84"/>
      <c r="F8" s="84"/>
      <c r="G8" s="84"/>
      <c r="I8" s="579"/>
      <c r="J8" s="579"/>
      <c r="K8" s="579"/>
      <c r="L8" s="579"/>
      <c r="M8" s="579"/>
      <c r="N8" s="579"/>
      <c r="O8" s="579"/>
      <c r="P8" s="129"/>
      <c r="Q8" s="85"/>
      <c r="R8" s="37" t="s">
        <v>578</v>
      </c>
      <c r="S8" s="77" t="s">
        <v>628</v>
      </c>
      <c r="T8" s="201" t="str">
        <f>IF(UNMM0020_AITE_MEI="","",UNMM0020_AITE_MEI)</f>
        <v/>
      </c>
      <c r="U8" s="129"/>
      <c r="V8" s="1" t="s">
        <v>1835</v>
      </c>
      <c r="W8" s="1" t="s">
        <v>2013</v>
      </c>
      <c r="X8" s="129"/>
      <c r="Y8" s="129"/>
      <c r="Z8" s="419"/>
      <c r="AZ8" s="296"/>
    </row>
    <row r="9" spans="1:53" ht="16.5">
      <c r="B9" s="84" t="s">
        <v>523</v>
      </c>
      <c r="C9" s="89" t="s">
        <v>1021</v>
      </c>
      <c r="D9" s="467" t="b">
        <v>0</v>
      </c>
      <c r="E9" s="84"/>
      <c r="F9" s="84"/>
      <c r="G9" s="84"/>
      <c r="I9" s="555"/>
      <c r="J9" s="557"/>
      <c r="K9" s="78"/>
      <c r="L9" s="78"/>
      <c r="M9" s="78"/>
      <c r="N9" s="78"/>
      <c r="O9" s="78"/>
      <c r="P9" s="129"/>
      <c r="Q9" s="85"/>
      <c r="R9" s="37" t="s">
        <v>580</v>
      </c>
      <c r="S9" s="77" t="s">
        <v>991</v>
      </c>
      <c r="T9" s="201" t="str">
        <f>IF(OR(UNMM0020_YUBIN="0",UNMM0020_YUBIN=""),"",UNMM0020_YUBIN)</f>
        <v/>
      </c>
      <c r="U9" s="129"/>
      <c r="V9" s="1" t="s">
        <v>1996</v>
      </c>
      <c r="W9" s="421" t="str">
        <f>"UNMM0020_AITE_CD,UNMM0020_AITE_MEI,"&amp;
IF(UNMM0020_SEIKYU_FLG=TRUE,"UNMM0020_EIGYO_TANTO_MEI,UNMM0020_SEIKYUSAKI_BUNRUI,UNMM0020_SEIKYU_HOHO,UNMM0020_KAISHU_SHUBETSU,UNMM0020_KAISHU_MONTH,UNMM0020_KAISHU_DAY,UNMM0020_TAX_KEISAN_KBN,UNMM0020_SEIKYUSHO_HAKKO_FLG_CHECK,UNMM0020_SEIKYUSAKI_HASU,UNMM0020_SEIKYUSAKI_TESURYO,","")&amp;
IF(UNMM0020_SHIIRE_FLG=TRUE,"UNMM0020_SHIIRE_SHIHARAI_HOHO,UNMM0020_SHIIRESAKI_HASU,UNMM0020_SHIIRESAKI_TESURYO,","")
&amp;"UNMM0020_TORIHIKI_KBN_FLG_CHECK"</f>
        <v>UNMM0020_AITE_CD,UNMM0020_AITE_MEI,UNMM0020_TORIHIKI_KBN_FLG_CHECK</v>
      </c>
      <c r="X9" s="129"/>
      <c r="Y9" s="129"/>
      <c r="Z9" s="419"/>
    </row>
    <row r="10" spans="1:53" ht="16.5">
      <c r="B10" s="84" t="s">
        <v>524</v>
      </c>
      <c r="C10" s="89" t="s">
        <v>1024</v>
      </c>
      <c r="D10" s="467" t="b">
        <v>0</v>
      </c>
      <c r="E10" s="84"/>
      <c r="F10" s="84"/>
      <c r="G10" s="84"/>
      <c r="I10" s="555"/>
      <c r="J10" s="557"/>
      <c r="K10" s="78"/>
      <c r="L10" s="78"/>
      <c r="M10" s="78"/>
      <c r="N10" s="78"/>
      <c r="O10" s="78"/>
      <c r="P10" s="129"/>
      <c r="Q10" s="85"/>
      <c r="R10" s="37" t="s">
        <v>630</v>
      </c>
      <c r="S10" s="77" t="s">
        <v>1009</v>
      </c>
      <c r="T10" s="201" t="str">
        <f>IF(OR(UNMM0020_JUSHO_1=0,UNMM0020_JUSHO_1=""),"",UNMM0020_JUSHO_1)</f>
        <v/>
      </c>
      <c r="U10" s="129"/>
      <c r="V10" s="1" t="s">
        <v>1997</v>
      </c>
      <c r="W10" s="421" t="str">
        <f>"相手先CD,相手先名,"&amp;
IF(UNMM0020_SEIKYU_FLG=TRUE,"営業担当者,請求先分類,請求方法,回収種別,回収月,回収日,消費税計算区分,納品請求書発行フラグ,請求先端数処理,請求先手数料負担区分,","")&amp;
IF(UNMM0020_SHIIRE_FLG=TRUE,"支払方法,仕入先端数処理,仕入先手数料負担区分,","")
&amp;"取引区分フラグ"</f>
        <v>相手先CD,相手先名,取引区分フラグ</v>
      </c>
      <c r="X10" s="129"/>
      <c r="Y10" s="129"/>
      <c r="Z10" s="419"/>
    </row>
    <row r="11" spans="1:53" ht="16.5">
      <c r="B11" s="84" t="s">
        <v>1027</v>
      </c>
      <c r="C11" s="89" t="s">
        <v>1028</v>
      </c>
      <c r="D11" s="467" t="b">
        <v>0</v>
      </c>
      <c r="E11" s="84"/>
      <c r="F11" s="84"/>
      <c r="G11" s="84"/>
      <c r="I11" s="579"/>
      <c r="J11" s="579"/>
      <c r="K11" s="579"/>
      <c r="L11" s="579"/>
      <c r="M11" s="78"/>
      <c r="N11" s="78"/>
      <c r="O11" s="78"/>
      <c r="P11" s="129"/>
      <c r="Q11" s="85"/>
      <c r="R11" s="37" t="s">
        <v>631</v>
      </c>
      <c r="S11" s="77" t="s">
        <v>632</v>
      </c>
      <c r="T11" s="201" t="str">
        <f>IF(OR(UNMM0020_JUSHO_2=0,UNMM0020_JUSHO_2=""),"",UNMM0020_JUSHO_2)</f>
        <v/>
      </c>
      <c r="U11" s="129"/>
      <c r="V11" s="583" t="s">
        <v>1998</v>
      </c>
      <c r="W11" s="583"/>
      <c r="X11" s="129"/>
      <c r="Y11" s="129"/>
      <c r="Z11" s="419"/>
    </row>
    <row r="12" spans="1:53" ht="16.5">
      <c r="B12" s="84" t="s">
        <v>525</v>
      </c>
      <c r="C12" s="89" t="s">
        <v>1030</v>
      </c>
      <c r="D12" s="467" t="b">
        <v>0</v>
      </c>
      <c r="E12" s="84"/>
      <c r="F12" s="84"/>
      <c r="G12" s="84"/>
      <c r="I12" s="555"/>
      <c r="J12" s="556"/>
      <c r="K12" s="556"/>
      <c r="L12" s="557"/>
      <c r="M12" s="78"/>
      <c r="N12" s="78"/>
      <c r="O12" s="78"/>
      <c r="P12" s="129"/>
      <c r="Q12" s="85"/>
      <c r="R12" s="37" t="s">
        <v>634</v>
      </c>
      <c r="S12" s="77" t="s">
        <v>1020</v>
      </c>
      <c r="T12" s="201" t="str">
        <f>IF(OR(UNMM0020_TEL="0",UNMM0020_TEL=""),"",UNMM0020_TEL)</f>
        <v/>
      </c>
      <c r="U12" s="129"/>
      <c r="V12" s="422" t="s">
        <v>1835</v>
      </c>
      <c r="W12" s="422"/>
      <c r="X12" s="129"/>
      <c r="Y12" s="129"/>
      <c r="Z12" s="419"/>
    </row>
    <row r="13" spans="1:53" ht="16.5">
      <c r="B13" s="84" t="s">
        <v>527</v>
      </c>
      <c r="C13" s="89" t="s">
        <v>1032</v>
      </c>
      <c r="D13" s="467" t="b">
        <v>0</v>
      </c>
      <c r="E13" s="84"/>
      <c r="F13" s="84"/>
      <c r="G13" s="84"/>
      <c r="I13" s="555"/>
      <c r="J13" s="558"/>
      <c r="K13" s="4" t="s">
        <v>1848</v>
      </c>
      <c r="L13" s="434"/>
      <c r="M13" s="78"/>
      <c r="N13" s="78"/>
      <c r="O13" s="78"/>
      <c r="P13" s="129"/>
      <c r="Q13" s="85"/>
      <c r="R13" s="37" t="s">
        <v>1022</v>
      </c>
      <c r="S13" s="77" t="s">
        <v>1023</v>
      </c>
      <c r="T13" s="201" t="str">
        <f>IF(OR(UNMM0020_FAX="0",UNMM0020_FAX=""),"",UNMM0020_FAX)</f>
        <v/>
      </c>
      <c r="U13" s="129"/>
      <c r="V13" s="371" t="s">
        <v>1999</v>
      </c>
      <c r="W13" s="1"/>
      <c r="X13" s="129"/>
      <c r="Y13" s="129"/>
      <c r="Z13" s="419"/>
    </row>
    <row r="14" spans="1:53" ht="16.5">
      <c r="B14" s="84" t="s">
        <v>529</v>
      </c>
      <c r="C14" s="89" t="s">
        <v>1034</v>
      </c>
      <c r="D14" s="467" t="b">
        <v>0</v>
      </c>
      <c r="E14" s="84"/>
      <c r="F14" s="84"/>
      <c r="G14" s="84"/>
      <c r="I14" s="83"/>
      <c r="J14" s="83"/>
      <c r="K14" s="83"/>
      <c r="L14" s="83"/>
      <c r="M14" s="83"/>
      <c r="N14" s="83"/>
      <c r="O14" s="83"/>
      <c r="P14" s="129"/>
      <c r="Q14" s="85"/>
      <c r="R14" s="37" t="s">
        <v>1025</v>
      </c>
      <c r="S14" s="77" t="s">
        <v>1026</v>
      </c>
      <c r="T14" s="201" t="str">
        <f>IF(OR(UNMM0020_MAIL=0,UNMM0020_MAIL=""),"",UNMM0020_MAIL)</f>
        <v/>
      </c>
      <c r="U14" s="129"/>
      <c r="V14" s="371" t="s">
        <v>2000</v>
      </c>
      <c r="W14" s="371"/>
      <c r="X14" s="129"/>
      <c r="Y14" s="129"/>
      <c r="Z14" s="419"/>
    </row>
    <row r="15" spans="1:53" ht="16.5">
      <c r="B15" s="84" t="s">
        <v>530</v>
      </c>
      <c r="C15" s="89" t="s">
        <v>1036</v>
      </c>
      <c r="D15" s="467" t="b">
        <v>0</v>
      </c>
      <c r="E15" s="84"/>
      <c r="F15" s="84"/>
      <c r="G15" s="84"/>
      <c r="I15" s="559"/>
      <c r="J15" s="560"/>
      <c r="K15" s="560"/>
      <c r="L15" s="561"/>
      <c r="M15" s="83"/>
      <c r="N15" s="83"/>
      <c r="O15" s="83"/>
      <c r="P15" s="129"/>
      <c r="Q15" s="85"/>
      <c r="R15" s="37" t="s">
        <v>583</v>
      </c>
      <c r="S15" s="77" t="s">
        <v>1029</v>
      </c>
      <c r="T15" s="201" t="str">
        <f>IF(OR(UNMM0020_BUSHO_MEI=0,UNMM0020_BUSHO_MEI=""),"",UNMM0020_BUSHO_MEI)</f>
        <v/>
      </c>
      <c r="U15" s="129"/>
      <c r="V15" s="371" t="s">
        <v>2001</v>
      </c>
      <c r="W15" s="371"/>
      <c r="X15" s="129"/>
      <c r="Y15" s="129"/>
      <c r="Z15" s="419"/>
    </row>
    <row r="16" spans="1:53" ht="16.5">
      <c r="B16" s="84" t="s">
        <v>37</v>
      </c>
      <c r="C16" s="89" t="s">
        <v>1038</v>
      </c>
      <c r="D16" s="467" t="b">
        <v>0</v>
      </c>
      <c r="E16" s="84"/>
      <c r="F16" s="84"/>
      <c r="G16" s="84"/>
      <c r="I16" s="562"/>
      <c r="J16" s="563"/>
      <c r="K16" s="563"/>
      <c r="L16" s="564"/>
      <c r="M16" s="83"/>
      <c r="N16" s="83"/>
      <c r="O16" s="83"/>
      <c r="P16" s="129"/>
      <c r="Q16" s="85"/>
      <c r="R16" s="37" t="s">
        <v>635</v>
      </c>
      <c r="S16" s="77" t="s">
        <v>1031</v>
      </c>
      <c r="T16" s="201" t="str">
        <f>IF(OR(UNMM0020_TANTO_MEI=0,UNMM0020_TANTO_MEI=""),"",UNMM0020_TANTO_MEI)</f>
        <v/>
      </c>
      <c r="U16" s="129"/>
      <c r="V16" s="371" t="s">
        <v>2002</v>
      </c>
      <c r="W16" s="371"/>
      <c r="X16" s="129"/>
      <c r="Y16" s="129"/>
      <c r="Z16" s="419"/>
    </row>
    <row r="17" spans="1:26" ht="16.5">
      <c r="A17" s="425"/>
      <c r="B17" s="163" t="s">
        <v>510</v>
      </c>
      <c r="C17" s="163" t="s">
        <v>948</v>
      </c>
      <c r="D17" s="469"/>
      <c r="E17" s="84"/>
      <c r="F17" s="84"/>
      <c r="G17" s="84"/>
      <c r="I17" s="562"/>
      <c r="J17" s="563"/>
      <c r="K17" s="563"/>
      <c r="L17" s="564"/>
      <c r="M17" s="83"/>
      <c r="N17" s="83"/>
      <c r="O17" s="83"/>
      <c r="P17" s="129"/>
      <c r="Q17" s="85"/>
      <c r="R17" s="37" t="s">
        <v>1649</v>
      </c>
      <c r="S17" s="77" t="s">
        <v>1662</v>
      </c>
      <c r="T17" s="201" t="str">
        <f>IF(OR(UNMM0020_KEISHO=0,UNMM0020_KEISHO=""),"",UNMM0020_KEISHO)</f>
        <v/>
      </c>
      <c r="U17" s="129"/>
      <c r="V17" s="371" t="s">
        <v>2003</v>
      </c>
      <c r="W17" s="371"/>
      <c r="X17" s="129"/>
      <c r="Y17" s="129"/>
      <c r="Z17" s="419"/>
    </row>
    <row r="18" spans="1:26" ht="16.5">
      <c r="A18" s="425"/>
      <c r="B18" s="163" t="s">
        <v>531</v>
      </c>
      <c r="C18" s="163" t="s">
        <v>968</v>
      </c>
      <c r="D18" s="469"/>
      <c r="E18" s="84"/>
      <c r="F18" s="84"/>
      <c r="G18" s="84"/>
      <c r="I18" s="562"/>
      <c r="J18" s="563"/>
      <c r="K18" s="563"/>
      <c r="L18" s="564"/>
      <c r="M18" s="83"/>
      <c r="N18" s="83"/>
      <c r="O18" s="83"/>
      <c r="P18" s="129"/>
      <c r="Q18" s="85"/>
      <c r="R18" s="37" t="s">
        <v>1</v>
      </c>
      <c r="S18" s="77" t="s">
        <v>1033</v>
      </c>
      <c r="T18" s="201" t="str">
        <f>IF(OR(UNMM0020_BIKO=0,UNMM0020_BIKO=""),"",UNMM0020_BIKO)</f>
        <v/>
      </c>
      <c r="U18" s="129"/>
      <c r="V18" s="371" t="s">
        <v>2004</v>
      </c>
      <c r="W18" s="371"/>
      <c r="X18" s="129"/>
      <c r="Y18" s="129"/>
      <c r="Z18" s="419"/>
    </row>
    <row r="19" spans="1:26" ht="16.5">
      <c r="A19" s="425"/>
      <c r="B19" s="163" t="s">
        <v>2075</v>
      </c>
      <c r="C19" s="163" t="s">
        <v>2076</v>
      </c>
      <c r="D19" s="470"/>
      <c r="E19" s="84"/>
      <c r="F19" s="84"/>
      <c r="G19" s="84"/>
      <c r="I19" s="565"/>
      <c r="J19" s="566"/>
      <c r="K19" s="566"/>
      <c r="L19" s="567"/>
      <c r="M19" s="83"/>
      <c r="N19" s="83"/>
      <c r="O19" s="83"/>
      <c r="P19" s="129"/>
      <c r="Q19" s="85"/>
      <c r="R19" s="37" t="s">
        <v>594</v>
      </c>
      <c r="S19" s="77" t="s">
        <v>1035</v>
      </c>
      <c r="T19" s="201" t="b">
        <f>UNMM0020_SEIKYU_FLG</f>
        <v>0</v>
      </c>
      <c r="U19" s="129"/>
      <c r="V19" s="371" t="s">
        <v>2005</v>
      </c>
      <c r="W19" s="371"/>
      <c r="X19" s="129"/>
      <c r="Y19" s="129"/>
      <c r="Z19" s="419"/>
    </row>
    <row r="20" spans="1:26" ht="16.5">
      <c r="A20" s="425"/>
      <c r="B20" s="163" t="s">
        <v>109</v>
      </c>
      <c r="C20" s="163" t="s">
        <v>554</v>
      </c>
      <c r="D20" s="467"/>
      <c r="E20" s="84"/>
      <c r="F20" s="84"/>
      <c r="G20" s="84"/>
      <c r="H20" s="257"/>
      <c r="I20" s="83"/>
      <c r="J20" s="83"/>
      <c r="K20" s="83"/>
      <c r="L20" s="83"/>
      <c r="M20" s="83"/>
      <c r="N20" s="83"/>
      <c r="O20" s="83"/>
      <c r="P20" s="129"/>
      <c r="Q20" s="85"/>
      <c r="R20" s="37" t="s">
        <v>514</v>
      </c>
      <c r="S20" s="77" t="s">
        <v>1037</v>
      </c>
      <c r="T20" s="201" t="b">
        <f>UNMM0020_SHIIRE_FLG</f>
        <v>0</v>
      </c>
      <c r="U20" s="129"/>
      <c r="V20" s="84" t="s">
        <v>2006</v>
      </c>
      <c r="W20" s="89"/>
      <c r="Z20" s="419"/>
    </row>
    <row r="21" spans="1:26" ht="17.25" thickBot="1">
      <c r="A21" s="425"/>
      <c r="B21" s="163" t="s">
        <v>110</v>
      </c>
      <c r="C21" s="163" t="s">
        <v>555</v>
      </c>
      <c r="D21" s="468"/>
      <c r="E21" s="84"/>
      <c r="F21" s="84"/>
      <c r="G21" s="84"/>
      <c r="I21" s="186" t="s">
        <v>538</v>
      </c>
      <c r="J21" s="187" t="s">
        <v>539</v>
      </c>
      <c r="K21" s="187" t="s">
        <v>540</v>
      </c>
      <c r="L21" s="187" t="s">
        <v>541</v>
      </c>
      <c r="M21" s="188" t="s">
        <v>542</v>
      </c>
      <c r="N21" s="83"/>
      <c r="O21" s="83"/>
      <c r="P21" s="129"/>
      <c r="Q21" s="85"/>
      <c r="R21" s="37" t="s">
        <v>596</v>
      </c>
      <c r="S21" s="77" t="s">
        <v>1039</v>
      </c>
      <c r="T21" s="201" t="b">
        <f>UNMM0020_HASSO_FLG</f>
        <v>0</v>
      </c>
      <c r="U21" s="129"/>
      <c r="V21" s="423" t="s">
        <v>2007</v>
      </c>
      <c r="W21" s="424"/>
      <c r="X21" s="129"/>
      <c r="Y21" s="129"/>
      <c r="Z21" s="419"/>
    </row>
    <row r="22" spans="1:26" ht="16.5">
      <c r="B22" s="84"/>
      <c r="C22" s="89"/>
      <c r="D22" s="84"/>
      <c r="E22" s="84"/>
      <c r="F22" s="84"/>
      <c r="G22" s="84"/>
      <c r="I22" s="189" t="s">
        <v>544</v>
      </c>
      <c r="J22" s="190" t="s">
        <v>545</v>
      </c>
      <c r="K22" s="190" t="s">
        <v>546</v>
      </c>
      <c r="L22" s="190" t="s">
        <v>547</v>
      </c>
      <c r="M22" s="191"/>
      <c r="N22" s="83"/>
      <c r="O22" s="83"/>
      <c r="P22" s="129"/>
      <c r="Q22" s="85"/>
      <c r="R22" s="37" t="s">
        <v>597</v>
      </c>
      <c r="S22" s="77" t="s">
        <v>1040</v>
      </c>
      <c r="T22" s="201" t="b">
        <f>UNMM0020_HOKOKU_FLG</f>
        <v>0</v>
      </c>
      <c r="U22" s="129"/>
      <c r="V22" s="423" t="s">
        <v>2008</v>
      </c>
      <c r="W22" s="424"/>
      <c r="X22" s="129"/>
      <c r="Y22" s="129"/>
      <c r="Z22" s="419"/>
    </row>
    <row r="23" spans="1:26" ht="16.5">
      <c r="A23" s="85" t="s">
        <v>171</v>
      </c>
      <c r="C23" s="129"/>
      <c r="D23" s="124"/>
      <c r="I23" s="83"/>
      <c r="J23" s="83"/>
      <c r="K23" s="83"/>
      <c r="L23" s="83"/>
      <c r="M23" s="83"/>
      <c r="N23" s="83"/>
      <c r="O23" s="83"/>
      <c r="P23" s="129"/>
      <c r="Q23" s="85"/>
      <c r="R23" s="37" t="s">
        <v>1010</v>
      </c>
      <c r="S23" s="77" t="s">
        <v>1043</v>
      </c>
      <c r="T23" s="201" t="b">
        <f>UNMM0020_MAKER_FLG</f>
        <v>0</v>
      </c>
      <c r="U23" s="129"/>
      <c r="V23" s="84" t="s">
        <v>2009</v>
      </c>
      <c r="W23" s="89"/>
      <c r="X23" s="129"/>
      <c r="Y23" s="129"/>
      <c r="Z23" s="419"/>
    </row>
    <row r="24" spans="1:26" ht="16.5">
      <c r="B24" s="130" t="s">
        <v>172</v>
      </c>
      <c r="C24" s="129" t="s">
        <v>1041</v>
      </c>
      <c r="D24" s="131"/>
      <c r="E24" s="130" t="s">
        <v>1042</v>
      </c>
      <c r="F24" s="130" t="s">
        <v>175</v>
      </c>
      <c r="I24" s="52" t="s">
        <v>550</v>
      </c>
      <c r="J24" s="53"/>
      <c r="K24" s="53"/>
      <c r="L24" s="53"/>
      <c r="M24" s="53"/>
      <c r="N24" s="53"/>
      <c r="O24" s="54"/>
      <c r="P24" s="129"/>
      <c r="Q24" s="85"/>
      <c r="R24" s="37" t="s">
        <v>598</v>
      </c>
      <c r="S24" s="77" t="s">
        <v>1044</v>
      </c>
      <c r="T24" s="201" t="b">
        <f>UNMM0020_GAICHU_FLG</f>
        <v>0</v>
      </c>
      <c r="U24" s="129"/>
      <c r="V24" s="129"/>
      <c r="W24" s="129"/>
      <c r="X24" s="129"/>
      <c r="Y24" s="129"/>
      <c r="Z24" s="419"/>
    </row>
    <row r="25" spans="1:26" ht="16.5">
      <c r="C25" s="129"/>
      <c r="D25" s="411"/>
      <c r="I25" s="12"/>
      <c r="J25" s="17" t="s">
        <v>553</v>
      </c>
      <c r="K25" s="568"/>
      <c r="L25" s="569"/>
      <c r="M25" s="83"/>
      <c r="N25" s="83"/>
      <c r="O25" s="55"/>
      <c r="P25" s="129"/>
      <c r="Q25" s="85"/>
      <c r="R25" s="37" t="s">
        <v>523</v>
      </c>
      <c r="S25" s="77" t="s">
        <v>1045</v>
      </c>
      <c r="T25" s="201" t="b">
        <f>UNMM0020_KANKO_FLG</f>
        <v>0</v>
      </c>
      <c r="U25" s="129"/>
      <c r="V25" s="85" t="s">
        <v>2010</v>
      </c>
      <c r="Y25" s="129"/>
      <c r="Z25" s="419"/>
    </row>
    <row r="26" spans="1:26" ht="16.5">
      <c r="A26" s="85" t="s">
        <v>104</v>
      </c>
      <c r="C26" s="129"/>
      <c r="D26" s="124"/>
      <c r="I26" s="12"/>
      <c r="J26" s="83"/>
      <c r="K26" s="53"/>
      <c r="L26" s="83"/>
      <c r="M26" s="83"/>
      <c r="N26" s="83"/>
      <c r="O26" s="55"/>
      <c r="P26" s="129"/>
      <c r="Q26" s="85"/>
      <c r="R26" s="37" t="s">
        <v>524</v>
      </c>
      <c r="S26" s="77" t="s">
        <v>1046</v>
      </c>
      <c r="T26" s="201" t="b">
        <f>UNMM0020_DOGYO_FLG</f>
        <v>0</v>
      </c>
      <c r="U26" s="129"/>
      <c r="V26" s="129" t="s">
        <v>648</v>
      </c>
      <c r="W26" s="129" t="s">
        <v>2015</v>
      </c>
      <c r="X26" s="51">
        <f>IF(ISBLANK(UNMM0020_IF_SAVE_CHECK_RESULT)=TRUE,2,1)</f>
        <v>2</v>
      </c>
      <c r="Y26" s="130" t="s">
        <v>470</v>
      </c>
      <c r="Z26" s="419"/>
    </row>
    <row r="27" spans="1:26" ht="16.5">
      <c r="A27" s="85"/>
      <c r="B27" s="130" t="s">
        <v>105</v>
      </c>
      <c r="C27" s="129" t="s">
        <v>1048</v>
      </c>
      <c r="D27" s="131"/>
      <c r="I27" s="12"/>
      <c r="J27" s="17" t="s">
        <v>27</v>
      </c>
      <c r="K27" s="432"/>
      <c r="L27" s="83"/>
      <c r="M27" s="83"/>
      <c r="N27" s="83"/>
      <c r="O27" s="55"/>
      <c r="P27" s="129"/>
      <c r="Q27" s="85"/>
      <c r="R27" s="37" t="s">
        <v>1027</v>
      </c>
      <c r="S27" s="77" t="s">
        <v>1047</v>
      </c>
      <c r="T27" s="201" t="b">
        <f>UNMM0020_SPOT_FLG</f>
        <v>0</v>
      </c>
      <c r="U27" s="129"/>
      <c r="V27" s="130" t="s">
        <v>1485</v>
      </c>
      <c r="W27" s="129" t="s">
        <v>2016</v>
      </c>
      <c r="X27" s="51" t="str">
        <f>"以下の項目が入力されていません。"&amp;
IF(UNMM0020_IF_SAVE_CHECK_RESULT&gt;=1,"
行番号："&amp;UNMM0020_IF_SAVE_CHECK_RESULT-ROW(UNMM0020_IF_SAVE_CHECK_START)+1,"")&amp;
"
項目名："&amp;UNMM0020_IF_SAVE_CHECK_ERROR_KOMOKU</f>
        <v>以下の項目が入力されていません。
項目名：</v>
      </c>
      <c r="Y27" s="129"/>
      <c r="Z27" s="419"/>
    </row>
    <row r="28" spans="1:26" ht="16.5">
      <c r="B28" s="130" t="s">
        <v>107</v>
      </c>
      <c r="C28" s="129" t="s">
        <v>1051</v>
      </c>
      <c r="D28" s="131"/>
      <c r="I28" s="12"/>
      <c r="J28" s="83"/>
      <c r="K28" s="83"/>
      <c r="L28" s="83"/>
      <c r="M28" s="83"/>
      <c r="N28" s="83"/>
      <c r="O28" s="55"/>
      <c r="P28" s="129"/>
      <c r="Q28" s="85"/>
      <c r="R28" s="37" t="s">
        <v>567</v>
      </c>
      <c r="S28" s="77" t="s">
        <v>1050</v>
      </c>
      <c r="T28" s="203" t="str">
        <f>IF(UNMM0020_EIGYO_TANTO_CD="","",UNMM0020_EIGYO_TANTO_CD)</f>
        <v/>
      </c>
      <c r="U28" s="129"/>
      <c r="V28" s="129"/>
      <c r="W28" s="129"/>
      <c r="X28" s="129"/>
      <c r="Y28" s="129"/>
      <c r="Z28" s="419"/>
    </row>
    <row r="29" spans="1:26" ht="16.5">
      <c r="B29" s="130" t="s">
        <v>108</v>
      </c>
      <c r="C29" s="129" t="s">
        <v>1053</v>
      </c>
      <c r="D29" s="131"/>
      <c r="I29" s="12"/>
      <c r="J29" s="7" t="s">
        <v>9</v>
      </c>
      <c r="K29" s="570"/>
      <c r="L29" s="571"/>
      <c r="M29" s="571"/>
      <c r="N29" s="572"/>
      <c r="O29" s="55"/>
      <c r="P29" s="129"/>
      <c r="Q29" s="85"/>
      <c r="R29" s="37" t="s">
        <v>636</v>
      </c>
      <c r="S29" s="77" t="s">
        <v>1052</v>
      </c>
      <c r="T29" s="201" t="str">
        <f>IF(OR(UNMM0020_SEIKYUSAKI_BUNRUI_CD="",UNMM0020_SEIKYUSAKI_BUNRUI=""),"",UNMM0020_SEIKYUSAKI_BUNRUI_CD)</f>
        <v/>
      </c>
      <c r="U29" s="129"/>
      <c r="V29" s="129"/>
      <c r="W29" s="129" t="s">
        <v>2017</v>
      </c>
      <c r="X29" s="129" t="s">
        <v>2014</v>
      </c>
      <c r="Z29" s="419"/>
    </row>
    <row r="30" spans="1:26" ht="16.5">
      <c r="B30" s="130" t="s">
        <v>106</v>
      </c>
      <c r="C30" s="129" t="s">
        <v>1055</v>
      </c>
      <c r="D30" s="131"/>
      <c r="I30" s="12"/>
      <c r="J30" s="83"/>
      <c r="K30" s="573"/>
      <c r="L30" s="574"/>
      <c r="M30" s="574"/>
      <c r="N30" s="575"/>
      <c r="O30" s="55"/>
      <c r="P30" s="129"/>
      <c r="Q30" s="85"/>
      <c r="R30" s="37" t="s">
        <v>637</v>
      </c>
      <c r="S30" s="77" t="s">
        <v>1054</v>
      </c>
      <c r="T30" s="201" t="str">
        <f>IF(OR(UNMM0020_SEIKYUSAKI_CHUKI=0,UNMM0020_SEIKYUSAKI_CHUKI=""),"",UNMM0020_SEIKYUSAKI_CHUKI)</f>
        <v/>
      </c>
      <c r="U30" s="129"/>
      <c r="V30" s="130" t="s">
        <v>2011</v>
      </c>
      <c r="W30" s="51"/>
      <c r="X30" s="201"/>
      <c r="Z30" s="419"/>
    </row>
    <row r="31" spans="1:26" ht="16.5">
      <c r="C31" s="129"/>
      <c r="D31" s="124"/>
      <c r="I31" s="12"/>
      <c r="J31" s="83"/>
      <c r="K31" s="573"/>
      <c r="L31" s="574"/>
      <c r="M31" s="574"/>
      <c r="N31" s="575"/>
      <c r="O31" s="55"/>
      <c r="P31" s="129"/>
      <c r="Q31" s="85"/>
      <c r="R31" s="37" t="s">
        <v>620</v>
      </c>
      <c r="S31" s="77" t="s">
        <v>1056</v>
      </c>
      <c r="T31" s="201" t="str">
        <f ca="1">_xlfn.IFNA(UNMM0020_SEIKYU_HOHO_CD,"")</f>
        <v/>
      </c>
      <c r="U31" s="129"/>
      <c r="V31" s="124"/>
      <c r="W31" s="419"/>
      <c r="X31" s="419"/>
      <c r="Y31" s="419"/>
      <c r="Z31" s="419"/>
    </row>
    <row r="32" spans="1:26" ht="16.5">
      <c r="A32" s="85" t="s">
        <v>103</v>
      </c>
      <c r="C32" s="129"/>
      <c r="D32" s="124"/>
      <c r="I32" s="12"/>
      <c r="J32" s="83"/>
      <c r="K32" s="573"/>
      <c r="L32" s="574"/>
      <c r="M32" s="574"/>
      <c r="N32" s="575"/>
      <c r="O32" s="55"/>
      <c r="P32" s="129"/>
      <c r="Q32" s="85"/>
      <c r="R32" s="37" t="s">
        <v>621</v>
      </c>
      <c r="S32" s="77" t="s">
        <v>1057</v>
      </c>
      <c r="T32" s="201" t="str">
        <f ca="1">_xlfn.IFNA(UNMM0020_KAISHU_SHUBETSU_CD,"")</f>
        <v/>
      </c>
      <c r="U32" s="129"/>
      <c r="V32" s="124"/>
      <c r="W32" s="419"/>
      <c r="X32" s="419"/>
      <c r="Y32" s="419"/>
      <c r="Z32" s="419"/>
    </row>
    <row r="33" spans="1:26" ht="16.5">
      <c r="B33" s="130" t="s">
        <v>39</v>
      </c>
      <c r="C33" s="129" t="s">
        <v>1059</v>
      </c>
      <c r="D33" s="131">
        <v>0</v>
      </c>
      <c r="E33" s="23" t="s">
        <v>57</v>
      </c>
      <c r="F33" s="23" t="s">
        <v>55</v>
      </c>
      <c r="G33" s="23" t="s">
        <v>56</v>
      </c>
      <c r="I33" s="12"/>
      <c r="J33" s="83"/>
      <c r="K33" s="576"/>
      <c r="L33" s="577"/>
      <c r="M33" s="577"/>
      <c r="N33" s="578"/>
      <c r="O33" s="55"/>
      <c r="P33" s="129"/>
      <c r="Q33" s="85"/>
      <c r="R33" s="37" t="s">
        <v>638</v>
      </c>
      <c r="S33" s="77" t="s">
        <v>1058</v>
      </c>
      <c r="T33" s="201" t="str">
        <f>IF(UNMM0020_KAISHU_MONTH="","",UNMM0020_KAISHU_MONTH)</f>
        <v/>
      </c>
      <c r="U33" s="129"/>
      <c r="V33" s="124"/>
      <c r="W33" s="419"/>
      <c r="X33" s="419"/>
      <c r="Y33" s="419"/>
      <c r="Z33" s="419"/>
    </row>
    <row r="34" spans="1:26" ht="16.5">
      <c r="C34" s="129"/>
      <c r="D34" s="124"/>
      <c r="I34" s="12"/>
      <c r="J34" s="7"/>
      <c r="K34" s="83"/>
      <c r="L34" s="83"/>
      <c r="M34" s="83"/>
      <c r="N34" s="83"/>
      <c r="O34" s="55"/>
      <c r="P34" s="129"/>
      <c r="Q34" s="85"/>
      <c r="R34" s="37" t="s">
        <v>639</v>
      </c>
      <c r="S34" s="77" t="s">
        <v>1060</v>
      </c>
      <c r="T34" s="201" t="str">
        <f>IF(UNMM0020_KAISHU_DAY="","",UNMM0020_KAISHU_DAY)</f>
        <v/>
      </c>
      <c r="U34" s="129"/>
      <c r="V34" s="124"/>
      <c r="W34" s="419"/>
      <c r="X34" s="419"/>
      <c r="Y34" s="419"/>
      <c r="Z34" s="419"/>
    </row>
    <row r="35" spans="1:26" ht="16.5">
      <c r="A35" s="85" t="s">
        <v>41</v>
      </c>
      <c r="C35" s="129"/>
      <c r="D35" s="124"/>
      <c r="E35" s="85" t="s">
        <v>49</v>
      </c>
      <c r="I35" s="12"/>
      <c r="J35" s="17" t="s">
        <v>558</v>
      </c>
      <c r="K35" s="434"/>
      <c r="L35" s="83"/>
      <c r="M35" s="83"/>
      <c r="N35" s="83"/>
      <c r="O35" s="55"/>
      <c r="P35" s="129"/>
      <c r="Q35" s="85"/>
      <c r="R35" s="37" t="s">
        <v>622</v>
      </c>
      <c r="S35" s="77" t="s">
        <v>1061</v>
      </c>
      <c r="T35" s="201" t="str">
        <f ca="1">_xlfn.IFNA(UNMM0020_TAX_KEISAN_KBN_CD,"")</f>
        <v/>
      </c>
      <c r="U35" s="129"/>
      <c r="V35" s="124"/>
      <c r="W35" s="419"/>
      <c r="X35" s="419"/>
      <c r="Y35" s="419"/>
      <c r="Z35" s="419"/>
    </row>
    <row r="36" spans="1:26" ht="16.5">
      <c r="B36" s="130" t="s">
        <v>43</v>
      </c>
      <c r="C36" s="129" t="s">
        <v>1064</v>
      </c>
      <c r="D36" s="131" t="str">
        <f>IF(UNMM0020_IF_MODE=1,"-",IF(UNMM0020_IF_MODE=2,"修正キャンセル","修正"))</f>
        <v>修正</v>
      </c>
      <c r="E36" s="21" t="s">
        <v>58</v>
      </c>
      <c r="F36" s="130" t="s">
        <v>59</v>
      </c>
      <c r="G36" s="130" t="s">
        <v>60</v>
      </c>
      <c r="I36" s="12"/>
      <c r="J36" s="7"/>
      <c r="K36" s="83"/>
      <c r="L36" s="83"/>
      <c r="M36" s="83"/>
      <c r="N36" s="83"/>
      <c r="O36" s="55"/>
      <c r="P36" s="129"/>
      <c r="Q36" s="85"/>
      <c r="R36" s="426" t="s">
        <v>525</v>
      </c>
      <c r="S36" s="77" t="s">
        <v>1062</v>
      </c>
      <c r="T36" s="201" t="b">
        <f>UNMM0020_SEIKYUSHO_FLG</f>
        <v>0</v>
      </c>
      <c r="U36" s="129"/>
      <c r="V36" s="124"/>
      <c r="W36" s="419"/>
      <c r="X36" s="419"/>
      <c r="Y36" s="419"/>
      <c r="Z36" s="419"/>
    </row>
    <row r="37" spans="1:26" ht="16.5">
      <c r="B37" s="130" t="s">
        <v>44</v>
      </c>
      <c r="C37" s="129" t="s">
        <v>1067</v>
      </c>
      <c r="D37" s="131" t="str">
        <f>IF(UNMM0020_IF_MODE=1,"新規登録",IF(UNMM0020_IF_MODE=2,"保存","-"))</f>
        <v>-</v>
      </c>
      <c r="E37" s="130" t="s">
        <v>3</v>
      </c>
      <c r="F37" s="130" t="s">
        <v>61</v>
      </c>
      <c r="G37" s="21" t="s">
        <v>58</v>
      </c>
      <c r="I37" s="12"/>
      <c r="J37" s="194" t="s">
        <v>28</v>
      </c>
      <c r="K37" s="434"/>
      <c r="L37" s="83"/>
      <c r="M37" s="83"/>
      <c r="N37" s="83"/>
      <c r="O37" s="55"/>
      <c r="P37" s="129"/>
      <c r="Q37" s="85"/>
      <c r="R37" s="426" t="s">
        <v>527</v>
      </c>
      <c r="S37" s="77" t="s">
        <v>1063</v>
      </c>
      <c r="T37" s="201" t="b">
        <f>UNMM0020_JURYOSHO_FLG</f>
        <v>0</v>
      </c>
      <c r="U37" s="129"/>
      <c r="V37" s="124"/>
      <c r="W37" s="419"/>
      <c r="X37" s="419"/>
      <c r="Y37" s="419"/>
      <c r="Z37" s="419"/>
    </row>
    <row r="38" spans="1:26" ht="16.5">
      <c r="C38" s="129"/>
      <c r="D38" s="124"/>
      <c r="I38" s="12"/>
      <c r="J38" s="194" t="s">
        <v>10</v>
      </c>
      <c r="K38" s="392"/>
      <c r="L38" s="83" t="s">
        <v>11</v>
      </c>
      <c r="M38" s="392"/>
      <c r="N38" s="3" t="s">
        <v>12</v>
      </c>
      <c r="O38" s="55"/>
      <c r="P38" s="129"/>
      <c r="Q38" s="85"/>
      <c r="R38" s="426" t="s">
        <v>529</v>
      </c>
      <c r="S38" s="77" t="s">
        <v>1066</v>
      </c>
      <c r="T38" s="201" t="b">
        <f>UNMM0020_NOHINSHO_FLG</f>
        <v>0</v>
      </c>
      <c r="U38" s="129"/>
      <c r="V38" s="124"/>
      <c r="W38" s="419"/>
      <c r="X38" s="419"/>
      <c r="Y38" s="419"/>
      <c r="Z38" s="419"/>
    </row>
    <row r="39" spans="1:26" ht="16.5">
      <c r="A39" s="85" t="s">
        <v>48</v>
      </c>
      <c r="C39" s="129"/>
      <c r="D39" s="124"/>
      <c r="E39" s="85" t="s">
        <v>49</v>
      </c>
      <c r="I39" s="12"/>
      <c r="J39" s="83"/>
      <c r="K39" s="83"/>
      <c r="L39" s="83"/>
      <c r="M39" s="83"/>
      <c r="N39" s="83"/>
      <c r="O39" s="55"/>
      <c r="P39" s="129"/>
      <c r="Q39" s="85"/>
      <c r="R39" s="426" t="s">
        <v>530</v>
      </c>
      <c r="S39" s="77" t="s">
        <v>1068</v>
      </c>
      <c r="T39" s="201" t="b">
        <f>UNMM0020_HIKAE_FLG</f>
        <v>0</v>
      </c>
      <c r="U39" s="129"/>
      <c r="V39" s="124"/>
      <c r="W39" s="419"/>
      <c r="X39" s="419"/>
      <c r="Y39" s="419"/>
      <c r="Z39" s="419"/>
    </row>
    <row r="40" spans="1:26" ht="16.5">
      <c r="B40" s="130" t="s">
        <v>43</v>
      </c>
      <c r="C40" s="129" t="s">
        <v>1071</v>
      </c>
      <c r="D40" s="131">
        <f>IF(UNMM0020_IF_MODE=1,5,IF(UNMM0020_IF_MODE=2,0,0))</f>
        <v>0</v>
      </c>
      <c r="E40" s="130" t="s">
        <v>62</v>
      </c>
      <c r="F40" s="130" t="s">
        <v>167</v>
      </c>
      <c r="G40" s="130" t="s">
        <v>167</v>
      </c>
      <c r="I40" s="12"/>
      <c r="J40" s="194" t="s">
        <v>559</v>
      </c>
      <c r="K40" s="434"/>
      <c r="L40" s="83"/>
      <c r="M40" s="83"/>
      <c r="N40" s="83"/>
      <c r="O40" s="55"/>
      <c r="P40" s="129"/>
      <c r="Q40" s="85"/>
      <c r="R40" s="426" t="s">
        <v>623</v>
      </c>
      <c r="S40" s="77" t="s">
        <v>1069</v>
      </c>
      <c r="T40" s="201" t="str">
        <f ca="1">_xlfn.IFNA(UNMM0020_SEIKYUSAKI_HASU_SHORI_CD,"")</f>
        <v/>
      </c>
      <c r="U40" s="129"/>
      <c r="V40" s="124"/>
      <c r="W40" s="419"/>
      <c r="X40" s="419"/>
      <c r="Y40" s="419"/>
      <c r="Z40" s="419"/>
    </row>
    <row r="41" spans="1:26" ht="16.5">
      <c r="B41" s="130" t="s">
        <v>44</v>
      </c>
      <c r="C41" s="129" t="s">
        <v>1074</v>
      </c>
      <c r="D41" s="131">
        <f>IF(UNMM0020_IF_MODE=1,0,IF(UNMM0020_IF_MODE=2,0,5))</f>
        <v>5</v>
      </c>
      <c r="E41" s="130" t="s">
        <v>167</v>
      </c>
      <c r="F41" s="130" t="s">
        <v>167</v>
      </c>
      <c r="G41" s="130" t="s">
        <v>62</v>
      </c>
      <c r="I41" s="12"/>
      <c r="J41" s="17" t="s">
        <v>30</v>
      </c>
      <c r="K41" s="293" t="s">
        <v>560</v>
      </c>
      <c r="L41" s="294" t="s">
        <v>561</v>
      </c>
      <c r="M41" s="294" t="s">
        <v>562</v>
      </c>
      <c r="N41" s="295" t="s">
        <v>563</v>
      </c>
      <c r="O41" s="55"/>
      <c r="P41" s="129"/>
      <c r="Q41" s="85"/>
      <c r="R41" s="426" t="s">
        <v>640</v>
      </c>
      <c r="S41" s="77" t="s">
        <v>1070</v>
      </c>
      <c r="T41" s="201" t="str">
        <f ca="1">_xlfn.IFNA(UNMM0020_SEIKYUSAKI_TESURYO_KBN_CD,"")</f>
        <v/>
      </c>
      <c r="U41" s="129"/>
      <c r="V41" s="124"/>
      <c r="W41" s="419"/>
      <c r="X41" s="419"/>
      <c r="Y41" s="419"/>
      <c r="Z41" s="419"/>
    </row>
    <row r="42" spans="1:26" ht="16.5">
      <c r="C42" s="129"/>
      <c r="D42" s="124"/>
      <c r="I42" s="12"/>
      <c r="J42" s="17" t="s">
        <v>29</v>
      </c>
      <c r="K42" s="434"/>
      <c r="L42" s="83"/>
      <c r="M42" s="7"/>
      <c r="N42" s="7"/>
      <c r="O42" s="55"/>
      <c r="P42" s="129"/>
      <c r="Q42" s="85"/>
      <c r="R42" s="426" t="s">
        <v>641</v>
      </c>
      <c r="S42" s="77" t="s">
        <v>1073</v>
      </c>
      <c r="T42" s="201" t="str">
        <f ca="1">_xlfn.IFNA(UNMM0020_SHIIRE_SHIHARAI_HOHO_CD,"")</f>
        <v/>
      </c>
      <c r="U42" s="129"/>
      <c r="V42" s="124"/>
      <c r="W42" s="419"/>
      <c r="X42" s="419"/>
      <c r="Y42" s="419"/>
      <c r="Z42" s="419"/>
    </row>
    <row r="43" spans="1:26" ht="16.5">
      <c r="A43" s="85" t="s">
        <v>45</v>
      </c>
      <c r="C43" s="129"/>
      <c r="D43" s="124"/>
      <c r="E43" s="85" t="s">
        <v>49</v>
      </c>
      <c r="I43" s="12"/>
      <c r="J43" s="17" t="s">
        <v>564</v>
      </c>
      <c r="K43" s="434"/>
      <c r="L43" s="83"/>
      <c r="M43" s="7"/>
      <c r="N43" s="7"/>
      <c r="O43" s="55"/>
      <c r="P43" s="129"/>
      <c r="Q43" s="85"/>
      <c r="R43" s="426" t="s">
        <v>642</v>
      </c>
      <c r="S43" s="77" t="s">
        <v>1075</v>
      </c>
      <c r="T43" s="201" t="str">
        <f>IF(OR(UNMM0020_SHIIRESAKI_CHUKI=0,UNMM0020_SHIIRESAKI_CHUKI=""),"",UNMM0020_SHIIRESAKI_CHUKI)</f>
        <v/>
      </c>
      <c r="U43" s="129"/>
      <c r="V43" s="124"/>
      <c r="W43" s="419"/>
      <c r="X43" s="419"/>
      <c r="Y43" s="419"/>
      <c r="Z43" s="419"/>
    </row>
    <row r="44" spans="1:26" ht="16.5">
      <c r="B44" s="130" t="s">
        <v>50</v>
      </c>
      <c r="C44" s="129" t="s">
        <v>1078</v>
      </c>
      <c r="D44" s="131">
        <f>IF(UNMM0020_IF_MODE=1,2,IF(UNMM0020_IF_MODE=2,1,1))</f>
        <v>1</v>
      </c>
      <c r="E44" s="130" t="s">
        <v>64</v>
      </c>
      <c r="F44" s="130" t="s">
        <v>63</v>
      </c>
      <c r="G44" s="130" t="s">
        <v>63</v>
      </c>
      <c r="I44" s="56"/>
      <c r="J44" s="13"/>
      <c r="K44" s="13"/>
      <c r="L44" s="13"/>
      <c r="M44" s="13"/>
      <c r="N44" s="13"/>
      <c r="O44" s="11"/>
      <c r="P44" s="129"/>
      <c r="Q44" s="85"/>
      <c r="R44" s="426" t="s">
        <v>626</v>
      </c>
      <c r="S44" s="77" t="s">
        <v>1076</v>
      </c>
      <c r="T44" s="201" t="str">
        <f ca="1">_xlfn.IFNA(UNMM0020_SHIIRESAKI_HASU_CD,"")</f>
        <v/>
      </c>
      <c r="U44" s="129"/>
      <c r="Z44" s="419"/>
    </row>
    <row r="45" spans="1:26" ht="16.5">
      <c r="B45" s="130" t="s">
        <v>43</v>
      </c>
      <c r="C45" s="129" t="s">
        <v>1080</v>
      </c>
      <c r="D45" s="131">
        <f>IF(UNMM0020_IF_MODE=1,2,IF(UNMM0020_IF_MODE=2,1,1))</f>
        <v>1</v>
      </c>
      <c r="E45" s="130" t="s">
        <v>64</v>
      </c>
      <c r="F45" s="130" t="s">
        <v>63</v>
      </c>
      <c r="G45" s="130" t="s">
        <v>63</v>
      </c>
      <c r="I45" s="83"/>
      <c r="J45" s="83"/>
      <c r="K45" s="83"/>
      <c r="L45" s="83"/>
      <c r="M45" s="83"/>
      <c r="N45" s="83"/>
      <c r="O45" s="83"/>
      <c r="P45" s="129"/>
      <c r="Q45" s="85"/>
      <c r="R45" s="426" t="s">
        <v>643</v>
      </c>
      <c r="S45" s="77" t="s">
        <v>1077</v>
      </c>
      <c r="T45" s="201" t="str">
        <f ca="1">_xlfn.IFNA(UNMM0020_SHIIRESAKI_TESURYO_KBN_CD,"")</f>
        <v/>
      </c>
      <c r="Z45" s="419"/>
    </row>
    <row r="46" spans="1:26" ht="16.5">
      <c r="B46" s="130" t="s">
        <v>44</v>
      </c>
      <c r="C46" s="129" t="s">
        <v>1082</v>
      </c>
      <c r="D46" s="131">
        <f>IF(UNMM0020_IF_MODE=1,1,IF(UNMM0020_IF_MODE=2,1,2))</f>
        <v>2</v>
      </c>
      <c r="E46" s="130" t="s">
        <v>63</v>
      </c>
      <c r="F46" s="130" t="s">
        <v>63</v>
      </c>
      <c r="G46" s="130" t="s">
        <v>64</v>
      </c>
      <c r="I46" s="52" t="s">
        <v>565</v>
      </c>
      <c r="J46" s="53"/>
      <c r="K46" s="53"/>
      <c r="L46" s="53"/>
      <c r="M46" s="53"/>
      <c r="N46" s="53"/>
      <c r="O46" s="54"/>
      <c r="P46" s="129"/>
      <c r="Q46" s="85"/>
      <c r="R46" s="426" t="s">
        <v>2073</v>
      </c>
      <c r="S46" s="426" t="s">
        <v>2077</v>
      </c>
      <c r="T46" s="465" t="str">
        <f>IF(UNMM0020_LINK_DATETIME="","",UNMM0020_LINK_DATETIME)</f>
        <v/>
      </c>
      <c r="U46" s="425"/>
      <c r="Z46" s="419"/>
    </row>
    <row r="47" spans="1:26" ht="16.5">
      <c r="B47" s="130" t="s">
        <v>51</v>
      </c>
      <c r="C47" s="129" t="s">
        <v>1084</v>
      </c>
      <c r="D47" s="131">
        <f>IF(UNMM0020_IF_MODE=1,2,IF(UNMM0020_IF_MODE=2,1,2))</f>
        <v>2</v>
      </c>
      <c r="E47" s="130" t="s">
        <v>64</v>
      </c>
      <c r="F47" s="130" t="s">
        <v>63</v>
      </c>
      <c r="G47" s="130" t="s">
        <v>64</v>
      </c>
      <c r="I47" s="12"/>
      <c r="J47" s="17" t="s">
        <v>14</v>
      </c>
      <c r="K47" s="434"/>
      <c r="L47" s="83"/>
      <c r="M47" s="83"/>
      <c r="N47" s="83"/>
      <c r="O47" s="55"/>
      <c r="P47" s="129"/>
      <c r="Q47" s="85"/>
      <c r="R47" s="426" t="s">
        <v>37</v>
      </c>
      <c r="S47" s="426" t="s">
        <v>1079</v>
      </c>
      <c r="T47" s="88" t="b">
        <f>IF(UNMM0020_MISHIYO_FLG=TRUE,TRUE,FALSE)</f>
        <v>0</v>
      </c>
      <c r="Z47" s="419"/>
    </row>
    <row r="48" spans="1:26" ht="16.5">
      <c r="B48" s="130" t="s">
        <v>1087</v>
      </c>
      <c r="C48" s="129" t="s">
        <v>1088</v>
      </c>
      <c r="D48" s="131">
        <f>IF(UNMM0020_IF_MODE=1,1,IF(UNMM0020_IF_MODE=2,1,2))</f>
        <v>2</v>
      </c>
      <c r="E48" s="130" t="s">
        <v>63</v>
      </c>
      <c r="F48" s="130" t="s">
        <v>63</v>
      </c>
      <c r="G48" s="130" t="s">
        <v>64</v>
      </c>
      <c r="I48" s="12"/>
      <c r="J48" s="83"/>
      <c r="K48" s="83"/>
      <c r="L48" s="83"/>
      <c r="M48" s="83"/>
      <c r="N48" s="83"/>
      <c r="O48" s="55"/>
      <c r="P48" s="129"/>
      <c r="Q48" s="85"/>
      <c r="R48" s="426" t="s">
        <v>109</v>
      </c>
      <c r="S48" s="77" t="s">
        <v>1081</v>
      </c>
      <c r="T48" s="201"/>
      <c r="V48" s="124"/>
      <c r="W48" s="419"/>
      <c r="X48" s="419"/>
      <c r="Y48" s="419"/>
      <c r="Z48" s="419"/>
    </row>
    <row r="49" spans="1:26" ht="16.5">
      <c r="B49" s="130" t="s">
        <v>54</v>
      </c>
      <c r="C49" s="129" t="s">
        <v>1090</v>
      </c>
      <c r="D49" s="131">
        <f>IF(UNMM0020_IF_MODE=1,2,IF(UNMM0020_IF_MODE=2,1,1))</f>
        <v>1</v>
      </c>
      <c r="E49" s="130" t="s">
        <v>64</v>
      </c>
      <c r="F49" s="130" t="s">
        <v>63</v>
      </c>
      <c r="G49" s="130" t="s">
        <v>63</v>
      </c>
      <c r="I49" s="12"/>
      <c r="J49" s="7" t="s">
        <v>9</v>
      </c>
      <c r="K49" s="570"/>
      <c r="L49" s="571"/>
      <c r="M49" s="571"/>
      <c r="N49" s="572"/>
      <c r="O49" s="55"/>
      <c r="P49" s="129"/>
      <c r="Q49" s="85"/>
      <c r="R49" s="426" t="s">
        <v>110</v>
      </c>
      <c r="S49" s="77" t="s">
        <v>1083</v>
      </c>
      <c r="T49" s="201"/>
      <c r="V49" s="124"/>
      <c r="W49" s="419"/>
      <c r="X49" s="419"/>
      <c r="Y49" s="419"/>
      <c r="Z49" s="419"/>
    </row>
    <row r="50" spans="1:26" ht="16.5">
      <c r="C50" s="129"/>
      <c r="D50" s="124"/>
      <c r="I50" s="12"/>
      <c r="J50" s="83"/>
      <c r="K50" s="573"/>
      <c r="L50" s="574"/>
      <c r="M50" s="574"/>
      <c r="N50" s="575"/>
      <c r="O50" s="55"/>
      <c r="P50" s="129"/>
      <c r="Q50" s="85"/>
      <c r="S50" s="129"/>
      <c r="T50" s="129"/>
      <c r="V50" s="124"/>
      <c r="W50" s="419"/>
      <c r="X50" s="419"/>
      <c r="Y50" s="419"/>
      <c r="Z50" s="419"/>
    </row>
    <row r="51" spans="1:26" ht="16.5">
      <c r="A51" s="85" t="s">
        <v>1964</v>
      </c>
      <c r="C51" s="129"/>
      <c r="D51" s="124"/>
      <c r="I51" s="12"/>
      <c r="J51" s="83"/>
      <c r="K51" s="573"/>
      <c r="L51" s="574"/>
      <c r="M51" s="574"/>
      <c r="N51" s="575"/>
      <c r="O51" s="55"/>
      <c r="P51" s="129"/>
      <c r="Q51" s="85"/>
      <c r="R51" s="426"/>
      <c r="S51" s="77"/>
      <c r="V51" s="124"/>
      <c r="W51" s="419"/>
      <c r="X51" s="419"/>
      <c r="Y51" s="419"/>
      <c r="Z51" s="419"/>
    </row>
    <row r="52" spans="1:26" ht="16.5">
      <c r="B52" s="130" t="s">
        <v>647</v>
      </c>
      <c r="C52" s="129" t="s">
        <v>1095</v>
      </c>
      <c r="D52" s="131">
        <v>1</v>
      </c>
      <c r="I52" s="12"/>
      <c r="J52" s="83"/>
      <c r="K52" s="573"/>
      <c r="L52" s="574"/>
      <c r="M52" s="574"/>
      <c r="N52" s="575"/>
      <c r="O52" s="55"/>
      <c r="P52" s="129"/>
      <c r="Q52" s="85"/>
      <c r="R52" s="426"/>
      <c r="S52" s="77"/>
      <c r="T52" s="425"/>
      <c r="U52" s="425"/>
      <c r="V52" s="124"/>
      <c r="W52" s="419"/>
      <c r="X52" s="419"/>
      <c r="Y52" s="419"/>
      <c r="Z52" s="419"/>
    </row>
    <row r="53" spans="1:26" ht="16.5">
      <c r="C53" s="129"/>
      <c r="D53" s="131">
        <v>2</v>
      </c>
      <c r="I53" s="12"/>
      <c r="J53" s="83"/>
      <c r="K53" s="576"/>
      <c r="L53" s="577"/>
      <c r="M53" s="577"/>
      <c r="N53" s="578"/>
      <c r="O53" s="55"/>
      <c r="P53" s="129"/>
      <c r="Q53" s="85"/>
      <c r="R53" s="426"/>
      <c r="S53" s="77"/>
      <c r="T53" s="425"/>
      <c r="U53" s="425"/>
      <c r="V53" s="124"/>
      <c r="W53" s="419"/>
      <c r="X53" s="419"/>
      <c r="Y53" s="419"/>
      <c r="Z53" s="419"/>
    </row>
    <row r="54" spans="1:26" ht="16.5">
      <c r="C54" s="129"/>
      <c r="D54" s="131">
        <v>3</v>
      </c>
      <c r="I54" s="12"/>
      <c r="J54" s="7"/>
      <c r="K54" s="83"/>
      <c r="L54" s="83"/>
      <c r="M54" s="83"/>
      <c r="N54" s="83"/>
      <c r="O54" s="55"/>
      <c r="P54" s="129"/>
      <c r="Q54" s="85"/>
      <c r="R54" s="426"/>
      <c r="S54" s="77"/>
      <c r="T54" s="425"/>
      <c r="U54" s="425"/>
      <c r="V54" s="124"/>
      <c r="W54" s="419"/>
      <c r="X54" s="419"/>
      <c r="Y54" s="419"/>
      <c r="Z54" s="419"/>
    </row>
    <row r="55" spans="1:26" ht="16.5">
      <c r="C55" s="129"/>
      <c r="D55" s="131">
        <v>4</v>
      </c>
      <c r="I55" s="12"/>
      <c r="J55" s="17" t="s">
        <v>29</v>
      </c>
      <c r="K55" s="434"/>
      <c r="L55" s="83"/>
      <c r="M55" s="83"/>
      <c r="N55" s="83"/>
      <c r="O55" s="55"/>
      <c r="P55" s="129"/>
      <c r="Q55" s="85"/>
      <c r="R55" s="426"/>
      <c r="S55" s="77"/>
      <c r="T55" s="425"/>
      <c r="U55" s="425"/>
      <c r="V55" s="124"/>
      <c r="W55" s="419"/>
      <c r="X55" s="419"/>
      <c r="Y55" s="419"/>
      <c r="Z55" s="419"/>
    </row>
    <row r="56" spans="1:26" ht="16.5">
      <c r="C56" s="129"/>
      <c r="D56" s="131">
        <v>5</v>
      </c>
      <c r="I56" s="12"/>
      <c r="J56" s="17" t="s">
        <v>564</v>
      </c>
      <c r="K56" s="434"/>
      <c r="L56" s="83"/>
      <c r="M56" s="7"/>
      <c r="N56" s="7"/>
      <c r="O56" s="55"/>
      <c r="P56" s="129"/>
      <c r="Q56" s="85"/>
      <c r="R56" s="426"/>
      <c r="S56" s="77"/>
      <c r="T56" s="425"/>
      <c r="U56" s="425"/>
      <c r="V56" s="124"/>
      <c r="W56" s="419"/>
      <c r="X56" s="419"/>
      <c r="Y56" s="419"/>
      <c r="Z56" s="419"/>
    </row>
    <row r="57" spans="1:26" ht="16.5">
      <c r="C57" s="129"/>
      <c r="D57" s="131">
        <v>6</v>
      </c>
      <c r="I57" s="56"/>
      <c r="J57" s="13"/>
      <c r="K57" s="13"/>
      <c r="L57" s="13"/>
      <c r="M57" s="13"/>
      <c r="N57" s="13"/>
      <c r="O57" s="11"/>
      <c r="P57" s="129"/>
      <c r="Q57" s="85"/>
      <c r="R57" s="426"/>
      <c r="S57" s="77"/>
      <c r="T57" s="425"/>
      <c r="U57" s="425"/>
      <c r="V57" s="124"/>
      <c r="W57" s="419"/>
      <c r="X57" s="419"/>
      <c r="Y57" s="419"/>
      <c r="Z57" s="419"/>
    </row>
    <row r="58" spans="1:26" ht="16.5">
      <c r="C58" s="129"/>
      <c r="D58" s="131">
        <v>7</v>
      </c>
      <c r="I58" s="83"/>
      <c r="J58" s="83"/>
      <c r="K58" s="83"/>
      <c r="L58" s="83"/>
      <c r="M58" s="83"/>
      <c r="N58" s="83"/>
      <c r="O58" s="83"/>
      <c r="P58" s="129"/>
      <c r="Q58" s="85"/>
      <c r="R58" s="426"/>
      <c r="S58" s="77"/>
      <c r="T58" s="425"/>
      <c r="U58" s="425"/>
      <c r="V58" s="124"/>
      <c r="W58" s="419"/>
      <c r="X58" s="419"/>
      <c r="Y58" s="419"/>
      <c r="Z58" s="419"/>
    </row>
    <row r="59" spans="1:26" ht="16.5">
      <c r="C59" s="129"/>
      <c r="D59" s="131">
        <v>8</v>
      </c>
      <c r="I59" s="83"/>
      <c r="J59" s="83"/>
      <c r="K59" s="83"/>
      <c r="L59" s="83"/>
      <c r="M59" s="83"/>
      <c r="N59" s="83"/>
      <c r="O59" s="83"/>
      <c r="P59" s="129"/>
      <c r="Q59" s="85"/>
      <c r="R59" s="426"/>
      <c r="S59" s="77"/>
      <c r="T59" s="425"/>
      <c r="U59" s="425"/>
      <c r="V59" s="124"/>
      <c r="W59" s="419"/>
      <c r="X59" s="419"/>
      <c r="Y59" s="419"/>
      <c r="Z59" s="419"/>
    </row>
    <row r="60" spans="1:26" ht="16.5">
      <c r="C60" s="129"/>
      <c r="D60" s="131">
        <v>9</v>
      </c>
      <c r="I60" s="83"/>
      <c r="J60" s="83"/>
      <c r="K60" s="83"/>
      <c r="L60" s="83"/>
      <c r="M60" s="83"/>
      <c r="N60" s="83"/>
      <c r="O60" s="83"/>
      <c r="P60" s="129"/>
      <c r="Q60" s="85"/>
      <c r="R60" s="426"/>
      <c r="S60" s="77"/>
      <c r="T60" s="425"/>
      <c r="U60" s="425"/>
      <c r="V60" s="124"/>
      <c r="W60" s="419"/>
      <c r="X60" s="419"/>
      <c r="Y60" s="419"/>
      <c r="Z60" s="419"/>
    </row>
    <row r="61" spans="1:26" ht="16.5">
      <c r="C61" s="129"/>
      <c r="D61" s="131">
        <v>10</v>
      </c>
      <c r="I61" s="552" t="str">
        <f>IF(UNMM0020_INSERT_DATETIME="","",MID(UNMM0020_INSERT_DATETIME,3,4)&amp;"/"&amp;MID(UNMM0020_INSERT_DATETIME,8,2)&amp;"/"&amp;MID(UNMM0020_INSERT_DATETIME,11,2)&amp;" "&amp;MID(UNMM0020_INSERT_DATETIME,14,8))</f>
        <v/>
      </c>
      <c r="J61" s="553"/>
      <c r="K61" s="7" t="s">
        <v>8</v>
      </c>
      <c r="L61" s="552" t="str">
        <f>IF(UNMM0020_UPDATE_DATETIME="","",MID(UNMM0020_UPDATE_DATETIME,3,4)&amp;"/"&amp;MID(UNMM0020_UPDATE_DATETIME,8,2)&amp;"/"&amp;MID(UNMM0020_UPDATE_DATETIME,11,2)&amp;" "&amp;MID(UNMM0020_UPDATE_DATETIME,14,8))</f>
        <v/>
      </c>
      <c r="M61" s="553"/>
      <c r="N61" s="83"/>
      <c r="O61" s="83"/>
      <c r="P61" s="129"/>
      <c r="Q61" s="85"/>
      <c r="R61" s="130" t="s">
        <v>465</v>
      </c>
      <c r="U61" s="129"/>
      <c r="V61" s="124"/>
      <c r="W61" s="419"/>
      <c r="X61" s="419"/>
      <c r="Y61" s="419"/>
      <c r="Z61" s="419"/>
    </row>
    <row r="62" spans="1:26">
      <c r="C62" s="129"/>
      <c r="D62" s="131">
        <v>11</v>
      </c>
      <c r="P62" s="129"/>
      <c r="Q62" s="85"/>
      <c r="R62" s="130" t="s">
        <v>466</v>
      </c>
      <c r="S62" s="129" t="s">
        <v>1094</v>
      </c>
      <c r="T62" s="51"/>
    </row>
    <row r="63" spans="1:26">
      <c r="C63" s="129"/>
      <c r="D63" s="131">
        <v>12</v>
      </c>
      <c r="P63" s="129"/>
      <c r="Q63" s="85"/>
      <c r="R63" s="130" t="s">
        <v>467</v>
      </c>
      <c r="S63" s="129" t="s">
        <v>1096</v>
      </c>
      <c r="T63" s="51"/>
    </row>
    <row r="64" spans="1:26">
      <c r="C64" s="129"/>
      <c r="D64" s="131">
        <v>13</v>
      </c>
      <c r="Q64" s="85"/>
      <c r="R64" s="130" t="s">
        <v>468</v>
      </c>
      <c r="S64" s="129" t="s">
        <v>1097</v>
      </c>
      <c r="T64" s="51">
        <f>IF(UNMM0020_IF_SAVE_RESULT_CD=0,2,1)</f>
        <v>2</v>
      </c>
    </row>
    <row r="65" spans="3:21">
      <c r="C65" s="129"/>
      <c r="D65" s="131">
        <v>14</v>
      </c>
      <c r="R65" s="130" t="s">
        <v>469</v>
      </c>
      <c r="S65" s="129" t="s">
        <v>1098</v>
      </c>
      <c r="T65" s="51" t="str">
        <f>IF(UNMM0020_IF_SAVE_W_MODE=3,"削除に失敗しました。",
IF(ISERROR(VLOOKUP(UNMM0020_IF_SAVE_RESULT_CD,UNMM_COMMON_ERROR_MESSAGE_AREA,2,FALSE)),
"保存に失敗しました。入力内容を確認後、再度実行してください。",
VLOOKUP(UNMM0020_IF_SAVE_RESULT_CD,UNMM_COMMON_ERROR_MESSAGE_AREA,2,FALSE)))</f>
        <v>保存に失敗しました。入力内容を確認後、再度実行してください。</v>
      </c>
      <c r="U65" s="130" t="s">
        <v>470</v>
      </c>
    </row>
    <row r="66" spans="3:21">
      <c r="C66" s="129"/>
      <c r="D66" s="131">
        <v>15</v>
      </c>
    </row>
    <row r="67" spans="3:21">
      <c r="C67" s="129"/>
      <c r="D67" s="131">
        <v>16</v>
      </c>
      <c r="H67" s="37" t="s">
        <v>1963</v>
      </c>
      <c r="I67" s="129" t="s">
        <v>650</v>
      </c>
      <c r="R67" s="427" t="s">
        <v>2036</v>
      </c>
      <c r="S67" s="129" t="s">
        <v>2038</v>
      </c>
      <c r="T67" s="127"/>
    </row>
    <row r="68" spans="3:21" ht="16.5">
      <c r="C68" s="129"/>
      <c r="D68" s="131">
        <v>17</v>
      </c>
      <c r="I68" s="435"/>
      <c r="J68" s="3"/>
      <c r="K68" s="83"/>
      <c r="L68" s="83"/>
      <c r="M68" s="83"/>
      <c r="N68" s="83"/>
      <c r="O68" s="83"/>
    </row>
    <row r="69" spans="3:21" ht="16.5">
      <c r="C69" s="129"/>
      <c r="D69" s="131">
        <v>18</v>
      </c>
      <c r="I69" s="580"/>
      <c r="J69" s="581"/>
      <c r="K69" s="581"/>
      <c r="L69" s="582"/>
      <c r="M69" s="83"/>
      <c r="N69" s="83"/>
      <c r="O69" s="83"/>
      <c r="S69" s="129"/>
      <c r="T69" s="129"/>
      <c r="U69" s="129"/>
    </row>
    <row r="70" spans="3:21" ht="16.5">
      <c r="C70" s="129"/>
      <c r="D70" s="131">
        <v>19</v>
      </c>
      <c r="I70" s="83"/>
      <c r="J70" s="83"/>
      <c r="K70" s="83"/>
      <c r="L70" s="83"/>
      <c r="M70" s="83"/>
      <c r="N70" s="83"/>
      <c r="O70" s="83"/>
    </row>
    <row r="71" spans="3:21" ht="16.5">
      <c r="C71" s="129"/>
      <c r="D71" s="131">
        <v>20</v>
      </c>
      <c r="I71" s="433"/>
      <c r="J71" s="83"/>
      <c r="K71" s="7"/>
      <c r="L71" s="83"/>
      <c r="M71" s="83"/>
      <c r="N71" s="83"/>
      <c r="O71" s="83"/>
    </row>
    <row r="72" spans="3:21" ht="16.5">
      <c r="C72" s="129"/>
      <c r="D72" s="131">
        <v>21</v>
      </c>
      <c r="I72" s="579"/>
      <c r="J72" s="579"/>
      <c r="K72" s="579"/>
      <c r="L72" s="579"/>
      <c r="M72" s="579"/>
      <c r="N72" s="579"/>
      <c r="O72" s="579"/>
    </row>
    <row r="73" spans="3:21" ht="16.5">
      <c r="C73" s="129"/>
      <c r="D73" s="131">
        <v>22</v>
      </c>
      <c r="I73" s="579"/>
      <c r="J73" s="579"/>
      <c r="K73" s="579"/>
      <c r="L73" s="579"/>
      <c r="M73" s="579"/>
      <c r="N73" s="579"/>
      <c r="O73" s="579"/>
    </row>
    <row r="74" spans="3:21" ht="16.5">
      <c r="C74" s="129"/>
      <c r="D74" s="131">
        <v>23</v>
      </c>
      <c r="I74" s="555"/>
      <c r="J74" s="557"/>
      <c r="K74" s="78"/>
      <c r="L74" s="78"/>
      <c r="M74" s="78"/>
      <c r="N74" s="78"/>
      <c r="O74" s="78"/>
    </row>
    <row r="75" spans="3:21" ht="16.5">
      <c r="C75" s="129"/>
      <c r="D75" s="131">
        <v>24</v>
      </c>
      <c r="I75" s="555"/>
      <c r="J75" s="557"/>
      <c r="K75" s="78"/>
      <c r="L75" s="78"/>
      <c r="M75" s="78"/>
      <c r="N75" s="78"/>
      <c r="O75" s="78"/>
    </row>
    <row r="76" spans="3:21" ht="16.5">
      <c r="C76" s="129"/>
      <c r="D76" s="131">
        <v>25</v>
      </c>
      <c r="I76" s="579"/>
      <c r="J76" s="579"/>
      <c r="K76" s="579"/>
      <c r="L76" s="579"/>
      <c r="M76" s="78"/>
      <c r="N76" s="78"/>
      <c r="O76" s="78"/>
      <c r="S76" s="129"/>
      <c r="T76" s="129"/>
      <c r="U76" s="129"/>
    </row>
    <row r="77" spans="3:21" ht="16.5">
      <c r="C77" s="129"/>
      <c r="D77" s="131">
        <v>26</v>
      </c>
      <c r="I77" s="555"/>
      <c r="J77" s="556"/>
      <c r="K77" s="556"/>
      <c r="L77" s="557"/>
      <c r="M77" s="78"/>
      <c r="N77" s="78"/>
      <c r="O77" s="78"/>
    </row>
    <row r="78" spans="3:21" ht="16.5">
      <c r="C78" s="129"/>
      <c r="D78" s="131">
        <v>27</v>
      </c>
      <c r="I78" s="555"/>
      <c r="J78" s="558"/>
      <c r="K78" s="4" t="s">
        <v>1848</v>
      </c>
      <c r="L78" s="434"/>
      <c r="M78" s="78"/>
      <c r="N78" s="78"/>
      <c r="O78" s="78"/>
    </row>
    <row r="79" spans="3:21" ht="16.5">
      <c r="C79" s="129"/>
      <c r="D79" s="131">
        <v>28</v>
      </c>
      <c r="I79" s="83"/>
      <c r="J79" s="83"/>
      <c r="K79" s="83"/>
      <c r="L79" s="83"/>
      <c r="M79" s="83"/>
      <c r="N79" s="83"/>
      <c r="O79" s="83"/>
      <c r="S79" s="129"/>
      <c r="T79" s="129"/>
    </row>
    <row r="80" spans="3:21" ht="16.5">
      <c r="C80" s="129"/>
      <c r="D80" s="131">
        <v>29</v>
      </c>
      <c r="I80" s="559"/>
      <c r="J80" s="560"/>
      <c r="K80" s="560"/>
      <c r="L80" s="561"/>
      <c r="M80" s="83"/>
      <c r="N80" s="83"/>
      <c r="O80" s="83"/>
      <c r="S80" s="129"/>
      <c r="T80" s="129"/>
    </row>
    <row r="81" spans="2:20" ht="16.5">
      <c r="C81" s="129"/>
      <c r="D81" s="131">
        <v>30</v>
      </c>
      <c r="E81" s="85"/>
      <c r="I81" s="562"/>
      <c r="J81" s="563"/>
      <c r="K81" s="563"/>
      <c r="L81" s="564"/>
      <c r="M81" s="83"/>
      <c r="N81" s="83"/>
      <c r="O81" s="83"/>
      <c r="S81" s="129"/>
      <c r="T81" s="129"/>
    </row>
    <row r="82" spans="2:20" ht="16.5">
      <c r="C82" s="129"/>
      <c r="D82" s="131">
        <v>31</v>
      </c>
      <c r="E82" s="85"/>
      <c r="I82" s="562"/>
      <c r="J82" s="563"/>
      <c r="K82" s="563"/>
      <c r="L82" s="564"/>
      <c r="M82" s="83"/>
      <c r="N82" s="83"/>
      <c r="O82" s="83"/>
      <c r="S82" s="129"/>
      <c r="T82" s="129"/>
    </row>
    <row r="83" spans="2:20" ht="16.5">
      <c r="D83" s="85"/>
      <c r="E83" s="85"/>
      <c r="F83" s="85"/>
      <c r="G83" s="85"/>
      <c r="I83" s="562"/>
      <c r="J83" s="563"/>
      <c r="K83" s="563"/>
      <c r="L83" s="564"/>
      <c r="M83" s="83"/>
      <c r="N83" s="83"/>
      <c r="O83" s="83"/>
      <c r="S83" s="129"/>
      <c r="T83" s="129"/>
    </row>
    <row r="84" spans="2:20" ht="16.5">
      <c r="D84" s="85"/>
      <c r="E84" s="85"/>
      <c r="F84" s="85"/>
      <c r="G84" s="85"/>
      <c r="I84" s="565"/>
      <c r="J84" s="566"/>
      <c r="K84" s="566"/>
      <c r="L84" s="567"/>
      <c r="M84" s="83"/>
      <c r="N84" s="83"/>
      <c r="O84" s="83"/>
      <c r="S84" s="129"/>
      <c r="T84" s="129"/>
    </row>
    <row r="85" spans="2:20" ht="16.5">
      <c r="B85" s="130" t="s">
        <v>929</v>
      </c>
      <c r="C85" s="129" t="s">
        <v>1178</v>
      </c>
      <c r="D85" s="51" t="str">
        <f ca="1">"相手先マスタメンテ画面_"&amp;UNMM0020_AITE_CD&amp;"_"&amp;TEXT(NOW(),"YYYYMMDD")</f>
        <v>相手先マスタメンテ画面__20170913</v>
      </c>
      <c r="E85" s="85"/>
      <c r="F85" s="85"/>
      <c r="G85" s="85"/>
      <c r="I85" s="83"/>
      <c r="J85" s="83"/>
      <c r="K85" s="83"/>
      <c r="L85" s="83"/>
      <c r="M85" s="83"/>
      <c r="N85" s="83"/>
      <c r="O85" s="83"/>
      <c r="S85" s="129"/>
      <c r="T85" s="129"/>
    </row>
    <row r="86" spans="2:20" ht="16.5">
      <c r="D86" s="85"/>
      <c r="E86" s="85"/>
      <c r="F86" s="85"/>
      <c r="G86" s="85"/>
      <c r="I86" s="186" t="s">
        <v>538</v>
      </c>
      <c r="J86" s="187" t="s">
        <v>539</v>
      </c>
      <c r="K86" s="187" t="s">
        <v>540</v>
      </c>
      <c r="L86" s="187" t="s">
        <v>541</v>
      </c>
      <c r="M86" s="188" t="s">
        <v>542</v>
      </c>
      <c r="N86" s="83"/>
      <c r="O86" s="83"/>
      <c r="S86" s="129"/>
      <c r="T86" s="129"/>
    </row>
    <row r="87" spans="2:20" ht="16.5">
      <c r="D87" s="85"/>
      <c r="E87" s="85"/>
      <c r="F87" s="85"/>
      <c r="G87" s="85"/>
      <c r="I87" s="189" t="s">
        <v>544</v>
      </c>
      <c r="J87" s="190" t="s">
        <v>545</v>
      </c>
      <c r="K87" s="190" t="s">
        <v>546</v>
      </c>
      <c r="L87" s="190" t="s">
        <v>547</v>
      </c>
      <c r="M87" s="191"/>
      <c r="N87" s="83"/>
      <c r="O87" s="83"/>
      <c r="S87" s="129"/>
      <c r="T87" s="129"/>
    </row>
    <row r="88" spans="2:20" ht="16.5">
      <c r="D88" s="85"/>
      <c r="E88" s="85"/>
      <c r="F88" s="85"/>
      <c r="G88" s="85"/>
      <c r="I88" s="83"/>
      <c r="J88" s="83"/>
      <c r="K88" s="83"/>
      <c r="L88" s="83"/>
      <c r="M88" s="83"/>
      <c r="N88" s="83"/>
      <c r="O88" s="83"/>
      <c r="S88" s="129"/>
      <c r="T88" s="129"/>
    </row>
    <row r="89" spans="2:20" ht="16.5">
      <c r="D89" s="85"/>
      <c r="E89" s="85"/>
      <c r="F89" s="85"/>
      <c r="G89" s="85"/>
      <c r="I89" s="52" t="s">
        <v>550</v>
      </c>
      <c r="J89" s="53"/>
      <c r="K89" s="53"/>
      <c r="L89" s="53"/>
      <c r="M89" s="53"/>
      <c r="N89" s="53"/>
      <c r="O89" s="54"/>
      <c r="S89" s="129"/>
      <c r="T89" s="129"/>
    </row>
    <row r="90" spans="2:20" ht="16.5">
      <c r="D90" s="85"/>
      <c r="E90" s="85"/>
      <c r="F90" s="85"/>
      <c r="G90" s="85"/>
      <c r="I90" s="12"/>
      <c r="J90" s="17" t="s">
        <v>553</v>
      </c>
      <c r="K90" s="568"/>
      <c r="L90" s="569"/>
      <c r="M90" s="83"/>
      <c r="N90" s="83"/>
      <c r="O90" s="55"/>
      <c r="S90" s="129"/>
      <c r="T90" s="129"/>
    </row>
    <row r="91" spans="2:20" ht="16.5">
      <c r="D91" s="85"/>
      <c r="E91" s="85"/>
      <c r="F91" s="85"/>
      <c r="G91" s="85"/>
      <c r="I91" s="12"/>
      <c r="J91" s="83"/>
      <c r="K91" s="53"/>
      <c r="L91" s="83"/>
      <c r="M91" s="83"/>
      <c r="N91" s="83"/>
      <c r="O91" s="55"/>
      <c r="S91" s="129"/>
      <c r="T91" s="129"/>
    </row>
    <row r="92" spans="2:20" ht="16.5">
      <c r="D92" s="85"/>
      <c r="E92" s="85"/>
      <c r="F92" s="85"/>
      <c r="G92" s="85"/>
      <c r="I92" s="12"/>
      <c r="J92" s="17" t="s">
        <v>27</v>
      </c>
      <c r="K92" s="432"/>
      <c r="L92" s="83"/>
      <c r="M92" s="83"/>
      <c r="N92" s="83"/>
      <c r="O92" s="55"/>
      <c r="S92" s="129"/>
      <c r="T92" s="129"/>
    </row>
    <row r="93" spans="2:20" ht="16.5">
      <c r="D93" s="85"/>
      <c r="E93" s="85"/>
      <c r="F93" s="85"/>
      <c r="G93" s="85"/>
      <c r="I93" s="12"/>
      <c r="J93" s="83"/>
      <c r="K93" s="83"/>
      <c r="L93" s="83"/>
      <c r="M93" s="83"/>
      <c r="N93" s="83"/>
      <c r="O93" s="55"/>
      <c r="S93" s="129"/>
      <c r="T93" s="129"/>
    </row>
    <row r="94" spans="2:20" ht="16.5">
      <c r="D94" s="85"/>
      <c r="E94" s="85"/>
      <c r="F94" s="85"/>
      <c r="G94" s="85"/>
      <c r="I94" s="12"/>
      <c r="J94" s="7" t="s">
        <v>9</v>
      </c>
      <c r="K94" s="570"/>
      <c r="L94" s="571"/>
      <c r="M94" s="571"/>
      <c r="N94" s="572"/>
      <c r="O94" s="55"/>
      <c r="S94" s="129"/>
      <c r="T94" s="129"/>
    </row>
    <row r="95" spans="2:20" ht="16.5">
      <c r="D95" s="85"/>
      <c r="E95" s="85"/>
      <c r="F95" s="85"/>
      <c r="G95" s="85"/>
      <c r="I95" s="12"/>
      <c r="J95" s="83"/>
      <c r="K95" s="573"/>
      <c r="L95" s="574"/>
      <c r="M95" s="574"/>
      <c r="N95" s="575"/>
      <c r="O95" s="55"/>
      <c r="S95" s="129"/>
      <c r="T95" s="129"/>
    </row>
    <row r="96" spans="2:20" ht="16.5">
      <c r="D96" s="85"/>
      <c r="E96" s="85"/>
      <c r="F96" s="85"/>
      <c r="G96" s="85"/>
      <c r="I96" s="12"/>
      <c r="J96" s="83"/>
      <c r="K96" s="573"/>
      <c r="L96" s="574"/>
      <c r="M96" s="574"/>
      <c r="N96" s="575"/>
      <c r="O96" s="55"/>
      <c r="S96" s="129"/>
      <c r="T96" s="129"/>
    </row>
    <row r="97" spans="4:20" ht="16.5">
      <c r="D97" s="85"/>
      <c r="E97" s="85"/>
      <c r="F97" s="85"/>
      <c r="G97" s="85"/>
      <c r="I97" s="12"/>
      <c r="J97" s="83"/>
      <c r="K97" s="573"/>
      <c r="L97" s="574"/>
      <c r="M97" s="574"/>
      <c r="N97" s="575"/>
      <c r="O97" s="55"/>
      <c r="S97" s="129"/>
      <c r="T97" s="129"/>
    </row>
    <row r="98" spans="4:20" ht="16.5">
      <c r="D98" s="85"/>
      <c r="E98" s="85"/>
      <c r="F98" s="85"/>
      <c r="G98" s="85"/>
      <c r="I98" s="12"/>
      <c r="J98" s="83"/>
      <c r="K98" s="576"/>
      <c r="L98" s="577"/>
      <c r="M98" s="577"/>
      <c r="N98" s="578"/>
      <c r="O98" s="55"/>
      <c r="S98" s="129"/>
      <c r="T98" s="129"/>
    </row>
    <row r="99" spans="4:20" ht="16.5">
      <c r="D99" s="85"/>
      <c r="E99" s="85"/>
      <c r="F99" s="85"/>
      <c r="G99" s="85"/>
      <c r="I99" s="12"/>
      <c r="J99" s="7"/>
      <c r="K99" s="83"/>
      <c r="L99" s="83"/>
      <c r="M99" s="83"/>
      <c r="N99" s="83"/>
      <c r="O99" s="55"/>
      <c r="S99" s="129"/>
      <c r="T99" s="129"/>
    </row>
    <row r="100" spans="4:20" ht="16.5">
      <c r="D100" s="85"/>
      <c r="E100" s="85"/>
      <c r="F100" s="85"/>
      <c r="G100" s="85"/>
      <c r="I100" s="12"/>
      <c r="J100" s="17" t="s">
        <v>558</v>
      </c>
      <c r="K100" s="434"/>
      <c r="L100" s="83"/>
      <c r="M100" s="83"/>
      <c r="N100" s="83"/>
      <c r="O100" s="55"/>
      <c r="S100" s="129"/>
      <c r="T100" s="129"/>
    </row>
    <row r="101" spans="4:20" ht="16.5">
      <c r="D101" s="85"/>
      <c r="E101" s="85"/>
      <c r="F101" s="85"/>
      <c r="G101" s="85"/>
      <c r="I101" s="12"/>
      <c r="J101" s="7"/>
      <c r="K101" s="83"/>
      <c r="L101" s="83"/>
      <c r="M101" s="83"/>
      <c r="N101" s="83"/>
      <c r="O101" s="55"/>
      <c r="S101" s="129"/>
      <c r="T101" s="129"/>
    </row>
    <row r="102" spans="4:20" ht="16.5">
      <c r="D102" s="85"/>
      <c r="E102" s="85"/>
      <c r="F102" s="85"/>
      <c r="G102" s="85"/>
      <c r="I102" s="12"/>
      <c r="J102" s="194" t="s">
        <v>28</v>
      </c>
      <c r="K102" s="434"/>
      <c r="L102" s="83"/>
      <c r="M102" s="83"/>
      <c r="N102" s="83"/>
      <c r="O102" s="55"/>
      <c r="S102" s="129"/>
      <c r="T102" s="129"/>
    </row>
    <row r="103" spans="4:20" ht="16.5">
      <c r="D103" s="85"/>
      <c r="E103" s="85"/>
      <c r="F103" s="85"/>
      <c r="G103" s="85"/>
      <c r="I103" s="12"/>
      <c r="J103" s="194" t="s">
        <v>10</v>
      </c>
      <c r="K103" s="392"/>
      <c r="L103" s="83" t="s">
        <v>11</v>
      </c>
      <c r="M103" s="392"/>
      <c r="N103" s="3" t="s">
        <v>12</v>
      </c>
      <c r="O103" s="55"/>
      <c r="S103" s="129"/>
      <c r="T103" s="129"/>
    </row>
    <row r="104" spans="4:20" ht="16.5">
      <c r="D104" s="85"/>
      <c r="E104" s="85"/>
      <c r="F104" s="85"/>
      <c r="G104" s="85"/>
      <c r="I104" s="12"/>
      <c r="J104" s="83"/>
      <c r="K104" s="83"/>
      <c r="L104" s="83"/>
      <c r="M104" s="83"/>
      <c r="N104" s="83"/>
      <c r="O104" s="55"/>
    </row>
    <row r="105" spans="4:20" ht="16.5">
      <c r="D105" s="85"/>
      <c r="E105" s="85"/>
      <c r="F105" s="85"/>
      <c r="G105" s="85"/>
      <c r="I105" s="12"/>
      <c r="J105" s="194" t="s">
        <v>559</v>
      </c>
      <c r="K105" s="434"/>
      <c r="L105" s="83"/>
      <c r="M105" s="83"/>
      <c r="N105" s="83"/>
      <c r="O105" s="55"/>
    </row>
    <row r="106" spans="4:20" ht="16.5">
      <c r="D106" s="85"/>
      <c r="E106" s="85"/>
      <c r="F106" s="85"/>
      <c r="G106" s="85"/>
      <c r="I106" s="12"/>
      <c r="J106" s="17" t="s">
        <v>30</v>
      </c>
      <c r="K106" s="293" t="s">
        <v>560</v>
      </c>
      <c r="L106" s="294" t="s">
        <v>561</v>
      </c>
      <c r="M106" s="294" t="s">
        <v>562</v>
      </c>
      <c r="N106" s="295" t="s">
        <v>563</v>
      </c>
      <c r="O106" s="55"/>
    </row>
    <row r="107" spans="4:20" ht="16.5">
      <c r="D107" s="85"/>
      <c r="E107" s="85"/>
      <c r="F107" s="85"/>
      <c r="G107" s="85"/>
      <c r="I107" s="12"/>
      <c r="J107" s="17" t="s">
        <v>29</v>
      </c>
      <c r="K107" s="434"/>
      <c r="L107" s="83"/>
      <c r="M107" s="7"/>
      <c r="N107" s="7"/>
      <c r="O107" s="55"/>
    </row>
    <row r="108" spans="4:20" ht="16.5">
      <c r="D108" s="85"/>
      <c r="E108" s="85"/>
      <c r="F108" s="85"/>
      <c r="G108" s="85"/>
      <c r="I108" s="12"/>
      <c r="J108" s="17" t="s">
        <v>564</v>
      </c>
      <c r="K108" s="434"/>
      <c r="L108" s="83"/>
      <c r="M108" s="7"/>
      <c r="N108" s="7"/>
      <c r="O108" s="55"/>
      <c r="S108" s="129"/>
      <c r="T108" s="129"/>
    </row>
    <row r="109" spans="4:20" ht="16.5">
      <c r="D109" s="85"/>
      <c r="E109" s="85"/>
      <c r="F109" s="85"/>
      <c r="G109" s="85"/>
      <c r="I109" s="56"/>
      <c r="J109" s="13"/>
      <c r="K109" s="13"/>
      <c r="L109" s="13"/>
      <c r="M109" s="13"/>
      <c r="N109" s="13"/>
      <c r="O109" s="11"/>
    </row>
    <row r="110" spans="4:20" ht="16.5">
      <c r="D110" s="85"/>
      <c r="E110" s="85"/>
      <c r="F110" s="85"/>
      <c r="G110" s="85"/>
      <c r="I110" s="83"/>
      <c r="J110" s="83"/>
      <c r="K110" s="83"/>
      <c r="L110" s="83"/>
      <c r="M110" s="83"/>
      <c r="N110" s="83"/>
      <c r="O110" s="83"/>
    </row>
    <row r="111" spans="4:20" ht="16.5">
      <c r="D111" s="85"/>
      <c r="E111" s="85"/>
      <c r="F111" s="85"/>
      <c r="G111" s="85"/>
      <c r="I111" s="52" t="s">
        <v>565</v>
      </c>
      <c r="J111" s="53"/>
      <c r="K111" s="53"/>
      <c r="L111" s="53"/>
      <c r="M111" s="53"/>
      <c r="N111" s="53"/>
      <c r="O111" s="54"/>
    </row>
    <row r="112" spans="4:20" ht="16.5">
      <c r="D112" s="85"/>
      <c r="E112" s="85"/>
      <c r="F112" s="85"/>
      <c r="G112" s="85"/>
      <c r="I112" s="12"/>
      <c r="J112" s="17" t="s">
        <v>14</v>
      </c>
      <c r="K112" s="434"/>
      <c r="L112" s="83"/>
      <c r="M112" s="83"/>
      <c r="N112" s="83"/>
      <c r="O112" s="55"/>
    </row>
    <row r="113" spans="4:15" ht="16.5">
      <c r="D113" s="85"/>
      <c r="E113" s="85"/>
      <c r="F113" s="85"/>
      <c r="G113" s="85"/>
      <c r="I113" s="12"/>
      <c r="J113" s="83"/>
      <c r="K113" s="83"/>
      <c r="L113" s="83"/>
      <c r="M113" s="83"/>
      <c r="N113" s="83"/>
      <c r="O113" s="55"/>
    </row>
    <row r="114" spans="4:15" ht="16.5">
      <c r="D114" s="85"/>
      <c r="E114" s="85"/>
      <c r="F114" s="85"/>
      <c r="G114" s="85"/>
      <c r="I114" s="12"/>
      <c r="J114" s="7" t="s">
        <v>9</v>
      </c>
      <c r="K114" s="570"/>
      <c r="L114" s="571"/>
      <c r="M114" s="571"/>
      <c r="N114" s="572"/>
      <c r="O114" s="55"/>
    </row>
    <row r="115" spans="4:15" ht="16.5">
      <c r="D115" s="85"/>
      <c r="E115" s="85"/>
      <c r="F115" s="85"/>
      <c r="G115" s="85"/>
      <c r="I115" s="12"/>
      <c r="J115" s="83"/>
      <c r="K115" s="573"/>
      <c r="L115" s="574"/>
      <c r="M115" s="574"/>
      <c r="N115" s="575"/>
      <c r="O115" s="55"/>
    </row>
    <row r="116" spans="4:15" ht="16.5">
      <c r="D116" s="85"/>
      <c r="E116" s="85"/>
      <c r="F116" s="85"/>
      <c r="G116" s="85"/>
      <c r="I116" s="12"/>
      <c r="J116" s="83"/>
      <c r="K116" s="573"/>
      <c r="L116" s="574"/>
      <c r="M116" s="574"/>
      <c r="N116" s="575"/>
      <c r="O116" s="55"/>
    </row>
    <row r="117" spans="4:15" ht="16.5">
      <c r="D117" s="85"/>
      <c r="E117" s="85"/>
      <c r="F117" s="85"/>
      <c r="G117" s="85"/>
      <c r="I117" s="12"/>
      <c r="J117" s="83"/>
      <c r="K117" s="573"/>
      <c r="L117" s="574"/>
      <c r="M117" s="574"/>
      <c r="N117" s="575"/>
      <c r="O117" s="55"/>
    </row>
    <row r="118" spans="4:15" ht="16.5">
      <c r="D118" s="85"/>
      <c r="E118" s="85"/>
      <c r="F118" s="85"/>
      <c r="G118" s="85"/>
      <c r="I118" s="12"/>
      <c r="J118" s="83"/>
      <c r="K118" s="576"/>
      <c r="L118" s="577"/>
      <c r="M118" s="577"/>
      <c r="N118" s="578"/>
      <c r="O118" s="55"/>
    </row>
    <row r="119" spans="4:15" ht="16.5">
      <c r="D119" s="85"/>
      <c r="E119" s="85"/>
      <c r="F119" s="85"/>
      <c r="G119" s="85"/>
      <c r="I119" s="12"/>
      <c r="J119" s="7"/>
      <c r="K119" s="83"/>
      <c r="L119" s="83"/>
      <c r="M119" s="83"/>
      <c r="N119" s="83"/>
      <c r="O119" s="55"/>
    </row>
    <row r="120" spans="4:15" ht="16.5">
      <c r="D120" s="85"/>
      <c r="F120" s="85"/>
      <c r="G120" s="85"/>
      <c r="I120" s="12"/>
      <c r="J120" s="17" t="s">
        <v>29</v>
      </c>
      <c r="K120" s="434"/>
      <c r="L120" s="83"/>
      <c r="M120" s="83"/>
      <c r="N120" s="83"/>
      <c r="O120" s="55"/>
    </row>
    <row r="121" spans="4:15" ht="16.5">
      <c r="D121" s="85"/>
      <c r="F121" s="85"/>
      <c r="G121" s="85"/>
      <c r="I121" s="12"/>
      <c r="J121" s="17" t="s">
        <v>564</v>
      </c>
      <c r="K121" s="434"/>
      <c r="L121" s="83"/>
      <c r="M121" s="7"/>
      <c r="N121" s="7"/>
      <c r="O121" s="55"/>
    </row>
    <row r="122" spans="4:15" ht="16.5">
      <c r="I122" s="56"/>
      <c r="J122" s="13"/>
      <c r="K122" s="13"/>
      <c r="L122" s="13"/>
      <c r="M122" s="13"/>
      <c r="N122" s="13"/>
      <c r="O122" s="11"/>
    </row>
    <row r="123" spans="4:15" ht="16.5">
      <c r="I123" s="83"/>
      <c r="J123" s="83"/>
      <c r="K123" s="83"/>
      <c r="L123" s="83"/>
      <c r="M123" s="83"/>
      <c r="N123" s="83"/>
      <c r="O123" s="83"/>
    </row>
    <row r="124" spans="4:15" ht="16.5">
      <c r="I124" s="83"/>
      <c r="J124" s="83"/>
      <c r="K124" s="83"/>
      <c r="L124" s="83"/>
      <c r="M124" s="83"/>
      <c r="N124" s="83"/>
      <c r="O124" s="83"/>
    </row>
    <row r="125" spans="4:15" ht="16.5">
      <c r="I125" s="83"/>
      <c r="J125" s="83"/>
      <c r="K125" s="83"/>
      <c r="L125" s="83"/>
      <c r="M125" s="83"/>
      <c r="N125" s="83"/>
      <c r="O125" s="83"/>
    </row>
    <row r="126" spans="4:15" ht="16.5">
      <c r="I126" s="552" t="str">
        <f>IF(UNMM0020_INSERT_DATETIME="","",MID(UNMM0020_INSERT_DATETIME,3,4)&amp;"/"&amp;MID(UNMM0020_INSERT_DATETIME,8,2)&amp;"/"&amp;MID(UNMM0020_INSERT_DATETIME,11,2)&amp;" "&amp;MID(UNMM0020_INSERT_DATETIME,14,8))</f>
        <v/>
      </c>
      <c r="J126" s="553"/>
      <c r="K126" s="7" t="s">
        <v>8</v>
      </c>
      <c r="L126" s="552" t="str">
        <f>IF(UNMM0020_UPDATE_DATETIME="","",MID(UNMM0020_UPDATE_DATETIME,3,4)&amp;"/"&amp;MID(UNMM0020_UPDATE_DATETIME,8,2)&amp;"/"&amp;MID(UNMM0020_UPDATE_DATETIME,11,2)&amp;" "&amp;MID(UNMM0020_UPDATE_DATETIME,14,8))</f>
        <v/>
      </c>
      <c r="M126" s="553"/>
      <c r="N126" s="83"/>
      <c r="O126" s="83"/>
    </row>
    <row r="128" spans="4:15">
      <c r="I128" s="130"/>
      <c r="J128" s="130"/>
    </row>
    <row r="129" spans="8:15">
      <c r="I129" s="130"/>
      <c r="J129" s="130"/>
    </row>
    <row r="130" spans="8:15">
      <c r="H130" s="130" t="s">
        <v>116</v>
      </c>
      <c r="I130" s="129" t="s">
        <v>651</v>
      </c>
      <c r="J130" s="130"/>
    </row>
    <row r="131" spans="8:15" ht="16.5">
      <c r="I131" s="435"/>
      <c r="J131" s="436"/>
      <c r="K131" s="171"/>
      <c r="L131" s="171"/>
      <c r="M131" s="171"/>
      <c r="N131" s="171"/>
      <c r="O131" s="171"/>
    </row>
    <row r="132" spans="8:15" ht="16.5">
      <c r="I132" s="606"/>
      <c r="J132" s="607"/>
      <c r="K132" s="607"/>
      <c r="L132" s="608"/>
      <c r="M132" s="171"/>
      <c r="N132" s="171"/>
      <c r="O132" s="171"/>
    </row>
    <row r="133" spans="8:15" ht="16.5">
      <c r="I133" s="171"/>
      <c r="J133" s="171"/>
      <c r="K133" s="171"/>
      <c r="L133" s="171"/>
      <c r="M133" s="171"/>
      <c r="N133" s="171"/>
      <c r="O133" s="171"/>
    </row>
    <row r="134" spans="8:15" ht="16.5">
      <c r="I134" s="435"/>
      <c r="J134" s="171"/>
      <c r="K134" s="173"/>
      <c r="L134" s="171"/>
      <c r="M134" s="171"/>
      <c r="N134" s="171"/>
      <c r="O134" s="171"/>
    </row>
    <row r="135" spans="8:15" ht="16.5">
      <c r="I135" s="609"/>
      <c r="J135" s="609"/>
      <c r="K135" s="609"/>
      <c r="L135" s="609"/>
      <c r="M135" s="609"/>
      <c r="N135" s="609"/>
      <c r="O135" s="609"/>
    </row>
    <row r="136" spans="8:15" ht="16.5">
      <c r="I136" s="609"/>
      <c r="J136" s="609"/>
      <c r="K136" s="609"/>
      <c r="L136" s="609"/>
      <c r="M136" s="609"/>
      <c r="N136" s="609"/>
      <c r="O136" s="609"/>
    </row>
    <row r="137" spans="8:15" ht="16.5">
      <c r="I137" s="604"/>
      <c r="J137" s="610"/>
      <c r="K137" s="437"/>
      <c r="L137" s="437"/>
      <c r="M137" s="437"/>
      <c r="N137" s="437"/>
      <c r="O137" s="437"/>
    </row>
    <row r="138" spans="8:15" ht="16.5">
      <c r="I138" s="604"/>
      <c r="J138" s="610"/>
      <c r="K138" s="437"/>
      <c r="L138" s="437"/>
      <c r="M138" s="437"/>
      <c r="N138" s="437"/>
      <c r="O138" s="437"/>
    </row>
    <row r="139" spans="8:15" ht="16.5">
      <c r="I139" s="609"/>
      <c r="J139" s="609"/>
      <c r="K139" s="609"/>
      <c r="L139" s="609"/>
      <c r="M139" s="437"/>
      <c r="N139" s="437"/>
      <c r="O139" s="437"/>
    </row>
    <row r="140" spans="8:15" ht="16.5">
      <c r="I140" s="604"/>
      <c r="J140" s="611"/>
      <c r="K140" s="611"/>
      <c r="L140" s="610"/>
      <c r="M140" s="437"/>
      <c r="N140" s="437"/>
      <c r="O140" s="437"/>
    </row>
    <row r="141" spans="8:15" ht="16.5">
      <c r="I141" s="604"/>
      <c r="J141" s="605"/>
      <c r="K141" s="438" t="s">
        <v>1848</v>
      </c>
      <c r="L141" s="439"/>
      <c r="M141" s="437"/>
      <c r="N141" s="437"/>
      <c r="O141" s="437"/>
    </row>
    <row r="142" spans="8:15" ht="16.5">
      <c r="I142" s="171"/>
      <c r="J142" s="171"/>
      <c r="K142" s="171"/>
      <c r="L142" s="171"/>
      <c r="M142" s="171"/>
      <c r="N142" s="171"/>
      <c r="O142" s="171"/>
    </row>
    <row r="143" spans="8:15" ht="16.5">
      <c r="I143" s="584"/>
      <c r="J143" s="585"/>
      <c r="K143" s="585"/>
      <c r="L143" s="586"/>
      <c r="M143" s="171"/>
      <c r="N143" s="171"/>
      <c r="O143" s="171"/>
    </row>
    <row r="144" spans="8:15" ht="16.5">
      <c r="I144" s="587"/>
      <c r="J144" s="588"/>
      <c r="K144" s="588"/>
      <c r="L144" s="589"/>
      <c r="M144" s="171"/>
      <c r="N144" s="171"/>
      <c r="O144" s="171"/>
    </row>
    <row r="145" spans="9:15" ht="16.5">
      <c r="I145" s="587"/>
      <c r="J145" s="588"/>
      <c r="K145" s="588"/>
      <c r="L145" s="589"/>
      <c r="M145" s="171"/>
      <c r="N145" s="171"/>
      <c r="O145" s="171"/>
    </row>
    <row r="146" spans="9:15" ht="16.5">
      <c r="I146" s="587"/>
      <c r="J146" s="588"/>
      <c r="K146" s="588"/>
      <c r="L146" s="589"/>
      <c r="M146" s="171"/>
      <c r="N146" s="171"/>
      <c r="O146" s="171"/>
    </row>
    <row r="147" spans="9:15" ht="16.5">
      <c r="I147" s="590"/>
      <c r="J147" s="591"/>
      <c r="K147" s="591"/>
      <c r="L147" s="592"/>
      <c r="M147" s="171"/>
      <c r="N147" s="171"/>
      <c r="O147" s="171"/>
    </row>
    <row r="148" spans="9:15" ht="16.5">
      <c r="I148" s="171"/>
      <c r="J148" s="171"/>
      <c r="K148" s="171"/>
      <c r="L148" s="171"/>
      <c r="M148" s="171"/>
      <c r="N148" s="171"/>
      <c r="O148" s="171"/>
    </row>
    <row r="149" spans="9:15" ht="16.5">
      <c r="I149" s="440" t="s">
        <v>538</v>
      </c>
      <c r="J149" s="441" t="s">
        <v>539</v>
      </c>
      <c r="K149" s="441" t="s">
        <v>540</v>
      </c>
      <c r="L149" s="441" t="s">
        <v>541</v>
      </c>
      <c r="M149" s="442" t="s">
        <v>542</v>
      </c>
      <c r="N149" s="171"/>
      <c r="O149" s="171"/>
    </row>
    <row r="150" spans="9:15" ht="16.5">
      <c r="I150" s="443" t="s">
        <v>544</v>
      </c>
      <c r="J150" s="444" t="s">
        <v>545</v>
      </c>
      <c r="K150" s="444" t="s">
        <v>546</v>
      </c>
      <c r="L150" s="444" t="s">
        <v>547</v>
      </c>
      <c r="M150" s="445"/>
      <c r="N150" s="171"/>
      <c r="O150" s="171"/>
    </row>
    <row r="151" spans="9:15" ht="16.5">
      <c r="I151" s="171"/>
      <c r="J151" s="171"/>
      <c r="K151" s="171"/>
      <c r="L151" s="171"/>
      <c r="M151" s="171"/>
      <c r="N151" s="171"/>
      <c r="O151" s="171"/>
    </row>
    <row r="152" spans="9:15" ht="16.5">
      <c r="I152" s="304" t="s">
        <v>550</v>
      </c>
      <c r="J152" s="305"/>
      <c r="K152" s="305"/>
      <c r="L152" s="305"/>
      <c r="M152" s="305"/>
      <c r="N152" s="305"/>
      <c r="O152" s="306"/>
    </row>
    <row r="153" spans="9:15" ht="16.5">
      <c r="I153" s="307"/>
      <c r="J153" s="300" t="s">
        <v>553</v>
      </c>
      <c r="K153" s="593"/>
      <c r="L153" s="594"/>
      <c r="M153" s="171"/>
      <c r="N153" s="171"/>
      <c r="O153" s="197"/>
    </row>
    <row r="154" spans="9:15" ht="16.5">
      <c r="I154" s="307"/>
      <c r="J154" s="171"/>
      <c r="K154" s="305"/>
      <c r="L154" s="171"/>
      <c r="M154" s="171"/>
      <c r="N154" s="171"/>
      <c r="O154" s="197"/>
    </row>
    <row r="155" spans="9:15" ht="16.5">
      <c r="I155" s="307"/>
      <c r="J155" s="300" t="s">
        <v>27</v>
      </c>
      <c r="K155" s="439"/>
      <c r="L155" s="171"/>
      <c r="M155" s="171"/>
      <c r="N155" s="171"/>
      <c r="O155" s="197"/>
    </row>
    <row r="156" spans="9:15" ht="16.5">
      <c r="I156" s="307"/>
      <c r="J156" s="171"/>
      <c r="K156" s="171"/>
      <c r="L156" s="171"/>
      <c r="M156" s="171"/>
      <c r="N156" s="171"/>
      <c r="O156" s="197"/>
    </row>
    <row r="157" spans="9:15" ht="16.5">
      <c r="I157" s="307"/>
      <c r="J157" s="173" t="s">
        <v>9</v>
      </c>
      <c r="K157" s="595"/>
      <c r="L157" s="596"/>
      <c r="M157" s="596"/>
      <c r="N157" s="597"/>
      <c r="O157" s="197"/>
    </row>
    <row r="158" spans="9:15" ht="16.5">
      <c r="I158" s="307"/>
      <c r="J158" s="171"/>
      <c r="K158" s="598"/>
      <c r="L158" s="599"/>
      <c r="M158" s="599"/>
      <c r="N158" s="600"/>
      <c r="O158" s="197"/>
    </row>
    <row r="159" spans="9:15" ht="16.5">
      <c r="I159" s="307"/>
      <c r="J159" s="171"/>
      <c r="K159" s="598"/>
      <c r="L159" s="599"/>
      <c r="M159" s="599"/>
      <c r="N159" s="600"/>
      <c r="O159" s="197"/>
    </row>
    <row r="160" spans="9:15" ht="16.5">
      <c r="I160" s="307"/>
      <c r="J160" s="171"/>
      <c r="K160" s="598"/>
      <c r="L160" s="599"/>
      <c r="M160" s="599"/>
      <c r="N160" s="600"/>
      <c r="O160" s="197"/>
    </row>
    <row r="161" spans="9:15" ht="16.5">
      <c r="I161" s="307"/>
      <c r="J161" s="171"/>
      <c r="K161" s="601"/>
      <c r="L161" s="602"/>
      <c r="M161" s="602"/>
      <c r="N161" s="603"/>
      <c r="O161" s="197"/>
    </row>
    <row r="162" spans="9:15" ht="16.5">
      <c r="I162" s="307"/>
      <c r="J162" s="173"/>
      <c r="K162" s="171"/>
      <c r="L162" s="171"/>
      <c r="M162" s="171"/>
      <c r="N162" s="171"/>
      <c r="O162" s="197"/>
    </row>
    <row r="163" spans="9:15" ht="16.5">
      <c r="I163" s="307"/>
      <c r="J163" s="300" t="s">
        <v>558</v>
      </c>
      <c r="K163" s="439"/>
      <c r="L163" s="171"/>
      <c r="M163" s="171"/>
      <c r="N163" s="171"/>
      <c r="O163" s="197"/>
    </row>
    <row r="164" spans="9:15" ht="16.5">
      <c r="I164" s="307"/>
      <c r="J164" s="173"/>
      <c r="K164" s="171"/>
      <c r="L164" s="171"/>
      <c r="M164" s="171"/>
      <c r="N164" s="171"/>
      <c r="O164" s="197"/>
    </row>
    <row r="165" spans="9:15" ht="16.5">
      <c r="I165" s="307"/>
      <c r="J165" s="446" t="s">
        <v>28</v>
      </c>
      <c r="K165" s="439"/>
      <c r="L165" s="171"/>
      <c r="M165" s="171"/>
      <c r="N165" s="171"/>
      <c r="O165" s="197"/>
    </row>
    <row r="166" spans="9:15" ht="16.5">
      <c r="I166" s="307"/>
      <c r="J166" s="446" t="s">
        <v>10</v>
      </c>
      <c r="K166" s="407"/>
      <c r="L166" s="171" t="s">
        <v>11</v>
      </c>
      <c r="M166" s="407"/>
      <c r="N166" s="436" t="s">
        <v>12</v>
      </c>
      <c r="O166" s="197"/>
    </row>
    <row r="167" spans="9:15" ht="16.5">
      <c r="I167" s="307"/>
      <c r="J167" s="171"/>
      <c r="K167" s="171"/>
      <c r="L167" s="171"/>
      <c r="M167" s="171"/>
      <c r="N167" s="171"/>
      <c r="O167" s="197"/>
    </row>
    <row r="168" spans="9:15" ht="16.5">
      <c r="I168" s="307"/>
      <c r="J168" s="446" t="s">
        <v>559</v>
      </c>
      <c r="K168" s="439"/>
      <c r="L168" s="171"/>
      <c r="M168" s="171"/>
      <c r="N168" s="171"/>
      <c r="O168" s="197"/>
    </row>
    <row r="169" spans="9:15" ht="16.5">
      <c r="I169" s="307"/>
      <c r="J169" s="300" t="s">
        <v>30</v>
      </c>
      <c r="K169" s="447" t="s">
        <v>560</v>
      </c>
      <c r="L169" s="448" t="s">
        <v>561</v>
      </c>
      <c r="M169" s="448" t="s">
        <v>562</v>
      </c>
      <c r="N169" s="449" t="s">
        <v>563</v>
      </c>
      <c r="O169" s="197"/>
    </row>
    <row r="170" spans="9:15" ht="16.5">
      <c r="I170" s="307"/>
      <c r="J170" s="300" t="s">
        <v>29</v>
      </c>
      <c r="K170" s="439"/>
      <c r="L170" s="171"/>
      <c r="M170" s="173"/>
      <c r="N170" s="173"/>
      <c r="O170" s="197"/>
    </row>
    <row r="171" spans="9:15" ht="16.5">
      <c r="I171" s="307"/>
      <c r="J171" s="300" t="s">
        <v>564</v>
      </c>
      <c r="K171" s="439"/>
      <c r="L171" s="171"/>
      <c r="M171" s="173"/>
      <c r="N171" s="173"/>
      <c r="O171" s="197"/>
    </row>
    <row r="172" spans="9:15" ht="16.5">
      <c r="I172" s="308"/>
      <c r="J172" s="273"/>
      <c r="K172" s="273"/>
      <c r="L172" s="273"/>
      <c r="M172" s="273"/>
      <c r="N172" s="273"/>
      <c r="O172" s="259"/>
    </row>
    <row r="173" spans="9:15" ht="16.5">
      <c r="I173" s="171"/>
      <c r="J173" s="171"/>
      <c r="K173" s="171"/>
      <c r="L173" s="171"/>
      <c r="M173" s="171"/>
      <c r="N173" s="171"/>
      <c r="O173" s="171"/>
    </row>
    <row r="174" spans="9:15" ht="16.5">
      <c r="I174" s="304" t="s">
        <v>565</v>
      </c>
      <c r="J174" s="305"/>
      <c r="K174" s="305"/>
      <c r="L174" s="305"/>
      <c r="M174" s="305"/>
      <c r="N174" s="305"/>
      <c r="O174" s="306"/>
    </row>
    <row r="175" spans="9:15" ht="16.5">
      <c r="I175" s="307"/>
      <c r="J175" s="300" t="s">
        <v>14</v>
      </c>
      <c r="K175" s="439"/>
      <c r="L175" s="171"/>
      <c r="M175" s="171"/>
      <c r="N175" s="171"/>
      <c r="O175" s="197"/>
    </row>
    <row r="176" spans="9:15" ht="16.5">
      <c r="I176" s="307"/>
      <c r="J176" s="171"/>
      <c r="K176" s="171"/>
      <c r="L176" s="171"/>
      <c r="M176" s="171"/>
      <c r="N176" s="171"/>
      <c r="O176" s="197"/>
    </row>
    <row r="177" spans="4:15" ht="16.5">
      <c r="I177" s="307"/>
      <c r="J177" s="173" t="s">
        <v>9</v>
      </c>
      <c r="K177" s="595"/>
      <c r="L177" s="596"/>
      <c r="M177" s="596"/>
      <c r="N177" s="597"/>
      <c r="O177" s="197"/>
    </row>
    <row r="178" spans="4:15" ht="16.5">
      <c r="I178" s="307"/>
      <c r="J178" s="171"/>
      <c r="K178" s="598"/>
      <c r="L178" s="599"/>
      <c r="M178" s="599"/>
      <c r="N178" s="600"/>
      <c r="O178" s="197"/>
    </row>
    <row r="179" spans="4:15" ht="16.5">
      <c r="I179" s="307"/>
      <c r="J179" s="171"/>
      <c r="K179" s="598"/>
      <c r="L179" s="599"/>
      <c r="M179" s="599"/>
      <c r="N179" s="600"/>
      <c r="O179" s="197"/>
    </row>
    <row r="180" spans="4:15" ht="16.5">
      <c r="I180" s="307"/>
      <c r="J180" s="171"/>
      <c r="K180" s="598"/>
      <c r="L180" s="599"/>
      <c r="M180" s="599"/>
      <c r="N180" s="600"/>
      <c r="O180" s="197"/>
    </row>
    <row r="181" spans="4:15" ht="16.5">
      <c r="I181" s="307"/>
      <c r="J181" s="171"/>
      <c r="K181" s="601"/>
      <c r="L181" s="602"/>
      <c r="M181" s="602"/>
      <c r="N181" s="603"/>
      <c r="O181" s="197"/>
    </row>
    <row r="182" spans="4:15" ht="16.5">
      <c r="I182" s="307"/>
      <c r="J182" s="173"/>
      <c r="K182" s="171"/>
      <c r="L182" s="171"/>
      <c r="M182" s="171"/>
      <c r="N182" s="171"/>
      <c r="O182" s="197"/>
    </row>
    <row r="183" spans="4:15" ht="16.5">
      <c r="E183" s="85"/>
      <c r="I183" s="307"/>
      <c r="J183" s="300" t="s">
        <v>29</v>
      </c>
      <c r="K183" s="439"/>
      <c r="L183" s="171"/>
      <c r="M183" s="171"/>
      <c r="N183" s="171"/>
      <c r="O183" s="197"/>
    </row>
    <row r="184" spans="4:15" ht="16.5">
      <c r="I184" s="307"/>
      <c r="J184" s="300" t="s">
        <v>564</v>
      </c>
      <c r="K184" s="439"/>
      <c r="L184" s="171"/>
      <c r="M184" s="173"/>
      <c r="N184" s="173"/>
      <c r="O184" s="197"/>
    </row>
    <row r="185" spans="4:15" ht="16.5">
      <c r="D185" s="85"/>
      <c r="E185" s="85"/>
      <c r="F185" s="85"/>
      <c r="G185" s="85"/>
      <c r="I185" s="308"/>
      <c r="J185" s="273"/>
      <c r="K185" s="273"/>
      <c r="L185" s="273"/>
      <c r="M185" s="273"/>
      <c r="N185" s="273"/>
      <c r="O185" s="259"/>
    </row>
    <row r="186" spans="4:15" ht="16.5">
      <c r="E186" s="85"/>
      <c r="I186" s="83"/>
      <c r="J186" s="83"/>
      <c r="K186" s="83"/>
      <c r="L186" s="83"/>
      <c r="M186" s="83"/>
      <c r="N186" s="83"/>
      <c r="O186" s="83"/>
    </row>
    <row r="187" spans="4:15" ht="16.5">
      <c r="F187" s="85"/>
      <c r="I187" s="83"/>
      <c r="J187" s="83"/>
      <c r="K187" s="83"/>
      <c r="L187" s="83"/>
      <c r="M187" s="83"/>
      <c r="N187" s="83"/>
      <c r="O187" s="83"/>
    </row>
    <row r="188" spans="4:15" ht="16.5">
      <c r="F188" s="85"/>
      <c r="I188" s="83"/>
      <c r="J188" s="83"/>
      <c r="K188" s="83"/>
      <c r="L188" s="83"/>
      <c r="M188" s="83"/>
      <c r="N188" s="83"/>
      <c r="O188" s="83"/>
    </row>
    <row r="189" spans="4:15" ht="16.5">
      <c r="I189" s="552" t="str">
        <f>IF(UNMM0020_INSERT_DATETIME="","",MID(UNMM0020_INSERT_DATETIME,3,4)&amp;"/"&amp;MID(UNMM0020_INSERT_DATETIME,8,2)&amp;"/"&amp;MID(UNMM0020_INSERT_DATETIME,11,2)&amp;" "&amp;MID(UNMM0020_INSERT_DATETIME,14,8))</f>
        <v/>
      </c>
      <c r="J189" s="553"/>
      <c r="K189" s="7" t="s">
        <v>8</v>
      </c>
      <c r="L189" s="552" t="str">
        <f>IF(UNMM0020_UPDATE_DATETIME="","",MID(UNMM0020_UPDATE_DATETIME,3,4)&amp;"/"&amp;MID(UNMM0020_UPDATE_DATETIME,8,2)&amp;"/"&amp;MID(UNMM0020_UPDATE_DATETIME,11,2)&amp;" "&amp;MID(UNMM0020_UPDATE_DATETIME,14,8))</f>
        <v/>
      </c>
      <c r="M189" s="553"/>
      <c r="N189" s="83"/>
      <c r="O189" s="83"/>
    </row>
    <row r="190" spans="4:15">
      <c r="E190" s="85"/>
      <c r="J190" s="130"/>
    </row>
  </sheetData>
  <mergeCells count="43">
    <mergeCell ref="I80:L84"/>
    <mergeCell ref="K49:N53"/>
    <mergeCell ref="I4:L4"/>
    <mergeCell ref="I7:O7"/>
    <mergeCell ref="I8:O8"/>
    <mergeCell ref="I9:J9"/>
    <mergeCell ref="I10:J10"/>
    <mergeCell ref="I11:L11"/>
    <mergeCell ref="I12:L12"/>
    <mergeCell ref="I13:J13"/>
    <mergeCell ref="I15:L19"/>
    <mergeCell ref="K25:L25"/>
    <mergeCell ref="K29:N33"/>
    <mergeCell ref="I189:J189"/>
    <mergeCell ref="L189:M189"/>
    <mergeCell ref="I141:J141"/>
    <mergeCell ref="K94:N98"/>
    <mergeCell ref="K114:N118"/>
    <mergeCell ref="I126:J126"/>
    <mergeCell ref="L126:M126"/>
    <mergeCell ref="I132:L132"/>
    <mergeCell ref="I135:O135"/>
    <mergeCell ref="I136:O136"/>
    <mergeCell ref="I137:J137"/>
    <mergeCell ref="I138:J138"/>
    <mergeCell ref="I139:L139"/>
    <mergeCell ref="I140:L140"/>
    <mergeCell ref="V11:W11"/>
    <mergeCell ref="I143:L147"/>
    <mergeCell ref="K153:L153"/>
    <mergeCell ref="K157:N161"/>
    <mergeCell ref="K177:N181"/>
    <mergeCell ref="K90:L90"/>
    <mergeCell ref="I61:J61"/>
    <mergeCell ref="L61:M61"/>
    <mergeCell ref="I69:L69"/>
    <mergeCell ref="I72:O72"/>
    <mergeCell ref="I73:O73"/>
    <mergeCell ref="I74:J74"/>
    <mergeCell ref="I75:J75"/>
    <mergeCell ref="I76:L76"/>
    <mergeCell ref="I77:L77"/>
    <mergeCell ref="I78:J78"/>
  </mergeCells>
  <phoneticPr fontId="2"/>
  <dataValidations count="20">
    <dataValidation type="custom" allowBlank="1" showInputMessage="1" showErrorMessage="1" sqref="I68 I131">
      <formula1>AND(LEN(I68)=LENB(I68),LEN(I68)=10)</formula1>
    </dataValidation>
    <dataValidation type="custom" allowBlank="1" showInputMessage="1" showErrorMessage="1" sqref="I71 I6 I134">
      <formula1>AND(LEN(I6)=LENB(I6),LEN(I6)&lt;=8)</formula1>
    </dataValidation>
    <dataValidation type="custom" allowBlank="1" showInputMessage="1" showErrorMessage="1" sqref="I9:J10 I74:J75 I137:J138">
      <formula1>AND(LEN(I9)=LENB(I9),LEN(I9)&lt;=13)</formula1>
    </dataValidation>
    <dataValidation type="custom" allowBlank="1" showInputMessage="1" showErrorMessage="1" sqref="I11:L11 I76:L76 I139:L139">
      <formula1>AND(LEN(I11)=LENB(I11),LEN(I11)&lt;=320)</formula1>
    </dataValidation>
    <dataValidation type="custom" allowBlank="1" showInputMessage="1" showErrorMessage="1" sqref="I15:L19 I80:L84 I143:L147">
      <formula1>LENB(I15)&lt;=256</formula1>
    </dataValidation>
    <dataValidation type="list" allowBlank="1" showInputMessage="1" showErrorMessage="1" sqref="K35 K100 K163">
      <formula1>LIST_SEIKYU_HOHO</formula1>
    </dataValidation>
    <dataValidation type="list" allowBlank="1" showInputMessage="1" showErrorMessage="1" sqref="M38 M103 M166">
      <formula1>LIST_DAY</formula1>
    </dataValidation>
    <dataValidation type="list" allowBlank="1" showInputMessage="1" showErrorMessage="1" sqref="K37 K102 K165">
      <formula1>LIST_KAISHU_SHUBETSU</formula1>
    </dataValidation>
    <dataValidation type="list" allowBlank="1" showInputMessage="1" showErrorMessage="1" sqref="K40 K105 K168">
      <formula1>LIST_TAX_KBN</formula1>
    </dataValidation>
    <dataValidation type="list" allowBlank="1" showInputMessage="1" showErrorMessage="1" sqref="K42 K55 K107 K120 K170 K183">
      <formula1>LIST_HASU_SHORI</formula1>
    </dataValidation>
    <dataValidation type="list" allowBlank="1" showInputMessage="1" showErrorMessage="1" sqref="K43 K56 K108 K121 K171 K184">
      <formula1>LIST_TESURYO_KBN</formula1>
    </dataValidation>
    <dataValidation type="list" allowBlank="1" showInputMessage="1" showErrorMessage="1" sqref="K47 K112 K175">
      <formula1>LIST_SHIIRE_SHIHARAI</formula1>
    </dataValidation>
    <dataValidation type="custom" allowBlank="1" showInputMessage="1" showErrorMessage="1" sqref="I12:L12 I13:J13 I77:L77 I78:J78 I140:L140 I141:J141">
      <formula1>LEN(I12)&lt;=20</formula1>
    </dataValidation>
    <dataValidation type="custom" allowBlank="1" showInputMessage="1" showErrorMessage="1" sqref="K29:N33 K49:N53 K94:N98 K114:N118 K157:N161 K177:N181">
      <formula1>LENB(I29)&lt;=256</formula1>
    </dataValidation>
    <dataValidation type="whole" operator="greaterThanOrEqual" allowBlank="1" showInputMessage="1" showErrorMessage="1" sqref="K38 K103 K166">
      <formula1>0</formula1>
    </dataValidation>
    <dataValidation type="list" allowBlank="1" showInputMessage="1" sqref="L13 L78 L141">
      <formula1>LIST_KEISHO</formula1>
    </dataValidation>
    <dataValidation type="custom" allowBlank="1" showInputMessage="1" showErrorMessage="1" sqref="I3">
      <formula1>AND(LEN(I3)=LENB(I3),LEN(I3)&lt;=10)</formula1>
    </dataValidation>
    <dataValidation type="custom" allowBlank="1" showInputMessage="1" showErrorMessage="1" sqref="I4:L4 I69:L69 I132:L132">
      <formula1>IF(NOT(ISERROR(SEARCHB(" ",I4,1))),IF(SEARCHB(" ",I4,1)&gt;40,FALSE,IF(LENB(I4)-SEARCHB(" ",I4,1)&gt;36,FALSE,TRUE)),IF(NOT(ISERROR(SEARCHB("　",I4,1))),IF(SEARCHB("　",I4,1)-1&gt;40,FALSE,IF(LENB(I4)-SEARCHB("　",I4,1)-1&gt;36,FALSE,TRUE)),IF(LENB(I4)&gt;40,FALSE,TRUE)))</formula1>
    </dataValidation>
    <dataValidation type="custom" allowBlank="1" showInputMessage="1" showErrorMessage="1" sqref="I7:O7 I72:O72 I135:O135">
      <formula1>LENB(I7)&lt;=40</formula1>
    </dataValidation>
    <dataValidation type="custom" allowBlank="1" showInputMessage="1" showErrorMessage="1" sqref="I8:O8 I73:O73 I136:O136">
      <formula1>LENB(I8)&lt;=36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B1:D23"/>
  <sheetViews>
    <sheetView workbookViewId="0">
      <selection activeCell="C10" sqref="C10"/>
    </sheetView>
  </sheetViews>
  <sheetFormatPr defaultRowHeight="13.5"/>
  <cols>
    <col min="1" max="1" width="9" style="208"/>
    <col min="2" max="2" width="24.25" style="208" bestFit="1" customWidth="1"/>
    <col min="3" max="3" width="19" style="26" customWidth="1"/>
    <col min="4" max="4" width="73.875" style="29" customWidth="1"/>
    <col min="5" max="16384" width="9" style="208"/>
  </cols>
  <sheetData>
    <row r="1" spans="2:4">
      <c r="C1" s="34" t="s">
        <v>577</v>
      </c>
      <c r="D1" s="29">
        <f>UNMM0020_AITE_CD</f>
        <v>0</v>
      </c>
    </row>
    <row r="3" spans="2:4" ht="33" customHeight="1">
      <c r="B3" s="25" t="s">
        <v>77</v>
      </c>
      <c r="C3" s="26" t="s">
        <v>977</v>
      </c>
      <c r="D3" s="207" t="str">
        <f>D4&amp;D5</f>
        <v>SELECT *
  FROM V_AITESAKI_DATA
 WHERE V_AITESAKI_DATA.AITE_CD = '0'</v>
      </c>
    </row>
    <row r="4" spans="2:4" ht="25.5" customHeight="1">
      <c r="C4" s="208" t="s">
        <v>978</v>
      </c>
      <c r="D4" s="29" t="s">
        <v>979</v>
      </c>
    </row>
    <row r="5" spans="2:4" ht="25.5" customHeight="1">
      <c r="C5" s="208" t="s">
        <v>154</v>
      </c>
      <c r="D5" s="29" t="str">
        <f>" WHERE V_AITESAKI_DATA.AITE_CD = '"&amp;D1&amp;"'"</f>
        <v xml:space="preserve"> WHERE V_AITESAKI_DATA.AITE_CD = '0'</v>
      </c>
    </row>
    <row r="7" spans="2:4" ht="40.5">
      <c r="B7" s="25" t="s">
        <v>82</v>
      </c>
      <c r="C7" s="26" t="s">
        <v>980</v>
      </c>
      <c r="D7" s="207" t="str">
        <f>D8</f>
        <v>DELETE
  FROM M_AITESAKI
 WHERE M_AITESAKI.AITE_CD = '0'</v>
      </c>
    </row>
    <row r="8" spans="2:4" ht="40.5">
      <c r="C8" s="208" t="s">
        <v>978</v>
      </c>
      <c r="D8" s="29" t="str">
        <f>"DELETE
  FROM M_AITESAKI
 WHERE M_AITESAKI.AITE_CD = '"&amp;D1&amp;"'"</f>
        <v>DELETE
  FROM M_AITESAKI
 WHERE M_AITESAKI.AITE_CD = '0'</v>
      </c>
    </row>
    <row r="10" spans="2:4" ht="40.5">
      <c r="C10" s="26" t="s">
        <v>981</v>
      </c>
      <c r="D10" s="207" t="s">
        <v>2054</v>
      </c>
    </row>
    <row r="11" spans="2:4" ht="40.5">
      <c r="C11" s="26" t="s">
        <v>982</v>
      </c>
      <c r="D11" s="207" t="s">
        <v>2055</v>
      </c>
    </row>
    <row r="12" spans="2:4" ht="40.5">
      <c r="C12" s="26" t="s">
        <v>983</v>
      </c>
      <c r="D12" s="207" t="s">
        <v>2056</v>
      </c>
    </row>
    <row r="13" spans="2:4" ht="54">
      <c r="C13" s="26" t="s">
        <v>984</v>
      </c>
      <c r="D13" s="207" t="s">
        <v>2057</v>
      </c>
    </row>
    <row r="14" spans="2:4" ht="54">
      <c r="C14" s="26" t="s">
        <v>985</v>
      </c>
      <c r="D14" s="207" t="s">
        <v>2058</v>
      </c>
    </row>
    <row r="15" spans="2:4" ht="54">
      <c r="C15" s="26" t="s">
        <v>986</v>
      </c>
      <c r="D15" s="207" t="s">
        <v>2059</v>
      </c>
    </row>
    <row r="16" spans="2:4" ht="94.5" customHeight="1">
      <c r="C16" s="26" t="s">
        <v>987</v>
      </c>
      <c r="D16" s="29" t="str">
        <f>D17&amp;D18</f>
        <v>SELECT *
  FROM V_AITESAKI_SANSHO_SAKUSEI
 WHERE V_AITESAKI_SANSHO_SAKUSEI.AITE_CD = '0'</v>
      </c>
    </row>
    <row r="17" spans="2:4" ht="94.5" customHeight="1">
      <c r="C17" s="26" t="s">
        <v>988</v>
      </c>
      <c r="D17" s="29" t="s">
        <v>989</v>
      </c>
    </row>
    <row r="18" spans="2:4">
      <c r="C18" s="26" t="s">
        <v>154</v>
      </c>
      <c r="D18" s="29" t="str">
        <f>" WHERE V_AITESAKI_SANSHO_SAKUSEI.AITE_CD = '"&amp;D1&amp;"'"</f>
        <v xml:space="preserve"> WHERE V_AITESAKI_SANSHO_SAKUSEI.AITE_CD = '0'</v>
      </c>
    </row>
    <row r="21" spans="2:4" ht="67.5">
      <c r="B21" s="25" t="s">
        <v>1660</v>
      </c>
      <c r="C21" s="26" t="s">
        <v>1661</v>
      </c>
      <c r="D21" s="207" t="s">
        <v>1843</v>
      </c>
    </row>
    <row r="23" spans="2:4" ht="40.5">
      <c r="B23" s="25" t="s">
        <v>2036</v>
      </c>
      <c r="C23" s="26" t="s">
        <v>2039</v>
      </c>
      <c r="D23" s="207" t="str">
        <f>"SELECT COUNT(*)
  FROM M_AITESAKI
 WHERE AITE_CD = '"&amp;$D$1&amp;"'"</f>
        <v>SELECT COUNT(*)
  FROM M_AITESAKI
 WHERE AITE_CD = '0'</v>
      </c>
    </row>
  </sheetData>
  <phoneticPr fontId="2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>
    <tabColor rgb="FFFFFF00"/>
  </sheetPr>
  <dimension ref="A1:AB26"/>
  <sheetViews>
    <sheetView showGridLines="0" showRowColHeaders="0" topLeftCell="F1" workbookViewId="0">
      <selection activeCell="J6" sqref="J6:M6"/>
    </sheetView>
  </sheetViews>
  <sheetFormatPr defaultColWidth="3.375" defaultRowHeight="16.5"/>
  <cols>
    <col min="1" max="1" width="16.375" style="172" hidden="1" customWidth="1"/>
    <col min="2" max="2" width="16.875" style="66" hidden="1" customWidth="1"/>
    <col min="3" max="3" width="12.375" style="66" hidden="1" customWidth="1"/>
    <col min="4" max="4" width="11.625" style="66" hidden="1" customWidth="1"/>
    <col min="5" max="5" width="7.875" style="66" hidden="1" customWidth="1"/>
    <col min="6" max="16384" width="3.375" style="171"/>
  </cols>
  <sheetData>
    <row r="1" spans="1:28" s="169" customFormat="1" ht="19.5">
      <c r="A1" s="626" t="s">
        <v>226</v>
      </c>
      <c r="B1" s="626"/>
      <c r="C1" s="626"/>
      <c r="D1" s="167"/>
      <c r="E1" s="168"/>
      <c r="F1" s="169" t="s">
        <v>185</v>
      </c>
    </row>
    <row r="2" spans="1:28">
      <c r="A2" s="170"/>
      <c r="B2" s="170"/>
      <c r="C2" s="170"/>
      <c r="D2" s="167"/>
    </row>
    <row r="3" spans="1:28">
      <c r="A3" s="66"/>
      <c r="C3" s="172" t="s">
        <v>372</v>
      </c>
      <c r="D3" s="172"/>
      <c r="I3" s="173" t="s">
        <v>186</v>
      </c>
      <c r="J3" s="174"/>
      <c r="K3" s="624" t="s">
        <v>187</v>
      </c>
      <c r="L3" s="624"/>
      <c r="M3" s="624"/>
      <c r="N3" s="175"/>
      <c r="O3" s="624" t="s">
        <v>188</v>
      </c>
      <c r="P3" s="624"/>
      <c r="Q3" s="624"/>
      <c r="R3" s="175"/>
      <c r="S3" s="624" t="s">
        <v>189</v>
      </c>
      <c r="T3" s="624"/>
      <c r="U3" s="624"/>
      <c r="V3" s="175"/>
      <c r="W3" s="624" t="s">
        <v>181</v>
      </c>
      <c r="X3" s="624"/>
      <c r="Y3" s="625"/>
      <c r="AA3" s="173"/>
      <c r="AB3" s="171" t="s">
        <v>118</v>
      </c>
    </row>
    <row r="4" spans="1:28">
      <c r="A4" s="176" t="s">
        <v>187</v>
      </c>
      <c r="B4" s="172" t="s">
        <v>227</v>
      </c>
      <c r="C4" s="157" t="b">
        <v>1</v>
      </c>
      <c r="D4" s="167"/>
      <c r="I4" s="173" t="s">
        <v>190</v>
      </c>
      <c r="J4" s="174"/>
      <c r="K4" s="624" t="s">
        <v>191</v>
      </c>
      <c r="L4" s="624"/>
      <c r="M4" s="624"/>
      <c r="N4" s="175"/>
      <c r="O4" s="624" t="s">
        <v>192</v>
      </c>
      <c r="P4" s="624"/>
      <c r="Q4" s="624"/>
      <c r="R4" s="175"/>
      <c r="S4" s="624"/>
      <c r="T4" s="624"/>
      <c r="U4" s="624"/>
      <c r="V4" s="175"/>
      <c r="W4" s="624"/>
      <c r="X4" s="624"/>
      <c r="Y4" s="625"/>
    </row>
    <row r="5" spans="1:28">
      <c r="A5" s="176" t="s">
        <v>188</v>
      </c>
      <c r="B5" s="172" t="s">
        <v>228</v>
      </c>
      <c r="C5" s="158" t="b">
        <v>1</v>
      </c>
      <c r="D5" s="167"/>
      <c r="I5" s="173"/>
    </row>
    <row r="6" spans="1:28">
      <c r="A6" s="176" t="s">
        <v>189</v>
      </c>
      <c r="B6" s="172" t="s">
        <v>229</v>
      </c>
      <c r="C6" s="158" t="b">
        <v>1</v>
      </c>
      <c r="D6" s="167"/>
      <c r="I6" s="173" t="s">
        <v>193</v>
      </c>
      <c r="J6" s="618"/>
      <c r="K6" s="619"/>
      <c r="L6" s="619"/>
      <c r="M6" s="620"/>
    </row>
    <row r="7" spans="1:28">
      <c r="A7" s="176" t="s">
        <v>181</v>
      </c>
      <c r="B7" s="172" t="s">
        <v>230</v>
      </c>
      <c r="C7" s="158" t="b">
        <v>1</v>
      </c>
      <c r="D7" s="167"/>
      <c r="I7" s="173" t="s">
        <v>194</v>
      </c>
      <c r="J7" s="621"/>
      <c r="K7" s="622"/>
      <c r="L7" s="622"/>
      <c r="M7" s="623"/>
      <c r="N7" s="615" t="str">
        <f>IF(UNMM0051_H_SHIIRE_CD=0,"",UNMM0051_H_SHIIRE_MEI)</f>
        <v/>
      </c>
      <c r="O7" s="616"/>
      <c r="P7" s="616"/>
      <c r="Q7" s="616"/>
      <c r="R7" s="616"/>
      <c r="S7" s="616"/>
      <c r="T7" s="616"/>
      <c r="U7" s="616"/>
      <c r="V7" s="616"/>
      <c r="W7" s="616"/>
      <c r="X7" s="616"/>
      <c r="Y7" s="616"/>
      <c r="Z7" s="617"/>
    </row>
    <row r="8" spans="1:28">
      <c r="B8" s="172"/>
      <c r="C8" s="159"/>
      <c r="I8" s="173" t="s">
        <v>195</v>
      </c>
      <c r="J8" s="621"/>
      <c r="K8" s="622"/>
      <c r="L8" s="622"/>
      <c r="M8" s="623"/>
      <c r="N8" s="615" t="str">
        <f>IF(UNMM0051_H_MAKER_CD=0,"",UNMM0051_H_MAKER_MEI)</f>
        <v/>
      </c>
      <c r="O8" s="616"/>
      <c r="P8" s="616"/>
      <c r="Q8" s="616"/>
      <c r="R8" s="616"/>
      <c r="S8" s="616"/>
      <c r="T8" s="616"/>
      <c r="U8" s="616"/>
      <c r="V8" s="616"/>
      <c r="W8" s="616"/>
      <c r="X8" s="616"/>
      <c r="Y8" s="616"/>
      <c r="Z8" s="617"/>
    </row>
    <row r="9" spans="1:28">
      <c r="A9" s="66"/>
      <c r="B9" s="66" t="s">
        <v>183</v>
      </c>
      <c r="C9" s="159"/>
      <c r="I9" s="173"/>
    </row>
    <row r="10" spans="1:28">
      <c r="A10" s="176" t="s">
        <v>231</v>
      </c>
      <c r="B10" s="172" t="s">
        <v>233</v>
      </c>
      <c r="C10" s="158" t="b">
        <v>1</v>
      </c>
      <c r="I10" s="173" t="s">
        <v>22</v>
      </c>
      <c r="J10" s="612"/>
      <c r="K10" s="613"/>
      <c r="L10" s="613"/>
      <c r="M10" s="614"/>
      <c r="N10" s="177" t="str">
        <f>IF(UNMM0051_H_FREEWD_KBN=1,"AND",IF(UNMM0051_H_FREEWD_KBN=2,"OR","NAND"))</f>
        <v>AND</v>
      </c>
      <c r="O10" s="612"/>
      <c r="P10" s="613"/>
      <c r="Q10" s="613"/>
      <c r="R10" s="614"/>
      <c r="S10" s="177" t="str">
        <f>IF(UNMM0051_H_FREEWD_KBN=1,"AND",IF(UNMM0051_H_FREEWD_KBN=2,"OR","NAND"))</f>
        <v>AND</v>
      </c>
      <c r="T10" s="612"/>
      <c r="U10" s="613"/>
      <c r="V10" s="613"/>
      <c r="W10" s="614"/>
    </row>
    <row r="11" spans="1:28">
      <c r="A11" s="176" t="s">
        <v>232</v>
      </c>
      <c r="B11" s="172" t="s">
        <v>234</v>
      </c>
      <c r="C11" s="158" t="b">
        <v>1</v>
      </c>
    </row>
    <row r="12" spans="1:28">
      <c r="A12" s="66"/>
      <c r="C12" s="159"/>
    </row>
    <row r="13" spans="1:28">
      <c r="A13" s="176" t="s">
        <v>241</v>
      </c>
      <c r="B13" s="178" t="s">
        <v>240</v>
      </c>
      <c r="C13" s="161" t="b">
        <v>0</v>
      </c>
    </row>
    <row r="14" spans="1:28">
      <c r="A14" s="66"/>
    </row>
    <row r="15" spans="1:28">
      <c r="A15" s="66"/>
      <c r="B15" s="167" t="s">
        <v>242</v>
      </c>
    </row>
    <row r="16" spans="1:28">
      <c r="A16" s="176" t="s">
        <v>182</v>
      </c>
      <c r="B16" s="172" t="s">
        <v>235</v>
      </c>
      <c r="C16" s="179" t="str">
        <f ca="1">IF(INDIRECT(B16)=0,"",INDIRECT(B16))</f>
        <v/>
      </c>
    </row>
    <row r="17" spans="1:3">
      <c r="A17" s="176" t="s">
        <v>176</v>
      </c>
      <c r="B17" s="172" t="s">
        <v>236</v>
      </c>
      <c r="C17" s="179" t="str">
        <f t="shared" ref="C17:C19" ca="1" si="0">IF(INDIRECT(B17)=0,"",INDIRECT(B17))</f>
        <v/>
      </c>
    </row>
    <row r="18" spans="1:3">
      <c r="A18" s="180" t="s">
        <v>26</v>
      </c>
      <c r="B18" s="172" t="s">
        <v>237</v>
      </c>
      <c r="C18" s="184"/>
    </row>
    <row r="19" spans="1:3">
      <c r="A19" s="176" t="s">
        <v>177</v>
      </c>
      <c r="B19" s="181" t="s">
        <v>238</v>
      </c>
      <c r="C19" s="179" t="str">
        <f t="shared" ca="1" si="0"/>
        <v/>
      </c>
    </row>
    <row r="20" spans="1:3">
      <c r="A20" s="176" t="s">
        <v>184</v>
      </c>
      <c r="B20" s="178" t="s">
        <v>239</v>
      </c>
      <c r="C20" s="184"/>
    </row>
    <row r="21" spans="1:3">
      <c r="B21" s="172"/>
    </row>
    <row r="22" spans="1:3">
      <c r="A22" s="176" t="s">
        <v>291</v>
      </c>
      <c r="B22" s="172" t="s">
        <v>243</v>
      </c>
      <c r="C22" s="165">
        <v>1</v>
      </c>
    </row>
    <row r="23" spans="1:3">
      <c r="A23" s="66"/>
    </row>
    <row r="24" spans="1:3">
      <c r="A24" s="180" t="s">
        <v>494</v>
      </c>
      <c r="B24" s="172" t="s">
        <v>500</v>
      </c>
      <c r="C24" s="182"/>
    </row>
    <row r="25" spans="1:3">
      <c r="A25" s="180" t="s">
        <v>495</v>
      </c>
      <c r="B25" s="172" t="s">
        <v>499</v>
      </c>
      <c r="C25" s="65" t="str">
        <f>ADDRESS(ROW(A1),COLUMN(A1))&amp;":"&amp;ADDRESS(ROW(E1),COLUMN(E1))</f>
        <v>$A$1:$E$1</v>
      </c>
    </row>
    <row r="26" spans="1:3">
      <c r="A26" s="176"/>
      <c r="B26" s="172"/>
      <c r="C26" s="183"/>
    </row>
  </sheetData>
  <sheetProtection sheet="1" objects="1" scenarios="1" selectLockedCells="1"/>
  <mergeCells count="17">
    <mergeCell ref="A1:C1"/>
    <mergeCell ref="J10:M10"/>
    <mergeCell ref="K3:M3"/>
    <mergeCell ref="O3:Q3"/>
    <mergeCell ref="O10:R10"/>
    <mergeCell ref="S3:U3"/>
    <mergeCell ref="W3:Y3"/>
    <mergeCell ref="K4:M4"/>
    <mergeCell ref="O4:Q4"/>
    <mergeCell ref="S4:U4"/>
    <mergeCell ref="W4:Y4"/>
    <mergeCell ref="T10:W10"/>
    <mergeCell ref="N8:Z8"/>
    <mergeCell ref="N7:Z7"/>
    <mergeCell ref="J6:M6"/>
    <mergeCell ref="J7:M7"/>
    <mergeCell ref="J8:M8"/>
  </mergeCells>
  <phoneticPr fontId="2"/>
  <dataValidations count="1">
    <dataValidation type="custom" allowBlank="1" showInputMessage="1" showErrorMessage="1" sqref="J6:M6">
      <formula1>AND(LEN(J6)=LENB(J6),LEN(J6)&lt;=10)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1777" r:id="rId4" name="Check Box 1">
              <controlPr defaultSize="0" autoFill="0" autoLine="0" autoPict="0">
                <anchor moveWithCells="1">
                  <from>
                    <xdr:col>9</xdr:col>
                    <xdr:colOff>57150</xdr:colOff>
                    <xdr:row>1</xdr:row>
                    <xdr:rowOff>180975</xdr:rowOff>
                  </from>
                  <to>
                    <xdr:col>12</xdr:col>
                    <xdr:colOff>38100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778" r:id="rId5" name="Check Box 2">
              <controlPr defaultSize="0" autoFill="0" autoLine="0" autoPict="0">
                <anchor moveWithCells="1">
                  <from>
                    <xdr:col>13</xdr:col>
                    <xdr:colOff>57150</xdr:colOff>
                    <xdr:row>1</xdr:row>
                    <xdr:rowOff>180975</xdr:rowOff>
                  </from>
                  <to>
                    <xdr:col>16</xdr:col>
                    <xdr:colOff>47625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779" r:id="rId6" name="Check Box 3">
              <controlPr defaultSize="0" autoFill="0" autoLine="0" autoPict="0">
                <anchor moveWithCells="1">
                  <from>
                    <xdr:col>17</xdr:col>
                    <xdr:colOff>57150</xdr:colOff>
                    <xdr:row>1</xdr:row>
                    <xdr:rowOff>180975</xdr:rowOff>
                  </from>
                  <to>
                    <xdr:col>19</xdr:col>
                    <xdr:colOff>152400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780" r:id="rId7" name="Check Box 4">
              <controlPr defaultSize="0" autoFill="0" autoLine="0" autoPict="0">
                <anchor moveWithCells="1">
                  <from>
                    <xdr:col>21</xdr:col>
                    <xdr:colOff>76200</xdr:colOff>
                    <xdr:row>1</xdr:row>
                    <xdr:rowOff>180975</xdr:rowOff>
                  </from>
                  <to>
                    <xdr:col>23</xdr:col>
                    <xdr:colOff>180975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781" r:id="rId8" name="Check Box 5">
              <controlPr defaultSize="0" autoFill="0" autoLine="0" autoPict="0">
                <anchor moveWithCells="1">
                  <from>
                    <xdr:col>9</xdr:col>
                    <xdr:colOff>57150</xdr:colOff>
                    <xdr:row>2</xdr:row>
                    <xdr:rowOff>180975</xdr:rowOff>
                  </from>
                  <to>
                    <xdr:col>11</xdr:col>
                    <xdr:colOff>152400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782" r:id="rId9" name="Check Box 6">
              <controlPr defaultSize="0" autoFill="0" autoLine="0" autoPict="0">
                <anchor moveWithCells="1">
                  <from>
                    <xdr:col>13</xdr:col>
                    <xdr:colOff>57150</xdr:colOff>
                    <xdr:row>2</xdr:row>
                    <xdr:rowOff>180975</xdr:rowOff>
                  </from>
                  <to>
                    <xdr:col>15</xdr:col>
                    <xdr:colOff>161925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783" r:id="rId10" name="Check Box 7">
              <controlPr defaultSize="0" autoFill="0" autoLine="0" autoPict="0">
                <anchor moveWithCells="1">
                  <from>
                    <xdr:col>26</xdr:col>
                    <xdr:colOff>47625</xdr:colOff>
                    <xdr:row>1</xdr:row>
                    <xdr:rowOff>190500</xdr:rowOff>
                  </from>
                  <to>
                    <xdr:col>30</xdr:col>
                    <xdr:colOff>47625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784" r:id="rId11" name="Option Button 8">
              <controlPr defaultSize="0" autoFill="0" autoLine="0" autoPict="0" altText="">
                <anchor moveWithCells="1">
                  <from>
                    <xdr:col>23</xdr:col>
                    <xdr:colOff>85725</xdr:colOff>
                    <xdr:row>8</xdr:row>
                    <xdr:rowOff>190500</xdr:rowOff>
                  </from>
                  <to>
                    <xdr:col>25</xdr:col>
                    <xdr:colOff>114300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785" r:id="rId12" name="Option Button 9">
              <controlPr defaultSize="0" autoFill="0" autoLine="0" autoPict="0">
                <anchor moveWithCells="1">
                  <from>
                    <xdr:col>25</xdr:col>
                    <xdr:colOff>114300</xdr:colOff>
                    <xdr:row>8</xdr:row>
                    <xdr:rowOff>190500</xdr:rowOff>
                  </from>
                  <to>
                    <xdr:col>27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786" r:id="rId13" name="Option Button 10">
              <controlPr defaultSize="0" autoFill="0" autoLine="0" autoPict="0">
                <anchor moveWithCells="1">
                  <from>
                    <xdr:col>27</xdr:col>
                    <xdr:colOff>38100</xdr:colOff>
                    <xdr:row>8</xdr:row>
                    <xdr:rowOff>190500</xdr:rowOff>
                  </from>
                  <to>
                    <xdr:col>29</xdr:col>
                    <xdr:colOff>180975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FFFF00"/>
  </sheetPr>
  <dimension ref="A1:V33"/>
  <sheetViews>
    <sheetView showGridLines="0" showRowColHeaders="0" topLeftCell="G14" zoomScaleNormal="100" workbookViewId="0">
      <selection sqref="A1:F1 T15:V15"/>
    </sheetView>
  </sheetViews>
  <sheetFormatPr defaultRowHeight="16.5"/>
  <cols>
    <col min="1" max="1" width="2.625" style="14" hidden="1" customWidth="1"/>
    <col min="2" max="2" width="16.375" style="14" hidden="1" customWidth="1"/>
    <col min="3" max="3" width="23.75" style="43" hidden="1" customWidth="1"/>
    <col min="4" max="4" width="13.875" style="14" hidden="1" customWidth="1"/>
    <col min="5" max="6" width="9" style="14" hidden="1" customWidth="1"/>
    <col min="7" max="7" width="3.375" style="83" customWidth="1"/>
    <col min="8" max="8" width="6.625" style="346" customWidth="1"/>
    <col min="9" max="9" width="5" style="350" customWidth="1"/>
    <col min="10" max="12" width="5" style="346" customWidth="1"/>
    <col min="13" max="13" width="13" style="346" bestFit="1" customWidth="1"/>
    <col min="14" max="15" width="31.25" style="346" customWidth="1"/>
    <col min="16" max="16" width="13.375" style="346" customWidth="1"/>
    <col min="17" max="18" width="28.375" style="346" customWidth="1"/>
    <col min="19" max="19" width="6.375" style="346" bestFit="1" customWidth="1"/>
    <col min="20" max="20" width="14.375" style="346" hidden="1" customWidth="1"/>
    <col min="21" max="21" width="13.5" style="346" hidden="1" customWidth="1"/>
    <col min="22" max="22" width="9" style="83" hidden="1" customWidth="1"/>
    <col min="23" max="16384" width="9" style="83"/>
  </cols>
  <sheetData>
    <row r="1" spans="1:21" s="15" customFormat="1" hidden="1">
      <c r="A1" s="14"/>
      <c r="B1" s="14"/>
      <c r="C1" s="43"/>
      <c r="D1" s="14"/>
      <c r="E1" s="14"/>
      <c r="F1" s="14"/>
      <c r="G1" s="83"/>
      <c r="H1" s="346"/>
      <c r="I1" s="350"/>
      <c r="J1" s="346"/>
      <c r="K1" s="346"/>
      <c r="L1" s="346"/>
      <c r="M1" s="346"/>
      <c r="N1" s="346"/>
      <c r="O1" s="346"/>
      <c r="P1" s="346"/>
      <c r="Q1" s="346"/>
      <c r="R1" s="346"/>
      <c r="S1" s="346"/>
      <c r="T1" s="346"/>
      <c r="U1" s="346"/>
    </row>
    <row r="2" spans="1:21" s="15" customFormat="1" hidden="1">
      <c r="A2" s="72" t="s">
        <v>249</v>
      </c>
      <c r="B2" s="14"/>
      <c r="C2" s="43"/>
      <c r="D2" s="14"/>
      <c r="E2" s="14"/>
      <c r="F2" s="14"/>
      <c r="G2" s="83"/>
      <c r="H2" s="346"/>
      <c r="I2" s="350"/>
      <c r="J2" s="346"/>
      <c r="K2" s="346"/>
      <c r="L2" s="346"/>
      <c r="M2" s="346"/>
      <c r="N2" s="346"/>
      <c r="O2" s="346"/>
      <c r="P2" s="346"/>
      <c r="Q2" s="346"/>
      <c r="R2" s="346"/>
      <c r="S2" s="346"/>
      <c r="T2" s="346"/>
      <c r="U2" s="346"/>
    </row>
    <row r="3" spans="1:21" s="15" customFormat="1" hidden="1">
      <c r="A3" s="14"/>
      <c r="B3" s="14" t="s">
        <v>245</v>
      </c>
      <c r="C3" s="43" t="s">
        <v>283</v>
      </c>
      <c r="D3" s="42">
        <v>2</v>
      </c>
      <c r="E3" s="14"/>
      <c r="F3" s="14"/>
      <c r="G3" s="83"/>
      <c r="H3" s="346"/>
      <c r="I3" s="350"/>
      <c r="J3" s="346"/>
      <c r="K3" s="346"/>
      <c r="L3" s="346"/>
      <c r="M3" s="346"/>
      <c r="N3" s="346"/>
      <c r="O3" s="346"/>
      <c r="P3" s="346"/>
      <c r="Q3" s="346"/>
      <c r="R3" s="346"/>
      <c r="S3" s="346"/>
      <c r="T3" s="346"/>
      <c r="U3" s="346"/>
    </row>
    <row r="4" spans="1:21" s="15" customFormat="1" hidden="1">
      <c r="A4" s="14"/>
      <c r="B4" s="14"/>
      <c r="C4" s="43"/>
      <c r="D4" s="14"/>
      <c r="E4" s="14"/>
      <c r="F4" s="14"/>
      <c r="G4" s="83"/>
      <c r="H4" s="346"/>
      <c r="I4" s="350"/>
      <c r="J4" s="346"/>
      <c r="K4" s="346"/>
      <c r="L4" s="346"/>
      <c r="M4" s="346"/>
      <c r="N4" s="346"/>
      <c r="O4" s="346"/>
      <c r="P4" s="346"/>
      <c r="Q4" s="346"/>
      <c r="R4" s="346"/>
      <c r="S4" s="346"/>
      <c r="T4" s="346"/>
      <c r="U4" s="346"/>
    </row>
    <row r="5" spans="1:21" s="15" customFormat="1" hidden="1">
      <c r="A5" s="72" t="s">
        <v>250</v>
      </c>
      <c r="B5" s="14"/>
      <c r="C5" s="43"/>
      <c r="D5" s="14"/>
      <c r="E5" s="14"/>
      <c r="F5" s="14"/>
      <c r="G5" s="83"/>
      <c r="H5" s="346"/>
      <c r="I5" s="350"/>
      <c r="J5" s="346"/>
      <c r="K5" s="346"/>
      <c r="L5" s="346"/>
      <c r="M5" s="346"/>
      <c r="N5" s="346"/>
      <c r="O5" s="346"/>
      <c r="P5" s="346"/>
      <c r="Q5" s="346"/>
      <c r="R5" s="346"/>
      <c r="S5" s="346"/>
      <c r="T5" s="346"/>
      <c r="U5" s="346"/>
    </row>
    <row r="6" spans="1:21" s="15" customFormat="1" hidden="1">
      <c r="A6" s="14"/>
      <c r="B6" s="14" t="s">
        <v>244</v>
      </c>
      <c r="C6" s="43" t="s">
        <v>257</v>
      </c>
      <c r="D6" s="42"/>
      <c r="E6" s="14"/>
      <c r="F6" s="14"/>
      <c r="G6" s="83"/>
      <c r="H6" s="346"/>
      <c r="I6" s="350"/>
      <c r="J6" s="346"/>
      <c r="K6" s="346"/>
      <c r="L6" s="346"/>
      <c r="M6" s="346"/>
      <c r="N6" s="346"/>
      <c r="O6" s="346"/>
      <c r="P6" s="346"/>
      <c r="Q6" s="346"/>
      <c r="R6" s="346"/>
      <c r="S6" s="346"/>
      <c r="T6" s="346"/>
      <c r="U6" s="346"/>
    </row>
    <row r="7" spans="1:21" s="15" customFormat="1" hidden="1">
      <c r="A7" s="14"/>
      <c r="B7" s="14" t="s">
        <v>247</v>
      </c>
      <c r="C7" s="43" t="s">
        <v>258</v>
      </c>
      <c r="D7" s="20">
        <v>1</v>
      </c>
      <c r="E7" s="14"/>
      <c r="F7" s="14"/>
      <c r="G7" s="83"/>
      <c r="H7" s="346"/>
      <c r="I7" s="350"/>
      <c r="J7" s="346"/>
      <c r="K7" s="346"/>
      <c r="L7" s="346"/>
      <c r="M7" s="346"/>
      <c r="N7" s="346"/>
      <c r="O7" s="346"/>
      <c r="P7" s="346"/>
      <c r="Q7" s="346"/>
      <c r="R7" s="346"/>
      <c r="S7" s="346"/>
      <c r="T7" s="346"/>
      <c r="U7" s="346"/>
    </row>
    <row r="8" spans="1:21" s="15" customFormat="1" hidden="1">
      <c r="A8" s="14"/>
      <c r="B8" s="14" t="s">
        <v>246</v>
      </c>
      <c r="C8" s="43" t="s">
        <v>259</v>
      </c>
      <c r="D8" s="20">
        <f>IF(OR(UNMM0051_B_KENSAKU_KENSU=0,UNMM0051_B_CTRL_HYOJI_GYO_SU=0),1,ROUNDUP(UNMM0051_B_KENSAKU_KENSU/UNMM0051_B_CTRL_HYOJI_GYO_SU,0))</f>
        <v>1</v>
      </c>
      <c r="E8" s="14"/>
      <c r="F8" s="14"/>
      <c r="G8" s="83"/>
      <c r="H8" s="346"/>
      <c r="I8" s="350"/>
      <c r="J8" s="346"/>
      <c r="K8" s="346"/>
      <c r="L8" s="346"/>
      <c r="M8" s="346"/>
      <c r="N8" s="346"/>
      <c r="O8" s="346"/>
      <c r="P8" s="346"/>
      <c r="Q8" s="346"/>
      <c r="R8" s="346"/>
      <c r="S8" s="346"/>
      <c r="T8" s="346"/>
      <c r="U8" s="346"/>
    </row>
    <row r="9" spans="1:21" s="15" customFormat="1" hidden="1">
      <c r="A9" s="14"/>
      <c r="B9" s="14" t="s">
        <v>248</v>
      </c>
      <c r="C9" s="43" t="s">
        <v>260</v>
      </c>
      <c r="D9" s="42"/>
      <c r="E9" s="14"/>
      <c r="F9" s="14"/>
      <c r="G9" s="83"/>
      <c r="H9" s="346"/>
      <c r="I9" s="350"/>
      <c r="J9" s="346"/>
      <c r="K9" s="346"/>
      <c r="L9" s="346"/>
      <c r="M9" s="346"/>
      <c r="N9" s="346"/>
      <c r="O9" s="346"/>
      <c r="P9" s="346"/>
      <c r="Q9" s="346"/>
      <c r="R9" s="346"/>
      <c r="S9" s="346"/>
      <c r="T9" s="346"/>
      <c r="U9" s="346"/>
    </row>
    <row r="10" spans="1:21" s="15" customFormat="1" hidden="1">
      <c r="A10" s="14"/>
      <c r="B10" s="84"/>
      <c r="C10" s="89"/>
      <c r="D10" s="84"/>
      <c r="E10" s="14"/>
      <c r="F10" s="14"/>
      <c r="G10" s="83"/>
      <c r="H10" s="346"/>
      <c r="I10" s="350"/>
      <c r="J10" s="346"/>
      <c r="K10" s="346"/>
      <c r="L10" s="346"/>
      <c r="M10" s="346"/>
      <c r="N10" s="346"/>
      <c r="O10" s="346"/>
      <c r="P10" s="346"/>
      <c r="Q10" s="346"/>
      <c r="R10" s="346"/>
      <c r="S10" s="346"/>
      <c r="T10" s="346"/>
      <c r="U10" s="346"/>
    </row>
    <row r="11" spans="1:21" s="15" customFormat="1" hidden="1">
      <c r="A11" s="14"/>
      <c r="B11" s="84" t="s">
        <v>507</v>
      </c>
      <c r="C11" s="89" t="s">
        <v>508</v>
      </c>
      <c r="D11" s="88">
        <f>IF(UNMM0051_B_HYOJI_KENSU&gt;0,1,2)</f>
        <v>2</v>
      </c>
      <c r="E11" s="14"/>
      <c r="F11" s="14"/>
      <c r="G11" s="83"/>
      <c r="H11" s="346"/>
      <c r="I11" s="350"/>
      <c r="J11" s="346"/>
      <c r="K11" s="346"/>
      <c r="L11" s="346"/>
      <c r="M11" s="346"/>
      <c r="N11" s="346"/>
      <c r="O11" s="346"/>
      <c r="P11" s="346"/>
      <c r="Q11" s="346"/>
      <c r="R11" s="346"/>
      <c r="S11" s="346"/>
      <c r="T11" s="346"/>
      <c r="U11" s="346"/>
    </row>
    <row r="12" spans="1:21" s="15" customFormat="1" hidden="1">
      <c r="A12" s="14"/>
      <c r="B12" s="14"/>
      <c r="C12" s="43"/>
      <c r="D12" s="14"/>
      <c r="E12" s="14"/>
      <c r="F12" s="14"/>
      <c r="G12" s="83"/>
      <c r="H12" s="346"/>
      <c r="I12" s="350"/>
      <c r="J12" s="346"/>
      <c r="K12" s="346"/>
      <c r="L12" s="346"/>
      <c r="M12" s="346"/>
      <c r="N12" s="346"/>
      <c r="O12" s="346"/>
      <c r="P12" s="346"/>
      <c r="Q12" s="346"/>
      <c r="R12" s="346"/>
      <c r="S12" s="346"/>
      <c r="T12" s="346"/>
      <c r="U12" s="346"/>
    </row>
    <row r="13" spans="1:21" s="15" customFormat="1" hidden="1">
      <c r="A13" s="14"/>
      <c r="B13" s="14" t="s">
        <v>251</v>
      </c>
      <c r="C13" s="43" t="s">
        <v>261</v>
      </c>
      <c r="D13" s="42" t="str">
        <f>ADDRESS(ROW(UNMM0051_B_SENTAKU)+1, COLUMN(UNMM0051_B_SENTAKU))</f>
        <v>$H$16</v>
      </c>
      <c r="E13" s="14"/>
      <c r="F13" s="14"/>
      <c r="G13" s="83"/>
      <c r="H13" s="346"/>
      <c r="I13" s="350"/>
      <c r="J13" s="346"/>
      <c r="K13" s="346"/>
      <c r="L13" s="346"/>
      <c r="M13" s="346"/>
      <c r="N13" s="346"/>
      <c r="O13" s="346"/>
      <c r="P13" s="346"/>
      <c r="Q13" s="346"/>
      <c r="R13" s="346"/>
      <c r="S13" s="346"/>
      <c r="T13" s="346"/>
      <c r="U13" s="346"/>
    </row>
    <row r="14" spans="1:21" s="15" customFormat="1">
      <c r="A14" s="14"/>
      <c r="B14" s="14" t="s">
        <v>256</v>
      </c>
      <c r="C14" s="43" t="s">
        <v>262</v>
      </c>
      <c r="D14" s="42" t="str">
        <f ca="1">ADDRESS(ROW(INDIRECT(UNMM0051_B_LIST_START))+UNMM0051_B_HYOJI_KENSU-1,COLUMN(INDIRECT(UNMM0051_B_LIST_START))+COLUMNS(UNMM0051_IF_B_LIST_COPY_MOTO)-1)</f>
        <v>$S$15</v>
      </c>
      <c r="E14" s="66"/>
      <c r="F14" s="14"/>
      <c r="G14" s="15" t="str">
        <f>IF(UNMM0051_B_PAGE_NO=0,"","("&amp;UNMM0051_B_PAGE_NO&amp;"/"&amp;UNMM0051_B_ALL_PAGE_SU&amp;")")</f>
        <v>(1/1)</v>
      </c>
      <c r="H14" s="351"/>
      <c r="I14" s="350"/>
      <c r="J14" s="346"/>
      <c r="K14" s="346"/>
      <c r="L14" s="346"/>
      <c r="M14" s="346"/>
      <c r="N14" s="346"/>
      <c r="O14" s="346"/>
      <c r="P14" s="346"/>
      <c r="Q14" s="346"/>
      <c r="R14" s="346"/>
      <c r="S14" s="346"/>
      <c r="T14" s="346"/>
      <c r="U14" s="346"/>
    </row>
    <row r="15" spans="1:21" s="15" customFormat="1">
      <c r="A15" s="14"/>
      <c r="B15" s="14" t="s">
        <v>252</v>
      </c>
      <c r="C15" s="43" t="s">
        <v>263</v>
      </c>
      <c r="D15" s="42" t="str">
        <f ca="1">IF(UNMM0051_B_HYOJI_KENSU=0,"",UNMM0051_B_LIST_START&amp;":"&amp;
ADDRESS(ROW(INDIRECT(UNMM0051_B_LIST_START))+UNMM0051_B_HYOJI_KENSU-1,COLUMN(INDIRECT(UNMM0051_B_LIST_START))+COLUMNS(UNMM0051_IF_B_LIST_COPY_MOTO)-1))</f>
        <v/>
      </c>
      <c r="E15" s="14"/>
      <c r="F15" s="14"/>
      <c r="G15" s="55"/>
      <c r="H15" s="352" t="s">
        <v>15</v>
      </c>
      <c r="I15" s="353" t="s">
        <v>178</v>
      </c>
      <c r="J15" s="354" t="s">
        <v>179</v>
      </c>
      <c r="K15" s="354" t="s">
        <v>180</v>
      </c>
      <c r="L15" s="354" t="s">
        <v>181</v>
      </c>
      <c r="M15" s="354" t="s">
        <v>182</v>
      </c>
      <c r="N15" s="354" t="s">
        <v>196</v>
      </c>
      <c r="O15" s="355" t="s">
        <v>197</v>
      </c>
      <c r="P15" s="355" t="s">
        <v>183</v>
      </c>
      <c r="Q15" s="355" t="s">
        <v>26</v>
      </c>
      <c r="R15" s="355" t="s">
        <v>184</v>
      </c>
      <c r="S15" s="355" t="s">
        <v>32</v>
      </c>
      <c r="T15" s="356" t="s">
        <v>497</v>
      </c>
      <c r="U15" s="356" t="s">
        <v>498</v>
      </c>
    </row>
    <row r="16" spans="1:21" s="15" customFormat="1">
      <c r="A16" s="72" t="s">
        <v>381</v>
      </c>
      <c r="B16" s="14" t="s">
        <v>253</v>
      </c>
      <c r="C16" s="43" t="s">
        <v>264</v>
      </c>
      <c r="D16" s="65" t="str">
        <f ca="1">ADDRESS(ROW(INDIRECT(UNMM0051_B_LIST_START)),COLUMN(INDIRECT(UNMM0051_B_LIST_START)))&amp;":"&amp;
ADDRESS(ROW(INDIRECT(UNMM0051_B_LIST_START))+UNMM0051_B_CTRL_HYOJI_GYO_SU-1,COLUMN(INDIRECT(UNMM0051_B_LIST_START))+COLUMNS(UNMM0051_IF_B_LIST_COPY_MOTO)-1)</f>
        <v>$H$16:$S$17</v>
      </c>
      <c r="E16" s="14"/>
      <c r="F16" s="14"/>
      <c r="H16" s="357"/>
      <c r="I16" s="358"/>
      <c r="J16" s="357"/>
      <c r="K16" s="357"/>
      <c r="L16" s="357"/>
      <c r="M16" s="359"/>
      <c r="N16" s="359"/>
      <c r="O16" s="359"/>
      <c r="P16" s="359"/>
      <c r="Q16" s="359"/>
      <c r="R16" s="359"/>
      <c r="S16" s="357"/>
      <c r="T16" s="346"/>
      <c r="U16" s="346"/>
    </row>
    <row r="17" spans="1:21" s="15" customFormat="1">
      <c r="A17" s="14"/>
      <c r="B17" s="14"/>
      <c r="C17" s="43"/>
      <c r="D17" s="14"/>
      <c r="E17" s="14"/>
      <c r="F17" s="14"/>
      <c r="H17" s="360"/>
      <c r="I17" s="361"/>
      <c r="J17" s="362"/>
      <c r="K17" s="362"/>
      <c r="L17" s="362"/>
      <c r="M17" s="362"/>
      <c r="N17" s="362"/>
      <c r="O17" s="362"/>
      <c r="P17" s="362"/>
      <c r="Q17" s="362"/>
      <c r="R17" s="362"/>
      <c r="S17" s="362"/>
      <c r="T17" s="346"/>
      <c r="U17" s="346"/>
    </row>
    <row r="18" spans="1:21" s="15" customFormat="1">
      <c r="A18" s="14"/>
      <c r="B18" s="14"/>
      <c r="C18" s="43"/>
      <c r="D18" s="14" t="s">
        <v>383</v>
      </c>
      <c r="E18" s="14"/>
      <c r="F18" s="14"/>
      <c r="H18" s="360"/>
      <c r="I18" s="361"/>
      <c r="J18" s="362"/>
      <c r="K18" s="362"/>
      <c r="L18" s="362"/>
      <c r="M18" s="362"/>
      <c r="N18" s="362"/>
      <c r="O18" s="362"/>
      <c r="P18" s="362"/>
      <c r="Q18" s="362"/>
      <c r="R18" s="362"/>
      <c r="S18" s="362"/>
      <c r="T18" s="346"/>
      <c r="U18" s="346"/>
    </row>
    <row r="19" spans="1:21">
      <c r="A19" s="84"/>
      <c r="B19" s="14" t="s">
        <v>377</v>
      </c>
      <c r="C19" s="43" t="s">
        <v>379</v>
      </c>
      <c r="D19" s="42">
        <f>IF(UNMM0051_B_ALL_PAGE_SU&gt;UNMM0051_B_PAGE_NO,1,2)</f>
        <v>2</v>
      </c>
      <c r="E19" s="84"/>
      <c r="F19" s="84"/>
      <c r="G19" s="15"/>
      <c r="H19" s="360"/>
      <c r="I19" s="361"/>
      <c r="J19" s="362"/>
      <c r="K19" s="362"/>
      <c r="L19" s="362"/>
      <c r="M19" s="362"/>
      <c r="N19" s="362"/>
      <c r="O19" s="362"/>
      <c r="P19" s="362"/>
      <c r="Q19" s="362"/>
      <c r="R19" s="362"/>
      <c r="S19" s="362"/>
    </row>
    <row r="20" spans="1:21">
      <c r="A20" s="84"/>
      <c r="B20" s="14" t="s">
        <v>378</v>
      </c>
      <c r="C20" s="43" t="s">
        <v>380</v>
      </c>
      <c r="D20" s="42">
        <f>IF(1&lt;UNMM0051_B_PAGE_NO,1,2)</f>
        <v>2</v>
      </c>
      <c r="E20" s="84"/>
      <c r="F20" s="84"/>
      <c r="G20" s="15"/>
      <c r="H20" s="360"/>
      <c r="I20" s="361"/>
      <c r="J20" s="362"/>
      <c r="K20" s="362"/>
      <c r="L20" s="362"/>
      <c r="M20" s="362"/>
      <c r="N20" s="362"/>
      <c r="O20" s="362"/>
      <c r="P20" s="362"/>
      <c r="Q20" s="362"/>
      <c r="R20" s="362"/>
      <c r="S20" s="362"/>
    </row>
    <row r="21" spans="1:21">
      <c r="A21" s="84"/>
      <c r="B21" s="84"/>
      <c r="C21" s="89"/>
      <c r="D21" s="92"/>
      <c r="E21" s="84"/>
      <c r="F21" s="84"/>
      <c r="G21" s="15"/>
      <c r="H21" s="360"/>
      <c r="I21" s="361"/>
      <c r="J21" s="362"/>
      <c r="K21" s="362"/>
      <c r="L21" s="362"/>
      <c r="M21" s="362"/>
      <c r="N21" s="362"/>
      <c r="O21" s="362"/>
      <c r="P21" s="362"/>
      <c r="Q21" s="362"/>
      <c r="R21" s="362"/>
      <c r="S21" s="362"/>
    </row>
    <row r="22" spans="1:21" s="15" customFormat="1">
      <c r="A22" s="14"/>
      <c r="B22" s="84" t="s">
        <v>392</v>
      </c>
      <c r="C22" s="89" t="s">
        <v>394</v>
      </c>
      <c r="D22" s="88">
        <f>UNMM0051_B_PAGE_NO+1</f>
        <v>2</v>
      </c>
      <c r="E22" s="14"/>
      <c r="F22" s="14"/>
      <c r="H22" s="360"/>
      <c r="I22" s="361"/>
      <c r="J22" s="362"/>
      <c r="K22" s="362"/>
      <c r="L22" s="362"/>
      <c r="M22" s="362"/>
      <c r="N22" s="362"/>
      <c r="O22" s="362"/>
      <c r="P22" s="362"/>
      <c r="Q22" s="362"/>
      <c r="R22" s="362"/>
      <c r="S22" s="362"/>
      <c r="T22" s="346"/>
      <c r="U22" s="346"/>
    </row>
    <row r="23" spans="1:21" s="15" customFormat="1">
      <c r="A23" s="72" t="s">
        <v>382</v>
      </c>
      <c r="B23" s="84" t="s">
        <v>393</v>
      </c>
      <c r="C23" s="89" t="s">
        <v>395</v>
      </c>
      <c r="D23" s="88">
        <f>UNMM0051_B_PAGE_NO-1</f>
        <v>0</v>
      </c>
      <c r="E23" s="14"/>
      <c r="F23" s="14"/>
      <c r="H23" s="360"/>
      <c r="I23" s="361"/>
      <c r="J23" s="362"/>
      <c r="K23" s="362"/>
      <c r="L23" s="362"/>
      <c r="M23" s="362"/>
      <c r="N23" s="362"/>
      <c r="O23" s="362"/>
      <c r="P23" s="362"/>
      <c r="Q23" s="362"/>
      <c r="R23" s="362"/>
      <c r="S23" s="362"/>
      <c r="T23" s="346"/>
      <c r="U23" s="346"/>
    </row>
    <row r="24" spans="1:21" s="15" customFormat="1">
      <c r="A24" s="14"/>
      <c r="B24" s="14"/>
      <c r="C24" s="43"/>
      <c r="D24" s="14"/>
      <c r="E24" s="14"/>
      <c r="F24" s="14"/>
      <c r="H24" s="360"/>
      <c r="I24" s="361"/>
      <c r="J24" s="362"/>
      <c r="K24" s="362"/>
      <c r="L24" s="362"/>
      <c r="M24" s="362"/>
      <c r="N24" s="362"/>
      <c r="O24" s="362"/>
      <c r="P24" s="362"/>
      <c r="Q24" s="362"/>
      <c r="R24" s="362"/>
      <c r="S24" s="362"/>
      <c r="T24" s="346"/>
      <c r="U24" s="346"/>
    </row>
    <row r="25" spans="1:21" s="15" customFormat="1">
      <c r="A25" s="14"/>
      <c r="B25" s="14"/>
      <c r="C25" s="43"/>
      <c r="D25" s="14"/>
      <c r="E25" s="14"/>
      <c r="F25" s="14"/>
      <c r="H25" s="346"/>
      <c r="I25" s="350"/>
      <c r="J25" s="346"/>
      <c r="K25" s="346"/>
      <c r="L25" s="346"/>
      <c r="M25" s="346"/>
      <c r="N25" s="346"/>
      <c r="O25" s="346"/>
      <c r="P25" s="346"/>
      <c r="Q25" s="346"/>
      <c r="R25" s="346"/>
      <c r="S25" s="346"/>
      <c r="T25" s="346"/>
      <c r="U25" s="346"/>
    </row>
    <row r="26" spans="1:21" s="15" customFormat="1">
      <c r="A26" s="14"/>
      <c r="B26" s="14" t="s">
        <v>254</v>
      </c>
      <c r="C26" s="43" t="s">
        <v>265</v>
      </c>
      <c r="D26" s="42">
        <v>5</v>
      </c>
      <c r="E26" s="14"/>
      <c r="F26" s="14"/>
      <c r="H26" s="346"/>
      <c r="I26" s="350"/>
      <c r="J26" s="346"/>
      <c r="K26" s="346"/>
      <c r="L26" s="346"/>
      <c r="M26" s="346"/>
      <c r="N26" s="346"/>
      <c r="O26" s="346"/>
      <c r="P26" s="346"/>
      <c r="Q26" s="346"/>
      <c r="R26" s="346"/>
      <c r="S26" s="346"/>
      <c r="T26" s="346"/>
      <c r="U26" s="346"/>
    </row>
    <row r="27" spans="1:21" s="15" customFormat="1">
      <c r="A27" s="14"/>
      <c r="B27" s="14" t="s">
        <v>255</v>
      </c>
      <c r="C27" s="43" t="s">
        <v>266</v>
      </c>
      <c r="D27" s="42">
        <f ca="1">IF(UNMM0051_B_SELECT_GYO_NO=0,0,INDIRECT(ADDRESS(UNMM0051_B_SELECT_GYO_NO,COLUMN(UNMM0051_B_SHOHIN_CD))))</f>
        <v>0</v>
      </c>
      <c r="E27" s="14"/>
      <c r="F27" s="14"/>
      <c r="H27" s="346"/>
      <c r="I27" s="350"/>
      <c r="J27" s="346"/>
      <c r="K27" s="346"/>
      <c r="L27" s="346"/>
      <c r="M27" s="346"/>
      <c r="N27" s="346"/>
      <c r="O27" s="346"/>
      <c r="P27" s="346"/>
      <c r="Q27" s="346"/>
      <c r="R27" s="346"/>
      <c r="S27" s="346"/>
      <c r="T27" s="346"/>
      <c r="U27" s="346"/>
    </row>
    <row r="28" spans="1:21" s="15" customFormat="1">
      <c r="A28" s="14"/>
      <c r="B28" s="14"/>
      <c r="C28" s="14"/>
      <c r="D28" s="14"/>
      <c r="E28" s="14"/>
      <c r="F28" s="14"/>
      <c r="H28" s="346"/>
      <c r="I28" s="350"/>
      <c r="J28" s="346"/>
      <c r="K28" s="346"/>
      <c r="L28" s="346"/>
      <c r="M28" s="346"/>
      <c r="N28" s="346"/>
      <c r="O28" s="346"/>
      <c r="P28" s="346"/>
      <c r="Q28" s="346"/>
      <c r="R28" s="346"/>
      <c r="S28" s="346"/>
      <c r="T28" s="346"/>
      <c r="U28" s="346"/>
    </row>
    <row r="29" spans="1:21" s="15" customFormat="1">
      <c r="A29" s="14"/>
      <c r="B29" s="163" t="s">
        <v>494</v>
      </c>
      <c r="C29" s="164" t="s">
        <v>502</v>
      </c>
      <c r="D29" s="165" t="str">
        <f>ROW(A1)&amp;":"&amp;ROW(A13)</f>
        <v>1:13</v>
      </c>
      <c r="E29" s="14"/>
      <c r="F29" s="14"/>
      <c r="H29" s="346"/>
      <c r="I29" s="350"/>
      <c r="J29" s="346"/>
      <c r="K29" s="346"/>
      <c r="L29" s="346"/>
      <c r="M29" s="346"/>
      <c r="N29" s="346"/>
      <c r="O29" s="346"/>
      <c r="P29" s="346"/>
      <c r="Q29" s="346"/>
      <c r="R29" s="346"/>
      <c r="S29" s="346"/>
      <c r="T29" s="346"/>
      <c r="U29" s="346"/>
    </row>
    <row r="30" spans="1:21" s="15" customFormat="1">
      <c r="A30" s="14"/>
      <c r="B30" s="163" t="s">
        <v>495</v>
      </c>
      <c r="C30" s="164" t="s">
        <v>503</v>
      </c>
      <c r="D30" s="165" t="str">
        <f>ADDRESS(ROW(A1),COLUMN(A1))&amp;":"&amp;ADDRESS(ROW(F1),COLUMN(F1))
&amp;","&amp;ADDRESS(ROW(UNMM0051_B_SHIIRE_SAKI_CD),COLUMN(UNMM0051_B_SHIIRE_SAKI_CD))&amp;":"&amp;ADDRESS(ROW(UNMM0051_B_MAKER_CD),COLUMN(UNMM0051_B_MAKER_CD)+1)</f>
        <v>$A$1:$F$1,$T$15:$V$15</v>
      </c>
      <c r="E30" s="14"/>
      <c r="F30" s="14"/>
      <c r="H30" s="346"/>
      <c r="I30" s="350"/>
      <c r="J30" s="346"/>
      <c r="K30" s="346"/>
      <c r="L30" s="346"/>
      <c r="M30" s="346"/>
      <c r="N30" s="346"/>
      <c r="O30" s="346"/>
      <c r="P30" s="346"/>
      <c r="Q30" s="346"/>
      <c r="R30" s="346"/>
      <c r="S30" s="346"/>
      <c r="T30" s="346"/>
      <c r="U30" s="346"/>
    </row>
    <row r="31" spans="1:21" s="15" customFormat="1">
      <c r="A31" s="14"/>
      <c r="B31" s="163"/>
      <c r="C31" s="163"/>
      <c r="D31" s="163"/>
      <c r="E31" s="14"/>
      <c r="F31" s="14"/>
      <c r="H31" s="346"/>
      <c r="I31" s="350"/>
      <c r="J31" s="346"/>
      <c r="K31" s="346"/>
      <c r="L31" s="346"/>
      <c r="M31" s="346"/>
      <c r="N31" s="346"/>
      <c r="O31" s="346"/>
      <c r="P31" s="346"/>
      <c r="Q31" s="346"/>
      <c r="R31" s="346"/>
      <c r="S31" s="346"/>
      <c r="T31" s="346"/>
      <c r="U31" s="346"/>
    </row>
    <row r="32" spans="1:21" s="15" customFormat="1">
      <c r="A32" s="14"/>
      <c r="B32" s="163" t="s">
        <v>496</v>
      </c>
      <c r="C32" s="164" t="s">
        <v>501</v>
      </c>
      <c r="D32" s="165" t="str">
        <f ca="1">ADDRESS(ROW(INDIRECT(UNMM0051_B_LIST_START)),COLUMN(UNMM0051_B_BUNSEKI))</f>
        <v>$I$16</v>
      </c>
      <c r="E32" s="14"/>
      <c r="F32" s="14"/>
      <c r="G32" s="83"/>
      <c r="H32" s="346"/>
      <c r="I32" s="350"/>
      <c r="J32" s="346"/>
      <c r="K32" s="346"/>
      <c r="L32" s="346"/>
      <c r="M32" s="346"/>
      <c r="N32" s="346"/>
      <c r="O32" s="346"/>
      <c r="P32" s="346"/>
      <c r="Q32" s="346"/>
      <c r="R32" s="346"/>
      <c r="S32" s="346"/>
      <c r="T32" s="346"/>
      <c r="U32" s="346"/>
    </row>
    <row r="33" spans="1:21" s="15" customFormat="1">
      <c r="A33" s="14"/>
      <c r="B33" s="14"/>
      <c r="C33" s="43"/>
      <c r="D33" s="14"/>
      <c r="E33" s="14"/>
      <c r="F33" s="14"/>
      <c r="G33" s="83"/>
      <c r="H33" s="346"/>
      <c r="I33" s="350"/>
      <c r="J33" s="346"/>
      <c r="K33" s="346"/>
      <c r="L33" s="346"/>
      <c r="M33" s="346"/>
      <c r="N33" s="346"/>
      <c r="O33" s="346"/>
      <c r="P33" s="346"/>
      <c r="Q33" s="346"/>
      <c r="R33" s="346"/>
      <c r="S33" s="346"/>
      <c r="T33" s="346"/>
      <c r="U33" s="346"/>
    </row>
  </sheetData>
  <sheetProtection sheet="1" objects="1" scenarios="1" selectLockedCells="1"/>
  <phoneticPr fontId="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BR41"/>
  <sheetViews>
    <sheetView zoomScale="85" zoomScaleNormal="85" workbookViewId="0">
      <selection activeCell="B1" sqref="B1"/>
    </sheetView>
  </sheetViews>
  <sheetFormatPr defaultRowHeight="13.5"/>
  <cols>
    <col min="1" max="1" width="2.5" customWidth="1"/>
    <col min="2" max="2" width="18.25" style="24" customWidth="1"/>
    <col min="3" max="3" width="18.875" style="24" customWidth="1"/>
    <col min="4" max="4" width="21.5" customWidth="1"/>
    <col min="24" max="27" width="21" customWidth="1"/>
    <col min="28" max="28" width="21" style="425" customWidth="1"/>
    <col min="29" max="30" width="21" customWidth="1"/>
    <col min="31" max="31" width="21" style="503" customWidth="1"/>
    <col min="32" max="62" width="21" customWidth="1"/>
    <col min="63" max="63" width="21" style="257" customWidth="1"/>
    <col min="64" max="64" width="21" style="507" customWidth="1"/>
    <col min="65" max="70" width="21" customWidth="1"/>
  </cols>
  <sheetData>
    <row r="1" spans="1:70" ht="16.5" customHeight="1">
      <c r="U1" t="s">
        <v>1639</v>
      </c>
      <c r="X1" s="505"/>
      <c r="Y1" s="506"/>
      <c r="Z1" s="506"/>
      <c r="AA1" s="506"/>
      <c r="AB1" s="506"/>
      <c r="AC1" s="506"/>
      <c r="AD1" s="506"/>
      <c r="AE1" s="506"/>
      <c r="AF1" s="506"/>
      <c r="AG1" s="506"/>
      <c r="AH1" s="506"/>
      <c r="AI1" s="506"/>
      <c r="AJ1" s="506"/>
      <c r="AK1" s="506"/>
      <c r="AL1" s="506"/>
      <c r="AM1" s="506"/>
      <c r="AN1" s="506"/>
      <c r="AO1" s="505"/>
      <c r="AP1" s="505"/>
      <c r="AQ1" s="505"/>
      <c r="AR1" s="506"/>
      <c r="AS1" s="506"/>
      <c r="AT1" s="506"/>
      <c r="AU1" s="506"/>
      <c r="AV1" s="506"/>
      <c r="AW1" s="506"/>
      <c r="AX1" s="506"/>
      <c r="AY1" s="506"/>
      <c r="AZ1" s="506"/>
      <c r="BA1" s="506"/>
      <c r="BB1" s="506"/>
      <c r="BC1" s="506"/>
      <c r="BD1" s="506"/>
      <c r="BE1" s="506"/>
      <c r="BF1" s="506"/>
      <c r="BG1" s="506"/>
      <c r="BH1" s="506"/>
      <c r="BI1" s="506"/>
      <c r="BJ1" s="506"/>
      <c r="BK1" s="505"/>
      <c r="BL1" s="510"/>
      <c r="BM1" s="506"/>
      <c r="BN1" s="506"/>
      <c r="BO1" s="505"/>
      <c r="BP1" s="506"/>
      <c r="BQ1" s="505"/>
      <c r="BR1" s="506"/>
    </row>
    <row r="2" spans="1:70" ht="16.5" customHeight="1">
      <c r="A2" s="22" t="s">
        <v>289</v>
      </c>
    </row>
    <row r="3" spans="1:70" ht="16.5" customHeight="1">
      <c r="D3" s="58" t="s">
        <v>15</v>
      </c>
      <c r="E3" s="59" t="s">
        <v>178</v>
      </c>
      <c r="F3" s="60" t="s">
        <v>179</v>
      </c>
      <c r="G3" s="60" t="s">
        <v>180</v>
      </c>
      <c r="H3" s="60" t="s">
        <v>181</v>
      </c>
      <c r="I3" s="60" t="s">
        <v>182</v>
      </c>
      <c r="J3" s="60" t="s">
        <v>196</v>
      </c>
      <c r="K3" s="61" t="s">
        <v>197</v>
      </c>
      <c r="L3" s="61" t="s">
        <v>183</v>
      </c>
      <c r="M3" s="61" t="s">
        <v>26</v>
      </c>
      <c r="N3" s="61" t="s">
        <v>184</v>
      </c>
      <c r="O3" s="61" t="s">
        <v>32</v>
      </c>
      <c r="X3" s="58" t="s">
        <v>1600</v>
      </c>
      <c r="Y3" s="59" t="s">
        <v>1601</v>
      </c>
      <c r="Z3" s="60" t="s">
        <v>1602</v>
      </c>
      <c r="AA3" s="60" t="s">
        <v>1704</v>
      </c>
      <c r="AB3" s="504" t="s">
        <v>2084</v>
      </c>
      <c r="AC3" s="60" t="s">
        <v>1705</v>
      </c>
      <c r="AD3" s="60" t="s">
        <v>1706</v>
      </c>
      <c r="AE3" s="508" t="s">
        <v>2085</v>
      </c>
      <c r="AF3" s="60" t="s">
        <v>1603</v>
      </c>
      <c r="AG3" s="61" t="s">
        <v>1604</v>
      </c>
      <c r="AH3" s="61" t="s">
        <v>1605</v>
      </c>
      <c r="AI3" s="61" t="s">
        <v>1606</v>
      </c>
      <c r="AJ3" s="61" t="s">
        <v>1607</v>
      </c>
      <c r="AK3" s="61" t="s">
        <v>1608</v>
      </c>
      <c r="AL3" s="58" t="s">
        <v>1609</v>
      </c>
      <c r="AM3" s="59" t="s">
        <v>1610</v>
      </c>
      <c r="AN3" s="60" t="s">
        <v>1611</v>
      </c>
      <c r="AO3" s="60" t="s">
        <v>25</v>
      </c>
      <c r="AP3" s="60" t="s">
        <v>1612</v>
      </c>
      <c r="AQ3" s="60" t="s">
        <v>1613</v>
      </c>
      <c r="AR3" s="60" t="s">
        <v>1614</v>
      </c>
      <c r="AS3" s="61" t="s">
        <v>1615</v>
      </c>
      <c r="AT3" s="61" t="s">
        <v>1616</v>
      </c>
      <c r="AU3" s="61" t="s">
        <v>1617</v>
      </c>
      <c r="AV3" s="61" t="s">
        <v>1618</v>
      </c>
      <c r="AW3" s="61" t="s">
        <v>1619</v>
      </c>
      <c r="AX3" s="58" t="s">
        <v>1620</v>
      </c>
      <c r="AY3" s="59" t="s">
        <v>1621</v>
      </c>
      <c r="AZ3" s="60" t="s">
        <v>1622</v>
      </c>
      <c r="BA3" s="60" t="s">
        <v>1623</v>
      </c>
      <c r="BB3" s="60" t="s">
        <v>1624</v>
      </c>
      <c r="BC3" s="60" t="s">
        <v>1625</v>
      </c>
      <c r="BD3" s="60" t="s">
        <v>1626</v>
      </c>
      <c r="BE3" s="61" t="s">
        <v>1627</v>
      </c>
      <c r="BF3" s="61" t="s">
        <v>1628</v>
      </c>
      <c r="BG3" s="61" t="s">
        <v>1629</v>
      </c>
      <c r="BH3" s="61" t="s">
        <v>1630</v>
      </c>
      <c r="BI3" s="61" t="s">
        <v>1631</v>
      </c>
      <c r="BJ3" s="58" t="s">
        <v>1632</v>
      </c>
      <c r="BK3" s="511" t="s">
        <v>13</v>
      </c>
      <c r="BL3" s="509" t="s">
        <v>2073</v>
      </c>
      <c r="BM3" s="60" t="s">
        <v>1633</v>
      </c>
      <c r="BN3" s="60" t="s">
        <v>1634</v>
      </c>
      <c r="BO3" s="60" t="s">
        <v>1635</v>
      </c>
      <c r="BP3" s="60" t="s">
        <v>1636</v>
      </c>
      <c r="BQ3" s="60" t="s">
        <v>1637</v>
      </c>
      <c r="BR3" s="60" t="s">
        <v>1638</v>
      </c>
    </row>
    <row r="4" spans="1:70" ht="16.5" customHeight="1">
      <c r="B4" s="24" t="s">
        <v>267</v>
      </c>
      <c r="C4" s="24" t="s">
        <v>270</v>
      </c>
      <c r="D4" s="50"/>
      <c r="E4" s="50"/>
      <c r="F4" s="50"/>
      <c r="G4" s="50"/>
      <c r="H4" s="50"/>
      <c r="I4" s="369"/>
      <c r="J4" s="50"/>
      <c r="K4" s="50"/>
      <c r="L4" s="50"/>
      <c r="M4" s="50"/>
      <c r="N4" s="50"/>
      <c r="O4" s="50"/>
      <c r="U4" t="s">
        <v>1838</v>
      </c>
      <c r="V4" s="51"/>
    </row>
    <row r="5" spans="1:70" ht="16.5" customHeight="1">
      <c r="B5" s="24" t="s">
        <v>268</v>
      </c>
      <c r="C5" s="24" t="s">
        <v>284</v>
      </c>
      <c r="D5" s="185" t="s">
        <v>269</v>
      </c>
      <c r="E5" s="429"/>
      <c r="F5" s="429"/>
      <c r="G5" s="429"/>
      <c r="H5" s="429"/>
      <c r="I5" s="430"/>
      <c r="J5" s="394"/>
      <c r="K5" s="394"/>
      <c r="L5" s="429"/>
      <c r="M5" s="394"/>
      <c r="N5" s="394"/>
      <c r="O5" s="429"/>
      <c r="S5" s="130"/>
    </row>
    <row r="6" spans="1:70" ht="16.5" customHeight="1">
      <c r="U6" s="163" t="s">
        <v>931</v>
      </c>
      <c r="V6" s="165" t="str">
        <f>ADDRESS(ROW(UNMM0051_IF_SENTAKU)+1,COLUMN(UNMM0051_IF_SENTAKU))</f>
        <v>$X$4</v>
      </c>
    </row>
    <row r="7" spans="1:70" s="57" customFormat="1" ht="16.5" customHeight="1">
      <c r="B7" s="24"/>
      <c r="C7" s="24"/>
      <c r="U7" s="163"/>
      <c r="V7" s="163"/>
      <c r="AB7" s="425"/>
      <c r="AE7" s="503"/>
      <c r="BK7" s="257"/>
      <c r="BL7" s="507"/>
    </row>
    <row r="8" spans="1:70" s="57" customFormat="1" ht="16.5" customHeight="1">
      <c r="A8" s="22" t="s">
        <v>374</v>
      </c>
      <c r="B8" s="24"/>
      <c r="C8" s="24"/>
      <c r="U8" s="163" t="s">
        <v>932</v>
      </c>
      <c r="V8" s="165" t="str">
        <f>IF(UNMM0051_IF_PRINT_COUNT=0,"",UNMM0051_IF_LIST_START&amp;":"&amp;
ADDRESS(ROW(UNMM0051_IF_SENTAKU)+1+UNMM0051_IF_PRINT_COUNT-1,COLUMN(UNMM0051_IF_SENTAKU)+COLUMNS(UNMM0051_IF_PRINT_SHOSHIKI)-1))</f>
        <v/>
      </c>
      <c r="AB8" s="425"/>
      <c r="AE8" s="503"/>
      <c r="BK8" s="257"/>
      <c r="BL8" s="507"/>
    </row>
    <row r="9" spans="1:70" s="57" customFormat="1" ht="16.5" customHeight="1">
      <c r="B9" s="24"/>
      <c r="C9" s="24" t="s">
        <v>376</v>
      </c>
      <c r="U9" s="163"/>
      <c r="V9" s="328"/>
      <c r="AB9" s="425"/>
      <c r="AE9" s="503"/>
      <c r="BK9" s="257"/>
      <c r="BL9" s="507"/>
    </row>
    <row r="10" spans="1:70" s="57" customFormat="1" ht="16.5" customHeight="1">
      <c r="B10" s="24"/>
      <c r="C10" s="173" t="s">
        <v>193</v>
      </c>
      <c r="D10" s="618"/>
      <c r="E10" s="619"/>
      <c r="F10" s="619"/>
      <c r="G10" s="620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V10" s="104"/>
      <c r="AB10" s="425"/>
      <c r="AE10" s="503"/>
      <c r="BK10" s="257"/>
      <c r="BL10" s="507"/>
    </row>
    <row r="11" spans="1:70" s="57" customFormat="1" ht="16.5" customHeight="1">
      <c r="B11" s="24"/>
      <c r="C11" s="173" t="s">
        <v>194</v>
      </c>
      <c r="D11" s="621"/>
      <c r="E11" s="622"/>
      <c r="F11" s="622"/>
      <c r="G11" s="623"/>
      <c r="H11" s="615" t="str">
        <f>IF(UNMM0051_H_SHIIRE_CD=0,"",UNMM0051_H_SHIIRE_MEI)</f>
        <v/>
      </c>
      <c r="I11" s="616"/>
      <c r="J11" s="616"/>
      <c r="K11" s="616"/>
      <c r="L11" s="616"/>
      <c r="M11" s="616"/>
      <c r="N11" s="616"/>
      <c r="O11" s="616"/>
      <c r="P11" s="616"/>
      <c r="Q11" s="616"/>
      <c r="R11" s="616"/>
      <c r="S11" s="616"/>
      <c r="T11" s="617"/>
      <c r="AB11" s="425"/>
      <c r="AE11" s="503"/>
      <c r="AF11" s="130"/>
      <c r="BK11" s="257"/>
      <c r="BL11" s="507"/>
    </row>
    <row r="12" spans="1:70" s="57" customFormat="1" ht="16.5" customHeight="1">
      <c r="B12" s="24"/>
      <c r="C12" s="173" t="s">
        <v>195</v>
      </c>
      <c r="D12" s="621"/>
      <c r="E12" s="622"/>
      <c r="F12" s="622"/>
      <c r="G12" s="623"/>
      <c r="H12" s="615" t="str">
        <f>IF(UNMM0051_H_MAKER_CD=0,"",UNMM0051_H_MAKER_MEI)</f>
        <v/>
      </c>
      <c r="I12" s="616"/>
      <c r="J12" s="616"/>
      <c r="K12" s="616"/>
      <c r="L12" s="616"/>
      <c r="M12" s="616"/>
      <c r="N12" s="616"/>
      <c r="O12" s="616"/>
      <c r="P12" s="616"/>
      <c r="Q12" s="616"/>
      <c r="R12" s="616"/>
      <c r="S12" s="616"/>
      <c r="T12" s="617"/>
      <c r="AB12" s="425"/>
      <c r="AE12" s="503"/>
      <c r="BK12" s="257"/>
      <c r="BL12" s="507"/>
    </row>
    <row r="13" spans="1:70" s="57" customFormat="1" ht="16.5" customHeight="1">
      <c r="B13" s="24"/>
      <c r="C13" s="173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AB13" s="425"/>
      <c r="AE13" s="503"/>
      <c r="BK13" s="257"/>
      <c r="BL13" s="507"/>
    </row>
    <row r="14" spans="1:70" s="57" customFormat="1" ht="16.5" customHeight="1">
      <c r="B14" s="24"/>
      <c r="C14" s="173" t="s">
        <v>22</v>
      </c>
      <c r="D14" s="612"/>
      <c r="E14" s="613"/>
      <c r="F14" s="613"/>
      <c r="G14" s="614"/>
      <c r="H14" s="177" t="str">
        <f>IF(UNMM0051_H_FREEWD_KBN=1,"AND",IF(UNMM0051_H_FREEWD_KBN=2,"OR","NAND"))</f>
        <v>AND</v>
      </c>
      <c r="I14" s="612"/>
      <c r="J14" s="613"/>
      <c r="K14" s="613"/>
      <c r="L14" s="614"/>
      <c r="M14" s="177" t="str">
        <f>IF(UNMM0051_H_FREEWD_KBN=1,"AND",IF(UNMM0051_H_FREEWD_KBN=2,"OR","NAND"))</f>
        <v>AND</v>
      </c>
      <c r="N14" s="612"/>
      <c r="O14" s="613"/>
      <c r="P14" s="613"/>
      <c r="Q14" s="614"/>
      <c r="R14" s="171"/>
      <c r="S14" s="171"/>
      <c r="T14" s="171"/>
      <c r="AB14" s="425"/>
      <c r="AE14" s="503"/>
      <c r="BK14" s="257"/>
      <c r="BL14" s="507"/>
    </row>
    <row r="15" spans="1:70" s="57" customFormat="1" ht="16.5" customHeight="1">
      <c r="B15" s="24"/>
      <c r="C15" s="24"/>
      <c r="AB15" s="425"/>
      <c r="AE15" s="503"/>
      <c r="BK15" s="257"/>
      <c r="BL15" s="507"/>
    </row>
    <row r="16" spans="1:70" ht="16.5" customHeight="1">
      <c r="A16" s="22" t="s">
        <v>271</v>
      </c>
    </row>
    <row r="17" spans="1:7" ht="16.5" customHeight="1">
      <c r="B17" s="24" t="s">
        <v>272</v>
      </c>
      <c r="C17" s="24" t="s">
        <v>273</v>
      </c>
      <c r="D17" s="51"/>
      <c r="E17" t="s">
        <v>274</v>
      </c>
      <c r="F17" t="s">
        <v>275</v>
      </c>
    </row>
    <row r="18" spans="1:7" ht="16.5" customHeight="1"/>
    <row r="19" spans="1:7" ht="16.5" customHeight="1">
      <c r="A19" s="22" t="s">
        <v>104</v>
      </c>
      <c r="C19" s="67"/>
      <c r="D19" s="57"/>
    </row>
    <row r="20" spans="1:7" ht="16.5" customHeight="1">
      <c r="A20" s="57"/>
      <c r="B20" s="57" t="s">
        <v>105</v>
      </c>
      <c r="C20" s="24" t="s">
        <v>285</v>
      </c>
      <c r="D20" s="30" t="s">
        <v>155</v>
      </c>
    </row>
    <row r="21" spans="1:7" ht="16.5" customHeight="1">
      <c r="A21" s="57"/>
      <c r="B21" s="57" t="s">
        <v>107</v>
      </c>
      <c r="C21" s="24" t="s">
        <v>286</v>
      </c>
      <c r="D21" s="30">
        <v>3</v>
      </c>
    </row>
    <row r="22" spans="1:7" ht="16.5" customHeight="1">
      <c r="A22" s="57"/>
      <c r="B22" s="57" t="s">
        <v>108</v>
      </c>
      <c r="C22" s="24" t="s">
        <v>287</v>
      </c>
      <c r="D22" s="30">
        <v>9</v>
      </c>
    </row>
    <row r="23" spans="1:7" ht="16.5" customHeight="1"/>
    <row r="24" spans="1:7" ht="16.5" customHeight="1">
      <c r="B24" s="57" t="s">
        <v>106</v>
      </c>
      <c r="C24" s="24" t="s">
        <v>288</v>
      </c>
      <c r="D24" s="30" t="s">
        <v>156</v>
      </c>
    </row>
    <row r="25" spans="1:7" ht="16.5" customHeight="1"/>
    <row r="26" spans="1:7" ht="16.5" customHeight="1">
      <c r="B26" s="22" t="s">
        <v>371</v>
      </c>
      <c r="D26" s="24"/>
      <c r="E26" s="57"/>
    </row>
    <row r="27" spans="1:7" ht="16.5" customHeight="1">
      <c r="B27" s="57"/>
      <c r="C27" s="24" t="s">
        <v>375</v>
      </c>
      <c r="D27" s="57"/>
      <c r="G27" s="80"/>
    </row>
    <row r="28" spans="1:7" ht="16.5" customHeight="1">
      <c r="B28" s="57"/>
      <c r="C28" s="71" t="s">
        <v>187</v>
      </c>
      <c r="D28" s="233" t="b">
        <v>1</v>
      </c>
      <c r="G28" s="80"/>
    </row>
    <row r="29" spans="1:7" ht="16.5" customHeight="1">
      <c r="B29" s="57"/>
      <c r="C29" s="71" t="s">
        <v>188</v>
      </c>
      <c r="D29" s="234" t="b">
        <v>1</v>
      </c>
      <c r="G29" s="43"/>
    </row>
    <row r="30" spans="1:7" ht="16.5" customHeight="1">
      <c r="B30" s="57"/>
      <c r="C30" s="71" t="s">
        <v>189</v>
      </c>
      <c r="D30" s="234" t="b">
        <v>1</v>
      </c>
      <c r="G30" s="80"/>
    </row>
    <row r="31" spans="1:7" ht="16.5" customHeight="1">
      <c r="B31" s="57"/>
      <c r="C31" s="71" t="s">
        <v>181</v>
      </c>
      <c r="D31" s="234" t="b">
        <v>1</v>
      </c>
      <c r="G31" s="80"/>
    </row>
    <row r="32" spans="1:7" ht="16.5" customHeight="1">
      <c r="B32" s="57"/>
      <c r="C32" s="43"/>
      <c r="D32" s="235"/>
      <c r="G32" s="80"/>
    </row>
    <row r="33" spans="2:7" ht="16.5" customHeight="1">
      <c r="B33" s="57"/>
      <c r="C33" s="14"/>
      <c r="D33" s="235"/>
      <c r="G33" s="80"/>
    </row>
    <row r="34" spans="2:7" ht="16.5" customHeight="1">
      <c r="B34" s="57"/>
      <c r="C34" s="71" t="s">
        <v>231</v>
      </c>
      <c r="D34" s="235" t="b">
        <v>1</v>
      </c>
      <c r="G34" s="14"/>
    </row>
    <row r="35" spans="2:7" ht="16.5" customHeight="1">
      <c r="B35" s="57"/>
      <c r="C35" s="71" t="s">
        <v>232</v>
      </c>
      <c r="D35" s="235" t="b">
        <v>1</v>
      </c>
      <c r="G35" s="14"/>
    </row>
    <row r="36" spans="2:7" ht="16.5" customHeight="1">
      <c r="B36" s="57"/>
      <c r="C36" s="14"/>
      <c r="D36" s="235"/>
      <c r="G36" s="14"/>
    </row>
    <row r="37" spans="2:7" ht="16.5" customHeight="1">
      <c r="B37" s="57"/>
      <c r="C37" s="71" t="s">
        <v>241</v>
      </c>
      <c r="D37" s="236" t="b">
        <v>0</v>
      </c>
      <c r="G37" s="14"/>
    </row>
    <row r="38" spans="2:7" ht="16.5" customHeight="1">
      <c r="B38" s="57"/>
      <c r="G38" s="14"/>
    </row>
    <row r="39" spans="2:7" ht="16.5" customHeight="1">
      <c r="G39" s="14"/>
    </row>
    <row r="40" spans="2:7" ht="16.5" customHeight="1">
      <c r="B40" s="130" t="s">
        <v>929</v>
      </c>
      <c r="C40" s="129" t="s">
        <v>933</v>
      </c>
      <c r="D40" s="51" t="str">
        <f ca="1">"商品マスタ検索画面_"&amp;TEXT(NOW(),"YYYYMMDD_hhmmss")</f>
        <v>商品マスタ検索画面_20170913 155022</v>
      </c>
    </row>
    <row r="41" spans="2:7" ht="16.5" customHeight="1"/>
  </sheetData>
  <mergeCells count="8">
    <mergeCell ref="D14:G14"/>
    <mergeCell ref="I14:L14"/>
    <mergeCell ref="N14:Q14"/>
    <mergeCell ref="D10:G10"/>
    <mergeCell ref="D11:G11"/>
    <mergeCell ref="H11:T11"/>
    <mergeCell ref="D12:G12"/>
    <mergeCell ref="H12:T12"/>
  </mergeCells>
  <phoneticPr fontId="2"/>
  <conditionalFormatting sqref="D5:O5">
    <cfRule type="expression" dxfId="64" priority="6">
      <formula>CELL("row")=ROW()</formula>
    </cfRule>
  </conditionalFormatting>
  <dataValidations count="1">
    <dataValidation type="custom" allowBlank="1" showInputMessage="1" showErrorMessage="1" sqref="D10:G10">
      <formula1>AND(LEN(D10)=LENB(D10),LEN(D10)&lt;=10)</formula1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B1:H44"/>
  <sheetViews>
    <sheetView zoomScale="70" zoomScaleNormal="70" workbookViewId="0">
      <selection activeCell="F30" sqref="F30"/>
    </sheetView>
  </sheetViews>
  <sheetFormatPr defaultRowHeight="18.75"/>
  <cols>
    <col min="1" max="1" width="1.25" style="57" customWidth="1"/>
    <col min="2" max="2" width="25" style="64" bestFit="1" customWidth="1"/>
    <col min="3" max="3" width="23.25" style="24" customWidth="1"/>
    <col min="4" max="4" width="3" style="24" customWidth="1"/>
    <col min="5" max="5" width="3" style="129" customWidth="1"/>
    <col min="6" max="6" width="117.125" style="94" customWidth="1"/>
    <col min="7" max="7" width="17.25" style="57" customWidth="1"/>
    <col min="8" max="16384" width="9" style="57"/>
  </cols>
  <sheetData>
    <row r="1" spans="2:8" ht="13.5">
      <c r="B1" s="57"/>
      <c r="C1" s="57"/>
      <c r="F1" s="130" t="s">
        <v>1377</v>
      </c>
      <c r="G1" s="130" t="s">
        <v>1409</v>
      </c>
    </row>
    <row r="2" spans="2:8" s="130" customFormat="1" ht="18.75" customHeight="1">
      <c r="B2" s="64" t="s">
        <v>187</v>
      </c>
      <c r="C2" s="24" t="s">
        <v>1370</v>
      </c>
      <c r="D2" s="129"/>
      <c r="E2" s="129"/>
      <c r="F2" s="129" t="b">
        <v>1</v>
      </c>
      <c r="G2" s="130" t="b">
        <f>UNMM0051_H_BUNSEKIKOMOKU_FLG</f>
        <v>1</v>
      </c>
    </row>
    <row r="3" spans="2:8" s="130" customFormat="1" ht="18.75" customHeight="1">
      <c r="B3" s="64" t="s">
        <v>188</v>
      </c>
      <c r="C3" s="129" t="s">
        <v>1371</v>
      </c>
      <c r="D3" s="129"/>
      <c r="E3" s="129"/>
      <c r="F3" s="129" t="b">
        <v>1</v>
      </c>
      <c r="G3" s="130" t="b">
        <f>UNMM0051_H_SHOHIN_FLG</f>
        <v>1</v>
      </c>
    </row>
    <row r="4" spans="2:8" s="130" customFormat="1" ht="18.75" customHeight="1">
      <c r="B4" s="64" t="s">
        <v>189</v>
      </c>
      <c r="C4" s="129" t="s">
        <v>1372</v>
      </c>
      <c r="D4" s="129"/>
      <c r="E4" s="129"/>
      <c r="F4" s="129" t="b">
        <v>1</v>
      </c>
      <c r="G4" s="130" t="b">
        <f>UNMM0051_H_KOBAIHIN_FLG</f>
        <v>1</v>
      </c>
    </row>
    <row r="5" spans="2:8" s="130" customFormat="1" ht="18.75" customHeight="1">
      <c r="B5" s="64" t="s">
        <v>181</v>
      </c>
      <c r="C5" s="129" t="s">
        <v>1373</v>
      </c>
      <c r="D5" s="129"/>
      <c r="E5" s="129"/>
      <c r="F5" s="129" t="b">
        <v>1</v>
      </c>
      <c r="G5" s="130" t="b">
        <f>UNMM0051_H_SHOKEIHI_FLG</f>
        <v>1</v>
      </c>
    </row>
    <row r="6" spans="2:8" s="130" customFormat="1" ht="18.75" customHeight="1">
      <c r="B6" s="64" t="s">
        <v>231</v>
      </c>
      <c r="C6" s="129" t="s">
        <v>1374</v>
      </c>
      <c r="D6" s="129"/>
      <c r="E6" s="129"/>
      <c r="F6" s="129" t="b">
        <v>1</v>
      </c>
      <c r="G6" s="130" t="b">
        <f>UNMM0051_H_KARI_STS</f>
        <v>1</v>
      </c>
    </row>
    <row r="7" spans="2:8" s="130" customFormat="1" ht="18.75" customHeight="1">
      <c r="B7" s="64" t="s">
        <v>232</v>
      </c>
      <c r="C7" s="129" t="s">
        <v>1375</v>
      </c>
      <c r="D7" s="129"/>
      <c r="E7" s="129"/>
      <c r="F7" s="129" t="b">
        <v>1</v>
      </c>
      <c r="G7" s="130" t="b">
        <f>UNMM0051_H_SAIYO_STS</f>
        <v>1</v>
      </c>
    </row>
    <row r="8" spans="2:8" s="130" customFormat="1" ht="18.75" customHeight="1">
      <c r="B8" s="64" t="s">
        <v>241</v>
      </c>
      <c r="C8" s="129" t="s">
        <v>1376</v>
      </c>
      <c r="D8" s="129"/>
      <c r="E8" s="129"/>
      <c r="F8" s="129" t="b">
        <v>0</v>
      </c>
      <c r="G8" s="130" t="b">
        <f>UNMM0051_H_MISHIYO</f>
        <v>0</v>
      </c>
    </row>
    <row r="9" spans="2:8" s="130" customFormat="1" ht="18.75" customHeight="1">
      <c r="B9" s="64" t="s">
        <v>1378</v>
      </c>
      <c r="C9" s="129" t="s">
        <v>1383</v>
      </c>
      <c r="D9" s="129"/>
      <c r="E9" s="129"/>
      <c r="F9" s="280" t="s">
        <v>2060</v>
      </c>
      <c r="G9" s="130" t="str">
        <f>IF(UNMM0051_H_SHOHIN_CD="","",UNMM0051_H_SHOHIN_CD)</f>
        <v/>
      </c>
      <c r="H9" s="130" t="s">
        <v>1663</v>
      </c>
    </row>
    <row r="10" spans="2:8" s="130" customFormat="1" ht="18.75" customHeight="1">
      <c r="B10" s="64" t="s">
        <v>1379</v>
      </c>
      <c r="C10" s="129" t="s">
        <v>1384</v>
      </c>
      <c r="D10" s="129"/>
      <c r="E10" s="129"/>
      <c r="F10" s="280" t="s">
        <v>2060</v>
      </c>
      <c r="G10" s="130" t="str">
        <f>IF(UNMM0051_H_SHIIRE_CD="","",UNMM0051_H_SHIIRE_CD)</f>
        <v/>
      </c>
      <c r="H10" s="130" t="s">
        <v>1664</v>
      </c>
    </row>
    <row r="11" spans="2:8" s="130" customFormat="1" ht="18.75" customHeight="1">
      <c r="B11" s="64" t="s">
        <v>1380</v>
      </c>
      <c r="C11" s="129" t="s">
        <v>1385</v>
      </c>
      <c r="D11" s="129"/>
      <c r="E11" s="129"/>
      <c r="F11" s="280" t="s">
        <v>2060</v>
      </c>
      <c r="G11" s="130" t="str">
        <f>IF(UNMM0051_H_MAKER_CD="","",UNMM0051_H_MAKER_CD)</f>
        <v/>
      </c>
    </row>
    <row r="12" spans="2:8" s="130" customFormat="1" ht="18.75" customHeight="1">
      <c r="B12" s="64" t="s">
        <v>1381</v>
      </c>
      <c r="C12" s="129" t="s">
        <v>1386</v>
      </c>
      <c r="D12" s="129"/>
      <c r="E12" s="129"/>
      <c r="F12" s="280" t="s">
        <v>2060</v>
      </c>
      <c r="G12" s="130" t="str">
        <f>IF(UNMM0051_H_FREEWD_1="","",UNMM0051_H_FREEWD_1)</f>
        <v/>
      </c>
    </row>
    <row r="13" spans="2:8" s="130" customFormat="1" ht="18.75" customHeight="1">
      <c r="B13" s="64"/>
      <c r="C13" s="129" t="s">
        <v>1387</v>
      </c>
      <c r="D13" s="129"/>
      <c r="E13" s="129"/>
      <c r="F13" s="280" t="s">
        <v>2060</v>
      </c>
      <c r="G13" s="130" t="str">
        <f>IF(UNMM0051_H_FREEWD_2="","",UNMM0051_H_FREEWD_2)</f>
        <v/>
      </c>
    </row>
    <row r="14" spans="2:8" s="130" customFormat="1" ht="18.75" customHeight="1">
      <c r="B14" s="64"/>
      <c r="C14" s="129" t="s">
        <v>1388</v>
      </c>
      <c r="D14" s="129"/>
      <c r="E14" s="129"/>
      <c r="F14" s="280" t="s">
        <v>2060</v>
      </c>
      <c r="G14" s="130" t="str">
        <f>IF(UNMM0051_H_FREEWD_3="","",UNMM0051_H_FREEWD_3)</f>
        <v/>
      </c>
    </row>
    <row r="15" spans="2:8" s="130" customFormat="1" ht="18.75" customHeight="1">
      <c r="B15" s="64" t="s">
        <v>1382</v>
      </c>
      <c r="C15" s="129" t="s">
        <v>1389</v>
      </c>
      <c r="D15" s="129"/>
      <c r="E15" s="129"/>
      <c r="F15" s="129">
        <v>1</v>
      </c>
      <c r="G15" s="130">
        <f>UNMM0051_H_FREEWD_KBN</f>
        <v>1</v>
      </c>
    </row>
    <row r="16" spans="2:8" s="130" customFormat="1">
      <c r="B16" s="64"/>
      <c r="C16" s="129"/>
      <c r="D16" s="129"/>
      <c r="E16" s="129"/>
      <c r="F16" s="94"/>
    </row>
    <row r="18" spans="2:8" s="104" customFormat="1" ht="18" customHeight="1">
      <c r="B18" s="149" t="s">
        <v>277</v>
      </c>
      <c r="C18" s="110" t="s">
        <v>276</v>
      </c>
      <c r="D18" s="632" t="str">
        <f>E20&amp;E22&amp;E23&amp;E24&amp;E25&amp;E29&amp;E34&amp;E37&amp;E39&amp;E40</f>
        <v>SELECT *
  FROM V_SHOHIN_LIST
  WHERE 1=1AND V_SHOHIN_LIST.SHOHIN_CD ='----------------------------------'
AND V_SHOHIN_LIST.SHIIRESAKI_CD ='----------------------------------'
AND V_SHOHIN_LIST.MAKER_CD ='----------------------------------'
   AND(
        1=1
        AND V_SHOHIN_LIST.FREEWD  LIKE '%----------------------------------%'  
        AND V_SHOHIN_LIST.FREEWD  LIKE '%----------------------------------%'  
        AND V_SHOHIN_LIST.FREEWD  LIKE '%----------------------------------%'  
)
AND (1!=1 
 OR V_SHOHIN_LIST.BUNSEKI_FLG = '×' 
 OR V_SHOHIN_LIST.HAMBAI_SHOHIN_FLG = '×' 
 OR V_SHOHIN_LIST.KOBAIHIN_FLG = '×'   
 OR V_SHOHIN_LIST.SHOKEIHI_FLG = '×'  )   
AND (1!=1 
 OR V_SHOHIN_LIST.STATUS  = '仮登録'  
 OR V_SHOHIN_LIST.STATUS  = '採用'  )   
 AND V_SHOHIN_LIST.MISHIYO_FLG IS NULL  ORDER BY SHOHIN_CD ASC
  OFFSET 0*2 ROWS
 FETCH NEXT 2 ROWS ONLY</v>
      </c>
      <c r="E18" s="632"/>
      <c r="F18" s="632"/>
      <c r="G18" s="150"/>
    </row>
    <row r="19" spans="2:8" ht="18" customHeight="1">
      <c r="B19" s="62" t="s">
        <v>278</v>
      </c>
      <c r="C19" s="129" t="s">
        <v>279</v>
      </c>
      <c r="D19" s="632" t="str">
        <f>E21&amp;E22&amp;E23&amp;E24&amp;E25&amp;E29&amp;E34&amp;E37</f>
        <v xml:space="preserve">SELECT COUNT(*) AS CNT
   FROM V_SHOHIN_LIST
   WHERE 1=1
AND V_SHOHIN_LIST.SHOHIN_CD ='----------------------------------'
AND V_SHOHIN_LIST.SHIIRESAKI_CD ='----------------------------------'
AND V_SHOHIN_LIST.MAKER_CD ='----------------------------------'
   AND(
        1=1
        AND V_SHOHIN_LIST.FREEWD  LIKE '%----------------------------------%'  
        AND V_SHOHIN_LIST.FREEWD  LIKE '%----------------------------------%'  
        AND V_SHOHIN_LIST.FREEWD  LIKE '%----------------------------------%'  
)
AND (1!=1 
 OR V_SHOHIN_LIST.BUNSEKI_FLG = '×' 
 OR V_SHOHIN_LIST.HAMBAI_SHOHIN_FLG = '×' 
 OR V_SHOHIN_LIST.KOBAIHIN_FLG = '×'   
 OR V_SHOHIN_LIST.SHOKEIHI_FLG = '×'  )   
AND (1!=1 
 OR V_SHOHIN_LIST.STATUS  = '仮登録'  
 OR V_SHOHIN_LIST.STATUS  = '採用'  )   
 AND V_SHOHIN_LIST.MISHIYO_FLG IS NULL  </v>
      </c>
      <c r="E19" s="632"/>
      <c r="F19" s="632"/>
    </row>
    <row r="20" spans="2:8" ht="18" customHeight="1">
      <c r="B20" s="62" t="s">
        <v>280</v>
      </c>
      <c r="C20" s="129"/>
      <c r="E20" s="628" t="s">
        <v>401</v>
      </c>
      <c r="F20" s="628"/>
      <c r="G20" s="91"/>
    </row>
    <row r="21" spans="2:8" ht="18" customHeight="1">
      <c r="B21" s="64" t="s">
        <v>281</v>
      </c>
      <c r="E21" s="629" t="s">
        <v>347</v>
      </c>
      <c r="F21" s="629"/>
    </row>
    <row r="22" spans="2:8" ht="18" customHeight="1">
      <c r="B22" s="64" t="s">
        <v>338</v>
      </c>
      <c r="E22" s="629" t="str">
        <f>IF(UNMM0051_SQL_SHOHIN_CD="","","AND V_SHOHIN_LIST.SHOHIN_CD =" &amp;"'" &amp;UNMM0051_SQL_SHOHIN_CD &amp;"'
")</f>
        <v xml:space="preserve">AND V_SHOHIN_LIST.SHOHIN_CD ='----------------------------------'
</v>
      </c>
      <c r="F22" s="629"/>
    </row>
    <row r="23" spans="2:8" ht="18" customHeight="1">
      <c r="B23" s="64" t="s">
        <v>339</v>
      </c>
      <c r="E23" s="631" t="str">
        <f>IF(UNMM0051_SQL_SHIIRE_CD="","","AND V_SHOHIN_LIST.SHIIRESAKI_CD =" &amp;"'" &amp;UNMM0051_SQL_SHIIRE_CD &amp;"'
")</f>
        <v xml:space="preserve">AND V_SHOHIN_LIST.SHIIRESAKI_CD ='----------------------------------'
</v>
      </c>
      <c r="F23" s="631"/>
    </row>
    <row r="24" spans="2:8" ht="18" customHeight="1">
      <c r="B24" s="64" t="s">
        <v>340</v>
      </c>
      <c r="E24" s="630" t="str">
        <f>IF(UNMM0051_SQL_MAKER_CD="","","AND V_SHOHIN_LIST.MAKER_CD =" &amp;"'" &amp;UNMM0051_SQL_MAKER_CD &amp;"'
")</f>
        <v xml:space="preserve">AND V_SHOHIN_LIST.MAKER_CD ='----------------------------------'
</v>
      </c>
      <c r="F24" s="630"/>
    </row>
    <row r="25" spans="2:8" s="130" customFormat="1" ht="18" customHeight="1">
      <c r="B25" s="64" t="s">
        <v>486</v>
      </c>
      <c r="C25" s="129"/>
      <c r="E25" s="630" t="str">
        <f>"   AND(
        " &amp;IF(AND(UNMM0051_SQL_FREEWD_1="",
                  UNMM0051_SQL_FREEWD_2="",
                  UNMM0051_SQL_FREEWD_3=""), "1=1",
              IF(UNMM0051_SQL_FREEWD_KBN=1,"1=1","1!=1") )&amp;"
"
         &amp;"        " &amp;UNMM0051_SQL_FREEWORD1
         &amp;"        " &amp;UNMM0051_SQL_FREEWORD2
         &amp;"        " &amp;UNMM0051_SQL_FREEWORD3
&amp;")"</f>
        <v xml:space="preserve">   AND(
        1=1
        AND V_SHOHIN_LIST.FREEWD  LIKE '%----------------------------------%'  
        AND V_SHOHIN_LIST.FREEWD  LIKE '%----------------------------------%'  
        AND V_SHOHIN_LIST.FREEWD  LIKE '%----------------------------------%'  
)</v>
      </c>
      <c r="F25" s="630"/>
    </row>
    <row r="26" spans="2:8" ht="18" customHeight="1">
      <c r="B26" s="64" t="s">
        <v>165</v>
      </c>
      <c r="C26" s="129" t="s">
        <v>487</v>
      </c>
      <c r="D26" s="129"/>
      <c r="E26" s="155"/>
      <c r="F26" s="152" t="str">
        <f xml:space="preserve">          IF(UNMM0051_SQL_FREEWD_1="","",
 $G$27 &amp;" V_SHOHIN_LIST.FREEWD  " &amp;IF(UNMM0051_SQL_FREEWD_KBN=3," NOT ", "") &amp;"LIKE " &amp;"'%" &amp;UNMM0051_SQL_FREEWD_1 &amp;"%'  
")</f>
        <v xml:space="preserve">AND V_SHOHIN_LIST.FREEWD  LIKE '%----------------------------------%'  
</v>
      </c>
      <c r="G26" s="124" t="s">
        <v>485</v>
      </c>
      <c r="H26" s="82"/>
    </row>
    <row r="27" spans="2:8" s="82" customFormat="1" ht="18" customHeight="1">
      <c r="B27" s="64" t="s">
        <v>164</v>
      </c>
      <c r="C27" s="129" t="s">
        <v>488</v>
      </c>
      <c r="D27" s="129"/>
      <c r="E27" s="110"/>
      <c r="F27" s="152" t="str">
        <f xml:space="preserve">          IF(UNMM0051_SQL_FREEWD_2="","",
 $G$27 &amp;" V_SHOHIN_LIST.FREEWD  " &amp;IF(UNMM0051_SQL_FREEWD_KBN=3," NOT ", "") &amp;"LIKE " &amp;"'%" &amp;UNMM0051_SQL_FREEWD_2 &amp;"%'  
")</f>
        <v xml:space="preserve">AND V_SHOHIN_LIST.FREEWD  LIKE '%----------------------------------%'  
</v>
      </c>
      <c r="G27" s="131" t="str">
        <f>LOOKUP(UNMM0051_SQL_FREEWD_KBN,{1,2,3;"AND","OR","OR"})</f>
        <v>AND</v>
      </c>
      <c r="H27" s="223"/>
    </row>
    <row r="28" spans="2:8" s="82" customFormat="1" ht="18" customHeight="1">
      <c r="B28" s="64" t="s">
        <v>166</v>
      </c>
      <c r="C28" s="129" t="s">
        <v>489</v>
      </c>
      <c r="D28" s="129"/>
      <c r="E28" s="156"/>
      <c r="F28" s="152" t="str">
        <f xml:space="preserve">          IF(UNMM0051_SQL_FREEWD_3="","",
 $G$27 &amp;" V_SHOHIN_LIST.FREEWD  " &amp;IF(UNMM0051_SQL_FREEWD_KBN=3," NOT ", "") &amp;"LIKE " &amp;"'%" &amp;UNMM0051_SQL_FREEWD_3 &amp;"%'  
")</f>
        <v xml:space="preserve">AND V_SHOHIN_LIST.FREEWD  LIKE '%----------------------------------%'  
</v>
      </c>
    </row>
    <row r="29" spans="2:8" ht="18" customHeight="1">
      <c r="B29" s="64" t="s">
        <v>2061</v>
      </c>
      <c r="E29" s="628" t="str">
        <f>"
AND (1!=1 "&amp;F30&amp;F31&amp;F32&amp;F33&amp;")   
"</f>
        <v xml:space="preserve">
AND (1!=1 
 OR V_SHOHIN_LIST.BUNSEKI_FLG = '×' 
 OR V_SHOHIN_LIST.HAMBAI_SHOHIN_FLG = '×' 
 OR V_SHOHIN_LIST.KOBAIHIN_FLG = '×'   
 OR V_SHOHIN_LIST.SHOKEIHI_FLG = '×'  )   
</v>
      </c>
      <c r="F29" s="628"/>
    </row>
    <row r="30" spans="2:8" ht="18" customHeight="1">
      <c r="B30" s="77" t="s">
        <v>341</v>
      </c>
      <c r="E30" s="155"/>
      <c r="F30" s="153" t="str">
        <f xml:space="preserve"> IF(UNMM0051_SQL_BUNSEKIKOMOKU_FLG=FALSE,"","
 OR V_SHOHIN_LIST.BUNSEKI_FLG = " &amp;"'" &amp;"×" &amp;"' "
)</f>
        <v xml:space="preserve">
 OR V_SHOHIN_LIST.BUNSEKI_FLG = '×' </v>
      </c>
    </row>
    <row r="31" spans="2:8" ht="18" customHeight="1">
      <c r="B31" s="77" t="s">
        <v>342</v>
      </c>
      <c r="E31" s="110"/>
      <c r="F31" s="153" t="str">
        <f xml:space="preserve"> IF(UNMM0051_SQL_SHOHIN_FLG=FALSE,"","
 OR V_SHOHIN_LIST.HAMBAI_SHOHIN_FLG = " &amp;"'" &amp;"×" &amp;"' "
)</f>
        <v xml:space="preserve">
 OR V_SHOHIN_LIST.HAMBAI_SHOHIN_FLG = '×' </v>
      </c>
    </row>
    <row r="32" spans="2:8" ht="18" customHeight="1">
      <c r="B32" s="77" t="s">
        <v>343</v>
      </c>
      <c r="E32" s="110"/>
      <c r="F32" s="153" t="str">
        <f xml:space="preserve"> IF(UNMM0051_SQL_KOBAIHIN_FLG=FALSE,"","
 OR V_SHOHIN_LIST.KOBAIHIN_FLG = " &amp;"'" &amp;"×" &amp;"'   "
)</f>
        <v xml:space="preserve">
 OR V_SHOHIN_LIST.KOBAIHIN_FLG = '×'   </v>
      </c>
    </row>
    <row r="33" spans="2:8" ht="18" customHeight="1">
      <c r="B33" s="77" t="s">
        <v>344</v>
      </c>
      <c r="E33" s="110"/>
      <c r="F33" s="153" t="str">
        <f xml:space="preserve"> IF(UNMM0051_SQL_SHOKEIHI_FLG=FALSE,"","
 OR V_SHOHIN_LIST.SHOKEIHI_FLG = " &amp;"'" &amp;"×" &amp;"'  "
)</f>
        <v xml:space="preserve">
 OR V_SHOHIN_LIST.SHOKEIHI_FLG = '×'  </v>
      </c>
    </row>
    <row r="34" spans="2:8" s="425" customFormat="1" ht="18" customHeight="1">
      <c r="B34" s="64" t="s">
        <v>2062</v>
      </c>
      <c r="C34" s="129"/>
      <c r="D34" s="129"/>
      <c r="E34" s="628" t="str">
        <f>"
AND (1!=1 "&amp;F35&amp;F36&amp;")   
"</f>
        <v xml:space="preserve">
AND (1!=1 
 OR V_SHOHIN_LIST.STATUS  = '仮登録'  
 OR V_SHOHIN_LIST.STATUS  = '採用'  )   
</v>
      </c>
      <c r="F34" s="628"/>
    </row>
    <row r="35" spans="2:8" ht="18" customHeight="1">
      <c r="B35" s="77" t="s">
        <v>345</v>
      </c>
      <c r="E35" s="110"/>
      <c r="F35" s="153" t="str">
        <f xml:space="preserve"> IF(UNMM0051_SQL_KARI_STS=FALSE,"","
 OR V_SHOHIN_LIST.STATUS  = " &amp;"'" &amp;"仮登録" &amp;"'  "
)</f>
        <v xml:space="preserve">
 OR V_SHOHIN_LIST.STATUS  = '仮登録'  </v>
      </c>
    </row>
    <row r="36" spans="2:8" ht="18" customHeight="1">
      <c r="B36" s="77" t="s">
        <v>346</v>
      </c>
      <c r="E36" s="156"/>
      <c r="F36" s="153" t="str">
        <f xml:space="preserve"> IF(UNMM0051_SQL_SAIYO_STS=FALSE,"","
 OR V_SHOHIN_LIST.STATUS  = " &amp;"'" &amp;"採用" &amp;"'  "
)</f>
        <v xml:space="preserve">
 OR V_SHOHIN_LIST.STATUS  = '採用'  </v>
      </c>
    </row>
    <row r="37" spans="2:8" s="82" customFormat="1" ht="18" customHeight="1">
      <c r="B37" s="77" t="s">
        <v>397</v>
      </c>
      <c r="C37" s="86"/>
      <c r="E37" s="629" t="str">
        <f>IF(UNMM0051_SQL_MISHIYO=TRUE,"","
 AND V_SHOHIN_LIST.MISHIYO_FLG IS NULL  ")</f>
        <v xml:space="preserve">
 AND V_SHOHIN_LIST.MISHIYO_FLG IS NULL  </v>
      </c>
      <c r="F37" s="629"/>
    </row>
    <row r="38" spans="2:8" ht="18" customHeight="1">
      <c r="E38" s="151"/>
      <c r="F38" s="154"/>
    </row>
    <row r="39" spans="2:8" ht="18" customHeight="1">
      <c r="B39" s="34" t="s">
        <v>138</v>
      </c>
      <c r="C39" s="146" t="s">
        <v>477</v>
      </c>
      <c r="E39" s="628" t="s">
        <v>478</v>
      </c>
      <c r="F39" s="628"/>
      <c r="G39" s="148"/>
    </row>
    <row r="40" spans="2:8" ht="18" customHeight="1">
      <c r="B40" s="34" t="s">
        <v>282</v>
      </c>
      <c r="C40" s="147"/>
      <c r="E40" s="628" t="str">
        <f xml:space="preserve"> "
  OFFSET "&amp;H40&amp;"*"&amp;UNMM0051_B_CTRL_HYOJI_GYO_SU&amp;" ROWS
 FETCH NEXT "&amp;UNMM0051_B_CTRL_HYOJI_GYO_SU&amp;" ROWS ONLY"</f>
        <v xml:space="preserve">
  OFFSET 0*2 ROWS
 FETCH NEXT 2 ROWS ONLY</v>
      </c>
      <c r="F40" s="628"/>
      <c r="H40" s="46">
        <f>UNMM0051_B_PAGE_NO-1</f>
        <v>0</v>
      </c>
    </row>
    <row r="41" spans="2:8" ht="18" customHeight="1">
      <c r="B41" s="34" t="s">
        <v>482</v>
      </c>
      <c r="C41" s="146" t="s">
        <v>481</v>
      </c>
      <c r="E41" s="628" t="s">
        <v>941</v>
      </c>
      <c r="F41" s="628"/>
    </row>
    <row r="42" spans="2:8" ht="18" customHeight="1"/>
    <row r="43" spans="2:8" s="130" customFormat="1" ht="18" customHeight="1">
      <c r="B43" s="64"/>
      <c r="C43" s="129"/>
      <c r="D43" s="129"/>
      <c r="E43" s="129"/>
      <c r="F43" s="94" t="s">
        <v>1640</v>
      </c>
    </row>
    <row r="44" spans="2:8" ht="18" customHeight="1">
      <c r="C44" s="110" t="s">
        <v>943</v>
      </c>
      <c r="D44" s="627" t="str">
        <f>F43&amp;E22&amp;E23&amp;E24&amp;E25&amp;E29&amp;E37&amp;E39</f>
        <v>SELECT M_SHOHIN.*
  FROM M_SHOHIN
  LEFT JOIN
       V_SHOHIN_LIST
    ON V_SHOHIN_LIST.SHOHIN_CD = M_SHOHIN.SHOHIN_CD
 WHERE 1=1
AND V_SHOHIN_LIST.SHOHIN_CD ='----------------------------------'
AND V_SHOHIN_LIST.SHIIRESAKI_CD ='----------------------------------'
AND V_SHOHIN_LIST.MAKER_CD ='----------------------------------'
   AND(
        1=1
        AND V_SHOHIN_LIST.FREEWD  LIKE '%----------------------------------%'  
        AND V_SHOHIN_LIST.FREEWD  LIKE '%----------------------------------%'  
        AND V_SHOHIN_LIST.FREEWD  LIKE '%----------------------------------%'  
)
AND (1!=1 
 OR V_SHOHIN_LIST.BUNSEKI_FLG = '×' 
 OR V_SHOHIN_LIST.HAMBAI_SHOHIN_FLG = '×' 
 OR V_SHOHIN_LIST.KOBAIHIN_FLG = '×'   
 OR V_SHOHIN_LIST.SHOKEIHI_FLG = '×'  )   
 AND V_SHOHIN_LIST.MISHIYO_FLG IS NULL  ORDER BY SHOHIN_CD ASC</v>
      </c>
      <c r="E44" s="627"/>
      <c r="F44" s="627"/>
    </row>
  </sheetData>
  <mergeCells count="15">
    <mergeCell ref="D18:F18"/>
    <mergeCell ref="D19:F19"/>
    <mergeCell ref="E29:F29"/>
    <mergeCell ref="E37:F37"/>
    <mergeCell ref="E39:F39"/>
    <mergeCell ref="E34:F34"/>
    <mergeCell ref="D44:F44"/>
    <mergeCell ref="E40:F40"/>
    <mergeCell ref="E41:F41"/>
    <mergeCell ref="E20:F20"/>
    <mergeCell ref="E21:F21"/>
    <mergeCell ref="E25:F25"/>
    <mergeCell ref="E22:F22"/>
    <mergeCell ref="E23:F23"/>
    <mergeCell ref="E24:F24"/>
  </mergeCells>
  <phoneticPr fontId="2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>
    <tabColor rgb="FFFFFF00"/>
  </sheetPr>
  <dimension ref="A1:X45"/>
  <sheetViews>
    <sheetView showGridLines="0" showRowColHeaders="0" topLeftCell="F1" zoomScaleNormal="100" workbookViewId="0">
      <selection activeCell="H4" sqref="H4"/>
    </sheetView>
  </sheetViews>
  <sheetFormatPr defaultRowHeight="16.5"/>
  <cols>
    <col min="1" max="1" width="14" style="14" hidden="1" customWidth="1"/>
    <col min="2" max="2" width="28.375" style="14" hidden="1" customWidth="1"/>
    <col min="3" max="3" width="9" style="14" hidden="1" customWidth="1"/>
    <col min="4" max="4" width="9.125" style="14" hidden="1" customWidth="1"/>
    <col min="5" max="5" width="9" style="14" hidden="1" customWidth="1"/>
    <col min="6" max="6" width="6.5" style="83" customWidth="1"/>
    <col min="7" max="7" width="11.5" style="83" customWidth="1"/>
    <col min="8" max="10" width="11.75" style="83" customWidth="1"/>
    <col min="11" max="11" width="12.25" style="83" customWidth="1"/>
    <col min="12" max="12" width="14.25" style="83" customWidth="1"/>
    <col min="13" max="13" width="5.75" style="83" customWidth="1"/>
    <col min="14" max="14" width="4.125" style="83" customWidth="1"/>
    <col min="15" max="15" width="9" style="83"/>
    <col min="16" max="17" width="4.375" style="83" customWidth="1"/>
    <col min="18" max="18" width="7.625" style="83" customWidth="1"/>
    <col min="19" max="16384" width="9" style="83"/>
  </cols>
  <sheetData>
    <row r="1" spans="1:24" s="5" customFormat="1" ht="19.5">
      <c r="A1" s="41"/>
      <c r="B1" s="41"/>
      <c r="C1" s="89"/>
      <c r="D1" s="41"/>
      <c r="E1" s="41"/>
      <c r="F1" s="5" t="str">
        <f>"商品マスタメンテ【" &amp;IF(UNMM0050_IF_MODE=0,"参照",IF(UNMM0050_IF_MODE=1,"新規","修正")) &amp;"モード】"</f>
        <v>商品マスタメンテ【参照モード】</v>
      </c>
    </row>
    <row r="2" spans="1:24" s="15" customFormat="1">
      <c r="A2" s="84"/>
      <c r="B2" s="81" t="s">
        <v>226</v>
      </c>
      <c r="C2" s="89" t="s">
        <v>450</v>
      </c>
      <c r="D2" s="14"/>
      <c r="E2" s="14"/>
    </row>
    <row r="3" spans="1:24" s="15" customFormat="1">
      <c r="A3" s="71" t="s">
        <v>187</v>
      </c>
      <c r="B3" s="43" t="s">
        <v>305</v>
      </c>
      <c r="C3" s="157" t="b">
        <v>0</v>
      </c>
      <c r="D3" s="14"/>
      <c r="E3" s="14"/>
      <c r="G3" s="17" t="s">
        <v>198</v>
      </c>
      <c r="H3" s="68" t="s">
        <v>302</v>
      </c>
      <c r="I3" s="69" t="s">
        <v>301</v>
      </c>
      <c r="J3" s="69" t="s">
        <v>300</v>
      </c>
      <c r="K3" s="70" t="s">
        <v>299</v>
      </c>
    </row>
    <row r="4" spans="1:24" s="15" customFormat="1">
      <c r="A4" s="71" t="s">
        <v>188</v>
      </c>
      <c r="B4" s="43" t="s">
        <v>327</v>
      </c>
      <c r="C4" s="158" t="b">
        <v>0</v>
      </c>
      <c r="D4" s="14"/>
      <c r="E4" s="14"/>
      <c r="G4" s="17" t="s">
        <v>224</v>
      </c>
      <c r="H4" s="450"/>
    </row>
    <row r="5" spans="1:24" s="15" customFormat="1">
      <c r="A5" s="71" t="s">
        <v>189</v>
      </c>
      <c r="B5" s="43" t="s">
        <v>328</v>
      </c>
      <c r="C5" s="158" t="b">
        <v>0</v>
      </c>
      <c r="D5" s="14"/>
      <c r="E5" s="14"/>
      <c r="G5" s="17" t="s">
        <v>27</v>
      </c>
      <c r="H5" s="451"/>
    </row>
    <row r="6" spans="1:24" s="15" customFormat="1">
      <c r="A6" s="71" t="s">
        <v>181</v>
      </c>
      <c r="B6" s="43" t="s">
        <v>329</v>
      </c>
      <c r="C6" s="158" t="b">
        <v>0</v>
      </c>
      <c r="D6" s="14"/>
      <c r="E6" s="14"/>
    </row>
    <row r="7" spans="1:24" s="15" customFormat="1">
      <c r="A7" s="14"/>
      <c r="B7" s="14"/>
      <c r="C7" s="159"/>
      <c r="D7" s="14"/>
      <c r="E7" s="14"/>
      <c r="G7" s="17" t="s">
        <v>199</v>
      </c>
      <c r="H7" s="433"/>
      <c r="I7" s="7" t="s">
        <v>1654</v>
      </c>
      <c r="J7" s="7" t="s">
        <v>303</v>
      </c>
      <c r="K7" s="7" t="s">
        <v>304</v>
      </c>
      <c r="N7" s="7"/>
    </row>
    <row r="8" spans="1:24" s="15" customFormat="1">
      <c r="A8" s="14"/>
      <c r="B8" s="80" t="s">
        <v>242</v>
      </c>
      <c r="C8" s="159"/>
      <c r="D8" s="14"/>
      <c r="E8" s="14"/>
      <c r="G8" s="17" t="s">
        <v>200</v>
      </c>
      <c r="H8" s="546"/>
      <c r="I8" s="547"/>
      <c r="J8" s="547"/>
      <c r="K8" s="548"/>
      <c r="N8" s="7"/>
    </row>
    <row r="9" spans="1:24" s="15" customFormat="1">
      <c r="A9" s="71" t="s">
        <v>306</v>
      </c>
      <c r="B9" s="43" t="s">
        <v>309</v>
      </c>
      <c r="C9" s="158" t="b">
        <v>0</v>
      </c>
      <c r="D9" s="14"/>
      <c r="E9" s="14"/>
      <c r="G9" s="7" t="s">
        <v>201</v>
      </c>
      <c r="H9" s="633"/>
      <c r="I9" s="634"/>
      <c r="J9" s="634"/>
      <c r="K9" s="635"/>
      <c r="N9" s="7"/>
    </row>
    <row r="10" spans="1:24" s="15" customFormat="1">
      <c r="A10" s="72" t="s">
        <v>307</v>
      </c>
      <c r="B10" s="43" t="s">
        <v>310</v>
      </c>
      <c r="C10" s="158" t="b">
        <v>0</v>
      </c>
      <c r="D10" s="14"/>
      <c r="E10" s="14"/>
      <c r="G10" s="7" t="s">
        <v>1652</v>
      </c>
      <c r="H10" s="546"/>
      <c r="I10" s="547"/>
      <c r="J10" s="547"/>
      <c r="K10" s="547"/>
      <c r="L10" s="547"/>
      <c r="M10" s="547"/>
      <c r="N10" s="547"/>
      <c r="O10" s="548"/>
    </row>
    <row r="11" spans="1:24" s="15" customFormat="1">
      <c r="A11" s="71" t="s">
        <v>308</v>
      </c>
      <c r="B11" s="74" t="s">
        <v>311</v>
      </c>
      <c r="C11" s="158" t="b">
        <v>0</v>
      </c>
      <c r="D11" s="14"/>
      <c r="E11" s="14"/>
      <c r="F11" s="83"/>
      <c r="G11" s="7" t="s">
        <v>2033</v>
      </c>
      <c r="H11" s="640"/>
      <c r="I11" s="640"/>
      <c r="J11" s="640"/>
      <c r="K11" s="640"/>
      <c r="L11" s="83"/>
      <c r="M11" s="83"/>
      <c r="N11" s="7"/>
      <c r="O11" s="83"/>
      <c r="P11" s="83"/>
      <c r="Q11" s="83"/>
      <c r="R11" s="83"/>
    </row>
    <row r="12" spans="1:24" s="15" customFormat="1">
      <c r="A12" s="71"/>
      <c r="B12" s="14"/>
      <c r="C12" s="160"/>
      <c r="D12" s="14"/>
      <c r="E12" s="14"/>
      <c r="F12" s="83"/>
      <c r="G12" s="7" t="s">
        <v>1653</v>
      </c>
      <c r="H12" s="640"/>
      <c r="I12" s="640"/>
      <c r="J12" s="640"/>
      <c r="K12" s="640"/>
      <c r="L12" s="83"/>
      <c r="M12" s="83"/>
      <c r="N12" s="7"/>
      <c r="O12" s="83"/>
      <c r="P12" s="83"/>
      <c r="Q12" s="83"/>
      <c r="R12" s="83"/>
    </row>
    <row r="13" spans="1:24" s="15" customFormat="1">
      <c r="A13" s="71" t="s">
        <v>37</v>
      </c>
      <c r="B13" s="73" t="s">
        <v>366</v>
      </c>
      <c r="C13" s="158" t="b">
        <v>0</v>
      </c>
      <c r="D13" s="14"/>
      <c r="E13" s="14"/>
      <c r="F13" s="83"/>
      <c r="G13" s="7" t="s">
        <v>1655</v>
      </c>
      <c r="H13" s="640"/>
      <c r="I13" s="640"/>
      <c r="J13" s="640"/>
      <c r="K13" s="640"/>
      <c r="L13" s="83"/>
      <c r="M13" s="83"/>
      <c r="N13" s="7"/>
      <c r="O13" s="83"/>
      <c r="P13" s="83"/>
      <c r="Q13" s="83"/>
      <c r="R13" s="83"/>
      <c r="S13" s="83"/>
      <c r="T13" s="83"/>
      <c r="U13" s="83"/>
      <c r="V13" s="83"/>
      <c r="W13" s="83"/>
      <c r="X13" s="83"/>
    </row>
    <row r="14" spans="1:24" s="15" customFormat="1">
      <c r="A14" s="14"/>
      <c r="B14" s="14"/>
      <c r="C14" s="484"/>
      <c r="D14" s="14"/>
      <c r="E14" s="14"/>
      <c r="F14" s="83"/>
      <c r="G14" s="7" t="s">
        <v>2034</v>
      </c>
      <c r="H14" s="546"/>
      <c r="I14" s="548"/>
      <c r="J14" s="7"/>
      <c r="K14" s="7"/>
      <c r="L14" s="83"/>
      <c r="M14" s="83"/>
      <c r="N14" s="7"/>
      <c r="O14" s="83"/>
      <c r="P14" s="83"/>
      <c r="Q14" s="83"/>
      <c r="R14" s="83"/>
      <c r="S14" s="83"/>
      <c r="T14" s="83"/>
      <c r="U14" s="83"/>
      <c r="V14" s="83"/>
      <c r="W14" s="83"/>
      <c r="X14" s="83"/>
    </row>
    <row r="15" spans="1:24" s="15" customFormat="1">
      <c r="A15" s="72" t="s">
        <v>334</v>
      </c>
      <c r="B15" s="14" t="s">
        <v>332</v>
      </c>
      <c r="C15" s="485"/>
      <c r="D15" s="14"/>
      <c r="E15" s="14"/>
      <c r="F15" s="83"/>
      <c r="G15" s="83"/>
      <c r="H15" s="83"/>
      <c r="I15" s="83"/>
      <c r="J15" s="83"/>
      <c r="K15" s="83"/>
      <c r="L15" s="83"/>
      <c r="M15" s="83"/>
      <c r="N15" s="7"/>
      <c r="O15" s="83"/>
      <c r="P15" s="83"/>
      <c r="Q15" s="83"/>
      <c r="R15" s="83"/>
    </row>
    <row r="16" spans="1:24" s="15" customFormat="1">
      <c r="A16" s="72" t="s">
        <v>335</v>
      </c>
      <c r="B16" s="14" t="s">
        <v>333</v>
      </c>
      <c r="C16" s="485"/>
      <c r="D16" s="14"/>
      <c r="E16" s="14"/>
      <c r="G16" s="7" t="s">
        <v>194</v>
      </c>
      <c r="H16" s="451"/>
      <c r="I16" s="653" t="str">
        <f>IF(OR(UNMM0050_SHIIRE_CD="",UNMM0050_SHIIRE_MEI=""),"",UNMM0050_SHIIRE_MEI)</f>
        <v/>
      </c>
      <c r="J16" s="654"/>
      <c r="K16" s="654"/>
      <c r="L16" s="655"/>
      <c r="N16" s="7"/>
    </row>
    <row r="17" spans="1:24" s="15" customFormat="1">
      <c r="A17" s="72" t="s">
        <v>336</v>
      </c>
      <c r="B17" s="14" t="s">
        <v>337</v>
      </c>
      <c r="C17" s="485"/>
      <c r="D17" s="14"/>
      <c r="E17" s="14"/>
      <c r="G17" s="7" t="s">
        <v>195</v>
      </c>
      <c r="H17" s="451"/>
      <c r="I17" s="653" t="str">
        <f>IF(OR(UNMM0050_MAKER_CD="",UNMM0050_MAKER_MEI=""),"",UNMM0050_MAKER_MEI)</f>
        <v/>
      </c>
      <c r="J17" s="654"/>
      <c r="K17" s="654"/>
      <c r="L17" s="655"/>
      <c r="N17" s="7"/>
    </row>
    <row r="18" spans="1:24" s="15" customFormat="1">
      <c r="A18" s="14"/>
      <c r="B18" s="14"/>
      <c r="C18" s="159"/>
      <c r="D18" s="14"/>
      <c r="E18" s="14"/>
      <c r="G18" s="7" t="s">
        <v>202</v>
      </c>
      <c r="H18" s="451"/>
      <c r="I18" s="653" t="str">
        <f>IF(OR(UNMM0050_GAICHU_CD="",UNMM0050_GAICHU_MEI=""),"",UNMM0050_GAICHU_MEI)</f>
        <v/>
      </c>
      <c r="J18" s="654"/>
      <c r="K18" s="654"/>
      <c r="L18" s="655"/>
      <c r="N18" s="7"/>
    </row>
    <row r="19" spans="1:24">
      <c r="A19" s="93" t="s">
        <v>2075</v>
      </c>
      <c r="B19" s="164" t="s">
        <v>2074</v>
      </c>
      <c r="C19" s="486"/>
      <c r="D19" s="84"/>
      <c r="E19" s="84"/>
      <c r="F19" s="15"/>
      <c r="G19" s="15"/>
      <c r="H19" s="15"/>
      <c r="I19" s="15"/>
      <c r="J19" s="15"/>
      <c r="K19" s="15"/>
      <c r="L19" s="15"/>
      <c r="M19" s="15"/>
      <c r="N19" s="7"/>
      <c r="O19" s="15"/>
      <c r="P19" s="15"/>
      <c r="Q19" s="15"/>
      <c r="R19" s="15"/>
      <c r="S19" s="15"/>
      <c r="T19" s="15"/>
      <c r="U19" s="15"/>
      <c r="V19" s="15"/>
      <c r="W19" s="15"/>
      <c r="X19" s="15"/>
    </row>
    <row r="20" spans="1:24">
      <c r="A20" s="93" t="s">
        <v>109</v>
      </c>
      <c r="B20" s="33" t="s">
        <v>483</v>
      </c>
      <c r="C20" s="487"/>
      <c r="D20" s="84"/>
      <c r="E20" s="84"/>
      <c r="F20" s="15"/>
      <c r="G20" s="52" t="s">
        <v>203</v>
      </c>
      <c r="H20" s="53"/>
      <c r="I20" s="53"/>
      <c r="J20" s="53"/>
      <c r="K20" s="53"/>
      <c r="L20" s="53"/>
      <c r="M20" s="53"/>
      <c r="N20" s="53"/>
      <c r="O20" s="54"/>
      <c r="P20" s="15"/>
      <c r="Q20" s="15"/>
      <c r="R20" s="15"/>
      <c r="S20" s="15"/>
      <c r="T20" s="15"/>
      <c r="U20" s="15"/>
      <c r="V20" s="15"/>
      <c r="W20" s="15"/>
      <c r="X20" s="15"/>
    </row>
    <row r="21" spans="1:24">
      <c r="A21" s="93" t="s">
        <v>110</v>
      </c>
      <c r="B21" s="33" t="s">
        <v>484</v>
      </c>
      <c r="C21" s="488"/>
      <c r="D21" s="84"/>
      <c r="E21" s="84"/>
      <c r="F21" s="15"/>
      <c r="G21" s="12"/>
      <c r="H21" s="7" t="s">
        <v>204</v>
      </c>
      <c r="I21" s="395"/>
      <c r="J21" s="7" t="s">
        <v>205</v>
      </c>
      <c r="K21" s="315"/>
      <c r="L21" s="7" t="s">
        <v>206</v>
      </c>
      <c r="M21" s="636"/>
      <c r="N21" s="637"/>
      <c r="O21" s="55"/>
      <c r="P21" s="15"/>
      <c r="Q21" s="15"/>
      <c r="R21" s="15"/>
    </row>
    <row r="22" spans="1:24" s="15" customFormat="1">
      <c r="A22" s="84"/>
      <c r="B22" s="84"/>
      <c r="C22" s="19"/>
      <c r="D22" s="84"/>
      <c r="E22" s="14"/>
      <c r="G22" s="12"/>
      <c r="H22" s="7" t="s">
        <v>207</v>
      </c>
      <c r="I22" s="193"/>
      <c r="J22" s="7" t="s">
        <v>208</v>
      </c>
      <c r="K22" s="315"/>
      <c r="L22" s="7" t="s">
        <v>209</v>
      </c>
      <c r="M22" s="580"/>
      <c r="N22" s="582"/>
      <c r="O22" s="55"/>
      <c r="S22" s="83"/>
      <c r="T22" s="83"/>
      <c r="U22" s="83"/>
      <c r="V22" s="83"/>
      <c r="W22" s="83"/>
      <c r="X22" s="83"/>
    </row>
    <row r="23" spans="1:24" s="15" customFormat="1">
      <c r="A23" s="93" t="s">
        <v>494</v>
      </c>
      <c r="B23" s="164" t="s">
        <v>504</v>
      </c>
      <c r="C23" s="162"/>
      <c r="D23" s="84"/>
      <c r="E23" s="14"/>
      <c r="G23" s="12"/>
      <c r="H23" s="7" t="s">
        <v>210</v>
      </c>
      <c r="I23" s="193"/>
      <c r="J23" s="7" t="s">
        <v>211</v>
      </c>
      <c r="K23" s="315"/>
      <c r="L23" s="7" t="s">
        <v>225</v>
      </c>
      <c r="M23" s="397"/>
      <c r="N23" s="15" t="s">
        <v>212</v>
      </c>
      <c r="O23" s="55"/>
      <c r="S23" s="83"/>
      <c r="T23" s="83"/>
      <c r="U23" s="83"/>
      <c r="V23" s="83"/>
      <c r="W23" s="83"/>
      <c r="X23" s="83"/>
    </row>
    <row r="24" spans="1:24" s="15" customFormat="1">
      <c r="A24" s="93" t="s">
        <v>495</v>
      </c>
      <c r="B24" s="164" t="s">
        <v>505</v>
      </c>
      <c r="C24" s="165" t="str">
        <f>ADDRESS(ROW(A1),COLUMN(A1))&amp;":"&amp;ADDRESS(ROW(E1),COLUMN(E1))</f>
        <v>$A$1:$E$1</v>
      </c>
      <c r="D24" s="84"/>
      <c r="E24" s="14"/>
      <c r="F24" s="83"/>
      <c r="G24" s="12"/>
      <c r="H24" s="7"/>
      <c r="I24" s="83"/>
      <c r="J24" s="7" t="s">
        <v>491</v>
      </c>
      <c r="K24" s="315"/>
      <c r="L24" s="7" t="s">
        <v>2092</v>
      </c>
      <c r="M24" s="396"/>
      <c r="N24" s="83"/>
      <c r="O24" s="55"/>
      <c r="P24" s="83"/>
      <c r="Q24" s="83"/>
      <c r="R24" s="83"/>
    </row>
    <row r="25" spans="1:24" s="15" customFormat="1">
      <c r="A25" s="84"/>
      <c r="B25" s="84"/>
      <c r="C25" s="84"/>
      <c r="D25" s="84"/>
      <c r="E25" s="14"/>
      <c r="F25" s="83"/>
      <c r="G25" s="12"/>
      <c r="H25" s="7"/>
      <c r="I25" s="83"/>
      <c r="J25" s="7" t="s">
        <v>492</v>
      </c>
      <c r="K25" s="315"/>
      <c r="L25" s="7"/>
      <c r="M25" s="83"/>
      <c r="N25" s="83"/>
      <c r="O25" s="55"/>
      <c r="P25" s="83"/>
      <c r="Q25" s="83"/>
      <c r="R25" s="83"/>
    </row>
    <row r="26" spans="1:24" s="15" customFormat="1">
      <c r="A26" s="426" t="s">
        <v>2027</v>
      </c>
      <c r="B26" s="77" t="s">
        <v>2028</v>
      </c>
      <c r="C26" s="88" t="str">
        <f>IF(OR(UNMM0050_BUNSEKIKOMOKU_FLG,UNMM0050_SHOHIN_FLG,UNMM0050_KOBAIHIN_FLG,UNMM0050_SHOKEIHI_FLG)=TRUE,1,"")</f>
        <v/>
      </c>
      <c r="D26" s="14"/>
      <c r="E26" s="14"/>
      <c r="F26" s="83"/>
      <c r="G26" s="12"/>
      <c r="H26" s="7"/>
      <c r="I26" s="83"/>
      <c r="J26" s="7" t="s">
        <v>493</v>
      </c>
      <c r="K26" s="315"/>
      <c r="L26" s="7"/>
      <c r="M26" s="13"/>
      <c r="N26" s="83"/>
      <c r="O26" s="55"/>
      <c r="P26" s="83"/>
      <c r="Q26" s="83"/>
      <c r="R26" s="83"/>
    </row>
    <row r="27" spans="1:24" s="15" customFormat="1">
      <c r="A27" s="426"/>
      <c r="B27" s="77"/>
      <c r="C27" s="14"/>
      <c r="D27" s="14"/>
      <c r="E27" s="14"/>
      <c r="G27" s="12"/>
      <c r="H27" s="7" t="s">
        <v>216</v>
      </c>
      <c r="I27" s="452"/>
      <c r="J27" s="7" t="s">
        <v>217</v>
      </c>
      <c r="K27" s="315"/>
      <c r="L27" s="7" t="s">
        <v>218</v>
      </c>
      <c r="M27" s="638"/>
      <c r="N27" s="639"/>
      <c r="O27" s="55"/>
    </row>
    <row r="28" spans="1:24" s="15" customFormat="1">
      <c r="A28" s="71"/>
      <c r="B28" s="33"/>
      <c r="C28" s="14"/>
      <c r="D28" s="14"/>
      <c r="E28" s="14"/>
      <c r="G28" s="56"/>
      <c r="H28" s="13"/>
      <c r="I28" s="13"/>
      <c r="J28" s="13"/>
      <c r="K28" s="13"/>
      <c r="L28" s="13"/>
      <c r="M28" s="13"/>
      <c r="N28" s="13"/>
      <c r="O28" s="11"/>
    </row>
    <row r="29" spans="1:24" s="15" customFormat="1">
      <c r="A29" s="14"/>
      <c r="B29" s="14"/>
      <c r="C29" s="14"/>
      <c r="D29" s="14"/>
      <c r="E29" s="14"/>
    </row>
    <row r="30" spans="1:24" s="15" customFormat="1">
      <c r="A30" s="14"/>
      <c r="B30" s="14"/>
      <c r="C30" s="14"/>
      <c r="D30" s="14"/>
      <c r="E30" s="14"/>
      <c r="G30" s="52" t="s">
        <v>219</v>
      </c>
      <c r="H30" s="53"/>
      <c r="I30" s="53"/>
      <c r="J30" s="53"/>
      <c r="K30" s="53"/>
      <c r="L30" s="53"/>
      <c r="M30" s="53"/>
      <c r="N30" s="53"/>
      <c r="O30" s="54"/>
    </row>
    <row r="31" spans="1:24" s="15" customFormat="1">
      <c r="A31" s="14"/>
      <c r="B31" s="14"/>
      <c r="C31" s="14"/>
      <c r="D31" s="14"/>
      <c r="E31" s="14"/>
      <c r="G31" s="12"/>
      <c r="H31" s="7" t="s">
        <v>220</v>
      </c>
      <c r="I31" s="389"/>
      <c r="J31" s="136"/>
      <c r="K31" s="136"/>
      <c r="L31" s="136"/>
      <c r="M31" s="136"/>
      <c r="N31" s="136"/>
      <c r="O31" s="55"/>
    </row>
    <row r="32" spans="1:24" s="15" customFormat="1">
      <c r="A32" s="14"/>
      <c r="B32" s="14"/>
      <c r="C32" s="14"/>
      <c r="D32" s="14"/>
      <c r="E32" s="14"/>
      <c r="G32" s="12"/>
      <c r="H32" s="7" t="s">
        <v>221</v>
      </c>
      <c r="I32" s="389"/>
      <c r="J32" s="136"/>
      <c r="K32" s="136"/>
      <c r="L32" s="136"/>
      <c r="M32" s="136"/>
      <c r="N32" s="136"/>
      <c r="O32" s="55"/>
    </row>
    <row r="33" spans="1:24" s="15" customFormat="1">
      <c r="A33" s="14"/>
      <c r="B33" s="14"/>
      <c r="C33" s="14"/>
      <c r="D33" s="14"/>
      <c r="E33" s="14"/>
      <c r="G33" s="656" t="s">
        <v>222</v>
      </c>
      <c r="H33" s="657"/>
      <c r="I33" s="612"/>
      <c r="J33" s="613"/>
      <c r="K33" s="613"/>
      <c r="L33" s="613"/>
      <c r="M33" s="614"/>
      <c r="N33" s="136"/>
      <c r="O33" s="55"/>
    </row>
    <row r="34" spans="1:24" s="15" customFormat="1">
      <c r="A34" s="14"/>
      <c r="B34" s="14"/>
      <c r="C34" s="14"/>
      <c r="D34" s="14"/>
      <c r="E34" s="14"/>
      <c r="F34" s="83"/>
      <c r="G34" s="297"/>
      <c r="H34" s="298"/>
      <c r="I34" s="13"/>
      <c r="J34" s="13"/>
      <c r="K34" s="13"/>
      <c r="L34" s="13"/>
      <c r="M34" s="13"/>
      <c r="N34" s="299"/>
      <c r="O34" s="11"/>
    </row>
    <row r="35" spans="1:24" s="15" customFormat="1">
      <c r="A35" s="14"/>
      <c r="B35" s="14"/>
      <c r="C35" s="14"/>
      <c r="D35" s="14"/>
      <c r="E35" s="14"/>
      <c r="G35" s="83"/>
      <c r="H35" s="83"/>
      <c r="I35" s="136"/>
      <c r="J35" s="136"/>
      <c r="K35" s="136"/>
      <c r="L35" s="136"/>
      <c r="M35" s="136"/>
      <c r="N35" s="136"/>
      <c r="O35" s="83"/>
    </row>
    <row r="36" spans="1:24" s="15" customFormat="1">
      <c r="A36" s="14"/>
      <c r="B36" s="14"/>
      <c r="C36" s="14"/>
      <c r="D36" s="14"/>
      <c r="E36" s="14"/>
      <c r="G36" s="7" t="s">
        <v>223</v>
      </c>
      <c r="H36" s="641"/>
      <c r="I36" s="642"/>
      <c r="J36" s="642"/>
      <c r="K36" s="642"/>
      <c r="L36" s="642"/>
      <c r="M36" s="643"/>
      <c r="O36" s="83"/>
    </row>
    <row r="37" spans="1:24" s="15" customFormat="1">
      <c r="A37" s="14"/>
      <c r="B37" s="14"/>
      <c r="C37" s="14"/>
      <c r="D37" s="14"/>
      <c r="E37" s="14"/>
      <c r="G37" s="83"/>
      <c r="H37" s="644"/>
      <c r="I37" s="645"/>
      <c r="J37" s="645"/>
      <c r="K37" s="645"/>
      <c r="L37" s="645"/>
      <c r="M37" s="646"/>
      <c r="O37" s="83"/>
    </row>
    <row r="38" spans="1:24" s="15" customFormat="1">
      <c r="A38" s="14"/>
      <c r="B38" s="14"/>
      <c r="C38" s="14"/>
      <c r="D38" s="14"/>
      <c r="E38" s="14"/>
      <c r="G38" s="83"/>
      <c r="H38" s="644"/>
      <c r="I38" s="645"/>
      <c r="J38" s="645"/>
      <c r="K38" s="645"/>
      <c r="L38" s="645"/>
      <c r="M38" s="646"/>
      <c r="O38" s="83"/>
    </row>
    <row r="39" spans="1:24" s="15" customFormat="1">
      <c r="A39" s="14"/>
      <c r="B39" s="14"/>
      <c r="C39" s="14"/>
      <c r="D39" s="14"/>
      <c r="E39" s="14"/>
      <c r="G39" s="83"/>
      <c r="H39" s="647"/>
      <c r="I39" s="648"/>
      <c r="J39" s="648"/>
      <c r="K39" s="648"/>
      <c r="L39" s="648"/>
      <c r="M39" s="649"/>
      <c r="O39" s="83"/>
    </row>
    <row r="40" spans="1:24">
      <c r="F40" s="15"/>
      <c r="P40" s="15"/>
      <c r="Q40" s="15"/>
      <c r="R40" s="15"/>
      <c r="S40" s="15"/>
      <c r="T40" s="15"/>
      <c r="U40" s="15"/>
      <c r="V40" s="15"/>
      <c r="W40" s="15"/>
      <c r="X40" s="15"/>
    </row>
    <row r="41" spans="1:24">
      <c r="F41" s="15"/>
      <c r="G41" s="7" t="s">
        <v>6</v>
      </c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spans="1:24"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</row>
    <row r="43" spans="1:24">
      <c r="F43" s="15"/>
      <c r="G43" s="7" t="s">
        <v>7</v>
      </c>
      <c r="H43" s="650" t="str">
        <f>IF(UNMM0050_INSERT_DATETIME="","",MID(UNMM0050_INSERT_DATETIME,3,4)&amp;"/"&amp;MID(UNMM0050_INSERT_DATETIME,8,2)&amp;"/"&amp;MID(UNMM0050_INSERT_DATETIME,11,2)&amp;" "&amp;MID(UNMM0050_INSERT_DATETIME,14,8))</f>
        <v/>
      </c>
      <c r="I43" s="651"/>
      <c r="J43" s="7" t="s">
        <v>8</v>
      </c>
      <c r="K43" s="650" t="str">
        <f>IF(UNMM0050_UPDATE_DATETIME="","",MID(UNMM0050_UPDATE_DATETIME,3,4)&amp;"/"&amp;MID(UNMM0050_UPDATE_DATETIME,8,2)&amp;"/"&amp;MID(UNMM0050_UPDATE_DATETIME,11,2)&amp;" "&amp;MID(UNMM0050_UPDATE_DATETIME,14,8))</f>
        <v/>
      </c>
      <c r="L43" s="652"/>
      <c r="M43" s="651"/>
      <c r="N43" s="15"/>
      <c r="O43" s="15"/>
      <c r="P43" s="15"/>
      <c r="Q43" s="15"/>
      <c r="R43" s="15"/>
    </row>
    <row r="44" spans="1:24">
      <c r="F44" s="15"/>
      <c r="G44" s="15"/>
      <c r="H44" s="15"/>
      <c r="I44" s="15"/>
      <c r="J44" s="15"/>
      <c r="K44" s="78"/>
      <c r="L44" s="15"/>
      <c r="M44" s="15"/>
      <c r="N44" s="15"/>
      <c r="O44" s="15"/>
      <c r="P44" s="15"/>
      <c r="Q44" s="15"/>
      <c r="R44" s="15"/>
    </row>
    <row r="45" spans="1:24">
      <c r="F45" s="15"/>
      <c r="G45" s="15"/>
      <c r="H45" s="15"/>
      <c r="I45" s="15"/>
      <c r="J45" s="15"/>
      <c r="K45" s="15"/>
      <c r="L45" s="15"/>
      <c r="M45" s="15"/>
      <c r="N45" s="15"/>
      <c r="O45" s="15"/>
    </row>
  </sheetData>
  <sheetProtection sheet="1" objects="1" scenarios="1" selectLockedCells="1"/>
  <mergeCells count="18">
    <mergeCell ref="H36:M39"/>
    <mergeCell ref="H43:I43"/>
    <mergeCell ref="K43:M43"/>
    <mergeCell ref="I16:L16"/>
    <mergeCell ref="I17:L17"/>
    <mergeCell ref="I18:L18"/>
    <mergeCell ref="G33:H33"/>
    <mergeCell ref="I33:M33"/>
    <mergeCell ref="H8:K8"/>
    <mergeCell ref="H9:K9"/>
    <mergeCell ref="M21:N21"/>
    <mergeCell ref="M22:N22"/>
    <mergeCell ref="M27:N27"/>
    <mergeCell ref="H12:K12"/>
    <mergeCell ref="H13:K13"/>
    <mergeCell ref="H10:O10"/>
    <mergeCell ref="H11:K11"/>
    <mergeCell ref="H14:I14"/>
  </mergeCells>
  <phoneticPr fontId="2"/>
  <conditionalFormatting sqref="K21">
    <cfRule type="expression" dxfId="63" priority="9">
      <formula>INDIRECT(ADDRESS(ROW(),COLUMN()))=TRUNC(INDIRECT(ADDRESS(ROW(),COLUMN())))</formula>
    </cfRule>
  </conditionalFormatting>
  <conditionalFormatting sqref="K22">
    <cfRule type="expression" dxfId="62" priority="8">
      <formula>INDIRECT(ADDRESS(ROW(),COLUMN()))=TRUNC(INDIRECT(ADDRESS(ROW(),COLUMN())))</formula>
    </cfRule>
  </conditionalFormatting>
  <conditionalFormatting sqref="K23">
    <cfRule type="expression" dxfId="61" priority="7">
      <formula>INDIRECT(ADDRESS(ROW(),COLUMN()))=TRUNC(INDIRECT(ADDRESS(ROW(),COLUMN())))</formula>
    </cfRule>
  </conditionalFormatting>
  <conditionalFormatting sqref="K24">
    <cfRule type="expression" dxfId="60" priority="6">
      <formula>INDIRECT(ADDRESS(ROW(),COLUMN()))=TRUNC(INDIRECT(ADDRESS(ROW(),COLUMN())))</formula>
    </cfRule>
  </conditionalFormatting>
  <conditionalFormatting sqref="K25">
    <cfRule type="expression" dxfId="59" priority="5">
      <formula>INDIRECT(ADDRESS(ROW(),COLUMN()))=TRUNC(INDIRECT(ADDRESS(ROW(),COLUMN())))</formula>
    </cfRule>
  </conditionalFormatting>
  <conditionalFormatting sqref="K26">
    <cfRule type="expression" dxfId="58" priority="4">
      <formula>INDIRECT(ADDRESS(ROW(),COLUMN()))=TRUNC(INDIRECT(ADDRESS(ROW(),COLUMN())))</formula>
    </cfRule>
  </conditionalFormatting>
  <conditionalFormatting sqref="K27">
    <cfRule type="expression" dxfId="57" priority="3">
      <formula>INDIRECT(ADDRESS(ROW(),COLUMN()))=TRUNC(INDIRECT(ADDRESS(ROW(),COLUMN())))</formula>
    </cfRule>
  </conditionalFormatting>
  <conditionalFormatting sqref="M27">
    <cfRule type="expression" dxfId="56" priority="2">
      <formula>INDIRECT(ADDRESS(ROW(),COLUMN()))=TRUNC(INDIRECT(ADDRESS(ROW(),COLUMN())))</formula>
    </cfRule>
  </conditionalFormatting>
  <conditionalFormatting sqref="F1:XFD1">
    <cfRule type="expression" dxfId="55" priority="1">
      <formula>UNMM0050_IF_MODE=2</formula>
    </cfRule>
  </conditionalFormatting>
  <dataValidations count="15">
    <dataValidation type="list" allowBlank="1" showInputMessage="1" showErrorMessage="1" sqref="H4">
      <formula1>LIST_SHOHIN_STS_HOHO</formula1>
    </dataValidation>
    <dataValidation type="custom" operator="equal" allowBlank="1" showInputMessage="1" showErrorMessage="1" sqref="H7">
      <formula1>AND(LENB(H7)=LEN(H7),LEN(H7)&lt;=10)</formula1>
    </dataValidation>
    <dataValidation type="custom" allowBlank="1" showInputMessage="1" showErrorMessage="1" sqref="I22:I26 M22:N22 I31:I32">
      <formula1>LENB(I22) &lt;=10</formula1>
    </dataValidation>
    <dataValidation type="whole" allowBlank="1" showInputMessage="1" showErrorMessage="1" sqref="M25:M26">
      <formula1>0</formula1>
      <formula2>99</formula2>
    </dataValidation>
    <dataValidation type="custom" allowBlank="1" showInputMessage="1" showErrorMessage="1" sqref="I33:M33">
      <formula1>LEN(I33) &lt;=100</formula1>
    </dataValidation>
    <dataValidation type="custom" allowBlank="1" showInputMessage="1" showErrorMessage="1" sqref="H36:M39">
      <formula1>LENB(H36) &lt;=256</formula1>
    </dataValidation>
    <dataValidation type="whole" allowBlank="1" showInputMessage="1" showErrorMessage="1" error="0~9,999の範囲で入力してください。" sqref="I21 M21:N21">
      <formula1>0</formula1>
      <formula2>9999</formula2>
    </dataValidation>
    <dataValidation type="whole" allowBlank="1" showInputMessage="1" showErrorMessage="1" error="0~99の範囲で入力してください。" sqref="M23">
      <formula1>0</formula1>
      <formula2>99</formula2>
    </dataValidation>
    <dataValidation type="whole" allowBlank="1" showInputMessage="1" showErrorMessage="1" error="0~99の範囲で入力してください。_x000a_" sqref="M24">
      <formula1>0</formula1>
      <formula2>99</formula2>
    </dataValidation>
    <dataValidation type="custom" allowBlank="1" showInputMessage="1" showErrorMessage="1" sqref="H10:O10">
      <formula1>LENB(H10)&lt;=100</formula1>
    </dataValidation>
    <dataValidation type="custom" allowBlank="1" showInputMessage="1" showErrorMessage="1" error="-9,999,999~9,999,999の範囲で入力してください。" sqref="K21:K27">
      <formula1>AND(NOT(ISERROR(INT(K21))),ROUND(K21,2)=K21,AND(K21&lt;10000000,K21&gt;-10000000))</formula1>
    </dataValidation>
    <dataValidation type="custom" allowBlank="1" showInputMessage="1" showErrorMessage="1" error="0~9999の範囲で入力してください。" sqref="M27:N27">
      <formula1>AND(NOT(ISERROR(INT(M27))),ROUND(M27,2)=M27,AND(M27&lt;10000,M27&gt;=0))</formula1>
    </dataValidation>
    <dataValidation type="custom" allowBlank="1" showInputMessage="1" showErrorMessage="1" sqref="H8:K9">
      <formula1>LEN(H8)&lt;=50</formula1>
    </dataValidation>
    <dataValidation type="custom" allowBlank="1" showInputMessage="1" showErrorMessage="1" sqref="H11:K13">
      <formula1>LENB(H11)&lt;=50</formula1>
    </dataValidation>
    <dataValidation type="custom" allowBlank="1" showInputMessage="1" showErrorMessage="1" sqref="H14:I14">
      <formula1>LENB(H14)&lt;=20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6593" r:id="rId4" name="Check Box 1">
              <controlPr defaultSize="0" autoFill="0" autoLine="0" autoPict="0">
                <anchor moveWithCells="1">
                  <from>
                    <xdr:col>7</xdr:col>
                    <xdr:colOff>9525</xdr:colOff>
                    <xdr:row>2</xdr:row>
                    <xdr:rowOff>0</xdr:rowOff>
                  </from>
                  <to>
                    <xdr:col>7</xdr:col>
                    <xdr:colOff>866775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594" r:id="rId5" name="Check Box 2">
              <controlPr defaultSize="0" autoFill="0" autoLine="0" autoPict="0">
                <anchor moveWithCells="1">
                  <from>
                    <xdr:col>8</xdr:col>
                    <xdr:colOff>9525</xdr:colOff>
                    <xdr:row>2</xdr:row>
                    <xdr:rowOff>19050</xdr:rowOff>
                  </from>
                  <to>
                    <xdr:col>8</xdr:col>
                    <xdr:colOff>790575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595" r:id="rId6" name="Check Box 3">
              <controlPr defaultSize="0" autoFill="0" autoLine="0" autoPict="0">
                <anchor moveWithCells="1">
                  <from>
                    <xdr:col>9</xdr:col>
                    <xdr:colOff>9525</xdr:colOff>
                    <xdr:row>2</xdr:row>
                    <xdr:rowOff>19050</xdr:rowOff>
                  </from>
                  <to>
                    <xdr:col>9</xdr:col>
                    <xdr:colOff>685800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596" r:id="rId7" name="Check Box 4">
              <controlPr defaultSize="0" autoFill="0" autoLine="0" autoPict="0">
                <anchor moveWithCells="1">
                  <from>
                    <xdr:col>10</xdr:col>
                    <xdr:colOff>19050</xdr:colOff>
                    <xdr:row>2</xdr:row>
                    <xdr:rowOff>19050</xdr:rowOff>
                  </from>
                  <to>
                    <xdr:col>10</xdr:col>
                    <xdr:colOff>638175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597" r:id="rId8" name="Check Box 5">
              <controlPr defaultSize="0" autoFill="0" autoLine="0" autoPict="0">
                <anchor moveWithCells="1">
                  <from>
                    <xdr:col>8</xdr:col>
                    <xdr:colOff>171450</xdr:colOff>
                    <xdr:row>5</xdr:row>
                    <xdr:rowOff>180975</xdr:rowOff>
                  </from>
                  <to>
                    <xdr:col>8</xdr:col>
                    <xdr:colOff>885825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598" r:id="rId9" name="Check Box 6">
              <controlPr defaultSize="0" autoFill="0" autoLine="0" autoPict="0">
                <anchor moveWithCells="1">
                  <from>
                    <xdr:col>9</xdr:col>
                    <xdr:colOff>285750</xdr:colOff>
                    <xdr:row>5</xdr:row>
                    <xdr:rowOff>180975</xdr:rowOff>
                  </from>
                  <to>
                    <xdr:col>10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599" r:id="rId10" name="Check Box 7">
              <controlPr defaultSize="0" autoFill="0" autoLine="0" autoPict="0">
                <anchor moveWithCells="1">
                  <from>
                    <xdr:col>10</xdr:col>
                    <xdr:colOff>447675</xdr:colOff>
                    <xdr:row>5</xdr:row>
                    <xdr:rowOff>180975</xdr:rowOff>
                  </from>
                  <to>
                    <xdr:col>10</xdr:col>
                    <xdr:colOff>923925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600" r:id="rId11" name="Check Box 8">
              <controlPr defaultSize="0" autoFill="0" autoLine="0" autoPict="0">
                <anchor moveWithCells="1">
                  <from>
                    <xdr:col>6</xdr:col>
                    <xdr:colOff>866775</xdr:colOff>
                    <xdr:row>39</xdr:row>
                    <xdr:rowOff>190500</xdr:rowOff>
                  </from>
                  <to>
                    <xdr:col>7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X171"/>
  <sheetViews>
    <sheetView topLeftCell="A4" zoomScaleNormal="100" workbookViewId="0">
      <selection activeCell="F34" sqref="F34:J34"/>
    </sheetView>
  </sheetViews>
  <sheetFormatPr defaultRowHeight="13.5"/>
  <cols>
    <col min="1" max="1" width="2.125" customWidth="1"/>
    <col min="2" max="2" width="11.375" style="24" customWidth="1"/>
    <col min="3" max="3" width="21.875" style="24" customWidth="1"/>
    <col min="4" max="4" width="21.5" customWidth="1"/>
    <col min="5" max="5" width="19" customWidth="1"/>
    <col min="6" max="6" width="21.375" customWidth="1"/>
    <col min="8" max="8" width="16.625" customWidth="1"/>
    <col min="9" max="12" width="9.375" customWidth="1"/>
    <col min="14" max="14" width="8.5" customWidth="1"/>
    <col min="26" max="26" width="8.125" customWidth="1"/>
    <col min="39" max="39" width="8.875" customWidth="1"/>
    <col min="40" max="40" width="7.75" customWidth="1"/>
    <col min="51" max="16384" width="9" style="104"/>
  </cols>
  <sheetData>
    <row r="1" spans="1:50">
      <c r="A1" s="22" t="s">
        <v>356</v>
      </c>
      <c r="N1" s="22" t="s">
        <v>358</v>
      </c>
      <c r="Z1" s="22" t="s">
        <v>357</v>
      </c>
      <c r="AM1" s="22" t="s">
        <v>368</v>
      </c>
      <c r="AN1" s="57"/>
      <c r="AO1" s="57"/>
    </row>
    <row r="2" spans="1:50">
      <c r="A2" s="22"/>
      <c r="B2" s="24" t="s">
        <v>114</v>
      </c>
      <c r="C2" s="24" t="s">
        <v>353</v>
      </c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 t="s">
        <v>115</v>
      </c>
      <c r="P2" s="24" t="s">
        <v>354</v>
      </c>
      <c r="Q2" s="57"/>
      <c r="R2" s="57"/>
      <c r="S2" s="57"/>
      <c r="T2" s="57"/>
      <c r="U2" s="57"/>
      <c r="V2" s="57"/>
      <c r="W2" s="57"/>
      <c r="X2" s="57"/>
      <c r="Y2" s="57"/>
      <c r="Z2" s="57"/>
      <c r="AA2" s="57" t="s">
        <v>116</v>
      </c>
      <c r="AB2" s="24" t="s">
        <v>355</v>
      </c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 t="s">
        <v>369</v>
      </c>
      <c r="AO2" s="24" t="s">
        <v>370</v>
      </c>
      <c r="AP2" s="57"/>
      <c r="AQ2" s="57"/>
      <c r="AR2" s="57"/>
      <c r="AS2" s="57"/>
      <c r="AT2" s="57"/>
      <c r="AU2" s="57"/>
      <c r="AV2" s="57"/>
      <c r="AW2" s="57"/>
      <c r="AX2" s="57"/>
    </row>
    <row r="3" spans="1:50" ht="16.5">
      <c r="A3" s="22"/>
      <c r="C3" s="83"/>
      <c r="D3" s="83"/>
      <c r="E3" s="83"/>
      <c r="F3" s="83"/>
      <c r="G3" s="83"/>
      <c r="H3" s="83"/>
      <c r="I3" s="83"/>
      <c r="J3" s="83"/>
      <c r="K3" s="83"/>
      <c r="L3" s="83"/>
      <c r="M3" s="130"/>
      <c r="O3" s="83"/>
      <c r="P3" s="83"/>
      <c r="Q3" s="83"/>
      <c r="R3" s="83"/>
      <c r="S3" s="83"/>
      <c r="T3" s="83"/>
      <c r="U3" s="83"/>
      <c r="V3" s="83"/>
      <c r="W3" s="83"/>
      <c r="X3" s="83"/>
      <c r="AA3" s="171"/>
      <c r="AB3" s="171"/>
      <c r="AC3" s="171"/>
      <c r="AD3" s="171"/>
      <c r="AE3" s="171"/>
      <c r="AF3" s="171"/>
      <c r="AG3" s="171"/>
      <c r="AH3" s="171"/>
      <c r="AI3" s="171"/>
      <c r="AJ3" s="171"/>
      <c r="AN3" s="83"/>
      <c r="AO3" s="83"/>
      <c r="AP3" s="83"/>
      <c r="AQ3" s="83"/>
      <c r="AR3" s="83"/>
      <c r="AS3" s="83"/>
      <c r="AT3" s="83"/>
      <c r="AU3" s="83"/>
      <c r="AV3" s="83"/>
      <c r="AW3" s="83"/>
    </row>
    <row r="4" spans="1:50" ht="16.5">
      <c r="A4" s="22"/>
      <c r="C4" s="83"/>
      <c r="D4" s="17"/>
      <c r="E4" s="398"/>
      <c r="F4" s="399"/>
      <c r="G4" s="69"/>
      <c r="H4" s="70"/>
      <c r="I4" s="83"/>
      <c r="J4" s="83"/>
      <c r="K4" s="83"/>
      <c r="L4" s="83"/>
      <c r="M4" s="130"/>
      <c r="O4" s="83"/>
      <c r="P4" s="17"/>
      <c r="Q4" s="68"/>
      <c r="R4" s="69"/>
      <c r="S4" s="69"/>
      <c r="T4" s="70"/>
      <c r="U4" s="83"/>
      <c r="V4" s="83"/>
      <c r="W4" s="83"/>
      <c r="X4" s="83"/>
      <c r="AA4" s="171"/>
      <c r="AB4" s="300"/>
      <c r="AC4" s="301"/>
      <c r="AD4" s="302"/>
      <c r="AE4" s="302"/>
      <c r="AF4" s="303"/>
      <c r="AG4" s="171"/>
      <c r="AH4" s="171"/>
      <c r="AI4" s="171"/>
      <c r="AJ4" s="171"/>
      <c r="AN4" s="83"/>
      <c r="AO4" s="17" t="s">
        <v>198</v>
      </c>
      <c r="AP4" s="68" t="s">
        <v>302</v>
      </c>
      <c r="AQ4" s="69" t="s">
        <v>301</v>
      </c>
      <c r="AR4" s="69" t="s">
        <v>300</v>
      </c>
      <c r="AS4" s="70" t="s">
        <v>299</v>
      </c>
      <c r="AT4" s="83"/>
      <c r="AU4" s="83"/>
      <c r="AV4" s="83"/>
      <c r="AW4" s="83"/>
    </row>
    <row r="5" spans="1:50" ht="16.5">
      <c r="A5" s="22"/>
      <c r="C5" s="83"/>
      <c r="D5" s="17"/>
      <c r="E5" s="450"/>
      <c r="F5" s="83"/>
      <c r="G5" s="83"/>
      <c r="H5" s="83"/>
      <c r="I5" s="83"/>
      <c r="J5" s="83"/>
      <c r="K5" s="83"/>
      <c r="L5" s="83"/>
      <c r="M5" s="130"/>
      <c r="O5" s="83"/>
      <c r="P5" s="17"/>
      <c r="Q5" s="450"/>
      <c r="R5" s="83"/>
      <c r="S5" s="83"/>
      <c r="T5" s="83"/>
      <c r="U5" s="83"/>
      <c r="V5" s="83"/>
      <c r="W5" s="83"/>
      <c r="X5" s="83"/>
      <c r="AA5" s="171"/>
      <c r="AB5" s="300"/>
      <c r="AC5" s="453"/>
      <c r="AD5" s="171"/>
      <c r="AE5" s="171"/>
      <c r="AF5" s="171"/>
      <c r="AG5" s="171"/>
      <c r="AH5" s="171"/>
      <c r="AI5" s="171"/>
      <c r="AJ5" s="171"/>
      <c r="AN5" s="83"/>
      <c r="AO5" s="17" t="s">
        <v>2041</v>
      </c>
      <c r="AP5" s="450"/>
      <c r="AQ5" s="83"/>
      <c r="AR5" s="83"/>
      <c r="AS5" s="83"/>
      <c r="AT5" s="83"/>
      <c r="AU5" s="83"/>
      <c r="AV5" s="83"/>
      <c r="AW5" s="83"/>
    </row>
    <row r="6" spans="1:50" ht="16.5">
      <c r="A6" s="22"/>
      <c r="C6" s="83"/>
      <c r="D6" s="17"/>
      <c r="E6" s="451"/>
      <c r="F6" s="83"/>
      <c r="G6" s="83"/>
      <c r="H6" s="83"/>
      <c r="I6" s="83"/>
      <c r="J6" s="83"/>
      <c r="K6" s="83"/>
      <c r="L6" s="83"/>
      <c r="M6" s="130"/>
      <c r="O6" s="83"/>
      <c r="P6" s="17"/>
      <c r="Q6" s="451"/>
      <c r="R6" s="83"/>
      <c r="S6" s="83"/>
      <c r="T6" s="83"/>
      <c r="U6" s="83"/>
      <c r="V6" s="83"/>
      <c r="W6" s="83"/>
      <c r="X6" s="83"/>
      <c r="AA6" s="171"/>
      <c r="AB6" s="300"/>
      <c r="AC6" s="454"/>
      <c r="AD6" s="171"/>
      <c r="AE6" s="171"/>
      <c r="AF6" s="171"/>
      <c r="AG6" s="171"/>
      <c r="AH6" s="171"/>
      <c r="AI6" s="171"/>
      <c r="AJ6" s="171"/>
      <c r="AN6" s="83"/>
      <c r="AO6" s="17" t="s">
        <v>27</v>
      </c>
      <c r="AP6" s="451"/>
      <c r="AQ6" s="83"/>
      <c r="AR6" s="83"/>
      <c r="AS6" s="83"/>
      <c r="AT6" s="83"/>
      <c r="AU6" s="83"/>
      <c r="AV6" s="83"/>
      <c r="AW6" s="83"/>
    </row>
    <row r="7" spans="1:50" ht="16.5">
      <c r="A7" s="22"/>
      <c r="C7" s="83"/>
      <c r="D7" s="83"/>
      <c r="E7" s="83"/>
      <c r="F7" s="83"/>
      <c r="G7" s="83"/>
      <c r="H7" s="83"/>
      <c r="I7" s="83"/>
      <c r="J7" s="83"/>
      <c r="K7" s="83"/>
      <c r="L7" s="83"/>
      <c r="M7" s="130"/>
      <c r="O7" s="83"/>
      <c r="P7" s="83"/>
      <c r="Q7" s="83"/>
      <c r="R7" s="83"/>
      <c r="S7" s="83"/>
      <c r="T7" s="83"/>
      <c r="U7" s="83"/>
      <c r="V7" s="83"/>
      <c r="W7" s="83"/>
      <c r="X7" s="83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N7" s="83"/>
      <c r="AO7" s="83"/>
      <c r="AP7" s="83"/>
      <c r="AQ7" s="83"/>
      <c r="AR7" s="83"/>
      <c r="AS7" s="83"/>
      <c r="AT7" s="83"/>
      <c r="AU7" s="83"/>
      <c r="AV7" s="83"/>
      <c r="AW7" s="83"/>
    </row>
    <row r="8" spans="1:50" ht="16.5">
      <c r="A8" s="22"/>
      <c r="C8" s="83"/>
      <c r="D8" s="17"/>
      <c r="E8" s="433"/>
      <c r="F8" s="7"/>
      <c r="G8" s="7"/>
      <c r="H8" s="7"/>
      <c r="I8" s="83"/>
      <c r="J8" s="83"/>
      <c r="K8" s="7"/>
      <c r="L8" s="83"/>
      <c r="M8" s="130"/>
      <c r="O8" s="83"/>
      <c r="P8" s="17"/>
      <c r="Q8" s="435"/>
      <c r="R8" s="7"/>
      <c r="S8" s="7"/>
      <c r="T8" s="7"/>
      <c r="U8" s="83"/>
      <c r="V8" s="83"/>
      <c r="W8" s="7"/>
      <c r="X8" s="83"/>
      <c r="AA8" s="171"/>
      <c r="AB8" s="300"/>
      <c r="AC8" s="435"/>
      <c r="AD8" s="173"/>
      <c r="AE8" s="173"/>
      <c r="AF8" s="173"/>
      <c r="AG8" s="171"/>
      <c r="AH8" s="171"/>
      <c r="AI8" s="173"/>
      <c r="AJ8" s="171"/>
      <c r="AN8" s="83"/>
      <c r="AO8" s="17" t="s">
        <v>199</v>
      </c>
      <c r="AP8" s="433"/>
      <c r="AQ8" s="7" t="s">
        <v>1814</v>
      </c>
      <c r="AR8" s="7" t="s">
        <v>303</v>
      </c>
      <c r="AS8" s="7" t="s">
        <v>1656</v>
      </c>
      <c r="AT8" s="83"/>
      <c r="AU8" s="83"/>
      <c r="AV8" s="7"/>
      <c r="AW8" s="83"/>
    </row>
    <row r="9" spans="1:50" ht="16.5">
      <c r="A9" s="22"/>
      <c r="C9" s="83"/>
      <c r="D9" s="17"/>
      <c r="E9" s="546"/>
      <c r="F9" s="547"/>
      <c r="G9" s="547"/>
      <c r="H9" s="548"/>
      <c r="I9" s="83"/>
      <c r="J9" s="83"/>
      <c r="K9" s="7"/>
      <c r="L9" s="83"/>
      <c r="M9" s="130"/>
      <c r="O9" s="83"/>
      <c r="P9" s="17"/>
      <c r="Q9" s="546"/>
      <c r="R9" s="547"/>
      <c r="S9" s="547"/>
      <c r="T9" s="548"/>
      <c r="U9" s="83"/>
      <c r="V9" s="83"/>
      <c r="W9" s="7"/>
      <c r="X9" s="83"/>
      <c r="AA9" s="171"/>
      <c r="AB9" s="300"/>
      <c r="AC9" s="615" t="s">
        <v>506</v>
      </c>
      <c r="AD9" s="616"/>
      <c r="AE9" s="616"/>
      <c r="AF9" s="617"/>
      <c r="AG9" s="171"/>
      <c r="AH9" s="171"/>
      <c r="AI9" s="173"/>
      <c r="AJ9" s="171"/>
      <c r="AN9" s="83"/>
      <c r="AO9" s="17" t="s">
        <v>200</v>
      </c>
      <c r="AP9" s="546" t="s">
        <v>506</v>
      </c>
      <c r="AQ9" s="547"/>
      <c r="AR9" s="547"/>
      <c r="AS9" s="548"/>
      <c r="AT9" s="83"/>
      <c r="AU9" s="83"/>
      <c r="AV9" s="7"/>
      <c r="AW9" s="83"/>
    </row>
    <row r="10" spans="1:50" ht="16.5">
      <c r="A10" s="22"/>
      <c r="C10" s="83"/>
      <c r="D10" s="7"/>
      <c r="E10" s="633"/>
      <c r="F10" s="634"/>
      <c r="G10" s="634"/>
      <c r="H10" s="635"/>
      <c r="I10" s="83"/>
      <c r="J10" s="83"/>
      <c r="K10" s="7"/>
      <c r="L10" s="83"/>
      <c r="M10" s="130"/>
      <c r="O10" s="83"/>
      <c r="P10" s="7"/>
      <c r="Q10" s="633"/>
      <c r="R10" s="634"/>
      <c r="S10" s="634"/>
      <c r="T10" s="635"/>
      <c r="U10" s="83"/>
      <c r="V10" s="83"/>
      <c r="W10" s="7"/>
      <c r="X10" s="83"/>
      <c r="AA10" s="171"/>
      <c r="AB10" s="173"/>
      <c r="AC10" s="678"/>
      <c r="AD10" s="679"/>
      <c r="AE10" s="679"/>
      <c r="AF10" s="680"/>
      <c r="AG10" s="171"/>
      <c r="AH10" s="171"/>
      <c r="AI10" s="173"/>
      <c r="AJ10" s="171"/>
      <c r="AN10" s="83"/>
      <c r="AO10" s="7" t="s">
        <v>201</v>
      </c>
      <c r="AP10" s="546"/>
      <c r="AQ10" s="547"/>
      <c r="AR10" s="547"/>
      <c r="AS10" s="548"/>
      <c r="AT10" s="83"/>
      <c r="AU10" s="83"/>
      <c r="AV10" s="7"/>
      <c r="AW10" s="83"/>
    </row>
    <row r="11" spans="1:50" ht="16.5">
      <c r="A11" s="85"/>
      <c r="B11" s="129"/>
      <c r="C11" s="83"/>
      <c r="D11" s="7"/>
      <c r="E11" s="546"/>
      <c r="F11" s="547"/>
      <c r="G11" s="547"/>
      <c r="H11" s="547"/>
      <c r="I11" s="547"/>
      <c r="J11" s="547"/>
      <c r="K11" s="547"/>
      <c r="L11" s="548"/>
      <c r="M11" s="130"/>
      <c r="N11" s="130"/>
      <c r="O11" s="83"/>
      <c r="P11" s="7"/>
      <c r="Q11" s="546"/>
      <c r="R11" s="547"/>
      <c r="S11" s="547"/>
      <c r="T11" s="547"/>
      <c r="U11" s="547"/>
      <c r="V11" s="547"/>
      <c r="W11" s="547"/>
      <c r="X11" s="548"/>
      <c r="Y11" s="130"/>
      <c r="Z11" s="130"/>
      <c r="AA11" s="171"/>
      <c r="AB11" s="173"/>
      <c r="AC11" s="615"/>
      <c r="AD11" s="616"/>
      <c r="AE11" s="616"/>
      <c r="AF11" s="616"/>
      <c r="AG11" s="616"/>
      <c r="AH11" s="616"/>
      <c r="AI11" s="616"/>
      <c r="AJ11" s="617"/>
      <c r="AK11" s="130"/>
      <c r="AL11" s="130"/>
      <c r="AM11" s="130"/>
      <c r="AN11" s="83"/>
      <c r="AO11" s="7" t="s">
        <v>1652</v>
      </c>
      <c r="AP11" s="546"/>
      <c r="AQ11" s="547"/>
      <c r="AR11" s="547"/>
      <c r="AS11" s="547"/>
      <c r="AT11" s="547"/>
      <c r="AU11" s="547"/>
      <c r="AV11" s="547"/>
      <c r="AW11" s="548"/>
      <c r="AX11" s="130"/>
    </row>
    <row r="12" spans="1:50" ht="16.5">
      <c r="A12" s="85"/>
      <c r="B12" s="129"/>
      <c r="C12" s="83"/>
      <c r="D12" s="7"/>
      <c r="E12" s="640"/>
      <c r="F12" s="640"/>
      <c r="G12" s="640"/>
      <c r="H12" s="640"/>
      <c r="I12" s="83"/>
      <c r="J12" s="83"/>
      <c r="K12" s="7"/>
      <c r="L12" s="83"/>
      <c r="M12" s="130"/>
      <c r="N12" s="130"/>
      <c r="O12" s="83"/>
      <c r="P12" s="7"/>
      <c r="Q12" s="640"/>
      <c r="R12" s="640"/>
      <c r="S12" s="640"/>
      <c r="T12" s="640"/>
      <c r="U12" s="83"/>
      <c r="V12" s="83"/>
      <c r="W12" s="7"/>
      <c r="X12" s="83"/>
      <c r="Y12" s="130"/>
      <c r="Z12" s="130"/>
      <c r="AA12" s="171"/>
      <c r="AB12" s="173"/>
      <c r="AC12" s="554"/>
      <c r="AD12" s="554"/>
      <c r="AE12" s="554"/>
      <c r="AF12" s="554"/>
      <c r="AG12" s="171"/>
      <c r="AH12" s="171"/>
      <c r="AI12" s="173"/>
      <c r="AJ12" s="171"/>
      <c r="AK12" s="130"/>
      <c r="AL12" s="130"/>
      <c r="AM12" s="130"/>
      <c r="AN12" s="83"/>
      <c r="AO12" s="7" t="s">
        <v>2033</v>
      </c>
      <c r="AP12" s="546"/>
      <c r="AQ12" s="547"/>
      <c r="AR12" s="547"/>
      <c r="AS12" s="548"/>
      <c r="AT12" s="83"/>
      <c r="AU12" s="83"/>
      <c r="AV12" s="7"/>
      <c r="AW12" s="83"/>
      <c r="AX12" s="130"/>
    </row>
    <row r="13" spans="1:50" ht="16.5">
      <c r="A13" s="85"/>
      <c r="B13" s="129"/>
      <c r="C13" s="83"/>
      <c r="D13" s="7"/>
      <c r="E13" s="640"/>
      <c r="F13" s="640"/>
      <c r="G13" s="640"/>
      <c r="H13" s="640"/>
      <c r="I13" s="83"/>
      <c r="J13" s="83"/>
      <c r="K13" s="7"/>
      <c r="L13" s="83"/>
      <c r="M13" s="130"/>
      <c r="N13" s="130"/>
      <c r="O13" s="83"/>
      <c r="P13" s="7"/>
      <c r="Q13" s="640"/>
      <c r="R13" s="640"/>
      <c r="S13" s="640"/>
      <c r="T13" s="640"/>
      <c r="U13" s="83"/>
      <c r="V13" s="83"/>
      <c r="W13" s="7"/>
      <c r="X13" s="83"/>
      <c r="Y13" s="130"/>
      <c r="Z13" s="130"/>
      <c r="AA13" s="171"/>
      <c r="AB13" s="173"/>
      <c r="AC13" s="554"/>
      <c r="AD13" s="554"/>
      <c r="AE13" s="554"/>
      <c r="AF13" s="554"/>
      <c r="AG13" s="171"/>
      <c r="AH13" s="171"/>
      <c r="AI13" s="173"/>
      <c r="AJ13" s="171"/>
      <c r="AK13" s="130"/>
      <c r="AL13" s="130"/>
      <c r="AM13" s="130"/>
      <c r="AN13" s="83"/>
      <c r="AO13" s="7" t="s">
        <v>1653</v>
      </c>
      <c r="AP13" s="546"/>
      <c r="AQ13" s="547"/>
      <c r="AR13" s="547"/>
      <c r="AS13" s="548"/>
      <c r="AT13" s="83"/>
      <c r="AU13" s="83"/>
      <c r="AV13" s="7"/>
      <c r="AW13" s="83"/>
      <c r="AX13" s="130"/>
    </row>
    <row r="14" spans="1:50" ht="16.5">
      <c r="A14" s="22"/>
      <c r="C14" s="83"/>
      <c r="D14" s="7"/>
      <c r="E14" s="640"/>
      <c r="F14" s="640"/>
      <c r="G14" s="640"/>
      <c r="H14" s="640"/>
      <c r="I14" s="83"/>
      <c r="J14" s="83"/>
      <c r="K14" s="7"/>
      <c r="L14" s="83"/>
      <c r="M14" s="425"/>
      <c r="N14" s="425"/>
      <c r="O14" s="83"/>
      <c r="P14" s="7"/>
      <c r="Q14" s="640"/>
      <c r="R14" s="640"/>
      <c r="S14" s="640"/>
      <c r="T14" s="640"/>
      <c r="U14" s="83"/>
      <c r="V14" s="83"/>
      <c r="W14" s="7"/>
      <c r="X14" s="83"/>
      <c r="Y14" s="425"/>
      <c r="Z14" s="425"/>
      <c r="AA14" s="171"/>
      <c r="AB14" s="173"/>
      <c r="AC14" s="554"/>
      <c r="AD14" s="554"/>
      <c r="AE14" s="554"/>
      <c r="AF14" s="554"/>
      <c r="AG14" s="171"/>
      <c r="AH14" s="171"/>
      <c r="AI14" s="173"/>
      <c r="AJ14" s="171"/>
      <c r="AK14" s="425"/>
      <c r="AL14" s="425"/>
      <c r="AM14" s="425"/>
      <c r="AN14" s="83"/>
      <c r="AO14" s="7" t="s">
        <v>1655</v>
      </c>
      <c r="AP14" s="546"/>
      <c r="AQ14" s="547"/>
      <c r="AR14" s="547"/>
      <c r="AS14" s="548"/>
      <c r="AT14" s="83"/>
      <c r="AU14" s="83"/>
      <c r="AV14" s="7"/>
      <c r="AW14" s="83"/>
    </row>
    <row r="15" spans="1:50" ht="16.5">
      <c r="A15" s="22"/>
      <c r="C15" s="83"/>
      <c r="D15" s="7"/>
      <c r="E15" s="546"/>
      <c r="F15" s="548"/>
      <c r="G15" s="7"/>
      <c r="H15" s="7"/>
      <c r="I15" s="83"/>
      <c r="J15" s="83"/>
      <c r="K15" s="7"/>
      <c r="L15" s="83"/>
      <c r="M15" s="425"/>
      <c r="N15" s="425"/>
      <c r="O15" s="83"/>
      <c r="P15" s="7"/>
      <c r="Q15" s="546"/>
      <c r="R15" s="548"/>
      <c r="S15" s="7"/>
      <c r="T15" s="7"/>
      <c r="U15" s="83"/>
      <c r="V15" s="83"/>
      <c r="W15" s="7"/>
      <c r="X15" s="83"/>
      <c r="Y15" s="425"/>
      <c r="Z15" s="425"/>
      <c r="AA15" s="171"/>
      <c r="AB15" s="173"/>
      <c r="AC15" s="615"/>
      <c r="AD15" s="617"/>
      <c r="AE15" s="173"/>
      <c r="AF15" s="173"/>
      <c r="AG15" s="171"/>
      <c r="AH15" s="171"/>
      <c r="AI15" s="173"/>
      <c r="AJ15" s="171"/>
      <c r="AK15" s="425"/>
      <c r="AL15" s="425"/>
      <c r="AM15" s="425"/>
      <c r="AN15" s="83"/>
      <c r="AO15" s="7" t="s">
        <v>2034</v>
      </c>
      <c r="AP15" s="546"/>
      <c r="AQ15" s="548"/>
      <c r="AR15" s="7"/>
      <c r="AS15" s="7"/>
      <c r="AT15" s="83"/>
      <c r="AU15" s="83"/>
      <c r="AV15" s="7"/>
      <c r="AW15" s="83"/>
    </row>
    <row r="16" spans="1:50" ht="16.5">
      <c r="A16" s="22"/>
      <c r="C16" s="83"/>
      <c r="D16" s="83"/>
      <c r="E16" s="83"/>
      <c r="F16" s="83"/>
      <c r="G16" s="83"/>
      <c r="H16" s="83"/>
      <c r="I16" s="83"/>
      <c r="J16" s="83"/>
      <c r="K16" s="7"/>
      <c r="L16" s="83"/>
      <c r="M16" s="130"/>
      <c r="O16" s="83"/>
      <c r="P16" s="83"/>
      <c r="Q16" s="83"/>
      <c r="R16" s="83"/>
      <c r="S16" s="83"/>
      <c r="T16" s="83"/>
      <c r="U16" s="83"/>
      <c r="V16" s="83"/>
      <c r="W16" s="7"/>
      <c r="X16" s="83"/>
      <c r="AA16" s="171"/>
      <c r="AB16" s="171"/>
      <c r="AC16" s="171"/>
      <c r="AD16" s="171"/>
      <c r="AE16" s="171"/>
      <c r="AF16" s="171"/>
      <c r="AG16" s="171"/>
      <c r="AH16" s="171"/>
      <c r="AI16" s="173"/>
      <c r="AJ16" s="171"/>
      <c r="AN16" s="83"/>
      <c r="AO16" s="83"/>
      <c r="AP16" s="83"/>
      <c r="AQ16" s="83"/>
      <c r="AR16" s="83"/>
      <c r="AS16" s="83"/>
      <c r="AT16" s="83"/>
      <c r="AU16" s="83"/>
      <c r="AV16" s="7"/>
      <c r="AW16" s="83"/>
    </row>
    <row r="17" spans="1:49" ht="16.5">
      <c r="A17" s="22"/>
      <c r="C17" s="83"/>
      <c r="D17" s="7"/>
      <c r="E17" s="451"/>
      <c r="F17" s="653" t="str">
        <f>IF(OR(UNMM0050_SHIIRE_CD="",UNMM0050_SHIIRE_MEI=""),"",UNMM0050_SHIIRE_MEI)</f>
        <v/>
      </c>
      <c r="G17" s="654"/>
      <c r="H17" s="654"/>
      <c r="I17" s="655"/>
      <c r="J17" s="83"/>
      <c r="K17" s="7"/>
      <c r="L17" s="83"/>
      <c r="M17" s="130"/>
      <c r="O17" s="83"/>
      <c r="P17" s="7"/>
      <c r="Q17" s="451"/>
      <c r="R17" s="653" t="str">
        <f>IF(OR(UNMM0050_SHIIRE_CD="",UNMM0050_SHIIRE_MEI=""),"",UNMM0050_SHIIRE_MEI)</f>
        <v/>
      </c>
      <c r="S17" s="654"/>
      <c r="T17" s="654"/>
      <c r="U17" s="655"/>
      <c r="V17" s="83"/>
      <c r="W17" s="7"/>
      <c r="X17" s="83"/>
      <c r="AA17" s="171"/>
      <c r="AB17" s="173"/>
      <c r="AC17" s="454"/>
      <c r="AD17" s="615" t="str">
        <f>IF(OR(UNMM0050_SHIIRE_CD="",UNMM0050_SHIIRE_MEI=""),"",UNMM0050_SHIIRE_MEI)</f>
        <v/>
      </c>
      <c r="AE17" s="616"/>
      <c r="AF17" s="616"/>
      <c r="AG17" s="617"/>
      <c r="AH17" s="171"/>
      <c r="AI17" s="173"/>
      <c r="AJ17" s="171"/>
      <c r="AN17" s="83"/>
      <c r="AO17" s="7" t="s">
        <v>194</v>
      </c>
      <c r="AP17" s="451"/>
      <c r="AQ17" s="653" t="str">
        <f>IF(OR(UNMM0050_SHIIRE_CD="",UNMM0050_SHIIRE_MEI=""),"",UNMM0050_SHIIRE_MEI)</f>
        <v/>
      </c>
      <c r="AR17" s="654"/>
      <c r="AS17" s="654"/>
      <c r="AT17" s="655"/>
      <c r="AU17" s="83"/>
      <c r="AV17" s="7"/>
      <c r="AW17" s="83"/>
    </row>
    <row r="18" spans="1:49" ht="16.5">
      <c r="A18" s="22"/>
      <c r="C18" s="83"/>
      <c r="D18" s="7"/>
      <c r="E18" s="451"/>
      <c r="F18" s="653" t="str">
        <f>IF(OR(UNMM0050_MAKER_CD="",UNMM0050_MAKER_MEI=""),"",UNMM0050_MAKER_MEI)</f>
        <v/>
      </c>
      <c r="G18" s="654"/>
      <c r="H18" s="654"/>
      <c r="I18" s="655"/>
      <c r="J18" s="83"/>
      <c r="K18" s="7"/>
      <c r="L18" s="83"/>
      <c r="M18" s="130"/>
      <c r="O18" s="83"/>
      <c r="P18" s="7"/>
      <c r="Q18" s="451"/>
      <c r="R18" s="653" t="str">
        <f>IF(OR(UNMM0050_MAKER_CD="",UNMM0050_MAKER_MEI=""),"",UNMM0050_MAKER_MEI)</f>
        <v/>
      </c>
      <c r="S18" s="654"/>
      <c r="T18" s="654"/>
      <c r="U18" s="655"/>
      <c r="V18" s="83"/>
      <c r="W18" s="7"/>
      <c r="X18" s="83"/>
      <c r="AA18" s="171"/>
      <c r="AB18" s="173"/>
      <c r="AC18" s="454"/>
      <c r="AD18" s="615" t="str">
        <f>IF(OR(UNMM0050_MAKER_CD="",UNMM0050_MAKER_MEI=""),"",UNMM0050_MAKER_MEI)</f>
        <v/>
      </c>
      <c r="AE18" s="616"/>
      <c r="AF18" s="616"/>
      <c r="AG18" s="617"/>
      <c r="AH18" s="171"/>
      <c r="AI18" s="173"/>
      <c r="AJ18" s="171"/>
      <c r="AN18" s="83"/>
      <c r="AO18" s="7" t="s">
        <v>2042</v>
      </c>
      <c r="AP18" s="451"/>
      <c r="AQ18" s="653" t="str">
        <f>IF(OR(UNMM0050_MAKER_CD="",UNMM0050_MAKER_MEI=""),"",UNMM0050_MAKER_MEI)</f>
        <v/>
      </c>
      <c r="AR18" s="654"/>
      <c r="AS18" s="654"/>
      <c r="AT18" s="655"/>
      <c r="AU18" s="83"/>
      <c r="AV18" s="7"/>
      <c r="AW18" s="83"/>
    </row>
    <row r="19" spans="1:49" ht="16.5">
      <c r="A19" s="22"/>
      <c r="C19" s="83"/>
      <c r="D19" s="7"/>
      <c r="E19" s="451"/>
      <c r="F19" s="653" t="str">
        <f>IF(OR(UNMM0050_GAICHU_CD="",UNMM0050_GAICHU_MEI=""),"",UNMM0050_GAICHU_MEI)</f>
        <v/>
      </c>
      <c r="G19" s="654"/>
      <c r="H19" s="654"/>
      <c r="I19" s="655"/>
      <c r="J19" s="83"/>
      <c r="K19" s="7"/>
      <c r="L19" s="83"/>
      <c r="M19" s="130"/>
      <c r="O19" s="83"/>
      <c r="P19" s="7"/>
      <c r="Q19" s="451"/>
      <c r="R19" s="653" t="str">
        <f>IF(OR(UNMM0050_GAICHU_CD="",UNMM0050_GAICHU_MEI=""),"",UNMM0050_GAICHU_MEI)</f>
        <v/>
      </c>
      <c r="S19" s="654"/>
      <c r="T19" s="654"/>
      <c r="U19" s="655"/>
      <c r="V19" s="83"/>
      <c r="W19" s="7"/>
      <c r="X19" s="83"/>
      <c r="AA19" s="171"/>
      <c r="AB19" s="173"/>
      <c r="AC19" s="454"/>
      <c r="AD19" s="615" t="str">
        <f>IF(OR(UNMM0050_GAICHU_CD="",UNMM0050_GAICHU_MEI=""),"",UNMM0050_GAICHU_MEI)</f>
        <v/>
      </c>
      <c r="AE19" s="616"/>
      <c r="AF19" s="616"/>
      <c r="AG19" s="617"/>
      <c r="AH19" s="171"/>
      <c r="AI19" s="173"/>
      <c r="AJ19" s="171"/>
      <c r="AN19" s="83"/>
      <c r="AO19" s="7" t="s">
        <v>202</v>
      </c>
      <c r="AP19" s="451"/>
      <c r="AQ19" s="653" t="str">
        <f>IF(OR(UNMM0050_GAICHU_CD="",UNMM0050_GAICHU_MEI=""),"",UNMM0050_GAICHU_MEI)</f>
        <v/>
      </c>
      <c r="AR19" s="654"/>
      <c r="AS19" s="654"/>
      <c r="AT19" s="655"/>
      <c r="AU19" s="83"/>
      <c r="AV19" s="7"/>
      <c r="AW19" s="83"/>
    </row>
    <row r="20" spans="1:49" ht="16.5">
      <c r="A20" s="22"/>
      <c r="C20" s="83"/>
      <c r="D20" s="83"/>
      <c r="E20" s="83"/>
      <c r="F20" s="83"/>
      <c r="G20" s="83"/>
      <c r="H20" s="83"/>
      <c r="I20" s="83"/>
      <c r="J20" s="83"/>
      <c r="K20" s="7"/>
      <c r="L20" s="83"/>
      <c r="M20" s="130"/>
      <c r="O20" s="83"/>
      <c r="P20" s="83"/>
      <c r="Q20" s="83"/>
      <c r="R20" s="83"/>
      <c r="S20" s="83"/>
      <c r="T20" s="83"/>
      <c r="U20" s="83"/>
      <c r="V20" s="83"/>
      <c r="W20" s="7"/>
      <c r="X20" s="83"/>
      <c r="AA20" s="171"/>
      <c r="AB20" s="171"/>
      <c r="AC20" s="171"/>
      <c r="AD20" s="171"/>
      <c r="AE20" s="171"/>
      <c r="AF20" s="171"/>
      <c r="AG20" s="171"/>
      <c r="AH20" s="171"/>
      <c r="AI20" s="173"/>
      <c r="AJ20" s="171"/>
      <c r="AN20" s="83"/>
      <c r="AO20" s="83"/>
      <c r="AP20" s="83"/>
      <c r="AQ20" s="83"/>
      <c r="AR20" s="83"/>
      <c r="AS20" s="83"/>
      <c r="AT20" s="83"/>
      <c r="AU20" s="83"/>
      <c r="AV20" s="7"/>
      <c r="AW20" s="83"/>
    </row>
    <row r="21" spans="1:49" ht="16.5">
      <c r="A21" s="22"/>
      <c r="C21" s="83"/>
      <c r="D21" s="52"/>
      <c r="E21" s="53"/>
      <c r="F21" s="53"/>
      <c r="G21" s="53"/>
      <c r="H21" s="53"/>
      <c r="I21" s="53"/>
      <c r="J21" s="53"/>
      <c r="K21" s="53"/>
      <c r="L21" s="54"/>
      <c r="M21" s="130"/>
      <c r="O21" s="83"/>
      <c r="P21" s="52"/>
      <c r="Q21" s="53"/>
      <c r="R21" s="53"/>
      <c r="S21" s="53"/>
      <c r="T21" s="53"/>
      <c r="U21" s="53"/>
      <c r="V21" s="53"/>
      <c r="W21" s="53"/>
      <c r="X21" s="54"/>
      <c r="AA21" s="171"/>
      <c r="AB21" s="304"/>
      <c r="AC21" s="305"/>
      <c r="AD21" s="305"/>
      <c r="AE21" s="305"/>
      <c r="AF21" s="305"/>
      <c r="AG21" s="305"/>
      <c r="AH21" s="305"/>
      <c r="AI21" s="305"/>
      <c r="AJ21" s="306"/>
      <c r="AN21" s="83"/>
      <c r="AO21" s="52" t="s">
        <v>203</v>
      </c>
      <c r="AP21" s="53"/>
      <c r="AQ21" s="53"/>
      <c r="AR21" s="53"/>
      <c r="AS21" s="53"/>
      <c r="AT21" s="53"/>
      <c r="AU21" s="53"/>
      <c r="AV21" s="53"/>
      <c r="AW21" s="54"/>
    </row>
    <row r="22" spans="1:49" ht="16.5">
      <c r="A22" s="22"/>
      <c r="C22" s="83"/>
      <c r="D22" s="12"/>
      <c r="E22" s="7"/>
      <c r="F22" s="395"/>
      <c r="G22" s="7"/>
      <c r="H22" s="315"/>
      <c r="I22" s="7"/>
      <c r="J22" s="636"/>
      <c r="K22" s="637"/>
      <c r="L22" s="55"/>
      <c r="M22" s="130"/>
      <c r="O22" s="83"/>
      <c r="P22" s="12"/>
      <c r="Q22" s="7"/>
      <c r="R22" s="395"/>
      <c r="S22" s="7"/>
      <c r="T22" s="315"/>
      <c r="U22" s="7"/>
      <c r="V22" s="636"/>
      <c r="W22" s="637"/>
      <c r="X22" s="55"/>
      <c r="AA22" s="171"/>
      <c r="AB22" s="307"/>
      <c r="AC22" s="173"/>
      <c r="AD22" s="400"/>
      <c r="AE22" s="173"/>
      <c r="AF22" s="316"/>
      <c r="AG22" s="173"/>
      <c r="AH22" s="669"/>
      <c r="AI22" s="670"/>
      <c r="AJ22" s="197"/>
      <c r="AN22" s="83"/>
      <c r="AO22" s="12"/>
      <c r="AP22" s="7" t="s">
        <v>204</v>
      </c>
      <c r="AQ22" s="395"/>
      <c r="AR22" s="7" t="s">
        <v>205</v>
      </c>
      <c r="AS22" s="315"/>
      <c r="AT22" s="7" t="s">
        <v>206</v>
      </c>
      <c r="AU22" s="636"/>
      <c r="AV22" s="637"/>
      <c r="AW22" s="55"/>
    </row>
    <row r="23" spans="1:49" ht="16.5">
      <c r="A23" s="22"/>
      <c r="C23" s="83"/>
      <c r="D23" s="12"/>
      <c r="E23" s="7"/>
      <c r="F23" s="193"/>
      <c r="G23" s="7"/>
      <c r="H23" s="315"/>
      <c r="I23" s="7"/>
      <c r="J23" s="580"/>
      <c r="K23" s="582"/>
      <c r="L23" s="55"/>
      <c r="M23" s="130"/>
      <c r="O23" s="83"/>
      <c r="P23" s="12"/>
      <c r="Q23" s="7"/>
      <c r="R23" s="193"/>
      <c r="S23" s="7"/>
      <c r="T23" s="315"/>
      <c r="U23" s="7"/>
      <c r="V23" s="580"/>
      <c r="W23" s="582"/>
      <c r="X23" s="55"/>
      <c r="AA23" s="171"/>
      <c r="AB23" s="307"/>
      <c r="AC23" s="173"/>
      <c r="AD23" s="393"/>
      <c r="AE23" s="173"/>
      <c r="AF23" s="316"/>
      <c r="AG23" s="173"/>
      <c r="AH23" s="606"/>
      <c r="AI23" s="608"/>
      <c r="AJ23" s="197"/>
      <c r="AN23" s="83"/>
      <c r="AO23" s="12"/>
      <c r="AP23" s="7" t="s">
        <v>207</v>
      </c>
      <c r="AQ23" s="193"/>
      <c r="AR23" s="7" t="s">
        <v>208</v>
      </c>
      <c r="AS23" s="315"/>
      <c r="AT23" s="7" t="s">
        <v>209</v>
      </c>
      <c r="AU23" s="580"/>
      <c r="AV23" s="582"/>
      <c r="AW23" s="55"/>
    </row>
    <row r="24" spans="1:49" ht="16.5">
      <c r="A24" s="22"/>
      <c r="C24" s="83"/>
      <c r="D24" s="12"/>
      <c r="E24" s="7"/>
      <c r="F24" s="193"/>
      <c r="G24" s="7"/>
      <c r="H24" s="315"/>
      <c r="I24" s="7"/>
      <c r="J24" s="397"/>
      <c r="K24" s="83"/>
      <c r="L24" s="55"/>
      <c r="M24" s="130"/>
      <c r="O24" s="83"/>
      <c r="P24" s="12"/>
      <c r="Q24" s="7"/>
      <c r="R24" s="193"/>
      <c r="S24" s="7"/>
      <c r="T24" s="315"/>
      <c r="U24" s="7"/>
      <c r="V24" s="397"/>
      <c r="W24" s="83"/>
      <c r="X24" s="55"/>
      <c r="AA24" s="171"/>
      <c r="AB24" s="307"/>
      <c r="AC24" s="173"/>
      <c r="AD24" s="393"/>
      <c r="AE24" s="173"/>
      <c r="AF24" s="316"/>
      <c r="AG24" s="173"/>
      <c r="AH24" s="391"/>
      <c r="AI24" s="171"/>
      <c r="AJ24" s="197"/>
      <c r="AN24" s="83"/>
      <c r="AO24" s="12"/>
      <c r="AP24" s="7" t="s">
        <v>210</v>
      </c>
      <c r="AQ24" s="193"/>
      <c r="AR24" s="7" t="s">
        <v>211</v>
      </c>
      <c r="AS24" s="315"/>
      <c r="AT24" s="7" t="s">
        <v>2043</v>
      </c>
      <c r="AU24" s="397"/>
      <c r="AV24" s="83" t="s">
        <v>212</v>
      </c>
      <c r="AW24" s="55"/>
    </row>
    <row r="25" spans="1:49" ht="16.5">
      <c r="A25" s="22"/>
      <c r="C25" s="83"/>
      <c r="D25" s="12"/>
      <c r="E25" s="7"/>
      <c r="F25" s="83"/>
      <c r="G25" s="7"/>
      <c r="H25" s="315"/>
      <c r="I25" s="7"/>
      <c r="J25" s="396"/>
      <c r="K25" s="83"/>
      <c r="L25" s="55"/>
      <c r="M25" s="130"/>
      <c r="O25" s="83"/>
      <c r="P25" s="12"/>
      <c r="Q25" s="7"/>
      <c r="R25" s="83"/>
      <c r="S25" s="7"/>
      <c r="T25" s="315"/>
      <c r="U25" s="7"/>
      <c r="V25" s="396"/>
      <c r="W25" s="83"/>
      <c r="X25" s="55"/>
      <c r="AA25" s="171"/>
      <c r="AB25" s="307"/>
      <c r="AC25" s="173"/>
      <c r="AD25" s="171"/>
      <c r="AE25" s="173"/>
      <c r="AF25" s="316"/>
      <c r="AG25" s="173"/>
      <c r="AH25" s="393"/>
      <c r="AI25" s="171"/>
      <c r="AJ25" s="197"/>
      <c r="AN25" s="83"/>
      <c r="AO25" s="12"/>
      <c r="AP25" s="7"/>
      <c r="AQ25" s="83"/>
      <c r="AR25" s="7" t="s">
        <v>213</v>
      </c>
      <c r="AS25" s="315"/>
      <c r="AT25" s="7" t="s">
        <v>2092</v>
      </c>
      <c r="AU25" s="396"/>
      <c r="AV25" s="83"/>
      <c r="AW25" s="55"/>
    </row>
    <row r="26" spans="1:49" ht="16.5">
      <c r="C26" s="83"/>
      <c r="D26" s="12"/>
      <c r="E26" s="7"/>
      <c r="F26" s="83"/>
      <c r="G26" s="7"/>
      <c r="H26" s="315"/>
      <c r="I26" s="7"/>
      <c r="J26" s="83"/>
      <c r="K26" s="83"/>
      <c r="L26" s="55"/>
      <c r="M26" s="130"/>
      <c r="O26" s="83"/>
      <c r="P26" s="12"/>
      <c r="Q26" s="7"/>
      <c r="R26" s="83"/>
      <c r="S26" s="7"/>
      <c r="T26" s="315"/>
      <c r="U26" s="7"/>
      <c r="V26" s="83"/>
      <c r="W26" s="83"/>
      <c r="X26" s="55"/>
      <c r="AA26" s="171"/>
      <c r="AB26" s="307"/>
      <c r="AC26" s="173"/>
      <c r="AD26" s="171"/>
      <c r="AE26" s="173"/>
      <c r="AF26" s="316"/>
      <c r="AG26" s="173"/>
      <c r="AH26" s="171"/>
      <c r="AI26" s="171"/>
      <c r="AJ26" s="197"/>
      <c r="AN26" s="83"/>
      <c r="AO26" s="12"/>
      <c r="AP26" s="7"/>
      <c r="AQ26" s="83"/>
      <c r="AR26" s="7" t="s">
        <v>214</v>
      </c>
      <c r="AS26" s="315"/>
      <c r="AT26" s="7"/>
      <c r="AU26" s="83"/>
      <c r="AV26" s="83"/>
      <c r="AW26" s="55"/>
    </row>
    <row r="27" spans="1:49" ht="16.5">
      <c r="C27" s="83"/>
      <c r="D27" s="12"/>
      <c r="E27" s="7"/>
      <c r="F27" s="83"/>
      <c r="G27" s="7"/>
      <c r="H27" s="315"/>
      <c r="I27" s="7"/>
      <c r="J27" s="13"/>
      <c r="K27" s="83"/>
      <c r="L27" s="55"/>
      <c r="M27" s="130"/>
      <c r="O27" s="83"/>
      <c r="P27" s="12"/>
      <c r="Q27" s="7"/>
      <c r="R27" s="83"/>
      <c r="S27" s="7"/>
      <c r="T27" s="315"/>
      <c r="U27" s="7"/>
      <c r="V27" s="13"/>
      <c r="W27" s="83"/>
      <c r="X27" s="55"/>
      <c r="AA27" s="171"/>
      <c r="AB27" s="307"/>
      <c r="AC27" s="173"/>
      <c r="AD27" s="171"/>
      <c r="AE27" s="173"/>
      <c r="AF27" s="316"/>
      <c r="AG27" s="173"/>
      <c r="AH27" s="273"/>
      <c r="AI27" s="171"/>
      <c r="AJ27" s="197"/>
      <c r="AN27" s="83"/>
      <c r="AO27" s="12"/>
      <c r="AP27" s="7"/>
      <c r="AQ27" s="83"/>
      <c r="AR27" s="7" t="s">
        <v>215</v>
      </c>
      <c r="AS27" s="315"/>
      <c r="AT27" s="7"/>
      <c r="AU27" s="13"/>
      <c r="AV27" s="83"/>
      <c r="AW27" s="55"/>
    </row>
    <row r="28" spans="1:49" ht="16.5">
      <c r="C28" s="83"/>
      <c r="D28" s="12"/>
      <c r="E28" s="7"/>
      <c r="F28" s="452"/>
      <c r="G28" s="7"/>
      <c r="H28" s="315"/>
      <c r="I28" s="7"/>
      <c r="J28" s="638"/>
      <c r="K28" s="639"/>
      <c r="L28" s="55"/>
      <c r="M28" s="130"/>
      <c r="O28" s="83"/>
      <c r="P28" s="12"/>
      <c r="Q28" s="7"/>
      <c r="R28" s="452"/>
      <c r="S28" s="7"/>
      <c r="T28" s="315"/>
      <c r="U28" s="7"/>
      <c r="V28" s="638"/>
      <c r="W28" s="639"/>
      <c r="X28" s="55"/>
      <c r="AA28" s="171"/>
      <c r="AB28" s="307"/>
      <c r="AC28" s="173"/>
      <c r="AD28" s="453"/>
      <c r="AE28" s="173"/>
      <c r="AF28" s="316"/>
      <c r="AG28" s="173"/>
      <c r="AH28" s="671"/>
      <c r="AI28" s="672"/>
      <c r="AJ28" s="197"/>
      <c r="AN28" s="83"/>
      <c r="AO28" s="12"/>
      <c r="AP28" s="7" t="s">
        <v>216</v>
      </c>
      <c r="AQ28" s="452"/>
      <c r="AR28" s="7" t="s">
        <v>217</v>
      </c>
      <c r="AS28" s="315"/>
      <c r="AT28" s="7" t="s">
        <v>218</v>
      </c>
      <c r="AU28" s="638"/>
      <c r="AV28" s="639"/>
      <c r="AW28" s="55"/>
    </row>
    <row r="29" spans="1:49" ht="16.5">
      <c r="C29" s="83"/>
      <c r="D29" s="56"/>
      <c r="E29" s="13"/>
      <c r="F29" s="13"/>
      <c r="G29" s="13"/>
      <c r="H29" s="13"/>
      <c r="I29" s="13"/>
      <c r="J29" s="13"/>
      <c r="K29" s="13"/>
      <c r="L29" s="11"/>
      <c r="M29" s="130"/>
      <c r="O29" s="83"/>
      <c r="P29" s="56"/>
      <c r="Q29" s="13"/>
      <c r="R29" s="13"/>
      <c r="S29" s="13"/>
      <c r="T29" s="13"/>
      <c r="U29" s="13"/>
      <c r="V29" s="13"/>
      <c r="W29" s="13"/>
      <c r="X29" s="11"/>
      <c r="AA29" s="171"/>
      <c r="AB29" s="308"/>
      <c r="AC29" s="273"/>
      <c r="AD29" s="273"/>
      <c r="AE29" s="273"/>
      <c r="AF29" s="273"/>
      <c r="AG29" s="273"/>
      <c r="AH29" s="273"/>
      <c r="AI29" s="273"/>
      <c r="AJ29" s="259"/>
      <c r="AN29" s="83"/>
      <c r="AO29" s="56"/>
      <c r="AP29" s="13"/>
      <c r="AQ29" s="13"/>
      <c r="AR29" s="13"/>
      <c r="AS29" s="13"/>
      <c r="AT29" s="13"/>
      <c r="AU29" s="13"/>
      <c r="AV29" s="13"/>
      <c r="AW29" s="11"/>
    </row>
    <row r="30" spans="1:49" ht="16.5"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130"/>
      <c r="O30" s="83"/>
      <c r="P30" s="83"/>
      <c r="Q30" s="83"/>
      <c r="R30" s="83"/>
      <c r="S30" s="83"/>
      <c r="T30" s="83"/>
      <c r="U30" s="83"/>
      <c r="V30" s="83"/>
      <c r="W30" s="83"/>
      <c r="X30" s="83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N30" s="83"/>
      <c r="AO30" s="83"/>
      <c r="AP30" s="83"/>
      <c r="AQ30" s="83"/>
      <c r="AR30" s="83"/>
      <c r="AS30" s="83"/>
      <c r="AT30" s="83"/>
      <c r="AU30" s="83"/>
      <c r="AV30" s="83"/>
      <c r="AW30" s="83"/>
    </row>
    <row r="31" spans="1:49" ht="16.5">
      <c r="C31" s="83"/>
      <c r="D31" s="52"/>
      <c r="E31" s="53"/>
      <c r="F31" s="53"/>
      <c r="G31" s="53"/>
      <c r="H31" s="53"/>
      <c r="I31" s="53"/>
      <c r="J31" s="53"/>
      <c r="K31" s="53"/>
      <c r="L31" s="54"/>
      <c r="M31" s="130"/>
      <c r="O31" s="83"/>
      <c r="P31" s="52"/>
      <c r="Q31" s="53"/>
      <c r="R31" s="53"/>
      <c r="S31" s="53"/>
      <c r="T31" s="53"/>
      <c r="U31" s="53"/>
      <c r="V31" s="53"/>
      <c r="W31" s="53"/>
      <c r="X31" s="54"/>
      <c r="AA31" s="171"/>
      <c r="AB31" s="304"/>
      <c r="AC31" s="305"/>
      <c r="AD31" s="305"/>
      <c r="AE31" s="305"/>
      <c r="AF31" s="305"/>
      <c r="AG31" s="305"/>
      <c r="AH31" s="305"/>
      <c r="AI31" s="305"/>
      <c r="AJ31" s="306"/>
      <c r="AN31" s="83"/>
      <c r="AO31" s="52" t="s">
        <v>219</v>
      </c>
      <c r="AP31" s="53"/>
      <c r="AQ31" s="53"/>
      <c r="AR31" s="53"/>
      <c r="AS31" s="53"/>
      <c r="AT31" s="53"/>
      <c r="AU31" s="53"/>
      <c r="AV31" s="53"/>
      <c r="AW31" s="54"/>
    </row>
    <row r="32" spans="1:49" ht="16.5">
      <c r="C32" s="83"/>
      <c r="D32" s="12"/>
      <c r="E32" s="7"/>
      <c r="F32" s="389"/>
      <c r="G32" s="136"/>
      <c r="H32" s="136"/>
      <c r="I32" s="136"/>
      <c r="J32" s="136"/>
      <c r="K32" s="136"/>
      <c r="L32" s="55"/>
      <c r="M32" s="130"/>
      <c r="O32" s="83"/>
      <c r="P32" s="12"/>
      <c r="Q32" s="7"/>
      <c r="R32" s="389"/>
      <c r="S32" s="136"/>
      <c r="T32" s="136"/>
      <c r="U32" s="136"/>
      <c r="V32" s="136"/>
      <c r="W32" s="136"/>
      <c r="X32" s="55"/>
      <c r="AA32" s="171"/>
      <c r="AB32" s="307"/>
      <c r="AC32" s="173"/>
      <c r="AD32" s="455"/>
      <c r="AE32" s="309"/>
      <c r="AF32" s="309"/>
      <c r="AG32" s="309"/>
      <c r="AH32" s="309"/>
      <c r="AI32" s="309"/>
      <c r="AJ32" s="197"/>
      <c r="AN32" s="83"/>
      <c r="AO32" s="12"/>
      <c r="AP32" s="7" t="s">
        <v>220</v>
      </c>
      <c r="AQ32" s="389"/>
      <c r="AR32" s="136"/>
      <c r="AS32" s="136"/>
      <c r="AT32" s="136"/>
      <c r="AU32" s="136"/>
      <c r="AV32" s="136"/>
      <c r="AW32" s="55"/>
    </row>
    <row r="33" spans="1:50" ht="16.5">
      <c r="C33" s="83"/>
      <c r="D33" s="12"/>
      <c r="E33" s="7"/>
      <c r="F33" s="389"/>
      <c r="G33" s="136"/>
      <c r="H33" s="136"/>
      <c r="I33" s="136"/>
      <c r="J33" s="136"/>
      <c r="K33" s="136"/>
      <c r="L33" s="55"/>
      <c r="M33" s="130"/>
      <c r="O33" s="83"/>
      <c r="P33" s="12"/>
      <c r="Q33" s="7"/>
      <c r="R33" s="389"/>
      <c r="S33" s="136"/>
      <c r="T33" s="136"/>
      <c r="U33" s="136"/>
      <c r="V33" s="136"/>
      <c r="W33" s="136"/>
      <c r="X33" s="55"/>
      <c r="AA33" s="171"/>
      <c r="AB33" s="307"/>
      <c r="AC33" s="173"/>
      <c r="AD33" s="455"/>
      <c r="AE33" s="309"/>
      <c r="AF33" s="309"/>
      <c r="AG33" s="309"/>
      <c r="AH33" s="309"/>
      <c r="AI33" s="309"/>
      <c r="AJ33" s="197"/>
      <c r="AN33" s="83"/>
      <c r="AO33" s="12"/>
      <c r="AP33" s="7" t="s">
        <v>221</v>
      </c>
      <c r="AQ33" s="389"/>
      <c r="AR33" s="136"/>
      <c r="AS33" s="136"/>
      <c r="AT33" s="136"/>
      <c r="AU33" s="136"/>
      <c r="AV33" s="136"/>
      <c r="AW33" s="55"/>
    </row>
    <row r="34" spans="1:50" ht="16.5">
      <c r="C34" s="83"/>
      <c r="D34" s="656"/>
      <c r="E34" s="657"/>
      <c r="F34" s="612"/>
      <c r="G34" s="613"/>
      <c r="H34" s="613"/>
      <c r="I34" s="613"/>
      <c r="J34" s="614"/>
      <c r="K34" s="136"/>
      <c r="L34" s="55"/>
      <c r="M34" s="130"/>
      <c r="O34" s="83"/>
      <c r="P34" s="656"/>
      <c r="Q34" s="657"/>
      <c r="R34" s="612"/>
      <c r="S34" s="613"/>
      <c r="T34" s="613"/>
      <c r="U34" s="613"/>
      <c r="V34" s="614"/>
      <c r="W34" s="136"/>
      <c r="X34" s="55"/>
      <c r="AA34" s="171"/>
      <c r="AB34" s="673"/>
      <c r="AC34" s="674"/>
      <c r="AD34" s="675"/>
      <c r="AE34" s="676"/>
      <c r="AF34" s="676"/>
      <c r="AG34" s="676"/>
      <c r="AH34" s="677"/>
      <c r="AI34" s="309"/>
      <c r="AJ34" s="197"/>
      <c r="AN34" s="83"/>
      <c r="AO34" s="656" t="s">
        <v>222</v>
      </c>
      <c r="AP34" s="657"/>
      <c r="AQ34" s="612"/>
      <c r="AR34" s="613"/>
      <c r="AS34" s="613"/>
      <c r="AT34" s="613"/>
      <c r="AU34" s="614"/>
      <c r="AV34" s="136"/>
      <c r="AW34" s="55"/>
    </row>
    <row r="35" spans="1:50" ht="16.5">
      <c r="C35" s="83"/>
      <c r="D35" s="297"/>
      <c r="E35" s="298"/>
      <c r="F35" s="13"/>
      <c r="G35" s="13"/>
      <c r="H35" s="13"/>
      <c r="I35" s="13"/>
      <c r="J35" s="13"/>
      <c r="K35" s="299"/>
      <c r="L35" s="11"/>
      <c r="M35" s="130"/>
      <c r="O35" s="83"/>
      <c r="P35" s="297"/>
      <c r="Q35" s="298"/>
      <c r="R35" s="13"/>
      <c r="S35" s="13"/>
      <c r="T35" s="13"/>
      <c r="U35" s="13"/>
      <c r="V35" s="13"/>
      <c r="W35" s="299"/>
      <c r="X35" s="11"/>
      <c r="AA35" s="171"/>
      <c r="AB35" s="310"/>
      <c r="AC35" s="311"/>
      <c r="AD35" s="273"/>
      <c r="AE35" s="273"/>
      <c r="AF35" s="273"/>
      <c r="AG35" s="273"/>
      <c r="AH35" s="273"/>
      <c r="AI35" s="312"/>
      <c r="AJ35" s="259"/>
      <c r="AN35" s="83"/>
      <c r="AO35" s="297"/>
      <c r="AP35" s="298"/>
      <c r="AQ35" s="13"/>
      <c r="AR35" s="13"/>
      <c r="AS35" s="13"/>
      <c r="AT35" s="13"/>
      <c r="AU35" s="13"/>
      <c r="AV35" s="299"/>
      <c r="AW35" s="11"/>
    </row>
    <row r="36" spans="1:50" ht="16.5">
      <c r="C36" s="83"/>
      <c r="D36" s="83"/>
      <c r="E36" s="83"/>
      <c r="F36" s="136"/>
      <c r="G36" s="136"/>
      <c r="H36" s="136"/>
      <c r="I36" s="136"/>
      <c r="J36" s="136"/>
      <c r="K36" s="136"/>
      <c r="L36" s="83"/>
      <c r="M36" s="130"/>
      <c r="O36" s="83"/>
      <c r="P36" s="83"/>
      <c r="Q36" s="83"/>
      <c r="R36" s="136"/>
      <c r="S36" s="136"/>
      <c r="T36" s="136"/>
      <c r="U36" s="136"/>
      <c r="V36" s="136"/>
      <c r="W36" s="136"/>
      <c r="X36" s="83"/>
      <c r="AA36" s="171"/>
      <c r="AB36" s="171"/>
      <c r="AC36" s="171"/>
      <c r="AD36" s="309"/>
      <c r="AE36" s="309"/>
      <c r="AF36" s="309"/>
      <c r="AG36" s="309"/>
      <c r="AH36" s="309"/>
      <c r="AI36" s="309"/>
      <c r="AJ36" s="171"/>
      <c r="AN36" s="83"/>
      <c r="AO36" s="83"/>
      <c r="AP36" s="83"/>
      <c r="AQ36" s="136"/>
      <c r="AR36" s="136"/>
      <c r="AS36" s="136"/>
      <c r="AT36" s="136"/>
      <c r="AU36" s="136"/>
      <c r="AV36" s="136"/>
      <c r="AW36" s="83"/>
    </row>
    <row r="37" spans="1:50" ht="16.5">
      <c r="C37" s="83"/>
      <c r="D37" s="7"/>
      <c r="E37" s="641"/>
      <c r="F37" s="642"/>
      <c r="G37" s="642"/>
      <c r="H37" s="642"/>
      <c r="I37" s="642"/>
      <c r="J37" s="643"/>
      <c r="K37" s="83"/>
      <c r="L37" s="83"/>
      <c r="M37" s="130"/>
      <c r="O37" s="83"/>
      <c r="P37" s="7"/>
      <c r="Q37" s="641"/>
      <c r="R37" s="642"/>
      <c r="S37" s="642"/>
      <c r="T37" s="642"/>
      <c r="U37" s="642"/>
      <c r="V37" s="643"/>
      <c r="W37" s="83"/>
      <c r="X37" s="83"/>
      <c r="AA37" s="171"/>
      <c r="AB37" s="173"/>
      <c r="AC37" s="658"/>
      <c r="AD37" s="659"/>
      <c r="AE37" s="659"/>
      <c r="AF37" s="659"/>
      <c r="AG37" s="659"/>
      <c r="AH37" s="660"/>
      <c r="AI37" s="171"/>
      <c r="AJ37" s="171"/>
      <c r="AN37" s="83"/>
      <c r="AO37" s="7" t="s">
        <v>223</v>
      </c>
      <c r="AP37" s="641"/>
      <c r="AQ37" s="642"/>
      <c r="AR37" s="642"/>
      <c r="AS37" s="642"/>
      <c r="AT37" s="642"/>
      <c r="AU37" s="643"/>
      <c r="AV37" s="83"/>
      <c r="AW37" s="83"/>
    </row>
    <row r="38" spans="1:50" ht="16.5">
      <c r="C38" s="83"/>
      <c r="D38" s="83"/>
      <c r="E38" s="644"/>
      <c r="F38" s="645"/>
      <c r="G38" s="645"/>
      <c r="H38" s="645"/>
      <c r="I38" s="645"/>
      <c r="J38" s="646"/>
      <c r="K38" s="83"/>
      <c r="L38" s="83"/>
      <c r="M38" s="130"/>
      <c r="O38" s="83"/>
      <c r="P38" s="83"/>
      <c r="Q38" s="644"/>
      <c r="R38" s="645"/>
      <c r="S38" s="645"/>
      <c r="T38" s="645"/>
      <c r="U38" s="645"/>
      <c r="V38" s="646"/>
      <c r="W38" s="83"/>
      <c r="X38" s="83"/>
      <c r="AA38" s="171"/>
      <c r="AB38" s="171"/>
      <c r="AC38" s="661"/>
      <c r="AD38" s="662"/>
      <c r="AE38" s="662"/>
      <c r="AF38" s="662"/>
      <c r="AG38" s="662"/>
      <c r="AH38" s="663"/>
      <c r="AI38" s="171"/>
      <c r="AJ38" s="171"/>
      <c r="AN38" s="83"/>
      <c r="AO38" s="83"/>
      <c r="AP38" s="644"/>
      <c r="AQ38" s="645"/>
      <c r="AR38" s="645"/>
      <c r="AS38" s="645"/>
      <c r="AT38" s="645"/>
      <c r="AU38" s="646"/>
      <c r="AV38" s="83"/>
      <c r="AW38" s="83"/>
    </row>
    <row r="39" spans="1:50" ht="16.5">
      <c r="C39" s="83"/>
      <c r="D39" s="83"/>
      <c r="E39" s="644"/>
      <c r="F39" s="645"/>
      <c r="G39" s="645"/>
      <c r="H39" s="645"/>
      <c r="I39" s="645"/>
      <c r="J39" s="646"/>
      <c r="K39" s="83"/>
      <c r="L39" s="83"/>
      <c r="M39" s="130"/>
      <c r="O39" s="83"/>
      <c r="P39" s="83"/>
      <c r="Q39" s="644"/>
      <c r="R39" s="645"/>
      <c r="S39" s="645"/>
      <c r="T39" s="645"/>
      <c r="U39" s="645"/>
      <c r="V39" s="646"/>
      <c r="W39" s="83"/>
      <c r="X39" s="83"/>
      <c r="AA39" s="171"/>
      <c r="AB39" s="171"/>
      <c r="AC39" s="661"/>
      <c r="AD39" s="662"/>
      <c r="AE39" s="662"/>
      <c r="AF39" s="662"/>
      <c r="AG39" s="662"/>
      <c r="AH39" s="663"/>
      <c r="AI39" s="171"/>
      <c r="AJ39" s="171"/>
      <c r="AN39" s="83"/>
      <c r="AO39" s="83"/>
      <c r="AP39" s="644"/>
      <c r="AQ39" s="645"/>
      <c r="AR39" s="645"/>
      <c r="AS39" s="645"/>
      <c r="AT39" s="645"/>
      <c r="AU39" s="646"/>
      <c r="AV39" s="83"/>
      <c r="AW39" s="83"/>
    </row>
    <row r="40" spans="1:50" ht="16.5">
      <c r="C40" s="83"/>
      <c r="D40" s="83"/>
      <c r="E40" s="647"/>
      <c r="F40" s="648"/>
      <c r="G40" s="648"/>
      <c r="H40" s="648"/>
      <c r="I40" s="648"/>
      <c r="J40" s="649"/>
      <c r="K40" s="83"/>
      <c r="L40" s="83"/>
      <c r="M40" s="130"/>
      <c r="O40" s="83"/>
      <c r="P40" s="83"/>
      <c r="Q40" s="647"/>
      <c r="R40" s="648"/>
      <c r="S40" s="648"/>
      <c r="T40" s="648"/>
      <c r="U40" s="648"/>
      <c r="V40" s="649"/>
      <c r="W40" s="83"/>
      <c r="X40" s="83"/>
      <c r="AA40" s="171"/>
      <c r="AB40" s="171"/>
      <c r="AC40" s="664"/>
      <c r="AD40" s="665"/>
      <c r="AE40" s="665"/>
      <c r="AF40" s="665"/>
      <c r="AG40" s="665"/>
      <c r="AH40" s="666"/>
      <c r="AI40" s="171"/>
      <c r="AJ40" s="171"/>
      <c r="AN40" s="83"/>
      <c r="AO40" s="83"/>
      <c r="AP40" s="647"/>
      <c r="AQ40" s="648"/>
      <c r="AR40" s="648"/>
      <c r="AS40" s="648"/>
      <c r="AT40" s="648"/>
      <c r="AU40" s="649"/>
      <c r="AV40" s="83"/>
      <c r="AW40" s="83"/>
    </row>
    <row r="41" spans="1:50" ht="16.5">
      <c r="A41" s="130"/>
      <c r="B41" s="129"/>
      <c r="C41" s="83"/>
      <c r="D41" s="83"/>
      <c r="E41" s="83"/>
      <c r="F41" s="83"/>
      <c r="G41" s="83"/>
      <c r="H41" s="83"/>
      <c r="I41" s="83"/>
      <c r="J41" s="83"/>
      <c r="K41" s="83"/>
      <c r="L41" s="83"/>
      <c r="M41" s="130"/>
      <c r="O41" s="83"/>
      <c r="P41" s="83"/>
      <c r="Q41" s="83"/>
      <c r="R41" s="83"/>
      <c r="S41" s="83"/>
      <c r="T41" s="83"/>
      <c r="U41" s="83"/>
      <c r="V41" s="83"/>
      <c r="W41" s="83"/>
      <c r="X41" s="83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N41" s="83"/>
      <c r="AO41" s="83"/>
      <c r="AP41" s="83"/>
      <c r="AQ41" s="83"/>
      <c r="AR41" s="83"/>
      <c r="AS41" s="83"/>
      <c r="AT41" s="83"/>
      <c r="AU41" s="83"/>
      <c r="AV41" s="83"/>
      <c r="AW41" s="83"/>
      <c r="AX41" s="130"/>
    </row>
    <row r="42" spans="1:50" ht="16.5">
      <c r="C42" s="83"/>
      <c r="D42" s="7"/>
      <c r="E42" s="83"/>
      <c r="F42" s="83"/>
      <c r="G42" s="83"/>
      <c r="H42" s="83"/>
      <c r="I42" s="83"/>
      <c r="J42" s="83"/>
      <c r="K42" s="83"/>
      <c r="L42" s="83"/>
      <c r="M42" s="130"/>
      <c r="O42" s="83"/>
      <c r="P42" s="7"/>
      <c r="Q42" s="83"/>
      <c r="R42" s="83"/>
      <c r="S42" s="83"/>
      <c r="T42" s="83"/>
      <c r="U42" s="83"/>
      <c r="V42" s="83"/>
      <c r="W42" s="83"/>
      <c r="X42" s="83"/>
      <c r="AA42" s="171"/>
      <c r="AB42" s="173"/>
      <c r="AC42" s="171"/>
      <c r="AD42" s="171"/>
      <c r="AE42" s="171"/>
      <c r="AF42" s="171"/>
      <c r="AG42" s="171"/>
      <c r="AH42" s="171"/>
      <c r="AI42" s="171"/>
      <c r="AJ42" s="171"/>
      <c r="AN42" s="83"/>
      <c r="AO42" s="7" t="s">
        <v>6</v>
      </c>
      <c r="AP42" s="83"/>
      <c r="AQ42" s="83"/>
      <c r="AR42" s="83"/>
      <c r="AS42" s="83"/>
      <c r="AT42" s="83"/>
      <c r="AU42" s="83"/>
      <c r="AV42" s="83"/>
      <c r="AW42" s="83"/>
      <c r="AX42" s="57"/>
    </row>
    <row r="43" spans="1:50" ht="16.5">
      <c r="A43" s="425"/>
      <c r="B43" s="129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130"/>
      <c r="N43" s="130"/>
      <c r="O43" s="83"/>
      <c r="P43" s="83"/>
      <c r="Q43" s="83"/>
      <c r="R43" s="83"/>
      <c r="S43" s="83"/>
      <c r="T43" s="83"/>
      <c r="U43" s="83"/>
      <c r="V43" s="83"/>
      <c r="W43" s="83"/>
      <c r="X43" s="83"/>
      <c r="Y43" s="130"/>
      <c r="Z43" s="130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30"/>
      <c r="AL43" s="130"/>
      <c r="AM43" s="130"/>
      <c r="AN43" s="83"/>
      <c r="AO43" s="83"/>
      <c r="AP43" s="83"/>
      <c r="AQ43" s="83"/>
      <c r="AR43" s="83"/>
      <c r="AS43" s="83"/>
      <c r="AT43" s="83"/>
      <c r="AU43" s="83"/>
      <c r="AV43" s="83"/>
      <c r="AW43" s="83"/>
    </row>
    <row r="44" spans="1:50" ht="16.5">
      <c r="A44" s="425"/>
      <c r="B44" s="129"/>
      <c r="C44" s="83"/>
      <c r="D44" s="7"/>
      <c r="E44" s="650" t="str">
        <f>IF(UNMM0050_INSERT_DATETIME="","",MID(UNMM0050_INSERT_DATETIME,3,4)&amp;"/"&amp;MID(UNMM0050_INSERT_DATETIME,8,2)&amp;"/"&amp;MID(UNMM0050_INSERT_DATETIME,11,2)&amp;" "&amp;MID(UNMM0050_INSERT_DATETIME,14,8))</f>
        <v/>
      </c>
      <c r="F44" s="651"/>
      <c r="G44" s="7"/>
      <c r="H44" s="650" t="str">
        <f>IF(UNMM0050_UPDATE_DATETIME="","",MID(UNMM0050_UPDATE_DATETIME,3,4)&amp;"/"&amp;MID(UNMM0050_UPDATE_DATETIME,8,2)&amp;"/"&amp;MID(UNMM0050_UPDATE_DATETIME,11,2)&amp;" "&amp;MID(UNMM0050_UPDATE_DATETIME,14,8))</f>
        <v/>
      </c>
      <c r="I44" s="652"/>
      <c r="J44" s="651"/>
      <c r="K44" s="83"/>
      <c r="L44" s="83"/>
      <c r="M44" s="130"/>
      <c r="N44" s="57"/>
      <c r="O44" s="83"/>
      <c r="P44" s="7"/>
      <c r="Q44" s="650" t="str">
        <f>IF(UNMM0050_INSERT_DATETIME="","",MID(UNMM0050_INSERT_DATETIME,3,4)&amp;"/"&amp;MID(UNMM0050_INSERT_DATETIME,8,2)&amp;"/"&amp;MID(UNMM0050_INSERT_DATETIME,11,2)&amp;" "&amp;MID(UNMM0050_INSERT_DATETIME,14,8))</f>
        <v/>
      </c>
      <c r="R44" s="651"/>
      <c r="S44" s="7"/>
      <c r="T44" s="650" t="str">
        <f>IF(UNMM0050_UPDATE_DATETIME="","",MID(UNMM0050_UPDATE_DATETIME,3,4)&amp;"/"&amp;MID(UNMM0050_UPDATE_DATETIME,8,2)&amp;"/"&amp;MID(UNMM0050_UPDATE_DATETIME,11,2)&amp;" "&amp;MID(UNMM0050_UPDATE_DATETIME,14,8))</f>
        <v/>
      </c>
      <c r="U44" s="652"/>
      <c r="V44" s="651"/>
      <c r="W44" s="83"/>
      <c r="X44" s="83"/>
      <c r="Y44" s="57"/>
      <c r="Z44" s="57"/>
      <c r="AA44" s="171"/>
      <c r="AB44" s="173"/>
      <c r="AC44" s="650" t="str">
        <f>IF(UNMM0050_INSERT_DATETIME="","",MID(UNMM0050_INSERT_DATETIME,3,4)&amp;"/"&amp;MID(UNMM0050_INSERT_DATETIME,8,2)&amp;"/"&amp;MID(UNMM0050_INSERT_DATETIME,11,2)&amp;" "&amp;MID(UNMM0050_INSERT_DATETIME,14,8))</f>
        <v/>
      </c>
      <c r="AD44" s="651"/>
      <c r="AE44" s="7"/>
      <c r="AF44" s="650" t="str">
        <f>IF(UNMM0050_UPDATE_DATETIME="","",MID(UNMM0050_UPDATE_DATETIME,3,4)&amp;"/"&amp;MID(UNMM0050_UPDATE_DATETIME,8,2)&amp;"/"&amp;MID(UNMM0050_UPDATE_DATETIME,11,2)&amp;" "&amp;MID(UNMM0050_UPDATE_DATETIME,14,8))</f>
        <v/>
      </c>
      <c r="AG44" s="652"/>
      <c r="AH44" s="651"/>
      <c r="AI44" s="171"/>
      <c r="AJ44" s="171"/>
      <c r="AK44" s="57"/>
      <c r="AL44" s="57"/>
      <c r="AM44" s="57"/>
      <c r="AN44" s="83"/>
      <c r="AO44" s="7" t="s">
        <v>7</v>
      </c>
      <c r="AP44" s="650" t="str">
        <f>IF(UNMM0050_INSERT_DATETIME="","",MID(UNMM0050_INSERT_DATETIME,3,4)&amp;"/"&amp;MID(UNMM0050_INSERT_DATETIME,8,2)&amp;"/"&amp;MID(UNMM0050_INSERT_DATETIME,11,2)&amp;" "&amp;MID(UNMM0050_INSERT_DATETIME,14,8))</f>
        <v/>
      </c>
      <c r="AQ44" s="651"/>
      <c r="AR44" s="7" t="s">
        <v>8</v>
      </c>
      <c r="AS44" s="650" t="str">
        <f>IF(UNMM0050_UPDATE_DATETIME="","",MID(UNMM0050_UPDATE_DATETIME,3,4)&amp;"/"&amp;MID(UNMM0050_UPDATE_DATETIME,8,2)&amp;"/"&amp;MID(UNMM0050_UPDATE_DATETIME,11,2)&amp;" "&amp;MID(UNMM0050_UPDATE_DATETIME,14,8))</f>
        <v/>
      </c>
      <c r="AT44" s="652"/>
      <c r="AU44" s="651"/>
      <c r="AV44" s="83"/>
      <c r="AW44" s="83"/>
      <c r="AX44" s="425"/>
    </row>
    <row r="45" spans="1:50" ht="22.5" customHeight="1"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130"/>
      <c r="N45" s="57"/>
      <c r="O45" s="83"/>
      <c r="P45" s="83"/>
      <c r="Q45" s="83"/>
      <c r="R45" s="83"/>
      <c r="S45" s="83"/>
      <c r="T45" s="83"/>
      <c r="U45" s="83"/>
      <c r="V45" s="83"/>
      <c r="W45" s="83"/>
      <c r="X45" s="83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N45" s="83"/>
      <c r="AO45" s="83"/>
      <c r="AP45" s="83"/>
      <c r="AQ45" s="83"/>
      <c r="AR45" s="83"/>
      <c r="AS45" s="83"/>
      <c r="AT45" s="83"/>
      <c r="AU45" s="83"/>
      <c r="AV45" s="83"/>
      <c r="AW45" s="83"/>
      <c r="AX45" s="425"/>
    </row>
    <row r="46" spans="1:50" ht="22.5" customHeight="1" thickBot="1">
      <c r="A46" s="96"/>
      <c r="B46" s="97"/>
      <c r="C46" s="97"/>
      <c r="D46" s="96"/>
      <c r="E46" s="96"/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6"/>
      <c r="AE46" s="96"/>
      <c r="AF46" s="96"/>
      <c r="AG46" s="96"/>
      <c r="AH46" s="96"/>
      <c r="AI46" s="96"/>
      <c r="AJ46" s="96"/>
      <c r="AK46" s="96"/>
      <c r="AL46" s="96"/>
      <c r="AM46" s="96"/>
      <c r="AN46" s="96"/>
      <c r="AO46" s="96"/>
      <c r="AP46" s="96"/>
      <c r="AQ46" s="96"/>
      <c r="AR46" s="96"/>
      <c r="AS46" s="96"/>
      <c r="AT46" s="96"/>
      <c r="AU46" s="96"/>
      <c r="AV46" s="96"/>
      <c r="AW46" s="96"/>
      <c r="AX46" s="96"/>
    </row>
    <row r="47" spans="1:50" ht="22.5" customHeight="1"/>
    <row r="48" spans="1:50" ht="22.5" customHeight="1">
      <c r="A48" s="22" t="s">
        <v>103</v>
      </c>
      <c r="D48" s="31"/>
      <c r="E48" s="57"/>
      <c r="F48" s="57"/>
      <c r="G48" s="57"/>
    </row>
    <row r="49" spans="1:50" ht="22.5" customHeight="1">
      <c r="A49" s="85"/>
      <c r="B49" s="110" t="s">
        <v>39</v>
      </c>
      <c r="C49" s="110" t="s">
        <v>312</v>
      </c>
      <c r="D49" s="127">
        <v>0</v>
      </c>
      <c r="E49" s="514" t="s">
        <v>57</v>
      </c>
      <c r="F49" s="514" t="s">
        <v>55</v>
      </c>
      <c r="G49" s="514" t="s">
        <v>56</v>
      </c>
      <c r="H49" s="507"/>
      <c r="I49" s="507"/>
      <c r="J49" s="507"/>
      <c r="K49" s="507"/>
      <c r="L49" s="507"/>
      <c r="M49" s="507"/>
      <c r="N49" s="507"/>
      <c r="O49" s="507"/>
      <c r="P49" s="507"/>
      <c r="Q49" s="507"/>
      <c r="R49" s="507"/>
      <c r="S49" s="507"/>
      <c r="T49" s="507"/>
      <c r="U49" s="507"/>
      <c r="V49" s="507"/>
      <c r="W49" s="507"/>
      <c r="X49" s="507"/>
      <c r="Y49" s="507"/>
      <c r="Z49" s="507"/>
      <c r="AA49" s="507"/>
      <c r="AB49" s="507"/>
      <c r="AC49" s="507"/>
      <c r="AD49" s="507"/>
      <c r="AE49" s="507"/>
      <c r="AF49" s="507"/>
      <c r="AG49" s="507"/>
      <c r="AH49" s="507"/>
      <c r="AI49" s="507"/>
      <c r="AJ49" s="507"/>
      <c r="AK49" s="507"/>
      <c r="AL49" s="507"/>
      <c r="AM49" s="507"/>
      <c r="AN49" s="507"/>
      <c r="AO49" s="507"/>
      <c r="AP49" s="507"/>
      <c r="AQ49" s="507"/>
      <c r="AR49" s="507"/>
      <c r="AS49" s="507"/>
      <c r="AT49" s="507"/>
      <c r="AU49" s="507"/>
      <c r="AV49" s="507"/>
      <c r="AW49" s="507"/>
      <c r="AX49" s="507"/>
    </row>
    <row r="50" spans="1:50" ht="22.5" customHeight="1" thickBot="1">
      <c r="A50" s="96"/>
      <c r="B50" s="97" t="s">
        <v>2087</v>
      </c>
      <c r="C50" s="97" t="s">
        <v>2086</v>
      </c>
      <c r="D50" s="98">
        <v>0</v>
      </c>
      <c r="E50" s="99" t="s">
        <v>2088</v>
      </c>
      <c r="F50" s="99" t="s">
        <v>2089</v>
      </c>
      <c r="G50" s="99"/>
      <c r="H50" s="96"/>
      <c r="I50" s="96"/>
      <c r="J50" s="96"/>
      <c r="K50" s="96"/>
      <c r="L50" s="96"/>
      <c r="M50" s="96"/>
      <c r="N50" s="96"/>
      <c r="O50" s="96"/>
      <c r="P50" s="96"/>
      <c r="Q50" s="96"/>
      <c r="R50" s="96"/>
      <c r="S50" s="96"/>
      <c r="T50" s="96"/>
      <c r="U50" s="96"/>
      <c r="V50" s="96"/>
      <c r="W50" s="96"/>
      <c r="X50" s="96"/>
      <c r="Y50" s="96"/>
      <c r="Z50" s="96"/>
      <c r="AA50" s="96"/>
      <c r="AB50" s="96"/>
      <c r="AC50" s="96"/>
      <c r="AD50" s="96"/>
      <c r="AE50" s="96"/>
      <c r="AF50" s="96"/>
      <c r="AG50" s="96"/>
      <c r="AH50" s="96"/>
      <c r="AI50" s="96"/>
      <c r="AJ50" s="96"/>
      <c r="AK50" s="96"/>
      <c r="AL50" s="96"/>
      <c r="AM50" s="96"/>
      <c r="AN50" s="96"/>
      <c r="AO50" s="96"/>
      <c r="AP50" s="96"/>
      <c r="AQ50" s="96"/>
      <c r="AR50" s="96"/>
      <c r="AS50" s="96"/>
      <c r="AT50" s="96"/>
      <c r="AU50" s="96"/>
      <c r="AV50" s="96"/>
      <c r="AW50" s="96"/>
      <c r="AX50" s="96"/>
    </row>
    <row r="51" spans="1:50" ht="22.5" customHeight="1">
      <c r="A51" s="57"/>
      <c r="D51" s="57"/>
      <c r="E51" s="23"/>
      <c r="F51" s="23"/>
      <c r="G51" s="23"/>
    </row>
    <row r="52" spans="1:50" ht="22.5" customHeight="1">
      <c r="A52" s="22" t="s">
        <v>41</v>
      </c>
      <c r="D52" s="31"/>
      <c r="E52" s="22" t="s">
        <v>49</v>
      </c>
      <c r="F52" s="57"/>
      <c r="G52" s="57"/>
    </row>
    <row r="53" spans="1:50" ht="22.5" customHeight="1">
      <c r="A53" s="57"/>
      <c r="B53" s="24" t="s">
        <v>43</v>
      </c>
      <c r="C53" s="24" t="s">
        <v>313</v>
      </c>
      <c r="D53" s="30" t="str">
        <f>IF(UNMM0050_IF_MODE=1,"-",IF(UNMM0050_IF_MODE=2,"修正キャンセル","修正"))</f>
        <v>修正</v>
      </c>
      <c r="E53" s="21" t="s">
        <v>58</v>
      </c>
      <c r="F53" s="57" t="s">
        <v>59</v>
      </c>
      <c r="G53" s="57" t="s">
        <v>60</v>
      </c>
    </row>
    <row r="54" spans="1:50" ht="22.5" customHeight="1" thickBot="1">
      <c r="A54" s="96"/>
      <c r="B54" s="97" t="s">
        <v>315</v>
      </c>
      <c r="C54" s="97" t="s">
        <v>314</v>
      </c>
      <c r="D54" s="98" t="str">
        <f>IF(UNMM0050_IF_MODE=1,"新規登録",IF(UNMM0050_IF_MODE=2,"保存","-"))</f>
        <v>-</v>
      </c>
      <c r="E54" s="96" t="s">
        <v>3</v>
      </c>
      <c r="F54" s="96" t="s">
        <v>330</v>
      </c>
      <c r="G54" s="96" t="s">
        <v>1966</v>
      </c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  <c r="T54" s="96"/>
      <c r="U54" s="96"/>
      <c r="V54" s="96"/>
      <c r="W54" s="96"/>
      <c r="X54" s="96"/>
      <c r="Y54" s="96"/>
      <c r="Z54" s="96"/>
      <c r="AA54" s="96"/>
      <c r="AB54" s="96"/>
      <c r="AC54" s="96"/>
      <c r="AD54" s="96"/>
      <c r="AE54" s="96"/>
      <c r="AF54" s="96"/>
      <c r="AG54" s="96"/>
      <c r="AH54" s="96"/>
      <c r="AI54" s="96"/>
      <c r="AJ54" s="96"/>
      <c r="AK54" s="96"/>
      <c r="AL54" s="96"/>
      <c r="AM54" s="96"/>
      <c r="AN54" s="96"/>
      <c r="AO54" s="96"/>
      <c r="AP54" s="96"/>
      <c r="AQ54" s="96"/>
      <c r="AR54" s="96"/>
      <c r="AS54" s="96"/>
      <c r="AT54" s="96"/>
      <c r="AU54" s="96"/>
      <c r="AV54" s="96"/>
      <c r="AW54" s="96"/>
      <c r="AX54" s="96"/>
    </row>
    <row r="55" spans="1:50" ht="22.5" customHeight="1"/>
    <row r="56" spans="1:50" ht="22.5" customHeight="1">
      <c r="A56" s="22" t="s">
        <v>45</v>
      </c>
      <c r="C56"/>
      <c r="D56" s="31"/>
      <c r="E56" s="22" t="s">
        <v>49</v>
      </c>
      <c r="F56" s="57"/>
      <c r="G56" s="57"/>
    </row>
    <row r="57" spans="1:50" ht="22.5" customHeight="1">
      <c r="A57" s="22"/>
      <c r="B57" s="24" t="s">
        <v>321</v>
      </c>
      <c r="C57" s="24" t="s">
        <v>322</v>
      </c>
      <c r="D57" s="30">
        <f>IF(UNMM0050_IF_MODE=1,2,IF(UNMM0050_IF_MODE=2,1,1))</f>
        <v>1</v>
      </c>
      <c r="E57" s="37" t="s">
        <v>323</v>
      </c>
      <c r="F57" s="57" t="s">
        <v>324</v>
      </c>
      <c r="G57" s="57" t="s">
        <v>324</v>
      </c>
      <c r="I57" s="82"/>
    </row>
    <row r="58" spans="1:50" ht="22.5" customHeight="1">
      <c r="A58" s="57"/>
      <c r="B58" s="24" t="s">
        <v>50</v>
      </c>
      <c r="C58" s="24" t="s">
        <v>316</v>
      </c>
      <c r="D58" s="30">
        <f>IF(UNMM0050_IF_MODE=1,2,IF(UNMM0050_IF_MODE=2,1,1))</f>
        <v>1</v>
      </c>
      <c r="E58" s="57" t="s">
        <v>64</v>
      </c>
      <c r="F58" s="57" t="s">
        <v>63</v>
      </c>
      <c r="G58" s="57" t="s">
        <v>63</v>
      </c>
    </row>
    <row r="59" spans="1:50" ht="22.5" customHeight="1">
      <c r="A59" s="57"/>
      <c r="B59" s="24" t="s">
        <v>43</v>
      </c>
      <c r="C59" s="24" t="s">
        <v>317</v>
      </c>
      <c r="D59" s="30">
        <f>IF(UNMM0050_IF_MODE=1,2,IF(UNMM0050_IF_MODE=2,1,1))</f>
        <v>1</v>
      </c>
      <c r="E59" s="57" t="s">
        <v>64</v>
      </c>
      <c r="F59" s="57" t="s">
        <v>63</v>
      </c>
      <c r="G59" s="57" t="s">
        <v>63</v>
      </c>
    </row>
    <row r="60" spans="1:50" ht="22.5" customHeight="1">
      <c r="A60" s="57"/>
      <c r="B60" s="24" t="s">
        <v>51</v>
      </c>
      <c r="C60" s="24" t="s">
        <v>396</v>
      </c>
      <c r="D60" s="30">
        <f>IF(UNMM0050_IF_MODE=1,2,IF(UNMM0050_IF_MODE=2,1,2))</f>
        <v>2</v>
      </c>
      <c r="E60" s="57" t="s">
        <v>64</v>
      </c>
      <c r="F60" s="57" t="s">
        <v>63</v>
      </c>
      <c r="G60" s="57" t="s">
        <v>64</v>
      </c>
    </row>
    <row r="61" spans="1:50" ht="22.5" customHeight="1">
      <c r="A61" s="57"/>
      <c r="B61" s="24" t="s">
        <v>52</v>
      </c>
      <c r="C61" s="24" t="s">
        <v>319</v>
      </c>
      <c r="D61" s="30">
        <f>IF(UNMM0050_IF_MODE=1,1,IF(UNMM0050_IF_MODE=2,1,2))</f>
        <v>2</v>
      </c>
      <c r="E61" s="57" t="s">
        <v>63</v>
      </c>
      <c r="F61" s="57" t="s">
        <v>63</v>
      </c>
      <c r="G61" s="57" t="s">
        <v>64</v>
      </c>
    </row>
    <row r="62" spans="1:50" ht="22.5" customHeight="1">
      <c r="A62" s="57"/>
      <c r="B62" s="24" t="s">
        <v>331</v>
      </c>
      <c r="C62" s="24" t="s">
        <v>318</v>
      </c>
      <c r="D62" s="30">
        <f>IF(UNMM0050_IF_MODE=1,1,IF(UNMM0050_IF_MODE=2,1,2))</f>
        <v>2</v>
      </c>
      <c r="E62" s="57" t="s">
        <v>63</v>
      </c>
      <c r="F62" s="57" t="s">
        <v>63</v>
      </c>
      <c r="G62" s="57" t="s">
        <v>64</v>
      </c>
    </row>
    <row r="63" spans="1:50" ht="22.5" customHeight="1" thickBot="1">
      <c r="A63" s="96"/>
      <c r="B63" s="97" t="s">
        <v>54</v>
      </c>
      <c r="C63" s="97" t="s">
        <v>320</v>
      </c>
      <c r="D63" s="98">
        <f>IF(UNMM0050_IF_MODE=1,2,IF(UNMM0050_IF_MODE=2,2,1))</f>
        <v>1</v>
      </c>
      <c r="E63" s="96" t="s">
        <v>64</v>
      </c>
      <c r="F63" s="96" t="s">
        <v>935</v>
      </c>
      <c r="G63" s="96" t="s">
        <v>63</v>
      </c>
      <c r="H63" s="96"/>
      <c r="I63" s="96"/>
      <c r="J63" s="96"/>
      <c r="K63" s="96"/>
      <c r="L63" s="96"/>
      <c r="M63" s="96"/>
      <c r="N63" s="96"/>
      <c r="O63" s="96"/>
      <c r="P63" s="96"/>
      <c r="Q63" s="96"/>
      <c r="R63" s="96"/>
      <c r="S63" s="96"/>
      <c r="T63" s="96"/>
      <c r="U63" s="96"/>
      <c r="V63" s="96"/>
      <c r="W63" s="96"/>
      <c r="X63" s="96"/>
      <c r="Y63" s="96"/>
      <c r="Z63" s="96"/>
      <c r="AA63" s="96"/>
      <c r="AB63" s="96"/>
      <c r="AC63" s="96"/>
      <c r="AD63" s="96"/>
      <c r="AE63" s="96"/>
      <c r="AF63" s="96"/>
      <c r="AG63" s="96"/>
      <c r="AH63" s="96"/>
      <c r="AI63" s="96"/>
      <c r="AJ63" s="96"/>
      <c r="AK63" s="96"/>
      <c r="AL63" s="96"/>
      <c r="AM63" s="96"/>
      <c r="AN63" s="96"/>
      <c r="AO63" s="96"/>
      <c r="AP63" s="96"/>
      <c r="AQ63" s="96"/>
      <c r="AR63" s="96"/>
      <c r="AS63" s="96"/>
      <c r="AT63" s="96"/>
      <c r="AU63" s="96"/>
      <c r="AV63" s="96"/>
      <c r="AW63" s="96"/>
      <c r="AX63" s="96"/>
    </row>
    <row r="64" spans="1:50" ht="22.5" customHeight="1">
      <c r="A64" s="57"/>
    </row>
    <row r="65" spans="1:50" ht="22.5" customHeight="1">
      <c r="A65" s="22" t="s">
        <v>104</v>
      </c>
      <c r="C65" s="76"/>
      <c r="D65" s="57"/>
    </row>
    <row r="66" spans="1:50" ht="22.5" customHeight="1">
      <c r="A66" s="57"/>
      <c r="B66" s="57" t="s">
        <v>105</v>
      </c>
      <c r="C66" s="24" t="s">
        <v>348</v>
      </c>
      <c r="D66" s="30" t="s">
        <v>155</v>
      </c>
    </row>
    <row r="67" spans="1:50" ht="22.5" customHeight="1">
      <c r="A67" s="57"/>
      <c r="B67" s="57" t="s">
        <v>107</v>
      </c>
      <c r="C67" s="24" t="s">
        <v>349</v>
      </c>
      <c r="D67" s="30">
        <v>3</v>
      </c>
    </row>
    <row r="68" spans="1:50" ht="22.5" customHeight="1">
      <c r="A68" s="57"/>
      <c r="B68" s="57" t="s">
        <v>108</v>
      </c>
      <c r="C68" s="24" t="s">
        <v>350</v>
      </c>
      <c r="D68" s="30">
        <v>9</v>
      </c>
    </row>
    <row r="69" spans="1:50" ht="22.5" customHeight="1">
      <c r="A69" s="57"/>
      <c r="D69" s="57"/>
    </row>
    <row r="70" spans="1:50" ht="22.5" customHeight="1" thickBot="1">
      <c r="A70" s="96"/>
      <c r="B70" s="96" t="s">
        <v>106</v>
      </c>
      <c r="C70" s="97" t="s">
        <v>351</v>
      </c>
      <c r="D70" s="98" t="s">
        <v>364</v>
      </c>
      <c r="E70" s="96"/>
      <c r="F70" s="96"/>
      <c r="G70" s="96"/>
      <c r="H70" s="96"/>
      <c r="I70" s="96"/>
      <c r="J70" s="96"/>
      <c r="K70" s="96"/>
      <c r="L70" s="96"/>
      <c r="M70" s="96"/>
      <c r="N70" s="96"/>
      <c r="O70" s="96"/>
      <c r="P70" s="96"/>
      <c r="Q70" s="96"/>
      <c r="R70" s="96"/>
      <c r="S70" s="96"/>
      <c r="T70" s="96"/>
      <c r="U70" s="96"/>
      <c r="V70" s="96"/>
      <c r="W70" s="96"/>
      <c r="X70" s="96"/>
      <c r="Y70" s="96"/>
      <c r="Z70" s="96"/>
      <c r="AA70" s="96"/>
      <c r="AB70" s="96"/>
      <c r="AC70" s="96"/>
      <c r="AD70" s="96"/>
      <c r="AE70" s="96"/>
      <c r="AF70" s="96"/>
      <c r="AG70" s="96"/>
      <c r="AH70" s="96"/>
      <c r="AI70" s="96"/>
      <c r="AJ70" s="96"/>
      <c r="AK70" s="96"/>
      <c r="AL70" s="96"/>
      <c r="AM70" s="96"/>
      <c r="AN70" s="96"/>
      <c r="AO70" s="96"/>
      <c r="AP70" s="96"/>
      <c r="AQ70" s="96"/>
      <c r="AR70" s="96"/>
      <c r="AS70" s="96"/>
      <c r="AT70" s="96"/>
      <c r="AU70" s="96"/>
      <c r="AV70" s="96"/>
      <c r="AW70" s="96"/>
      <c r="AX70" s="96"/>
    </row>
    <row r="71" spans="1:50" ht="22.5" customHeight="1"/>
    <row r="72" spans="1:50" ht="22.5" customHeight="1">
      <c r="A72" s="22" t="s">
        <v>271</v>
      </c>
      <c r="D72" s="57"/>
      <c r="E72" s="57"/>
      <c r="F72" s="57"/>
    </row>
    <row r="73" spans="1:50" ht="22.5" customHeight="1">
      <c r="A73" s="104"/>
      <c r="B73" s="110" t="s">
        <v>172</v>
      </c>
      <c r="C73" s="110" t="s">
        <v>365</v>
      </c>
      <c r="D73" s="111"/>
      <c r="E73" s="104" t="s">
        <v>274</v>
      </c>
      <c r="F73" s="104" t="s">
        <v>175</v>
      </c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104"/>
      <c r="V73" s="104"/>
      <c r="W73" s="104"/>
      <c r="X73" s="104"/>
      <c r="Y73" s="104"/>
      <c r="Z73" s="104"/>
      <c r="AA73" s="104"/>
      <c r="AB73" s="104"/>
      <c r="AC73" s="104"/>
      <c r="AD73" s="104"/>
      <c r="AE73" s="104"/>
      <c r="AF73" s="104"/>
      <c r="AG73" s="104"/>
      <c r="AH73" s="104"/>
      <c r="AI73" s="104"/>
      <c r="AJ73" s="104"/>
      <c r="AK73" s="104"/>
      <c r="AL73" s="104"/>
      <c r="AM73" s="104"/>
      <c r="AN73" s="104"/>
      <c r="AO73" s="104"/>
      <c r="AP73" s="104"/>
      <c r="AQ73" s="104"/>
      <c r="AR73" s="104"/>
      <c r="AS73" s="104"/>
      <c r="AT73" s="104"/>
      <c r="AU73" s="104"/>
      <c r="AV73" s="104"/>
      <c r="AW73" s="104"/>
      <c r="AX73" s="104"/>
    </row>
    <row r="74" spans="1:50" ht="22.5" customHeight="1" thickBot="1">
      <c r="A74" s="143"/>
      <c r="B74" s="144"/>
      <c r="C74" s="144"/>
      <c r="D74" s="145"/>
      <c r="E74" s="143"/>
      <c r="F74" s="143"/>
      <c r="G74" s="143"/>
      <c r="H74" s="143"/>
      <c r="I74" s="143"/>
      <c r="J74" s="143"/>
      <c r="K74" s="143"/>
      <c r="L74" s="143"/>
      <c r="M74" s="143"/>
      <c r="N74" s="143"/>
      <c r="O74" s="143"/>
      <c r="P74" s="143"/>
      <c r="Q74" s="143"/>
      <c r="R74" s="143"/>
      <c r="S74" s="143"/>
      <c r="T74" s="143"/>
      <c r="U74" s="143"/>
      <c r="V74" s="143"/>
      <c r="W74" s="143"/>
      <c r="X74" s="143"/>
      <c r="Y74" s="143"/>
      <c r="Z74" s="143"/>
      <c r="AA74" s="143"/>
      <c r="AB74" s="143"/>
      <c r="AC74" s="143"/>
      <c r="AD74" s="143"/>
      <c r="AE74" s="143"/>
      <c r="AF74" s="143"/>
      <c r="AG74" s="143"/>
      <c r="AH74" s="143"/>
      <c r="AI74" s="143"/>
      <c r="AJ74" s="143"/>
      <c r="AK74" s="143"/>
      <c r="AL74" s="143"/>
      <c r="AM74" s="143"/>
      <c r="AN74" s="143"/>
      <c r="AO74" s="143"/>
      <c r="AP74" s="143"/>
      <c r="AQ74" s="143"/>
      <c r="AR74" s="143"/>
      <c r="AS74" s="143"/>
      <c r="AT74" s="143"/>
      <c r="AU74" s="143"/>
      <c r="AV74" s="143"/>
      <c r="AW74" s="143"/>
      <c r="AX74" s="143"/>
    </row>
    <row r="75" spans="1:50" ht="22.5" customHeight="1"/>
    <row r="76" spans="1:50" ht="22.5" customHeight="1">
      <c r="A76" s="22" t="s">
        <v>371</v>
      </c>
    </row>
    <row r="77" spans="1:50" ht="22.5" customHeight="1">
      <c r="C77" s="24" t="s">
        <v>373</v>
      </c>
    </row>
    <row r="78" spans="1:50" ht="22.5" customHeight="1">
      <c r="C78" s="471" t="s">
        <v>187</v>
      </c>
      <c r="D78" s="472" t="b">
        <v>0</v>
      </c>
    </row>
    <row r="79" spans="1:50" ht="22.5" customHeight="1">
      <c r="C79" s="473" t="s">
        <v>188</v>
      </c>
      <c r="D79" s="474" t="b">
        <v>0</v>
      </c>
    </row>
    <row r="80" spans="1:50" ht="22.5" customHeight="1">
      <c r="C80" s="473" t="s">
        <v>189</v>
      </c>
      <c r="D80" s="474" t="b">
        <v>0</v>
      </c>
    </row>
    <row r="81" spans="1:50" ht="22.5" customHeight="1">
      <c r="C81" s="473" t="s">
        <v>181</v>
      </c>
      <c r="D81" s="474" t="b">
        <v>0</v>
      </c>
    </row>
    <row r="82" spans="1:50" ht="22.5" customHeight="1">
      <c r="C82" s="475"/>
      <c r="D82" s="476"/>
    </row>
    <row r="83" spans="1:50" ht="22.5" customHeight="1">
      <c r="C83" s="475"/>
      <c r="D83" s="476"/>
    </row>
    <row r="84" spans="1:50" ht="22.5" customHeight="1">
      <c r="C84" s="473" t="s">
        <v>306</v>
      </c>
      <c r="D84" s="474" t="b">
        <v>0</v>
      </c>
    </row>
    <row r="85" spans="1:50" ht="22.5" customHeight="1">
      <c r="C85" s="477" t="s">
        <v>307</v>
      </c>
      <c r="D85" s="474" t="b">
        <v>0</v>
      </c>
    </row>
    <row r="86" spans="1:50" ht="22.5" customHeight="1">
      <c r="C86" s="473" t="s">
        <v>308</v>
      </c>
      <c r="D86" s="474" t="b">
        <v>0</v>
      </c>
    </row>
    <row r="87" spans="1:50" ht="22.5" customHeight="1">
      <c r="C87" s="473"/>
      <c r="D87" s="474"/>
    </row>
    <row r="88" spans="1:50" ht="22.5" customHeight="1">
      <c r="C88" s="473" t="s">
        <v>37</v>
      </c>
      <c r="D88" s="474" t="b">
        <v>0</v>
      </c>
    </row>
    <row r="89" spans="1:50" ht="22.5" customHeight="1">
      <c r="A89" s="425"/>
      <c r="B89" s="129"/>
      <c r="C89" s="475"/>
      <c r="D89" s="476"/>
      <c r="E89" s="425"/>
      <c r="F89" s="425"/>
      <c r="G89" s="425"/>
      <c r="H89" s="425"/>
      <c r="I89" s="425"/>
      <c r="J89" s="425"/>
      <c r="K89" s="425"/>
      <c r="L89" s="425"/>
      <c r="M89" s="425"/>
      <c r="N89" s="425"/>
      <c r="O89" s="425"/>
      <c r="P89" s="425"/>
      <c r="Q89" s="425"/>
      <c r="R89" s="425"/>
      <c r="S89" s="425"/>
      <c r="T89" s="425"/>
      <c r="U89" s="425"/>
      <c r="V89" s="425"/>
      <c r="W89" s="425"/>
      <c r="X89" s="425"/>
      <c r="Y89" s="425"/>
      <c r="Z89" s="425"/>
      <c r="AA89" s="425"/>
      <c r="AB89" s="425"/>
      <c r="AC89" s="425"/>
      <c r="AD89" s="425"/>
      <c r="AE89" s="425"/>
      <c r="AF89" s="425"/>
      <c r="AG89" s="425"/>
      <c r="AH89" s="425"/>
      <c r="AI89" s="425"/>
      <c r="AJ89" s="425"/>
      <c r="AK89" s="425"/>
      <c r="AL89" s="425"/>
      <c r="AM89" s="425"/>
      <c r="AN89" s="425"/>
      <c r="AO89" s="425"/>
      <c r="AP89" s="425"/>
      <c r="AQ89" s="425"/>
      <c r="AR89" s="425"/>
      <c r="AS89" s="425"/>
      <c r="AT89" s="425"/>
      <c r="AU89" s="425"/>
      <c r="AV89" s="425"/>
      <c r="AW89" s="425"/>
      <c r="AX89" s="425"/>
    </row>
    <row r="90" spans="1:50" ht="22.5" customHeight="1">
      <c r="A90" s="425"/>
      <c r="B90" s="129"/>
      <c r="C90" s="477" t="s">
        <v>26</v>
      </c>
      <c r="D90" s="478"/>
      <c r="E90" s="425"/>
      <c r="F90" s="425"/>
      <c r="G90" s="425"/>
      <c r="H90" s="425"/>
      <c r="I90" s="425"/>
      <c r="J90" s="425"/>
      <c r="K90" s="425"/>
      <c r="L90" s="425"/>
      <c r="M90" s="425"/>
      <c r="N90" s="425"/>
      <c r="O90" s="425"/>
      <c r="P90" s="425"/>
      <c r="Q90" s="425"/>
      <c r="R90" s="425"/>
      <c r="S90" s="425"/>
      <c r="T90" s="425"/>
      <c r="U90" s="425"/>
      <c r="V90" s="425"/>
      <c r="W90" s="425"/>
      <c r="X90" s="425"/>
      <c r="Y90" s="425"/>
      <c r="Z90" s="425"/>
      <c r="AA90" s="425"/>
      <c r="AB90" s="425"/>
      <c r="AC90" s="425"/>
      <c r="AD90" s="425"/>
      <c r="AE90" s="425"/>
      <c r="AF90" s="425"/>
      <c r="AG90" s="425"/>
      <c r="AH90" s="425"/>
      <c r="AI90" s="425"/>
      <c r="AJ90" s="425"/>
      <c r="AK90" s="425"/>
      <c r="AL90" s="425"/>
      <c r="AM90" s="425"/>
      <c r="AN90" s="425"/>
      <c r="AO90" s="425"/>
      <c r="AP90" s="425"/>
      <c r="AQ90" s="425"/>
      <c r="AR90" s="425"/>
      <c r="AS90" s="425"/>
      <c r="AT90" s="425"/>
      <c r="AU90" s="425"/>
      <c r="AV90" s="425"/>
      <c r="AW90" s="425"/>
      <c r="AX90" s="425"/>
    </row>
    <row r="91" spans="1:50" ht="22.5" customHeight="1">
      <c r="A91" s="425"/>
      <c r="B91" s="129"/>
      <c r="C91" s="477" t="s">
        <v>184</v>
      </c>
      <c r="D91" s="478"/>
      <c r="E91" s="425"/>
      <c r="F91" s="425"/>
      <c r="G91" s="425"/>
      <c r="H91" s="425"/>
      <c r="I91" s="425"/>
      <c r="J91" s="425"/>
      <c r="K91" s="425"/>
      <c r="L91" s="425"/>
      <c r="M91" s="425"/>
      <c r="N91" s="425"/>
      <c r="O91" s="425"/>
      <c r="P91" s="425"/>
      <c r="Q91" s="425"/>
      <c r="R91" s="425"/>
      <c r="S91" s="425"/>
      <c r="T91" s="425"/>
      <c r="U91" s="425"/>
      <c r="V91" s="425"/>
      <c r="W91" s="425"/>
      <c r="X91" s="425"/>
      <c r="Y91" s="425"/>
      <c r="Z91" s="425"/>
      <c r="AA91" s="425"/>
      <c r="AB91" s="425"/>
      <c r="AC91" s="425"/>
      <c r="AD91" s="425"/>
      <c r="AE91" s="425"/>
      <c r="AF91" s="425"/>
      <c r="AG91" s="425"/>
      <c r="AH91" s="425"/>
      <c r="AI91" s="425"/>
      <c r="AJ91" s="425"/>
      <c r="AK91" s="425"/>
      <c r="AL91" s="425"/>
      <c r="AM91" s="425"/>
      <c r="AN91" s="425"/>
      <c r="AO91" s="425"/>
      <c r="AP91" s="425"/>
      <c r="AQ91" s="425"/>
      <c r="AR91" s="425"/>
      <c r="AS91" s="425"/>
      <c r="AT91" s="425"/>
      <c r="AU91" s="425"/>
      <c r="AV91" s="425"/>
      <c r="AW91" s="425"/>
      <c r="AX91" s="425"/>
    </row>
    <row r="92" spans="1:50" ht="22.5" customHeight="1">
      <c r="A92" s="425"/>
      <c r="B92" s="129"/>
      <c r="C92" s="477" t="s">
        <v>336</v>
      </c>
      <c r="D92" s="478"/>
      <c r="E92" s="425"/>
      <c r="F92" s="425"/>
      <c r="G92" s="425"/>
      <c r="H92" s="425"/>
      <c r="I92" s="425"/>
      <c r="J92" s="425"/>
      <c r="K92" s="425"/>
      <c r="L92" s="425"/>
      <c r="M92" s="425"/>
      <c r="N92" s="425"/>
      <c r="O92" s="425"/>
      <c r="P92" s="425"/>
      <c r="Q92" s="425"/>
      <c r="R92" s="425"/>
      <c r="S92" s="425"/>
      <c r="T92" s="425"/>
      <c r="U92" s="425"/>
      <c r="V92" s="425"/>
      <c r="W92" s="425"/>
      <c r="X92" s="425"/>
      <c r="Y92" s="425"/>
      <c r="Z92" s="425"/>
      <c r="AA92" s="425"/>
      <c r="AB92" s="425"/>
      <c r="AC92" s="425"/>
      <c r="AD92" s="425"/>
      <c r="AE92" s="425"/>
      <c r="AF92" s="425"/>
      <c r="AG92" s="425"/>
      <c r="AH92" s="425"/>
      <c r="AI92" s="425"/>
      <c r="AJ92" s="425"/>
      <c r="AK92" s="425"/>
      <c r="AL92" s="425"/>
      <c r="AM92" s="425"/>
      <c r="AN92" s="425"/>
      <c r="AO92" s="425"/>
      <c r="AP92" s="425"/>
      <c r="AQ92" s="425"/>
      <c r="AR92" s="425"/>
      <c r="AS92" s="425"/>
      <c r="AT92" s="425"/>
      <c r="AU92" s="425"/>
      <c r="AV92" s="425"/>
      <c r="AW92" s="425"/>
      <c r="AX92" s="425"/>
    </row>
    <row r="93" spans="1:50" ht="22.5" customHeight="1">
      <c r="A93" s="425"/>
      <c r="B93" s="129"/>
      <c r="C93" s="475"/>
      <c r="D93" s="478"/>
      <c r="E93" s="425"/>
      <c r="F93" s="425"/>
      <c r="G93" s="425"/>
      <c r="H93" s="425"/>
      <c r="I93" s="425"/>
      <c r="J93" s="425"/>
      <c r="K93" s="425"/>
      <c r="L93" s="425"/>
      <c r="M93" s="425"/>
      <c r="N93" s="425"/>
      <c r="O93" s="425"/>
      <c r="P93" s="425"/>
      <c r="Q93" s="425"/>
      <c r="R93" s="425"/>
      <c r="S93" s="425"/>
      <c r="T93" s="425"/>
      <c r="U93" s="425"/>
      <c r="V93" s="425"/>
      <c r="W93" s="425"/>
      <c r="X93" s="425"/>
      <c r="Y93" s="425"/>
      <c r="Z93" s="425"/>
      <c r="AA93" s="425"/>
      <c r="AB93" s="425"/>
      <c r="AC93" s="425"/>
      <c r="AD93" s="425"/>
      <c r="AE93" s="425"/>
      <c r="AF93" s="425"/>
      <c r="AG93" s="425"/>
      <c r="AH93" s="425"/>
      <c r="AI93" s="425"/>
      <c r="AJ93" s="425"/>
      <c r="AK93" s="425"/>
      <c r="AL93" s="425"/>
      <c r="AM93" s="425"/>
      <c r="AN93" s="425"/>
      <c r="AO93" s="425"/>
      <c r="AP93" s="425"/>
      <c r="AQ93" s="425"/>
      <c r="AR93" s="425"/>
      <c r="AS93" s="425"/>
      <c r="AT93" s="425"/>
      <c r="AU93" s="425"/>
      <c r="AV93" s="425"/>
      <c r="AW93" s="425"/>
      <c r="AX93" s="425"/>
    </row>
    <row r="94" spans="1:50" ht="22.5" customHeight="1">
      <c r="A94" s="425"/>
      <c r="B94" s="129"/>
      <c r="C94" s="479" t="s">
        <v>2075</v>
      </c>
      <c r="D94" s="480"/>
      <c r="E94" s="425"/>
      <c r="F94" s="425"/>
      <c r="G94" s="425"/>
      <c r="H94" s="425"/>
      <c r="I94" s="425"/>
      <c r="J94" s="425"/>
      <c r="K94" s="425"/>
      <c r="L94" s="425"/>
      <c r="M94" s="425"/>
      <c r="N94" s="425"/>
      <c r="O94" s="425"/>
      <c r="P94" s="425"/>
      <c r="Q94" s="425"/>
      <c r="R94" s="425"/>
      <c r="S94" s="425"/>
      <c r="T94" s="425"/>
      <c r="U94" s="425"/>
      <c r="V94" s="425"/>
      <c r="W94" s="425"/>
      <c r="X94" s="425"/>
      <c r="Y94" s="425"/>
      <c r="Z94" s="425"/>
      <c r="AA94" s="425"/>
      <c r="AB94" s="425"/>
      <c r="AC94" s="425"/>
      <c r="AD94" s="425"/>
      <c r="AE94" s="425"/>
      <c r="AF94" s="425"/>
      <c r="AG94" s="425"/>
      <c r="AH94" s="425"/>
      <c r="AI94" s="425"/>
      <c r="AJ94" s="425"/>
      <c r="AK94" s="425"/>
      <c r="AL94" s="425"/>
      <c r="AM94" s="425"/>
      <c r="AN94" s="425"/>
      <c r="AO94" s="425"/>
      <c r="AP94" s="425"/>
      <c r="AQ94" s="425"/>
      <c r="AR94" s="425"/>
      <c r="AS94" s="425"/>
      <c r="AT94" s="425"/>
      <c r="AU94" s="425"/>
      <c r="AV94" s="425"/>
      <c r="AW94" s="425"/>
      <c r="AX94" s="425"/>
    </row>
    <row r="95" spans="1:50" ht="22.5" customHeight="1">
      <c r="A95" s="425"/>
      <c r="B95" s="129"/>
      <c r="C95" s="479" t="s">
        <v>109</v>
      </c>
      <c r="D95" s="481"/>
      <c r="E95" s="425"/>
      <c r="F95" s="425"/>
      <c r="G95" s="425"/>
      <c r="H95" s="425"/>
      <c r="I95" s="425"/>
      <c r="J95" s="425"/>
      <c r="K95" s="425"/>
      <c r="L95" s="425"/>
      <c r="M95" s="425"/>
      <c r="N95" s="425"/>
      <c r="O95" s="425"/>
      <c r="P95" s="425"/>
      <c r="Q95" s="425"/>
      <c r="R95" s="425"/>
      <c r="S95" s="425"/>
      <c r="T95" s="425"/>
      <c r="U95" s="425"/>
      <c r="V95" s="425"/>
      <c r="W95" s="425"/>
      <c r="X95" s="425"/>
      <c r="Y95" s="425"/>
      <c r="Z95" s="425"/>
      <c r="AA95" s="425"/>
      <c r="AB95" s="425"/>
      <c r="AC95" s="425"/>
      <c r="AD95" s="425"/>
      <c r="AE95" s="425"/>
      <c r="AF95" s="425"/>
      <c r="AG95" s="425"/>
      <c r="AH95" s="425"/>
      <c r="AI95" s="425"/>
      <c r="AJ95" s="425"/>
      <c r="AK95" s="425"/>
      <c r="AL95" s="425"/>
      <c r="AM95" s="425"/>
      <c r="AN95" s="425"/>
      <c r="AO95" s="425"/>
      <c r="AP95" s="425"/>
      <c r="AQ95" s="425"/>
      <c r="AR95" s="425"/>
      <c r="AS95" s="425"/>
      <c r="AT95" s="425"/>
      <c r="AU95" s="425"/>
      <c r="AV95" s="425"/>
      <c r="AW95" s="425"/>
      <c r="AX95" s="425"/>
    </row>
    <row r="96" spans="1:50" ht="22.5" customHeight="1">
      <c r="A96" s="425"/>
      <c r="B96" s="129"/>
      <c r="C96" s="482" t="s">
        <v>110</v>
      </c>
      <c r="D96" s="483"/>
      <c r="E96" s="425"/>
      <c r="F96" s="425"/>
      <c r="G96" s="425"/>
      <c r="H96" s="425"/>
      <c r="I96" s="425"/>
      <c r="J96" s="425"/>
      <c r="K96" s="425"/>
      <c r="L96" s="425"/>
      <c r="M96" s="425"/>
      <c r="N96" s="425"/>
      <c r="O96" s="425"/>
      <c r="P96" s="425"/>
      <c r="Q96" s="425"/>
      <c r="R96" s="425"/>
      <c r="S96" s="425"/>
      <c r="T96" s="425"/>
      <c r="U96" s="425"/>
      <c r="V96" s="425"/>
      <c r="W96" s="425"/>
      <c r="X96" s="425"/>
      <c r="Y96" s="425"/>
      <c r="Z96" s="425"/>
      <c r="AA96" s="425"/>
      <c r="AB96" s="425"/>
      <c r="AC96" s="425"/>
      <c r="AD96" s="425"/>
      <c r="AE96" s="425"/>
      <c r="AF96" s="425"/>
      <c r="AG96" s="425"/>
      <c r="AH96" s="425"/>
      <c r="AI96" s="425"/>
      <c r="AJ96" s="425"/>
      <c r="AK96" s="425"/>
      <c r="AL96" s="425"/>
      <c r="AM96" s="425"/>
      <c r="AN96" s="425"/>
      <c r="AO96" s="425"/>
      <c r="AP96" s="425"/>
      <c r="AQ96" s="425"/>
      <c r="AR96" s="425"/>
      <c r="AS96" s="425"/>
      <c r="AT96" s="425"/>
      <c r="AU96" s="425"/>
      <c r="AV96" s="425"/>
      <c r="AW96" s="425"/>
      <c r="AX96" s="425"/>
    </row>
    <row r="97" spans="1:50" ht="22.5" customHeight="1" thickBot="1">
      <c r="A97" s="96"/>
      <c r="B97" s="97"/>
      <c r="C97" s="97"/>
      <c r="D97" s="96"/>
      <c r="E97" s="96"/>
      <c r="F97" s="96"/>
      <c r="G97" s="96"/>
      <c r="H97" s="96"/>
      <c r="I97" s="96"/>
      <c r="J97" s="96"/>
      <c r="K97" s="96"/>
      <c r="L97" s="96"/>
      <c r="M97" s="96"/>
      <c r="N97" s="96"/>
      <c r="O97" s="96"/>
      <c r="P97" s="96"/>
      <c r="Q97" s="96"/>
      <c r="R97" s="96"/>
      <c r="S97" s="96"/>
      <c r="T97" s="96"/>
      <c r="U97" s="96"/>
      <c r="V97" s="96"/>
      <c r="W97" s="96"/>
      <c r="X97" s="96"/>
      <c r="Y97" s="96"/>
      <c r="Z97" s="96"/>
      <c r="AA97" s="96"/>
      <c r="AB97" s="96"/>
      <c r="AC97" s="96"/>
      <c r="AD97" s="96"/>
      <c r="AE97" s="96"/>
      <c r="AF97" s="96"/>
      <c r="AG97" s="96"/>
      <c r="AH97" s="96"/>
      <c r="AI97" s="96"/>
      <c r="AJ97" s="96"/>
      <c r="AK97" s="96"/>
      <c r="AL97" s="96"/>
      <c r="AM97" s="96"/>
      <c r="AN97" s="96"/>
      <c r="AO97" s="96"/>
      <c r="AP97" s="96"/>
      <c r="AQ97" s="96"/>
      <c r="AR97" s="96"/>
      <c r="AS97" s="96"/>
      <c r="AT97" s="96"/>
      <c r="AU97" s="96"/>
      <c r="AV97" s="96"/>
      <c r="AW97" s="96"/>
      <c r="AX97" s="96"/>
    </row>
    <row r="98" spans="1:50" ht="22.5" customHeight="1">
      <c r="A98" s="82"/>
      <c r="B98" s="86"/>
      <c r="C98" s="86"/>
      <c r="D98" s="82"/>
      <c r="E98" s="82"/>
      <c r="F98" s="82"/>
      <c r="G98" s="82"/>
      <c r="H98" s="82"/>
      <c r="I98" s="82"/>
      <c r="J98" s="82"/>
      <c r="K98" s="82"/>
      <c r="L98" s="82"/>
      <c r="M98" s="82"/>
      <c r="N98" s="82"/>
      <c r="O98" s="82"/>
      <c r="P98" s="82"/>
      <c r="Q98" s="82"/>
      <c r="R98" s="82"/>
      <c r="S98" s="82"/>
      <c r="T98" s="82"/>
      <c r="U98" s="82"/>
      <c r="V98" s="82"/>
      <c r="W98" s="82"/>
      <c r="X98" s="82"/>
      <c r="Y98" s="82"/>
      <c r="Z98" s="82"/>
      <c r="AA98" s="82"/>
      <c r="AB98" s="82"/>
      <c r="AC98" s="82"/>
      <c r="AD98" s="82"/>
      <c r="AE98" s="82"/>
      <c r="AF98" s="82"/>
      <c r="AG98" s="82"/>
      <c r="AH98" s="82"/>
      <c r="AI98" s="82"/>
      <c r="AJ98" s="82"/>
      <c r="AK98" s="82"/>
      <c r="AL98" s="82"/>
      <c r="AM98" s="82"/>
      <c r="AN98" s="82"/>
      <c r="AO98" s="82"/>
      <c r="AP98" s="82"/>
      <c r="AQ98" s="82"/>
      <c r="AR98" s="82"/>
      <c r="AS98" s="82"/>
      <c r="AT98" s="82"/>
      <c r="AU98" s="82"/>
      <c r="AV98" s="82"/>
      <c r="AW98" s="82"/>
      <c r="AX98" s="82"/>
    </row>
    <row r="99" spans="1:50" s="512" customFormat="1" ht="39.75" customHeight="1">
      <c r="A99" s="85" t="s">
        <v>446</v>
      </c>
      <c r="B99" s="24"/>
      <c r="C99" s="24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</row>
    <row r="100" spans="1:50" ht="26.25" customHeight="1">
      <c r="A100" s="85"/>
      <c r="B100" s="86" t="s">
        <v>453</v>
      </c>
      <c r="C100" s="86" t="s">
        <v>454</v>
      </c>
      <c r="D100" s="86" t="s">
        <v>455</v>
      </c>
      <c r="E100" s="82"/>
      <c r="F100" s="82"/>
      <c r="G100" s="82"/>
      <c r="H100" s="82"/>
      <c r="I100" s="82"/>
      <c r="J100" s="82"/>
      <c r="K100" s="82"/>
      <c r="L100" s="82"/>
      <c r="M100" s="82"/>
      <c r="N100" s="82"/>
      <c r="O100" s="82"/>
      <c r="P100" s="82"/>
      <c r="Q100" s="82"/>
      <c r="R100" s="82"/>
      <c r="S100" s="82"/>
      <c r="T100" s="82"/>
      <c r="U100" s="82"/>
      <c r="V100" s="82"/>
      <c r="W100" s="82"/>
      <c r="X100" s="82"/>
      <c r="Y100" s="82"/>
      <c r="Z100" s="82"/>
      <c r="AA100" s="82"/>
      <c r="AB100" s="82"/>
      <c r="AC100" s="82"/>
      <c r="AD100" s="82"/>
      <c r="AE100" s="82"/>
      <c r="AF100" s="82"/>
      <c r="AG100" s="82"/>
      <c r="AH100" s="82"/>
      <c r="AI100" s="82"/>
      <c r="AJ100" s="82"/>
      <c r="AK100" s="82"/>
      <c r="AL100" s="82"/>
      <c r="AM100" s="82"/>
      <c r="AN100" s="82"/>
      <c r="AO100" s="82"/>
      <c r="AP100" s="82"/>
      <c r="AQ100" s="82"/>
      <c r="AR100" s="82"/>
      <c r="AS100" s="82"/>
      <c r="AT100" s="82"/>
      <c r="AU100" s="82"/>
      <c r="AV100" s="82"/>
      <c r="AW100" s="82"/>
      <c r="AX100" s="82"/>
    </row>
    <row r="101" spans="1:50" ht="22.5" customHeight="1">
      <c r="A101" s="100"/>
      <c r="B101" s="116" t="s">
        <v>448</v>
      </c>
      <c r="C101" s="117" t="s">
        <v>452</v>
      </c>
      <c r="D101" s="117" t="s">
        <v>451</v>
      </c>
      <c r="E101" s="100"/>
      <c r="F101" s="100"/>
      <c r="G101" s="10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0"/>
      <c r="R101" s="100"/>
      <c r="S101" s="100"/>
      <c r="T101" s="100"/>
      <c r="U101" s="100"/>
      <c r="V101" s="100"/>
      <c r="W101" s="100"/>
      <c r="X101" s="100"/>
      <c r="Y101" s="100"/>
      <c r="Z101" s="100"/>
      <c r="AA101" s="100"/>
      <c r="AB101" s="100"/>
      <c r="AC101" s="100"/>
      <c r="AD101" s="100"/>
      <c r="AE101" s="100"/>
      <c r="AF101" s="100"/>
      <c r="AG101" s="100"/>
      <c r="AH101" s="100"/>
      <c r="AI101" s="100"/>
      <c r="AJ101" s="100"/>
      <c r="AK101" s="100"/>
      <c r="AL101" s="100"/>
      <c r="AM101" s="100"/>
      <c r="AN101" s="100"/>
      <c r="AO101" s="100"/>
      <c r="AP101" s="100"/>
      <c r="AQ101" s="100"/>
      <c r="AR101" s="100"/>
      <c r="AS101" s="100"/>
      <c r="AT101" s="100"/>
      <c r="AU101" s="100"/>
      <c r="AV101" s="100"/>
      <c r="AW101" s="100"/>
      <c r="AX101" s="100"/>
    </row>
    <row r="102" spans="1:50" ht="22.5" customHeight="1">
      <c r="A102" s="82"/>
      <c r="B102" s="333"/>
      <c r="C102" s="334"/>
      <c r="D102" s="334"/>
      <c r="E102" s="82"/>
      <c r="F102" s="82"/>
      <c r="G102" s="82"/>
      <c r="H102" s="82"/>
      <c r="I102" s="82"/>
      <c r="J102" s="82"/>
      <c r="K102" s="82"/>
      <c r="L102" s="82"/>
      <c r="M102" s="82"/>
      <c r="N102" s="82"/>
      <c r="O102" s="82"/>
      <c r="P102" s="82"/>
      <c r="Q102" s="82"/>
      <c r="R102" s="82"/>
      <c r="S102" s="82"/>
      <c r="T102" s="82"/>
      <c r="U102" s="82"/>
      <c r="V102" s="82"/>
      <c r="W102" s="82"/>
      <c r="X102" s="82"/>
      <c r="Y102" s="82"/>
      <c r="Z102" s="82"/>
      <c r="AA102" s="82"/>
      <c r="AB102" s="82"/>
      <c r="AC102" s="82"/>
      <c r="AD102" s="82"/>
      <c r="AE102" s="82"/>
      <c r="AF102" s="82"/>
      <c r="AG102" s="82"/>
      <c r="AH102" s="82"/>
      <c r="AI102" s="82"/>
      <c r="AJ102" s="82"/>
      <c r="AK102" s="82"/>
      <c r="AL102" s="82"/>
      <c r="AM102" s="82"/>
      <c r="AN102" s="82"/>
      <c r="AO102" s="82"/>
      <c r="AP102" s="82"/>
      <c r="AQ102" s="82"/>
      <c r="AR102" s="82"/>
      <c r="AS102" s="82"/>
      <c r="AT102" s="82"/>
      <c r="AU102" s="82"/>
      <c r="AV102" s="82"/>
      <c r="AW102" s="82"/>
      <c r="AX102" s="82"/>
    </row>
    <row r="103" spans="1:50" ht="22.5" customHeight="1" thickBot="1">
      <c r="A103" s="96"/>
      <c r="B103" s="97"/>
      <c r="C103" s="97"/>
      <c r="D103" s="96"/>
      <c r="E103" s="96"/>
      <c r="F103" s="96"/>
      <c r="G103" s="96"/>
      <c r="H103" s="96"/>
      <c r="I103" s="96"/>
      <c r="J103" s="96"/>
      <c r="K103" s="96"/>
      <c r="L103" s="96"/>
      <c r="M103" s="96"/>
      <c r="N103" s="96"/>
      <c r="O103" s="96"/>
      <c r="P103" s="96"/>
      <c r="Q103" s="96"/>
      <c r="R103" s="96"/>
      <c r="S103" s="96"/>
      <c r="T103" s="96"/>
      <c r="U103" s="96"/>
      <c r="V103" s="96"/>
      <c r="W103" s="96"/>
      <c r="X103" s="96"/>
      <c r="Y103" s="96"/>
      <c r="Z103" s="96"/>
      <c r="AA103" s="96"/>
      <c r="AB103" s="96"/>
      <c r="AC103" s="96"/>
      <c r="AD103" s="96"/>
      <c r="AE103" s="96"/>
      <c r="AF103" s="96"/>
      <c r="AG103" s="96"/>
      <c r="AH103" s="96"/>
      <c r="AI103" s="96"/>
      <c r="AJ103" s="96"/>
      <c r="AK103" s="96"/>
      <c r="AL103" s="96"/>
      <c r="AM103" s="96"/>
      <c r="AN103" s="96"/>
      <c r="AO103" s="96"/>
      <c r="AP103" s="96"/>
      <c r="AQ103" s="96"/>
      <c r="AR103" s="96"/>
      <c r="AS103" s="96"/>
      <c r="AT103" s="96"/>
      <c r="AU103" s="96"/>
      <c r="AV103" s="96"/>
      <c r="AW103" s="96"/>
      <c r="AX103" s="96"/>
    </row>
    <row r="104" spans="1:50" ht="22.5" customHeight="1">
      <c r="A104" s="82"/>
      <c r="B104" s="86"/>
      <c r="C104" s="86"/>
      <c r="D104" s="82"/>
      <c r="E104" s="82"/>
      <c r="F104" s="82"/>
      <c r="G104" s="82"/>
      <c r="H104" s="82"/>
      <c r="I104" s="82"/>
      <c r="J104" s="82"/>
      <c r="K104" s="82"/>
      <c r="L104" s="82"/>
      <c r="M104" s="82"/>
      <c r="N104" s="82"/>
      <c r="O104" s="82"/>
      <c r="P104" s="82"/>
      <c r="Q104" s="82"/>
      <c r="R104" s="82"/>
      <c r="S104" s="82"/>
      <c r="T104" s="82"/>
      <c r="U104" s="82"/>
      <c r="V104" s="82"/>
      <c r="W104" s="82"/>
      <c r="X104" s="82"/>
      <c r="Y104" s="82"/>
      <c r="Z104" s="82"/>
      <c r="AA104" s="82"/>
      <c r="AB104" s="82"/>
      <c r="AC104" s="82"/>
      <c r="AD104" s="82"/>
      <c r="AE104" s="82"/>
      <c r="AF104" s="82"/>
      <c r="AG104" s="82"/>
      <c r="AH104" s="82"/>
      <c r="AI104" s="82"/>
      <c r="AJ104" s="82"/>
      <c r="AK104" s="82"/>
      <c r="AL104" s="82"/>
      <c r="AM104" s="82"/>
      <c r="AN104" s="82"/>
      <c r="AO104" s="82"/>
      <c r="AP104" s="82"/>
      <c r="AQ104" s="82"/>
      <c r="AR104" s="82"/>
      <c r="AS104" s="82"/>
      <c r="AT104" s="82"/>
      <c r="AU104" s="82"/>
      <c r="AV104" s="82"/>
      <c r="AW104" s="82"/>
      <c r="AX104" s="82"/>
    </row>
    <row r="105" spans="1:50" s="513" customFormat="1" ht="20.25" customHeight="1">
      <c r="A105" s="85" t="s">
        <v>442</v>
      </c>
      <c r="B105" s="24"/>
      <c r="C105" s="24"/>
      <c r="D105"/>
      <c r="E105"/>
      <c r="F105"/>
      <c r="G105"/>
      <c r="H105"/>
      <c r="I105" s="8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</row>
    <row r="106" spans="1:50" s="112" customFormat="1" ht="20.25" customHeight="1" thickBot="1">
      <c r="A106" s="85"/>
      <c r="B106" s="123"/>
      <c r="C106" s="124" t="s">
        <v>458</v>
      </c>
      <c r="D106" s="121" t="s">
        <v>457</v>
      </c>
      <c r="E106" s="82" t="s">
        <v>460</v>
      </c>
      <c r="F106" s="82"/>
      <c r="G106" s="82"/>
      <c r="H106" s="82"/>
      <c r="I106" s="85" t="s">
        <v>465</v>
      </c>
      <c r="J106" s="128"/>
      <c r="K106" s="95"/>
      <c r="L106" s="95"/>
      <c r="M106" s="82"/>
      <c r="N106" s="82"/>
      <c r="O106" s="84" t="s">
        <v>1990</v>
      </c>
      <c r="P106" s="84"/>
      <c r="Q106" s="129"/>
      <c r="R106" s="129"/>
      <c r="S106" s="82"/>
      <c r="T106" s="82"/>
      <c r="U106" s="82"/>
      <c r="V106" s="82"/>
      <c r="W106" s="82"/>
      <c r="X106" s="82"/>
      <c r="Y106" s="82"/>
      <c r="Z106" s="82"/>
      <c r="AA106" s="82"/>
      <c r="AB106" s="82"/>
      <c r="AC106" s="82"/>
      <c r="AD106" s="82"/>
      <c r="AE106" s="82"/>
      <c r="AF106" s="82"/>
      <c r="AG106" s="82"/>
      <c r="AH106" s="82"/>
      <c r="AI106" s="82"/>
      <c r="AJ106" s="82"/>
      <c r="AK106" s="82"/>
      <c r="AL106" s="82"/>
      <c r="AM106" s="82"/>
      <c r="AN106" s="82"/>
      <c r="AO106" s="82"/>
      <c r="AP106" s="82"/>
      <c r="AQ106" s="82"/>
      <c r="AR106" s="82"/>
      <c r="AS106" s="82"/>
      <c r="AT106" s="82"/>
      <c r="AU106" s="82"/>
      <c r="AV106" s="82"/>
      <c r="AW106" s="82"/>
      <c r="AX106" s="82"/>
    </row>
    <row r="107" spans="1:50" s="112" customFormat="1" ht="20.25" customHeight="1">
      <c r="A107" s="95"/>
      <c r="B107" s="123" t="s">
        <v>459</v>
      </c>
      <c r="C107" s="95"/>
      <c r="D107" s="118" t="s">
        <v>463</v>
      </c>
      <c r="E107" s="209" t="str">
        <f>IF(UNMM0050_IF_USER_ID="","",UNMM0050_IF_USER_ID)</f>
        <v/>
      </c>
      <c r="F107" s="95"/>
      <c r="G107" s="95"/>
      <c r="H107" s="95"/>
      <c r="I107" s="128" t="s">
        <v>466</v>
      </c>
      <c r="J107" s="129" t="s">
        <v>471</v>
      </c>
      <c r="K107" s="131"/>
      <c r="L107" s="31"/>
      <c r="M107" s="95"/>
      <c r="N107" s="95"/>
      <c r="O107" s="420" t="s">
        <v>1991</v>
      </c>
      <c r="P107" s="420"/>
      <c r="Q107" s="129"/>
      <c r="R107" s="129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  <c r="AC107" s="95"/>
      <c r="AD107" s="95"/>
      <c r="AE107" s="95"/>
      <c r="AF107" s="95"/>
      <c r="AG107" s="95"/>
      <c r="AH107" s="95"/>
      <c r="AI107" s="95"/>
      <c r="AJ107" s="95"/>
      <c r="AK107" s="95"/>
      <c r="AL107" s="95"/>
      <c r="AM107" s="95"/>
      <c r="AN107" s="95"/>
      <c r="AO107" s="95"/>
      <c r="AP107" s="95"/>
      <c r="AQ107" s="95"/>
      <c r="AR107" s="95"/>
      <c r="AS107" s="95"/>
      <c r="AT107" s="95"/>
      <c r="AU107" s="95"/>
      <c r="AV107" s="95"/>
      <c r="AW107" s="95"/>
      <c r="AX107" s="95"/>
    </row>
    <row r="108" spans="1:50" s="112" customFormat="1" ht="20.25" customHeight="1">
      <c r="A108" s="31"/>
      <c r="B108" s="107" t="s">
        <v>461</v>
      </c>
      <c r="C108" s="31"/>
      <c r="D108" s="119" t="s">
        <v>443</v>
      </c>
      <c r="E108" s="210">
        <f ca="1">NOW()</f>
        <v>42991.659979282405</v>
      </c>
      <c r="F108" s="31"/>
      <c r="G108" s="31"/>
      <c r="H108" s="31"/>
      <c r="I108" s="128" t="s">
        <v>467</v>
      </c>
      <c r="J108" s="129" t="s">
        <v>472</v>
      </c>
      <c r="K108" s="127"/>
      <c r="M108" s="31"/>
      <c r="N108" s="31"/>
      <c r="O108" s="1" t="s">
        <v>1992</v>
      </c>
      <c r="P108" s="1" t="s">
        <v>2022</v>
      </c>
      <c r="Q108" s="129"/>
      <c r="R108" s="129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</row>
    <row r="109" spans="1:50" s="112" customFormat="1" ht="20.25" customHeight="1" thickBot="1">
      <c r="A109" s="31"/>
      <c r="B109" s="107" t="s">
        <v>462</v>
      </c>
      <c r="C109" s="31"/>
      <c r="D109" s="120" t="s">
        <v>444</v>
      </c>
      <c r="E109" s="211">
        <v>1</v>
      </c>
      <c r="G109" s="113"/>
      <c r="I109" s="128" t="s">
        <v>468</v>
      </c>
      <c r="J109" s="129" t="s">
        <v>473</v>
      </c>
      <c r="K109" s="127">
        <f>IF(UNMM0050_IF_SAVE_RESULT_CD=0,2,1)</f>
        <v>2</v>
      </c>
      <c r="L109" s="130" t="s">
        <v>470</v>
      </c>
      <c r="O109" s="1" t="s">
        <v>1993</v>
      </c>
      <c r="P109" s="1" t="str">
        <f>ADDRESS(ROW(UNMM0050_IF_SAVE_CHECK_RESULT),COLUMN(UNMM0050_IF_SAVE_CHECK_RESULT))</f>
        <v>$P$133</v>
      </c>
      <c r="Q109" s="129"/>
      <c r="R109" s="129"/>
      <c r="AP109" s="114"/>
      <c r="AU109" s="31"/>
      <c r="AV109" s="31"/>
      <c r="AW109" s="31"/>
      <c r="AX109" s="31"/>
    </row>
    <row r="110" spans="1:50" s="112" customFormat="1" ht="20.25" customHeight="1">
      <c r="A110" s="31"/>
      <c r="B110" s="107" t="s">
        <v>464</v>
      </c>
      <c r="C110" s="31"/>
      <c r="D110" s="132" t="s">
        <v>445</v>
      </c>
      <c r="E110" s="212"/>
      <c r="F110" s="31" t="s">
        <v>479</v>
      </c>
      <c r="G110" s="31" t="str">
        <f>"現在:" &amp;IF(UNMM0050_IF_WORK_TABLE_W_MODE=1,"新規",IF(UNMM0050_IF_WORK_TABLE_W_MODE=2,"更新",IF(UNMM0050_IF_WORK_TABLE_W_MODE=3,"削除","-")))</f>
        <v>現在:-</v>
      </c>
      <c r="I110" s="128" t="s">
        <v>469</v>
      </c>
      <c r="J110" s="129" t="s">
        <v>474</v>
      </c>
      <c r="K110" s="127" t="str">
        <f>IF(UNMM0050_IF_WORK_TABLE_W_MODE=3,"削除に失敗しました。",
IF(ISERROR(VLOOKUP(UNMM0050_IF_SAVE_RESULT_CD,UNMM_COMMON_ERROR_MESSAGE_AREA,2,FALSE)),
"保存に失敗しました。入力内容を確認後、再度実行してください。",
VLOOKUP(UNMM0050_IF_SAVE_RESULT_CD,UNMM_COMMON_ERROR_MESSAGE_AREA,2,FALSE)))</f>
        <v>保存に失敗しました。入力内容を確認後、再度実行してください。</v>
      </c>
      <c r="O110" s="420" t="s">
        <v>1994</v>
      </c>
      <c r="P110" s="420" t="s">
        <v>1995</v>
      </c>
      <c r="Q110" s="129"/>
      <c r="R110" s="129"/>
      <c r="AP110" s="114"/>
      <c r="AU110" s="31"/>
      <c r="AV110" s="31"/>
      <c r="AW110" s="31"/>
      <c r="AX110" s="31"/>
    </row>
    <row r="111" spans="1:50" s="112" customFormat="1" ht="20.25" customHeight="1">
      <c r="A111" s="31"/>
      <c r="B111" s="107"/>
      <c r="C111" s="31"/>
      <c r="D111" s="125" t="s">
        <v>407</v>
      </c>
      <c r="E111" s="335" t="str">
        <f>IF(UNMM0050_SHOHIN_CD="","",UNMM0050_SHOHIN_CD)</f>
        <v/>
      </c>
      <c r="F111" s="31"/>
      <c r="G111" s="113"/>
      <c r="I111" s="31"/>
      <c r="J111" s="31"/>
      <c r="K111" s="31"/>
      <c r="L111" s="31"/>
      <c r="O111" s="1" t="s">
        <v>1835</v>
      </c>
      <c r="P111" s="1" t="s">
        <v>2026</v>
      </c>
      <c r="Q111" s="129"/>
      <c r="R111" s="129"/>
      <c r="AP111" s="114"/>
      <c r="AU111" s="31"/>
      <c r="AV111" s="31"/>
      <c r="AW111" s="31"/>
      <c r="AX111" s="31"/>
    </row>
    <row r="112" spans="1:50" s="112" customFormat="1" ht="20.25" customHeight="1">
      <c r="A112" s="31"/>
      <c r="B112" s="107"/>
      <c r="C112" s="31"/>
      <c r="D112" s="125" t="s">
        <v>408</v>
      </c>
      <c r="E112" s="213" t="str">
        <f>IF(UNMM0050_SHOHIN_MEI="","",UNMM0050_SHOHIN_MEI)</f>
        <v/>
      </c>
      <c r="F112" s="112">
        <f>COUNTBLANK(E111)</f>
        <v>1</v>
      </c>
      <c r="G112" s="113">
        <f>COUNTA(E112)</f>
        <v>1</v>
      </c>
      <c r="I112" s="428" t="s">
        <v>2036</v>
      </c>
      <c r="J112" s="129" t="s">
        <v>2037</v>
      </c>
      <c r="K112" s="127"/>
      <c r="O112" s="1" t="s">
        <v>1996</v>
      </c>
      <c r="P112" s="421" t="s">
        <v>2029</v>
      </c>
      <c r="Q112" s="129"/>
      <c r="R112" s="129"/>
      <c r="AP112" s="114"/>
      <c r="AU112" s="31"/>
      <c r="AV112" s="31"/>
      <c r="AW112" s="31"/>
      <c r="AX112" s="31"/>
    </row>
    <row r="113" spans="1:50" s="112" customFormat="1" ht="20.25" customHeight="1">
      <c r="A113" s="31"/>
      <c r="B113" s="107"/>
      <c r="C113" s="31"/>
      <c r="D113" s="122" t="s">
        <v>409</v>
      </c>
      <c r="E113" s="214" t="str">
        <f>IF(UNMM0050_AITESAKI_SHOHIN_MEI="","",UNMM0050_AITESAKI_SHOHIN_MEI)</f>
        <v/>
      </c>
      <c r="G113" s="113"/>
      <c r="O113" s="1" t="s">
        <v>1997</v>
      </c>
      <c r="P113" s="421" t="s">
        <v>2030</v>
      </c>
      <c r="Q113" s="129"/>
      <c r="R113" s="129"/>
      <c r="AP113" s="114"/>
      <c r="AU113" s="31"/>
      <c r="AV113" s="31"/>
      <c r="AW113" s="31"/>
      <c r="AX113" s="31"/>
    </row>
    <row r="114" spans="1:50" s="112" customFormat="1" ht="20.25" customHeight="1">
      <c r="A114" s="31"/>
      <c r="B114" s="126"/>
      <c r="C114" s="31"/>
      <c r="D114" s="313" t="s">
        <v>1657</v>
      </c>
      <c r="E114" s="214" t="str">
        <f>IF(UNMM0050_HIMBAN="","",UNMM0050_HIMBAN)</f>
        <v/>
      </c>
      <c r="G114" s="113"/>
      <c r="O114" s="583" t="s">
        <v>1998</v>
      </c>
      <c r="P114" s="583"/>
      <c r="Q114" s="129"/>
      <c r="R114" s="129"/>
      <c r="AP114" s="114"/>
      <c r="AU114" s="31"/>
      <c r="AV114" s="31"/>
      <c r="AW114" s="31"/>
      <c r="AX114" s="31"/>
    </row>
    <row r="115" spans="1:50" s="112" customFormat="1" ht="20.25" customHeight="1">
      <c r="A115" s="419"/>
      <c r="B115" s="126"/>
      <c r="C115" s="419"/>
      <c r="D115" s="313" t="s">
        <v>2031</v>
      </c>
      <c r="E115" s="214" t="str">
        <f>IF(UNMM0050_SHIYAKU_MEI="","",UNMM0050_SHIYAKU_MEI)</f>
        <v/>
      </c>
      <c r="G115" s="113"/>
      <c r="I115" s="130" t="s">
        <v>929</v>
      </c>
      <c r="J115" s="129" t="s">
        <v>934</v>
      </c>
      <c r="K115" s="51" t="str">
        <f ca="1">"商品マスタメンテ画面_"&amp;UNMM0050_SHOHIN_CD&amp;"_"&amp;TEXT(NOW(),"YYYYMMDD")</f>
        <v>商品マスタメンテ画面__20170913</v>
      </c>
      <c r="O115" s="422" t="s">
        <v>1835</v>
      </c>
      <c r="P115" s="422"/>
      <c r="Q115" s="129"/>
      <c r="R115" s="129"/>
      <c r="AP115" s="114"/>
      <c r="AU115" s="31"/>
      <c r="AV115" s="31"/>
      <c r="AW115" s="31"/>
      <c r="AX115" s="31"/>
    </row>
    <row r="116" spans="1:50" s="112" customFormat="1" ht="20.25" customHeight="1">
      <c r="A116" s="31"/>
      <c r="B116" s="126"/>
      <c r="C116" s="31"/>
      <c r="D116" s="313" t="s">
        <v>1658</v>
      </c>
      <c r="E116" s="214" t="str">
        <f>IF(UNMM0050_SHIYAKU_NAIYO="","",UNMM0050_SHIYAKU_NAIYO)</f>
        <v/>
      </c>
      <c r="G116" s="113"/>
      <c r="O116" s="371" t="s">
        <v>1999</v>
      </c>
      <c r="P116" s="1"/>
      <c r="Q116" s="129"/>
      <c r="R116" s="129"/>
      <c r="AP116" s="114"/>
      <c r="AU116" s="31"/>
      <c r="AV116" s="31"/>
      <c r="AW116" s="31"/>
      <c r="AX116" s="31"/>
    </row>
    <row r="117" spans="1:50" s="112" customFormat="1" ht="20.25" customHeight="1">
      <c r="A117" s="31"/>
      <c r="B117" s="126"/>
      <c r="C117" s="31"/>
      <c r="D117" s="313" t="s">
        <v>1659</v>
      </c>
      <c r="E117" s="214" t="str">
        <f>IF(UNMM0050_DOKU_MEISHO="","",UNMM0050_DOKU_MEISHO)</f>
        <v/>
      </c>
      <c r="G117" s="113"/>
      <c r="O117" s="371" t="s">
        <v>2000</v>
      </c>
      <c r="P117" s="371"/>
      <c r="Q117" s="129"/>
      <c r="R117" s="129"/>
      <c r="AP117" s="114"/>
      <c r="AU117" s="31"/>
      <c r="AV117" s="31"/>
      <c r="AW117" s="31"/>
      <c r="AX117" s="31"/>
    </row>
    <row r="118" spans="1:50" s="112" customFormat="1" ht="20.25" customHeight="1">
      <c r="A118" s="419"/>
      <c r="B118" s="126"/>
      <c r="C118" s="419"/>
      <c r="D118" s="313" t="s">
        <v>2032</v>
      </c>
      <c r="E118" s="218" t="str">
        <f>IF(UNMM0050_DOKU_SURYO="","",UNMM0050_DOKU_SURYO)</f>
        <v/>
      </c>
      <c r="G118" s="113"/>
      <c r="O118" s="371" t="s">
        <v>2001</v>
      </c>
      <c r="P118" s="371"/>
      <c r="Q118" s="129"/>
      <c r="R118" s="129"/>
      <c r="AP118" s="114"/>
      <c r="AU118" s="31"/>
      <c r="AV118" s="31"/>
      <c r="AW118" s="31"/>
      <c r="AX118" s="31"/>
    </row>
    <row r="119" spans="1:50" s="112" customFormat="1" ht="20.25" customHeight="1">
      <c r="A119" s="31"/>
      <c r="B119" s="126"/>
      <c r="C119" s="31"/>
      <c r="D119" s="133" t="s">
        <v>410</v>
      </c>
      <c r="E119" s="215" t="str">
        <f>IF(UNMM0050_BUNSEKIKOMOKU_FLG=FALSE,"False","True")</f>
        <v>False</v>
      </c>
      <c r="F119" s="667" t="s">
        <v>480</v>
      </c>
      <c r="G119" s="113"/>
      <c r="O119" s="371" t="s">
        <v>2002</v>
      </c>
      <c r="P119" s="371"/>
      <c r="Q119" s="129"/>
      <c r="R119" s="129"/>
      <c r="AP119" s="114"/>
      <c r="AU119" s="31"/>
      <c r="AV119" s="31"/>
      <c r="AW119" s="31"/>
      <c r="AX119" s="31"/>
    </row>
    <row r="120" spans="1:50" s="112" customFormat="1" ht="20.25" customHeight="1">
      <c r="A120" s="31"/>
      <c r="B120" s="126"/>
      <c r="C120" s="31"/>
      <c r="D120" s="134" t="s">
        <v>411</v>
      </c>
      <c r="E120" s="216" t="str">
        <f>IF(UNMM0050_SHOHIN_FLG=FALSE,"False","True")</f>
        <v>False</v>
      </c>
      <c r="F120" s="667"/>
      <c r="G120" s="113"/>
      <c r="O120" s="371" t="s">
        <v>2003</v>
      </c>
      <c r="P120" s="371"/>
      <c r="Q120" s="129"/>
      <c r="R120" s="129"/>
      <c r="AP120" s="114"/>
      <c r="AU120" s="31"/>
      <c r="AV120" s="31"/>
      <c r="AW120" s="31"/>
      <c r="AX120" s="31"/>
    </row>
    <row r="121" spans="1:50" s="112" customFormat="1" ht="20.25" customHeight="1">
      <c r="A121" s="31"/>
      <c r="B121" s="126"/>
      <c r="C121" s="31"/>
      <c r="D121" s="134" t="s">
        <v>412</v>
      </c>
      <c r="E121" s="216" t="str">
        <f>IF(UNMM0050_KOBAIHIN_FLG=FALSE,"False","True")</f>
        <v>False</v>
      </c>
      <c r="F121" s="667"/>
      <c r="G121" s="113"/>
      <c r="O121" s="371" t="s">
        <v>2004</v>
      </c>
      <c r="P121" s="371"/>
      <c r="Q121" s="129"/>
      <c r="R121" s="129"/>
      <c r="AP121" s="114"/>
      <c r="AU121" s="31"/>
      <c r="AV121" s="31"/>
      <c r="AW121" s="31"/>
      <c r="AX121" s="31"/>
    </row>
    <row r="122" spans="1:50" s="112" customFormat="1" ht="20.25" customHeight="1">
      <c r="A122" s="31"/>
      <c r="B122" s="126"/>
      <c r="C122" s="31"/>
      <c r="D122" s="135" t="s">
        <v>413</v>
      </c>
      <c r="E122" s="217" t="str">
        <f>IF(UNMM0050_SHOKEIHI_FLG=FALSE,"False","True")</f>
        <v>False</v>
      </c>
      <c r="F122" s="667"/>
      <c r="G122" s="113"/>
      <c r="O122" s="371" t="s">
        <v>2005</v>
      </c>
      <c r="P122" s="371"/>
      <c r="Q122" s="129"/>
      <c r="R122" s="129"/>
      <c r="AP122" s="114"/>
      <c r="AU122" s="31"/>
      <c r="AV122" s="31"/>
      <c r="AW122" s="31"/>
      <c r="AX122" s="31"/>
    </row>
    <row r="123" spans="1:50" s="112" customFormat="1" ht="20.25" customHeight="1">
      <c r="A123" s="31"/>
      <c r="B123" s="126"/>
      <c r="C123" s="31"/>
      <c r="D123" s="125" t="s">
        <v>414</v>
      </c>
      <c r="E123" s="214" t="str">
        <f ca="1">_xlfn.IFNA(IF(LIST_SHOHIN_STS_HOHO_KENSU=0,"",VLOOKUP(UNMM0050_STS, INDIRECT(ADDRESS(ROW(LIST_SHOHIN_STS_TENKAIICHI),COLUMN(LIST_SHOHIN_STS_TENKAIICHI),4,1)&amp;":"&amp;ADDRESS(ROW(LIST_SHOHIN_STS_TENKAIICHI)+LIST_SHOHIN_STS_HOHO_KENSU-1,COLUMN(LIST_SHOHIN_STS_TENKAIICHI)+1,4,1)),2,FALSE)),0)</f>
        <v/>
      </c>
      <c r="G123" s="113"/>
      <c r="O123" s="84" t="s">
        <v>2006</v>
      </c>
      <c r="P123" s="89"/>
      <c r="Q123" s="425"/>
      <c r="R123" s="425"/>
      <c r="AP123" s="114"/>
      <c r="AU123" s="31"/>
      <c r="AV123" s="31"/>
      <c r="AW123" s="31"/>
      <c r="AX123" s="31"/>
    </row>
    <row r="124" spans="1:50" s="112" customFormat="1" ht="20.25" customHeight="1">
      <c r="A124" s="31"/>
      <c r="B124" s="126"/>
      <c r="C124" s="31"/>
      <c r="D124" s="125" t="s">
        <v>415</v>
      </c>
      <c r="E124" s="214" t="str">
        <f>IF(OR(UNMM0050_SHOHIN_BUNRUI="",UNMM0050_IF_SHOHIN_BUNRUI=""),"",UNMM0050_IF_SHOHIN_BUNRUI)</f>
        <v/>
      </c>
      <c r="G124" s="113"/>
      <c r="O124" s="423" t="s">
        <v>2007</v>
      </c>
      <c r="P124" s="424"/>
      <c r="Q124" s="129"/>
      <c r="R124" s="129"/>
      <c r="AP124" s="114"/>
      <c r="AU124" s="31"/>
      <c r="AV124" s="31"/>
      <c r="AW124" s="31"/>
      <c r="AX124" s="31"/>
    </row>
    <row r="125" spans="1:50" s="112" customFormat="1" ht="20.25" customHeight="1">
      <c r="A125" s="31"/>
      <c r="B125" s="126"/>
      <c r="C125" s="31"/>
      <c r="D125" s="122" t="s">
        <v>416</v>
      </c>
      <c r="E125" s="214" t="str">
        <f>IF(UNMM0050_CHOSEI_SHIYAKU_FLG=FALSE,"False","True")</f>
        <v>False</v>
      </c>
      <c r="G125" s="113"/>
      <c r="O125" s="423" t="s">
        <v>2008</v>
      </c>
      <c r="P125" s="424"/>
      <c r="Q125" s="129"/>
      <c r="R125" s="129"/>
      <c r="AP125" s="114"/>
      <c r="AU125" s="31"/>
      <c r="AV125" s="31"/>
      <c r="AW125" s="31"/>
      <c r="AX125" s="31"/>
    </row>
    <row r="126" spans="1:50" s="112" customFormat="1" ht="20.25" customHeight="1">
      <c r="A126" s="31"/>
      <c r="B126" s="126"/>
      <c r="C126" s="31"/>
      <c r="D126" s="122" t="s">
        <v>417</v>
      </c>
      <c r="E126" s="214" t="str">
        <f>IF(UNMM0050_DOKU_FLG=FALSE,"False","True")</f>
        <v>False</v>
      </c>
      <c r="G126" s="113"/>
      <c r="O126" s="84" t="s">
        <v>2009</v>
      </c>
      <c r="P126" s="89"/>
      <c r="Q126" s="129"/>
      <c r="R126" s="129"/>
      <c r="AP126" s="114"/>
      <c r="AU126" s="31"/>
      <c r="AV126" s="31"/>
      <c r="AW126" s="31"/>
      <c r="AX126" s="31"/>
    </row>
    <row r="127" spans="1:50" s="112" customFormat="1" ht="20.25" customHeight="1">
      <c r="A127" s="31"/>
      <c r="B127" s="126"/>
      <c r="C127" s="31"/>
      <c r="D127" s="122" t="s">
        <v>418</v>
      </c>
      <c r="E127" s="214" t="str">
        <f>IF(UNMM0050_SHIYAKU_FLG=FALSE,"False","True")</f>
        <v>False</v>
      </c>
      <c r="G127" s="113"/>
      <c r="I127" s="31"/>
      <c r="J127" s="31"/>
      <c r="K127" s="31"/>
      <c r="L127" s="31"/>
      <c r="M127" s="31"/>
      <c r="N127" s="31"/>
      <c r="O127" s="129"/>
      <c r="P127" s="129"/>
      <c r="Q127" s="129"/>
      <c r="R127" s="129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P127" s="114"/>
      <c r="AU127" s="31"/>
      <c r="AV127" s="31"/>
      <c r="AW127" s="31"/>
      <c r="AX127" s="31"/>
    </row>
    <row r="128" spans="1:50" s="112" customFormat="1" ht="20.25" customHeight="1">
      <c r="A128" s="31"/>
      <c r="B128" s="126"/>
      <c r="C128" s="31"/>
      <c r="D128" s="122" t="s">
        <v>419</v>
      </c>
      <c r="E128" s="336" t="str">
        <f>IF(UNMM0050_SHIIRE_CD="","",UNMM0050_SHIIRE_CD)</f>
        <v/>
      </c>
      <c r="G128" s="113"/>
      <c r="I128" s="31"/>
      <c r="J128" s="31"/>
      <c r="K128" s="31"/>
      <c r="L128" s="31"/>
      <c r="M128" s="31"/>
      <c r="N128" s="31"/>
      <c r="O128" s="85" t="s">
        <v>2010</v>
      </c>
      <c r="P128" s="425"/>
      <c r="Q128" s="425"/>
      <c r="R128" s="129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P128" s="114"/>
      <c r="AU128" s="31"/>
      <c r="AV128" s="31"/>
      <c r="AW128" s="31"/>
      <c r="AX128" s="31"/>
    </row>
    <row r="129" spans="1:50" s="112" customFormat="1" ht="20.25" customHeight="1">
      <c r="A129" s="31"/>
      <c r="B129" s="126"/>
      <c r="C129" s="31"/>
      <c r="D129" s="122" t="s">
        <v>420</v>
      </c>
      <c r="E129" s="336" t="str">
        <f>IF(UNMM0050_MAKER_CD="","",UNMM0050_MAKER_CD)</f>
        <v/>
      </c>
      <c r="G129" s="113"/>
      <c r="H129" s="31"/>
      <c r="O129" s="129" t="s">
        <v>648</v>
      </c>
      <c r="P129" s="129" t="s">
        <v>2023</v>
      </c>
      <c r="Q129" s="51">
        <f>IF(ISBLANK(UNMM0050_IF_SAVE_CHECK_RESULT)=TRUE,2,1)</f>
        <v>2</v>
      </c>
      <c r="R129" s="425" t="s">
        <v>470</v>
      </c>
      <c r="AP129" s="114"/>
      <c r="AU129" s="31"/>
      <c r="AV129" s="31"/>
      <c r="AW129" s="31"/>
      <c r="AX129" s="31"/>
    </row>
    <row r="130" spans="1:50" s="112" customFormat="1" ht="20.25" customHeight="1">
      <c r="A130" s="31"/>
      <c r="B130" s="126"/>
      <c r="C130" s="31"/>
      <c r="D130" s="122" t="s">
        <v>421</v>
      </c>
      <c r="E130" s="336" t="str">
        <f>IF(UNMM0050_GAICHU_CD="","",UNMM0050_GAICHU_CD)</f>
        <v/>
      </c>
      <c r="G130" s="113"/>
      <c r="H130" s="31"/>
      <c r="O130" s="425" t="s">
        <v>1485</v>
      </c>
      <c r="P130" s="129" t="s">
        <v>2035</v>
      </c>
      <c r="Q130" s="51" t="str">
        <f>"以下の項目が入力されていません。"&amp;
IF(UNMM0050_IF_SAVE_CHECK_RESULT&gt;=1,"
行番号："&amp;UNMM0050_IF_SAVE_CHECK_RESULT-ROW(UNMM0050_IF_SAVE_CHECK_START)+1,"")&amp;
"
項目名："&amp;UNMM0050_IF_SAVE_CHECK_ERROR_KOMOKU</f>
        <v>以下の項目が入力されていません。
項目名：</v>
      </c>
      <c r="R130" s="129"/>
      <c r="AP130" s="114"/>
      <c r="AU130" s="31"/>
      <c r="AV130" s="31"/>
      <c r="AW130" s="31"/>
      <c r="AX130" s="31"/>
    </row>
    <row r="131" spans="1:50" s="112" customFormat="1" ht="20.25" customHeight="1">
      <c r="A131" s="31"/>
      <c r="B131" s="126"/>
      <c r="C131" s="31"/>
      <c r="D131" s="122" t="s">
        <v>422</v>
      </c>
      <c r="E131" s="214" t="str">
        <f>IF(UNMM0050_IRISU="","",UNMM0050_IRISU)</f>
        <v/>
      </c>
      <c r="G131" s="113"/>
      <c r="O131" s="129"/>
      <c r="P131" s="129"/>
      <c r="Q131" s="129"/>
      <c r="R131" s="129"/>
      <c r="AP131" s="114"/>
      <c r="AU131" s="31"/>
      <c r="AV131" s="31"/>
      <c r="AW131" s="31"/>
      <c r="AX131" s="31"/>
    </row>
    <row r="132" spans="1:50" s="112" customFormat="1" ht="20.25" customHeight="1">
      <c r="A132" s="31"/>
      <c r="B132" s="126"/>
      <c r="C132" s="31"/>
      <c r="D132" s="122" t="s">
        <v>423</v>
      </c>
      <c r="E132" s="214" t="str">
        <f>IF(UNMM0050_IRISU_TANI="","",UNMM0050_IRISU_TANI)</f>
        <v/>
      </c>
      <c r="G132" s="31"/>
      <c r="O132" s="129"/>
      <c r="P132" s="129" t="s">
        <v>2025</v>
      </c>
      <c r="Q132" s="129" t="s">
        <v>2024</v>
      </c>
      <c r="R132" s="425"/>
      <c r="AP132" s="114"/>
      <c r="AU132" s="31"/>
      <c r="AV132" s="31"/>
      <c r="AW132" s="31"/>
      <c r="AX132" s="31"/>
    </row>
    <row r="133" spans="1:50" s="112" customFormat="1" ht="20.25" customHeight="1">
      <c r="A133" s="31"/>
      <c r="B133" s="126"/>
      <c r="C133" s="31"/>
      <c r="D133" s="122" t="s">
        <v>424</v>
      </c>
      <c r="E133" s="214" t="str">
        <f>IF(UNMM0050_BARA_TANI="","",UNMM0050_BARA_TANI)</f>
        <v/>
      </c>
      <c r="G133" s="31"/>
      <c r="O133" s="425" t="s">
        <v>2011</v>
      </c>
      <c r="P133" s="51"/>
      <c r="Q133" s="201"/>
      <c r="R133" s="425"/>
      <c r="AP133" s="114"/>
      <c r="AU133" s="31"/>
      <c r="AV133" s="31"/>
      <c r="AW133" s="31"/>
      <c r="AX133" s="31"/>
    </row>
    <row r="134" spans="1:50" s="112" customFormat="1" ht="20.25" customHeight="1">
      <c r="A134" s="31"/>
      <c r="B134" s="126"/>
      <c r="C134" s="31"/>
      <c r="D134" s="122" t="s">
        <v>425</v>
      </c>
      <c r="E134" s="317" t="str">
        <f>IF(UNMM0050_KAKAKU="","",UNMM0050_KAKAKU)</f>
        <v/>
      </c>
      <c r="G134" s="113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AP134" s="114"/>
      <c r="AU134" s="31"/>
      <c r="AV134" s="31"/>
      <c r="AW134" s="31"/>
      <c r="AX134" s="31"/>
    </row>
    <row r="135" spans="1:50" s="112" customFormat="1" ht="20.25" customHeight="1">
      <c r="A135" s="31"/>
      <c r="B135" s="126"/>
      <c r="C135" s="31"/>
      <c r="D135" s="122" t="s">
        <v>426</v>
      </c>
      <c r="E135" s="317" t="str">
        <f>IF(UNMM0050_GENKA="","",UNMM0050_GENKA)</f>
        <v/>
      </c>
      <c r="G135" s="113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AP135" s="114"/>
      <c r="AU135" s="31"/>
      <c r="AV135" s="31"/>
      <c r="AW135" s="31"/>
      <c r="AX135" s="31"/>
    </row>
    <row r="136" spans="1:50" s="112" customFormat="1" ht="20.25" customHeight="1">
      <c r="A136" s="31"/>
      <c r="B136" s="126"/>
      <c r="C136" s="31"/>
      <c r="D136" s="122" t="s">
        <v>427</v>
      </c>
      <c r="E136" s="317" t="str">
        <f>IF(UNMM0050_BAIKA="","",UNMM0050_BAIKA)</f>
        <v/>
      </c>
      <c r="G136" s="113"/>
      <c r="H136" s="31"/>
      <c r="S136" s="114"/>
      <c r="AP136" s="114"/>
      <c r="AU136" s="31"/>
      <c r="AV136" s="31"/>
      <c r="AW136" s="31"/>
      <c r="AX136" s="31"/>
    </row>
    <row r="137" spans="1:50" s="112" customFormat="1" ht="20.25" customHeight="1">
      <c r="A137" s="31"/>
      <c r="B137" s="113"/>
      <c r="C137" s="31"/>
      <c r="D137" s="122" t="s">
        <v>428</v>
      </c>
      <c r="E137" s="317" t="str">
        <f>IF(UNMM0050_SHIIRE_TANKA="","",UNMM0050_SHIIRE_TANKA)</f>
        <v/>
      </c>
      <c r="G137" s="113"/>
      <c r="H137" s="31"/>
      <c r="S137" s="114"/>
      <c r="AP137" s="114"/>
      <c r="AU137" s="31"/>
      <c r="AV137" s="31"/>
      <c r="AW137" s="31"/>
      <c r="AX137" s="31"/>
    </row>
    <row r="138" spans="1:50" s="112" customFormat="1" ht="20.25" customHeight="1">
      <c r="A138" s="31"/>
      <c r="B138" s="113"/>
      <c r="C138" s="31"/>
      <c r="D138" s="122" t="s">
        <v>429</v>
      </c>
      <c r="E138" s="214" t="str">
        <f>IF(UNMM0050_SHIIRE_IRISU="","",UNMM0050_SHIIRE_IRISU)</f>
        <v/>
      </c>
      <c r="G138" s="113"/>
      <c r="S138" s="114"/>
      <c r="AP138" s="114"/>
      <c r="AU138" s="31"/>
      <c r="AV138" s="31"/>
      <c r="AW138" s="31"/>
      <c r="AX138" s="31"/>
    </row>
    <row r="139" spans="1:50" s="112" customFormat="1" ht="20.25" customHeight="1">
      <c r="A139" s="31"/>
      <c r="B139" s="113"/>
      <c r="C139" s="31"/>
      <c r="D139" s="122" t="s">
        <v>430</v>
      </c>
      <c r="E139" s="214" t="str">
        <f>IF(UNMM0050_SHIIRE_IRISU_TANI="","",UNMM0050_SHIIRE_IRISU_TANI)</f>
        <v/>
      </c>
      <c r="G139" s="31"/>
      <c r="S139" s="114"/>
      <c r="AP139" s="114"/>
      <c r="AU139" s="31"/>
      <c r="AV139" s="31"/>
      <c r="AW139" s="31"/>
      <c r="AX139" s="31"/>
    </row>
    <row r="140" spans="1:50" s="112" customFormat="1" ht="20.25" customHeight="1">
      <c r="A140" s="31"/>
      <c r="B140" s="113"/>
      <c r="C140" s="31"/>
      <c r="D140" s="122" t="s">
        <v>431</v>
      </c>
      <c r="E140" s="214" t="str">
        <f>IF(UNMM0050_NOKI=0,"",UNMM0050_NOKI)</f>
        <v/>
      </c>
      <c r="G140" s="31"/>
      <c r="S140" s="114"/>
      <c r="AP140" s="114"/>
      <c r="AU140" s="31"/>
      <c r="AV140" s="31"/>
      <c r="AW140" s="31"/>
      <c r="AX140" s="31"/>
    </row>
    <row r="141" spans="1:50" s="112" customFormat="1" ht="20.25" customHeight="1">
      <c r="A141" s="31"/>
      <c r="B141" s="113"/>
      <c r="C141" s="31"/>
      <c r="D141" s="122" t="s">
        <v>432</v>
      </c>
      <c r="E141" s="214" t="str">
        <f>IF(UNMM0050_KOSU=0,"",UNMM0050_KOSU)</f>
        <v/>
      </c>
      <c r="S141" s="114"/>
      <c r="AP141" s="114"/>
      <c r="AU141" s="31"/>
      <c r="AV141" s="31"/>
      <c r="AW141" s="31"/>
      <c r="AX141" s="31"/>
    </row>
    <row r="142" spans="1:50" s="112" customFormat="1" ht="20.25" customHeight="1">
      <c r="A142" s="31"/>
      <c r="B142" s="113"/>
      <c r="C142" s="31"/>
      <c r="D142" s="122" t="s">
        <v>433</v>
      </c>
      <c r="E142" s="317" t="str">
        <f>IF(UNMM0050_TEIKA=0,"",UNMM0050_TEIKA)</f>
        <v/>
      </c>
      <c r="S142" s="114"/>
      <c r="AP142" s="114"/>
      <c r="AU142" s="31"/>
      <c r="AV142" s="31"/>
      <c r="AW142" s="31"/>
      <c r="AX142" s="31"/>
    </row>
    <row r="143" spans="1:50" s="112" customFormat="1" ht="20.25" customHeight="1">
      <c r="A143" s="31"/>
      <c r="B143" s="113"/>
      <c r="C143" s="31"/>
      <c r="D143" s="122" t="s">
        <v>434</v>
      </c>
      <c r="E143" s="317" t="str">
        <f>IF(UNMM0050_SAITEI_KAKAKU=0,"",UNMM0050_SAITEI_KAKAKU)</f>
        <v/>
      </c>
      <c r="S143" s="114"/>
      <c r="AP143" s="114"/>
      <c r="AU143" s="31"/>
      <c r="AV143" s="31"/>
      <c r="AW143" s="31"/>
      <c r="AX143" s="31"/>
    </row>
    <row r="144" spans="1:50" s="112" customFormat="1" ht="20.25" customHeight="1">
      <c r="A144" s="31"/>
      <c r="B144" s="113"/>
      <c r="C144" s="31"/>
      <c r="D144" s="122" t="s">
        <v>435</v>
      </c>
      <c r="E144" s="317" t="str">
        <f>IF(UNMM0050_SHIJO_KAKAKU=0,"",UNMM0050_SHIJO_KAKAKU)</f>
        <v/>
      </c>
      <c r="I144" s="31"/>
      <c r="J144" s="31"/>
      <c r="K144" s="31"/>
      <c r="L144" s="31"/>
      <c r="M144" s="31"/>
      <c r="N144" s="31"/>
      <c r="O144" s="31"/>
      <c r="S144" s="114"/>
      <c r="AP144" s="114"/>
      <c r="AU144" s="31"/>
      <c r="AV144" s="31"/>
      <c r="AW144" s="31"/>
      <c r="AX144" s="31"/>
    </row>
    <row r="145" spans="1:50" s="112" customFormat="1" ht="20.25" customHeight="1">
      <c r="A145" s="31"/>
      <c r="B145" s="113"/>
      <c r="C145" s="31"/>
      <c r="D145" s="122" t="s">
        <v>436</v>
      </c>
      <c r="E145" s="214" t="str">
        <f>IF(OR(UNMM0050_HOKAN="",UNMM0050_IF_HOKAN_BASHO_KBN=0),"",UNMM0050_IF_HOKAN_BASHO_KBN)</f>
        <v/>
      </c>
      <c r="I145" s="31"/>
      <c r="J145" s="31"/>
      <c r="K145" s="31"/>
      <c r="L145" s="31"/>
      <c r="M145" s="31"/>
      <c r="N145" s="31"/>
      <c r="O145" s="31"/>
      <c r="S145" s="114"/>
      <c r="AP145" s="114"/>
      <c r="AU145" s="31"/>
      <c r="AV145" s="31"/>
      <c r="AW145" s="31"/>
      <c r="AX145" s="31"/>
    </row>
    <row r="146" spans="1:50" s="112" customFormat="1" ht="20.25" customHeight="1">
      <c r="A146" s="31"/>
      <c r="B146" s="113"/>
      <c r="C146" s="31"/>
      <c r="D146" s="122" t="s">
        <v>437</v>
      </c>
      <c r="E146" s="317" t="str">
        <f>IF(UNMM0050_SHIKIICHI=0,"",UNMM0050_SHIKIICHI)</f>
        <v/>
      </c>
      <c r="H146" s="31"/>
      <c r="S146" s="114"/>
      <c r="AP146" s="114"/>
      <c r="AU146" s="31"/>
      <c r="AV146" s="31"/>
      <c r="AW146" s="31"/>
      <c r="AX146" s="31"/>
    </row>
    <row r="147" spans="1:50" s="112" customFormat="1" ht="20.25" customHeight="1">
      <c r="A147" s="31"/>
      <c r="B147" s="113"/>
      <c r="C147" s="31"/>
      <c r="D147" s="122" t="s">
        <v>438</v>
      </c>
      <c r="E147" s="214" t="str">
        <f>IF(UNMM0050_BUNSEKI_TANI=0,"",UNMM0050_BUNSEKI_TANI)</f>
        <v/>
      </c>
      <c r="H147" s="31"/>
      <c r="S147" s="114"/>
      <c r="AP147" s="114"/>
      <c r="AU147" s="31"/>
      <c r="AV147" s="31"/>
      <c r="AW147" s="31"/>
      <c r="AX147" s="31"/>
    </row>
    <row r="148" spans="1:50" s="112" customFormat="1" ht="20.25" customHeight="1">
      <c r="A148" s="31"/>
      <c r="B148" s="113"/>
      <c r="C148" s="31"/>
      <c r="D148" s="122" t="s">
        <v>439</v>
      </c>
      <c r="E148" s="214" t="str">
        <f>IF(UNMM0050_BUNSEKI_NO=0,"",UNMM0050_BUNSEKI_NO)</f>
        <v/>
      </c>
      <c r="S148" s="114"/>
      <c r="AP148" s="114"/>
      <c r="AU148" s="31"/>
      <c r="AV148" s="31"/>
      <c r="AW148" s="31"/>
      <c r="AX148" s="31"/>
    </row>
    <row r="149" spans="1:50" s="112" customFormat="1" ht="20.25" customHeight="1">
      <c r="A149" s="31"/>
      <c r="B149" s="113"/>
      <c r="C149" s="31"/>
      <c r="D149" s="122" t="s">
        <v>440</v>
      </c>
      <c r="E149" s="214" t="str">
        <f>IF(UNMM0050_BUNSEKI_FLOW=0,"",UNMM0050_BUNSEKI_FLOW)</f>
        <v/>
      </c>
      <c r="G149" s="31"/>
      <c r="H149" s="139"/>
      <c r="S149" s="114"/>
      <c r="AP149" s="114"/>
      <c r="AU149" s="31"/>
      <c r="AV149" s="31"/>
      <c r="AW149" s="31"/>
      <c r="AX149" s="31"/>
    </row>
    <row r="150" spans="1:50" s="112" customFormat="1" ht="20.25" customHeight="1">
      <c r="A150" s="31"/>
      <c r="B150" s="113"/>
      <c r="C150" s="31"/>
      <c r="D150" s="122" t="s">
        <v>441</v>
      </c>
      <c r="E150" s="214" t="str">
        <f>IF(UNMM0050_BIKO=0,"",UNMM0050_BIKO)</f>
        <v/>
      </c>
      <c r="G150" s="31"/>
      <c r="H150" s="140" t="str">
        <f>IF(UNMM0050_IF_WORK_TABLE_W_MODE=1,UNMM0050_IF_WORK_TABLE_W_USER_ID,IF(UNMM0050_IF_WORK_TABLE_W_MODE=2,UNMM0050_IF_DBS_CREATE_USER,""))</f>
        <v/>
      </c>
      <c r="S150" s="114"/>
      <c r="AP150" s="114"/>
      <c r="AU150" s="31"/>
      <c r="AV150" s="31"/>
      <c r="AW150" s="31"/>
      <c r="AX150" s="31"/>
    </row>
    <row r="151" spans="1:50" s="112" customFormat="1" ht="20.25" customHeight="1">
      <c r="A151" s="463"/>
      <c r="B151" s="113"/>
      <c r="C151" s="463"/>
      <c r="D151" s="122" t="s">
        <v>2072</v>
      </c>
      <c r="E151" s="464" t="str">
        <f>IF(UNMM0050_LINK_DATETIME="","",UNMM0050_LINK_DATETIME)</f>
        <v/>
      </c>
      <c r="G151" s="463"/>
      <c r="H151" s="140"/>
      <c r="S151" s="114"/>
      <c r="AP151" s="114"/>
      <c r="AU151" s="463"/>
      <c r="AV151" s="463"/>
      <c r="AW151" s="463"/>
      <c r="AX151" s="463"/>
    </row>
    <row r="152" spans="1:50" s="112" customFormat="1" ht="28.5" customHeight="1">
      <c r="A152" s="31"/>
      <c r="B152" s="113"/>
      <c r="C152" s="31"/>
      <c r="D152" s="122" t="s">
        <v>402</v>
      </c>
      <c r="E152" s="218" t="str">
        <f>IF(UNMM0050_MISHIYO=FALSE,"False","True")</f>
        <v>False</v>
      </c>
      <c r="H152" s="141" t="str">
        <f>IF(UNMM0050_IF_WORK_TABLE_W_MODE=1,UNMM0050_IF_CURRENT_DATE,IF(UNMM0050_IF_WORK_TABLE_W_MODE=2,UNMM0050_UPDATE_DATETIME,""))</f>
        <v/>
      </c>
      <c r="S152" s="114"/>
      <c r="AP152" s="114"/>
      <c r="AU152" s="31"/>
      <c r="AV152" s="31"/>
      <c r="AW152" s="31"/>
      <c r="AX152" s="31"/>
    </row>
    <row r="153" spans="1:50" s="112" customFormat="1" ht="28.5" customHeight="1">
      <c r="A153" s="31"/>
      <c r="B153" s="113"/>
      <c r="C153" s="31"/>
      <c r="D153" s="122" t="s">
        <v>403</v>
      </c>
      <c r="E153" s="137"/>
      <c r="F153" s="667" t="s">
        <v>490</v>
      </c>
      <c r="G153" s="31"/>
      <c r="H153" s="140" t="str">
        <f>UNMM0050_IF_WORK_TABLE_W_USER_ID</f>
        <v/>
      </c>
      <c r="S153" s="114"/>
      <c r="AP153" s="114"/>
      <c r="AU153" s="31"/>
      <c r="AV153" s="31"/>
      <c r="AW153" s="31"/>
      <c r="AX153" s="31"/>
    </row>
    <row r="154" spans="1:50" s="112" customFormat="1" ht="28.5" customHeight="1">
      <c r="A154" s="124"/>
      <c r="B154" s="113"/>
      <c r="C154" s="124"/>
      <c r="D154" s="122" t="s">
        <v>449</v>
      </c>
      <c r="E154" s="138"/>
      <c r="F154" s="668"/>
      <c r="G154" s="31"/>
      <c r="H154" s="141"/>
      <c r="S154" s="114"/>
      <c r="AP154" s="114"/>
      <c r="AU154" s="31"/>
      <c r="AV154" s="31"/>
      <c r="AW154" s="31"/>
      <c r="AX154" s="31"/>
    </row>
    <row r="155" spans="1:50" s="112" customFormat="1" ht="28.5" customHeight="1">
      <c r="A155" s="31"/>
      <c r="B155" s="113"/>
      <c r="C155" s="124"/>
      <c r="D155" s="122" t="s">
        <v>404</v>
      </c>
      <c r="E155" s="138"/>
      <c r="F155" s="668"/>
      <c r="G155" s="31"/>
      <c r="S155" s="114"/>
      <c r="AP155" s="114"/>
      <c r="AU155" s="31"/>
      <c r="AV155" s="31"/>
      <c r="AW155" s="31"/>
      <c r="AX155" s="31"/>
    </row>
    <row r="156" spans="1:50" ht="22.5" customHeight="1">
      <c r="A156" s="31"/>
      <c r="B156" s="113"/>
      <c r="C156" s="124"/>
      <c r="D156" s="122" t="s">
        <v>405</v>
      </c>
      <c r="E156" s="138"/>
      <c r="F156" s="668"/>
      <c r="G156" s="31"/>
      <c r="H156" s="112"/>
      <c r="I156" s="112"/>
      <c r="J156" s="112"/>
      <c r="K156" s="112"/>
      <c r="L156" s="112"/>
      <c r="M156" s="112"/>
      <c r="N156" s="112"/>
      <c r="O156" s="112"/>
      <c r="P156" s="112"/>
      <c r="Q156" s="112"/>
      <c r="R156" s="112"/>
      <c r="S156" s="114"/>
      <c r="T156" s="112"/>
      <c r="U156" s="112"/>
      <c r="V156" s="112"/>
      <c r="W156" s="112"/>
      <c r="X156" s="112"/>
      <c r="Y156" s="112"/>
      <c r="Z156" s="112"/>
      <c r="AA156" s="112"/>
      <c r="AB156" s="112"/>
      <c r="AC156" s="112"/>
      <c r="AD156" s="112"/>
      <c r="AE156" s="112"/>
      <c r="AF156" s="112"/>
      <c r="AG156" s="112"/>
      <c r="AH156" s="112"/>
      <c r="AI156" s="112"/>
      <c r="AJ156" s="112"/>
      <c r="AK156" s="112"/>
      <c r="AL156" s="112"/>
      <c r="AM156" s="112"/>
      <c r="AN156" s="112"/>
      <c r="AO156" s="112"/>
      <c r="AP156" s="114"/>
      <c r="AQ156" s="112"/>
      <c r="AR156" s="112"/>
      <c r="AS156" s="112"/>
      <c r="AT156" s="112"/>
      <c r="AU156" s="411"/>
      <c r="AV156" s="411"/>
      <c r="AW156" s="411"/>
      <c r="AX156" s="411"/>
    </row>
    <row r="157" spans="1:50" ht="22.5" customHeight="1">
      <c r="A157" s="31"/>
      <c r="B157" s="113"/>
      <c r="C157" s="31"/>
      <c r="D157" s="122" t="s">
        <v>406</v>
      </c>
      <c r="E157" s="138"/>
      <c r="F157" s="668"/>
      <c r="G157" s="31"/>
      <c r="H157" s="112"/>
    </row>
    <row r="158" spans="1:50" ht="22.5" customHeight="1">
      <c r="A158" s="411"/>
      <c r="B158" s="113"/>
      <c r="C158" s="411"/>
      <c r="D158" s="414"/>
      <c r="E158" s="112"/>
      <c r="F158" s="112"/>
      <c r="G158" s="411"/>
      <c r="H158" s="112"/>
    </row>
    <row r="159" spans="1:50" ht="22.5" customHeight="1">
      <c r="A159" s="115"/>
      <c r="B159" s="112"/>
      <c r="C159" s="112"/>
      <c r="D159" s="112"/>
      <c r="I159" s="425"/>
      <c r="J159" s="425"/>
      <c r="K159" s="425"/>
      <c r="L159" s="425"/>
      <c r="M159" s="425"/>
      <c r="N159" s="425"/>
      <c r="O159" s="425"/>
      <c r="P159" s="425"/>
      <c r="Q159" s="425"/>
      <c r="R159" s="425"/>
      <c r="S159" s="425"/>
      <c r="T159" s="425"/>
      <c r="U159" s="425"/>
      <c r="V159" s="425"/>
      <c r="W159" s="425"/>
      <c r="X159" s="425"/>
      <c r="Y159" s="425"/>
      <c r="Z159" s="425"/>
      <c r="AA159" s="425"/>
      <c r="AB159" s="425"/>
      <c r="AC159" s="425"/>
      <c r="AD159" s="425"/>
      <c r="AE159" s="425"/>
      <c r="AF159" s="425"/>
      <c r="AG159" s="425"/>
      <c r="AH159" s="425"/>
      <c r="AI159" s="425"/>
      <c r="AJ159" s="425"/>
      <c r="AK159" s="425"/>
      <c r="AL159" s="425"/>
      <c r="AM159" s="425"/>
      <c r="AN159" s="425"/>
      <c r="AO159" s="425"/>
      <c r="AP159" s="425"/>
      <c r="AQ159" s="425"/>
      <c r="AR159" s="425"/>
      <c r="AS159" s="425"/>
      <c r="AT159" s="425"/>
      <c r="AU159" s="425"/>
      <c r="AV159" s="425"/>
      <c r="AW159" s="425"/>
      <c r="AX159" s="425"/>
    </row>
    <row r="160" spans="1:50" ht="22.5" customHeight="1">
      <c r="B160" s="112"/>
      <c r="C160" s="112"/>
      <c r="D160" s="140"/>
      <c r="I160" s="425"/>
      <c r="J160" s="425"/>
      <c r="K160" s="425"/>
      <c r="L160" s="425"/>
      <c r="M160" s="425"/>
      <c r="N160" s="425"/>
      <c r="O160" s="425"/>
      <c r="P160" s="425"/>
      <c r="Q160" s="425"/>
      <c r="R160" s="425"/>
      <c r="S160" s="425"/>
      <c r="T160" s="425"/>
      <c r="U160" s="425"/>
      <c r="V160" s="425"/>
      <c r="W160" s="425"/>
      <c r="X160" s="425"/>
      <c r="Y160" s="425"/>
      <c r="Z160" s="425"/>
      <c r="AA160" s="425"/>
      <c r="AB160" s="425"/>
      <c r="AC160" s="425"/>
      <c r="AD160" s="425"/>
      <c r="AE160" s="425"/>
      <c r="AF160" s="425"/>
      <c r="AG160" s="425"/>
      <c r="AH160" s="425"/>
      <c r="AI160" s="425"/>
      <c r="AJ160" s="425"/>
      <c r="AK160" s="425"/>
      <c r="AL160" s="425"/>
      <c r="AM160" s="425"/>
      <c r="AN160" s="425"/>
      <c r="AO160" s="425"/>
      <c r="AP160" s="425"/>
      <c r="AQ160" s="425"/>
      <c r="AR160" s="425"/>
      <c r="AS160" s="425"/>
      <c r="AT160" s="425"/>
      <c r="AU160" s="425"/>
      <c r="AV160" s="425"/>
      <c r="AW160" s="425"/>
      <c r="AX160" s="425"/>
    </row>
    <row r="161" spans="1:50" ht="22.5" customHeight="1" thickBot="1">
      <c r="A161" s="97"/>
      <c r="B161" s="97"/>
      <c r="C161" s="97"/>
      <c r="D161" s="96"/>
      <c r="E161" s="96"/>
      <c r="F161" s="96"/>
      <c r="G161" s="96"/>
      <c r="H161" s="96"/>
      <c r="I161" s="96"/>
      <c r="J161" s="96"/>
      <c r="K161" s="96"/>
      <c r="L161" s="96"/>
      <c r="M161" s="96"/>
      <c r="N161" s="96"/>
      <c r="O161" s="96"/>
      <c r="P161" s="96"/>
      <c r="Q161" s="96"/>
      <c r="R161" s="96"/>
      <c r="S161" s="96"/>
      <c r="T161" s="96"/>
      <c r="U161" s="96"/>
      <c r="V161" s="96"/>
      <c r="W161" s="96"/>
      <c r="X161" s="96"/>
      <c r="Y161" s="96"/>
      <c r="Z161" s="96"/>
      <c r="AA161" s="96"/>
      <c r="AB161" s="96"/>
      <c r="AC161" s="96"/>
      <c r="AD161" s="96"/>
      <c r="AE161" s="96"/>
      <c r="AF161" s="96"/>
      <c r="AG161" s="96"/>
      <c r="AH161" s="96"/>
      <c r="AI161" s="96"/>
      <c r="AJ161" s="96"/>
      <c r="AK161" s="96"/>
      <c r="AL161" s="96"/>
      <c r="AM161" s="96"/>
      <c r="AN161" s="96"/>
      <c r="AO161" s="96"/>
      <c r="AP161" s="96"/>
      <c r="AQ161" s="96"/>
      <c r="AR161" s="96"/>
      <c r="AS161" s="96"/>
      <c r="AT161" s="96"/>
      <c r="AU161" s="96"/>
      <c r="AV161" s="96"/>
      <c r="AW161" s="96"/>
      <c r="AX161" s="96"/>
    </row>
    <row r="162" spans="1:50" ht="22.5" customHeight="1"/>
    <row r="163" spans="1:50" ht="21.75" customHeight="1">
      <c r="B163" s="85" t="s">
        <v>384</v>
      </c>
      <c r="C163" s="82"/>
      <c r="D163" s="82"/>
      <c r="E163" s="14"/>
    </row>
    <row r="164" spans="1:50" ht="27" customHeight="1">
      <c r="B164" s="82"/>
      <c r="C164" s="82" t="s">
        <v>456</v>
      </c>
      <c r="D164" s="82"/>
      <c r="E164" s="14"/>
    </row>
    <row r="165" spans="1:50" ht="27" customHeight="1">
      <c r="B165" s="82"/>
      <c r="C165" s="90" t="s">
        <v>385</v>
      </c>
      <c r="D165" s="90" t="s">
        <v>388</v>
      </c>
      <c r="E165" s="14"/>
    </row>
    <row r="166" spans="1:50">
      <c r="B166" s="82"/>
      <c r="C166" s="90" t="s">
        <v>391</v>
      </c>
      <c r="D166" s="101"/>
      <c r="J166" t="str">
        <f>IF(LIST_SHOHIN_STS_HOHO_KENSU=0,"",VLOOKUP(UNMM0050_SHOHIN_BUNRUI,ADDRESS(ROW(LIST_SHOHIN_STS_TENKAIICHI),COLUMN(LIST_SHOHIN_STS_TENKAIICHI),1,1) &amp;":" &amp;ADDRESS(ROW(LIST_SHOHIN_STS_TENKAIICHI)+LIST_SHOHIN_STS_HOHO_KENSU,COLUMN(LIST_SHOHIN_STS_TENKAIICHI),1,1),2,FALSE))</f>
        <v/>
      </c>
    </row>
    <row r="167" spans="1:50">
      <c r="B167" s="82"/>
      <c r="C167" s="90" t="s">
        <v>389</v>
      </c>
      <c r="D167" s="101" t="s">
        <v>390</v>
      </c>
      <c r="E167" t="s">
        <v>447</v>
      </c>
      <c r="G167" s="82"/>
    </row>
    <row r="168" spans="1:50">
      <c r="B168" s="82"/>
      <c r="C168" s="90" t="s">
        <v>386</v>
      </c>
      <c r="D168" s="101" t="s">
        <v>387</v>
      </c>
      <c r="E168" s="82"/>
      <c r="G168" s="82"/>
      <c r="J168" s="82"/>
    </row>
    <row r="169" spans="1:50">
      <c r="B169" s="102"/>
      <c r="C169" s="105"/>
      <c r="D169" s="108"/>
    </row>
    <row r="170" spans="1:50">
      <c r="B170" s="103"/>
      <c r="C170" s="109"/>
      <c r="D170" s="106"/>
      <c r="E170" s="104"/>
    </row>
    <row r="171" spans="1:50">
      <c r="C171" s="110"/>
      <c r="D171" s="104"/>
    </row>
  </sheetData>
  <dataConsolidate/>
  <mergeCells count="75">
    <mergeCell ref="J28:K28"/>
    <mergeCell ref="R18:U18"/>
    <mergeCell ref="R19:U19"/>
    <mergeCell ref="AP9:AS9"/>
    <mergeCell ref="AP10:AS10"/>
    <mergeCell ref="AQ17:AT17"/>
    <mergeCell ref="AQ18:AT18"/>
    <mergeCell ref="AQ19:AT19"/>
    <mergeCell ref="Q9:T9"/>
    <mergeCell ref="Q10:T10"/>
    <mergeCell ref="AD18:AG18"/>
    <mergeCell ref="AD19:AG19"/>
    <mergeCell ref="Q14:T14"/>
    <mergeCell ref="Q15:R15"/>
    <mergeCell ref="AC14:AF14"/>
    <mergeCell ref="AC15:AD15"/>
    <mergeCell ref="E9:H9"/>
    <mergeCell ref="E10:H10"/>
    <mergeCell ref="F17:I17"/>
    <mergeCell ref="R17:U17"/>
    <mergeCell ref="AC9:AF9"/>
    <mergeCell ref="AC10:AF10"/>
    <mergeCell ref="AD17:AG17"/>
    <mergeCell ref="AC11:AJ11"/>
    <mergeCell ref="AC12:AF12"/>
    <mergeCell ref="AC13:AF13"/>
    <mergeCell ref="E14:H14"/>
    <mergeCell ref="E15:F15"/>
    <mergeCell ref="F153:F157"/>
    <mergeCell ref="F119:F122"/>
    <mergeCell ref="AH22:AI22"/>
    <mergeCell ref="AH23:AI23"/>
    <mergeCell ref="AH28:AI28"/>
    <mergeCell ref="AB34:AC34"/>
    <mergeCell ref="AD34:AH34"/>
    <mergeCell ref="Q44:R44"/>
    <mergeCell ref="T44:V44"/>
    <mergeCell ref="AC44:AD44"/>
    <mergeCell ref="AF44:AH44"/>
    <mergeCell ref="F34:J34"/>
    <mergeCell ref="V22:W22"/>
    <mergeCell ref="V23:W23"/>
    <mergeCell ref="V28:W28"/>
    <mergeCell ref="P34:Q34"/>
    <mergeCell ref="E37:J40"/>
    <mergeCell ref="E44:F44"/>
    <mergeCell ref="H44:J44"/>
    <mergeCell ref="Q11:X11"/>
    <mergeCell ref="Q12:T12"/>
    <mergeCell ref="Q13:T13"/>
    <mergeCell ref="Q37:V40"/>
    <mergeCell ref="D34:E34"/>
    <mergeCell ref="E11:L11"/>
    <mergeCell ref="E12:H12"/>
    <mergeCell ref="E13:H13"/>
    <mergeCell ref="R34:V34"/>
    <mergeCell ref="F18:I18"/>
    <mergeCell ref="F19:I19"/>
    <mergeCell ref="J22:K22"/>
    <mergeCell ref="J23:K23"/>
    <mergeCell ref="O114:P114"/>
    <mergeCell ref="AC37:AH40"/>
    <mergeCell ref="AP11:AW11"/>
    <mergeCell ref="AP12:AS12"/>
    <mergeCell ref="AP13:AS13"/>
    <mergeCell ref="AP37:AU40"/>
    <mergeCell ref="AP44:AQ44"/>
    <mergeCell ref="AS44:AU44"/>
    <mergeCell ref="AU22:AV22"/>
    <mergeCell ref="AU23:AV23"/>
    <mergeCell ref="AU28:AV28"/>
    <mergeCell ref="AO34:AP34"/>
    <mergeCell ref="AQ34:AU34"/>
    <mergeCell ref="AP14:AS14"/>
    <mergeCell ref="AP15:AQ15"/>
  </mergeCells>
  <phoneticPr fontId="2"/>
  <conditionalFormatting sqref="H22">
    <cfRule type="expression" dxfId="54" priority="32">
      <formula>INDIRECT(ADDRESS(ROW(),COLUMN()))=TRUNC(INDIRECT(ADDRESS(ROW(),COLUMN())))</formula>
    </cfRule>
  </conditionalFormatting>
  <conditionalFormatting sqref="H23">
    <cfRule type="expression" dxfId="53" priority="31">
      <formula>INDIRECT(ADDRESS(ROW(),COLUMN()))=TRUNC(INDIRECT(ADDRESS(ROW(),COLUMN())))</formula>
    </cfRule>
  </conditionalFormatting>
  <conditionalFormatting sqref="H24">
    <cfRule type="expression" dxfId="52" priority="30">
      <formula>INDIRECT(ADDRESS(ROW(),COLUMN()))=TRUNC(INDIRECT(ADDRESS(ROW(),COLUMN())))</formula>
    </cfRule>
  </conditionalFormatting>
  <conditionalFormatting sqref="H25">
    <cfRule type="expression" dxfId="51" priority="29">
      <formula>INDIRECT(ADDRESS(ROW(),COLUMN()))=TRUNC(INDIRECT(ADDRESS(ROW(),COLUMN())))</formula>
    </cfRule>
  </conditionalFormatting>
  <conditionalFormatting sqref="H26">
    <cfRule type="expression" dxfId="50" priority="28">
      <formula>INDIRECT(ADDRESS(ROW(),COLUMN()))=TRUNC(INDIRECT(ADDRESS(ROW(),COLUMN())))</formula>
    </cfRule>
  </conditionalFormatting>
  <conditionalFormatting sqref="H27">
    <cfRule type="expression" dxfId="49" priority="27">
      <formula>INDIRECT(ADDRESS(ROW(),COLUMN()))=TRUNC(INDIRECT(ADDRESS(ROW(),COLUMN())))</formula>
    </cfRule>
  </conditionalFormatting>
  <conditionalFormatting sqref="H28">
    <cfRule type="expression" dxfId="48" priority="26">
      <formula>INDIRECT(ADDRESS(ROW(),COLUMN()))=TRUNC(INDIRECT(ADDRESS(ROW(),COLUMN())))</formula>
    </cfRule>
  </conditionalFormatting>
  <conditionalFormatting sqref="J28">
    <cfRule type="expression" dxfId="47" priority="25">
      <formula>INDIRECT(ADDRESS(ROW(),COLUMN()))=TRUNC(INDIRECT(ADDRESS(ROW(),COLUMN())))</formula>
    </cfRule>
  </conditionalFormatting>
  <conditionalFormatting sqref="T22">
    <cfRule type="expression" dxfId="46" priority="24">
      <formula>INDIRECT(ADDRESS(ROW(),COLUMN()))=TRUNC(INDIRECT(ADDRESS(ROW(),COLUMN())))</formula>
    </cfRule>
  </conditionalFormatting>
  <conditionalFormatting sqref="T23">
    <cfRule type="expression" dxfId="45" priority="23">
      <formula>INDIRECT(ADDRESS(ROW(),COLUMN()))=TRUNC(INDIRECT(ADDRESS(ROW(),COLUMN())))</formula>
    </cfRule>
  </conditionalFormatting>
  <conditionalFormatting sqref="T24">
    <cfRule type="expression" dxfId="44" priority="22">
      <formula>INDIRECT(ADDRESS(ROW(),COLUMN()))=TRUNC(INDIRECT(ADDRESS(ROW(),COLUMN())))</formula>
    </cfRule>
  </conditionalFormatting>
  <conditionalFormatting sqref="T25">
    <cfRule type="expression" dxfId="43" priority="21">
      <formula>INDIRECT(ADDRESS(ROW(),COLUMN()))=TRUNC(INDIRECT(ADDRESS(ROW(),COLUMN())))</formula>
    </cfRule>
  </conditionalFormatting>
  <conditionalFormatting sqref="T26">
    <cfRule type="expression" dxfId="42" priority="20">
      <formula>INDIRECT(ADDRESS(ROW(),COLUMN()))=TRUNC(INDIRECT(ADDRESS(ROW(),COLUMN())))</formula>
    </cfRule>
  </conditionalFormatting>
  <conditionalFormatting sqref="T27">
    <cfRule type="expression" dxfId="41" priority="19">
      <formula>INDIRECT(ADDRESS(ROW(),COLUMN()))=TRUNC(INDIRECT(ADDRESS(ROW(),COLUMN())))</formula>
    </cfRule>
  </conditionalFormatting>
  <conditionalFormatting sqref="T28">
    <cfRule type="expression" dxfId="40" priority="18">
      <formula>INDIRECT(ADDRESS(ROW(),COLUMN()))=TRUNC(INDIRECT(ADDRESS(ROW(),COLUMN())))</formula>
    </cfRule>
  </conditionalFormatting>
  <conditionalFormatting sqref="V28">
    <cfRule type="expression" dxfId="39" priority="17">
      <formula>INDIRECT(ADDRESS(ROW(),COLUMN()))=TRUNC(INDIRECT(ADDRESS(ROW(),COLUMN())))</formula>
    </cfRule>
  </conditionalFormatting>
  <conditionalFormatting sqref="AF22">
    <cfRule type="expression" dxfId="38" priority="16">
      <formula>INDIRECT(ADDRESS(ROW(),COLUMN()))=TRUNC(INDIRECT(ADDRESS(ROW(),COLUMN())))</formula>
    </cfRule>
  </conditionalFormatting>
  <conditionalFormatting sqref="AF23">
    <cfRule type="expression" dxfId="37" priority="15">
      <formula>INDIRECT(ADDRESS(ROW(),COLUMN()))=TRUNC(INDIRECT(ADDRESS(ROW(),COLUMN())))</formula>
    </cfRule>
  </conditionalFormatting>
  <conditionalFormatting sqref="AF24">
    <cfRule type="expression" dxfId="36" priority="14">
      <formula>INDIRECT(ADDRESS(ROW(),COLUMN()))=TRUNC(INDIRECT(ADDRESS(ROW(),COLUMN())))</formula>
    </cfRule>
  </conditionalFormatting>
  <conditionalFormatting sqref="AF25">
    <cfRule type="expression" dxfId="35" priority="13">
      <formula>INDIRECT(ADDRESS(ROW(),COLUMN()))=TRUNC(INDIRECT(ADDRESS(ROW(),COLUMN())))</formula>
    </cfRule>
  </conditionalFormatting>
  <conditionalFormatting sqref="AF26">
    <cfRule type="expression" dxfId="34" priority="12">
      <formula>INDIRECT(ADDRESS(ROW(),COLUMN()))=TRUNC(INDIRECT(ADDRESS(ROW(),COLUMN())))</formula>
    </cfRule>
  </conditionalFormatting>
  <conditionalFormatting sqref="AF27">
    <cfRule type="expression" dxfId="33" priority="11">
      <formula>INDIRECT(ADDRESS(ROW(),COLUMN()))=TRUNC(INDIRECT(ADDRESS(ROW(),COLUMN())))</formula>
    </cfRule>
  </conditionalFormatting>
  <conditionalFormatting sqref="AF28">
    <cfRule type="expression" dxfId="32" priority="10">
      <formula>INDIRECT(ADDRESS(ROW(),COLUMN()))=TRUNC(INDIRECT(ADDRESS(ROW(),COLUMN())))</formula>
    </cfRule>
  </conditionalFormatting>
  <conditionalFormatting sqref="AH28">
    <cfRule type="expression" dxfId="31" priority="9">
      <formula>INDIRECT(ADDRESS(ROW(),COLUMN()))=TRUNC(INDIRECT(ADDRESS(ROW(),COLUMN())))</formula>
    </cfRule>
  </conditionalFormatting>
  <conditionalFormatting sqref="AS22">
    <cfRule type="expression" dxfId="30" priority="8">
      <formula>INDIRECT(ADDRESS(ROW(),COLUMN()))=TRUNC(INDIRECT(ADDRESS(ROW(),COLUMN())))</formula>
    </cfRule>
  </conditionalFormatting>
  <conditionalFormatting sqref="AS23">
    <cfRule type="expression" dxfId="29" priority="7">
      <formula>INDIRECT(ADDRESS(ROW(),COLUMN()))=TRUNC(INDIRECT(ADDRESS(ROW(),COLUMN())))</formula>
    </cfRule>
  </conditionalFormatting>
  <conditionalFormatting sqref="AS24">
    <cfRule type="expression" dxfId="28" priority="6">
      <formula>INDIRECT(ADDRESS(ROW(),COLUMN()))=TRUNC(INDIRECT(ADDRESS(ROW(),COLUMN())))</formula>
    </cfRule>
  </conditionalFormatting>
  <conditionalFormatting sqref="AS25">
    <cfRule type="expression" dxfId="27" priority="5">
      <formula>INDIRECT(ADDRESS(ROW(),COLUMN()))=TRUNC(INDIRECT(ADDRESS(ROW(),COLUMN())))</formula>
    </cfRule>
  </conditionalFormatting>
  <conditionalFormatting sqref="AS26">
    <cfRule type="expression" dxfId="26" priority="4">
      <formula>INDIRECT(ADDRESS(ROW(),COLUMN()))=TRUNC(INDIRECT(ADDRESS(ROW(),COLUMN())))</formula>
    </cfRule>
  </conditionalFormatting>
  <conditionalFormatting sqref="AS27">
    <cfRule type="expression" dxfId="25" priority="3">
      <formula>INDIRECT(ADDRESS(ROW(),COLUMN()))=TRUNC(INDIRECT(ADDRESS(ROW(),COLUMN())))</formula>
    </cfRule>
  </conditionalFormatting>
  <conditionalFormatting sqref="AS28">
    <cfRule type="expression" dxfId="24" priority="2">
      <formula>INDIRECT(ADDRESS(ROW(),COLUMN()))=TRUNC(INDIRECT(ADDRESS(ROW(),COLUMN())))</formula>
    </cfRule>
  </conditionalFormatting>
  <conditionalFormatting sqref="AU28">
    <cfRule type="expression" dxfId="23" priority="1">
      <formula>INDIRECT(ADDRESS(ROW(),COLUMN()))=TRUNC(INDIRECT(ADDRESS(ROW(),COLUMN())))</formula>
    </cfRule>
  </conditionalFormatting>
  <dataValidations count="18">
    <dataValidation type="custom" allowBlank="1" showInputMessage="1" showErrorMessage="1" error="0~9999の範囲で入力してください。" sqref="AH28:AI28 J28:K28 V28:W28 AU28:AV28">
      <formula1>AND(NOT(ISERROR(INT(J28))),ROUND(J28,2)=J28,AND(J28&lt;10000,J28&gt;=0))</formula1>
    </dataValidation>
    <dataValidation type="custom" allowBlank="1" showInputMessage="1" showErrorMessage="1" error="-9,999,999~9,999,999の範囲で入力してください。" sqref="AF22:AF28 H22:H28 T22:T28 AS22:AS28">
      <formula1>AND(NOT(ISERROR(INT(H22))),ROUND(H22,2)=H22,AND(H22&lt;10000000,H22&gt;-10000000))</formula1>
    </dataValidation>
    <dataValidation type="whole" allowBlank="1" showInputMessage="1" showErrorMessage="1" error="0~99の範囲で入力してください。_x000a_" sqref="AH25 J25 V25 AU25">
      <formula1>0</formula1>
      <formula2>99</formula2>
    </dataValidation>
    <dataValidation type="whole" allowBlank="1" showInputMessage="1" showErrorMessage="1" error="0~99の範囲で入力してください。" sqref="AH24 J24 V24 AU24">
      <formula1>0</formula1>
      <formula2>99</formula2>
    </dataValidation>
    <dataValidation type="whole" allowBlank="1" showInputMessage="1" showErrorMessage="1" error="0~9,999の範囲で入力してください。" sqref="AH22:AI22 J22:K22 V22:W22 F22 R22 AD22 AQ22 AU22:AV22">
      <formula1>0</formula1>
      <formula2>9999</formula2>
    </dataValidation>
    <dataValidation type="whole" allowBlank="1" showInputMessage="1" showErrorMessage="1" sqref="AH26:AH27 J26:J27 V26:V27 AU26:AU27">
      <formula1>0</formula1>
      <formula2>99</formula2>
    </dataValidation>
    <dataValidation type="custom" allowBlank="1" showInputMessage="1" showErrorMessage="1" sqref="AD32:AD33 F32:F33 R32:R33 F23:F27 J23:K23 R23:R27 V23:W23 AD23:AD27 AH23:AI23 AQ23:AQ27 AU23:AV23 AQ32:AQ33">
      <formula1>LENB(F23) &lt;=10</formula1>
    </dataValidation>
    <dataValidation type="custom" allowBlank="1" showInputMessage="1" showErrorMessage="1" sqref="AC37:AH40 E37:J40 Q37:V40 AP37:AU40">
      <formula1>LENB(E37) &lt;=256</formula1>
    </dataValidation>
    <dataValidation type="list" allowBlank="1" showInputMessage="1" showErrorMessage="1" sqref="E5 AC5 Q5 AP5">
      <formula1>LIST_SHOHIN_STS_HOHO</formula1>
    </dataValidation>
    <dataValidation type="custom" allowBlank="1" showInputMessage="1" showErrorMessage="1" sqref="AC11:AJ11 E11:L11 Q11:X11 AP11:AW11">
      <formula1>LENB(E11)&lt;=100</formula1>
    </dataValidation>
    <dataValidation type="custom" allowBlank="1" showInputMessage="1" showErrorMessage="1" sqref="F34:J34">
      <formula1>LENB(F34) &lt;=100</formula1>
    </dataValidation>
    <dataValidation type="custom" allowBlank="1" showInputMessage="1" showErrorMessage="1" sqref="AC12:AF14 E12:H14 Q12:T14 AP12:AS14">
      <formula1>LENB(E12)&lt;=50</formula1>
    </dataValidation>
    <dataValidation type="custom" operator="equal" allowBlank="1" showInputMessage="1" showErrorMessage="1" sqref="AC8 Q8">
      <formula1>AND(LENB(Q8)=LEN(Q8),LEN(Q8)=10)</formula1>
    </dataValidation>
    <dataValidation type="custom" allowBlank="1" showInputMessage="1" showErrorMessage="1" sqref="E9:H10 AP9:AS10 AC9:AF10 Q9:T10">
      <formula1>LEN(E9)&lt;=50</formula1>
    </dataValidation>
    <dataValidation type="custom" allowBlank="1" showInputMessage="1" showErrorMessage="1" sqref="AD34:AH34">
      <formula1>LEN(AD34) &lt;=60</formula1>
    </dataValidation>
    <dataValidation type="custom" allowBlank="1" showInputMessage="1" showErrorMessage="1" sqref="E15:F15 Q15:R15 AC15:AD15 AP15:AQ15">
      <formula1>LENB(E15)&lt;=20</formula1>
    </dataValidation>
    <dataValidation type="custom" operator="equal" allowBlank="1" showInputMessage="1" showErrorMessage="1" sqref="E8 AP8">
      <formula1>AND(LENB(E8)=LEN(E8),LEN(E8)&lt;=10)</formula1>
    </dataValidation>
    <dataValidation type="custom" allowBlank="1" showInputMessage="1" showErrorMessage="1" sqref="R34:V34 AQ34:AU34">
      <formula1>LEN(R34) &lt;=100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E12"/>
  <sheetViews>
    <sheetView workbookViewId="0">
      <selection activeCell="D6" sqref="D6"/>
    </sheetView>
  </sheetViews>
  <sheetFormatPr defaultRowHeight="13.5" customHeight="1"/>
  <cols>
    <col min="2" max="2" width="24.25" customWidth="1"/>
    <col min="3" max="3" width="29" customWidth="1"/>
    <col min="4" max="4" width="57.75" customWidth="1"/>
    <col min="5" max="5" width="55.25" customWidth="1"/>
  </cols>
  <sheetData>
    <row r="2" spans="2:5" ht="68.25" customHeight="1">
      <c r="B2" s="62" t="s">
        <v>277</v>
      </c>
      <c r="C2" s="142" t="s">
        <v>367</v>
      </c>
      <c r="D2" s="63" t="str">
        <f>IF(UNMM0050_IF_SANSHO_FLG=1,D5&amp;D6,D3&amp;D4)</f>
        <v>SELECT *
  FROM V_SHOHIN_DATA
WHERE 1=1
  AND V_SHOHIN_DATA.SHOHIN_CD = '||||||||||'</v>
      </c>
    </row>
    <row r="3" spans="2:5" ht="15" customHeight="1">
      <c r="B3" s="62" t="s">
        <v>280</v>
      </c>
      <c r="C3" s="129"/>
      <c r="D3" s="515" t="s">
        <v>326</v>
      </c>
    </row>
    <row r="4" spans="2:5" ht="15" customHeight="1">
      <c r="B4" s="64" t="s">
        <v>325</v>
      </c>
      <c r="C4" s="24"/>
      <c r="D4" s="515" t="str">
        <f>"  AND V_SHOHIN_DATA.SHOHIN_CD = "&amp;"'" &amp;IF(UNMM0050_SHOHIN_CD=0,"||||||||||",UNMM0050_SHOHIN_CD) &amp;"'"</f>
        <v xml:space="preserve">  AND V_SHOHIN_DATA.SHOHIN_CD = '||||||||||'</v>
      </c>
    </row>
    <row r="5" spans="2:5" ht="15" customHeight="1">
      <c r="B5" s="62" t="s">
        <v>280</v>
      </c>
      <c r="C5" s="129" t="s">
        <v>2090</v>
      </c>
      <c r="D5" s="515" t="s">
        <v>2091</v>
      </c>
    </row>
    <row r="6" spans="2:5" s="507" customFormat="1" ht="15" customHeight="1">
      <c r="B6" s="64" t="s">
        <v>325</v>
      </c>
      <c r="C6" s="129" t="s">
        <v>2090</v>
      </c>
      <c r="D6" s="515" t="str">
        <f>"  AND V_SHOHIN_DATA_SANSHO.SHOHIN_CD = "&amp;"'" &amp;IF(UNMM0050_SHOHIN_CD=0,"||||||||||",UNMM0050_SHOHIN_CD) &amp;"'"</f>
        <v xml:space="preserve">  AND V_SHOHIN_DATA_SANSHO.SHOHIN_CD = '||||||||||'</v>
      </c>
    </row>
    <row r="7" spans="2:5" s="507" customFormat="1" ht="13.5" customHeight="1"/>
    <row r="8" spans="2:5" s="507" customFormat="1" ht="13.5" customHeight="1"/>
    <row r="9" spans="2:5" s="507" customFormat="1" ht="13.5" customHeight="1"/>
    <row r="10" spans="2:5" ht="13.5" customHeight="1">
      <c r="E10" s="75"/>
    </row>
    <row r="12" spans="2:5" ht="24.75" customHeight="1">
      <c r="B12" s="25" t="s">
        <v>2036</v>
      </c>
      <c r="C12" s="26" t="s">
        <v>2040</v>
      </c>
      <c r="D12" s="63" t="str">
        <f>"SELECT COUNT(*)
  FROM M_SHOHIN
 WHERE SHOHIN_CD = '"&amp;UNMM0050_SHOHIN_CD&amp;"'"</f>
        <v>SELECT COUNT(*)
  FROM M_SHOHIN
 WHERE SHOHIN_CD = ''</v>
      </c>
    </row>
  </sheetData>
  <phoneticPr fontId="2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rgb="FFFFFF00"/>
  </sheetPr>
  <dimension ref="A1:K32"/>
  <sheetViews>
    <sheetView showGridLines="0" showRowColHeaders="0" zoomScaleNormal="100" workbookViewId="0">
      <pane ySplit="5" topLeftCell="A6" activePane="bottomLeft" state="frozen"/>
      <selection activeCell="F29" sqref="F29"/>
      <selection pane="bottomLeft" activeCell="G3" sqref="G3:H3"/>
    </sheetView>
  </sheetViews>
  <sheetFormatPr defaultRowHeight="16.5"/>
  <cols>
    <col min="1" max="1" width="16.75" style="84" hidden="1" customWidth="1"/>
    <col min="2" max="2" width="39.375" style="84" hidden="1" customWidth="1"/>
    <col min="3" max="3" width="11" style="84" hidden="1" customWidth="1"/>
    <col min="4" max="4" width="9" style="84" hidden="1" customWidth="1"/>
    <col min="5" max="5" width="3.375" style="83" customWidth="1"/>
    <col min="6" max="6" width="9.5" style="83" customWidth="1"/>
    <col min="7" max="7" width="3.375" style="83" customWidth="1"/>
    <col min="8" max="8" width="11.75" style="83" customWidth="1"/>
    <col min="9" max="9" width="32" style="83" customWidth="1"/>
    <col min="10" max="10" width="11.75" style="83" customWidth="1"/>
    <col min="11" max="11" width="12.25" style="83" hidden="1" customWidth="1"/>
    <col min="12" max="12" width="3.375" style="83" customWidth="1"/>
    <col min="13" max="16384" width="9" style="83"/>
  </cols>
  <sheetData>
    <row r="1" spans="1:11" s="5" customFormat="1" ht="19.5">
      <c r="A1" s="168"/>
      <c r="B1" s="168"/>
      <c r="C1" s="168"/>
      <c r="D1" s="168"/>
      <c r="E1" s="5" t="s">
        <v>658</v>
      </c>
      <c r="I1" s="5" t="str">
        <f>"【" &amp;IF(UNMM0070_IF_MODE=0,"参照",IF(UNMM0070_IF_MODE=1,"新規","修正")) &amp;"モード】"</f>
        <v>【参照モード】</v>
      </c>
    </row>
    <row r="2" spans="1:11">
      <c r="A2" s="66"/>
      <c r="B2" s="66"/>
      <c r="C2" s="66"/>
      <c r="D2" s="66"/>
    </row>
    <row r="3" spans="1:11">
      <c r="A3" s="66"/>
      <c r="B3" s="66"/>
      <c r="C3" s="66"/>
      <c r="D3" s="66"/>
      <c r="F3" s="17" t="s">
        <v>659</v>
      </c>
      <c r="G3" s="681"/>
      <c r="H3" s="681"/>
      <c r="I3" s="682"/>
      <c r="J3" s="683"/>
    </row>
    <row r="4" spans="1:11">
      <c r="A4" s="66"/>
      <c r="B4" s="66"/>
      <c r="C4" s="66"/>
      <c r="D4" s="66"/>
    </row>
    <row r="5" spans="1:11">
      <c r="A5" s="66" t="s">
        <v>125</v>
      </c>
      <c r="B5" s="66" t="s">
        <v>660</v>
      </c>
      <c r="C5" s="65"/>
      <c r="D5" s="66"/>
      <c r="G5" s="61" t="s">
        <v>15</v>
      </c>
      <c r="H5" s="61" t="s">
        <v>661</v>
      </c>
      <c r="I5" s="61" t="s">
        <v>662</v>
      </c>
      <c r="J5" s="61" t="s">
        <v>663</v>
      </c>
      <c r="K5" s="2" t="s">
        <v>664</v>
      </c>
    </row>
    <row r="6" spans="1:11">
      <c r="A6" s="66" t="s">
        <v>143</v>
      </c>
      <c r="B6" s="66" t="s">
        <v>665</v>
      </c>
      <c r="C6" s="65">
        <v>100</v>
      </c>
      <c r="D6" s="66"/>
      <c r="G6" s="363"/>
      <c r="H6" s="363"/>
      <c r="I6" s="363"/>
      <c r="J6" s="363"/>
      <c r="K6" s="364"/>
    </row>
    <row r="7" spans="1:11">
      <c r="A7" s="66" t="s">
        <v>666</v>
      </c>
      <c r="B7" s="66" t="s">
        <v>667</v>
      </c>
      <c r="C7" s="65">
        <f>UNMM0070_HYOJI_KENSU+1</f>
        <v>1</v>
      </c>
      <c r="D7" s="66"/>
      <c r="G7" s="363"/>
      <c r="H7" s="363"/>
      <c r="I7" s="363"/>
      <c r="J7" s="363"/>
      <c r="K7" s="346"/>
    </row>
    <row r="8" spans="1:11">
      <c r="A8" s="66" t="s">
        <v>668</v>
      </c>
      <c r="B8" s="66" t="s">
        <v>669</v>
      </c>
      <c r="C8" s="65">
        <f>UNMM0070_HYOJI_KENSU-1</f>
        <v>-1</v>
      </c>
      <c r="D8" s="66"/>
      <c r="G8" s="363"/>
      <c r="H8" s="363"/>
      <c r="I8" s="363"/>
      <c r="J8" s="363"/>
      <c r="K8" s="346"/>
    </row>
    <row r="9" spans="1:11">
      <c r="A9" s="66"/>
      <c r="B9" s="66"/>
      <c r="C9" s="66"/>
      <c r="D9" s="66"/>
      <c r="G9" s="363"/>
      <c r="H9" s="363"/>
      <c r="I9" s="363"/>
      <c r="J9" s="363"/>
      <c r="K9" s="346"/>
    </row>
    <row r="10" spans="1:11">
      <c r="A10" s="66" t="s">
        <v>141</v>
      </c>
      <c r="B10" s="66" t="s">
        <v>670</v>
      </c>
      <c r="C10" s="65" t="str">
        <f>ADDRESS(ROW(UNMM0070_SENTAKU)+1,COLUMN(UNMM0070_SENTAKU))</f>
        <v>$G$6</v>
      </c>
      <c r="D10" s="66"/>
      <c r="G10" s="363"/>
      <c r="H10" s="363"/>
      <c r="I10" s="363"/>
      <c r="J10" s="363"/>
      <c r="K10" s="346"/>
    </row>
    <row r="11" spans="1:11">
      <c r="A11" s="66" t="s">
        <v>145</v>
      </c>
      <c r="B11" s="66" t="s">
        <v>671</v>
      </c>
      <c r="C11" s="65" t="str">
        <f>ADDRESS(ROW(UNMM0070_SENTAKU)+1+UNMM0070_HYOJI_KENSU-1,COLUMN(UNMM0070_SENTAKU)+COLUMNS(UNMM0070_IF_LIST_COPY)-1)</f>
        <v>$K$5</v>
      </c>
      <c r="D11" s="66"/>
      <c r="G11" s="363"/>
      <c r="H11" s="363"/>
      <c r="I11" s="363"/>
      <c r="J11" s="363"/>
      <c r="K11" s="346"/>
    </row>
    <row r="12" spans="1:11">
      <c r="A12" s="66" t="s">
        <v>139</v>
      </c>
      <c r="B12" s="66" t="s">
        <v>672</v>
      </c>
      <c r="C12" s="65" t="str">
        <f>IF(UNMM0070_HYOJI_KENSU=0,"",UNMM0070_LIST_START&amp;":"&amp;
ADDRESS(ROW(UNMM0070_SENTAKU)+1+UNMM0070_HYOJI_KENSU-1,COLUMN(UNMM0070_SENTAKU)+COLUMNS(UNMM0070_IF_LIST_COPY)-1))</f>
        <v/>
      </c>
      <c r="D12" s="66"/>
      <c r="G12" s="363"/>
      <c r="H12" s="363"/>
      <c r="I12" s="363"/>
      <c r="J12" s="363"/>
      <c r="K12" s="346"/>
    </row>
    <row r="13" spans="1:11">
      <c r="A13" s="66" t="s">
        <v>673</v>
      </c>
      <c r="B13" s="66" t="s">
        <v>674</v>
      </c>
      <c r="C13" s="65" t="str">
        <f>ADDRESS(ROW(UNMM0070_SENTAKU)+1+UNMM0070_HYOJI_KENSU,COLUMN(UNMM0070_SENTAKU))&amp;":"&amp;
ADDRESS(ROW(UNMM0070_SENTAKU)+1+UNMM0070_HYOJI_KENSU-1+UNMM0070_YOBI_GYOSU,COLUMN(UNMM0070_SENTAKU)+COLUMNS(UNMM0070_IF_LIST_COPY)-1)</f>
        <v>$G$6:$K$15</v>
      </c>
      <c r="D13" s="66"/>
      <c r="G13" s="363"/>
      <c r="H13" s="363"/>
      <c r="I13" s="363"/>
      <c r="J13" s="363"/>
      <c r="K13" s="346"/>
    </row>
    <row r="14" spans="1:11">
      <c r="A14" s="66" t="s">
        <v>140</v>
      </c>
      <c r="B14" s="66" t="s">
        <v>675</v>
      </c>
      <c r="C14" s="65" t="str">
        <f>ADDRESS(ROW(UNMM0070_SENTAKU)+1,COLUMN(UNMM0070_SENTAKU))&amp;":"&amp;
ADDRESS(ROW(UNMM0070_SENTAKU)+1+UNMM0070_CTRL_HYOJI_GYO_SU-1,COLUMN(UNMM0070_SENTAKU)+COLUMNS(UNMM0070_IF_LIST_COPY)-1)</f>
        <v>$G$6:$K$105</v>
      </c>
      <c r="D14" s="66"/>
      <c r="G14" s="363"/>
      <c r="H14" s="363"/>
      <c r="I14" s="363"/>
      <c r="J14" s="363"/>
      <c r="K14" s="346"/>
    </row>
    <row r="15" spans="1:11">
      <c r="A15" s="66" t="s">
        <v>676</v>
      </c>
      <c r="B15" s="66" t="s">
        <v>677</v>
      </c>
      <c r="C15" s="65" t="str">
        <f>IF(UNMM0070_SELECT_GYO_NO=0,"",(ADDRESS(UNMM0070_SELECT_GYO_NO,COLUMN(UNMM0070_SENTAKU))&amp;":"&amp;ADDRESS(UNMM0070_SELECT_GYO_NO,COLUMN(UNMM0070_SENTAKU)+COLUMNS(UNMM0070_IF_LIST_COPY)-1)))</f>
        <v/>
      </c>
      <c r="D15" s="66"/>
      <c r="G15" s="363"/>
      <c r="H15" s="363"/>
      <c r="I15" s="363"/>
      <c r="J15" s="363"/>
      <c r="K15" s="346"/>
    </row>
    <row r="16" spans="1:11">
      <c r="A16" s="66" t="s">
        <v>678</v>
      </c>
      <c r="B16" s="66" t="s">
        <v>679</v>
      </c>
      <c r="C16" s="65" t="str">
        <f>IF(UNMM0070_SELECT_GYO_NO=0,"",(ADDRESS(UNMM0070_SELECT_GYO_NO+1,COLUMN(UNMM0070_SENTAKU))&amp;":"&amp;ADDRESS(UNMM0070_SELECT_GYO_NO+1,COLUMN(UNMM0070_SENTAKU)+COLUMNS(UNMM0070_IF_LIST_COPY)-1)))</f>
        <v/>
      </c>
      <c r="D16" s="66"/>
      <c r="G16" s="363"/>
      <c r="H16" s="363"/>
      <c r="I16" s="363"/>
      <c r="J16" s="363"/>
      <c r="K16" s="346"/>
    </row>
    <row r="17" spans="1:11">
      <c r="A17" s="66" t="s">
        <v>680</v>
      </c>
      <c r="B17" s="66" t="s">
        <v>681</v>
      </c>
      <c r="C17" s="65">
        <v>10</v>
      </c>
      <c r="D17" s="66"/>
      <c r="G17" s="363"/>
      <c r="H17" s="363"/>
      <c r="I17" s="363"/>
      <c r="J17" s="363"/>
      <c r="K17" s="346"/>
    </row>
    <row r="18" spans="1:11">
      <c r="A18" s="66"/>
      <c r="B18" s="66"/>
      <c r="C18" s="66"/>
      <c r="D18" s="66"/>
      <c r="G18" s="363"/>
      <c r="H18" s="363"/>
      <c r="I18" s="363"/>
      <c r="J18" s="363"/>
      <c r="K18" s="346"/>
    </row>
    <row r="19" spans="1:11">
      <c r="A19" s="66" t="s">
        <v>147</v>
      </c>
      <c r="B19" s="66" t="s">
        <v>682</v>
      </c>
      <c r="C19" s="65"/>
      <c r="D19" s="66"/>
      <c r="G19" s="363"/>
      <c r="H19" s="363"/>
      <c r="I19" s="363"/>
      <c r="J19" s="363"/>
      <c r="K19" s="346"/>
    </row>
    <row r="20" spans="1:11">
      <c r="A20" s="66" t="s">
        <v>683</v>
      </c>
      <c r="B20" s="66" t="s">
        <v>684</v>
      </c>
      <c r="C20" s="65">
        <f ca="1">IF(UNMM0070_SELECT_GYO_NO=0,0,INDIRECT(ADDRESS(UNMM0070_SELECT_GYO_NO,COLUMN(UNMM0070_BUNSEKIKOMOKU_CD))))</f>
        <v>0</v>
      </c>
      <c r="D20" s="66"/>
      <c r="G20" s="363"/>
      <c r="H20" s="363"/>
      <c r="I20" s="363"/>
      <c r="J20" s="363"/>
      <c r="K20" s="346"/>
    </row>
    <row r="21" spans="1:11">
      <c r="A21" s="66" t="s">
        <v>685</v>
      </c>
      <c r="B21" s="66" t="s">
        <v>686</v>
      </c>
      <c r="C21" s="65" t="e">
        <f>ADDRESS(UNMM0070_IF_ACTIVE_ROW,COLUMN(UNMM0070_BUNSEKIKOMOKU_CD))</f>
        <v>#VALUE!</v>
      </c>
      <c r="D21" s="66"/>
      <c r="G21" s="346"/>
      <c r="H21" s="346"/>
      <c r="I21" s="346"/>
      <c r="J21" s="346"/>
      <c r="K21" s="346"/>
    </row>
    <row r="22" spans="1:11">
      <c r="A22" s="66" t="s">
        <v>687</v>
      </c>
      <c r="B22" s="66" t="s">
        <v>688</v>
      </c>
      <c r="C22" s="65" t="e">
        <f>ADDRESS(UNMM0070_IF_ACTIVE_ROW,COLUMN(UNMM0070_BUNSEKIKOMOKU_MEI))</f>
        <v>#VALUE!</v>
      </c>
      <c r="D22" s="66"/>
      <c r="G22" s="346"/>
      <c r="H22" s="346"/>
      <c r="I22" s="346"/>
      <c r="J22" s="346"/>
      <c r="K22" s="346"/>
    </row>
    <row r="23" spans="1:11">
      <c r="A23" s="66" t="s">
        <v>689</v>
      </c>
      <c r="B23" s="66" t="s">
        <v>690</v>
      </c>
      <c r="C23" s="65" t="e">
        <f>ADDRESS(UNMM0070_IF_ACTIVE_ROW,COLUMN(UNMM0070_TANI))</f>
        <v>#VALUE!</v>
      </c>
      <c r="D23" s="66"/>
      <c r="G23" s="346"/>
      <c r="H23" s="346"/>
      <c r="I23" s="346"/>
      <c r="J23" s="346"/>
      <c r="K23" s="346"/>
    </row>
    <row r="24" spans="1:11">
      <c r="A24" s="66"/>
      <c r="B24" s="66"/>
      <c r="C24" s="66"/>
      <c r="D24" s="66"/>
      <c r="G24" s="346"/>
      <c r="H24" s="346"/>
      <c r="I24" s="346"/>
      <c r="J24" s="346"/>
      <c r="K24" s="346"/>
    </row>
    <row r="25" spans="1:11">
      <c r="A25" s="66" t="s">
        <v>691</v>
      </c>
      <c r="B25" s="66" t="s">
        <v>692</v>
      </c>
      <c r="C25" s="65" t="str">
        <f ca="1">IF(COUNTA(OFFSET(UNMM0070_BUNSEKIKOMOKU_CD,1,0,UNMM0070_HYOJI_KENSU+UNMM0070_YOBI_GYOSU))=0,"",COUNTA(OFFSET(UNMM0070_BUNSEKIKOMOKU_CD,1,0,UNMM0070_HYOJI_KENSU+UNMM0070_YOBI_GYOSU)))</f>
        <v/>
      </c>
      <c r="D25" s="66"/>
      <c r="G25" s="346"/>
      <c r="H25" s="346"/>
      <c r="I25" s="346"/>
      <c r="J25" s="346"/>
      <c r="K25" s="346"/>
    </row>
    <row r="26" spans="1:11">
      <c r="A26" s="66"/>
      <c r="B26" s="66"/>
      <c r="C26" s="66"/>
      <c r="D26" s="66"/>
      <c r="G26" s="346"/>
      <c r="H26" s="346"/>
      <c r="I26" s="346"/>
      <c r="J26" s="346"/>
      <c r="K26" s="346"/>
    </row>
    <row r="27" spans="1:11">
      <c r="A27" s="66"/>
      <c r="B27" s="66"/>
      <c r="C27" s="66"/>
      <c r="D27" s="66"/>
      <c r="G27" s="346"/>
      <c r="H27" s="346"/>
      <c r="I27" s="346"/>
      <c r="J27" s="346"/>
      <c r="K27" s="346"/>
    </row>
    <row r="28" spans="1:11">
      <c r="A28" s="66" t="s">
        <v>494</v>
      </c>
      <c r="B28" s="66" t="s">
        <v>693</v>
      </c>
      <c r="C28" s="65"/>
      <c r="D28" s="66"/>
      <c r="G28" s="346"/>
      <c r="H28" s="346"/>
      <c r="I28" s="346"/>
      <c r="J28" s="346"/>
      <c r="K28" s="346"/>
    </row>
    <row r="29" spans="1:11">
      <c r="A29" s="66" t="s">
        <v>495</v>
      </c>
      <c r="B29" s="66" t="s">
        <v>694</v>
      </c>
      <c r="C29" s="65" t="str">
        <f>ADDRESS(ROW(A1),COLUMN(A1))&amp;":"&amp;ADDRESS(ROW(D1),COLUMN(D1))&amp;","&amp;ADDRESS(ROW(UNMM0070_LIST_BUNSEKIKOMOKUGUN_CD),COLUMN(UNMM0070_LIST_BUNSEKIKOMOKUGUN_CD))</f>
        <v>$A$1:$D$1,$K$5</v>
      </c>
      <c r="D29" s="66"/>
      <c r="G29" s="346"/>
      <c r="H29" s="346"/>
      <c r="I29" s="346"/>
      <c r="J29" s="346"/>
      <c r="K29" s="346"/>
    </row>
    <row r="30" spans="1:11">
      <c r="A30" s="66"/>
      <c r="B30" s="66"/>
      <c r="C30" s="66"/>
      <c r="D30" s="66"/>
      <c r="G30" s="346"/>
      <c r="H30" s="346"/>
      <c r="I30" s="346"/>
      <c r="J30" s="346"/>
      <c r="K30" s="346"/>
    </row>
    <row r="31" spans="1:11">
      <c r="A31" s="66" t="s">
        <v>695</v>
      </c>
      <c r="B31" s="66" t="s">
        <v>696</v>
      </c>
      <c r="C31" s="65">
        <f>IF(AND(LEN(UNMM0070_BUNSEKIKOMOKUGUN_CD)=LENB(UNMM0070_BUNSEKIKOMOKUGUN_CD),LENB(UNMM0070_BUNSEKIKOMOKUGUN_CD)&lt;=10),0,1)</f>
        <v>0</v>
      </c>
      <c r="D31" s="66"/>
      <c r="G31" s="346"/>
      <c r="H31" s="346"/>
      <c r="I31" s="346"/>
      <c r="J31" s="346"/>
      <c r="K31" s="346"/>
    </row>
    <row r="32" spans="1:11">
      <c r="A32" s="66" t="s">
        <v>697</v>
      </c>
      <c r="B32" s="66" t="s">
        <v>698</v>
      </c>
      <c r="C32" s="65">
        <f>IF(LENB(UNMM0070_BUNSEKIKOMOKUGUN_MEI)&lt;=50,0,1)</f>
        <v>0</v>
      </c>
      <c r="D32" s="66"/>
      <c r="G32" s="346"/>
      <c r="H32" s="346"/>
      <c r="I32" s="346"/>
      <c r="J32" s="346"/>
      <c r="K32" s="346"/>
    </row>
  </sheetData>
  <sheetProtection sheet="1" objects="1" scenarios="1" selectLockedCells="1"/>
  <mergeCells count="2">
    <mergeCell ref="G3:H3"/>
    <mergeCell ref="I3:J3"/>
  </mergeCells>
  <phoneticPr fontId="2"/>
  <conditionalFormatting sqref="E1:XFD1">
    <cfRule type="expression" dxfId="22" priority="1">
      <formula>UNMM0070_IF_MODE=2</formula>
    </cfRule>
  </conditionalFormatting>
  <dataValidations count="2">
    <dataValidation type="custom" allowBlank="1" showInputMessage="1" showErrorMessage="1" sqref="G3:H3">
      <formula1>AND(LEN(G3)=LENB(G3),LEN(G3)&lt;=10)</formula1>
    </dataValidation>
    <dataValidation type="custom" allowBlank="1" showInputMessage="1" showErrorMessage="1" sqref="I3:J3">
      <formula1>LENB(I3)&lt;=50</formula1>
    </dataValidation>
  </dataValidations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D1:AA70"/>
  <sheetViews>
    <sheetView zoomScale="70" zoomScaleNormal="70" workbookViewId="0">
      <selection activeCell="B3" sqref="B3"/>
    </sheetView>
  </sheetViews>
  <sheetFormatPr defaultRowHeight="13.5"/>
  <cols>
    <col min="1" max="5" width="9" style="130"/>
    <col min="6" max="6" width="32" style="130" bestFit="1" customWidth="1"/>
    <col min="7" max="8" width="16.125" style="130" bestFit="1" customWidth="1"/>
    <col min="9" max="14" width="9" style="130"/>
    <col min="15" max="15" width="33.875" style="130" bestFit="1" customWidth="1"/>
    <col min="16" max="16" width="9" style="130"/>
    <col min="17" max="17" width="16.375" style="130" customWidth="1"/>
    <col min="18" max="19" width="9" style="130"/>
    <col min="20" max="20" width="13.75" style="130" bestFit="1" customWidth="1"/>
    <col min="21" max="21" width="13.75" style="130" customWidth="1"/>
    <col min="22" max="16384" width="9" style="130"/>
  </cols>
  <sheetData>
    <row r="1" spans="4:27">
      <c r="N1" s="85" t="s">
        <v>93</v>
      </c>
      <c r="O1" s="130" t="s">
        <v>699</v>
      </c>
      <c r="P1" s="338">
        <f>UNMM0070_IF_SAVE_W_USER_ID</f>
        <v>0</v>
      </c>
      <c r="Q1" s="130">
        <f ca="1">UNMM0070_IF_SAVE_W_SERIAL</f>
        <v>42991.659979282405</v>
      </c>
      <c r="R1" s="130">
        <f>1+ROW()-ROW(UNMM0070_IF_SAVE_COPY_START)</f>
        <v>-1</v>
      </c>
      <c r="S1" s="130">
        <f>UNMM0070_IF_SAVE_W_MODE</f>
        <v>0</v>
      </c>
      <c r="T1" s="257">
        <f>UNMM0070_BUNSEKIKOMOKUGUN_CD</f>
        <v>0</v>
      </c>
      <c r="U1" s="130">
        <f>UNMM0070_BUNSEKIKOMOKUGUN_MEI</f>
        <v>0</v>
      </c>
      <c r="V1" s="130" t="str">
        <f ca="1">IF(W1="","保存対象外",IF(ROW()-ROW(UNMM0070_IF_SAVE_SEQ)=1,1,MAX(OFFSET(UNMM0070_IF_SAVE_SEQ,1,0,ROW()-ROW(UNMM0070_IF_SAVE_SEQ)-1))+1))</f>
        <v>保存対象外</v>
      </c>
      <c r="W1" s="257" t="str">
        <f ca="1">IF(OFFSET(UNMM0070_BUNSEKIKOMOKU_CD,1+ROW()-ROW(UNMM0070_IF_SAVE_COPY_START),0)="","",OFFSET(UNMM0070_BUNSEKIKOMOKU_CD,1+ROW()-ROW(UNMM0070_IF_SAVE_COPY_START),0))</f>
        <v/>
      </c>
      <c r="AA1" s="130" t="str">
        <f ca="1">IF(AB1="","保存対象外",MAX(OFFSET(UNMM0070_IF_SAVE_SEQ,1,0,UNMM0070_HYOJI_KENSU+UNMM0070_YOBI_GYOSU)))</f>
        <v>保存対象外</v>
      </c>
    </row>
    <row r="2" spans="4:27">
      <c r="P2" s="130" t="s">
        <v>700</v>
      </c>
      <c r="Q2" s="130" t="s">
        <v>701</v>
      </c>
      <c r="R2" s="130" t="s">
        <v>645</v>
      </c>
      <c r="S2" s="130" t="s">
        <v>702</v>
      </c>
      <c r="T2" s="130" t="s">
        <v>664</v>
      </c>
      <c r="U2" s="130" t="s">
        <v>703</v>
      </c>
      <c r="V2" s="130" t="s">
        <v>704</v>
      </c>
      <c r="W2" s="130" t="s">
        <v>661</v>
      </c>
    </row>
    <row r="3" spans="4:27" ht="16.5">
      <c r="G3" s="221" t="s">
        <v>15</v>
      </c>
      <c r="H3" s="221" t="s">
        <v>661</v>
      </c>
      <c r="I3" s="221" t="s">
        <v>662</v>
      </c>
      <c r="J3" s="221" t="s">
        <v>663</v>
      </c>
      <c r="K3" s="222" t="s">
        <v>664</v>
      </c>
      <c r="O3" s="130" t="s">
        <v>705</v>
      </c>
      <c r="P3" s="223"/>
    </row>
    <row r="4" spans="4:27" ht="16.5">
      <c r="E4" s="130" t="s">
        <v>153</v>
      </c>
      <c r="F4" s="104" t="s">
        <v>706</v>
      </c>
      <c r="G4" s="204"/>
      <c r="H4" s="345"/>
      <c r="I4" s="204"/>
      <c r="J4" s="204"/>
      <c r="K4" s="220"/>
      <c r="L4" s="104"/>
      <c r="M4" s="104"/>
      <c r="N4" s="104"/>
      <c r="O4" s="130" t="s">
        <v>707</v>
      </c>
      <c r="P4" s="223"/>
    </row>
    <row r="5" spans="4:27" ht="16.5">
      <c r="E5" s="130" t="s">
        <v>152</v>
      </c>
      <c r="F5" s="130" t="s">
        <v>708</v>
      </c>
      <c r="G5" s="232" t="s">
        <v>709</v>
      </c>
      <c r="H5" s="337"/>
      <c r="I5" s="224"/>
      <c r="J5" s="225"/>
      <c r="K5" s="394"/>
      <c r="L5" s="226"/>
      <c r="O5" s="165" t="str">
        <f ca="1">IF(UNMM0070_HYOJI_BUNSEKIKOMIKU="","","UNMM0070_IF!"&amp;ADDRESS(ROW(UNMM0070_IF_SAVE_COPY_START),COLUMN(UNMM0070_IF_SAVE_COPY_START))&amp;":"&amp;
ADDRESS(ROW(UNMM0070_IF_SAVE_COPY_START)+UNMM0070_HYOJI_KENSU+UNMM0070_YOBI_GYOSU-1,COLUMN(UNMM0070_IF_SAVE_COPY_START)+COLUMNS(UNMM0070_IF_SAVE_COPY_MOTO)-1))</f>
        <v/>
      </c>
      <c r="P5" s="223"/>
    </row>
    <row r="6" spans="4:27">
      <c r="E6" s="425"/>
      <c r="F6" s="425"/>
      <c r="G6" s="425"/>
      <c r="H6" s="425"/>
      <c r="I6" s="425"/>
      <c r="J6" s="425"/>
      <c r="K6" s="425"/>
      <c r="O6" s="130" t="s">
        <v>710</v>
      </c>
      <c r="P6" s="223"/>
    </row>
    <row r="7" spans="4:27" ht="16.5">
      <c r="E7" s="130" t="s">
        <v>711</v>
      </c>
      <c r="F7" s="102" t="s">
        <v>712</v>
      </c>
      <c r="G7" s="232" t="s">
        <v>16</v>
      </c>
      <c r="H7" s="224"/>
      <c r="I7" s="224"/>
      <c r="J7" s="225"/>
      <c r="K7" s="394"/>
      <c r="L7" s="226"/>
      <c r="M7" s="104"/>
      <c r="N7" s="104"/>
      <c r="O7" s="165" t="str">
        <f>ADDRESS(ROW(UNMM0070_IF_SAVE_COPY_START),COLUMN(UNMM0070_IF_SAVE_COPY_START))&amp;":"&amp;
ADDRESS(ROW(UNMM0070_IF_SAVE_COPY_START)+UNMM0070_CTRL_HYOJI_GYO_SU-1,COLUMN(UNMM0070_IF_SAVE_COPY_START)+COLUMNS(UNMM0070_IF_SAVE_COPY_MOTO)-1)</f>
        <v>$P$3:$W$102</v>
      </c>
      <c r="P7" s="223"/>
    </row>
    <row r="8" spans="4:27">
      <c r="K8" s="227"/>
      <c r="P8" s="223"/>
    </row>
    <row r="9" spans="4:27" ht="16.5">
      <c r="E9" s="130" t="s">
        <v>713</v>
      </c>
      <c r="F9" s="130" t="s">
        <v>714</v>
      </c>
      <c r="G9" s="681"/>
      <c r="H9" s="681"/>
      <c r="I9" s="555"/>
      <c r="J9" s="557"/>
      <c r="P9" s="223"/>
    </row>
    <row r="10" spans="4:27">
      <c r="G10" s="129"/>
      <c r="H10" s="129"/>
      <c r="I10" s="129"/>
      <c r="J10" s="129"/>
      <c r="P10" s="228"/>
    </row>
    <row r="11" spans="4:27" ht="16.5">
      <c r="E11" s="130" t="s">
        <v>715</v>
      </c>
      <c r="F11" s="130" t="s">
        <v>716</v>
      </c>
      <c r="G11" s="681"/>
      <c r="H11" s="681"/>
      <c r="I11" s="682"/>
      <c r="J11" s="683"/>
      <c r="P11" s="228"/>
      <c r="Q11" s="104"/>
    </row>
    <row r="12" spans="4:27">
      <c r="G12" s="129"/>
      <c r="H12" s="129"/>
      <c r="I12" s="129"/>
      <c r="J12" s="129"/>
      <c r="P12" s="228"/>
    </row>
    <row r="13" spans="4:27" ht="16.5">
      <c r="E13" s="130" t="s">
        <v>717</v>
      </c>
      <c r="F13" s="130" t="s">
        <v>718</v>
      </c>
      <c r="G13" s="681"/>
      <c r="H13" s="681"/>
      <c r="I13" s="682"/>
      <c r="J13" s="683"/>
      <c r="P13" s="228"/>
    </row>
    <row r="14" spans="4:27">
      <c r="D14" s="85" t="s">
        <v>171</v>
      </c>
      <c r="F14" s="129"/>
      <c r="G14" s="124"/>
      <c r="P14" s="228"/>
    </row>
    <row r="15" spans="4:27">
      <c r="E15" s="130" t="s">
        <v>172</v>
      </c>
      <c r="F15" s="129" t="s">
        <v>719</v>
      </c>
      <c r="G15" s="131">
        <v>1</v>
      </c>
      <c r="H15" s="130" t="s">
        <v>174</v>
      </c>
      <c r="I15" s="130" t="s">
        <v>175</v>
      </c>
      <c r="P15" s="228"/>
    </row>
    <row r="16" spans="4:27">
      <c r="P16" s="228"/>
    </row>
    <row r="17" spans="4:16">
      <c r="D17" s="85" t="s">
        <v>104</v>
      </c>
      <c r="E17" s="129"/>
      <c r="F17" s="124"/>
      <c r="P17" s="228"/>
    </row>
    <row r="18" spans="4:16">
      <c r="E18" s="130" t="s">
        <v>105</v>
      </c>
      <c r="F18" s="129" t="s">
        <v>720</v>
      </c>
      <c r="G18" s="131"/>
    </row>
    <row r="19" spans="4:16">
      <c r="E19" s="130" t="s">
        <v>107</v>
      </c>
      <c r="F19" s="129" t="s">
        <v>722</v>
      </c>
      <c r="G19" s="131"/>
    </row>
    <row r="20" spans="4:16">
      <c r="E20" s="130" t="s">
        <v>108</v>
      </c>
      <c r="F20" s="129" t="s">
        <v>723</v>
      </c>
      <c r="G20" s="131"/>
      <c r="L20" s="257"/>
    </row>
    <row r="21" spans="4:16">
      <c r="F21" s="129"/>
    </row>
    <row r="22" spans="4:16">
      <c r="E22" s="130" t="s">
        <v>106</v>
      </c>
      <c r="F22" s="129" t="s">
        <v>724</v>
      </c>
      <c r="G22" s="131"/>
    </row>
    <row r="24" spans="4:16">
      <c r="D24" s="85" t="s">
        <v>103</v>
      </c>
      <c r="F24" s="129"/>
      <c r="G24" s="124"/>
    </row>
    <row r="25" spans="4:16">
      <c r="E25" s="130" t="s">
        <v>39</v>
      </c>
      <c r="F25" s="129" t="s">
        <v>725</v>
      </c>
      <c r="G25" s="131">
        <v>0</v>
      </c>
      <c r="H25" s="23" t="s">
        <v>57</v>
      </c>
      <c r="I25" s="23" t="s">
        <v>55</v>
      </c>
      <c r="J25" s="23" t="s">
        <v>56</v>
      </c>
    </row>
    <row r="27" spans="4:16">
      <c r="D27" s="85" t="s">
        <v>41</v>
      </c>
      <c r="F27" s="129"/>
      <c r="G27" s="124"/>
      <c r="H27" s="85" t="s">
        <v>49</v>
      </c>
    </row>
    <row r="28" spans="4:16">
      <c r="E28" s="130" t="s">
        <v>43</v>
      </c>
      <c r="F28" s="129" t="s">
        <v>726</v>
      </c>
      <c r="G28" s="131" t="str">
        <f>IF(UNMM0070_IF_MODE=1,"-",IF(UNMM0070_IF_MODE=2,"修正キャンセル","修正"))</f>
        <v>修正</v>
      </c>
      <c r="H28" s="229" t="s">
        <v>58</v>
      </c>
      <c r="I28" s="130" t="s">
        <v>59</v>
      </c>
      <c r="J28" s="130" t="s">
        <v>60</v>
      </c>
    </row>
    <row r="29" spans="4:16">
      <c r="E29" s="130" t="s">
        <v>44</v>
      </c>
      <c r="F29" s="129" t="s">
        <v>727</v>
      </c>
      <c r="G29" s="131" t="str">
        <f>IF(UNMM0070_IF_MODE=1,"新規登録",IF(UNMM0070_IF_MODE=2,"更新","-"))</f>
        <v>-</v>
      </c>
      <c r="H29" s="130" t="s">
        <v>3</v>
      </c>
      <c r="I29" s="130" t="s">
        <v>330</v>
      </c>
      <c r="J29" s="229" t="s">
        <v>58</v>
      </c>
    </row>
    <row r="31" spans="4:16">
      <c r="D31" s="85" t="s">
        <v>48</v>
      </c>
      <c r="F31" s="129"/>
      <c r="G31" s="124"/>
      <c r="H31" s="85" t="s">
        <v>49</v>
      </c>
    </row>
    <row r="32" spans="4:16">
      <c r="E32" s="130" t="s">
        <v>43</v>
      </c>
      <c r="F32" s="129" t="s">
        <v>728</v>
      </c>
      <c r="G32" s="131">
        <f>IF(UNMM0070_IF_MODE=1,5,IF(UNMM0070_IF_MODE=2,0,0))</f>
        <v>0</v>
      </c>
      <c r="H32" s="130" t="s">
        <v>62</v>
      </c>
      <c r="I32" s="130" t="s">
        <v>167</v>
      </c>
      <c r="J32" s="130" t="s">
        <v>167</v>
      </c>
    </row>
    <row r="33" spans="4:20">
      <c r="E33" s="130" t="s">
        <v>44</v>
      </c>
      <c r="F33" s="129" t="s">
        <v>729</v>
      </c>
      <c r="G33" s="131">
        <f>IF(UNMM0070_IF_MODE=1,0,IF(UNMM0070_IF_MODE=2,0,5))</f>
        <v>5</v>
      </c>
      <c r="H33" s="130" t="s">
        <v>167</v>
      </c>
      <c r="I33" s="130" t="s">
        <v>167</v>
      </c>
      <c r="J33" s="130" t="s">
        <v>62</v>
      </c>
    </row>
    <row r="34" spans="4:20">
      <c r="F34" s="129"/>
      <c r="G34" s="124"/>
    </row>
    <row r="35" spans="4:20">
      <c r="D35" s="85" t="s">
        <v>45</v>
      </c>
      <c r="F35" s="129"/>
      <c r="G35" s="124"/>
      <c r="H35" s="85" t="s">
        <v>49</v>
      </c>
    </row>
    <row r="36" spans="4:20">
      <c r="E36" s="130" t="s">
        <v>50</v>
      </c>
      <c r="F36" s="129" t="s">
        <v>730</v>
      </c>
      <c r="G36" s="131">
        <f>IF(UNMM0070_IF_MODE=1,2,IF(UNMM0070_IF_MODE=2,1,1))</f>
        <v>1</v>
      </c>
      <c r="H36" s="130" t="s">
        <v>64</v>
      </c>
      <c r="I36" s="130" t="s">
        <v>63</v>
      </c>
      <c r="J36" s="130" t="s">
        <v>63</v>
      </c>
    </row>
    <row r="37" spans="4:20">
      <c r="E37" s="130" t="s">
        <v>43</v>
      </c>
      <c r="F37" s="129" t="s">
        <v>731</v>
      </c>
      <c r="G37" s="131">
        <f>IF(UNMM0070_IF_MODE=1,2,IF(UNMM0070_IF_MODE=2,1,1))</f>
        <v>1</v>
      </c>
      <c r="H37" s="130" t="s">
        <v>64</v>
      </c>
      <c r="I37" s="130" t="s">
        <v>63</v>
      </c>
      <c r="J37" s="130" t="s">
        <v>63</v>
      </c>
    </row>
    <row r="38" spans="4:20">
      <c r="E38" s="130" t="s">
        <v>51</v>
      </c>
      <c r="F38" s="129" t="s">
        <v>732</v>
      </c>
      <c r="G38" s="131">
        <f>IF(UNMM0070_IF_MODE=1,2,IF(UNMM0070_IF_MODE=2,1,2))</f>
        <v>2</v>
      </c>
      <c r="H38" s="130" t="s">
        <v>323</v>
      </c>
      <c r="I38" s="130" t="s">
        <v>733</v>
      </c>
      <c r="J38" s="130" t="s">
        <v>734</v>
      </c>
    </row>
    <row r="39" spans="4:20">
      <c r="E39" s="130" t="s">
        <v>735</v>
      </c>
      <c r="F39" s="129" t="s">
        <v>736</v>
      </c>
      <c r="G39" s="131">
        <f>IF(UNMM0070_IF_MODE=1,1,IF(UNMM0070_IF_MODE=2,1,2))</f>
        <v>2</v>
      </c>
      <c r="H39" s="130" t="s">
        <v>63</v>
      </c>
      <c r="I39" s="130" t="s">
        <v>63</v>
      </c>
      <c r="J39" s="130" t="s">
        <v>64</v>
      </c>
    </row>
    <row r="40" spans="4:20">
      <c r="E40" s="130" t="s">
        <v>331</v>
      </c>
      <c r="F40" s="129" t="s">
        <v>737</v>
      </c>
      <c r="G40" s="131">
        <f>IF(UNMM0070_IF_MODE=1,1,IF(UNMM0070_IF_MODE=2,1,2))</f>
        <v>2</v>
      </c>
      <c r="H40" s="130" t="s">
        <v>738</v>
      </c>
      <c r="I40" s="130" t="s">
        <v>63</v>
      </c>
      <c r="J40" s="130" t="s">
        <v>64</v>
      </c>
    </row>
    <row r="41" spans="4:20">
      <c r="E41" s="130" t="s">
        <v>739</v>
      </c>
      <c r="F41" s="129" t="s">
        <v>740</v>
      </c>
      <c r="G41" s="131">
        <f>IF(UNMM0070_IF_MODE=1,1,IF(UNMM0070_IF_MODE=2,1,2))</f>
        <v>2</v>
      </c>
      <c r="H41" s="130" t="s">
        <v>63</v>
      </c>
      <c r="I41" s="130" t="s">
        <v>63</v>
      </c>
      <c r="J41" s="130" t="s">
        <v>64</v>
      </c>
    </row>
    <row r="42" spans="4:20">
      <c r="E42" s="130" t="s">
        <v>741</v>
      </c>
      <c r="F42" s="129" t="s">
        <v>742</v>
      </c>
      <c r="G42" s="131">
        <f>IF(UNMM0070_IF_MODE=1,1,IF(UNMM0070_IF_MODE=2,1,2))</f>
        <v>2</v>
      </c>
      <c r="H42" s="130" t="s">
        <v>63</v>
      </c>
      <c r="I42" s="130" t="s">
        <v>63</v>
      </c>
      <c r="J42" s="130" t="s">
        <v>64</v>
      </c>
    </row>
    <row r="43" spans="4:20">
      <c r="E43" s="130" t="s">
        <v>54</v>
      </c>
      <c r="F43" s="129" t="s">
        <v>743</v>
      </c>
      <c r="G43" s="131">
        <f>IF(UNMM0070_IF_MODE=1,2,IF(UNMM0070_IF_MODE=2,2,1))</f>
        <v>1</v>
      </c>
      <c r="H43" s="130" t="s">
        <v>64</v>
      </c>
      <c r="I43" s="130" t="s">
        <v>927</v>
      </c>
      <c r="J43" s="130" t="s">
        <v>63</v>
      </c>
    </row>
    <row r="44" spans="4:20">
      <c r="F44" s="129"/>
    </row>
    <row r="45" spans="4:20">
      <c r="D45" s="85" t="s">
        <v>45</v>
      </c>
      <c r="F45" s="129"/>
    </row>
    <row r="46" spans="4:20">
      <c r="E46" s="425" t="s">
        <v>43</v>
      </c>
      <c r="F46" s="129" t="s">
        <v>2071</v>
      </c>
      <c r="G46" s="131">
        <f>IF(UNMM0070_BUNSEKIKOMOKUGUN_CD="",1,0)</f>
        <v>1</v>
      </c>
      <c r="H46" s="425" t="s">
        <v>1970</v>
      </c>
    </row>
    <row r="47" spans="4:20">
      <c r="E47" s="130" t="s">
        <v>741</v>
      </c>
      <c r="F47" s="129" t="s">
        <v>1969</v>
      </c>
      <c r="G47" s="131">
        <f>IF(OR(UNMM0070_IF_ACTIVE_ROW&lt;=ROW(UNMM0070_SENTAKU),UNMM0070_IF_ACTIVE_ROW&gt;ROW(UNMM0070_SENTAKU)+UNMM0070_HYOJI_KENSU),1,0)</f>
        <v>1</v>
      </c>
      <c r="H47" s="130" t="s">
        <v>1970</v>
      </c>
    </row>
    <row r="48" spans="4:20">
      <c r="Q48" s="130" t="str">
        <f>IF(V48="","",1)</f>
        <v/>
      </c>
      <c r="T48" s="130" t="str">
        <f>IF(V48="","",Q48)</f>
        <v/>
      </c>
    </row>
    <row r="49" spans="4:20">
      <c r="D49" s="85" t="s">
        <v>42</v>
      </c>
      <c r="Q49" s="130" t="str">
        <f>IF(V49="","",1+Q48)</f>
        <v/>
      </c>
      <c r="T49" s="130" t="str">
        <f t="shared" ref="T49:T70" si="0">IF(V49="","",Q49)</f>
        <v/>
      </c>
    </row>
    <row r="50" spans="4:20">
      <c r="E50" s="130" t="s">
        <v>76</v>
      </c>
      <c r="Q50" s="130" t="str">
        <f t="shared" ref="Q50:Q70" si="1">IF(V50="","",1+Q49)</f>
        <v/>
      </c>
      <c r="T50" s="130" t="str">
        <f t="shared" si="0"/>
        <v/>
      </c>
    </row>
    <row r="51" spans="4:20">
      <c r="E51" s="130" t="s">
        <v>744</v>
      </c>
      <c r="F51" s="130" t="s">
        <v>745</v>
      </c>
      <c r="G51" s="338"/>
      <c r="Q51" s="130" t="str">
        <f t="shared" si="1"/>
        <v/>
      </c>
      <c r="T51" s="130" t="str">
        <f t="shared" si="0"/>
        <v/>
      </c>
    </row>
    <row r="52" spans="4:20">
      <c r="E52" s="130" t="s">
        <v>746</v>
      </c>
      <c r="F52" s="130" t="s">
        <v>747</v>
      </c>
      <c r="G52" s="230">
        <f ca="1">NOW()</f>
        <v>42991.659979282405</v>
      </c>
      <c r="H52" s="231"/>
      <c r="Q52" s="130" t="str">
        <f t="shared" si="1"/>
        <v/>
      </c>
      <c r="T52" s="130" t="str">
        <f t="shared" si="0"/>
        <v/>
      </c>
    </row>
    <row r="53" spans="4:20">
      <c r="E53" s="130" t="s">
        <v>645</v>
      </c>
      <c r="F53" s="130" t="s">
        <v>748</v>
      </c>
      <c r="G53" s="51">
        <v>1</v>
      </c>
      <c r="Q53" s="130" t="str">
        <f t="shared" si="1"/>
        <v/>
      </c>
      <c r="T53" s="130" t="str">
        <f t="shared" si="0"/>
        <v/>
      </c>
    </row>
    <row r="54" spans="4:20">
      <c r="E54" s="130" t="s">
        <v>702</v>
      </c>
      <c r="F54" s="130" t="s">
        <v>749</v>
      </c>
      <c r="G54" s="51"/>
      <c r="H54" s="385" t="s">
        <v>479</v>
      </c>
      <c r="Q54" s="130" t="str">
        <f t="shared" si="1"/>
        <v/>
      </c>
      <c r="T54" s="130" t="str">
        <f t="shared" si="0"/>
        <v/>
      </c>
    </row>
    <row r="55" spans="4:20">
      <c r="E55" s="223" t="s">
        <v>664</v>
      </c>
      <c r="F55" s="223" t="s">
        <v>750</v>
      </c>
      <c r="G55" s="51" t="str">
        <f>IF(UNMM0070_BUNSEKIKOMOKUGUN_CD="","",UNMM0070_BUNSEKIKOMOKUGUN_CD)</f>
        <v/>
      </c>
      <c r="Q55" s="130" t="str">
        <f t="shared" si="1"/>
        <v/>
      </c>
      <c r="T55" s="130" t="str">
        <f t="shared" si="0"/>
        <v/>
      </c>
    </row>
    <row r="56" spans="4:20">
      <c r="E56" s="223" t="s">
        <v>703</v>
      </c>
      <c r="F56" s="223" t="s">
        <v>751</v>
      </c>
      <c r="G56" s="51" t="str">
        <f>IF(OR(UNMM0070_BUNSEKIKOMOKUGUN_CD="",UNMM0070_BUNSEKIKOMOKUGUN_MEI=""),"",UNMM0070_BUNSEKIKOMOKUGUN_MEI)</f>
        <v/>
      </c>
      <c r="Q56" s="130" t="str">
        <f t="shared" si="1"/>
        <v/>
      </c>
      <c r="T56" s="130" t="str">
        <f t="shared" si="0"/>
        <v/>
      </c>
    </row>
    <row r="57" spans="4:20">
      <c r="Q57" s="130" t="str">
        <f t="shared" si="1"/>
        <v/>
      </c>
      <c r="T57" s="130" t="str">
        <f t="shared" si="0"/>
        <v/>
      </c>
    </row>
    <row r="58" spans="4:20">
      <c r="Q58" s="130" t="str">
        <f t="shared" si="1"/>
        <v/>
      </c>
      <c r="T58" s="130" t="str">
        <f t="shared" si="0"/>
        <v/>
      </c>
    </row>
    <row r="59" spans="4:20">
      <c r="E59" s="130" t="s">
        <v>46</v>
      </c>
      <c r="Q59" s="130" t="str">
        <f t="shared" si="1"/>
        <v/>
      </c>
      <c r="T59" s="130" t="str">
        <f t="shared" si="0"/>
        <v/>
      </c>
    </row>
    <row r="60" spans="4:20">
      <c r="E60" s="130" t="s">
        <v>75</v>
      </c>
      <c r="F60" s="130" t="s">
        <v>752</v>
      </c>
      <c r="G60" s="51">
        <f ca="1">IF(AND(UNMM0070_IF_SAVE_BUNSEKIKOMOKU_GUN_CD&lt;&gt;"",UNMM0070_IF_SAVE_BUNSEKIKOMOKU_GUN_MEI&lt;&gt;"",UNMM0070_HYOJI_BUNSEKIKOMIKU&lt;&gt;""),1,0)</f>
        <v>0</v>
      </c>
      <c r="Q60" s="130" t="str">
        <f t="shared" si="1"/>
        <v/>
      </c>
      <c r="T60" s="130" t="str">
        <f t="shared" si="0"/>
        <v/>
      </c>
    </row>
    <row r="61" spans="4:20">
      <c r="E61" s="130" t="s">
        <v>1355</v>
      </c>
      <c r="F61" s="130" t="s">
        <v>1356</v>
      </c>
      <c r="G61" s="51">
        <f>IF(UNMM0070_IF_SAVE_BUNSEKIKOMOKU_GUN_CD&lt;&gt;"",1,0)</f>
        <v>0</v>
      </c>
      <c r="Q61" s="130" t="str">
        <f t="shared" si="1"/>
        <v/>
      </c>
      <c r="T61" s="130" t="str">
        <f t="shared" si="0"/>
        <v/>
      </c>
    </row>
    <row r="62" spans="4:20">
      <c r="E62" s="130" t="s">
        <v>465</v>
      </c>
      <c r="Q62" s="130" t="str">
        <f t="shared" si="1"/>
        <v/>
      </c>
      <c r="T62" s="130" t="str">
        <f t="shared" si="0"/>
        <v/>
      </c>
    </row>
    <row r="63" spans="4:20">
      <c r="E63" s="130" t="s">
        <v>466</v>
      </c>
      <c r="F63" s="130" t="s">
        <v>753</v>
      </c>
      <c r="G63" s="51"/>
      <c r="Q63" s="130" t="str">
        <f t="shared" si="1"/>
        <v/>
      </c>
      <c r="T63" s="130" t="str">
        <f t="shared" si="0"/>
        <v/>
      </c>
    </row>
    <row r="64" spans="4:20">
      <c r="E64" s="130" t="s">
        <v>467</v>
      </c>
      <c r="F64" s="130" t="s">
        <v>754</v>
      </c>
      <c r="G64" s="51"/>
      <c r="Q64" s="130" t="str">
        <f t="shared" si="1"/>
        <v/>
      </c>
      <c r="T64" s="130" t="str">
        <f t="shared" si="0"/>
        <v/>
      </c>
    </row>
    <row r="65" spans="4:20">
      <c r="E65" s="130" t="s">
        <v>468</v>
      </c>
      <c r="F65" s="130" t="s">
        <v>755</v>
      </c>
      <c r="G65" s="51">
        <f>IF(UNMM0070_IF_SAVE_RESULT_CD=0,2,1)</f>
        <v>2</v>
      </c>
      <c r="Q65" s="130" t="str">
        <f t="shared" si="1"/>
        <v/>
      </c>
      <c r="T65" s="130" t="str">
        <f t="shared" si="0"/>
        <v/>
      </c>
    </row>
    <row r="66" spans="4:20">
      <c r="E66" s="130" t="s">
        <v>756</v>
      </c>
      <c r="F66" s="130" t="s">
        <v>757</v>
      </c>
      <c r="G66" s="51" t="str">
        <f>IF(UNMM0070_IF_SAVE_W_MODE=3,"削除に失敗しました。",
IF(ISERROR(VLOOKUP(UNMM0070_IF_SAVE_RESULT_CD,UNMM_COMMON_ERROR_MESSAGE_AREA,2,FALSE)),
"保存に失敗しました。入力内容を確認後、再度実行してください。",
VLOOKUP(UNMM0070_IF_SAVE_RESULT_CD,UNMM_COMMON_ERROR_MESSAGE_AREA,2,FALSE)))</f>
        <v>保存に失敗しました。入力内容を確認後、再度実行してください。</v>
      </c>
      <c r="Q66" s="130" t="str">
        <f t="shared" si="1"/>
        <v/>
      </c>
      <c r="T66" s="130" t="str">
        <f t="shared" si="0"/>
        <v/>
      </c>
    </row>
    <row r="67" spans="4:20">
      <c r="Q67" s="130" t="str">
        <f t="shared" si="1"/>
        <v/>
      </c>
      <c r="T67" s="130" t="str">
        <f t="shared" si="0"/>
        <v/>
      </c>
    </row>
    <row r="68" spans="4:20">
      <c r="D68" s="85" t="s">
        <v>928</v>
      </c>
      <c r="Q68" s="130" t="str">
        <f t="shared" si="1"/>
        <v/>
      </c>
      <c r="T68" s="130" t="str">
        <f t="shared" si="0"/>
        <v/>
      </c>
    </row>
    <row r="69" spans="4:20">
      <c r="E69" s="130" t="s">
        <v>929</v>
      </c>
      <c r="F69" s="129" t="s">
        <v>930</v>
      </c>
      <c r="G69" s="51" t="str">
        <f ca="1">"分析項目群マスタメンテ画面_"&amp;UNMM0070_BUNSEKIKOMOKUGUN_CD&amp;"_"&amp;TEXT(NOW(),"YYYYMMDD")</f>
        <v>分析項目群マスタメンテ画面__20170913</v>
      </c>
      <c r="Q69" s="130" t="str">
        <f t="shared" si="1"/>
        <v/>
      </c>
      <c r="T69" s="130" t="str">
        <f t="shared" si="0"/>
        <v/>
      </c>
    </row>
    <row r="70" spans="4:20">
      <c r="Q70" s="130" t="str">
        <f t="shared" si="1"/>
        <v/>
      </c>
      <c r="T70" s="130" t="str">
        <f t="shared" si="0"/>
        <v/>
      </c>
    </row>
  </sheetData>
  <mergeCells count="6">
    <mergeCell ref="G9:H9"/>
    <mergeCell ref="I9:J9"/>
    <mergeCell ref="G11:H11"/>
    <mergeCell ref="I11:J11"/>
    <mergeCell ref="G13:H13"/>
    <mergeCell ref="I13:J13"/>
  </mergeCells>
  <phoneticPr fontId="2"/>
  <conditionalFormatting sqref="G5:J5 G7:J7">
    <cfRule type="expression" dxfId="21" priority="1">
      <formula>CELL("row")=ROW()</formula>
    </cfRule>
  </conditionalFormatting>
  <dataValidations disablePrompts="1" count="2">
    <dataValidation type="custom" allowBlank="1" showInputMessage="1" showErrorMessage="1" sqref="I9:J9 I11:J11 I13:J13">
      <formula1>LENB(I9)&lt;=50</formula1>
    </dataValidation>
    <dataValidation type="custom" allowBlank="1" showInputMessage="1" showErrorMessage="1" sqref="G9:H9 G11:H11 G13:H13">
      <formula1>AND(LEN(G9)=LENB(G9),LEN(G9)&lt;=10)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B10"/>
  <sheetViews>
    <sheetView topLeftCell="A4" workbookViewId="0">
      <selection activeCell="B4" sqref="B4"/>
    </sheetView>
  </sheetViews>
  <sheetFormatPr defaultRowHeight="13.5"/>
  <cols>
    <col min="1" max="1" width="9" style="130"/>
    <col min="2" max="2" width="37.125" style="130" bestFit="1" customWidth="1"/>
    <col min="3" max="3" width="50.5" style="130" bestFit="1" customWidth="1"/>
    <col min="4" max="4" width="46" style="130" bestFit="1" customWidth="1"/>
    <col min="5" max="5" width="13.875" style="130" bestFit="1" customWidth="1"/>
    <col min="6" max="16384" width="9" style="130"/>
  </cols>
  <sheetData>
    <row r="1" spans="1:28">
      <c r="A1" s="208"/>
      <c r="B1" s="208"/>
      <c r="C1" s="208" t="s">
        <v>664</v>
      </c>
      <c r="D1" s="208">
        <f>UNMM0070_BUNSEKIKOMOKUGUN_CD</f>
        <v>0</v>
      </c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208"/>
      <c r="Z1" s="208"/>
      <c r="AA1" s="208"/>
      <c r="AB1" s="208"/>
    </row>
    <row r="2" spans="1:28">
      <c r="A2" s="208"/>
      <c r="B2" s="208"/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</row>
    <row r="3" spans="1:28" ht="40.5">
      <c r="A3" s="208"/>
      <c r="B3" s="208" t="s">
        <v>758</v>
      </c>
      <c r="C3" s="26" t="s">
        <v>759</v>
      </c>
      <c r="D3" s="207" t="str">
        <f>D4&amp;D5</f>
        <v xml:space="preserve">SELECT *
  FROM V_BUNSEKI_GUN_LIST
</v>
      </c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</row>
    <row r="4" spans="1:28" ht="40.5">
      <c r="A4" s="208"/>
      <c r="B4" s="208"/>
      <c r="C4" s="208" t="s">
        <v>760</v>
      </c>
      <c r="D4" s="29" t="s">
        <v>761</v>
      </c>
      <c r="E4" s="208"/>
      <c r="F4" s="208"/>
      <c r="G4" s="208"/>
      <c r="H4" s="208"/>
      <c r="I4" s="208"/>
      <c r="J4" s="208"/>
      <c r="K4" s="208"/>
      <c r="L4" s="208"/>
      <c r="M4" s="208"/>
      <c r="N4" s="208"/>
      <c r="O4" s="208"/>
      <c r="P4" s="208"/>
      <c r="Q4" s="208"/>
      <c r="R4" s="208"/>
      <c r="S4" s="208"/>
      <c r="T4" s="208"/>
      <c r="U4" s="208"/>
      <c r="V4" s="208"/>
      <c r="W4" s="208"/>
      <c r="X4" s="208"/>
      <c r="Y4" s="208"/>
      <c r="Z4" s="208"/>
      <c r="AA4" s="208"/>
      <c r="AB4" s="208"/>
    </row>
    <row r="5" spans="1:28">
      <c r="A5" s="208"/>
      <c r="B5" s="208"/>
      <c r="C5" s="208" t="s">
        <v>762</v>
      </c>
      <c r="D5" s="29" t="str">
        <f>IF(UNMM0070_BUNSEKIKOMOKUGUN_CD=0,""," WHERE BUNSEKI_GUN_CD = '"&amp; UNMM0070_BUNSEKIKOMOKUGUN_CD &amp;"'
")</f>
        <v/>
      </c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208"/>
      <c r="Q5" s="208"/>
      <c r="R5" s="208"/>
      <c r="S5" s="208"/>
      <c r="T5" s="208"/>
      <c r="U5" s="208"/>
      <c r="V5" s="208"/>
      <c r="W5" s="208"/>
      <c r="X5" s="208"/>
      <c r="Y5" s="208"/>
      <c r="Z5" s="208"/>
      <c r="AA5" s="208"/>
      <c r="AB5" s="208"/>
    </row>
    <row r="6" spans="1:28">
      <c r="A6" s="208"/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208"/>
      <c r="P6" s="208"/>
      <c r="Q6" s="208"/>
      <c r="R6" s="208"/>
      <c r="S6" s="208"/>
      <c r="T6" s="208"/>
      <c r="U6" s="208"/>
      <c r="V6" s="208"/>
      <c r="W6" s="208"/>
      <c r="X6" s="208"/>
      <c r="Y6" s="208"/>
      <c r="Z6" s="208"/>
      <c r="AA6" s="208"/>
      <c r="AB6" s="208"/>
    </row>
    <row r="7" spans="1:28">
      <c r="A7" s="208"/>
      <c r="B7" s="208"/>
      <c r="C7" s="208"/>
      <c r="D7" s="208"/>
      <c r="E7" s="208"/>
      <c r="F7" s="208"/>
      <c r="G7" s="208"/>
      <c r="H7" s="208"/>
      <c r="I7" s="208"/>
      <c r="J7" s="208"/>
      <c r="K7" s="208"/>
      <c r="L7" s="208"/>
      <c r="M7" s="208"/>
      <c r="N7" s="208"/>
      <c r="O7" s="208"/>
      <c r="P7" s="208"/>
      <c r="Q7" s="208"/>
      <c r="R7" s="208"/>
      <c r="S7" s="208"/>
      <c r="T7" s="208"/>
      <c r="U7" s="208"/>
      <c r="V7" s="208"/>
      <c r="W7" s="208"/>
      <c r="X7" s="208"/>
      <c r="Y7" s="208"/>
      <c r="Z7" s="208"/>
      <c r="AA7" s="208"/>
      <c r="AB7" s="208"/>
    </row>
    <row r="8" spans="1:28" ht="81">
      <c r="A8" s="208"/>
      <c r="B8" s="208"/>
      <c r="C8" s="208"/>
      <c r="D8" s="29" t="s">
        <v>763</v>
      </c>
      <c r="E8" s="208"/>
      <c r="F8" s="208"/>
      <c r="G8" s="208"/>
      <c r="H8" s="208"/>
      <c r="I8" s="208"/>
      <c r="J8" s="208"/>
      <c r="K8" s="208"/>
      <c r="L8" s="208"/>
      <c r="M8" s="208"/>
      <c r="N8" s="208"/>
      <c r="O8" s="208"/>
      <c r="P8" s="208"/>
      <c r="Q8" s="208"/>
      <c r="R8" s="208"/>
      <c r="S8" s="208"/>
      <c r="T8" s="208"/>
      <c r="U8" s="208"/>
      <c r="V8" s="208"/>
      <c r="W8" s="208"/>
      <c r="X8" s="208"/>
      <c r="Y8" s="208"/>
      <c r="Z8" s="208"/>
      <c r="AA8" s="208"/>
      <c r="AB8" s="208"/>
    </row>
    <row r="9" spans="1:28">
      <c r="A9" s="208"/>
      <c r="B9" s="25"/>
      <c r="C9" s="208"/>
      <c r="D9" s="208"/>
      <c r="E9" s="208"/>
      <c r="F9" s="208"/>
      <c r="G9" s="208"/>
      <c r="H9" s="208"/>
      <c r="I9" s="208"/>
      <c r="J9" s="208"/>
      <c r="K9" s="208"/>
      <c r="L9" s="208"/>
      <c r="M9" s="208"/>
      <c r="N9" s="208"/>
      <c r="O9" s="208"/>
      <c r="P9" s="208"/>
      <c r="Q9" s="208"/>
      <c r="R9" s="208"/>
      <c r="S9" s="208"/>
      <c r="T9" s="208"/>
      <c r="U9" s="208"/>
      <c r="V9" s="208"/>
      <c r="W9" s="208"/>
      <c r="X9" s="208"/>
      <c r="Y9" s="208"/>
      <c r="Z9" s="208"/>
      <c r="AA9" s="208"/>
      <c r="AB9" s="208"/>
    </row>
    <row r="10" spans="1:28">
      <c r="A10" s="208"/>
      <c r="B10" s="208"/>
      <c r="C10" s="208"/>
      <c r="D10" s="208"/>
      <c r="E10" s="208"/>
      <c r="F10" s="208"/>
      <c r="G10" s="208"/>
      <c r="H10" s="208"/>
      <c r="I10" s="208"/>
      <c r="J10" s="208"/>
      <c r="K10" s="208"/>
      <c r="L10" s="208"/>
      <c r="M10" s="208"/>
      <c r="N10" s="208"/>
      <c r="O10" s="208"/>
      <c r="P10" s="208"/>
      <c r="Q10" s="208"/>
      <c r="R10" s="208"/>
      <c r="S10" s="208"/>
      <c r="T10" s="208"/>
      <c r="U10" s="208"/>
      <c r="V10" s="208"/>
      <c r="W10" s="208"/>
      <c r="X10" s="208"/>
      <c r="Y10" s="208"/>
      <c r="Z10" s="208"/>
      <c r="AA10" s="208"/>
      <c r="AB10" s="208"/>
    </row>
  </sheetData>
  <phoneticPr fontId="2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>
    <tabColor rgb="FFFFFF00"/>
  </sheetPr>
  <dimension ref="A1:N23"/>
  <sheetViews>
    <sheetView showGridLines="0" showRowColHeaders="0" workbookViewId="0">
      <pane ySplit="5" topLeftCell="A6" activePane="bottomLeft" state="frozen"/>
      <selection activeCell="F29" sqref="F29"/>
      <selection pane="bottomLeft" sqref="A1:D1 N5"/>
    </sheetView>
  </sheetViews>
  <sheetFormatPr defaultRowHeight="16.5"/>
  <cols>
    <col min="1" max="1" width="26.625" style="84" hidden="1" customWidth="1"/>
    <col min="2" max="2" width="24.5" style="84" hidden="1" customWidth="1"/>
    <col min="3" max="3" width="19.25" style="84" hidden="1" customWidth="1"/>
    <col min="4" max="4" width="9" style="84" hidden="1" customWidth="1"/>
    <col min="5" max="5" width="3.375" style="83" customWidth="1"/>
    <col min="6" max="6" width="7.375" style="83" customWidth="1"/>
    <col min="7" max="7" width="10.875" style="83" customWidth="1"/>
    <col min="8" max="8" width="25.625" style="83" customWidth="1"/>
    <col min="9" max="9" width="11.75" style="83" customWidth="1"/>
    <col min="10" max="10" width="9" style="83" customWidth="1"/>
    <col min="11" max="11" width="6.125" style="83" customWidth="1"/>
    <col min="12" max="12" width="6.375" style="83" bestFit="1" customWidth="1"/>
    <col min="13" max="13" width="40.125" style="83" customWidth="1"/>
    <col min="14" max="14" width="10.5" style="83" hidden="1" customWidth="1"/>
    <col min="15" max="15" width="7.5" style="83" customWidth="1"/>
    <col min="16" max="16384" width="9" style="83"/>
  </cols>
  <sheetData>
    <row r="1" spans="1:14" s="5" customFormat="1" ht="19.5">
      <c r="A1" s="41"/>
      <c r="B1" s="41"/>
      <c r="C1" s="41"/>
      <c r="D1" s="41"/>
      <c r="E1" s="5" t="str">
        <f>"項目別サンプル値マスタメンテ"&amp;IF(UNMM0080_IF_MODE=1,"【修正モード】","【参照モード】")</f>
        <v>項目別サンプル値マスタメンテ【参照モード】</v>
      </c>
    </row>
    <row r="3" spans="1:14">
      <c r="F3" s="7" t="s">
        <v>1529</v>
      </c>
      <c r="G3" s="401"/>
      <c r="H3" s="684"/>
      <c r="I3" s="685"/>
    </row>
    <row r="5" spans="1:14" s="261" customFormat="1" ht="19.5">
      <c r="A5" s="460"/>
      <c r="B5" s="460"/>
      <c r="C5" s="460"/>
      <c r="D5" s="460"/>
      <c r="G5" s="219" t="s">
        <v>1530</v>
      </c>
      <c r="H5" s="242" t="s">
        <v>768</v>
      </c>
      <c r="I5" s="242" t="s">
        <v>1531</v>
      </c>
      <c r="J5" s="242" t="s">
        <v>1532</v>
      </c>
      <c r="K5" s="281" t="s">
        <v>1533</v>
      </c>
      <c r="L5" s="282" t="s">
        <v>1534</v>
      </c>
      <c r="M5" s="219" t="s">
        <v>1535</v>
      </c>
      <c r="N5" s="219" t="s">
        <v>1536</v>
      </c>
    </row>
    <row r="6" spans="1:14" ht="16.5" customHeight="1">
      <c r="A6" s="163" t="s">
        <v>125</v>
      </c>
      <c r="B6" s="456" t="s">
        <v>1537</v>
      </c>
      <c r="C6" s="271">
        <v>5</v>
      </c>
      <c r="D6" s="163"/>
      <c r="G6" s="171"/>
      <c r="H6" s="283"/>
    </row>
    <row r="7" spans="1:14" ht="16.5" customHeight="1">
      <c r="A7" s="163"/>
      <c r="B7" s="456"/>
      <c r="C7" s="163"/>
      <c r="D7" s="163"/>
      <c r="G7" s="171"/>
      <c r="H7" s="283"/>
      <c r="I7" s="171"/>
      <c r="J7" s="171"/>
      <c r="K7" s="171"/>
      <c r="L7" s="171"/>
      <c r="M7" s="171"/>
    </row>
    <row r="8" spans="1:14" ht="16.5" customHeight="1">
      <c r="A8" s="163" t="s">
        <v>141</v>
      </c>
      <c r="B8" s="456" t="s">
        <v>1538</v>
      </c>
      <c r="C8" s="271" t="str">
        <f>ADDRESS(ROW(UNMM0080_B_KOBAN)+1,COLUMN(UNMM0080_B_KOBAN))</f>
        <v>$G$6</v>
      </c>
      <c r="D8" s="163"/>
      <c r="G8" s="171"/>
      <c r="H8" s="283"/>
      <c r="I8" s="171"/>
      <c r="J8" s="171"/>
      <c r="K8" s="171"/>
      <c r="L8" s="171"/>
      <c r="M8" s="171"/>
    </row>
    <row r="9" spans="1:14" ht="16.5" customHeight="1">
      <c r="A9" s="163" t="s">
        <v>139</v>
      </c>
      <c r="B9" s="456" t="s">
        <v>1539</v>
      </c>
      <c r="C9" s="271" t="str">
        <f>IF(UNMM0080_HYOJI_KENSU=0,"",UNMM0080_LIST_START&amp;":"&amp;
ADDRESS(ROW(UNMM0080_B_KOBAN)+UNMM0080_HYOJI_KENSU,COLUMN(UNMM0080_B_KOBAN)+COLUMNS(UNMM0080_IF_LIST_DEFAULT)-1))</f>
        <v>$G$6:$M$10</v>
      </c>
      <c r="D9" s="163"/>
      <c r="G9" s="171"/>
      <c r="H9" s="283"/>
      <c r="I9" s="171"/>
      <c r="J9" s="171"/>
      <c r="K9" s="171"/>
      <c r="L9" s="171"/>
      <c r="M9" s="171"/>
    </row>
    <row r="10" spans="1:14" ht="16.5" customHeight="1">
      <c r="A10" s="163" t="s">
        <v>1237</v>
      </c>
      <c r="B10" s="456" t="s">
        <v>1540</v>
      </c>
      <c r="C10" s="271" t="str">
        <f>IF(UNMM0080_HYOJI_KENSU=0,"",UNMM0080_LIST_START&amp;":"&amp;
ADDRESS(ROW(UNMM0080_B_KOBAN)+UNMM0080_HYOJI_KENSU,COLUMN(UNMM0080_B_KOBAN)))</f>
        <v>$G$6:$G$10</v>
      </c>
      <c r="D10" s="163"/>
      <c r="G10" s="171"/>
      <c r="H10" s="283"/>
      <c r="I10" s="171"/>
      <c r="J10" s="171"/>
      <c r="K10" s="171"/>
      <c r="L10" s="171"/>
      <c r="M10" s="171"/>
    </row>
    <row r="11" spans="1:14" ht="16.5" customHeight="1">
      <c r="A11" s="163" t="s">
        <v>140</v>
      </c>
      <c r="B11" s="456" t="s">
        <v>1541</v>
      </c>
      <c r="C11" s="271" t="str">
        <f>UNMM0080_LIST_START&amp;":"&amp;
ADDRESS(ROW(UNMM0080_B_KOBAN)+IF(UNMM0080_HYOJI_KENSU=0,1,UNMM0080_HYOJI_KENSU),COLUMN(UNMM0080_B_KOBAN)+COLUMNS(UNMM0080_IF_LIST_DEFAULT)-1)</f>
        <v>$G$6:$M$10</v>
      </c>
      <c r="D11" s="163"/>
      <c r="G11" s="171"/>
      <c r="H11" s="283"/>
      <c r="I11" s="171"/>
      <c r="J11" s="171"/>
      <c r="K11" s="171"/>
      <c r="L11" s="171"/>
      <c r="M11" s="171"/>
    </row>
    <row r="12" spans="1:14" ht="16.5" customHeight="1">
      <c r="A12" s="163"/>
      <c r="B12" s="456"/>
      <c r="C12" s="163"/>
      <c r="D12" s="163"/>
      <c r="G12" s="171"/>
      <c r="H12" s="283"/>
      <c r="I12" s="171"/>
      <c r="J12" s="171"/>
      <c r="K12" s="171"/>
      <c r="L12" s="171"/>
      <c r="M12" s="171"/>
    </row>
    <row r="13" spans="1:14" ht="16.5" customHeight="1">
      <c r="A13" s="163" t="s">
        <v>147</v>
      </c>
      <c r="B13" s="164" t="s">
        <v>1542</v>
      </c>
      <c r="C13" s="271"/>
      <c r="D13" s="163"/>
      <c r="G13" s="171"/>
      <c r="H13" s="283"/>
      <c r="I13" s="171"/>
      <c r="J13" s="171"/>
      <c r="K13" s="171"/>
      <c r="L13" s="171"/>
      <c r="M13" s="171"/>
    </row>
    <row r="14" spans="1:14" ht="16.5" customHeight="1">
      <c r="A14" s="163" t="s">
        <v>787</v>
      </c>
      <c r="B14" s="456" t="s">
        <v>1543</v>
      </c>
      <c r="C14" s="271" t="str">
        <f ca="1">IF(OR(UNMM0080_HYOJI_KENSU=0,UNMM0080_B_SELECT_GYO_NO&lt;ROW(INDIRECT(UNMM0080_LIST_START))),
ADDRESS(ROW(UNMM0080_B_KOBAN),COLUMN(UNMM0080_B_KOBAN))&amp;":"&amp;ADDRESS(ROW(UNMM0080_B_KOBAN),COLUMN(UNMM0080_B_KOBAN)+COLUMNS(UNMM0080_IF_LIST_DEFAULT)-1),
ADDRESS(UNMM0080_B_SELECT_GYO_NO,COLUMN(UNMM0080_B_KOBAN))&amp;":"&amp;ADDRESS(UNMM0080_B_SELECT_GYO_NO,COLUMN(UNMM0080_B_KOBAN)+COLUMNS(UNMM0080_IF_LIST_DEFAULT)-1))</f>
        <v>$G$5:$M$5</v>
      </c>
      <c r="D14" s="163"/>
      <c r="G14" s="171"/>
      <c r="H14" s="283"/>
      <c r="I14" s="171"/>
      <c r="J14" s="171"/>
      <c r="K14" s="171"/>
      <c r="L14" s="171"/>
      <c r="M14" s="171"/>
    </row>
    <row r="15" spans="1:14" ht="18.75">
      <c r="A15" s="163" t="s">
        <v>789</v>
      </c>
      <c r="B15" s="456" t="s">
        <v>1544</v>
      </c>
      <c r="C15" s="271" t="str">
        <f ca="1">IF(OR(UNMM0080_HYOJI_KENSU=0,UNMM0080_B_SELECT_GYO_NO&lt;ROW(INDIRECT(UNMM0080_LIST_START))),ADDRESS(ROW(UNMM0080_B_KOBAN)+1,COLUMN(UNMM0080_B_KOBAN))&amp;":"&amp;ADDRESS(ROW(UNMM0080_B_KOBAN)+1,COLUMN(UNMM0080_B_KOBAN)+COLUMNS(UNMM0080_IF_LIST_DEFAULT)-1),ADDRESS(UNMM0080_B_SELECT_GYO_NO+1,COLUMN(UNMM0080_B_KOBAN))&amp;":"&amp;ADDRESS(UNMM0080_B_SELECT_GYO_NO+1,COLUMN(UNMM0080_B_KOBAN)+COLUMNS(UNMM0080_IF_LIST_DEFAULT)-1))</f>
        <v>$G$6:$M$6</v>
      </c>
      <c r="G15" s="171"/>
      <c r="H15" s="283"/>
      <c r="I15" s="171"/>
      <c r="J15" s="171"/>
      <c r="K15" s="171"/>
      <c r="L15" s="171"/>
      <c r="M15" s="171"/>
    </row>
    <row r="16" spans="1:14" ht="18.75">
      <c r="A16" s="163"/>
      <c r="B16" s="456"/>
      <c r="C16" s="163"/>
      <c r="G16" s="171"/>
      <c r="H16" s="283"/>
      <c r="I16" s="171"/>
      <c r="J16" s="171"/>
      <c r="K16" s="171"/>
      <c r="L16" s="171"/>
      <c r="M16" s="171"/>
    </row>
    <row r="17" spans="1:13" ht="18.75">
      <c r="A17" s="163" t="s">
        <v>793</v>
      </c>
      <c r="B17" s="456" t="s">
        <v>1545</v>
      </c>
      <c r="C17" s="271">
        <f>UNMM0080_HYOJI_KENSU+1</f>
        <v>6</v>
      </c>
      <c r="G17" s="171"/>
      <c r="H17" s="283"/>
      <c r="I17" s="171"/>
      <c r="J17" s="171"/>
      <c r="K17" s="171"/>
      <c r="L17" s="171"/>
      <c r="M17" s="171"/>
    </row>
    <row r="18" spans="1:13" ht="18.75">
      <c r="A18" s="163" t="s">
        <v>795</v>
      </c>
      <c r="B18" s="456" t="s">
        <v>1546</v>
      </c>
      <c r="C18" s="271">
        <f>UNMM0080_HYOJI_KENSU-1</f>
        <v>4</v>
      </c>
      <c r="G18" s="171"/>
      <c r="H18" s="283"/>
      <c r="I18" s="171"/>
      <c r="J18" s="171"/>
      <c r="K18" s="171"/>
      <c r="L18" s="171"/>
      <c r="M18" s="171"/>
    </row>
    <row r="19" spans="1:13" ht="18.75">
      <c r="A19" s="163"/>
      <c r="B19" s="456"/>
      <c r="C19" s="163"/>
      <c r="G19" s="171"/>
      <c r="H19" s="283"/>
      <c r="I19" s="171"/>
      <c r="J19" s="171"/>
      <c r="K19" s="171"/>
      <c r="L19" s="171"/>
      <c r="M19" s="171"/>
    </row>
    <row r="20" spans="1:13" ht="18.75">
      <c r="A20" s="163" t="s">
        <v>797</v>
      </c>
      <c r="B20" s="456" t="s">
        <v>1547</v>
      </c>
      <c r="C20" s="271" t="str">
        <f>ADDRESS(ROW(UNMM0080_B_KOBAN)+1,COLUMN(UNMM0080_B_KOBAN)-2)</f>
        <v>$E$6</v>
      </c>
      <c r="G20" s="171"/>
      <c r="H20" s="283"/>
      <c r="I20" s="171"/>
      <c r="J20" s="171"/>
      <c r="K20" s="171"/>
      <c r="L20" s="171"/>
      <c r="M20" s="171"/>
    </row>
    <row r="21" spans="1:13" ht="18.75">
      <c r="A21" s="163" t="s">
        <v>799</v>
      </c>
      <c r="B21" s="456" t="s">
        <v>1548</v>
      </c>
      <c r="C21" s="271"/>
      <c r="G21" s="171"/>
      <c r="H21" s="283"/>
      <c r="I21" s="171"/>
      <c r="J21" s="171"/>
      <c r="K21" s="171"/>
      <c r="L21" s="171"/>
      <c r="M21" s="171"/>
    </row>
    <row r="22" spans="1:13" ht="18.75">
      <c r="A22" s="163" t="s">
        <v>801</v>
      </c>
      <c r="B22" s="456" t="s">
        <v>1549</v>
      </c>
      <c r="C22" s="271" t="str">
        <f>ADDRESS(ROW(A1),COLUMN(A1))&amp;":"&amp;ADDRESS(ROW(D1),COLUMN(D1))&amp;","&amp;ADDRESS(ROW(UNMM0080_BUNSEKI_CD),COLUMN(UNMM0080_BUNSEKI_CD))</f>
        <v>$A$1:$D$1,$N$5</v>
      </c>
      <c r="G22" s="171"/>
      <c r="H22" s="283"/>
      <c r="I22" s="171"/>
      <c r="J22" s="171"/>
      <c r="K22" s="171"/>
      <c r="L22" s="171"/>
      <c r="M22" s="171"/>
    </row>
    <row r="23" spans="1:13">
      <c r="G23" s="171"/>
      <c r="H23" s="283"/>
      <c r="I23" s="171"/>
      <c r="J23" s="171"/>
      <c r="K23" s="171"/>
      <c r="L23" s="171"/>
      <c r="M23" s="171"/>
    </row>
  </sheetData>
  <sheetProtection sheet="1" objects="1" scenarios="1" selectLockedCells="1"/>
  <mergeCells count="1">
    <mergeCell ref="H3:I3"/>
  </mergeCells>
  <phoneticPr fontId="2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B1:X53"/>
  <sheetViews>
    <sheetView zoomScale="85" zoomScaleNormal="85" workbookViewId="0">
      <selection activeCell="E5" sqref="E5"/>
    </sheetView>
  </sheetViews>
  <sheetFormatPr defaultRowHeight="13.5"/>
  <cols>
    <col min="1" max="2" width="9" style="130"/>
    <col min="3" max="3" width="18.625" style="130" customWidth="1"/>
    <col min="4" max="4" width="23.25" style="130" customWidth="1"/>
    <col min="5" max="5" width="11.75" style="130" customWidth="1"/>
    <col min="6" max="6" width="18.625" style="130" customWidth="1"/>
    <col min="7" max="7" width="23.25" style="130" customWidth="1"/>
    <col min="8" max="12" width="9" style="130"/>
    <col min="13" max="13" width="13.125" style="130" customWidth="1"/>
    <col min="14" max="14" width="10.625" style="130" customWidth="1"/>
    <col min="15" max="15" width="6.25" style="130" customWidth="1"/>
    <col min="16" max="16" width="26.5" style="130" customWidth="1"/>
    <col min="17" max="17" width="24.625" style="130" customWidth="1"/>
    <col min="18" max="18" width="10.875" style="130" customWidth="1"/>
    <col min="19" max="19" width="25.625" style="130" customWidth="1"/>
    <col min="20" max="20" width="11.75" style="130" customWidth="1"/>
    <col min="21" max="21" width="9" style="130" customWidth="1"/>
    <col min="22" max="22" width="6.125" style="130" customWidth="1"/>
    <col min="23" max="23" width="6.375" style="130" bestFit="1" customWidth="1"/>
    <col min="24" max="24" width="40.125" style="130" customWidth="1"/>
    <col min="25" max="25" width="10.5" style="130" bestFit="1" customWidth="1"/>
    <col min="26" max="16384" width="9" style="130"/>
  </cols>
  <sheetData>
    <row r="1" spans="2:24">
      <c r="B1" s="85" t="s">
        <v>171</v>
      </c>
      <c r="D1" s="129"/>
      <c r="E1" s="124"/>
    </row>
    <row r="2" spans="2:24" ht="19.5">
      <c r="C2" s="130" t="s">
        <v>172</v>
      </c>
      <c r="D2" s="129" t="s">
        <v>1550</v>
      </c>
      <c r="E2" s="131"/>
      <c r="F2" s="130" t="s">
        <v>1042</v>
      </c>
      <c r="G2" s="130" t="s">
        <v>175</v>
      </c>
      <c r="K2" s="85" t="s">
        <v>121</v>
      </c>
      <c r="P2" s="241"/>
      <c r="Q2" s="241"/>
      <c r="R2" s="219" t="s">
        <v>1530</v>
      </c>
      <c r="S2" s="242" t="s">
        <v>768</v>
      </c>
      <c r="T2" s="242" t="s">
        <v>1531</v>
      </c>
      <c r="U2" s="242" t="s">
        <v>1532</v>
      </c>
      <c r="V2" s="281" t="s">
        <v>1533</v>
      </c>
      <c r="W2" s="282" t="s">
        <v>1534</v>
      </c>
      <c r="X2" s="219" t="s">
        <v>1535</v>
      </c>
    </row>
    <row r="3" spans="2:24" ht="16.5">
      <c r="D3" s="129"/>
      <c r="E3" s="124"/>
      <c r="K3" s="85"/>
      <c r="P3" s="243" t="s">
        <v>153</v>
      </c>
      <c r="Q3" s="129" t="s">
        <v>1551</v>
      </c>
      <c r="R3" s="171"/>
      <c r="S3" s="283"/>
      <c r="T3" s="171"/>
      <c r="U3" s="171"/>
      <c r="V3" s="171"/>
      <c r="W3" s="171"/>
      <c r="X3" s="171"/>
    </row>
    <row r="4" spans="2:24" ht="16.5">
      <c r="B4" s="85" t="s">
        <v>103</v>
      </c>
      <c r="D4" s="129"/>
      <c r="E4" s="124"/>
      <c r="K4" s="85"/>
      <c r="P4" s="130" t="s">
        <v>804</v>
      </c>
      <c r="Q4" s="129" t="s">
        <v>1552</v>
      </c>
      <c r="R4" s="284" t="str">
        <f>"["&amp;CHAR(CODE("A")+ROW()-ROW(UNMM0080_B_KOBAN)-1)&amp;"]"</f>
        <v>[?]</v>
      </c>
      <c r="S4" s="285"/>
      <c r="T4" s="402"/>
      <c r="U4" s="402"/>
      <c r="V4" s="402"/>
      <c r="W4" s="402"/>
      <c r="X4" s="402"/>
    </row>
    <row r="5" spans="2:24" ht="16.5">
      <c r="C5" s="130" t="s">
        <v>39</v>
      </c>
      <c r="D5" s="129" t="s">
        <v>1553</v>
      </c>
      <c r="E5" s="131">
        <v>0</v>
      </c>
      <c r="F5" s="415" t="s">
        <v>1262</v>
      </c>
      <c r="G5" s="415" t="s">
        <v>56</v>
      </c>
      <c r="K5" s="85"/>
      <c r="P5" s="130" t="s">
        <v>806</v>
      </c>
      <c r="Q5" s="129" t="s">
        <v>1554</v>
      </c>
      <c r="R5" s="284" t="str">
        <f>"["&amp;CHAR(CODE("A")+ROW()-ROW(UNMM0080_B_KOBAN)-1)&amp;"]"</f>
        <v>[@]</v>
      </c>
      <c r="S5" s="286"/>
      <c r="T5" s="403"/>
      <c r="U5" s="403"/>
      <c r="V5" s="403"/>
      <c r="W5" s="403"/>
      <c r="X5" s="403"/>
    </row>
    <row r="6" spans="2:24">
      <c r="D6" s="129"/>
      <c r="F6" s="23"/>
      <c r="G6" s="23"/>
      <c r="P6" s="241"/>
      <c r="Q6" s="241"/>
      <c r="R6" s="129" t="s">
        <v>1555</v>
      </c>
      <c r="S6" s="241"/>
      <c r="T6" s="241"/>
      <c r="U6" s="241"/>
      <c r="V6" s="241"/>
    </row>
    <row r="7" spans="2:24">
      <c r="B7" s="85" t="s">
        <v>41</v>
      </c>
      <c r="D7" s="129"/>
      <c r="E7" s="124"/>
      <c r="F7" s="85" t="s">
        <v>49</v>
      </c>
      <c r="O7" s="241"/>
      <c r="P7" s="241"/>
      <c r="Q7" s="241"/>
      <c r="R7" s="241"/>
      <c r="S7" s="241"/>
      <c r="T7" s="241"/>
      <c r="U7" s="241"/>
      <c r="V7" s="241"/>
      <c r="W7" s="241"/>
    </row>
    <row r="8" spans="2:24">
      <c r="C8" s="130" t="s">
        <v>43</v>
      </c>
      <c r="D8" s="129" t="s">
        <v>1556</v>
      </c>
      <c r="E8" s="131" t="str">
        <f>IF(UNMM0080_IF_MODE=1,"修正キャンセル","修正")</f>
        <v>修正</v>
      </c>
      <c r="F8" s="130" t="s">
        <v>1557</v>
      </c>
      <c r="G8" s="130" t="s">
        <v>1558</v>
      </c>
      <c r="O8" s="241"/>
      <c r="P8" s="241"/>
      <c r="Q8" s="241"/>
      <c r="R8" s="241"/>
      <c r="S8" s="241"/>
      <c r="T8" s="241"/>
      <c r="U8" s="241"/>
      <c r="V8" s="241"/>
      <c r="W8" s="241"/>
    </row>
    <row r="9" spans="2:24">
      <c r="D9" s="129"/>
      <c r="E9" s="124"/>
      <c r="O9" s="241"/>
      <c r="P9" s="241"/>
      <c r="Q9" s="241"/>
      <c r="R9" s="241"/>
      <c r="S9" s="241"/>
      <c r="T9" s="241"/>
      <c r="U9" s="241"/>
      <c r="V9" s="241"/>
      <c r="W9" s="241"/>
    </row>
    <row r="10" spans="2:24">
      <c r="B10" s="85" t="s">
        <v>45</v>
      </c>
      <c r="D10" s="129"/>
      <c r="E10" s="124"/>
      <c r="F10" s="85" t="s">
        <v>49</v>
      </c>
      <c r="J10" s="130" t="s">
        <v>811</v>
      </c>
      <c r="K10" s="129" t="s">
        <v>1559</v>
      </c>
      <c r="L10" s="246" t="b">
        <f ca="1">IF(OR(S10="",T10="",U10="",V10=""),FALSE,TRUE)</f>
        <v>0</v>
      </c>
      <c r="M10" s="339">
        <f>UNMM0080_IF_SAVE_W_USER_ID</f>
        <v>0</v>
      </c>
      <c r="N10" s="246">
        <f ca="1">UNMM0080_IF_SAVE_W_SERIAL</f>
        <v>42991.659979282405</v>
      </c>
      <c r="O10" s="246">
        <f>1+ROW()-ROW(UNMM0080_IF_SAVE_COPY_START)</f>
        <v>-3</v>
      </c>
      <c r="P10" s="246">
        <f>UNMM0080_IF_SAVE_W_MODE</f>
        <v>2</v>
      </c>
      <c r="Q10" s="339">
        <f>UNMM0080_H_BUNSEKIKOMOKU_CD</f>
        <v>0</v>
      </c>
      <c r="R10" s="287" t="str">
        <f>CHAR(CODE("A")+ROW()-ROW(UNMM0080_IF_SAVE_INPUT_CHECK_COLUMN)-1)</f>
        <v>=</v>
      </c>
      <c r="S10" s="247" t="str">
        <f ca="1">IF(OFFSET(UNMM0080_B_MEISHO,1+ROW()-ROW(UNMM0080_IF_SAVE_COPY_START),0)="","",OFFSET(UNMM0080_B_MEISHO,1+ROW()-ROW(UNMM0080_IF_SAVE_COPY_START),0))</f>
        <v/>
      </c>
      <c r="T10" s="247" t="str">
        <f ca="1">IF(OFFSET(UNMM0080_B_NYURYOKU,1+ROW()-ROW(UNMM0080_IF_SAVE_COPY_START),0)="","",VLOOKUP(OFFSET(UNMM0080_B_NYURYOKU,1+ROW()-ROW(UNMM0080_IF_SAVE_COPY_START),0),OFFSET(LIST_NYURYOKU_TENKAIICHI,0,0,LIST_NYURYOKU_HOHO_KENSU,2),2,0))</f>
        <v/>
      </c>
      <c r="U10" s="247" t="str">
        <f ca="1">IF(OFFSET(UNMM0080_B_KATA,1+ROW()-ROW(UNMM0080_IF_SAVE_COPY_START),0)="","",VLOOKUP(OFFSET(UNMM0080_B_KATA,1+ROW()-ROW(UNMM0080_IF_SAVE_COPY_START),0),OFFSET(LIST_RETSU_KATA_TENKAIICHI,0,0,LIST_RETSU_KATA_KENSU,2),2,0))</f>
        <v/>
      </c>
      <c r="V10" s="247" t="str">
        <f ca="1">IF(OFFSET(UNMM0080_B_ALL_KETA,1+ROW()-ROW(UNMM0080_IF_SAVE_COPY_START),0)="","",OFFSET(UNMM0080_B_ALL_KETA,1+ROW()-ROW(UNMM0080_IF_SAVE_COPY_START),0))</f>
        <v/>
      </c>
      <c r="W10" s="247" t="str">
        <f ca="1">IF(OR(OFFSET(UNMM0080_B_SHOSU_KETA,1+ROW()-ROW(UNMM0080_IF_SAVE_COPY_START),0)="",OFFSET(UNMM0080_B_KATA,1+ROW()-ROW(UNMM0080_IF_SAVE_COPY_START),0)="文字"),"",OFFSET(UNMM0080_B_SHOSU_KETA,1+ROW()-ROW(UNMM0080_IF_SAVE_COPY_START),0))</f>
        <v/>
      </c>
      <c r="X10" s="247" t="str">
        <f ca="1">IF(OR(OFFSET(UNMM0080_B_SETTEICHI,1+ROW()-ROW(UNMM0080_IF_SAVE_COPY_START),0)="",OFFSET(UNMM0080_B_NYURYOKU,1+ROW()-ROW(UNMM0080_IF_SAVE_COPY_START),0)="手入力"),"",OFFSET(UNMM0080_B_SETTEICHI,1+ROW()-ROW(UNMM0080_IF_SAVE_COPY_START),0))</f>
        <v/>
      </c>
    </row>
    <row r="11" spans="2:24">
      <c r="B11" s="85"/>
      <c r="C11" s="130" t="s">
        <v>0</v>
      </c>
      <c r="D11" s="129" t="s">
        <v>1560</v>
      </c>
      <c r="E11" s="131">
        <f>IF(UNMM0080_IF_MODE=1,2,1)</f>
        <v>1</v>
      </c>
      <c r="F11" s="130" t="s">
        <v>64</v>
      </c>
      <c r="G11" s="130" t="s">
        <v>63</v>
      </c>
      <c r="P11" s="241"/>
      <c r="Q11" s="241"/>
      <c r="S11" s="241"/>
      <c r="T11" s="241"/>
      <c r="U11" s="241"/>
    </row>
    <row r="12" spans="2:24">
      <c r="B12" s="85"/>
      <c r="C12" s="130" t="s">
        <v>2</v>
      </c>
      <c r="D12" s="129" t="s">
        <v>1561</v>
      </c>
      <c r="E12" s="131">
        <f>IF(UNMM0080_IF_MODE=1,2,1)</f>
        <v>1</v>
      </c>
      <c r="F12" s="130" t="s">
        <v>64</v>
      </c>
      <c r="G12" s="130" t="s">
        <v>63</v>
      </c>
      <c r="L12" s="85" t="s">
        <v>76</v>
      </c>
      <c r="P12" s="241"/>
      <c r="Q12" s="241"/>
      <c r="S12" s="129"/>
      <c r="T12" s="241"/>
      <c r="U12" s="241"/>
    </row>
    <row r="13" spans="2:24" ht="19.5">
      <c r="B13" s="85"/>
      <c r="C13" s="130" t="s">
        <v>21</v>
      </c>
      <c r="D13" s="129" t="s">
        <v>1562</v>
      </c>
      <c r="E13" s="131">
        <f>IF(UNMM0080_IF_MODE=1,1,2)</f>
        <v>2</v>
      </c>
      <c r="F13" s="130" t="s">
        <v>63</v>
      </c>
      <c r="G13" s="130" t="s">
        <v>64</v>
      </c>
      <c r="J13" s="130" t="s">
        <v>814</v>
      </c>
      <c r="K13" s="129" t="s">
        <v>1563</v>
      </c>
      <c r="L13" s="248" t="s">
        <v>814</v>
      </c>
      <c r="M13" s="242" t="s">
        <v>1269</v>
      </c>
      <c r="N13" s="242" t="s">
        <v>1270</v>
      </c>
      <c r="O13" s="242" t="s">
        <v>817</v>
      </c>
      <c r="P13" s="242" t="s">
        <v>1092</v>
      </c>
      <c r="Q13" s="219" t="s">
        <v>661</v>
      </c>
      <c r="R13" s="242" t="s">
        <v>1530</v>
      </c>
      <c r="S13" s="242" t="s">
        <v>768</v>
      </c>
      <c r="T13" s="242" t="s">
        <v>1531</v>
      </c>
      <c r="U13" s="242" t="s">
        <v>1532</v>
      </c>
      <c r="V13" s="242" t="s">
        <v>1533</v>
      </c>
      <c r="W13" s="282" t="s">
        <v>1534</v>
      </c>
      <c r="X13" s="242" t="s">
        <v>1535</v>
      </c>
    </row>
    <row r="14" spans="2:24">
      <c r="C14" s="130" t="s">
        <v>1087</v>
      </c>
      <c r="D14" s="129" t="s">
        <v>1564</v>
      </c>
      <c r="E14" s="131">
        <f>IF(UNMM0080_IF_MODE=1,1,2)</f>
        <v>2</v>
      </c>
      <c r="F14" s="130" t="s">
        <v>63</v>
      </c>
      <c r="G14" s="130" t="s">
        <v>64</v>
      </c>
      <c r="J14" s="130" t="s">
        <v>822</v>
      </c>
      <c r="K14" s="129" t="s">
        <v>1565</v>
      </c>
      <c r="L14" s="246"/>
    </row>
    <row r="15" spans="2:24">
      <c r="C15" s="130" t="s">
        <v>906</v>
      </c>
      <c r="D15" s="129" t="s">
        <v>1566</v>
      </c>
      <c r="E15" s="131">
        <f>IF(UNMM0080_IF_MODE=1,1,2)</f>
        <v>2</v>
      </c>
      <c r="F15" s="130" t="s">
        <v>63</v>
      </c>
      <c r="G15" s="130" t="s">
        <v>64</v>
      </c>
    </row>
    <row r="16" spans="2:24">
      <c r="C16" s="130" t="s">
        <v>739</v>
      </c>
      <c r="D16" s="129" t="s">
        <v>1567</v>
      </c>
      <c r="E16" s="131">
        <f>IF(UNMM0080_IF_MODE=1,1,2)</f>
        <v>2</v>
      </c>
      <c r="F16" s="130" t="s">
        <v>63</v>
      </c>
      <c r="G16" s="130" t="s">
        <v>64</v>
      </c>
    </row>
    <row r="17" spans="2:9">
      <c r="C17" s="130" t="s">
        <v>909</v>
      </c>
      <c r="D17" s="129" t="s">
        <v>1568</v>
      </c>
      <c r="E17" s="131">
        <f>IF(UNMM0080_IF_MODE=1,1,2)</f>
        <v>2</v>
      </c>
      <c r="F17" s="130" t="s">
        <v>63</v>
      </c>
      <c r="G17" s="130" t="s">
        <v>64</v>
      </c>
    </row>
    <row r="18" spans="2:9">
      <c r="C18" s="130" t="s">
        <v>54</v>
      </c>
      <c r="D18" s="129" t="s">
        <v>1569</v>
      </c>
      <c r="E18" s="131">
        <f>IF(UNMM0080_IF_MODE=1,2,1)</f>
        <v>1</v>
      </c>
      <c r="F18" s="130" t="s">
        <v>64</v>
      </c>
      <c r="G18" s="130" t="s">
        <v>63</v>
      </c>
    </row>
    <row r="20" spans="2:9">
      <c r="B20" s="85" t="s">
        <v>1971</v>
      </c>
    </row>
    <row r="21" spans="2:9">
      <c r="C21" s="130" t="s">
        <v>909</v>
      </c>
      <c r="D21" s="129" t="s">
        <v>1974</v>
      </c>
      <c r="E21" s="131">
        <f>IF(OR(UNMM0080_B_SELECT_GYO_NO&lt;=ROW(UNMM0080_B_KOBAN),UNMM0080_B_SELECT_GYO_NO&gt;ROW(UNMM0080_B_KOBAN)+UNMM0080_HYOJI_KENSU),1,0)</f>
        <v>1</v>
      </c>
      <c r="F21" s="130" t="s">
        <v>1972</v>
      </c>
      <c r="G21" s="130" t="s">
        <v>1973</v>
      </c>
    </row>
    <row r="23" spans="2:9">
      <c r="B23" s="85" t="s">
        <v>42</v>
      </c>
      <c r="D23" s="129"/>
    </row>
    <row r="24" spans="2:9">
      <c r="B24" s="85"/>
      <c r="C24" s="130" t="s">
        <v>834</v>
      </c>
      <c r="D24" s="129"/>
    </row>
    <row r="25" spans="2:9">
      <c r="C25" s="130" t="s">
        <v>835</v>
      </c>
      <c r="D25" s="129" t="s">
        <v>1570</v>
      </c>
      <c r="E25" s="131"/>
    </row>
    <row r="26" spans="2:9">
      <c r="C26" s="130" t="s">
        <v>746</v>
      </c>
      <c r="D26" s="129" t="s">
        <v>1571</v>
      </c>
      <c r="E26" s="249">
        <f ca="1">NOW()</f>
        <v>42991.659979282405</v>
      </c>
      <c r="I26" s="21"/>
    </row>
    <row r="27" spans="2:9">
      <c r="C27" s="130" t="s">
        <v>702</v>
      </c>
      <c r="D27" s="129" t="s">
        <v>1572</v>
      </c>
      <c r="E27" s="131">
        <v>2</v>
      </c>
      <c r="I27" s="21"/>
    </row>
    <row r="28" spans="2:9">
      <c r="C28" s="130" t="s">
        <v>841</v>
      </c>
      <c r="D28" s="129" t="s">
        <v>1573</v>
      </c>
      <c r="E28" s="131" t="str">
        <f ca="1">ADDRESS(ROW(OFFSET(UNMM0080_IF_SAVE_COPY_START,0,1)),COLUMN(OFFSET(UNMM0080_IF_SAVE_COPY_START,0,1)))</f>
        <v>$M$14</v>
      </c>
      <c r="I28" s="21"/>
    </row>
    <row r="30" spans="2:9">
      <c r="C30" s="130" t="s">
        <v>843</v>
      </c>
    </row>
    <row r="31" spans="2:9">
      <c r="C31" s="130" t="s">
        <v>844</v>
      </c>
      <c r="D31" s="129" t="s">
        <v>1574</v>
      </c>
      <c r="E31" s="51" t="str">
        <f>"UNMM0080_IF!"&amp;ADDRESS(ROW(UNMM0080_IF_SAVE_COPY_START),COLUMN(UNMM0080_IF_SAVE_COPY_START))&amp;":"
&amp;ADDRESS(ROW(UNMM0080_IF_SAVE_COPY_START)+UNMM0080_HYOJI_KENSU-1,COLUMN(UNMM0080_IF_SAVE_COPY_START)+COLUMNS(UNMM0080_IF_SAVE_COPY_MOTO)-1)</f>
        <v>UNMM0080_IF!$L$14:$X$18</v>
      </c>
    </row>
    <row r="33" spans="2:6">
      <c r="C33" s="130" t="s">
        <v>46</v>
      </c>
    </row>
    <row r="34" spans="2:6">
      <c r="C34" s="130" t="s">
        <v>75</v>
      </c>
      <c r="D34" s="129" t="s">
        <v>1575</v>
      </c>
      <c r="E34" s="51">
        <f ca="1">IF(UNMM0080_HYOJI_KENSU=0,0,IF(COUNTIF(OFFSET(UNMM0080_IF_SAVE_INPUT_CHECK_COLUMN,1,0,UNMM0080_HYOJI_KENSU),FALSE)&gt;0,0,1))</f>
        <v>1</v>
      </c>
      <c r="F34" s="130" t="s">
        <v>847</v>
      </c>
    </row>
    <row r="36" spans="2:6">
      <c r="C36" s="130" t="s">
        <v>465</v>
      </c>
    </row>
    <row r="37" spans="2:6">
      <c r="C37" s="130" t="s">
        <v>466</v>
      </c>
      <c r="D37" s="129" t="s">
        <v>1576</v>
      </c>
      <c r="E37" s="51"/>
    </row>
    <row r="38" spans="2:6">
      <c r="C38" s="130" t="s">
        <v>467</v>
      </c>
      <c r="D38" s="129" t="s">
        <v>1577</v>
      </c>
      <c r="E38" s="51"/>
    </row>
    <row r="39" spans="2:6">
      <c r="C39" s="130" t="s">
        <v>468</v>
      </c>
      <c r="D39" s="129" t="s">
        <v>1578</v>
      </c>
      <c r="E39" s="51">
        <f>IF(UNMM0080_IF_SAVE_RESULT_CD=0,2,1)</f>
        <v>2</v>
      </c>
      <c r="F39" s="130" t="s">
        <v>1291</v>
      </c>
    </row>
    <row r="40" spans="2:6">
      <c r="C40" s="130" t="s">
        <v>469</v>
      </c>
      <c r="D40" s="129" t="s">
        <v>1579</v>
      </c>
      <c r="E40" s="51" t="str">
        <f>IF(UNMM0080_IF_SAVE_W_MODE=3,"削除に失敗しました。",
IF(ISERROR(VLOOKUP(UNMM0080_IF_SAVE_RESULT_CD,UNMM_COMMON_ERROR_MESSAGE_AREA,2,FALSE)),
"保存に失敗しました。入力内容を確認後、再度実行してください。",
VLOOKUP(UNMM0080_IF_SAVE_RESULT_CD,UNMM_COMMON_ERROR_MESSAGE_AREA,2,FALSE)))</f>
        <v>保存に失敗しました。入力内容を確認後、再度実行してください。</v>
      </c>
    </row>
    <row r="42" spans="2:6">
      <c r="B42" s="85" t="s">
        <v>928</v>
      </c>
    </row>
    <row r="43" spans="2:6">
      <c r="C43" s="130" t="s">
        <v>929</v>
      </c>
      <c r="D43" s="129" t="s">
        <v>1580</v>
      </c>
      <c r="E43" s="51" t="str">
        <f ca="1">"項目別サンプル値_"&amp;UNMM0080_H_BUNSEKIKOMOKU_CD&amp;"_"&amp;TEXT(NOW(),"YYYYMMDD")</f>
        <v>項目別サンプル値__20170913</v>
      </c>
    </row>
    <row r="45" spans="2:6" ht="16.5">
      <c r="C45" s="84"/>
      <c r="D45" s="164"/>
    </row>
    <row r="47" spans="2:6">
      <c r="B47" s="85" t="s">
        <v>1581</v>
      </c>
    </row>
    <row r="49" spans="3:7">
      <c r="C49" s="90" t="s">
        <v>385</v>
      </c>
      <c r="D49" s="90" t="s">
        <v>1531</v>
      </c>
      <c r="F49" s="90" t="s">
        <v>385</v>
      </c>
      <c r="G49" s="90" t="s">
        <v>1532</v>
      </c>
    </row>
    <row r="50" spans="3:7">
      <c r="C50" s="90" t="s">
        <v>629</v>
      </c>
      <c r="D50" s="90">
        <v>1</v>
      </c>
      <c r="F50" s="90" t="s">
        <v>629</v>
      </c>
      <c r="G50" s="90">
        <v>1</v>
      </c>
    </row>
    <row r="51" spans="3:7">
      <c r="C51" s="90" t="s">
        <v>1582</v>
      </c>
      <c r="D51" s="288" t="s">
        <v>1583</v>
      </c>
      <c r="F51" s="90" t="s">
        <v>1584</v>
      </c>
      <c r="G51" s="288" t="s">
        <v>1585</v>
      </c>
    </row>
    <row r="52" spans="3:7">
      <c r="C52" s="90" t="s">
        <v>387</v>
      </c>
      <c r="D52" s="90" t="s">
        <v>386</v>
      </c>
      <c r="F52" s="90" t="s">
        <v>387</v>
      </c>
      <c r="G52" s="90" t="s">
        <v>386</v>
      </c>
    </row>
    <row r="53" spans="3:7">
      <c r="C53" s="202" t="s">
        <v>1586</v>
      </c>
      <c r="D53" s="130">
        <v>1</v>
      </c>
      <c r="F53" s="202" t="s">
        <v>1587</v>
      </c>
      <c r="G53" s="130">
        <v>1</v>
      </c>
    </row>
  </sheetData>
  <dataConsolidate/>
  <phoneticPr fontId="2"/>
  <conditionalFormatting sqref="R5:X5">
    <cfRule type="expression" dxfId="20" priority="3">
      <formula>CELL("row")=ROW()</formula>
    </cfRule>
  </conditionalFormatting>
  <conditionalFormatting sqref="W5">
    <cfRule type="expression" dxfId="19" priority="2">
      <formula>U5="文字"</formula>
    </cfRule>
  </conditionalFormatting>
  <conditionalFormatting sqref="X5">
    <cfRule type="expression" dxfId="18" priority="1">
      <formula>T5="手入力"</formula>
    </cfRule>
  </conditionalFormatting>
  <dataValidations count="6">
    <dataValidation type="list" allowBlank="1" showInputMessage="1" showErrorMessage="1" sqref="T5">
      <formula1>LIST_NYURYOKU_HOHO</formula1>
    </dataValidation>
    <dataValidation type="custom" allowBlank="1" showInputMessage="1" showErrorMessage="1" sqref="X5">
      <formula1>IF(T5="手入力",LENB(X5)=0,IF(T5="固定値",LEN(X5)&lt;=V5,LENB(X5)&lt;=60))</formula1>
    </dataValidation>
    <dataValidation type="custom" allowBlank="1" showInputMessage="1" showErrorMessage="1" sqref="W5">
      <formula1>IF(U5="文字",LENB(W5)=0,AND(W5&gt;0,W5&lt;10))</formula1>
    </dataValidation>
    <dataValidation type="whole" allowBlank="1" showInputMessage="1" showErrorMessage="1" sqref="V5">
      <formula1>1</formula1>
      <formula2>99</formula2>
    </dataValidation>
    <dataValidation type="list" allowBlank="1" showInputMessage="1" showErrorMessage="1" sqref="U5">
      <formula1>LIST_RETSU_KATA</formula1>
    </dataValidation>
    <dataValidation type="custom" allowBlank="1" showInputMessage="1" showErrorMessage="1" sqref="S5">
      <formula1>LENB(S5)&lt;=30</formula1>
    </dataValidation>
  </dataValidations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B1:E9"/>
  <sheetViews>
    <sheetView topLeftCell="C1" workbookViewId="0">
      <selection activeCell="F29" sqref="F29"/>
    </sheetView>
  </sheetViews>
  <sheetFormatPr defaultRowHeight="13.5"/>
  <cols>
    <col min="1" max="1" width="9" style="130"/>
    <col min="2" max="2" width="24.25" style="130" bestFit="1" customWidth="1"/>
    <col min="3" max="3" width="19" style="130" customWidth="1"/>
    <col min="4" max="4" width="73.875" style="130" customWidth="1"/>
    <col min="5" max="5" width="10.625" style="130" customWidth="1"/>
    <col min="6" max="16384" width="9" style="130"/>
  </cols>
  <sheetData>
    <row r="1" spans="2:5">
      <c r="B1" s="208"/>
      <c r="C1" s="34" t="s">
        <v>661</v>
      </c>
      <c r="D1" s="29">
        <f>UNMM0080_H_BUNSEKIKOMOKU_CD</f>
        <v>0</v>
      </c>
    </row>
    <row r="2" spans="2:5">
      <c r="B2" s="208"/>
      <c r="C2" s="26"/>
      <c r="D2" s="29"/>
    </row>
    <row r="3" spans="2:5" ht="84.75" customHeight="1">
      <c r="B3" s="25" t="s">
        <v>1588</v>
      </c>
      <c r="C3" s="26" t="s">
        <v>1589</v>
      </c>
      <c r="D3" s="207" t="str">
        <f>D4&amp;D5&amp;D6</f>
        <v xml:space="preserve">SELECT *
  FROM V_KOMOKU_SAMPLE_LIST
 ORDER BY KOBAN
</v>
      </c>
    </row>
    <row r="4" spans="2:5" ht="40.5">
      <c r="B4" s="208"/>
      <c r="C4" s="208" t="s">
        <v>1295</v>
      </c>
      <c r="D4" s="29" t="s">
        <v>1590</v>
      </c>
    </row>
    <row r="5" spans="2:5">
      <c r="B5" s="208"/>
      <c r="C5" s="208" t="s">
        <v>154</v>
      </c>
      <c r="D5" s="29" t="str">
        <f>IF(D1=0,""," WHERE V_KOMOKU_SAMPLE_LIST.BUNSEKI_CD = '"&amp;D1&amp;"'
")</f>
        <v/>
      </c>
    </row>
    <row r="6" spans="2:5" ht="27">
      <c r="C6" s="26" t="s">
        <v>138</v>
      </c>
      <c r="D6" s="29" t="str">
        <f>" ORDER BY "&amp;E6&amp;"
"</f>
        <v xml:space="preserve"> ORDER BY KOBAN
</v>
      </c>
      <c r="E6" s="46" t="s">
        <v>1591</v>
      </c>
    </row>
    <row r="8" spans="2:5" ht="30" customHeight="1">
      <c r="B8" s="85" t="s">
        <v>1592</v>
      </c>
      <c r="C8" s="26" t="s">
        <v>1593</v>
      </c>
      <c r="D8" s="207" t="s">
        <v>1594</v>
      </c>
    </row>
    <row r="9" spans="2:5" ht="30" customHeight="1">
      <c r="C9" s="26" t="s">
        <v>1595</v>
      </c>
      <c r="D9" s="207" t="s">
        <v>1596</v>
      </c>
    </row>
  </sheetData>
  <phoneticPr fontId="2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>
    <tabColor rgb="FFFFFF00"/>
  </sheetPr>
  <dimension ref="A1:X15"/>
  <sheetViews>
    <sheetView showGridLines="0" showRowColHeaders="0" topLeftCell="G1" zoomScaleNormal="100" workbookViewId="0">
      <selection activeCell="K3" sqref="K3:N3"/>
    </sheetView>
  </sheetViews>
  <sheetFormatPr defaultRowHeight="16.5"/>
  <cols>
    <col min="1" max="1" width="9" style="84" hidden="1" customWidth="1"/>
    <col min="2" max="2" width="16.75" style="84" hidden="1" customWidth="1"/>
    <col min="3" max="3" width="31.125" style="84" hidden="1" customWidth="1"/>
    <col min="4" max="5" width="9" style="84" hidden="1" customWidth="1"/>
    <col min="6" max="6" width="11.5" style="84" hidden="1" customWidth="1"/>
    <col min="7" max="29" width="3.25" style="83" customWidth="1"/>
    <col min="30" max="53" width="3.375" style="83" customWidth="1"/>
    <col min="54" max="16384" width="9" style="83"/>
  </cols>
  <sheetData>
    <row r="1" spans="1:24" s="5" customFormat="1" ht="19.5">
      <c r="A1" s="41"/>
      <c r="B1" s="41"/>
      <c r="C1" s="41"/>
      <c r="D1" s="41"/>
      <c r="E1" s="41"/>
      <c r="F1" s="41"/>
      <c r="G1" s="5" t="s">
        <v>1179</v>
      </c>
    </row>
    <row r="3" spans="1:24">
      <c r="B3" s="163" t="s">
        <v>126</v>
      </c>
      <c r="C3" s="164" t="s">
        <v>1212</v>
      </c>
      <c r="D3" s="271" t="s">
        <v>117</v>
      </c>
      <c r="J3" s="7" t="s">
        <v>1180</v>
      </c>
      <c r="K3" s="686"/>
      <c r="L3" s="686"/>
      <c r="M3" s="686"/>
      <c r="N3" s="686"/>
      <c r="O3" s="260" t="s">
        <v>1181</v>
      </c>
      <c r="P3" s="686"/>
      <c r="Q3" s="686"/>
      <c r="R3" s="686"/>
      <c r="S3" s="686"/>
    </row>
    <row r="4" spans="1:24">
      <c r="B4" s="163"/>
      <c r="C4" s="164"/>
      <c r="D4" s="163"/>
    </row>
    <row r="5" spans="1:24">
      <c r="B5" s="163"/>
      <c r="C5" s="164"/>
      <c r="D5" s="163"/>
      <c r="J5" s="7" t="s">
        <v>1155</v>
      </c>
      <c r="K5" s="687"/>
      <c r="L5" s="687"/>
      <c r="M5" s="687"/>
      <c r="N5" s="687"/>
      <c r="O5" s="262" t="str">
        <f>IF(UNMM0091_H_FREEWD_KBN=1,"AND",IF(UNMM0091_H_FREEWD_KBN=2,"OR","NAND"))</f>
        <v>AND</v>
      </c>
      <c r="P5" s="687"/>
      <c r="Q5" s="687"/>
      <c r="R5" s="687"/>
      <c r="S5" s="687"/>
      <c r="T5" s="262" t="str">
        <f>IF(UNMM0091_H_FREEWD_KBN=1,"AND",IF(UNMM0091_H_FREEWD_KBN=2,"OR","NAND"))</f>
        <v>AND</v>
      </c>
      <c r="U5" s="687"/>
      <c r="V5" s="687"/>
      <c r="W5" s="687"/>
      <c r="X5" s="687"/>
    </row>
    <row r="6" spans="1:24">
      <c r="B6" s="163"/>
      <c r="C6" s="164"/>
      <c r="D6" s="163"/>
    </row>
    <row r="7" spans="1:24">
      <c r="B7" s="163"/>
      <c r="C7" s="164"/>
      <c r="D7" s="163"/>
    </row>
    <row r="8" spans="1:24">
      <c r="B8" s="163"/>
      <c r="C8" s="164"/>
      <c r="D8" s="163"/>
    </row>
    <row r="9" spans="1:24">
      <c r="B9" s="163"/>
      <c r="C9" s="164"/>
      <c r="D9" s="163"/>
    </row>
    <row r="10" spans="1:24">
      <c r="B10" s="163"/>
      <c r="C10" s="164"/>
      <c r="D10" s="163"/>
    </row>
    <row r="12" spans="1:24">
      <c r="B12" s="163" t="s">
        <v>119</v>
      </c>
      <c r="C12" s="164" t="s">
        <v>1211</v>
      </c>
      <c r="D12" s="165">
        <v>1</v>
      </c>
      <c r="E12" s="163" t="s">
        <v>1414</v>
      </c>
    </row>
    <row r="14" spans="1:24">
      <c r="B14" s="163" t="s">
        <v>494</v>
      </c>
      <c r="C14" s="164" t="s">
        <v>2063</v>
      </c>
      <c r="D14" s="271"/>
    </row>
    <row r="15" spans="1:24">
      <c r="B15" s="163" t="s">
        <v>495</v>
      </c>
      <c r="C15" s="164" t="s">
        <v>1213</v>
      </c>
      <c r="D15" s="165" t="str">
        <f>ADDRESS(ROW(A1),COLUMN(A1))&amp;":"&amp;ADDRESS(ROW(F1),COLUMN(F1))</f>
        <v>$A$1:$F$1</v>
      </c>
    </row>
  </sheetData>
  <sheetProtection sheet="1" objects="1" scenarios="1" selectLockedCells="1"/>
  <mergeCells count="5">
    <mergeCell ref="K3:N3"/>
    <mergeCell ref="P3:S3"/>
    <mergeCell ref="K5:N5"/>
    <mergeCell ref="P5:S5"/>
    <mergeCell ref="U5:X5"/>
  </mergeCells>
  <phoneticPr fontId="2"/>
  <dataValidations count="2">
    <dataValidation type="custom" allowBlank="1" showInputMessage="1" showErrorMessage="1" sqref="K3:N3 P3:S3">
      <formula1>AND(LEN(K3)=LENB(K3),LEN(K3)&lt;=10)</formula1>
    </dataValidation>
    <dataValidation type="custom" allowBlank="1" showInputMessage="1" showErrorMessage="1" sqref="K5:N5 P5:S5 U5:X5">
      <formula1>LENB(K5)&lt;=60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81" r:id="rId4" name="Option Button 1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3</xdr:row>
                    <xdr:rowOff>190500</xdr:rowOff>
                  </from>
                  <to>
                    <xdr:col>26</xdr:col>
                    <xdr:colOff>28575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82" r:id="rId5" name="Option Button 2">
              <controlPr locked="0" defaultSize="0" autoFill="0" autoLine="0" autoPict="0">
                <anchor moveWithCells="1">
                  <from>
                    <xdr:col>26</xdr:col>
                    <xdr:colOff>57150</xdr:colOff>
                    <xdr:row>3</xdr:row>
                    <xdr:rowOff>190500</xdr:rowOff>
                  </from>
                  <to>
                    <xdr:col>27</xdr:col>
                    <xdr:colOff>228600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84" r:id="rId6" name="Option Button 4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3</xdr:row>
                    <xdr:rowOff>190500</xdr:rowOff>
                  </from>
                  <to>
                    <xdr:col>30</xdr:col>
                    <xdr:colOff>114300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FFFF00"/>
  </sheetPr>
  <dimension ref="A1:I25"/>
  <sheetViews>
    <sheetView showGridLines="0" showRowColHeaders="0" topLeftCell="F1" workbookViewId="0">
      <selection sqref="A1:E1"/>
    </sheetView>
  </sheetViews>
  <sheetFormatPr defaultRowHeight="16.5"/>
  <cols>
    <col min="1" max="1" width="16.75" style="84" hidden="1" customWidth="1"/>
    <col min="2" max="2" width="33.625" style="84" hidden="1" customWidth="1"/>
    <col min="3" max="3" width="12.125" style="84" hidden="1" customWidth="1"/>
    <col min="4" max="5" width="9" style="84" hidden="1" customWidth="1"/>
    <col min="6" max="6" width="3.375" style="83" customWidth="1"/>
    <col min="7" max="7" width="5" style="83" bestFit="1" customWidth="1"/>
    <col min="8" max="8" width="13" style="83" customWidth="1"/>
    <col min="9" max="9" width="40" style="83" customWidth="1"/>
    <col min="10" max="10" width="4" style="83" customWidth="1"/>
    <col min="11" max="16384" width="9" style="83"/>
  </cols>
  <sheetData>
    <row r="1" spans="1:9">
      <c r="F1" s="83" t="str">
        <f>"("&amp;UNMM0091_B_PAGE_NO&amp;"/"&amp;UNMM0091_B_ALL_PEGE_SU&amp;")"</f>
        <v>(1/1)</v>
      </c>
      <c r="G1" s="13"/>
    </row>
    <row r="2" spans="1:9">
      <c r="A2" s="163" t="s">
        <v>122</v>
      </c>
      <c r="B2" s="163" t="s">
        <v>1184</v>
      </c>
      <c r="C2" s="271">
        <v>0</v>
      </c>
      <c r="D2" s="163"/>
      <c r="F2" s="55"/>
      <c r="G2" s="221" t="s">
        <v>15</v>
      </c>
      <c r="H2" s="221" t="s">
        <v>1182</v>
      </c>
      <c r="I2" s="221" t="s">
        <v>1183</v>
      </c>
    </row>
    <row r="3" spans="1:9">
      <c r="A3" s="163" t="s">
        <v>123</v>
      </c>
      <c r="B3" s="163" t="s">
        <v>1185</v>
      </c>
      <c r="C3" s="271">
        <v>1</v>
      </c>
      <c r="D3" s="163"/>
      <c r="H3" s="136"/>
    </row>
    <row r="4" spans="1:9">
      <c r="A4" s="163" t="s">
        <v>124</v>
      </c>
      <c r="B4" s="163" t="s">
        <v>1186</v>
      </c>
      <c r="C4" s="165">
        <f>IF(OR(UNMM0091_B_ALL_KENSU=0,UNMM0091_B_CTRL_HYOJI_GYO_SU=0),1,ROUNDUP(UNMM0091_B_ALL_KENSU/UNMM0091_B_CTRL_HYOJI_GYO_SU,0))</f>
        <v>1</v>
      </c>
      <c r="D4" s="163"/>
      <c r="H4" s="136"/>
    </row>
    <row r="5" spans="1:9">
      <c r="A5" s="163" t="s">
        <v>125</v>
      </c>
      <c r="B5" s="163" t="s">
        <v>1187</v>
      </c>
      <c r="C5" s="165">
        <v>3</v>
      </c>
      <c r="D5" s="163"/>
      <c r="H5" s="136"/>
    </row>
    <row r="6" spans="1:9">
      <c r="A6" s="163" t="s">
        <v>143</v>
      </c>
      <c r="B6" s="163" t="s">
        <v>1188</v>
      </c>
      <c r="C6" s="165">
        <v>50</v>
      </c>
      <c r="D6" s="163"/>
      <c r="H6" s="136"/>
    </row>
    <row r="7" spans="1:9">
      <c r="A7" s="163"/>
      <c r="B7" s="163"/>
      <c r="C7" s="163"/>
      <c r="D7" s="163"/>
      <c r="H7" s="136"/>
    </row>
    <row r="8" spans="1:9">
      <c r="A8" s="163"/>
      <c r="B8" s="163"/>
      <c r="C8" s="163"/>
      <c r="D8" s="163"/>
      <c r="H8" s="136"/>
    </row>
    <row r="9" spans="1:9">
      <c r="A9" s="163"/>
      <c r="B9" s="163"/>
      <c r="C9" s="163"/>
      <c r="D9" s="163"/>
      <c r="H9" s="136"/>
    </row>
    <row r="10" spans="1:9">
      <c r="A10" s="163" t="s">
        <v>141</v>
      </c>
      <c r="B10" s="163" t="s">
        <v>1189</v>
      </c>
      <c r="C10" s="165" t="str">
        <f>ADDRESS(ROW(UNMM0091_B_SENTAKU)+1,COLUMN(UNMM0091_B_SENTAKU))</f>
        <v>$G$3</v>
      </c>
      <c r="D10" s="163"/>
      <c r="H10" s="136"/>
    </row>
    <row r="11" spans="1:9">
      <c r="A11" s="163" t="s">
        <v>145</v>
      </c>
      <c r="B11" s="163" t="s">
        <v>1190</v>
      </c>
      <c r="C11" s="165" t="str">
        <f>ADDRESS(ROW(UNMM0091_B_SENTAKU)+1+UNMM0091_B_HYOJI_KENSU-1,COLUMN(UNMM0091_B_SENTAKU)+COLUMNS(UNMM0021_IF_B_LIST_COPY_MOTO)-1)</f>
        <v>$AC$5</v>
      </c>
      <c r="D11" s="163"/>
      <c r="H11" s="136"/>
    </row>
    <row r="12" spans="1:9">
      <c r="A12" s="163" t="s">
        <v>139</v>
      </c>
      <c r="B12" s="163" t="s">
        <v>1191</v>
      </c>
      <c r="C12" s="165" t="str">
        <f>IF(UNMM0091_B_HYOJI_KENSU=0,"",UNMM0091_B_LIST_START&amp;":"&amp;
ADDRESS(ROW(UNMM0091_B_SENTAKU)+1+UNMM0091_B_HYOJI_KENSU-1,COLUMN(UNMM0091_B_SENTAKU)+COLUMNS(UNMM0091_IF_B_LIST_COPY_MOTO)-1))</f>
        <v>$G$3:$I$5</v>
      </c>
      <c r="D12" s="163"/>
      <c r="H12" s="136"/>
    </row>
    <row r="13" spans="1:9">
      <c r="A13" s="163" t="s">
        <v>140</v>
      </c>
      <c r="B13" s="163" t="s">
        <v>1192</v>
      </c>
      <c r="C13" s="165" t="str">
        <f>ADDRESS(ROW(UNMM0091_B_SENTAKU)+1,COLUMN(UNMM0091_B_SENTAKU))&amp;":"&amp;
ADDRESS(ROW(UNMM0091_B_SENTAKU)+1+UNMM0091_B_CTRL_HYOJI_GYO_SU,COLUMN(UNMM0091_B_SENTAKU)+COLUMNS(UNMM0091_IF_B_LIST_COPY_MOTO)-1)</f>
        <v>$G$3:$I$53</v>
      </c>
      <c r="D13" s="163"/>
      <c r="H13" s="136"/>
    </row>
    <row r="14" spans="1:9">
      <c r="A14" s="163"/>
      <c r="B14" s="163"/>
      <c r="C14" s="163"/>
      <c r="D14" s="163"/>
      <c r="H14" s="136"/>
    </row>
    <row r="15" spans="1:9">
      <c r="A15" s="163" t="s">
        <v>147</v>
      </c>
      <c r="B15" s="163" t="s">
        <v>1193</v>
      </c>
      <c r="C15" s="165">
        <v>3</v>
      </c>
      <c r="D15" s="163"/>
      <c r="H15" s="136"/>
    </row>
    <row r="16" spans="1:9">
      <c r="A16" s="163" t="s">
        <v>1322</v>
      </c>
      <c r="B16" s="163" t="s">
        <v>1321</v>
      </c>
      <c r="C16" s="165">
        <f ca="1">IF(UNMM0091_B_SELECT_GYO_NO=0,0,INDIRECT(ADDRESS(UNMM0091_B_SELECT_GYO_NO,COLUMN(UNMM0091_B_YOSAN_CD))))</f>
        <v>0</v>
      </c>
      <c r="D16" s="163"/>
      <c r="H16" s="136"/>
    </row>
    <row r="17" spans="1:8">
      <c r="A17" s="163"/>
      <c r="B17" s="163"/>
      <c r="C17" s="163"/>
      <c r="D17" s="163"/>
      <c r="H17" s="136"/>
    </row>
    <row r="18" spans="1:8">
      <c r="A18" s="163" t="s">
        <v>586</v>
      </c>
      <c r="B18" s="163" t="s">
        <v>1194</v>
      </c>
      <c r="C18" s="165">
        <f>IF(1&lt;UNMM0091_B_PAGE_NO,1,2)</f>
        <v>2</v>
      </c>
      <c r="D18" s="163" t="s">
        <v>587</v>
      </c>
      <c r="H18" s="136"/>
    </row>
    <row r="19" spans="1:8">
      <c r="A19" s="163" t="s">
        <v>588</v>
      </c>
      <c r="B19" s="163" t="s">
        <v>1195</v>
      </c>
      <c r="C19" s="165">
        <f>IF(UNMM0091_B_PAGE_NO&lt;UNMM0091_B_ALL_PEGE_SU,1,2)</f>
        <v>2</v>
      </c>
      <c r="D19" s="163"/>
      <c r="H19" s="136"/>
    </row>
    <row r="20" spans="1:8">
      <c r="A20" s="163" t="s">
        <v>393</v>
      </c>
      <c r="B20" s="163" t="s">
        <v>1196</v>
      </c>
      <c r="C20" s="165">
        <f>UNMM0091_B_PAGE_NO-1</f>
        <v>0</v>
      </c>
      <c r="D20" s="163" t="s">
        <v>590</v>
      </c>
      <c r="H20" s="136"/>
    </row>
    <row r="21" spans="1:8">
      <c r="A21" s="163" t="s">
        <v>392</v>
      </c>
      <c r="B21" s="163" t="s">
        <v>1197</v>
      </c>
      <c r="C21" s="165">
        <f>UNMM0091_B_PAGE_NO+1</f>
        <v>2</v>
      </c>
      <c r="D21" s="163" t="s">
        <v>591</v>
      </c>
      <c r="H21" s="136"/>
    </row>
    <row r="22" spans="1:8">
      <c r="A22" s="163" t="s">
        <v>494</v>
      </c>
      <c r="B22" s="164" t="s">
        <v>1198</v>
      </c>
      <c r="C22" s="165"/>
      <c r="D22" s="163"/>
      <c r="H22" s="136"/>
    </row>
    <row r="23" spans="1:8">
      <c r="A23" s="163" t="s">
        <v>495</v>
      </c>
      <c r="B23" s="164" t="s">
        <v>1199</v>
      </c>
      <c r="C23" s="165" t="str">
        <f>ADDRESS(ROW(A1),COLUMN(A1))&amp;":"&amp;ADDRESS(ROW(E1),COLUMN(E1))</f>
        <v>$A$1:$E$1</v>
      </c>
      <c r="H23" s="136"/>
    </row>
    <row r="24" spans="1:8">
      <c r="A24" s="163" t="s">
        <v>496</v>
      </c>
      <c r="B24" s="164" t="s">
        <v>1200</v>
      </c>
      <c r="C24" s="165" t="str">
        <f>ADDRESS(ROW(UNMM0091_B_SENTAKU)+1,COLUMN(UNMM0091_B_SENTAKU)+1)</f>
        <v>$H$3</v>
      </c>
      <c r="H24" s="136"/>
    </row>
    <row r="25" spans="1:8">
      <c r="H25" s="136"/>
    </row>
  </sheetData>
  <sheetProtection sheet="1" objects="1" scenarios="1" selectLockedCells="1"/>
  <phoneticPr fontId="2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B3:P23"/>
  <sheetViews>
    <sheetView workbookViewId="0">
      <selection activeCell="F29" sqref="F29"/>
    </sheetView>
  </sheetViews>
  <sheetFormatPr defaultRowHeight="13.5"/>
  <cols>
    <col min="4" max="4" width="34.5" bestFit="1" customWidth="1"/>
    <col min="14" max="14" width="5" bestFit="1" customWidth="1"/>
    <col min="15" max="15" width="13" customWidth="1"/>
    <col min="16" max="16" width="40" customWidth="1"/>
  </cols>
  <sheetData>
    <row r="3" spans="2:16">
      <c r="B3" s="85" t="s">
        <v>121</v>
      </c>
      <c r="C3" s="130"/>
      <c r="D3" s="130"/>
      <c r="E3" s="130"/>
      <c r="F3" s="130"/>
      <c r="J3" t="s">
        <v>1839</v>
      </c>
      <c r="K3" s="51"/>
    </row>
    <row r="4" spans="2:16">
      <c r="B4" s="130"/>
      <c r="C4" s="130"/>
      <c r="D4" s="130"/>
      <c r="E4" s="130"/>
      <c r="F4" s="104"/>
    </row>
    <row r="5" spans="2:16" ht="16.5">
      <c r="B5" s="130"/>
      <c r="C5" s="130"/>
      <c r="D5" s="130"/>
      <c r="E5" s="221" t="s">
        <v>15</v>
      </c>
      <c r="F5" s="221" t="s">
        <v>1182</v>
      </c>
      <c r="G5" s="221" t="s">
        <v>1183</v>
      </c>
      <c r="J5" s="163" t="s">
        <v>1209</v>
      </c>
      <c r="K5" s="165" t="str">
        <f>ADDRESS(ROW(UNMM0091_IF_SENTAKU)+1,COLUMN(UNMM0091_IF_SENTAKU))</f>
        <v>$N$6</v>
      </c>
      <c r="N5" s="219" t="s">
        <v>15</v>
      </c>
      <c r="O5" s="219" t="s">
        <v>1182</v>
      </c>
      <c r="P5" s="219" t="s">
        <v>1183</v>
      </c>
    </row>
    <row r="6" spans="2:16" ht="16.5">
      <c r="B6" s="130"/>
      <c r="C6" s="130" t="s">
        <v>153</v>
      </c>
      <c r="D6" s="130" t="s">
        <v>1201</v>
      </c>
      <c r="E6" s="83"/>
      <c r="F6" s="136"/>
      <c r="G6" s="83"/>
      <c r="J6" s="163"/>
      <c r="K6" s="163"/>
    </row>
    <row r="7" spans="2:16" ht="16.5">
      <c r="B7" s="130"/>
      <c r="C7" s="130" t="s">
        <v>152</v>
      </c>
      <c r="D7" s="102" t="s">
        <v>1202</v>
      </c>
      <c r="E7" s="264" t="s">
        <v>269</v>
      </c>
      <c r="F7" s="224"/>
      <c r="G7" s="225"/>
      <c r="J7" s="163" t="s">
        <v>1210</v>
      </c>
      <c r="K7" s="165" t="str">
        <f>IF(UNMM0091_IF_PRINT_COUNT=0,"",UNMM0091_IF_LIST_START&amp;":"&amp;
ADDRESS(ROW(UNMM0091_IF_SENTAKU)+1+UNMM0091_IF_PRINT_COUNT-1,COLUMN(UNMM0091_IF_SENTAKU)+COLUMNS(UNMM0091_IF_B_LIST_COPY_MOTO)-1))</f>
        <v/>
      </c>
    </row>
    <row r="8" spans="2:16">
      <c r="B8" s="130"/>
      <c r="C8" s="130"/>
      <c r="D8" s="130"/>
      <c r="E8" s="104"/>
      <c r="F8" s="130"/>
      <c r="G8" s="104"/>
    </row>
    <row r="9" spans="2:16">
      <c r="B9" s="130"/>
      <c r="C9" s="130"/>
      <c r="D9" s="130"/>
      <c r="E9" s="130"/>
      <c r="F9" s="130"/>
    </row>
    <row r="10" spans="2:16">
      <c r="B10" s="85" t="s">
        <v>171</v>
      </c>
      <c r="C10" s="130"/>
      <c r="D10" s="129"/>
      <c r="E10" s="124"/>
      <c r="F10" s="130"/>
    </row>
    <row r="11" spans="2:16">
      <c r="B11" s="130"/>
      <c r="C11" s="130" t="s">
        <v>172</v>
      </c>
      <c r="D11" s="129" t="s">
        <v>1203</v>
      </c>
      <c r="E11" s="131"/>
      <c r="F11" s="130" t="s">
        <v>174</v>
      </c>
    </row>
    <row r="12" spans="2:16">
      <c r="B12" s="130"/>
      <c r="C12" s="130" t="s">
        <v>613</v>
      </c>
      <c r="D12" s="130" t="s">
        <v>1204</v>
      </c>
      <c r="E12" s="51">
        <f>IF(UNMM0091_B_ALL_KENSU=0,2,1)</f>
        <v>2</v>
      </c>
      <c r="F12" s="130" t="s">
        <v>614</v>
      </c>
    </row>
    <row r="13" spans="2:16">
      <c r="B13" s="130"/>
      <c r="C13" s="130"/>
      <c r="D13" s="130"/>
      <c r="E13" s="130"/>
      <c r="F13" s="130"/>
    </row>
    <row r="14" spans="2:16">
      <c r="B14" s="85" t="s">
        <v>104</v>
      </c>
      <c r="C14" s="129"/>
      <c r="D14" s="124"/>
      <c r="E14" s="130"/>
      <c r="F14" s="130"/>
    </row>
    <row r="15" spans="2:16">
      <c r="B15" s="130"/>
      <c r="C15" s="130" t="s">
        <v>105</v>
      </c>
      <c r="D15" s="129" t="s">
        <v>1205</v>
      </c>
      <c r="E15" s="131"/>
      <c r="F15" s="130"/>
    </row>
    <row r="16" spans="2:16">
      <c r="B16" s="130"/>
      <c r="C16" s="130" t="s">
        <v>107</v>
      </c>
      <c r="D16" s="129" t="s">
        <v>1206</v>
      </c>
      <c r="E16" s="131"/>
      <c r="F16" s="130"/>
    </row>
    <row r="17" spans="2:6">
      <c r="B17" s="130"/>
      <c r="C17" s="130" t="s">
        <v>108</v>
      </c>
      <c r="D17" s="129" t="s">
        <v>1207</v>
      </c>
      <c r="E17" s="131"/>
      <c r="F17" s="130"/>
    </row>
    <row r="18" spans="2:6">
      <c r="B18" s="130"/>
      <c r="C18" s="130"/>
      <c r="D18" s="129"/>
      <c r="E18" s="130"/>
      <c r="F18" s="130"/>
    </row>
    <row r="19" spans="2:6">
      <c r="B19" s="130"/>
      <c r="C19" s="130" t="s">
        <v>106</v>
      </c>
      <c r="D19" s="129" t="s">
        <v>1208</v>
      </c>
      <c r="E19" s="131"/>
      <c r="F19" s="130"/>
    </row>
    <row r="20" spans="2:6">
      <c r="B20" s="130"/>
      <c r="C20" s="130"/>
      <c r="D20" s="130"/>
      <c r="E20" s="130"/>
      <c r="F20" s="130"/>
    </row>
    <row r="21" spans="2:6">
      <c r="B21" s="85"/>
      <c r="C21" s="130"/>
      <c r="D21" s="129"/>
      <c r="E21" s="124"/>
      <c r="F21" s="130"/>
    </row>
    <row r="22" spans="2:6">
      <c r="B22" s="130"/>
      <c r="C22" s="130" t="s">
        <v>929</v>
      </c>
      <c r="D22" s="129" t="s">
        <v>1336</v>
      </c>
      <c r="E22" s="51" t="str">
        <f ca="1">"予算コード検索画面_"&amp;UNMM0091_H_YOSAN_CD_START&amp;"-"&amp;UNMM0091_H_YOSAN_CD_END&amp;"_"&amp;TEXT(NOW(),"YYYYMMDD")</f>
        <v>予算コード検索画面_-_20170913</v>
      </c>
      <c r="F22" s="130"/>
    </row>
    <row r="23" spans="2:6">
      <c r="B23" s="130"/>
      <c r="C23" s="130"/>
      <c r="D23" s="130"/>
      <c r="E23" s="130"/>
      <c r="F23" s="130"/>
    </row>
  </sheetData>
  <phoneticPr fontId="2"/>
  <conditionalFormatting sqref="F7">
    <cfRule type="expression" dxfId="17" priority="2">
      <formula>CELL("row")=ROW()</formula>
    </cfRule>
  </conditionalFormatting>
  <conditionalFormatting sqref="E7:G7">
    <cfRule type="expression" dxfId="16" priority="1">
      <formula>CELL("row")=ROW()</formula>
    </cfRule>
  </conditionalFormatting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I26"/>
  <sheetViews>
    <sheetView workbookViewId="0"/>
  </sheetViews>
  <sheetFormatPr defaultRowHeight="13.5"/>
  <cols>
    <col min="1" max="1" width="14.25" bestFit="1" customWidth="1"/>
    <col min="2" max="2" width="39.375" bestFit="1" customWidth="1"/>
    <col min="3" max="3" width="54.5" customWidth="1"/>
    <col min="4" max="4" width="22.125" customWidth="1"/>
  </cols>
  <sheetData>
    <row r="1" spans="1:9" s="130" customFormat="1">
      <c r="C1" s="130" t="s">
        <v>1369</v>
      </c>
      <c r="D1" s="130" t="s">
        <v>1368</v>
      </c>
    </row>
    <row r="2" spans="1:9" s="130" customFormat="1">
      <c r="A2" s="208" t="s">
        <v>1359</v>
      </c>
      <c r="B2" s="208" t="s">
        <v>1362</v>
      </c>
      <c r="C2" s="279" t="s">
        <v>1526</v>
      </c>
      <c r="D2" s="208" t="str">
        <f>IF(UNMM0091_H_YOSAN_CD_START="","",UNMM0091_H_YOSAN_CD_START)</f>
        <v/>
      </c>
      <c r="E2" s="208"/>
      <c r="F2" s="208"/>
      <c r="G2" s="208"/>
      <c r="H2" s="208"/>
    </row>
    <row r="3" spans="1:9" s="130" customFormat="1">
      <c r="A3" s="208" t="s">
        <v>1360</v>
      </c>
      <c r="B3" s="208" t="s">
        <v>1363</v>
      </c>
      <c r="C3" s="279" t="s">
        <v>1526</v>
      </c>
      <c r="D3" s="208" t="str">
        <f>IF(UNMM0091_H_YOSAN_CD_END="","",UNMM0091_H_YOSAN_CD_END)</f>
        <v/>
      </c>
      <c r="E3" s="208"/>
      <c r="F3" s="208"/>
      <c r="G3" s="208"/>
      <c r="H3" s="208"/>
    </row>
    <row r="4" spans="1:9" s="130" customFormat="1">
      <c r="A4" s="208" t="s">
        <v>1361</v>
      </c>
      <c r="B4" s="208" t="s">
        <v>1364</v>
      </c>
      <c r="C4" s="279" t="s">
        <v>1526</v>
      </c>
      <c r="D4" s="208" t="str">
        <f>IF(UNMM0091_H_FREEWD_1="","",UNMM0091_H_FREEWD_1)</f>
        <v/>
      </c>
      <c r="E4" s="208"/>
      <c r="F4" s="208"/>
      <c r="G4" s="208"/>
      <c r="H4" s="208"/>
    </row>
    <row r="5" spans="1:9" s="130" customFormat="1">
      <c r="A5" s="208"/>
      <c r="B5" s="208" t="s">
        <v>1365</v>
      </c>
      <c r="C5" s="279" t="s">
        <v>1526</v>
      </c>
      <c r="D5" s="208" t="str">
        <f>IF(UNMM0091_H_FREEWD_2="","",UNMM0091_H_FREEWD_2)</f>
        <v/>
      </c>
      <c r="E5" s="208"/>
      <c r="F5" s="208"/>
      <c r="G5" s="208"/>
      <c r="H5" s="208"/>
    </row>
    <row r="6" spans="1:9" s="130" customFormat="1">
      <c r="A6" s="208"/>
      <c r="B6" s="208" t="s">
        <v>1366</v>
      </c>
      <c r="C6" s="279" t="s">
        <v>1526</v>
      </c>
      <c r="D6" s="208" t="str">
        <f>IF(UNMM0091_H_FREEWD_3="","",UNMM0091_H_FREEWD_3)</f>
        <v/>
      </c>
      <c r="E6" s="208"/>
      <c r="F6" s="208"/>
      <c r="G6" s="208"/>
      <c r="H6" s="208"/>
    </row>
    <row r="7" spans="1:9">
      <c r="A7" s="208"/>
      <c r="B7" s="208" t="s">
        <v>1367</v>
      </c>
      <c r="C7" s="208">
        <v>1</v>
      </c>
      <c r="D7" s="208">
        <f>UNMM0091_H_FREEWD_KBN</f>
        <v>1</v>
      </c>
      <c r="E7" s="208"/>
      <c r="F7" s="208"/>
      <c r="G7" s="208"/>
      <c r="H7" s="208"/>
      <c r="I7" s="208"/>
    </row>
    <row r="8" spans="1:9">
      <c r="A8" s="208"/>
      <c r="B8" s="208"/>
      <c r="C8" s="208"/>
      <c r="D8" s="208"/>
      <c r="E8" s="208"/>
      <c r="F8" s="208"/>
      <c r="G8" s="208"/>
      <c r="H8" s="208"/>
      <c r="I8" s="208"/>
    </row>
    <row r="9" spans="1:9">
      <c r="A9" s="208"/>
      <c r="B9" s="208"/>
      <c r="C9" s="29"/>
      <c r="D9" s="208"/>
      <c r="E9" s="208"/>
      <c r="F9" s="208"/>
      <c r="G9" s="208"/>
      <c r="H9" s="208"/>
      <c r="I9" s="208"/>
    </row>
    <row r="10" spans="1:9" ht="243">
      <c r="A10" s="208"/>
      <c r="B10" s="26" t="s">
        <v>1320</v>
      </c>
      <c r="C10" s="207" t="str">
        <f>C13&amp;C14&amp;C15&amp;C16&amp;UNMM0091_SQL_ORDER_BY&amp;C21</f>
        <v>SELECT *
  FROM V_YOSAN_LIST
 WHERE 1=1
 AND V_YOSAN_LIST.YOSAN_CD &gt;= '----------------------------'
 AND V_YOSAN_LIST.YOSAN_CD &lt;= '----------------------------'
 AND(
        1=1
 AND V_YOSAN_LIST.YOSAN_MEI LIKE '%----------------------------%'  
 AND V_YOSAN_LIST.YOSAN_MEI LIKE '%----------------------------%'  
 AND V_YOSAN_LIST.YOSAN_MEI LIKE '%----------------------------%'  
) ORDER BY YOSAN_CD
OFFSET 0*50 ROWS
 FETCH NEXT 50 ROWS ONLY</v>
      </c>
      <c r="D10" s="268"/>
      <c r="E10" s="208"/>
      <c r="F10" s="208"/>
      <c r="G10" s="208"/>
      <c r="H10" s="208"/>
      <c r="I10" s="208"/>
    </row>
    <row r="11" spans="1:9" ht="216">
      <c r="A11" s="208"/>
      <c r="B11" s="26" t="s">
        <v>1296</v>
      </c>
      <c r="C11" s="207" t="str">
        <f>C12&amp;C14&amp;C15&amp;C16</f>
        <v>SELECT COUNT(*) AS CNT
  FROM V_YOSAN_LIST 
 WHERE 1=1
 AND V_YOSAN_LIST.YOSAN_CD &gt;= '----------------------------'
 AND V_YOSAN_LIST.YOSAN_CD &lt;= '----------------------------'
 AND(
        1=1
 AND V_YOSAN_LIST.YOSAN_MEI LIKE '%----------------------------%'  
 AND V_YOSAN_LIST.YOSAN_MEI LIKE '%----------------------------%'  
 AND V_YOSAN_LIST.YOSAN_MEI LIKE '%----------------------------%'  
)</v>
      </c>
      <c r="D11" s="268"/>
      <c r="E11" s="208"/>
      <c r="F11" s="208"/>
      <c r="G11" s="208"/>
      <c r="H11" s="208"/>
      <c r="I11" s="208"/>
    </row>
    <row r="12" spans="1:9" ht="54">
      <c r="A12" s="208"/>
      <c r="B12" s="26" t="s">
        <v>1123</v>
      </c>
      <c r="C12" s="29" t="s">
        <v>1297</v>
      </c>
      <c r="D12" s="268"/>
      <c r="E12" s="208"/>
      <c r="F12" s="208"/>
      <c r="G12" s="208"/>
      <c r="H12" s="208"/>
      <c r="I12" s="208"/>
    </row>
    <row r="13" spans="1:9" ht="54">
      <c r="A13" s="208"/>
      <c r="B13" s="208" t="s">
        <v>978</v>
      </c>
      <c r="C13" s="29" t="s">
        <v>1298</v>
      </c>
      <c r="D13" s="268"/>
      <c r="E13" s="208"/>
      <c r="F13" s="208"/>
      <c r="G13" s="208"/>
      <c r="H13" s="208"/>
      <c r="I13" s="208"/>
    </row>
    <row r="14" spans="1:9" ht="40.5">
      <c r="A14" s="208"/>
      <c r="B14" s="208" t="s">
        <v>1315</v>
      </c>
      <c r="C14" s="29" t="str">
        <f>IF(UNMM0091_SQL_YOSAN_CD_START="",""," AND V_YOSAN_LIST.YOSAN_CD &gt;= '"&amp;UNMM0091_SQL_YOSAN_CD_START&amp; "'
")</f>
        <v xml:space="preserve"> AND V_YOSAN_LIST.YOSAN_CD &gt;= '----------------------------'
</v>
      </c>
      <c r="D14" s="268"/>
      <c r="E14" s="208"/>
      <c r="F14" s="208"/>
      <c r="G14" s="208"/>
      <c r="H14" s="208"/>
      <c r="I14" s="208"/>
    </row>
    <row r="15" spans="1:9" ht="40.5">
      <c r="A15" s="208"/>
      <c r="B15" s="208" t="s">
        <v>1316</v>
      </c>
      <c r="C15" s="29" t="str">
        <f>IF(UNMM0091_SQL_YOSAN_CD_END="",""," AND V_YOSAN_LIST.YOSAN_CD &lt;= '"&amp;UNMM0091_SQL_YOSAN_CD_END&amp; "'
")</f>
        <v xml:space="preserve"> AND V_YOSAN_LIST.YOSAN_CD &lt;= '----------------------------'
</v>
      </c>
      <c r="D15" s="208"/>
      <c r="E15" s="208"/>
      <c r="F15" s="208"/>
      <c r="G15" s="208"/>
      <c r="H15" s="208"/>
      <c r="I15" s="208"/>
    </row>
    <row r="16" spans="1:9" ht="121.5">
      <c r="A16" s="208"/>
      <c r="B16" s="208" t="s">
        <v>611</v>
      </c>
      <c r="C16" s="29" t="str">
        <f>" AND(
        " &amp;IF(AND(UNMM0091_SQL_FREEWORD_1="",
                  UNMM0091_SQL_FREEWORD_2="",
                  UNMM0091_SQL_FREEWORD_3=""), "1=1",
              IF(UNMM0091_SQL_FREEWD_KBN=1,"1=1","1!=1") )&amp;"
"
         &amp;UNMM0091_SQL_FREEWD_1 &amp;"
"
         &amp;UNMM0091_SQL_FREEWD_2 &amp;"
"
         &amp;UNMM0091_SQL_FREEWD_3 &amp;"
"
&amp;")"</f>
        <v xml:space="preserve"> AND(
        1=1
 AND V_YOSAN_LIST.YOSAN_MEI LIKE '%----------------------------%'  
 AND V_YOSAN_LIST.YOSAN_MEI LIKE '%----------------------------%'  
 AND V_YOSAN_LIST.YOSAN_MEI LIKE '%----------------------------%'  
)</v>
      </c>
      <c r="D16" s="46" t="str">
        <f>IF(UNMM0091_SQL_FREEWD_KBN=1,"AND","OR")</f>
        <v>AND</v>
      </c>
      <c r="E16" s="208"/>
      <c r="F16" s="208"/>
      <c r="G16" s="208"/>
      <c r="H16" s="208"/>
      <c r="I16" s="208"/>
    </row>
    <row r="17" spans="1:9" ht="27">
      <c r="A17" s="208"/>
      <c r="B17" s="208" t="s">
        <v>165</v>
      </c>
      <c r="C17" s="29" t="str">
        <f>IF(UNMM0091_SQL_FREEWORD_1="",""," "&amp;UNMM0091_SQL_CONJUNCTION&amp;" V_YOSAN_LIST.YOSAN_MEI " &amp;IF(UNMM0091_SQL_FREEWD_KBN=3," NOT ","") &amp;"LIKE "&amp;"'%"&amp;UNMM0091_SQL_FREEWORD_1 &amp;"%'  ")</f>
        <v xml:space="preserve"> AND V_YOSAN_LIST.YOSAN_MEI LIKE '%----------------------------%'  </v>
      </c>
      <c r="D17" s="208"/>
      <c r="E17" s="208"/>
      <c r="F17" s="208"/>
      <c r="G17" s="208"/>
      <c r="H17" s="208"/>
      <c r="I17" s="208"/>
    </row>
    <row r="18" spans="1:9" ht="27">
      <c r="A18" s="208"/>
      <c r="B18" s="208" t="s">
        <v>164</v>
      </c>
      <c r="C18" s="29" t="str">
        <f>IF(UNMM0091_SQL_FREEWORD_2="",""," "&amp;UNMM0091_SQL_CONJUNCTION&amp;" V_YOSAN_LIST.YOSAN_MEI " &amp;IF(UNMM0091_SQL_FREEWD_KBN=3," NOT ","") &amp;"LIKE "&amp;"'%"&amp;UNMM0091_SQL_FREEWORD_2 &amp;"%'  ")</f>
        <v xml:space="preserve"> AND V_YOSAN_LIST.YOSAN_MEI LIKE '%----------------------------%'  </v>
      </c>
      <c r="D18" s="208"/>
      <c r="E18" s="208"/>
      <c r="F18" s="208"/>
      <c r="G18" s="208"/>
      <c r="H18" s="208"/>
      <c r="I18" s="208"/>
    </row>
    <row r="19" spans="1:9" ht="27">
      <c r="A19" s="208"/>
      <c r="B19" s="208" t="s">
        <v>166</v>
      </c>
      <c r="C19" s="29" t="str">
        <f>IF(UNMM0091_SQL_FREEWORD_3="",""," "&amp;UNMM0091_SQL_CONJUNCTION&amp;" V_YOSAN_LIST.YOSAN_MEI " &amp;IF(UNMM0091_SQL_FREEWD_KBN=3," NOT ","") &amp;"LIKE "&amp;"'%"&amp;UNMM0091_SQL_FREEWORD_3 &amp;"%'  ")</f>
        <v xml:space="preserve"> AND V_YOSAN_LIST.YOSAN_MEI LIKE '%----------------------------%'  </v>
      </c>
      <c r="D19" s="208"/>
      <c r="E19" s="208"/>
      <c r="F19" s="208"/>
      <c r="G19" s="208"/>
      <c r="H19" s="208"/>
      <c r="I19" s="208"/>
    </row>
    <row r="20" spans="1:9">
      <c r="A20" s="208"/>
      <c r="B20" s="26" t="s">
        <v>138</v>
      </c>
      <c r="C20" s="29" t="s">
        <v>1333</v>
      </c>
      <c r="D20" s="46" t="s">
        <v>1332</v>
      </c>
      <c r="E20" s="208"/>
      <c r="F20" s="208"/>
      <c r="G20" s="208"/>
      <c r="H20" s="208"/>
      <c r="I20" s="208"/>
    </row>
    <row r="21" spans="1:9" ht="40.5">
      <c r="A21" s="208"/>
      <c r="B21" s="26" t="s">
        <v>1128</v>
      </c>
      <c r="C21" s="29" t="str">
        <f>"
OFFSET "&amp;D21&amp;"*"&amp;UNMM0091_B_CTRL_HYOJI_GYO_SU&amp;" ROWS
 FETCH NEXT "&amp;UNMM0091_B_CTRL_HYOJI_GYO_SU&amp;" ROWS ONLY"</f>
        <v xml:space="preserve">
OFFSET 0*50 ROWS
 FETCH NEXT 50 ROWS ONLY</v>
      </c>
      <c r="D21" s="46">
        <f>UNMM0091_B_PAGE_NO-1</f>
        <v>0</v>
      </c>
      <c r="E21" s="208"/>
      <c r="F21" s="208"/>
      <c r="G21" s="208"/>
      <c r="H21" s="208"/>
      <c r="I21" s="208"/>
    </row>
    <row r="22" spans="1:9">
      <c r="A22" s="208"/>
      <c r="B22" s="208"/>
      <c r="C22" s="208"/>
      <c r="D22" s="208"/>
      <c r="E22" s="208"/>
      <c r="F22" s="208"/>
      <c r="G22" s="208"/>
      <c r="H22" s="208"/>
      <c r="I22" s="208"/>
    </row>
    <row r="23" spans="1:9" ht="81">
      <c r="A23" s="208"/>
      <c r="B23" s="208" t="s">
        <v>612</v>
      </c>
      <c r="C23" s="29" t="s">
        <v>1844</v>
      </c>
      <c r="D23" s="208"/>
      <c r="E23" s="208"/>
      <c r="F23" s="208"/>
      <c r="G23" s="208"/>
      <c r="H23" s="208"/>
      <c r="I23" s="208"/>
    </row>
    <row r="24" spans="1:9">
      <c r="A24" s="208"/>
      <c r="B24" s="208"/>
      <c r="C24" s="208"/>
      <c r="D24" s="208"/>
      <c r="E24" s="208"/>
      <c r="F24" s="208"/>
      <c r="G24" s="208"/>
      <c r="H24" s="208"/>
      <c r="I24" s="208"/>
    </row>
    <row r="25" spans="1:9" ht="216">
      <c r="A25" s="208"/>
      <c r="B25" s="26" t="s">
        <v>1335</v>
      </c>
      <c r="C25" s="207" t="str">
        <f>C13&amp;C14&amp;C15&amp;C16&amp;UNMM0091_SQL_ORDER_BY</f>
        <v>SELECT *
  FROM V_YOSAN_LIST
 WHERE 1=1
 AND V_YOSAN_LIST.YOSAN_CD &gt;= '----------------------------'
 AND V_YOSAN_LIST.YOSAN_CD &lt;= '----------------------------'
 AND(
        1=1
 AND V_YOSAN_LIST.YOSAN_MEI LIKE '%----------------------------%'  
 AND V_YOSAN_LIST.YOSAN_MEI LIKE '%----------------------------%'  
 AND V_YOSAN_LIST.YOSAN_MEI LIKE '%----------------------------%'  
) ORDER BY YOSAN_CD</v>
      </c>
      <c r="D25" s="208"/>
      <c r="E25" s="208"/>
      <c r="F25" s="208"/>
      <c r="G25" s="208"/>
      <c r="H25" s="208"/>
      <c r="I25" s="208"/>
    </row>
    <row r="26" spans="1:9">
      <c r="A26" s="208"/>
      <c r="B26" s="208"/>
      <c r="C26" s="208"/>
      <c r="D26" s="208"/>
      <c r="E26" s="208"/>
      <c r="F26" s="208"/>
      <c r="G26" s="208"/>
      <c r="H26" s="208"/>
      <c r="I26" s="208"/>
    </row>
  </sheetData>
  <phoneticPr fontId="2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>
    <tabColor rgb="FFFFFF00"/>
  </sheetPr>
  <dimension ref="A1:M7"/>
  <sheetViews>
    <sheetView showGridLines="0" showRowColHeaders="0" topLeftCell="G1" workbookViewId="0">
      <selection sqref="A1:F1"/>
    </sheetView>
  </sheetViews>
  <sheetFormatPr defaultRowHeight="16.5"/>
  <cols>
    <col min="1" max="2" width="9" style="84" hidden="1" customWidth="1"/>
    <col min="3" max="3" width="29.375" style="84" hidden="1" customWidth="1"/>
    <col min="4" max="6" width="9" style="84" hidden="1" customWidth="1"/>
    <col min="7" max="7" width="3.375" style="83" customWidth="1"/>
    <col min="8" max="13" width="11.75" style="83" customWidth="1"/>
    <col min="14" max="14" width="3.375" style="83" customWidth="1"/>
    <col min="15" max="16384" width="9" style="83"/>
  </cols>
  <sheetData>
    <row r="1" spans="1:13" s="5" customFormat="1" ht="19.5">
      <c r="A1" s="41"/>
      <c r="B1" s="41"/>
      <c r="C1" s="41"/>
      <c r="D1" s="41"/>
      <c r="E1" s="41"/>
      <c r="F1" s="41"/>
      <c r="G1" s="5" t="s">
        <v>1299</v>
      </c>
      <c r="J1" s="5" t="str">
        <f>"【" &amp;IF(UNMM0090_IF_MODE=0,"参照",IF(UNMM0090_IF_MODE=1,"新規","修正")) &amp;"モード】"</f>
        <v>【参照モード】</v>
      </c>
    </row>
    <row r="3" spans="1:13">
      <c r="H3" s="7" t="s">
        <v>1300</v>
      </c>
      <c r="I3" s="461"/>
    </row>
    <row r="4" spans="1:13">
      <c r="B4" s="163" t="s">
        <v>109</v>
      </c>
      <c r="C4" s="163" t="s">
        <v>1304</v>
      </c>
      <c r="D4" s="165"/>
      <c r="H4" s="7" t="s">
        <v>1301</v>
      </c>
      <c r="I4" s="688"/>
      <c r="J4" s="689"/>
      <c r="K4" s="689"/>
      <c r="L4" s="689"/>
      <c r="M4" s="690"/>
    </row>
    <row r="5" spans="1:13">
      <c r="B5" s="163" t="s">
        <v>110</v>
      </c>
      <c r="C5" s="163" t="s">
        <v>1303</v>
      </c>
      <c r="D5" s="165"/>
    </row>
    <row r="6" spans="1:13">
      <c r="B6" s="163" t="s">
        <v>494</v>
      </c>
      <c r="C6" s="164" t="s">
        <v>2064</v>
      </c>
      <c r="D6" s="165"/>
    </row>
    <row r="7" spans="1:13">
      <c r="B7" s="163" t="s">
        <v>495</v>
      </c>
      <c r="C7" s="164" t="s">
        <v>1302</v>
      </c>
      <c r="D7" s="165" t="str">
        <f>ADDRESS(ROW(A1),COLUMN(A1))&amp;":"&amp;ADDRESS(ROW(F1),COLUMN(F1))</f>
        <v>$A$1:$F$1</v>
      </c>
    </row>
  </sheetData>
  <sheetProtection sheet="1" objects="1" scenarios="1" selectLockedCells="1"/>
  <mergeCells count="1">
    <mergeCell ref="I4:M4"/>
  </mergeCells>
  <phoneticPr fontId="2"/>
  <conditionalFormatting sqref="G1:XFD1">
    <cfRule type="expression" dxfId="15" priority="1">
      <formula>UNMM0090_IF_MODE=2</formula>
    </cfRule>
  </conditionalFormatting>
  <dataValidations count="2">
    <dataValidation type="custom" allowBlank="1" showInputMessage="1" showErrorMessage="1" sqref="I4:M4">
      <formula1>LENB(I4)&lt;=60</formula1>
    </dataValidation>
    <dataValidation type="custom" allowBlank="1" showInputMessage="1" showErrorMessage="1" sqref="I3">
      <formula1>AND(LEN(I3)=LENB(I3),LEN(I3)&lt;=10)</formula1>
    </dataValidation>
  </dataValidations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2:P47"/>
  <sheetViews>
    <sheetView workbookViewId="0">
      <selection activeCell="D13" sqref="D13"/>
    </sheetView>
  </sheetViews>
  <sheetFormatPr defaultRowHeight="13.5"/>
  <cols>
    <col min="3" max="3" width="36.375" bestFit="1" customWidth="1"/>
    <col min="5" max="8" width="9" style="130"/>
    <col min="10" max="10" width="39.125" bestFit="1" customWidth="1"/>
  </cols>
  <sheetData>
    <row r="2" spans="1:16" ht="16.5">
      <c r="I2" s="130" t="s">
        <v>114</v>
      </c>
      <c r="J2" s="129" t="s">
        <v>1308</v>
      </c>
      <c r="L2" s="389"/>
      <c r="M2" s="83"/>
      <c r="N2" s="83"/>
      <c r="O2" s="83"/>
      <c r="P2" s="83"/>
    </row>
    <row r="3" spans="1:16" ht="16.5">
      <c r="L3" s="612"/>
      <c r="M3" s="613"/>
      <c r="N3" s="613"/>
      <c r="O3" s="613"/>
      <c r="P3" s="614"/>
    </row>
    <row r="5" spans="1:16" ht="16.5">
      <c r="I5" s="130" t="s">
        <v>115</v>
      </c>
      <c r="J5" s="129" t="s">
        <v>1309</v>
      </c>
      <c r="L5" s="461"/>
      <c r="M5" s="83"/>
      <c r="N5" s="83"/>
      <c r="O5" s="83"/>
      <c r="P5" s="83"/>
    </row>
    <row r="6" spans="1:16" ht="16.5">
      <c r="L6" s="612"/>
      <c r="M6" s="613"/>
      <c r="N6" s="613"/>
      <c r="O6" s="613"/>
      <c r="P6" s="614"/>
    </row>
    <row r="8" spans="1:16" ht="16.5">
      <c r="I8" s="130" t="s">
        <v>116</v>
      </c>
      <c r="J8" s="129" t="s">
        <v>1310</v>
      </c>
      <c r="L8" s="461"/>
      <c r="M8" s="83"/>
      <c r="N8" s="83"/>
      <c r="O8" s="83"/>
      <c r="P8" s="83"/>
    </row>
    <row r="9" spans="1:16" ht="16.5">
      <c r="L9" s="688"/>
      <c r="M9" s="689"/>
      <c r="N9" s="689"/>
      <c r="O9" s="689"/>
      <c r="P9" s="690"/>
    </row>
    <row r="11" spans="1:16">
      <c r="A11" s="85" t="s">
        <v>171</v>
      </c>
      <c r="B11" s="130"/>
      <c r="C11" s="129"/>
      <c r="D11" s="124"/>
      <c r="E11" s="124"/>
      <c r="F11" s="124"/>
      <c r="G11" s="124"/>
      <c r="H11" s="124"/>
      <c r="I11" s="130"/>
      <c r="J11" s="130"/>
    </row>
    <row r="12" spans="1:16">
      <c r="A12" s="130"/>
      <c r="B12" s="130" t="s">
        <v>39</v>
      </c>
      <c r="C12" s="129" t="s">
        <v>1312</v>
      </c>
      <c r="D12" s="131">
        <v>0</v>
      </c>
      <c r="E12" s="23" t="s">
        <v>57</v>
      </c>
      <c r="F12" s="23" t="s">
        <v>55</v>
      </c>
      <c r="G12" s="23" t="s">
        <v>1311</v>
      </c>
      <c r="H12" s="269"/>
    </row>
    <row r="14" spans="1:16">
      <c r="B14" s="130"/>
      <c r="C14" s="129"/>
      <c r="D14" s="124"/>
      <c r="E14" s="85" t="s">
        <v>49</v>
      </c>
    </row>
    <row r="15" spans="1:16">
      <c r="B15" s="130" t="s">
        <v>43</v>
      </c>
      <c r="C15" s="129" t="s">
        <v>1343</v>
      </c>
      <c r="D15" s="131" t="str">
        <f>IF(UNMM0090_IF_MODE=1,"-",IF(UNMM0090_IF_MODE=2,"修正キャンセル","修正"))</f>
        <v>修正</v>
      </c>
      <c r="E15" s="21" t="s">
        <v>1065</v>
      </c>
      <c r="F15" s="130" t="s">
        <v>820</v>
      </c>
      <c r="G15" s="130" t="s">
        <v>1340</v>
      </c>
    </row>
    <row r="16" spans="1:16">
      <c r="B16" s="130" t="s">
        <v>44</v>
      </c>
      <c r="C16" s="129" t="s">
        <v>1344</v>
      </c>
      <c r="D16" s="131" t="str">
        <f>IF(UNMM0090_IF_MODE=1,"新規登録",IF(UNMM0090_IF_MODE=2,"保存","-"))</f>
        <v>-</v>
      </c>
      <c r="E16" s="130" t="s">
        <v>3</v>
      </c>
      <c r="F16" s="130" t="s">
        <v>61</v>
      </c>
      <c r="G16" s="130" t="s">
        <v>1339</v>
      </c>
    </row>
    <row r="17" spans="2:7">
      <c r="B17" s="130"/>
      <c r="C17" s="129"/>
      <c r="D17" s="124"/>
    </row>
    <row r="18" spans="2:7">
      <c r="B18" s="130"/>
      <c r="C18" s="129"/>
      <c r="D18" s="124"/>
      <c r="E18" s="85" t="s">
        <v>49</v>
      </c>
    </row>
    <row r="19" spans="2:7">
      <c r="B19" s="130" t="s">
        <v>43</v>
      </c>
      <c r="C19" s="129" t="s">
        <v>1345</v>
      </c>
      <c r="D19" s="131">
        <f>IF(UNMM0090_IF_MODE=1,5,IF(UNMM0090_IF_MODE=2,0,0))</f>
        <v>0</v>
      </c>
      <c r="E19" s="130" t="s">
        <v>62</v>
      </c>
      <c r="F19" s="130" t="s">
        <v>1072</v>
      </c>
      <c r="G19" s="130" t="s">
        <v>1341</v>
      </c>
    </row>
    <row r="20" spans="2:7">
      <c r="B20" s="130" t="s">
        <v>44</v>
      </c>
      <c r="C20" s="129" t="s">
        <v>1346</v>
      </c>
      <c r="D20" s="131">
        <f>IF(UNMM0090_IF_MODE=1,0,IF(UNMM0090_IF_MODE=2,0,5))</f>
        <v>5</v>
      </c>
      <c r="E20" s="130" t="s">
        <v>1072</v>
      </c>
      <c r="F20" s="130" t="s">
        <v>1072</v>
      </c>
      <c r="G20" s="130" t="s">
        <v>1342</v>
      </c>
    </row>
    <row r="21" spans="2:7">
      <c r="B21" s="130"/>
      <c r="C21" s="129"/>
      <c r="D21" s="124"/>
    </row>
    <row r="22" spans="2:7">
      <c r="B22" s="130"/>
      <c r="C22" s="129"/>
      <c r="D22" s="124"/>
      <c r="E22" s="85" t="s">
        <v>49</v>
      </c>
    </row>
    <row r="23" spans="2:7">
      <c r="B23" s="130" t="s">
        <v>50</v>
      </c>
      <c r="C23" s="129" t="s">
        <v>1347</v>
      </c>
      <c r="D23" s="131">
        <f>IF(UNMM0090_IF_MODE=1,2,IF(UNMM0090_IF_MODE=2,1,1))</f>
        <v>1</v>
      </c>
      <c r="E23" s="130" t="s">
        <v>64</v>
      </c>
      <c r="F23" s="130" t="s">
        <v>63</v>
      </c>
      <c r="G23" s="130" t="s">
        <v>63</v>
      </c>
    </row>
    <row r="24" spans="2:7">
      <c r="B24" s="130" t="s">
        <v>43</v>
      </c>
      <c r="C24" s="129" t="s">
        <v>1348</v>
      </c>
      <c r="D24" s="131">
        <f>IF(UNMM0090_IF_MODE=1,2,IF(UNMM0090_IF_MODE=2,1,1))</f>
        <v>1</v>
      </c>
      <c r="E24" s="130" t="s">
        <v>64</v>
      </c>
      <c r="F24" s="130" t="s">
        <v>63</v>
      </c>
      <c r="G24" s="130" t="s">
        <v>63</v>
      </c>
    </row>
    <row r="25" spans="2:7">
      <c r="B25" s="130" t="s">
        <v>44</v>
      </c>
      <c r="C25" s="129" t="s">
        <v>1349</v>
      </c>
      <c r="D25" s="131">
        <f>IF(UNMM0090_IF_MODE=1,1,IF(UNMM0090_IF_MODE=2,1,2))</f>
        <v>2</v>
      </c>
      <c r="E25" s="130" t="s">
        <v>63</v>
      </c>
      <c r="F25" s="130" t="s">
        <v>63</v>
      </c>
      <c r="G25" s="130" t="s">
        <v>64</v>
      </c>
    </row>
    <row r="26" spans="2:7">
      <c r="B26" s="130" t="s">
        <v>51</v>
      </c>
      <c r="C26" s="129" t="s">
        <v>1350</v>
      </c>
      <c r="D26" s="131">
        <f>IF(UNMM0090_IF_MODE=1,2,IF(UNMM0090_IF_MODE=2,1,2))</f>
        <v>2</v>
      </c>
      <c r="E26" s="130" t="s">
        <v>323</v>
      </c>
      <c r="F26" s="130" t="s">
        <v>733</v>
      </c>
      <c r="G26" s="130" t="s">
        <v>323</v>
      </c>
    </row>
    <row r="27" spans="2:7">
      <c r="B27" s="130" t="s">
        <v>1087</v>
      </c>
      <c r="C27" s="129" t="s">
        <v>1351</v>
      </c>
      <c r="D27" s="131">
        <f>IF(UNMM0090_IF_MODE=1,1,IF(UNMM0090_IF_MODE=2,1,2))</f>
        <v>2</v>
      </c>
      <c r="E27" s="130" t="s">
        <v>738</v>
      </c>
      <c r="F27" s="130" t="s">
        <v>63</v>
      </c>
      <c r="G27" s="130" t="s">
        <v>64</v>
      </c>
    </row>
    <row r="28" spans="2:7">
      <c r="B28" s="130" t="s">
        <v>54</v>
      </c>
      <c r="C28" s="129" t="s">
        <v>1352</v>
      </c>
      <c r="D28" s="131">
        <f>IF(UNMM0090_IF_MODE=1,2,IF(UNMM0090_IF_MODE=2,2,1))</f>
        <v>1</v>
      </c>
      <c r="E28" s="130" t="s">
        <v>64</v>
      </c>
      <c r="F28" s="130" t="s">
        <v>927</v>
      </c>
      <c r="G28" s="130" t="s">
        <v>63</v>
      </c>
    </row>
    <row r="31" spans="2:7">
      <c r="B31" s="130" t="s">
        <v>929</v>
      </c>
      <c r="C31" s="129" t="s">
        <v>1354</v>
      </c>
      <c r="D31" s="51" t="str">
        <f ca="1">"予算コード入力画面_"&amp;UNMM0090_YOSAN_CD&amp;"_"&amp;TEXT(NOW(),"YYYYMMDD")</f>
        <v>予算コード入力画面__20170913</v>
      </c>
    </row>
    <row r="34" spans="2:5" ht="16.5">
      <c r="B34" s="84" t="s">
        <v>1085</v>
      </c>
      <c r="C34" s="129" t="s">
        <v>1323</v>
      </c>
      <c r="D34" s="203"/>
      <c r="E34" s="129"/>
    </row>
    <row r="35" spans="2:5" ht="16.5">
      <c r="B35" s="84" t="s">
        <v>644</v>
      </c>
      <c r="C35" s="129" t="s">
        <v>1324</v>
      </c>
      <c r="D35" s="203">
        <f ca="1">NOW()</f>
        <v>42991.659979282405</v>
      </c>
      <c r="E35" s="129"/>
    </row>
    <row r="36" spans="2:5" ht="16.5">
      <c r="B36" s="84" t="s">
        <v>645</v>
      </c>
      <c r="C36" s="129" t="s">
        <v>1325</v>
      </c>
      <c r="D36" s="201">
        <v>1</v>
      </c>
      <c r="E36" s="129"/>
    </row>
    <row r="37" spans="2:5" ht="16.5">
      <c r="B37" s="84" t="s">
        <v>1092</v>
      </c>
      <c r="C37" s="129" t="s">
        <v>1326</v>
      </c>
      <c r="D37" s="201"/>
      <c r="E37" s="129" t="s">
        <v>646</v>
      </c>
    </row>
    <row r="38" spans="2:5">
      <c r="B38" s="130"/>
      <c r="C38" s="129"/>
      <c r="D38" s="129"/>
    </row>
    <row r="39" spans="2:5">
      <c r="B39" s="130" t="s">
        <v>465</v>
      </c>
      <c r="C39" s="130"/>
      <c r="D39" s="130"/>
      <c r="E39" s="129"/>
    </row>
    <row r="40" spans="2:5">
      <c r="B40" s="130" t="s">
        <v>466</v>
      </c>
      <c r="C40" s="129" t="s">
        <v>1327</v>
      </c>
      <c r="D40" s="51"/>
    </row>
    <row r="41" spans="2:5">
      <c r="B41" s="130" t="s">
        <v>467</v>
      </c>
      <c r="C41" s="129" t="s">
        <v>1328</v>
      </c>
      <c r="D41" s="51"/>
    </row>
    <row r="42" spans="2:5">
      <c r="B42" s="130" t="s">
        <v>468</v>
      </c>
      <c r="C42" s="129" t="s">
        <v>1329</v>
      </c>
      <c r="D42" s="51">
        <f>IF(UNMM0090_IF_SAVE_RESULT_CD=0,2,1)</f>
        <v>2</v>
      </c>
    </row>
    <row r="43" spans="2:5">
      <c r="B43" s="130" t="s">
        <v>469</v>
      </c>
      <c r="C43" s="129" t="s">
        <v>1353</v>
      </c>
      <c r="D43" s="51" t="str">
        <f>IF(UNMM0090_IF_SAVE_W_MODE=3,"削除に失敗しました。",
IF(ISERROR(VLOOKUP(UNMM0090_IF_SAVE_RESULT_CD,UNMM_COMMON_ERROR_MESSAGE_AREA,2,FALSE)),
"保存に失敗しました。入力内容を確認後、再度実行してください。",
VLOOKUP(UNMM0090_IF_SAVE_RESULT_CD,UNMM_COMMON_ERROR_MESSAGE_AREA,2,FALSE)))</f>
        <v>保存に失敗しました。入力内容を確認後、再度実行してください。</v>
      </c>
      <c r="E43" s="130" t="s">
        <v>470</v>
      </c>
    </row>
    <row r="44" spans="2:5">
      <c r="B44" s="130" t="s">
        <v>648</v>
      </c>
      <c r="C44" s="129" t="s">
        <v>1330</v>
      </c>
      <c r="D44" s="51">
        <f>IF(AND(UNMM0090_YOSAN_CD&lt;&gt;"",UNMM0090_YOSAN_MEI&lt;&gt;""),1,0)</f>
        <v>0</v>
      </c>
      <c r="E44" s="130" t="s">
        <v>649</v>
      </c>
    </row>
    <row r="45" spans="2:5">
      <c r="B45" s="130" t="s">
        <v>1357</v>
      </c>
      <c r="C45" s="129" t="s">
        <v>1358</v>
      </c>
      <c r="D45" s="51">
        <f>IF(UNMM0090_YOSAN_CD&lt;&gt;"",1,0)</f>
        <v>0</v>
      </c>
      <c r="E45" s="129"/>
    </row>
    <row r="46" spans="2:5">
      <c r="B46" s="130"/>
      <c r="C46" s="129"/>
      <c r="D46" s="274"/>
    </row>
    <row r="47" spans="2:5">
      <c r="B47" s="130"/>
      <c r="C47" s="129"/>
      <c r="D47" s="274"/>
    </row>
  </sheetData>
  <mergeCells count="3">
    <mergeCell ref="L3:P3"/>
    <mergeCell ref="L6:P6"/>
    <mergeCell ref="L9:P9"/>
  </mergeCells>
  <phoneticPr fontId="2"/>
  <dataValidations count="2">
    <dataValidation type="custom" allowBlank="1" showInputMessage="1" showErrorMessage="1" sqref="L2 L5 L8">
      <formula1>AND(LEN(L2)=LENB(L2),LEN(L2)&lt;=10)</formula1>
    </dataValidation>
    <dataValidation type="custom" allowBlank="1" showInputMessage="1" showErrorMessage="1" sqref="L3:P3 L6:P6 L9:P9">
      <formula1>LENB(L3)&lt;=60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B1:C5"/>
  <sheetViews>
    <sheetView workbookViewId="0">
      <selection activeCell="C5" sqref="C5"/>
    </sheetView>
  </sheetViews>
  <sheetFormatPr defaultRowHeight="13.5"/>
  <cols>
    <col min="2" max="2" width="37.125" bestFit="1" customWidth="1"/>
    <col min="3" max="3" width="45" customWidth="1"/>
  </cols>
  <sheetData>
    <row r="1" spans="2:3">
      <c r="B1" t="s">
        <v>1182</v>
      </c>
      <c r="C1">
        <f>UNMM0090_YOSAN_CD</f>
        <v>0</v>
      </c>
    </row>
    <row r="3" spans="2:3" ht="40.5">
      <c r="B3" s="26" t="s">
        <v>1313</v>
      </c>
      <c r="C3" s="207" t="str">
        <f>C4&amp;C5</f>
        <v>SELECT *
  FROM V_YOSAN_DATA
 WHERE V_YOSAN_DATA.YOSAN_CD = '0'</v>
      </c>
    </row>
    <row r="4" spans="2:3" ht="40.5">
      <c r="B4" s="208" t="s">
        <v>978</v>
      </c>
      <c r="C4" s="29" t="s">
        <v>1314</v>
      </c>
    </row>
    <row r="5" spans="2:3">
      <c r="B5" s="208" t="s">
        <v>154</v>
      </c>
      <c r="C5" s="29" t="str">
        <f>" WHERE V_YOSAN_DATA.YOSAN_CD = '"&amp;C1&amp;"'"</f>
        <v xml:space="preserve"> WHERE V_YOSAN_DATA.YOSAN_CD = '0'</v>
      </c>
    </row>
  </sheetData>
  <phoneticPr fontId="2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>
    <tabColor rgb="FFFFFF00"/>
  </sheetPr>
  <dimension ref="A1:H7"/>
  <sheetViews>
    <sheetView showGridLines="0" showRowColHeaders="0" topLeftCell="E1" workbookViewId="0">
      <selection activeCell="H3" sqref="H3"/>
    </sheetView>
  </sheetViews>
  <sheetFormatPr defaultRowHeight="16.5"/>
  <cols>
    <col min="1" max="1" width="17.125" style="84" hidden="1" customWidth="1"/>
    <col min="2" max="2" width="24.5" style="84" hidden="1" customWidth="1"/>
    <col min="3" max="4" width="9" style="84" hidden="1" customWidth="1"/>
    <col min="5" max="5" width="3.375" style="83" customWidth="1"/>
    <col min="6" max="7" width="11.75" style="83" customWidth="1"/>
    <col min="8" max="8" width="45.625" style="83" bestFit="1" customWidth="1"/>
    <col min="9" max="9" width="7.125" style="83" customWidth="1"/>
    <col min="10" max="10" width="3.625" style="83" customWidth="1"/>
    <col min="11" max="11" width="7.125" style="83" customWidth="1"/>
    <col min="12" max="12" width="3.625" style="83" customWidth="1"/>
    <col min="13" max="13" width="7.125" style="83" customWidth="1"/>
    <col min="14" max="15" width="11.75" style="83" customWidth="1"/>
    <col min="16" max="16" width="3.375" style="83" customWidth="1"/>
    <col min="17" max="16384" width="9" style="83"/>
  </cols>
  <sheetData>
    <row r="1" spans="1:8" s="5" customFormat="1" ht="19.5">
      <c r="A1" s="41"/>
      <c r="B1" s="41"/>
      <c r="C1" s="41"/>
      <c r="D1" s="41"/>
      <c r="E1" s="5" t="str">
        <f>"インフォメーション通知先マスタメンテ"&amp;IF(UNMM0100_IF_MODE=1,"【修正モード】","【参照モード】")</f>
        <v>インフォメーション通知先マスタメンテ【参照モード】</v>
      </c>
    </row>
    <row r="2" spans="1:8">
      <c r="A2" s="163" t="s">
        <v>1216</v>
      </c>
      <c r="B2" s="163" t="s">
        <v>1217</v>
      </c>
      <c r="C2" s="327">
        <v>0</v>
      </c>
    </row>
    <row r="3" spans="1:8" ht="18.75">
      <c r="A3" s="163" t="s">
        <v>2065</v>
      </c>
      <c r="B3" s="456" t="s">
        <v>2066</v>
      </c>
      <c r="C3" s="271"/>
      <c r="G3" s="7" t="s">
        <v>1218</v>
      </c>
      <c r="H3" s="192"/>
    </row>
    <row r="4" spans="1:8" ht="18.75">
      <c r="A4" s="163" t="s">
        <v>801</v>
      </c>
      <c r="B4" s="456" t="s">
        <v>1219</v>
      </c>
      <c r="C4" s="271" t="str">
        <f>ADDRESS(ROW(A1),COLUMN(A1))&amp;":"&amp;ADDRESS(ROW(D1),COLUMN(D1))</f>
        <v>$A$1:$D$1</v>
      </c>
      <c r="G4" s="7" t="s">
        <v>1220</v>
      </c>
      <c r="H4" s="386"/>
    </row>
    <row r="5" spans="1:8" ht="50.1" customHeight="1">
      <c r="B5" s="456"/>
      <c r="G5" s="265" t="s">
        <v>1221</v>
      </c>
      <c r="H5" s="266"/>
    </row>
    <row r="6" spans="1:8" ht="18.75">
      <c r="A6" s="84" t="s">
        <v>1222</v>
      </c>
      <c r="B6" s="456" t="s">
        <v>1223</v>
      </c>
      <c r="C6" s="88" t="b">
        <v>0</v>
      </c>
      <c r="G6" s="7" t="s">
        <v>1224</v>
      </c>
    </row>
    <row r="7" spans="1:8" ht="18.75">
      <c r="A7" s="84" t="s">
        <v>1225</v>
      </c>
      <c r="B7" s="456" t="s">
        <v>1226</v>
      </c>
      <c r="C7" s="88" t="b">
        <v>0</v>
      </c>
      <c r="G7" s="7" t="s">
        <v>1227</v>
      </c>
    </row>
  </sheetData>
  <sheetProtection sheet="1" objects="1" scenarios="1" selectLockedCells="1"/>
  <phoneticPr fontId="2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7473" r:id="rId4" name="Check Box 1">
              <controlPr defaultSize="0" autoFill="0" autoLine="0" autoPict="0">
                <anchor moveWithCells="1">
                  <from>
                    <xdr:col>6</xdr:col>
                    <xdr:colOff>885825</xdr:colOff>
                    <xdr:row>4</xdr:row>
                    <xdr:rowOff>619125</xdr:rowOff>
                  </from>
                  <to>
                    <xdr:col>7</xdr:col>
                    <xdr:colOff>228600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474" r:id="rId5" name="Check Box 2">
              <controlPr defaultSize="0" autoFill="0" autoLine="0" autoPict="0">
                <anchor moveWithCells="1">
                  <from>
                    <xdr:col>6</xdr:col>
                    <xdr:colOff>885825</xdr:colOff>
                    <xdr:row>5</xdr:row>
                    <xdr:rowOff>619125</xdr:rowOff>
                  </from>
                  <to>
                    <xdr:col>7</xdr:col>
                    <xdr:colOff>228600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>
    <tabColor rgb="FFFFFF00"/>
  </sheetPr>
  <dimension ref="A2:K22"/>
  <sheetViews>
    <sheetView showGridLines="0" showRowColHeaders="0" zoomScaleNormal="100" workbookViewId="0">
      <pane ySplit="2" topLeftCell="A3" activePane="bottomLeft" state="frozen"/>
      <selection activeCell="F29" sqref="F29"/>
      <selection pane="bottomLeft" sqref="A1:D1 G2 I2 K2"/>
    </sheetView>
  </sheetViews>
  <sheetFormatPr defaultRowHeight="16.5"/>
  <cols>
    <col min="1" max="1" width="27.125" style="84" hidden="1" customWidth="1"/>
    <col min="2" max="2" width="32.125" style="84" hidden="1" customWidth="1"/>
    <col min="3" max="3" width="20.5" style="84" hidden="1" customWidth="1"/>
    <col min="4" max="4" width="9" style="84" hidden="1" customWidth="1"/>
    <col min="5" max="5" width="3.375" style="83" customWidth="1"/>
    <col min="6" max="6" width="3.375" style="346" customWidth="1"/>
    <col min="7" max="7" width="17.125" style="346" hidden="1" customWidth="1"/>
    <col min="8" max="8" width="17.125" style="346" customWidth="1"/>
    <col min="9" max="9" width="17.125" style="346" hidden="1" customWidth="1"/>
    <col min="10" max="10" width="17.125" style="346" customWidth="1"/>
    <col min="11" max="11" width="17.625" style="346" hidden="1" customWidth="1"/>
    <col min="12" max="13" width="11.75" style="83" customWidth="1"/>
    <col min="14" max="14" width="3.375" style="83" customWidth="1"/>
    <col min="15" max="16384" width="9" style="83"/>
  </cols>
  <sheetData>
    <row r="2" spans="1:11" s="261" customFormat="1" ht="27" customHeight="1">
      <c r="A2" s="460"/>
      <c r="B2" s="460"/>
      <c r="C2" s="460"/>
      <c r="D2" s="460"/>
      <c r="F2" s="365" t="s">
        <v>1228</v>
      </c>
      <c r="G2" s="365" t="s">
        <v>1229</v>
      </c>
      <c r="H2" s="365" t="s">
        <v>1230</v>
      </c>
      <c r="I2" s="365" t="s">
        <v>1231</v>
      </c>
      <c r="J2" s="365" t="s">
        <v>1232</v>
      </c>
      <c r="K2" s="365" t="s">
        <v>1233</v>
      </c>
    </row>
    <row r="3" spans="1:11" ht="18.75">
      <c r="A3" s="163" t="s">
        <v>125</v>
      </c>
      <c r="B3" s="456" t="s">
        <v>1234</v>
      </c>
      <c r="C3" s="271"/>
    </row>
    <row r="4" spans="1:11" ht="18.75">
      <c r="A4" s="163"/>
      <c r="B4" s="456"/>
      <c r="C4" s="163"/>
    </row>
    <row r="5" spans="1:11" ht="18.75">
      <c r="A5" s="163" t="s">
        <v>141</v>
      </c>
      <c r="B5" s="456" t="s">
        <v>1235</v>
      </c>
      <c r="C5" s="271" t="str">
        <f>ADDRESS(ROW(UNMM0100_B_GHO)+1,COLUMN(UNMM0100_B_GHO))</f>
        <v>$F$3</v>
      </c>
    </row>
    <row r="6" spans="1:11" ht="18.75">
      <c r="A6" s="163" t="s">
        <v>139</v>
      </c>
      <c r="B6" s="456" t="s">
        <v>1236</v>
      </c>
      <c r="C6" s="271" t="str">
        <f>IF(UNMM0100_B_HYOJI_KENSU=0,"",UNMM0100_B_LIST_START&amp;":"&amp;
ADDRESS(ROW(UNMM0100_B_GHO)+UNMM0100_B_HYOJI_KENSU,COLUMN(UNMM0100_B_GHO)+COLUMNS(UNMM0100_IF_B_LIST_DEFAULT)-1))</f>
        <v/>
      </c>
    </row>
    <row r="7" spans="1:11" ht="18.75">
      <c r="A7" s="163" t="s">
        <v>1237</v>
      </c>
      <c r="B7" s="456" t="s">
        <v>1238</v>
      </c>
      <c r="C7" s="271" t="str">
        <f>IF(UNMM0100_B_HYOJI_KENSU=0,"",UNMM0100_B_LIST_START&amp;":"&amp;
ADDRESS(ROW(UNMM0100_B_GHO)+UNMM0100_B_HYOJI_KENSU,COLUMN(UNMM0100_B_GHO)))</f>
        <v/>
      </c>
    </row>
    <row r="8" spans="1:11" ht="18.75">
      <c r="A8" s="163" t="s">
        <v>140</v>
      </c>
      <c r="B8" s="456" t="s">
        <v>1239</v>
      </c>
      <c r="C8" s="271" t="str">
        <f>ADDRESS(ROW(UNMM0100_B_GHO)+1,COLUMN(UNMM0100_B_GHO))&amp;":"&amp;
ADDRESS(ROW(UNMM0100_B_GHO)+IF(UNMM0100_B_HYOJI_KENSU=0,1,UNMM0100_B_HYOJI_KENSU),COLUMN(UNMM0100_B_GHO)+COLUMNS(UNMM0100_IF_B_LIST_DEFAULT)-1)</f>
        <v>$F$3:$K$3</v>
      </c>
    </row>
    <row r="9" spans="1:11" ht="18.75">
      <c r="A9" s="240"/>
      <c r="B9" s="456"/>
      <c r="C9" s="163"/>
    </row>
    <row r="10" spans="1:11" ht="18.75">
      <c r="A10" s="163" t="s">
        <v>1240</v>
      </c>
      <c r="B10" s="456" t="s">
        <v>1241</v>
      </c>
      <c r="C10" s="271" t="e">
        <f>"UNMM0100_B!"&amp;ADDRESS(UNMM0100_IF_ACTIVE_ROW,UNMM0100_IF_ACTIVE_COLUMN)</f>
        <v>#VALUE!</v>
      </c>
    </row>
    <row r="11" spans="1:11" ht="18.75">
      <c r="A11" s="163" t="s">
        <v>1242</v>
      </c>
      <c r="B11" s="456" t="s">
        <v>1243</v>
      </c>
      <c r="C11" s="271" t="e">
        <f>"UNMM0100_B!"&amp;ADDRESS(UNMM0100_IF_ACTIVE_ROW,UNMM0100_IF_ACTIVE_COLUMN-1)</f>
        <v>#VALUE!</v>
      </c>
    </row>
    <row r="12" spans="1:11" ht="18.75">
      <c r="A12" s="163" t="s">
        <v>1317</v>
      </c>
      <c r="B12" s="456" t="s">
        <v>1318</v>
      </c>
      <c r="C12" s="271" t="e">
        <f>"UNMM0100_B!"&amp;ADDRESS(UNMM0100_IF_ACTIVE_ROW,IF(UNMM0100_IF_ACTIVE_CELL_NAME="UNMM0100_B_TUCHI_TANTOSHA",COLUMN(UNMM0100_B_TUCHI_BUSHO),COLUMN(UNMM0100_B_TUCHI_TANTOSHA)))</f>
        <v>#VALUE!</v>
      </c>
    </row>
    <row r="13" spans="1:11" ht="18.75">
      <c r="A13" s="163"/>
      <c r="B13" s="456"/>
      <c r="C13" s="163"/>
    </row>
    <row r="14" spans="1:11" ht="18.75">
      <c r="A14" s="163" t="s">
        <v>787</v>
      </c>
      <c r="B14" s="456" t="s">
        <v>1244</v>
      </c>
      <c r="C14" s="271" t="str">
        <f ca="1">IF(OR(UNMM0100_B_HYOJI_KENSU=0,UNMM0100_IF_ACTIVE_ROW&lt;ROW(INDIRECT(UNMM0100_B_LIST_START))),ADDRESS(ROW(UNMM0100_B_GHO),COLUMN(UNMM0100_B_GHO))&amp;":"&amp;ADDRESS(ROW(UNMM0100_B_GHO),COLUMN(UNMM0100_B_GHO)+COLUMNS(UNMM0100_IF_B_LIST_DEFAULT)-1),ADDRESS(UNMM0100_IF_ACTIVE_ROW,COLUMN(UNMM0100_B_GHO))&amp;":"&amp;ADDRESS(UNMM0100_IF_ACTIVE_ROW,COLUMN(UNMM0100_B_GHO)+COLUMNS(UNMM0100_IF_B_LIST_DEFAULT)-1))</f>
        <v>$F$2:$K$2</v>
      </c>
    </row>
    <row r="15" spans="1:11" ht="18.75">
      <c r="A15" s="163" t="s">
        <v>789</v>
      </c>
      <c r="B15" s="456" t="s">
        <v>1245</v>
      </c>
      <c r="C15" s="271" t="str">
        <f ca="1">IF(OR(UNMM0100_B_HYOJI_KENSU=0,UNMM0100_IF_ACTIVE_ROW&lt;ROW(INDIRECT(UNMM0100_B_LIST_START))),ADDRESS(ROW(UNMM0100_B_GHO)+1,COLUMN(UNMM0100_B_GHO))&amp;":"&amp;ADDRESS(ROW(UNMM0100_B_GHO)+1,COLUMN(UNMM0100_B_GHO)+COLUMNS(UNMM0100_IF_B_LIST_DEFAULT)-1),ADDRESS(UNMM0100_IF_ACTIVE_ROW+1,COLUMN(UNMM0100_B_GHO))&amp;":"&amp;ADDRESS(UNMM0100_IF_ACTIVE_ROW+1,COLUMN(UNMM0100_B_GHO)+COLUMNS(UNMM0100_IF_B_LIST_DEFAULT)-1))</f>
        <v>$F$3:$K$3</v>
      </c>
    </row>
    <row r="16" spans="1:11" ht="18.75">
      <c r="A16" s="163"/>
      <c r="B16" s="456"/>
      <c r="C16" s="163"/>
    </row>
    <row r="17" spans="1:3" ht="18.75">
      <c r="A17" s="163" t="s">
        <v>793</v>
      </c>
      <c r="B17" s="456" t="s">
        <v>1246</v>
      </c>
      <c r="C17" s="271">
        <f>UNMM0100_B_HYOJI_KENSU+1</f>
        <v>1</v>
      </c>
    </row>
    <row r="18" spans="1:3" ht="18.75">
      <c r="A18" s="163" t="s">
        <v>795</v>
      </c>
      <c r="B18" s="456" t="s">
        <v>1247</v>
      </c>
      <c r="C18" s="271">
        <f>UNMM0100_B_HYOJI_KENSU-1</f>
        <v>-1</v>
      </c>
    </row>
    <row r="19" spans="1:3" ht="18.75">
      <c r="A19" s="163"/>
      <c r="B19" s="456"/>
      <c r="C19" s="163"/>
    </row>
    <row r="20" spans="1:3" ht="18.75">
      <c r="A20" s="163" t="s">
        <v>797</v>
      </c>
      <c r="B20" s="456" t="s">
        <v>1248</v>
      </c>
      <c r="C20" s="271" t="str">
        <f>ADDRESS(ROW(UNMM0100_B_GHO)+1,COLUMN(UNMM0100_B_GHO)-1)</f>
        <v>$E$3</v>
      </c>
    </row>
    <row r="21" spans="1:3" ht="18.75">
      <c r="A21" s="163" t="s">
        <v>799</v>
      </c>
      <c r="B21" s="456" t="s">
        <v>1249</v>
      </c>
      <c r="C21" s="271"/>
    </row>
    <row r="22" spans="1:3" ht="18.75">
      <c r="A22" s="163" t="s">
        <v>801</v>
      </c>
      <c r="B22" s="456" t="s">
        <v>1250</v>
      </c>
      <c r="C22" s="271" t="str">
        <f>ADDRESS(ROW(A1),COLUMN(A1))&amp;":"&amp;ADDRESS(ROW(D1),COLUMN(D1))&amp;","&amp;ADDRESS(ROW(UNMM0100_B_TUCHI_BUSHO_CD),COLUMN(UNMM0100_B_TUCHI_BUSHO_CD))&amp;","&amp;ADDRESS(ROW(UNMM0100_B_TUCHI_TANTOSHA_CD),COLUMN(UNMM0100_B_TUCHI_TANTOSHA_CD))&amp;","&amp;ADDRESS(ROW(UNMM0100_B_INFO_ID),COLUMN(UNMM0100_B_INFO_ID))</f>
        <v>$A$1:$D$1,$G$2,$I$2,$K$2</v>
      </c>
    </row>
  </sheetData>
  <sheetProtection sheet="1" objects="1" scenarios="1" selectLockedCells="1"/>
  <phoneticPr fontId="2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B1:U48"/>
  <sheetViews>
    <sheetView workbookViewId="0">
      <selection activeCell="E14" sqref="E14"/>
    </sheetView>
  </sheetViews>
  <sheetFormatPr defaultRowHeight="13.5"/>
  <cols>
    <col min="1" max="2" width="9" style="130"/>
    <col min="3" max="3" width="18.625" style="130" customWidth="1"/>
    <col min="4" max="4" width="23.25" style="130" customWidth="1"/>
    <col min="5" max="5" width="11.75" style="130" customWidth="1"/>
    <col min="6" max="7" width="6.75" style="130" customWidth="1"/>
    <col min="8" max="11" width="9" style="130"/>
    <col min="12" max="12" width="18.625" style="130" customWidth="1"/>
    <col min="13" max="13" width="27.75" style="130" customWidth="1"/>
    <col min="14" max="14" width="21.5" style="130" customWidth="1"/>
    <col min="15" max="15" width="3.375" style="130" customWidth="1"/>
    <col min="16" max="19" width="17.125" style="130" customWidth="1"/>
    <col min="20" max="21" width="17.625" style="130" customWidth="1"/>
    <col min="22" max="16384" width="9" style="130"/>
  </cols>
  <sheetData>
    <row r="1" spans="2:21">
      <c r="B1" s="85" t="s">
        <v>171</v>
      </c>
      <c r="D1" s="129"/>
      <c r="E1" s="124"/>
    </row>
    <row r="2" spans="2:21">
      <c r="C2" s="130" t="s">
        <v>172</v>
      </c>
      <c r="D2" s="129" t="s">
        <v>1251</v>
      </c>
      <c r="E2" s="131"/>
      <c r="F2" s="130" t="s">
        <v>1252</v>
      </c>
      <c r="G2" s="130" t="s">
        <v>175</v>
      </c>
    </row>
    <row r="3" spans="2:21">
      <c r="J3" s="85" t="s">
        <v>121</v>
      </c>
      <c r="N3" s="241"/>
      <c r="O3" s="241"/>
      <c r="P3" s="241"/>
      <c r="Q3" s="241"/>
      <c r="R3" s="241"/>
      <c r="S3" s="241"/>
      <c r="T3" s="241"/>
    </row>
    <row r="4" spans="2:21" ht="16.5">
      <c r="B4" s="85" t="s">
        <v>104</v>
      </c>
      <c r="C4" s="129"/>
      <c r="D4" s="124"/>
      <c r="O4" s="219" t="s">
        <v>1228</v>
      </c>
      <c r="P4" s="219" t="s">
        <v>1229</v>
      </c>
      <c r="Q4" s="219" t="s">
        <v>1230</v>
      </c>
      <c r="R4" s="219" t="s">
        <v>1231</v>
      </c>
      <c r="S4" s="219" t="s">
        <v>1232</v>
      </c>
      <c r="T4" s="219" t="s">
        <v>1233</v>
      </c>
    </row>
    <row r="5" spans="2:21" ht="16.5">
      <c r="C5" s="130" t="s">
        <v>105</v>
      </c>
      <c r="D5" s="129" t="s">
        <v>1253</v>
      </c>
      <c r="E5" s="131"/>
      <c r="M5" s="243" t="s">
        <v>153</v>
      </c>
      <c r="N5" s="129" t="s">
        <v>1254</v>
      </c>
      <c r="O5" s="83"/>
      <c r="P5" s="136"/>
      <c r="Q5" s="83"/>
      <c r="R5" s="136"/>
      <c r="S5" s="83"/>
      <c r="T5" s="136"/>
    </row>
    <row r="6" spans="2:21" ht="16.5">
      <c r="C6" s="130" t="s">
        <v>107</v>
      </c>
      <c r="D6" s="129" t="s">
        <v>1255</v>
      </c>
      <c r="E6" s="131"/>
      <c r="M6" s="130" t="s">
        <v>804</v>
      </c>
      <c r="N6" s="129" t="s">
        <v>1256</v>
      </c>
      <c r="O6" s="263"/>
      <c r="P6" s="340"/>
      <c r="Q6" s="340"/>
      <c r="R6" s="340"/>
      <c r="S6" s="340"/>
      <c r="T6" s="224"/>
    </row>
    <row r="7" spans="2:21" ht="16.5">
      <c r="C7" s="130" t="s">
        <v>108</v>
      </c>
      <c r="D7" s="129" t="s">
        <v>1257</v>
      </c>
      <c r="E7" s="131"/>
      <c r="I7" s="243"/>
      <c r="J7" s="243"/>
      <c r="M7" s="130" t="s">
        <v>806</v>
      </c>
      <c r="N7" s="129" t="s">
        <v>1258</v>
      </c>
      <c r="O7" s="263">
        <f>ROW()-ROW(UNMM0100_B_GHO)</f>
        <v>5</v>
      </c>
      <c r="P7" s="340"/>
      <c r="Q7" s="341"/>
      <c r="R7" s="224"/>
      <c r="S7" s="341"/>
      <c r="T7" s="224">
        <f>UNMM0100_H_INFO_ID</f>
        <v>0</v>
      </c>
    </row>
    <row r="8" spans="2:21">
      <c r="C8" s="130" t="s">
        <v>106</v>
      </c>
      <c r="D8" s="129" t="s">
        <v>1259</v>
      </c>
      <c r="E8" s="131"/>
      <c r="F8" s="243"/>
      <c r="G8" s="243"/>
      <c r="N8" s="241"/>
      <c r="O8" s="241" t="s">
        <v>1260</v>
      </c>
      <c r="P8" s="241"/>
      <c r="Q8" s="241"/>
      <c r="R8" s="241"/>
      <c r="S8" s="241"/>
    </row>
    <row r="9" spans="2:21">
      <c r="D9" s="129"/>
      <c r="E9" s="124"/>
      <c r="N9" s="241"/>
      <c r="O9" s="241"/>
      <c r="P9" s="241"/>
      <c r="Q9" s="241"/>
      <c r="R9" s="241"/>
      <c r="S9" s="241"/>
      <c r="T9" s="241"/>
      <c r="U9" s="241"/>
    </row>
    <row r="10" spans="2:21">
      <c r="B10" s="85" t="s">
        <v>103</v>
      </c>
      <c r="D10" s="129"/>
      <c r="E10" s="124"/>
      <c r="N10" s="241"/>
      <c r="O10" s="241"/>
      <c r="P10" s="241"/>
      <c r="Q10" s="241"/>
      <c r="R10" s="241"/>
      <c r="S10" s="241"/>
      <c r="T10" s="241"/>
      <c r="U10" s="241"/>
    </row>
    <row r="11" spans="2:21">
      <c r="C11" s="130" t="s">
        <v>39</v>
      </c>
      <c r="D11" s="129" t="s">
        <v>1261</v>
      </c>
      <c r="E11" s="131">
        <v>0</v>
      </c>
      <c r="F11" s="23" t="s">
        <v>1262</v>
      </c>
      <c r="G11" s="23" t="s">
        <v>56</v>
      </c>
      <c r="N11" s="241"/>
      <c r="O11" s="241"/>
      <c r="P11" s="241"/>
      <c r="Q11" s="241"/>
      <c r="R11" s="241"/>
      <c r="S11" s="241"/>
      <c r="T11" s="241"/>
      <c r="U11" s="241"/>
    </row>
    <row r="12" spans="2:21">
      <c r="D12" s="129"/>
      <c r="F12" s="23"/>
      <c r="G12" s="23"/>
      <c r="I12" s="130" t="s">
        <v>811</v>
      </c>
      <c r="J12" s="129" t="s">
        <v>1263</v>
      </c>
      <c r="K12" s="246" t="e">
        <f ca="1">IF(AND(R12="",S12=""),"",IF(OR(R12="",S12=""),TRUE,FALSE))</f>
        <v>#REF!</v>
      </c>
      <c r="L12" s="339" t="e">
        <f ca="1">IF(K12="","",UNMM0100_IF_SAVE_W_USER_ID)</f>
        <v>#REF!</v>
      </c>
      <c r="M12" s="246" t="e">
        <f ca="1">IF(K12="","",UNMM0100_IF_SAVE_W_SERIAL)</f>
        <v>#REF!</v>
      </c>
      <c r="N12" s="246" t="e">
        <f ca="1">IF(K12="","",1+ROW()-ROW(UNMM0100_IF_SAVE_COPY_START))</f>
        <v>#REF!</v>
      </c>
      <c r="O12" s="246" t="e">
        <f ca="1">IF(K12="","",UNMM0100_IF_SAVE_W_MODE)</f>
        <v>#REF!</v>
      </c>
      <c r="P12" s="342" t="e">
        <f ca="1">IF(K12="","",UNMM0100_H_INFO_ID)</f>
        <v>#REF!</v>
      </c>
      <c r="Q12" s="247" t="e">
        <f ca="1">IF(K12="","",IF(ROW()-ROW(UNMM0100_IF_SAVE_SEQ)=1,1,MAX(OFFSET(UNMM0100_IF_SAVE_SEQ,1,0,ROW()-ROW(UNMM0100_IF_SAVE_SEQ)-1))+1))</f>
        <v>#REF!</v>
      </c>
      <c r="R12" s="342" t="e">
        <f ca="1">IF(T12="","",OFFSET(UNMM0100_B_TUCHI_BUSHO_CD,1+ROW()-ROW(UNMM0100_IF_SAVE_COPY_START),0))</f>
        <v>#REF!</v>
      </c>
      <c r="S12" s="342" t="e">
        <f ca="1">IF(U12="","",OFFSET(UNMM0100_B_TUCHI_TANTOSHA_CD,1+ROW()-ROW(UNMM0100_IF_SAVE_COPY_START),0))</f>
        <v>#REF!</v>
      </c>
      <c r="T12" s="342" t="e">
        <f ca="1">IF(OFFSET(UNMM0100_B_TUCHI_BUSHO,1+ROW()-ROW(UNMM0100_IF_SAVE_COPY_START),0)="","",OFFSET(UNMM0100_B_TUCHI_BUSHO,1+ROW()-ROW(UNMM0100_IF_SAVE_COPY_START),0))</f>
        <v>#REF!</v>
      </c>
      <c r="U12" s="342" t="e">
        <f ca="1">IF(OFFSET(UNMM0100_B_TUCHI_TANTOSHA,1+ROW()-ROW(UNMM0100_IF_SAVE_COPY_START),0)="","",OFFSET(UNMM0100_B_TUCHI_TANTOSHA,1+ROW()-ROW(UNMM0100_IF_SAVE_COPY_START),0))</f>
        <v>#REF!</v>
      </c>
    </row>
    <row r="13" spans="2:21">
      <c r="B13" s="85" t="s">
        <v>41</v>
      </c>
      <c r="D13" s="129"/>
      <c r="E13" s="124"/>
      <c r="F13" s="85" t="s">
        <v>49</v>
      </c>
      <c r="O13" s="241"/>
      <c r="Q13" s="241"/>
      <c r="R13" s="241"/>
      <c r="S13" s="241"/>
    </row>
    <row r="14" spans="2:21">
      <c r="C14" s="130" t="s">
        <v>43</v>
      </c>
      <c r="D14" s="129" t="s">
        <v>1264</v>
      </c>
      <c r="E14" s="131" t="str">
        <f>IF(UNMM0100_IF_MODE=1,"修正キャンセル","修正")</f>
        <v>修正</v>
      </c>
      <c r="F14" s="130" t="s">
        <v>1265</v>
      </c>
      <c r="G14" s="130" t="s">
        <v>1266</v>
      </c>
      <c r="K14" s="85" t="s">
        <v>76</v>
      </c>
      <c r="O14" s="241"/>
      <c r="Q14" s="129" t="s">
        <v>1267</v>
      </c>
      <c r="R14" s="241"/>
      <c r="S14" s="241"/>
    </row>
    <row r="15" spans="2:21" ht="16.5">
      <c r="D15" s="129"/>
      <c r="E15" s="124"/>
      <c r="I15" s="130" t="s">
        <v>814</v>
      </c>
      <c r="J15" s="129" t="s">
        <v>1268</v>
      </c>
      <c r="K15" s="248" t="s">
        <v>814</v>
      </c>
      <c r="L15" s="242" t="s">
        <v>1269</v>
      </c>
      <c r="M15" s="242" t="s">
        <v>1270</v>
      </c>
      <c r="N15" s="242" t="s">
        <v>817</v>
      </c>
      <c r="O15" s="242" t="s">
        <v>1271</v>
      </c>
      <c r="P15" s="219" t="s">
        <v>1272</v>
      </c>
      <c r="Q15" s="267" t="s">
        <v>1273</v>
      </c>
      <c r="R15" s="219" t="s">
        <v>1229</v>
      </c>
      <c r="S15" s="219" t="s">
        <v>1231</v>
      </c>
      <c r="T15" s="219" t="s">
        <v>1230</v>
      </c>
      <c r="U15" s="219" t="s">
        <v>1232</v>
      </c>
    </row>
    <row r="16" spans="2:21">
      <c r="B16" s="85" t="s">
        <v>45</v>
      </c>
      <c r="D16" s="129"/>
      <c r="E16" s="124"/>
      <c r="F16" s="85" t="s">
        <v>49</v>
      </c>
      <c r="I16" s="130" t="s">
        <v>822</v>
      </c>
      <c r="J16" s="129" t="s">
        <v>1274</v>
      </c>
      <c r="K16" s="51"/>
    </row>
    <row r="17" spans="2:7">
      <c r="C17" s="130" t="s">
        <v>1275</v>
      </c>
      <c r="D17" s="129" t="s">
        <v>1276</v>
      </c>
      <c r="E17" s="131">
        <f>IF(UNMM0100_IF_MODE=1,1,2)</f>
        <v>2</v>
      </c>
      <c r="F17" s="130" t="s">
        <v>63</v>
      </c>
      <c r="G17" s="130" t="s">
        <v>64</v>
      </c>
    </row>
    <row r="18" spans="2:7">
      <c r="C18" s="130" t="s">
        <v>906</v>
      </c>
      <c r="D18" s="129" t="s">
        <v>1277</v>
      </c>
      <c r="E18" s="131">
        <f>IF(UNMM0100_IF_MODE=1,1,2)</f>
        <v>2</v>
      </c>
      <c r="F18" s="130" t="s">
        <v>63</v>
      </c>
      <c r="G18" s="130" t="s">
        <v>64</v>
      </c>
    </row>
    <row r="19" spans="2:7">
      <c r="C19" s="130" t="s">
        <v>739</v>
      </c>
      <c r="D19" s="129" t="s">
        <v>1278</v>
      </c>
      <c r="E19" s="131">
        <f>IF(UNMM0100_IF_MODE=1,1,2)</f>
        <v>2</v>
      </c>
      <c r="F19" s="130" t="s">
        <v>63</v>
      </c>
      <c r="G19" s="130" t="s">
        <v>64</v>
      </c>
    </row>
    <row r="20" spans="2:7">
      <c r="C20" s="130" t="s">
        <v>909</v>
      </c>
      <c r="D20" s="129" t="s">
        <v>1279</v>
      </c>
      <c r="E20" s="131">
        <f>IF(UNMM0100_IF_MODE=1,1,2)</f>
        <v>2</v>
      </c>
      <c r="F20" s="130" t="s">
        <v>63</v>
      </c>
      <c r="G20" s="130" t="s">
        <v>64</v>
      </c>
    </row>
    <row r="21" spans="2:7">
      <c r="C21" s="130" t="s">
        <v>54</v>
      </c>
      <c r="D21" s="129" t="s">
        <v>1280</v>
      </c>
      <c r="E21" s="131">
        <f>IF(UNMM0100_IF_MODE=1,2,1)</f>
        <v>1</v>
      </c>
      <c r="F21" s="130" t="s">
        <v>64</v>
      </c>
      <c r="G21" s="130" t="s">
        <v>63</v>
      </c>
    </row>
    <row r="23" spans="2:7">
      <c r="B23" s="85" t="s">
        <v>45</v>
      </c>
    </row>
    <row r="24" spans="2:7">
      <c r="C24" s="130" t="s">
        <v>909</v>
      </c>
      <c r="D24" s="129" t="s">
        <v>1975</v>
      </c>
      <c r="E24" s="131">
        <f>IF(OR(UNMM0100_IF_ACTIVE_ROW&lt;=ROW(UNMM0100_B_GHO),UNMM0100_IF_ACTIVE_ROW&gt;ROW(UNMM0100_B_GHO)+UNMM0100_B_HYOJI_KENSU),1,0)</f>
        <v>1</v>
      </c>
      <c r="F24" s="130" t="s">
        <v>1976</v>
      </c>
      <c r="G24" s="130" t="s">
        <v>1977</v>
      </c>
    </row>
    <row r="27" spans="2:7">
      <c r="B27" s="85" t="s">
        <v>42</v>
      </c>
      <c r="D27" s="129"/>
    </row>
    <row r="28" spans="2:7">
      <c r="B28" s="85"/>
      <c r="C28" s="130" t="s">
        <v>834</v>
      </c>
      <c r="D28" s="129"/>
    </row>
    <row r="29" spans="2:7">
      <c r="C29" s="130" t="s">
        <v>835</v>
      </c>
      <c r="D29" s="129" t="s">
        <v>1281</v>
      </c>
      <c r="E29" s="131"/>
    </row>
    <row r="30" spans="2:7">
      <c r="C30" s="130" t="s">
        <v>746</v>
      </c>
      <c r="D30" s="129" t="s">
        <v>1282</v>
      </c>
      <c r="E30" s="249">
        <f ca="1">NOW()</f>
        <v>42991.659979282405</v>
      </c>
    </row>
    <row r="31" spans="2:7">
      <c r="C31" s="130" t="s">
        <v>702</v>
      </c>
      <c r="D31" s="129" t="s">
        <v>1283</v>
      </c>
      <c r="E31" s="131">
        <v>2</v>
      </c>
    </row>
    <row r="32" spans="2:7">
      <c r="C32" s="130" t="s">
        <v>839</v>
      </c>
      <c r="D32" s="129" t="s">
        <v>1284</v>
      </c>
      <c r="E32" s="131">
        <f ca="1">IF(UNMM0100_B_HYOJI_KENSU=0,0,COUNTIF(OFFSET(UNMM0100_IF_SAVE_INPUT_CHECK_COLUMN,1,0,UNMM0100_B_HYOJI_KENSU),TRUE))</f>
        <v>0</v>
      </c>
    </row>
    <row r="33" spans="2:6">
      <c r="C33" s="130" t="s">
        <v>841</v>
      </c>
      <c r="D33" s="129" t="s">
        <v>1285</v>
      </c>
      <c r="E33" s="131" t="str">
        <f ca="1">ADDRESS(ROW(OFFSET(UNMM0100_IF_SAVE_COPY_START,0,1)),COLUMN(OFFSET(UNMM0100_IF_SAVE_COPY_START,0,1)))</f>
        <v>$L$16</v>
      </c>
    </row>
    <row r="35" spans="2:6">
      <c r="C35" s="130" t="s">
        <v>843</v>
      </c>
    </row>
    <row r="36" spans="2:6">
      <c r="C36" s="130" t="s">
        <v>844</v>
      </c>
      <c r="D36" s="129" t="s">
        <v>1286</v>
      </c>
      <c r="E36" s="51" t="str">
        <f>"UNMM0100_IF!"&amp;ADDRESS(ROW(UNMM0100_IF_SAVE_COPY_START),COLUMN(UNMM0100_IF_SAVE_COPY_START))&amp;":"
&amp;ADDRESS(ROW(UNMM0100_IF_SAVE_COPY_START)+UNMM0100_B_HYOJI_KENSU-1,COLUMN(UNMM0100_IF_SAVE_COPY_START)+COLUMNS(UNMM0100_IF_SAVE_COPY_MOTO)-1)</f>
        <v>UNMM0100_IF!$K$16:$U$15</v>
      </c>
    </row>
    <row r="38" spans="2:6">
      <c r="C38" s="130" t="s">
        <v>46</v>
      </c>
    </row>
    <row r="39" spans="2:6">
      <c r="C39" s="130" t="s">
        <v>75</v>
      </c>
      <c r="D39" s="129" t="s">
        <v>1287</v>
      </c>
      <c r="E39" s="51">
        <f ca="1">IF(UNMM0100_B_HYOJI_KENSU=0,0,IF(COUNTIF(OFFSET(UNMM0100_IF_SAVE_INPUT_CHECK_COLUMN,1,0,UNMM0100_B_HYOJI_KENSU),FALSE)&gt;0,0,1))</f>
        <v>0</v>
      </c>
      <c r="F39" s="130" t="s">
        <v>847</v>
      </c>
    </row>
    <row r="41" spans="2:6">
      <c r="C41" s="130" t="s">
        <v>465</v>
      </c>
    </row>
    <row r="42" spans="2:6">
      <c r="C42" s="130" t="s">
        <v>466</v>
      </c>
      <c r="D42" s="129" t="s">
        <v>1288</v>
      </c>
      <c r="E42" s="51"/>
    </row>
    <row r="43" spans="2:6">
      <c r="C43" s="130" t="s">
        <v>467</v>
      </c>
      <c r="D43" s="129" t="s">
        <v>1289</v>
      </c>
      <c r="E43" s="51"/>
    </row>
    <row r="44" spans="2:6">
      <c r="C44" s="130" t="s">
        <v>468</v>
      </c>
      <c r="D44" s="129" t="s">
        <v>1290</v>
      </c>
      <c r="E44" s="51">
        <f>IF(UNMM0100_IF_SAVE_RESULT_CD=0,2,1)</f>
        <v>2</v>
      </c>
      <c r="F44" s="130" t="s">
        <v>1291</v>
      </c>
    </row>
    <row r="45" spans="2:6">
      <c r="C45" s="130" t="s">
        <v>469</v>
      </c>
      <c r="D45" s="129" t="s">
        <v>1292</v>
      </c>
      <c r="E45" s="51" t="str">
        <f>IF(UNMM0100_IF_SAVE_W_MODE=3,"削除に失敗しました。",
IF(ISERROR(VLOOKUP(UNMM0100_IF_SAVE_RESULT_CD,UNMM_COMMON_ERROR_MESSAGE_AREA,2,FALSE)),
"保存に失敗しました。入力内容を確認後、再度実行してください。",
VLOOKUP(UNMM0100_IF_SAVE_RESULT_CD,UNMM_COMMON_ERROR_MESSAGE_AREA,2,FALSE)))</f>
        <v>保存に失敗しました。入力内容を確認後、再度実行してください。</v>
      </c>
    </row>
    <row r="47" spans="2:6">
      <c r="B47" s="85" t="s">
        <v>928</v>
      </c>
    </row>
    <row r="48" spans="2:6">
      <c r="C48" s="130" t="s">
        <v>929</v>
      </c>
      <c r="D48" s="129" t="s">
        <v>1293</v>
      </c>
      <c r="E48" s="51" t="str">
        <f ca="1">"インフォメーション通知先_"&amp;UNMM0100_H_INFO_MEI&amp;"_"&amp;TEXT(NOW(),"YYYYMMDD")</f>
        <v>インフォメーション通知先__20170913</v>
      </c>
    </row>
  </sheetData>
  <dataConsolidate/>
  <phoneticPr fontId="2"/>
  <conditionalFormatting sqref="S7">
    <cfRule type="expression" dxfId="14" priority="1">
      <formula>Q7&lt;&gt;""</formula>
    </cfRule>
  </conditionalFormatting>
  <conditionalFormatting sqref="Q7">
    <cfRule type="expression" dxfId="13" priority="2">
      <formula>S7&lt;&gt;""</formula>
    </cfRule>
  </conditionalFormatting>
  <dataValidations count="1">
    <dataValidation allowBlank="1" showInputMessage="1" showErrorMessage="1" error="手入力禁止です。" sqref="Q7 S7"/>
  </dataValidation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B1:E6"/>
  <sheetViews>
    <sheetView workbookViewId="0">
      <selection activeCell="F29" sqref="F29"/>
    </sheetView>
  </sheetViews>
  <sheetFormatPr defaultRowHeight="13.5"/>
  <cols>
    <col min="1" max="1" width="9" style="130"/>
    <col min="2" max="2" width="24.25" style="130" bestFit="1" customWidth="1"/>
    <col min="3" max="3" width="19" style="130" customWidth="1"/>
    <col min="4" max="4" width="73.875" style="130" customWidth="1"/>
    <col min="5" max="5" width="10.625" style="130" customWidth="1"/>
    <col min="6" max="16384" width="9" style="130"/>
  </cols>
  <sheetData>
    <row r="1" spans="2:5">
      <c r="B1" s="208"/>
      <c r="C1" s="34" t="s">
        <v>1272</v>
      </c>
      <c r="D1" s="29">
        <f>UNMM0100_H_INFO_ID</f>
        <v>0</v>
      </c>
    </row>
    <row r="2" spans="2:5">
      <c r="B2" s="208"/>
      <c r="C2" s="26"/>
      <c r="D2" s="29"/>
    </row>
    <row r="3" spans="2:5" ht="54">
      <c r="B3" s="25" t="s">
        <v>1319</v>
      </c>
      <c r="C3" s="26" t="s">
        <v>1294</v>
      </c>
      <c r="D3" s="207" t="str">
        <f>D4&amp;D5&amp;D6</f>
        <v xml:space="preserve">SELECT *
  FROM V_INFO_TUCHI_LIST
 ORDER BY SEQ
</v>
      </c>
    </row>
    <row r="4" spans="2:5" ht="40.5">
      <c r="B4" s="208"/>
      <c r="C4" s="208" t="s">
        <v>1295</v>
      </c>
      <c r="D4" s="29" t="s">
        <v>1331</v>
      </c>
    </row>
    <row r="5" spans="2:5">
      <c r="B5" s="208"/>
      <c r="C5" s="208" t="s">
        <v>154</v>
      </c>
      <c r="D5" s="29" t="str">
        <f>IF(D1=0,""," WHERE V_INFO_TUCHI_LIST.INFO_ID = "&amp;D1)</f>
        <v/>
      </c>
    </row>
    <row r="6" spans="2:5" ht="27">
      <c r="C6" s="26" t="s">
        <v>138</v>
      </c>
      <c r="D6" s="29" t="str">
        <f>" ORDER BY "&amp;E6&amp;"
"</f>
        <v xml:space="preserve"> ORDER BY SEQ
</v>
      </c>
      <c r="E6" s="46" t="s">
        <v>1273</v>
      </c>
    </row>
  </sheetData>
  <phoneticPr fontId="2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rgb="FFFFFF00"/>
  </sheetPr>
  <dimension ref="A1:I3"/>
  <sheetViews>
    <sheetView showGridLines="0" showRowColHeaders="0" topLeftCell="F1" workbookViewId="0">
      <selection activeCell="H3" sqref="H3"/>
    </sheetView>
  </sheetViews>
  <sheetFormatPr defaultRowHeight="16.5"/>
  <cols>
    <col min="1" max="5" width="9" style="66" hidden="1" customWidth="1"/>
    <col min="6" max="6" width="3.375" style="171" customWidth="1"/>
    <col min="7" max="9" width="11.75" style="171" customWidth="1"/>
    <col min="10" max="10" width="5.125" style="171" customWidth="1"/>
    <col min="11" max="16" width="11.75" style="171" customWidth="1"/>
    <col min="17" max="17" width="3.375" style="171" customWidth="1"/>
    <col min="18" max="16384" width="9" style="171"/>
  </cols>
  <sheetData>
    <row r="1" spans="1:9" s="169" customFormat="1" ht="19.5">
      <c r="A1" s="168"/>
      <c r="B1" s="168"/>
      <c r="C1" s="168"/>
      <c r="D1" s="168"/>
      <c r="E1" s="168"/>
      <c r="F1" s="169" t="s">
        <v>764</v>
      </c>
      <c r="I1" s="169" t="str">
        <f>IF(UNMM0110_IF_MODE=1,"【修正モード】","【参照モード】")</f>
        <v>【参照モード】</v>
      </c>
    </row>
    <row r="2" spans="1:9">
      <c r="B2" s="66" t="s">
        <v>799</v>
      </c>
      <c r="C2" s="66" t="s">
        <v>2067</v>
      </c>
      <c r="D2" s="65"/>
      <c r="F2" s="171" t="s">
        <v>765</v>
      </c>
    </row>
    <row r="3" spans="1:9">
      <c r="B3" s="66" t="s">
        <v>801</v>
      </c>
      <c r="C3" s="66" t="s">
        <v>2068</v>
      </c>
      <c r="D3" s="65" t="str">
        <f>ADDRESS(ROW(A1),COLUMN(A1))&amp;":"&amp;ADDRESS(ROW(E1),COLUMN(E1))</f>
        <v>$A$1:$E$1</v>
      </c>
      <c r="G3" s="173" t="s">
        <v>766</v>
      </c>
      <c r="H3" s="272"/>
    </row>
  </sheetData>
  <sheetProtection sheet="1" objects="1" scenarios="1" selectLockedCells="1"/>
  <phoneticPr fontId="2"/>
  <dataValidations count="1">
    <dataValidation type="custom" allowBlank="1" showInputMessage="1" showErrorMessage="1" sqref="H3">
      <formula1>AND(LEN(H3)=LENB(H3),LEN(H3)&lt;=4)</formula1>
    </dataValidation>
  </dataValidations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rgb="FFFFFF00"/>
  </sheetPr>
  <dimension ref="A1:K29"/>
  <sheetViews>
    <sheetView showGridLines="0" showRowColHeaders="0" zoomScaleNormal="100" workbookViewId="0">
      <pane ySplit="3" topLeftCell="A4" activePane="bottomLeft" state="frozen"/>
      <selection activeCell="F29" sqref="F29"/>
      <selection pane="bottomLeft" sqref="A1:D1"/>
    </sheetView>
  </sheetViews>
  <sheetFormatPr defaultRowHeight="16.5"/>
  <cols>
    <col min="1" max="1" width="15.875" style="66" hidden="1" customWidth="1"/>
    <col min="2" max="2" width="29" style="66" hidden="1" customWidth="1"/>
    <col min="3" max="3" width="20.5" style="66" hidden="1" customWidth="1"/>
    <col min="4" max="4" width="9" style="66" hidden="1" customWidth="1"/>
    <col min="5" max="5" width="3.375" style="171" customWidth="1"/>
    <col min="6" max="6" width="3.375" style="348" customWidth="1"/>
    <col min="7" max="7" width="8" style="348" bestFit="1" customWidth="1"/>
    <col min="8" max="8" width="58.75" style="348" customWidth="1"/>
    <col min="9" max="11" width="9.625" style="348" bestFit="1" customWidth="1"/>
    <col min="12" max="13" width="11.75" style="171" customWidth="1"/>
    <col min="14" max="14" width="3.375" style="171" customWidth="1"/>
    <col min="15" max="16384" width="9" style="171"/>
  </cols>
  <sheetData>
    <row r="1" spans="1:11" s="169" customFormat="1" ht="19.5">
      <c r="A1" s="66"/>
      <c r="B1" s="66"/>
      <c r="C1" s="66"/>
      <c r="D1" s="168"/>
      <c r="F1" s="366"/>
      <c r="G1" s="366"/>
      <c r="H1" s="366"/>
      <c r="I1" s="366"/>
      <c r="J1" s="366"/>
      <c r="K1" s="366"/>
    </row>
    <row r="3" spans="1:11" s="237" customFormat="1">
      <c r="A3" s="459"/>
      <c r="B3" s="459"/>
      <c r="C3" s="459"/>
      <c r="D3" s="459"/>
      <c r="F3" s="367" t="s">
        <v>15</v>
      </c>
      <c r="G3" s="368" t="s">
        <v>767</v>
      </c>
      <c r="H3" s="368" t="s">
        <v>768</v>
      </c>
      <c r="I3" s="368" t="s">
        <v>769</v>
      </c>
      <c r="J3" s="368" t="s">
        <v>770</v>
      </c>
      <c r="K3" s="368" t="s">
        <v>771</v>
      </c>
    </row>
    <row r="4" spans="1:11">
      <c r="A4" s="66" t="s">
        <v>772</v>
      </c>
      <c r="B4" s="66" t="s">
        <v>773</v>
      </c>
      <c r="C4" s="65"/>
    </row>
    <row r="5" spans="1:11">
      <c r="A5" s="66" t="s">
        <v>774</v>
      </c>
      <c r="B5" s="66" t="s">
        <v>775</v>
      </c>
      <c r="C5" s="65">
        <v>0</v>
      </c>
    </row>
    <row r="6" spans="1:11">
      <c r="A6" s="66" t="s">
        <v>776</v>
      </c>
      <c r="B6" s="66" t="s">
        <v>777</v>
      </c>
      <c r="C6" s="65">
        <v>0</v>
      </c>
    </row>
    <row r="7" spans="1:11">
      <c r="A7" s="66" t="s">
        <v>125</v>
      </c>
      <c r="B7" s="66" t="s">
        <v>778</v>
      </c>
      <c r="C7" s="65">
        <f>UNMM0110_B_GET_DATA_SU+UNMM0110_B_TSUIKAHYOJI_KENSU+UNMM0110_B_GYO_SU_HENDOU</f>
        <v>0</v>
      </c>
    </row>
    <row r="9" spans="1:11">
      <c r="A9" s="66" t="s">
        <v>141</v>
      </c>
      <c r="B9" s="66" t="s">
        <v>779</v>
      </c>
      <c r="C9" s="65" t="str">
        <f>ADDRESS(ROW(UNMM0110_B_SENTAKU)+1,COLUMN(UNMM0110_B_SENTAKU))</f>
        <v>$F$4</v>
      </c>
    </row>
    <row r="10" spans="1:11">
      <c r="A10" s="66" t="s">
        <v>145</v>
      </c>
      <c r="B10" s="66" t="s">
        <v>780</v>
      </c>
      <c r="C10" s="65" t="str">
        <f>ADDRESS(ROW(UNMM0110_B_SENTAKU)+UNMM0110_B_HYOJI_KENSU,COLUMN(UNMM0110_B_SENTAKU)+COLUMNS(UNMM0110_IF_B_LIST_DEFAULT)-1)</f>
        <v>$K$3</v>
      </c>
    </row>
    <row r="11" spans="1:11">
      <c r="A11" s="66" t="s">
        <v>781</v>
      </c>
      <c r="B11" s="66" t="s">
        <v>782</v>
      </c>
      <c r="C11" s="65" t="str">
        <f>IF(UNMM0110_B_GET_DATA_SU=0,"",UNMM0110_B_LIST_START&amp;":"&amp;
ADDRESS(ROW(UNMM0110_B_SENTAKU)+UNMM0110_B_GET_DATA_SU,COLUMN(UNMM0110_B_SENTAKU)+COLUMNS(UNMM0110_IF_B_LIST_COPY_MODE_SANSHO_MOTO)-1))</f>
        <v/>
      </c>
    </row>
    <row r="12" spans="1:11">
      <c r="A12" s="66" t="s">
        <v>783</v>
      </c>
      <c r="B12" s="66" t="s">
        <v>784</v>
      </c>
      <c r="C12" s="65" t="str">
        <f>IF(UNMM0110_B_TSUIKAHYOJI_KENSU=0,"",ADDRESS(ROW(UNMM0110_B_SENTAKU)+UNMM0110_B_GET_DATA_SU+1,COLUMN(UNMM0110_B_SENTAKU))&amp;":"&amp;ADDRESS(ROW(UNMM0110_B_SENTAKU)+UNMM0110_B_HYOJI_KENSU,COLUMN(UNMM0110_B_SENTAKU)+COLUMNS(UNMM0110_IF_B_LIST_COPY_MODE_SANSHO_MOTO)-1))</f>
        <v/>
      </c>
    </row>
    <row r="13" spans="1:11">
      <c r="A13" s="66" t="s">
        <v>140</v>
      </c>
      <c r="B13" s="66" t="s">
        <v>785</v>
      </c>
      <c r="C13" s="65" t="str">
        <f>ADDRESS(ROW(UNMM0110_B_SENTAKU)+1,COLUMN(UNMM0110_B_SENTAKU))&amp;":"&amp;
ADDRESS(ROW(UNMM0110_B_SENTAKU)+1+IF(UNMM0110_B_HYOJI_KENSU=0,UNMM0110_B_HYOJI_KENSU,UNMM0110_B_HYOJI_KENSU-1),COLUMN(UNMM0110_B_SENTAKU)+COLUMNS(UNMM0110_IF_B_LIST_DEFAULT)-1)</f>
        <v>$F$4:$K$4</v>
      </c>
    </row>
    <row r="14" spans="1:11">
      <c r="A14" s="370"/>
    </row>
    <row r="15" spans="1:11">
      <c r="A15" s="66" t="s">
        <v>147</v>
      </c>
      <c r="B15" s="66" t="s">
        <v>786</v>
      </c>
      <c r="C15" s="65"/>
    </row>
    <row r="16" spans="1:11">
      <c r="A16" s="66" t="s">
        <v>787</v>
      </c>
      <c r="B16" s="66" t="s">
        <v>788</v>
      </c>
      <c r="C16" s="65" t="str">
        <f>IF(OR(UNMM0110_B_SELECT_GYO_NO&lt;ROW(UNMM0110_B_SENTAKU),UNMM0110_B_SELECT_GYO_NO&gt;(ROW(UNMM0110_B_SENTAKU)+UNMM0110_B_HYOJI_KENSU)),
ADDRESS(ROW(UNMM0110_B_SENTAKU),COLUMN(UNMM0110_B_SENTAKU))&amp;":"&amp;ADDRESS(ROW(UNMM0110_B_SENTAKU),COLUMN(UNMM0110_B_SENTAKU)+COLUMNS(UNMM0110_IF_B_LIST_DEFAULT)-1),
ADDRESS(UNMM0110_B_SELECT_GYO_NO,COLUMN(UNMM0110_B_SENTAKU))&amp;":"&amp;ADDRESS(UNMM0110_B_SELECT_GYO_NO,COLUMN(UNMM0110_B_SENTAKU)+COLUMNS(UNMM0110_IF_B_LIST_DEFAULT)-1))</f>
        <v>$F$3:$K$3</v>
      </c>
    </row>
    <row r="17" spans="1:3">
      <c r="A17" s="66" t="s">
        <v>789</v>
      </c>
      <c r="B17" s="66" t="s">
        <v>790</v>
      </c>
      <c r="C17" s="65" t="str">
        <f>IF(OR(UNMM0110_B_SELECT_GYO_NO&lt;ROW(UNMM0110_B_SENTAKU),UNMM0110_B_SELECT_GYO_NO&gt;(ROW(UNMM0110_B_SENTAKU)+UNMM0110_B_HYOJI_KENSU)),
ADDRESS(ROW(UNMM0110_B_SENTAKU)+1,COLUMN(UNMM0110_B_SENTAKU))&amp;":"&amp;ADDRESS(ROW(UNMM0110_B_SENTAKU)+1,COLUMN(UNMM0110_B_SENTAKU)+COLUMNS(UNMM0110_IF_B_LIST_DEFAULT)-1),
ADDRESS(UNMM0110_B_SELECT_GYO_NO+1,COLUMN(UNMM0110_B_SENTAKU))&amp;":"&amp;ADDRESS(UNMM0110_B_SELECT_GYO_NO+1,COLUMN(UNMM0110_B_SENTAKU)+COLUMNS(UNMM0110_IF_B_LIST_DEFAULT)-1))</f>
        <v>$F$4:$K$4</v>
      </c>
    </row>
    <row r="18" spans="1:3">
      <c r="A18" s="66" t="s">
        <v>767</v>
      </c>
      <c r="B18" s="66" t="s">
        <v>791</v>
      </c>
      <c r="C18" s="65" t="str">
        <f ca="1">IF(UNMM0110_B_SELECT_GYO_NO&lt;=ROW(UNMM0110_B_SENTAKU),"",INDIRECT(ADDRESS(UNMM0110_B_SELECT_GYO_NO,COLUMN(UNMM0110_B_MEISHO_KBN))))</f>
        <v/>
      </c>
    </row>
    <row r="19" spans="1:3">
      <c r="A19" s="66" t="s">
        <v>768</v>
      </c>
      <c r="B19" s="66" t="s">
        <v>792</v>
      </c>
      <c r="C19" s="65" t="str">
        <f ca="1">IF(UNMM0110_B_SELECT_GYO_NO&lt;=ROW(UNMM0110_B_SENTAKU),"",INDIRECT(ADDRESS(UNMM0110_B_SELECT_GYO_NO,COLUMN(UNMM0110_B_MEISHO))))</f>
        <v/>
      </c>
    </row>
    <row r="20" spans="1:3">
      <c r="A20" s="66" t="s">
        <v>1982</v>
      </c>
      <c r="B20" s="66" t="s">
        <v>1984</v>
      </c>
      <c r="C20" s="65" t="str">
        <f ca="1">IF(UNMM0110_B_SELECT_GYO_NO&lt;=ROW(UNMM0110_B_SENTAKU),"",INDIRECT(ADDRESS(UNMM0110_B_SELECT_GYO_NO,COLUMN(UNMM0110_B_CODE_KETASU))))</f>
        <v/>
      </c>
    </row>
    <row r="21" spans="1:3">
      <c r="A21" s="66" t="s">
        <v>770</v>
      </c>
      <c r="B21" s="66" t="s">
        <v>1985</v>
      </c>
      <c r="C21" s="65" t="str">
        <f ca="1">IF(UNMM0110_B_SELECT_GYO_NO&lt;=ROW(UNMM0110_B_SENTAKU),"",INDIRECT(ADDRESS(UNMM0110_B_SELECT_GYO_NO,COLUMN(UNMM0110_B_CODE_ZOKUSEI))))</f>
        <v/>
      </c>
    </row>
    <row r="22" spans="1:3">
      <c r="A22" s="66" t="s">
        <v>1983</v>
      </c>
      <c r="B22" s="66" t="s">
        <v>1986</v>
      </c>
      <c r="C22" s="65" t="str">
        <f ca="1">IF(UNMM0110_B_SELECT_GYO_NO&lt;=ROW(UNMM0110_B_SENTAKU),"",INDIRECT(ADDRESS(UNMM0110_B_SELECT_GYO_NO,COLUMN(UNMM0110_B_DATA_KETASU))))</f>
        <v/>
      </c>
    </row>
    <row r="24" spans="1:3">
      <c r="A24" s="66" t="s">
        <v>793</v>
      </c>
      <c r="B24" s="66" t="s">
        <v>794</v>
      </c>
      <c r="C24" s="65">
        <f>UNMM0110_B_GYO_SU_HENDOU+1</f>
        <v>1</v>
      </c>
    </row>
    <row r="25" spans="1:3">
      <c r="A25" s="66" t="s">
        <v>795</v>
      </c>
      <c r="B25" s="66" t="s">
        <v>796</v>
      </c>
      <c r="C25" s="65">
        <f>UNMM0110_B_GYO_SU_HENDOU-1</f>
        <v>-1</v>
      </c>
    </row>
    <row r="27" spans="1:3">
      <c r="A27" s="66" t="s">
        <v>797</v>
      </c>
      <c r="B27" s="66" t="s">
        <v>798</v>
      </c>
      <c r="C27" s="65" t="str">
        <f>ADDRESS(ROW(UNMM0110_B_SENTAKU)+1,COLUMN(UNMM0110_B_SENTAKU)-1)</f>
        <v>$E$4</v>
      </c>
    </row>
    <row r="28" spans="1:3">
      <c r="A28" s="66" t="s">
        <v>799</v>
      </c>
      <c r="B28" s="66" t="s">
        <v>800</v>
      </c>
      <c r="C28" s="65"/>
    </row>
    <row r="29" spans="1:3">
      <c r="A29" s="66" t="s">
        <v>801</v>
      </c>
      <c r="B29" s="66" t="s">
        <v>802</v>
      </c>
      <c r="C29" s="65" t="str">
        <f>ADDRESS(ROW(A1),COLUMN(A1))&amp;":"&amp;ADDRESS(ROW(D1),COLUMN(D1))</f>
        <v>$A$1:$D$1</v>
      </c>
    </row>
  </sheetData>
  <sheetProtection sheet="1" objects="1" scenarios="1" selectLockedCells="1"/>
  <phoneticPr fontId="2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B1:U48"/>
  <sheetViews>
    <sheetView zoomScale="80" zoomScaleNormal="80" workbookViewId="0">
      <selection activeCell="E11" sqref="E11"/>
    </sheetView>
  </sheetViews>
  <sheetFormatPr defaultRowHeight="13.5"/>
  <cols>
    <col min="1" max="2" width="9" style="130"/>
    <col min="3" max="3" width="18.625" style="130" customWidth="1"/>
    <col min="4" max="4" width="23.25" style="130" customWidth="1"/>
    <col min="5" max="5" width="11.75" style="130" customWidth="1"/>
    <col min="6" max="7" width="6.75" style="130" customWidth="1"/>
    <col min="8" max="9" width="7.5" style="130" customWidth="1"/>
    <col min="10" max="10" width="11.75" style="130" customWidth="1"/>
    <col min="11" max="11" width="24.625" style="130" customWidth="1"/>
    <col min="12" max="12" width="9.5" style="130" customWidth="1"/>
    <col min="13" max="13" width="10" style="130" customWidth="1"/>
    <col min="14" max="14" width="23.5" style="130" customWidth="1"/>
    <col min="15" max="15" width="19.875" style="130" customWidth="1"/>
    <col min="16" max="16" width="3.375" style="241" customWidth="1"/>
    <col min="17" max="17" width="8" style="241" bestFit="1" customWidth="1"/>
    <col min="18" max="18" width="58.75" style="241" customWidth="1"/>
    <col min="19" max="21" width="9.625" style="241" bestFit="1" customWidth="1"/>
    <col min="22" max="26" width="20.625" style="130" customWidth="1"/>
    <col min="27" max="16384" width="9" style="130"/>
  </cols>
  <sheetData>
    <row r="1" spans="2:21">
      <c r="D1" s="243"/>
    </row>
    <row r="2" spans="2:21">
      <c r="B2" s="85" t="s">
        <v>808</v>
      </c>
      <c r="D2" s="243"/>
    </row>
    <row r="3" spans="2:21">
      <c r="C3" s="130" t="s">
        <v>1967</v>
      </c>
      <c r="D3" s="129" t="s">
        <v>1968</v>
      </c>
      <c r="E3" s="51" t="s">
        <v>809</v>
      </c>
      <c r="L3" s="85" t="s">
        <v>121</v>
      </c>
    </row>
    <row r="4" spans="2:21" ht="16.5">
      <c r="D4" s="129"/>
      <c r="E4" s="51" t="s">
        <v>810</v>
      </c>
      <c r="P4" s="238" t="s">
        <v>15</v>
      </c>
      <c r="Q4" s="239" t="s">
        <v>767</v>
      </c>
      <c r="R4" s="239" t="s">
        <v>768</v>
      </c>
      <c r="S4" s="239" t="s">
        <v>769</v>
      </c>
      <c r="T4" s="239" t="s">
        <v>770</v>
      </c>
      <c r="U4" s="239" t="s">
        <v>771</v>
      </c>
    </row>
    <row r="5" spans="2:21" ht="16.5">
      <c r="D5" s="129"/>
      <c r="E5" s="124"/>
      <c r="N5" s="243" t="s">
        <v>153</v>
      </c>
      <c r="O5" s="129" t="s">
        <v>803</v>
      </c>
      <c r="P5" s="171"/>
      <c r="Q5" s="309"/>
      <c r="R5" s="171"/>
      <c r="S5" s="171"/>
      <c r="T5" s="171"/>
      <c r="U5" s="171"/>
    </row>
    <row r="6" spans="2:21" ht="16.5">
      <c r="B6" s="85" t="s">
        <v>103</v>
      </c>
      <c r="D6" s="129"/>
      <c r="E6" s="124"/>
      <c r="H6" s="243"/>
      <c r="I6" s="243"/>
      <c r="J6" s="243"/>
      <c r="N6" s="130" t="s">
        <v>804</v>
      </c>
      <c r="O6" s="129" t="s">
        <v>805</v>
      </c>
      <c r="P6" s="200" t="s">
        <v>16</v>
      </c>
      <c r="Q6" s="343"/>
      <c r="R6" s="244"/>
      <c r="S6" s="244"/>
      <c r="T6" s="402"/>
      <c r="U6" s="402"/>
    </row>
    <row r="7" spans="2:21" ht="16.5">
      <c r="C7" s="130" t="s">
        <v>39</v>
      </c>
      <c r="D7" s="129" t="s">
        <v>813</v>
      </c>
      <c r="E7" s="131">
        <v>0</v>
      </c>
      <c r="F7" s="23" t="s">
        <v>940</v>
      </c>
      <c r="G7" s="23" t="s">
        <v>56</v>
      </c>
      <c r="K7" s="243"/>
      <c r="L7" s="243"/>
      <c r="N7" s="130" t="s">
        <v>806</v>
      </c>
      <c r="O7" s="129" t="s">
        <v>807</v>
      </c>
      <c r="P7" s="200" t="s">
        <v>16</v>
      </c>
      <c r="Q7" s="344"/>
      <c r="R7" s="245"/>
      <c r="S7" s="245"/>
      <c r="T7" s="403"/>
      <c r="U7" s="403"/>
    </row>
    <row r="8" spans="2:21">
      <c r="D8" s="129"/>
      <c r="F8" s="23"/>
      <c r="G8" s="23"/>
    </row>
    <row r="9" spans="2:21">
      <c r="B9" s="85" t="s">
        <v>41</v>
      </c>
      <c r="D9" s="129"/>
      <c r="E9" s="124"/>
      <c r="F9" s="85" t="s">
        <v>49</v>
      </c>
    </row>
    <row r="10" spans="2:21">
      <c r="C10" s="130" t="s">
        <v>43</v>
      </c>
      <c r="D10" s="129" t="s">
        <v>819</v>
      </c>
      <c r="E10" s="131" t="str">
        <f>IF(UNMM0110_IF_MODE=1,"修正キャンセル","修正")</f>
        <v>修正</v>
      </c>
      <c r="F10" s="130" t="s">
        <v>820</v>
      </c>
      <c r="G10" s="130" t="s">
        <v>821</v>
      </c>
    </row>
    <row r="11" spans="2:21">
      <c r="D11" s="129"/>
      <c r="E11" s="124"/>
    </row>
    <row r="12" spans="2:21">
      <c r="B12" s="85" t="s">
        <v>45</v>
      </c>
      <c r="D12" s="129"/>
      <c r="E12" s="124"/>
      <c r="F12" s="85" t="s">
        <v>49</v>
      </c>
      <c r="J12" s="130" t="s">
        <v>811</v>
      </c>
      <c r="K12" s="129" t="s">
        <v>812</v>
      </c>
      <c r="L12" s="246" t="e">
        <f ca="1">IF(AND(Q12="",R12="",S12="",T12="",U12=""),"",IF(OR(Q12="",R12="",S12="",T12="",U12=""),FALSE,TRUE))</f>
        <v>#REF!</v>
      </c>
      <c r="M12" s="339" t="e">
        <f ca="1">IF(L12="","",UNMM0110_IF_SAVE_W_USER_ID)</f>
        <v>#REF!</v>
      </c>
      <c r="N12" s="246" t="e">
        <f ca="1">IF(L12="","",UNMM0110_IF_SAVE_W_SERIAL)</f>
        <v>#REF!</v>
      </c>
      <c r="O12" s="246" t="e">
        <f ca="1">IF(L12="","",1+ROW()-ROW(UNMM0110_IF_SAVE_COPY_START))</f>
        <v>#REF!</v>
      </c>
      <c r="P12" s="246" t="e">
        <f ca="1">IF(L12="","",UNMM0110_IF_SAVE_W_MODE)</f>
        <v>#REF!</v>
      </c>
      <c r="Q12" s="342" t="e">
        <f ca="1">IF(OFFSET(UNMM0110_B_MEISHO_KBN,1+ROW()-ROW(UNMM0110_IF_SAVE_COPY_START),0)="","",OFFSET(UNMM0110_B_MEISHO_KBN,1+ROW()-ROW(UNMM0110_IF_SAVE_COPY_START),0))</f>
        <v>#REF!</v>
      </c>
      <c r="R12" s="247" t="e">
        <f ca="1">IF(OFFSET(UNMM0110_B_MEISHO,1+ROW()-ROW(UNMM0110_IF_SAVE_COPY_START),0)="","",OFFSET(UNMM0110_B_MEISHO,1+ROW()-ROW(UNMM0110_IF_SAVE_COPY_START),0))</f>
        <v>#REF!</v>
      </c>
      <c r="S12" s="247" t="e">
        <f ca="1">IF(OFFSET(UNMM0110_B_CODE_KETASU,1+ROW()-ROW(UNMM0110_IF_SAVE_COPY_START),0)="","",OFFSET(UNMM0110_B_CODE_KETASU,1+ROW()-ROW(UNMM0110_IF_SAVE_COPY_START),0))</f>
        <v>#REF!</v>
      </c>
      <c r="T12" s="247" t="e">
        <f ca="1">IF(OFFSET(UNMM0110_B_CODE_ZOKUSEI,1+ROW()-ROW(UNMM0110_IF_SAVE_COPY_START),0)="","",OFFSET(UNMM0110_B_CODE_ZOKUSEI,1+ROW()-ROW(UNMM0110_IF_SAVE_COPY_START),0))</f>
        <v>#REF!</v>
      </c>
      <c r="U12" s="247" t="e">
        <f ca="1">IF(OFFSET(UNMM0110_B_DATA_KETASU,1+ROW()-ROW(UNMM0110_IF_SAVE_COPY_START),0)="","",OFFSET(UNMM0110_B_DATA_KETASU,1+ROW()-ROW(UNMM0110_IF_SAVE_COPY_START),0))</f>
        <v>#REF!</v>
      </c>
    </row>
    <row r="13" spans="2:21">
      <c r="C13" s="130" t="s">
        <v>824</v>
      </c>
      <c r="D13" s="129" t="s">
        <v>825</v>
      </c>
      <c r="E13" s="131">
        <f>IF(UNMM0110_IF_MODE=1,2,1)</f>
        <v>1</v>
      </c>
      <c r="F13" s="130" t="s">
        <v>64</v>
      </c>
      <c r="G13" s="130" t="s">
        <v>63</v>
      </c>
    </row>
    <row r="14" spans="2:21">
      <c r="C14" s="130" t="s">
        <v>50</v>
      </c>
      <c r="D14" s="129" t="s">
        <v>826</v>
      </c>
      <c r="E14" s="131">
        <f>IF(UNMM0110_IF_MODE=1,1,1)</f>
        <v>1</v>
      </c>
      <c r="F14" s="130" t="s">
        <v>63</v>
      </c>
      <c r="G14" s="130" t="s">
        <v>63</v>
      </c>
      <c r="L14" s="85" t="s">
        <v>76</v>
      </c>
    </row>
    <row r="15" spans="2:21" ht="16.5">
      <c r="C15" s="130" t="s">
        <v>827</v>
      </c>
      <c r="D15" s="129" t="s">
        <v>828</v>
      </c>
      <c r="E15" s="131">
        <f>IF(UNMM0110_IF_MODE=1,1,2)</f>
        <v>2</v>
      </c>
      <c r="F15" s="130" t="s">
        <v>63</v>
      </c>
      <c r="G15" s="130" t="s">
        <v>64</v>
      </c>
      <c r="H15" s="23"/>
      <c r="J15" s="130" t="s">
        <v>814</v>
      </c>
      <c r="K15" s="129" t="s">
        <v>815</v>
      </c>
      <c r="L15" s="248" t="s">
        <v>814</v>
      </c>
      <c r="M15" s="242" t="s">
        <v>744</v>
      </c>
      <c r="N15" s="242" t="s">
        <v>816</v>
      </c>
      <c r="O15" s="242" t="s">
        <v>817</v>
      </c>
      <c r="P15" s="242" t="s">
        <v>818</v>
      </c>
      <c r="Q15" s="242" t="s">
        <v>767</v>
      </c>
      <c r="R15" s="242" t="s">
        <v>768</v>
      </c>
      <c r="S15" s="242" t="s">
        <v>769</v>
      </c>
      <c r="T15" s="242" t="s">
        <v>770</v>
      </c>
      <c r="U15" s="242" t="s">
        <v>771</v>
      </c>
    </row>
    <row r="16" spans="2:21">
      <c r="C16" s="130" t="s">
        <v>906</v>
      </c>
      <c r="D16" s="129" t="s">
        <v>829</v>
      </c>
      <c r="E16" s="131">
        <f>IF(UNMM0110_IF_MODE=1,1,2)</f>
        <v>2</v>
      </c>
      <c r="F16" s="130" t="s">
        <v>63</v>
      </c>
      <c r="G16" s="130" t="s">
        <v>64</v>
      </c>
      <c r="J16" s="130" t="s">
        <v>822</v>
      </c>
      <c r="K16" s="129" t="s">
        <v>823</v>
      </c>
      <c r="L16" s="51"/>
      <c r="P16" s="130"/>
      <c r="Q16" s="130"/>
      <c r="R16" s="130"/>
      <c r="S16" s="130"/>
      <c r="T16" s="130"/>
      <c r="U16" s="130"/>
    </row>
    <row r="17" spans="2:21">
      <c r="C17" s="130" t="s">
        <v>739</v>
      </c>
      <c r="D17" s="129" t="s">
        <v>830</v>
      </c>
      <c r="E17" s="131">
        <f>IF(UNMM0110_IF_MODE=1,1,2)</f>
        <v>2</v>
      </c>
      <c r="F17" s="130" t="s">
        <v>63</v>
      </c>
      <c r="G17" s="130" t="s">
        <v>64</v>
      </c>
      <c r="I17" s="23"/>
      <c r="J17" s="23"/>
      <c r="P17" s="130"/>
      <c r="Q17" s="130"/>
      <c r="R17" s="130"/>
      <c r="S17" s="130"/>
      <c r="T17" s="130"/>
      <c r="U17" s="130"/>
    </row>
    <row r="18" spans="2:21">
      <c r="C18" s="130" t="s">
        <v>831</v>
      </c>
      <c r="D18" s="129" t="s">
        <v>832</v>
      </c>
      <c r="E18" s="131">
        <f>IF(UNMM0110_IF_MODE=1,2,1)</f>
        <v>1</v>
      </c>
      <c r="F18" s="130" t="s">
        <v>64</v>
      </c>
      <c r="G18" s="130" t="s">
        <v>63</v>
      </c>
      <c r="P18" s="130"/>
      <c r="Q18" s="130"/>
      <c r="R18" s="130"/>
      <c r="S18" s="130"/>
      <c r="T18" s="130"/>
      <c r="U18" s="130"/>
    </row>
    <row r="19" spans="2:21">
      <c r="C19" s="130" t="s">
        <v>54</v>
      </c>
      <c r="D19" s="129" t="s">
        <v>833</v>
      </c>
      <c r="E19" s="131">
        <f>IF(UNMM0110_IF_MODE=1,2,1)</f>
        <v>1</v>
      </c>
      <c r="F19" s="130" t="s">
        <v>64</v>
      </c>
      <c r="G19" s="130" t="s">
        <v>63</v>
      </c>
      <c r="P19" s="130"/>
      <c r="Q19" s="130"/>
      <c r="R19" s="130"/>
      <c r="S19" s="130"/>
      <c r="T19" s="130"/>
      <c r="U19" s="130"/>
    </row>
    <row r="20" spans="2:21">
      <c r="U20" s="130"/>
    </row>
    <row r="21" spans="2:21">
      <c r="B21" s="85" t="s">
        <v>45</v>
      </c>
      <c r="U21" s="130"/>
    </row>
    <row r="22" spans="2:21">
      <c r="C22" s="130" t="s">
        <v>909</v>
      </c>
      <c r="D22" s="129" t="s">
        <v>1978</v>
      </c>
      <c r="E22" s="51">
        <f>IF(OR(UNMM0110_B_SELECT_GYO_NO&lt;=ROW(UNMM0110_B_SENTAKU),UNMM0110_B_SELECT_GYO_NO&gt;ROW(UNMM0110_B_SENTAKU)+UNMM0110_B_HYOJI_KENSU),1,0)</f>
        <v>1</v>
      </c>
      <c r="F22" s="130" t="s">
        <v>1979</v>
      </c>
    </row>
    <row r="24" spans="2:21">
      <c r="B24" s="85" t="s">
        <v>42</v>
      </c>
      <c r="D24" s="129"/>
    </row>
    <row r="25" spans="2:21">
      <c r="B25" s="85"/>
      <c r="C25" s="130" t="s">
        <v>834</v>
      </c>
      <c r="D25" s="129"/>
    </row>
    <row r="26" spans="2:21">
      <c r="C26" s="130" t="s">
        <v>835</v>
      </c>
      <c r="D26" s="129" t="s">
        <v>836</v>
      </c>
      <c r="E26" s="131"/>
      <c r="H26" s="23"/>
    </row>
    <row r="27" spans="2:21">
      <c r="C27" s="130" t="s">
        <v>746</v>
      </c>
      <c r="D27" s="129" t="s">
        <v>837</v>
      </c>
      <c r="E27" s="249">
        <f ca="1">NOW()</f>
        <v>42991.659979282405</v>
      </c>
    </row>
    <row r="28" spans="2:21">
      <c r="C28" s="130" t="s">
        <v>702</v>
      </c>
      <c r="D28" s="129" t="s">
        <v>838</v>
      </c>
      <c r="E28" s="131">
        <v>2</v>
      </c>
    </row>
    <row r="29" spans="2:21">
      <c r="C29" s="130" t="s">
        <v>839</v>
      </c>
      <c r="D29" s="129" t="s">
        <v>840</v>
      </c>
      <c r="E29" s="131">
        <f ca="1">IF(UNMM0110_B_HYOJI_KENSU=0,0,COUNTIF(OFFSET(UNMM0110_IF_SAVE_INPUT_CHECK_COLUMN,1,0,UNMM0110_B_HYOJI_KENSU),TRUE))</f>
        <v>0</v>
      </c>
    </row>
    <row r="30" spans="2:21">
      <c r="C30" s="130" t="s">
        <v>841</v>
      </c>
      <c r="D30" s="129" t="s">
        <v>842</v>
      </c>
      <c r="E30" s="131" t="str">
        <f ca="1">ADDRESS(ROW(OFFSET(UNMM0110_IF_SAVE_COPY_START,0,1)),COLUMN(OFFSET(UNMM0110_IF_SAVE_COPY_START,0,1)))</f>
        <v>$M$16</v>
      </c>
    </row>
    <row r="31" spans="2:21">
      <c r="D31" s="129"/>
      <c r="E31" s="253"/>
      <c r="I31" s="23"/>
      <c r="N31" s="241"/>
      <c r="O31" s="241"/>
      <c r="T31" s="130"/>
      <c r="U31" s="130"/>
    </row>
    <row r="32" spans="2:21">
      <c r="C32" s="130" t="s">
        <v>936</v>
      </c>
      <c r="D32" s="129"/>
      <c r="E32" s="253"/>
      <c r="N32" s="241"/>
      <c r="O32" s="241"/>
      <c r="T32" s="130"/>
      <c r="U32" s="130"/>
    </row>
    <row r="33" spans="2:21">
      <c r="C33" s="130" t="s">
        <v>937</v>
      </c>
      <c r="D33" s="129" t="s">
        <v>938</v>
      </c>
      <c r="E33" s="131" t="str">
        <f>IF(UNMM0110_H_MEISHO_KBN="","ALLDEL",UNMM0110_H_MEISHO_KBN)</f>
        <v>ALLDEL</v>
      </c>
      <c r="N33" s="241"/>
      <c r="O33" s="241"/>
      <c r="T33" s="130"/>
      <c r="U33" s="130"/>
    </row>
    <row r="34" spans="2:21">
      <c r="N34" s="241"/>
      <c r="O34" s="241"/>
      <c r="T34" s="130"/>
      <c r="U34" s="130"/>
    </row>
    <row r="35" spans="2:21">
      <c r="C35" s="130" t="s">
        <v>843</v>
      </c>
      <c r="N35" s="241"/>
      <c r="O35" s="241"/>
      <c r="T35" s="130"/>
      <c r="U35" s="130"/>
    </row>
    <row r="36" spans="2:21">
      <c r="C36" s="130" t="s">
        <v>844</v>
      </c>
      <c r="D36" s="129" t="s">
        <v>845</v>
      </c>
      <c r="E36" s="51" t="str">
        <f>"UNMM0110_IF!"&amp;ADDRESS(ROW(UNMM0110_IF_SAVE_COPY_START),COLUMN(UNMM0110_IF_SAVE_COPY_START))&amp;":"
&amp;ADDRESS(ROW(UNMM0110_IF_SAVE_COPY_START)+UNMM0110_B_HYOJI_KENSU-1,COLUMN(UNMM0110_IF_SAVE_COPY_START)+COLUMNS(UNMM0110_IF_SAVE_COPY_MOTO)-1)</f>
        <v>UNMM0110_IF!$L$16:$U$15</v>
      </c>
      <c r="N36" s="241"/>
      <c r="O36" s="241"/>
      <c r="T36" s="130"/>
      <c r="U36" s="130"/>
    </row>
    <row r="37" spans="2:21">
      <c r="N37" s="241"/>
      <c r="O37" s="241"/>
      <c r="T37" s="130"/>
      <c r="U37" s="130"/>
    </row>
    <row r="38" spans="2:21">
      <c r="C38" s="130" t="s">
        <v>46</v>
      </c>
      <c r="N38" s="241"/>
      <c r="O38" s="241"/>
      <c r="T38" s="130"/>
      <c r="U38" s="130"/>
    </row>
    <row r="39" spans="2:21">
      <c r="C39" s="130" t="s">
        <v>75</v>
      </c>
      <c r="D39" s="129" t="s">
        <v>846</v>
      </c>
      <c r="E39" s="51">
        <f ca="1">IF(UNMM0110_B_HYOJI_KENSU=0,0,IF(COUNTIF(OFFSET(UNMM0110_IF_SAVE_INPUT_CHECK_COLUMN,1,0,UNMM0110_B_HYOJI_KENSU),FALSE)&gt;0,0,1))</f>
        <v>0</v>
      </c>
      <c r="F39" s="130" t="s">
        <v>847</v>
      </c>
      <c r="N39" s="241"/>
      <c r="O39" s="241"/>
      <c r="T39" s="130"/>
      <c r="U39" s="130"/>
    </row>
    <row r="40" spans="2:21">
      <c r="N40" s="241"/>
      <c r="O40" s="241"/>
      <c r="T40" s="130"/>
      <c r="U40" s="130"/>
    </row>
    <row r="41" spans="2:21">
      <c r="C41" s="130" t="s">
        <v>465</v>
      </c>
      <c r="N41" s="241"/>
      <c r="O41" s="241"/>
      <c r="T41" s="130"/>
      <c r="U41" s="130"/>
    </row>
    <row r="42" spans="2:21">
      <c r="C42" s="130" t="s">
        <v>466</v>
      </c>
      <c r="D42" s="129" t="s">
        <v>848</v>
      </c>
      <c r="E42" s="51"/>
      <c r="N42" s="241"/>
      <c r="O42" s="241"/>
      <c r="T42" s="130"/>
      <c r="U42" s="130"/>
    </row>
    <row r="43" spans="2:21">
      <c r="C43" s="130" t="s">
        <v>467</v>
      </c>
      <c r="D43" s="129" t="s">
        <v>849</v>
      </c>
      <c r="E43" s="51"/>
      <c r="N43" s="241"/>
      <c r="O43" s="241"/>
      <c r="T43" s="130"/>
      <c r="U43" s="130"/>
    </row>
    <row r="44" spans="2:21">
      <c r="C44" s="130" t="s">
        <v>468</v>
      </c>
      <c r="D44" s="129" t="s">
        <v>850</v>
      </c>
      <c r="E44" s="127">
        <f>IF(UNMM0110_IF_SAVE_RESULT_CD=0,2,1)</f>
        <v>2</v>
      </c>
      <c r="F44" s="130" t="s">
        <v>470</v>
      </c>
      <c r="G44" s="112"/>
      <c r="N44" s="241"/>
      <c r="O44" s="241"/>
      <c r="T44" s="130"/>
      <c r="U44" s="130"/>
    </row>
    <row r="45" spans="2:21">
      <c r="C45" s="130" t="s">
        <v>469</v>
      </c>
      <c r="D45" s="129" t="s">
        <v>851</v>
      </c>
      <c r="E45" s="127" t="str">
        <f>IF(UNMM0110_IF_SAVE_W_MODE=3,"削除に失敗しました。",
IF(ISERROR(VLOOKUP(UNMM0110_IF_SAVE_RESULT_CD,UNMM_COMMON_ERROR_MESSAGE_AREA,2,FALSE)),
"保存に失敗しました。入力内容を確認後、再度実行してください。",
VLOOKUP(UNMM0110_IF_SAVE_RESULT_CD,UNMM_COMMON_ERROR_MESSAGE_AREA,2,FALSE)))</f>
        <v>保存に失敗しました。入力内容を確認後、再度実行してください。</v>
      </c>
      <c r="F45" s="112"/>
      <c r="G45" s="112"/>
      <c r="N45" s="241"/>
      <c r="O45" s="241"/>
      <c r="T45" s="130"/>
      <c r="U45" s="130"/>
    </row>
    <row r="46" spans="2:21">
      <c r="N46" s="241"/>
      <c r="O46" s="241"/>
      <c r="T46" s="130"/>
      <c r="U46" s="130"/>
    </row>
    <row r="47" spans="2:21">
      <c r="B47" s="85" t="s">
        <v>928</v>
      </c>
      <c r="N47" s="241"/>
      <c r="O47" s="241"/>
      <c r="T47" s="130"/>
      <c r="U47" s="130"/>
    </row>
    <row r="48" spans="2:21">
      <c r="C48" s="130" t="s">
        <v>929</v>
      </c>
      <c r="D48" s="129" t="s">
        <v>942</v>
      </c>
      <c r="E48" s="51" t="str">
        <f ca="1">"名称マスタメンテ画面_"&amp;UNMM0110_H_MEISHO_KBN&amp;"_"&amp;TEXT(NOW(),"YYYYMMDD")</f>
        <v>名称マスタメンテ画面__20170913</v>
      </c>
    </row>
  </sheetData>
  <phoneticPr fontId="2"/>
  <conditionalFormatting sqref="P6:U6">
    <cfRule type="expression" dxfId="12" priority="2">
      <formula>CELL("row")=ROW()</formula>
    </cfRule>
  </conditionalFormatting>
  <conditionalFormatting sqref="P7:U7">
    <cfRule type="expression" dxfId="11" priority="1">
      <formula>CELL("row")=ROW()</formula>
    </cfRule>
  </conditionalFormatting>
  <dataValidations count="5">
    <dataValidation type="whole" allowBlank="1" showInputMessage="1" showErrorMessage="1" sqref="U7">
      <formula1>1</formula1>
      <formula2>999</formula2>
    </dataValidation>
    <dataValidation type="whole" allowBlank="1" showInputMessage="1" showErrorMessage="1" sqref="S7">
      <formula1>1</formula1>
      <formula2>9</formula2>
    </dataValidation>
    <dataValidation type="custom" allowBlank="1" showInputMessage="1" showErrorMessage="1" sqref="R7">
      <formula1>LENB(E1)&lt;=50</formula1>
    </dataValidation>
    <dataValidation type="custom" allowBlank="1" showInputMessage="1" showErrorMessage="1" sqref="Q7">
      <formula1>AND(LEN(Q7)=LENB(Q7),LEN(Q7)&lt;=4)</formula1>
    </dataValidation>
    <dataValidation type="list" allowBlank="1" showInputMessage="1" showErrorMessage="1" sqref="T5:T7">
      <formula1>UNMM0110_IF_CODE_ZOKUSEI_LIST</formula1>
    </dataValidation>
  </dataValidation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B1:E12"/>
  <sheetViews>
    <sheetView workbookViewId="0">
      <selection activeCell="C30" sqref="C30"/>
    </sheetView>
  </sheetViews>
  <sheetFormatPr defaultRowHeight="13.5"/>
  <cols>
    <col min="1" max="1" width="9" style="130"/>
    <col min="2" max="2" width="24.25" style="130" bestFit="1" customWidth="1"/>
    <col min="3" max="3" width="19" style="130" customWidth="1"/>
    <col min="4" max="4" width="73.875" style="130" customWidth="1"/>
    <col min="5" max="5" width="10.625" style="130" customWidth="1"/>
    <col min="6" max="16384" width="9" style="130"/>
  </cols>
  <sheetData>
    <row r="1" spans="2:5" ht="11.25" customHeight="1">
      <c r="B1" s="208"/>
      <c r="C1" s="34" t="s">
        <v>767</v>
      </c>
      <c r="D1" s="29">
        <f>UNMM0110_H_MEISHO_KBN</f>
        <v>0</v>
      </c>
    </row>
    <row r="2" spans="2:5" ht="11.25" customHeight="1">
      <c r="B2" s="208"/>
      <c r="C2" s="26"/>
      <c r="D2" s="29"/>
    </row>
    <row r="3" spans="2:5" ht="11.25" customHeight="1">
      <c r="B3" s="25" t="s">
        <v>852</v>
      </c>
      <c r="C3" s="26" t="s">
        <v>853</v>
      </c>
      <c r="D3" s="207" t="str">
        <f>D4&amp;D5&amp;D6</f>
        <v xml:space="preserve">SELECT *
  FROM V_MEISHO_LIST
 ORDER BY MEISHO_KBN
</v>
      </c>
    </row>
    <row r="4" spans="2:5" ht="11.25" customHeight="1">
      <c r="B4" s="208"/>
      <c r="C4" s="208" t="s">
        <v>78</v>
      </c>
      <c r="D4" s="29" t="s">
        <v>854</v>
      </c>
    </row>
    <row r="5" spans="2:5" ht="11.25" customHeight="1">
      <c r="B5" s="208"/>
      <c r="C5" s="208" t="s">
        <v>154</v>
      </c>
      <c r="D5" s="29" t="str">
        <f>IF(D1=0,""," WHERE V_MEISHO_LIST.MEISHO_KBN = '"&amp;D1&amp;"'
")</f>
        <v/>
      </c>
    </row>
    <row r="6" spans="2:5" ht="11.25" customHeight="1">
      <c r="B6" s="208"/>
      <c r="C6" s="26" t="s">
        <v>138</v>
      </c>
      <c r="D6" s="29" t="str">
        <f>" ORDER BY "&amp;E6&amp;"
"</f>
        <v xml:space="preserve"> ORDER BY MEISHO_KBN
</v>
      </c>
      <c r="E6" s="46" t="s">
        <v>855</v>
      </c>
    </row>
    <row r="7" spans="2:5" ht="11.25" customHeight="1">
      <c r="B7" s="208"/>
    </row>
    <row r="8" spans="2:5" s="208" customFormat="1" ht="11.25" customHeight="1">
      <c r="B8" s="130"/>
      <c r="C8" s="130"/>
      <c r="D8" s="130"/>
      <c r="E8" s="130"/>
    </row>
    <row r="9" spans="2:5" s="208" customFormat="1" ht="11.25" customHeight="1">
      <c r="B9" s="130"/>
      <c r="C9" s="130"/>
      <c r="D9" s="130"/>
      <c r="E9" s="130"/>
    </row>
    <row r="10" spans="2:5" ht="11.25" customHeight="1"/>
    <row r="11" spans="2:5" ht="11.25" customHeight="1"/>
    <row r="12" spans="2:5" ht="11.25" customHeight="1"/>
  </sheetData>
  <phoneticPr fontId="2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rgb="FFFFFF00"/>
  </sheetPr>
  <dimension ref="A1:I7"/>
  <sheetViews>
    <sheetView showGridLines="0" showRowColHeaders="0" topLeftCell="F1" workbookViewId="0">
      <selection sqref="A1:E1"/>
    </sheetView>
  </sheetViews>
  <sheetFormatPr defaultRowHeight="16.5"/>
  <cols>
    <col min="1" max="5" width="9" style="66" hidden="1" customWidth="1"/>
    <col min="6" max="6" width="3.375" style="171" customWidth="1"/>
    <col min="7" max="9" width="11.75" style="171" customWidth="1"/>
    <col min="10" max="10" width="5.125" style="171" customWidth="1"/>
    <col min="11" max="16" width="11.75" style="171" customWidth="1"/>
    <col min="17" max="17" width="3.375" style="171" customWidth="1"/>
    <col min="18" max="16384" width="9" style="171"/>
  </cols>
  <sheetData>
    <row r="1" spans="1:9" s="169" customFormat="1" ht="19.5">
      <c r="A1" s="168"/>
      <c r="B1" s="168"/>
      <c r="C1" s="168"/>
      <c r="D1" s="168"/>
      <c r="E1" s="168"/>
      <c r="F1" s="169" t="s">
        <v>856</v>
      </c>
      <c r="I1" s="169" t="str">
        <f>IF(UNMM0110_IF_MODE=1,"【修正モード】","【参照モード】")</f>
        <v>【参照モード】</v>
      </c>
    </row>
    <row r="2" spans="1:9">
      <c r="B2" s="163" t="s">
        <v>799</v>
      </c>
      <c r="C2" s="163" t="s">
        <v>2069</v>
      </c>
      <c r="D2" s="271"/>
    </row>
    <row r="3" spans="1:9">
      <c r="B3" s="163" t="s">
        <v>801</v>
      </c>
      <c r="C3" s="163" t="s">
        <v>2070</v>
      </c>
      <c r="D3" s="271" t="str">
        <f>ADDRESS(ROW(A1),COLUMN(A1))&amp;":"&amp;ADDRESS(ROW(E1),COLUMN(E1))</f>
        <v>$A$1:$E$1</v>
      </c>
      <c r="G3" s="173" t="s">
        <v>1337</v>
      </c>
      <c r="H3" s="404"/>
    </row>
    <row r="4" spans="1:9" ht="16.5" customHeight="1">
      <c r="G4" s="173" t="s">
        <v>1338</v>
      </c>
      <c r="H4" s="691"/>
      <c r="I4" s="691"/>
    </row>
    <row r="5" spans="1:9">
      <c r="H5" s="691"/>
      <c r="I5" s="691"/>
    </row>
    <row r="6" spans="1:9">
      <c r="H6" s="691"/>
      <c r="I6" s="691"/>
    </row>
    <row r="7" spans="1:9">
      <c r="H7" s="691"/>
      <c r="I7" s="691"/>
    </row>
  </sheetData>
  <sheetProtection sheet="1" objects="1" scenarios="1" selectLockedCells="1"/>
  <mergeCells count="1">
    <mergeCell ref="H4:I7"/>
  </mergeCells>
  <phoneticPr fontId="2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rgb="FFFFFF00"/>
  </sheetPr>
  <dimension ref="A1:M25"/>
  <sheetViews>
    <sheetView showGridLines="0" showRowColHeaders="0" workbookViewId="0">
      <pane xSplit="4" ySplit="3" topLeftCell="E4" activePane="bottomRight" state="frozen"/>
      <selection activeCell="F29" sqref="F29"/>
      <selection pane="topRight" activeCell="F29" sqref="F29"/>
      <selection pane="bottomLeft" activeCell="F29" sqref="F29"/>
      <selection pane="bottomRight" sqref="A1:D1 K3:L3"/>
    </sheetView>
  </sheetViews>
  <sheetFormatPr defaultRowHeight="16.5"/>
  <cols>
    <col min="1" max="1" width="15.875" style="66" hidden="1" customWidth="1"/>
    <col min="2" max="2" width="29" style="66" hidden="1" customWidth="1"/>
    <col min="3" max="3" width="10.5" style="66" hidden="1" customWidth="1"/>
    <col min="4" max="4" width="9" style="66" hidden="1" customWidth="1"/>
    <col min="5" max="5" width="3.375" style="171" customWidth="1"/>
    <col min="6" max="6" width="3.375" style="348" customWidth="1"/>
    <col min="7" max="7" width="8" style="348" bestFit="1" customWidth="1"/>
    <col min="8" max="9" width="46.625" style="348" customWidth="1"/>
    <col min="10" max="10" width="9.625" style="348" customWidth="1"/>
    <col min="11" max="12" width="15.625" style="348" hidden="1" customWidth="1"/>
    <col min="13" max="13" width="6.375" style="348" bestFit="1" customWidth="1"/>
    <col min="14" max="16384" width="9" style="171"/>
  </cols>
  <sheetData>
    <row r="1" spans="1:13" s="169" customFormat="1" ht="19.5">
      <c r="A1" s="168"/>
      <c r="B1" s="168"/>
      <c r="C1" s="168"/>
      <c r="D1" s="168"/>
      <c r="F1" s="366"/>
      <c r="G1" s="366"/>
      <c r="H1" s="366"/>
      <c r="I1" s="366"/>
      <c r="J1" s="366"/>
      <c r="K1" s="366"/>
      <c r="L1" s="366"/>
      <c r="M1" s="366"/>
    </row>
    <row r="3" spans="1:13" s="237" customFormat="1">
      <c r="A3" s="458"/>
      <c r="B3" s="458"/>
      <c r="C3" s="458"/>
      <c r="D3" s="458"/>
      <c r="F3" s="367" t="s">
        <v>15</v>
      </c>
      <c r="G3" s="367" t="s">
        <v>857</v>
      </c>
      <c r="H3" s="367" t="s">
        <v>858</v>
      </c>
      <c r="I3" s="367" t="s">
        <v>859</v>
      </c>
      <c r="J3" s="367" t="s">
        <v>860</v>
      </c>
      <c r="K3" s="367" t="s">
        <v>861</v>
      </c>
      <c r="L3" s="367" t="s">
        <v>37</v>
      </c>
      <c r="M3" s="367" t="s">
        <v>32</v>
      </c>
    </row>
    <row r="4" spans="1:13">
      <c r="A4" s="66" t="s">
        <v>772</v>
      </c>
      <c r="B4" s="66" t="s">
        <v>862</v>
      </c>
      <c r="C4" s="65"/>
    </row>
    <row r="5" spans="1:13">
      <c r="A5" s="66" t="s">
        <v>774</v>
      </c>
      <c r="B5" s="163" t="s">
        <v>863</v>
      </c>
      <c r="C5" s="65">
        <v>0</v>
      </c>
    </row>
    <row r="6" spans="1:13">
      <c r="A6" s="66" t="s">
        <v>776</v>
      </c>
      <c r="B6" s="163" t="s">
        <v>864</v>
      </c>
      <c r="C6" s="65">
        <v>0</v>
      </c>
    </row>
    <row r="7" spans="1:13">
      <c r="A7" s="163" t="s">
        <v>125</v>
      </c>
      <c r="B7" s="163" t="s">
        <v>865</v>
      </c>
      <c r="C7" s="271">
        <f>UNMM0111_B_GET_DATA_SU+UNMM0111_B_TSUIKAHYOJI_KENSU+UNMM0111_B_GYO_SU_HENDOU</f>
        <v>0</v>
      </c>
    </row>
    <row r="9" spans="1:13">
      <c r="A9" s="163" t="s">
        <v>141</v>
      </c>
      <c r="B9" s="163" t="s">
        <v>866</v>
      </c>
      <c r="C9" s="271" t="str">
        <f>ADDRESS(ROW(UNMM0111_B_SENTAKU)+1,COLUMN(UNMM0111_B_SENTAKU))</f>
        <v>$F$4</v>
      </c>
    </row>
    <row r="10" spans="1:13">
      <c r="A10" s="163" t="s">
        <v>781</v>
      </c>
      <c r="B10" s="163" t="s">
        <v>867</v>
      </c>
      <c r="C10" s="271" t="str">
        <f>IF(UNMM0111_B_GET_DATA_SU=0,"",UNMM0111_B_LIST_START&amp;":"&amp;ADDRESS(ROW(UNMM0111_B_SENTAKU)+UNMM0111_B_GET_DATA_SU,COLUMN(UNMM0111_B_SENTAKU)+COLUMNS(UNMM0111_IF_B_LIST_DEFAULT)-1))</f>
        <v/>
      </c>
    </row>
    <row r="11" spans="1:13">
      <c r="A11" s="163" t="s">
        <v>783</v>
      </c>
      <c r="B11" s="163" t="s">
        <v>868</v>
      </c>
      <c r="C11" s="271" t="str">
        <f>IF(UNMM0111_B_TSUIKAHYOJI_KENSU=0,"",ADDRESS(ROW(UNMM0111_B_SENTAKU)+UNMM0111_B_GET_DATA_SU+1,COLUMN(UNMM0111_B_SENTAKU))&amp;":"&amp;ADDRESS(ROW(UNMM0111_B_SENTAKU)+UNMM0111_B_HYOJI_KENSU,COLUMN(UNMM0111_B_SENTAKU)+COLUMNS(UNMM0111_IF_B_LIST_DEFAULT)-1))</f>
        <v/>
      </c>
    </row>
    <row r="12" spans="1:13">
      <c r="A12" s="163" t="s">
        <v>944</v>
      </c>
      <c r="B12" s="163" t="s">
        <v>946</v>
      </c>
      <c r="C12" s="271" t="str">
        <f>IF(UNMM0111_B_GET_DATA_SU=0,"",ADDRESS(ROW(UNMM0111_B_MISHIYO)+1,COLUMN(UNMM0111_B_MISHIYO))&amp;":"&amp;ADDRESS(ROW(UNMM0111_B_MISHIYO)+UNMM0111_B_GET_DATA_SU,COLUMN(UNMM0111_B_MISHIYO)))</f>
        <v/>
      </c>
    </row>
    <row r="13" spans="1:13">
      <c r="A13" s="163" t="s">
        <v>945</v>
      </c>
      <c r="B13" s="163" t="s">
        <v>947</v>
      </c>
      <c r="C13" s="271" t="str">
        <f>IF(UNMM0111_B_TSUIKAHYOJI_KENSU=0,"",ADDRESS(ROW(UNMM0111_B_MISHIYO)+UNMM0111_B_GET_DATA_SU+1,COLUMN(UNMM0111_B_MISHIYO))&amp;":"&amp;ADDRESS(ROW(UNMM0111_B_MISHIYO)+UNMM0111_B_HYOJI_KENSU,COLUMN(UNMM0111_B_MISHIYO)))</f>
        <v/>
      </c>
    </row>
    <row r="14" spans="1:13">
      <c r="A14" s="163" t="s">
        <v>140</v>
      </c>
      <c r="B14" s="163" t="s">
        <v>869</v>
      </c>
      <c r="C14" s="271" t="str">
        <f>ADDRESS(ROW(UNMM0111_B_SENTAKU)+1,COLUMN(UNMM0111_B_SENTAKU))&amp;":"&amp;
ADDRESS(ROW(UNMM0111_B_SENTAKU)+1+IF(UNMM0111_B_HYOJI_KENSU=0,UNMM0111_B_HYOJI_KENSU,UNMM0111_B_HYOJI_KENSU-1),COLUMN(UNMM0111_B_SENTAKU)+COLUMNS(UNMM0111_IF_B_LIST_DEFAULT)-1)</f>
        <v>$F$4:$M$4</v>
      </c>
    </row>
    <row r="15" spans="1:13">
      <c r="A15" s="240"/>
      <c r="B15" s="163"/>
      <c r="C15" s="163"/>
    </row>
    <row r="16" spans="1:13">
      <c r="A16" s="163" t="s">
        <v>147</v>
      </c>
      <c r="B16" s="163" t="s">
        <v>870</v>
      </c>
      <c r="C16" s="271"/>
    </row>
    <row r="17" spans="1:3">
      <c r="A17" s="66" t="s">
        <v>787</v>
      </c>
      <c r="B17" s="66" t="s">
        <v>871</v>
      </c>
      <c r="C17" s="65" t="str">
        <f>IF(OR(UNMM0111_B_SELECT_GYO_NO&lt;ROW(UNMM0111_B_SENTAKU),UNMM0111_B_SELECT_GYO_NO&gt;(ROW(UNMM0111_B_SENTAKU)+UNMM0111_B_HYOJI_KENSU)),
ADDRESS(ROW(UNMM0111_B_SENTAKU),COLUMN(UNMM0111_B_SENTAKU))&amp;":"&amp;ADDRESS(ROW(UNMM0111_B_SENTAKU),COLUMN(UNMM0111_B_SENTAKU)+COLUMNS(UNMM0111_IF_B_LIST_DEFAULT)-1),
ADDRESS(UNMM0111_B_SELECT_GYO_NO,COLUMN(UNMM0111_B_SENTAKU))&amp;":"&amp;ADDRESS(UNMM0111_B_SELECT_GYO_NO,COLUMN(UNMM0111_B_SENTAKU)+COLUMNS(UNMM0111_IF_B_LIST_DEFAULT)-1))</f>
        <v>$F$3:$M$3</v>
      </c>
    </row>
    <row r="18" spans="1:3">
      <c r="A18" s="66" t="s">
        <v>789</v>
      </c>
      <c r="B18" s="66" t="s">
        <v>872</v>
      </c>
      <c r="C18" s="65" t="str">
        <f>IF(OR(UNMM0111_B_SELECT_GYO_NO&lt;ROW(UNMM0111_B_SENTAKU),UNMM0111_B_SELECT_GYO_NO&gt;(ROW(UNMM0111_B_SENTAKU)+UNMM0111_B_HYOJI_KENSU)),
ADDRESS(ROW(UNMM0111_B_SENTAKU)+1,COLUMN(UNMM0111_B_SENTAKU))&amp;":"&amp;ADDRESS(ROW(UNMM0111_B_SENTAKU)+1,COLUMN(UNMM0111_B_SENTAKU)+COLUMNS(UNMM0111_IF_B_LIST_DEFAULT)-1),
ADDRESS(UNMM0111_B_SELECT_GYO_NO+1,COLUMN(UNMM0111_B_SENTAKU))&amp;":"&amp;ADDRESS(UNMM0111_B_SELECT_GYO_NO+1,COLUMN(UNMM0111_B_SENTAKU)+COLUMNS(UNMM0111_IF_B_LIST_DEFAULT)-1))</f>
        <v>$F$4:$M$4</v>
      </c>
    </row>
    <row r="20" spans="1:3">
      <c r="A20" s="66" t="s">
        <v>793</v>
      </c>
      <c r="B20" s="163" t="s">
        <v>873</v>
      </c>
      <c r="C20" s="65">
        <f>UNMM0111_B_GYO_SU_HENDOU+1</f>
        <v>1</v>
      </c>
    </row>
    <row r="21" spans="1:3">
      <c r="A21" s="66" t="s">
        <v>795</v>
      </c>
      <c r="B21" s="163" t="s">
        <v>874</v>
      </c>
      <c r="C21" s="65">
        <f>UNMM0111_B_GYO_SU_HENDOU-1</f>
        <v>-1</v>
      </c>
    </row>
    <row r="23" spans="1:3">
      <c r="A23" s="163" t="s">
        <v>797</v>
      </c>
      <c r="B23" s="163" t="s">
        <v>875</v>
      </c>
      <c r="C23" s="271" t="str">
        <f>ADDRESS(ROW(UNMM0111_B_SENTAKU)+1,COLUMN(UNMM0111_B_SENTAKU)-1)</f>
        <v>$E$4</v>
      </c>
    </row>
    <row r="24" spans="1:3">
      <c r="A24" s="163" t="s">
        <v>799</v>
      </c>
      <c r="B24" s="163" t="s">
        <v>876</v>
      </c>
      <c r="C24" s="271"/>
    </row>
    <row r="25" spans="1:3">
      <c r="A25" s="163" t="s">
        <v>801</v>
      </c>
      <c r="B25" s="163" t="s">
        <v>877</v>
      </c>
      <c r="C25" s="271" t="str">
        <f>ADDRESS(ROW(A1),COLUMN(A1))&amp;":"&amp;ADDRESS(ROW(D1),COLUMN(D1))&amp;","&amp;ADDRESS(ROW(UNMM0111_B_MEISHO_KBN),COLUMN(UNMM0111_B_MEISHO_KBN))&amp;":"&amp;ADDRESS(ROW(UNMM0111_B_MISHIYO_FLG),COLUMN(UNMM0111_B_MISHIYO_FLG))</f>
        <v>$A$1:$D$1,$K$3:$L$3</v>
      </c>
    </row>
  </sheetData>
  <sheetProtection sheet="1" objects="1" scenarios="1" selectLockedCells="1"/>
  <phoneticPr fontId="2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B1:W46"/>
  <sheetViews>
    <sheetView zoomScale="70" zoomScaleNormal="70" workbookViewId="0">
      <selection activeCell="N41" sqref="N41"/>
    </sheetView>
  </sheetViews>
  <sheetFormatPr defaultRowHeight="13.5"/>
  <cols>
    <col min="1" max="1" width="9" style="130"/>
    <col min="2" max="2" width="18.625" style="130" customWidth="1"/>
    <col min="3" max="3" width="23.25" style="130" customWidth="1"/>
    <col min="4" max="4" width="13.5" style="130" customWidth="1"/>
    <col min="5" max="5" width="11.625" style="130" customWidth="1"/>
    <col min="6" max="6" width="6.625" style="130" customWidth="1"/>
    <col min="7" max="7" width="6.75" style="130" customWidth="1"/>
    <col min="8" max="9" width="5.25" style="130" customWidth="1"/>
    <col min="10" max="10" width="14.5" style="130" customWidth="1"/>
    <col min="11" max="11" width="22.875" style="130" customWidth="1"/>
    <col min="12" max="12" width="10.375" style="130" customWidth="1"/>
    <col min="13" max="13" width="9.5" style="130" customWidth="1"/>
    <col min="14" max="14" width="26.375" style="130" customWidth="1"/>
    <col min="15" max="15" width="24" style="241" customWidth="1"/>
    <col min="16" max="16" width="3.375" style="241" customWidth="1"/>
    <col min="17" max="17" width="8" style="241" bestFit="1" customWidth="1"/>
    <col min="18" max="19" width="46.625" style="241" customWidth="1"/>
    <col min="20" max="20" width="9.625" style="241" bestFit="1" customWidth="1"/>
    <col min="21" max="22" width="15.625" style="130" customWidth="1"/>
    <col min="23" max="23" width="6.375" style="130" bestFit="1" customWidth="1"/>
    <col min="24" max="24" width="20.625" style="130" customWidth="1"/>
    <col min="25" max="25" width="8" style="130" bestFit="1" customWidth="1"/>
    <col min="26" max="27" width="46.625" style="130" customWidth="1"/>
    <col min="28" max="28" width="9.625" style="130" customWidth="1"/>
    <col min="29" max="29" width="6.375" style="130" bestFit="1" customWidth="1"/>
    <col min="30" max="16384" width="9" style="130"/>
  </cols>
  <sheetData>
    <row r="1" spans="2:23" ht="16.5" customHeight="1"/>
    <row r="2" spans="2:23" ht="16.5" customHeight="1">
      <c r="B2" s="85" t="s">
        <v>1955</v>
      </c>
      <c r="L2" s="85" t="s">
        <v>121</v>
      </c>
      <c r="M2" s="85"/>
      <c r="O2" s="130"/>
    </row>
    <row r="3" spans="2:23" ht="16.5" customHeight="1">
      <c r="C3" s="130" t="s">
        <v>1956</v>
      </c>
      <c r="D3" s="129" t="s">
        <v>1959</v>
      </c>
      <c r="E3" s="131"/>
      <c r="O3" s="130"/>
    </row>
    <row r="4" spans="2:23" ht="16.5" customHeight="1">
      <c r="C4" s="130" t="s">
        <v>1957</v>
      </c>
      <c r="D4" s="129" t="s">
        <v>1960</v>
      </c>
      <c r="E4" s="131"/>
      <c r="O4" s="130"/>
      <c r="P4" s="219" t="s">
        <v>15</v>
      </c>
      <c r="Q4" s="219" t="s">
        <v>878</v>
      </c>
      <c r="R4" s="219" t="s">
        <v>879</v>
      </c>
      <c r="S4" s="219" t="s">
        <v>880</v>
      </c>
      <c r="T4" s="219" t="s">
        <v>860</v>
      </c>
      <c r="U4" s="238" t="s">
        <v>861</v>
      </c>
      <c r="V4" s="238" t="s">
        <v>37</v>
      </c>
      <c r="W4" s="238" t="s">
        <v>32</v>
      </c>
    </row>
    <row r="5" spans="2:23" ht="16.5" customHeight="1">
      <c r="C5" s="130" t="s">
        <v>1958</v>
      </c>
      <c r="D5" s="129" t="s">
        <v>1961</v>
      </c>
      <c r="E5" s="131"/>
      <c r="N5" s="130" t="s">
        <v>153</v>
      </c>
      <c r="O5" s="129" t="s">
        <v>881</v>
      </c>
      <c r="P5" s="83"/>
      <c r="Q5" s="136"/>
      <c r="R5" s="136"/>
      <c r="S5" s="136"/>
      <c r="T5" s="83"/>
      <c r="U5" s="136"/>
      <c r="V5" s="83"/>
      <c r="W5" s="83"/>
    </row>
    <row r="6" spans="2:23" ht="16.5" customHeight="1">
      <c r="N6" s="130" t="s">
        <v>804</v>
      </c>
      <c r="O6" s="129" t="s">
        <v>882</v>
      </c>
      <c r="P6" s="200" t="s">
        <v>883</v>
      </c>
      <c r="Q6" s="343"/>
      <c r="R6" s="413"/>
      <c r="S6" s="413"/>
      <c r="T6" s="402"/>
      <c r="U6" s="405">
        <f>UNMM0111_H_MEISHO_KBN</f>
        <v>0</v>
      </c>
      <c r="V6" s="402" t="b">
        <v>0</v>
      </c>
      <c r="W6" s="250"/>
    </row>
    <row r="7" spans="2:23" ht="16.5" customHeight="1">
      <c r="B7" s="85" t="s">
        <v>103</v>
      </c>
      <c r="D7" s="129"/>
      <c r="E7" s="124"/>
      <c r="N7" s="130" t="s">
        <v>806</v>
      </c>
      <c r="O7" s="129" t="s">
        <v>884</v>
      </c>
      <c r="P7" s="200" t="s">
        <v>883</v>
      </c>
      <c r="Q7" s="412"/>
      <c r="R7" s="344"/>
      <c r="S7" s="344"/>
      <c r="T7" s="403"/>
      <c r="U7" s="405">
        <f>UNMM0111_H_MEISHO_KBN</f>
        <v>0</v>
      </c>
      <c r="V7" s="402" t="b">
        <v>0</v>
      </c>
      <c r="W7" s="251"/>
    </row>
    <row r="8" spans="2:23" ht="16.5" customHeight="1">
      <c r="C8" s="130" t="s">
        <v>39</v>
      </c>
      <c r="D8" s="129" t="s">
        <v>885</v>
      </c>
      <c r="E8" s="131">
        <v>0</v>
      </c>
      <c r="F8" s="23" t="s">
        <v>940</v>
      </c>
      <c r="G8" s="23" t="s">
        <v>56</v>
      </c>
    </row>
    <row r="9" spans="2:23" ht="16.5" customHeight="1">
      <c r="D9" s="129"/>
      <c r="E9" s="124"/>
      <c r="U9" s="130" t="s">
        <v>886</v>
      </c>
      <c r="V9" s="129" t="s">
        <v>887</v>
      </c>
      <c r="W9" s="250"/>
    </row>
    <row r="10" spans="2:23" ht="16.5" customHeight="1">
      <c r="B10" s="85" t="s">
        <v>41</v>
      </c>
      <c r="D10" s="129"/>
      <c r="E10" s="124"/>
      <c r="F10" s="85" t="s">
        <v>49</v>
      </c>
      <c r="U10" s="130" t="s">
        <v>888</v>
      </c>
      <c r="V10" s="129" t="s">
        <v>889</v>
      </c>
      <c r="W10" s="251"/>
    </row>
    <row r="11" spans="2:23" ht="16.5" customHeight="1">
      <c r="C11" s="130" t="s">
        <v>43</v>
      </c>
      <c r="D11" s="129" t="s">
        <v>891</v>
      </c>
      <c r="E11" s="131" t="str">
        <f>IF(UNMM0111_IF_MODE=1,"修正キャンセル","修正")</f>
        <v>修正</v>
      </c>
      <c r="F11" s="130" t="s">
        <v>892</v>
      </c>
      <c r="G11" s="130" t="s">
        <v>893</v>
      </c>
      <c r="J11" s="130" t="s">
        <v>811</v>
      </c>
      <c r="K11" s="129" t="s">
        <v>890</v>
      </c>
      <c r="L11" s="246" t="e">
        <f ca="1">IF(AND(Q11="",R11=""),"",IF(OR(Q11="",R11=""),FALSE,TRUE))</f>
        <v>#REF!</v>
      </c>
      <c r="M11" s="339" t="e">
        <f ca="1">IF(L11="","",UNMM0111_IF_SAVE_W_USER_ID)</f>
        <v>#REF!</v>
      </c>
      <c r="N11" s="246" t="e">
        <f ca="1">IF(L11="","",UNMM0111_IF_SAVE_W_SERIAL)</f>
        <v>#REF!</v>
      </c>
      <c r="O11" s="246" t="e">
        <f ca="1">IF(L11="","",1+ROW()-ROW(UNMM0111_IF_SAVE_COPY_START))</f>
        <v>#REF!</v>
      </c>
      <c r="P11" s="246" t="e">
        <f ca="1">IF(L11="","",UNMM0111_IF_SAVE_W_MODE)</f>
        <v>#REF!</v>
      </c>
      <c r="Q11" s="416" t="e">
        <f ca="1">IF(OFFSET(UNMM0111_B_MEISHO_CD,1+ROW()-ROW(UNMM0111_IF_SAVE_COPY_START),0)="","",OFFSET(UNMM0111_B_MEISHO_CD,1+ROW()-ROW(UNMM0111_IF_SAVE_COPY_START),0))</f>
        <v>#REF!</v>
      </c>
      <c r="R11" s="247" t="e">
        <f ca="1">IF(OFFSET(UNMM0111_B_DATA_1,1+ROW()-ROW(UNMM0111_IF_SAVE_COPY_START),0)="","",OFFSET(UNMM0111_B_DATA_1,1+ROW()-ROW(UNMM0111_IF_SAVE_COPY_START),0))</f>
        <v>#REF!</v>
      </c>
      <c r="S11" s="247" t="e">
        <f ca="1">IF(OFFSET(UNMM0111_B_DATA_2,1+ROW()-ROW(UNMM0111_IF_SAVE_COPY_START),0)="","",OFFSET(UNMM0111_B_DATA_2,1+ROW()-ROW(UNMM0111_IF_SAVE_COPY_START),0))</f>
        <v>#REF!</v>
      </c>
      <c r="T11" s="247" t="e">
        <f ca="1">IF(OFFSET(UNMM0111_B_SORT,1+ROW()-ROW(UNMM0111_IF_SAVE_COPY_START),0)="","",OFFSET(UNMM0111_B_SORT,1+ROW()-ROW(UNMM0111_IF_SAVE_COPY_START),0))</f>
        <v>#REF!</v>
      </c>
      <c r="U11" s="247" t="e">
        <f ca="1">IF(OFFSET(UNMM0111_B_SORT,1+ROW()-ROW(UNMM0111_IF_SAVE_COPY_START),1)="","",OFFSET(UNMM0111_B_SORT,1+ROW()-ROW(UNMM0111_IF_SAVE_COPY_START),1))</f>
        <v>#REF!</v>
      </c>
      <c r="V11" s="247" t="e">
        <f ca="1">IF(OFFSET(UNMM0111_B_MISHIYO,1+ROW()-ROW(UNMM0111_IF_SAVE_COPY_START),-1)="","",OFFSET(UNMM0111_B_MISHIYO,1+ROW()-ROW(UNMM0111_IF_SAVE_COPY_START),-1))</f>
        <v>#REF!</v>
      </c>
    </row>
    <row r="12" spans="2:23" ht="16.5" customHeight="1">
      <c r="D12" s="129"/>
      <c r="E12" s="124"/>
      <c r="O12" s="130"/>
    </row>
    <row r="13" spans="2:23" ht="16.5" customHeight="1">
      <c r="B13" s="85" t="s">
        <v>45</v>
      </c>
      <c r="D13" s="129"/>
      <c r="E13" s="124"/>
      <c r="F13" s="85" t="s">
        <v>49</v>
      </c>
      <c r="L13" s="85" t="s">
        <v>76</v>
      </c>
      <c r="O13" s="130"/>
    </row>
    <row r="14" spans="2:23" ht="16.5" customHeight="1">
      <c r="C14" s="130" t="s">
        <v>50</v>
      </c>
      <c r="D14" s="129" t="s">
        <v>902</v>
      </c>
      <c r="E14" s="131">
        <f>IF(UNMM0111_IF_MODE=1,1,1)</f>
        <v>1</v>
      </c>
      <c r="F14" s="130" t="s">
        <v>63</v>
      </c>
      <c r="G14" s="130" t="s">
        <v>63</v>
      </c>
      <c r="J14" s="130" t="s">
        <v>814</v>
      </c>
      <c r="K14" s="129" t="s">
        <v>894</v>
      </c>
      <c r="L14" s="248" t="s">
        <v>814</v>
      </c>
      <c r="M14" s="242" t="s">
        <v>895</v>
      </c>
      <c r="N14" s="242" t="s">
        <v>896</v>
      </c>
      <c r="O14" s="242" t="s">
        <v>817</v>
      </c>
      <c r="P14" s="242" t="s">
        <v>897</v>
      </c>
      <c r="Q14" s="219" t="s">
        <v>898</v>
      </c>
      <c r="R14" s="219" t="s">
        <v>899</v>
      </c>
      <c r="S14" s="219" t="s">
        <v>900</v>
      </c>
      <c r="T14" s="219" t="s">
        <v>860</v>
      </c>
      <c r="U14" s="219" t="s">
        <v>901</v>
      </c>
      <c r="V14" s="219" t="s">
        <v>37</v>
      </c>
    </row>
    <row r="15" spans="2:23" ht="16.5" customHeight="1">
      <c r="B15" s="252"/>
      <c r="C15" s="130" t="s">
        <v>904</v>
      </c>
      <c r="D15" s="129" t="s">
        <v>905</v>
      </c>
      <c r="E15" s="131">
        <f>IF(UNMM0111_IF_MODE=1,1,2)</f>
        <v>2</v>
      </c>
      <c r="F15" s="130" t="s">
        <v>63</v>
      </c>
      <c r="G15" s="130" t="s">
        <v>64</v>
      </c>
      <c r="J15" s="130" t="s">
        <v>822</v>
      </c>
      <c r="K15" s="129" t="s">
        <v>903</v>
      </c>
      <c r="L15" s="51"/>
      <c r="O15" s="130"/>
      <c r="P15" s="130"/>
    </row>
    <row r="16" spans="2:23" ht="16.5" customHeight="1">
      <c r="C16" s="130" t="s">
        <v>906</v>
      </c>
      <c r="D16" s="129" t="s">
        <v>907</v>
      </c>
      <c r="E16" s="131">
        <f>IF(UNMM0111_IF_MODE=1,1,2)</f>
        <v>2</v>
      </c>
      <c r="F16" s="130" t="s">
        <v>63</v>
      </c>
      <c r="G16" s="130" t="s">
        <v>64</v>
      </c>
    </row>
    <row r="17" spans="2:20" ht="16.5" customHeight="1">
      <c r="C17" s="130" t="s">
        <v>739</v>
      </c>
      <c r="D17" s="129" t="s">
        <v>908</v>
      </c>
      <c r="E17" s="131">
        <f>IF(UNMM0111_IF_MODE=1,1,2)</f>
        <v>2</v>
      </c>
      <c r="F17" s="130" t="s">
        <v>63</v>
      </c>
      <c r="G17" s="130" t="s">
        <v>64</v>
      </c>
      <c r="O17" s="130"/>
      <c r="P17" s="130"/>
      <c r="Q17" s="130"/>
      <c r="R17" s="130"/>
      <c r="S17" s="130"/>
      <c r="T17" s="130"/>
    </row>
    <row r="18" spans="2:20" ht="16.5" customHeight="1">
      <c r="C18" s="130" t="s">
        <v>909</v>
      </c>
      <c r="D18" s="129" t="s">
        <v>910</v>
      </c>
      <c r="E18" s="131">
        <f>IF(UNMM0111_IF_MODE=1,1,2)</f>
        <v>2</v>
      </c>
      <c r="F18" s="130" t="s">
        <v>63</v>
      </c>
      <c r="G18" s="130" t="s">
        <v>64</v>
      </c>
    </row>
    <row r="19" spans="2:20" ht="16.5" customHeight="1">
      <c r="C19" s="130" t="s">
        <v>54</v>
      </c>
      <c r="D19" s="129" t="s">
        <v>911</v>
      </c>
      <c r="E19" s="131">
        <f>IF(UNMM0111_IF_MODE=1,2,1)</f>
        <v>1</v>
      </c>
      <c r="F19" s="130" t="s">
        <v>64</v>
      </c>
      <c r="G19" s="130" t="s">
        <v>63</v>
      </c>
    </row>
    <row r="20" spans="2:20" ht="16.5" customHeight="1"/>
    <row r="21" spans="2:20" ht="16.5" customHeight="1">
      <c r="B21" s="85" t="s">
        <v>45</v>
      </c>
    </row>
    <row r="22" spans="2:20" ht="16.5" customHeight="1">
      <c r="C22" s="130" t="s">
        <v>909</v>
      </c>
      <c r="D22" s="129" t="s">
        <v>1981</v>
      </c>
      <c r="E22" s="131">
        <f>IF(OR(UNMM0111_B_SELECT_GYO_NO&lt;=ROW(UNMM0111_B_SENTAKU),UNMM0111_B_SELECT_GYO_NO&gt;ROW(UNMM0111_B_SENTAKU)+UNMM0111_B_HYOJI_KENSU),1,0)</f>
        <v>1</v>
      </c>
      <c r="F22" s="130" t="s">
        <v>1976</v>
      </c>
      <c r="G22" s="130" t="s">
        <v>1980</v>
      </c>
      <c r="O22" s="130"/>
      <c r="P22" s="130"/>
      <c r="Q22" s="130"/>
      <c r="R22" s="130"/>
      <c r="S22" s="130"/>
      <c r="T22" s="130"/>
    </row>
    <row r="23" spans="2:20" ht="16.5" customHeight="1">
      <c r="O23" s="130"/>
      <c r="P23" s="130"/>
      <c r="Q23" s="130"/>
      <c r="R23" s="130"/>
      <c r="S23" s="130"/>
      <c r="T23" s="130"/>
    </row>
    <row r="24" spans="2:20" ht="16.5" customHeight="1">
      <c r="B24" s="85" t="s">
        <v>42</v>
      </c>
      <c r="D24" s="129"/>
      <c r="O24" s="130"/>
      <c r="P24" s="130"/>
      <c r="Q24" s="130"/>
      <c r="R24" s="130"/>
      <c r="S24" s="130"/>
      <c r="T24" s="130"/>
    </row>
    <row r="25" spans="2:20" ht="16.5" customHeight="1">
      <c r="B25" s="85"/>
      <c r="C25" s="130" t="s">
        <v>834</v>
      </c>
      <c r="D25" s="129"/>
      <c r="O25" s="130"/>
      <c r="P25" s="130"/>
      <c r="Q25" s="130"/>
      <c r="R25" s="130"/>
      <c r="S25" s="130"/>
      <c r="T25" s="130"/>
    </row>
    <row r="26" spans="2:20" ht="16.5" customHeight="1">
      <c r="C26" s="130" t="s">
        <v>835</v>
      </c>
      <c r="D26" s="129" t="s">
        <v>912</v>
      </c>
      <c r="E26" s="131"/>
      <c r="O26" s="130"/>
      <c r="P26" s="130"/>
      <c r="Q26" s="130"/>
      <c r="R26" s="130"/>
      <c r="S26" s="130"/>
      <c r="T26" s="130"/>
    </row>
    <row r="27" spans="2:20" ht="16.5" customHeight="1">
      <c r="C27" s="130" t="s">
        <v>746</v>
      </c>
      <c r="D27" s="129" t="s">
        <v>913</v>
      </c>
      <c r="E27" s="249">
        <f ca="1">NOW()</f>
        <v>42991.659979282405</v>
      </c>
      <c r="O27" s="130"/>
      <c r="P27" s="130"/>
      <c r="Q27" s="130"/>
      <c r="R27" s="130"/>
      <c r="S27" s="130"/>
      <c r="T27" s="130"/>
    </row>
    <row r="28" spans="2:20" ht="16.5" customHeight="1">
      <c r="C28" s="130" t="s">
        <v>702</v>
      </c>
      <c r="D28" s="129" t="s">
        <v>914</v>
      </c>
      <c r="E28" s="131">
        <v>2</v>
      </c>
    </row>
    <row r="29" spans="2:20" ht="16.5" customHeight="1">
      <c r="C29" s="130" t="s">
        <v>839</v>
      </c>
      <c r="D29" s="129" t="s">
        <v>915</v>
      </c>
      <c r="E29" s="131">
        <f ca="1">IF(UNMM0111_B_HYOJI_KENSU=0,0,COUNTIF(OFFSET(UNMM0111_IF_SAVE_INPUT_CHECK_COLUMN,1,0,UNMM0111_B_HYOJI_KENSU),TRUE))</f>
        <v>0</v>
      </c>
    </row>
    <row r="30" spans="2:20" ht="16.5" customHeight="1">
      <c r="C30" s="130" t="s">
        <v>841</v>
      </c>
      <c r="D30" s="129" t="s">
        <v>916</v>
      </c>
      <c r="E30" s="131" t="str">
        <f ca="1">ADDRESS(ROW(OFFSET(UNMM0111_IF_SAVE_COPY_START,0,1)),COLUMN(OFFSET(UNMM0111_IF_SAVE_COPY_START,0,1)))</f>
        <v>$M$15</v>
      </c>
    </row>
    <row r="31" spans="2:20" ht="16.5" customHeight="1">
      <c r="D31" s="129"/>
      <c r="E31" s="253"/>
    </row>
    <row r="32" spans="2:20" ht="16.5" customHeight="1">
      <c r="C32" s="130" t="s">
        <v>843</v>
      </c>
    </row>
    <row r="33" spans="2:7" ht="16.5" customHeight="1">
      <c r="C33" s="130" t="s">
        <v>844</v>
      </c>
      <c r="D33" s="129" t="s">
        <v>917</v>
      </c>
      <c r="E33" s="51" t="str">
        <f>"UNMM0111_IF!"&amp;ADDRESS(ROW(UNMM0111_IF_SAVE_COPY_START),COLUMN(UNMM0111_IF_SAVE_COPY_START))&amp;":"
&amp;ADDRESS(ROW(UNMM0111_IF_SAVE_COPY_START)+UNMM0111_B_HYOJI_KENSU-1,COLUMN(UNMM0111_IF_SAVE_COPY_START)+COLUMNS(UNMM0111_IF_SAVE_COPY_MOTO)-1)</f>
        <v>UNMM0111_IF!$L$15:$V$14</v>
      </c>
      <c r="F33" s="85"/>
    </row>
    <row r="34" spans="2:7" ht="16.5" customHeight="1">
      <c r="D34" s="129"/>
      <c r="E34" s="124"/>
    </row>
    <row r="35" spans="2:7" ht="16.5" customHeight="1">
      <c r="C35" s="130" t="s">
        <v>46</v>
      </c>
      <c r="D35" s="129"/>
    </row>
    <row r="36" spans="2:7" ht="16.5" customHeight="1">
      <c r="C36" s="130" t="s">
        <v>75</v>
      </c>
      <c r="D36" s="129" t="s">
        <v>918</v>
      </c>
      <c r="E36" s="51">
        <f ca="1">IF(UNMM0111_B_HYOJI_KENSU=0,0,IF(COUNTIF(OFFSET(UNMM0111_IF_SAVE_INPUT_CHECK_COLUMN,1,0,UNMM0111_B_HYOJI_KENSU),FALSE)&gt;0,0,1))</f>
        <v>0</v>
      </c>
      <c r="F36" s="130" t="s">
        <v>847</v>
      </c>
    </row>
    <row r="37" spans="2:7" ht="16.5" customHeight="1">
      <c r="D37" s="129"/>
      <c r="E37" s="254"/>
    </row>
    <row r="38" spans="2:7" ht="16.5" customHeight="1">
      <c r="C38" s="130" t="s">
        <v>465</v>
      </c>
      <c r="D38" s="129"/>
      <c r="E38" s="254"/>
    </row>
    <row r="39" spans="2:7" ht="16.5" customHeight="1">
      <c r="C39" s="130" t="s">
        <v>466</v>
      </c>
      <c r="D39" s="129" t="s">
        <v>919</v>
      </c>
      <c r="E39" s="51"/>
    </row>
    <row r="40" spans="2:7" ht="16.5" customHeight="1">
      <c r="B40" s="85"/>
      <c r="C40" s="130" t="s">
        <v>467</v>
      </c>
      <c r="D40" s="129" t="s">
        <v>920</v>
      </c>
      <c r="E40" s="51"/>
    </row>
    <row r="41" spans="2:7" ht="16.5" customHeight="1">
      <c r="B41" s="85"/>
      <c r="C41" s="130" t="s">
        <v>468</v>
      </c>
      <c r="D41" s="129" t="s">
        <v>921</v>
      </c>
      <c r="E41" s="127">
        <f>IF(UNMM0111_IF_SAVE_RESULT_CD=0,2,1)</f>
        <v>2</v>
      </c>
      <c r="F41" s="130" t="s">
        <v>470</v>
      </c>
      <c r="G41" s="112"/>
    </row>
    <row r="42" spans="2:7" ht="16.5" customHeight="1">
      <c r="C42" s="130" t="s">
        <v>469</v>
      </c>
      <c r="D42" s="129" t="s">
        <v>922</v>
      </c>
      <c r="E42" s="127" t="str">
        <f>IF(UNMM0111_IF_SAVE_W_MODE=3,"削除に失敗しました。",
IF(ISERROR(VLOOKUP(UNMM0111_IF_SAVE_RESULT_CD,UNMM_COMMON_ERROR_MESSAGE_AREA,2,FALSE)),
"保存に失敗しました。入力内容を確認後、再度実行してください。",
VLOOKUP(UNMM0111_IF_SAVE_RESULT_CD,UNMM_COMMON_ERROR_MESSAGE_AREA,2,FALSE)))</f>
        <v>保存に失敗しました。入力内容を確認後、再度実行してください。</v>
      </c>
      <c r="F42" s="112"/>
      <c r="G42" s="112"/>
    </row>
    <row r="43" spans="2:7" ht="16.5" customHeight="1"/>
    <row r="44" spans="2:7" ht="16.5" customHeight="1">
      <c r="B44" s="85" t="s">
        <v>928</v>
      </c>
      <c r="D44" s="129"/>
    </row>
    <row r="45" spans="2:7" ht="16.5" customHeight="1">
      <c r="C45" s="130" t="s">
        <v>929</v>
      </c>
      <c r="D45" s="129" t="s">
        <v>939</v>
      </c>
      <c r="E45" s="51" t="str">
        <f ca="1">"名称マスタメンテ(明細)画面_"&amp;UNMM0111_H_MEISHO_KBN&amp;"_"&amp;TEXT(NOW(),"YYYYMMDD")</f>
        <v>名称マスタメンテ(明細)画面__20170913</v>
      </c>
    </row>
    <row r="46" spans="2:7" ht="16.5" customHeight="1"/>
  </sheetData>
  <phoneticPr fontId="2"/>
  <conditionalFormatting sqref="P6:W6">
    <cfRule type="expression" dxfId="10" priority="9">
      <formula>CELL("row")=ROW()</formula>
    </cfRule>
  </conditionalFormatting>
  <conditionalFormatting sqref="P7:W7">
    <cfRule type="expression" dxfId="9" priority="8">
      <formula>CELL("row")=ROW()</formula>
    </cfRule>
  </conditionalFormatting>
  <dataValidations count="3">
    <dataValidation type="whole" operator="greaterThanOrEqual" allowBlank="1" showInputMessage="1" showErrorMessage="1" sqref="T7">
      <formula1>1</formula1>
    </dataValidation>
    <dataValidation type="custom" allowBlank="1" showInputMessage="1" showErrorMessage="1" sqref="R7:S7">
      <formula1>LENB(R7)&lt;=UNMM0111_IF_DATA_KETA</formula1>
    </dataValidation>
    <dataValidation type="custom" allowBlank="1" showInputMessage="1" showErrorMessage="1" sqref="Q7">
      <formula1>IF(UNMM0111_IF_ZOKUSEI="数字",AND(ISNUMBER(Q7),LENB(Q7)&lt;=UNMM0111_IF_CODE_KETA),AND(LEN(Q7)=LENB(Q7),LENB(Q7)&lt;=UNMM0111_IF_CODE_KETA))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82" r:id="rId4" name="Check Box 2">
              <controlPr defaultSize="0" autoFill="0" autoLine="0" autoPict="0" macro="[0]!UNMM0111_B_CheckBox_Click">
                <anchor moveWithCells="1" sizeWithCells="1">
                  <from>
                    <xdr:col>22</xdr:col>
                    <xdr:colOff>133350</xdr:colOff>
                    <xdr:row>5</xdr:row>
                    <xdr:rowOff>19050</xdr:rowOff>
                  </from>
                  <to>
                    <xdr:col>22</xdr:col>
                    <xdr:colOff>361950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683" r:id="rId5" name="Check Box 3">
              <controlPr locked="0" defaultSize="0" autoFill="0" autoLine="0" autoPict="0" macro="[0]!UNMM0111_B_CheckBox_Click">
                <anchor moveWithCells="1" sizeWithCells="1">
                  <from>
                    <xdr:col>22</xdr:col>
                    <xdr:colOff>133350</xdr:colOff>
                    <xdr:row>9</xdr:row>
                    <xdr:rowOff>19050</xdr:rowOff>
                  </from>
                  <to>
                    <xdr:col>22</xdr:col>
                    <xdr:colOff>304800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684" r:id="rId6" name="Check Box 4">
              <controlPr defaultSize="0" autoFill="0" autoLine="0" autoPict="0" macro="[0]!UNMM0111_B_CheckBox_Click">
                <anchor moveWithCells="1" sizeWithCells="1">
                  <from>
                    <xdr:col>22</xdr:col>
                    <xdr:colOff>133350</xdr:colOff>
                    <xdr:row>8</xdr:row>
                    <xdr:rowOff>19050</xdr:rowOff>
                  </from>
                  <to>
                    <xdr:col>22</xdr:col>
                    <xdr:colOff>361950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681" r:id="rId7" name="Check Box 1">
              <controlPr locked="0" defaultSize="0" autoFill="0" autoLine="0" autoPict="0" macro="[0]!UNMM0111_B_CheckBox_Click">
                <anchor moveWithCells="1" sizeWithCells="1">
                  <from>
                    <xdr:col>22</xdr:col>
                    <xdr:colOff>133350</xdr:colOff>
                    <xdr:row>6</xdr:row>
                    <xdr:rowOff>19050</xdr:rowOff>
                  </from>
                  <to>
                    <xdr:col>22</xdr:col>
                    <xdr:colOff>304800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B1:E12"/>
  <sheetViews>
    <sheetView topLeftCell="C1" workbookViewId="0">
      <selection activeCell="D10" sqref="D10"/>
    </sheetView>
  </sheetViews>
  <sheetFormatPr defaultRowHeight="13.5"/>
  <cols>
    <col min="1" max="1" width="9" style="130"/>
    <col min="2" max="2" width="24.25" style="130" bestFit="1" customWidth="1"/>
    <col min="3" max="3" width="19" style="130" customWidth="1"/>
    <col min="4" max="4" width="73.875" style="130" customWidth="1"/>
    <col min="5" max="5" width="10.625" style="130" customWidth="1"/>
    <col min="6" max="16384" width="9" style="130"/>
  </cols>
  <sheetData>
    <row r="1" spans="2:5" ht="15" customHeight="1">
      <c r="B1" s="208"/>
      <c r="C1" s="34" t="s">
        <v>767</v>
      </c>
      <c r="D1" s="29">
        <f>UNMM0111_H_MEISHO_KBN</f>
        <v>0</v>
      </c>
    </row>
    <row r="2" spans="2:5" ht="15" customHeight="1">
      <c r="B2" s="208"/>
      <c r="C2" s="26"/>
      <c r="D2" s="29"/>
    </row>
    <row r="3" spans="2:5" ht="15" customHeight="1">
      <c r="B3" s="25" t="s">
        <v>852</v>
      </c>
      <c r="C3" s="26" t="s">
        <v>923</v>
      </c>
      <c r="D3" s="462" t="str">
        <f>D4&amp;D5&amp;D6</f>
        <v xml:space="preserve">SELECT *
  FROM V_MEISHO_DATA
 ORDER BY SORT_NO ASC
      ,CAST(MEISHO_CD AS INT) ASC
</v>
      </c>
    </row>
    <row r="4" spans="2:5" ht="15" customHeight="1">
      <c r="B4" s="208"/>
      <c r="C4" s="208" t="s">
        <v>924</v>
      </c>
      <c r="D4" s="29" t="s">
        <v>925</v>
      </c>
    </row>
    <row r="5" spans="2:5" ht="15" customHeight="1">
      <c r="B5" s="208"/>
      <c r="C5" s="208" t="s">
        <v>154</v>
      </c>
      <c r="D5" s="29" t="str">
        <f>IF(D1=0,""," WHERE V_MEISHO_DATA.MEISHO_KBN = '"&amp;D1&amp;"'
")</f>
        <v/>
      </c>
    </row>
    <row r="6" spans="2:5" ht="15" customHeight="1">
      <c r="B6" s="208"/>
      <c r="C6" s="26" t="s">
        <v>138</v>
      </c>
      <c r="D6" s="29" t="str">
        <f>" ORDER BY SORT_NO ASC
      ,CAST("&amp;E6&amp;" AS INT) ASC
"</f>
        <v xml:space="preserve"> ORDER BY SORT_NO ASC
      ,CAST(MEISHO_CD AS INT) ASC
</v>
      </c>
      <c r="E6" s="46" t="s">
        <v>926</v>
      </c>
    </row>
    <row r="7" spans="2:5" ht="15" customHeight="1">
      <c r="B7" s="208"/>
    </row>
    <row r="8" spans="2:5" s="208" customFormat="1" ht="15" customHeight="1">
      <c r="B8" s="130"/>
      <c r="C8" s="130"/>
      <c r="D8" s="130"/>
      <c r="E8" s="130"/>
    </row>
    <row r="9" spans="2:5" s="208" customFormat="1" ht="15" customHeight="1">
      <c r="B9" s="130"/>
      <c r="C9" s="130"/>
      <c r="D9" s="130"/>
      <c r="E9" s="130"/>
    </row>
    <row r="10" spans="2:5" ht="15" customHeight="1"/>
    <row r="11" spans="2:5" ht="15" customHeight="1"/>
    <row r="12" spans="2:5" ht="15" customHeight="1"/>
  </sheetData>
  <phoneticPr fontId="2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>
    <tabColor rgb="FFFFFF00"/>
  </sheetPr>
  <dimension ref="A1:J30"/>
  <sheetViews>
    <sheetView showGridLines="0" showRowColHeaders="0" topLeftCell="E1" workbookViewId="0">
      <selection sqref="A1:D1"/>
    </sheetView>
  </sheetViews>
  <sheetFormatPr defaultRowHeight="16.5"/>
  <cols>
    <col min="1" max="1" width="20.125" style="84" hidden="1" customWidth="1"/>
    <col min="2" max="2" width="26.125" style="84" hidden="1" customWidth="1"/>
    <col min="3" max="3" width="22.625" style="84" hidden="1" customWidth="1"/>
    <col min="4" max="4" width="9" style="84" hidden="1" customWidth="1"/>
    <col min="5" max="5" width="3.375" style="83" customWidth="1"/>
    <col min="6" max="6" width="19.75" style="83" customWidth="1"/>
    <col min="7" max="9" width="11.75" style="83" customWidth="1"/>
    <col min="10" max="10" width="23.5" style="83" customWidth="1"/>
    <col min="11" max="11" width="11.75" style="83" customWidth="1"/>
    <col min="12" max="12" width="5.75" style="83" customWidth="1"/>
    <col min="13" max="13" width="4.125" style="83" customWidth="1"/>
    <col min="14" max="16384" width="9" style="83"/>
  </cols>
  <sheetData>
    <row r="1" spans="1:10" s="5" customFormat="1" ht="19.5">
      <c r="A1" s="41"/>
      <c r="B1" s="41"/>
      <c r="C1" s="41"/>
      <c r="D1" s="41"/>
      <c r="E1" s="5" t="str">
        <f>"コントロールマスタメンテ"&amp;IF(UNMM0130_IF_MODE=1,"【修正モード】","【参照モード】")</f>
        <v>コントロールマスタメンテ【参照モード】</v>
      </c>
    </row>
    <row r="2" spans="1:10" ht="19.5">
      <c r="A2" s="41"/>
      <c r="B2" s="41"/>
      <c r="C2" s="41"/>
    </row>
    <row r="3" spans="1:10" ht="18.75">
      <c r="A3" s="163" t="s">
        <v>1707</v>
      </c>
      <c r="B3" s="456" t="s">
        <v>1708</v>
      </c>
      <c r="C3" s="271"/>
      <c r="F3" s="7" t="s">
        <v>1709</v>
      </c>
      <c r="G3" s="692"/>
      <c r="H3" s="171"/>
      <c r="I3" s="171"/>
      <c r="J3" s="171"/>
    </row>
    <row r="4" spans="1:10">
      <c r="G4" s="692"/>
      <c r="H4" s="171"/>
      <c r="I4" s="171"/>
      <c r="J4" s="171"/>
    </row>
    <row r="5" spans="1:10">
      <c r="A5" s="163" t="s">
        <v>126</v>
      </c>
      <c r="B5" s="164" t="s">
        <v>1710</v>
      </c>
      <c r="C5" s="271" t="str">
        <f>ADDRESS(ROW(UNMM0130_DAIHYOSYA_MEI),COLUMN(UNMM0130_DAIHYOSYA_MEI))&amp;":"&amp;
ADDRESS(ROW(UNMM0130_COMMON_INFO)+3,COLUMN(UNMM0130_COMMON_INFO)+3)</f>
        <v>$G$8:$J$21</v>
      </c>
      <c r="G5" s="692"/>
      <c r="H5" s="171"/>
      <c r="I5" s="171"/>
      <c r="J5" s="171"/>
    </row>
    <row r="6" spans="1:10" ht="18.75">
      <c r="A6" s="163" t="s">
        <v>1711</v>
      </c>
      <c r="B6" s="456" t="s">
        <v>1712</v>
      </c>
      <c r="C6" s="271" t="str">
        <f>ADDRESS(ROW(UNMM0130_ZEI_1),COLUMN(UNMM0130_ZEI_1))&amp;":"&amp;
ADDRESS(ROW(UNMM0130_ZEI_2),COLUMN(UNMM0130_ZEI_2))</f>
        <v>$H$11:$H$14</v>
      </c>
      <c r="G6" s="692"/>
      <c r="H6" s="171"/>
      <c r="I6" s="171"/>
      <c r="J6" s="171"/>
    </row>
    <row r="7" spans="1:10" ht="18.75">
      <c r="A7" s="163" t="s">
        <v>1713</v>
      </c>
      <c r="B7" s="456" t="s">
        <v>1714</v>
      </c>
      <c r="C7" s="271" t="str">
        <f>ADDRESS(ROW(UNMM0130_DAIHYOSYA_MEI),COLUMN(UNMM0130_DAIHYOSYA_MEI))&amp;":"&amp;
ADDRESS(ROW(UNMM0130_SHIIRESAKI_LINK_DATE_TIME)+3,COLUMN(UNMM0130_SHIIRESAKI_LINK_DATE_TIME)+3)</f>
        <v>$G$8:$J$29</v>
      </c>
      <c r="G7" s="171"/>
      <c r="H7" s="171"/>
      <c r="I7" s="171"/>
      <c r="J7" s="171"/>
    </row>
    <row r="8" spans="1:10" ht="18.75">
      <c r="A8" s="163" t="s">
        <v>799</v>
      </c>
      <c r="B8" s="456" t="s">
        <v>1715</v>
      </c>
      <c r="C8" s="271"/>
      <c r="F8" s="7" t="s">
        <v>1716</v>
      </c>
      <c r="G8" s="615"/>
      <c r="H8" s="616"/>
      <c r="I8" s="617"/>
      <c r="J8" s="171"/>
    </row>
    <row r="9" spans="1:10" ht="18.75">
      <c r="A9" s="163" t="s">
        <v>801</v>
      </c>
      <c r="B9" s="456" t="s">
        <v>1717</v>
      </c>
      <c r="C9" s="271" t="str">
        <f>ADDRESS(ROW(A1),COLUMN(A1))&amp;":"&amp;ADDRESS(ROW(D1),COLUMN(D1))</f>
        <v>$A$1:$D$1</v>
      </c>
      <c r="G9" s="171"/>
      <c r="H9" s="171"/>
      <c r="I9" s="171"/>
      <c r="J9" s="171"/>
    </row>
    <row r="10" spans="1:10" ht="18.75">
      <c r="A10" s="163"/>
      <c r="B10" s="456"/>
      <c r="C10" s="163"/>
      <c r="F10" s="7" t="s">
        <v>1718</v>
      </c>
      <c r="G10" s="171"/>
      <c r="H10" s="171"/>
      <c r="I10" s="171"/>
      <c r="J10" s="171"/>
    </row>
    <row r="11" spans="1:10" ht="18.75">
      <c r="A11" s="163" t="s">
        <v>1719</v>
      </c>
      <c r="B11" s="456" t="s">
        <v>1720</v>
      </c>
      <c r="C11" s="271"/>
      <c r="F11" s="7" t="s">
        <v>2093</v>
      </c>
      <c r="G11" s="406"/>
      <c r="H11" s="407">
        <f>UNMM0130_TAX_1*100</f>
        <v>0</v>
      </c>
      <c r="I11" s="171" t="s">
        <v>1722</v>
      </c>
      <c r="J11" s="171"/>
    </row>
    <row r="12" spans="1:10" ht="18.75">
      <c r="A12" s="163"/>
      <c r="B12" s="456"/>
      <c r="C12" s="163"/>
      <c r="G12" s="171"/>
      <c r="H12" s="171"/>
      <c r="I12" s="171"/>
      <c r="J12" s="171"/>
    </row>
    <row r="13" spans="1:10">
      <c r="F13" s="7" t="s">
        <v>1723</v>
      </c>
      <c r="G13" s="171"/>
      <c r="H13" s="171"/>
      <c r="I13" s="171"/>
      <c r="J13" s="171"/>
    </row>
    <row r="14" spans="1:10" ht="18.75">
      <c r="A14" s="84" t="s">
        <v>1724</v>
      </c>
      <c r="B14" s="456" t="s">
        <v>1725</v>
      </c>
      <c r="C14" s="88"/>
      <c r="F14" s="7" t="s">
        <v>2093</v>
      </c>
      <c r="G14" s="406"/>
      <c r="H14" s="407">
        <f>UNMM0130_TAX_2*100</f>
        <v>0</v>
      </c>
      <c r="I14" s="171" t="s">
        <v>1722</v>
      </c>
      <c r="J14" s="171"/>
    </row>
    <row r="15" spans="1:10">
      <c r="F15" s="7"/>
      <c r="G15" s="171"/>
      <c r="H15" s="171"/>
      <c r="I15" s="171"/>
      <c r="J15" s="171"/>
    </row>
    <row r="16" spans="1:10">
      <c r="F16" s="7" t="s">
        <v>1726</v>
      </c>
      <c r="G16" s="407"/>
      <c r="H16" s="171"/>
      <c r="I16" s="171"/>
      <c r="J16" s="171"/>
    </row>
    <row r="17" spans="1:10">
      <c r="F17" s="7"/>
      <c r="G17" s="171"/>
      <c r="H17" s="171"/>
      <c r="I17" s="171"/>
      <c r="J17" s="171"/>
    </row>
    <row r="18" spans="1:10" ht="16.5" customHeight="1">
      <c r="F18" s="7" t="s">
        <v>1727</v>
      </c>
      <c r="G18" s="693"/>
      <c r="H18" s="694"/>
      <c r="I18" s="694"/>
      <c r="J18" s="695"/>
    </row>
    <row r="19" spans="1:10" ht="16.5" customHeight="1">
      <c r="F19" s="7"/>
      <c r="G19" s="696"/>
      <c r="H19" s="697"/>
      <c r="I19" s="697"/>
      <c r="J19" s="698"/>
    </row>
    <row r="20" spans="1:10" ht="16.5" customHeight="1">
      <c r="F20" s="7"/>
      <c r="G20" s="696"/>
      <c r="H20" s="697"/>
      <c r="I20" s="697"/>
      <c r="J20" s="698"/>
    </row>
    <row r="21" spans="1:10" ht="16.5" customHeight="1">
      <c r="F21" s="7"/>
      <c r="G21" s="699"/>
      <c r="H21" s="700"/>
      <c r="I21" s="700"/>
      <c r="J21" s="701"/>
    </row>
    <row r="23" spans="1:10">
      <c r="F23" s="3" t="s">
        <v>1728</v>
      </c>
      <c r="G23" s="260"/>
    </row>
    <row r="24" spans="1:10">
      <c r="F24" s="7" t="s">
        <v>1729</v>
      </c>
      <c r="G24" s="650"/>
      <c r="H24" s="651"/>
    </row>
    <row r="25" spans="1:10">
      <c r="F25" s="7" t="s">
        <v>1730</v>
      </c>
      <c r="G25" s="650"/>
      <c r="H25" s="651"/>
    </row>
    <row r="26" spans="1:10">
      <c r="F26" s="7" t="s">
        <v>1731</v>
      </c>
      <c r="G26" s="650"/>
      <c r="H26" s="651"/>
    </row>
    <row r="29" spans="1:10">
      <c r="A29" s="84" t="s">
        <v>1732</v>
      </c>
      <c r="B29" s="89" t="s">
        <v>1733</v>
      </c>
      <c r="F29" s="7" t="s">
        <v>7</v>
      </c>
      <c r="G29" s="650" t="str">
        <f>IF(UNMM0130_INSERT_DATETIME="","",MID(UNMM0130_INSERT_DATETIME,3,4)&amp;"/"&amp;MID(UNMM0130_INSERT_DATETIME,8,2)&amp;"/"&amp;MID(UNMM0130_INSERT_DATETIME,11,2)&amp;" "&amp;MID(UNMM0130_INSERT_DATETIME,14,8))</f>
        <v/>
      </c>
      <c r="H29" s="651"/>
      <c r="I29" s="7" t="s">
        <v>8</v>
      </c>
      <c r="J29" s="408" t="str">
        <f>IF(UNMM0130_UPDATE_DATETIME="","",MID(UNMM0130_UPDATE_DATETIME,3,4)&amp;"/"&amp;MID(UNMM0130_UPDATE_DATETIME,8,2)&amp;"/"&amp;MID(UNMM0130_UPDATE_DATETIME,11,2)&amp;" "&amp;MID(UNMM0130_UPDATE_DATETIME,14,8))</f>
        <v/>
      </c>
    </row>
    <row r="30" spans="1:10">
      <c r="A30" s="84" t="s">
        <v>1638</v>
      </c>
      <c r="B30" s="89" t="s">
        <v>1734</v>
      </c>
    </row>
  </sheetData>
  <sheetProtection sheet="1" objects="1" scenarios="1" selectLockedCells="1"/>
  <mergeCells count="7">
    <mergeCell ref="G29:H29"/>
    <mergeCell ref="G3:G6"/>
    <mergeCell ref="G8:I8"/>
    <mergeCell ref="G18:J21"/>
    <mergeCell ref="G24:H24"/>
    <mergeCell ref="G25:H25"/>
    <mergeCell ref="G26:H26"/>
  </mergeCells>
  <phoneticPr fontId="2"/>
  <dataValidations count="2">
    <dataValidation type="custom" allowBlank="1" showInputMessage="1" showErrorMessage="1" sqref="G8:I8">
      <formula1>LENB(G8)&lt;=40</formula1>
    </dataValidation>
    <dataValidation type="date" allowBlank="1" showInputMessage="1" showErrorMessage="1" sqref="G11 G14">
      <formula1>36526</formula1>
      <formula2>73415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B2:U72"/>
  <sheetViews>
    <sheetView zoomScale="70" zoomScaleNormal="70" workbookViewId="0">
      <selection activeCell="R34" sqref="R34"/>
    </sheetView>
  </sheetViews>
  <sheetFormatPr defaultRowHeight="13.5"/>
  <cols>
    <col min="1" max="1" width="9" style="130"/>
    <col min="2" max="2" width="20" style="130" customWidth="1"/>
    <col min="3" max="3" width="9" style="130"/>
    <col min="4" max="4" width="15" style="130" customWidth="1"/>
    <col min="5" max="5" width="19.625" style="130" customWidth="1"/>
    <col min="6" max="6" width="21.25" style="130" customWidth="1"/>
    <col min="7" max="7" width="16.125" style="130" bestFit="1" customWidth="1"/>
    <col min="8" max="12" width="9" style="130"/>
    <col min="13" max="15" width="11.75" style="130" customWidth="1"/>
    <col min="16" max="16" width="23.5" style="130" customWidth="1"/>
    <col min="17" max="17" width="9" style="130"/>
    <col min="18" max="20" width="11.75" style="130" customWidth="1"/>
    <col min="21" max="21" width="23.5" style="130" customWidth="1"/>
    <col min="22" max="16384" width="9" style="130"/>
  </cols>
  <sheetData>
    <row r="2" spans="4:21">
      <c r="D2" s="85" t="s">
        <v>171</v>
      </c>
      <c r="L2" s="85" t="s">
        <v>121</v>
      </c>
    </row>
    <row r="3" spans="4:21">
      <c r="E3" s="130" t="s">
        <v>172</v>
      </c>
      <c r="F3" s="129" t="s">
        <v>1735</v>
      </c>
      <c r="G3" s="131"/>
      <c r="H3" s="130" t="s">
        <v>1736</v>
      </c>
      <c r="I3" s="130" t="s">
        <v>175</v>
      </c>
      <c r="L3" s="85"/>
      <c r="M3" s="130" t="s">
        <v>115</v>
      </c>
      <c r="N3" s="129" t="s">
        <v>1737</v>
      </c>
      <c r="R3" s="130" t="s">
        <v>1738</v>
      </c>
      <c r="S3" s="129" t="s">
        <v>1739</v>
      </c>
    </row>
    <row r="4" spans="4:21" ht="16.5">
      <c r="M4" s="546"/>
      <c r="N4" s="547"/>
      <c r="O4" s="548"/>
      <c r="P4" s="83"/>
      <c r="R4" s="615"/>
      <c r="S4" s="616"/>
      <c r="T4" s="617"/>
      <c r="U4" s="171"/>
    </row>
    <row r="5" spans="4:21" ht="16.5">
      <c r="D5" s="85" t="s">
        <v>104</v>
      </c>
      <c r="M5" s="83"/>
      <c r="N5" s="83"/>
      <c r="O5" s="83"/>
      <c r="P5" s="83"/>
      <c r="R5" s="171"/>
      <c r="S5" s="171"/>
      <c r="T5" s="171"/>
      <c r="U5" s="171"/>
    </row>
    <row r="6" spans="4:21" ht="16.5">
      <c r="E6" s="130" t="s">
        <v>105</v>
      </c>
      <c r="F6" s="129" t="s">
        <v>1740</v>
      </c>
      <c r="G6" s="131"/>
      <c r="M6" s="83"/>
      <c r="N6" s="83"/>
      <c r="O6" s="83"/>
      <c r="P6" s="83"/>
      <c r="R6" s="171"/>
      <c r="S6" s="171"/>
      <c r="T6" s="171"/>
      <c r="U6" s="171"/>
    </row>
    <row r="7" spans="4:21" ht="16.5">
      <c r="E7" s="130" t="s">
        <v>107</v>
      </c>
      <c r="F7" s="129" t="s">
        <v>1741</v>
      </c>
      <c r="G7" s="131"/>
      <c r="M7" s="516"/>
      <c r="N7" s="409"/>
      <c r="O7" s="83" t="s">
        <v>1721</v>
      </c>
      <c r="P7" s="83"/>
      <c r="R7" s="406"/>
      <c r="S7" s="407"/>
      <c r="T7" s="171" t="s">
        <v>1721</v>
      </c>
      <c r="U7" s="171"/>
    </row>
    <row r="8" spans="4:21" ht="16.5">
      <c r="E8" s="130" t="s">
        <v>108</v>
      </c>
      <c r="F8" s="129" t="s">
        <v>1742</v>
      </c>
      <c r="G8" s="131"/>
      <c r="L8" s="85"/>
      <c r="M8" s="83"/>
      <c r="N8" s="83"/>
      <c r="O8" s="83"/>
      <c r="P8" s="83"/>
      <c r="R8" s="171"/>
      <c r="S8" s="171"/>
      <c r="T8" s="171"/>
      <c r="U8" s="171"/>
    </row>
    <row r="9" spans="4:21" ht="16.5">
      <c r="E9" s="130" t="s">
        <v>106</v>
      </c>
      <c r="F9" s="129" t="s">
        <v>1743</v>
      </c>
      <c r="G9" s="131"/>
      <c r="L9" s="85"/>
      <c r="M9" s="83"/>
      <c r="N9" s="83"/>
      <c r="O9" s="83"/>
      <c r="P9" s="83"/>
      <c r="R9" s="171"/>
      <c r="S9" s="171"/>
      <c r="T9" s="171"/>
      <c r="U9" s="171"/>
    </row>
    <row r="10" spans="4:21" ht="16.5">
      <c r="M10" s="516"/>
      <c r="N10" s="409"/>
      <c r="O10" s="83" t="s">
        <v>1721</v>
      </c>
      <c r="P10" s="83"/>
      <c r="R10" s="406"/>
      <c r="S10" s="407"/>
      <c r="T10" s="171" t="s">
        <v>1721</v>
      </c>
      <c r="U10" s="171"/>
    </row>
    <row r="11" spans="4:21" ht="16.5">
      <c r="D11" s="85" t="s">
        <v>103</v>
      </c>
      <c r="F11" s="129"/>
      <c r="G11" s="124"/>
      <c r="M11" s="83"/>
      <c r="N11" s="83"/>
      <c r="O11" s="83"/>
      <c r="P11" s="83"/>
      <c r="R11" s="171"/>
      <c r="S11" s="171"/>
      <c r="T11" s="171"/>
      <c r="U11" s="171"/>
    </row>
    <row r="12" spans="4:21" ht="16.5">
      <c r="E12" s="130" t="s">
        <v>39</v>
      </c>
      <c r="F12" s="129" t="s">
        <v>1744</v>
      </c>
      <c r="G12" s="131">
        <v>0</v>
      </c>
      <c r="H12" s="23" t="s">
        <v>1262</v>
      </c>
      <c r="I12" s="23" t="s">
        <v>56</v>
      </c>
      <c r="M12" s="392"/>
      <c r="N12" s="83"/>
      <c r="O12" s="83"/>
      <c r="P12" s="83"/>
      <c r="R12" s="407"/>
      <c r="S12" s="171"/>
      <c r="T12" s="171"/>
      <c r="U12" s="171"/>
    </row>
    <row r="13" spans="4:21" ht="16.5">
      <c r="F13" s="129"/>
      <c r="H13" s="23"/>
      <c r="I13" s="23"/>
      <c r="M13" s="83"/>
      <c r="N13" s="83"/>
      <c r="O13" s="83"/>
      <c r="P13" s="83"/>
      <c r="R13" s="171"/>
      <c r="S13" s="171"/>
      <c r="T13" s="171"/>
      <c r="U13" s="171"/>
    </row>
    <row r="14" spans="4:21">
      <c r="D14" s="85" t="s">
        <v>41</v>
      </c>
      <c r="F14" s="129"/>
      <c r="G14" s="124"/>
      <c r="H14" s="85" t="s">
        <v>49</v>
      </c>
      <c r="M14" s="702"/>
      <c r="N14" s="703"/>
      <c r="O14" s="703"/>
      <c r="P14" s="704"/>
      <c r="R14" s="693"/>
      <c r="S14" s="694"/>
      <c r="T14" s="694"/>
      <c r="U14" s="695"/>
    </row>
    <row r="15" spans="4:21">
      <c r="E15" s="130" t="s">
        <v>43</v>
      </c>
      <c r="F15" s="129" t="s">
        <v>1745</v>
      </c>
      <c r="G15" s="131" t="str">
        <f>IF(UNMM0130_IF_MODE=1,"修正キャンセル","修正")</f>
        <v>修正</v>
      </c>
      <c r="H15" s="130" t="s">
        <v>59</v>
      </c>
      <c r="I15" s="130" t="s">
        <v>60</v>
      </c>
      <c r="M15" s="705"/>
      <c r="N15" s="706"/>
      <c r="O15" s="706"/>
      <c r="P15" s="707"/>
      <c r="R15" s="696"/>
      <c r="S15" s="697"/>
      <c r="T15" s="697"/>
      <c r="U15" s="698"/>
    </row>
    <row r="16" spans="4:21">
      <c r="F16" s="129"/>
      <c r="G16" s="124"/>
      <c r="M16" s="705"/>
      <c r="N16" s="706"/>
      <c r="O16" s="706"/>
      <c r="P16" s="707"/>
      <c r="R16" s="696"/>
      <c r="S16" s="697"/>
      <c r="T16" s="697"/>
      <c r="U16" s="698"/>
    </row>
    <row r="17" spans="4:21">
      <c r="D17" s="85" t="s">
        <v>45</v>
      </c>
      <c r="F17" s="129"/>
      <c r="G17" s="124"/>
      <c r="H17" s="85" t="s">
        <v>49</v>
      </c>
      <c r="M17" s="708"/>
      <c r="N17" s="709"/>
      <c r="O17" s="709"/>
      <c r="P17" s="710"/>
      <c r="R17" s="699"/>
      <c r="S17" s="700"/>
      <c r="T17" s="700"/>
      <c r="U17" s="701"/>
    </row>
    <row r="18" spans="4:21" ht="16.5">
      <c r="D18" s="85"/>
      <c r="E18" s="130" t="s">
        <v>0</v>
      </c>
      <c r="F18" s="129" t="s">
        <v>1746</v>
      </c>
      <c r="G18" s="131">
        <f>IF(UNMM0130_IF_MODE=1,1,2)</f>
        <v>2</v>
      </c>
      <c r="H18" s="130" t="s">
        <v>63</v>
      </c>
      <c r="I18" s="130" t="s">
        <v>64</v>
      </c>
      <c r="R18" s="83"/>
      <c r="S18" s="83"/>
      <c r="T18" s="83"/>
      <c r="U18" s="83"/>
    </row>
    <row r="19" spans="4:21" ht="13.5" customHeight="1">
      <c r="E19" s="130" t="s">
        <v>52</v>
      </c>
      <c r="F19" s="129" t="s">
        <v>1747</v>
      </c>
      <c r="G19" s="131">
        <f>IF(UNMM0130_IF_MODE=1,1,2)</f>
        <v>2</v>
      </c>
      <c r="H19" s="130" t="s">
        <v>63</v>
      </c>
      <c r="I19" s="130" t="s">
        <v>64</v>
      </c>
      <c r="M19" s="130" t="s">
        <v>116</v>
      </c>
      <c r="N19" s="129" t="s">
        <v>1748</v>
      </c>
      <c r="R19" s="260"/>
      <c r="S19" s="83"/>
      <c r="T19" s="83"/>
      <c r="U19" s="83"/>
    </row>
    <row r="20" spans="4:21" ht="13.5" customHeight="1">
      <c r="E20" s="130" t="s">
        <v>906</v>
      </c>
      <c r="F20" s="129" t="s">
        <v>1749</v>
      </c>
      <c r="G20" s="131">
        <f>IF(UNMM0130_IF_MODE=1,1,2)</f>
        <v>2</v>
      </c>
      <c r="H20" s="130" t="s">
        <v>63</v>
      </c>
      <c r="I20" s="130" t="s">
        <v>64</v>
      </c>
      <c r="M20" s="615"/>
      <c r="N20" s="616"/>
      <c r="O20" s="617"/>
      <c r="P20" s="171"/>
      <c r="R20" s="650"/>
      <c r="S20" s="651"/>
      <c r="T20" s="83"/>
      <c r="U20" s="83"/>
    </row>
    <row r="21" spans="4:21" ht="13.5" customHeight="1">
      <c r="E21" s="130" t="s">
        <v>1750</v>
      </c>
      <c r="F21" s="129" t="s">
        <v>1751</v>
      </c>
      <c r="G21" s="131">
        <f>IF(UNMM0130_IF_MODE=1,1,2)</f>
        <v>2</v>
      </c>
      <c r="H21" s="130" t="s">
        <v>63</v>
      </c>
      <c r="I21" s="130" t="s">
        <v>64</v>
      </c>
      <c r="M21" s="171"/>
      <c r="N21" s="171"/>
      <c r="O21" s="171"/>
      <c r="P21" s="171"/>
      <c r="R21" s="650"/>
      <c r="S21" s="651"/>
      <c r="T21" s="83"/>
      <c r="U21" s="83"/>
    </row>
    <row r="22" spans="4:21" ht="13.5" customHeight="1">
      <c r="E22" s="130" t="s">
        <v>54</v>
      </c>
      <c r="F22" s="129" t="s">
        <v>1752</v>
      </c>
      <c r="G22" s="131">
        <f>IF(UNMM0130_IF_MODE=1,2,1)</f>
        <v>1</v>
      </c>
      <c r="H22" s="130" t="s">
        <v>64</v>
      </c>
      <c r="I22" s="130" t="s">
        <v>63</v>
      </c>
      <c r="M22" s="171"/>
      <c r="N22" s="171"/>
      <c r="O22" s="171"/>
      <c r="P22" s="171"/>
      <c r="R22" s="650"/>
      <c r="S22" s="651"/>
      <c r="T22" s="83"/>
      <c r="U22" s="83"/>
    </row>
    <row r="23" spans="4:21" ht="16.5">
      <c r="M23" s="406"/>
      <c r="N23" s="407"/>
      <c r="O23" s="171" t="s">
        <v>1721</v>
      </c>
      <c r="P23" s="171"/>
      <c r="R23" s="83"/>
      <c r="S23" s="83"/>
      <c r="T23" s="83"/>
      <c r="U23" s="83"/>
    </row>
    <row r="24" spans="4:21" ht="16.5">
      <c r="D24" s="85" t="s">
        <v>42</v>
      </c>
      <c r="F24" s="129"/>
      <c r="G24" s="124"/>
      <c r="M24" s="171"/>
      <c r="N24" s="171"/>
      <c r="O24" s="171"/>
      <c r="P24" s="171"/>
      <c r="R24" s="83"/>
      <c r="S24" s="83"/>
      <c r="T24" s="83"/>
      <c r="U24" s="83"/>
    </row>
    <row r="25" spans="4:21" ht="16.5">
      <c r="D25" s="85"/>
      <c r="E25" s="130" t="s">
        <v>76</v>
      </c>
      <c r="F25" s="129"/>
      <c r="G25" s="124"/>
      <c r="M25" s="171"/>
      <c r="N25" s="171"/>
      <c r="O25" s="171"/>
      <c r="P25" s="171"/>
      <c r="R25" s="650" t="str">
        <f>IF(UNMM0130_INSERT_DATETIME="","",MID(UNMM0130_INSERT_DATETIME,3,4)&amp;"/"&amp;MID(UNMM0130_INSERT_DATETIME,8,2)&amp;"/"&amp;MID(UNMM0130_INSERT_DATETIME,11,2)&amp;" "&amp;MID(UNMM0130_INSERT_DATETIME,14,8))</f>
        <v/>
      </c>
      <c r="S25" s="651"/>
      <c r="T25" s="7" t="s">
        <v>8</v>
      </c>
      <c r="U25" s="408" t="str">
        <f>IF(UNMM0130_UPDATE_DATETIME="","",MID(UNMM0130_UPDATE_DATETIME,3,4)&amp;"/"&amp;MID(UNMM0130_UPDATE_DATETIME,8,2)&amp;"/"&amp;MID(UNMM0130_UPDATE_DATETIME,11,2)&amp;" "&amp;MID(UNMM0130_UPDATE_DATETIME,14,8))</f>
        <v/>
      </c>
    </row>
    <row r="26" spans="4:21" ht="16.5">
      <c r="E26" s="130" t="s">
        <v>835</v>
      </c>
      <c r="F26" s="129" t="s">
        <v>1753</v>
      </c>
      <c r="G26" s="249"/>
      <c r="M26" s="406"/>
      <c r="N26" s="407"/>
      <c r="O26" s="171" t="s">
        <v>1722</v>
      </c>
      <c r="P26" s="171"/>
    </row>
    <row r="27" spans="4:21" ht="16.5">
      <c r="E27" s="130" t="s">
        <v>746</v>
      </c>
      <c r="F27" s="129" t="s">
        <v>1754</v>
      </c>
      <c r="G27" s="249">
        <f ca="1">NOW()</f>
        <v>42991.659979282405</v>
      </c>
      <c r="M27" s="171"/>
      <c r="N27" s="171"/>
      <c r="O27" s="171"/>
      <c r="P27" s="171"/>
    </row>
    <row r="28" spans="4:21" ht="16.5">
      <c r="E28" s="130" t="s">
        <v>645</v>
      </c>
      <c r="F28" s="129" t="s">
        <v>1755</v>
      </c>
      <c r="G28" s="277">
        <v>1</v>
      </c>
      <c r="M28" s="407"/>
      <c r="N28" s="171"/>
      <c r="O28" s="171"/>
      <c r="P28" s="171"/>
    </row>
    <row r="29" spans="4:21" ht="13.5" customHeight="1">
      <c r="E29" s="130" t="s">
        <v>702</v>
      </c>
      <c r="F29" s="129" t="s">
        <v>1756</v>
      </c>
      <c r="G29" s="131">
        <v>2</v>
      </c>
      <c r="H29" s="130" t="s">
        <v>1473</v>
      </c>
      <c r="M29" s="171"/>
      <c r="N29" s="171"/>
      <c r="O29" s="171"/>
      <c r="P29" s="171"/>
    </row>
    <row r="30" spans="4:21" ht="13.5" customHeight="1">
      <c r="E30" s="130" t="s">
        <v>1757</v>
      </c>
      <c r="F30" s="129" t="s">
        <v>1758</v>
      </c>
      <c r="G30" s="131" t="str">
        <f>IF(UNMM0130_IF_IMG_SAVE_CHECK_FLG=FALSE,"",IF(UNMM0130_IF_IMG_SAVE_KIZON_FLG=TRUE,UNMM0130_KAISHA_MARK_PATH,IF(UNMM0130_IF_IMG_SAVE_UPDATE_FLG=1,UNMM0130_IF_IMG_SAVE_UPLOAD_PATH,"")))</f>
        <v/>
      </c>
      <c r="M30" s="693"/>
      <c r="N30" s="694"/>
      <c r="O30" s="694"/>
      <c r="P30" s="695"/>
    </row>
    <row r="31" spans="4:21" ht="13.5" customHeight="1">
      <c r="E31" s="130" t="s">
        <v>1759</v>
      </c>
      <c r="F31" s="129" t="s">
        <v>1760</v>
      </c>
      <c r="G31" s="131" t="str">
        <f>IF(UNMM0130_DAIHYOSYA_MEI="","",UNMM0130_DAIHYOSYA_MEI)</f>
        <v/>
      </c>
      <c r="M31" s="696"/>
      <c r="N31" s="697"/>
      <c r="O31" s="697"/>
      <c r="P31" s="698"/>
    </row>
    <row r="32" spans="4:21" ht="13.5" customHeight="1">
      <c r="E32" s="130" t="s">
        <v>1761</v>
      </c>
      <c r="F32" s="129" t="s">
        <v>1762</v>
      </c>
      <c r="G32" s="417" t="str">
        <f>IF(UNMM0130_JISSHI_DATE_1="","",UNMM0130_JISSHI_DATE_1)</f>
        <v/>
      </c>
      <c r="M32" s="696"/>
      <c r="N32" s="697"/>
      <c r="O32" s="697"/>
      <c r="P32" s="698"/>
    </row>
    <row r="33" spans="4:16">
      <c r="E33" s="130" t="s">
        <v>1763</v>
      </c>
      <c r="F33" s="129" t="s">
        <v>1764</v>
      </c>
      <c r="G33" s="131">
        <f>UNMM0130_ZEI_1*0.01</f>
        <v>0</v>
      </c>
      <c r="M33" s="699"/>
      <c r="N33" s="700"/>
      <c r="O33" s="700"/>
      <c r="P33" s="701"/>
    </row>
    <row r="34" spans="4:16">
      <c r="E34" s="130" t="s">
        <v>1765</v>
      </c>
      <c r="F34" s="129" t="s">
        <v>1766</v>
      </c>
      <c r="G34" s="417" t="str">
        <f>IF(UNMM0130_JISSHI_DATE_2="","",UNMM0130_JISSHI_DATE_2)</f>
        <v/>
      </c>
    </row>
    <row r="35" spans="4:16">
      <c r="E35" s="130" t="s">
        <v>1767</v>
      </c>
      <c r="F35" s="129" t="s">
        <v>1768</v>
      </c>
      <c r="G35" s="131">
        <f>UNMM0130_ZEI_2*0.01</f>
        <v>0</v>
      </c>
      <c r="M35" s="130" t="s">
        <v>1769</v>
      </c>
      <c r="N35" s="129" t="s">
        <v>1770</v>
      </c>
    </row>
    <row r="36" spans="4:16" ht="16.5">
      <c r="E36" s="130" t="s">
        <v>1771</v>
      </c>
      <c r="F36" s="129" t="s">
        <v>1772</v>
      </c>
      <c r="G36" s="131">
        <f>IF(UNMM0130_HYOJI_GYO_SU=0,50,UNMM0130_HYOJI_GYO_SU)</f>
        <v>50</v>
      </c>
      <c r="M36" s="130" t="s">
        <v>1718</v>
      </c>
      <c r="N36" s="410">
        <f>UNMM0130_TAX_1*100</f>
        <v>0</v>
      </c>
      <c r="O36" s="130" t="s">
        <v>1773</v>
      </c>
    </row>
    <row r="37" spans="4:16" ht="16.5">
      <c r="E37" s="130" t="s">
        <v>1774</v>
      </c>
      <c r="F37" s="129" t="s">
        <v>1775</v>
      </c>
      <c r="G37" s="131" t="str">
        <f>IF(UNMM0130_COMMON_INFO="","",UNMM0130_COMMON_INFO)</f>
        <v/>
      </c>
      <c r="N37" s="88"/>
    </row>
    <row r="38" spans="4:16" ht="16.5">
      <c r="E38" s="130" t="s">
        <v>1776</v>
      </c>
      <c r="F38" s="129" t="s">
        <v>1777</v>
      </c>
      <c r="G38" s="418" t="str">
        <f>IF(UNMM0130_SHOHIN_LINK_DATE_TIME="","",UNMM0130_SHOHIN_LINK_DATE_TIME)</f>
        <v/>
      </c>
      <c r="N38" s="88"/>
    </row>
    <row r="39" spans="4:16" ht="16.5">
      <c r="E39" s="130" t="s">
        <v>1778</v>
      </c>
      <c r="F39" s="129" t="s">
        <v>1779</v>
      </c>
      <c r="G39" s="418" t="str">
        <f>IF(UNMM0130_SEIKYUSAKI_LINK_DATE_TIME="","",UNMM0130_SEIKYUSAKI_LINK_DATE_TIME)</f>
        <v/>
      </c>
      <c r="M39" s="130" t="s">
        <v>1723</v>
      </c>
      <c r="N39" s="410">
        <f>UNMM0130_TAX_2*100</f>
        <v>0</v>
      </c>
      <c r="O39" s="130" t="s">
        <v>1773</v>
      </c>
    </row>
    <row r="40" spans="4:16">
      <c r="E40" s="130" t="s">
        <v>1780</v>
      </c>
      <c r="F40" s="129" t="s">
        <v>1781</v>
      </c>
      <c r="G40" s="418" t="str">
        <f>IF(UNMM0130_SHIIRESAKI_LINK_DATE_TIME="","",UNMM0130_SHIIRESAKI_LINK_DATE_TIME)</f>
        <v/>
      </c>
    </row>
    <row r="42" spans="4:16">
      <c r="E42" s="130" t="s">
        <v>465</v>
      </c>
    </row>
    <row r="43" spans="4:16">
      <c r="E43" s="130" t="s">
        <v>466</v>
      </c>
      <c r="F43" s="129" t="s">
        <v>1782</v>
      </c>
      <c r="G43" s="51"/>
    </row>
    <row r="44" spans="4:16">
      <c r="E44" s="130" t="s">
        <v>467</v>
      </c>
      <c r="F44" s="129" t="s">
        <v>1783</v>
      </c>
      <c r="G44" s="51"/>
    </row>
    <row r="45" spans="4:16">
      <c r="E45" s="130" t="s">
        <v>468</v>
      </c>
      <c r="F45" s="129" t="s">
        <v>1784</v>
      </c>
      <c r="G45" s="51">
        <v>2</v>
      </c>
      <c r="H45" s="130" t="s">
        <v>470</v>
      </c>
    </row>
    <row r="46" spans="4:16">
      <c r="E46" s="130" t="s">
        <v>469</v>
      </c>
      <c r="F46" s="129" t="s">
        <v>1785</v>
      </c>
      <c r="G46" s="51" t="str">
        <f>IF(UNMM0130_IF_SAVE_W_MODE=3,"削除に失敗しました。",
IF(ISERROR(VLOOKUP(UNMM0130_IF_SAVE_RESULT_CD,UNMM_COMMON_ERROR_MESSAGE_AREA,2,FALSE)),
"保存に失敗しました。入力内容を確認後、再度実行してください。",
VLOOKUP(UNMM0130_IF_SAVE_RESULT_CD,UNMM_COMMON_ERROR_MESSAGE_AREA,2,FALSE)))</f>
        <v>保存に失敗しました。入力内容を確認後、再度実行してください。</v>
      </c>
    </row>
    <row r="48" spans="4:16">
      <c r="D48" s="85" t="s">
        <v>928</v>
      </c>
    </row>
    <row r="49" spans="2:7">
      <c r="E49" s="130" t="s">
        <v>929</v>
      </c>
      <c r="F49" s="129" t="s">
        <v>1786</v>
      </c>
      <c r="G49" s="51" t="str">
        <f ca="1">"コントロールマスタ_"&amp;TEXT(NOW(),"YYYYMMDD")</f>
        <v>コントロールマスタ_20170913</v>
      </c>
    </row>
    <row r="51" spans="2:7">
      <c r="B51" s="130" t="s">
        <v>1787</v>
      </c>
    </row>
    <row r="52" spans="2:7">
      <c r="B52" s="36" t="s">
        <v>1788</v>
      </c>
      <c r="D52" s="85" t="s">
        <v>1789</v>
      </c>
    </row>
    <row r="53" spans="2:7" ht="120" customHeight="1">
      <c r="B53" s="314" t="s">
        <v>1790</v>
      </c>
      <c r="C53" s="35" t="s">
        <v>85</v>
      </c>
      <c r="E53" s="85" t="s">
        <v>86</v>
      </c>
      <c r="F53" s="129" t="s">
        <v>1791</v>
      </c>
      <c r="G53" s="124" t="s">
        <v>1792</v>
      </c>
    </row>
    <row r="54" spans="2:7">
      <c r="B54" s="85" t="s">
        <v>1793</v>
      </c>
      <c r="C54" s="35"/>
      <c r="E54" s="37"/>
    </row>
    <row r="55" spans="2:7">
      <c r="B55" s="85" t="s">
        <v>1794</v>
      </c>
      <c r="C55" s="35"/>
      <c r="E55" s="37" t="s">
        <v>94</v>
      </c>
    </row>
    <row r="56" spans="2:7">
      <c r="C56" s="35"/>
      <c r="E56" s="37" t="s">
        <v>97</v>
      </c>
      <c r="F56" s="129" t="s">
        <v>1795</v>
      </c>
      <c r="G56" s="131"/>
    </row>
    <row r="57" spans="2:7">
      <c r="C57" s="35"/>
      <c r="E57" s="37" t="s">
        <v>98</v>
      </c>
      <c r="F57" s="129" t="s">
        <v>1796</v>
      </c>
      <c r="G57" s="131"/>
    </row>
    <row r="58" spans="2:7">
      <c r="C58" s="35"/>
      <c r="E58" s="37" t="s">
        <v>95</v>
      </c>
      <c r="F58" s="129" t="s">
        <v>1797</v>
      </c>
      <c r="G58" s="131" t="str">
        <f>IF(OR(UNMM0130_IF_IMG_SELECT_FOLDER="",UNMM0130_IF_IMG_SELECT_FILE=""),"",UNMM0130_IF_IMG_SELECT_FOLDER&amp;"\"&amp;UNMM0130_IF_IMG_SELECT_FILE)</f>
        <v/>
      </c>
    </row>
    <row r="59" spans="2:7">
      <c r="C59" s="35"/>
      <c r="E59" s="37"/>
    </row>
    <row r="60" spans="2:7">
      <c r="C60" s="35"/>
      <c r="E60" s="37"/>
    </row>
    <row r="61" spans="2:7">
      <c r="C61" s="35"/>
      <c r="E61" s="37" t="s">
        <v>93</v>
      </c>
    </row>
    <row r="62" spans="2:7">
      <c r="E62" s="130" t="s">
        <v>84</v>
      </c>
      <c r="F62" s="129" t="s">
        <v>1798</v>
      </c>
      <c r="G62" s="131" t="s">
        <v>1799</v>
      </c>
    </row>
    <row r="63" spans="2:7">
      <c r="E63" s="130" t="s">
        <v>88</v>
      </c>
      <c r="F63" s="129" t="s">
        <v>1800</v>
      </c>
      <c r="G63" s="131" t="s">
        <v>1801</v>
      </c>
    </row>
    <row r="65" spans="5:8">
      <c r="E65" s="130" t="s">
        <v>87</v>
      </c>
      <c r="F65" s="129" t="s">
        <v>1802</v>
      </c>
      <c r="G65" s="131" t="b">
        <f>IF(UNMM0130_KAISHA_MARK_PATH="",FALSE,TRUE)</f>
        <v>0</v>
      </c>
      <c r="H65" s="130" t="s">
        <v>92</v>
      </c>
    </row>
    <row r="67" spans="5:8">
      <c r="E67" s="130" t="s">
        <v>1803</v>
      </c>
      <c r="F67" s="129" t="s">
        <v>1804</v>
      </c>
      <c r="G67" s="131" t="str">
        <f>UNMM0130_IF_IMG_SAVE_UPLOAD_FOLDER_PATH&amp;"kaisha_mark_img.jpg"</f>
        <v>C:\uniss\image\daihyo_mark\kaisha_mark_img.jpg</v>
      </c>
    </row>
    <row r="68" spans="5:8">
      <c r="E68" s="130" t="s">
        <v>89</v>
      </c>
      <c r="F68" s="129" t="s">
        <v>1805</v>
      </c>
      <c r="G68" s="131" t="str">
        <f>UNMM0130_IF_IMG_SAVE_LOCAL_FOLDER_PATH&amp;"kaisha_mark_img.jpg"</f>
        <v>C:\dbsc_2015_UNISS\image\daihyo_mark\kaisha_mark_img.jpg</v>
      </c>
    </row>
    <row r="70" spans="5:8">
      <c r="E70" s="130" t="s">
        <v>90</v>
      </c>
      <c r="F70" s="129" t="s">
        <v>1806</v>
      </c>
      <c r="G70" s="131">
        <v>2</v>
      </c>
      <c r="H70" s="130" t="s">
        <v>1506</v>
      </c>
    </row>
    <row r="72" spans="5:8">
      <c r="E72" s="130" t="s">
        <v>96</v>
      </c>
      <c r="F72" s="129" t="s">
        <v>1807</v>
      </c>
      <c r="G72" s="131" t="b">
        <f>IF(OR(UNMM0130_IF_IMG_SAVE_KIZON_FLG=TRUE,UNMM0130_IF_IMG_SAVE_UPDATE_FLG=1),TRUE,FALSE)</f>
        <v>0</v>
      </c>
      <c r="H72" s="130" t="s">
        <v>91</v>
      </c>
    </row>
  </sheetData>
  <mergeCells count="10">
    <mergeCell ref="R21:S21"/>
    <mergeCell ref="R22:S22"/>
    <mergeCell ref="R25:S25"/>
    <mergeCell ref="M30:P33"/>
    <mergeCell ref="M4:O4"/>
    <mergeCell ref="R4:T4"/>
    <mergeCell ref="M14:P17"/>
    <mergeCell ref="R14:U17"/>
    <mergeCell ref="M20:O20"/>
    <mergeCell ref="R20:S20"/>
  </mergeCells>
  <phoneticPr fontId="2"/>
  <dataValidations count="5">
    <dataValidation type="whole" allowBlank="1" showInputMessage="1" showErrorMessage="1" sqref="N7 N10 N36 N39">
      <formula1>0</formula1>
      <formula2>99</formula2>
    </dataValidation>
    <dataValidation type="custom" allowBlank="1" showInputMessage="1" showErrorMessage="1" sqref="M14:P17">
      <formula1>LENB(M14)&lt;=256</formula1>
    </dataValidation>
    <dataValidation type="whole" operator="greaterThan" allowBlank="1" showInputMessage="1" showErrorMessage="1" sqref="M12">
      <formula1>0</formula1>
    </dataValidation>
    <dataValidation type="custom" allowBlank="1" showInputMessage="1" showErrorMessage="1" sqref="M4:O4 M20:O20 R4:T4">
      <formula1>LENB(M4)&lt;=40</formula1>
    </dataValidation>
    <dataValidation type="date" allowBlank="1" showInputMessage="1" showErrorMessage="1" sqref="M7 M10">
      <formula1>36526</formula1>
      <formula2>73415</formula2>
    </dataValidation>
  </dataValidation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B1:D5"/>
  <sheetViews>
    <sheetView workbookViewId="0">
      <selection activeCell="F29" sqref="F29"/>
    </sheetView>
  </sheetViews>
  <sheetFormatPr defaultRowHeight="13.5"/>
  <cols>
    <col min="1" max="1" width="9" style="130"/>
    <col min="2" max="2" width="34" style="130" customWidth="1"/>
    <col min="3" max="3" width="19" style="130" customWidth="1"/>
    <col min="4" max="4" width="73.875" style="130" customWidth="1"/>
    <col min="5" max="5" width="10.625" style="130" customWidth="1"/>
    <col min="6" max="16384" width="9" style="130"/>
  </cols>
  <sheetData>
    <row r="1" spans="2:4">
      <c r="B1" s="34" t="s">
        <v>1808</v>
      </c>
      <c r="C1" s="26" t="s">
        <v>1809</v>
      </c>
      <c r="D1" s="207">
        <v>1</v>
      </c>
    </row>
    <row r="2" spans="2:4">
      <c r="B2" s="208"/>
      <c r="C2" s="26"/>
      <c r="D2" s="29"/>
    </row>
    <row r="3" spans="2:4" ht="73.5" customHeight="1">
      <c r="B3" s="25" t="s">
        <v>1810</v>
      </c>
      <c r="C3" s="26" t="s">
        <v>1811</v>
      </c>
      <c r="D3" s="207" t="str">
        <f>D4&amp;D5</f>
        <v xml:space="preserve">SELECT *
  FROM V_CONTROL_LIST
 WHERE V_CONTROL_LIST.CTRL_KEY = 1
</v>
      </c>
    </row>
    <row r="4" spans="2:4" ht="73.5" customHeight="1">
      <c r="B4" s="208"/>
      <c r="C4" s="208" t="s">
        <v>1812</v>
      </c>
      <c r="D4" s="29" t="s">
        <v>1813</v>
      </c>
    </row>
    <row r="5" spans="2:4" ht="73.5" customHeight="1">
      <c r="B5" s="208"/>
      <c r="C5" s="208" t="s">
        <v>154</v>
      </c>
      <c r="D5" s="29" t="str">
        <f>IF(D1=0,""," WHERE V_CONTROL_LIST.CTRL_KEY = "&amp;D1&amp;"
")</f>
        <v xml:space="preserve"> WHERE V_CONTROL_LIST.CTRL_KEY = 1
</v>
      </c>
    </row>
  </sheetData>
  <phoneticPr fontId="2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>
    <tabColor rgb="FFFFFF00"/>
  </sheetPr>
  <dimension ref="A1:G15"/>
  <sheetViews>
    <sheetView showGridLines="0" showRowColHeaders="0" topLeftCell="E1" workbookViewId="0">
      <selection activeCell="G3" sqref="G3"/>
    </sheetView>
  </sheetViews>
  <sheetFormatPr defaultRowHeight="16.5"/>
  <cols>
    <col min="1" max="3" width="20.25" style="84" hidden="1" customWidth="1"/>
    <col min="4" max="4" width="9" style="84" hidden="1" customWidth="1"/>
    <col min="5" max="5" width="3.375" style="83" customWidth="1"/>
    <col min="6" max="6" width="5.5" style="83" bestFit="1" customWidth="1"/>
    <col min="7" max="7" width="13" style="83" customWidth="1"/>
    <col min="8" max="8" width="4" style="83" bestFit="1" customWidth="1"/>
    <col min="9" max="9" width="4.75" style="83" customWidth="1"/>
    <col min="10" max="10" width="7.125" style="83" customWidth="1"/>
    <col min="11" max="11" width="4.125" style="83" customWidth="1"/>
    <col min="12" max="12" width="6.625" style="83" customWidth="1"/>
    <col min="13" max="13" width="5.75" style="83" customWidth="1"/>
    <col min="14" max="16384" width="9" style="83"/>
  </cols>
  <sheetData>
    <row r="1" spans="1:7" s="5" customFormat="1" ht="19.5">
      <c r="A1" s="84"/>
      <c r="B1" s="84"/>
      <c r="C1" s="84"/>
      <c r="D1" s="84"/>
      <c r="E1" s="5" t="str">
        <f>"営業カレンダーマスタメンテ"&amp;IF(UNMM0131_IF_MODE=1,"【修正モード】","【参照モード】")</f>
        <v>営業カレンダーマスタメンテ【参照モード】</v>
      </c>
    </row>
    <row r="2" spans="1:7" ht="18.75">
      <c r="A2" s="163" t="s">
        <v>799</v>
      </c>
      <c r="B2" s="270" t="s">
        <v>1849</v>
      </c>
      <c r="C2" s="271"/>
    </row>
    <row r="3" spans="1:7" ht="18.75">
      <c r="A3" s="163" t="s">
        <v>801</v>
      </c>
      <c r="B3" s="270" t="s">
        <v>1850</v>
      </c>
      <c r="C3" s="271" t="str">
        <f>ADDRESS(ROW(A1),COLUMN(A1))&amp;":"&amp;ADDRESS(ROW(D1),COLUMN(D1))</f>
        <v>$A$1:$D$1</v>
      </c>
      <c r="F3" s="7" t="s">
        <v>1851</v>
      </c>
      <c r="G3" s="286"/>
    </row>
    <row r="4" spans="1:7" ht="18.75">
      <c r="A4" s="163"/>
      <c r="B4" s="270"/>
    </row>
    <row r="5" spans="1:7">
      <c r="A5" s="85" t="s">
        <v>1852</v>
      </c>
    </row>
    <row r="6" spans="1:7">
      <c r="A6" s="1" t="s">
        <v>1853</v>
      </c>
      <c r="B6" s="371" t="s">
        <v>1854</v>
      </c>
      <c r="C6" s="372">
        <f ca="1">YEAR(NOW())-2016+6</f>
        <v>7</v>
      </c>
    </row>
    <row r="7" spans="1:7">
      <c r="A7" s="1" t="s">
        <v>1855</v>
      </c>
      <c r="B7" s="371" t="s">
        <v>1856</v>
      </c>
      <c r="C7" s="373">
        <f>2016+ROW()-ROW(UNMM0131_H_LIST_YEAR_START)</f>
        <v>2013</v>
      </c>
    </row>
    <row r="8" spans="1:7">
      <c r="A8" s="1" t="s">
        <v>1857</v>
      </c>
      <c r="B8" s="371" t="s">
        <v>1858</v>
      </c>
      <c r="C8" s="373" t="str">
        <f ca="1">ADDRESS(ROW(UNMM0131_H_LIST_YEAR_START),COLUMN(UNMM0131_H_LIST_YEAR_START))&amp;":"&amp;ADDRESS(ROW(UNMM0131_H_LIST_YEAR_START)+UNMM0131_H_LIST_YEAR_RANGE-1,COLUMN(UNMM0131_H_LIST_YEAR_START))</f>
        <v>$C$10:$C$16</v>
      </c>
    </row>
    <row r="9" spans="1:7">
      <c r="A9" s="1" t="s">
        <v>1859</v>
      </c>
      <c r="B9" s="371" t="s">
        <v>1860</v>
      </c>
      <c r="C9" s="371" t="s">
        <v>1861</v>
      </c>
    </row>
    <row r="10" spans="1:7">
      <c r="A10" s="1" t="s">
        <v>1862</v>
      </c>
      <c r="B10" s="371" t="s">
        <v>1863</v>
      </c>
      <c r="C10" s="373">
        <f t="shared" ref="C10:C15" si="0">2016+ROW()-ROW(UNMM0131_H_LIST_YEAR_START)</f>
        <v>2016</v>
      </c>
    </row>
    <row r="11" spans="1:7">
      <c r="C11" s="373">
        <f t="shared" si="0"/>
        <v>2017</v>
      </c>
    </row>
    <row r="12" spans="1:7">
      <c r="C12" s="373">
        <f t="shared" si="0"/>
        <v>2018</v>
      </c>
    </row>
    <row r="13" spans="1:7">
      <c r="C13" s="373">
        <f t="shared" si="0"/>
        <v>2019</v>
      </c>
    </row>
    <row r="14" spans="1:7">
      <c r="C14" s="373">
        <f t="shared" si="0"/>
        <v>2020</v>
      </c>
    </row>
    <row r="15" spans="1:7">
      <c r="C15" s="373">
        <f t="shared" si="0"/>
        <v>2021</v>
      </c>
    </row>
  </sheetData>
  <sheetProtection sheet="1" objects="1" scenarios="1" selectLockedCells="1"/>
  <phoneticPr fontId="2"/>
  <dataValidations count="1">
    <dataValidation type="list" allowBlank="1" showInputMessage="1" showErrorMessage="1" sqref="G3">
      <formula1>UNMM0131_H_LIST_YEAR</formula1>
    </dataValidation>
  </dataValidations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>
    <tabColor rgb="FFFFFF00"/>
  </sheetPr>
  <dimension ref="A1:BA52"/>
  <sheetViews>
    <sheetView showGridLines="0" showRowColHeaders="0" topLeftCell="E1" zoomScaleNormal="100" workbookViewId="0">
      <selection sqref="A1:D1"/>
    </sheetView>
  </sheetViews>
  <sheetFormatPr defaultRowHeight="16.5"/>
  <cols>
    <col min="1" max="4" width="19.25" style="84" hidden="1" customWidth="1"/>
    <col min="5" max="5" width="3.375" style="6" customWidth="1"/>
    <col min="6" max="6" width="4" style="377" bestFit="1" customWidth="1"/>
    <col min="7" max="7" width="4" style="377" customWidth="1"/>
    <col min="8" max="8" width="4.75" style="377" customWidth="1"/>
    <col min="9" max="9" width="7.125" style="377" customWidth="1"/>
    <col min="10" max="10" width="4" style="377" bestFit="1" customWidth="1"/>
    <col min="11" max="11" width="4" style="377" customWidth="1"/>
    <col min="12" max="12" width="4.75" style="377" customWidth="1"/>
    <col min="13" max="13" width="7.125" style="377" customWidth="1"/>
    <col min="14" max="14" width="4" style="377" bestFit="1" customWidth="1"/>
    <col min="15" max="15" width="4" style="377" customWidth="1"/>
    <col min="16" max="16" width="4.75" style="377" customWidth="1"/>
    <col min="17" max="17" width="7.125" style="377" customWidth="1"/>
    <col min="18" max="18" width="4" style="377" bestFit="1" customWidth="1"/>
    <col min="19" max="19" width="4" style="377" customWidth="1"/>
    <col min="20" max="20" width="4.75" style="377" customWidth="1"/>
    <col min="21" max="21" width="7.125" style="377" customWidth="1"/>
    <col min="22" max="22" width="4" style="377" bestFit="1" customWidth="1"/>
    <col min="23" max="23" width="4" style="377" customWidth="1"/>
    <col min="24" max="24" width="4.75" style="377" customWidth="1"/>
    <col min="25" max="25" width="7.125" style="377" customWidth="1"/>
    <col min="26" max="26" width="4" style="377" bestFit="1" customWidth="1"/>
    <col min="27" max="27" width="4" style="377" customWidth="1"/>
    <col min="28" max="28" width="4.75" style="377" customWidth="1"/>
    <col min="29" max="29" width="7.125" style="377" customWidth="1"/>
    <col min="30" max="30" width="4" style="377" bestFit="1" customWidth="1"/>
    <col min="31" max="31" width="4" style="377" customWidth="1"/>
    <col min="32" max="32" width="4.75" style="377" customWidth="1"/>
    <col min="33" max="33" width="7.125" style="377" customWidth="1"/>
    <col min="34" max="34" width="4" style="377" bestFit="1" customWidth="1"/>
    <col min="35" max="35" width="4" style="377" customWidth="1"/>
    <col min="36" max="36" width="4.75" style="377" customWidth="1"/>
    <col min="37" max="37" width="7.125" style="377" customWidth="1"/>
    <col min="38" max="38" width="4" style="377" bestFit="1" customWidth="1"/>
    <col min="39" max="39" width="4" style="377" customWidth="1"/>
    <col min="40" max="40" width="4.75" style="377" customWidth="1"/>
    <col min="41" max="41" width="7.125" style="377" customWidth="1"/>
    <col min="42" max="42" width="4" style="377" bestFit="1" customWidth="1"/>
    <col min="43" max="43" width="4" style="377" customWidth="1"/>
    <col min="44" max="44" width="4.75" style="377" customWidth="1"/>
    <col min="45" max="45" width="7.125" style="377" customWidth="1"/>
    <col min="46" max="46" width="4" style="377" bestFit="1" customWidth="1"/>
    <col min="47" max="47" width="4" style="377" customWidth="1"/>
    <col min="48" max="48" width="4.75" style="377" customWidth="1"/>
    <col min="49" max="49" width="7.125" style="377" customWidth="1"/>
    <col min="50" max="50" width="4" style="377" bestFit="1" customWidth="1"/>
    <col min="51" max="51" width="4" style="377" customWidth="1"/>
    <col min="52" max="52" width="4.75" style="377" customWidth="1"/>
    <col min="53" max="53" width="7.125" style="6" customWidth="1"/>
    <col min="54" max="16384" width="9" style="84"/>
  </cols>
  <sheetData>
    <row r="1" spans="1:52" s="83" customFormat="1">
      <c r="A1" s="84"/>
      <c r="B1" s="84"/>
      <c r="C1" s="84"/>
      <c r="D1" s="84"/>
      <c r="F1" s="260"/>
      <c r="G1" s="260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  <c r="S1" s="260"/>
      <c r="T1" s="260"/>
      <c r="U1" s="260"/>
      <c r="V1" s="260"/>
      <c r="W1" s="260"/>
      <c r="X1" s="260"/>
      <c r="Y1" s="260"/>
      <c r="Z1" s="260"/>
      <c r="AA1" s="260"/>
      <c r="AB1" s="260"/>
      <c r="AC1" s="260"/>
      <c r="AD1" s="260"/>
      <c r="AE1" s="260"/>
      <c r="AF1" s="260"/>
      <c r="AG1" s="260"/>
      <c r="AH1" s="260"/>
      <c r="AI1" s="260"/>
      <c r="AJ1" s="260"/>
      <c r="AK1" s="260"/>
      <c r="AL1" s="260"/>
      <c r="AM1" s="260"/>
      <c r="AN1" s="260"/>
      <c r="AO1" s="260"/>
      <c r="AP1" s="260"/>
      <c r="AQ1" s="260"/>
      <c r="AR1" s="260"/>
      <c r="AS1" s="260"/>
      <c r="AT1" s="260"/>
      <c r="AU1" s="260"/>
      <c r="AV1" s="260"/>
      <c r="AW1" s="260"/>
      <c r="AX1" s="260"/>
      <c r="AY1" s="260"/>
      <c r="AZ1" s="260"/>
    </row>
    <row r="2" spans="1:52" s="83" customFormat="1" ht="18.75">
      <c r="A2" s="163" t="s">
        <v>1864</v>
      </c>
      <c r="B2" s="456" t="s">
        <v>1865</v>
      </c>
      <c r="C2" s="271" t="str">
        <f>ADDRESS(ROW(UNMM0131_B_LIST_COPY_MOTO_START),COLUMN(UNMM0131_B_LIST_COPY_MOTO_START))&amp;":"&amp;ADDRESS(ROW(UNMM0131_B_LIST_COPY_MOTO_START)+ROWS(UNMM0131_B_CALENDAR_LIST_1)-1,COLUMN(UNMM0131_B_LIST_COPY_MOTO_START))</f>
        <v>$D$22:$D$52</v>
      </c>
      <c r="D2" s="84"/>
      <c r="F2" s="714" t="s">
        <v>1866</v>
      </c>
      <c r="G2" s="715"/>
      <c r="H2" s="716"/>
      <c r="I2" s="260"/>
      <c r="J2" s="714" t="s">
        <v>1866</v>
      </c>
      <c r="K2" s="715"/>
      <c r="L2" s="716"/>
      <c r="M2" s="260"/>
      <c r="N2" s="714" t="s">
        <v>1866</v>
      </c>
      <c r="O2" s="715"/>
      <c r="P2" s="716"/>
      <c r="Q2" s="260"/>
      <c r="R2" s="714" t="s">
        <v>1866</v>
      </c>
      <c r="S2" s="715"/>
      <c r="T2" s="716"/>
      <c r="U2" s="260"/>
      <c r="V2" s="714" t="s">
        <v>1866</v>
      </c>
      <c r="W2" s="715"/>
      <c r="X2" s="716"/>
      <c r="Y2" s="260"/>
      <c r="Z2" s="714" t="s">
        <v>1866</v>
      </c>
      <c r="AA2" s="715"/>
      <c r="AB2" s="716"/>
      <c r="AC2" s="260"/>
      <c r="AD2" s="714" t="s">
        <v>1866</v>
      </c>
      <c r="AE2" s="715"/>
      <c r="AF2" s="716"/>
      <c r="AG2" s="260"/>
      <c r="AH2" s="714" t="s">
        <v>1866</v>
      </c>
      <c r="AI2" s="715"/>
      <c r="AJ2" s="716"/>
      <c r="AK2" s="260"/>
      <c r="AL2" s="714" t="s">
        <v>1866</v>
      </c>
      <c r="AM2" s="715"/>
      <c r="AN2" s="716"/>
      <c r="AO2" s="260"/>
      <c r="AP2" s="714" t="s">
        <v>1866</v>
      </c>
      <c r="AQ2" s="715"/>
      <c r="AR2" s="716"/>
      <c r="AS2" s="260"/>
      <c r="AT2" s="714" t="s">
        <v>1866</v>
      </c>
      <c r="AU2" s="715"/>
      <c r="AV2" s="716"/>
      <c r="AW2" s="260"/>
      <c r="AX2" s="714" t="s">
        <v>1866</v>
      </c>
      <c r="AY2" s="715"/>
      <c r="AZ2" s="716"/>
    </row>
    <row r="3" spans="1:52" s="83" customFormat="1" ht="18.75">
      <c r="A3" s="163" t="s">
        <v>1867</v>
      </c>
      <c r="B3" s="456" t="s">
        <v>1868</v>
      </c>
      <c r="C3" s="271" t="str">
        <f>ADDRESS(ROW(UNMM0131_B_LIST_COPY_MOTO_START)+31,COLUMN(UNMM0131_B_LIST_COPY_MOTO_START))&amp;":"&amp;
ADDRESS(ROW(UNMM0131_B_LIST_COPY_MOTO_START)+31+ROWS(UNMM0131_B_CALENDAR_LIST_2)-1,COLUMN(UNMM0131_B_LIST_COPY_MOTO_START))</f>
        <v>$D$53:$D$81</v>
      </c>
      <c r="D3" s="84"/>
      <c r="F3" s="711">
        <v>1</v>
      </c>
      <c r="G3" s="712"/>
      <c r="H3" s="713"/>
      <c r="I3" s="260"/>
      <c r="J3" s="711">
        <v>2</v>
      </c>
      <c r="K3" s="712"/>
      <c r="L3" s="713"/>
      <c r="M3" s="260"/>
      <c r="N3" s="711">
        <v>3</v>
      </c>
      <c r="O3" s="712"/>
      <c r="P3" s="713"/>
      <c r="Q3" s="260"/>
      <c r="R3" s="711">
        <v>4</v>
      </c>
      <c r="S3" s="712"/>
      <c r="T3" s="713"/>
      <c r="U3" s="260"/>
      <c r="V3" s="711">
        <v>5</v>
      </c>
      <c r="W3" s="712"/>
      <c r="X3" s="713"/>
      <c r="Y3" s="260"/>
      <c r="Z3" s="711">
        <v>6</v>
      </c>
      <c r="AA3" s="712"/>
      <c r="AB3" s="713"/>
      <c r="AC3" s="260"/>
      <c r="AD3" s="711">
        <v>7</v>
      </c>
      <c r="AE3" s="712"/>
      <c r="AF3" s="713"/>
      <c r="AG3" s="260"/>
      <c r="AH3" s="711">
        <v>8</v>
      </c>
      <c r="AI3" s="712"/>
      <c r="AJ3" s="713"/>
      <c r="AK3" s="260"/>
      <c r="AL3" s="711">
        <v>9</v>
      </c>
      <c r="AM3" s="712"/>
      <c r="AN3" s="713"/>
      <c r="AO3" s="260"/>
      <c r="AP3" s="711">
        <v>10</v>
      </c>
      <c r="AQ3" s="712"/>
      <c r="AR3" s="713"/>
      <c r="AS3" s="260"/>
      <c r="AT3" s="711">
        <v>11</v>
      </c>
      <c r="AU3" s="712"/>
      <c r="AV3" s="713"/>
      <c r="AW3" s="260"/>
      <c r="AX3" s="711">
        <v>12</v>
      </c>
      <c r="AY3" s="712"/>
      <c r="AZ3" s="713"/>
    </row>
    <row r="4" spans="1:52" s="83" customFormat="1" ht="18.75">
      <c r="A4" s="163" t="s">
        <v>1869</v>
      </c>
      <c r="B4" s="456" t="s">
        <v>1870</v>
      </c>
      <c r="C4" s="271" t="str">
        <f>ADDRESS(ROW(UNMM0131_B_LIST_COPY_MOTO_START)+31+ROWS(UNMM0131_B_CALENDAR_LIST_2),COLUMN(UNMM0131_B_LIST_COPY_MOTO_START))&amp;":"&amp;
ADDRESS(ROW(UNMM0131_B_LIST_COPY_MOTO_START)+31+ROWS(UNMM0131_B_CALENDAR_LIST_2)+ROWS(UNMM0131_B_CALENDAR_LIST_3)-1,COLUMN(UNMM0131_B_LIST_COPY_MOTO_START))</f>
        <v>$D$82:$D$112</v>
      </c>
      <c r="D4" s="84"/>
      <c r="F4" s="374" t="s">
        <v>1648</v>
      </c>
      <c r="G4" s="374" t="s">
        <v>1871</v>
      </c>
      <c r="H4" s="374" t="s">
        <v>1872</v>
      </c>
      <c r="I4" s="260"/>
      <c r="J4" s="374" t="s">
        <v>1648</v>
      </c>
      <c r="K4" s="374" t="s">
        <v>1871</v>
      </c>
      <c r="L4" s="374" t="s">
        <v>1872</v>
      </c>
      <c r="M4" s="260"/>
      <c r="N4" s="374" t="s">
        <v>1648</v>
      </c>
      <c r="O4" s="374" t="s">
        <v>1871</v>
      </c>
      <c r="P4" s="374" t="s">
        <v>1872</v>
      </c>
      <c r="Q4" s="260"/>
      <c r="R4" s="374" t="s">
        <v>1648</v>
      </c>
      <c r="S4" s="374" t="s">
        <v>1871</v>
      </c>
      <c r="T4" s="374" t="s">
        <v>1872</v>
      </c>
      <c r="U4" s="260"/>
      <c r="V4" s="374" t="s">
        <v>1648</v>
      </c>
      <c r="W4" s="374" t="s">
        <v>1871</v>
      </c>
      <c r="X4" s="374" t="s">
        <v>1872</v>
      </c>
      <c r="Y4" s="260"/>
      <c r="Z4" s="374" t="s">
        <v>1648</v>
      </c>
      <c r="AA4" s="374" t="s">
        <v>1871</v>
      </c>
      <c r="AB4" s="374" t="s">
        <v>1872</v>
      </c>
      <c r="AC4" s="260"/>
      <c r="AD4" s="374" t="s">
        <v>1648</v>
      </c>
      <c r="AE4" s="374" t="s">
        <v>1871</v>
      </c>
      <c r="AF4" s="374" t="s">
        <v>1872</v>
      </c>
      <c r="AG4" s="260"/>
      <c r="AH4" s="374" t="s">
        <v>1648</v>
      </c>
      <c r="AI4" s="374" t="s">
        <v>1871</v>
      </c>
      <c r="AJ4" s="374" t="s">
        <v>1872</v>
      </c>
      <c r="AK4" s="260"/>
      <c r="AL4" s="374" t="s">
        <v>1648</v>
      </c>
      <c r="AM4" s="374" t="s">
        <v>1871</v>
      </c>
      <c r="AN4" s="374" t="s">
        <v>1872</v>
      </c>
      <c r="AO4" s="260"/>
      <c r="AP4" s="374" t="s">
        <v>1648</v>
      </c>
      <c r="AQ4" s="374" t="s">
        <v>1871</v>
      </c>
      <c r="AR4" s="374" t="s">
        <v>1872</v>
      </c>
      <c r="AS4" s="260"/>
      <c r="AT4" s="374" t="s">
        <v>1648</v>
      </c>
      <c r="AU4" s="374" t="s">
        <v>1871</v>
      </c>
      <c r="AV4" s="374" t="s">
        <v>1872</v>
      </c>
      <c r="AW4" s="260"/>
      <c r="AX4" s="374" t="s">
        <v>1648</v>
      </c>
      <c r="AY4" s="374" t="s">
        <v>1871</v>
      </c>
      <c r="AZ4" s="374" t="s">
        <v>1872</v>
      </c>
    </row>
    <row r="5" spans="1:52" s="83" customFormat="1" ht="18.75">
      <c r="A5" s="163" t="s">
        <v>1873</v>
      </c>
      <c r="B5" s="456" t="s">
        <v>1874</v>
      </c>
      <c r="C5" s="271" t="str">
        <f>ADDRESS(ROW(UNMM0131_B_LIST_COPY_MOTO_START)+62+ROWS(UNMM0131_B_CALENDAR_LIST_2),COLUMN(UNMM0131_B_LIST_COPY_MOTO_START))&amp;":"&amp;
ADDRESS(ROW(UNMM0131_B_LIST_COPY_MOTO_START)+62+ROWS(UNMM0131_B_CALENDAR_LIST_2)+ROWS(UNMM0131_B_CALENDAR_LIST_4)-1,COLUMN(UNMM0131_B_LIST_COPY_MOTO_START))</f>
        <v>$D$113:$D$142</v>
      </c>
      <c r="D5" s="84"/>
      <c r="F5" s="375">
        <v>1</v>
      </c>
      <c r="G5" s="376">
        <f>DATE(UNMM0131_H_YEAR,UNMM0131_B_MONTH_1,F5)</f>
        <v>1</v>
      </c>
      <c r="H5" s="375"/>
      <c r="I5" s="260"/>
      <c r="J5" s="375">
        <v>1</v>
      </c>
      <c r="K5" s="376">
        <f>DATE(UNMM0131_H_YEAR,UNMM0131_B_MONTH_2,J5)</f>
        <v>32</v>
      </c>
      <c r="L5" s="375"/>
      <c r="M5" s="260"/>
      <c r="N5" s="375">
        <v>1</v>
      </c>
      <c r="O5" s="376">
        <f>DATE(UNMM0131_H_YEAR,UNMM0131_B_MONTH_3,N5)</f>
        <v>61</v>
      </c>
      <c r="P5" s="375"/>
      <c r="Q5" s="260"/>
      <c r="R5" s="375">
        <v>1</v>
      </c>
      <c r="S5" s="376">
        <f>DATE(UNMM0131_H_YEAR,UNMM0131_B_MONTH_4,R5)</f>
        <v>92</v>
      </c>
      <c r="T5" s="375"/>
      <c r="U5" s="260"/>
      <c r="V5" s="375">
        <v>1</v>
      </c>
      <c r="W5" s="376">
        <f>DATE(UNMM0131_H_YEAR,UNMM0131_B_MONTH_5,V5)</f>
        <v>122</v>
      </c>
      <c r="X5" s="375"/>
      <c r="Y5" s="260"/>
      <c r="Z5" s="375">
        <v>1</v>
      </c>
      <c r="AA5" s="376">
        <f>DATE(UNMM0131_H_YEAR,UNMM0131_B_MONTH_6,Z5)</f>
        <v>153</v>
      </c>
      <c r="AB5" s="375"/>
      <c r="AC5" s="260"/>
      <c r="AD5" s="375">
        <v>1</v>
      </c>
      <c r="AE5" s="376">
        <f>DATE(UNMM0131_H_YEAR,UNMM0131_B_MONTH_7,AD5)</f>
        <v>183</v>
      </c>
      <c r="AF5" s="375"/>
      <c r="AG5" s="260"/>
      <c r="AH5" s="375">
        <v>1</v>
      </c>
      <c r="AI5" s="376">
        <f>DATE(UNMM0131_H_YEAR,UNMM0131_B_MONTH_8,AH5)</f>
        <v>214</v>
      </c>
      <c r="AJ5" s="375"/>
      <c r="AK5" s="260"/>
      <c r="AL5" s="375">
        <v>1</v>
      </c>
      <c r="AM5" s="376">
        <f>DATE(UNMM0131_H_YEAR,UNMM0131_B_MONTH_9,AL5)</f>
        <v>245</v>
      </c>
      <c r="AN5" s="375"/>
      <c r="AO5" s="260"/>
      <c r="AP5" s="375">
        <v>1</v>
      </c>
      <c r="AQ5" s="376">
        <f>DATE(UNMM0131_H_YEAR,UNMM0131_B_MONTH_10,AP5)</f>
        <v>275</v>
      </c>
      <c r="AR5" s="375"/>
      <c r="AS5" s="260"/>
      <c r="AT5" s="375">
        <v>1</v>
      </c>
      <c r="AU5" s="376">
        <f>DATE(UNMM0131_H_YEAR,UNMM0131_B_MONTH_11,AT5)</f>
        <v>306</v>
      </c>
      <c r="AV5" s="375"/>
      <c r="AW5" s="260"/>
      <c r="AX5" s="375">
        <v>1</v>
      </c>
      <c r="AY5" s="376">
        <f>DATE(UNMM0131_H_YEAR,UNMM0131_B_MONTH_12,AX5)</f>
        <v>336</v>
      </c>
      <c r="AZ5" s="375"/>
    </row>
    <row r="6" spans="1:52" s="83" customFormat="1" ht="18.75">
      <c r="A6" s="163" t="s">
        <v>1875</v>
      </c>
      <c r="B6" s="456" t="s">
        <v>1876</v>
      </c>
      <c r="C6" s="271" t="str">
        <f>ADDRESS(ROW(UNMM0131_B_LIST_COPY_MOTO_START)+92+ROWS(UNMM0131_B_CALENDAR_LIST_2),COLUMN(UNMM0131_B_LIST_COPY_MOTO_START))&amp;":"&amp;
ADDRESS(ROW(UNMM0131_B_LIST_COPY_MOTO_START)+92+ROWS(UNMM0131_B_CALENDAR_LIST_2)+ROWS(UNMM0131_B_CALENDAR_LIST_5)-1,COLUMN(UNMM0131_B_LIST_COPY_MOTO_START))</f>
        <v>$D$143:$D$173</v>
      </c>
      <c r="D6" s="457"/>
      <c r="F6" s="375">
        <v>2</v>
      </c>
      <c r="G6" s="376">
        <f>DATE(UNMM0131_H_YEAR,UNMM0131_B_MONTH_1,F6)</f>
        <v>2</v>
      </c>
      <c r="H6" s="375"/>
      <c r="I6" s="260"/>
      <c r="J6" s="375">
        <v>2</v>
      </c>
      <c r="K6" s="376">
        <f>DATE(UNMM0131_H_YEAR,UNMM0131_B_MONTH_2,J6)</f>
        <v>33</v>
      </c>
      <c r="L6" s="375"/>
      <c r="M6" s="260"/>
      <c r="N6" s="375">
        <v>2</v>
      </c>
      <c r="O6" s="376">
        <f>DATE(UNMM0131_H_YEAR,UNMM0131_B_MONTH_3,N6)</f>
        <v>62</v>
      </c>
      <c r="P6" s="375"/>
      <c r="Q6" s="260"/>
      <c r="R6" s="375">
        <v>2</v>
      </c>
      <c r="S6" s="376">
        <f>DATE(UNMM0131_H_YEAR,UNMM0131_B_MONTH_4,R6)</f>
        <v>93</v>
      </c>
      <c r="T6" s="375"/>
      <c r="U6" s="260"/>
      <c r="V6" s="375">
        <v>2</v>
      </c>
      <c r="W6" s="376">
        <f>DATE(UNMM0131_H_YEAR,UNMM0131_B_MONTH_5,V6)</f>
        <v>123</v>
      </c>
      <c r="X6" s="375"/>
      <c r="Y6" s="260"/>
      <c r="Z6" s="375">
        <v>2</v>
      </c>
      <c r="AA6" s="376">
        <f>DATE(UNMM0131_H_YEAR,UNMM0131_B_MONTH_6,Z6)</f>
        <v>154</v>
      </c>
      <c r="AB6" s="375"/>
      <c r="AC6" s="260"/>
      <c r="AD6" s="375">
        <v>2</v>
      </c>
      <c r="AE6" s="376">
        <f>DATE(UNMM0131_H_YEAR,UNMM0131_B_MONTH_7,AD6)</f>
        <v>184</v>
      </c>
      <c r="AF6" s="375"/>
      <c r="AG6" s="260"/>
      <c r="AH6" s="375">
        <v>2</v>
      </c>
      <c r="AI6" s="376">
        <f>DATE(UNMM0131_H_YEAR,UNMM0131_B_MONTH_8,AH6)</f>
        <v>215</v>
      </c>
      <c r="AJ6" s="375"/>
      <c r="AK6" s="260"/>
      <c r="AL6" s="375">
        <v>2</v>
      </c>
      <c r="AM6" s="376">
        <f>DATE(UNMM0131_H_YEAR,UNMM0131_B_MONTH_9,AL6)</f>
        <v>246</v>
      </c>
      <c r="AN6" s="375"/>
      <c r="AO6" s="260"/>
      <c r="AP6" s="375">
        <v>2</v>
      </c>
      <c r="AQ6" s="376">
        <f>DATE(UNMM0131_H_YEAR,UNMM0131_B_MONTH_10,AP6)</f>
        <v>276</v>
      </c>
      <c r="AR6" s="375"/>
      <c r="AS6" s="260"/>
      <c r="AT6" s="375">
        <v>2</v>
      </c>
      <c r="AU6" s="376">
        <f>DATE(UNMM0131_H_YEAR,UNMM0131_B_MONTH_11,AT6)</f>
        <v>307</v>
      </c>
      <c r="AV6" s="375"/>
      <c r="AW6" s="260"/>
      <c r="AX6" s="375">
        <v>2</v>
      </c>
      <c r="AY6" s="376">
        <f>DATE(UNMM0131_H_YEAR,UNMM0131_B_MONTH_12,AX6)</f>
        <v>337</v>
      </c>
      <c r="AZ6" s="375"/>
    </row>
    <row r="7" spans="1:52" s="83" customFormat="1" ht="18.75">
      <c r="A7" s="163" t="s">
        <v>1877</v>
      </c>
      <c r="B7" s="456" t="s">
        <v>1878</v>
      </c>
      <c r="C7" s="271" t="str">
        <f>ADDRESS(ROW(UNMM0131_B_LIST_COPY_MOTO_START)+123+ROWS(UNMM0131_B_CALENDAR_LIST_2),COLUMN(UNMM0131_B_LIST_COPY_MOTO_START))&amp;":"&amp;
ADDRESS(ROW(UNMM0131_B_LIST_COPY_MOTO_START)+123+ROWS(UNMM0131_B_CALENDAR_LIST_2)+ROWS(UNMM0131_B_CALENDAR_LIST_6)-1,COLUMN(UNMM0131_B_LIST_COPY_MOTO_START))</f>
        <v>$D$174:$D$203</v>
      </c>
      <c r="D7" s="84"/>
      <c r="F7" s="375">
        <v>3</v>
      </c>
      <c r="G7" s="376">
        <f>DATE(UNMM0131_H_YEAR,UNMM0131_B_MONTH_1,F7)</f>
        <v>3</v>
      </c>
      <c r="H7" s="375"/>
      <c r="I7" s="260"/>
      <c r="J7" s="375">
        <v>3</v>
      </c>
      <c r="K7" s="376">
        <f>DATE(UNMM0131_H_YEAR,UNMM0131_B_MONTH_2,J7)</f>
        <v>34</v>
      </c>
      <c r="L7" s="375"/>
      <c r="M7" s="260"/>
      <c r="N7" s="375">
        <v>3</v>
      </c>
      <c r="O7" s="376">
        <f>DATE(UNMM0131_H_YEAR,UNMM0131_B_MONTH_3,N7)</f>
        <v>63</v>
      </c>
      <c r="P7" s="375"/>
      <c r="Q7" s="260"/>
      <c r="R7" s="375">
        <v>3</v>
      </c>
      <c r="S7" s="376">
        <f>DATE(UNMM0131_H_YEAR,UNMM0131_B_MONTH_4,R7)</f>
        <v>94</v>
      </c>
      <c r="T7" s="375"/>
      <c r="U7" s="260"/>
      <c r="V7" s="375">
        <v>3</v>
      </c>
      <c r="W7" s="376">
        <f>DATE(UNMM0131_H_YEAR,UNMM0131_B_MONTH_5,V7)</f>
        <v>124</v>
      </c>
      <c r="X7" s="375"/>
      <c r="Y7" s="260"/>
      <c r="Z7" s="375">
        <v>3</v>
      </c>
      <c r="AA7" s="376">
        <f>DATE(UNMM0131_H_YEAR,UNMM0131_B_MONTH_6,Z7)</f>
        <v>155</v>
      </c>
      <c r="AB7" s="375"/>
      <c r="AC7" s="260"/>
      <c r="AD7" s="375">
        <v>3</v>
      </c>
      <c r="AE7" s="376">
        <f>DATE(UNMM0131_H_YEAR,UNMM0131_B_MONTH_7,AD7)</f>
        <v>185</v>
      </c>
      <c r="AF7" s="375"/>
      <c r="AG7" s="260"/>
      <c r="AH7" s="375">
        <v>3</v>
      </c>
      <c r="AI7" s="376">
        <f>DATE(UNMM0131_H_YEAR,UNMM0131_B_MONTH_8,AH7)</f>
        <v>216</v>
      </c>
      <c r="AJ7" s="375"/>
      <c r="AK7" s="260"/>
      <c r="AL7" s="375">
        <v>3</v>
      </c>
      <c r="AM7" s="376">
        <f>DATE(UNMM0131_H_YEAR,UNMM0131_B_MONTH_9,AL7)</f>
        <v>247</v>
      </c>
      <c r="AN7" s="375"/>
      <c r="AO7" s="260"/>
      <c r="AP7" s="375">
        <v>3</v>
      </c>
      <c r="AQ7" s="376">
        <f>DATE(UNMM0131_H_YEAR,UNMM0131_B_MONTH_10,AP7)</f>
        <v>277</v>
      </c>
      <c r="AR7" s="375"/>
      <c r="AS7" s="260"/>
      <c r="AT7" s="375">
        <v>3</v>
      </c>
      <c r="AU7" s="376">
        <f>DATE(UNMM0131_H_YEAR,UNMM0131_B_MONTH_11,AT7)</f>
        <v>308</v>
      </c>
      <c r="AV7" s="375"/>
      <c r="AW7" s="260"/>
      <c r="AX7" s="375">
        <v>3</v>
      </c>
      <c r="AY7" s="376">
        <f>DATE(UNMM0131_H_YEAR,UNMM0131_B_MONTH_12,AX7)</f>
        <v>338</v>
      </c>
      <c r="AZ7" s="375"/>
    </row>
    <row r="8" spans="1:52" s="83" customFormat="1" ht="18.75">
      <c r="A8" s="163" t="s">
        <v>1879</v>
      </c>
      <c r="B8" s="456" t="s">
        <v>1880</v>
      </c>
      <c r="C8" s="271" t="str">
        <f>ADDRESS(ROW(UNMM0131_B_LIST_COPY_MOTO_START)+153+ROWS(UNMM0131_B_CALENDAR_LIST_2),COLUMN(UNMM0131_B_LIST_COPY_MOTO_START))&amp;":"&amp;
ADDRESS(ROW(UNMM0131_B_LIST_COPY_MOTO_START)+153+ROWS(UNMM0131_B_CALENDAR_LIST_2)+ROWS(UNMM0131_B_CALENDAR_LIST_7)-1,COLUMN(UNMM0131_B_LIST_COPY_MOTO_START))</f>
        <v>$D$204:$D$234</v>
      </c>
      <c r="D8" s="84"/>
      <c r="F8" s="375">
        <v>4</v>
      </c>
      <c r="G8" s="376">
        <f>DATE(UNMM0131_H_YEAR,UNMM0131_B_MONTH_1,F8)</f>
        <v>4</v>
      </c>
      <c r="H8" s="375"/>
      <c r="I8" s="260"/>
      <c r="J8" s="375">
        <v>4</v>
      </c>
      <c r="K8" s="376">
        <f>DATE(UNMM0131_H_YEAR,UNMM0131_B_MONTH_2,J8)</f>
        <v>35</v>
      </c>
      <c r="L8" s="375"/>
      <c r="M8" s="260"/>
      <c r="N8" s="375">
        <v>4</v>
      </c>
      <c r="O8" s="376">
        <f>DATE(UNMM0131_H_YEAR,UNMM0131_B_MONTH_3,N8)</f>
        <v>64</v>
      </c>
      <c r="P8" s="375"/>
      <c r="Q8" s="260"/>
      <c r="R8" s="375">
        <v>4</v>
      </c>
      <c r="S8" s="376">
        <f>DATE(UNMM0131_H_YEAR,UNMM0131_B_MONTH_4,R8)</f>
        <v>95</v>
      </c>
      <c r="T8" s="375"/>
      <c r="U8" s="260"/>
      <c r="V8" s="375">
        <v>4</v>
      </c>
      <c r="W8" s="376">
        <f>DATE(UNMM0131_H_YEAR,UNMM0131_B_MONTH_5,V8)</f>
        <v>125</v>
      </c>
      <c r="X8" s="375"/>
      <c r="Y8" s="260"/>
      <c r="Z8" s="375">
        <v>4</v>
      </c>
      <c r="AA8" s="376">
        <f>DATE(UNMM0131_H_YEAR,UNMM0131_B_MONTH_6,Z8)</f>
        <v>156</v>
      </c>
      <c r="AB8" s="375"/>
      <c r="AC8" s="260"/>
      <c r="AD8" s="375">
        <v>4</v>
      </c>
      <c r="AE8" s="376">
        <f>DATE(UNMM0131_H_YEAR,UNMM0131_B_MONTH_7,AD8)</f>
        <v>186</v>
      </c>
      <c r="AF8" s="375"/>
      <c r="AG8" s="260"/>
      <c r="AH8" s="375">
        <v>4</v>
      </c>
      <c r="AI8" s="376">
        <f>DATE(UNMM0131_H_YEAR,UNMM0131_B_MONTH_8,AH8)</f>
        <v>217</v>
      </c>
      <c r="AJ8" s="375"/>
      <c r="AK8" s="260"/>
      <c r="AL8" s="375">
        <v>4</v>
      </c>
      <c r="AM8" s="376">
        <f>DATE(UNMM0131_H_YEAR,UNMM0131_B_MONTH_9,AL8)</f>
        <v>248</v>
      </c>
      <c r="AN8" s="375"/>
      <c r="AO8" s="260"/>
      <c r="AP8" s="375">
        <v>4</v>
      </c>
      <c r="AQ8" s="376">
        <f>DATE(UNMM0131_H_YEAR,UNMM0131_B_MONTH_10,AP8)</f>
        <v>278</v>
      </c>
      <c r="AR8" s="375"/>
      <c r="AS8" s="260"/>
      <c r="AT8" s="375">
        <v>4</v>
      </c>
      <c r="AU8" s="376">
        <f>DATE(UNMM0131_H_YEAR,UNMM0131_B_MONTH_11,AT8)</f>
        <v>309</v>
      </c>
      <c r="AV8" s="375"/>
      <c r="AW8" s="260"/>
      <c r="AX8" s="375">
        <v>4</v>
      </c>
      <c r="AY8" s="376">
        <f>DATE(UNMM0131_H_YEAR,UNMM0131_B_MONTH_12,AX8)</f>
        <v>339</v>
      </c>
      <c r="AZ8" s="375"/>
    </row>
    <row r="9" spans="1:52" s="83" customFormat="1" ht="18.75">
      <c r="A9" s="163" t="s">
        <v>1881</v>
      </c>
      <c r="B9" s="456" t="s">
        <v>1882</v>
      </c>
      <c r="C9" s="271" t="str">
        <f>ADDRESS(ROW(UNMM0131_B_LIST_COPY_MOTO_START)+184+ROWS(UNMM0131_B_CALENDAR_LIST_2),COLUMN(UNMM0131_B_LIST_COPY_MOTO_START))&amp;":"&amp;
ADDRESS(ROW(UNMM0131_B_LIST_COPY_MOTO_START)+184+ROWS(UNMM0131_B_CALENDAR_LIST_2)+ROWS(UNMM0131_B_CALENDAR_LIST_8)-1,COLUMN(UNMM0131_B_LIST_COPY_MOTO_START))</f>
        <v>$D$235:$D$265</v>
      </c>
      <c r="D9" s="84"/>
      <c r="F9" s="375">
        <v>5</v>
      </c>
      <c r="G9" s="376">
        <f>DATE(UNMM0131_H_YEAR,UNMM0131_B_MONTH_1,F9)</f>
        <v>5</v>
      </c>
      <c r="H9" s="375"/>
      <c r="I9" s="260"/>
      <c r="J9" s="375">
        <v>5</v>
      </c>
      <c r="K9" s="376">
        <f>DATE(UNMM0131_H_YEAR,UNMM0131_B_MONTH_2,J9)</f>
        <v>36</v>
      </c>
      <c r="L9" s="375"/>
      <c r="M9" s="260"/>
      <c r="N9" s="375">
        <v>5</v>
      </c>
      <c r="O9" s="376">
        <f>DATE(UNMM0131_H_YEAR,UNMM0131_B_MONTH_3,N9)</f>
        <v>65</v>
      </c>
      <c r="P9" s="375"/>
      <c r="Q9" s="260"/>
      <c r="R9" s="375">
        <v>5</v>
      </c>
      <c r="S9" s="376">
        <f>DATE(UNMM0131_H_YEAR,UNMM0131_B_MONTH_4,R9)</f>
        <v>96</v>
      </c>
      <c r="T9" s="375"/>
      <c r="U9" s="260"/>
      <c r="V9" s="375">
        <v>5</v>
      </c>
      <c r="W9" s="376">
        <f>DATE(UNMM0131_H_YEAR,UNMM0131_B_MONTH_5,V9)</f>
        <v>126</v>
      </c>
      <c r="X9" s="375"/>
      <c r="Y9" s="260"/>
      <c r="Z9" s="375">
        <v>5</v>
      </c>
      <c r="AA9" s="376">
        <f>DATE(UNMM0131_H_YEAR,UNMM0131_B_MONTH_6,Z9)</f>
        <v>157</v>
      </c>
      <c r="AB9" s="375"/>
      <c r="AC9" s="260"/>
      <c r="AD9" s="375">
        <v>5</v>
      </c>
      <c r="AE9" s="376">
        <f>DATE(UNMM0131_H_YEAR,UNMM0131_B_MONTH_7,AD9)</f>
        <v>187</v>
      </c>
      <c r="AF9" s="375"/>
      <c r="AG9" s="260"/>
      <c r="AH9" s="375">
        <v>5</v>
      </c>
      <c r="AI9" s="376">
        <f>DATE(UNMM0131_H_YEAR,UNMM0131_B_MONTH_8,AH9)</f>
        <v>218</v>
      </c>
      <c r="AJ9" s="375"/>
      <c r="AK9" s="260"/>
      <c r="AL9" s="375">
        <v>5</v>
      </c>
      <c r="AM9" s="376">
        <f>DATE(UNMM0131_H_YEAR,UNMM0131_B_MONTH_9,AL9)</f>
        <v>249</v>
      </c>
      <c r="AN9" s="375"/>
      <c r="AO9" s="260"/>
      <c r="AP9" s="375">
        <v>5</v>
      </c>
      <c r="AQ9" s="376">
        <f>DATE(UNMM0131_H_YEAR,UNMM0131_B_MONTH_10,AP9)</f>
        <v>279</v>
      </c>
      <c r="AR9" s="375"/>
      <c r="AS9" s="260"/>
      <c r="AT9" s="375">
        <v>5</v>
      </c>
      <c r="AU9" s="376">
        <f>DATE(UNMM0131_H_YEAR,UNMM0131_B_MONTH_11,AT9)</f>
        <v>310</v>
      </c>
      <c r="AV9" s="375"/>
      <c r="AW9" s="260"/>
      <c r="AX9" s="375">
        <v>5</v>
      </c>
      <c r="AY9" s="376">
        <f>DATE(UNMM0131_H_YEAR,UNMM0131_B_MONTH_12,AX9)</f>
        <v>340</v>
      </c>
      <c r="AZ9" s="375"/>
    </row>
    <row r="10" spans="1:52" s="83" customFormat="1" ht="18.75">
      <c r="A10" s="163" t="s">
        <v>1883</v>
      </c>
      <c r="B10" s="456" t="s">
        <v>1884</v>
      </c>
      <c r="C10" s="271" t="str">
        <f>ADDRESS(ROW(UNMM0131_B_LIST_COPY_MOTO_START)+215+ROWS(UNMM0131_B_CALENDAR_LIST_2),COLUMN(UNMM0131_B_LIST_COPY_MOTO_START))&amp;":"&amp;
ADDRESS(ROW(UNMM0131_B_LIST_COPY_MOTO_START)+215+ROWS(UNMM0131_B_CALENDAR_LIST_2)+ROWS(UNMM0131_B_CALENDAR_LIST_9)-1,COLUMN(UNMM0131_B_LIST_COPY_MOTO_START))</f>
        <v>$D$266:$D$295</v>
      </c>
      <c r="D10" s="84"/>
      <c r="F10" s="375">
        <v>6</v>
      </c>
      <c r="G10" s="376">
        <f>DATE(UNMM0131_H_YEAR,UNMM0131_B_MONTH_1,F10)</f>
        <v>6</v>
      </c>
      <c r="H10" s="375"/>
      <c r="I10" s="260"/>
      <c r="J10" s="375">
        <v>6</v>
      </c>
      <c r="K10" s="376">
        <f>DATE(UNMM0131_H_YEAR,UNMM0131_B_MONTH_2,J10)</f>
        <v>37</v>
      </c>
      <c r="L10" s="375"/>
      <c r="M10" s="260"/>
      <c r="N10" s="375">
        <v>6</v>
      </c>
      <c r="O10" s="376">
        <f>DATE(UNMM0131_H_YEAR,UNMM0131_B_MONTH_3,N10)</f>
        <v>66</v>
      </c>
      <c r="P10" s="375"/>
      <c r="Q10" s="260"/>
      <c r="R10" s="375">
        <v>6</v>
      </c>
      <c r="S10" s="376">
        <f>DATE(UNMM0131_H_YEAR,UNMM0131_B_MONTH_4,R10)</f>
        <v>97</v>
      </c>
      <c r="T10" s="375"/>
      <c r="U10" s="260"/>
      <c r="V10" s="375">
        <v>6</v>
      </c>
      <c r="W10" s="376">
        <f>DATE(UNMM0131_H_YEAR,UNMM0131_B_MONTH_5,V10)</f>
        <v>127</v>
      </c>
      <c r="X10" s="375"/>
      <c r="Y10" s="260"/>
      <c r="Z10" s="375">
        <v>6</v>
      </c>
      <c r="AA10" s="376">
        <f>DATE(UNMM0131_H_YEAR,UNMM0131_B_MONTH_6,Z10)</f>
        <v>158</v>
      </c>
      <c r="AB10" s="375"/>
      <c r="AC10" s="260"/>
      <c r="AD10" s="375">
        <v>6</v>
      </c>
      <c r="AE10" s="376">
        <f>DATE(UNMM0131_H_YEAR,UNMM0131_B_MONTH_7,AD10)</f>
        <v>188</v>
      </c>
      <c r="AF10" s="375"/>
      <c r="AG10" s="260"/>
      <c r="AH10" s="375">
        <v>6</v>
      </c>
      <c r="AI10" s="376">
        <f>DATE(UNMM0131_H_YEAR,UNMM0131_B_MONTH_8,AH10)</f>
        <v>219</v>
      </c>
      <c r="AJ10" s="375"/>
      <c r="AK10" s="260"/>
      <c r="AL10" s="375">
        <v>6</v>
      </c>
      <c r="AM10" s="376">
        <f>DATE(UNMM0131_H_YEAR,UNMM0131_B_MONTH_9,AL10)</f>
        <v>250</v>
      </c>
      <c r="AN10" s="375"/>
      <c r="AO10" s="260"/>
      <c r="AP10" s="375">
        <v>6</v>
      </c>
      <c r="AQ10" s="376">
        <f>DATE(UNMM0131_H_YEAR,UNMM0131_B_MONTH_10,AP10)</f>
        <v>280</v>
      </c>
      <c r="AR10" s="375"/>
      <c r="AS10" s="260"/>
      <c r="AT10" s="375">
        <v>6</v>
      </c>
      <c r="AU10" s="376">
        <f>DATE(UNMM0131_H_YEAR,UNMM0131_B_MONTH_11,AT10)</f>
        <v>311</v>
      </c>
      <c r="AV10" s="375"/>
      <c r="AW10" s="260"/>
      <c r="AX10" s="375">
        <v>6</v>
      </c>
      <c r="AY10" s="376">
        <f>DATE(UNMM0131_H_YEAR,UNMM0131_B_MONTH_12,AX10)</f>
        <v>341</v>
      </c>
      <c r="AZ10" s="375"/>
    </row>
    <row r="11" spans="1:52" s="83" customFormat="1" ht="18.75">
      <c r="A11" s="163" t="s">
        <v>1885</v>
      </c>
      <c r="B11" s="456" t="s">
        <v>1886</v>
      </c>
      <c r="C11" s="271" t="str">
        <f>ADDRESS(ROW(UNMM0131_B_LIST_COPY_MOTO_START)+245+ROWS(UNMM0131_B_CALENDAR_LIST_2),COLUMN(UNMM0131_B_LIST_COPY_MOTO_START))&amp;":"&amp;
ADDRESS(ROW(UNMM0131_B_LIST_COPY_MOTO_START)+245+ROWS(UNMM0131_B_CALENDAR_LIST_2)+ROWS(UNMM0131_B_CALENDAR_LIST_10)-1,COLUMN(UNMM0131_B_LIST_COPY_MOTO_START))</f>
        <v>$D$296:$D$326</v>
      </c>
      <c r="D11" s="84"/>
      <c r="F11" s="375">
        <v>7</v>
      </c>
      <c r="G11" s="376">
        <f>DATE(UNMM0131_H_YEAR,UNMM0131_B_MONTH_1,F11)</f>
        <v>7</v>
      </c>
      <c r="H11" s="375"/>
      <c r="I11" s="260"/>
      <c r="J11" s="375">
        <v>7</v>
      </c>
      <c r="K11" s="376">
        <f>DATE(UNMM0131_H_YEAR,UNMM0131_B_MONTH_2,J11)</f>
        <v>38</v>
      </c>
      <c r="L11" s="375"/>
      <c r="M11" s="260"/>
      <c r="N11" s="375">
        <v>7</v>
      </c>
      <c r="O11" s="376">
        <f>DATE(UNMM0131_H_YEAR,UNMM0131_B_MONTH_3,N11)</f>
        <v>67</v>
      </c>
      <c r="P11" s="375"/>
      <c r="Q11" s="260"/>
      <c r="R11" s="375">
        <v>7</v>
      </c>
      <c r="S11" s="376">
        <f>DATE(UNMM0131_H_YEAR,UNMM0131_B_MONTH_4,R11)</f>
        <v>98</v>
      </c>
      <c r="T11" s="375"/>
      <c r="U11" s="260"/>
      <c r="V11" s="375">
        <v>7</v>
      </c>
      <c r="W11" s="376">
        <f>DATE(UNMM0131_H_YEAR,UNMM0131_B_MONTH_5,V11)</f>
        <v>128</v>
      </c>
      <c r="X11" s="375"/>
      <c r="Y11" s="260"/>
      <c r="Z11" s="375">
        <v>7</v>
      </c>
      <c r="AA11" s="376">
        <f>DATE(UNMM0131_H_YEAR,UNMM0131_B_MONTH_6,Z11)</f>
        <v>159</v>
      </c>
      <c r="AB11" s="375"/>
      <c r="AC11" s="260"/>
      <c r="AD11" s="375">
        <v>7</v>
      </c>
      <c r="AE11" s="376">
        <f>DATE(UNMM0131_H_YEAR,UNMM0131_B_MONTH_7,AD11)</f>
        <v>189</v>
      </c>
      <c r="AF11" s="375"/>
      <c r="AG11" s="260"/>
      <c r="AH11" s="375">
        <v>7</v>
      </c>
      <c r="AI11" s="376">
        <f>DATE(UNMM0131_H_YEAR,UNMM0131_B_MONTH_8,AH11)</f>
        <v>220</v>
      </c>
      <c r="AJ11" s="375"/>
      <c r="AK11" s="260"/>
      <c r="AL11" s="375">
        <v>7</v>
      </c>
      <c r="AM11" s="376">
        <f>DATE(UNMM0131_H_YEAR,UNMM0131_B_MONTH_9,AL11)</f>
        <v>251</v>
      </c>
      <c r="AN11" s="375"/>
      <c r="AO11" s="260"/>
      <c r="AP11" s="375">
        <v>7</v>
      </c>
      <c r="AQ11" s="376">
        <f>DATE(UNMM0131_H_YEAR,UNMM0131_B_MONTH_10,AP11)</f>
        <v>281</v>
      </c>
      <c r="AR11" s="375"/>
      <c r="AS11" s="260"/>
      <c r="AT11" s="375">
        <v>7</v>
      </c>
      <c r="AU11" s="376">
        <f>DATE(UNMM0131_H_YEAR,UNMM0131_B_MONTH_11,AT11)</f>
        <v>312</v>
      </c>
      <c r="AV11" s="375"/>
      <c r="AW11" s="260"/>
      <c r="AX11" s="375">
        <v>7</v>
      </c>
      <c r="AY11" s="376">
        <f>DATE(UNMM0131_H_YEAR,UNMM0131_B_MONTH_12,AX11)</f>
        <v>342</v>
      </c>
      <c r="AZ11" s="375"/>
    </row>
    <row r="12" spans="1:52" s="83" customFormat="1" ht="18.75">
      <c r="A12" s="163" t="s">
        <v>1887</v>
      </c>
      <c r="B12" s="456" t="s">
        <v>1888</v>
      </c>
      <c r="C12" s="271" t="str">
        <f>ADDRESS(ROW(UNMM0131_B_LIST_COPY_MOTO_START)+276+ROWS(UNMM0131_B_CALENDAR_LIST_2),COLUMN(UNMM0131_B_LIST_COPY_MOTO_START))&amp;":"&amp;
ADDRESS(ROW(UNMM0131_B_LIST_COPY_MOTO_START)+276+ROWS(UNMM0131_B_CALENDAR_LIST_2)+ROWS(UNMM0131_B_CALENDAR_LIST_11)-1,COLUMN(UNMM0131_B_LIST_COPY_MOTO_START))</f>
        <v>$D$327:$D$356</v>
      </c>
      <c r="D12" s="84"/>
      <c r="F12" s="375">
        <v>8</v>
      </c>
      <c r="G12" s="376">
        <f>DATE(UNMM0131_H_YEAR,UNMM0131_B_MONTH_1,F12)</f>
        <v>8</v>
      </c>
      <c r="H12" s="375"/>
      <c r="I12" s="260"/>
      <c r="J12" s="375">
        <v>8</v>
      </c>
      <c r="K12" s="376">
        <f>DATE(UNMM0131_H_YEAR,UNMM0131_B_MONTH_2,J12)</f>
        <v>39</v>
      </c>
      <c r="L12" s="375"/>
      <c r="M12" s="260"/>
      <c r="N12" s="375">
        <v>8</v>
      </c>
      <c r="O12" s="376">
        <f>DATE(UNMM0131_H_YEAR,UNMM0131_B_MONTH_3,N12)</f>
        <v>68</v>
      </c>
      <c r="P12" s="375"/>
      <c r="Q12" s="260"/>
      <c r="R12" s="375">
        <v>8</v>
      </c>
      <c r="S12" s="376">
        <f>DATE(UNMM0131_H_YEAR,UNMM0131_B_MONTH_4,R12)</f>
        <v>99</v>
      </c>
      <c r="T12" s="375"/>
      <c r="U12" s="260"/>
      <c r="V12" s="375">
        <v>8</v>
      </c>
      <c r="W12" s="376">
        <f>DATE(UNMM0131_H_YEAR,UNMM0131_B_MONTH_5,V12)</f>
        <v>129</v>
      </c>
      <c r="X12" s="375"/>
      <c r="Y12" s="260"/>
      <c r="Z12" s="375">
        <v>8</v>
      </c>
      <c r="AA12" s="376">
        <f>DATE(UNMM0131_H_YEAR,UNMM0131_B_MONTH_6,Z12)</f>
        <v>160</v>
      </c>
      <c r="AB12" s="375"/>
      <c r="AC12" s="260"/>
      <c r="AD12" s="375">
        <v>8</v>
      </c>
      <c r="AE12" s="376">
        <f>DATE(UNMM0131_H_YEAR,UNMM0131_B_MONTH_7,AD12)</f>
        <v>190</v>
      </c>
      <c r="AF12" s="375"/>
      <c r="AG12" s="260"/>
      <c r="AH12" s="375">
        <v>8</v>
      </c>
      <c r="AI12" s="376">
        <f>DATE(UNMM0131_H_YEAR,UNMM0131_B_MONTH_8,AH12)</f>
        <v>221</v>
      </c>
      <c r="AJ12" s="375"/>
      <c r="AK12" s="260"/>
      <c r="AL12" s="375">
        <v>8</v>
      </c>
      <c r="AM12" s="376">
        <f>DATE(UNMM0131_H_YEAR,UNMM0131_B_MONTH_9,AL12)</f>
        <v>252</v>
      </c>
      <c r="AN12" s="375"/>
      <c r="AO12" s="260"/>
      <c r="AP12" s="375">
        <v>8</v>
      </c>
      <c r="AQ12" s="376">
        <f>DATE(UNMM0131_H_YEAR,UNMM0131_B_MONTH_10,AP12)</f>
        <v>282</v>
      </c>
      <c r="AR12" s="375"/>
      <c r="AS12" s="260"/>
      <c r="AT12" s="375">
        <v>8</v>
      </c>
      <c r="AU12" s="376">
        <f>DATE(UNMM0131_H_YEAR,UNMM0131_B_MONTH_11,AT12)</f>
        <v>313</v>
      </c>
      <c r="AV12" s="375"/>
      <c r="AW12" s="260"/>
      <c r="AX12" s="375">
        <v>8</v>
      </c>
      <c r="AY12" s="376">
        <f>DATE(UNMM0131_H_YEAR,UNMM0131_B_MONTH_12,AX12)</f>
        <v>343</v>
      </c>
      <c r="AZ12" s="375"/>
    </row>
    <row r="13" spans="1:52" s="83" customFormat="1" ht="18.75">
      <c r="A13" s="163" t="s">
        <v>1889</v>
      </c>
      <c r="B13" s="456" t="s">
        <v>1890</v>
      </c>
      <c r="C13" s="271" t="str">
        <f>ADDRESS(ROW(UNMM0131_B_LIST_COPY_MOTO_START)+306+ROWS(UNMM0131_B_CALENDAR_LIST_2),COLUMN(UNMM0131_B_LIST_COPY_MOTO_START))&amp;":"&amp;
ADDRESS(ROW(UNMM0131_B_LIST_COPY_MOTO_START)+306+ROWS(UNMM0131_B_CALENDAR_LIST_2)+ROWS(UNMM0131_B_CALENDAR_LIST_12)-1,COLUMN(UNMM0131_B_LIST_COPY_MOTO_START))</f>
        <v>$D$357:$D$387</v>
      </c>
      <c r="D13" s="84"/>
      <c r="F13" s="375">
        <v>9</v>
      </c>
      <c r="G13" s="376">
        <f>DATE(UNMM0131_H_YEAR,UNMM0131_B_MONTH_1,F13)</f>
        <v>9</v>
      </c>
      <c r="H13" s="375"/>
      <c r="I13" s="260"/>
      <c r="J13" s="375">
        <v>9</v>
      </c>
      <c r="K13" s="376">
        <f>DATE(UNMM0131_H_YEAR,UNMM0131_B_MONTH_2,J13)</f>
        <v>40</v>
      </c>
      <c r="L13" s="375"/>
      <c r="M13" s="260"/>
      <c r="N13" s="375">
        <v>9</v>
      </c>
      <c r="O13" s="376">
        <f>DATE(UNMM0131_H_YEAR,UNMM0131_B_MONTH_3,N13)</f>
        <v>69</v>
      </c>
      <c r="P13" s="375"/>
      <c r="Q13" s="260"/>
      <c r="R13" s="375">
        <v>9</v>
      </c>
      <c r="S13" s="376">
        <f>DATE(UNMM0131_H_YEAR,UNMM0131_B_MONTH_4,R13)</f>
        <v>100</v>
      </c>
      <c r="T13" s="375"/>
      <c r="U13" s="260"/>
      <c r="V13" s="375">
        <v>9</v>
      </c>
      <c r="W13" s="376">
        <f>DATE(UNMM0131_H_YEAR,UNMM0131_B_MONTH_5,V13)</f>
        <v>130</v>
      </c>
      <c r="X13" s="375"/>
      <c r="Y13" s="260"/>
      <c r="Z13" s="375">
        <v>9</v>
      </c>
      <c r="AA13" s="376">
        <f>DATE(UNMM0131_H_YEAR,UNMM0131_B_MONTH_6,Z13)</f>
        <v>161</v>
      </c>
      <c r="AB13" s="375"/>
      <c r="AC13" s="260"/>
      <c r="AD13" s="375">
        <v>9</v>
      </c>
      <c r="AE13" s="376">
        <f>DATE(UNMM0131_H_YEAR,UNMM0131_B_MONTH_7,AD13)</f>
        <v>191</v>
      </c>
      <c r="AF13" s="375"/>
      <c r="AG13" s="260"/>
      <c r="AH13" s="375">
        <v>9</v>
      </c>
      <c r="AI13" s="376">
        <f>DATE(UNMM0131_H_YEAR,UNMM0131_B_MONTH_8,AH13)</f>
        <v>222</v>
      </c>
      <c r="AJ13" s="375"/>
      <c r="AK13" s="260"/>
      <c r="AL13" s="375">
        <v>9</v>
      </c>
      <c r="AM13" s="376">
        <f>DATE(UNMM0131_H_YEAR,UNMM0131_B_MONTH_9,AL13)</f>
        <v>253</v>
      </c>
      <c r="AN13" s="375"/>
      <c r="AO13" s="260"/>
      <c r="AP13" s="375">
        <v>9</v>
      </c>
      <c r="AQ13" s="376">
        <f>DATE(UNMM0131_H_YEAR,UNMM0131_B_MONTH_10,AP13)</f>
        <v>283</v>
      </c>
      <c r="AR13" s="375"/>
      <c r="AS13" s="260"/>
      <c r="AT13" s="375">
        <v>9</v>
      </c>
      <c r="AU13" s="376">
        <f>DATE(UNMM0131_H_YEAR,UNMM0131_B_MONTH_11,AT13)</f>
        <v>314</v>
      </c>
      <c r="AV13" s="375"/>
      <c r="AW13" s="260"/>
      <c r="AX13" s="375">
        <v>9</v>
      </c>
      <c r="AY13" s="376">
        <f>DATE(UNMM0131_H_YEAR,UNMM0131_B_MONTH_12,AX13)</f>
        <v>344</v>
      </c>
      <c r="AZ13" s="375"/>
    </row>
    <row r="14" spans="1:52" s="83" customFormat="1" ht="18.75">
      <c r="A14" s="163" t="s">
        <v>139</v>
      </c>
      <c r="B14" s="456" t="s">
        <v>1891</v>
      </c>
      <c r="C14" s="271" t="str">
        <f>ADDRESS(ROW(UNMM0131_B_DATE_1)+1,COLUMN(UNMM0131_B_DATE_1))&amp;":"&amp;
ADDRESS(ROW(UNMM0131_B_KBN_12)+31,COLUMN(UNMM0131_B_KBN_12))</f>
        <v>$F$5:$AZ$35</v>
      </c>
      <c r="D14" s="84"/>
      <c r="F14" s="375">
        <v>10</v>
      </c>
      <c r="G14" s="376">
        <f>DATE(UNMM0131_H_YEAR,UNMM0131_B_MONTH_1,F14)</f>
        <v>10</v>
      </c>
      <c r="H14" s="375"/>
      <c r="I14" s="260"/>
      <c r="J14" s="375">
        <v>10</v>
      </c>
      <c r="K14" s="376">
        <f>DATE(UNMM0131_H_YEAR,UNMM0131_B_MONTH_2,J14)</f>
        <v>41</v>
      </c>
      <c r="L14" s="375"/>
      <c r="M14" s="260"/>
      <c r="N14" s="375">
        <v>10</v>
      </c>
      <c r="O14" s="376">
        <f>DATE(UNMM0131_H_YEAR,UNMM0131_B_MONTH_3,N14)</f>
        <v>70</v>
      </c>
      <c r="P14" s="375"/>
      <c r="Q14" s="260"/>
      <c r="R14" s="375">
        <v>10</v>
      </c>
      <c r="S14" s="376">
        <f>DATE(UNMM0131_H_YEAR,UNMM0131_B_MONTH_4,R14)</f>
        <v>101</v>
      </c>
      <c r="T14" s="375"/>
      <c r="U14" s="260"/>
      <c r="V14" s="375">
        <v>10</v>
      </c>
      <c r="W14" s="376">
        <f>DATE(UNMM0131_H_YEAR,UNMM0131_B_MONTH_5,V14)</f>
        <v>131</v>
      </c>
      <c r="X14" s="375"/>
      <c r="Y14" s="260"/>
      <c r="Z14" s="375">
        <v>10</v>
      </c>
      <c r="AA14" s="376">
        <f>DATE(UNMM0131_H_YEAR,UNMM0131_B_MONTH_6,Z14)</f>
        <v>162</v>
      </c>
      <c r="AB14" s="375"/>
      <c r="AC14" s="260"/>
      <c r="AD14" s="375">
        <v>10</v>
      </c>
      <c r="AE14" s="376">
        <f>DATE(UNMM0131_H_YEAR,UNMM0131_B_MONTH_7,AD14)</f>
        <v>192</v>
      </c>
      <c r="AF14" s="375"/>
      <c r="AG14" s="260"/>
      <c r="AH14" s="375">
        <v>10</v>
      </c>
      <c r="AI14" s="376">
        <f>DATE(UNMM0131_H_YEAR,UNMM0131_B_MONTH_8,AH14)</f>
        <v>223</v>
      </c>
      <c r="AJ14" s="375"/>
      <c r="AK14" s="260"/>
      <c r="AL14" s="375">
        <v>10</v>
      </c>
      <c r="AM14" s="376">
        <f>DATE(UNMM0131_H_YEAR,UNMM0131_B_MONTH_9,AL14)</f>
        <v>254</v>
      </c>
      <c r="AN14" s="375"/>
      <c r="AO14" s="260"/>
      <c r="AP14" s="375">
        <v>10</v>
      </c>
      <c r="AQ14" s="376">
        <f>DATE(UNMM0131_H_YEAR,UNMM0131_B_MONTH_10,AP14)</f>
        <v>284</v>
      </c>
      <c r="AR14" s="375"/>
      <c r="AS14" s="260"/>
      <c r="AT14" s="375">
        <v>10</v>
      </c>
      <c r="AU14" s="376">
        <f>DATE(UNMM0131_H_YEAR,UNMM0131_B_MONTH_11,AT14)</f>
        <v>315</v>
      </c>
      <c r="AV14" s="375"/>
      <c r="AW14" s="260"/>
      <c r="AX14" s="375">
        <v>10</v>
      </c>
      <c r="AY14" s="376">
        <f>DATE(UNMM0131_H_YEAR,UNMM0131_B_MONTH_12,AX14)</f>
        <v>345</v>
      </c>
      <c r="AZ14" s="375"/>
    </row>
    <row r="15" spans="1:52" s="83" customFormat="1" ht="18.75">
      <c r="A15" s="163"/>
      <c r="B15" s="456"/>
      <c r="C15" s="163"/>
      <c r="D15" s="84"/>
      <c r="F15" s="375">
        <v>11</v>
      </c>
      <c r="G15" s="376">
        <f>DATE(UNMM0131_H_YEAR,UNMM0131_B_MONTH_1,F15)</f>
        <v>11</v>
      </c>
      <c r="H15" s="375"/>
      <c r="I15" s="260"/>
      <c r="J15" s="375">
        <v>11</v>
      </c>
      <c r="K15" s="376">
        <f>DATE(UNMM0131_H_YEAR,UNMM0131_B_MONTH_2,J15)</f>
        <v>42</v>
      </c>
      <c r="L15" s="375"/>
      <c r="M15" s="260"/>
      <c r="N15" s="375">
        <v>11</v>
      </c>
      <c r="O15" s="376">
        <f>DATE(UNMM0131_H_YEAR,UNMM0131_B_MONTH_3,N15)</f>
        <v>71</v>
      </c>
      <c r="P15" s="375"/>
      <c r="Q15" s="260"/>
      <c r="R15" s="375">
        <v>11</v>
      </c>
      <c r="S15" s="376">
        <f>DATE(UNMM0131_H_YEAR,UNMM0131_B_MONTH_4,R15)</f>
        <v>102</v>
      </c>
      <c r="T15" s="375"/>
      <c r="U15" s="260"/>
      <c r="V15" s="375">
        <v>11</v>
      </c>
      <c r="W15" s="376">
        <f>DATE(UNMM0131_H_YEAR,UNMM0131_B_MONTH_5,V15)</f>
        <v>132</v>
      </c>
      <c r="X15" s="375"/>
      <c r="Y15" s="260"/>
      <c r="Z15" s="375">
        <v>11</v>
      </c>
      <c r="AA15" s="376">
        <f>DATE(UNMM0131_H_YEAR,UNMM0131_B_MONTH_6,Z15)</f>
        <v>163</v>
      </c>
      <c r="AB15" s="375"/>
      <c r="AC15" s="260"/>
      <c r="AD15" s="375">
        <v>11</v>
      </c>
      <c r="AE15" s="376">
        <f>DATE(UNMM0131_H_YEAR,UNMM0131_B_MONTH_7,AD15)</f>
        <v>193</v>
      </c>
      <c r="AF15" s="375"/>
      <c r="AG15" s="260"/>
      <c r="AH15" s="375">
        <v>11</v>
      </c>
      <c r="AI15" s="376">
        <f>DATE(UNMM0131_H_YEAR,UNMM0131_B_MONTH_8,AH15)</f>
        <v>224</v>
      </c>
      <c r="AJ15" s="375"/>
      <c r="AK15" s="260"/>
      <c r="AL15" s="375">
        <v>11</v>
      </c>
      <c r="AM15" s="376">
        <f>DATE(UNMM0131_H_YEAR,UNMM0131_B_MONTH_9,AL15)</f>
        <v>255</v>
      </c>
      <c r="AN15" s="375"/>
      <c r="AO15" s="260"/>
      <c r="AP15" s="375">
        <v>11</v>
      </c>
      <c r="AQ15" s="376">
        <f>DATE(UNMM0131_H_YEAR,UNMM0131_B_MONTH_10,AP15)</f>
        <v>285</v>
      </c>
      <c r="AR15" s="375"/>
      <c r="AS15" s="260"/>
      <c r="AT15" s="375">
        <v>11</v>
      </c>
      <c r="AU15" s="376">
        <f>DATE(UNMM0131_H_YEAR,UNMM0131_B_MONTH_11,AT15)</f>
        <v>316</v>
      </c>
      <c r="AV15" s="375"/>
      <c r="AW15" s="260"/>
      <c r="AX15" s="375">
        <v>11</v>
      </c>
      <c r="AY15" s="376">
        <f>DATE(UNMM0131_H_YEAR,UNMM0131_B_MONTH_12,AX15)</f>
        <v>346</v>
      </c>
      <c r="AZ15" s="375"/>
    </row>
    <row r="16" spans="1:52" s="83" customFormat="1" ht="18.75">
      <c r="A16" s="163" t="s">
        <v>799</v>
      </c>
      <c r="B16" s="456" t="s">
        <v>1892</v>
      </c>
      <c r="C16" s="271"/>
      <c r="D16" s="84"/>
      <c r="F16" s="375">
        <v>12</v>
      </c>
      <c r="G16" s="376">
        <f>DATE(UNMM0131_H_YEAR,UNMM0131_B_MONTH_1,F16)</f>
        <v>12</v>
      </c>
      <c r="H16" s="375"/>
      <c r="I16" s="260"/>
      <c r="J16" s="375">
        <v>12</v>
      </c>
      <c r="K16" s="376">
        <f>DATE(UNMM0131_H_YEAR,UNMM0131_B_MONTH_2,J16)</f>
        <v>43</v>
      </c>
      <c r="L16" s="375"/>
      <c r="M16" s="260"/>
      <c r="N16" s="375">
        <v>12</v>
      </c>
      <c r="O16" s="376">
        <f>DATE(UNMM0131_H_YEAR,UNMM0131_B_MONTH_3,N16)</f>
        <v>72</v>
      </c>
      <c r="P16" s="375"/>
      <c r="Q16" s="260"/>
      <c r="R16" s="375">
        <v>12</v>
      </c>
      <c r="S16" s="376">
        <f>DATE(UNMM0131_H_YEAR,UNMM0131_B_MONTH_4,R16)</f>
        <v>103</v>
      </c>
      <c r="T16" s="375"/>
      <c r="U16" s="260"/>
      <c r="V16" s="375">
        <v>12</v>
      </c>
      <c r="W16" s="376">
        <f>DATE(UNMM0131_H_YEAR,UNMM0131_B_MONTH_5,V16)</f>
        <v>133</v>
      </c>
      <c r="X16" s="375"/>
      <c r="Y16" s="260"/>
      <c r="Z16" s="375">
        <v>12</v>
      </c>
      <c r="AA16" s="376">
        <f>DATE(UNMM0131_H_YEAR,UNMM0131_B_MONTH_6,Z16)</f>
        <v>164</v>
      </c>
      <c r="AB16" s="375"/>
      <c r="AC16" s="260"/>
      <c r="AD16" s="375">
        <v>12</v>
      </c>
      <c r="AE16" s="376">
        <f>DATE(UNMM0131_H_YEAR,UNMM0131_B_MONTH_7,AD16)</f>
        <v>194</v>
      </c>
      <c r="AF16" s="375"/>
      <c r="AG16" s="260"/>
      <c r="AH16" s="375">
        <v>12</v>
      </c>
      <c r="AI16" s="376">
        <f>DATE(UNMM0131_H_YEAR,UNMM0131_B_MONTH_8,AH16)</f>
        <v>225</v>
      </c>
      <c r="AJ16" s="375"/>
      <c r="AK16" s="260"/>
      <c r="AL16" s="375">
        <v>12</v>
      </c>
      <c r="AM16" s="376">
        <f>DATE(UNMM0131_H_YEAR,UNMM0131_B_MONTH_9,AL16)</f>
        <v>256</v>
      </c>
      <c r="AN16" s="375"/>
      <c r="AO16" s="260"/>
      <c r="AP16" s="375">
        <v>12</v>
      </c>
      <c r="AQ16" s="376">
        <f>DATE(UNMM0131_H_YEAR,UNMM0131_B_MONTH_10,AP16)</f>
        <v>286</v>
      </c>
      <c r="AR16" s="375"/>
      <c r="AS16" s="260"/>
      <c r="AT16" s="375">
        <v>12</v>
      </c>
      <c r="AU16" s="376">
        <f>DATE(UNMM0131_H_YEAR,UNMM0131_B_MONTH_11,AT16)</f>
        <v>317</v>
      </c>
      <c r="AV16" s="375"/>
      <c r="AW16" s="260"/>
      <c r="AX16" s="375">
        <v>12</v>
      </c>
      <c r="AY16" s="376">
        <f>DATE(UNMM0131_H_YEAR,UNMM0131_B_MONTH_12,AX16)</f>
        <v>347</v>
      </c>
      <c r="AZ16" s="375"/>
    </row>
    <row r="17" spans="1:52" s="83" customFormat="1" ht="18.75">
      <c r="A17" s="163" t="s">
        <v>801</v>
      </c>
      <c r="B17" s="456" t="s">
        <v>1893</v>
      </c>
      <c r="C17" s="271" t="str">
        <f>ADDRESS(ROW(A1),COLUMN(A1))&amp;":"&amp;ADDRESS(ROW(D1),COLUMN(D1))</f>
        <v>$A$1:$D$1</v>
      </c>
      <c r="D17" s="84"/>
      <c r="F17" s="375">
        <v>13</v>
      </c>
      <c r="G17" s="376">
        <f>DATE(UNMM0131_H_YEAR,UNMM0131_B_MONTH_1,F17)</f>
        <v>13</v>
      </c>
      <c r="H17" s="375"/>
      <c r="I17" s="260"/>
      <c r="J17" s="375">
        <v>13</v>
      </c>
      <c r="K17" s="376">
        <f>DATE(UNMM0131_H_YEAR,UNMM0131_B_MONTH_2,J17)</f>
        <v>44</v>
      </c>
      <c r="L17" s="375"/>
      <c r="M17" s="260"/>
      <c r="N17" s="375">
        <v>13</v>
      </c>
      <c r="O17" s="376">
        <f>DATE(UNMM0131_H_YEAR,UNMM0131_B_MONTH_3,N17)</f>
        <v>73</v>
      </c>
      <c r="P17" s="375"/>
      <c r="Q17" s="260"/>
      <c r="R17" s="375">
        <v>13</v>
      </c>
      <c r="S17" s="376">
        <f>DATE(UNMM0131_H_YEAR,UNMM0131_B_MONTH_4,R17)</f>
        <v>104</v>
      </c>
      <c r="T17" s="375"/>
      <c r="U17" s="260"/>
      <c r="V17" s="375">
        <v>13</v>
      </c>
      <c r="W17" s="376">
        <f>DATE(UNMM0131_H_YEAR,UNMM0131_B_MONTH_5,V17)</f>
        <v>134</v>
      </c>
      <c r="X17" s="375"/>
      <c r="Y17" s="260"/>
      <c r="Z17" s="375">
        <v>13</v>
      </c>
      <c r="AA17" s="376">
        <f>DATE(UNMM0131_H_YEAR,UNMM0131_B_MONTH_6,Z17)</f>
        <v>165</v>
      </c>
      <c r="AB17" s="375"/>
      <c r="AC17" s="260"/>
      <c r="AD17" s="375">
        <v>13</v>
      </c>
      <c r="AE17" s="376">
        <f>DATE(UNMM0131_H_YEAR,UNMM0131_B_MONTH_7,AD17)</f>
        <v>195</v>
      </c>
      <c r="AF17" s="375"/>
      <c r="AG17" s="260"/>
      <c r="AH17" s="375">
        <v>13</v>
      </c>
      <c r="AI17" s="376">
        <f>DATE(UNMM0131_H_YEAR,UNMM0131_B_MONTH_8,AH17)</f>
        <v>226</v>
      </c>
      <c r="AJ17" s="375"/>
      <c r="AK17" s="260"/>
      <c r="AL17" s="375">
        <v>13</v>
      </c>
      <c r="AM17" s="376">
        <f>DATE(UNMM0131_H_YEAR,UNMM0131_B_MONTH_9,AL17)</f>
        <v>257</v>
      </c>
      <c r="AN17" s="375"/>
      <c r="AO17" s="260"/>
      <c r="AP17" s="375">
        <v>13</v>
      </c>
      <c r="AQ17" s="376">
        <f>DATE(UNMM0131_H_YEAR,UNMM0131_B_MONTH_10,AP17)</f>
        <v>287</v>
      </c>
      <c r="AR17" s="375"/>
      <c r="AS17" s="260"/>
      <c r="AT17" s="375">
        <v>13</v>
      </c>
      <c r="AU17" s="376">
        <f>DATE(UNMM0131_H_YEAR,UNMM0131_B_MONTH_11,AT17)</f>
        <v>318</v>
      </c>
      <c r="AV17" s="375"/>
      <c r="AW17" s="260"/>
      <c r="AX17" s="375">
        <v>13</v>
      </c>
      <c r="AY17" s="376">
        <f>DATE(UNMM0131_H_YEAR,UNMM0131_B_MONTH_12,AX17)</f>
        <v>348</v>
      </c>
      <c r="AZ17" s="375"/>
    </row>
    <row r="18" spans="1:52" s="83" customFormat="1" ht="18.75">
      <c r="A18" s="163"/>
      <c r="B18" s="456"/>
      <c r="C18" s="84"/>
      <c r="D18" s="84"/>
      <c r="F18" s="375">
        <v>14</v>
      </c>
      <c r="G18" s="376">
        <f>DATE(UNMM0131_H_YEAR,UNMM0131_B_MONTH_1,F18)</f>
        <v>14</v>
      </c>
      <c r="H18" s="375"/>
      <c r="I18" s="260"/>
      <c r="J18" s="375">
        <v>14</v>
      </c>
      <c r="K18" s="376">
        <f>DATE(UNMM0131_H_YEAR,UNMM0131_B_MONTH_2,J18)</f>
        <v>45</v>
      </c>
      <c r="L18" s="375"/>
      <c r="M18" s="260"/>
      <c r="N18" s="375">
        <v>14</v>
      </c>
      <c r="O18" s="376">
        <f>DATE(UNMM0131_H_YEAR,UNMM0131_B_MONTH_3,N18)</f>
        <v>74</v>
      </c>
      <c r="P18" s="375"/>
      <c r="Q18" s="260"/>
      <c r="R18" s="375">
        <v>14</v>
      </c>
      <c r="S18" s="376">
        <f>DATE(UNMM0131_H_YEAR,UNMM0131_B_MONTH_4,R18)</f>
        <v>105</v>
      </c>
      <c r="T18" s="375"/>
      <c r="U18" s="260"/>
      <c r="V18" s="375">
        <v>14</v>
      </c>
      <c r="W18" s="376">
        <f>DATE(UNMM0131_H_YEAR,UNMM0131_B_MONTH_5,V18)</f>
        <v>135</v>
      </c>
      <c r="X18" s="375"/>
      <c r="Y18" s="260"/>
      <c r="Z18" s="375">
        <v>14</v>
      </c>
      <c r="AA18" s="376">
        <f>DATE(UNMM0131_H_YEAR,UNMM0131_B_MONTH_6,Z18)</f>
        <v>166</v>
      </c>
      <c r="AB18" s="375"/>
      <c r="AC18" s="260"/>
      <c r="AD18" s="375">
        <v>14</v>
      </c>
      <c r="AE18" s="376">
        <f>DATE(UNMM0131_H_YEAR,UNMM0131_B_MONTH_7,AD18)</f>
        <v>196</v>
      </c>
      <c r="AF18" s="375"/>
      <c r="AG18" s="260"/>
      <c r="AH18" s="375">
        <v>14</v>
      </c>
      <c r="AI18" s="376">
        <f>DATE(UNMM0131_H_YEAR,UNMM0131_B_MONTH_8,AH18)</f>
        <v>227</v>
      </c>
      <c r="AJ18" s="375"/>
      <c r="AK18" s="260"/>
      <c r="AL18" s="375">
        <v>14</v>
      </c>
      <c r="AM18" s="376">
        <f>DATE(UNMM0131_H_YEAR,UNMM0131_B_MONTH_9,AL18)</f>
        <v>258</v>
      </c>
      <c r="AN18" s="375"/>
      <c r="AO18" s="260"/>
      <c r="AP18" s="375">
        <v>14</v>
      </c>
      <c r="AQ18" s="376">
        <f>DATE(UNMM0131_H_YEAR,UNMM0131_B_MONTH_10,AP18)</f>
        <v>288</v>
      </c>
      <c r="AR18" s="375"/>
      <c r="AS18" s="260"/>
      <c r="AT18" s="375">
        <v>14</v>
      </c>
      <c r="AU18" s="376">
        <f>DATE(UNMM0131_H_YEAR,UNMM0131_B_MONTH_11,AT18)</f>
        <v>319</v>
      </c>
      <c r="AV18" s="375"/>
      <c r="AW18" s="260"/>
      <c r="AX18" s="375">
        <v>14</v>
      </c>
      <c r="AY18" s="376">
        <f>DATE(UNMM0131_H_YEAR,UNMM0131_B_MONTH_12,AX18)</f>
        <v>349</v>
      </c>
      <c r="AZ18" s="375"/>
    </row>
    <row r="19" spans="1:52" s="83" customFormat="1" ht="18.75">
      <c r="A19" s="163" t="s">
        <v>1894</v>
      </c>
      <c r="B19" s="456" t="s">
        <v>1895</v>
      </c>
      <c r="C19" s="88">
        <f>IF(UNMM0131_B_LIST_COPY_MOTO_START="",2,1)</f>
        <v>2</v>
      </c>
      <c r="D19" s="84"/>
      <c r="F19" s="375">
        <v>15</v>
      </c>
      <c r="G19" s="376">
        <f>DATE(UNMM0131_H_YEAR,UNMM0131_B_MONTH_1,F19)</f>
        <v>15</v>
      </c>
      <c r="H19" s="375"/>
      <c r="I19" s="260"/>
      <c r="J19" s="375">
        <v>15</v>
      </c>
      <c r="K19" s="376">
        <f>DATE(UNMM0131_H_YEAR,UNMM0131_B_MONTH_2,J19)</f>
        <v>46</v>
      </c>
      <c r="L19" s="375"/>
      <c r="M19" s="260"/>
      <c r="N19" s="375">
        <v>15</v>
      </c>
      <c r="O19" s="376">
        <f>DATE(UNMM0131_H_YEAR,UNMM0131_B_MONTH_3,N19)</f>
        <v>75</v>
      </c>
      <c r="P19" s="375"/>
      <c r="Q19" s="260"/>
      <c r="R19" s="375">
        <v>15</v>
      </c>
      <c r="S19" s="376">
        <f>DATE(UNMM0131_H_YEAR,UNMM0131_B_MONTH_4,R19)</f>
        <v>106</v>
      </c>
      <c r="T19" s="375"/>
      <c r="U19" s="260"/>
      <c r="V19" s="375">
        <v>15</v>
      </c>
      <c r="W19" s="376">
        <f>DATE(UNMM0131_H_YEAR,UNMM0131_B_MONTH_5,V19)</f>
        <v>136</v>
      </c>
      <c r="X19" s="375"/>
      <c r="Y19" s="260"/>
      <c r="Z19" s="375">
        <v>15</v>
      </c>
      <c r="AA19" s="376">
        <f>DATE(UNMM0131_H_YEAR,UNMM0131_B_MONTH_6,Z19)</f>
        <v>167</v>
      </c>
      <c r="AB19" s="375"/>
      <c r="AC19" s="260"/>
      <c r="AD19" s="375">
        <v>15</v>
      </c>
      <c r="AE19" s="376">
        <f>DATE(UNMM0131_H_YEAR,UNMM0131_B_MONTH_7,AD19)</f>
        <v>197</v>
      </c>
      <c r="AF19" s="375"/>
      <c r="AG19" s="260"/>
      <c r="AH19" s="375">
        <v>15</v>
      </c>
      <c r="AI19" s="376">
        <f>DATE(UNMM0131_H_YEAR,UNMM0131_B_MONTH_8,AH19)</f>
        <v>228</v>
      </c>
      <c r="AJ19" s="375"/>
      <c r="AK19" s="260"/>
      <c r="AL19" s="375">
        <v>15</v>
      </c>
      <c r="AM19" s="376">
        <f>DATE(UNMM0131_H_YEAR,UNMM0131_B_MONTH_9,AL19)</f>
        <v>259</v>
      </c>
      <c r="AN19" s="375"/>
      <c r="AO19" s="260"/>
      <c r="AP19" s="375">
        <v>15</v>
      </c>
      <c r="AQ19" s="376">
        <f>DATE(UNMM0131_H_YEAR,UNMM0131_B_MONTH_10,AP19)</f>
        <v>289</v>
      </c>
      <c r="AR19" s="375"/>
      <c r="AS19" s="260"/>
      <c r="AT19" s="375">
        <v>15</v>
      </c>
      <c r="AU19" s="376">
        <f>DATE(UNMM0131_H_YEAR,UNMM0131_B_MONTH_11,AT19)</f>
        <v>320</v>
      </c>
      <c r="AV19" s="375"/>
      <c r="AW19" s="260"/>
      <c r="AX19" s="375">
        <v>15</v>
      </c>
      <c r="AY19" s="376">
        <f>DATE(UNMM0131_H_YEAR,UNMM0131_B_MONTH_12,AX19)</f>
        <v>350</v>
      </c>
      <c r="AZ19" s="375"/>
    </row>
    <row r="20" spans="1:52" s="83" customFormat="1">
      <c r="A20" s="84"/>
      <c r="B20" s="84"/>
      <c r="C20" s="84"/>
      <c r="D20" s="84"/>
      <c r="F20" s="375">
        <v>16</v>
      </c>
      <c r="G20" s="376">
        <f>DATE(UNMM0131_H_YEAR,UNMM0131_B_MONTH_1,F20)</f>
        <v>16</v>
      </c>
      <c r="H20" s="375"/>
      <c r="I20" s="260"/>
      <c r="J20" s="375">
        <v>16</v>
      </c>
      <c r="K20" s="376">
        <f>DATE(UNMM0131_H_YEAR,UNMM0131_B_MONTH_2,J20)</f>
        <v>47</v>
      </c>
      <c r="L20" s="375"/>
      <c r="M20" s="260"/>
      <c r="N20" s="375">
        <v>16</v>
      </c>
      <c r="O20" s="376">
        <f>DATE(UNMM0131_H_YEAR,UNMM0131_B_MONTH_3,N20)</f>
        <v>76</v>
      </c>
      <c r="P20" s="375"/>
      <c r="Q20" s="260"/>
      <c r="R20" s="375">
        <v>16</v>
      </c>
      <c r="S20" s="376">
        <f>DATE(UNMM0131_H_YEAR,UNMM0131_B_MONTH_4,R20)</f>
        <v>107</v>
      </c>
      <c r="T20" s="375"/>
      <c r="U20" s="260"/>
      <c r="V20" s="375">
        <v>16</v>
      </c>
      <c r="W20" s="376">
        <f>DATE(UNMM0131_H_YEAR,UNMM0131_B_MONTH_5,V20)</f>
        <v>137</v>
      </c>
      <c r="X20" s="375"/>
      <c r="Y20" s="260"/>
      <c r="Z20" s="375">
        <v>16</v>
      </c>
      <c r="AA20" s="376">
        <f>DATE(UNMM0131_H_YEAR,UNMM0131_B_MONTH_6,Z20)</f>
        <v>168</v>
      </c>
      <c r="AB20" s="375"/>
      <c r="AC20" s="260"/>
      <c r="AD20" s="375">
        <v>16</v>
      </c>
      <c r="AE20" s="376">
        <f>DATE(UNMM0131_H_YEAR,UNMM0131_B_MONTH_7,AD20)</f>
        <v>198</v>
      </c>
      <c r="AF20" s="375"/>
      <c r="AG20" s="260"/>
      <c r="AH20" s="375">
        <v>16</v>
      </c>
      <c r="AI20" s="376">
        <f>DATE(UNMM0131_H_YEAR,UNMM0131_B_MONTH_8,AH20)</f>
        <v>229</v>
      </c>
      <c r="AJ20" s="375"/>
      <c r="AK20" s="260"/>
      <c r="AL20" s="375">
        <v>16</v>
      </c>
      <c r="AM20" s="376">
        <f>DATE(UNMM0131_H_YEAR,UNMM0131_B_MONTH_9,AL20)</f>
        <v>260</v>
      </c>
      <c r="AN20" s="375"/>
      <c r="AO20" s="260"/>
      <c r="AP20" s="375">
        <v>16</v>
      </c>
      <c r="AQ20" s="376">
        <f>DATE(UNMM0131_H_YEAR,UNMM0131_B_MONTH_10,AP20)</f>
        <v>290</v>
      </c>
      <c r="AR20" s="375"/>
      <c r="AS20" s="260"/>
      <c r="AT20" s="375">
        <v>16</v>
      </c>
      <c r="AU20" s="376">
        <f>DATE(UNMM0131_H_YEAR,UNMM0131_B_MONTH_11,AT20)</f>
        <v>321</v>
      </c>
      <c r="AV20" s="375"/>
      <c r="AW20" s="260"/>
      <c r="AX20" s="375">
        <v>16</v>
      </c>
      <c r="AY20" s="376">
        <f>DATE(UNMM0131_H_YEAR,UNMM0131_B_MONTH_12,AX20)</f>
        <v>351</v>
      </c>
      <c r="AZ20" s="375"/>
    </row>
    <row r="21" spans="1:52" s="83" customFormat="1" ht="18.75">
      <c r="A21" s="84" t="s">
        <v>1896</v>
      </c>
      <c r="B21" s="456" t="s">
        <v>1897</v>
      </c>
      <c r="C21" s="88" t="s">
        <v>1898</v>
      </c>
      <c r="D21" s="456" t="s">
        <v>1899</v>
      </c>
      <c r="F21" s="375">
        <v>17</v>
      </c>
      <c r="G21" s="376">
        <f>DATE(UNMM0131_H_YEAR,UNMM0131_B_MONTH_1,F21)</f>
        <v>17</v>
      </c>
      <c r="H21" s="375"/>
      <c r="I21" s="260"/>
      <c r="J21" s="375">
        <v>17</v>
      </c>
      <c r="K21" s="376">
        <f>DATE(UNMM0131_H_YEAR,UNMM0131_B_MONTH_2,J21)</f>
        <v>48</v>
      </c>
      <c r="L21" s="375"/>
      <c r="M21" s="260"/>
      <c r="N21" s="375">
        <v>17</v>
      </c>
      <c r="O21" s="376">
        <f>DATE(UNMM0131_H_YEAR,UNMM0131_B_MONTH_3,N21)</f>
        <v>77</v>
      </c>
      <c r="P21" s="375"/>
      <c r="Q21" s="260"/>
      <c r="R21" s="375">
        <v>17</v>
      </c>
      <c r="S21" s="376">
        <f>DATE(UNMM0131_H_YEAR,UNMM0131_B_MONTH_4,R21)</f>
        <v>108</v>
      </c>
      <c r="T21" s="375"/>
      <c r="U21" s="260"/>
      <c r="V21" s="375">
        <v>17</v>
      </c>
      <c r="W21" s="376">
        <f>DATE(UNMM0131_H_YEAR,UNMM0131_B_MONTH_5,V21)</f>
        <v>138</v>
      </c>
      <c r="X21" s="375"/>
      <c r="Y21" s="260"/>
      <c r="Z21" s="375">
        <v>17</v>
      </c>
      <c r="AA21" s="376">
        <f>DATE(UNMM0131_H_YEAR,UNMM0131_B_MONTH_6,Z21)</f>
        <v>169</v>
      </c>
      <c r="AB21" s="375"/>
      <c r="AC21" s="260"/>
      <c r="AD21" s="375">
        <v>17</v>
      </c>
      <c r="AE21" s="376">
        <f>DATE(UNMM0131_H_YEAR,UNMM0131_B_MONTH_7,AD21)</f>
        <v>199</v>
      </c>
      <c r="AF21" s="375"/>
      <c r="AG21" s="260"/>
      <c r="AH21" s="375">
        <v>17</v>
      </c>
      <c r="AI21" s="376">
        <f>DATE(UNMM0131_H_YEAR,UNMM0131_B_MONTH_8,AH21)</f>
        <v>230</v>
      </c>
      <c r="AJ21" s="375"/>
      <c r="AK21" s="260"/>
      <c r="AL21" s="375">
        <v>17</v>
      </c>
      <c r="AM21" s="376">
        <f>DATE(UNMM0131_H_YEAR,UNMM0131_B_MONTH_9,AL21)</f>
        <v>261</v>
      </c>
      <c r="AN21" s="375"/>
      <c r="AO21" s="260"/>
      <c r="AP21" s="375">
        <v>17</v>
      </c>
      <c r="AQ21" s="376">
        <f>DATE(UNMM0131_H_YEAR,UNMM0131_B_MONTH_10,AP21)</f>
        <v>291</v>
      </c>
      <c r="AR21" s="375"/>
      <c r="AS21" s="260"/>
      <c r="AT21" s="375">
        <v>17</v>
      </c>
      <c r="AU21" s="376">
        <f>DATE(UNMM0131_H_YEAR,UNMM0131_B_MONTH_11,AT21)</f>
        <v>322</v>
      </c>
      <c r="AV21" s="375"/>
      <c r="AW21" s="260"/>
      <c r="AX21" s="375">
        <v>17</v>
      </c>
      <c r="AY21" s="376">
        <f>DATE(UNMM0131_H_YEAR,UNMM0131_B_MONTH_12,AX21)</f>
        <v>352</v>
      </c>
      <c r="AZ21" s="375"/>
    </row>
    <row r="22" spans="1:52" s="83" customFormat="1">
      <c r="A22" s="84"/>
      <c r="B22" s="84"/>
      <c r="C22" s="84"/>
      <c r="D22" s="88"/>
      <c r="F22" s="375">
        <v>18</v>
      </c>
      <c r="G22" s="376">
        <f>DATE(UNMM0131_H_YEAR,UNMM0131_B_MONTH_1,F22)</f>
        <v>18</v>
      </c>
      <c r="H22" s="375"/>
      <c r="I22" s="260"/>
      <c r="J22" s="375">
        <v>18</v>
      </c>
      <c r="K22" s="376">
        <f>DATE(UNMM0131_H_YEAR,UNMM0131_B_MONTH_2,J22)</f>
        <v>49</v>
      </c>
      <c r="L22" s="375"/>
      <c r="M22" s="260"/>
      <c r="N22" s="375">
        <v>18</v>
      </c>
      <c r="O22" s="376">
        <f>DATE(UNMM0131_H_YEAR,UNMM0131_B_MONTH_3,N22)</f>
        <v>78</v>
      </c>
      <c r="P22" s="375"/>
      <c r="Q22" s="260"/>
      <c r="R22" s="375">
        <v>18</v>
      </c>
      <c r="S22" s="376">
        <f>DATE(UNMM0131_H_YEAR,UNMM0131_B_MONTH_4,R22)</f>
        <v>109</v>
      </c>
      <c r="T22" s="375"/>
      <c r="U22" s="260"/>
      <c r="V22" s="375">
        <v>18</v>
      </c>
      <c r="W22" s="376">
        <f>DATE(UNMM0131_H_YEAR,UNMM0131_B_MONTH_5,V22)</f>
        <v>139</v>
      </c>
      <c r="X22" s="375"/>
      <c r="Y22" s="260"/>
      <c r="Z22" s="375">
        <v>18</v>
      </c>
      <c r="AA22" s="376">
        <f>DATE(UNMM0131_H_YEAR,UNMM0131_B_MONTH_6,Z22)</f>
        <v>170</v>
      </c>
      <c r="AB22" s="375"/>
      <c r="AC22" s="260"/>
      <c r="AD22" s="375">
        <v>18</v>
      </c>
      <c r="AE22" s="376">
        <f>DATE(UNMM0131_H_YEAR,UNMM0131_B_MONTH_7,AD22)</f>
        <v>200</v>
      </c>
      <c r="AF22" s="375"/>
      <c r="AG22" s="260"/>
      <c r="AH22" s="375">
        <v>18</v>
      </c>
      <c r="AI22" s="376">
        <f>DATE(UNMM0131_H_YEAR,UNMM0131_B_MONTH_8,AH22)</f>
        <v>231</v>
      </c>
      <c r="AJ22" s="375"/>
      <c r="AK22" s="260"/>
      <c r="AL22" s="375">
        <v>18</v>
      </c>
      <c r="AM22" s="376">
        <f>DATE(UNMM0131_H_YEAR,UNMM0131_B_MONTH_9,AL22)</f>
        <v>262</v>
      </c>
      <c r="AN22" s="375"/>
      <c r="AO22" s="260"/>
      <c r="AP22" s="375">
        <v>18</v>
      </c>
      <c r="AQ22" s="376">
        <f>DATE(UNMM0131_H_YEAR,UNMM0131_B_MONTH_10,AP22)</f>
        <v>292</v>
      </c>
      <c r="AR22" s="375"/>
      <c r="AS22" s="260"/>
      <c r="AT22" s="375">
        <v>18</v>
      </c>
      <c r="AU22" s="376">
        <f>DATE(UNMM0131_H_YEAR,UNMM0131_B_MONTH_11,AT22)</f>
        <v>323</v>
      </c>
      <c r="AV22" s="375"/>
      <c r="AW22" s="260"/>
      <c r="AX22" s="375">
        <v>18</v>
      </c>
      <c r="AY22" s="376">
        <f>DATE(UNMM0131_H_YEAR,UNMM0131_B_MONTH_12,AX22)</f>
        <v>353</v>
      </c>
      <c r="AZ22" s="375"/>
    </row>
    <row r="23" spans="1:52" s="83" customFormat="1">
      <c r="A23" s="84"/>
      <c r="B23" s="84"/>
      <c r="C23" s="84"/>
      <c r="D23" s="84"/>
      <c r="F23" s="375">
        <v>19</v>
      </c>
      <c r="G23" s="376">
        <f>DATE(UNMM0131_H_YEAR,UNMM0131_B_MONTH_1,F23)</f>
        <v>19</v>
      </c>
      <c r="H23" s="375"/>
      <c r="I23" s="260"/>
      <c r="J23" s="375">
        <v>19</v>
      </c>
      <c r="K23" s="376">
        <f>DATE(UNMM0131_H_YEAR,UNMM0131_B_MONTH_2,J23)</f>
        <v>50</v>
      </c>
      <c r="L23" s="375"/>
      <c r="M23" s="260"/>
      <c r="N23" s="375">
        <v>19</v>
      </c>
      <c r="O23" s="376">
        <f>DATE(UNMM0131_H_YEAR,UNMM0131_B_MONTH_3,N23)</f>
        <v>79</v>
      </c>
      <c r="P23" s="375"/>
      <c r="Q23" s="260"/>
      <c r="R23" s="375">
        <v>19</v>
      </c>
      <c r="S23" s="376">
        <f>DATE(UNMM0131_H_YEAR,UNMM0131_B_MONTH_4,R23)</f>
        <v>110</v>
      </c>
      <c r="T23" s="375"/>
      <c r="U23" s="260"/>
      <c r="V23" s="375">
        <v>19</v>
      </c>
      <c r="W23" s="376">
        <f>DATE(UNMM0131_H_YEAR,UNMM0131_B_MONTH_5,V23)</f>
        <v>140</v>
      </c>
      <c r="X23" s="375"/>
      <c r="Y23" s="260"/>
      <c r="Z23" s="375">
        <v>19</v>
      </c>
      <c r="AA23" s="376">
        <f>DATE(UNMM0131_H_YEAR,UNMM0131_B_MONTH_6,Z23)</f>
        <v>171</v>
      </c>
      <c r="AB23" s="375"/>
      <c r="AC23" s="260"/>
      <c r="AD23" s="375">
        <v>19</v>
      </c>
      <c r="AE23" s="376">
        <f>DATE(UNMM0131_H_YEAR,UNMM0131_B_MONTH_7,AD23)</f>
        <v>201</v>
      </c>
      <c r="AF23" s="375"/>
      <c r="AG23" s="260"/>
      <c r="AH23" s="375">
        <v>19</v>
      </c>
      <c r="AI23" s="376">
        <f>DATE(UNMM0131_H_YEAR,UNMM0131_B_MONTH_8,AH23)</f>
        <v>232</v>
      </c>
      <c r="AJ23" s="375"/>
      <c r="AK23" s="260"/>
      <c r="AL23" s="375">
        <v>19</v>
      </c>
      <c r="AM23" s="376">
        <f>DATE(UNMM0131_H_YEAR,UNMM0131_B_MONTH_9,AL23)</f>
        <v>263</v>
      </c>
      <c r="AN23" s="375"/>
      <c r="AO23" s="260"/>
      <c r="AP23" s="375">
        <v>19</v>
      </c>
      <c r="AQ23" s="376">
        <f>DATE(UNMM0131_H_YEAR,UNMM0131_B_MONTH_10,AP23)</f>
        <v>293</v>
      </c>
      <c r="AR23" s="375"/>
      <c r="AS23" s="260"/>
      <c r="AT23" s="375">
        <v>19</v>
      </c>
      <c r="AU23" s="376">
        <f>DATE(UNMM0131_H_YEAR,UNMM0131_B_MONTH_11,AT23)</f>
        <v>324</v>
      </c>
      <c r="AV23" s="375"/>
      <c r="AW23" s="260"/>
      <c r="AX23" s="375">
        <v>19</v>
      </c>
      <c r="AY23" s="376">
        <f>DATE(UNMM0131_H_YEAR,UNMM0131_B_MONTH_12,AX23)</f>
        <v>354</v>
      </c>
      <c r="AZ23" s="375"/>
    </row>
    <row r="24" spans="1:52" s="83" customFormat="1">
      <c r="A24" s="84"/>
      <c r="B24" s="84"/>
      <c r="C24" s="84"/>
      <c r="D24" s="84"/>
      <c r="F24" s="375">
        <v>20</v>
      </c>
      <c r="G24" s="376">
        <f>DATE(UNMM0131_H_YEAR,UNMM0131_B_MONTH_1,F24)</f>
        <v>20</v>
      </c>
      <c r="H24" s="375"/>
      <c r="I24" s="260"/>
      <c r="J24" s="375">
        <v>20</v>
      </c>
      <c r="K24" s="376">
        <f>DATE(UNMM0131_H_YEAR,UNMM0131_B_MONTH_2,J24)</f>
        <v>51</v>
      </c>
      <c r="L24" s="375"/>
      <c r="M24" s="260"/>
      <c r="N24" s="375">
        <v>20</v>
      </c>
      <c r="O24" s="376">
        <f>DATE(UNMM0131_H_YEAR,UNMM0131_B_MONTH_3,N24)</f>
        <v>80</v>
      </c>
      <c r="P24" s="375"/>
      <c r="Q24" s="260"/>
      <c r="R24" s="375">
        <v>20</v>
      </c>
      <c r="S24" s="376">
        <f>DATE(UNMM0131_H_YEAR,UNMM0131_B_MONTH_4,R24)</f>
        <v>111</v>
      </c>
      <c r="T24" s="375"/>
      <c r="U24" s="260"/>
      <c r="V24" s="375">
        <v>20</v>
      </c>
      <c r="W24" s="376">
        <f>DATE(UNMM0131_H_YEAR,UNMM0131_B_MONTH_5,V24)</f>
        <v>141</v>
      </c>
      <c r="X24" s="375"/>
      <c r="Y24" s="260"/>
      <c r="Z24" s="375">
        <v>20</v>
      </c>
      <c r="AA24" s="376">
        <f>DATE(UNMM0131_H_YEAR,UNMM0131_B_MONTH_6,Z24)</f>
        <v>172</v>
      </c>
      <c r="AB24" s="375"/>
      <c r="AC24" s="260"/>
      <c r="AD24" s="375">
        <v>20</v>
      </c>
      <c r="AE24" s="376">
        <f>DATE(UNMM0131_H_YEAR,UNMM0131_B_MONTH_7,AD24)</f>
        <v>202</v>
      </c>
      <c r="AF24" s="375"/>
      <c r="AG24" s="260"/>
      <c r="AH24" s="375">
        <v>20</v>
      </c>
      <c r="AI24" s="376">
        <f>DATE(UNMM0131_H_YEAR,UNMM0131_B_MONTH_8,AH24)</f>
        <v>233</v>
      </c>
      <c r="AJ24" s="375"/>
      <c r="AK24" s="260"/>
      <c r="AL24" s="375">
        <v>20</v>
      </c>
      <c r="AM24" s="376">
        <f>DATE(UNMM0131_H_YEAR,UNMM0131_B_MONTH_9,AL24)</f>
        <v>264</v>
      </c>
      <c r="AN24" s="375"/>
      <c r="AO24" s="260"/>
      <c r="AP24" s="375">
        <v>20</v>
      </c>
      <c r="AQ24" s="376">
        <f>DATE(UNMM0131_H_YEAR,UNMM0131_B_MONTH_10,AP24)</f>
        <v>294</v>
      </c>
      <c r="AR24" s="375"/>
      <c r="AS24" s="260"/>
      <c r="AT24" s="375">
        <v>20</v>
      </c>
      <c r="AU24" s="376">
        <f>DATE(UNMM0131_H_YEAR,UNMM0131_B_MONTH_11,AT24)</f>
        <v>325</v>
      </c>
      <c r="AV24" s="375"/>
      <c r="AW24" s="260"/>
      <c r="AX24" s="375">
        <v>20</v>
      </c>
      <c r="AY24" s="376">
        <f>DATE(UNMM0131_H_YEAR,UNMM0131_B_MONTH_12,AX24)</f>
        <v>355</v>
      </c>
      <c r="AZ24" s="375"/>
    </row>
    <row r="25" spans="1:52" s="83" customFormat="1">
      <c r="A25" s="84"/>
      <c r="B25" s="84"/>
      <c r="C25" s="84"/>
      <c r="D25" s="84"/>
      <c r="F25" s="375">
        <v>21</v>
      </c>
      <c r="G25" s="376">
        <f>DATE(UNMM0131_H_YEAR,UNMM0131_B_MONTH_1,F25)</f>
        <v>21</v>
      </c>
      <c r="H25" s="375"/>
      <c r="I25" s="260"/>
      <c r="J25" s="375">
        <v>21</v>
      </c>
      <c r="K25" s="376">
        <f>DATE(UNMM0131_H_YEAR,UNMM0131_B_MONTH_2,J25)</f>
        <v>52</v>
      </c>
      <c r="L25" s="375"/>
      <c r="M25" s="260"/>
      <c r="N25" s="375">
        <v>21</v>
      </c>
      <c r="O25" s="376">
        <f>DATE(UNMM0131_H_YEAR,UNMM0131_B_MONTH_3,N25)</f>
        <v>81</v>
      </c>
      <c r="P25" s="375"/>
      <c r="Q25" s="260"/>
      <c r="R25" s="375">
        <v>21</v>
      </c>
      <c r="S25" s="376">
        <f>DATE(UNMM0131_H_YEAR,UNMM0131_B_MONTH_4,R25)</f>
        <v>112</v>
      </c>
      <c r="T25" s="375"/>
      <c r="U25" s="260"/>
      <c r="V25" s="375">
        <v>21</v>
      </c>
      <c r="W25" s="376">
        <f>DATE(UNMM0131_H_YEAR,UNMM0131_B_MONTH_5,V25)</f>
        <v>142</v>
      </c>
      <c r="X25" s="375"/>
      <c r="Y25" s="260"/>
      <c r="Z25" s="375">
        <v>21</v>
      </c>
      <c r="AA25" s="376">
        <f>DATE(UNMM0131_H_YEAR,UNMM0131_B_MONTH_6,Z25)</f>
        <v>173</v>
      </c>
      <c r="AB25" s="375"/>
      <c r="AC25" s="260"/>
      <c r="AD25" s="375">
        <v>21</v>
      </c>
      <c r="AE25" s="376">
        <f>DATE(UNMM0131_H_YEAR,UNMM0131_B_MONTH_7,AD25)</f>
        <v>203</v>
      </c>
      <c r="AF25" s="375"/>
      <c r="AG25" s="260"/>
      <c r="AH25" s="375">
        <v>21</v>
      </c>
      <c r="AI25" s="376">
        <f>DATE(UNMM0131_H_YEAR,UNMM0131_B_MONTH_8,AH25)</f>
        <v>234</v>
      </c>
      <c r="AJ25" s="375"/>
      <c r="AK25" s="260"/>
      <c r="AL25" s="375">
        <v>21</v>
      </c>
      <c r="AM25" s="376">
        <f>DATE(UNMM0131_H_YEAR,UNMM0131_B_MONTH_9,AL25)</f>
        <v>265</v>
      </c>
      <c r="AN25" s="375"/>
      <c r="AO25" s="260"/>
      <c r="AP25" s="375">
        <v>21</v>
      </c>
      <c r="AQ25" s="376">
        <f>DATE(UNMM0131_H_YEAR,UNMM0131_B_MONTH_10,AP25)</f>
        <v>295</v>
      </c>
      <c r="AR25" s="375"/>
      <c r="AS25" s="260"/>
      <c r="AT25" s="375">
        <v>21</v>
      </c>
      <c r="AU25" s="376">
        <f>DATE(UNMM0131_H_YEAR,UNMM0131_B_MONTH_11,AT25)</f>
        <v>326</v>
      </c>
      <c r="AV25" s="375"/>
      <c r="AW25" s="260"/>
      <c r="AX25" s="375">
        <v>21</v>
      </c>
      <c r="AY25" s="376">
        <f>DATE(UNMM0131_H_YEAR,UNMM0131_B_MONTH_12,AX25)</f>
        <v>356</v>
      </c>
      <c r="AZ25" s="375"/>
    </row>
    <row r="26" spans="1:52" s="83" customFormat="1">
      <c r="A26" s="84"/>
      <c r="B26" s="84"/>
      <c r="C26" s="84"/>
      <c r="D26" s="84"/>
      <c r="F26" s="375">
        <v>22</v>
      </c>
      <c r="G26" s="376">
        <f>DATE(UNMM0131_H_YEAR,UNMM0131_B_MONTH_1,F26)</f>
        <v>22</v>
      </c>
      <c r="H26" s="375"/>
      <c r="I26" s="260"/>
      <c r="J26" s="375">
        <v>22</v>
      </c>
      <c r="K26" s="376">
        <f>DATE(UNMM0131_H_YEAR,UNMM0131_B_MONTH_2,J26)</f>
        <v>53</v>
      </c>
      <c r="L26" s="375"/>
      <c r="M26" s="260"/>
      <c r="N26" s="375">
        <v>22</v>
      </c>
      <c r="O26" s="376">
        <f>DATE(UNMM0131_H_YEAR,UNMM0131_B_MONTH_3,N26)</f>
        <v>82</v>
      </c>
      <c r="P26" s="375"/>
      <c r="Q26" s="260"/>
      <c r="R26" s="375">
        <v>22</v>
      </c>
      <c r="S26" s="376">
        <f>DATE(UNMM0131_H_YEAR,UNMM0131_B_MONTH_4,R26)</f>
        <v>113</v>
      </c>
      <c r="T26" s="375"/>
      <c r="U26" s="260"/>
      <c r="V26" s="375">
        <v>22</v>
      </c>
      <c r="W26" s="376">
        <f>DATE(UNMM0131_H_YEAR,UNMM0131_B_MONTH_5,V26)</f>
        <v>143</v>
      </c>
      <c r="X26" s="375"/>
      <c r="Y26" s="260"/>
      <c r="Z26" s="375">
        <v>22</v>
      </c>
      <c r="AA26" s="376">
        <f>DATE(UNMM0131_H_YEAR,UNMM0131_B_MONTH_6,Z26)</f>
        <v>174</v>
      </c>
      <c r="AB26" s="375"/>
      <c r="AC26" s="260"/>
      <c r="AD26" s="375">
        <v>22</v>
      </c>
      <c r="AE26" s="376">
        <f>DATE(UNMM0131_H_YEAR,UNMM0131_B_MONTH_7,AD26)</f>
        <v>204</v>
      </c>
      <c r="AF26" s="375"/>
      <c r="AG26" s="260"/>
      <c r="AH26" s="375">
        <v>22</v>
      </c>
      <c r="AI26" s="376">
        <f>DATE(UNMM0131_H_YEAR,UNMM0131_B_MONTH_8,AH26)</f>
        <v>235</v>
      </c>
      <c r="AJ26" s="375"/>
      <c r="AK26" s="260"/>
      <c r="AL26" s="375">
        <v>22</v>
      </c>
      <c r="AM26" s="376">
        <f>DATE(UNMM0131_H_YEAR,UNMM0131_B_MONTH_9,AL26)</f>
        <v>266</v>
      </c>
      <c r="AN26" s="375"/>
      <c r="AO26" s="260"/>
      <c r="AP26" s="375">
        <v>22</v>
      </c>
      <c r="AQ26" s="376">
        <f>DATE(UNMM0131_H_YEAR,UNMM0131_B_MONTH_10,AP26)</f>
        <v>296</v>
      </c>
      <c r="AR26" s="375"/>
      <c r="AS26" s="260"/>
      <c r="AT26" s="375">
        <v>22</v>
      </c>
      <c r="AU26" s="376">
        <f>DATE(UNMM0131_H_YEAR,UNMM0131_B_MONTH_11,AT26)</f>
        <v>327</v>
      </c>
      <c r="AV26" s="375"/>
      <c r="AW26" s="260"/>
      <c r="AX26" s="375">
        <v>22</v>
      </c>
      <c r="AY26" s="376">
        <f>DATE(UNMM0131_H_YEAR,UNMM0131_B_MONTH_12,AX26)</f>
        <v>357</v>
      </c>
      <c r="AZ26" s="375"/>
    </row>
    <row r="27" spans="1:52" s="83" customFormat="1">
      <c r="A27" s="84"/>
      <c r="B27" s="84"/>
      <c r="C27" s="84"/>
      <c r="D27" s="84"/>
      <c r="F27" s="375">
        <v>23</v>
      </c>
      <c r="G27" s="376">
        <f>DATE(UNMM0131_H_YEAR,UNMM0131_B_MONTH_1,F27)</f>
        <v>23</v>
      </c>
      <c r="H27" s="375"/>
      <c r="I27" s="260"/>
      <c r="J27" s="375">
        <v>23</v>
      </c>
      <c r="K27" s="376">
        <f>DATE(UNMM0131_H_YEAR,UNMM0131_B_MONTH_2,J27)</f>
        <v>54</v>
      </c>
      <c r="L27" s="375"/>
      <c r="M27" s="260"/>
      <c r="N27" s="375">
        <v>23</v>
      </c>
      <c r="O27" s="376">
        <f>DATE(UNMM0131_H_YEAR,UNMM0131_B_MONTH_3,N27)</f>
        <v>83</v>
      </c>
      <c r="P27" s="375"/>
      <c r="Q27" s="260"/>
      <c r="R27" s="375">
        <v>23</v>
      </c>
      <c r="S27" s="376">
        <f>DATE(UNMM0131_H_YEAR,UNMM0131_B_MONTH_4,R27)</f>
        <v>114</v>
      </c>
      <c r="T27" s="375"/>
      <c r="U27" s="260"/>
      <c r="V27" s="375">
        <v>23</v>
      </c>
      <c r="W27" s="376">
        <f>DATE(UNMM0131_H_YEAR,UNMM0131_B_MONTH_5,V27)</f>
        <v>144</v>
      </c>
      <c r="X27" s="375"/>
      <c r="Y27" s="260"/>
      <c r="Z27" s="375">
        <v>23</v>
      </c>
      <c r="AA27" s="376">
        <f>DATE(UNMM0131_H_YEAR,UNMM0131_B_MONTH_6,Z27)</f>
        <v>175</v>
      </c>
      <c r="AB27" s="375"/>
      <c r="AC27" s="260"/>
      <c r="AD27" s="375">
        <v>23</v>
      </c>
      <c r="AE27" s="376">
        <f>DATE(UNMM0131_H_YEAR,UNMM0131_B_MONTH_7,AD27)</f>
        <v>205</v>
      </c>
      <c r="AF27" s="375"/>
      <c r="AG27" s="260"/>
      <c r="AH27" s="375">
        <v>23</v>
      </c>
      <c r="AI27" s="376">
        <f>DATE(UNMM0131_H_YEAR,UNMM0131_B_MONTH_8,AH27)</f>
        <v>236</v>
      </c>
      <c r="AJ27" s="375"/>
      <c r="AK27" s="260"/>
      <c r="AL27" s="375">
        <v>23</v>
      </c>
      <c r="AM27" s="376">
        <f>DATE(UNMM0131_H_YEAR,UNMM0131_B_MONTH_9,AL27)</f>
        <v>267</v>
      </c>
      <c r="AN27" s="375"/>
      <c r="AO27" s="260"/>
      <c r="AP27" s="375">
        <v>23</v>
      </c>
      <c r="AQ27" s="376">
        <f>DATE(UNMM0131_H_YEAR,UNMM0131_B_MONTH_10,AP27)</f>
        <v>297</v>
      </c>
      <c r="AR27" s="375"/>
      <c r="AS27" s="260"/>
      <c r="AT27" s="375">
        <v>23</v>
      </c>
      <c r="AU27" s="376">
        <f>DATE(UNMM0131_H_YEAR,UNMM0131_B_MONTH_11,AT27)</f>
        <v>328</v>
      </c>
      <c r="AV27" s="375"/>
      <c r="AW27" s="260"/>
      <c r="AX27" s="375">
        <v>23</v>
      </c>
      <c r="AY27" s="376">
        <f>DATE(UNMM0131_H_YEAR,UNMM0131_B_MONTH_12,AX27)</f>
        <v>358</v>
      </c>
      <c r="AZ27" s="375"/>
    </row>
    <row r="28" spans="1:52" s="83" customFormat="1">
      <c r="A28" s="84"/>
      <c r="B28" s="84"/>
      <c r="C28" s="84"/>
      <c r="D28" s="84"/>
      <c r="F28" s="375">
        <v>24</v>
      </c>
      <c r="G28" s="376">
        <f>DATE(UNMM0131_H_YEAR,UNMM0131_B_MONTH_1,F28)</f>
        <v>24</v>
      </c>
      <c r="H28" s="375"/>
      <c r="I28" s="260"/>
      <c r="J28" s="375">
        <v>24</v>
      </c>
      <c r="K28" s="376">
        <f>DATE(UNMM0131_H_YEAR,UNMM0131_B_MONTH_2,J28)</f>
        <v>55</v>
      </c>
      <c r="L28" s="375"/>
      <c r="M28" s="260"/>
      <c r="N28" s="375">
        <v>24</v>
      </c>
      <c r="O28" s="376">
        <f>DATE(UNMM0131_H_YEAR,UNMM0131_B_MONTH_3,N28)</f>
        <v>84</v>
      </c>
      <c r="P28" s="375"/>
      <c r="Q28" s="260"/>
      <c r="R28" s="375">
        <v>24</v>
      </c>
      <c r="S28" s="376">
        <f>DATE(UNMM0131_H_YEAR,UNMM0131_B_MONTH_4,R28)</f>
        <v>115</v>
      </c>
      <c r="T28" s="375"/>
      <c r="U28" s="260"/>
      <c r="V28" s="375">
        <v>24</v>
      </c>
      <c r="W28" s="376">
        <f>DATE(UNMM0131_H_YEAR,UNMM0131_B_MONTH_5,V28)</f>
        <v>145</v>
      </c>
      <c r="X28" s="375"/>
      <c r="Y28" s="260"/>
      <c r="Z28" s="375">
        <v>24</v>
      </c>
      <c r="AA28" s="376">
        <f>DATE(UNMM0131_H_YEAR,UNMM0131_B_MONTH_6,Z28)</f>
        <v>176</v>
      </c>
      <c r="AB28" s="375"/>
      <c r="AC28" s="260"/>
      <c r="AD28" s="375">
        <v>24</v>
      </c>
      <c r="AE28" s="376">
        <f>DATE(UNMM0131_H_YEAR,UNMM0131_B_MONTH_7,AD28)</f>
        <v>206</v>
      </c>
      <c r="AF28" s="375"/>
      <c r="AG28" s="260"/>
      <c r="AH28" s="375">
        <v>24</v>
      </c>
      <c r="AI28" s="376">
        <f>DATE(UNMM0131_H_YEAR,UNMM0131_B_MONTH_8,AH28)</f>
        <v>237</v>
      </c>
      <c r="AJ28" s="375"/>
      <c r="AK28" s="260"/>
      <c r="AL28" s="375">
        <v>24</v>
      </c>
      <c r="AM28" s="376">
        <f>DATE(UNMM0131_H_YEAR,UNMM0131_B_MONTH_9,AL28)</f>
        <v>268</v>
      </c>
      <c r="AN28" s="375"/>
      <c r="AO28" s="260"/>
      <c r="AP28" s="375">
        <v>24</v>
      </c>
      <c r="AQ28" s="376">
        <f>DATE(UNMM0131_H_YEAR,UNMM0131_B_MONTH_10,AP28)</f>
        <v>298</v>
      </c>
      <c r="AR28" s="375"/>
      <c r="AS28" s="260"/>
      <c r="AT28" s="375">
        <v>24</v>
      </c>
      <c r="AU28" s="376">
        <f>DATE(UNMM0131_H_YEAR,UNMM0131_B_MONTH_11,AT28)</f>
        <v>329</v>
      </c>
      <c r="AV28" s="375"/>
      <c r="AW28" s="260"/>
      <c r="AX28" s="375">
        <v>24</v>
      </c>
      <c r="AY28" s="376">
        <f>DATE(UNMM0131_H_YEAR,UNMM0131_B_MONTH_12,AX28)</f>
        <v>359</v>
      </c>
      <c r="AZ28" s="375"/>
    </row>
    <row r="29" spans="1:52" s="83" customFormat="1">
      <c r="A29" s="84"/>
      <c r="B29" s="84"/>
      <c r="C29" s="84"/>
      <c r="D29" s="84"/>
      <c r="F29" s="375">
        <v>25</v>
      </c>
      <c r="G29" s="376">
        <f>DATE(UNMM0131_H_YEAR,UNMM0131_B_MONTH_1,F29)</f>
        <v>25</v>
      </c>
      <c r="H29" s="375"/>
      <c r="I29" s="260"/>
      <c r="J29" s="375">
        <v>25</v>
      </c>
      <c r="K29" s="376">
        <f>DATE(UNMM0131_H_YEAR,UNMM0131_B_MONTH_2,J29)</f>
        <v>56</v>
      </c>
      <c r="L29" s="375"/>
      <c r="M29" s="260"/>
      <c r="N29" s="375">
        <v>25</v>
      </c>
      <c r="O29" s="376">
        <f>DATE(UNMM0131_H_YEAR,UNMM0131_B_MONTH_3,N29)</f>
        <v>85</v>
      </c>
      <c r="P29" s="375"/>
      <c r="Q29" s="260"/>
      <c r="R29" s="375">
        <v>25</v>
      </c>
      <c r="S29" s="376">
        <f>DATE(UNMM0131_H_YEAR,UNMM0131_B_MONTH_4,R29)</f>
        <v>116</v>
      </c>
      <c r="T29" s="375"/>
      <c r="U29" s="260"/>
      <c r="V29" s="375">
        <v>25</v>
      </c>
      <c r="W29" s="376">
        <f>DATE(UNMM0131_H_YEAR,UNMM0131_B_MONTH_5,V29)</f>
        <v>146</v>
      </c>
      <c r="X29" s="375"/>
      <c r="Y29" s="260"/>
      <c r="Z29" s="375">
        <v>25</v>
      </c>
      <c r="AA29" s="376">
        <f>DATE(UNMM0131_H_YEAR,UNMM0131_B_MONTH_6,Z29)</f>
        <v>177</v>
      </c>
      <c r="AB29" s="375"/>
      <c r="AC29" s="260"/>
      <c r="AD29" s="375">
        <v>25</v>
      </c>
      <c r="AE29" s="376">
        <f>DATE(UNMM0131_H_YEAR,UNMM0131_B_MONTH_7,AD29)</f>
        <v>207</v>
      </c>
      <c r="AF29" s="375"/>
      <c r="AG29" s="260"/>
      <c r="AH29" s="375">
        <v>25</v>
      </c>
      <c r="AI29" s="376">
        <f>DATE(UNMM0131_H_YEAR,UNMM0131_B_MONTH_8,AH29)</f>
        <v>238</v>
      </c>
      <c r="AJ29" s="375"/>
      <c r="AK29" s="260"/>
      <c r="AL29" s="375">
        <v>25</v>
      </c>
      <c r="AM29" s="376">
        <f>DATE(UNMM0131_H_YEAR,UNMM0131_B_MONTH_9,AL29)</f>
        <v>269</v>
      </c>
      <c r="AN29" s="375"/>
      <c r="AO29" s="260"/>
      <c r="AP29" s="375">
        <v>25</v>
      </c>
      <c r="AQ29" s="376">
        <f>DATE(UNMM0131_H_YEAR,UNMM0131_B_MONTH_10,AP29)</f>
        <v>299</v>
      </c>
      <c r="AR29" s="375"/>
      <c r="AS29" s="260"/>
      <c r="AT29" s="375">
        <v>25</v>
      </c>
      <c r="AU29" s="376">
        <f>DATE(UNMM0131_H_YEAR,UNMM0131_B_MONTH_11,AT29)</f>
        <v>330</v>
      </c>
      <c r="AV29" s="375"/>
      <c r="AW29" s="260"/>
      <c r="AX29" s="375">
        <v>25</v>
      </c>
      <c r="AY29" s="376">
        <f>DATE(UNMM0131_H_YEAR,UNMM0131_B_MONTH_12,AX29)</f>
        <v>360</v>
      </c>
      <c r="AZ29" s="375"/>
    </row>
    <row r="30" spans="1:52" s="83" customFormat="1">
      <c r="A30" s="84"/>
      <c r="B30" s="84"/>
      <c r="C30" s="84"/>
      <c r="D30" s="84"/>
      <c r="F30" s="375">
        <v>26</v>
      </c>
      <c r="G30" s="376">
        <f>DATE(UNMM0131_H_YEAR,UNMM0131_B_MONTH_1,F30)</f>
        <v>26</v>
      </c>
      <c r="H30" s="375"/>
      <c r="I30" s="260"/>
      <c r="J30" s="375">
        <v>26</v>
      </c>
      <c r="K30" s="376">
        <f>DATE(UNMM0131_H_YEAR,UNMM0131_B_MONTH_2,J30)</f>
        <v>57</v>
      </c>
      <c r="L30" s="375"/>
      <c r="M30" s="260"/>
      <c r="N30" s="375">
        <v>26</v>
      </c>
      <c r="O30" s="376">
        <f>DATE(UNMM0131_H_YEAR,UNMM0131_B_MONTH_3,N30)</f>
        <v>86</v>
      </c>
      <c r="P30" s="375"/>
      <c r="Q30" s="260"/>
      <c r="R30" s="375">
        <v>26</v>
      </c>
      <c r="S30" s="376">
        <f>DATE(UNMM0131_H_YEAR,UNMM0131_B_MONTH_4,R30)</f>
        <v>117</v>
      </c>
      <c r="T30" s="375"/>
      <c r="U30" s="260"/>
      <c r="V30" s="375">
        <v>26</v>
      </c>
      <c r="W30" s="376">
        <f>DATE(UNMM0131_H_YEAR,UNMM0131_B_MONTH_5,V30)</f>
        <v>147</v>
      </c>
      <c r="X30" s="375"/>
      <c r="Y30" s="260"/>
      <c r="Z30" s="375">
        <v>26</v>
      </c>
      <c r="AA30" s="376">
        <f>DATE(UNMM0131_H_YEAR,UNMM0131_B_MONTH_6,Z30)</f>
        <v>178</v>
      </c>
      <c r="AB30" s="375"/>
      <c r="AC30" s="260"/>
      <c r="AD30" s="375">
        <v>26</v>
      </c>
      <c r="AE30" s="376">
        <f>DATE(UNMM0131_H_YEAR,UNMM0131_B_MONTH_7,AD30)</f>
        <v>208</v>
      </c>
      <c r="AF30" s="375"/>
      <c r="AG30" s="260"/>
      <c r="AH30" s="375">
        <v>26</v>
      </c>
      <c r="AI30" s="376">
        <f>DATE(UNMM0131_H_YEAR,UNMM0131_B_MONTH_8,AH30)</f>
        <v>239</v>
      </c>
      <c r="AJ30" s="375"/>
      <c r="AK30" s="260"/>
      <c r="AL30" s="375">
        <v>26</v>
      </c>
      <c r="AM30" s="376">
        <f>DATE(UNMM0131_H_YEAR,UNMM0131_B_MONTH_9,AL30)</f>
        <v>270</v>
      </c>
      <c r="AN30" s="375"/>
      <c r="AO30" s="260"/>
      <c r="AP30" s="375">
        <v>26</v>
      </c>
      <c r="AQ30" s="376">
        <f>DATE(UNMM0131_H_YEAR,UNMM0131_B_MONTH_10,AP30)</f>
        <v>300</v>
      </c>
      <c r="AR30" s="375"/>
      <c r="AS30" s="260"/>
      <c r="AT30" s="375">
        <v>26</v>
      </c>
      <c r="AU30" s="376">
        <f>DATE(UNMM0131_H_YEAR,UNMM0131_B_MONTH_11,AT30)</f>
        <v>331</v>
      </c>
      <c r="AV30" s="375"/>
      <c r="AW30" s="260"/>
      <c r="AX30" s="375">
        <v>26</v>
      </c>
      <c r="AY30" s="376">
        <f>DATE(UNMM0131_H_YEAR,UNMM0131_B_MONTH_12,AX30)</f>
        <v>361</v>
      </c>
      <c r="AZ30" s="375"/>
    </row>
    <row r="31" spans="1:52" s="83" customFormat="1">
      <c r="A31" s="84"/>
      <c r="B31" s="84"/>
      <c r="C31" s="84"/>
      <c r="D31" s="84"/>
      <c r="F31" s="375">
        <v>27</v>
      </c>
      <c r="G31" s="376">
        <f>DATE(UNMM0131_H_YEAR,UNMM0131_B_MONTH_1,F31)</f>
        <v>27</v>
      </c>
      <c r="H31" s="375"/>
      <c r="I31" s="260"/>
      <c r="J31" s="375">
        <v>27</v>
      </c>
      <c r="K31" s="376">
        <f>DATE(UNMM0131_H_YEAR,UNMM0131_B_MONTH_2,J31)</f>
        <v>58</v>
      </c>
      <c r="L31" s="375"/>
      <c r="M31" s="260"/>
      <c r="N31" s="375">
        <v>27</v>
      </c>
      <c r="O31" s="376">
        <f>DATE(UNMM0131_H_YEAR,UNMM0131_B_MONTH_3,N31)</f>
        <v>87</v>
      </c>
      <c r="P31" s="375"/>
      <c r="Q31" s="260"/>
      <c r="R31" s="375">
        <v>27</v>
      </c>
      <c r="S31" s="376">
        <f>DATE(UNMM0131_H_YEAR,UNMM0131_B_MONTH_4,R31)</f>
        <v>118</v>
      </c>
      <c r="T31" s="375"/>
      <c r="U31" s="260"/>
      <c r="V31" s="375">
        <v>27</v>
      </c>
      <c r="W31" s="376">
        <f>DATE(UNMM0131_H_YEAR,UNMM0131_B_MONTH_5,V31)</f>
        <v>148</v>
      </c>
      <c r="X31" s="375"/>
      <c r="Y31" s="260"/>
      <c r="Z31" s="375">
        <v>27</v>
      </c>
      <c r="AA31" s="376">
        <f>DATE(UNMM0131_H_YEAR,UNMM0131_B_MONTH_6,Z31)</f>
        <v>179</v>
      </c>
      <c r="AB31" s="375"/>
      <c r="AC31" s="260"/>
      <c r="AD31" s="375">
        <v>27</v>
      </c>
      <c r="AE31" s="376">
        <f>DATE(UNMM0131_H_YEAR,UNMM0131_B_MONTH_7,AD31)</f>
        <v>209</v>
      </c>
      <c r="AF31" s="375"/>
      <c r="AG31" s="260"/>
      <c r="AH31" s="375">
        <v>27</v>
      </c>
      <c r="AI31" s="376">
        <f>DATE(UNMM0131_H_YEAR,UNMM0131_B_MONTH_8,AH31)</f>
        <v>240</v>
      </c>
      <c r="AJ31" s="375"/>
      <c r="AK31" s="260"/>
      <c r="AL31" s="375">
        <v>27</v>
      </c>
      <c r="AM31" s="376">
        <f>DATE(UNMM0131_H_YEAR,UNMM0131_B_MONTH_9,AL31)</f>
        <v>271</v>
      </c>
      <c r="AN31" s="375"/>
      <c r="AO31" s="260"/>
      <c r="AP31" s="375">
        <v>27</v>
      </c>
      <c r="AQ31" s="376">
        <f>DATE(UNMM0131_H_YEAR,UNMM0131_B_MONTH_10,AP31)</f>
        <v>301</v>
      </c>
      <c r="AR31" s="375"/>
      <c r="AS31" s="260"/>
      <c r="AT31" s="375">
        <v>27</v>
      </c>
      <c r="AU31" s="376">
        <f>DATE(UNMM0131_H_YEAR,UNMM0131_B_MONTH_11,AT31)</f>
        <v>332</v>
      </c>
      <c r="AV31" s="375"/>
      <c r="AW31" s="260"/>
      <c r="AX31" s="375">
        <v>27</v>
      </c>
      <c r="AY31" s="376">
        <f>DATE(UNMM0131_H_YEAR,UNMM0131_B_MONTH_12,AX31)</f>
        <v>362</v>
      </c>
      <c r="AZ31" s="375"/>
    </row>
    <row r="32" spans="1:52" s="83" customFormat="1">
      <c r="A32" s="84"/>
      <c r="B32" s="84"/>
      <c r="C32" s="84"/>
      <c r="D32" s="84"/>
      <c r="F32" s="375">
        <v>28</v>
      </c>
      <c r="G32" s="376">
        <f>DATE(UNMM0131_H_YEAR,UNMM0131_B_MONTH_1,F32)</f>
        <v>28</v>
      </c>
      <c r="H32" s="375"/>
      <c r="I32" s="260"/>
      <c r="J32" s="375">
        <v>28</v>
      </c>
      <c r="K32" s="376">
        <f>DATE(UNMM0131_H_YEAR,UNMM0131_B_MONTH_2,J32)</f>
        <v>59</v>
      </c>
      <c r="L32" s="375"/>
      <c r="M32" s="260"/>
      <c r="N32" s="375">
        <v>28</v>
      </c>
      <c r="O32" s="376">
        <f>DATE(UNMM0131_H_YEAR,UNMM0131_B_MONTH_3,N32)</f>
        <v>88</v>
      </c>
      <c r="P32" s="375"/>
      <c r="Q32" s="260"/>
      <c r="R32" s="375">
        <v>28</v>
      </c>
      <c r="S32" s="376">
        <f>DATE(UNMM0131_H_YEAR,UNMM0131_B_MONTH_4,R32)</f>
        <v>119</v>
      </c>
      <c r="T32" s="375"/>
      <c r="U32" s="260"/>
      <c r="V32" s="375">
        <v>28</v>
      </c>
      <c r="W32" s="376">
        <f>DATE(UNMM0131_H_YEAR,UNMM0131_B_MONTH_5,V32)</f>
        <v>149</v>
      </c>
      <c r="X32" s="375"/>
      <c r="Y32" s="260"/>
      <c r="Z32" s="375">
        <v>28</v>
      </c>
      <c r="AA32" s="376">
        <f>DATE(UNMM0131_H_YEAR,UNMM0131_B_MONTH_6,Z32)</f>
        <v>180</v>
      </c>
      <c r="AB32" s="375"/>
      <c r="AC32" s="260"/>
      <c r="AD32" s="375">
        <v>28</v>
      </c>
      <c r="AE32" s="376">
        <f>DATE(UNMM0131_H_YEAR,UNMM0131_B_MONTH_7,AD32)</f>
        <v>210</v>
      </c>
      <c r="AF32" s="375"/>
      <c r="AG32" s="260"/>
      <c r="AH32" s="375">
        <v>28</v>
      </c>
      <c r="AI32" s="376">
        <f>DATE(UNMM0131_H_YEAR,UNMM0131_B_MONTH_8,AH32)</f>
        <v>241</v>
      </c>
      <c r="AJ32" s="375"/>
      <c r="AK32" s="260"/>
      <c r="AL32" s="375">
        <v>28</v>
      </c>
      <c r="AM32" s="376">
        <f>DATE(UNMM0131_H_YEAR,UNMM0131_B_MONTH_9,AL32)</f>
        <v>272</v>
      </c>
      <c r="AN32" s="375"/>
      <c r="AO32" s="260"/>
      <c r="AP32" s="375">
        <v>28</v>
      </c>
      <c r="AQ32" s="376">
        <f>DATE(UNMM0131_H_YEAR,UNMM0131_B_MONTH_10,AP32)</f>
        <v>302</v>
      </c>
      <c r="AR32" s="375"/>
      <c r="AS32" s="260"/>
      <c r="AT32" s="375">
        <v>28</v>
      </c>
      <c r="AU32" s="376">
        <f>DATE(UNMM0131_H_YEAR,UNMM0131_B_MONTH_11,AT32)</f>
        <v>333</v>
      </c>
      <c r="AV32" s="375"/>
      <c r="AW32" s="260"/>
      <c r="AX32" s="375">
        <v>28</v>
      </c>
      <c r="AY32" s="376">
        <f>DATE(UNMM0131_H_YEAR,UNMM0131_B_MONTH_12,AX32)</f>
        <v>363</v>
      </c>
      <c r="AZ32" s="375"/>
    </row>
    <row r="33" spans="1:52" s="83" customFormat="1">
      <c r="A33" s="84"/>
      <c r="B33" s="84"/>
      <c r="C33" s="84"/>
      <c r="D33" s="84"/>
      <c r="F33" s="375">
        <v>29</v>
      </c>
      <c r="G33" s="376">
        <f>DATE(UNMM0131_H_YEAR,UNMM0131_B_MONTH_1,F33)</f>
        <v>29</v>
      </c>
      <c r="H33" s="375"/>
      <c r="I33" s="260"/>
      <c r="J33" s="375">
        <f>IF(MOD(UNMM0131_H_YEAR,4)=0,29,"-")</f>
        <v>29</v>
      </c>
      <c r="K33" s="376">
        <f>IF(MOD(UNMM0131_H_YEAR,4)=0,DATE(UNMM0131_H_YEAR,UNMM0131_B_MONTH_2,J33),"-")</f>
        <v>60</v>
      </c>
      <c r="L33" s="375"/>
      <c r="M33" s="260"/>
      <c r="N33" s="375">
        <v>29</v>
      </c>
      <c r="O33" s="376">
        <f>DATE(UNMM0131_H_YEAR,UNMM0131_B_MONTH_3,N33)</f>
        <v>89</v>
      </c>
      <c r="P33" s="375"/>
      <c r="Q33" s="260"/>
      <c r="R33" s="375">
        <v>29</v>
      </c>
      <c r="S33" s="376">
        <f>DATE(UNMM0131_H_YEAR,UNMM0131_B_MONTH_4,R33)</f>
        <v>120</v>
      </c>
      <c r="T33" s="375"/>
      <c r="U33" s="260"/>
      <c r="V33" s="375">
        <v>29</v>
      </c>
      <c r="W33" s="376">
        <f>DATE(UNMM0131_H_YEAR,UNMM0131_B_MONTH_5,V33)</f>
        <v>150</v>
      </c>
      <c r="X33" s="375"/>
      <c r="Y33" s="260"/>
      <c r="Z33" s="375">
        <v>29</v>
      </c>
      <c r="AA33" s="376">
        <f>DATE(UNMM0131_H_YEAR,UNMM0131_B_MONTH_6,Z33)</f>
        <v>181</v>
      </c>
      <c r="AB33" s="375"/>
      <c r="AC33" s="260"/>
      <c r="AD33" s="375">
        <v>29</v>
      </c>
      <c r="AE33" s="376">
        <f>DATE(UNMM0131_H_YEAR,UNMM0131_B_MONTH_7,AD33)</f>
        <v>211</v>
      </c>
      <c r="AF33" s="375"/>
      <c r="AG33" s="260"/>
      <c r="AH33" s="375">
        <v>29</v>
      </c>
      <c r="AI33" s="376">
        <f>DATE(UNMM0131_H_YEAR,UNMM0131_B_MONTH_8,AH33)</f>
        <v>242</v>
      </c>
      <c r="AJ33" s="375"/>
      <c r="AK33" s="260"/>
      <c r="AL33" s="375">
        <v>29</v>
      </c>
      <c r="AM33" s="376">
        <f>DATE(UNMM0131_H_YEAR,UNMM0131_B_MONTH_9,AL33)</f>
        <v>273</v>
      </c>
      <c r="AN33" s="375"/>
      <c r="AO33" s="260"/>
      <c r="AP33" s="375">
        <v>29</v>
      </c>
      <c r="AQ33" s="376">
        <f>DATE(UNMM0131_H_YEAR,UNMM0131_B_MONTH_10,AP33)</f>
        <v>303</v>
      </c>
      <c r="AR33" s="375"/>
      <c r="AS33" s="260"/>
      <c r="AT33" s="375">
        <v>29</v>
      </c>
      <c r="AU33" s="376">
        <f>DATE(UNMM0131_H_YEAR,UNMM0131_B_MONTH_11,AT33)</f>
        <v>334</v>
      </c>
      <c r="AV33" s="375"/>
      <c r="AW33" s="260"/>
      <c r="AX33" s="375">
        <v>29</v>
      </c>
      <c r="AY33" s="376">
        <f>DATE(UNMM0131_H_YEAR,UNMM0131_B_MONTH_12,AX33)</f>
        <v>364</v>
      </c>
      <c r="AZ33" s="375"/>
    </row>
    <row r="34" spans="1:52" s="83" customFormat="1">
      <c r="A34" s="84"/>
      <c r="B34" s="84"/>
      <c r="C34" s="84"/>
      <c r="D34" s="84"/>
      <c r="F34" s="375">
        <v>30</v>
      </c>
      <c r="G34" s="376">
        <f>DATE(UNMM0131_H_YEAR,UNMM0131_B_MONTH_1,F34)</f>
        <v>30</v>
      </c>
      <c r="H34" s="375"/>
      <c r="I34" s="260"/>
      <c r="J34" s="260"/>
      <c r="K34" s="260"/>
      <c r="L34" s="260"/>
      <c r="M34" s="260"/>
      <c r="N34" s="375">
        <v>30</v>
      </c>
      <c r="O34" s="376">
        <f>DATE(UNMM0131_H_YEAR,UNMM0131_B_MONTH_3,N34)</f>
        <v>90</v>
      </c>
      <c r="P34" s="375"/>
      <c r="Q34" s="260"/>
      <c r="R34" s="375">
        <v>30</v>
      </c>
      <c r="S34" s="376">
        <f>DATE(UNMM0131_H_YEAR,UNMM0131_B_MONTH_4,R34)</f>
        <v>121</v>
      </c>
      <c r="T34" s="375"/>
      <c r="U34" s="260"/>
      <c r="V34" s="375">
        <v>30</v>
      </c>
      <c r="W34" s="376">
        <f>DATE(UNMM0131_H_YEAR,UNMM0131_B_MONTH_5,V34)</f>
        <v>151</v>
      </c>
      <c r="X34" s="375"/>
      <c r="Y34" s="260"/>
      <c r="Z34" s="375">
        <v>30</v>
      </c>
      <c r="AA34" s="376">
        <f>DATE(UNMM0131_H_YEAR,UNMM0131_B_MONTH_6,Z34)</f>
        <v>182</v>
      </c>
      <c r="AB34" s="375"/>
      <c r="AC34" s="260"/>
      <c r="AD34" s="375">
        <v>30</v>
      </c>
      <c r="AE34" s="376">
        <f>DATE(UNMM0131_H_YEAR,UNMM0131_B_MONTH_7,AD34)</f>
        <v>212</v>
      </c>
      <c r="AF34" s="375"/>
      <c r="AG34" s="260"/>
      <c r="AH34" s="375">
        <v>30</v>
      </c>
      <c r="AI34" s="376">
        <f>DATE(UNMM0131_H_YEAR,UNMM0131_B_MONTH_8,AH34)</f>
        <v>243</v>
      </c>
      <c r="AJ34" s="375"/>
      <c r="AK34" s="260"/>
      <c r="AL34" s="375">
        <v>30</v>
      </c>
      <c r="AM34" s="376">
        <f>DATE(UNMM0131_H_YEAR,UNMM0131_B_MONTH_9,AL34)</f>
        <v>274</v>
      </c>
      <c r="AN34" s="375"/>
      <c r="AO34" s="260"/>
      <c r="AP34" s="375">
        <v>30</v>
      </c>
      <c r="AQ34" s="376">
        <f>DATE(UNMM0131_H_YEAR,UNMM0131_B_MONTH_10,AP34)</f>
        <v>304</v>
      </c>
      <c r="AR34" s="375"/>
      <c r="AS34" s="260"/>
      <c r="AT34" s="375">
        <v>30</v>
      </c>
      <c r="AU34" s="376">
        <f>DATE(UNMM0131_H_YEAR,UNMM0131_B_MONTH_11,AT34)</f>
        <v>335</v>
      </c>
      <c r="AV34" s="375"/>
      <c r="AW34" s="260"/>
      <c r="AX34" s="375">
        <v>30</v>
      </c>
      <c r="AY34" s="376">
        <f>DATE(UNMM0131_H_YEAR,UNMM0131_B_MONTH_12,AX34)</f>
        <v>365</v>
      </c>
      <c r="AZ34" s="375"/>
    </row>
    <row r="35" spans="1:52" s="83" customFormat="1">
      <c r="A35" s="84"/>
      <c r="B35" s="84"/>
      <c r="C35" s="84"/>
      <c r="D35" s="84"/>
      <c r="F35" s="375">
        <v>31</v>
      </c>
      <c r="G35" s="376">
        <f>DATE(UNMM0131_H_YEAR,UNMM0131_B_MONTH_1,F35)</f>
        <v>31</v>
      </c>
      <c r="H35" s="375"/>
      <c r="I35" s="260"/>
      <c r="J35" s="260"/>
      <c r="K35" s="260"/>
      <c r="L35" s="260"/>
      <c r="M35" s="260"/>
      <c r="N35" s="375">
        <v>31</v>
      </c>
      <c r="O35" s="376">
        <f>DATE(UNMM0131_H_YEAR,UNMM0131_B_MONTH_3,N35)</f>
        <v>91</v>
      </c>
      <c r="P35" s="375"/>
      <c r="Q35" s="260"/>
      <c r="R35" s="260"/>
      <c r="S35" s="260"/>
      <c r="T35" s="260"/>
      <c r="U35" s="260"/>
      <c r="V35" s="375">
        <v>31</v>
      </c>
      <c r="W35" s="376">
        <f>DATE(UNMM0131_H_YEAR,UNMM0131_B_MONTH_5,V35)</f>
        <v>152</v>
      </c>
      <c r="X35" s="375"/>
      <c r="Y35" s="260"/>
      <c r="Z35" s="260"/>
      <c r="AA35" s="260"/>
      <c r="AB35" s="260"/>
      <c r="AC35" s="260"/>
      <c r="AD35" s="375">
        <v>31</v>
      </c>
      <c r="AE35" s="376">
        <f>DATE(UNMM0131_H_YEAR,UNMM0131_B_MONTH_7,AD35)</f>
        <v>213</v>
      </c>
      <c r="AF35" s="375"/>
      <c r="AG35" s="260"/>
      <c r="AH35" s="375">
        <v>31</v>
      </c>
      <c r="AI35" s="376">
        <f>DATE(UNMM0131_H_YEAR,UNMM0131_B_MONTH_8,AH35)</f>
        <v>244</v>
      </c>
      <c r="AJ35" s="375"/>
      <c r="AK35" s="260"/>
      <c r="AL35" s="260"/>
      <c r="AM35" s="260"/>
      <c r="AN35" s="260"/>
      <c r="AO35" s="260"/>
      <c r="AP35" s="375">
        <v>31</v>
      </c>
      <c r="AQ35" s="376">
        <f>DATE(UNMM0131_H_YEAR,UNMM0131_B_MONTH_10,AP35)</f>
        <v>305</v>
      </c>
      <c r="AR35" s="375"/>
      <c r="AS35" s="260"/>
      <c r="AT35" s="260"/>
      <c r="AU35" s="260"/>
      <c r="AV35" s="260"/>
      <c r="AW35" s="260"/>
      <c r="AX35" s="375">
        <v>31</v>
      </c>
      <c r="AY35" s="376">
        <f>DATE(UNMM0131_H_YEAR,UNMM0131_B_MONTH_12,AX35)</f>
        <v>366</v>
      </c>
      <c r="AZ35" s="375"/>
    </row>
    <row r="36" spans="1:52" s="83" customFormat="1">
      <c r="A36" s="84"/>
      <c r="B36" s="84"/>
      <c r="C36" s="84"/>
      <c r="D36" s="84"/>
      <c r="F36" s="260"/>
      <c r="G36" s="260"/>
      <c r="H36" s="260"/>
      <c r="I36" s="260"/>
      <c r="J36" s="260"/>
      <c r="K36" s="260"/>
      <c r="L36" s="260"/>
      <c r="M36" s="260"/>
      <c r="N36" s="260"/>
      <c r="O36" s="260"/>
      <c r="P36" s="260"/>
      <c r="Q36" s="260"/>
      <c r="R36" s="260"/>
      <c r="S36" s="260"/>
      <c r="T36" s="260"/>
      <c r="U36" s="260"/>
      <c r="V36" s="260"/>
      <c r="W36" s="260"/>
      <c r="X36" s="260"/>
      <c r="Y36" s="260"/>
      <c r="Z36" s="260"/>
      <c r="AA36" s="260"/>
      <c r="AB36" s="260"/>
      <c r="AC36" s="260"/>
      <c r="AD36" s="260"/>
      <c r="AE36" s="260"/>
      <c r="AF36" s="260"/>
      <c r="AG36" s="260"/>
      <c r="AH36" s="260"/>
      <c r="AI36" s="260"/>
      <c r="AJ36" s="260"/>
      <c r="AK36" s="260"/>
      <c r="AL36" s="260"/>
      <c r="AM36" s="260"/>
      <c r="AN36" s="260"/>
      <c r="AO36" s="260"/>
      <c r="AP36" s="260"/>
      <c r="AQ36" s="260"/>
      <c r="AR36" s="260"/>
      <c r="AS36" s="260"/>
      <c r="AT36" s="260"/>
      <c r="AU36" s="260"/>
      <c r="AV36" s="260"/>
      <c r="AW36" s="260"/>
      <c r="AX36" s="260"/>
      <c r="AY36" s="260"/>
      <c r="AZ36" s="260"/>
    </row>
    <row r="37" spans="1:52" s="83" customFormat="1">
      <c r="A37" s="84"/>
      <c r="B37" s="84"/>
      <c r="C37" s="84"/>
      <c r="D37" s="84"/>
      <c r="F37" s="260"/>
      <c r="G37" s="260"/>
      <c r="H37" s="260"/>
      <c r="I37" s="260"/>
      <c r="J37" s="260"/>
      <c r="K37" s="260"/>
      <c r="L37" s="260"/>
      <c r="M37" s="260"/>
      <c r="N37" s="260"/>
      <c r="O37" s="260"/>
      <c r="P37" s="260"/>
      <c r="Q37" s="260"/>
      <c r="R37" s="260"/>
      <c r="S37" s="260"/>
      <c r="T37" s="260"/>
      <c r="U37" s="260"/>
      <c r="V37" s="260"/>
      <c r="W37" s="260"/>
      <c r="X37" s="260"/>
      <c r="Y37" s="260"/>
      <c r="Z37" s="260"/>
      <c r="AA37" s="260"/>
      <c r="AB37" s="260"/>
      <c r="AC37" s="260"/>
      <c r="AD37" s="260"/>
      <c r="AE37" s="260"/>
      <c r="AF37" s="260"/>
      <c r="AG37" s="260"/>
      <c r="AH37" s="260"/>
      <c r="AI37" s="260"/>
      <c r="AJ37" s="260"/>
      <c r="AK37" s="260"/>
      <c r="AL37" s="260"/>
      <c r="AM37" s="260"/>
      <c r="AN37" s="260"/>
      <c r="AO37" s="260"/>
      <c r="AP37" s="260"/>
      <c r="AQ37" s="260"/>
      <c r="AR37" s="260"/>
      <c r="AS37" s="260"/>
      <c r="AT37" s="260"/>
      <c r="AU37" s="260"/>
      <c r="AV37" s="260"/>
      <c r="AW37" s="260"/>
      <c r="AX37" s="260"/>
      <c r="AY37" s="260"/>
      <c r="AZ37" s="260"/>
    </row>
    <row r="38" spans="1:52" s="83" customFormat="1">
      <c r="A38" s="84"/>
      <c r="B38" s="84"/>
      <c r="C38" s="84"/>
      <c r="D38" s="84"/>
      <c r="F38" s="260"/>
      <c r="G38" s="260"/>
      <c r="H38" s="260"/>
      <c r="I38" s="260"/>
      <c r="J38" s="260"/>
      <c r="K38" s="260"/>
      <c r="L38" s="260"/>
      <c r="M38" s="260"/>
      <c r="N38" s="260"/>
      <c r="O38" s="260"/>
      <c r="P38" s="260"/>
      <c r="Q38" s="260"/>
      <c r="R38" s="260"/>
      <c r="S38" s="260"/>
      <c r="T38" s="260"/>
      <c r="U38" s="260"/>
      <c r="V38" s="260"/>
      <c r="W38" s="260"/>
      <c r="X38" s="260"/>
      <c r="Y38" s="260"/>
      <c r="Z38" s="260"/>
      <c r="AA38" s="260"/>
      <c r="AB38" s="260"/>
      <c r="AC38" s="260"/>
      <c r="AD38" s="260"/>
      <c r="AE38" s="260"/>
      <c r="AF38" s="260"/>
      <c r="AG38" s="260"/>
      <c r="AH38" s="260"/>
      <c r="AI38" s="260"/>
      <c r="AJ38" s="260"/>
      <c r="AK38" s="260"/>
      <c r="AL38" s="260"/>
      <c r="AM38" s="260"/>
      <c r="AN38" s="260"/>
      <c r="AO38" s="260"/>
      <c r="AP38" s="260"/>
      <c r="AQ38" s="260"/>
      <c r="AR38" s="260"/>
      <c r="AS38" s="260"/>
      <c r="AT38" s="260"/>
      <c r="AU38" s="260"/>
      <c r="AV38" s="260"/>
      <c r="AW38" s="260"/>
      <c r="AX38" s="260"/>
      <c r="AY38" s="260"/>
      <c r="AZ38" s="260"/>
    </row>
    <row r="39" spans="1:52" s="83" customFormat="1">
      <c r="A39" s="84"/>
      <c r="B39" s="84"/>
      <c r="C39" s="84"/>
      <c r="D39" s="84"/>
      <c r="F39" s="260"/>
      <c r="G39" s="260"/>
      <c r="H39" s="260"/>
      <c r="I39" s="260"/>
      <c r="J39" s="260"/>
      <c r="K39" s="260"/>
      <c r="L39" s="260"/>
      <c r="M39" s="260"/>
      <c r="N39" s="260"/>
      <c r="O39" s="260"/>
      <c r="P39" s="260"/>
      <c r="Q39" s="260"/>
      <c r="R39" s="260"/>
      <c r="S39" s="260"/>
      <c r="T39" s="260"/>
      <c r="U39" s="260"/>
      <c r="V39" s="260"/>
      <c r="W39" s="260"/>
      <c r="X39" s="260"/>
      <c r="Y39" s="260"/>
      <c r="Z39" s="260"/>
      <c r="AA39" s="260"/>
      <c r="AB39" s="260"/>
      <c r="AC39" s="260"/>
      <c r="AD39" s="260"/>
      <c r="AE39" s="260"/>
      <c r="AF39" s="260"/>
      <c r="AG39" s="260"/>
      <c r="AH39" s="260"/>
      <c r="AI39" s="260"/>
      <c r="AJ39" s="260"/>
      <c r="AK39" s="260"/>
      <c r="AL39" s="260"/>
      <c r="AM39" s="260"/>
      <c r="AN39" s="260"/>
      <c r="AO39" s="260"/>
      <c r="AP39" s="260"/>
      <c r="AQ39" s="260"/>
      <c r="AR39" s="260"/>
      <c r="AS39" s="260"/>
      <c r="AT39" s="260"/>
      <c r="AU39" s="260"/>
      <c r="AV39" s="260"/>
      <c r="AW39" s="260"/>
      <c r="AX39" s="260"/>
      <c r="AY39" s="260"/>
      <c r="AZ39" s="260"/>
    </row>
    <row r="40" spans="1:52" s="83" customFormat="1">
      <c r="A40" s="84"/>
      <c r="B40" s="84"/>
      <c r="C40" s="84"/>
      <c r="D40" s="84"/>
      <c r="F40" s="260"/>
      <c r="G40" s="260"/>
      <c r="H40" s="260"/>
      <c r="I40" s="260"/>
      <c r="J40" s="260"/>
      <c r="K40" s="260"/>
      <c r="L40" s="260"/>
      <c r="M40" s="260"/>
      <c r="N40" s="260"/>
      <c r="O40" s="260"/>
      <c r="P40" s="260"/>
      <c r="Q40" s="260"/>
      <c r="R40" s="260"/>
      <c r="S40" s="260"/>
      <c r="T40" s="260"/>
      <c r="U40" s="260"/>
      <c r="V40" s="260"/>
      <c r="W40" s="260"/>
      <c r="X40" s="260"/>
      <c r="Y40" s="260"/>
      <c r="Z40" s="260"/>
      <c r="AA40" s="260"/>
      <c r="AB40" s="260"/>
      <c r="AC40" s="260"/>
      <c r="AD40" s="260"/>
      <c r="AE40" s="260"/>
      <c r="AF40" s="260"/>
      <c r="AG40" s="260"/>
      <c r="AH40" s="260"/>
      <c r="AI40" s="260"/>
      <c r="AJ40" s="260"/>
      <c r="AK40" s="260"/>
      <c r="AL40" s="260"/>
      <c r="AM40" s="260"/>
      <c r="AN40" s="260"/>
      <c r="AO40" s="260"/>
      <c r="AP40" s="260"/>
      <c r="AQ40" s="260"/>
      <c r="AR40" s="260"/>
      <c r="AS40" s="260"/>
      <c r="AT40" s="260"/>
      <c r="AU40" s="260"/>
      <c r="AV40" s="260"/>
      <c r="AW40" s="260"/>
      <c r="AX40" s="260"/>
      <c r="AY40" s="260"/>
      <c r="AZ40" s="260"/>
    </row>
    <row r="41" spans="1:52" s="83" customFormat="1">
      <c r="A41" s="84"/>
      <c r="B41" s="84"/>
      <c r="C41" s="84"/>
      <c r="D41" s="84"/>
      <c r="F41" s="260"/>
      <c r="G41" s="260"/>
      <c r="H41" s="260"/>
      <c r="I41" s="260"/>
      <c r="J41" s="260"/>
      <c r="K41" s="260"/>
      <c r="L41" s="260"/>
      <c r="M41" s="260"/>
      <c r="N41" s="260"/>
      <c r="O41" s="260"/>
      <c r="P41" s="260"/>
      <c r="Q41" s="260"/>
      <c r="R41" s="260"/>
      <c r="S41" s="260"/>
      <c r="T41" s="260"/>
      <c r="U41" s="260"/>
      <c r="V41" s="260"/>
      <c r="W41" s="260"/>
      <c r="X41" s="260"/>
      <c r="Y41" s="260"/>
      <c r="Z41" s="260"/>
      <c r="AA41" s="260"/>
      <c r="AB41" s="260"/>
      <c r="AC41" s="260"/>
      <c r="AD41" s="260"/>
      <c r="AE41" s="260"/>
      <c r="AF41" s="260"/>
      <c r="AG41" s="260"/>
      <c r="AH41" s="260"/>
      <c r="AI41" s="260"/>
      <c r="AJ41" s="260"/>
      <c r="AK41" s="260"/>
      <c r="AL41" s="260"/>
      <c r="AM41" s="260"/>
      <c r="AN41" s="260"/>
      <c r="AO41" s="260"/>
      <c r="AP41" s="260"/>
      <c r="AQ41" s="260"/>
      <c r="AR41" s="260"/>
      <c r="AS41" s="260"/>
      <c r="AT41" s="260"/>
      <c r="AU41" s="260"/>
      <c r="AV41" s="260"/>
      <c r="AW41" s="260"/>
      <c r="AX41" s="260"/>
      <c r="AY41" s="260"/>
      <c r="AZ41" s="260"/>
    </row>
    <row r="42" spans="1:52" s="83" customFormat="1">
      <c r="A42" s="84"/>
      <c r="B42" s="84"/>
      <c r="C42" s="84"/>
      <c r="D42" s="84"/>
      <c r="F42" s="260"/>
      <c r="G42" s="260"/>
      <c r="H42" s="260"/>
      <c r="I42" s="260"/>
      <c r="J42" s="260"/>
      <c r="K42" s="260"/>
      <c r="L42" s="260"/>
      <c r="M42" s="260"/>
      <c r="N42" s="260"/>
      <c r="O42" s="260"/>
      <c r="P42" s="260"/>
      <c r="Q42" s="260"/>
      <c r="R42" s="260"/>
      <c r="S42" s="260"/>
      <c r="T42" s="260"/>
      <c r="U42" s="260"/>
      <c r="V42" s="260"/>
      <c r="W42" s="260"/>
      <c r="X42" s="260"/>
      <c r="Y42" s="260"/>
      <c r="Z42" s="260"/>
      <c r="AA42" s="260"/>
      <c r="AB42" s="260"/>
      <c r="AC42" s="260"/>
      <c r="AD42" s="260"/>
      <c r="AE42" s="260"/>
      <c r="AF42" s="260"/>
      <c r="AG42" s="260"/>
      <c r="AH42" s="260"/>
      <c r="AI42" s="260"/>
      <c r="AJ42" s="260"/>
      <c r="AK42" s="260"/>
      <c r="AL42" s="260"/>
      <c r="AM42" s="260"/>
      <c r="AN42" s="260"/>
      <c r="AO42" s="260"/>
      <c r="AP42" s="260"/>
      <c r="AQ42" s="260"/>
      <c r="AR42" s="260"/>
      <c r="AS42" s="260"/>
      <c r="AT42" s="260"/>
      <c r="AU42" s="260"/>
      <c r="AV42" s="260"/>
      <c r="AW42" s="260"/>
      <c r="AX42" s="260"/>
      <c r="AY42" s="260"/>
      <c r="AZ42" s="260"/>
    </row>
    <row r="43" spans="1:52" s="83" customFormat="1">
      <c r="A43" s="84"/>
      <c r="B43" s="84"/>
      <c r="C43" s="84"/>
      <c r="D43" s="84"/>
      <c r="F43" s="260"/>
      <c r="G43" s="260"/>
      <c r="H43" s="260"/>
      <c r="I43" s="260"/>
      <c r="J43" s="260"/>
      <c r="K43" s="260"/>
      <c r="L43" s="260"/>
      <c r="M43" s="260"/>
      <c r="N43" s="260"/>
      <c r="O43" s="260"/>
      <c r="P43" s="260"/>
      <c r="Q43" s="260"/>
      <c r="R43" s="260"/>
      <c r="S43" s="260"/>
      <c r="T43" s="260"/>
      <c r="U43" s="260"/>
      <c r="V43" s="260"/>
      <c r="W43" s="260"/>
      <c r="X43" s="260"/>
      <c r="Y43" s="260"/>
      <c r="Z43" s="260"/>
      <c r="AA43" s="260"/>
      <c r="AB43" s="260"/>
      <c r="AC43" s="260"/>
      <c r="AD43" s="260"/>
      <c r="AE43" s="260"/>
      <c r="AF43" s="260"/>
      <c r="AG43" s="260"/>
      <c r="AH43" s="260"/>
      <c r="AI43" s="260"/>
      <c r="AJ43" s="260"/>
      <c r="AK43" s="260"/>
      <c r="AL43" s="260"/>
      <c r="AM43" s="260"/>
      <c r="AN43" s="260"/>
      <c r="AO43" s="260"/>
      <c r="AP43" s="260"/>
      <c r="AQ43" s="260"/>
      <c r="AR43" s="260"/>
      <c r="AS43" s="260"/>
      <c r="AT43" s="260"/>
      <c r="AU43" s="260"/>
      <c r="AV43" s="260"/>
      <c r="AW43" s="260"/>
      <c r="AX43" s="260"/>
      <c r="AY43" s="260"/>
      <c r="AZ43" s="260"/>
    </row>
    <row r="44" spans="1:52" s="83" customFormat="1">
      <c r="A44" s="84"/>
      <c r="B44" s="84"/>
      <c r="C44" s="84"/>
      <c r="D44" s="84"/>
      <c r="F44" s="260"/>
      <c r="G44" s="260"/>
      <c r="H44" s="260"/>
      <c r="I44" s="260"/>
      <c r="J44" s="260"/>
      <c r="K44" s="260"/>
      <c r="L44" s="260"/>
      <c r="M44" s="260"/>
      <c r="N44" s="260"/>
      <c r="O44" s="260"/>
      <c r="P44" s="260"/>
      <c r="Q44" s="260"/>
      <c r="R44" s="260"/>
      <c r="S44" s="260"/>
      <c r="T44" s="260"/>
      <c r="U44" s="260"/>
      <c r="V44" s="260"/>
      <c r="W44" s="260"/>
      <c r="X44" s="260"/>
      <c r="Y44" s="260"/>
      <c r="Z44" s="260"/>
      <c r="AA44" s="260"/>
      <c r="AB44" s="260"/>
      <c r="AC44" s="260"/>
      <c r="AD44" s="260"/>
      <c r="AE44" s="260"/>
      <c r="AF44" s="260"/>
      <c r="AG44" s="260"/>
      <c r="AH44" s="260"/>
      <c r="AI44" s="260"/>
      <c r="AJ44" s="260"/>
      <c r="AK44" s="260"/>
      <c r="AL44" s="260"/>
      <c r="AM44" s="260"/>
      <c r="AN44" s="260"/>
      <c r="AO44" s="260"/>
      <c r="AP44" s="260"/>
      <c r="AQ44" s="260"/>
      <c r="AR44" s="260"/>
      <c r="AS44" s="260"/>
      <c r="AT44" s="260"/>
      <c r="AU44" s="260"/>
      <c r="AV44" s="260"/>
      <c r="AW44" s="260"/>
      <c r="AX44" s="260"/>
      <c r="AY44" s="260"/>
      <c r="AZ44" s="260"/>
    </row>
    <row r="45" spans="1:52" s="83" customFormat="1">
      <c r="A45" s="84"/>
      <c r="B45" s="84"/>
      <c r="C45" s="84"/>
      <c r="D45" s="84"/>
      <c r="F45" s="260"/>
      <c r="G45" s="260"/>
      <c r="H45" s="260"/>
      <c r="I45" s="260"/>
      <c r="J45" s="260"/>
      <c r="K45" s="260"/>
      <c r="L45" s="260"/>
      <c r="M45" s="260"/>
      <c r="N45" s="260"/>
      <c r="O45" s="260"/>
      <c r="P45" s="260"/>
      <c r="Q45" s="260"/>
      <c r="R45" s="260"/>
      <c r="S45" s="260"/>
      <c r="T45" s="260"/>
      <c r="U45" s="260"/>
      <c r="V45" s="260"/>
      <c r="W45" s="260"/>
      <c r="X45" s="260"/>
      <c r="Y45" s="260"/>
      <c r="Z45" s="260"/>
      <c r="AA45" s="260"/>
      <c r="AB45" s="260"/>
      <c r="AC45" s="260"/>
      <c r="AD45" s="260"/>
      <c r="AE45" s="260"/>
      <c r="AF45" s="260"/>
      <c r="AG45" s="260"/>
      <c r="AH45" s="260"/>
      <c r="AI45" s="260"/>
      <c r="AJ45" s="260"/>
      <c r="AK45" s="260"/>
      <c r="AL45" s="260"/>
      <c r="AM45" s="260"/>
      <c r="AN45" s="260"/>
      <c r="AO45" s="260"/>
      <c r="AP45" s="260"/>
      <c r="AQ45" s="260"/>
      <c r="AR45" s="260"/>
      <c r="AS45" s="260"/>
      <c r="AT45" s="260"/>
      <c r="AU45" s="260"/>
      <c r="AV45" s="260"/>
      <c r="AW45" s="260"/>
      <c r="AX45" s="260"/>
      <c r="AY45" s="260"/>
      <c r="AZ45" s="260"/>
    </row>
    <row r="46" spans="1:52" s="83" customFormat="1">
      <c r="A46" s="84"/>
      <c r="B46" s="84"/>
      <c r="C46" s="84"/>
      <c r="D46" s="84"/>
      <c r="F46" s="260"/>
      <c r="G46" s="260"/>
      <c r="H46" s="260"/>
      <c r="I46" s="260"/>
      <c r="J46" s="260"/>
      <c r="K46" s="260"/>
      <c r="L46" s="260"/>
      <c r="M46" s="260"/>
      <c r="N46" s="260"/>
      <c r="O46" s="260"/>
      <c r="P46" s="260"/>
      <c r="Q46" s="260"/>
      <c r="R46" s="260"/>
      <c r="S46" s="260"/>
      <c r="T46" s="260"/>
      <c r="U46" s="260"/>
      <c r="V46" s="260"/>
      <c r="W46" s="260"/>
      <c r="X46" s="260"/>
      <c r="Y46" s="260"/>
      <c r="Z46" s="260"/>
      <c r="AA46" s="260"/>
      <c r="AB46" s="260"/>
      <c r="AC46" s="260"/>
      <c r="AD46" s="260"/>
      <c r="AE46" s="260"/>
      <c r="AF46" s="260"/>
      <c r="AG46" s="260"/>
      <c r="AH46" s="260"/>
      <c r="AI46" s="260"/>
      <c r="AJ46" s="260"/>
      <c r="AK46" s="260"/>
      <c r="AL46" s="260"/>
      <c r="AM46" s="260"/>
      <c r="AN46" s="260"/>
      <c r="AO46" s="260"/>
      <c r="AP46" s="260"/>
      <c r="AQ46" s="260"/>
      <c r="AR46" s="260"/>
      <c r="AS46" s="260"/>
      <c r="AT46" s="260"/>
      <c r="AU46" s="260"/>
      <c r="AV46" s="260"/>
      <c r="AW46" s="260"/>
      <c r="AX46" s="260"/>
      <c r="AY46" s="260"/>
      <c r="AZ46" s="260"/>
    </row>
    <row r="47" spans="1:52" s="83" customFormat="1">
      <c r="A47" s="84"/>
      <c r="B47" s="84"/>
      <c r="C47" s="84"/>
      <c r="D47" s="84"/>
      <c r="F47" s="260"/>
      <c r="G47" s="260"/>
      <c r="H47" s="260"/>
      <c r="I47" s="260"/>
      <c r="J47" s="260"/>
      <c r="K47" s="260"/>
      <c r="L47" s="260"/>
      <c r="M47" s="260"/>
      <c r="N47" s="260"/>
      <c r="O47" s="260"/>
      <c r="P47" s="260"/>
      <c r="Q47" s="260"/>
      <c r="R47" s="260"/>
      <c r="S47" s="260"/>
      <c r="T47" s="260"/>
      <c r="U47" s="260"/>
      <c r="V47" s="260"/>
      <c r="W47" s="260"/>
      <c r="X47" s="260"/>
      <c r="Y47" s="260"/>
      <c r="Z47" s="260"/>
      <c r="AA47" s="260"/>
      <c r="AB47" s="260"/>
      <c r="AC47" s="260"/>
      <c r="AD47" s="260"/>
      <c r="AE47" s="260"/>
      <c r="AF47" s="260"/>
      <c r="AG47" s="260"/>
      <c r="AH47" s="260"/>
      <c r="AI47" s="260"/>
      <c r="AJ47" s="260"/>
      <c r="AK47" s="260"/>
      <c r="AL47" s="260"/>
      <c r="AM47" s="260"/>
      <c r="AN47" s="260"/>
      <c r="AO47" s="260"/>
      <c r="AP47" s="260"/>
      <c r="AQ47" s="260"/>
      <c r="AR47" s="260"/>
      <c r="AS47" s="260"/>
      <c r="AT47" s="260"/>
      <c r="AU47" s="260"/>
      <c r="AV47" s="260"/>
      <c r="AW47" s="260"/>
      <c r="AX47" s="260"/>
      <c r="AY47" s="260"/>
      <c r="AZ47" s="260"/>
    </row>
    <row r="48" spans="1:52" s="83" customFormat="1">
      <c r="A48" s="84"/>
      <c r="B48" s="84"/>
      <c r="C48" s="84"/>
      <c r="D48" s="84"/>
      <c r="F48" s="260"/>
      <c r="G48" s="260"/>
      <c r="H48" s="260"/>
      <c r="I48" s="260"/>
      <c r="J48" s="260"/>
      <c r="K48" s="260"/>
      <c r="L48" s="260"/>
      <c r="M48" s="260"/>
      <c r="N48" s="260"/>
      <c r="O48" s="260"/>
      <c r="P48" s="260"/>
      <c r="Q48" s="260"/>
      <c r="R48" s="260"/>
      <c r="S48" s="260"/>
      <c r="T48" s="260"/>
      <c r="U48" s="260"/>
      <c r="V48" s="260"/>
      <c r="W48" s="260"/>
      <c r="X48" s="260"/>
      <c r="Y48" s="260"/>
      <c r="Z48" s="260"/>
      <c r="AA48" s="260"/>
      <c r="AB48" s="260"/>
      <c r="AC48" s="260"/>
      <c r="AD48" s="260"/>
      <c r="AE48" s="260"/>
      <c r="AF48" s="260"/>
      <c r="AG48" s="260"/>
      <c r="AH48" s="260"/>
      <c r="AI48" s="260"/>
      <c r="AJ48" s="260"/>
      <c r="AK48" s="260"/>
      <c r="AL48" s="260"/>
      <c r="AM48" s="260"/>
      <c r="AN48" s="260"/>
      <c r="AO48" s="260"/>
      <c r="AP48" s="260"/>
      <c r="AQ48" s="260"/>
      <c r="AR48" s="260"/>
      <c r="AS48" s="260"/>
      <c r="AT48" s="260"/>
      <c r="AU48" s="260"/>
      <c r="AV48" s="260"/>
      <c r="AW48" s="260"/>
      <c r="AX48" s="260"/>
      <c r="AY48" s="260"/>
      <c r="AZ48" s="260"/>
    </row>
    <row r="49" spans="1:52" s="83" customFormat="1">
      <c r="A49" s="84"/>
      <c r="B49" s="84"/>
      <c r="C49" s="84"/>
      <c r="D49" s="84"/>
      <c r="F49" s="260"/>
      <c r="G49" s="260"/>
      <c r="H49" s="260"/>
      <c r="I49" s="260"/>
      <c r="J49" s="260"/>
      <c r="K49" s="260"/>
      <c r="L49" s="260"/>
      <c r="M49" s="260"/>
      <c r="N49" s="260"/>
      <c r="O49" s="260"/>
      <c r="P49" s="260"/>
      <c r="Q49" s="260"/>
      <c r="R49" s="260"/>
      <c r="S49" s="260"/>
      <c r="T49" s="260"/>
      <c r="U49" s="260"/>
      <c r="V49" s="260"/>
      <c r="W49" s="260"/>
      <c r="X49" s="260"/>
      <c r="Y49" s="260"/>
      <c r="Z49" s="260"/>
      <c r="AA49" s="260"/>
      <c r="AB49" s="260"/>
      <c r="AC49" s="260"/>
      <c r="AD49" s="260"/>
      <c r="AE49" s="260"/>
      <c r="AF49" s="260"/>
      <c r="AG49" s="260"/>
      <c r="AH49" s="260"/>
      <c r="AI49" s="260"/>
      <c r="AJ49" s="260"/>
      <c r="AK49" s="260"/>
      <c r="AL49" s="260"/>
      <c r="AM49" s="260"/>
      <c r="AN49" s="260"/>
      <c r="AO49" s="260"/>
      <c r="AP49" s="260"/>
      <c r="AQ49" s="260"/>
      <c r="AR49" s="260"/>
      <c r="AS49" s="260"/>
      <c r="AT49" s="260"/>
      <c r="AU49" s="260"/>
      <c r="AV49" s="260"/>
      <c r="AW49" s="260"/>
      <c r="AX49" s="260"/>
      <c r="AY49" s="260"/>
      <c r="AZ49" s="260"/>
    </row>
    <row r="50" spans="1:52" s="83" customFormat="1">
      <c r="A50" s="84"/>
      <c r="B50" s="84"/>
      <c r="C50" s="84"/>
      <c r="D50" s="84"/>
      <c r="F50" s="260"/>
      <c r="G50" s="260"/>
      <c r="H50" s="260"/>
      <c r="I50" s="260"/>
      <c r="J50" s="260"/>
      <c r="K50" s="260"/>
      <c r="L50" s="260"/>
      <c r="M50" s="260"/>
      <c r="N50" s="260"/>
      <c r="O50" s="260"/>
      <c r="P50" s="260"/>
      <c r="Q50" s="260"/>
      <c r="R50" s="260"/>
      <c r="S50" s="260"/>
      <c r="T50" s="260"/>
      <c r="U50" s="260"/>
      <c r="V50" s="260"/>
      <c r="W50" s="260"/>
      <c r="X50" s="260"/>
      <c r="Y50" s="260"/>
      <c r="Z50" s="260"/>
      <c r="AA50" s="260"/>
      <c r="AB50" s="260"/>
      <c r="AC50" s="260"/>
      <c r="AD50" s="260"/>
      <c r="AE50" s="260"/>
      <c r="AF50" s="260"/>
      <c r="AG50" s="260"/>
      <c r="AH50" s="260"/>
      <c r="AI50" s="260"/>
      <c r="AJ50" s="260"/>
      <c r="AK50" s="260"/>
      <c r="AL50" s="260"/>
      <c r="AM50" s="260"/>
      <c r="AN50" s="260"/>
      <c r="AO50" s="260"/>
      <c r="AP50" s="260"/>
      <c r="AQ50" s="260"/>
      <c r="AR50" s="260"/>
      <c r="AS50" s="260"/>
      <c r="AT50" s="260"/>
      <c r="AU50" s="260"/>
      <c r="AV50" s="260"/>
      <c r="AW50" s="260"/>
      <c r="AX50" s="260"/>
      <c r="AY50" s="260"/>
      <c r="AZ50" s="260"/>
    </row>
    <row r="51" spans="1:52" s="83" customFormat="1">
      <c r="A51" s="84"/>
      <c r="B51" s="84"/>
      <c r="C51" s="84"/>
      <c r="D51" s="84"/>
      <c r="F51" s="260"/>
      <c r="G51" s="260"/>
      <c r="H51" s="260"/>
      <c r="I51" s="260"/>
      <c r="J51" s="260"/>
      <c r="K51" s="260"/>
      <c r="L51" s="260"/>
      <c r="M51" s="260"/>
      <c r="N51" s="260"/>
      <c r="O51" s="260"/>
      <c r="P51" s="260"/>
      <c r="Q51" s="260"/>
      <c r="R51" s="260"/>
      <c r="S51" s="260"/>
      <c r="T51" s="260"/>
      <c r="U51" s="260"/>
      <c r="V51" s="260"/>
      <c r="W51" s="260"/>
      <c r="X51" s="260"/>
      <c r="Y51" s="260"/>
      <c r="Z51" s="260"/>
      <c r="AA51" s="260"/>
      <c r="AB51" s="260"/>
      <c r="AC51" s="260"/>
      <c r="AD51" s="260"/>
      <c r="AE51" s="260"/>
      <c r="AF51" s="260"/>
      <c r="AG51" s="260"/>
      <c r="AH51" s="260"/>
      <c r="AI51" s="260"/>
      <c r="AJ51" s="260"/>
      <c r="AK51" s="260"/>
      <c r="AL51" s="260"/>
      <c r="AM51" s="260"/>
      <c r="AN51" s="260"/>
      <c r="AO51" s="260"/>
      <c r="AP51" s="260"/>
      <c r="AQ51" s="260"/>
      <c r="AR51" s="260"/>
      <c r="AS51" s="260"/>
      <c r="AT51" s="260"/>
      <c r="AU51" s="260"/>
      <c r="AV51" s="260"/>
      <c r="AW51" s="260"/>
      <c r="AX51" s="260"/>
      <c r="AY51" s="260"/>
      <c r="AZ51" s="260"/>
    </row>
    <row r="52" spans="1:52" s="83" customFormat="1">
      <c r="A52" s="84"/>
      <c r="B52" s="84"/>
      <c r="C52" s="84"/>
      <c r="D52" s="84"/>
      <c r="F52" s="260"/>
      <c r="G52" s="260"/>
      <c r="H52" s="260"/>
      <c r="I52" s="260"/>
      <c r="J52" s="260"/>
      <c r="K52" s="260"/>
      <c r="L52" s="260"/>
      <c r="M52" s="260"/>
      <c r="N52" s="260"/>
      <c r="O52" s="260"/>
      <c r="P52" s="260"/>
      <c r="Q52" s="260"/>
      <c r="R52" s="260"/>
      <c r="S52" s="260"/>
      <c r="T52" s="260"/>
      <c r="U52" s="260"/>
      <c r="V52" s="260"/>
      <c r="W52" s="260"/>
      <c r="X52" s="260"/>
      <c r="Y52" s="260"/>
      <c r="Z52" s="260"/>
      <c r="AA52" s="260"/>
      <c r="AB52" s="260"/>
      <c r="AC52" s="260"/>
      <c r="AD52" s="260"/>
      <c r="AE52" s="260"/>
      <c r="AF52" s="260"/>
      <c r="AG52" s="260"/>
      <c r="AH52" s="260"/>
      <c r="AI52" s="260"/>
      <c r="AJ52" s="260"/>
      <c r="AK52" s="260"/>
      <c r="AL52" s="260"/>
      <c r="AM52" s="260"/>
      <c r="AN52" s="260"/>
      <c r="AO52" s="260"/>
      <c r="AP52" s="260"/>
      <c r="AQ52" s="260"/>
      <c r="AR52" s="260"/>
      <c r="AS52" s="260"/>
      <c r="AT52" s="260"/>
      <c r="AU52" s="260"/>
      <c r="AV52" s="260"/>
      <c r="AW52" s="260"/>
      <c r="AX52" s="260"/>
      <c r="AY52" s="260"/>
      <c r="AZ52" s="260"/>
    </row>
  </sheetData>
  <sheetProtection sheet="1" objects="1" scenarios="1" selectLockedCells="1"/>
  <mergeCells count="24">
    <mergeCell ref="AX2:AZ2"/>
    <mergeCell ref="F2:H2"/>
    <mergeCell ref="J2:L2"/>
    <mergeCell ref="N2:P2"/>
    <mergeCell ref="R2:T2"/>
    <mergeCell ref="V2:X2"/>
    <mergeCell ref="Z2:AB2"/>
    <mergeCell ref="AD2:AF2"/>
    <mergeCell ref="AH2:AJ2"/>
    <mergeCell ref="AL2:AN2"/>
    <mergeCell ref="AP2:AR2"/>
    <mergeCell ref="AT2:AV2"/>
    <mergeCell ref="AX3:AZ3"/>
    <mergeCell ref="F3:H3"/>
    <mergeCell ref="J3:L3"/>
    <mergeCell ref="N3:P3"/>
    <mergeCell ref="R3:T3"/>
    <mergeCell ref="V3:X3"/>
    <mergeCell ref="Z3:AB3"/>
    <mergeCell ref="AD3:AF3"/>
    <mergeCell ref="AH3:AJ3"/>
    <mergeCell ref="AL3:AN3"/>
    <mergeCell ref="AP3:AR3"/>
    <mergeCell ref="AT3:AV3"/>
  </mergeCells>
  <phoneticPr fontId="2"/>
  <conditionalFormatting sqref="G5:G35 K5:K33 O5:O35 S5:S34 W5:W35 AA5:AA34 AE5:AE35 AI5:AI35 AM5:AM34 AQ5:AQ35 AU5:AU34 AY5:AY35">
    <cfRule type="expression" dxfId="8" priority="1">
      <formula>WEEKDAY(G5)=7</formula>
    </cfRule>
    <cfRule type="expression" dxfId="7" priority="2">
      <formula>WEEKDAY(G5)=1</formula>
    </cfRule>
  </conditionalFormatting>
  <dataValidations count="1">
    <dataValidation type="list" allowBlank="1" showInputMessage="1" showErrorMessage="1" sqref="H5:H35 AJ5:AJ35 AN5:AN34 AV5:AV34 P5:P35 AR5:AR35 L5:L33 T5:T34 AB5:AB34 X5:X35 AF5:AF35 AZ5:AZ35">
      <formula1>LIST_CALENDAR_KBN</formula1>
    </dataValidation>
  </dataValidations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BP68"/>
  <sheetViews>
    <sheetView workbookViewId="0">
      <selection activeCell="I1" sqref="I1"/>
    </sheetView>
  </sheetViews>
  <sheetFormatPr defaultRowHeight="13.5"/>
  <cols>
    <col min="1" max="1" width="4" style="130" customWidth="1"/>
    <col min="2" max="2" width="7.625" style="130" customWidth="1"/>
    <col min="3" max="4" width="19.875" style="130" customWidth="1"/>
    <col min="5" max="5" width="23.125" style="124" customWidth="1"/>
    <col min="6" max="7" width="7.5" style="130" customWidth="1"/>
    <col min="8" max="8" width="9" style="130"/>
    <col min="9" max="9" width="6.125" style="130" customWidth="1"/>
    <col min="10" max="10" width="4" style="130" bestFit="1" customWidth="1"/>
    <col min="11" max="11" width="4" style="130" customWidth="1"/>
    <col min="12" max="12" width="4.75" style="130" customWidth="1"/>
    <col min="13" max="13" width="7.125" style="130" customWidth="1"/>
    <col min="14" max="14" width="4" style="130" bestFit="1" customWidth="1"/>
    <col min="15" max="15" width="4" style="130" customWidth="1"/>
    <col min="16" max="16" width="4.75" style="130" customWidth="1"/>
    <col min="17" max="17" width="7.125" style="130" customWidth="1"/>
    <col min="18" max="18" width="4" style="130" bestFit="1" customWidth="1"/>
    <col min="19" max="19" width="4" style="130" customWidth="1"/>
    <col min="20" max="20" width="4.75" style="130" customWidth="1"/>
    <col min="21" max="21" width="7.125" style="130" customWidth="1"/>
    <col min="22" max="22" width="4" style="130" bestFit="1" customWidth="1"/>
    <col min="23" max="23" width="4" style="130" customWidth="1"/>
    <col min="24" max="24" width="4.75" style="130" customWidth="1"/>
    <col min="25" max="25" width="7.125" style="130" customWidth="1"/>
    <col min="26" max="26" width="4" style="130" bestFit="1" customWidth="1"/>
    <col min="27" max="27" width="4" style="130" customWidth="1"/>
    <col min="28" max="28" width="4.75" style="130" customWidth="1"/>
    <col min="29" max="29" width="7.125" style="130" customWidth="1"/>
    <col min="30" max="30" width="4" style="130" bestFit="1" customWidth="1"/>
    <col min="31" max="31" width="4" style="130" customWidth="1"/>
    <col min="32" max="32" width="4.75" style="130" customWidth="1"/>
    <col min="33" max="33" width="7.125" style="130" customWidth="1"/>
    <col min="34" max="34" width="4" style="130" bestFit="1" customWidth="1"/>
    <col min="35" max="35" width="4" style="130" customWidth="1"/>
    <col min="36" max="36" width="4.75" style="130" customWidth="1"/>
    <col min="37" max="37" width="7.125" style="130" customWidth="1"/>
    <col min="38" max="38" width="4" style="130" bestFit="1" customWidth="1"/>
    <col min="39" max="39" width="4" style="130" customWidth="1"/>
    <col min="40" max="40" width="4.75" style="130" customWidth="1"/>
    <col min="41" max="41" width="7.125" style="130" customWidth="1"/>
    <col min="42" max="42" width="4" style="130" bestFit="1" customWidth="1"/>
    <col min="43" max="43" width="4" style="130" customWidth="1"/>
    <col min="44" max="44" width="4.75" style="130" customWidth="1"/>
    <col min="45" max="45" width="7.125" style="130" customWidth="1"/>
    <col min="46" max="46" width="4" style="130" bestFit="1" customWidth="1"/>
    <col min="47" max="47" width="4" style="130" customWidth="1"/>
    <col min="48" max="48" width="4.75" style="130" customWidth="1"/>
    <col min="49" max="49" width="7.125" style="130" customWidth="1"/>
    <col min="50" max="50" width="4" style="130" bestFit="1" customWidth="1"/>
    <col min="51" max="51" width="4" style="130" customWidth="1"/>
    <col min="52" max="52" width="4.75" style="130" customWidth="1"/>
    <col min="53" max="53" width="7.125" style="130" customWidth="1"/>
    <col min="54" max="54" width="4" style="130" bestFit="1" customWidth="1"/>
    <col min="55" max="55" width="4" style="130" customWidth="1"/>
    <col min="56" max="56" width="4.75" style="130" customWidth="1"/>
    <col min="57" max="63" width="9" style="130"/>
    <col min="64" max="67" width="9" style="124"/>
    <col min="68" max="68" width="9" style="243"/>
    <col min="69" max="16384" width="9" style="130"/>
  </cols>
  <sheetData>
    <row r="1" spans="1:68">
      <c r="D1" s="129"/>
      <c r="BK1" s="241"/>
      <c r="BL1" s="378"/>
      <c r="BM1" s="378"/>
      <c r="BN1" s="378"/>
      <c r="BO1" s="378"/>
      <c r="BP1" s="379"/>
    </row>
    <row r="2" spans="1:68">
      <c r="B2" s="85" t="s">
        <v>103</v>
      </c>
      <c r="D2" s="129"/>
      <c r="J2" s="85" t="s">
        <v>121</v>
      </c>
      <c r="BF2" s="130" t="s">
        <v>811</v>
      </c>
      <c r="BG2" s="129" t="s">
        <v>1900</v>
      </c>
      <c r="BH2" s="246" t="e">
        <f ca="1">IF(BP2="",FALSE,TRUE)</f>
        <v>#NUM!</v>
      </c>
      <c r="BI2" s="246">
        <f>UNMM0131_IF_SAVE_W_USER_ID</f>
        <v>0</v>
      </c>
      <c r="BJ2" s="246">
        <f ca="1">UNMM0131_IF_SAVE_W_SERIAL</f>
        <v>42991.659979282405</v>
      </c>
      <c r="BK2" s="246">
        <f>1+ROW()-ROW(UNMM0131_IF_SAVE_COPY_START)</f>
        <v>-3</v>
      </c>
      <c r="BL2" s="380">
        <f>UNMM0131_IF_SAVE_W_MODE</f>
        <v>1</v>
      </c>
      <c r="BM2" s="380">
        <f>UNMM0131_H_YEAR</f>
        <v>0</v>
      </c>
      <c r="BN2" s="381" t="e">
        <f>IF((ROW()-ROW(UNMM0131_IF_SAVE_COPY_START))=0,MONTH(DATE(UNMM0131_H_YEAR,1,1)),MONTH(DATE(UNMM0131_H_YEAR,1,1)+ROW()-ROW(UNMM0131_IF_SAVE_COPY_START)))</f>
        <v>#NUM!</v>
      </c>
      <c r="BO2" s="381" t="e">
        <f>IF((ROW()-ROW(UNMM0131_IF_SAVE_COPY_START))=0,DAY(DATE(UNMM0131_H_YEAR,1,1)),DAY(DATE(UNMM0131_H_YEAR,1,1)+ROW()-ROW(UNMM0131_IF_SAVE_COPY_START)))</f>
        <v>#NUM!</v>
      </c>
      <c r="BP2" s="382" t="e">
        <f ca="1">IF(INDIRECT("UNMM0131_B!"&amp;ADDRESS(ROW(UNMM0131_B_KBN_1)+BO2,COLUMN(UNMM0131_B_KBN_1)+(BN2-1)*4))="","",
VLOOKUP(INDIRECT("UNMM0131_B!"&amp;ADDRESS(ROW(UNMM0131_B_KBN_1)+BO2,COLUMN(UNMM0131_B_KBN_1)+(BN2-1)*4)),OFFSET(LIST_CALENDAR_KBN_TENKAIICHI,0,0,LIST_CALENDAR_KBN_KENSU,2),2,0))</f>
        <v>#NUM!</v>
      </c>
    </row>
    <row r="3" spans="1:68">
      <c r="C3" s="130" t="s">
        <v>39</v>
      </c>
      <c r="D3" s="129" t="s">
        <v>1901</v>
      </c>
      <c r="E3" s="131">
        <v>0</v>
      </c>
      <c r="F3" s="23" t="s">
        <v>1902</v>
      </c>
      <c r="G3" s="23" t="s">
        <v>56</v>
      </c>
      <c r="BL3" s="378"/>
      <c r="BM3" s="378"/>
      <c r="BO3" s="378"/>
      <c r="BP3" s="383"/>
    </row>
    <row r="4" spans="1:68">
      <c r="D4" s="129"/>
      <c r="F4" s="23"/>
      <c r="G4" s="23"/>
      <c r="J4" s="717" t="s">
        <v>804</v>
      </c>
      <c r="K4" s="717"/>
      <c r="L4" s="717"/>
      <c r="M4" s="717"/>
      <c r="N4" s="717"/>
      <c r="O4" s="717"/>
      <c r="P4" s="243" t="s">
        <v>1903</v>
      </c>
      <c r="BH4" s="85" t="s">
        <v>76</v>
      </c>
      <c r="BL4" s="378"/>
      <c r="BM4" s="378"/>
      <c r="BO4" s="142"/>
      <c r="BP4" s="379"/>
    </row>
    <row r="5" spans="1:68" ht="16.5">
      <c r="B5" s="85" t="s">
        <v>41</v>
      </c>
      <c r="D5" s="129"/>
      <c r="F5" s="85" t="s">
        <v>49</v>
      </c>
      <c r="J5" s="375">
        <v>1</v>
      </c>
      <c r="K5" s="376">
        <f>DATE(UNMM0131_H_YEAR,UNMM0131_B_MONTH_1,J5)</f>
        <v>1</v>
      </c>
      <c r="L5" s="375"/>
      <c r="M5" s="260"/>
      <c r="N5" s="375">
        <v>1</v>
      </c>
      <c r="O5" s="376">
        <f>DATE(UNMM0131_H_YEAR,UNMM0131_B_MONTH_2,N5)</f>
        <v>32</v>
      </c>
      <c r="P5" s="375"/>
      <c r="Q5" s="260"/>
      <c r="R5" s="375">
        <v>1</v>
      </c>
      <c r="S5" s="376">
        <f>DATE(UNMM0131_H_YEAR,UNMM0131_B_MONTH_3,R5)</f>
        <v>61</v>
      </c>
      <c r="T5" s="375"/>
      <c r="U5" s="260"/>
      <c r="V5" s="375">
        <v>1</v>
      </c>
      <c r="W5" s="376">
        <f>DATE(UNMM0131_H_YEAR,UNMM0131_B_MONTH_4,V5)</f>
        <v>92</v>
      </c>
      <c r="X5" s="375"/>
      <c r="Y5" s="260"/>
      <c r="Z5" s="375">
        <v>1</v>
      </c>
      <c r="AA5" s="376">
        <f>DATE(UNMM0131_H_YEAR,UNMM0131_B_MONTH_5,Z5)</f>
        <v>122</v>
      </c>
      <c r="AB5" s="375"/>
      <c r="AC5" s="260"/>
      <c r="AD5" s="375">
        <v>1</v>
      </c>
      <c r="AE5" s="376">
        <f>DATE(UNMM0131_H_YEAR,UNMM0131_B_MONTH_6,AD5)</f>
        <v>153</v>
      </c>
      <c r="AF5" s="375"/>
      <c r="AG5" s="260"/>
      <c r="AH5" s="375">
        <v>1</v>
      </c>
      <c r="AI5" s="376">
        <f>DATE(UNMM0131_H_YEAR,UNMM0131_B_MONTH_7,AH5)</f>
        <v>183</v>
      </c>
      <c r="AJ5" s="375"/>
      <c r="AK5" s="260"/>
      <c r="AL5" s="375">
        <v>1</v>
      </c>
      <c r="AM5" s="376">
        <f>DATE(UNMM0131_H_YEAR,UNMM0131_B_MONTH_8,AL5)</f>
        <v>214</v>
      </c>
      <c r="AN5" s="375"/>
      <c r="AO5" s="260"/>
      <c r="AP5" s="375">
        <v>1</v>
      </c>
      <c r="AQ5" s="376">
        <f>DATE(UNMM0131_H_YEAR,UNMM0131_B_MONTH_9,AP5)</f>
        <v>245</v>
      </c>
      <c r="AR5" s="375"/>
      <c r="AS5" s="260"/>
      <c r="AT5" s="375">
        <v>1</v>
      </c>
      <c r="AU5" s="376">
        <f>DATE(UNMM0131_H_YEAR,UNMM0131_B_MONTH_10,AT5)</f>
        <v>275</v>
      </c>
      <c r="AV5" s="375"/>
      <c r="AW5" s="260"/>
      <c r="AX5" s="375">
        <v>1</v>
      </c>
      <c r="AY5" s="376">
        <f>DATE(UNMM0131_H_YEAR,UNMM0131_B_MONTH_11,AX5)</f>
        <v>306</v>
      </c>
      <c r="AZ5" s="375"/>
      <c r="BA5" s="260"/>
      <c r="BB5" s="375">
        <v>1</v>
      </c>
      <c r="BC5" s="376">
        <f>DATE(UNMM0131_H_YEAR,UNMM0131_B_MONTH_12,BB5)</f>
        <v>336</v>
      </c>
      <c r="BD5" s="375"/>
      <c r="BF5" s="130" t="s">
        <v>814</v>
      </c>
      <c r="BG5" s="129" t="s">
        <v>1904</v>
      </c>
      <c r="BH5" s="248" t="s">
        <v>814</v>
      </c>
      <c r="BI5" s="242" t="s">
        <v>1905</v>
      </c>
      <c r="BJ5" s="242" t="s">
        <v>1906</v>
      </c>
      <c r="BK5" s="242" t="s">
        <v>817</v>
      </c>
      <c r="BL5" s="242" t="s">
        <v>1907</v>
      </c>
      <c r="BM5" s="219" t="s">
        <v>1908</v>
      </c>
      <c r="BN5" s="242" t="s">
        <v>1866</v>
      </c>
      <c r="BO5" s="242" t="s">
        <v>1648</v>
      </c>
      <c r="BP5" s="384" t="s">
        <v>1909</v>
      </c>
    </row>
    <row r="6" spans="1:68" ht="16.5">
      <c r="C6" s="130" t="s">
        <v>43</v>
      </c>
      <c r="D6" s="129" t="s">
        <v>1910</v>
      </c>
      <c r="E6" s="131" t="str">
        <f>IF(UNMM0131_IF_MODE=1,"修正キャンセル","修正")</f>
        <v>修正</v>
      </c>
      <c r="F6" s="130" t="s">
        <v>1911</v>
      </c>
      <c r="G6" s="130" t="s">
        <v>1912</v>
      </c>
      <c r="J6" s="375">
        <v>2</v>
      </c>
      <c r="K6" s="376">
        <f>DATE(UNMM0131_H_YEAR,UNMM0131_B_MONTH_1,J6)</f>
        <v>2</v>
      </c>
      <c r="L6" s="375"/>
      <c r="M6" s="260"/>
      <c r="N6" s="375">
        <v>2</v>
      </c>
      <c r="O6" s="376">
        <f>DATE(UNMM0131_H_YEAR,UNMM0131_B_MONTH_2,N6)</f>
        <v>33</v>
      </c>
      <c r="P6" s="375"/>
      <c r="Q6" s="260"/>
      <c r="R6" s="375">
        <v>2</v>
      </c>
      <c r="S6" s="376">
        <f>DATE(UNMM0131_H_YEAR,UNMM0131_B_MONTH_3,R6)</f>
        <v>62</v>
      </c>
      <c r="T6" s="375"/>
      <c r="U6" s="260"/>
      <c r="V6" s="375">
        <v>2</v>
      </c>
      <c r="W6" s="376">
        <f>DATE(UNMM0131_H_YEAR,UNMM0131_B_MONTH_4,V6)</f>
        <v>93</v>
      </c>
      <c r="X6" s="375"/>
      <c r="Y6" s="260"/>
      <c r="Z6" s="375">
        <v>2</v>
      </c>
      <c r="AA6" s="376">
        <f>DATE(UNMM0131_H_YEAR,UNMM0131_B_MONTH_5,Z6)</f>
        <v>123</v>
      </c>
      <c r="AB6" s="375"/>
      <c r="AC6" s="260"/>
      <c r="AD6" s="375">
        <v>2</v>
      </c>
      <c r="AE6" s="376">
        <f>DATE(UNMM0131_H_YEAR,UNMM0131_B_MONTH_6,AD6)</f>
        <v>154</v>
      </c>
      <c r="AF6" s="375"/>
      <c r="AG6" s="260"/>
      <c r="AH6" s="375">
        <v>2</v>
      </c>
      <c r="AI6" s="376">
        <f>DATE(UNMM0131_H_YEAR,UNMM0131_B_MONTH_7,AH6)</f>
        <v>184</v>
      </c>
      <c r="AJ6" s="375"/>
      <c r="AK6" s="260"/>
      <c r="AL6" s="375">
        <v>2</v>
      </c>
      <c r="AM6" s="376">
        <f>DATE(UNMM0131_H_YEAR,UNMM0131_B_MONTH_8,AL6)</f>
        <v>215</v>
      </c>
      <c r="AN6" s="375"/>
      <c r="AO6" s="260"/>
      <c r="AP6" s="375">
        <v>2</v>
      </c>
      <c r="AQ6" s="376">
        <f>DATE(UNMM0131_H_YEAR,UNMM0131_B_MONTH_9,AP6)</f>
        <v>246</v>
      </c>
      <c r="AR6" s="375"/>
      <c r="AS6" s="260"/>
      <c r="AT6" s="375">
        <v>2</v>
      </c>
      <c r="AU6" s="376">
        <f>DATE(UNMM0131_H_YEAR,UNMM0131_B_MONTH_10,AT6)</f>
        <v>276</v>
      </c>
      <c r="AV6" s="375"/>
      <c r="AW6" s="260"/>
      <c r="AX6" s="375">
        <v>2</v>
      </c>
      <c r="AY6" s="376">
        <f>DATE(UNMM0131_H_YEAR,UNMM0131_B_MONTH_11,AX6)</f>
        <v>307</v>
      </c>
      <c r="AZ6" s="375"/>
      <c r="BA6" s="260"/>
      <c r="BB6" s="375">
        <v>2</v>
      </c>
      <c r="BC6" s="376">
        <f>DATE(UNMM0131_H_YEAR,UNMM0131_B_MONTH_12,BB6)</f>
        <v>337</v>
      </c>
      <c r="BD6" s="375"/>
      <c r="BF6" s="130" t="s">
        <v>822</v>
      </c>
      <c r="BG6" s="129" t="s">
        <v>1913</v>
      </c>
      <c r="BH6" s="246"/>
    </row>
    <row r="7" spans="1:68" ht="16.5">
      <c r="D7" s="129"/>
      <c r="J7" s="375">
        <v>3</v>
      </c>
      <c r="K7" s="376">
        <f>DATE(UNMM0131_H_YEAR,UNMM0131_B_MONTH_1,J7)</f>
        <v>3</v>
      </c>
      <c r="L7" s="375"/>
      <c r="M7" s="260"/>
      <c r="N7" s="375">
        <v>3</v>
      </c>
      <c r="O7" s="376">
        <f>DATE(UNMM0131_H_YEAR,UNMM0131_B_MONTH_2,N7)</f>
        <v>34</v>
      </c>
      <c r="P7" s="375"/>
      <c r="Q7" s="260"/>
      <c r="R7" s="375">
        <v>3</v>
      </c>
      <c r="S7" s="376">
        <f>DATE(UNMM0131_H_YEAR,UNMM0131_B_MONTH_3,R7)</f>
        <v>63</v>
      </c>
      <c r="T7" s="375"/>
      <c r="U7" s="260"/>
      <c r="V7" s="375">
        <v>3</v>
      </c>
      <c r="W7" s="376">
        <f>DATE(UNMM0131_H_YEAR,UNMM0131_B_MONTH_4,V7)</f>
        <v>94</v>
      </c>
      <c r="X7" s="375"/>
      <c r="Y7" s="260"/>
      <c r="Z7" s="375">
        <v>3</v>
      </c>
      <c r="AA7" s="376">
        <f>DATE(UNMM0131_H_YEAR,UNMM0131_B_MONTH_5,Z7)</f>
        <v>124</v>
      </c>
      <c r="AB7" s="375"/>
      <c r="AC7" s="260"/>
      <c r="AD7" s="375">
        <v>3</v>
      </c>
      <c r="AE7" s="376">
        <f>DATE(UNMM0131_H_YEAR,UNMM0131_B_MONTH_6,AD7)</f>
        <v>155</v>
      </c>
      <c r="AF7" s="375"/>
      <c r="AG7" s="260"/>
      <c r="AH7" s="375">
        <v>3</v>
      </c>
      <c r="AI7" s="376">
        <f>DATE(UNMM0131_H_YEAR,UNMM0131_B_MONTH_7,AH7)</f>
        <v>185</v>
      </c>
      <c r="AJ7" s="375"/>
      <c r="AK7" s="260"/>
      <c r="AL7" s="375">
        <v>3</v>
      </c>
      <c r="AM7" s="376">
        <f>DATE(UNMM0131_H_YEAR,UNMM0131_B_MONTH_8,AL7)</f>
        <v>216</v>
      </c>
      <c r="AN7" s="375"/>
      <c r="AO7" s="260"/>
      <c r="AP7" s="375">
        <v>3</v>
      </c>
      <c r="AQ7" s="376">
        <f>DATE(UNMM0131_H_YEAR,UNMM0131_B_MONTH_9,AP7)</f>
        <v>247</v>
      </c>
      <c r="AR7" s="375"/>
      <c r="AS7" s="260"/>
      <c r="AT7" s="375">
        <v>3</v>
      </c>
      <c r="AU7" s="376">
        <f>DATE(UNMM0131_H_YEAR,UNMM0131_B_MONTH_10,AT7)</f>
        <v>277</v>
      </c>
      <c r="AV7" s="375"/>
      <c r="AW7" s="260"/>
      <c r="AX7" s="375">
        <v>3</v>
      </c>
      <c r="AY7" s="376">
        <f>DATE(UNMM0131_H_YEAR,UNMM0131_B_MONTH_11,AX7)</f>
        <v>308</v>
      </c>
      <c r="AZ7" s="375"/>
      <c r="BA7" s="260"/>
      <c r="BB7" s="375">
        <v>3</v>
      </c>
      <c r="BC7" s="376">
        <f>DATE(UNMM0131_H_YEAR,UNMM0131_B_MONTH_12,BB7)</f>
        <v>338</v>
      </c>
      <c r="BD7" s="375"/>
    </row>
    <row r="8" spans="1:68" ht="16.5">
      <c r="B8" s="85" t="s">
        <v>45</v>
      </c>
      <c r="D8" s="129"/>
      <c r="F8" s="85" t="s">
        <v>49</v>
      </c>
      <c r="J8" s="375">
        <v>4</v>
      </c>
      <c r="K8" s="376">
        <f>DATE(UNMM0131_H_YEAR,UNMM0131_B_MONTH_1,J8)</f>
        <v>4</v>
      </c>
      <c r="L8" s="375"/>
      <c r="M8" s="260"/>
      <c r="N8" s="375">
        <v>4</v>
      </c>
      <c r="O8" s="376">
        <f>DATE(UNMM0131_H_YEAR,UNMM0131_B_MONTH_2,N8)</f>
        <v>35</v>
      </c>
      <c r="P8" s="375"/>
      <c r="Q8" s="260"/>
      <c r="R8" s="375">
        <v>4</v>
      </c>
      <c r="S8" s="376">
        <f>DATE(UNMM0131_H_YEAR,UNMM0131_B_MONTH_3,R8)</f>
        <v>64</v>
      </c>
      <c r="T8" s="375"/>
      <c r="U8" s="260"/>
      <c r="V8" s="375">
        <v>4</v>
      </c>
      <c r="W8" s="376">
        <f>DATE(UNMM0131_H_YEAR,UNMM0131_B_MONTH_4,V8)</f>
        <v>95</v>
      </c>
      <c r="X8" s="375"/>
      <c r="Y8" s="260"/>
      <c r="Z8" s="375">
        <v>4</v>
      </c>
      <c r="AA8" s="376">
        <f>DATE(UNMM0131_H_YEAR,UNMM0131_B_MONTH_5,Z8)</f>
        <v>125</v>
      </c>
      <c r="AB8" s="375"/>
      <c r="AC8" s="260"/>
      <c r="AD8" s="375">
        <v>4</v>
      </c>
      <c r="AE8" s="376">
        <f>DATE(UNMM0131_H_YEAR,UNMM0131_B_MONTH_6,AD8)</f>
        <v>156</v>
      </c>
      <c r="AF8" s="375"/>
      <c r="AG8" s="260"/>
      <c r="AH8" s="375">
        <v>4</v>
      </c>
      <c r="AI8" s="376">
        <f>DATE(UNMM0131_H_YEAR,UNMM0131_B_MONTH_7,AH8)</f>
        <v>186</v>
      </c>
      <c r="AJ8" s="375"/>
      <c r="AK8" s="260"/>
      <c r="AL8" s="375">
        <v>4</v>
      </c>
      <c r="AM8" s="376">
        <f>DATE(UNMM0131_H_YEAR,UNMM0131_B_MONTH_8,AL8)</f>
        <v>217</v>
      </c>
      <c r="AN8" s="375"/>
      <c r="AO8" s="260"/>
      <c r="AP8" s="375">
        <v>4</v>
      </c>
      <c r="AQ8" s="376">
        <f>DATE(UNMM0131_H_YEAR,UNMM0131_B_MONTH_9,AP8)</f>
        <v>248</v>
      </c>
      <c r="AR8" s="375"/>
      <c r="AS8" s="260"/>
      <c r="AT8" s="375">
        <v>4</v>
      </c>
      <c r="AU8" s="376">
        <f>DATE(UNMM0131_H_YEAR,UNMM0131_B_MONTH_10,AT8)</f>
        <v>278</v>
      </c>
      <c r="AV8" s="375"/>
      <c r="AW8" s="260"/>
      <c r="AX8" s="375">
        <v>4</v>
      </c>
      <c r="AY8" s="376">
        <f>DATE(UNMM0131_H_YEAR,UNMM0131_B_MONTH_11,AX8)</f>
        <v>309</v>
      </c>
      <c r="AZ8" s="375"/>
      <c r="BA8" s="260"/>
      <c r="BB8" s="375">
        <v>4</v>
      </c>
      <c r="BC8" s="376">
        <f>DATE(UNMM0131_H_YEAR,UNMM0131_B_MONTH_12,BB8)</f>
        <v>339</v>
      </c>
      <c r="BD8" s="375"/>
    </row>
    <row r="9" spans="1:68" ht="16.5">
      <c r="B9" s="85"/>
      <c r="C9" s="130" t="s">
        <v>1914</v>
      </c>
      <c r="D9" s="129" t="s">
        <v>1915</v>
      </c>
      <c r="E9" s="131">
        <f>IF(UNMM0131_IF_MODE=1,2,1)</f>
        <v>1</v>
      </c>
      <c r="F9" s="130" t="s">
        <v>64</v>
      </c>
      <c r="G9" s="130" t="s">
        <v>63</v>
      </c>
      <c r="J9" s="375">
        <v>5</v>
      </c>
      <c r="K9" s="376">
        <f>DATE(UNMM0131_H_YEAR,UNMM0131_B_MONTH_1,J9)</f>
        <v>5</v>
      </c>
      <c r="L9" s="375"/>
      <c r="M9" s="260"/>
      <c r="N9" s="375">
        <v>5</v>
      </c>
      <c r="O9" s="376">
        <f>DATE(UNMM0131_H_YEAR,UNMM0131_B_MONTH_2,N9)</f>
        <v>36</v>
      </c>
      <c r="P9" s="375"/>
      <c r="Q9" s="260"/>
      <c r="R9" s="375">
        <v>5</v>
      </c>
      <c r="S9" s="376">
        <f>DATE(UNMM0131_H_YEAR,UNMM0131_B_MONTH_3,R9)</f>
        <v>65</v>
      </c>
      <c r="T9" s="375"/>
      <c r="U9" s="260"/>
      <c r="V9" s="375">
        <v>5</v>
      </c>
      <c r="W9" s="376">
        <f>DATE(UNMM0131_H_YEAR,UNMM0131_B_MONTH_4,V9)</f>
        <v>96</v>
      </c>
      <c r="X9" s="375"/>
      <c r="Y9" s="260"/>
      <c r="Z9" s="375">
        <v>5</v>
      </c>
      <c r="AA9" s="376">
        <f>DATE(UNMM0131_H_YEAR,UNMM0131_B_MONTH_5,Z9)</f>
        <v>126</v>
      </c>
      <c r="AB9" s="375"/>
      <c r="AC9" s="260"/>
      <c r="AD9" s="375">
        <v>5</v>
      </c>
      <c r="AE9" s="376">
        <f>DATE(UNMM0131_H_YEAR,UNMM0131_B_MONTH_6,AD9)</f>
        <v>157</v>
      </c>
      <c r="AF9" s="375"/>
      <c r="AG9" s="260"/>
      <c r="AH9" s="375">
        <v>5</v>
      </c>
      <c r="AI9" s="376">
        <f>DATE(UNMM0131_H_YEAR,UNMM0131_B_MONTH_7,AH9)</f>
        <v>187</v>
      </c>
      <c r="AJ9" s="375"/>
      <c r="AK9" s="260"/>
      <c r="AL9" s="375">
        <v>5</v>
      </c>
      <c r="AM9" s="376">
        <f>DATE(UNMM0131_H_YEAR,UNMM0131_B_MONTH_8,AL9)</f>
        <v>218</v>
      </c>
      <c r="AN9" s="375"/>
      <c r="AO9" s="260"/>
      <c r="AP9" s="375">
        <v>5</v>
      </c>
      <c r="AQ9" s="376">
        <f>DATE(UNMM0131_H_YEAR,UNMM0131_B_MONTH_9,AP9)</f>
        <v>249</v>
      </c>
      <c r="AR9" s="375"/>
      <c r="AS9" s="260"/>
      <c r="AT9" s="375">
        <v>5</v>
      </c>
      <c r="AU9" s="376">
        <f>DATE(UNMM0131_H_YEAR,UNMM0131_B_MONTH_10,AT9)</f>
        <v>279</v>
      </c>
      <c r="AV9" s="375"/>
      <c r="AW9" s="260"/>
      <c r="AX9" s="375">
        <v>5</v>
      </c>
      <c r="AY9" s="376">
        <f>DATE(UNMM0131_H_YEAR,UNMM0131_B_MONTH_11,AX9)</f>
        <v>310</v>
      </c>
      <c r="AZ9" s="375"/>
      <c r="BA9" s="260"/>
      <c r="BB9" s="375">
        <v>5</v>
      </c>
      <c r="BC9" s="376">
        <f>DATE(UNMM0131_H_YEAR,UNMM0131_B_MONTH_12,BB9)</f>
        <v>340</v>
      </c>
      <c r="BD9" s="375"/>
    </row>
    <row r="10" spans="1:68" ht="16.5">
      <c r="C10" s="130" t="s">
        <v>1916</v>
      </c>
      <c r="D10" s="129" t="s">
        <v>1917</v>
      </c>
      <c r="E10" s="131">
        <f>IF(UNMM0131_IF_MODE=1,1,2)</f>
        <v>2</v>
      </c>
      <c r="F10" s="130" t="s">
        <v>63</v>
      </c>
      <c r="G10" s="130" t="s">
        <v>64</v>
      </c>
      <c r="J10" s="375">
        <v>6</v>
      </c>
      <c r="K10" s="376">
        <f>DATE(UNMM0131_H_YEAR,UNMM0131_B_MONTH_1,J10)</f>
        <v>6</v>
      </c>
      <c r="L10" s="375"/>
      <c r="M10" s="260"/>
      <c r="N10" s="375">
        <v>6</v>
      </c>
      <c r="O10" s="376">
        <f>DATE(UNMM0131_H_YEAR,UNMM0131_B_MONTH_2,N10)</f>
        <v>37</v>
      </c>
      <c r="P10" s="375"/>
      <c r="Q10" s="260"/>
      <c r="R10" s="375">
        <v>6</v>
      </c>
      <c r="S10" s="376">
        <f>DATE(UNMM0131_H_YEAR,UNMM0131_B_MONTH_3,R10)</f>
        <v>66</v>
      </c>
      <c r="T10" s="375"/>
      <c r="U10" s="260"/>
      <c r="V10" s="375">
        <v>6</v>
      </c>
      <c r="W10" s="376">
        <f>DATE(UNMM0131_H_YEAR,UNMM0131_B_MONTH_4,V10)</f>
        <v>97</v>
      </c>
      <c r="X10" s="375"/>
      <c r="Y10" s="260"/>
      <c r="Z10" s="375">
        <v>6</v>
      </c>
      <c r="AA10" s="376">
        <f>DATE(UNMM0131_H_YEAR,UNMM0131_B_MONTH_5,Z10)</f>
        <v>127</v>
      </c>
      <c r="AB10" s="375"/>
      <c r="AC10" s="260"/>
      <c r="AD10" s="375">
        <v>6</v>
      </c>
      <c r="AE10" s="376">
        <f>DATE(UNMM0131_H_YEAR,UNMM0131_B_MONTH_6,AD10)</f>
        <v>158</v>
      </c>
      <c r="AF10" s="375"/>
      <c r="AG10" s="260"/>
      <c r="AH10" s="375">
        <v>6</v>
      </c>
      <c r="AI10" s="376">
        <f>DATE(UNMM0131_H_YEAR,UNMM0131_B_MONTH_7,AH10)</f>
        <v>188</v>
      </c>
      <c r="AJ10" s="375"/>
      <c r="AK10" s="260"/>
      <c r="AL10" s="375">
        <v>6</v>
      </c>
      <c r="AM10" s="376">
        <f>DATE(UNMM0131_H_YEAR,UNMM0131_B_MONTH_8,AL10)</f>
        <v>219</v>
      </c>
      <c r="AN10" s="375"/>
      <c r="AO10" s="260"/>
      <c r="AP10" s="375">
        <v>6</v>
      </c>
      <c r="AQ10" s="376">
        <f>DATE(UNMM0131_H_YEAR,UNMM0131_B_MONTH_9,AP10)</f>
        <v>250</v>
      </c>
      <c r="AR10" s="375"/>
      <c r="AS10" s="260"/>
      <c r="AT10" s="375">
        <v>6</v>
      </c>
      <c r="AU10" s="376">
        <f>DATE(UNMM0131_H_YEAR,UNMM0131_B_MONTH_10,AT10)</f>
        <v>280</v>
      </c>
      <c r="AV10" s="375"/>
      <c r="AW10" s="260"/>
      <c r="AX10" s="375">
        <v>6</v>
      </c>
      <c r="AY10" s="376">
        <f>DATE(UNMM0131_H_YEAR,UNMM0131_B_MONTH_11,AX10)</f>
        <v>311</v>
      </c>
      <c r="AZ10" s="375"/>
      <c r="BA10" s="260"/>
      <c r="BB10" s="375">
        <v>6</v>
      </c>
      <c r="BC10" s="376">
        <f>DATE(UNMM0131_H_YEAR,UNMM0131_B_MONTH_12,BB10)</f>
        <v>341</v>
      </c>
      <c r="BD10" s="375"/>
    </row>
    <row r="11" spans="1:68" ht="16.5">
      <c r="C11" s="130" t="s">
        <v>906</v>
      </c>
      <c r="D11" s="129" t="s">
        <v>1918</v>
      </c>
      <c r="E11" s="131">
        <f>IF(UNMM0131_IF_MODE=1,1,2)</f>
        <v>2</v>
      </c>
      <c r="F11" s="130" t="s">
        <v>63</v>
      </c>
      <c r="G11" s="130" t="s">
        <v>64</v>
      </c>
      <c r="J11" s="375">
        <v>7</v>
      </c>
      <c r="K11" s="376">
        <f>DATE(UNMM0131_H_YEAR,UNMM0131_B_MONTH_1,J11)</f>
        <v>7</v>
      </c>
      <c r="L11" s="375"/>
      <c r="M11" s="260"/>
      <c r="N11" s="375">
        <v>7</v>
      </c>
      <c r="O11" s="376">
        <f>DATE(UNMM0131_H_YEAR,UNMM0131_B_MONTH_2,N11)</f>
        <v>38</v>
      </c>
      <c r="P11" s="375"/>
      <c r="Q11" s="260"/>
      <c r="R11" s="375">
        <v>7</v>
      </c>
      <c r="S11" s="376">
        <f>DATE(UNMM0131_H_YEAR,UNMM0131_B_MONTH_3,R11)</f>
        <v>67</v>
      </c>
      <c r="T11" s="375"/>
      <c r="U11" s="260"/>
      <c r="V11" s="375">
        <v>7</v>
      </c>
      <c r="W11" s="376">
        <f>DATE(UNMM0131_H_YEAR,UNMM0131_B_MONTH_4,V11)</f>
        <v>98</v>
      </c>
      <c r="X11" s="375"/>
      <c r="Y11" s="260"/>
      <c r="Z11" s="375">
        <v>7</v>
      </c>
      <c r="AA11" s="376">
        <f>DATE(UNMM0131_H_YEAR,UNMM0131_B_MONTH_5,Z11)</f>
        <v>128</v>
      </c>
      <c r="AB11" s="375"/>
      <c r="AC11" s="260"/>
      <c r="AD11" s="375">
        <v>7</v>
      </c>
      <c r="AE11" s="376">
        <f>DATE(UNMM0131_H_YEAR,UNMM0131_B_MONTH_6,AD11)</f>
        <v>159</v>
      </c>
      <c r="AF11" s="375"/>
      <c r="AG11" s="260"/>
      <c r="AH11" s="375">
        <v>7</v>
      </c>
      <c r="AI11" s="376">
        <f>DATE(UNMM0131_H_YEAR,UNMM0131_B_MONTH_7,AH11)</f>
        <v>189</v>
      </c>
      <c r="AJ11" s="375"/>
      <c r="AK11" s="260"/>
      <c r="AL11" s="375">
        <v>7</v>
      </c>
      <c r="AM11" s="376">
        <f>DATE(UNMM0131_H_YEAR,UNMM0131_B_MONTH_8,AL11)</f>
        <v>220</v>
      </c>
      <c r="AN11" s="375"/>
      <c r="AO11" s="260"/>
      <c r="AP11" s="375">
        <v>7</v>
      </c>
      <c r="AQ11" s="376">
        <f>DATE(UNMM0131_H_YEAR,UNMM0131_B_MONTH_9,AP11)</f>
        <v>251</v>
      </c>
      <c r="AR11" s="375"/>
      <c r="AS11" s="260"/>
      <c r="AT11" s="375">
        <v>7</v>
      </c>
      <c r="AU11" s="376">
        <f>DATE(UNMM0131_H_YEAR,UNMM0131_B_MONTH_10,AT11)</f>
        <v>281</v>
      </c>
      <c r="AV11" s="375"/>
      <c r="AW11" s="260"/>
      <c r="AX11" s="375">
        <v>7</v>
      </c>
      <c r="AY11" s="376">
        <f>DATE(UNMM0131_H_YEAR,UNMM0131_B_MONTH_11,AX11)</f>
        <v>312</v>
      </c>
      <c r="AZ11" s="375"/>
      <c r="BA11" s="260"/>
      <c r="BB11" s="375">
        <v>7</v>
      </c>
      <c r="BC11" s="376">
        <f>DATE(UNMM0131_H_YEAR,UNMM0131_B_MONTH_12,BB11)</f>
        <v>342</v>
      </c>
      <c r="BD11" s="375"/>
    </row>
    <row r="12" spans="1:68" ht="16.5">
      <c r="A12" s="130" t="s">
        <v>1919</v>
      </c>
      <c r="C12" s="130" t="s">
        <v>1920</v>
      </c>
      <c r="D12" s="129" t="s">
        <v>1921</v>
      </c>
      <c r="E12" s="131">
        <f>IF(UNMM0131_IF_MODE=1,1,2)</f>
        <v>2</v>
      </c>
      <c r="F12" s="130" t="s">
        <v>63</v>
      </c>
      <c r="G12" s="130" t="s">
        <v>64</v>
      </c>
      <c r="J12" s="375">
        <v>8</v>
      </c>
      <c r="K12" s="376">
        <f>DATE(UNMM0131_H_YEAR,UNMM0131_B_MONTH_1,J12)</f>
        <v>8</v>
      </c>
      <c r="L12" s="375"/>
      <c r="M12" s="260"/>
      <c r="N12" s="375">
        <v>8</v>
      </c>
      <c r="O12" s="376">
        <f>DATE(UNMM0131_H_YEAR,UNMM0131_B_MONTH_2,N12)</f>
        <v>39</v>
      </c>
      <c r="P12" s="375"/>
      <c r="Q12" s="260"/>
      <c r="R12" s="375">
        <v>8</v>
      </c>
      <c r="S12" s="376">
        <f>DATE(UNMM0131_H_YEAR,UNMM0131_B_MONTH_3,R12)</f>
        <v>68</v>
      </c>
      <c r="T12" s="375"/>
      <c r="U12" s="260"/>
      <c r="V12" s="375">
        <v>8</v>
      </c>
      <c r="W12" s="376">
        <f>DATE(UNMM0131_H_YEAR,UNMM0131_B_MONTH_4,V12)</f>
        <v>99</v>
      </c>
      <c r="X12" s="375"/>
      <c r="Y12" s="260"/>
      <c r="Z12" s="375">
        <v>8</v>
      </c>
      <c r="AA12" s="376">
        <f>DATE(UNMM0131_H_YEAR,UNMM0131_B_MONTH_5,Z12)</f>
        <v>129</v>
      </c>
      <c r="AB12" s="375"/>
      <c r="AC12" s="260"/>
      <c r="AD12" s="375">
        <v>8</v>
      </c>
      <c r="AE12" s="376">
        <f>DATE(UNMM0131_H_YEAR,UNMM0131_B_MONTH_6,AD12)</f>
        <v>160</v>
      </c>
      <c r="AF12" s="375"/>
      <c r="AG12" s="260"/>
      <c r="AH12" s="375">
        <v>8</v>
      </c>
      <c r="AI12" s="376">
        <f>DATE(UNMM0131_H_YEAR,UNMM0131_B_MONTH_7,AH12)</f>
        <v>190</v>
      </c>
      <c r="AJ12" s="375"/>
      <c r="AK12" s="260"/>
      <c r="AL12" s="375">
        <v>8</v>
      </c>
      <c r="AM12" s="376">
        <f>DATE(UNMM0131_H_YEAR,UNMM0131_B_MONTH_8,AL12)</f>
        <v>221</v>
      </c>
      <c r="AN12" s="375"/>
      <c r="AO12" s="260"/>
      <c r="AP12" s="375">
        <v>8</v>
      </c>
      <c r="AQ12" s="376">
        <f>DATE(UNMM0131_H_YEAR,UNMM0131_B_MONTH_9,AP12)</f>
        <v>252</v>
      </c>
      <c r="AR12" s="375"/>
      <c r="AS12" s="260"/>
      <c r="AT12" s="375">
        <v>8</v>
      </c>
      <c r="AU12" s="376">
        <f>DATE(UNMM0131_H_YEAR,UNMM0131_B_MONTH_10,AT12)</f>
        <v>282</v>
      </c>
      <c r="AV12" s="375"/>
      <c r="AW12" s="260"/>
      <c r="AX12" s="375">
        <v>8</v>
      </c>
      <c r="AY12" s="376">
        <f>DATE(UNMM0131_H_YEAR,UNMM0131_B_MONTH_11,AX12)</f>
        <v>313</v>
      </c>
      <c r="AZ12" s="375"/>
      <c r="BA12" s="260"/>
      <c r="BB12" s="375">
        <v>8</v>
      </c>
      <c r="BC12" s="376">
        <f>DATE(UNMM0131_H_YEAR,UNMM0131_B_MONTH_12,BB12)</f>
        <v>343</v>
      </c>
      <c r="BD12" s="375"/>
    </row>
    <row r="13" spans="1:68" ht="16.5">
      <c r="C13" s="130" t="s">
        <v>1922</v>
      </c>
      <c r="D13" s="129" t="s">
        <v>1923</v>
      </c>
      <c r="E13" s="131">
        <f>IF(UNMM0131_IF_MODE=1,1,2)</f>
        <v>2</v>
      </c>
      <c r="F13" s="130" t="s">
        <v>63</v>
      </c>
      <c r="G13" s="130" t="s">
        <v>64</v>
      </c>
      <c r="J13" s="375">
        <v>9</v>
      </c>
      <c r="K13" s="376">
        <f>DATE(UNMM0131_H_YEAR,UNMM0131_B_MONTH_1,J13)</f>
        <v>9</v>
      </c>
      <c r="L13" s="375"/>
      <c r="M13" s="260"/>
      <c r="N13" s="375">
        <v>9</v>
      </c>
      <c r="O13" s="376">
        <f>DATE(UNMM0131_H_YEAR,UNMM0131_B_MONTH_2,N13)</f>
        <v>40</v>
      </c>
      <c r="P13" s="375"/>
      <c r="Q13" s="260"/>
      <c r="R13" s="375">
        <v>9</v>
      </c>
      <c r="S13" s="376">
        <f>DATE(UNMM0131_H_YEAR,UNMM0131_B_MONTH_3,R13)</f>
        <v>69</v>
      </c>
      <c r="T13" s="375"/>
      <c r="U13" s="260"/>
      <c r="V13" s="375">
        <v>9</v>
      </c>
      <c r="W13" s="376">
        <f>DATE(UNMM0131_H_YEAR,UNMM0131_B_MONTH_4,V13)</f>
        <v>100</v>
      </c>
      <c r="X13" s="375"/>
      <c r="Y13" s="260"/>
      <c r="Z13" s="375">
        <v>9</v>
      </c>
      <c r="AA13" s="376">
        <f>DATE(UNMM0131_H_YEAR,UNMM0131_B_MONTH_5,Z13)</f>
        <v>130</v>
      </c>
      <c r="AB13" s="375"/>
      <c r="AC13" s="260"/>
      <c r="AD13" s="375">
        <v>9</v>
      </c>
      <c r="AE13" s="376">
        <f>DATE(UNMM0131_H_YEAR,UNMM0131_B_MONTH_6,AD13)</f>
        <v>161</v>
      </c>
      <c r="AF13" s="375"/>
      <c r="AG13" s="260"/>
      <c r="AH13" s="375">
        <v>9</v>
      </c>
      <c r="AI13" s="376">
        <f>DATE(UNMM0131_H_YEAR,UNMM0131_B_MONTH_7,AH13)</f>
        <v>191</v>
      </c>
      <c r="AJ13" s="375"/>
      <c r="AK13" s="260"/>
      <c r="AL13" s="375">
        <v>9</v>
      </c>
      <c r="AM13" s="376">
        <f>DATE(UNMM0131_H_YEAR,UNMM0131_B_MONTH_8,AL13)</f>
        <v>222</v>
      </c>
      <c r="AN13" s="375"/>
      <c r="AO13" s="260"/>
      <c r="AP13" s="375">
        <v>9</v>
      </c>
      <c r="AQ13" s="376">
        <f>DATE(UNMM0131_H_YEAR,UNMM0131_B_MONTH_9,AP13)</f>
        <v>253</v>
      </c>
      <c r="AR13" s="375"/>
      <c r="AS13" s="260"/>
      <c r="AT13" s="375">
        <v>9</v>
      </c>
      <c r="AU13" s="376">
        <f>DATE(UNMM0131_H_YEAR,UNMM0131_B_MONTH_10,AT13)</f>
        <v>283</v>
      </c>
      <c r="AV13" s="375"/>
      <c r="AW13" s="260"/>
      <c r="AX13" s="375">
        <v>9</v>
      </c>
      <c r="AY13" s="376">
        <f>DATE(UNMM0131_H_YEAR,UNMM0131_B_MONTH_11,AX13)</f>
        <v>314</v>
      </c>
      <c r="AZ13" s="375"/>
      <c r="BA13" s="260"/>
      <c r="BB13" s="375">
        <v>9</v>
      </c>
      <c r="BC13" s="376">
        <f>DATE(UNMM0131_H_YEAR,UNMM0131_B_MONTH_12,BB13)</f>
        <v>344</v>
      </c>
      <c r="BD13" s="375"/>
    </row>
    <row r="14" spans="1:68" ht="16.5">
      <c r="C14" s="130" t="s">
        <v>54</v>
      </c>
      <c r="D14" s="129" t="s">
        <v>1924</v>
      </c>
      <c r="E14" s="131">
        <f>IF(UNMM0131_IF_MODE=1,2,1)</f>
        <v>1</v>
      </c>
      <c r="F14" s="130" t="s">
        <v>64</v>
      </c>
      <c r="G14" s="130" t="s">
        <v>63</v>
      </c>
      <c r="J14" s="375">
        <v>10</v>
      </c>
      <c r="K14" s="376">
        <f>DATE(UNMM0131_H_YEAR,UNMM0131_B_MONTH_1,J14)</f>
        <v>10</v>
      </c>
      <c r="L14" s="375"/>
      <c r="M14" s="260"/>
      <c r="N14" s="375">
        <v>10</v>
      </c>
      <c r="O14" s="376">
        <f>DATE(UNMM0131_H_YEAR,UNMM0131_B_MONTH_2,N14)</f>
        <v>41</v>
      </c>
      <c r="P14" s="375"/>
      <c r="Q14" s="260"/>
      <c r="R14" s="375">
        <v>10</v>
      </c>
      <c r="S14" s="376">
        <f>DATE(UNMM0131_H_YEAR,UNMM0131_B_MONTH_3,R14)</f>
        <v>70</v>
      </c>
      <c r="T14" s="375"/>
      <c r="U14" s="260"/>
      <c r="V14" s="375">
        <v>10</v>
      </c>
      <c r="W14" s="376">
        <f>DATE(UNMM0131_H_YEAR,UNMM0131_B_MONTH_4,V14)</f>
        <v>101</v>
      </c>
      <c r="X14" s="375"/>
      <c r="Y14" s="260"/>
      <c r="Z14" s="375">
        <v>10</v>
      </c>
      <c r="AA14" s="376">
        <f>DATE(UNMM0131_H_YEAR,UNMM0131_B_MONTH_5,Z14)</f>
        <v>131</v>
      </c>
      <c r="AB14" s="375"/>
      <c r="AC14" s="260"/>
      <c r="AD14" s="375">
        <v>10</v>
      </c>
      <c r="AE14" s="376">
        <f>DATE(UNMM0131_H_YEAR,UNMM0131_B_MONTH_6,AD14)</f>
        <v>162</v>
      </c>
      <c r="AF14" s="375"/>
      <c r="AG14" s="260"/>
      <c r="AH14" s="375">
        <v>10</v>
      </c>
      <c r="AI14" s="376">
        <f>DATE(UNMM0131_H_YEAR,UNMM0131_B_MONTH_7,AH14)</f>
        <v>192</v>
      </c>
      <c r="AJ14" s="375"/>
      <c r="AK14" s="260"/>
      <c r="AL14" s="375">
        <v>10</v>
      </c>
      <c r="AM14" s="376">
        <f>DATE(UNMM0131_H_YEAR,UNMM0131_B_MONTH_8,AL14)</f>
        <v>223</v>
      </c>
      <c r="AN14" s="375"/>
      <c r="AO14" s="260"/>
      <c r="AP14" s="375">
        <v>10</v>
      </c>
      <c r="AQ14" s="376">
        <f>DATE(UNMM0131_H_YEAR,UNMM0131_B_MONTH_9,AP14)</f>
        <v>254</v>
      </c>
      <c r="AR14" s="375"/>
      <c r="AS14" s="260"/>
      <c r="AT14" s="375">
        <v>10</v>
      </c>
      <c r="AU14" s="376">
        <f>DATE(UNMM0131_H_YEAR,UNMM0131_B_MONTH_10,AT14)</f>
        <v>284</v>
      </c>
      <c r="AV14" s="375"/>
      <c r="AW14" s="260"/>
      <c r="AX14" s="375">
        <v>10</v>
      </c>
      <c r="AY14" s="376">
        <f>DATE(UNMM0131_H_YEAR,UNMM0131_B_MONTH_11,AX14)</f>
        <v>315</v>
      </c>
      <c r="AZ14" s="375"/>
      <c r="BA14" s="260"/>
      <c r="BB14" s="375">
        <v>10</v>
      </c>
      <c r="BC14" s="376">
        <f>DATE(UNMM0131_H_YEAR,UNMM0131_B_MONTH_12,BB14)</f>
        <v>345</v>
      </c>
      <c r="BD14" s="375"/>
    </row>
    <row r="15" spans="1:68" ht="14.25" customHeight="1">
      <c r="J15" s="375">
        <v>11</v>
      </c>
      <c r="K15" s="376">
        <f>DATE(UNMM0131_H_YEAR,UNMM0131_B_MONTH_1,J15)</f>
        <v>11</v>
      </c>
      <c r="L15" s="375"/>
      <c r="M15" s="260"/>
      <c r="N15" s="375">
        <v>11</v>
      </c>
      <c r="O15" s="376">
        <f>DATE(UNMM0131_H_YEAR,UNMM0131_B_MONTH_2,N15)</f>
        <v>42</v>
      </c>
      <c r="P15" s="375"/>
      <c r="Q15" s="260"/>
      <c r="R15" s="375">
        <v>11</v>
      </c>
      <c r="S15" s="376">
        <f>DATE(UNMM0131_H_YEAR,UNMM0131_B_MONTH_3,R15)</f>
        <v>71</v>
      </c>
      <c r="T15" s="375"/>
      <c r="U15" s="260"/>
      <c r="V15" s="375">
        <v>11</v>
      </c>
      <c r="W15" s="376">
        <f>DATE(UNMM0131_H_YEAR,UNMM0131_B_MONTH_4,V15)</f>
        <v>102</v>
      </c>
      <c r="X15" s="375"/>
      <c r="Y15" s="260"/>
      <c r="Z15" s="375">
        <v>11</v>
      </c>
      <c r="AA15" s="376">
        <f>DATE(UNMM0131_H_YEAR,UNMM0131_B_MONTH_5,Z15)</f>
        <v>132</v>
      </c>
      <c r="AB15" s="375"/>
      <c r="AC15" s="260"/>
      <c r="AD15" s="375">
        <v>11</v>
      </c>
      <c r="AE15" s="376">
        <f>DATE(UNMM0131_H_YEAR,UNMM0131_B_MONTH_6,AD15)</f>
        <v>163</v>
      </c>
      <c r="AF15" s="375"/>
      <c r="AG15" s="260"/>
      <c r="AH15" s="375">
        <v>11</v>
      </c>
      <c r="AI15" s="376">
        <f>DATE(UNMM0131_H_YEAR,UNMM0131_B_MONTH_7,AH15)</f>
        <v>193</v>
      </c>
      <c r="AJ15" s="375"/>
      <c r="AK15" s="260"/>
      <c r="AL15" s="375">
        <v>11</v>
      </c>
      <c r="AM15" s="376">
        <f>DATE(UNMM0131_H_YEAR,UNMM0131_B_MONTH_8,AL15)</f>
        <v>224</v>
      </c>
      <c r="AN15" s="375"/>
      <c r="AO15" s="260"/>
      <c r="AP15" s="375">
        <v>11</v>
      </c>
      <c r="AQ15" s="376">
        <f>DATE(UNMM0131_H_YEAR,UNMM0131_B_MONTH_9,AP15)</f>
        <v>255</v>
      </c>
      <c r="AR15" s="375"/>
      <c r="AS15" s="260"/>
      <c r="AT15" s="375">
        <v>11</v>
      </c>
      <c r="AU15" s="376">
        <f>DATE(UNMM0131_H_YEAR,UNMM0131_B_MONTH_10,AT15)</f>
        <v>285</v>
      </c>
      <c r="AV15" s="375"/>
      <c r="AW15" s="260"/>
      <c r="AX15" s="375">
        <v>11</v>
      </c>
      <c r="AY15" s="376">
        <f>DATE(UNMM0131_H_YEAR,UNMM0131_B_MONTH_11,AX15)</f>
        <v>316</v>
      </c>
      <c r="AZ15" s="375"/>
      <c r="BA15" s="260"/>
      <c r="BB15" s="375">
        <v>11</v>
      </c>
      <c r="BC15" s="376">
        <f>DATE(UNMM0131_H_YEAR,UNMM0131_B_MONTH_12,BB15)</f>
        <v>346</v>
      </c>
      <c r="BD15" s="375"/>
    </row>
    <row r="16" spans="1:68" ht="16.5">
      <c r="B16" s="85" t="s">
        <v>42</v>
      </c>
      <c r="D16" s="129"/>
      <c r="J16" s="375">
        <v>12</v>
      </c>
      <c r="K16" s="376">
        <f>DATE(UNMM0131_H_YEAR,UNMM0131_B_MONTH_1,J16)</f>
        <v>12</v>
      </c>
      <c r="L16" s="375"/>
      <c r="M16" s="260"/>
      <c r="N16" s="375">
        <v>12</v>
      </c>
      <c r="O16" s="376">
        <f>DATE(UNMM0131_H_YEAR,UNMM0131_B_MONTH_2,N16)</f>
        <v>43</v>
      </c>
      <c r="P16" s="375"/>
      <c r="Q16" s="260"/>
      <c r="R16" s="375">
        <v>12</v>
      </c>
      <c r="S16" s="376">
        <f>DATE(UNMM0131_H_YEAR,UNMM0131_B_MONTH_3,R16)</f>
        <v>72</v>
      </c>
      <c r="T16" s="375"/>
      <c r="U16" s="260"/>
      <c r="V16" s="375">
        <v>12</v>
      </c>
      <c r="W16" s="376">
        <f>DATE(UNMM0131_H_YEAR,UNMM0131_B_MONTH_4,V16)</f>
        <v>103</v>
      </c>
      <c r="X16" s="375"/>
      <c r="Y16" s="260"/>
      <c r="Z16" s="375">
        <v>12</v>
      </c>
      <c r="AA16" s="376">
        <f>DATE(UNMM0131_H_YEAR,UNMM0131_B_MONTH_5,Z16)</f>
        <v>133</v>
      </c>
      <c r="AB16" s="375"/>
      <c r="AC16" s="260"/>
      <c r="AD16" s="375">
        <v>12</v>
      </c>
      <c r="AE16" s="376">
        <f>DATE(UNMM0131_H_YEAR,UNMM0131_B_MONTH_6,AD16)</f>
        <v>164</v>
      </c>
      <c r="AF16" s="375"/>
      <c r="AG16" s="260"/>
      <c r="AH16" s="375">
        <v>12</v>
      </c>
      <c r="AI16" s="376">
        <f>DATE(UNMM0131_H_YEAR,UNMM0131_B_MONTH_7,AH16)</f>
        <v>194</v>
      </c>
      <c r="AJ16" s="375"/>
      <c r="AK16" s="260"/>
      <c r="AL16" s="375">
        <v>12</v>
      </c>
      <c r="AM16" s="376">
        <f>DATE(UNMM0131_H_YEAR,UNMM0131_B_MONTH_8,AL16)</f>
        <v>225</v>
      </c>
      <c r="AN16" s="375"/>
      <c r="AO16" s="260"/>
      <c r="AP16" s="375">
        <v>12</v>
      </c>
      <c r="AQ16" s="376">
        <f>DATE(UNMM0131_H_YEAR,UNMM0131_B_MONTH_9,AP16)</f>
        <v>256</v>
      </c>
      <c r="AR16" s="375"/>
      <c r="AS16" s="260"/>
      <c r="AT16" s="375">
        <v>12</v>
      </c>
      <c r="AU16" s="376">
        <f>DATE(UNMM0131_H_YEAR,UNMM0131_B_MONTH_10,AT16)</f>
        <v>286</v>
      </c>
      <c r="AV16" s="375"/>
      <c r="AW16" s="260"/>
      <c r="AX16" s="375">
        <v>12</v>
      </c>
      <c r="AY16" s="376">
        <f>DATE(UNMM0131_H_YEAR,UNMM0131_B_MONTH_11,AX16)</f>
        <v>317</v>
      </c>
      <c r="AZ16" s="375"/>
      <c r="BA16" s="260"/>
      <c r="BB16" s="375">
        <v>12</v>
      </c>
      <c r="BC16" s="376">
        <f>DATE(UNMM0131_H_YEAR,UNMM0131_B_MONTH_12,BB16)</f>
        <v>347</v>
      </c>
      <c r="BD16" s="375"/>
    </row>
    <row r="17" spans="2:56" ht="16.5">
      <c r="B17" s="85"/>
      <c r="C17" s="130" t="s">
        <v>834</v>
      </c>
      <c r="D17" s="129"/>
      <c r="J17" s="375">
        <v>13</v>
      </c>
      <c r="K17" s="376">
        <f>DATE(UNMM0131_H_YEAR,UNMM0131_B_MONTH_1,J17)</f>
        <v>13</v>
      </c>
      <c r="L17" s="375"/>
      <c r="M17" s="260"/>
      <c r="N17" s="375">
        <v>13</v>
      </c>
      <c r="O17" s="376">
        <f>DATE(UNMM0131_H_YEAR,UNMM0131_B_MONTH_2,N17)</f>
        <v>44</v>
      </c>
      <c r="P17" s="375"/>
      <c r="Q17" s="260"/>
      <c r="R17" s="375">
        <v>13</v>
      </c>
      <c r="S17" s="376">
        <f>DATE(UNMM0131_H_YEAR,UNMM0131_B_MONTH_3,R17)</f>
        <v>73</v>
      </c>
      <c r="T17" s="375"/>
      <c r="U17" s="260"/>
      <c r="V17" s="375">
        <v>13</v>
      </c>
      <c r="W17" s="376">
        <f>DATE(UNMM0131_H_YEAR,UNMM0131_B_MONTH_4,V17)</f>
        <v>104</v>
      </c>
      <c r="X17" s="375"/>
      <c r="Y17" s="260"/>
      <c r="Z17" s="375">
        <v>13</v>
      </c>
      <c r="AA17" s="376">
        <f>DATE(UNMM0131_H_YEAR,UNMM0131_B_MONTH_5,Z17)</f>
        <v>134</v>
      </c>
      <c r="AB17" s="375"/>
      <c r="AC17" s="260"/>
      <c r="AD17" s="375">
        <v>13</v>
      </c>
      <c r="AE17" s="376">
        <f>DATE(UNMM0131_H_YEAR,UNMM0131_B_MONTH_6,AD17)</f>
        <v>165</v>
      </c>
      <c r="AF17" s="375"/>
      <c r="AG17" s="260"/>
      <c r="AH17" s="375">
        <v>13</v>
      </c>
      <c r="AI17" s="376">
        <f>DATE(UNMM0131_H_YEAR,UNMM0131_B_MONTH_7,AH17)</f>
        <v>195</v>
      </c>
      <c r="AJ17" s="375"/>
      <c r="AK17" s="260"/>
      <c r="AL17" s="375">
        <v>13</v>
      </c>
      <c r="AM17" s="376">
        <f>DATE(UNMM0131_H_YEAR,UNMM0131_B_MONTH_8,AL17)</f>
        <v>226</v>
      </c>
      <c r="AN17" s="375"/>
      <c r="AO17" s="260"/>
      <c r="AP17" s="375">
        <v>13</v>
      </c>
      <c r="AQ17" s="376">
        <f>DATE(UNMM0131_H_YEAR,UNMM0131_B_MONTH_9,AP17)</f>
        <v>257</v>
      </c>
      <c r="AR17" s="375"/>
      <c r="AS17" s="260"/>
      <c r="AT17" s="375">
        <v>13</v>
      </c>
      <c r="AU17" s="376">
        <f>DATE(UNMM0131_H_YEAR,UNMM0131_B_MONTH_10,AT17)</f>
        <v>287</v>
      </c>
      <c r="AV17" s="375"/>
      <c r="AW17" s="260"/>
      <c r="AX17" s="375">
        <v>13</v>
      </c>
      <c r="AY17" s="376">
        <f>DATE(UNMM0131_H_YEAR,UNMM0131_B_MONTH_11,AX17)</f>
        <v>318</v>
      </c>
      <c r="AZ17" s="375"/>
      <c r="BA17" s="260"/>
      <c r="BB17" s="375">
        <v>13</v>
      </c>
      <c r="BC17" s="376">
        <f>DATE(UNMM0131_H_YEAR,UNMM0131_B_MONTH_12,BB17)</f>
        <v>348</v>
      </c>
      <c r="BD17" s="375"/>
    </row>
    <row r="18" spans="2:56" ht="14.25" customHeight="1">
      <c r="C18" s="130" t="s">
        <v>835</v>
      </c>
      <c r="D18" s="129" t="s">
        <v>1925</v>
      </c>
      <c r="E18" s="131"/>
      <c r="J18" s="375">
        <v>14</v>
      </c>
      <c r="K18" s="376">
        <f>DATE(UNMM0131_H_YEAR,UNMM0131_B_MONTH_1,J18)</f>
        <v>14</v>
      </c>
      <c r="L18" s="375"/>
      <c r="M18" s="260"/>
      <c r="N18" s="375">
        <v>14</v>
      </c>
      <c r="O18" s="376">
        <f>DATE(UNMM0131_H_YEAR,UNMM0131_B_MONTH_2,N18)</f>
        <v>45</v>
      </c>
      <c r="P18" s="375"/>
      <c r="Q18" s="260"/>
      <c r="R18" s="375">
        <v>14</v>
      </c>
      <c r="S18" s="376">
        <f>DATE(UNMM0131_H_YEAR,UNMM0131_B_MONTH_3,R18)</f>
        <v>74</v>
      </c>
      <c r="T18" s="375"/>
      <c r="U18" s="260"/>
      <c r="V18" s="375">
        <v>14</v>
      </c>
      <c r="W18" s="376">
        <f>DATE(UNMM0131_H_YEAR,UNMM0131_B_MONTH_4,V18)</f>
        <v>105</v>
      </c>
      <c r="X18" s="375"/>
      <c r="Y18" s="260"/>
      <c r="Z18" s="375">
        <v>14</v>
      </c>
      <c r="AA18" s="376">
        <f>DATE(UNMM0131_H_YEAR,UNMM0131_B_MONTH_5,Z18)</f>
        <v>135</v>
      </c>
      <c r="AB18" s="375"/>
      <c r="AC18" s="260"/>
      <c r="AD18" s="375">
        <v>14</v>
      </c>
      <c r="AE18" s="376">
        <f>DATE(UNMM0131_H_YEAR,UNMM0131_B_MONTH_6,AD18)</f>
        <v>166</v>
      </c>
      <c r="AF18" s="375"/>
      <c r="AG18" s="260"/>
      <c r="AH18" s="375">
        <v>14</v>
      </c>
      <c r="AI18" s="376">
        <f>DATE(UNMM0131_H_YEAR,UNMM0131_B_MONTH_7,AH18)</f>
        <v>196</v>
      </c>
      <c r="AJ18" s="375"/>
      <c r="AK18" s="260"/>
      <c r="AL18" s="375">
        <v>14</v>
      </c>
      <c r="AM18" s="376">
        <f>DATE(UNMM0131_H_YEAR,UNMM0131_B_MONTH_8,AL18)</f>
        <v>227</v>
      </c>
      <c r="AN18" s="375"/>
      <c r="AO18" s="260"/>
      <c r="AP18" s="375">
        <v>14</v>
      </c>
      <c r="AQ18" s="376">
        <f>DATE(UNMM0131_H_YEAR,UNMM0131_B_MONTH_9,AP18)</f>
        <v>258</v>
      </c>
      <c r="AR18" s="375"/>
      <c r="AS18" s="260"/>
      <c r="AT18" s="375">
        <v>14</v>
      </c>
      <c r="AU18" s="376">
        <f>DATE(UNMM0131_H_YEAR,UNMM0131_B_MONTH_10,AT18)</f>
        <v>288</v>
      </c>
      <c r="AV18" s="375"/>
      <c r="AW18" s="260"/>
      <c r="AX18" s="375">
        <v>14</v>
      </c>
      <c r="AY18" s="376">
        <f>DATE(UNMM0131_H_YEAR,UNMM0131_B_MONTH_11,AX18)</f>
        <v>319</v>
      </c>
      <c r="AZ18" s="375"/>
      <c r="BA18" s="260"/>
      <c r="BB18" s="375">
        <v>14</v>
      </c>
      <c r="BC18" s="376">
        <f>DATE(UNMM0131_H_YEAR,UNMM0131_B_MONTH_12,BB18)</f>
        <v>349</v>
      </c>
      <c r="BD18" s="375"/>
    </row>
    <row r="19" spans="2:56" ht="16.5">
      <c r="C19" s="130" t="s">
        <v>746</v>
      </c>
      <c r="D19" s="129" t="s">
        <v>1926</v>
      </c>
      <c r="E19" s="249">
        <f ca="1">NOW()</f>
        <v>42991.659979282405</v>
      </c>
      <c r="J19" s="375">
        <v>15</v>
      </c>
      <c r="K19" s="376">
        <f>DATE(UNMM0131_H_YEAR,UNMM0131_B_MONTH_1,J19)</f>
        <v>15</v>
      </c>
      <c r="L19" s="375"/>
      <c r="M19" s="260"/>
      <c r="N19" s="375">
        <v>15</v>
      </c>
      <c r="O19" s="376">
        <f>DATE(UNMM0131_H_YEAR,UNMM0131_B_MONTH_2,N19)</f>
        <v>46</v>
      </c>
      <c r="P19" s="375"/>
      <c r="Q19" s="260"/>
      <c r="R19" s="375">
        <v>15</v>
      </c>
      <c r="S19" s="376">
        <f>DATE(UNMM0131_H_YEAR,UNMM0131_B_MONTH_3,R19)</f>
        <v>75</v>
      </c>
      <c r="T19" s="375"/>
      <c r="U19" s="260"/>
      <c r="V19" s="375">
        <v>15</v>
      </c>
      <c r="W19" s="376">
        <f>DATE(UNMM0131_H_YEAR,UNMM0131_B_MONTH_4,V19)</f>
        <v>106</v>
      </c>
      <c r="X19" s="375"/>
      <c r="Y19" s="260"/>
      <c r="Z19" s="375">
        <v>15</v>
      </c>
      <c r="AA19" s="376">
        <f>DATE(UNMM0131_H_YEAR,UNMM0131_B_MONTH_5,Z19)</f>
        <v>136</v>
      </c>
      <c r="AB19" s="375"/>
      <c r="AC19" s="260"/>
      <c r="AD19" s="375">
        <v>15</v>
      </c>
      <c r="AE19" s="376">
        <f>DATE(UNMM0131_H_YEAR,UNMM0131_B_MONTH_6,AD19)</f>
        <v>167</v>
      </c>
      <c r="AF19" s="375"/>
      <c r="AG19" s="260"/>
      <c r="AH19" s="375">
        <v>15</v>
      </c>
      <c r="AI19" s="376">
        <f>DATE(UNMM0131_H_YEAR,UNMM0131_B_MONTH_7,AH19)</f>
        <v>197</v>
      </c>
      <c r="AJ19" s="375"/>
      <c r="AK19" s="260"/>
      <c r="AL19" s="375">
        <v>15</v>
      </c>
      <c r="AM19" s="376">
        <f>DATE(UNMM0131_H_YEAR,UNMM0131_B_MONTH_8,AL19)</f>
        <v>228</v>
      </c>
      <c r="AN19" s="375"/>
      <c r="AO19" s="260"/>
      <c r="AP19" s="375">
        <v>15</v>
      </c>
      <c r="AQ19" s="376">
        <f>DATE(UNMM0131_H_YEAR,UNMM0131_B_MONTH_9,AP19)</f>
        <v>259</v>
      </c>
      <c r="AR19" s="375"/>
      <c r="AS19" s="260"/>
      <c r="AT19" s="375">
        <v>15</v>
      </c>
      <c r="AU19" s="376">
        <f>DATE(UNMM0131_H_YEAR,UNMM0131_B_MONTH_10,AT19)</f>
        <v>289</v>
      </c>
      <c r="AV19" s="375"/>
      <c r="AW19" s="260"/>
      <c r="AX19" s="375">
        <v>15</v>
      </c>
      <c r="AY19" s="376">
        <f>DATE(UNMM0131_H_YEAR,UNMM0131_B_MONTH_11,AX19)</f>
        <v>320</v>
      </c>
      <c r="AZ19" s="375"/>
      <c r="BA19" s="260"/>
      <c r="BB19" s="375">
        <v>15</v>
      </c>
      <c r="BC19" s="376">
        <f>DATE(UNMM0131_H_YEAR,UNMM0131_B_MONTH_12,BB19)</f>
        <v>350</v>
      </c>
      <c r="BD19" s="375"/>
    </row>
    <row r="20" spans="2:56" ht="16.5">
      <c r="C20" s="130" t="s">
        <v>702</v>
      </c>
      <c r="D20" s="129" t="s">
        <v>1927</v>
      </c>
      <c r="E20" s="131">
        <f>IF(UNMM0131_B_DATA_CHECK=2,1,2)</f>
        <v>1</v>
      </c>
      <c r="F20" s="130" t="s">
        <v>1473</v>
      </c>
      <c r="J20" s="375">
        <v>16</v>
      </c>
      <c r="K20" s="376">
        <f>DATE(UNMM0131_H_YEAR,UNMM0131_B_MONTH_1,J20)</f>
        <v>16</v>
      </c>
      <c r="L20" s="375"/>
      <c r="M20" s="260"/>
      <c r="N20" s="375">
        <v>16</v>
      </c>
      <c r="O20" s="376">
        <f>DATE(UNMM0131_H_YEAR,UNMM0131_B_MONTH_2,N20)</f>
        <v>47</v>
      </c>
      <c r="P20" s="375"/>
      <c r="Q20" s="260"/>
      <c r="R20" s="375">
        <v>16</v>
      </c>
      <c r="S20" s="376">
        <f>DATE(UNMM0131_H_YEAR,UNMM0131_B_MONTH_3,R20)</f>
        <v>76</v>
      </c>
      <c r="T20" s="375"/>
      <c r="U20" s="260"/>
      <c r="V20" s="375">
        <v>16</v>
      </c>
      <c r="W20" s="376">
        <f>DATE(UNMM0131_H_YEAR,UNMM0131_B_MONTH_4,V20)</f>
        <v>107</v>
      </c>
      <c r="X20" s="375"/>
      <c r="Y20" s="260"/>
      <c r="Z20" s="375">
        <v>16</v>
      </c>
      <c r="AA20" s="376">
        <f>DATE(UNMM0131_H_YEAR,UNMM0131_B_MONTH_5,Z20)</f>
        <v>137</v>
      </c>
      <c r="AB20" s="375"/>
      <c r="AC20" s="260"/>
      <c r="AD20" s="375">
        <v>16</v>
      </c>
      <c r="AE20" s="376">
        <f>DATE(UNMM0131_H_YEAR,UNMM0131_B_MONTH_6,AD20)</f>
        <v>168</v>
      </c>
      <c r="AF20" s="375"/>
      <c r="AG20" s="260"/>
      <c r="AH20" s="375">
        <v>16</v>
      </c>
      <c r="AI20" s="376">
        <f>DATE(UNMM0131_H_YEAR,UNMM0131_B_MONTH_7,AH20)</f>
        <v>198</v>
      </c>
      <c r="AJ20" s="375"/>
      <c r="AK20" s="260"/>
      <c r="AL20" s="375">
        <v>16</v>
      </c>
      <c r="AM20" s="376">
        <f>DATE(UNMM0131_H_YEAR,UNMM0131_B_MONTH_8,AL20)</f>
        <v>229</v>
      </c>
      <c r="AN20" s="375"/>
      <c r="AO20" s="260"/>
      <c r="AP20" s="375">
        <v>16</v>
      </c>
      <c r="AQ20" s="376">
        <f>DATE(UNMM0131_H_YEAR,UNMM0131_B_MONTH_9,AP20)</f>
        <v>260</v>
      </c>
      <c r="AR20" s="375"/>
      <c r="AS20" s="260"/>
      <c r="AT20" s="375">
        <v>16</v>
      </c>
      <c r="AU20" s="376">
        <f>DATE(UNMM0131_H_YEAR,UNMM0131_B_MONTH_10,AT20)</f>
        <v>290</v>
      </c>
      <c r="AV20" s="375"/>
      <c r="AW20" s="260"/>
      <c r="AX20" s="375">
        <v>16</v>
      </c>
      <c r="AY20" s="376">
        <f>DATE(UNMM0131_H_YEAR,UNMM0131_B_MONTH_11,AX20)</f>
        <v>321</v>
      </c>
      <c r="AZ20" s="375"/>
      <c r="BA20" s="260"/>
      <c r="BB20" s="375">
        <v>16</v>
      </c>
      <c r="BC20" s="376">
        <f>DATE(UNMM0131_H_YEAR,UNMM0131_B_MONTH_12,BB20)</f>
        <v>351</v>
      </c>
      <c r="BD20" s="375"/>
    </row>
    <row r="21" spans="2:56" ht="16.5">
      <c r="C21" s="130" t="s">
        <v>841</v>
      </c>
      <c r="D21" s="129" t="s">
        <v>1928</v>
      </c>
      <c r="E21" s="131" t="str">
        <f ca="1">ADDRESS(ROW(OFFSET(UNMM0131_IF_SAVE_COPY_START,0,1)),COLUMN(OFFSET(UNMM0131_IF_SAVE_COPY_START,0,1)))</f>
        <v>$BI$6</v>
      </c>
      <c r="J21" s="375">
        <v>17</v>
      </c>
      <c r="K21" s="376">
        <f>DATE(UNMM0131_H_YEAR,UNMM0131_B_MONTH_1,J21)</f>
        <v>17</v>
      </c>
      <c r="L21" s="375"/>
      <c r="M21" s="260"/>
      <c r="N21" s="375">
        <v>17</v>
      </c>
      <c r="O21" s="376">
        <f>DATE(UNMM0131_H_YEAR,UNMM0131_B_MONTH_2,N21)</f>
        <v>48</v>
      </c>
      <c r="P21" s="375"/>
      <c r="Q21" s="260"/>
      <c r="R21" s="375">
        <v>17</v>
      </c>
      <c r="S21" s="376">
        <f>DATE(UNMM0131_H_YEAR,UNMM0131_B_MONTH_3,R21)</f>
        <v>77</v>
      </c>
      <c r="T21" s="375"/>
      <c r="U21" s="260"/>
      <c r="V21" s="375">
        <v>17</v>
      </c>
      <c r="W21" s="376">
        <f>DATE(UNMM0131_H_YEAR,UNMM0131_B_MONTH_4,V21)</f>
        <v>108</v>
      </c>
      <c r="X21" s="375"/>
      <c r="Y21" s="260"/>
      <c r="Z21" s="375">
        <v>17</v>
      </c>
      <c r="AA21" s="376">
        <f>DATE(UNMM0131_H_YEAR,UNMM0131_B_MONTH_5,Z21)</f>
        <v>138</v>
      </c>
      <c r="AB21" s="375"/>
      <c r="AC21" s="260"/>
      <c r="AD21" s="375">
        <v>17</v>
      </c>
      <c r="AE21" s="376">
        <f>DATE(UNMM0131_H_YEAR,UNMM0131_B_MONTH_6,AD21)</f>
        <v>169</v>
      </c>
      <c r="AF21" s="375"/>
      <c r="AG21" s="260"/>
      <c r="AH21" s="375">
        <v>17</v>
      </c>
      <c r="AI21" s="376">
        <f>DATE(UNMM0131_H_YEAR,UNMM0131_B_MONTH_7,AH21)</f>
        <v>199</v>
      </c>
      <c r="AJ21" s="375"/>
      <c r="AK21" s="260"/>
      <c r="AL21" s="375">
        <v>17</v>
      </c>
      <c r="AM21" s="376">
        <f>DATE(UNMM0131_H_YEAR,UNMM0131_B_MONTH_8,AL21)</f>
        <v>230</v>
      </c>
      <c r="AN21" s="375"/>
      <c r="AO21" s="260"/>
      <c r="AP21" s="375">
        <v>17</v>
      </c>
      <c r="AQ21" s="376">
        <f>DATE(UNMM0131_H_YEAR,UNMM0131_B_MONTH_9,AP21)</f>
        <v>261</v>
      </c>
      <c r="AR21" s="375"/>
      <c r="AS21" s="260"/>
      <c r="AT21" s="375">
        <v>17</v>
      </c>
      <c r="AU21" s="376">
        <f>DATE(UNMM0131_H_YEAR,UNMM0131_B_MONTH_10,AT21)</f>
        <v>291</v>
      </c>
      <c r="AV21" s="375"/>
      <c r="AW21" s="260"/>
      <c r="AX21" s="375">
        <v>17</v>
      </c>
      <c r="AY21" s="376">
        <f>DATE(UNMM0131_H_YEAR,UNMM0131_B_MONTH_11,AX21)</f>
        <v>322</v>
      </c>
      <c r="AZ21" s="375"/>
      <c r="BA21" s="260"/>
      <c r="BB21" s="375">
        <v>17</v>
      </c>
      <c r="BC21" s="376">
        <f>DATE(UNMM0131_H_YEAR,UNMM0131_B_MONTH_12,BB21)</f>
        <v>352</v>
      </c>
      <c r="BD21" s="375"/>
    </row>
    <row r="22" spans="2:56" ht="16.5">
      <c r="C22" s="130" t="s">
        <v>1929</v>
      </c>
      <c r="D22" s="129" t="s">
        <v>1930</v>
      </c>
      <c r="E22" s="131">
        <f ca="1">COUNTIF(OFFSET(UNMM0131_IF_SAVE_INPUT_CHECK_COLUMN,1,0,IF(MOD(UNMM0131_H_YEAR,4)=0,366,365)),TRUE)</f>
        <v>0</v>
      </c>
      <c r="J22" s="375">
        <v>18</v>
      </c>
      <c r="K22" s="376">
        <f>DATE(UNMM0131_H_YEAR,UNMM0131_B_MONTH_1,J22)</f>
        <v>18</v>
      </c>
      <c r="L22" s="375"/>
      <c r="M22" s="260"/>
      <c r="N22" s="375">
        <v>18</v>
      </c>
      <c r="O22" s="376">
        <f>DATE(UNMM0131_H_YEAR,UNMM0131_B_MONTH_2,N22)</f>
        <v>49</v>
      </c>
      <c r="P22" s="375"/>
      <c r="Q22" s="260"/>
      <c r="R22" s="375">
        <v>18</v>
      </c>
      <c r="S22" s="376">
        <f>DATE(UNMM0131_H_YEAR,UNMM0131_B_MONTH_3,R22)</f>
        <v>78</v>
      </c>
      <c r="T22" s="375"/>
      <c r="U22" s="260"/>
      <c r="V22" s="375">
        <v>18</v>
      </c>
      <c r="W22" s="376">
        <f>DATE(UNMM0131_H_YEAR,UNMM0131_B_MONTH_4,V22)</f>
        <v>109</v>
      </c>
      <c r="X22" s="375"/>
      <c r="Y22" s="260"/>
      <c r="Z22" s="375">
        <v>18</v>
      </c>
      <c r="AA22" s="376">
        <f>DATE(UNMM0131_H_YEAR,UNMM0131_B_MONTH_5,Z22)</f>
        <v>139</v>
      </c>
      <c r="AB22" s="375"/>
      <c r="AC22" s="260"/>
      <c r="AD22" s="375">
        <v>18</v>
      </c>
      <c r="AE22" s="376">
        <f>DATE(UNMM0131_H_YEAR,UNMM0131_B_MONTH_6,AD22)</f>
        <v>170</v>
      </c>
      <c r="AF22" s="375"/>
      <c r="AG22" s="260"/>
      <c r="AH22" s="375">
        <v>18</v>
      </c>
      <c r="AI22" s="376">
        <f>DATE(UNMM0131_H_YEAR,UNMM0131_B_MONTH_7,AH22)</f>
        <v>200</v>
      </c>
      <c r="AJ22" s="375"/>
      <c r="AK22" s="260"/>
      <c r="AL22" s="375">
        <v>18</v>
      </c>
      <c r="AM22" s="376">
        <f>DATE(UNMM0131_H_YEAR,UNMM0131_B_MONTH_8,AL22)</f>
        <v>231</v>
      </c>
      <c r="AN22" s="375"/>
      <c r="AO22" s="260"/>
      <c r="AP22" s="375">
        <v>18</v>
      </c>
      <c r="AQ22" s="376">
        <f>DATE(UNMM0131_H_YEAR,UNMM0131_B_MONTH_9,AP22)</f>
        <v>262</v>
      </c>
      <c r="AR22" s="375"/>
      <c r="AS22" s="260"/>
      <c r="AT22" s="375">
        <v>18</v>
      </c>
      <c r="AU22" s="376">
        <f>DATE(UNMM0131_H_YEAR,UNMM0131_B_MONTH_10,AT22)</f>
        <v>292</v>
      </c>
      <c r="AV22" s="375"/>
      <c r="AW22" s="260"/>
      <c r="AX22" s="375">
        <v>18</v>
      </c>
      <c r="AY22" s="376">
        <f>DATE(UNMM0131_H_YEAR,UNMM0131_B_MONTH_11,AX22)</f>
        <v>323</v>
      </c>
      <c r="AZ22" s="375"/>
      <c r="BA22" s="260"/>
      <c r="BB22" s="375">
        <v>18</v>
      </c>
      <c r="BC22" s="376">
        <f>DATE(UNMM0131_H_YEAR,UNMM0131_B_MONTH_12,BB22)</f>
        <v>353</v>
      </c>
      <c r="BD22" s="375"/>
    </row>
    <row r="23" spans="2:56" ht="16.5">
      <c r="J23" s="375">
        <v>19</v>
      </c>
      <c r="K23" s="376">
        <f>DATE(UNMM0131_H_YEAR,UNMM0131_B_MONTH_1,J23)</f>
        <v>19</v>
      </c>
      <c r="L23" s="375"/>
      <c r="M23" s="260"/>
      <c r="N23" s="375">
        <v>19</v>
      </c>
      <c r="O23" s="376">
        <f>DATE(UNMM0131_H_YEAR,UNMM0131_B_MONTH_2,N23)</f>
        <v>50</v>
      </c>
      <c r="P23" s="375"/>
      <c r="Q23" s="260"/>
      <c r="R23" s="375">
        <v>19</v>
      </c>
      <c r="S23" s="376">
        <f>DATE(UNMM0131_H_YEAR,UNMM0131_B_MONTH_3,R23)</f>
        <v>79</v>
      </c>
      <c r="T23" s="375"/>
      <c r="U23" s="260"/>
      <c r="V23" s="375">
        <v>19</v>
      </c>
      <c r="W23" s="376">
        <f>DATE(UNMM0131_H_YEAR,UNMM0131_B_MONTH_4,V23)</f>
        <v>110</v>
      </c>
      <c r="X23" s="375"/>
      <c r="Y23" s="260"/>
      <c r="Z23" s="375">
        <v>19</v>
      </c>
      <c r="AA23" s="376">
        <f>DATE(UNMM0131_H_YEAR,UNMM0131_B_MONTH_5,Z23)</f>
        <v>140</v>
      </c>
      <c r="AB23" s="375"/>
      <c r="AC23" s="260"/>
      <c r="AD23" s="375">
        <v>19</v>
      </c>
      <c r="AE23" s="376">
        <f>DATE(UNMM0131_H_YEAR,UNMM0131_B_MONTH_6,AD23)</f>
        <v>171</v>
      </c>
      <c r="AF23" s="375"/>
      <c r="AG23" s="260"/>
      <c r="AH23" s="375">
        <v>19</v>
      </c>
      <c r="AI23" s="376">
        <f>DATE(UNMM0131_H_YEAR,UNMM0131_B_MONTH_7,AH23)</f>
        <v>201</v>
      </c>
      <c r="AJ23" s="375"/>
      <c r="AK23" s="260"/>
      <c r="AL23" s="375">
        <v>19</v>
      </c>
      <c r="AM23" s="376">
        <f>DATE(UNMM0131_H_YEAR,UNMM0131_B_MONTH_8,AL23)</f>
        <v>232</v>
      </c>
      <c r="AN23" s="375"/>
      <c r="AO23" s="260"/>
      <c r="AP23" s="375">
        <v>19</v>
      </c>
      <c r="AQ23" s="376">
        <f>DATE(UNMM0131_H_YEAR,UNMM0131_B_MONTH_9,AP23)</f>
        <v>263</v>
      </c>
      <c r="AR23" s="375"/>
      <c r="AS23" s="260"/>
      <c r="AT23" s="375">
        <v>19</v>
      </c>
      <c r="AU23" s="376">
        <f>DATE(UNMM0131_H_YEAR,UNMM0131_B_MONTH_10,AT23)</f>
        <v>293</v>
      </c>
      <c r="AV23" s="375"/>
      <c r="AW23" s="260"/>
      <c r="AX23" s="375">
        <v>19</v>
      </c>
      <c r="AY23" s="376">
        <f>DATE(UNMM0131_H_YEAR,UNMM0131_B_MONTH_11,AX23)</f>
        <v>324</v>
      </c>
      <c r="AZ23" s="375"/>
      <c r="BA23" s="260"/>
      <c r="BB23" s="375">
        <v>19</v>
      </c>
      <c r="BC23" s="376">
        <f>DATE(UNMM0131_H_YEAR,UNMM0131_B_MONTH_12,BB23)</f>
        <v>354</v>
      </c>
      <c r="BD23" s="375"/>
    </row>
    <row r="24" spans="2:56" ht="16.5">
      <c r="C24" s="130" t="s">
        <v>843</v>
      </c>
      <c r="J24" s="375">
        <v>20</v>
      </c>
      <c r="K24" s="376">
        <f>DATE(UNMM0131_H_YEAR,UNMM0131_B_MONTH_1,J24)</f>
        <v>20</v>
      </c>
      <c r="L24" s="375"/>
      <c r="M24" s="260"/>
      <c r="N24" s="375">
        <v>20</v>
      </c>
      <c r="O24" s="376">
        <f>DATE(UNMM0131_H_YEAR,UNMM0131_B_MONTH_2,N24)</f>
        <v>51</v>
      </c>
      <c r="P24" s="375"/>
      <c r="Q24" s="260"/>
      <c r="R24" s="375">
        <v>20</v>
      </c>
      <c r="S24" s="376">
        <f>DATE(UNMM0131_H_YEAR,UNMM0131_B_MONTH_3,R24)</f>
        <v>80</v>
      </c>
      <c r="T24" s="375"/>
      <c r="U24" s="260"/>
      <c r="V24" s="375">
        <v>20</v>
      </c>
      <c r="W24" s="376">
        <f>DATE(UNMM0131_H_YEAR,UNMM0131_B_MONTH_4,V24)</f>
        <v>111</v>
      </c>
      <c r="X24" s="375"/>
      <c r="Y24" s="260"/>
      <c r="Z24" s="375">
        <v>20</v>
      </c>
      <c r="AA24" s="376">
        <f>DATE(UNMM0131_H_YEAR,UNMM0131_B_MONTH_5,Z24)</f>
        <v>141</v>
      </c>
      <c r="AB24" s="375"/>
      <c r="AC24" s="260"/>
      <c r="AD24" s="375">
        <v>20</v>
      </c>
      <c r="AE24" s="376">
        <f>DATE(UNMM0131_H_YEAR,UNMM0131_B_MONTH_6,AD24)</f>
        <v>172</v>
      </c>
      <c r="AF24" s="375"/>
      <c r="AG24" s="260"/>
      <c r="AH24" s="375">
        <v>20</v>
      </c>
      <c r="AI24" s="376">
        <f>DATE(UNMM0131_H_YEAR,UNMM0131_B_MONTH_7,AH24)</f>
        <v>202</v>
      </c>
      <c r="AJ24" s="375"/>
      <c r="AK24" s="260"/>
      <c r="AL24" s="375">
        <v>20</v>
      </c>
      <c r="AM24" s="376">
        <f>DATE(UNMM0131_H_YEAR,UNMM0131_B_MONTH_8,AL24)</f>
        <v>233</v>
      </c>
      <c r="AN24" s="375"/>
      <c r="AO24" s="260"/>
      <c r="AP24" s="375">
        <v>20</v>
      </c>
      <c r="AQ24" s="376">
        <f>DATE(UNMM0131_H_YEAR,UNMM0131_B_MONTH_9,AP24)</f>
        <v>264</v>
      </c>
      <c r="AR24" s="375"/>
      <c r="AS24" s="260"/>
      <c r="AT24" s="375">
        <v>20</v>
      </c>
      <c r="AU24" s="376">
        <f>DATE(UNMM0131_H_YEAR,UNMM0131_B_MONTH_10,AT24)</f>
        <v>294</v>
      </c>
      <c r="AV24" s="375"/>
      <c r="AW24" s="260"/>
      <c r="AX24" s="375">
        <v>20</v>
      </c>
      <c r="AY24" s="376">
        <f>DATE(UNMM0131_H_YEAR,UNMM0131_B_MONTH_11,AX24)</f>
        <v>325</v>
      </c>
      <c r="AZ24" s="375"/>
      <c r="BA24" s="260"/>
      <c r="BB24" s="375">
        <v>20</v>
      </c>
      <c r="BC24" s="376">
        <f>DATE(UNMM0131_H_YEAR,UNMM0131_B_MONTH_12,BB24)</f>
        <v>355</v>
      </c>
      <c r="BD24" s="375"/>
    </row>
    <row r="25" spans="2:56" ht="16.5">
      <c r="C25" s="130" t="s">
        <v>844</v>
      </c>
      <c r="D25" s="129" t="s">
        <v>1931</v>
      </c>
      <c r="E25" s="131" t="str">
        <f>"UNMM0131_IF!"&amp;ADDRESS(ROW(UNMM0131_IF_SAVE_COPY_START),COLUMN(UNMM0131_IF_SAVE_COPY_START))&amp;":"
&amp;ADDRESS(ROW(UNMM0131_IF_SAVE_COPY_START)+IF(MOD(UNMM0131_H_YEAR,4)=0,365,364),COLUMN(UNMM0131_IF_SAVE_COPY_START)+COLUMNS(UNMM0131_IF_SAVE_COPY_MOTO)-1)</f>
        <v>UNMM0131_IF!$BH$6:$BP$371</v>
      </c>
      <c r="J25" s="375">
        <v>21</v>
      </c>
      <c r="K25" s="376">
        <f>DATE(UNMM0131_H_YEAR,UNMM0131_B_MONTH_1,J25)</f>
        <v>21</v>
      </c>
      <c r="L25" s="375"/>
      <c r="M25" s="260"/>
      <c r="N25" s="375">
        <v>21</v>
      </c>
      <c r="O25" s="376">
        <f>DATE(UNMM0131_H_YEAR,UNMM0131_B_MONTH_2,N25)</f>
        <v>52</v>
      </c>
      <c r="P25" s="375"/>
      <c r="Q25" s="260"/>
      <c r="R25" s="375">
        <v>21</v>
      </c>
      <c r="S25" s="376">
        <f>DATE(UNMM0131_H_YEAR,UNMM0131_B_MONTH_3,R25)</f>
        <v>81</v>
      </c>
      <c r="T25" s="375"/>
      <c r="U25" s="260"/>
      <c r="V25" s="375">
        <v>21</v>
      </c>
      <c r="W25" s="376">
        <f>DATE(UNMM0131_H_YEAR,UNMM0131_B_MONTH_4,V25)</f>
        <v>112</v>
      </c>
      <c r="X25" s="375"/>
      <c r="Y25" s="260"/>
      <c r="Z25" s="375">
        <v>21</v>
      </c>
      <c r="AA25" s="376">
        <f>DATE(UNMM0131_H_YEAR,UNMM0131_B_MONTH_5,Z25)</f>
        <v>142</v>
      </c>
      <c r="AB25" s="375"/>
      <c r="AC25" s="260"/>
      <c r="AD25" s="375">
        <v>21</v>
      </c>
      <c r="AE25" s="376">
        <f>DATE(UNMM0131_H_YEAR,UNMM0131_B_MONTH_6,AD25)</f>
        <v>173</v>
      </c>
      <c r="AF25" s="375"/>
      <c r="AG25" s="260"/>
      <c r="AH25" s="375">
        <v>21</v>
      </c>
      <c r="AI25" s="376">
        <f>DATE(UNMM0131_H_YEAR,UNMM0131_B_MONTH_7,AH25)</f>
        <v>203</v>
      </c>
      <c r="AJ25" s="375"/>
      <c r="AK25" s="260"/>
      <c r="AL25" s="375">
        <v>21</v>
      </c>
      <c r="AM25" s="376">
        <f>DATE(UNMM0131_H_YEAR,UNMM0131_B_MONTH_8,AL25)</f>
        <v>234</v>
      </c>
      <c r="AN25" s="375"/>
      <c r="AO25" s="260"/>
      <c r="AP25" s="375">
        <v>21</v>
      </c>
      <c r="AQ25" s="376">
        <f>DATE(UNMM0131_H_YEAR,UNMM0131_B_MONTH_9,AP25)</f>
        <v>265</v>
      </c>
      <c r="AR25" s="375"/>
      <c r="AS25" s="260"/>
      <c r="AT25" s="375">
        <v>21</v>
      </c>
      <c r="AU25" s="376">
        <f>DATE(UNMM0131_H_YEAR,UNMM0131_B_MONTH_10,AT25)</f>
        <v>295</v>
      </c>
      <c r="AV25" s="375"/>
      <c r="AW25" s="260"/>
      <c r="AX25" s="375">
        <v>21</v>
      </c>
      <c r="AY25" s="376">
        <f>DATE(UNMM0131_H_YEAR,UNMM0131_B_MONTH_11,AX25)</f>
        <v>326</v>
      </c>
      <c r="AZ25" s="375"/>
      <c r="BA25" s="260"/>
      <c r="BB25" s="375">
        <v>21</v>
      </c>
      <c r="BC25" s="376">
        <f>DATE(UNMM0131_H_YEAR,UNMM0131_B_MONTH_12,BB25)</f>
        <v>356</v>
      </c>
      <c r="BD25" s="375"/>
    </row>
    <row r="26" spans="2:56" ht="16.5">
      <c r="J26" s="375">
        <v>22</v>
      </c>
      <c r="K26" s="376">
        <f>DATE(UNMM0131_H_YEAR,UNMM0131_B_MONTH_1,J26)</f>
        <v>22</v>
      </c>
      <c r="L26" s="375"/>
      <c r="M26" s="260"/>
      <c r="N26" s="375">
        <v>22</v>
      </c>
      <c r="O26" s="376">
        <f>DATE(UNMM0131_H_YEAR,UNMM0131_B_MONTH_2,N26)</f>
        <v>53</v>
      </c>
      <c r="P26" s="375"/>
      <c r="Q26" s="260"/>
      <c r="R26" s="375">
        <v>22</v>
      </c>
      <c r="S26" s="376">
        <f>DATE(UNMM0131_H_YEAR,UNMM0131_B_MONTH_3,R26)</f>
        <v>82</v>
      </c>
      <c r="T26" s="375"/>
      <c r="U26" s="260"/>
      <c r="V26" s="375">
        <v>22</v>
      </c>
      <c r="W26" s="376">
        <f>DATE(UNMM0131_H_YEAR,UNMM0131_B_MONTH_4,V26)</f>
        <v>113</v>
      </c>
      <c r="X26" s="375"/>
      <c r="Y26" s="260"/>
      <c r="Z26" s="375">
        <v>22</v>
      </c>
      <c r="AA26" s="376">
        <f>DATE(UNMM0131_H_YEAR,UNMM0131_B_MONTH_5,Z26)</f>
        <v>143</v>
      </c>
      <c r="AB26" s="375"/>
      <c r="AC26" s="260"/>
      <c r="AD26" s="375">
        <v>22</v>
      </c>
      <c r="AE26" s="376">
        <f>DATE(UNMM0131_H_YEAR,UNMM0131_B_MONTH_6,AD26)</f>
        <v>174</v>
      </c>
      <c r="AF26" s="375"/>
      <c r="AG26" s="260"/>
      <c r="AH26" s="375">
        <v>22</v>
      </c>
      <c r="AI26" s="376">
        <f>DATE(UNMM0131_H_YEAR,UNMM0131_B_MONTH_7,AH26)</f>
        <v>204</v>
      </c>
      <c r="AJ26" s="375"/>
      <c r="AK26" s="260"/>
      <c r="AL26" s="375">
        <v>22</v>
      </c>
      <c r="AM26" s="376">
        <f>DATE(UNMM0131_H_YEAR,UNMM0131_B_MONTH_8,AL26)</f>
        <v>235</v>
      </c>
      <c r="AN26" s="375"/>
      <c r="AO26" s="260"/>
      <c r="AP26" s="375">
        <v>22</v>
      </c>
      <c r="AQ26" s="376">
        <f>DATE(UNMM0131_H_YEAR,UNMM0131_B_MONTH_9,AP26)</f>
        <v>266</v>
      </c>
      <c r="AR26" s="375"/>
      <c r="AS26" s="260"/>
      <c r="AT26" s="375">
        <v>22</v>
      </c>
      <c r="AU26" s="376">
        <f>DATE(UNMM0131_H_YEAR,UNMM0131_B_MONTH_10,AT26)</f>
        <v>296</v>
      </c>
      <c r="AV26" s="375"/>
      <c r="AW26" s="260"/>
      <c r="AX26" s="375">
        <v>22</v>
      </c>
      <c r="AY26" s="376">
        <f>DATE(UNMM0131_H_YEAR,UNMM0131_B_MONTH_11,AX26)</f>
        <v>327</v>
      </c>
      <c r="AZ26" s="375"/>
      <c r="BA26" s="260"/>
      <c r="BB26" s="375">
        <v>22</v>
      </c>
      <c r="BC26" s="376">
        <f>DATE(UNMM0131_H_YEAR,UNMM0131_B_MONTH_12,BB26)</f>
        <v>357</v>
      </c>
      <c r="BD26" s="375"/>
    </row>
    <row r="27" spans="2:56" ht="16.5">
      <c r="C27" s="130" t="s">
        <v>46</v>
      </c>
      <c r="J27" s="375">
        <v>23</v>
      </c>
      <c r="K27" s="376">
        <f>DATE(UNMM0131_H_YEAR,UNMM0131_B_MONTH_1,J27)</f>
        <v>23</v>
      </c>
      <c r="L27" s="375"/>
      <c r="M27" s="260"/>
      <c r="N27" s="375">
        <v>23</v>
      </c>
      <c r="O27" s="376">
        <f>DATE(UNMM0131_H_YEAR,UNMM0131_B_MONTH_2,N27)</f>
        <v>54</v>
      </c>
      <c r="P27" s="375"/>
      <c r="Q27" s="260"/>
      <c r="R27" s="375">
        <v>23</v>
      </c>
      <c r="S27" s="376">
        <f>DATE(UNMM0131_H_YEAR,UNMM0131_B_MONTH_3,R27)</f>
        <v>83</v>
      </c>
      <c r="T27" s="375"/>
      <c r="U27" s="260"/>
      <c r="V27" s="375">
        <v>23</v>
      </c>
      <c r="W27" s="376">
        <f>DATE(UNMM0131_H_YEAR,UNMM0131_B_MONTH_4,V27)</f>
        <v>114</v>
      </c>
      <c r="X27" s="375"/>
      <c r="Y27" s="260"/>
      <c r="Z27" s="375">
        <v>23</v>
      </c>
      <c r="AA27" s="376">
        <f>DATE(UNMM0131_H_YEAR,UNMM0131_B_MONTH_5,Z27)</f>
        <v>144</v>
      </c>
      <c r="AB27" s="375"/>
      <c r="AC27" s="260"/>
      <c r="AD27" s="375">
        <v>23</v>
      </c>
      <c r="AE27" s="376">
        <f>DATE(UNMM0131_H_YEAR,UNMM0131_B_MONTH_6,AD27)</f>
        <v>175</v>
      </c>
      <c r="AF27" s="375"/>
      <c r="AG27" s="260"/>
      <c r="AH27" s="375">
        <v>23</v>
      </c>
      <c r="AI27" s="376">
        <f>DATE(UNMM0131_H_YEAR,UNMM0131_B_MONTH_7,AH27)</f>
        <v>205</v>
      </c>
      <c r="AJ27" s="375"/>
      <c r="AK27" s="260"/>
      <c r="AL27" s="375">
        <v>23</v>
      </c>
      <c r="AM27" s="376">
        <f>DATE(UNMM0131_H_YEAR,UNMM0131_B_MONTH_8,AL27)</f>
        <v>236</v>
      </c>
      <c r="AN27" s="375"/>
      <c r="AO27" s="260"/>
      <c r="AP27" s="375">
        <v>23</v>
      </c>
      <c r="AQ27" s="376">
        <f>DATE(UNMM0131_H_YEAR,UNMM0131_B_MONTH_9,AP27)</f>
        <v>267</v>
      </c>
      <c r="AR27" s="375"/>
      <c r="AS27" s="260"/>
      <c r="AT27" s="375">
        <v>23</v>
      </c>
      <c r="AU27" s="376">
        <f>DATE(UNMM0131_H_YEAR,UNMM0131_B_MONTH_10,AT27)</f>
        <v>297</v>
      </c>
      <c r="AV27" s="375"/>
      <c r="AW27" s="260"/>
      <c r="AX27" s="375">
        <v>23</v>
      </c>
      <c r="AY27" s="376">
        <f>DATE(UNMM0131_H_YEAR,UNMM0131_B_MONTH_11,AX27)</f>
        <v>328</v>
      </c>
      <c r="AZ27" s="375"/>
      <c r="BA27" s="260"/>
      <c r="BB27" s="375">
        <v>23</v>
      </c>
      <c r="BC27" s="376">
        <f>DATE(UNMM0131_H_YEAR,UNMM0131_B_MONTH_12,BB27)</f>
        <v>358</v>
      </c>
      <c r="BD27" s="375"/>
    </row>
    <row r="28" spans="2:56" ht="16.5">
      <c r="C28" s="130" t="s">
        <v>75</v>
      </c>
      <c r="D28" s="129" t="s">
        <v>1932</v>
      </c>
      <c r="E28" s="131">
        <f ca="1">IF(COUNTIF(OFFSET(UNMM0131_IF_SAVE_INPUT_CHECK_COLUMN,1,0,366),FALSE)&gt;0,0,1)</f>
        <v>1</v>
      </c>
      <c r="F28" s="130" t="s">
        <v>847</v>
      </c>
      <c r="J28" s="375">
        <v>24</v>
      </c>
      <c r="K28" s="376">
        <f>DATE(UNMM0131_H_YEAR,UNMM0131_B_MONTH_1,J28)</f>
        <v>24</v>
      </c>
      <c r="L28" s="375"/>
      <c r="M28" s="260"/>
      <c r="N28" s="375">
        <v>24</v>
      </c>
      <c r="O28" s="376">
        <f>DATE(UNMM0131_H_YEAR,UNMM0131_B_MONTH_2,N28)</f>
        <v>55</v>
      </c>
      <c r="P28" s="375"/>
      <c r="Q28" s="260"/>
      <c r="R28" s="375">
        <v>24</v>
      </c>
      <c r="S28" s="376">
        <f>DATE(UNMM0131_H_YEAR,UNMM0131_B_MONTH_3,R28)</f>
        <v>84</v>
      </c>
      <c r="T28" s="375"/>
      <c r="U28" s="260"/>
      <c r="V28" s="375">
        <v>24</v>
      </c>
      <c r="W28" s="376">
        <f>DATE(UNMM0131_H_YEAR,UNMM0131_B_MONTH_4,V28)</f>
        <v>115</v>
      </c>
      <c r="X28" s="375"/>
      <c r="Y28" s="260"/>
      <c r="Z28" s="375">
        <v>24</v>
      </c>
      <c r="AA28" s="376">
        <f>DATE(UNMM0131_H_YEAR,UNMM0131_B_MONTH_5,Z28)</f>
        <v>145</v>
      </c>
      <c r="AB28" s="375"/>
      <c r="AC28" s="260"/>
      <c r="AD28" s="375">
        <v>24</v>
      </c>
      <c r="AE28" s="376">
        <f>DATE(UNMM0131_H_YEAR,UNMM0131_B_MONTH_6,AD28)</f>
        <v>176</v>
      </c>
      <c r="AF28" s="375"/>
      <c r="AG28" s="260"/>
      <c r="AH28" s="375">
        <v>24</v>
      </c>
      <c r="AI28" s="376">
        <f>DATE(UNMM0131_H_YEAR,UNMM0131_B_MONTH_7,AH28)</f>
        <v>206</v>
      </c>
      <c r="AJ28" s="375"/>
      <c r="AK28" s="260"/>
      <c r="AL28" s="375">
        <v>24</v>
      </c>
      <c r="AM28" s="376">
        <f>DATE(UNMM0131_H_YEAR,UNMM0131_B_MONTH_8,AL28)</f>
        <v>237</v>
      </c>
      <c r="AN28" s="375"/>
      <c r="AO28" s="260"/>
      <c r="AP28" s="375">
        <v>24</v>
      </c>
      <c r="AQ28" s="376">
        <f>DATE(UNMM0131_H_YEAR,UNMM0131_B_MONTH_9,AP28)</f>
        <v>268</v>
      </c>
      <c r="AR28" s="375"/>
      <c r="AS28" s="260"/>
      <c r="AT28" s="375">
        <v>24</v>
      </c>
      <c r="AU28" s="376">
        <f>DATE(UNMM0131_H_YEAR,UNMM0131_B_MONTH_10,AT28)</f>
        <v>298</v>
      </c>
      <c r="AV28" s="375"/>
      <c r="AW28" s="260"/>
      <c r="AX28" s="375">
        <v>24</v>
      </c>
      <c r="AY28" s="376">
        <f>DATE(UNMM0131_H_YEAR,UNMM0131_B_MONTH_11,AX28)</f>
        <v>329</v>
      </c>
      <c r="AZ28" s="375"/>
      <c r="BA28" s="260"/>
      <c r="BB28" s="375">
        <v>24</v>
      </c>
      <c r="BC28" s="376">
        <f>DATE(UNMM0131_H_YEAR,UNMM0131_B_MONTH_12,BB28)</f>
        <v>359</v>
      </c>
      <c r="BD28" s="375"/>
    </row>
    <row r="29" spans="2:56" ht="16.5">
      <c r="J29" s="375">
        <v>25</v>
      </c>
      <c r="K29" s="376">
        <f>DATE(UNMM0131_H_YEAR,UNMM0131_B_MONTH_1,J29)</f>
        <v>25</v>
      </c>
      <c r="L29" s="375"/>
      <c r="M29" s="260"/>
      <c r="N29" s="375">
        <v>25</v>
      </c>
      <c r="O29" s="376">
        <f>DATE(UNMM0131_H_YEAR,UNMM0131_B_MONTH_2,N29)</f>
        <v>56</v>
      </c>
      <c r="P29" s="375"/>
      <c r="Q29" s="260"/>
      <c r="R29" s="375">
        <v>25</v>
      </c>
      <c r="S29" s="376">
        <f>DATE(UNMM0131_H_YEAR,UNMM0131_B_MONTH_3,R29)</f>
        <v>85</v>
      </c>
      <c r="T29" s="375"/>
      <c r="U29" s="260"/>
      <c r="V29" s="375">
        <v>25</v>
      </c>
      <c r="W29" s="376">
        <f>DATE(UNMM0131_H_YEAR,UNMM0131_B_MONTH_4,V29)</f>
        <v>116</v>
      </c>
      <c r="X29" s="375"/>
      <c r="Y29" s="260"/>
      <c r="Z29" s="375">
        <v>25</v>
      </c>
      <c r="AA29" s="376">
        <f>DATE(UNMM0131_H_YEAR,UNMM0131_B_MONTH_5,Z29)</f>
        <v>146</v>
      </c>
      <c r="AB29" s="375"/>
      <c r="AC29" s="260"/>
      <c r="AD29" s="375">
        <v>25</v>
      </c>
      <c r="AE29" s="376">
        <f>DATE(UNMM0131_H_YEAR,UNMM0131_B_MONTH_6,AD29)</f>
        <v>177</v>
      </c>
      <c r="AF29" s="375"/>
      <c r="AG29" s="260"/>
      <c r="AH29" s="375">
        <v>25</v>
      </c>
      <c r="AI29" s="376">
        <f>DATE(UNMM0131_H_YEAR,UNMM0131_B_MONTH_7,AH29)</f>
        <v>207</v>
      </c>
      <c r="AJ29" s="375"/>
      <c r="AK29" s="260"/>
      <c r="AL29" s="375">
        <v>25</v>
      </c>
      <c r="AM29" s="376">
        <f>DATE(UNMM0131_H_YEAR,UNMM0131_B_MONTH_8,AL29)</f>
        <v>238</v>
      </c>
      <c r="AN29" s="375"/>
      <c r="AO29" s="260"/>
      <c r="AP29" s="375">
        <v>25</v>
      </c>
      <c r="AQ29" s="376">
        <f>DATE(UNMM0131_H_YEAR,UNMM0131_B_MONTH_9,AP29)</f>
        <v>269</v>
      </c>
      <c r="AR29" s="375"/>
      <c r="AS29" s="260"/>
      <c r="AT29" s="375">
        <v>25</v>
      </c>
      <c r="AU29" s="376">
        <f>DATE(UNMM0131_H_YEAR,UNMM0131_B_MONTH_10,AT29)</f>
        <v>299</v>
      </c>
      <c r="AV29" s="375"/>
      <c r="AW29" s="260"/>
      <c r="AX29" s="375">
        <v>25</v>
      </c>
      <c r="AY29" s="376">
        <f>DATE(UNMM0131_H_YEAR,UNMM0131_B_MONTH_11,AX29)</f>
        <v>330</v>
      </c>
      <c r="AZ29" s="375"/>
      <c r="BA29" s="260"/>
      <c r="BB29" s="375">
        <v>25</v>
      </c>
      <c r="BC29" s="376">
        <f>DATE(UNMM0131_H_YEAR,UNMM0131_B_MONTH_12,BB29)</f>
        <v>360</v>
      </c>
      <c r="BD29" s="375"/>
    </row>
    <row r="30" spans="2:56" ht="16.5">
      <c r="C30" s="130" t="s">
        <v>465</v>
      </c>
      <c r="J30" s="375">
        <v>26</v>
      </c>
      <c r="K30" s="376">
        <f>DATE(UNMM0131_H_YEAR,UNMM0131_B_MONTH_1,J30)</f>
        <v>26</v>
      </c>
      <c r="L30" s="375"/>
      <c r="M30" s="260"/>
      <c r="N30" s="375">
        <v>26</v>
      </c>
      <c r="O30" s="376">
        <f>DATE(UNMM0131_H_YEAR,UNMM0131_B_MONTH_2,N30)</f>
        <v>57</v>
      </c>
      <c r="P30" s="375"/>
      <c r="Q30" s="260"/>
      <c r="R30" s="375">
        <v>26</v>
      </c>
      <c r="S30" s="376">
        <f>DATE(UNMM0131_H_YEAR,UNMM0131_B_MONTH_3,R30)</f>
        <v>86</v>
      </c>
      <c r="T30" s="375"/>
      <c r="U30" s="260"/>
      <c r="V30" s="375">
        <v>26</v>
      </c>
      <c r="W30" s="376">
        <f>DATE(UNMM0131_H_YEAR,UNMM0131_B_MONTH_4,V30)</f>
        <v>117</v>
      </c>
      <c r="X30" s="375"/>
      <c r="Y30" s="260"/>
      <c r="Z30" s="375">
        <v>26</v>
      </c>
      <c r="AA30" s="376">
        <f>DATE(UNMM0131_H_YEAR,UNMM0131_B_MONTH_5,Z30)</f>
        <v>147</v>
      </c>
      <c r="AB30" s="375"/>
      <c r="AC30" s="260"/>
      <c r="AD30" s="375">
        <v>26</v>
      </c>
      <c r="AE30" s="376">
        <f>DATE(UNMM0131_H_YEAR,UNMM0131_B_MONTH_6,AD30)</f>
        <v>178</v>
      </c>
      <c r="AF30" s="375"/>
      <c r="AG30" s="260"/>
      <c r="AH30" s="375">
        <v>26</v>
      </c>
      <c r="AI30" s="376">
        <f>DATE(UNMM0131_H_YEAR,UNMM0131_B_MONTH_7,AH30)</f>
        <v>208</v>
      </c>
      <c r="AJ30" s="375"/>
      <c r="AK30" s="260"/>
      <c r="AL30" s="375">
        <v>26</v>
      </c>
      <c r="AM30" s="376">
        <f>DATE(UNMM0131_H_YEAR,UNMM0131_B_MONTH_8,AL30)</f>
        <v>239</v>
      </c>
      <c r="AN30" s="375"/>
      <c r="AO30" s="260"/>
      <c r="AP30" s="375">
        <v>26</v>
      </c>
      <c r="AQ30" s="376">
        <f>DATE(UNMM0131_H_YEAR,UNMM0131_B_MONTH_9,AP30)</f>
        <v>270</v>
      </c>
      <c r="AR30" s="375"/>
      <c r="AS30" s="260"/>
      <c r="AT30" s="375">
        <v>26</v>
      </c>
      <c r="AU30" s="376">
        <f>DATE(UNMM0131_H_YEAR,UNMM0131_B_MONTH_10,AT30)</f>
        <v>300</v>
      </c>
      <c r="AV30" s="375"/>
      <c r="AW30" s="260"/>
      <c r="AX30" s="375">
        <v>26</v>
      </c>
      <c r="AY30" s="376">
        <f>DATE(UNMM0131_H_YEAR,UNMM0131_B_MONTH_11,AX30)</f>
        <v>331</v>
      </c>
      <c r="AZ30" s="375"/>
      <c r="BA30" s="260"/>
      <c r="BB30" s="375">
        <v>26</v>
      </c>
      <c r="BC30" s="376">
        <f>DATE(UNMM0131_H_YEAR,UNMM0131_B_MONTH_12,BB30)</f>
        <v>361</v>
      </c>
      <c r="BD30" s="375"/>
    </row>
    <row r="31" spans="2:56" ht="16.5">
      <c r="C31" s="130" t="s">
        <v>466</v>
      </c>
      <c r="D31" s="129" t="s">
        <v>1933</v>
      </c>
      <c r="E31" s="131"/>
      <c r="J31" s="375">
        <v>27</v>
      </c>
      <c r="K31" s="376">
        <f>DATE(UNMM0131_H_YEAR,UNMM0131_B_MONTH_1,J31)</f>
        <v>27</v>
      </c>
      <c r="L31" s="375"/>
      <c r="M31" s="260"/>
      <c r="N31" s="375">
        <v>27</v>
      </c>
      <c r="O31" s="376">
        <f>DATE(UNMM0131_H_YEAR,UNMM0131_B_MONTH_2,N31)</f>
        <v>58</v>
      </c>
      <c r="P31" s="375"/>
      <c r="Q31" s="260"/>
      <c r="R31" s="375">
        <v>27</v>
      </c>
      <c r="S31" s="376">
        <f>DATE(UNMM0131_H_YEAR,UNMM0131_B_MONTH_3,R31)</f>
        <v>87</v>
      </c>
      <c r="T31" s="375"/>
      <c r="U31" s="260"/>
      <c r="V31" s="375">
        <v>27</v>
      </c>
      <c r="W31" s="376">
        <f>DATE(UNMM0131_H_YEAR,UNMM0131_B_MONTH_4,V31)</f>
        <v>118</v>
      </c>
      <c r="X31" s="375"/>
      <c r="Y31" s="260"/>
      <c r="Z31" s="375">
        <v>27</v>
      </c>
      <c r="AA31" s="376">
        <f>DATE(UNMM0131_H_YEAR,UNMM0131_B_MONTH_5,Z31)</f>
        <v>148</v>
      </c>
      <c r="AB31" s="375"/>
      <c r="AC31" s="260"/>
      <c r="AD31" s="375">
        <v>27</v>
      </c>
      <c r="AE31" s="376">
        <f>DATE(UNMM0131_H_YEAR,UNMM0131_B_MONTH_6,AD31)</f>
        <v>179</v>
      </c>
      <c r="AF31" s="375"/>
      <c r="AG31" s="260"/>
      <c r="AH31" s="375">
        <v>27</v>
      </c>
      <c r="AI31" s="376">
        <f>DATE(UNMM0131_H_YEAR,UNMM0131_B_MONTH_7,AH31)</f>
        <v>209</v>
      </c>
      <c r="AJ31" s="375"/>
      <c r="AK31" s="260"/>
      <c r="AL31" s="375">
        <v>27</v>
      </c>
      <c r="AM31" s="376">
        <f>DATE(UNMM0131_H_YEAR,UNMM0131_B_MONTH_8,AL31)</f>
        <v>240</v>
      </c>
      <c r="AN31" s="375"/>
      <c r="AO31" s="260"/>
      <c r="AP31" s="375">
        <v>27</v>
      </c>
      <c r="AQ31" s="376">
        <f>DATE(UNMM0131_H_YEAR,UNMM0131_B_MONTH_9,AP31)</f>
        <v>271</v>
      </c>
      <c r="AR31" s="375"/>
      <c r="AS31" s="260"/>
      <c r="AT31" s="375">
        <v>27</v>
      </c>
      <c r="AU31" s="376">
        <f>DATE(UNMM0131_H_YEAR,UNMM0131_B_MONTH_10,AT31)</f>
        <v>301</v>
      </c>
      <c r="AV31" s="375"/>
      <c r="AW31" s="260"/>
      <c r="AX31" s="375">
        <v>27</v>
      </c>
      <c r="AY31" s="376">
        <f>DATE(UNMM0131_H_YEAR,UNMM0131_B_MONTH_11,AX31)</f>
        <v>332</v>
      </c>
      <c r="AZ31" s="375"/>
      <c r="BA31" s="260"/>
      <c r="BB31" s="375">
        <v>27</v>
      </c>
      <c r="BC31" s="376">
        <f>DATE(UNMM0131_H_YEAR,UNMM0131_B_MONTH_12,BB31)</f>
        <v>362</v>
      </c>
      <c r="BD31" s="375"/>
    </row>
    <row r="32" spans="2:56" ht="16.5">
      <c r="C32" s="130" t="s">
        <v>467</v>
      </c>
      <c r="D32" s="129" t="s">
        <v>1934</v>
      </c>
      <c r="E32" s="131"/>
      <c r="J32" s="375">
        <v>28</v>
      </c>
      <c r="K32" s="376">
        <f>DATE(UNMM0131_H_YEAR,UNMM0131_B_MONTH_1,J32)</f>
        <v>28</v>
      </c>
      <c r="L32" s="375"/>
      <c r="M32" s="260"/>
      <c r="N32" s="375">
        <v>28</v>
      </c>
      <c r="O32" s="376">
        <f>DATE(UNMM0131_H_YEAR,UNMM0131_B_MONTH_2,N32)</f>
        <v>59</v>
      </c>
      <c r="P32" s="375"/>
      <c r="Q32" s="260"/>
      <c r="R32" s="375">
        <v>28</v>
      </c>
      <c r="S32" s="376">
        <f>DATE(UNMM0131_H_YEAR,UNMM0131_B_MONTH_3,R32)</f>
        <v>88</v>
      </c>
      <c r="T32" s="375"/>
      <c r="U32" s="260"/>
      <c r="V32" s="375">
        <v>28</v>
      </c>
      <c r="W32" s="376">
        <f>DATE(UNMM0131_H_YEAR,UNMM0131_B_MONTH_4,V32)</f>
        <v>119</v>
      </c>
      <c r="X32" s="375"/>
      <c r="Y32" s="260"/>
      <c r="Z32" s="375">
        <v>28</v>
      </c>
      <c r="AA32" s="376">
        <f>DATE(UNMM0131_H_YEAR,UNMM0131_B_MONTH_5,Z32)</f>
        <v>149</v>
      </c>
      <c r="AB32" s="375"/>
      <c r="AC32" s="260"/>
      <c r="AD32" s="375">
        <v>28</v>
      </c>
      <c r="AE32" s="376">
        <f>DATE(UNMM0131_H_YEAR,UNMM0131_B_MONTH_6,AD32)</f>
        <v>180</v>
      </c>
      <c r="AF32" s="375"/>
      <c r="AG32" s="260"/>
      <c r="AH32" s="375">
        <v>28</v>
      </c>
      <c r="AI32" s="376">
        <f>DATE(UNMM0131_H_YEAR,UNMM0131_B_MONTH_7,AH32)</f>
        <v>210</v>
      </c>
      <c r="AJ32" s="375"/>
      <c r="AK32" s="260"/>
      <c r="AL32" s="375">
        <v>28</v>
      </c>
      <c r="AM32" s="376">
        <f>DATE(UNMM0131_H_YEAR,UNMM0131_B_MONTH_8,AL32)</f>
        <v>241</v>
      </c>
      <c r="AN32" s="375"/>
      <c r="AO32" s="260"/>
      <c r="AP32" s="375">
        <v>28</v>
      </c>
      <c r="AQ32" s="376">
        <f>DATE(UNMM0131_H_YEAR,UNMM0131_B_MONTH_9,AP32)</f>
        <v>272</v>
      </c>
      <c r="AR32" s="375"/>
      <c r="AS32" s="260"/>
      <c r="AT32" s="375">
        <v>28</v>
      </c>
      <c r="AU32" s="376">
        <f>DATE(UNMM0131_H_YEAR,UNMM0131_B_MONTH_10,AT32)</f>
        <v>302</v>
      </c>
      <c r="AV32" s="375"/>
      <c r="AW32" s="260"/>
      <c r="AX32" s="375">
        <v>28</v>
      </c>
      <c r="AY32" s="376">
        <f>DATE(UNMM0131_H_YEAR,UNMM0131_B_MONTH_11,AX32)</f>
        <v>333</v>
      </c>
      <c r="AZ32" s="375"/>
      <c r="BA32" s="260"/>
      <c r="BB32" s="375">
        <v>28</v>
      </c>
      <c r="BC32" s="376">
        <f>DATE(UNMM0131_H_YEAR,UNMM0131_B_MONTH_12,BB32)</f>
        <v>363</v>
      </c>
      <c r="BD32" s="375"/>
    </row>
    <row r="33" spans="2:56" ht="16.5">
      <c r="C33" s="130" t="s">
        <v>468</v>
      </c>
      <c r="D33" s="129" t="s">
        <v>1935</v>
      </c>
      <c r="E33" s="131">
        <f>IF(UNMM0131_IF_SAVE_RESULT_CD=0,2,1)</f>
        <v>2</v>
      </c>
      <c r="F33" s="130" t="s">
        <v>1291</v>
      </c>
      <c r="J33" s="375">
        <v>29</v>
      </c>
      <c r="K33" s="376">
        <f>DATE(UNMM0131_H_YEAR,UNMM0131_B_MONTH_1,J33)</f>
        <v>29</v>
      </c>
      <c r="L33" s="375"/>
      <c r="M33" s="260"/>
      <c r="N33" s="375">
        <f>IF(MOD(UNMM0131_H_YEAR,4)=0,29,"-")</f>
        <v>29</v>
      </c>
      <c r="O33" s="376">
        <f>IF(MOD(UNMM0131_H_YEAR,4)=0,DATE(UNMM0131_H_YEAR,UNMM0131_B_MONTH_2,N33),"-")</f>
        <v>60</v>
      </c>
      <c r="P33" s="375"/>
      <c r="Q33" s="260"/>
      <c r="R33" s="375">
        <v>29</v>
      </c>
      <c r="S33" s="376">
        <f>DATE(UNMM0131_H_YEAR,UNMM0131_B_MONTH_3,R33)</f>
        <v>89</v>
      </c>
      <c r="T33" s="375"/>
      <c r="U33" s="260"/>
      <c r="V33" s="375">
        <v>29</v>
      </c>
      <c r="W33" s="376">
        <f>DATE(UNMM0131_H_YEAR,UNMM0131_B_MONTH_4,V33)</f>
        <v>120</v>
      </c>
      <c r="X33" s="375"/>
      <c r="Y33" s="260"/>
      <c r="Z33" s="375">
        <v>29</v>
      </c>
      <c r="AA33" s="376">
        <f>DATE(UNMM0131_H_YEAR,UNMM0131_B_MONTH_5,Z33)</f>
        <v>150</v>
      </c>
      <c r="AB33" s="375"/>
      <c r="AC33" s="260"/>
      <c r="AD33" s="375">
        <v>29</v>
      </c>
      <c r="AE33" s="376">
        <f>DATE(UNMM0131_H_YEAR,UNMM0131_B_MONTH_6,AD33)</f>
        <v>181</v>
      </c>
      <c r="AF33" s="375"/>
      <c r="AG33" s="260"/>
      <c r="AH33" s="375">
        <v>29</v>
      </c>
      <c r="AI33" s="376">
        <f>DATE(UNMM0131_H_YEAR,UNMM0131_B_MONTH_7,AH33)</f>
        <v>211</v>
      </c>
      <c r="AJ33" s="375"/>
      <c r="AK33" s="260"/>
      <c r="AL33" s="375">
        <v>29</v>
      </c>
      <c r="AM33" s="376">
        <f>DATE(UNMM0131_H_YEAR,UNMM0131_B_MONTH_8,AL33)</f>
        <v>242</v>
      </c>
      <c r="AN33" s="375"/>
      <c r="AO33" s="260"/>
      <c r="AP33" s="375">
        <v>29</v>
      </c>
      <c r="AQ33" s="376">
        <f>DATE(UNMM0131_H_YEAR,UNMM0131_B_MONTH_9,AP33)</f>
        <v>273</v>
      </c>
      <c r="AR33" s="375"/>
      <c r="AS33" s="260"/>
      <c r="AT33" s="375">
        <v>29</v>
      </c>
      <c r="AU33" s="376">
        <f>DATE(UNMM0131_H_YEAR,UNMM0131_B_MONTH_10,AT33)</f>
        <v>303</v>
      </c>
      <c r="AV33" s="375"/>
      <c r="AW33" s="260"/>
      <c r="AX33" s="375">
        <v>29</v>
      </c>
      <c r="AY33" s="376">
        <f>DATE(UNMM0131_H_YEAR,UNMM0131_B_MONTH_11,AX33)</f>
        <v>334</v>
      </c>
      <c r="AZ33" s="375"/>
      <c r="BA33" s="260"/>
      <c r="BB33" s="375">
        <v>29</v>
      </c>
      <c r="BC33" s="376">
        <f>DATE(UNMM0131_H_YEAR,UNMM0131_B_MONTH_12,BB33)</f>
        <v>364</v>
      </c>
      <c r="BD33" s="375"/>
    </row>
    <row r="34" spans="2:56" ht="16.5">
      <c r="C34" s="130" t="s">
        <v>469</v>
      </c>
      <c r="D34" s="129" t="s">
        <v>1936</v>
      </c>
      <c r="E34" s="131" t="str">
        <f>IF(UNMM0131_IF_SAVE_W_MODE=3,"削除に失敗しました。",
IF(ISERROR(VLOOKUP(UNMM0131_IF_SAVE_RESULT_CD,UNMM_COMMON_ERROR_MESSAGE_AREA,2,FALSE)),
"保存に失敗しました。入力内容を確認後、再度実行してください。",
VLOOKUP(UNMM0131_IF_SAVE_RESULT_CD,UNMM_COMMON_ERROR_MESSAGE_AREA,2,FALSE)))</f>
        <v>保存に失敗しました。入力内容を確認後、再度実行してください。</v>
      </c>
      <c r="J34" s="375">
        <v>30</v>
      </c>
      <c r="K34" s="376">
        <f>DATE(UNMM0131_H_YEAR,UNMM0131_B_MONTH_1,J34)</f>
        <v>30</v>
      </c>
      <c r="L34" s="375"/>
      <c r="M34" s="260"/>
      <c r="N34" s="260"/>
      <c r="O34" s="260"/>
      <c r="P34" s="260"/>
      <c r="Q34" s="260"/>
      <c r="R34" s="375">
        <v>30</v>
      </c>
      <c r="S34" s="376">
        <f>DATE(UNMM0131_H_YEAR,UNMM0131_B_MONTH_3,R34)</f>
        <v>90</v>
      </c>
      <c r="T34" s="375"/>
      <c r="U34" s="260"/>
      <c r="V34" s="375">
        <v>30</v>
      </c>
      <c r="W34" s="376">
        <f>DATE(UNMM0131_H_YEAR,UNMM0131_B_MONTH_4,V34)</f>
        <v>121</v>
      </c>
      <c r="X34" s="375"/>
      <c r="Y34" s="260"/>
      <c r="Z34" s="375">
        <v>30</v>
      </c>
      <c r="AA34" s="376">
        <f>DATE(UNMM0131_H_YEAR,UNMM0131_B_MONTH_5,Z34)</f>
        <v>151</v>
      </c>
      <c r="AB34" s="375"/>
      <c r="AC34" s="260"/>
      <c r="AD34" s="375">
        <v>30</v>
      </c>
      <c r="AE34" s="376">
        <f>DATE(UNMM0131_H_YEAR,UNMM0131_B_MONTH_6,AD34)</f>
        <v>182</v>
      </c>
      <c r="AF34" s="375"/>
      <c r="AG34" s="260"/>
      <c r="AH34" s="375">
        <v>30</v>
      </c>
      <c r="AI34" s="376">
        <f>DATE(UNMM0131_H_YEAR,UNMM0131_B_MONTH_7,AH34)</f>
        <v>212</v>
      </c>
      <c r="AJ34" s="375"/>
      <c r="AK34" s="260"/>
      <c r="AL34" s="375">
        <v>30</v>
      </c>
      <c r="AM34" s="376">
        <f>DATE(UNMM0131_H_YEAR,UNMM0131_B_MONTH_8,AL34)</f>
        <v>243</v>
      </c>
      <c r="AN34" s="375"/>
      <c r="AO34" s="260"/>
      <c r="AP34" s="375">
        <v>30</v>
      </c>
      <c r="AQ34" s="376">
        <f>DATE(UNMM0131_H_YEAR,UNMM0131_B_MONTH_9,AP34)</f>
        <v>274</v>
      </c>
      <c r="AR34" s="375"/>
      <c r="AS34" s="260"/>
      <c r="AT34" s="375">
        <v>30</v>
      </c>
      <c r="AU34" s="376">
        <f>DATE(UNMM0131_H_YEAR,UNMM0131_B_MONTH_10,AT34)</f>
        <v>304</v>
      </c>
      <c r="AV34" s="375"/>
      <c r="AW34" s="260"/>
      <c r="AX34" s="375">
        <v>30</v>
      </c>
      <c r="AY34" s="376">
        <f>DATE(UNMM0131_H_YEAR,UNMM0131_B_MONTH_11,AX34)</f>
        <v>335</v>
      </c>
      <c r="AZ34" s="375"/>
      <c r="BA34" s="260"/>
      <c r="BB34" s="375">
        <v>30</v>
      </c>
      <c r="BC34" s="376">
        <f>DATE(UNMM0131_H_YEAR,UNMM0131_B_MONTH_12,BB34)</f>
        <v>365</v>
      </c>
      <c r="BD34" s="375"/>
    </row>
    <row r="35" spans="2:56" ht="16.5">
      <c r="J35" s="375">
        <v>31</v>
      </c>
      <c r="K35" s="376">
        <f>DATE(UNMM0131_H_YEAR,UNMM0131_B_MONTH_1,J35)</f>
        <v>31</v>
      </c>
      <c r="L35" s="375"/>
      <c r="M35" s="260"/>
      <c r="N35" s="260"/>
      <c r="O35" s="260"/>
      <c r="P35" s="260"/>
      <c r="Q35" s="260"/>
      <c r="R35" s="375">
        <v>31</v>
      </c>
      <c r="S35" s="376">
        <f>DATE(UNMM0131_H_YEAR,UNMM0131_B_MONTH_3,R35)</f>
        <v>91</v>
      </c>
      <c r="T35" s="375"/>
      <c r="U35" s="260"/>
      <c r="V35" s="260"/>
      <c r="W35" s="260"/>
      <c r="X35" s="260"/>
      <c r="Y35" s="260"/>
      <c r="Z35" s="375">
        <v>31</v>
      </c>
      <c r="AA35" s="376">
        <f>DATE(UNMM0131_H_YEAR,UNMM0131_B_MONTH_5,Z35)</f>
        <v>152</v>
      </c>
      <c r="AB35" s="375"/>
      <c r="AC35" s="260"/>
      <c r="AD35" s="260"/>
      <c r="AE35" s="260"/>
      <c r="AF35" s="260"/>
      <c r="AG35" s="260"/>
      <c r="AH35" s="375">
        <v>31</v>
      </c>
      <c r="AI35" s="376">
        <f>DATE(UNMM0131_H_YEAR,UNMM0131_B_MONTH_7,AH35)</f>
        <v>213</v>
      </c>
      <c r="AJ35" s="375"/>
      <c r="AK35" s="260"/>
      <c r="AL35" s="375">
        <v>31</v>
      </c>
      <c r="AM35" s="376">
        <f>DATE(UNMM0131_H_YEAR,UNMM0131_B_MONTH_8,AL35)</f>
        <v>244</v>
      </c>
      <c r="AN35" s="375"/>
      <c r="AO35" s="260"/>
      <c r="AP35" s="260"/>
      <c r="AQ35" s="260"/>
      <c r="AR35" s="260"/>
      <c r="AS35" s="260"/>
      <c r="AT35" s="375">
        <v>31</v>
      </c>
      <c r="AU35" s="376">
        <f>DATE(UNMM0131_H_YEAR,UNMM0131_B_MONTH_10,AT35)</f>
        <v>305</v>
      </c>
      <c r="AV35" s="375"/>
      <c r="AW35" s="260"/>
      <c r="AX35" s="260"/>
      <c r="AY35" s="260"/>
      <c r="AZ35" s="260"/>
      <c r="BA35" s="260"/>
      <c r="BB35" s="375">
        <v>31</v>
      </c>
      <c r="BC35" s="376">
        <f>DATE(UNMM0131_H_YEAR,UNMM0131_B_MONTH_12,BB35)</f>
        <v>366</v>
      </c>
      <c r="BD35" s="375"/>
    </row>
    <row r="36" spans="2:56">
      <c r="B36" s="85" t="s">
        <v>928</v>
      </c>
    </row>
    <row r="37" spans="2:56">
      <c r="C37" s="130" t="s">
        <v>929</v>
      </c>
      <c r="D37" s="129" t="s">
        <v>1937</v>
      </c>
      <c r="E37" s="131" t="str">
        <f ca="1">"営業カレンダー_"&amp;UNMM0131_H_YEAR&amp;"年度_"&amp;TEXT(NOW(),"YYYYMMDD")</f>
        <v>営業カレンダー_年度_20170913</v>
      </c>
      <c r="J37" s="717" t="s">
        <v>806</v>
      </c>
      <c r="K37" s="717"/>
      <c r="L37" s="717"/>
      <c r="M37" s="717"/>
      <c r="N37" s="717"/>
      <c r="O37" s="717"/>
      <c r="P37" s="130" t="s">
        <v>1938</v>
      </c>
    </row>
    <row r="38" spans="2:56" ht="16.5">
      <c r="J38" s="375">
        <v>1</v>
      </c>
      <c r="K38" s="376">
        <f>DATE(UNMM0131_H_YEAR,UNMM0131_B_MONTH_1,J38)</f>
        <v>1</v>
      </c>
      <c r="L38" s="166"/>
      <c r="M38" s="83"/>
      <c r="N38" s="375">
        <v>1</v>
      </c>
      <c r="O38" s="376">
        <f>DATE(UNMM0131_H_YEAR,UNMM0131_B_MONTH_2,N38)</f>
        <v>32</v>
      </c>
      <c r="P38" s="166"/>
      <c r="Q38" s="83"/>
      <c r="R38" s="375">
        <v>1</v>
      </c>
      <c r="S38" s="376">
        <f>DATE(UNMM0131_H_YEAR,UNMM0131_B_MONTH_3,R38)</f>
        <v>61</v>
      </c>
      <c r="T38" s="166"/>
      <c r="U38" s="83"/>
      <c r="V38" s="375">
        <v>1</v>
      </c>
      <c r="W38" s="376">
        <f>DATE(UNMM0131_H_YEAR,UNMM0131_B_MONTH_4,V38)</f>
        <v>92</v>
      </c>
      <c r="X38" s="166"/>
      <c r="Y38" s="83"/>
      <c r="Z38" s="375">
        <v>1</v>
      </c>
      <c r="AA38" s="376">
        <f>DATE(UNMM0131_H_YEAR,UNMM0131_B_MONTH_5,Z38)</f>
        <v>122</v>
      </c>
      <c r="AB38" s="166"/>
      <c r="AC38" s="83"/>
      <c r="AD38" s="375">
        <v>1</v>
      </c>
      <c r="AE38" s="376">
        <f>DATE(UNMM0131_H_YEAR,UNMM0131_B_MONTH_6,AD38)</f>
        <v>153</v>
      </c>
      <c r="AF38" s="166"/>
      <c r="AG38" s="83"/>
      <c r="AH38" s="375">
        <v>1</v>
      </c>
      <c r="AI38" s="376">
        <f>DATE(UNMM0131_H_YEAR,UNMM0131_B_MONTH_7,AH38)</f>
        <v>183</v>
      </c>
      <c r="AJ38" s="166"/>
      <c r="AK38" s="83"/>
      <c r="AL38" s="375">
        <v>1</v>
      </c>
      <c r="AM38" s="376">
        <f>DATE(UNMM0131_H_YEAR,UNMM0131_B_MONTH_8,AL38)</f>
        <v>214</v>
      </c>
      <c r="AN38" s="166"/>
      <c r="AO38" s="83"/>
      <c r="AP38" s="375">
        <v>1</v>
      </c>
      <c r="AQ38" s="376">
        <f>DATE(UNMM0131_H_YEAR,UNMM0131_B_MONTH_9,AP38)</f>
        <v>245</v>
      </c>
      <c r="AR38" s="166"/>
      <c r="AS38" s="83"/>
      <c r="AT38" s="375">
        <v>1</v>
      </c>
      <c r="AU38" s="376">
        <f>DATE(UNMM0131_H_YEAR,UNMM0131_B_MONTH_10,AT38)</f>
        <v>275</v>
      </c>
      <c r="AV38" s="166"/>
      <c r="AW38" s="83"/>
      <c r="AX38" s="375">
        <v>1</v>
      </c>
      <c r="AY38" s="376">
        <f>DATE(UNMM0131_H_YEAR,UNMM0131_B_MONTH_11,AX38)</f>
        <v>306</v>
      </c>
      <c r="AZ38" s="166"/>
      <c r="BA38" s="83"/>
      <c r="BB38" s="375">
        <v>1</v>
      </c>
      <c r="BC38" s="376">
        <f>DATE(UNMM0131_H_YEAR,UNMM0131_B_MONTH_12,BB38)</f>
        <v>336</v>
      </c>
      <c r="BD38" s="166"/>
    </row>
    <row r="39" spans="2:56" ht="16.5">
      <c r="C39" s="84"/>
      <c r="D39" s="164"/>
      <c r="J39" s="375">
        <v>2</v>
      </c>
      <c r="K39" s="376">
        <f>DATE(UNMM0131_H_YEAR,UNMM0131_B_MONTH_1,J39)</f>
        <v>2</v>
      </c>
      <c r="L39" s="166"/>
      <c r="M39" s="83"/>
      <c r="N39" s="375">
        <v>2</v>
      </c>
      <c r="O39" s="376">
        <f>DATE(UNMM0131_H_YEAR,UNMM0131_B_MONTH_2,N39)</f>
        <v>33</v>
      </c>
      <c r="P39" s="166"/>
      <c r="Q39" s="83"/>
      <c r="R39" s="375">
        <v>2</v>
      </c>
      <c r="S39" s="376">
        <f>DATE(UNMM0131_H_YEAR,UNMM0131_B_MONTH_3,R39)</f>
        <v>62</v>
      </c>
      <c r="T39" s="166"/>
      <c r="U39" s="83"/>
      <c r="V39" s="375">
        <v>2</v>
      </c>
      <c r="W39" s="376">
        <f>DATE(UNMM0131_H_YEAR,UNMM0131_B_MONTH_4,V39)</f>
        <v>93</v>
      </c>
      <c r="X39" s="166"/>
      <c r="Y39" s="83"/>
      <c r="Z39" s="375">
        <v>2</v>
      </c>
      <c r="AA39" s="376">
        <f>DATE(UNMM0131_H_YEAR,UNMM0131_B_MONTH_5,Z39)</f>
        <v>123</v>
      </c>
      <c r="AB39" s="166"/>
      <c r="AC39" s="83"/>
      <c r="AD39" s="375">
        <v>2</v>
      </c>
      <c r="AE39" s="376">
        <f>DATE(UNMM0131_H_YEAR,UNMM0131_B_MONTH_6,AD39)</f>
        <v>154</v>
      </c>
      <c r="AF39" s="166"/>
      <c r="AG39" s="83"/>
      <c r="AH39" s="375">
        <v>2</v>
      </c>
      <c r="AI39" s="376">
        <f>DATE(UNMM0131_H_YEAR,UNMM0131_B_MONTH_7,AH39)</f>
        <v>184</v>
      </c>
      <c r="AJ39" s="166"/>
      <c r="AK39" s="83"/>
      <c r="AL39" s="375">
        <v>2</v>
      </c>
      <c r="AM39" s="376">
        <f>DATE(UNMM0131_H_YEAR,UNMM0131_B_MONTH_8,AL39)</f>
        <v>215</v>
      </c>
      <c r="AN39" s="166"/>
      <c r="AO39" s="83"/>
      <c r="AP39" s="375">
        <v>2</v>
      </c>
      <c r="AQ39" s="376">
        <f>DATE(UNMM0131_H_YEAR,UNMM0131_B_MONTH_9,AP39)</f>
        <v>246</v>
      </c>
      <c r="AR39" s="166"/>
      <c r="AS39" s="83"/>
      <c r="AT39" s="375">
        <v>2</v>
      </c>
      <c r="AU39" s="376">
        <f>DATE(UNMM0131_H_YEAR,UNMM0131_B_MONTH_10,AT39)</f>
        <v>276</v>
      </c>
      <c r="AV39" s="166"/>
      <c r="AW39" s="83"/>
      <c r="AX39" s="375">
        <v>2</v>
      </c>
      <c r="AY39" s="376">
        <f>DATE(UNMM0131_H_YEAR,UNMM0131_B_MONTH_11,AX39)</f>
        <v>307</v>
      </c>
      <c r="AZ39" s="166"/>
      <c r="BA39" s="83"/>
      <c r="BB39" s="375">
        <v>2</v>
      </c>
      <c r="BC39" s="376">
        <f>DATE(UNMM0131_H_YEAR,UNMM0131_B_MONTH_12,BB39)</f>
        <v>337</v>
      </c>
      <c r="BD39" s="166"/>
    </row>
    <row r="40" spans="2:56" ht="16.5">
      <c r="J40" s="375">
        <v>3</v>
      </c>
      <c r="K40" s="376">
        <f>DATE(UNMM0131_H_YEAR,UNMM0131_B_MONTH_1,J40)</f>
        <v>3</v>
      </c>
      <c r="L40" s="166"/>
      <c r="M40" s="83"/>
      <c r="N40" s="375">
        <v>3</v>
      </c>
      <c r="O40" s="376">
        <f>DATE(UNMM0131_H_YEAR,UNMM0131_B_MONTH_2,N40)</f>
        <v>34</v>
      </c>
      <c r="P40" s="166"/>
      <c r="Q40" s="83"/>
      <c r="R40" s="375">
        <v>3</v>
      </c>
      <c r="S40" s="376">
        <f>DATE(UNMM0131_H_YEAR,UNMM0131_B_MONTH_3,R40)</f>
        <v>63</v>
      </c>
      <c r="T40" s="166"/>
      <c r="U40" s="83"/>
      <c r="V40" s="375">
        <v>3</v>
      </c>
      <c r="W40" s="376">
        <f>DATE(UNMM0131_H_YEAR,UNMM0131_B_MONTH_4,V40)</f>
        <v>94</v>
      </c>
      <c r="X40" s="166"/>
      <c r="Y40" s="83"/>
      <c r="Z40" s="375">
        <v>3</v>
      </c>
      <c r="AA40" s="376">
        <f>DATE(UNMM0131_H_YEAR,UNMM0131_B_MONTH_5,Z40)</f>
        <v>124</v>
      </c>
      <c r="AB40" s="166"/>
      <c r="AC40" s="83"/>
      <c r="AD40" s="375">
        <v>3</v>
      </c>
      <c r="AE40" s="376">
        <f>DATE(UNMM0131_H_YEAR,UNMM0131_B_MONTH_6,AD40)</f>
        <v>155</v>
      </c>
      <c r="AF40" s="166"/>
      <c r="AG40" s="83"/>
      <c r="AH40" s="375">
        <v>3</v>
      </c>
      <c r="AI40" s="376">
        <f>DATE(UNMM0131_H_YEAR,UNMM0131_B_MONTH_7,AH40)</f>
        <v>185</v>
      </c>
      <c r="AJ40" s="166"/>
      <c r="AK40" s="83"/>
      <c r="AL40" s="375">
        <v>3</v>
      </c>
      <c r="AM40" s="376">
        <f>DATE(UNMM0131_H_YEAR,UNMM0131_B_MONTH_8,AL40)</f>
        <v>216</v>
      </c>
      <c r="AN40" s="166"/>
      <c r="AO40" s="83"/>
      <c r="AP40" s="375">
        <v>3</v>
      </c>
      <c r="AQ40" s="376">
        <f>DATE(UNMM0131_H_YEAR,UNMM0131_B_MONTH_9,AP40)</f>
        <v>247</v>
      </c>
      <c r="AR40" s="166"/>
      <c r="AS40" s="83"/>
      <c r="AT40" s="375">
        <v>3</v>
      </c>
      <c r="AU40" s="376">
        <f>DATE(UNMM0131_H_YEAR,UNMM0131_B_MONTH_10,AT40)</f>
        <v>277</v>
      </c>
      <c r="AV40" s="166"/>
      <c r="AW40" s="83"/>
      <c r="AX40" s="375">
        <v>3</v>
      </c>
      <c r="AY40" s="376">
        <f>DATE(UNMM0131_H_YEAR,UNMM0131_B_MONTH_11,AX40)</f>
        <v>308</v>
      </c>
      <c r="AZ40" s="166"/>
      <c r="BA40" s="83"/>
      <c r="BB40" s="375">
        <v>3</v>
      </c>
      <c r="BC40" s="376">
        <f>DATE(UNMM0131_H_YEAR,UNMM0131_B_MONTH_12,BB40)</f>
        <v>338</v>
      </c>
      <c r="BD40" s="166"/>
    </row>
    <row r="41" spans="2:56" ht="16.5">
      <c r="B41" s="85" t="s">
        <v>616</v>
      </c>
      <c r="J41" s="375">
        <v>4</v>
      </c>
      <c r="K41" s="376">
        <f>DATE(UNMM0131_H_YEAR,UNMM0131_B_MONTH_1,J41)</f>
        <v>4</v>
      </c>
      <c r="L41" s="166"/>
      <c r="M41" s="83"/>
      <c r="N41" s="375">
        <v>4</v>
      </c>
      <c r="O41" s="376">
        <f>DATE(UNMM0131_H_YEAR,UNMM0131_B_MONTH_2,N41)</f>
        <v>35</v>
      </c>
      <c r="P41" s="166"/>
      <c r="Q41" s="83"/>
      <c r="R41" s="375">
        <v>4</v>
      </c>
      <c r="S41" s="376">
        <f>DATE(UNMM0131_H_YEAR,UNMM0131_B_MONTH_3,R41)</f>
        <v>64</v>
      </c>
      <c r="T41" s="166"/>
      <c r="U41" s="83"/>
      <c r="V41" s="375">
        <v>4</v>
      </c>
      <c r="W41" s="376">
        <f>DATE(UNMM0131_H_YEAR,UNMM0131_B_MONTH_4,V41)</f>
        <v>95</v>
      </c>
      <c r="X41" s="166"/>
      <c r="Y41" s="83"/>
      <c r="Z41" s="375">
        <v>4</v>
      </c>
      <c r="AA41" s="376">
        <f>DATE(UNMM0131_H_YEAR,UNMM0131_B_MONTH_5,Z41)</f>
        <v>125</v>
      </c>
      <c r="AB41" s="166"/>
      <c r="AC41" s="83"/>
      <c r="AD41" s="375">
        <v>4</v>
      </c>
      <c r="AE41" s="376">
        <f>DATE(UNMM0131_H_YEAR,UNMM0131_B_MONTH_6,AD41)</f>
        <v>156</v>
      </c>
      <c r="AF41" s="166"/>
      <c r="AG41" s="83"/>
      <c r="AH41" s="375">
        <v>4</v>
      </c>
      <c r="AI41" s="376">
        <f>DATE(UNMM0131_H_YEAR,UNMM0131_B_MONTH_7,AH41)</f>
        <v>186</v>
      </c>
      <c r="AJ41" s="166"/>
      <c r="AK41" s="83"/>
      <c r="AL41" s="375">
        <v>4</v>
      </c>
      <c r="AM41" s="376">
        <f>DATE(UNMM0131_H_YEAR,UNMM0131_B_MONTH_8,AL41)</f>
        <v>217</v>
      </c>
      <c r="AN41" s="166"/>
      <c r="AO41" s="83"/>
      <c r="AP41" s="375">
        <v>4</v>
      </c>
      <c r="AQ41" s="376">
        <f>DATE(UNMM0131_H_YEAR,UNMM0131_B_MONTH_9,AP41)</f>
        <v>248</v>
      </c>
      <c r="AR41" s="166"/>
      <c r="AS41" s="83"/>
      <c r="AT41" s="375">
        <v>4</v>
      </c>
      <c r="AU41" s="376">
        <f>DATE(UNMM0131_H_YEAR,UNMM0131_B_MONTH_10,AT41)</f>
        <v>278</v>
      </c>
      <c r="AV41" s="166"/>
      <c r="AW41" s="83"/>
      <c r="AX41" s="375">
        <v>4</v>
      </c>
      <c r="AY41" s="376">
        <f>DATE(UNMM0131_H_YEAR,UNMM0131_B_MONTH_11,AX41)</f>
        <v>309</v>
      </c>
      <c r="AZ41" s="166"/>
      <c r="BA41" s="83"/>
      <c r="BB41" s="375">
        <v>4</v>
      </c>
      <c r="BC41" s="376">
        <f>DATE(UNMM0131_H_YEAR,UNMM0131_B_MONTH_12,BB41)</f>
        <v>339</v>
      </c>
      <c r="BD41" s="166"/>
    </row>
    <row r="42" spans="2:56" ht="16.5">
      <c r="J42" s="375">
        <v>5</v>
      </c>
      <c r="K42" s="376">
        <f>DATE(UNMM0131_H_YEAR,UNMM0131_B_MONTH_1,J42)</f>
        <v>5</v>
      </c>
      <c r="L42" s="166"/>
      <c r="M42" s="83"/>
      <c r="N42" s="375">
        <v>5</v>
      </c>
      <c r="O42" s="376">
        <f>DATE(UNMM0131_H_YEAR,UNMM0131_B_MONTH_2,N42)</f>
        <v>36</v>
      </c>
      <c r="P42" s="166"/>
      <c r="Q42" s="83"/>
      <c r="R42" s="375">
        <v>5</v>
      </c>
      <c r="S42" s="376">
        <f>DATE(UNMM0131_H_YEAR,UNMM0131_B_MONTH_3,R42)</f>
        <v>65</v>
      </c>
      <c r="T42" s="166"/>
      <c r="U42" s="83"/>
      <c r="V42" s="375">
        <v>5</v>
      </c>
      <c r="W42" s="376">
        <f>DATE(UNMM0131_H_YEAR,UNMM0131_B_MONTH_4,V42)</f>
        <v>96</v>
      </c>
      <c r="X42" s="166"/>
      <c r="Y42" s="83"/>
      <c r="Z42" s="375">
        <v>5</v>
      </c>
      <c r="AA42" s="376">
        <f>DATE(UNMM0131_H_YEAR,UNMM0131_B_MONTH_5,Z42)</f>
        <v>126</v>
      </c>
      <c r="AB42" s="166"/>
      <c r="AC42" s="83"/>
      <c r="AD42" s="375">
        <v>5</v>
      </c>
      <c r="AE42" s="376">
        <f>DATE(UNMM0131_H_YEAR,UNMM0131_B_MONTH_6,AD42)</f>
        <v>157</v>
      </c>
      <c r="AF42" s="166"/>
      <c r="AG42" s="83"/>
      <c r="AH42" s="375">
        <v>5</v>
      </c>
      <c r="AI42" s="376">
        <f>DATE(UNMM0131_H_YEAR,UNMM0131_B_MONTH_7,AH42)</f>
        <v>187</v>
      </c>
      <c r="AJ42" s="166"/>
      <c r="AK42" s="83"/>
      <c r="AL42" s="375">
        <v>5</v>
      </c>
      <c r="AM42" s="376">
        <f>DATE(UNMM0131_H_YEAR,UNMM0131_B_MONTH_8,AL42)</f>
        <v>218</v>
      </c>
      <c r="AN42" s="166"/>
      <c r="AO42" s="83"/>
      <c r="AP42" s="375">
        <v>5</v>
      </c>
      <c r="AQ42" s="376">
        <f>DATE(UNMM0131_H_YEAR,UNMM0131_B_MONTH_9,AP42)</f>
        <v>249</v>
      </c>
      <c r="AR42" s="166"/>
      <c r="AS42" s="83"/>
      <c r="AT42" s="375">
        <v>5</v>
      </c>
      <c r="AU42" s="376">
        <f>DATE(UNMM0131_H_YEAR,UNMM0131_B_MONTH_10,AT42)</f>
        <v>279</v>
      </c>
      <c r="AV42" s="166"/>
      <c r="AW42" s="83"/>
      <c r="AX42" s="375">
        <v>5</v>
      </c>
      <c r="AY42" s="376">
        <f>DATE(UNMM0131_H_YEAR,UNMM0131_B_MONTH_11,AX42)</f>
        <v>310</v>
      </c>
      <c r="AZ42" s="166"/>
      <c r="BA42" s="83"/>
      <c r="BB42" s="375">
        <v>5</v>
      </c>
      <c r="BC42" s="376">
        <f>DATE(UNMM0131_H_YEAR,UNMM0131_B_MONTH_12,BB42)</f>
        <v>340</v>
      </c>
      <c r="BD42" s="166"/>
    </row>
    <row r="43" spans="2:56" ht="16.5">
      <c r="C43" s="90" t="s">
        <v>385</v>
      </c>
      <c r="D43" s="90" t="s">
        <v>1909</v>
      </c>
      <c r="J43" s="375">
        <v>6</v>
      </c>
      <c r="K43" s="376">
        <f>DATE(UNMM0131_H_YEAR,UNMM0131_B_MONTH_1,J43)</f>
        <v>6</v>
      </c>
      <c r="L43" s="166"/>
      <c r="M43" s="83"/>
      <c r="N43" s="375">
        <v>6</v>
      </c>
      <c r="O43" s="376">
        <f>DATE(UNMM0131_H_YEAR,UNMM0131_B_MONTH_2,N43)</f>
        <v>37</v>
      </c>
      <c r="P43" s="166"/>
      <c r="Q43" s="83"/>
      <c r="R43" s="375">
        <v>6</v>
      </c>
      <c r="S43" s="376">
        <f>DATE(UNMM0131_H_YEAR,UNMM0131_B_MONTH_3,R43)</f>
        <v>66</v>
      </c>
      <c r="T43" s="166"/>
      <c r="U43" s="83"/>
      <c r="V43" s="375">
        <v>6</v>
      </c>
      <c r="W43" s="376">
        <f>DATE(UNMM0131_H_YEAR,UNMM0131_B_MONTH_4,V43)</f>
        <v>97</v>
      </c>
      <c r="X43" s="166"/>
      <c r="Y43" s="83"/>
      <c r="Z43" s="375">
        <v>6</v>
      </c>
      <c r="AA43" s="376">
        <f>DATE(UNMM0131_H_YEAR,UNMM0131_B_MONTH_5,Z43)</f>
        <v>127</v>
      </c>
      <c r="AB43" s="166"/>
      <c r="AC43" s="83"/>
      <c r="AD43" s="375">
        <v>6</v>
      </c>
      <c r="AE43" s="376">
        <f>DATE(UNMM0131_H_YEAR,UNMM0131_B_MONTH_6,AD43)</f>
        <v>158</v>
      </c>
      <c r="AF43" s="166"/>
      <c r="AG43" s="83"/>
      <c r="AH43" s="375">
        <v>6</v>
      </c>
      <c r="AI43" s="376">
        <f>DATE(UNMM0131_H_YEAR,UNMM0131_B_MONTH_7,AH43)</f>
        <v>188</v>
      </c>
      <c r="AJ43" s="166"/>
      <c r="AK43" s="83"/>
      <c r="AL43" s="375">
        <v>6</v>
      </c>
      <c r="AM43" s="376">
        <f>DATE(UNMM0131_H_YEAR,UNMM0131_B_MONTH_8,AL43)</f>
        <v>219</v>
      </c>
      <c r="AN43" s="166"/>
      <c r="AO43" s="83"/>
      <c r="AP43" s="375">
        <v>6</v>
      </c>
      <c r="AQ43" s="376">
        <f>DATE(UNMM0131_H_YEAR,UNMM0131_B_MONTH_9,AP43)</f>
        <v>250</v>
      </c>
      <c r="AR43" s="166"/>
      <c r="AS43" s="83"/>
      <c r="AT43" s="375">
        <v>6</v>
      </c>
      <c r="AU43" s="376">
        <f>DATE(UNMM0131_H_YEAR,UNMM0131_B_MONTH_10,AT43)</f>
        <v>280</v>
      </c>
      <c r="AV43" s="166"/>
      <c r="AW43" s="83"/>
      <c r="AX43" s="375">
        <v>6</v>
      </c>
      <c r="AY43" s="376">
        <f>DATE(UNMM0131_H_YEAR,UNMM0131_B_MONTH_11,AX43)</f>
        <v>311</v>
      </c>
      <c r="AZ43" s="166"/>
      <c r="BA43" s="83"/>
      <c r="BB43" s="375">
        <v>6</v>
      </c>
      <c r="BC43" s="376">
        <f>DATE(UNMM0131_H_YEAR,UNMM0131_B_MONTH_12,BB43)</f>
        <v>341</v>
      </c>
      <c r="BD43" s="166"/>
    </row>
    <row r="44" spans="2:56" ht="16.5">
      <c r="C44" s="90" t="s">
        <v>629</v>
      </c>
      <c r="D44" s="90">
        <v>1</v>
      </c>
      <c r="J44" s="375">
        <v>7</v>
      </c>
      <c r="K44" s="376">
        <f>DATE(UNMM0131_H_YEAR,UNMM0131_B_MONTH_1,J44)</f>
        <v>7</v>
      </c>
      <c r="L44" s="166"/>
      <c r="M44" s="83"/>
      <c r="N44" s="375">
        <v>7</v>
      </c>
      <c r="O44" s="376">
        <f>DATE(UNMM0131_H_YEAR,UNMM0131_B_MONTH_2,N44)</f>
        <v>38</v>
      </c>
      <c r="P44" s="166"/>
      <c r="Q44" s="83"/>
      <c r="R44" s="375">
        <v>7</v>
      </c>
      <c r="S44" s="376">
        <f>DATE(UNMM0131_H_YEAR,UNMM0131_B_MONTH_3,R44)</f>
        <v>67</v>
      </c>
      <c r="T44" s="166"/>
      <c r="U44" s="83"/>
      <c r="V44" s="375">
        <v>7</v>
      </c>
      <c r="W44" s="376">
        <f>DATE(UNMM0131_H_YEAR,UNMM0131_B_MONTH_4,V44)</f>
        <v>98</v>
      </c>
      <c r="X44" s="166"/>
      <c r="Y44" s="83"/>
      <c r="Z44" s="375">
        <v>7</v>
      </c>
      <c r="AA44" s="376">
        <f>DATE(UNMM0131_H_YEAR,UNMM0131_B_MONTH_5,Z44)</f>
        <v>128</v>
      </c>
      <c r="AB44" s="166"/>
      <c r="AC44" s="83"/>
      <c r="AD44" s="375">
        <v>7</v>
      </c>
      <c r="AE44" s="376">
        <f>DATE(UNMM0131_H_YEAR,UNMM0131_B_MONTH_6,AD44)</f>
        <v>159</v>
      </c>
      <c r="AF44" s="166"/>
      <c r="AG44" s="83"/>
      <c r="AH44" s="375">
        <v>7</v>
      </c>
      <c r="AI44" s="376">
        <f>DATE(UNMM0131_H_YEAR,UNMM0131_B_MONTH_7,AH44)</f>
        <v>189</v>
      </c>
      <c r="AJ44" s="166"/>
      <c r="AK44" s="83"/>
      <c r="AL44" s="375">
        <v>7</v>
      </c>
      <c r="AM44" s="376">
        <f>DATE(UNMM0131_H_YEAR,UNMM0131_B_MONTH_8,AL44)</f>
        <v>220</v>
      </c>
      <c r="AN44" s="166"/>
      <c r="AO44" s="83"/>
      <c r="AP44" s="375">
        <v>7</v>
      </c>
      <c r="AQ44" s="376">
        <f>DATE(UNMM0131_H_YEAR,UNMM0131_B_MONTH_9,AP44)</f>
        <v>251</v>
      </c>
      <c r="AR44" s="166"/>
      <c r="AS44" s="83"/>
      <c r="AT44" s="375">
        <v>7</v>
      </c>
      <c r="AU44" s="376">
        <f>DATE(UNMM0131_H_YEAR,UNMM0131_B_MONTH_10,AT44)</f>
        <v>281</v>
      </c>
      <c r="AV44" s="166"/>
      <c r="AW44" s="83"/>
      <c r="AX44" s="375">
        <v>7</v>
      </c>
      <c r="AY44" s="376">
        <f>DATE(UNMM0131_H_YEAR,UNMM0131_B_MONTH_11,AX44)</f>
        <v>312</v>
      </c>
      <c r="AZ44" s="166"/>
      <c r="BA44" s="83"/>
      <c r="BB44" s="375">
        <v>7</v>
      </c>
      <c r="BC44" s="376">
        <f>DATE(UNMM0131_H_YEAR,UNMM0131_B_MONTH_12,BB44)</f>
        <v>342</v>
      </c>
      <c r="BD44" s="166"/>
    </row>
    <row r="45" spans="2:56" ht="16.5">
      <c r="C45" s="90" t="s">
        <v>1939</v>
      </c>
      <c r="D45" s="288" t="s">
        <v>1940</v>
      </c>
      <c r="J45" s="375">
        <v>8</v>
      </c>
      <c r="K45" s="376">
        <f>DATE(UNMM0131_H_YEAR,UNMM0131_B_MONTH_1,J45)</f>
        <v>8</v>
      </c>
      <c r="L45" s="166"/>
      <c r="M45" s="83"/>
      <c r="N45" s="375">
        <v>8</v>
      </c>
      <c r="O45" s="376">
        <f>DATE(UNMM0131_H_YEAR,UNMM0131_B_MONTH_2,N45)</f>
        <v>39</v>
      </c>
      <c r="P45" s="166"/>
      <c r="Q45" s="83"/>
      <c r="R45" s="375">
        <v>8</v>
      </c>
      <c r="S45" s="376">
        <f>DATE(UNMM0131_H_YEAR,UNMM0131_B_MONTH_3,R45)</f>
        <v>68</v>
      </c>
      <c r="T45" s="166"/>
      <c r="U45" s="83"/>
      <c r="V45" s="375">
        <v>8</v>
      </c>
      <c r="W45" s="376">
        <f>DATE(UNMM0131_H_YEAR,UNMM0131_B_MONTH_4,V45)</f>
        <v>99</v>
      </c>
      <c r="X45" s="166"/>
      <c r="Y45" s="83"/>
      <c r="Z45" s="375">
        <v>8</v>
      </c>
      <c r="AA45" s="376">
        <f>DATE(UNMM0131_H_YEAR,UNMM0131_B_MONTH_5,Z45)</f>
        <v>129</v>
      </c>
      <c r="AB45" s="166"/>
      <c r="AC45" s="83"/>
      <c r="AD45" s="375">
        <v>8</v>
      </c>
      <c r="AE45" s="376">
        <f>DATE(UNMM0131_H_YEAR,UNMM0131_B_MONTH_6,AD45)</f>
        <v>160</v>
      </c>
      <c r="AF45" s="166"/>
      <c r="AG45" s="83"/>
      <c r="AH45" s="375">
        <v>8</v>
      </c>
      <c r="AI45" s="376">
        <f>DATE(UNMM0131_H_YEAR,UNMM0131_B_MONTH_7,AH45)</f>
        <v>190</v>
      </c>
      <c r="AJ45" s="166"/>
      <c r="AK45" s="83"/>
      <c r="AL45" s="375">
        <v>8</v>
      </c>
      <c r="AM45" s="376">
        <f>DATE(UNMM0131_H_YEAR,UNMM0131_B_MONTH_8,AL45)</f>
        <v>221</v>
      </c>
      <c r="AN45" s="166"/>
      <c r="AO45" s="83"/>
      <c r="AP45" s="375">
        <v>8</v>
      </c>
      <c r="AQ45" s="376">
        <f>DATE(UNMM0131_H_YEAR,UNMM0131_B_MONTH_9,AP45)</f>
        <v>252</v>
      </c>
      <c r="AR45" s="166"/>
      <c r="AS45" s="83"/>
      <c r="AT45" s="375">
        <v>8</v>
      </c>
      <c r="AU45" s="376">
        <f>DATE(UNMM0131_H_YEAR,UNMM0131_B_MONTH_10,AT45)</f>
        <v>282</v>
      </c>
      <c r="AV45" s="166"/>
      <c r="AW45" s="83"/>
      <c r="AX45" s="375">
        <v>8</v>
      </c>
      <c r="AY45" s="376">
        <f>DATE(UNMM0131_H_YEAR,UNMM0131_B_MONTH_11,AX45)</f>
        <v>313</v>
      </c>
      <c r="AZ45" s="166"/>
      <c r="BA45" s="83"/>
      <c r="BB45" s="375">
        <v>8</v>
      </c>
      <c r="BC45" s="376">
        <f>DATE(UNMM0131_H_YEAR,UNMM0131_B_MONTH_12,BB45)</f>
        <v>343</v>
      </c>
      <c r="BD45" s="166"/>
    </row>
    <row r="46" spans="2:56" ht="16.5">
      <c r="C46" s="90" t="s">
        <v>387</v>
      </c>
      <c r="D46" s="90" t="s">
        <v>386</v>
      </c>
      <c r="J46" s="375">
        <v>9</v>
      </c>
      <c r="K46" s="376">
        <f>DATE(UNMM0131_H_YEAR,UNMM0131_B_MONTH_1,J46)</f>
        <v>9</v>
      </c>
      <c r="L46" s="166"/>
      <c r="M46" s="83"/>
      <c r="N46" s="375">
        <v>9</v>
      </c>
      <c r="O46" s="376">
        <f>DATE(UNMM0131_H_YEAR,UNMM0131_B_MONTH_2,N46)</f>
        <v>40</v>
      </c>
      <c r="P46" s="166"/>
      <c r="Q46" s="83"/>
      <c r="R46" s="375">
        <v>9</v>
      </c>
      <c r="S46" s="376">
        <f>DATE(UNMM0131_H_YEAR,UNMM0131_B_MONTH_3,R46)</f>
        <v>69</v>
      </c>
      <c r="T46" s="166"/>
      <c r="U46" s="83"/>
      <c r="V46" s="375">
        <v>9</v>
      </c>
      <c r="W46" s="376">
        <f>DATE(UNMM0131_H_YEAR,UNMM0131_B_MONTH_4,V46)</f>
        <v>100</v>
      </c>
      <c r="X46" s="166"/>
      <c r="Y46" s="83"/>
      <c r="Z46" s="375">
        <v>9</v>
      </c>
      <c r="AA46" s="376">
        <f>DATE(UNMM0131_H_YEAR,UNMM0131_B_MONTH_5,Z46)</f>
        <v>130</v>
      </c>
      <c r="AB46" s="166"/>
      <c r="AC46" s="83"/>
      <c r="AD46" s="375">
        <v>9</v>
      </c>
      <c r="AE46" s="376">
        <f>DATE(UNMM0131_H_YEAR,UNMM0131_B_MONTH_6,AD46)</f>
        <v>161</v>
      </c>
      <c r="AF46" s="166"/>
      <c r="AG46" s="83"/>
      <c r="AH46" s="375">
        <v>9</v>
      </c>
      <c r="AI46" s="376">
        <f>DATE(UNMM0131_H_YEAR,UNMM0131_B_MONTH_7,AH46)</f>
        <v>191</v>
      </c>
      <c r="AJ46" s="166"/>
      <c r="AK46" s="83"/>
      <c r="AL46" s="375">
        <v>9</v>
      </c>
      <c r="AM46" s="376">
        <f>DATE(UNMM0131_H_YEAR,UNMM0131_B_MONTH_8,AL46)</f>
        <v>222</v>
      </c>
      <c r="AN46" s="166"/>
      <c r="AO46" s="83"/>
      <c r="AP46" s="375">
        <v>9</v>
      </c>
      <c r="AQ46" s="376">
        <f>DATE(UNMM0131_H_YEAR,UNMM0131_B_MONTH_9,AP46)</f>
        <v>253</v>
      </c>
      <c r="AR46" s="166"/>
      <c r="AS46" s="83"/>
      <c r="AT46" s="375">
        <v>9</v>
      </c>
      <c r="AU46" s="376">
        <f>DATE(UNMM0131_H_YEAR,UNMM0131_B_MONTH_10,AT46)</f>
        <v>283</v>
      </c>
      <c r="AV46" s="166"/>
      <c r="AW46" s="83"/>
      <c r="AX46" s="375">
        <v>9</v>
      </c>
      <c r="AY46" s="376">
        <f>DATE(UNMM0131_H_YEAR,UNMM0131_B_MONTH_11,AX46)</f>
        <v>314</v>
      </c>
      <c r="AZ46" s="166"/>
      <c r="BA46" s="83"/>
      <c r="BB46" s="375">
        <v>9</v>
      </c>
      <c r="BC46" s="376">
        <f>DATE(UNMM0131_H_YEAR,UNMM0131_B_MONTH_12,BB46)</f>
        <v>344</v>
      </c>
      <c r="BD46" s="166"/>
    </row>
    <row r="47" spans="2:56" ht="16.5">
      <c r="C47" s="202" t="s">
        <v>1941</v>
      </c>
      <c r="D47" s="130">
        <v>1</v>
      </c>
      <c r="J47" s="375">
        <v>10</v>
      </c>
      <c r="K47" s="376">
        <f>DATE(UNMM0131_H_YEAR,UNMM0131_B_MONTH_1,J47)</f>
        <v>10</v>
      </c>
      <c r="L47" s="166"/>
      <c r="M47" s="83"/>
      <c r="N47" s="375">
        <v>10</v>
      </c>
      <c r="O47" s="376">
        <f>DATE(UNMM0131_H_YEAR,UNMM0131_B_MONTH_2,N47)</f>
        <v>41</v>
      </c>
      <c r="P47" s="166"/>
      <c r="Q47" s="83"/>
      <c r="R47" s="375">
        <v>10</v>
      </c>
      <c r="S47" s="376">
        <f>DATE(UNMM0131_H_YEAR,UNMM0131_B_MONTH_3,R47)</f>
        <v>70</v>
      </c>
      <c r="T47" s="166"/>
      <c r="U47" s="83"/>
      <c r="V47" s="375">
        <v>10</v>
      </c>
      <c r="W47" s="376">
        <f>DATE(UNMM0131_H_YEAR,UNMM0131_B_MONTH_4,V47)</f>
        <v>101</v>
      </c>
      <c r="X47" s="166"/>
      <c r="Y47" s="83"/>
      <c r="Z47" s="375">
        <v>10</v>
      </c>
      <c r="AA47" s="376">
        <f>DATE(UNMM0131_H_YEAR,UNMM0131_B_MONTH_5,Z47)</f>
        <v>131</v>
      </c>
      <c r="AB47" s="166"/>
      <c r="AC47" s="83"/>
      <c r="AD47" s="375">
        <v>10</v>
      </c>
      <c r="AE47" s="376">
        <f>DATE(UNMM0131_H_YEAR,UNMM0131_B_MONTH_6,AD47)</f>
        <v>162</v>
      </c>
      <c r="AF47" s="166"/>
      <c r="AG47" s="83"/>
      <c r="AH47" s="375">
        <v>10</v>
      </c>
      <c r="AI47" s="376">
        <f>DATE(UNMM0131_H_YEAR,UNMM0131_B_MONTH_7,AH47)</f>
        <v>192</v>
      </c>
      <c r="AJ47" s="166"/>
      <c r="AK47" s="83"/>
      <c r="AL47" s="375">
        <v>10</v>
      </c>
      <c r="AM47" s="376">
        <f>DATE(UNMM0131_H_YEAR,UNMM0131_B_MONTH_8,AL47)</f>
        <v>223</v>
      </c>
      <c r="AN47" s="166"/>
      <c r="AO47" s="83"/>
      <c r="AP47" s="375">
        <v>10</v>
      </c>
      <c r="AQ47" s="376">
        <f>DATE(UNMM0131_H_YEAR,UNMM0131_B_MONTH_9,AP47)</f>
        <v>254</v>
      </c>
      <c r="AR47" s="166"/>
      <c r="AS47" s="83"/>
      <c r="AT47" s="375">
        <v>10</v>
      </c>
      <c r="AU47" s="376">
        <f>DATE(UNMM0131_H_YEAR,UNMM0131_B_MONTH_10,AT47)</f>
        <v>284</v>
      </c>
      <c r="AV47" s="166"/>
      <c r="AW47" s="83"/>
      <c r="AX47" s="375">
        <v>10</v>
      </c>
      <c r="AY47" s="376">
        <f>DATE(UNMM0131_H_YEAR,UNMM0131_B_MONTH_11,AX47)</f>
        <v>315</v>
      </c>
      <c r="AZ47" s="166"/>
      <c r="BA47" s="83"/>
      <c r="BB47" s="375">
        <v>10</v>
      </c>
      <c r="BC47" s="376">
        <f>DATE(UNMM0131_H_YEAR,UNMM0131_B_MONTH_12,BB47)</f>
        <v>345</v>
      </c>
      <c r="BD47" s="166"/>
    </row>
    <row r="48" spans="2:56" ht="16.5">
      <c r="J48" s="375">
        <v>11</v>
      </c>
      <c r="K48" s="376">
        <f>DATE(UNMM0131_H_YEAR,UNMM0131_B_MONTH_1,J48)</f>
        <v>11</v>
      </c>
      <c r="L48" s="166"/>
      <c r="M48" s="83"/>
      <c r="N48" s="375">
        <v>11</v>
      </c>
      <c r="O48" s="376">
        <f>DATE(UNMM0131_H_YEAR,UNMM0131_B_MONTH_2,N48)</f>
        <v>42</v>
      </c>
      <c r="P48" s="166"/>
      <c r="Q48" s="83"/>
      <c r="R48" s="375">
        <v>11</v>
      </c>
      <c r="S48" s="376">
        <f>DATE(UNMM0131_H_YEAR,UNMM0131_B_MONTH_3,R48)</f>
        <v>71</v>
      </c>
      <c r="T48" s="166"/>
      <c r="U48" s="83"/>
      <c r="V48" s="375">
        <v>11</v>
      </c>
      <c r="W48" s="376">
        <f>DATE(UNMM0131_H_YEAR,UNMM0131_B_MONTH_4,V48)</f>
        <v>102</v>
      </c>
      <c r="X48" s="166"/>
      <c r="Y48" s="83"/>
      <c r="Z48" s="375">
        <v>11</v>
      </c>
      <c r="AA48" s="376">
        <f>DATE(UNMM0131_H_YEAR,UNMM0131_B_MONTH_5,Z48)</f>
        <v>132</v>
      </c>
      <c r="AB48" s="166"/>
      <c r="AC48" s="83"/>
      <c r="AD48" s="375">
        <v>11</v>
      </c>
      <c r="AE48" s="376">
        <f>DATE(UNMM0131_H_YEAR,UNMM0131_B_MONTH_6,AD48)</f>
        <v>163</v>
      </c>
      <c r="AF48" s="166"/>
      <c r="AG48" s="83"/>
      <c r="AH48" s="375">
        <v>11</v>
      </c>
      <c r="AI48" s="376">
        <f>DATE(UNMM0131_H_YEAR,UNMM0131_B_MONTH_7,AH48)</f>
        <v>193</v>
      </c>
      <c r="AJ48" s="166"/>
      <c r="AK48" s="83"/>
      <c r="AL48" s="375">
        <v>11</v>
      </c>
      <c r="AM48" s="376">
        <f>DATE(UNMM0131_H_YEAR,UNMM0131_B_MONTH_8,AL48)</f>
        <v>224</v>
      </c>
      <c r="AN48" s="166"/>
      <c r="AO48" s="83"/>
      <c r="AP48" s="375">
        <v>11</v>
      </c>
      <c r="AQ48" s="376">
        <f>DATE(UNMM0131_H_YEAR,UNMM0131_B_MONTH_9,AP48)</f>
        <v>255</v>
      </c>
      <c r="AR48" s="166"/>
      <c r="AS48" s="83"/>
      <c r="AT48" s="375">
        <v>11</v>
      </c>
      <c r="AU48" s="376">
        <f>DATE(UNMM0131_H_YEAR,UNMM0131_B_MONTH_10,AT48)</f>
        <v>285</v>
      </c>
      <c r="AV48" s="166"/>
      <c r="AW48" s="83"/>
      <c r="AX48" s="375">
        <v>11</v>
      </c>
      <c r="AY48" s="376">
        <f>DATE(UNMM0131_H_YEAR,UNMM0131_B_MONTH_11,AX48)</f>
        <v>316</v>
      </c>
      <c r="AZ48" s="166"/>
      <c r="BA48" s="83"/>
      <c r="BB48" s="375">
        <v>11</v>
      </c>
      <c r="BC48" s="376">
        <f>DATE(UNMM0131_H_YEAR,UNMM0131_B_MONTH_12,BB48)</f>
        <v>346</v>
      </c>
      <c r="BD48" s="166"/>
    </row>
    <row r="49" spans="10:56" ht="16.5">
      <c r="J49" s="375">
        <v>12</v>
      </c>
      <c r="K49" s="376">
        <f>DATE(UNMM0131_H_YEAR,UNMM0131_B_MONTH_1,J49)</f>
        <v>12</v>
      </c>
      <c r="L49" s="166"/>
      <c r="M49" s="83"/>
      <c r="N49" s="375">
        <v>12</v>
      </c>
      <c r="O49" s="376">
        <f>DATE(UNMM0131_H_YEAR,UNMM0131_B_MONTH_2,N49)</f>
        <v>43</v>
      </c>
      <c r="P49" s="166"/>
      <c r="Q49" s="83"/>
      <c r="R49" s="375">
        <v>12</v>
      </c>
      <c r="S49" s="376">
        <f>DATE(UNMM0131_H_YEAR,UNMM0131_B_MONTH_3,R49)</f>
        <v>72</v>
      </c>
      <c r="T49" s="166"/>
      <c r="U49" s="83"/>
      <c r="V49" s="375">
        <v>12</v>
      </c>
      <c r="W49" s="376">
        <f>DATE(UNMM0131_H_YEAR,UNMM0131_B_MONTH_4,V49)</f>
        <v>103</v>
      </c>
      <c r="X49" s="166"/>
      <c r="Y49" s="83"/>
      <c r="Z49" s="375">
        <v>12</v>
      </c>
      <c r="AA49" s="376">
        <f>DATE(UNMM0131_H_YEAR,UNMM0131_B_MONTH_5,Z49)</f>
        <v>133</v>
      </c>
      <c r="AB49" s="166"/>
      <c r="AC49" s="83"/>
      <c r="AD49" s="375">
        <v>12</v>
      </c>
      <c r="AE49" s="376">
        <f>DATE(UNMM0131_H_YEAR,UNMM0131_B_MONTH_6,AD49)</f>
        <v>164</v>
      </c>
      <c r="AF49" s="166"/>
      <c r="AG49" s="83"/>
      <c r="AH49" s="375">
        <v>12</v>
      </c>
      <c r="AI49" s="376">
        <f>DATE(UNMM0131_H_YEAR,UNMM0131_B_MONTH_7,AH49)</f>
        <v>194</v>
      </c>
      <c r="AJ49" s="166"/>
      <c r="AK49" s="83"/>
      <c r="AL49" s="375">
        <v>12</v>
      </c>
      <c r="AM49" s="376">
        <f>DATE(UNMM0131_H_YEAR,UNMM0131_B_MONTH_8,AL49)</f>
        <v>225</v>
      </c>
      <c r="AN49" s="166"/>
      <c r="AO49" s="83"/>
      <c r="AP49" s="375">
        <v>12</v>
      </c>
      <c r="AQ49" s="376">
        <f>DATE(UNMM0131_H_YEAR,UNMM0131_B_MONTH_9,AP49)</f>
        <v>256</v>
      </c>
      <c r="AR49" s="166"/>
      <c r="AS49" s="83"/>
      <c r="AT49" s="375">
        <v>12</v>
      </c>
      <c r="AU49" s="376">
        <f>DATE(UNMM0131_H_YEAR,UNMM0131_B_MONTH_10,AT49)</f>
        <v>286</v>
      </c>
      <c r="AV49" s="166"/>
      <c r="AW49" s="83"/>
      <c r="AX49" s="375">
        <v>12</v>
      </c>
      <c r="AY49" s="376">
        <f>DATE(UNMM0131_H_YEAR,UNMM0131_B_MONTH_11,AX49)</f>
        <v>317</v>
      </c>
      <c r="AZ49" s="166"/>
      <c r="BA49" s="83"/>
      <c r="BB49" s="375">
        <v>12</v>
      </c>
      <c r="BC49" s="376">
        <f>DATE(UNMM0131_H_YEAR,UNMM0131_B_MONTH_12,BB49)</f>
        <v>347</v>
      </c>
      <c r="BD49" s="166"/>
    </row>
    <row r="50" spans="10:56" ht="16.5">
      <c r="J50" s="375">
        <v>13</v>
      </c>
      <c r="K50" s="376">
        <f>DATE(UNMM0131_H_YEAR,UNMM0131_B_MONTH_1,J50)</f>
        <v>13</v>
      </c>
      <c r="L50" s="166"/>
      <c r="M50" s="83"/>
      <c r="N50" s="375">
        <v>13</v>
      </c>
      <c r="O50" s="376">
        <f>DATE(UNMM0131_H_YEAR,UNMM0131_B_MONTH_2,N50)</f>
        <v>44</v>
      </c>
      <c r="P50" s="166"/>
      <c r="Q50" s="83"/>
      <c r="R50" s="375">
        <v>13</v>
      </c>
      <c r="S50" s="376">
        <f>DATE(UNMM0131_H_YEAR,UNMM0131_B_MONTH_3,R50)</f>
        <v>73</v>
      </c>
      <c r="T50" s="166"/>
      <c r="U50" s="83"/>
      <c r="V50" s="375">
        <v>13</v>
      </c>
      <c r="W50" s="376">
        <f>DATE(UNMM0131_H_YEAR,UNMM0131_B_MONTH_4,V50)</f>
        <v>104</v>
      </c>
      <c r="X50" s="166"/>
      <c r="Y50" s="83"/>
      <c r="Z50" s="375">
        <v>13</v>
      </c>
      <c r="AA50" s="376">
        <f>DATE(UNMM0131_H_YEAR,UNMM0131_B_MONTH_5,Z50)</f>
        <v>134</v>
      </c>
      <c r="AB50" s="166"/>
      <c r="AC50" s="83"/>
      <c r="AD50" s="375">
        <v>13</v>
      </c>
      <c r="AE50" s="376">
        <f>DATE(UNMM0131_H_YEAR,UNMM0131_B_MONTH_6,AD50)</f>
        <v>165</v>
      </c>
      <c r="AF50" s="166"/>
      <c r="AG50" s="83"/>
      <c r="AH50" s="375">
        <v>13</v>
      </c>
      <c r="AI50" s="376">
        <f>DATE(UNMM0131_H_YEAR,UNMM0131_B_MONTH_7,AH50)</f>
        <v>195</v>
      </c>
      <c r="AJ50" s="166"/>
      <c r="AK50" s="83"/>
      <c r="AL50" s="375">
        <v>13</v>
      </c>
      <c r="AM50" s="376">
        <f>DATE(UNMM0131_H_YEAR,UNMM0131_B_MONTH_8,AL50)</f>
        <v>226</v>
      </c>
      <c r="AN50" s="166"/>
      <c r="AO50" s="83"/>
      <c r="AP50" s="375">
        <v>13</v>
      </c>
      <c r="AQ50" s="376">
        <f>DATE(UNMM0131_H_YEAR,UNMM0131_B_MONTH_9,AP50)</f>
        <v>257</v>
      </c>
      <c r="AR50" s="166"/>
      <c r="AS50" s="83"/>
      <c r="AT50" s="375">
        <v>13</v>
      </c>
      <c r="AU50" s="376">
        <f>DATE(UNMM0131_H_YEAR,UNMM0131_B_MONTH_10,AT50)</f>
        <v>287</v>
      </c>
      <c r="AV50" s="166"/>
      <c r="AW50" s="83"/>
      <c r="AX50" s="375">
        <v>13</v>
      </c>
      <c r="AY50" s="376">
        <f>DATE(UNMM0131_H_YEAR,UNMM0131_B_MONTH_11,AX50)</f>
        <v>318</v>
      </c>
      <c r="AZ50" s="166"/>
      <c r="BA50" s="83"/>
      <c r="BB50" s="375">
        <v>13</v>
      </c>
      <c r="BC50" s="376">
        <f>DATE(UNMM0131_H_YEAR,UNMM0131_B_MONTH_12,BB50)</f>
        <v>348</v>
      </c>
      <c r="BD50" s="166"/>
    </row>
    <row r="51" spans="10:56" ht="16.5">
      <c r="J51" s="375">
        <v>14</v>
      </c>
      <c r="K51" s="376">
        <f>DATE(UNMM0131_H_YEAR,UNMM0131_B_MONTH_1,J51)</f>
        <v>14</v>
      </c>
      <c r="L51" s="166"/>
      <c r="M51" s="83"/>
      <c r="N51" s="375">
        <v>14</v>
      </c>
      <c r="O51" s="376">
        <f>DATE(UNMM0131_H_YEAR,UNMM0131_B_MONTH_2,N51)</f>
        <v>45</v>
      </c>
      <c r="P51" s="166"/>
      <c r="Q51" s="83"/>
      <c r="R51" s="375">
        <v>14</v>
      </c>
      <c r="S51" s="376">
        <f>DATE(UNMM0131_H_YEAR,UNMM0131_B_MONTH_3,R51)</f>
        <v>74</v>
      </c>
      <c r="T51" s="166"/>
      <c r="U51" s="83"/>
      <c r="V51" s="375">
        <v>14</v>
      </c>
      <c r="W51" s="376">
        <f>DATE(UNMM0131_H_YEAR,UNMM0131_B_MONTH_4,V51)</f>
        <v>105</v>
      </c>
      <c r="X51" s="166"/>
      <c r="Y51" s="83"/>
      <c r="Z51" s="375">
        <v>14</v>
      </c>
      <c r="AA51" s="376">
        <f>DATE(UNMM0131_H_YEAR,UNMM0131_B_MONTH_5,Z51)</f>
        <v>135</v>
      </c>
      <c r="AB51" s="166"/>
      <c r="AC51" s="83"/>
      <c r="AD51" s="375">
        <v>14</v>
      </c>
      <c r="AE51" s="376">
        <f>DATE(UNMM0131_H_YEAR,UNMM0131_B_MONTH_6,AD51)</f>
        <v>166</v>
      </c>
      <c r="AF51" s="166"/>
      <c r="AG51" s="83"/>
      <c r="AH51" s="375">
        <v>14</v>
      </c>
      <c r="AI51" s="376">
        <f>DATE(UNMM0131_H_YEAR,UNMM0131_B_MONTH_7,AH51)</f>
        <v>196</v>
      </c>
      <c r="AJ51" s="166"/>
      <c r="AK51" s="83"/>
      <c r="AL51" s="375">
        <v>14</v>
      </c>
      <c r="AM51" s="376">
        <f>DATE(UNMM0131_H_YEAR,UNMM0131_B_MONTH_8,AL51)</f>
        <v>227</v>
      </c>
      <c r="AN51" s="166"/>
      <c r="AO51" s="83"/>
      <c r="AP51" s="375">
        <v>14</v>
      </c>
      <c r="AQ51" s="376">
        <f>DATE(UNMM0131_H_YEAR,UNMM0131_B_MONTH_9,AP51)</f>
        <v>258</v>
      </c>
      <c r="AR51" s="166"/>
      <c r="AS51" s="83"/>
      <c r="AT51" s="375">
        <v>14</v>
      </c>
      <c r="AU51" s="376">
        <f>DATE(UNMM0131_H_YEAR,UNMM0131_B_MONTH_10,AT51)</f>
        <v>288</v>
      </c>
      <c r="AV51" s="166"/>
      <c r="AW51" s="83"/>
      <c r="AX51" s="375">
        <v>14</v>
      </c>
      <c r="AY51" s="376">
        <f>DATE(UNMM0131_H_YEAR,UNMM0131_B_MONTH_11,AX51)</f>
        <v>319</v>
      </c>
      <c r="AZ51" s="166"/>
      <c r="BA51" s="83"/>
      <c r="BB51" s="375">
        <v>14</v>
      </c>
      <c r="BC51" s="376">
        <f>DATE(UNMM0131_H_YEAR,UNMM0131_B_MONTH_12,BB51)</f>
        <v>349</v>
      </c>
      <c r="BD51" s="166"/>
    </row>
    <row r="52" spans="10:56" ht="16.5">
      <c r="J52" s="375">
        <v>15</v>
      </c>
      <c r="K52" s="376">
        <f>DATE(UNMM0131_H_YEAR,UNMM0131_B_MONTH_1,J52)</f>
        <v>15</v>
      </c>
      <c r="L52" s="166"/>
      <c r="M52" s="83"/>
      <c r="N52" s="375">
        <v>15</v>
      </c>
      <c r="O52" s="376">
        <f>DATE(UNMM0131_H_YEAR,UNMM0131_B_MONTH_2,N52)</f>
        <v>46</v>
      </c>
      <c r="P52" s="166"/>
      <c r="Q52" s="83"/>
      <c r="R52" s="375">
        <v>15</v>
      </c>
      <c r="S52" s="376">
        <f>DATE(UNMM0131_H_YEAR,UNMM0131_B_MONTH_3,R52)</f>
        <v>75</v>
      </c>
      <c r="T52" s="166"/>
      <c r="U52" s="83"/>
      <c r="V52" s="375">
        <v>15</v>
      </c>
      <c r="W52" s="376">
        <f>DATE(UNMM0131_H_YEAR,UNMM0131_B_MONTH_4,V52)</f>
        <v>106</v>
      </c>
      <c r="X52" s="166"/>
      <c r="Y52" s="83"/>
      <c r="Z52" s="375">
        <v>15</v>
      </c>
      <c r="AA52" s="376">
        <f>DATE(UNMM0131_H_YEAR,UNMM0131_B_MONTH_5,Z52)</f>
        <v>136</v>
      </c>
      <c r="AB52" s="166"/>
      <c r="AC52" s="83"/>
      <c r="AD52" s="375">
        <v>15</v>
      </c>
      <c r="AE52" s="376">
        <f>DATE(UNMM0131_H_YEAR,UNMM0131_B_MONTH_6,AD52)</f>
        <v>167</v>
      </c>
      <c r="AF52" s="166"/>
      <c r="AG52" s="83"/>
      <c r="AH52" s="375">
        <v>15</v>
      </c>
      <c r="AI52" s="376">
        <f>DATE(UNMM0131_H_YEAR,UNMM0131_B_MONTH_7,AH52)</f>
        <v>197</v>
      </c>
      <c r="AJ52" s="166"/>
      <c r="AK52" s="83"/>
      <c r="AL52" s="375">
        <v>15</v>
      </c>
      <c r="AM52" s="376">
        <f>DATE(UNMM0131_H_YEAR,UNMM0131_B_MONTH_8,AL52)</f>
        <v>228</v>
      </c>
      <c r="AN52" s="166"/>
      <c r="AO52" s="83"/>
      <c r="AP52" s="375">
        <v>15</v>
      </c>
      <c r="AQ52" s="376">
        <f>DATE(UNMM0131_H_YEAR,UNMM0131_B_MONTH_9,AP52)</f>
        <v>259</v>
      </c>
      <c r="AR52" s="166"/>
      <c r="AS52" s="83"/>
      <c r="AT52" s="375">
        <v>15</v>
      </c>
      <c r="AU52" s="376">
        <f>DATE(UNMM0131_H_YEAR,UNMM0131_B_MONTH_10,AT52)</f>
        <v>289</v>
      </c>
      <c r="AV52" s="166"/>
      <c r="AW52" s="83"/>
      <c r="AX52" s="375">
        <v>15</v>
      </c>
      <c r="AY52" s="376">
        <f>DATE(UNMM0131_H_YEAR,UNMM0131_B_MONTH_11,AX52)</f>
        <v>320</v>
      </c>
      <c r="AZ52" s="166"/>
      <c r="BA52" s="83"/>
      <c r="BB52" s="375">
        <v>15</v>
      </c>
      <c r="BC52" s="376">
        <f>DATE(UNMM0131_H_YEAR,UNMM0131_B_MONTH_12,BB52)</f>
        <v>350</v>
      </c>
      <c r="BD52" s="166"/>
    </row>
    <row r="53" spans="10:56" ht="16.5">
      <c r="J53" s="375">
        <v>16</v>
      </c>
      <c r="K53" s="376">
        <f>DATE(UNMM0131_H_YEAR,UNMM0131_B_MONTH_1,J53)</f>
        <v>16</v>
      </c>
      <c r="L53" s="166"/>
      <c r="M53" s="83"/>
      <c r="N53" s="375">
        <v>16</v>
      </c>
      <c r="O53" s="376">
        <f>DATE(UNMM0131_H_YEAR,UNMM0131_B_MONTH_2,N53)</f>
        <v>47</v>
      </c>
      <c r="P53" s="166"/>
      <c r="Q53" s="83"/>
      <c r="R53" s="375">
        <v>16</v>
      </c>
      <c r="S53" s="376">
        <f>DATE(UNMM0131_H_YEAR,UNMM0131_B_MONTH_3,R53)</f>
        <v>76</v>
      </c>
      <c r="T53" s="166"/>
      <c r="U53" s="83"/>
      <c r="V53" s="375">
        <v>16</v>
      </c>
      <c r="W53" s="376">
        <f>DATE(UNMM0131_H_YEAR,UNMM0131_B_MONTH_4,V53)</f>
        <v>107</v>
      </c>
      <c r="X53" s="166"/>
      <c r="Y53" s="83"/>
      <c r="Z53" s="375">
        <v>16</v>
      </c>
      <c r="AA53" s="376">
        <f>DATE(UNMM0131_H_YEAR,UNMM0131_B_MONTH_5,Z53)</f>
        <v>137</v>
      </c>
      <c r="AB53" s="166"/>
      <c r="AC53" s="83"/>
      <c r="AD53" s="375">
        <v>16</v>
      </c>
      <c r="AE53" s="376">
        <f>DATE(UNMM0131_H_YEAR,UNMM0131_B_MONTH_6,AD53)</f>
        <v>168</v>
      </c>
      <c r="AF53" s="166"/>
      <c r="AG53" s="83"/>
      <c r="AH53" s="375">
        <v>16</v>
      </c>
      <c r="AI53" s="376">
        <f>DATE(UNMM0131_H_YEAR,UNMM0131_B_MONTH_7,AH53)</f>
        <v>198</v>
      </c>
      <c r="AJ53" s="166"/>
      <c r="AK53" s="83"/>
      <c r="AL53" s="375">
        <v>16</v>
      </c>
      <c r="AM53" s="376">
        <f>DATE(UNMM0131_H_YEAR,UNMM0131_B_MONTH_8,AL53)</f>
        <v>229</v>
      </c>
      <c r="AN53" s="166"/>
      <c r="AO53" s="83"/>
      <c r="AP53" s="375">
        <v>16</v>
      </c>
      <c r="AQ53" s="376">
        <f>DATE(UNMM0131_H_YEAR,UNMM0131_B_MONTH_9,AP53)</f>
        <v>260</v>
      </c>
      <c r="AR53" s="166"/>
      <c r="AS53" s="83"/>
      <c r="AT53" s="375">
        <v>16</v>
      </c>
      <c r="AU53" s="376">
        <f>DATE(UNMM0131_H_YEAR,UNMM0131_B_MONTH_10,AT53)</f>
        <v>290</v>
      </c>
      <c r="AV53" s="166"/>
      <c r="AW53" s="83"/>
      <c r="AX53" s="375">
        <v>16</v>
      </c>
      <c r="AY53" s="376">
        <f>DATE(UNMM0131_H_YEAR,UNMM0131_B_MONTH_11,AX53)</f>
        <v>321</v>
      </c>
      <c r="AZ53" s="166"/>
      <c r="BA53" s="83"/>
      <c r="BB53" s="375">
        <v>16</v>
      </c>
      <c r="BC53" s="376">
        <f>DATE(UNMM0131_H_YEAR,UNMM0131_B_MONTH_12,BB53)</f>
        <v>351</v>
      </c>
      <c r="BD53" s="166"/>
    </row>
    <row r="54" spans="10:56" ht="16.5">
      <c r="J54" s="375">
        <v>17</v>
      </c>
      <c r="K54" s="376">
        <f>DATE(UNMM0131_H_YEAR,UNMM0131_B_MONTH_1,J54)</f>
        <v>17</v>
      </c>
      <c r="L54" s="166"/>
      <c r="M54" s="83"/>
      <c r="N54" s="375">
        <v>17</v>
      </c>
      <c r="O54" s="376">
        <f>DATE(UNMM0131_H_YEAR,UNMM0131_B_MONTH_2,N54)</f>
        <v>48</v>
      </c>
      <c r="P54" s="166"/>
      <c r="Q54" s="83"/>
      <c r="R54" s="375">
        <v>17</v>
      </c>
      <c r="S54" s="376">
        <f>DATE(UNMM0131_H_YEAR,UNMM0131_B_MONTH_3,R54)</f>
        <v>77</v>
      </c>
      <c r="T54" s="166"/>
      <c r="U54" s="83"/>
      <c r="V54" s="375">
        <v>17</v>
      </c>
      <c r="W54" s="376">
        <f>DATE(UNMM0131_H_YEAR,UNMM0131_B_MONTH_4,V54)</f>
        <v>108</v>
      </c>
      <c r="X54" s="166"/>
      <c r="Y54" s="83"/>
      <c r="Z54" s="375">
        <v>17</v>
      </c>
      <c r="AA54" s="376">
        <f>DATE(UNMM0131_H_YEAR,UNMM0131_B_MONTH_5,Z54)</f>
        <v>138</v>
      </c>
      <c r="AB54" s="166"/>
      <c r="AC54" s="83"/>
      <c r="AD54" s="375">
        <v>17</v>
      </c>
      <c r="AE54" s="376">
        <f>DATE(UNMM0131_H_YEAR,UNMM0131_B_MONTH_6,AD54)</f>
        <v>169</v>
      </c>
      <c r="AF54" s="166"/>
      <c r="AG54" s="83"/>
      <c r="AH54" s="375">
        <v>17</v>
      </c>
      <c r="AI54" s="376">
        <f>DATE(UNMM0131_H_YEAR,UNMM0131_B_MONTH_7,AH54)</f>
        <v>199</v>
      </c>
      <c r="AJ54" s="166"/>
      <c r="AK54" s="83"/>
      <c r="AL54" s="375">
        <v>17</v>
      </c>
      <c r="AM54" s="376">
        <f>DATE(UNMM0131_H_YEAR,UNMM0131_B_MONTH_8,AL54)</f>
        <v>230</v>
      </c>
      <c r="AN54" s="166"/>
      <c r="AO54" s="83"/>
      <c r="AP54" s="375">
        <v>17</v>
      </c>
      <c r="AQ54" s="376">
        <f>DATE(UNMM0131_H_YEAR,UNMM0131_B_MONTH_9,AP54)</f>
        <v>261</v>
      </c>
      <c r="AR54" s="166"/>
      <c r="AS54" s="83"/>
      <c r="AT54" s="375">
        <v>17</v>
      </c>
      <c r="AU54" s="376">
        <f>DATE(UNMM0131_H_YEAR,UNMM0131_B_MONTH_10,AT54)</f>
        <v>291</v>
      </c>
      <c r="AV54" s="166"/>
      <c r="AW54" s="83"/>
      <c r="AX54" s="375">
        <v>17</v>
      </c>
      <c r="AY54" s="376">
        <f>DATE(UNMM0131_H_YEAR,UNMM0131_B_MONTH_11,AX54)</f>
        <v>322</v>
      </c>
      <c r="AZ54" s="166"/>
      <c r="BA54" s="83"/>
      <c r="BB54" s="375">
        <v>17</v>
      </c>
      <c r="BC54" s="376">
        <f>DATE(UNMM0131_H_YEAR,UNMM0131_B_MONTH_12,BB54)</f>
        <v>352</v>
      </c>
      <c r="BD54" s="166"/>
    </row>
    <row r="55" spans="10:56" ht="16.5">
      <c r="J55" s="375">
        <v>18</v>
      </c>
      <c r="K55" s="376">
        <f>DATE(UNMM0131_H_YEAR,UNMM0131_B_MONTH_1,J55)</f>
        <v>18</v>
      </c>
      <c r="L55" s="166"/>
      <c r="M55" s="83"/>
      <c r="N55" s="375">
        <v>18</v>
      </c>
      <c r="O55" s="376">
        <f>DATE(UNMM0131_H_YEAR,UNMM0131_B_MONTH_2,N55)</f>
        <v>49</v>
      </c>
      <c r="P55" s="166"/>
      <c r="Q55" s="83"/>
      <c r="R55" s="375">
        <v>18</v>
      </c>
      <c r="S55" s="376">
        <f>DATE(UNMM0131_H_YEAR,UNMM0131_B_MONTH_3,R55)</f>
        <v>78</v>
      </c>
      <c r="T55" s="166"/>
      <c r="U55" s="83"/>
      <c r="V55" s="375">
        <v>18</v>
      </c>
      <c r="W55" s="376">
        <f>DATE(UNMM0131_H_YEAR,UNMM0131_B_MONTH_4,V55)</f>
        <v>109</v>
      </c>
      <c r="X55" s="166"/>
      <c r="Y55" s="83"/>
      <c r="Z55" s="375">
        <v>18</v>
      </c>
      <c r="AA55" s="376">
        <f>DATE(UNMM0131_H_YEAR,UNMM0131_B_MONTH_5,Z55)</f>
        <v>139</v>
      </c>
      <c r="AB55" s="166"/>
      <c r="AC55" s="83"/>
      <c r="AD55" s="375">
        <v>18</v>
      </c>
      <c r="AE55" s="376">
        <f>DATE(UNMM0131_H_YEAR,UNMM0131_B_MONTH_6,AD55)</f>
        <v>170</v>
      </c>
      <c r="AF55" s="166"/>
      <c r="AG55" s="83"/>
      <c r="AH55" s="375">
        <v>18</v>
      </c>
      <c r="AI55" s="376">
        <f>DATE(UNMM0131_H_YEAR,UNMM0131_B_MONTH_7,AH55)</f>
        <v>200</v>
      </c>
      <c r="AJ55" s="166"/>
      <c r="AK55" s="83"/>
      <c r="AL55" s="375">
        <v>18</v>
      </c>
      <c r="AM55" s="376">
        <f>DATE(UNMM0131_H_YEAR,UNMM0131_B_MONTH_8,AL55)</f>
        <v>231</v>
      </c>
      <c r="AN55" s="166"/>
      <c r="AO55" s="83"/>
      <c r="AP55" s="375">
        <v>18</v>
      </c>
      <c r="AQ55" s="376">
        <f>DATE(UNMM0131_H_YEAR,UNMM0131_B_MONTH_9,AP55)</f>
        <v>262</v>
      </c>
      <c r="AR55" s="166"/>
      <c r="AS55" s="83"/>
      <c r="AT55" s="375">
        <v>18</v>
      </c>
      <c r="AU55" s="376">
        <f>DATE(UNMM0131_H_YEAR,UNMM0131_B_MONTH_10,AT55)</f>
        <v>292</v>
      </c>
      <c r="AV55" s="166"/>
      <c r="AW55" s="83"/>
      <c r="AX55" s="375">
        <v>18</v>
      </c>
      <c r="AY55" s="376">
        <f>DATE(UNMM0131_H_YEAR,UNMM0131_B_MONTH_11,AX55)</f>
        <v>323</v>
      </c>
      <c r="AZ55" s="166"/>
      <c r="BA55" s="83"/>
      <c r="BB55" s="375">
        <v>18</v>
      </c>
      <c r="BC55" s="376">
        <f>DATE(UNMM0131_H_YEAR,UNMM0131_B_MONTH_12,BB55)</f>
        <v>353</v>
      </c>
      <c r="BD55" s="166"/>
    </row>
    <row r="56" spans="10:56" ht="16.5">
      <c r="J56" s="375">
        <v>19</v>
      </c>
      <c r="K56" s="376">
        <f>DATE(UNMM0131_H_YEAR,UNMM0131_B_MONTH_1,J56)</f>
        <v>19</v>
      </c>
      <c r="L56" s="166"/>
      <c r="M56" s="83"/>
      <c r="N56" s="375">
        <v>19</v>
      </c>
      <c r="O56" s="376">
        <f>DATE(UNMM0131_H_YEAR,UNMM0131_B_MONTH_2,N56)</f>
        <v>50</v>
      </c>
      <c r="P56" s="166"/>
      <c r="Q56" s="83"/>
      <c r="R56" s="375">
        <v>19</v>
      </c>
      <c r="S56" s="376">
        <f>DATE(UNMM0131_H_YEAR,UNMM0131_B_MONTH_3,R56)</f>
        <v>79</v>
      </c>
      <c r="T56" s="166"/>
      <c r="U56" s="83"/>
      <c r="V56" s="375">
        <v>19</v>
      </c>
      <c r="W56" s="376">
        <f>DATE(UNMM0131_H_YEAR,UNMM0131_B_MONTH_4,V56)</f>
        <v>110</v>
      </c>
      <c r="X56" s="166"/>
      <c r="Y56" s="83"/>
      <c r="Z56" s="375">
        <v>19</v>
      </c>
      <c r="AA56" s="376">
        <f>DATE(UNMM0131_H_YEAR,UNMM0131_B_MONTH_5,Z56)</f>
        <v>140</v>
      </c>
      <c r="AB56" s="166"/>
      <c r="AC56" s="83"/>
      <c r="AD56" s="375">
        <v>19</v>
      </c>
      <c r="AE56" s="376">
        <f>DATE(UNMM0131_H_YEAR,UNMM0131_B_MONTH_6,AD56)</f>
        <v>171</v>
      </c>
      <c r="AF56" s="166"/>
      <c r="AG56" s="83"/>
      <c r="AH56" s="375">
        <v>19</v>
      </c>
      <c r="AI56" s="376">
        <f>DATE(UNMM0131_H_YEAR,UNMM0131_B_MONTH_7,AH56)</f>
        <v>201</v>
      </c>
      <c r="AJ56" s="166"/>
      <c r="AK56" s="83"/>
      <c r="AL56" s="375">
        <v>19</v>
      </c>
      <c r="AM56" s="376">
        <f>DATE(UNMM0131_H_YEAR,UNMM0131_B_MONTH_8,AL56)</f>
        <v>232</v>
      </c>
      <c r="AN56" s="166"/>
      <c r="AO56" s="83"/>
      <c r="AP56" s="375">
        <v>19</v>
      </c>
      <c r="AQ56" s="376">
        <f>DATE(UNMM0131_H_YEAR,UNMM0131_B_MONTH_9,AP56)</f>
        <v>263</v>
      </c>
      <c r="AR56" s="166"/>
      <c r="AS56" s="83"/>
      <c r="AT56" s="375">
        <v>19</v>
      </c>
      <c r="AU56" s="376">
        <f>DATE(UNMM0131_H_YEAR,UNMM0131_B_MONTH_10,AT56)</f>
        <v>293</v>
      </c>
      <c r="AV56" s="166"/>
      <c r="AW56" s="83"/>
      <c r="AX56" s="375">
        <v>19</v>
      </c>
      <c r="AY56" s="376">
        <f>DATE(UNMM0131_H_YEAR,UNMM0131_B_MONTH_11,AX56)</f>
        <v>324</v>
      </c>
      <c r="AZ56" s="166"/>
      <c r="BA56" s="83"/>
      <c r="BB56" s="375">
        <v>19</v>
      </c>
      <c r="BC56" s="376">
        <f>DATE(UNMM0131_H_YEAR,UNMM0131_B_MONTH_12,BB56)</f>
        <v>354</v>
      </c>
      <c r="BD56" s="166"/>
    </row>
    <row r="57" spans="10:56" ht="16.5">
      <c r="J57" s="375">
        <v>20</v>
      </c>
      <c r="K57" s="376">
        <f>DATE(UNMM0131_H_YEAR,UNMM0131_B_MONTH_1,J57)</f>
        <v>20</v>
      </c>
      <c r="L57" s="166"/>
      <c r="M57" s="83"/>
      <c r="N57" s="375">
        <v>20</v>
      </c>
      <c r="O57" s="376">
        <f>DATE(UNMM0131_H_YEAR,UNMM0131_B_MONTH_2,N57)</f>
        <v>51</v>
      </c>
      <c r="P57" s="166"/>
      <c r="Q57" s="83"/>
      <c r="R57" s="375">
        <v>20</v>
      </c>
      <c r="S57" s="376">
        <f>DATE(UNMM0131_H_YEAR,UNMM0131_B_MONTH_3,R57)</f>
        <v>80</v>
      </c>
      <c r="T57" s="166"/>
      <c r="U57" s="83"/>
      <c r="V57" s="375">
        <v>20</v>
      </c>
      <c r="W57" s="376">
        <f>DATE(UNMM0131_H_YEAR,UNMM0131_B_MONTH_4,V57)</f>
        <v>111</v>
      </c>
      <c r="X57" s="166"/>
      <c r="Y57" s="83"/>
      <c r="Z57" s="375">
        <v>20</v>
      </c>
      <c r="AA57" s="376">
        <f>DATE(UNMM0131_H_YEAR,UNMM0131_B_MONTH_5,Z57)</f>
        <v>141</v>
      </c>
      <c r="AB57" s="166"/>
      <c r="AC57" s="83"/>
      <c r="AD57" s="375">
        <v>20</v>
      </c>
      <c r="AE57" s="376">
        <f>DATE(UNMM0131_H_YEAR,UNMM0131_B_MONTH_6,AD57)</f>
        <v>172</v>
      </c>
      <c r="AF57" s="166"/>
      <c r="AG57" s="83"/>
      <c r="AH57" s="375">
        <v>20</v>
      </c>
      <c r="AI57" s="376">
        <f>DATE(UNMM0131_H_YEAR,UNMM0131_B_MONTH_7,AH57)</f>
        <v>202</v>
      </c>
      <c r="AJ57" s="166"/>
      <c r="AK57" s="83"/>
      <c r="AL57" s="375">
        <v>20</v>
      </c>
      <c r="AM57" s="376">
        <f>DATE(UNMM0131_H_YEAR,UNMM0131_B_MONTH_8,AL57)</f>
        <v>233</v>
      </c>
      <c r="AN57" s="166"/>
      <c r="AO57" s="83"/>
      <c r="AP57" s="375">
        <v>20</v>
      </c>
      <c r="AQ57" s="376">
        <f>DATE(UNMM0131_H_YEAR,UNMM0131_B_MONTH_9,AP57)</f>
        <v>264</v>
      </c>
      <c r="AR57" s="166"/>
      <c r="AS57" s="83"/>
      <c r="AT57" s="375">
        <v>20</v>
      </c>
      <c r="AU57" s="376">
        <f>DATE(UNMM0131_H_YEAR,UNMM0131_B_MONTH_10,AT57)</f>
        <v>294</v>
      </c>
      <c r="AV57" s="166"/>
      <c r="AW57" s="83"/>
      <c r="AX57" s="375">
        <v>20</v>
      </c>
      <c r="AY57" s="376">
        <f>DATE(UNMM0131_H_YEAR,UNMM0131_B_MONTH_11,AX57)</f>
        <v>325</v>
      </c>
      <c r="AZ57" s="166"/>
      <c r="BA57" s="83"/>
      <c r="BB57" s="375">
        <v>20</v>
      </c>
      <c r="BC57" s="376">
        <f>DATE(UNMM0131_H_YEAR,UNMM0131_B_MONTH_12,BB57)</f>
        <v>355</v>
      </c>
      <c r="BD57" s="166"/>
    </row>
    <row r="58" spans="10:56" ht="16.5">
      <c r="J58" s="375">
        <v>21</v>
      </c>
      <c r="K58" s="376">
        <f>DATE(UNMM0131_H_YEAR,UNMM0131_B_MONTH_1,J58)</f>
        <v>21</v>
      </c>
      <c r="L58" s="166"/>
      <c r="M58" s="83"/>
      <c r="N58" s="375">
        <v>21</v>
      </c>
      <c r="O58" s="376">
        <f>DATE(UNMM0131_H_YEAR,UNMM0131_B_MONTH_2,N58)</f>
        <v>52</v>
      </c>
      <c r="P58" s="166"/>
      <c r="Q58" s="83"/>
      <c r="R58" s="375">
        <v>21</v>
      </c>
      <c r="S58" s="376">
        <f>DATE(UNMM0131_H_YEAR,UNMM0131_B_MONTH_3,R58)</f>
        <v>81</v>
      </c>
      <c r="T58" s="166"/>
      <c r="U58" s="83"/>
      <c r="V58" s="375">
        <v>21</v>
      </c>
      <c r="W58" s="376">
        <f>DATE(UNMM0131_H_YEAR,UNMM0131_B_MONTH_4,V58)</f>
        <v>112</v>
      </c>
      <c r="X58" s="166"/>
      <c r="Y58" s="83"/>
      <c r="Z58" s="375">
        <v>21</v>
      </c>
      <c r="AA58" s="376">
        <f>DATE(UNMM0131_H_YEAR,UNMM0131_B_MONTH_5,Z58)</f>
        <v>142</v>
      </c>
      <c r="AB58" s="166"/>
      <c r="AC58" s="83"/>
      <c r="AD58" s="375">
        <v>21</v>
      </c>
      <c r="AE58" s="376">
        <f>DATE(UNMM0131_H_YEAR,UNMM0131_B_MONTH_6,AD58)</f>
        <v>173</v>
      </c>
      <c r="AF58" s="166"/>
      <c r="AG58" s="83"/>
      <c r="AH58" s="375">
        <v>21</v>
      </c>
      <c r="AI58" s="376">
        <f>DATE(UNMM0131_H_YEAR,UNMM0131_B_MONTH_7,AH58)</f>
        <v>203</v>
      </c>
      <c r="AJ58" s="166"/>
      <c r="AK58" s="83"/>
      <c r="AL58" s="375">
        <v>21</v>
      </c>
      <c r="AM58" s="376">
        <f>DATE(UNMM0131_H_YEAR,UNMM0131_B_MONTH_8,AL58)</f>
        <v>234</v>
      </c>
      <c r="AN58" s="166"/>
      <c r="AO58" s="83"/>
      <c r="AP58" s="375">
        <v>21</v>
      </c>
      <c r="AQ58" s="376">
        <f>DATE(UNMM0131_H_YEAR,UNMM0131_B_MONTH_9,AP58)</f>
        <v>265</v>
      </c>
      <c r="AR58" s="166"/>
      <c r="AS58" s="83"/>
      <c r="AT58" s="375">
        <v>21</v>
      </c>
      <c r="AU58" s="376">
        <f>DATE(UNMM0131_H_YEAR,UNMM0131_B_MONTH_10,AT58)</f>
        <v>295</v>
      </c>
      <c r="AV58" s="166"/>
      <c r="AW58" s="83"/>
      <c r="AX58" s="375">
        <v>21</v>
      </c>
      <c r="AY58" s="376">
        <f>DATE(UNMM0131_H_YEAR,UNMM0131_B_MONTH_11,AX58)</f>
        <v>326</v>
      </c>
      <c r="AZ58" s="166"/>
      <c r="BA58" s="83"/>
      <c r="BB58" s="375">
        <v>21</v>
      </c>
      <c r="BC58" s="376">
        <f>DATE(UNMM0131_H_YEAR,UNMM0131_B_MONTH_12,BB58)</f>
        <v>356</v>
      </c>
      <c r="BD58" s="166"/>
    </row>
    <row r="59" spans="10:56" ht="16.5">
      <c r="J59" s="375">
        <v>22</v>
      </c>
      <c r="K59" s="376">
        <f>DATE(UNMM0131_H_YEAR,UNMM0131_B_MONTH_1,J59)</f>
        <v>22</v>
      </c>
      <c r="L59" s="166"/>
      <c r="M59" s="83"/>
      <c r="N59" s="375">
        <v>22</v>
      </c>
      <c r="O59" s="376">
        <f>DATE(UNMM0131_H_YEAR,UNMM0131_B_MONTH_2,N59)</f>
        <v>53</v>
      </c>
      <c r="P59" s="166"/>
      <c r="Q59" s="83"/>
      <c r="R59" s="375">
        <v>22</v>
      </c>
      <c r="S59" s="376">
        <f>DATE(UNMM0131_H_YEAR,UNMM0131_B_MONTH_3,R59)</f>
        <v>82</v>
      </c>
      <c r="T59" s="166"/>
      <c r="U59" s="83"/>
      <c r="V59" s="375">
        <v>22</v>
      </c>
      <c r="W59" s="376">
        <f>DATE(UNMM0131_H_YEAR,UNMM0131_B_MONTH_4,V59)</f>
        <v>113</v>
      </c>
      <c r="X59" s="166"/>
      <c r="Y59" s="83"/>
      <c r="Z59" s="375">
        <v>22</v>
      </c>
      <c r="AA59" s="376">
        <f>DATE(UNMM0131_H_YEAR,UNMM0131_B_MONTH_5,Z59)</f>
        <v>143</v>
      </c>
      <c r="AB59" s="166"/>
      <c r="AC59" s="83"/>
      <c r="AD59" s="375">
        <v>22</v>
      </c>
      <c r="AE59" s="376">
        <f>DATE(UNMM0131_H_YEAR,UNMM0131_B_MONTH_6,AD59)</f>
        <v>174</v>
      </c>
      <c r="AF59" s="166"/>
      <c r="AG59" s="83"/>
      <c r="AH59" s="375">
        <v>22</v>
      </c>
      <c r="AI59" s="376">
        <f>DATE(UNMM0131_H_YEAR,UNMM0131_B_MONTH_7,AH59)</f>
        <v>204</v>
      </c>
      <c r="AJ59" s="166"/>
      <c r="AK59" s="83"/>
      <c r="AL59" s="375">
        <v>22</v>
      </c>
      <c r="AM59" s="376">
        <f>DATE(UNMM0131_H_YEAR,UNMM0131_B_MONTH_8,AL59)</f>
        <v>235</v>
      </c>
      <c r="AN59" s="166"/>
      <c r="AO59" s="83"/>
      <c r="AP59" s="375">
        <v>22</v>
      </c>
      <c r="AQ59" s="376">
        <f>DATE(UNMM0131_H_YEAR,UNMM0131_B_MONTH_9,AP59)</f>
        <v>266</v>
      </c>
      <c r="AR59" s="166"/>
      <c r="AS59" s="83"/>
      <c r="AT59" s="375">
        <v>22</v>
      </c>
      <c r="AU59" s="376">
        <f>DATE(UNMM0131_H_YEAR,UNMM0131_B_MONTH_10,AT59)</f>
        <v>296</v>
      </c>
      <c r="AV59" s="166"/>
      <c r="AW59" s="83"/>
      <c r="AX59" s="375">
        <v>22</v>
      </c>
      <c r="AY59" s="376">
        <f>DATE(UNMM0131_H_YEAR,UNMM0131_B_MONTH_11,AX59)</f>
        <v>327</v>
      </c>
      <c r="AZ59" s="166"/>
      <c r="BA59" s="83"/>
      <c r="BB59" s="375">
        <v>22</v>
      </c>
      <c r="BC59" s="376">
        <f>DATE(UNMM0131_H_YEAR,UNMM0131_B_MONTH_12,BB59)</f>
        <v>357</v>
      </c>
      <c r="BD59" s="166"/>
    </row>
    <row r="60" spans="10:56" ht="16.5">
      <c r="J60" s="375">
        <v>23</v>
      </c>
      <c r="K60" s="376">
        <f>DATE(UNMM0131_H_YEAR,UNMM0131_B_MONTH_1,J60)</f>
        <v>23</v>
      </c>
      <c r="L60" s="166"/>
      <c r="M60" s="83"/>
      <c r="N60" s="375">
        <v>23</v>
      </c>
      <c r="O60" s="376">
        <f>DATE(UNMM0131_H_YEAR,UNMM0131_B_MONTH_2,N60)</f>
        <v>54</v>
      </c>
      <c r="P60" s="166"/>
      <c r="Q60" s="83"/>
      <c r="R60" s="375">
        <v>23</v>
      </c>
      <c r="S60" s="376">
        <f>DATE(UNMM0131_H_YEAR,UNMM0131_B_MONTH_3,R60)</f>
        <v>83</v>
      </c>
      <c r="T60" s="166"/>
      <c r="U60" s="83"/>
      <c r="V60" s="375">
        <v>23</v>
      </c>
      <c r="W60" s="376">
        <f>DATE(UNMM0131_H_YEAR,UNMM0131_B_MONTH_4,V60)</f>
        <v>114</v>
      </c>
      <c r="X60" s="166"/>
      <c r="Y60" s="83"/>
      <c r="Z60" s="375">
        <v>23</v>
      </c>
      <c r="AA60" s="376">
        <f>DATE(UNMM0131_H_YEAR,UNMM0131_B_MONTH_5,Z60)</f>
        <v>144</v>
      </c>
      <c r="AB60" s="166"/>
      <c r="AC60" s="83"/>
      <c r="AD60" s="375">
        <v>23</v>
      </c>
      <c r="AE60" s="376">
        <f>DATE(UNMM0131_H_YEAR,UNMM0131_B_MONTH_6,AD60)</f>
        <v>175</v>
      </c>
      <c r="AF60" s="166"/>
      <c r="AG60" s="83"/>
      <c r="AH60" s="375">
        <v>23</v>
      </c>
      <c r="AI60" s="376">
        <f>DATE(UNMM0131_H_YEAR,UNMM0131_B_MONTH_7,AH60)</f>
        <v>205</v>
      </c>
      <c r="AJ60" s="166"/>
      <c r="AK60" s="83"/>
      <c r="AL60" s="375">
        <v>23</v>
      </c>
      <c r="AM60" s="376">
        <f>DATE(UNMM0131_H_YEAR,UNMM0131_B_MONTH_8,AL60)</f>
        <v>236</v>
      </c>
      <c r="AN60" s="166"/>
      <c r="AO60" s="83"/>
      <c r="AP60" s="375">
        <v>23</v>
      </c>
      <c r="AQ60" s="376">
        <f>DATE(UNMM0131_H_YEAR,UNMM0131_B_MONTH_9,AP60)</f>
        <v>267</v>
      </c>
      <c r="AR60" s="166"/>
      <c r="AS60" s="83"/>
      <c r="AT60" s="375">
        <v>23</v>
      </c>
      <c r="AU60" s="376">
        <f>DATE(UNMM0131_H_YEAR,UNMM0131_B_MONTH_10,AT60)</f>
        <v>297</v>
      </c>
      <c r="AV60" s="166"/>
      <c r="AW60" s="83"/>
      <c r="AX60" s="375">
        <v>23</v>
      </c>
      <c r="AY60" s="376">
        <f>DATE(UNMM0131_H_YEAR,UNMM0131_B_MONTH_11,AX60)</f>
        <v>328</v>
      </c>
      <c r="AZ60" s="166"/>
      <c r="BA60" s="83"/>
      <c r="BB60" s="375">
        <v>23</v>
      </c>
      <c r="BC60" s="376">
        <f>DATE(UNMM0131_H_YEAR,UNMM0131_B_MONTH_12,BB60)</f>
        <v>358</v>
      </c>
      <c r="BD60" s="166"/>
    </row>
    <row r="61" spans="10:56" ht="16.5">
      <c r="J61" s="375">
        <v>24</v>
      </c>
      <c r="K61" s="376">
        <f>DATE(UNMM0131_H_YEAR,UNMM0131_B_MONTH_1,J61)</f>
        <v>24</v>
      </c>
      <c r="L61" s="166"/>
      <c r="M61" s="83"/>
      <c r="N61" s="375">
        <v>24</v>
      </c>
      <c r="O61" s="376">
        <f>DATE(UNMM0131_H_YEAR,UNMM0131_B_MONTH_2,N61)</f>
        <v>55</v>
      </c>
      <c r="P61" s="166"/>
      <c r="Q61" s="83"/>
      <c r="R61" s="375">
        <v>24</v>
      </c>
      <c r="S61" s="376">
        <f>DATE(UNMM0131_H_YEAR,UNMM0131_B_MONTH_3,R61)</f>
        <v>84</v>
      </c>
      <c r="T61" s="166"/>
      <c r="U61" s="83"/>
      <c r="V61" s="375">
        <v>24</v>
      </c>
      <c r="W61" s="376">
        <f>DATE(UNMM0131_H_YEAR,UNMM0131_B_MONTH_4,V61)</f>
        <v>115</v>
      </c>
      <c r="X61" s="166"/>
      <c r="Y61" s="83"/>
      <c r="Z61" s="375">
        <v>24</v>
      </c>
      <c r="AA61" s="376">
        <f>DATE(UNMM0131_H_YEAR,UNMM0131_B_MONTH_5,Z61)</f>
        <v>145</v>
      </c>
      <c r="AB61" s="166"/>
      <c r="AC61" s="83"/>
      <c r="AD61" s="375">
        <v>24</v>
      </c>
      <c r="AE61" s="376">
        <f>DATE(UNMM0131_H_YEAR,UNMM0131_B_MONTH_6,AD61)</f>
        <v>176</v>
      </c>
      <c r="AF61" s="166"/>
      <c r="AG61" s="83"/>
      <c r="AH61" s="375">
        <v>24</v>
      </c>
      <c r="AI61" s="376">
        <f>DATE(UNMM0131_H_YEAR,UNMM0131_B_MONTH_7,AH61)</f>
        <v>206</v>
      </c>
      <c r="AJ61" s="166"/>
      <c r="AK61" s="83"/>
      <c r="AL61" s="375">
        <v>24</v>
      </c>
      <c r="AM61" s="376">
        <f>DATE(UNMM0131_H_YEAR,UNMM0131_B_MONTH_8,AL61)</f>
        <v>237</v>
      </c>
      <c r="AN61" s="166"/>
      <c r="AO61" s="83"/>
      <c r="AP61" s="375">
        <v>24</v>
      </c>
      <c r="AQ61" s="376">
        <f>DATE(UNMM0131_H_YEAR,UNMM0131_B_MONTH_9,AP61)</f>
        <v>268</v>
      </c>
      <c r="AR61" s="166"/>
      <c r="AS61" s="83"/>
      <c r="AT61" s="375">
        <v>24</v>
      </c>
      <c r="AU61" s="376">
        <f>DATE(UNMM0131_H_YEAR,UNMM0131_B_MONTH_10,AT61)</f>
        <v>298</v>
      </c>
      <c r="AV61" s="166"/>
      <c r="AW61" s="83"/>
      <c r="AX61" s="375">
        <v>24</v>
      </c>
      <c r="AY61" s="376">
        <f>DATE(UNMM0131_H_YEAR,UNMM0131_B_MONTH_11,AX61)</f>
        <v>329</v>
      </c>
      <c r="AZ61" s="166"/>
      <c r="BA61" s="83"/>
      <c r="BB61" s="375">
        <v>24</v>
      </c>
      <c r="BC61" s="376">
        <f>DATE(UNMM0131_H_YEAR,UNMM0131_B_MONTH_12,BB61)</f>
        <v>359</v>
      </c>
      <c r="BD61" s="166"/>
    </row>
    <row r="62" spans="10:56" ht="16.5">
      <c r="J62" s="375">
        <v>25</v>
      </c>
      <c r="K62" s="376">
        <f>DATE(UNMM0131_H_YEAR,UNMM0131_B_MONTH_1,J62)</f>
        <v>25</v>
      </c>
      <c r="L62" s="166"/>
      <c r="M62" s="83"/>
      <c r="N62" s="375">
        <v>25</v>
      </c>
      <c r="O62" s="376">
        <f>DATE(UNMM0131_H_YEAR,UNMM0131_B_MONTH_2,N62)</f>
        <v>56</v>
      </c>
      <c r="P62" s="166"/>
      <c r="Q62" s="83"/>
      <c r="R62" s="375">
        <v>25</v>
      </c>
      <c r="S62" s="376">
        <f>DATE(UNMM0131_H_YEAR,UNMM0131_B_MONTH_3,R62)</f>
        <v>85</v>
      </c>
      <c r="T62" s="166"/>
      <c r="U62" s="83"/>
      <c r="V62" s="375">
        <v>25</v>
      </c>
      <c r="W62" s="376">
        <f>DATE(UNMM0131_H_YEAR,UNMM0131_B_MONTH_4,V62)</f>
        <v>116</v>
      </c>
      <c r="X62" s="166"/>
      <c r="Y62" s="83"/>
      <c r="Z62" s="375">
        <v>25</v>
      </c>
      <c r="AA62" s="376">
        <f>DATE(UNMM0131_H_YEAR,UNMM0131_B_MONTH_5,Z62)</f>
        <v>146</v>
      </c>
      <c r="AB62" s="166"/>
      <c r="AC62" s="83"/>
      <c r="AD62" s="375">
        <v>25</v>
      </c>
      <c r="AE62" s="376">
        <f>DATE(UNMM0131_H_YEAR,UNMM0131_B_MONTH_6,AD62)</f>
        <v>177</v>
      </c>
      <c r="AF62" s="166"/>
      <c r="AG62" s="83"/>
      <c r="AH62" s="375">
        <v>25</v>
      </c>
      <c r="AI62" s="376">
        <f>DATE(UNMM0131_H_YEAR,UNMM0131_B_MONTH_7,AH62)</f>
        <v>207</v>
      </c>
      <c r="AJ62" s="166"/>
      <c r="AK62" s="83"/>
      <c r="AL62" s="375">
        <v>25</v>
      </c>
      <c r="AM62" s="376">
        <f>DATE(UNMM0131_H_YEAR,UNMM0131_B_MONTH_8,AL62)</f>
        <v>238</v>
      </c>
      <c r="AN62" s="166"/>
      <c r="AO62" s="83"/>
      <c r="AP62" s="375">
        <v>25</v>
      </c>
      <c r="AQ62" s="376">
        <f>DATE(UNMM0131_H_YEAR,UNMM0131_B_MONTH_9,AP62)</f>
        <v>269</v>
      </c>
      <c r="AR62" s="166"/>
      <c r="AS62" s="83"/>
      <c r="AT62" s="375">
        <v>25</v>
      </c>
      <c r="AU62" s="376">
        <f>DATE(UNMM0131_H_YEAR,UNMM0131_B_MONTH_10,AT62)</f>
        <v>299</v>
      </c>
      <c r="AV62" s="166"/>
      <c r="AW62" s="83"/>
      <c r="AX62" s="375">
        <v>25</v>
      </c>
      <c r="AY62" s="376">
        <f>DATE(UNMM0131_H_YEAR,UNMM0131_B_MONTH_11,AX62)</f>
        <v>330</v>
      </c>
      <c r="AZ62" s="166"/>
      <c r="BA62" s="83"/>
      <c r="BB62" s="375">
        <v>25</v>
      </c>
      <c r="BC62" s="376">
        <f>DATE(UNMM0131_H_YEAR,UNMM0131_B_MONTH_12,BB62)</f>
        <v>360</v>
      </c>
      <c r="BD62" s="166"/>
    </row>
    <row r="63" spans="10:56" ht="16.5">
      <c r="J63" s="375">
        <v>26</v>
      </c>
      <c r="K63" s="376">
        <f>DATE(UNMM0131_H_YEAR,UNMM0131_B_MONTH_1,J63)</f>
        <v>26</v>
      </c>
      <c r="L63" s="166"/>
      <c r="M63" s="83"/>
      <c r="N63" s="375">
        <v>26</v>
      </c>
      <c r="O63" s="376">
        <f>DATE(UNMM0131_H_YEAR,UNMM0131_B_MONTH_2,N63)</f>
        <v>57</v>
      </c>
      <c r="P63" s="166"/>
      <c r="Q63" s="83"/>
      <c r="R63" s="375">
        <v>26</v>
      </c>
      <c r="S63" s="376">
        <f>DATE(UNMM0131_H_YEAR,UNMM0131_B_MONTH_3,R63)</f>
        <v>86</v>
      </c>
      <c r="T63" s="166"/>
      <c r="U63" s="83"/>
      <c r="V63" s="375">
        <v>26</v>
      </c>
      <c r="W63" s="376">
        <f>DATE(UNMM0131_H_YEAR,UNMM0131_B_MONTH_4,V63)</f>
        <v>117</v>
      </c>
      <c r="X63" s="166"/>
      <c r="Y63" s="83"/>
      <c r="Z63" s="375">
        <v>26</v>
      </c>
      <c r="AA63" s="376">
        <f>DATE(UNMM0131_H_YEAR,UNMM0131_B_MONTH_5,Z63)</f>
        <v>147</v>
      </c>
      <c r="AB63" s="166"/>
      <c r="AC63" s="83"/>
      <c r="AD63" s="375">
        <v>26</v>
      </c>
      <c r="AE63" s="376">
        <f>DATE(UNMM0131_H_YEAR,UNMM0131_B_MONTH_6,AD63)</f>
        <v>178</v>
      </c>
      <c r="AF63" s="166"/>
      <c r="AG63" s="83"/>
      <c r="AH63" s="375">
        <v>26</v>
      </c>
      <c r="AI63" s="376">
        <f>DATE(UNMM0131_H_YEAR,UNMM0131_B_MONTH_7,AH63)</f>
        <v>208</v>
      </c>
      <c r="AJ63" s="166"/>
      <c r="AK63" s="83"/>
      <c r="AL63" s="375">
        <v>26</v>
      </c>
      <c r="AM63" s="376">
        <f>DATE(UNMM0131_H_YEAR,UNMM0131_B_MONTH_8,AL63)</f>
        <v>239</v>
      </c>
      <c r="AN63" s="166"/>
      <c r="AO63" s="83"/>
      <c r="AP63" s="375">
        <v>26</v>
      </c>
      <c r="AQ63" s="376">
        <f>DATE(UNMM0131_H_YEAR,UNMM0131_B_MONTH_9,AP63)</f>
        <v>270</v>
      </c>
      <c r="AR63" s="166"/>
      <c r="AS63" s="83"/>
      <c r="AT63" s="375">
        <v>26</v>
      </c>
      <c r="AU63" s="376">
        <f>DATE(UNMM0131_H_YEAR,UNMM0131_B_MONTH_10,AT63)</f>
        <v>300</v>
      </c>
      <c r="AV63" s="166"/>
      <c r="AW63" s="83"/>
      <c r="AX63" s="375">
        <v>26</v>
      </c>
      <c r="AY63" s="376">
        <f>DATE(UNMM0131_H_YEAR,UNMM0131_B_MONTH_11,AX63)</f>
        <v>331</v>
      </c>
      <c r="AZ63" s="166"/>
      <c r="BA63" s="83"/>
      <c r="BB63" s="375">
        <v>26</v>
      </c>
      <c r="BC63" s="376">
        <f>DATE(UNMM0131_H_YEAR,UNMM0131_B_MONTH_12,BB63)</f>
        <v>361</v>
      </c>
      <c r="BD63" s="166"/>
    </row>
    <row r="64" spans="10:56" ht="16.5">
      <c r="J64" s="375">
        <v>27</v>
      </c>
      <c r="K64" s="376">
        <f>DATE(UNMM0131_H_YEAR,UNMM0131_B_MONTH_1,J64)</f>
        <v>27</v>
      </c>
      <c r="L64" s="166"/>
      <c r="M64" s="83"/>
      <c r="N64" s="375">
        <v>27</v>
      </c>
      <c r="O64" s="376">
        <f>DATE(UNMM0131_H_YEAR,UNMM0131_B_MONTH_2,N64)</f>
        <v>58</v>
      </c>
      <c r="P64" s="166"/>
      <c r="Q64" s="83"/>
      <c r="R64" s="375">
        <v>27</v>
      </c>
      <c r="S64" s="376">
        <f>DATE(UNMM0131_H_YEAR,UNMM0131_B_MONTH_3,R64)</f>
        <v>87</v>
      </c>
      <c r="T64" s="166"/>
      <c r="U64" s="83"/>
      <c r="V64" s="375">
        <v>27</v>
      </c>
      <c r="W64" s="376">
        <f>DATE(UNMM0131_H_YEAR,UNMM0131_B_MONTH_4,V64)</f>
        <v>118</v>
      </c>
      <c r="X64" s="166"/>
      <c r="Y64" s="83"/>
      <c r="Z64" s="375">
        <v>27</v>
      </c>
      <c r="AA64" s="376">
        <f>DATE(UNMM0131_H_YEAR,UNMM0131_B_MONTH_5,Z64)</f>
        <v>148</v>
      </c>
      <c r="AB64" s="166"/>
      <c r="AC64" s="83"/>
      <c r="AD64" s="375">
        <v>27</v>
      </c>
      <c r="AE64" s="376">
        <f>DATE(UNMM0131_H_YEAR,UNMM0131_B_MONTH_6,AD64)</f>
        <v>179</v>
      </c>
      <c r="AF64" s="166"/>
      <c r="AG64" s="83"/>
      <c r="AH64" s="375">
        <v>27</v>
      </c>
      <c r="AI64" s="376">
        <f>DATE(UNMM0131_H_YEAR,UNMM0131_B_MONTH_7,AH64)</f>
        <v>209</v>
      </c>
      <c r="AJ64" s="166"/>
      <c r="AK64" s="83"/>
      <c r="AL64" s="375">
        <v>27</v>
      </c>
      <c r="AM64" s="376">
        <f>DATE(UNMM0131_H_YEAR,UNMM0131_B_MONTH_8,AL64)</f>
        <v>240</v>
      </c>
      <c r="AN64" s="166"/>
      <c r="AO64" s="83"/>
      <c r="AP64" s="375">
        <v>27</v>
      </c>
      <c r="AQ64" s="376">
        <f>DATE(UNMM0131_H_YEAR,UNMM0131_B_MONTH_9,AP64)</f>
        <v>271</v>
      </c>
      <c r="AR64" s="166"/>
      <c r="AS64" s="83"/>
      <c r="AT64" s="375">
        <v>27</v>
      </c>
      <c r="AU64" s="376">
        <f>DATE(UNMM0131_H_YEAR,UNMM0131_B_MONTH_10,AT64)</f>
        <v>301</v>
      </c>
      <c r="AV64" s="166"/>
      <c r="AW64" s="83"/>
      <c r="AX64" s="375">
        <v>27</v>
      </c>
      <c r="AY64" s="376">
        <f>DATE(UNMM0131_H_YEAR,UNMM0131_B_MONTH_11,AX64)</f>
        <v>332</v>
      </c>
      <c r="AZ64" s="166"/>
      <c r="BA64" s="83"/>
      <c r="BB64" s="375">
        <v>27</v>
      </c>
      <c r="BC64" s="376">
        <f>DATE(UNMM0131_H_YEAR,UNMM0131_B_MONTH_12,BB64)</f>
        <v>362</v>
      </c>
      <c r="BD64" s="166"/>
    </row>
    <row r="65" spans="10:56" ht="16.5">
      <c r="J65" s="375">
        <v>28</v>
      </c>
      <c r="K65" s="376">
        <f>DATE(UNMM0131_H_YEAR,UNMM0131_B_MONTH_1,J65)</f>
        <v>28</v>
      </c>
      <c r="L65" s="166"/>
      <c r="M65" s="83"/>
      <c r="N65" s="375">
        <v>28</v>
      </c>
      <c r="O65" s="376">
        <f>DATE(UNMM0131_H_YEAR,UNMM0131_B_MONTH_2,N65)</f>
        <v>59</v>
      </c>
      <c r="P65" s="166"/>
      <c r="Q65" s="83"/>
      <c r="R65" s="375">
        <v>28</v>
      </c>
      <c r="S65" s="376">
        <f>DATE(UNMM0131_H_YEAR,UNMM0131_B_MONTH_3,R65)</f>
        <v>88</v>
      </c>
      <c r="T65" s="166"/>
      <c r="U65" s="83"/>
      <c r="V65" s="375">
        <v>28</v>
      </c>
      <c r="W65" s="376">
        <f>DATE(UNMM0131_H_YEAR,UNMM0131_B_MONTH_4,V65)</f>
        <v>119</v>
      </c>
      <c r="X65" s="166"/>
      <c r="Y65" s="83"/>
      <c r="Z65" s="375">
        <v>28</v>
      </c>
      <c r="AA65" s="376">
        <f>DATE(UNMM0131_H_YEAR,UNMM0131_B_MONTH_5,Z65)</f>
        <v>149</v>
      </c>
      <c r="AB65" s="166"/>
      <c r="AC65" s="83"/>
      <c r="AD65" s="375">
        <v>28</v>
      </c>
      <c r="AE65" s="376">
        <f>DATE(UNMM0131_H_YEAR,UNMM0131_B_MONTH_6,AD65)</f>
        <v>180</v>
      </c>
      <c r="AF65" s="166"/>
      <c r="AG65" s="83"/>
      <c r="AH65" s="375">
        <v>28</v>
      </c>
      <c r="AI65" s="376">
        <f>DATE(UNMM0131_H_YEAR,UNMM0131_B_MONTH_7,AH65)</f>
        <v>210</v>
      </c>
      <c r="AJ65" s="166"/>
      <c r="AK65" s="83"/>
      <c r="AL65" s="375">
        <v>28</v>
      </c>
      <c r="AM65" s="376">
        <f>DATE(UNMM0131_H_YEAR,UNMM0131_B_MONTH_8,AL65)</f>
        <v>241</v>
      </c>
      <c r="AN65" s="166"/>
      <c r="AO65" s="83"/>
      <c r="AP65" s="375">
        <v>28</v>
      </c>
      <c r="AQ65" s="376">
        <f>DATE(UNMM0131_H_YEAR,UNMM0131_B_MONTH_9,AP65)</f>
        <v>272</v>
      </c>
      <c r="AR65" s="166"/>
      <c r="AS65" s="83"/>
      <c r="AT65" s="375">
        <v>28</v>
      </c>
      <c r="AU65" s="376">
        <f>DATE(UNMM0131_H_YEAR,UNMM0131_B_MONTH_10,AT65)</f>
        <v>302</v>
      </c>
      <c r="AV65" s="166"/>
      <c r="AW65" s="83"/>
      <c r="AX65" s="375">
        <v>28</v>
      </c>
      <c r="AY65" s="376">
        <f>DATE(UNMM0131_H_YEAR,UNMM0131_B_MONTH_11,AX65)</f>
        <v>333</v>
      </c>
      <c r="AZ65" s="166"/>
      <c r="BA65" s="83"/>
      <c r="BB65" s="375">
        <v>28</v>
      </c>
      <c r="BC65" s="376">
        <f>DATE(UNMM0131_H_YEAR,UNMM0131_B_MONTH_12,BB65)</f>
        <v>363</v>
      </c>
      <c r="BD65" s="166"/>
    </row>
    <row r="66" spans="10:56" ht="16.5">
      <c r="J66" s="375">
        <v>29</v>
      </c>
      <c r="K66" s="376">
        <f>DATE(UNMM0131_H_YEAR,UNMM0131_B_MONTH_1,J66)</f>
        <v>29</v>
      </c>
      <c r="L66" s="166"/>
      <c r="M66" s="83"/>
      <c r="N66" s="375">
        <f>IF(MOD(UNMM0131_H_YEAR,4)=0,29,"-")</f>
        <v>29</v>
      </c>
      <c r="O66" s="376">
        <f>IF(MOD(UNMM0131_H_YEAR,4)=0,DATE(UNMM0131_H_YEAR,UNMM0131_B_MONTH_2,N66),"-")</f>
        <v>60</v>
      </c>
      <c r="P66" s="166"/>
      <c r="Q66" s="83"/>
      <c r="R66" s="375">
        <v>29</v>
      </c>
      <c r="S66" s="376">
        <f>DATE(UNMM0131_H_YEAR,UNMM0131_B_MONTH_3,R66)</f>
        <v>89</v>
      </c>
      <c r="T66" s="166"/>
      <c r="U66" s="83"/>
      <c r="V66" s="375">
        <v>29</v>
      </c>
      <c r="W66" s="376">
        <f>DATE(UNMM0131_H_YEAR,UNMM0131_B_MONTH_4,V66)</f>
        <v>120</v>
      </c>
      <c r="X66" s="166"/>
      <c r="Y66" s="83"/>
      <c r="Z66" s="375">
        <v>29</v>
      </c>
      <c r="AA66" s="376">
        <f>DATE(UNMM0131_H_YEAR,UNMM0131_B_MONTH_5,Z66)</f>
        <v>150</v>
      </c>
      <c r="AB66" s="166"/>
      <c r="AC66" s="83"/>
      <c r="AD66" s="375">
        <v>29</v>
      </c>
      <c r="AE66" s="376">
        <f>DATE(UNMM0131_H_YEAR,UNMM0131_B_MONTH_6,AD66)</f>
        <v>181</v>
      </c>
      <c r="AF66" s="166"/>
      <c r="AG66" s="83"/>
      <c r="AH66" s="375">
        <v>29</v>
      </c>
      <c r="AI66" s="376">
        <f>DATE(UNMM0131_H_YEAR,UNMM0131_B_MONTH_7,AH66)</f>
        <v>211</v>
      </c>
      <c r="AJ66" s="166"/>
      <c r="AK66" s="83"/>
      <c r="AL66" s="375">
        <v>29</v>
      </c>
      <c r="AM66" s="376">
        <f>DATE(UNMM0131_H_YEAR,UNMM0131_B_MONTH_8,AL66)</f>
        <v>242</v>
      </c>
      <c r="AN66" s="166"/>
      <c r="AO66" s="83"/>
      <c r="AP66" s="375">
        <v>29</v>
      </c>
      <c r="AQ66" s="376">
        <f>DATE(UNMM0131_H_YEAR,UNMM0131_B_MONTH_9,AP66)</f>
        <v>273</v>
      </c>
      <c r="AR66" s="166"/>
      <c r="AS66" s="83"/>
      <c r="AT66" s="375">
        <v>29</v>
      </c>
      <c r="AU66" s="376">
        <f>DATE(UNMM0131_H_YEAR,UNMM0131_B_MONTH_10,AT66)</f>
        <v>303</v>
      </c>
      <c r="AV66" s="166"/>
      <c r="AW66" s="83"/>
      <c r="AX66" s="375">
        <v>29</v>
      </c>
      <c r="AY66" s="376">
        <f>DATE(UNMM0131_H_YEAR,UNMM0131_B_MONTH_11,AX66)</f>
        <v>334</v>
      </c>
      <c r="AZ66" s="166"/>
      <c r="BA66" s="83"/>
      <c r="BB66" s="375">
        <v>29</v>
      </c>
      <c r="BC66" s="376">
        <f>DATE(UNMM0131_H_YEAR,UNMM0131_B_MONTH_12,BB66)</f>
        <v>364</v>
      </c>
      <c r="BD66" s="166"/>
    </row>
    <row r="67" spans="10:56" ht="16.5">
      <c r="J67" s="375">
        <v>30</v>
      </c>
      <c r="K67" s="376">
        <f>DATE(UNMM0131_H_YEAR,UNMM0131_B_MONTH_1,J67)</f>
        <v>30</v>
      </c>
      <c r="L67" s="166"/>
      <c r="M67" s="83"/>
      <c r="N67" s="83"/>
      <c r="O67" s="83"/>
      <c r="P67" s="83"/>
      <c r="Q67" s="83"/>
      <c r="R67" s="375">
        <v>30</v>
      </c>
      <c r="S67" s="376">
        <f>DATE(UNMM0131_H_YEAR,UNMM0131_B_MONTH_3,R67)</f>
        <v>90</v>
      </c>
      <c r="T67" s="166"/>
      <c r="U67" s="83"/>
      <c r="V67" s="375">
        <v>30</v>
      </c>
      <c r="W67" s="376">
        <f>DATE(UNMM0131_H_YEAR,UNMM0131_B_MONTH_4,V67)</f>
        <v>121</v>
      </c>
      <c r="X67" s="166"/>
      <c r="Y67" s="83"/>
      <c r="Z67" s="375">
        <v>30</v>
      </c>
      <c r="AA67" s="376">
        <f>DATE(UNMM0131_H_YEAR,UNMM0131_B_MONTH_5,Z67)</f>
        <v>151</v>
      </c>
      <c r="AB67" s="166"/>
      <c r="AC67" s="83"/>
      <c r="AD67" s="375">
        <v>30</v>
      </c>
      <c r="AE67" s="376">
        <f>DATE(UNMM0131_H_YEAR,UNMM0131_B_MONTH_6,AD67)</f>
        <v>182</v>
      </c>
      <c r="AF67" s="166"/>
      <c r="AG67" s="83"/>
      <c r="AH67" s="375">
        <v>30</v>
      </c>
      <c r="AI67" s="376">
        <f>DATE(UNMM0131_H_YEAR,UNMM0131_B_MONTH_7,AH67)</f>
        <v>212</v>
      </c>
      <c r="AJ67" s="166"/>
      <c r="AK67" s="83"/>
      <c r="AL67" s="375">
        <v>30</v>
      </c>
      <c r="AM67" s="376">
        <f>DATE(UNMM0131_H_YEAR,UNMM0131_B_MONTH_8,AL67)</f>
        <v>243</v>
      </c>
      <c r="AN67" s="166"/>
      <c r="AO67" s="83"/>
      <c r="AP67" s="375">
        <v>30</v>
      </c>
      <c r="AQ67" s="376">
        <f>DATE(UNMM0131_H_YEAR,UNMM0131_B_MONTH_9,AP67)</f>
        <v>274</v>
      </c>
      <c r="AR67" s="166"/>
      <c r="AS67" s="83"/>
      <c r="AT67" s="375">
        <v>30</v>
      </c>
      <c r="AU67" s="376">
        <f>DATE(UNMM0131_H_YEAR,UNMM0131_B_MONTH_10,AT67)</f>
        <v>304</v>
      </c>
      <c r="AV67" s="166"/>
      <c r="AW67" s="83"/>
      <c r="AX67" s="375">
        <v>30</v>
      </c>
      <c r="AY67" s="376">
        <f>DATE(UNMM0131_H_YEAR,UNMM0131_B_MONTH_11,AX67)</f>
        <v>335</v>
      </c>
      <c r="AZ67" s="166"/>
      <c r="BA67" s="83"/>
      <c r="BB67" s="375">
        <v>30</v>
      </c>
      <c r="BC67" s="376">
        <f>DATE(UNMM0131_H_YEAR,UNMM0131_B_MONTH_12,BB67)</f>
        <v>365</v>
      </c>
      <c r="BD67" s="166"/>
    </row>
    <row r="68" spans="10:56" ht="16.5">
      <c r="J68" s="375">
        <v>31</v>
      </c>
      <c r="K68" s="376">
        <f>DATE(UNMM0131_H_YEAR,UNMM0131_B_MONTH_1,J68)</f>
        <v>31</v>
      </c>
      <c r="L68" s="166"/>
      <c r="M68" s="83"/>
      <c r="N68" s="83"/>
      <c r="O68" s="83"/>
      <c r="P68" s="83"/>
      <c r="Q68" s="83"/>
      <c r="R68" s="375">
        <v>31</v>
      </c>
      <c r="S68" s="376">
        <f>DATE(UNMM0131_H_YEAR,UNMM0131_B_MONTH_3,R68)</f>
        <v>91</v>
      </c>
      <c r="T68" s="166"/>
      <c r="U68" s="83"/>
      <c r="V68" s="83"/>
      <c r="W68" s="83"/>
      <c r="X68" s="83"/>
      <c r="Y68" s="83"/>
      <c r="Z68" s="375">
        <v>31</v>
      </c>
      <c r="AA68" s="376">
        <f>DATE(UNMM0131_H_YEAR,UNMM0131_B_MONTH_5,Z68)</f>
        <v>152</v>
      </c>
      <c r="AB68" s="166"/>
      <c r="AC68" s="83"/>
      <c r="AD68" s="83"/>
      <c r="AE68" s="83"/>
      <c r="AF68" s="83"/>
      <c r="AG68" s="83"/>
      <c r="AH68" s="375">
        <v>31</v>
      </c>
      <c r="AI68" s="376">
        <f>DATE(UNMM0131_H_YEAR,UNMM0131_B_MONTH_7,AH68)</f>
        <v>213</v>
      </c>
      <c r="AJ68" s="166"/>
      <c r="AK68" s="83"/>
      <c r="AL68" s="375">
        <v>31</v>
      </c>
      <c r="AM68" s="376">
        <f>DATE(UNMM0131_H_YEAR,UNMM0131_B_MONTH_8,AL68)</f>
        <v>244</v>
      </c>
      <c r="AN68" s="166"/>
      <c r="AO68" s="83"/>
      <c r="AP68" s="83"/>
      <c r="AQ68" s="83"/>
      <c r="AR68" s="83"/>
      <c r="AS68" s="83"/>
      <c r="AT68" s="375">
        <v>31</v>
      </c>
      <c r="AU68" s="376">
        <f>DATE(UNMM0131_H_YEAR,UNMM0131_B_MONTH_10,AT68)</f>
        <v>305</v>
      </c>
      <c r="AV68" s="166"/>
      <c r="AW68" s="83"/>
      <c r="AX68" s="83"/>
      <c r="AY68" s="83"/>
      <c r="AZ68" s="83"/>
      <c r="BA68" s="83"/>
      <c r="BB68" s="375">
        <v>31</v>
      </c>
      <c r="BC68" s="376">
        <f>DATE(UNMM0131_H_YEAR,UNMM0131_B_MONTH_12,BB68)</f>
        <v>366</v>
      </c>
      <c r="BD68" s="166"/>
    </row>
  </sheetData>
  <mergeCells count="2">
    <mergeCell ref="J4:O4"/>
    <mergeCell ref="J37:O37"/>
  </mergeCells>
  <phoneticPr fontId="2"/>
  <conditionalFormatting sqref="K5:K35 O5:O33 S5:S35 W5:W34 AA5:AA35 AE5:AE34 AI5:AI35 AM5:AM35 AQ5:AQ34 AU5:AU35 AY5:AY34 BC5:BC35">
    <cfRule type="expression" dxfId="6" priority="3">
      <formula>WEEKDAY(K5)=7</formula>
    </cfRule>
    <cfRule type="expression" dxfId="5" priority="4">
      <formula>WEEKDAY(K5)=1</formula>
    </cfRule>
  </conditionalFormatting>
  <conditionalFormatting sqref="K38:K68 O38:O66 S38:S68 W38:W67 AA38:AA68 AE38:AE67 AI38:AI68 AM38:AM68 AQ38:AQ67 AU38:AU68 AY38:AY67 BC38:BC68">
    <cfRule type="expression" dxfId="4" priority="1">
      <formula>WEEKDAY(K38)=7</formula>
    </cfRule>
    <cfRule type="expression" dxfId="3" priority="2">
      <formula>WEEKDAY(K38)=1</formula>
    </cfRule>
  </conditionalFormatting>
  <dataValidations count="1">
    <dataValidation type="list" allowBlank="1" showInputMessage="1" showErrorMessage="1" sqref="P5:P33 AZ5:AZ34 L5:L35 T5:T35 X5:X34 AB5:AB35 AF5:AF34 AJ5:AJ35 AN5:AN35 AR5:AR34 AV5:AV35 BD5:BD35 P38:P66 AZ38:AZ67 L38:L68 T38:T68 X38:X67 AB38:AB68 AF38:AF67 AJ38:AJ68 AN38:AN68 AR38:AR67 AV38:AV68 BD38:BD68">
      <formula1>LIST_CALENDAR_KBN</formula1>
    </dataValidation>
  </dataValidation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B1:E8"/>
  <sheetViews>
    <sheetView workbookViewId="0">
      <selection activeCell="E6" sqref="E6"/>
    </sheetView>
  </sheetViews>
  <sheetFormatPr defaultRowHeight="13.5"/>
  <cols>
    <col min="1" max="1" width="9" style="130"/>
    <col min="2" max="2" width="24.25" style="130" bestFit="1" customWidth="1"/>
    <col min="3" max="3" width="19" style="130" customWidth="1"/>
    <col min="4" max="4" width="73.875" style="130" customWidth="1"/>
    <col min="5" max="5" width="10.625" style="130" customWidth="1"/>
    <col min="6" max="16384" width="9" style="130"/>
  </cols>
  <sheetData>
    <row r="1" spans="2:5">
      <c r="B1" s="208"/>
      <c r="C1" s="34" t="s">
        <v>1908</v>
      </c>
      <c r="D1" s="29">
        <f>UNMM0131_H_YEAR</f>
        <v>0</v>
      </c>
    </row>
    <row r="2" spans="2:5">
      <c r="B2" s="208"/>
      <c r="C2" s="26"/>
      <c r="D2" s="29"/>
    </row>
    <row r="3" spans="2:5" ht="95.25" customHeight="1">
      <c r="B3" s="25" t="s">
        <v>1942</v>
      </c>
      <c r="C3" s="26" t="s">
        <v>1943</v>
      </c>
      <c r="D3" s="207" t="str">
        <f>D4&amp;D5&amp;D6</f>
        <v xml:space="preserve">SELECT *
  FROM V_CALENDAR_LIST
 ORDER BY MONTH,DAY
</v>
      </c>
    </row>
    <row r="4" spans="2:5" ht="44.25" customHeight="1">
      <c r="B4" s="208"/>
      <c r="C4" s="208" t="s">
        <v>1944</v>
      </c>
      <c r="D4" s="29" t="s">
        <v>1945</v>
      </c>
    </row>
    <row r="5" spans="2:5" ht="44.25" customHeight="1">
      <c r="B5" s="208"/>
      <c r="C5" s="208" t="s">
        <v>154</v>
      </c>
      <c r="D5" s="29" t="str">
        <f>IF(D1=0,""," WHERE V_CALENDAR_LIST.YEAR = "&amp;D1&amp;"
")</f>
        <v/>
      </c>
    </row>
    <row r="6" spans="2:5" ht="44.25" customHeight="1">
      <c r="C6" s="26" t="s">
        <v>138</v>
      </c>
      <c r="D6" s="29" t="str">
        <f>" ORDER BY "&amp;E6&amp;"
"</f>
        <v xml:space="preserve"> ORDER BY MONTH,DAY
</v>
      </c>
      <c r="E6" s="46" t="s">
        <v>1987</v>
      </c>
    </row>
    <row r="8" spans="2:5" ht="39" customHeight="1">
      <c r="B8" s="85" t="s">
        <v>1592</v>
      </c>
      <c r="C8" s="26" t="s">
        <v>1946</v>
      </c>
      <c r="D8" s="207" t="s">
        <v>1947</v>
      </c>
    </row>
  </sheetData>
  <phoneticPr fontId="2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Y6"/>
  <sheetViews>
    <sheetView showGridLines="0" showRowColHeaders="0" topLeftCell="E1" workbookViewId="0">
      <selection activeCell="I3" sqref="I3:L3"/>
    </sheetView>
  </sheetViews>
  <sheetFormatPr defaultRowHeight="16.5"/>
  <cols>
    <col min="1" max="3" width="20.25" style="84" hidden="1" customWidth="1"/>
    <col min="4" max="4" width="9" style="84" hidden="1" customWidth="1"/>
    <col min="5" max="25" width="3.375" style="83" customWidth="1"/>
    <col min="26" max="16384" width="9" style="83"/>
  </cols>
  <sheetData>
    <row r="1" spans="1:25" s="5" customFormat="1" ht="19.5">
      <c r="A1" s="84"/>
      <c r="B1" s="84"/>
      <c r="C1" s="84"/>
      <c r="D1" s="84"/>
      <c r="E1" s="5" t="s">
        <v>2094</v>
      </c>
    </row>
    <row r="2" spans="1:25" ht="18.75">
      <c r="A2" s="163" t="s">
        <v>799</v>
      </c>
      <c r="B2" s="270" t="s">
        <v>2095</v>
      </c>
      <c r="C2" s="271"/>
    </row>
    <row r="3" spans="1:25" ht="18.75">
      <c r="A3" s="163" t="s">
        <v>801</v>
      </c>
      <c r="B3" s="270" t="s">
        <v>2096</v>
      </c>
      <c r="C3" s="271" t="str">
        <f>ADDRESS(ROW(A1),COLUMN(A1))&amp;":"&amp;ADDRESS(ROW(D1),COLUMN(D1))</f>
        <v>$A$1:$D$1</v>
      </c>
      <c r="H3" s="17" t="s">
        <v>2097</v>
      </c>
      <c r="I3" s="718"/>
      <c r="J3" s="719"/>
      <c r="K3" s="719"/>
      <c r="L3" s="720"/>
      <c r="M3" s="721" t="str">
        <f ca="1">IF(IFERROR(VLOOKUP(UNMM0150_H_BUNSEKI_HOHO_CD,UNMM0150_IF_LIST_BUNSEKI_HOHO,2,1),"")=0,"",IFERROR(VLOOKUP(UNMM0150_H_BUNSEKI_HOHO_CD,UNMM0150_IF_LIST_BUNSEKI_HOHO,2,1),""))</f>
        <v/>
      </c>
      <c r="N3" s="722"/>
      <c r="O3" s="722"/>
      <c r="P3" s="722"/>
      <c r="Q3" s="722"/>
      <c r="R3" s="722"/>
      <c r="S3" s="722"/>
      <c r="T3" s="722"/>
      <c r="U3" s="722"/>
      <c r="V3" s="722"/>
      <c r="W3" s="722"/>
      <c r="X3" s="722"/>
      <c r="Y3" s="723"/>
    </row>
    <row r="4" spans="1:25" ht="18.75">
      <c r="A4" s="163"/>
      <c r="B4" s="270"/>
    </row>
    <row r="5" spans="1:25">
      <c r="A5" s="85"/>
    </row>
    <row r="6" spans="1:25" ht="16.5" customHeight="1">
      <c r="A6" s="84" t="s">
        <v>2098</v>
      </c>
      <c r="B6" s="270" t="s">
        <v>2099</v>
      </c>
      <c r="C6" s="88" t="b">
        <f>NOT(ISBLANK(UNMM0150_H_BUNSEKI_HOHO_CD))</f>
        <v>0</v>
      </c>
    </row>
  </sheetData>
  <sheetProtection sheet="1" objects="1" scenarios="1" selectLockedCells="1"/>
  <mergeCells count="2">
    <mergeCell ref="I3:L3"/>
    <mergeCell ref="M3:Y3"/>
  </mergeCells>
  <phoneticPr fontId="2"/>
  <dataValidations count="2">
    <dataValidation type="list" allowBlank="1" showDropDown="1" showInputMessage="1" showErrorMessage="1" sqref="I3:L3">
      <formula1>UNMM0150_IF_LIST_BUNSEKI_HOHO_CD</formula1>
    </dataValidation>
    <dataValidation type="list" allowBlank="1" showInputMessage="1" showErrorMessage="1" sqref="G3">
      <formula1>UNMM0131_H_LIST_YEAR</formula1>
    </dataValidation>
  </dataValidation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K29"/>
  <sheetViews>
    <sheetView showGridLines="0" showRowColHeaders="0" topLeftCell="E1" workbookViewId="0">
      <selection sqref="A1:D1 G1:H1 J1"/>
    </sheetView>
  </sheetViews>
  <sheetFormatPr defaultRowHeight="16.5"/>
  <cols>
    <col min="1" max="1" width="16.75" style="163" hidden="1" customWidth="1"/>
    <col min="2" max="2" width="33.625" style="163" hidden="1" customWidth="1"/>
    <col min="3" max="3" width="11" style="163" hidden="1" customWidth="1"/>
    <col min="4" max="4" width="14.625" style="163" hidden="1" customWidth="1"/>
    <col min="5" max="5" width="5.5" style="83" customWidth="1"/>
    <col min="6" max="6" width="6.25" style="83" customWidth="1"/>
    <col min="7" max="8" width="6" style="83" hidden="1" customWidth="1"/>
    <col min="9" max="9" width="42.25" style="83" customWidth="1"/>
    <col min="10" max="10" width="5.25" style="83" hidden="1" customWidth="1"/>
    <col min="11" max="11" width="9" style="83" customWidth="1"/>
    <col min="12" max="16384" width="9" style="83"/>
  </cols>
  <sheetData>
    <row r="1" spans="1:11">
      <c r="E1" s="83" t="str">
        <f>IF(UNMM0150_B_PAGE_NO=0,"","("&amp;UNMM0150_B_PAGE_NO&amp;"/"&amp;UNMM0150_B_ALL_PEGE_SU&amp;")")</f>
        <v>(1/1)</v>
      </c>
      <c r="F1" s="13"/>
    </row>
    <row r="2" spans="1:11">
      <c r="A2" s="163" t="s">
        <v>122</v>
      </c>
      <c r="B2" s="163" t="s">
        <v>2100</v>
      </c>
      <c r="C2" s="271"/>
      <c r="F2" s="61" t="s">
        <v>15</v>
      </c>
      <c r="G2" s="518" t="s">
        <v>2101</v>
      </c>
      <c r="H2" s="518" t="s">
        <v>1273</v>
      </c>
      <c r="I2" s="61" t="s">
        <v>768</v>
      </c>
      <c r="J2" s="518" t="s">
        <v>2102</v>
      </c>
      <c r="K2" s="61" t="s">
        <v>2103</v>
      </c>
    </row>
    <row r="3" spans="1:11">
      <c r="A3" s="163" t="s">
        <v>123</v>
      </c>
      <c r="B3" s="163" t="s">
        <v>2104</v>
      </c>
      <c r="C3" s="271">
        <v>1</v>
      </c>
    </row>
    <row r="4" spans="1:11">
      <c r="A4" s="163" t="s">
        <v>124</v>
      </c>
      <c r="B4" s="163" t="s">
        <v>2105</v>
      </c>
      <c r="C4" s="271">
        <f>IF(OR(UNMM0150_B_ALL_KENSU=0,UNMM0150_B_CTRL_HYOJI_GYO_SU=0),1,ROUNDUP(UNMM0150_B_ALL_KENSU/UNMM0150_B_CTRL_HYOJI_GYO_SU,0))</f>
        <v>1</v>
      </c>
    </row>
    <row r="5" spans="1:11">
      <c r="A5" s="163" t="s">
        <v>125</v>
      </c>
      <c r="B5" s="163" t="s">
        <v>2106</v>
      </c>
      <c r="C5" s="271">
        <v>0</v>
      </c>
    </row>
    <row r="6" spans="1:11">
      <c r="A6" s="163" t="s">
        <v>143</v>
      </c>
      <c r="B6" s="163" t="s">
        <v>2107</v>
      </c>
      <c r="C6" s="271">
        <v>50</v>
      </c>
    </row>
    <row r="10" spans="1:11">
      <c r="A10" s="163" t="s">
        <v>141</v>
      </c>
      <c r="B10" s="163" t="s">
        <v>2108</v>
      </c>
      <c r="C10" s="271" t="str">
        <f>ADDRESS(ROW(UNMM0150_B_SENTAKU)+1,COLUMN(UNMM0150_B_SENTAKU))</f>
        <v>$F$3</v>
      </c>
    </row>
    <row r="11" spans="1:11">
      <c r="A11" s="163" t="s">
        <v>145</v>
      </c>
      <c r="B11" s="163" t="s">
        <v>2109</v>
      </c>
      <c r="C11" s="271" t="str">
        <f>ADDRESS(ROW(UNMM0150_B_SENTAKU)+UNMM0150_B_HYOJI_KENSU,COLUMN(UNMM0150_B_SENTAKU)+COLUMNS(UNMM0150_IF_B_LIST_COPY_MOTO)-1)</f>
        <v>$K$2</v>
      </c>
    </row>
    <row r="12" spans="1:11">
      <c r="A12" s="163" t="s">
        <v>139</v>
      </c>
      <c r="B12" s="163" t="s">
        <v>2110</v>
      </c>
      <c r="C12" s="271" t="str">
        <f>IF(UNMM0150_B_HYOJI_KENSU=0,"",UNMM0150_B_LIST_START&amp;":"&amp;
ADDRESS(ROW(UNMM0150_B_SENTAKU)+UNMM0150_B_HYOJI_KENSU,COLUMN(UNMM0150_B_SENTAKU)+COLUMNS(UNMM0150_IF_B_LIST_COPY_MOTO)-1))</f>
        <v/>
      </c>
    </row>
    <row r="13" spans="1:11">
      <c r="A13" s="163" t="s">
        <v>140</v>
      </c>
      <c r="B13" s="163" t="s">
        <v>2111</v>
      </c>
      <c r="C13" s="271" t="str">
        <f>ADDRESS(ROW(UNMM0150_B_SENTAKU)+1,COLUMN(UNMM0150_B_SENTAKU))&amp;":"&amp;
ADDRESS(ROW(UNMM0150_B_SENTAKU)+UNMM0150_B_CTRL_HYOJI_GYO_SU,COLUMN(UNMM0150_B_SENTAKU)+COLUMNS(UNMM0150_IF_B_LIST_COPY_MOTO)-1)</f>
        <v>$F$3:$K$52</v>
      </c>
    </row>
    <row r="14" spans="1:11">
      <c r="A14" s="163" t="s">
        <v>2112</v>
      </c>
      <c r="B14" s="163" t="s">
        <v>2113</v>
      </c>
      <c r="C14" s="271" t="str">
        <f>ADDRESS(ROW(UNMM0150_B_DEFAULT_HYOJI)+1,COLUMN(UNMM0150_B_DEFAULT_HYOJI))&amp;":"&amp;
ADDRESS(ROW(UNMM0150_B_SENTAKU)+UNMM0150_B_HYOJI_KENSU,COLUMN(UNMM0150_B_DEFAULT_HYOJI))</f>
        <v>$K$3:$K$2</v>
      </c>
    </row>
    <row r="15" spans="1:11">
      <c r="A15" s="163" t="s">
        <v>2114</v>
      </c>
      <c r="B15" s="163" t="s">
        <v>2115</v>
      </c>
      <c r="C15" s="271">
        <f ca="1">IF(COUNTIF(INDIRECT(UNMM0150_B_LIST_DEFAULT),"※")&gt;0,1,2)</f>
        <v>2</v>
      </c>
    </row>
    <row r="17" spans="1:4">
      <c r="A17" s="163" t="s">
        <v>147</v>
      </c>
      <c r="B17" s="163" t="s">
        <v>2116</v>
      </c>
      <c r="C17" s="271">
        <v>0</v>
      </c>
    </row>
    <row r="18" spans="1:4">
      <c r="A18" s="163" t="s">
        <v>2101</v>
      </c>
      <c r="B18" s="163" t="s">
        <v>2117</v>
      </c>
      <c r="C18" s="271">
        <f ca="1">IF(UNMM0150_B_SELECT_GYO_NO=0,0,INDIRECT(ADDRESS(UNMM0150_B_SELECT_GYO_NO,COLUMN(UNMM0150_B_BUNSEKI_HOHO_CD))))</f>
        <v>0</v>
      </c>
    </row>
    <row r="19" spans="1:4">
      <c r="A19" s="163" t="s">
        <v>1273</v>
      </c>
      <c r="B19" s="163" t="s">
        <v>2118</v>
      </c>
      <c r="C19" s="271">
        <f ca="1">IF(UNMM0150_B_SELECT_GYO_NO=0,0,INDIRECT(ADDRESS(UNMM0150_B_SELECT_GYO_NO,COLUMN(UNMM0150_B_SEQ))))</f>
        <v>0</v>
      </c>
    </row>
    <row r="20" spans="1:4">
      <c r="A20" s="163" t="s">
        <v>768</v>
      </c>
      <c r="B20" s="163" t="s">
        <v>2119</v>
      </c>
      <c r="C20" s="271" t="str">
        <f ca="1">IF(UNMM0150_B_SELECT_GYO_NO=0,"",INDIRECT(ADDRESS(UNMM0150_B_SELECT_GYO_NO,COLUMN(UNMM0150_B_BUN_SORT_MEI))))</f>
        <v/>
      </c>
    </row>
    <row r="21" spans="1:4">
      <c r="A21" s="163" t="s">
        <v>2120</v>
      </c>
      <c r="B21" s="163" t="s">
        <v>2121</v>
      </c>
      <c r="C21" s="271" t="str">
        <f ca="1">IF(UNMM0150_B_SELECT_GYO_NO=0,"",INDIRECT(ADDRESS(UNMM0150_B_SELECT_GYO_NO,COLUMN(UNMM0150_B_DEFAULT_FLG))))</f>
        <v/>
      </c>
    </row>
    <row r="23" spans="1:4">
      <c r="A23" s="163" t="s">
        <v>586</v>
      </c>
      <c r="B23" s="163" t="s">
        <v>2122</v>
      </c>
      <c r="C23" s="271">
        <f>IF(1&lt;UNMM0150_B_PAGE_NO,1,2)</f>
        <v>2</v>
      </c>
      <c r="D23" s="163" t="s">
        <v>587</v>
      </c>
    </row>
    <row r="24" spans="1:4">
      <c r="A24" s="163" t="s">
        <v>588</v>
      </c>
      <c r="B24" s="163" t="s">
        <v>2123</v>
      </c>
      <c r="C24" s="271">
        <f>IF(UNMM0150_B_PAGE_NO&lt;UNMM0150_B_ALL_PEGE_SU,1,2)</f>
        <v>2</v>
      </c>
    </row>
    <row r="25" spans="1:4">
      <c r="A25" s="163" t="s">
        <v>393</v>
      </c>
      <c r="B25" s="163" t="s">
        <v>2124</v>
      </c>
      <c r="C25" s="271">
        <f>UNMM0150_B_PAGE_NO-1</f>
        <v>0</v>
      </c>
      <c r="D25" s="163" t="s">
        <v>590</v>
      </c>
    </row>
    <row r="26" spans="1:4">
      <c r="A26" s="163" t="s">
        <v>392</v>
      </c>
      <c r="B26" s="163" t="s">
        <v>2125</v>
      </c>
      <c r="C26" s="271">
        <f>UNMM0150_B_PAGE_NO+1</f>
        <v>2</v>
      </c>
      <c r="D26" s="163" t="s">
        <v>591</v>
      </c>
    </row>
    <row r="27" spans="1:4">
      <c r="A27" s="163" t="s">
        <v>494</v>
      </c>
      <c r="B27" s="164" t="s">
        <v>2126</v>
      </c>
      <c r="C27" s="271"/>
    </row>
    <row r="28" spans="1:4">
      <c r="A28" s="163" t="s">
        <v>495</v>
      </c>
      <c r="B28" s="164" t="s">
        <v>2127</v>
      </c>
      <c r="C28" s="271" t="str">
        <f>ADDRESS(ROW(A1),COLUMN(A1))&amp;":"&amp;ADDRESS(ROW(D1),COLUMN(D1))&amp;","&amp;ADDRESS(ROW(G1),COLUMN(G1))&amp;":"&amp;ADDRESS(ROW(H1),COLUMN(H1))&amp;","&amp;ADDRESS(ROW(J1),COLUMN(J1))</f>
        <v>$A$1:$D$1,$G$1:$H$1,$J$1</v>
      </c>
      <c r="D28" s="507"/>
    </row>
    <row r="29" spans="1:4">
      <c r="A29" s="163" t="s">
        <v>496</v>
      </c>
      <c r="B29" s="164" t="s">
        <v>2128</v>
      </c>
      <c r="C29" s="271" t="str">
        <f>ADDRESS(ROW(UNMM0150_B_SENTAKU)+1,COLUMN(UNMM0150_B_SENTAKU)-5)</f>
        <v>$A$3</v>
      </c>
      <c r="D29" s="507"/>
    </row>
  </sheetData>
  <sheetProtection sheet="1" objects="1" scenarios="1" selectLockedCells="1"/>
  <phoneticPr fontId="2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D2:P184"/>
  <sheetViews>
    <sheetView workbookViewId="0">
      <selection activeCell="I3" sqref="I3:L3"/>
    </sheetView>
  </sheetViews>
  <sheetFormatPr defaultRowHeight="13.5"/>
  <cols>
    <col min="1" max="4" width="9" style="507"/>
    <col min="5" max="5" width="12.25" style="507" bestFit="1" customWidth="1"/>
    <col min="6" max="6" width="18.375" style="507" customWidth="1"/>
    <col min="7" max="7" width="10.875" style="507" bestFit="1" customWidth="1"/>
    <col min="8" max="14" width="9" style="507"/>
    <col min="15" max="15" width="14.5" style="507" customWidth="1"/>
    <col min="16" max="16" width="12.875" style="507" customWidth="1"/>
    <col min="17" max="16384" width="9" style="507"/>
  </cols>
  <sheetData>
    <row r="2" spans="4:16">
      <c r="D2" s="85" t="s">
        <v>121</v>
      </c>
      <c r="O2" s="129" t="s">
        <v>2129</v>
      </c>
      <c r="P2" s="129"/>
    </row>
    <row r="3" spans="4:16" ht="16.5" customHeight="1">
      <c r="O3" s="288" t="s">
        <v>385</v>
      </c>
      <c r="P3" s="288" t="s">
        <v>2130</v>
      </c>
    </row>
    <row r="4" spans="4:16" ht="16.5" customHeight="1">
      <c r="G4" s="8" t="s">
        <v>15</v>
      </c>
      <c r="H4" s="519"/>
      <c r="I4" s="519"/>
      <c r="J4" s="9" t="s">
        <v>768</v>
      </c>
      <c r="K4" s="519"/>
      <c r="L4" s="9" t="s">
        <v>2103</v>
      </c>
      <c r="O4" s="288" t="s">
        <v>629</v>
      </c>
      <c r="P4" s="520">
        <v>10</v>
      </c>
    </row>
    <row r="5" spans="4:16" ht="16.5" customHeight="1">
      <c r="E5" s="507" t="s">
        <v>153</v>
      </c>
      <c r="F5" s="507" t="s">
        <v>2131</v>
      </c>
      <c r="G5" s="83"/>
      <c r="H5" s="346"/>
      <c r="I5" s="346"/>
      <c r="J5" s="346"/>
      <c r="K5" s="346"/>
      <c r="L5" s="346"/>
      <c r="O5" s="288" t="s">
        <v>2132</v>
      </c>
      <c r="P5" s="288" t="s">
        <v>2133</v>
      </c>
    </row>
    <row r="6" spans="4:16" ht="16.5" customHeight="1">
      <c r="E6" s="507" t="s">
        <v>152</v>
      </c>
      <c r="F6" s="507" t="s">
        <v>2134</v>
      </c>
      <c r="G6" s="45" t="s">
        <v>16</v>
      </c>
      <c r="H6" s="521"/>
      <c r="I6" s="521"/>
      <c r="J6" s="521"/>
      <c r="K6" s="521"/>
      <c r="L6" s="522"/>
      <c r="O6" s="288" t="s">
        <v>857</v>
      </c>
      <c r="P6" s="288" t="s">
        <v>2135</v>
      </c>
    </row>
    <row r="7" spans="4:16" ht="16.5" customHeight="1">
      <c r="O7" s="523">
        <v>1</v>
      </c>
      <c r="P7" s="524" t="s">
        <v>2136</v>
      </c>
    </row>
    <row r="8" spans="4:16" ht="16.5" customHeight="1">
      <c r="O8" s="129">
        <v>2</v>
      </c>
      <c r="P8" s="525" t="s">
        <v>2137</v>
      </c>
    </row>
    <row r="9" spans="4:16" ht="16.5" customHeight="1">
      <c r="D9" s="85" t="s">
        <v>171</v>
      </c>
      <c r="F9" s="129"/>
      <c r="G9" s="517"/>
      <c r="O9" s="129">
        <v>3</v>
      </c>
      <c r="P9" s="524" t="s">
        <v>2138</v>
      </c>
    </row>
    <row r="10" spans="4:16" ht="16.5" customHeight="1">
      <c r="E10" s="507" t="s">
        <v>172</v>
      </c>
      <c r="F10" s="129" t="s">
        <v>2139</v>
      </c>
      <c r="G10" s="131"/>
      <c r="H10" s="507" t="s">
        <v>174</v>
      </c>
      <c r="I10" s="507" t="s">
        <v>175</v>
      </c>
      <c r="O10" s="129">
        <v>4</v>
      </c>
      <c r="P10" s="525" t="s">
        <v>2140</v>
      </c>
    </row>
    <row r="11" spans="4:16" ht="16.5" customHeight="1">
      <c r="E11" s="507" t="s">
        <v>613</v>
      </c>
      <c r="F11" s="507" t="s">
        <v>2141</v>
      </c>
      <c r="G11" s="51">
        <f>IF(UNMM0150_B_ALL_KENSU = 0,2,1)</f>
        <v>2</v>
      </c>
      <c r="H11" s="507" t="s">
        <v>614</v>
      </c>
      <c r="O11" s="129">
        <v>5</v>
      </c>
      <c r="P11" s="524" t="s">
        <v>2142</v>
      </c>
    </row>
    <row r="12" spans="4:16" ht="16.5" customHeight="1">
      <c r="O12" s="129">
        <v>6</v>
      </c>
      <c r="P12" s="525" t="s">
        <v>2143</v>
      </c>
    </row>
    <row r="13" spans="4:16" ht="16.5" customHeight="1">
      <c r="D13" s="85" t="s">
        <v>104</v>
      </c>
      <c r="E13" s="129"/>
      <c r="F13" s="517"/>
      <c r="O13" s="129">
        <v>7</v>
      </c>
      <c r="P13" s="524" t="s">
        <v>2144</v>
      </c>
    </row>
    <row r="14" spans="4:16" ht="16.5" customHeight="1">
      <c r="E14" s="507" t="s">
        <v>105</v>
      </c>
      <c r="F14" s="129" t="s">
        <v>2145</v>
      </c>
      <c r="G14" s="131" t="s">
        <v>2146</v>
      </c>
      <c r="O14" s="129">
        <v>8</v>
      </c>
      <c r="P14" s="525" t="s">
        <v>2147</v>
      </c>
    </row>
    <row r="15" spans="4:16" ht="16.5" customHeight="1">
      <c r="E15" s="507" t="s">
        <v>107</v>
      </c>
      <c r="F15" s="129" t="s">
        <v>2148</v>
      </c>
      <c r="G15" s="131">
        <v>3</v>
      </c>
      <c r="O15" s="129">
        <v>9</v>
      </c>
      <c r="P15" s="524" t="s">
        <v>2149</v>
      </c>
    </row>
    <row r="16" spans="4:16" ht="16.5" customHeight="1">
      <c r="E16" s="507" t="s">
        <v>108</v>
      </c>
      <c r="F16" s="129" t="s">
        <v>2150</v>
      </c>
      <c r="G16" s="131">
        <v>9</v>
      </c>
      <c r="O16" s="129">
        <v>10</v>
      </c>
      <c r="P16" s="525" t="s">
        <v>2151</v>
      </c>
    </row>
    <row r="17" spans="4:15" ht="16.5" customHeight="1">
      <c r="F17" s="129"/>
      <c r="O17" s="129"/>
    </row>
    <row r="18" spans="4:15" ht="16.5" customHeight="1">
      <c r="E18" s="507" t="s">
        <v>106</v>
      </c>
      <c r="F18" s="129" t="s">
        <v>2152</v>
      </c>
      <c r="G18" s="131"/>
    </row>
    <row r="19" spans="4:15" ht="16.5" customHeight="1"/>
    <row r="20" spans="4:15" ht="16.5" customHeight="1">
      <c r="D20" s="85" t="s">
        <v>45</v>
      </c>
      <c r="F20" s="129"/>
      <c r="H20" s="507" t="s">
        <v>63</v>
      </c>
      <c r="I20" s="507" t="s">
        <v>64</v>
      </c>
    </row>
    <row r="21" spans="4:15" ht="16.5" customHeight="1">
      <c r="E21" s="507" t="s">
        <v>4</v>
      </c>
      <c r="F21" s="129" t="s">
        <v>2153</v>
      </c>
      <c r="G21" s="51">
        <f>IF(UNMM0150_B_PAGE_NO&gt;=2,1,2)</f>
        <v>2</v>
      </c>
      <c r="H21" s="507" t="s">
        <v>1440</v>
      </c>
    </row>
    <row r="22" spans="4:15" ht="16.5" customHeight="1">
      <c r="E22" s="507" t="s">
        <v>5</v>
      </c>
      <c r="F22" s="129" t="s">
        <v>2154</v>
      </c>
      <c r="G22" s="51">
        <f>IF(MOD(UNMM0150_B_ALL_KENSU,UNMM0150_B_CTRL_HYOJI_GYO_SU*UNMM0150_B_PAGE_NO)&lt;=UNMM0150_B_HYOJI_KENSU,2,1)</f>
        <v>2</v>
      </c>
      <c r="H22" s="507" t="s">
        <v>1442</v>
      </c>
    </row>
    <row r="23" spans="4:15" ht="16.5" customHeight="1">
      <c r="F23" s="129"/>
    </row>
    <row r="24" spans="4:15" ht="16.5" customHeight="1">
      <c r="D24" s="129" t="s">
        <v>2155</v>
      </c>
      <c r="E24" s="129"/>
      <c r="F24" s="129"/>
      <c r="G24" s="129"/>
      <c r="H24" s="129"/>
    </row>
    <row r="25" spans="4:15" ht="16.5" customHeight="1">
      <c r="D25" s="129"/>
      <c r="E25" s="129" t="s">
        <v>818</v>
      </c>
      <c r="F25" s="129" t="s">
        <v>2156</v>
      </c>
      <c r="G25" s="201"/>
      <c r="H25" s="129" t="s">
        <v>2157</v>
      </c>
    </row>
    <row r="26" spans="4:15" ht="16.5" customHeight="1"/>
    <row r="27" spans="4:15" ht="16.5" customHeight="1"/>
    <row r="28" spans="4:15" ht="16.5" customHeight="1">
      <c r="F28" s="129"/>
    </row>
    <row r="29" spans="4:15" ht="16.5" customHeight="1">
      <c r="F29" s="129"/>
    </row>
    <row r="30" spans="4:15" ht="16.5" customHeight="1">
      <c r="F30" s="129"/>
    </row>
    <row r="31" spans="4:15" ht="16.5" customHeight="1">
      <c r="F31" s="129"/>
    </row>
    <row r="32" spans="4:15" ht="16.5" customHeight="1">
      <c r="F32" s="129"/>
    </row>
    <row r="33" spans="6:6" ht="16.5" customHeight="1">
      <c r="F33" s="129"/>
    </row>
    <row r="34" spans="6:6" ht="16.5" customHeight="1">
      <c r="F34" s="129"/>
    </row>
    <row r="35" spans="6:6" ht="16.5" customHeight="1">
      <c r="F35" s="129"/>
    </row>
    <row r="36" spans="6:6" ht="16.5" customHeight="1">
      <c r="F36" s="129"/>
    </row>
    <row r="37" spans="6:6" ht="16.5" customHeight="1"/>
    <row r="38" spans="6:6" ht="16.5" customHeight="1"/>
    <row r="39" spans="6:6" ht="16.5" customHeight="1"/>
    <row r="40" spans="6:6" ht="16.5" customHeight="1"/>
    <row r="41" spans="6:6" ht="16.5" customHeight="1"/>
    <row r="42" spans="6:6" ht="16.5" customHeight="1"/>
    <row r="43" spans="6:6" ht="16.5" customHeight="1"/>
    <row r="44" spans="6:6" ht="16.5" customHeight="1"/>
    <row r="45" spans="6:6" ht="16.5" customHeight="1"/>
    <row r="46" spans="6:6" ht="16.5" customHeight="1"/>
    <row r="47" spans="6:6" ht="16.5" customHeight="1"/>
    <row r="48" spans="6:6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</sheetData>
  <phoneticPr fontId="2"/>
  <conditionalFormatting sqref="G6:H6">
    <cfRule type="expression" dxfId="2" priority="3">
      <formula>CELL("row")=ROW()</formula>
    </cfRule>
  </conditionalFormatting>
  <conditionalFormatting sqref="I6:J6">
    <cfRule type="expression" dxfId="1" priority="2">
      <formula>CELL("row")=ROW()</formula>
    </cfRule>
  </conditionalFormatting>
  <conditionalFormatting sqref="K6:L6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E15"/>
  <sheetViews>
    <sheetView workbookViewId="0">
      <selection activeCell="J9" sqref="J9"/>
    </sheetView>
  </sheetViews>
  <sheetFormatPr defaultRowHeight="13.5"/>
  <cols>
    <col min="1" max="1" width="9" style="507"/>
    <col min="2" max="2" width="13" style="507" bestFit="1" customWidth="1"/>
    <col min="3" max="3" width="30.75" style="507" customWidth="1"/>
    <col min="4" max="4" width="34.375" style="507" customWidth="1"/>
    <col min="5" max="16384" width="9" style="507"/>
  </cols>
  <sheetData>
    <row r="3" spans="1:5">
      <c r="A3" s="85" t="s">
        <v>2158</v>
      </c>
    </row>
    <row r="4" spans="1:5" ht="49.5" customHeight="1">
      <c r="B4" s="208" t="s">
        <v>2159</v>
      </c>
      <c r="C4" s="26" t="s">
        <v>2160</v>
      </c>
      <c r="D4" s="207" t="str">
        <f>D7&amp;D8&amp;UNMM0150_SQL_ORDER_BY&amp;D10</f>
        <v>SELECT *
    FROM V_BUNSEKI_HOHO_LIST
  WHERE 1=1
 ORDER BY SEQ DESC
OFFSET 0*50 ROWS
 FETCH NEXT 50 ROWS ONLY</v>
      </c>
    </row>
    <row r="5" spans="1:5" ht="39.75" customHeight="1">
      <c r="B5" s="26" t="s">
        <v>2161</v>
      </c>
      <c r="C5" s="26" t="s">
        <v>2162</v>
      </c>
      <c r="D5" s="207" t="str">
        <f>D6&amp;D8</f>
        <v xml:space="preserve">SELECT COUNT(*) AS CNT
    FROM V_BUNSEKI_HOHO_LIST
  WHERE 1=1
</v>
      </c>
    </row>
    <row r="6" spans="1:5" ht="54">
      <c r="D6" s="256" t="s">
        <v>2163</v>
      </c>
    </row>
    <row r="7" spans="1:5" ht="56.25" customHeight="1">
      <c r="B7" s="208"/>
      <c r="D7" s="29" t="s">
        <v>2164</v>
      </c>
    </row>
    <row r="8" spans="1:5">
      <c r="B8" s="208" t="s">
        <v>2165</v>
      </c>
      <c r="D8" s="526" t="str">
        <f>IF(UNMM0150_H_BUNSEKI_HOHO_CD=0,""," AND BUNSEKI_HOHO_CD = '"&amp; UNMM0150_H_BUNSEKI_HOHO_CD &amp;"'
")</f>
        <v/>
      </c>
    </row>
    <row r="9" spans="1:5">
      <c r="B9" s="26" t="s">
        <v>138</v>
      </c>
      <c r="C9" s="507" t="s">
        <v>2166</v>
      </c>
      <c r="D9" s="507" t="s">
        <v>2167</v>
      </c>
    </row>
    <row r="10" spans="1:5" ht="40.5">
      <c r="B10" s="26" t="s">
        <v>1128</v>
      </c>
      <c r="D10" s="29" t="str">
        <f>"
OFFSET "&amp;E10&amp;"*"&amp;UNMM0150_B_CTRL_HYOJI_GYO_SU&amp;" ROWS
 FETCH NEXT "&amp;UNMM0150_B_CTRL_HYOJI_GYO_SU&amp;" ROWS ONLY"</f>
        <v xml:space="preserve">
OFFSET 0*50 ROWS
 FETCH NEXT 50 ROWS ONLY</v>
      </c>
      <c r="E10" s="51">
        <f>UNMM0150_B_PAGE_NO-1</f>
        <v>0</v>
      </c>
    </row>
    <row r="12" spans="1:5">
      <c r="A12" s="85" t="s">
        <v>2168</v>
      </c>
    </row>
    <row r="13" spans="1:5" ht="135">
      <c r="B13" s="507" t="s">
        <v>2169</v>
      </c>
      <c r="C13" s="208" t="s">
        <v>2170</v>
      </c>
      <c r="D13" s="29" t="s">
        <v>2171</v>
      </c>
    </row>
    <row r="15" spans="1:5" ht="72.75" customHeight="1">
      <c r="B15" s="208" t="s">
        <v>2172</v>
      </c>
      <c r="C15" s="26" t="s">
        <v>2173</v>
      </c>
      <c r="D15" s="207" t="s">
        <v>2356</v>
      </c>
    </row>
  </sheetData>
  <phoneticPr fontId="2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rgb="FFFFFF00"/>
  </sheetPr>
  <dimension ref="A1:W34"/>
  <sheetViews>
    <sheetView showGridLines="0" showRowColHeaders="0" tabSelected="1" workbookViewId="0">
      <pane ySplit="6" topLeftCell="A7" activePane="bottomLeft" state="frozen"/>
      <selection activeCell="I3" sqref="I3:L3"/>
      <selection pane="bottomLeft" activeCell="G3" sqref="G3:P3"/>
    </sheetView>
  </sheetViews>
  <sheetFormatPr defaultRowHeight="16.5"/>
  <cols>
    <col min="1" max="1" width="20.125" style="84" hidden="1" customWidth="1"/>
    <col min="2" max="2" width="26.125" style="84" hidden="1" customWidth="1"/>
    <col min="3" max="3" width="22.625" style="84" hidden="1" customWidth="1"/>
    <col min="4" max="4" width="9" style="84" hidden="1" customWidth="1"/>
    <col min="5" max="5" width="3.375" style="83" customWidth="1"/>
    <col min="6" max="6" width="11.5" style="83" customWidth="1"/>
    <col min="7" max="7" width="11.75" style="83" customWidth="1"/>
    <col min="8" max="8" width="31.125" style="83" customWidth="1"/>
    <col min="9" max="9" width="7.5" style="83" hidden="1" customWidth="1"/>
    <col min="10" max="10" width="4.375" style="83" hidden="1" customWidth="1"/>
    <col min="11" max="11" width="19.125" style="83" hidden="1" customWidth="1"/>
    <col min="12" max="14" width="9.625" style="83" hidden="1" customWidth="1"/>
    <col min="15" max="15" width="9" style="83" hidden="1" customWidth="1"/>
    <col min="16" max="16" width="4.375" style="83" customWidth="1"/>
    <col min="17" max="18" width="3.125" style="83" customWidth="1"/>
    <col min="19" max="20" width="9" style="83" hidden="1" customWidth="1"/>
    <col min="21" max="21" width="9" style="83"/>
    <col min="22" max="22" width="2.375" style="83" customWidth="1"/>
    <col min="23" max="16384" width="9" style="83"/>
  </cols>
  <sheetData>
    <row r="1" spans="1:23" s="5" customFormat="1" ht="19.5">
      <c r="A1" s="41"/>
      <c r="B1" s="456" t="s">
        <v>2174</v>
      </c>
      <c r="C1" s="271"/>
      <c r="D1" s="41"/>
      <c r="E1" s="5" t="s">
        <v>2175</v>
      </c>
    </row>
    <row r="2" spans="1:23" ht="19.5">
      <c r="A2" s="41"/>
      <c r="B2" s="41"/>
      <c r="C2" s="41"/>
    </row>
    <row r="3" spans="1:23" ht="18.75">
      <c r="F3" s="17" t="s">
        <v>1338</v>
      </c>
      <c r="G3" s="546"/>
      <c r="H3" s="547"/>
      <c r="I3" s="547"/>
      <c r="J3" s="547"/>
      <c r="K3" s="547"/>
      <c r="L3" s="547"/>
      <c r="M3" s="547"/>
      <c r="N3" s="547"/>
      <c r="O3" s="547"/>
      <c r="P3" s="548"/>
      <c r="S3" s="527"/>
      <c r="U3" s="7" t="s">
        <v>2176</v>
      </c>
      <c r="W3" s="83" t="s">
        <v>2177</v>
      </c>
    </row>
    <row r="4" spans="1:23" ht="18.75">
      <c r="A4" s="163" t="s">
        <v>799</v>
      </c>
      <c r="B4" s="456" t="s">
        <v>2178</v>
      </c>
      <c r="C4" s="271"/>
      <c r="F4" s="7" t="s">
        <v>2179</v>
      </c>
      <c r="G4" s="528" t="str">
        <f ca="1">IF(UNMM0150_IF_MODE=1,IF(UNMM0150_H_BUNSEKI_HOHO_CD&lt;&gt;"",UNMM0150_H_BUNSEKI_HOHO_CD,IF(UNMM0150_B_SELECT_BUNSEKI_HOHO_CD&lt;&gt;0,UNMM0150_B_SELECT_BUNSEKI_HOHO_CD,"")),IF(UNMM0150_B_SELECT_BUNSEKI_HOHO_CD&lt;&gt;0,UNMM0150_B_SELECT_BUNSEKI_HOHO_CD,""))</f>
        <v/>
      </c>
      <c r="H4" s="653" t="str">
        <f ca="1">IF(IFERROR(VLOOKUP(UNMM0151_BUNSEKI_HOHO_CD,UNMM0150_IF_LIST_BUNSEKI_HOHO,2,1),"")=0,"",IFERROR(VLOOKUP(UNMM0151_BUNSEKI_HOHO_CD,UNMM0150_IF_LIST_BUNSEKI_HOHO,2,1),""))</f>
        <v/>
      </c>
      <c r="I4" s="654"/>
      <c r="J4" s="654"/>
      <c r="K4" s="654"/>
      <c r="L4" s="654"/>
      <c r="M4" s="654"/>
      <c r="N4" s="654"/>
      <c r="O4" s="654"/>
      <c r="P4" s="655"/>
    </row>
    <row r="5" spans="1:23" ht="18.75">
      <c r="A5" s="163" t="s">
        <v>801</v>
      </c>
      <c r="B5" s="456" t="s">
        <v>2180</v>
      </c>
      <c r="C5" s="271" t="str">
        <f>ADDRESS(ROW(A1),COLUMN(A1))&amp;":"&amp;ADDRESS(ROW(D1),COLUMN(D1))&amp;","&amp;ADDRESS(ROW(I1),COLUMN(I1))&amp;":"&amp;ADDRESS(ROW(O1),COLUMN(O1))&amp;","&amp;ADDRESS(ROW(S1),COLUMN(S1))&amp;":"&amp;ADDRESS(ROW(T1),COLUMN(T1))</f>
        <v>$A$1:$D$1,$I$1:$O$1,$S$1:$T$1</v>
      </c>
    </row>
    <row r="6" spans="1:23" ht="20.25" customHeight="1">
      <c r="E6" s="529"/>
      <c r="F6" s="44" t="s">
        <v>661</v>
      </c>
      <c r="G6" s="724" t="s">
        <v>662</v>
      </c>
      <c r="H6" s="725"/>
      <c r="I6" s="530" t="s">
        <v>2181</v>
      </c>
      <c r="J6" s="530" t="s">
        <v>1273</v>
      </c>
      <c r="K6" s="530" t="s">
        <v>2182</v>
      </c>
      <c r="L6" s="530" t="s">
        <v>2183</v>
      </c>
      <c r="M6" s="530" t="s">
        <v>2101</v>
      </c>
      <c r="N6" s="530" t="s">
        <v>895</v>
      </c>
      <c r="O6" s="530" t="s">
        <v>816</v>
      </c>
      <c r="P6" s="44" t="s">
        <v>21</v>
      </c>
      <c r="Q6" s="531" t="str">
        <f>IF(UNMM0151_IF_MODE=0,"",HYPERLINK("#"&amp;ADDRESS(ROW(UNMM0151_SORT_UP),COLUMN(UNMM0151_SORT_UP)),"△"))</f>
        <v/>
      </c>
      <c r="R6" s="531" t="str">
        <f>IF(UNMM0151_IF_MODE=0,"",HYPERLINK("#"&amp;ADDRESS(ROW(UNMM0151_SORT_DOWN),COLUMN(UNMM0151_SORT_DOWN)),"▽"))</f>
        <v/>
      </c>
      <c r="S6" s="2" t="s">
        <v>2184</v>
      </c>
      <c r="T6" s="2" t="s">
        <v>2185</v>
      </c>
    </row>
    <row r="8" spans="1:23">
      <c r="A8" s="84" t="s">
        <v>2186</v>
      </c>
      <c r="B8" s="84" t="s">
        <v>2187</v>
      </c>
      <c r="C8" s="271" t="s">
        <v>2188</v>
      </c>
    </row>
    <row r="9" spans="1:23">
      <c r="A9" s="84" t="s">
        <v>2189</v>
      </c>
      <c r="B9" s="84" t="s">
        <v>2190</v>
      </c>
      <c r="C9" s="271" t="s">
        <v>2191</v>
      </c>
    </row>
    <row r="10" spans="1:23" ht="18.75">
      <c r="A10" s="163"/>
      <c r="B10" s="456"/>
      <c r="C10" s="163"/>
    </row>
    <row r="11" spans="1:23">
      <c r="A11" s="84" t="s">
        <v>645</v>
      </c>
      <c r="B11" s="84" t="s">
        <v>2192</v>
      </c>
      <c r="C11" s="88">
        <v>1</v>
      </c>
    </row>
    <row r="12" spans="1:23">
      <c r="A12" s="84" t="s">
        <v>2193</v>
      </c>
      <c r="B12" s="84" t="s">
        <v>2194</v>
      </c>
      <c r="C12" s="88">
        <f>UNMM0151_GYO_NO+1</f>
        <v>2</v>
      </c>
    </row>
    <row r="13" spans="1:23">
      <c r="A13" s="84" t="s">
        <v>2195</v>
      </c>
      <c r="B13" s="84" t="s">
        <v>2196</v>
      </c>
      <c r="C13" s="88">
        <f>UNMM0151_GYO_NO-1</f>
        <v>0</v>
      </c>
    </row>
    <row r="14" spans="1:23">
      <c r="A14" s="84" t="s">
        <v>2197</v>
      </c>
      <c r="B14" s="84" t="s">
        <v>2198</v>
      </c>
      <c r="C14" s="88" t="str">
        <f>IF(UNMM0151_GYO_NO&lt;1,"",(ADDRESS(ROW(UNMM0151_BUNSEKI_CD)+1,COLUMN(UNMM0151_BUNSEKI_CD))&amp;":"&amp;
ADDRESS(ROW(UNMM0151_BUNSEKI_CD)+UNMM0151_GYO_NO,COLUMN(UNMM0151_BUNSEKI_CD)+COLUMNS(UNMM0151_IF_COPY_B_SHINKI)-1)))</f>
        <v>$F$7:$O$7</v>
      </c>
    </row>
    <row r="15" spans="1:23">
      <c r="A15" s="84" t="s">
        <v>822</v>
      </c>
      <c r="B15" s="84" t="s">
        <v>2199</v>
      </c>
      <c r="C15" s="88" t="str">
        <f>ADDRESS(ROW(UNMM0151_BUNSEKI_CD)+1,COLUMN(UNMM0151_BUNSEKI_CD))</f>
        <v>$F$7</v>
      </c>
    </row>
    <row r="16" spans="1:23">
      <c r="A16" s="84" t="s">
        <v>2200</v>
      </c>
      <c r="B16" s="84" t="s">
        <v>2201</v>
      </c>
      <c r="C16" s="88">
        <f>IF(UNMM0151_GYO_NO=0,2,1)</f>
        <v>1</v>
      </c>
    </row>
    <row r="17" spans="1:3">
      <c r="A17" s="84" t="s">
        <v>139</v>
      </c>
      <c r="B17" s="84" t="s">
        <v>2202</v>
      </c>
      <c r="C17" s="88" t="str">
        <f>IF(UNMM0151_GYO_NO&lt;=0,"",ADDRESS(ROW(UNMM0151_BUNSEKI_CD)+1,COLUMN(UNMM0151_BUNSEKI_CD))&amp;":"&amp;ADDRESS(ROW(UNMM0151_BUNSEKI_CD)+UNMM0151_GYO_NO,COLUMN(UNMM0151_BUNSEKI_CD)+COLUMNS(UNMM0151_IF_COPY_B_SHINKI)-1))</f>
        <v>$F$7:$O$7</v>
      </c>
    </row>
    <row r="18" spans="1:3" ht="16.5" customHeight="1">
      <c r="B18" s="84" t="s">
        <v>2203</v>
      </c>
      <c r="C18" s="88" t="str">
        <f>ADDRESS(ROW(UNMM0151_BUNSEKI_CD)+1,COLUMN(UNMM0151_BUNSEKI_CD)+COLUMNS(UNMM0151_IF_COPY_B_SHINKI))&amp;":"&amp;ADDRESS(ROW(UNMM0151_BUNSEKI_CD)+UNMM0151_GYO_NO,COLUMN(UNMM0151_SELECT_FLG))</f>
        <v>$P$7:$T$7</v>
      </c>
    </row>
    <row r="19" spans="1:3" ht="16.5" customHeight="1">
      <c r="A19" s="84" t="s">
        <v>140</v>
      </c>
      <c r="B19" s="84" t="s">
        <v>2204</v>
      </c>
      <c r="C19" s="88" t="str">
        <f>"UNMM0151!"&amp;ADDRESS(ROW(UNMM0151_BUNSEKI_CD)+1,COLUMN(UNMM0151_BUNSEKI_CD))&amp;":"&amp;ADDRESS(ROW(UNMM0151_BUNSEKI_CD)+UNMM0151_GYO_NO,COLUMN(UNMM0151_SELECT_FLG))</f>
        <v>UNMM0151!$F$7:$T$7</v>
      </c>
    </row>
    <row r="20" spans="1:3" ht="16.5" customHeight="1"/>
    <row r="21" spans="1:3" ht="16.5" customHeight="1">
      <c r="A21" s="84" t="s">
        <v>2205</v>
      </c>
      <c r="B21" s="84" t="s">
        <v>2206</v>
      </c>
      <c r="C21" s="88" t="str">
        <f>IF(OR(UNMM0151_IF_ACTIVE_SHEET&lt;&gt;"UNMM0151",UNMM0151_GYO_NO=0,UNMM0151_IF_ACTIVE_ROW&lt;=ROW(UNMM0151_BUNSEKI_CD)),
"UNMM0151!"&amp;ADDRESS(ROW(UNMM0151_BUNSEKI_CD)+1,COLUMN(UNMM0151_BUNSEKI_CD))&amp;":"&amp;ADDRESS(ROW(UNMM0151_BUNSEKI_CD)+1,COLUMN(UNMM0151_BUNSEKI_CD)+COLUMNS(UNMM0151_IF_COPY_B_SHINKI)+COLUMNS(UNMM0151_IF_CHECKBOX_COPY_MOTO)-1),
"UNMM0151!"&amp;ADDRESS(UNMM0151_IF_ACTIVE_ROW+1,COLUMN(UNMM0151_BUNSEKI_CD))&amp;":"&amp;ADDRESS(UNMM0151_IF_ACTIVE_ROW+1,COLUMN(UNMM0151_BUNSEKI_CD)+COLUMNS(UNMM0151_IF_COPY_B_SHINKI)+COLUMNS(UNMM0151_IF_CHECKBOX_COPY_MOTO)-1))</f>
        <v>UNMM0151!$F$10:$T$10</v>
      </c>
    </row>
    <row r="22" spans="1:3" ht="16.5" customHeight="1">
      <c r="B22" s="84" t="s">
        <v>2207</v>
      </c>
      <c r="C22" s="88" t="str">
        <f>IF(OR(UNMM0151_IF_ACTIVE_SHEET&lt;&gt;"UNMM0151",UNMM0151_GYO_NO=0,UNMM0151_IF_ACTIVE_ROW&lt;=ROW(UNMM0151_BUNSEKI_CD)),
"UNMM0151!"&amp;ADDRESS(ROW(UNMM0151_BUNSEKI_CD)+1,COLUMN(UNMM0151_BUNSEKI_CD))&amp;":"&amp;ADDRESS(ROW(UNMM0151_BUNSEKI_CD)+1,COLUMN(UNMM0151_BUNSEKI_CD)+COLUMNS(UNMM0151_IF_COPY_B_SHINKI)-1),
"UNMM0151!"&amp;ADDRESS(UNMM0151_IF_ACTIVE_ROW+1,COLUMN(UNMM0151_BUNSEKI_CD))&amp;":"&amp;ADDRESS(UNMM0151_IF_ACTIVE_ROW+1,COLUMN(UNMM0151_BUNSEKI_CD)+COLUMNS(UNMM0151_IF_COPY_B_SHINKI)-1))</f>
        <v>UNMM0151!$F$10:$O$10</v>
      </c>
    </row>
    <row r="23" spans="1:3" ht="16.5" customHeight="1">
      <c r="B23" s="84" t="s">
        <v>2208</v>
      </c>
      <c r="C23" s="88" t="str">
        <f>IF(OR(UNMM0151_IF_ACTIVE_SHEET&lt;&gt;"UNMM0151",UNMM0151_GYO_NO=0,UNMM0151_IF_ACTIVE_ROW&lt;=ROW(UNMM0151_BUNSEKI_CD)),
"UNMM0151!"&amp;ADDRESS(ROW(UNMM0151_BUNSEKI_CD)+1,COLUMN(UNMM0151_BUNSEKI_CD)+COLUMNS(UNMM0151_IF_COPY_B_SHINKI))&amp;":"&amp;ADDRESS(ROW(UNMM0151_BUNSEKI_CD)+1,COLUMN(UNMM0151_BUNSEKI_CD)+COLUMNS(UNMM0151_IF_COPY_B_SHINKI)+COLUMNS(UNMM0151_IF_CHECKBOX_COPY_MOTO)-1),
"UNMM0151!"&amp;ADDRESS(UNMM0151_IF_ACTIVE_ROW+1,COLUMN(UNMM0151_BUNSEKI_CD)+COLUMNS(UNMM0151_IF_COPY_B_SHINKI))&amp;":"&amp;ADDRESS(UNMM0151_IF_ACTIVE_ROW+1,COLUMN(UNMM0151_BUNSEKI_CD)+COLUMNS(UNMM0151_IF_COPY_B_SHINKI)+COLUMNS(UNMM0151_IF_CHECKBOX_COPY_MOTO)-1))</f>
        <v>UNMM0151!$P$10:$T$10</v>
      </c>
    </row>
    <row r="24" spans="1:3" ht="16.5" customHeight="1"/>
    <row r="25" spans="1:3">
      <c r="A25" s="84" t="s">
        <v>2209</v>
      </c>
      <c r="B25" s="84" t="s">
        <v>2210</v>
      </c>
      <c r="C25" s="88" t="str">
        <f>"UNMM0151!"&amp;ADDRESS(UNMM0151_IF_ACTIVE_ROW,COLUMN(UNMM0151_BUNSEKI_CD))&amp;":"&amp;ADDRESS(UNMM0151_IF_ACTIVE_ROW,COLUMN(UNMM0151_BUNSEKI_CD)+COLUMNS(UNMM0151_IF_COPY_B_SHINKI)+COLUMNS(UNMM0151_IF_CHECKBOX_COPY_MOTO)-1)</f>
        <v>UNMM0151!$F$9:$T$9</v>
      </c>
    </row>
    <row r="26" spans="1:3">
      <c r="A26" s="84" t="s">
        <v>2211</v>
      </c>
      <c r="B26" s="84" t="s">
        <v>2212</v>
      </c>
      <c r="C26" s="88" t="str">
        <f ca="1">"UNMM0151!"&amp;ADDRESS(ROW(INDIRECT(UNMM0151_GYO_INSERT)),COLUMN(UNMM0151_BUNSEKI_CD))</f>
        <v>UNMM0151!$F$10</v>
      </c>
    </row>
    <row r="28" spans="1:3">
      <c r="A28" s="66" t="s">
        <v>685</v>
      </c>
      <c r="B28" s="66" t="s">
        <v>2213</v>
      </c>
      <c r="C28" s="65" t="str">
        <f>"UNMM0151!"&amp;ADDRESS(UNMM0151_IF_ACTIVE_ROW,COLUMN(UNMM0151_BUNSEKI_CD))</f>
        <v>UNMM0151!$F$9</v>
      </c>
    </row>
    <row r="29" spans="1:3">
      <c r="A29" s="66" t="s">
        <v>687</v>
      </c>
      <c r="B29" s="66" t="s">
        <v>2214</v>
      </c>
      <c r="C29" s="65" t="str">
        <f>"UNMM0151!"&amp;ADDRESS(UNMM0151_IF_ACTIVE_ROW,COLUMN(UNMM0151_BUNSEKI_MEI))</f>
        <v>UNMM0151!$G$9</v>
      </c>
    </row>
    <row r="31" spans="1:3">
      <c r="A31" s="84" t="s">
        <v>2215</v>
      </c>
      <c r="B31" s="164" t="s">
        <v>2216</v>
      </c>
      <c r="C31" s="88" t="str">
        <f ca="1">"UNMM0151!"&amp;
ADDRESS(ROW(INDIRECT(UNMM0151_LIST_START))+UNMM0151_GYO_NO,COLUMN(UNMM0151_BUNSEKI_CD))
&amp;":"&amp;ADDRESS(ROW(INDIRECT(UNMM0151_LIST_START))+UNMM0151_GYO_NO+UNMM0151_IF_MULTI_SELECT_TENKAI_KENSU-1,COLUMN(UNMM0151_BUNSEKI_CD)+COLUMNS(UNMM0151_IF_SHINKI_LIST_COPY_MOTO)-6)</f>
        <v>UNMM0151!$F$8:$O$7</v>
      </c>
    </row>
    <row r="32" spans="1:3">
      <c r="B32" s="164" t="s">
        <v>2217</v>
      </c>
      <c r="C32" s="88" t="str">
        <f ca="1">"UNMM0151!"&amp;
ADDRESS(ROW(INDIRECT(UNMM0151_LIST_START))+UNMM0151_GYO_NO,COLUMN(UNMM0151_DELETE))
&amp;":"&amp;ADDRESS(ROW(INDIRECT(UNMM0151_LIST_START))+UNMM0151_GYO_NO+UNMM0151_IF_MULTI_SELECT_TENKAI_KENSU-1,COLUMN(UNMM0151_DELETE)+COLUMNS(UNMM0151_IF_CHECKBOX_COPY_MOTO)-1)</f>
        <v>UNMM0151!$P$8:$T$7</v>
      </c>
    </row>
    <row r="34" spans="1:3">
      <c r="A34" s="84" t="s">
        <v>2218</v>
      </c>
      <c r="B34" s="164" t="s">
        <v>2219</v>
      </c>
      <c r="C34" s="88"/>
    </row>
  </sheetData>
  <sheetProtection sheet="1" objects="1" scenarios="1" selectLockedCells="1"/>
  <mergeCells count="3">
    <mergeCell ref="G3:P3"/>
    <mergeCell ref="H4:P4"/>
    <mergeCell ref="G6:H6"/>
  </mergeCells>
  <phoneticPr fontId="2"/>
  <dataValidations count="1">
    <dataValidation type="custom" allowBlank="1" showInputMessage="1" showErrorMessage="1" sqref="G3:P3">
      <formula1>LENB(G3)&lt;=50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8657" r:id="rId3" name="DEFAULT_CHECKBOX">
              <controlPr defaultSize="0" autoFill="0" autoLine="0" autoPict="0" altText="する">
                <anchor moveWithCells="1">
                  <from>
                    <xdr:col>20</xdr:col>
                    <xdr:colOff>666750</xdr:colOff>
                    <xdr:row>1</xdr:row>
                    <xdr:rowOff>238125</xdr:rowOff>
                  </from>
                  <to>
                    <xdr:col>22</xdr:col>
                    <xdr:colOff>9525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2:BX50"/>
  <sheetViews>
    <sheetView topLeftCell="Y1" workbookViewId="0">
      <selection activeCell="AQ16" sqref="AQ16"/>
    </sheetView>
  </sheetViews>
  <sheetFormatPr defaultRowHeight="13.5"/>
  <cols>
    <col min="1" max="2" width="9" style="507"/>
    <col min="3" max="3" width="37.75" style="507" bestFit="1" customWidth="1"/>
    <col min="4" max="4" width="10.75" style="507" customWidth="1"/>
    <col min="5" max="9" width="9" style="507"/>
    <col min="10" max="10" width="8.75" style="507" customWidth="1"/>
    <col min="11" max="22" width="9" style="507"/>
    <col min="23" max="23" width="11.125" style="507" customWidth="1"/>
    <col min="24" max="25" width="11.75" style="507" customWidth="1"/>
    <col min="26" max="26" width="31.125" style="507" customWidth="1"/>
    <col min="27" max="32" width="6.625" style="507" hidden="1" customWidth="1"/>
    <col min="33" max="33" width="7.25" style="507" hidden="1" customWidth="1"/>
    <col min="34" max="34" width="4.375" style="507" customWidth="1"/>
    <col min="35" max="36" width="3.125" style="507" customWidth="1"/>
    <col min="37" max="39" width="9" style="507"/>
    <col min="40" max="40" width="15.625" style="507" customWidth="1"/>
    <col min="41" max="41" width="14.75" style="507" customWidth="1"/>
    <col min="42" max="42" width="32.625" style="507" customWidth="1"/>
    <col min="43" max="44" width="9" style="507"/>
    <col min="45" max="45" width="11.625" style="507" bestFit="1" customWidth="1"/>
    <col min="46" max="46" width="19.125" style="507" bestFit="1" customWidth="1"/>
    <col min="47" max="61" width="9" style="507"/>
    <col min="62" max="62" width="21" style="507" bestFit="1" customWidth="1"/>
    <col min="63" max="63" width="13" style="507" bestFit="1" customWidth="1"/>
    <col min="64" max="64" width="48.5" style="507" bestFit="1" customWidth="1"/>
    <col min="65" max="16384" width="9" style="507"/>
  </cols>
  <sheetData>
    <row r="2" spans="1:76">
      <c r="A2" s="85" t="s">
        <v>171</v>
      </c>
      <c r="C2" s="129"/>
      <c r="D2" s="517"/>
      <c r="E2" s="517"/>
      <c r="F2" s="517"/>
      <c r="G2" s="517"/>
      <c r="J2" s="85" t="s">
        <v>2220</v>
      </c>
      <c r="W2" s="85" t="s">
        <v>2221</v>
      </c>
    </row>
    <row r="3" spans="1:76">
      <c r="A3" s="85"/>
      <c r="B3" s="507" t="s">
        <v>2222</v>
      </c>
      <c r="C3" s="129" t="s">
        <v>2223</v>
      </c>
      <c r="D3" s="131"/>
      <c r="E3" s="517"/>
      <c r="F3" s="517"/>
      <c r="G3" s="517"/>
      <c r="W3" s="85"/>
    </row>
    <row r="4" spans="1:76">
      <c r="A4" s="85"/>
      <c r="B4" s="507" t="s">
        <v>2103</v>
      </c>
      <c r="C4" s="129" t="s">
        <v>2224</v>
      </c>
      <c r="D4" s="131" t="b">
        <v>0</v>
      </c>
      <c r="E4" s="517"/>
      <c r="F4" s="517"/>
      <c r="G4" s="517"/>
      <c r="J4" s="507" t="s">
        <v>2225</v>
      </c>
      <c r="K4" s="507" t="s">
        <v>2226</v>
      </c>
      <c r="W4" s="85"/>
      <c r="X4" s="507" t="s">
        <v>2227</v>
      </c>
      <c r="BJ4" s="62" t="s">
        <v>2228</v>
      </c>
    </row>
    <row r="5" spans="1:76" ht="16.5">
      <c r="A5" s="85"/>
      <c r="C5" s="129"/>
      <c r="D5" s="517"/>
      <c r="E5" s="517"/>
      <c r="F5" s="517"/>
      <c r="G5" s="517"/>
      <c r="K5" s="546"/>
      <c r="L5" s="547"/>
      <c r="M5" s="547"/>
      <c r="N5" s="547"/>
      <c r="O5" s="547"/>
      <c r="P5" s="547"/>
      <c r="Q5" s="547"/>
      <c r="R5" s="547"/>
      <c r="S5" s="547"/>
      <c r="T5" s="548"/>
      <c r="W5" s="85"/>
      <c r="X5" s="532"/>
      <c r="Y5" s="728"/>
      <c r="Z5" s="728"/>
      <c r="AA5" s="532"/>
      <c r="AB5" s="532"/>
      <c r="AC5" s="532"/>
      <c r="AD5" s="532"/>
      <c r="AE5" s="532"/>
      <c r="AF5" s="532"/>
      <c r="AG5" s="532"/>
      <c r="AH5" s="532"/>
      <c r="AI5" s="532"/>
      <c r="AJ5" s="532"/>
      <c r="AK5" s="532"/>
      <c r="AL5" s="532"/>
      <c r="AN5" s="62" t="s">
        <v>2229</v>
      </c>
      <c r="AP5" s="129" t="s">
        <v>811</v>
      </c>
      <c r="AS5" s="129"/>
      <c r="AU5" s="129" t="s">
        <v>2230</v>
      </c>
      <c r="AV5" s="201">
        <f>UNMM0151_IF_SAVE_W_USER_ID</f>
        <v>0</v>
      </c>
      <c r="AW5" s="201">
        <f>UNMM0151_IF_SAVE_W_SERIAL</f>
        <v>0</v>
      </c>
      <c r="AX5" s="201">
        <f>ROW()-ROW(UNMM0151_IF_SAVE_LIST_W_USER_ID)</f>
        <v>-2</v>
      </c>
      <c r="AY5" s="201" t="str">
        <f ca="1">UNMM0151_BUNSEKI_HOHO_CD</f>
        <v/>
      </c>
      <c r="AZ5" s="201" t="str">
        <f>IF(UNMM0151_IF_SAVE_SEQ="","",UNMM0151_IF_SAVE_SEQ)</f>
        <v/>
      </c>
      <c r="BA5" s="201" t="str">
        <f>IF(UNMM0151_BUN_SORT_MEI="","",UNMM0151_BUN_SORT_MEI)</f>
        <v/>
      </c>
      <c r="BB5" s="201">
        <f>ROW()-ROW(UNMM0151_IF_SAVE_LIST_W_USER_ID)</f>
        <v>-2</v>
      </c>
      <c r="BC5" s="201" t="str">
        <f>IF(AS5="","",AS5)</f>
        <v/>
      </c>
      <c r="BD5" s="201" t="b">
        <f>UNMM0151_IF_SAVE_DEFAULT_FLG</f>
        <v>0</v>
      </c>
      <c r="BE5" s="201"/>
      <c r="BF5" s="201"/>
      <c r="BG5" s="201"/>
      <c r="BH5" s="201"/>
      <c r="BK5" s="507" t="s">
        <v>2231</v>
      </c>
      <c r="BL5" s="507" t="s">
        <v>2232</v>
      </c>
      <c r="BM5" s="51">
        <v>0</v>
      </c>
      <c r="BO5" s="44" t="s">
        <v>661</v>
      </c>
      <c r="BP5" s="724" t="s">
        <v>662</v>
      </c>
      <c r="BQ5" s="729"/>
      <c r="BR5" s="530" t="s">
        <v>2233</v>
      </c>
      <c r="BS5" s="530" t="s">
        <v>2234</v>
      </c>
      <c r="BT5" s="530" t="s">
        <v>2235</v>
      </c>
      <c r="BU5" s="530" t="s">
        <v>2183</v>
      </c>
      <c r="BV5" s="530" t="s">
        <v>2101</v>
      </c>
      <c r="BW5" s="530" t="s">
        <v>2236</v>
      </c>
      <c r="BX5" s="530" t="s">
        <v>2237</v>
      </c>
    </row>
    <row r="6" spans="1:76" ht="18.75">
      <c r="B6" s="507" t="s">
        <v>39</v>
      </c>
      <c r="C6" s="129" t="s">
        <v>2238</v>
      </c>
      <c r="D6" s="131">
        <v>0</v>
      </c>
      <c r="E6" s="23" t="s">
        <v>57</v>
      </c>
      <c r="F6" s="23" t="s">
        <v>55</v>
      </c>
      <c r="G6" s="23" t="s">
        <v>1311</v>
      </c>
      <c r="K6" s="528" t="str">
        <f ca="1">IF(UNMM0150_IF_MODE=1,IF(UNMM0150_H_BUNSEKI_HOHO_CD&lt;&gt;"",UNMM0150_H_BUNSEKI_HOHO_CD,IF(UNMM0150_B_SELECT_BUNSEKI_HOHO_CD&lt;&gt;0,UNMM0150_B_SELECT_BUNSEKI_HOHO_CD,"")),IF(UNMM0150_B_SELECT_BUNSEKI_HOHO_CD&lt;&gt;0,UNMM0150_B_SELECT_BUNSEKI_HOHO_CD,""))</f>
        <v/>
      </c>
      <c r="L6" s="653" t="str">
        <f ca="1">IF(IFERROR(VLOOKUP(UNMM0151_BUNSEKI_HOHO_CD,UNMM0150_IF_LIST_BUNSEKI_HOHO,2,1),"")=0,"",IFERROR(VLOOKUP(UNMM0151_BUNSEKI_HOHO_CD,UNMM0150_IF_LIST_BUNSEKI_HOHO,2,1),""))</f>
        <v/>
      </c>
      <c r="M6" s="654"/>
      <c r="N6" s="654"/>
      <c r="O6" s="654"/>
      <c r="P6" s="654"/>
      <c r="Q6" s="654"/>
      <c r="R6" s="654"/>
      <c r="S6" s="654"/>
      <c r="T6" s="655"/>
      <c r="AH6" s="533" t="s">
        <v>2239</v>
      </c>
      <c r="AI6" s="533"/>
      <c r="AJ6" s="533"/>
      <c r="AK6" s="533"/>
      <c r="AL6" s="533" t="s">
        <v>2240</v>
      </c>
      <c r="AV6" s="129"/>
      <c r="AW6" s="129"/>
      <c r="AX6" s="129"/>
      <c r="AY6" s="129"/>
      <c r="AZ6" s="129"/>
      <c r="BA6" s="129"/>
      <c r="BB6" s="129"/>
      <c r="BC6" s="129"/>
      <c r="BD6" s="129"/>
      <c r="BE6" s="129"/>
      <c r="BF6" s="129"/>
      <c r="BG6" s="129"/>
      <c r="BH6" s="129"/>
      <c r="BO6" s="51"/>
    </row>
    <row r="7" spans="1:76" ht="18.75">
      <c r="W7" s="507" t="s">
        <v>2225</v>
      </c>
      <c r="X7" s="507" t="s">
        <v>2241</v>
      </c>
      <c r="AH7" s="533"/>
      <c r="AI7" s="534"/>
      <c r="AJ7" s="534"/>
      <c r="AK7" s="533" t="s">
        <v>2184</v>
      </c>
      <c r="AL7" s="533" t="s">
        <v>2242</v>
      </c>
      <c r="AS7" s="535" t="s">
        <v>2243</v>
      </c>
      <c r="AT7" s="535" t="s">
        <v>2244</v>
      </c>
      <c r="AV7" s="536" t="s">
        <v>835</v>
      </c>
      <c r="AW7" s="535" t="s">
        <v>2245</v>
      </c>
      <c r="AX7" s="535" t="s">
        <v>2246</v>
      </c>
      <c r="AY7" s="535" t="s">
        <v>2247</v>
      </c>
      <c r="AZ7" s="535" t="s">
        <v>2248</v>
      </c>
      <c r="BA7" s="535" t="s">
        <v>2244</v>
      </c>
      <c r="BB7" s="535" t="s">
        <v>2249</v>
      </c>
      <c r="BC7" s="535" t="s">
        <v>2243</v>
      </c>
      <c r="BD7" s="535" t="s">
        <v>2250</v>
      </c>
      <c r="BE7" s="535" t="s">
        <v>1634</v>
      </c>
      <c r="BF7" s="535" t="s">
        <v>1635</v>
      </c>
      <c r="BG7" s="535" t="s">
        <v>1636</v>
      </c>
      <c r="BH7" s="535" t="s">
        <v>1637</v>
      </c>
      <c r="BI7" s="507" t="s">
        <v>1638</v>
      </c>
      <c r="BK7" s="507" t="s">
        <v>2251</v>
      </c>
      <c r="BL7" s="507" t="s">
        <v>2252</v>
      </c>
      <c r="BM7" s="51">
        <f>IF(UNMM0151_IF_MULTI_SELECT_KENSU+UNMM0151_GYO_NO&gt;99,99-UNMM0151_GYO_NO,UNMM0151_IF_MULTI_SELECT_KENSU)</f>
        <v>0</v>
      </c>
    </row>
    <row r="8" spans="1:76" ht="16.5" customHeight="1">
      <c r="C8" s="129"/>
      <c r="D8" s="517"/>
      <c r="E8" s="85" t="s">
        <v>49</v>
      </c>
      <c r="J8" s="507" t="s">
        <v>2253</v>
      </c>
      <c r="K8" s="507" t="s">
        <v>2254</v>
      </c>
      <c r="X8" s="537"/>
      <c r="Y8" s="726"/>
      <c r="Z8" s="727"/>
      <c r="AA8" s="538"/>
      <c r="AB8" s="538"/>
      <c r="AC8" s="538"/>
      <c r="AD8" s="538"/>
      <c r="AE8" s="538"/>
      <c r="AF8" s="538"/>
      <c r="AG8" s="538"/>
      <c r="AH8" s="539"/>
      <c r="AI8" s="730"/>
      <c r="AJ8" s="731"/>
      <c r="AK8" s="540" t="b">
        <v>0</v>
      </c>
      <c r="AL8" s="540" t="b">
        <v>0</v>
      </c>
      <c r="AP8" s="129" t="s">
        <v>2255</v>
      </c>
      <c r="AQ8" s="129"/>
      <c r="AR8" s="129"/>
      <c r="AS8" s="201"/>
      <c r="AT8" s="129"/>
      <c r="AU8" s="129" t="s">
        <v>2256</v>
      </c>
      <c r="AV8" s="201"/>
      <c r="AW8" s="274"/>
      <c r="AX8" s="274"/>
      <c r="AY8" s="129"/>
      <c r="AZ8" s="274"/>
      <c r="BA8" s="274"/>
      <c r="BB8" s="274"/>
      <c r="BK8" s="507" t="s">
        <v>2257</v>
      </c>
      <c r="BL8" s="507" t="s">
        <v>2258</v>
      </c>
      <c r="BM8" s="51">
        <f>IF(AND(UNMM0151_GYO_NO&lt;99,UNMM0151_IF_MULTI_SELECT_KENSU&gt;0),1,2)</f>
        <v>2</v>
      </c>
      <c r="BN8" s="507" t="s">
        <v>2259</v>
      </c>
    </row>
    <row r="9" spans="1:76" ht="16.5">
      <c r="B9" s="507" t="s">
        <v>43</v>
      </c>
      <c r="C9" s="129" t="s">
        <v>2260</v>
      </c>
      <c r="D9" s="131" t="str">
        <f>IF(UNMM0151_IF_MODE=1,"-",IF(UNMM0151_IF_MODE=2,"修正キャンセル","修正"))</f>
        <v>修正</v>
      </c>
      <c r="E9" s="21" t="s">
        <v>2261</v>
      </c>
      <c r="F9" s="507" t="s">
        <v>2262</v>
      </c>
      <c r="G9" s="507" t="s">
        <v>1340</v>
      </c>
      <c r="K9" s="546"/>
      <c r="L9" s="547"/>
      <c r="M9" s="547"/>
      <c r="N9" s="547"/>
      <c r="O9" s="547"/>
      <c r="P9" s="547"/>
      <c r="Q9" s="547"/>
      <c r="R9" s="547"/>
      <c r="S9" s="547"/>
      <c r="T9" s="548"/>
      <c r="AO9" s="507" t="s">
        <v>2263</v>
      </c>
      <c r="AP9" s="507" t="s">
        <v>2264</v>
      </c>
      <c r="AQ9" s="51"/>
      <c r="BK9" s="507" t="s">
        <v>2265</v>
      </c>
      <c r="BL9" s="507" t="s">
        <v>2266</v>
      </c>
      <c r="BM9" s="51">
        <f>UNMM0151_GYO_NO+UNMM0151_IF_MULTI_SELECT_TENKAI_KENSU</f>
        <v>1</v>
      </c>
    </row>
    <row r="10" spans="1:76" ht="16.5">
      <c r="B10" s="507" t="s">
        <v>44</v>
      </c>
      <c r="C10" s="129" t="s">
        <v>2267</v>
      </c>
      <c r="D10" s="131" t="str">
        <f>IF(UNMM0151_IF_MODE=1,"新規登録",IF(UNMM0151_IF_MODE=2,"保存","-"))</f>
        <v>-</v>
      </c>
      <c r="E10" s="507" t="s">
        <v>3</v>
      </c>
      <c r="F10" s="507" t="s">
        <v>61</v>
      </c>
      <c r="G10" s="507" t="s">
        <v>2268</v>
      </c>
      <c r="K10" s="528" t="str">
        <f ca="1">IF(UNMM0150_IF_MODE=1,IF(UNMM0150_H_BUNSEKI_HOHO_CD&lt;&gt;"",UNMM0150_H_BUNSEKI_HOHO_CD,IF(UNMM0150_B_SELECT_BUNSEKI_HOHO_CD&lt;&gt;0,UNMM0150_B_SELECT_BUNSEKI_HOHO_CD,"")),IF(UNMM0150_B_SELECT_BUNSEKI_HOHO_CD&lt;&gt;0,UNMM0150_B_SELECT_BUNSEKI_HOHO_CD,""))</f>
        <v/>
      </c>
      <c r="L10" s="653" t="str">
        <f ca="1">IF(IFERROR(VLOOKUP(UNMM0151_BUNSEKI_HOHO_CD,UNMM0150_IF_LIST_BUNSEKI_HOHO,2,1),"")=0,"",IFERROR(VLOOKUP(UNMM0151_BUNSEKI_HOHO_CD,UNMM0150_IF_LIST_BUNSEKI_HOHO,2,1),""))</f>
        <v/>
      </c>
      <c r="M10" s="654"/>
      <c r="N10" s="654"/>
      <c r="O10" s="654"/>
      <c r="P10" s="654"/>
      <c r="Q10" s="654"/>
      <c r="R10" s="654"/>
      <c r="S10" s="654"/>
      <c r="T10" s="655"/>
      <c r="AP10" s="507" t="s">
        <v>2269</v>
      </c>
      <c r="AQ10" s="507" t="str">
        <f>"UNMM0151_IF!"&amp;
ADDRESS(ROW(UNMM0151_IF_SAVE_COPY_START),COLUMN(UNMM0151_IF_SAVE_LIST_W_USER_ID))
&amp;":"&amp;ADDRESS(ROW(UNMM0151_IF_SAVE_COPY_START)+UNMM0151_IF_SAVE_KENSU-1,COLUMN(UNMM0151_IF_SAVE_LIST_W_USER_ID)+COLUMNS(UNMM0151_IF_SAVE_COPY_MOTO)-1)</f>
        <v>UNMM0151_IF!$AV$8:$BH$7</v>
      </c>
    </row>
    <row r="11" spans="1:76">
      <c r="C11" s="129"/>
      <c r="D11" s="517"/>
      <c r="W11" s="507" t="s">
        <v>2253</v>
      </c>
      <c r="X11" s="507" t="s">
        <v>2270</v>
      </c>
      <c r="BK11" s="507" t="s">
        <v>2271</v>
      </c>
      <c r="BL11" s="507" t="s">
        <v>2272</v>
      </c>
      <c r="BM11" s="51" t="str">
        <f>"UNMM0151_IF!"&amp;
ADDRESS(ROW(UNMM0151_IF_MULTI_SELECT_TENKAI_START),COLUMN(UNMM0151_IF_MULTI_SELECT_LIST_BUNSEKI_CD))
&amp;":"&amp;ADDRESS(ROW(UNMM0151_IF_MULTI_SELECT_TENKAI_START)+UNMM0151_IF_MULTI_SELECT_TENKAI_KENSU-1,COLUMN(UNMM0151_IF_MULTI_SELECT_LIST_BUNSEKI_CD)+COLUMNS(UNMM0151_IF_SHINKI_LIST_COPY_MOTO)-6)</f>
        <v>UNMM0151_IF!$BO$6:$BX$5</v>
      </c>
    </row>
    <row r="12" spans="1:76" ht="16.5">
      <c r="C12" s="129"/>
      <c r="D12" s="517"/>
      <c r="E12" s="85" t="s">
        <v>49</v>
      </c>
      <c r="J12" s="507" t="s">
        <v>2273</v>
      </c>
      <c r="K12" s="507" t="s">
        <v>2274</v>
      </c>
      <c r="X12" s="537"/>
      <c r="Y12" s="726"/>
      <c r="Z12" s="727"/>
      <c r="AA12" s="538"/>
      <c r="AB12" s="538"/>
      <c r="AC12" s="538"/>
      <c r="AD12" s="538"/>
      <c r="AE12" s="538"/>
      <c r="AF12" s="538"/>
      <c r="AG12" s="538"/>
      <c r="AO12" s="507" t="s">
        <v>2275</v>
      </c>
      <c r="AP12" s="507" t="s">
        <v>2276</v>
      </c>
      <c r="AQ12" s="51"/>
    </row>
    <row r="13" spans="1:76" ht="16.5">
      <c r="B13" s="507" t="s">
        <v>43</v>
      </c>
      <c r="C13" s="129" t="s">
        <v>2277</v>
      </c>
      <c r="D13" s="131">
        <f>IF(UNMM0151_IF_MODE=1,5,IF(UNMM0151_IF_MODE=2,0,0))</f>
        <v>0</v>
      </c>
      <c r="E13" s="507" t="s">
        <v>62</v>
      </c>
      <c r="F13" s="507" t="s">
        <v>167</v>
      </c>
      <c r="G13" s="507" t="s">
        <v>1341</v>
      </c>
      <c r="K13" s="732"/>
      <c r="L13" s="733"/>
      <c r="M13" s="733"/>
      <c r="N13" s="733"/>
      <c r="O13" s="733"/>
      <c r="P13" s="733"/>
      <c r="Q13" s="733"/>
      <c r="R13" s="733"/>
      <c r="S13" s="733"/>
      <c r="T13" s="734"/>
      <c r="AO13" s="507" t="s">
        <v>2278</v>
      </c>
      <c r="AP13" s="507" t="s">
        <v>2279</v>
      </c>
      <c r="AQ13" s="51"/>
      <c r="BK13" s="507" t="s">
        <v>2280</v>
      </c>
      <c r="BL13" s="507" t="s">
        <v>2281</v>
      </c>
      <c r="BM13" s="51" t="str">
        <f>"UNMM0151_IF!"&amp;
ADDRESS(ROW(UNMM0151_IF_MULTI_SELECT_TENKAI_START),COLUMN(UNMM0151_IF_MULTI_SELECT_LIST_BUNSEKI_CD))
&amp;":"&amp;ADDRESS(ROW(UNMM0151_IF_MULTI_SELECT_TENKAI_START)+UNMM0151_IF_MULTI_SELECT_TENKAI_KENSU-1,COLUMN(UNMM0151_IF_MULTI_SELECT_LIST_BUNSEKI_CD)+COLUMNS(UNMM0151_IF_SHINKI_LIST_COPY_MOTO)-6)</f>
        <v>UNMM0151_IF!$BO$6:$BX$5</v>
      </c>
    </row>
    <row r="14" spans="1:76" ht="16.5">
      <c r="B14" s="507" t="s">
        <v>44</v>
      </c>
      <c r="C14" s="129" t="s">
        <v>2282</v>
      </c>
      <c r="D14" s="131">
        <f>IF(UNMM0151_IF_MODE=1,0,IF(UNMM0151_IF_MODE=2,0,5))</f>
        <v>5</v>
      </c>
      <c r="E14" s="507" t="s">
        <v>167</v>
      </c>
      <c r="F14" s="507" t="s">
        <v>167</v>
      </c>
      <c r="G14" s="507" t="s">
        <v>62</v>
      </c>
      <c r="K14" s="528" t="str">
        <f ca="1">IF(UNMM0150_IF_MODE=1,IF(UNMM0150_H_BUNSEKI_HOHO_CD&lt;&gt;"",UNMM0150_H_BUNSEKI_HOHO_CD,IF(UNMM0150_B_SELECT_BUNSEKI_HOHO_CD&lt;&gt;0,UNMM0150_B_SELECT_BUNSEKI_HOHO_CD,"")),IF(UNMM0150_B_SELECT_BUNSEKI_HOHO_CD&lt;&gt;0,UNMM0150_B_SELECT_BUNSEKI_HOHO_CD,""))</f>
        <v/>
      </c>
      <c r="L14" s="653" t="str">
        <f ca="1">IF(IFERROR(VLOOKUP(UNMM0151_BUNSEKI_HOHO_CD,UNMM0150_IF_LIST_BUNSEKI_HOHO,2,1),"")=0,"",IFERROR(VLOOKUP(UNMM0151_BUNSEKI_HOHO_CD,UNMM0150_IF_LIST_BUNSEKI_HOHO,2,1),""))</f>
        <v/>
      </c>
      <c r="M14" s="654"/>
      <c r="N14" s="654"/>
      <c r="O14" s="654"/>
      <c r="P14" s="654"/>
      <c r="Q14" s="654"/>
      <c r="R14" s="654"/>
      <c r="S14" s="654"/>
      <c r="T14" s="655"/>
      <c r="AO14" s="507" t="s">
        <v>2283</v>
      </c>
      <c r="AP14" s="507" t="s">
        <v>2284</v>
      </c>
      <c r="AQ14" s="51"/>
    </row>
    <row r="15" spans="1:76">
      <c r="C15" s="129"/>
      <c r="D15" s="517"/>
      <c r="W15" s="507" t="s">
        <v>2273</v>
      </c>
      <c r="X15" s="507" t="s">
        <v>2285</v>
      </c>
      <c r="AO15" s="507" t="s">
        <v>2286</v>
      </c>
      <c r="AP15" s="507" t="s">
        <v>2287</v>
      </c>
      <c r="AQ15" s="51"/>
      <c r="BK15" s="507" t="s">
        <v>2288</v>
      </c>
      <c r="BL15" s="507" t="s">
        <v>2289</v>
      </c>
      <c r="BM15" s="51">
        <f>IF(AND(UNMM0151_GYO_NO&lt;99,UNMM0151_IF_MULTI_SELECT_KENSU&gt;0),2,1)</f>
        <v>1</v>
      </c>
      <c r="BN15" s="507" t="s">
        <v>2259</v>
      </c>
    </row>
    <row r="16" spans="1:76" ht="16.5">
      <c r="C16" s="129"/>
      <c r="D16" s="517"/>
      <c r="E16" s="85" t="s">
        <v>49</v>
      </c>
      <c r="X16" s="541"/>
      <c r="Y16" s="726"/>
      <c r="Z16" s="727"/>
      <c r="AA16" s="538"/>
      <c r="AB16" s="538"/>
      <c r="AC16" s="538"/>
      <c r="AD16" s="538"/>
      <c r="AE16" s="538"/>
      <c r="AF16" s="538"/>
      <c r="AG16" s="538"/>
      <c r="AO16" s="507" t="s">
        <v>2361</v>
      </c>
      <c r="AP16" s="507" t="s">
        <v>2362</v>
      </c>
      <c r="AQ16" s="51">
        <f>IF(OR(UNMM0151_IF_SAVE_KENSU="",UNMM0151_IF_SAVE_KENSU=0),1,0)</f>
        <v>1</v>
      </c>
    </row>
    <row r="17" spans="1:7">
      <c r="B17" s="507" t="s">
        <v>50</v>
      </c>
      <c r="C17" s="129" t="s">
        <v>2290</v>
      </c>
      <c r="D17" s="131">
        <f>IF(UNMM0151_IF_MODE=1,2,IF(UNMM0151_IF_MODE=2,1,1))</f>
        <v>1</v>
      </c>
      <c r="E17" s="507" t="s">
        <v>64</v>
      </c>
      <c r="F17" s="507" t="s">
        <v>63</v>
      </c>
      <c r="G17" s="507" t="s">
        <v>63</v>
      </c>
    </row>
    <row r="18" spans="1:7">
      <c r="B18" s="507" t="s">
        <v>43</v>
      </c>
      <c r="C18" s="129" t="s">
        <v>2291</v>
      </c>
      <c r="D18" s="131">
        <f>IF(UNMM0151_IF_MODE=1,2,IF(UNMM0151_IF_MODE=2,1,1))</f>
        <v>1</v>
      </c>
      <c r="E18" s="507" t="s">
        <v>64</v>
      </c>
      <c r="F18" s="507" t="s">
        <v>63</v>
      </c>
      <c r="G18" s="507" t="s">
        <v>63</v>
      </c>
    </row>
    <row r="19" spans="1:7">
      <c r="B19" s="507" t="s">
        <v>51</v>
      </c>
      <c r="C19" s="129" t="s">
        <v>2292</v>
      </c>
      <c r="D19" s="131">
        <f>IF(UNMM0151_IF_MODE=1,2,IF(UNMM0151_IF_MODE=2,1,2))</f>
        <v>2</v>
      </c>
      <c r="E19" s="507" t="s">
        <v>323</v>
      </c>
      <c r="F19" s="507" t="s">
        <v>324</v>
      </c>
      <c r="G19" s="507" t="s">
        <v>323</v>
      </c>
    </row>
    <row r="20" spans="1:7">
      <c r="B20" s="507" t="s">
        <v>52</v>
      </c>
      <c r="C20" s="129" t="s">
        <v>2293</v>
      </c>
      <c r="D20" s="131">
        <f>IF(UNMM0151_IF_MODE=1,1,IF(UNMM0151_IF_MODE=2,1,2))</f>
        <v>2</v>
      </c>
      <c r="E20" s="507" t="s">
        <v>738</v>
      </c>
      <c r="F20" s="507" t="s">
        <v>63</v>
      </c>
      <c r="G20" s="507" t="s">
        <v>64</v>
      </c>
    </row>
    <row r="21" spans="1:7">
      <c r="B21" s="507" t="s">
        <v>44</v>
      </c>
      <c r="C21" s="129" t="s">
        <v>2294</v>
      </c>
      <c r="D21" s="131">
        <f>IF(UNMM0151_IF_MODE=1,1,IF(UNMM0151_IF_MODE=2,1,2))</f>
        <v>2</v>
      </c>
      <c r="E21" s="507" t="s">
        <v>63</v>
      </c>
      <c r="F21" s="507" t="s">
        <v>63</v>
      </c>
      <c r="G21" s="507" t="s">
        <v>64</v>
      </c>
    </row>
    <row r="22" spans="1:7">
      <c r="B22" s="507" t="s">
        <v>2295</v>
      </c>
      <c r="C22" s="129" t="s">
        <v>2296</v>
      </c>
      <c r="D22" s="131">
        <f>IF(UNMM0151_IF_MODE=1,1,IF(UNMM0151_IF_MODE=2,1,2))</f>
        <v>2</v>
      </c>
      <c r="E22" s="507" t="s">
        <v>738</v>
      </c>
      <c r="F22" s="507" t="s">
        <v>63</v>
      </c>
      <c r="G22" s="507" t="s">
        <v>64</v>
      </c>
    </row>
    <row r="23" spans="1:7">
      <c r="B23" s="507" t="s">
        <v>2297</v>
      </c>
      <c r="C23" s="129" t="s">
        <v>2298</v>
      </c>
      <c r="D23" s="131">
        <f>IF(UNMM0151_IF_MODE=1,1,IF(UNMM0151_IF_MODE=2,1,2))</f>
        <v>2</v>
      </c>
      <c r="E23" s="507" t="s">
        <v>63</v>
      </c>
      <c r="F23" s="507" t="s">
        <v>63</v>
      </c>
      <c r="G23" s="507" t="s">
        <v>64</v>
      </c>
    </row>
    <row r="26" spans="1:7">
      <c r="B26" s="507" t="s">
        <v>172</v>
      </c>
      <c r="C26" s="129" t="s">
        <v>2299</v>
      </c>
      <c r="D26" s="131"/>
      <c r="E26" s="507" t="s">
        <v>174</v>
      </c>
      <c r="F26" s="507" t="s">
        <v>175</v>
      </c>
    </row>
    <row r="28" spans="1:7">
      <c r="B28" s="507" t="s">
        <v>2300</v>
      </c>
      <c r="C28" s="129" t="s">
        <v>2301</v>
      </c>
      <c r="D28" s="201"/>
      <c r="E28" s="129" t="s">
        <v>1736</v>
      </c>
      <c r="F28" s="129" t="s">
        <v>2302</v>
      </c>
    </row>
    <row r="29" spans="1:7">
      <c r="C29" s="129"/>
      <c r="E29" s="129"/>
      <c r="F29" s="129"/>
    </row>
    <row r="30" spans="1:7">
      <c r="A30" s="415" t="s">
        <v>834</v>
      </c>
    </row>
    <row r="31" spans="1:7" ht="16.5">
      <c r="B31" s="84" t="s">
        <v>1085</v>
      </c>
      <c r="C31" s="129" t="s">
        <v>2303</v>
      </c>
      <c r="D31" s="203"/>
      <c r="E31" s="129"/>
    </row>
    <row r="32" spans="1:7" ht="16.5">
      <c r="B32" s="84" t="s">
        <v>644</v>
      </c>
      <c r="C32" s="129" t="s">
        <v>2304</v>
      </c>
      <c r="D32" s="203"/>
      <c r="E32" s="129"/>
    </row>
    <row r="33" spans="1:5" ht="16.5">
      <c r="B33" s="84"/>
      <c r="C33" s="129" t="s">
        <v>2305</v>
      </c>
      <c r="D33" s="203">
        <f ca="1">NOW()</f>
        <v>42991.659979282405</v>
      </c>
      <c r="E33" s="129"/>
    </row>
    <row r="34" spans="1:5" ht="16.5">
      <c r="B34" s="84" t="s">
        <v>645</v>
      </c>
      <c r="C34" s="129" t="s">
        <v>2306</v>
      </c>
      <c r="D34" s="201">
        <v>1</v>
      </c>
      <c r="E34" s="129"/>
    </row>
    <row r="35" spans="1:5" ht="16.5">
      <c r="B35" s="84" t="s">
        <v>818</v>
      </c>
      <c r="C35" s="129" t="s">
        <v>2307</v>
      </c>
      <c r="D35" s="201"/>
      <c r="E35" s="129" t="s">
        <v>646</v>
      </c>
    </row>
    <row r="36" spans="1:5">
      <c r="C36" s="129"/>
      <c r="D36" s="129"/>
    </row>
    <row r="37" spans="1:5">
      <c r="A37" s="85" t="s">
        <v>104</v>
      </c>
      <c r="B37" s="129"/>
      <c r="C37" s="517"/>
    </row>
    <row r="38" spans="1:5">
      <c r="B38" s="507" t="s">
        <v>105</v>
      </c>
      <c r="C38" s="129" t="s">
        <v>2308</v>
      </c>
      <c r="D38" s="131" t="s">
        <v>2309</v>
      </c>
    </row>
    <row r="39" spans="1:5">
      <c r="B39" s="507" t="s">
        <v>107</v>
      </c>
      <c r="C39" s="129" t="s">
        <v>2310</v>
      </c>
      <c r="D39" s="131">
        <v>9</v>
      </c>
    </row>
    <row r="40" spans="1:5">
      <c r="B40" s="507" t="s">
        <v>108</v>
      </c>
      <c r="C40" s="129" t="s">
        <v>2311</v>
      </c>
      <c r="D40" s="131">
        <v>9</v>
      </c>
    </row>
    <row r="41" spans="1:5">
      <c r="C41" s="129"/>
    </row>
    <row r="42" spans="1:5">
      <c r="B42" s="507" t="s">
        <v>106</v>
      </c>
      <c r="C42" s="129" t="s">
        <v>2312</v>
      </c>
      <c r="D42" s="131" t="s">
        <v>2313</v>
      </c>
    </row>
    <row r="43" spans="1:5">
      <c r="C43" s="129"/>
    </row>
    <row r="44" spans="1:5">
      <c r="A44" s="85" t="s">
        <v>465</v>
      </c>
      <c r="E44" s="129"/>
    </row>
    <row r="45" spans="1:5">
      <c r="B45" s="507" t="s">
        <v>466</v>
      </c>
      <c r="C45" s="129" t="s">
        <v>2314</v>
      </c>
      <c r="D45" s="51"/>
    </row>
    <row r="46" spans="1:5">
      <c r="B46" s="507" t="s">
        <v>467</v>
      </c>
      <c r="C46" s="129" t="s">
        <v>2315</v>
      </c>
      <c r="D46" s="51"/>
    </row>
    <row r="47" spans="1:5">
      <c r="B47" s="507" t="s">
        <v>468</v>
      </c>
      <c r="C47" s="129" t="s">
        <v>2316</v>
      </c>
      <c r="D47" s="51">
        <f>IF(UNMM0151_IF_SAVE_RESULT_CD=0,2,1)</f>
        <v>2</v>
      </c>
      <c r="E47" s="507" t="s">
        <v>470</v>
      </c>
    </row>
    <row r="48" spans="1:5">
      <c r="B48" s="507" t="s">
        <v>469</v>
      </c>
      <c r="C48" s="129" t="s">
        <v>2317</v>
      </c>
      <c r="D48" s="51" t="s">
        <v>2318</v>
      </c>
    </row>
    <row r="49" spans="2:5">
      <c r="B49" s="507" t="s">
        <v>648</v>
      </c>
      <c r="C49" s="129" t="s">
        <v>2319</v>
      </c>
      <c r="D49" s="51">
        <f ca="1">IF(AND(UNMM0151_BUN_SORT_MEI&lt;&gt;"",UNMM0151_BUNSEKI_HOHO_CD&lt;&gt;""),1,0)</f>
        <v>0</v>
      </c>
      <c r="E49" s="507" t="s">
        <v>649</v>
      </c>
    </row>
    <row r="50" spans="2:5">
      <c r="B50" s="507" t="s">
        <v>1357</v>
      </c>
      <c r="C50" s="129" t="s">
        <v>2320</v>
      </c>
      <c r="D50" s="51"/>
      <c r="E50" s="507" t="s">
        <v>2321</v>
      </c>
    </row>
  </sheetData>
  <mergeCells count="12">
    <mergeCell ref="Y16:Z16"/>
    <mergeCell ref="K5:T5"/>
    <mergeCell ref="Y5:Z5"/>
    <mergeCell ref="BP5:BQ5"/>
    <mergeCell ref="L6:T6"/>
    <mergeCell ref="Y8:Z8"/>
    <mergeCell ref="AI8:AJ8"/>
    <mergeCell ref="K9:T9"/>
    <mergeCell ref="L10:T10"/>
    <mergeCell ref="Y12:Z12"/>
    <mergeCell ref="K13:T13"/>
    <mergeCell ref="L14:T14"/>
  </mergeCells>
  <phoneticPr fontId="2"/>
  <dataValidations count="1">
    <dataValidation type="custom" allowBlank="1" showInputMessage="1" showErrorMessage="1" sqref="K5:T5 K9:T9 K13:T13">
      <formula1>LENB(K5)&lt;=50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9681" r:id="rId3" name="Check Box 1">
              <controlPr defaultSize="0" autoFill="0" autoLine="0" autoPict="0" macro="[0]!M_UNMM0151_Delete_Click">
                <anchor moveWithCells="1" sizeWithCells="1">
                  <from>
                    <xdr:col>33</xdr:col>
                    <xdr:colOff>85725</xdr:colOff>
                    <xdr:row>7</xdr:row>
                    <xdr:rowOff>19050</xdr:rowOff>
                  </from>
                  <to>
                    <xdr:col>33</xdr:col>
                    <xdr:colOff>266700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682" r:id="rId4" name="Check Box 2">
              <controlPr defaultSize="0" autoFill="0" autoLine="0" autoPict="0" macro="[0]!M_UNMM0151_UpDown_Click">
                <anchor moveWithCells="1" sizeWithCells="1">
                  <from>
                    <xdr:col>34</xdr:col>
                    <xdr:colOff>142875</xdr:colOff>
                    <xdr:row>7</xdr:row>
                    <xdr:rowOff>9525</xdr:rowOff>
                  </from>
                  <to>
                    <xdr:col>35</xdr:col>
                    <xdr:colOff>123825</xdr:colOff>
                    <xdr:row>7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1:D45"/>
  <sheetViews>
    <sheetView workbookViewId="0">
      <selection activeCell="I3" sqref="I3:L3"/>
    </sheetView>
  </sheetViews>
  <sheetFormatPr defaultRowHeight="13.5"/>
  <cols>
    <col min="1" max="1" width="9" style="507"/>
    <col min="2" max="2" width="22.5" style="507" customWidth="1"/>
    <col min="3" max="3" width="33.875" style="507" bestFit="1" customWidth="1"/>
    <col min="4" max="4" width="50.375" style="507" customWidth="1"/>
    <col min="5" max="16384" width="9" style="507"/>
  </cols>
  <sheetData>
    <row r="1" spans="2:4">
      <c r="C1" s="90" t="s">
        <v>2182</v>
      </c>
      <c r="D1" s="90" t="str">
        <f>IF(UNMM0151_BUN_SORT_MEI="","",UNMM0151_BUN_SORT_MEI)</f>
        <v/>
      </c>
    </row>
    <row r="2" spans="2:4">
      <c r="C2" s="90" t="s">
        <v>2322</v>
      </c>
      <c r="D2" s="90" t="str">
        <f ca="1">UNMM0151_BUNSEKI_HOHO_CD</f>
        <v/>
      </c>
    </row>
    <row r="3" spans="2:4">
      <c r="C3" s="90" t="s">
        <v>895</v>
      </c>
      <c r="D3" s="90">
        <f>UNMM0151_IF_SAVE_W_USER_ID</f>
        <v>0</v>
      </c>
    </row>
    <row r="4" spans="2:4">
      <c r="C4" s="90" t="s">
        <v>816</v>
      </c>
      <c r="D4" s="90">
        <f>UNMM0151_IF_SAVE_W_SERIAL</f>
        <v>0</v>
      </c>
    </row>
    <row r="5" spans="2:4">
      <c r="C5" s="90" t="s">
        <v>1273</v>
      </c>
      <c r="D5" s="90">
        <f>UNMM0151_IF_SAVE_SEQ</f>
        <v>0</v>
      </c>
    </row>
    <row r="7" spans="2:4" ht="48.75" customHeight="1">
      <c r="B7" s="25" t="s">
        <v>2323</v>
      </c>
      <c r="C7" s="26" t="s">
        <v>2324</v>
      </c>
      <c r="D7" s="207" t="str">
        <f ca="1">D8&amp;D9&amp;D10&amp;D14&amp;D15</f>
        <v>SELECT V_BUN_SORT_DATA.BUNSEKI_CD
           ,V_BUN_SORT_DATA.BUNSEKI_MEI
           ,NULL
           ,V_BUN_SORT_DATA.W_ROW
           ,V_BUN_SORT_DATA.SEQ
           ,V_BUN_SORT_DATA.BUN_SORT_MEI
           ,V_BUN_SORT_DATA.SORT_NO
           ,V_BUN_SORT_DATA.BUNSEKI_HOHO_CD
           ,V_BUN_SORT_DATA.W_USER_ID 
           ,V_BUN_SORT_DATA.W_SERIAL
  FROM V_BUN_SORT_DATA
 WHERE 1 = 1
  AND V_BUN_SORT_DATA.BUNSEKI_HOHO_CD =''
  AND V_BUN_SORT_DATA.SEQ ='0'
 ORDER BY V_BUN_SORT_DATA.SORT_NO ASC</v>
      </c>
    </row>
    <row r="8" spans="2:4" ht="38.25" customHeight="1">
      <c r="C8" s="208" t="s">
        <v>78</v>
      </c>
      <c r="D8" s="29" t="s">
        <v>2325</v>
      </c>
    </row>
    <row r="9" spans="2:4" ht="33.75" customHeight="1">
      <c r="C9" s="208" t="s">
        <v>154</v>
      </c>
      <c r="D9" s="29" t="s">
        <v>2326</v>
      </c>
    </row>
    <row r="10" spans="2:4">
      <c r="C10" s="507" t="s">
        <v>2327</v>
      </c>
      <c r="D10" s="507" t="str">
        <f ca="1">"  AND V_BUN_SORT_DATA.BUNSEKI_HOHO_CD ='"&amp;D2&amp;"'
"</f>
        <v xml:space="preserve">  AND V_BUN_SORT_DATA.BUNSEKI_HOHO_CD =''
</v>
      </c>
    </row>
    <row r="11" spans="2:4">
      <c r="C11" s="507" t="s">
        <v>2328</v>
      </c>
      <c r="D11" s="507" t="str">
        <f>"  AND V_BUN_SORT_DATA.BUN_SORT_MEI ='"&amp;D1&amp;"'
"</f>
        <v xml:space="preserve">  AND V_BUN_SORT_DATA.BUN_SORT_MEI =''
</v>
      </c>
    </row>
    <row r="12" spans="2:4">
      <c r="C12" s="26" t="s">
        <v>2329</v>
      </c>
      <c r="D12" s="507" t="str">
        <f>"  AND V_BUN_SORT_DATA.W_USER_ID ='"&amp;D3&amp;"'
"</f>
        <v xml:space="preserve">  AND V_BUN_SORT_DATA.W_USER_ID ='0'
</v>
      </c>
    </row>
    <row r="13" spans="2:4">
      <c r="C13" s="26" t="s">
        <v>2330</v>
      </c>
      <c r="D13" s="507" t="str">
        <f>"  AND V_BUN_SORT_DATA.W_SERIAL ='"&amp;D4&amp;"'
"</f>
        <v xml:space="preserve">  AND V_BUN_SORT_DATA.W_SERIAL ='0'
</v>
      </c>
    </row>
    <row r="14" spans="2:4">
      <c r="C14" s="26" t="s">
        <v>2331</v>
      </c>
      <c r="D14" s="507" t="str">
        <f>"  AND V_BUN_SORT_DATA.SEQ ='"&amp;D5&amp;"'
"</f>
        <v xml:space="preserve">  AND V_BUN_SORT_DATA.SEQ ='0'
</v>
      </c>
    </row>
    <row r="15" spans="2:4">
      <c r="C15" s="26" t="s">
        <v>138</v>
      </c>
      <c r="D15" s="507" t="s">
        <v>2332</v>
      </c>
    </row>
    <row r="16" spans="2:4">
      <c r="C16" s="26"/>
    </row>
    <row r="17" spans="2:4" ht="53.25" customHeight="1">
      <c r="B17" s="25" t="s">
        <v>2333</v>
      </c>
      <c r="C17" s="26" t="s">
        <v>2334</v>
      </c>
      <c r="D17" s="207" t="str">
        <f ca="1">D18&amp;D19&amp;D20&amp;D21</f>
        <v xml:space="preserve">SELECT M_BUN_SORT_H.BUN_SORT_MEI
           ,M_BUN_SORT_H.DEFAULT_FLG
  FROM M_BUN_SORT_H
 WHERE 1 = 1
  AND M_BUN_SORT_H.BUNSEKI_HOHO_CD =''
  AND M_BUN_SORT_H.SEQ ='0'
</v>
      </c>
    </row>
    <row r="18" spans="2:4" ht="25.5" customHeight="1">
      <c r="C18" s="26"/>
      <c r="D18" s="256" t="s">
        <v>2335</v>
      </c>
    </row>
    <row r="19" spans="2:4" ht="27">
      <c r="C19" s="26"/>
      <c r="D19" s="29" t="s">
        <v>2326</v>
      </c>
    </row>
    <row r="20" spans="2:4">
      <c r="C20" s="507" t="s">
        <v>2327</v>
      </c>
      <c r="D20" s="507" t="str">
        <f ca="1">"  AND M_BUN_SORT_H.BUNSEKI_HOHO_CD ='"&amp;D2&amp;"'
"</f>
        <v xml:space="preserve">  AND M_BUN_SORT_H.BUNSEKI_HOHO_CD =''
</v>
      </c>
    </row>
    <row r="21" spans="2:4">
      <c r="C21" s="26" t="s">
        <v>2331</v>
      </c>
      <c r="D21" s="507" t="str">
        <f>"  AND M_BUN_SORT_H.SEQ ='"&amp;D5&amp;"'
"</f>
        <v xml:space="preserve">  AND M_BUN_SORT_H.SEQ ='0'
</v>
      </c>
    </row>
    <row r="23" spans="2:4" ht="58.5" customHeight="1">
      <c r="B23" s="25" t="s">
        <v>2336</v>
      </c>
      <c r="C23" s="507" t="s">
        <v>2337</v>
      </c>
      <c r="D23" s="207" t="str">
        <f ca="1">D24&amp;D25&amp;D26&amp;D30</f>
        <v xml:space="preserve">SELECT *
  FROM W_BUN_SORT
 WHERE 1 = 1
   AND W_BUN_SORT.BUNSEKI_HOHO_CD = ''
  AND W_BUN_SORT.SEQ ='0'
</v>
      </c>
    </row>
    <row r="24" spans="2:4" ht="40.5">
      <c r="C24" s="507" t="s">
        <v>2338</v>
      </c>
      <c r="D24" s="256" t="s">
        <v>2339</v>
      </c>
    </row>
    <row r="25" spans="2:4" ht="27">
      <c r="C25" s="507" t="s">
        <v>154</v>
      </c>
      <c r="D25" s="256" t="s">
        <v>2326</v>
      </c>
    </row>
    <row r="26" spans="2:4" ht="27">
      <c r="C26" s="507" t="s">
        <v>2327</v>
      </c>
      <c r="D26" s="256" t="str">
        <f ca="1">"   AND W_BUN_SORT.BUNSEKI_HOHO_CD = '"&amp;D2&amp;"'
"</f>
        <v xml:space="preserve">   AND W_BUN_SORT.BUNSEKI_HOHO_CD = ''
</v>
      </c>
    </row>
    <row r="27" spans="2:4" ht="27">
      <c r="C27" s="507" t="s">
        <v>2328</v>
      </c>
      <c r="D27" s="256" t="str">
        <f>"   AND W_BUN_SORT.BUN_SORT_MEI = '"&amp;D1&amp;"'
"</f>
        <v xml:space="preserve">   AND W_BUN_SORT.BUN_SORT_MEI = ''
</v>
      </c>
    </row>
    <row r="28" spans="2:4">
      <c r="C28" s="507" t="s">
        <v>2329</v>
      </c>
      <c r="D28" s="507" t="str">
        <f>"  AND W_BUN_SORT.W_USER_ID ='"&amp;D3&amp;"'
"</f>
        <v xml:space="preserve">  AND W_BUN_SORT.W_USER_ID ='0'
</v>
      </c>
    </row>
    <row r="29" spans="2:4">
      <c r="C29" s="507" t="s">
        <v>2330</v>
      </c>
      <c r="D29" s="507" t="str">
        <f>"  AND W_BUN_SORT.W_SERIAL ='"&amp;D4&amp;"'
"</f>
        <v xml:space="preserve">  AND W_BUN_SORT.W_SERIAL ='0'
</v>
      </c>
    </row>
    <row r="30" spans="2:4">
      <c r="C30" s="507" t="s">
        <v>2331</v>
      </c>
      <c r="D30" s="507" t="str">
        <f>"  AND W_BUN_SORT.SEQ ='"&amp;D5&amp;"'
"</f>
        <v xml:space="preserve">  AND W_BUN_SORT.SEQ ='0'
</v>
      </c>
    </row>
    <row r="32" spans="2:4" ht="108" customHeight="1">
      <c r="B32" s="85" t="s">
        <v>2340</v>
      </c>
      <c r="C32" s="129" t="s">
        <v>2341</v>
      </c>
      <c r="D32" s="63" t="s">
        <v>2342</v>
      </c>
    </row>
    <row r="33" spans="2:4" ht="18.75" customHeight="1"/>
    <row r="34" spans="2:4" ht="47.25" customHeight="1">
      <c r="B34" s="85" t="s">
        <v>2343</v>
      </c>
      <c r="C34" s="129" t="s">
        <v>2344</v>
      </c>
      <c r="D34" s="63" t="str">
        <f>D35&amp;D36&amp;D37</f>
        <v xml:space="preserve">SELECT M_BUNSEKI_GUN_B.BUNSEKI_CD    AS BUNSEKI_CD       --分析項目CD
      ,M_SHOHIN.SHOHIN_MEI           AS BUNSEKI_MEI      --分析項目名
      ,NULL                          AS 空白１
      ,NULL                          AS 空白２
      ,NULL                          AS 空白３
      ,NULL                          AS 空白４
      ,NULL                          AS 空白５
      ,NULL                          AS 空白６
　　　,NULL                          AS 空白７
  FROM M_BUNSEKI_GUN_H
  LEFT JOIN
       M_BUNSEKI_GUN_B
    ON M_BUNSEKI_GUN_B.BUNSEKI_GUN_CD = M_BUNSEKI_GUN_H.BUNSEKI_GUN_CD
  LEFT JOIN
       M_SHOHIN
    ON M_SHOHIN.SHOHIN_CD = M_BUNSEKI_GUN_B.BUNSEKI_CD
 WHERE M_BUNSEKI_GUN_H.BUNSEKI_GUN_CD = ''
 ORDER BY
       M_BUNSEKI_GUN_B.SEQ
</v>
      </c>
    </row>
    <row r="35" spans="2:4" ht="18" customHeight="1">
      <c r="C35" s="499" t="s">
        <v>2345</v>
      </c>
      <c r="D35" s="256" t="s">
        <v>2346</v>
      </c>
    </row>
    <row r="36" spans="2:4" ht="18" customHeight="1">
      <c r="C36" s="542" t="s">
        <v>2347</v>
      </c>
      <c r="D36" s="507" t="str">
        <f>" WHERE M_BUNSEKI_GUN_H.BUNSEKI_GUN_CD = '"&amp;UNMM0151_BUNSEKI_KOMOKU_GUN_CD&amp;"'
"</f>
        <v xml:space="preserve"> WHERE M_BUNSEKI_GUN_H.BUNSEKI_GUN_CD = ''
</v>
      </c>
    </row>
    <row r="37" spans="2:4" ht="18" customHeight="1">
      <c r="C37" s="542" t="s">
        <v>2348</v>
      </c>
      <c r="D37" s="256" t="s">
        <v>2349</v>
      </c>
    </row>
    <row r="39" spans="2:4" ht="59.25" customHeight="1">
      <c r="B39" s="85" t="s">
        <v>2350</v>
      </c>
      <c r="C39" s="129" t="s">
        <v>2351</v>
      </c>
      <c r="D39" s="63" t="s">
        <v>2352</v>
      </c>
    </row>
    <row r="41" spans="2:4" ht="30.75" customHeight="1">
      <c r="B41" s="507" t="s">
        <v>1357</v>
      </c>
      <c r="C41" s="129" t="s">
        <v>2353</v>
      </c>
      <c r="D41" s="63" t="str">
        <f ca="1">D42&amp;D43&amp;D44&amp;D45</f>
        <v>SELECT CASE COUNT(*)
      WHEN 0 THEN 0
    ELSE 1 END AS CHECK_FLG
 FROM T_BUN_JUCHU_H
 WHERE 1 = 1
 AND T_BUN_JUCHU_H.BUN_SORT_SEQ = '0'
 AND T_BUN_JUCHU_H.BUNSEKI_HOHO_CD = ''</v>
      </c>
    </row>
    <row r="42" spans="2:4" ht="31.5" customHeight="1">
      <c r="D42" s="256" t="s">
        <v>2354</v>
      </c>
    </row>
    <row r="43" spans="2:4" ht="27">
      <c r="D43" s="256" t="s">
        <v>2355</v>
      </c>
    </row>
    <row r="44" spans="2:4">
      <c r="D44" s="507" t="str">
        <f>" AND T_BUN_JUCHU_H.BUN_SORT_SEQ = '"&amp;D5&amp;"'
"</f>
        <v xml:space="preserve"> AND T_BUN_JUCHU_H.BUN_SORT_SEQ = '0'
</v>
      </c>
    </row>
    <row r="45" spans="2:4">
      <c r="D45" s="507" t="str">
        <f ca="1">" AND T_BUN_JUCHU_H.BUNSEKI_HOHO_CD = '"&amp;D2&amp;"'"</f>
        <v xml:space="preserve"> AND T_BUN_JUCHU_H.BUNSEKI_HOHO_CD = ''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F0"/>
  </sheetPr>
  <dimension ref="A2:D24"/>
  <sheetViews>
    <sheetView topLeftCell="B1" zoomScale="70" zoomScaleNormal="70" workbookViewId="0">
      <selection activeCell="G4" sqref="G4"/>
    </sheetView>
  </sheetViews>
  <sheetFormatPr defaultRowHeight="13.5"/>
  <cols>
    <col min="1" max="1" width="9" style="28"/>
    <col min="2" max="2" width="33.125" style="28" customWidth="1"/>
    <col min="3" max="3" width="30.5" style="26" bestFit="1" customWidth="1"/>
    <col min="4" max="4" width="64.625" style="28" customWidth="1"/>
    <col min="5" max="16384" width="9" style="28"/>
  </cols>
  <sheetData>
    <row r="2" spans="1:4">
      <c r="A2" s="25" t="s">
        <v>102</v>
      </c>
    </row>
    <row r="3" spans="1:4" ht="20.25" customHeight="1">
      <c r="B3" s="25" t="s">
        <v>149</v>
      </c>
      <c r="C3" s="26" t="s">
        <v>150</v>
      </c>
      <c r="D3" s="27" t="s">
        <v>151</v>
      </c>
    </row>
    <row r="4" spans="1:4" ht="20.25" customHeight="1">
      <c r="B4" s="25" t="s">
        <v>157</v>
      </c>
      <c r="C4" s="26" t="s">
        <v>101</v>
      </c>
      <c r="D4" s="27" t="s">
        <v>1845</v>
      </c>
    </row>
    <row r="5" spans="1:4" ht="20.25" customHeight="1">
      <c r="B5" s="25" t="s">
        <v>158</v>
      </c>
      <c r="C5" s="26" t="s">
        <v>159</v>
      </c>
      <c r="D5" s="27" t="s">
        <v>1989</v>
      </c>
    </row>
    <row r="6" spans="1:4" ht="20.25" customHeight="1"/>
    <row r="7" spans="1:4" ht="20.25" customHeight="1">
      <c r="B7" s="28" t="s">
        <v>290</v>
      </c>
      <c r="C7" s="26" t="s">
        <v>296</v>
      </c>
      <c r="D7" s="27" t="s">
        <v>2044</v>
      </c>
    </row>
    <row r="8" spans="1:4" ht="20.25" customHeight="1">
      <c r="B8" s="28" t="s">
        <v>294</v>
      </c>
      <c r="C8" s="26" t="s">
        <v>297</v>
      </c>
      <c r="D8" s="27" t="s">
        <v>2045</v>
      </c>
    </row>
    <row r="9" spans="1:4" ht="20.25" customHeight="1">
      <c r="B9" s="28" t="s">
        <v>292</v>
      </c>
      <c r="C9" s="26" t="s">
        <v>293</v>
      </c>
      <c r="D9" s="27" t="s">
        <v>2046</v>
      </c>
    </row>
    <row r="10" spans="1:4" ht="20.25" customHeight="1">
      <c r="B10" s="28" t="s">
        <v>295</v>
      </c>
      <c r="C10" s="26" t="s">
        <v>298</v>
      </c>
      <c r="D10" s="27" t="s">
        <v>2047</v>
      </c>
    </row>
    <row r="11" spans="1:4" ht="20.25" customHeight="1">
      <c r="B11" s="28" t="s">
        <v>352</v>
      </c>
      <c r="C11" s="26" t="s">
        <v>361</v>
      </c>
      <c r="D11" s="79" t="s">
        <v>2048</v>
      </c>
    </row>
    <row r="12" spans="1:4" ht="20.25" customHeight="1">
      <c r="B12" s="28" t="s">
        <v>359</v>
      </c>
      <c r="C12" s="26" t="s">
        <v>362</v>
      </c>
      <c r="D12" s="27" t="s">
        <v>2049</v>
      </c>
    </row>
    <row r="13" spans="1:4" ht="20.25" customHeight="1">
      <c r="B13" s="28" t="s">
        <v>360</v>
      </c>
      <c r="C13" s="26" t="s">
        <v>363</v>
      </c>
      <c r="D13" s="27" t="s">
        <v>2050</v>
      </c>
    </row>
    <row r="14" spans="1:4" ht="20.25" customHeight="1">
      <c r="B14" s="28" t="s">
        <v>399</v>
      </c>
      <c r="C14" s="26" t="s">
        <v>400</v>
      </c>
      <c r="D14" s="87" t="s">
        <v>398</v>
      </c>
    </row>
    <row r="15" spans="1:4" ht="20.25" customHeight="1">
      <c r="B15" s="28" t="s">
        <v>475</v>
      </c>
      <c r="C15" s="26" t="s">
        <v>476</v>
      </c>
      <c r="D15" s="87" t="s">
        <v>1846</v>
      </c>
    </row>
    <row r="16" spans="1:4" ht="20.25" customHeight="1"/>
    <row r="17" spans="2:4" ht="20.25" customHeight="1">
      <c r="B17" s="28" t="s">
        <v>657</v>
      </c>
      <c r="C17" s="28" t="s">
        <v>652</v>
      </c>
      <c r="D17" s="207" t="s">
        <v>2051</v>
      </c>
    </row>
    <row r="18" spans="2:4" ht="20.25" customHeight="1"/>
    <row r="19" spans="2:4" ht="20.25" customHeight="1">
      <c r="B19" s="208" t="s">
        <v>653</v>
      </c>
      <c r="C19" s="206" t="s">
        <v>654</v>
      </c>
      <c r="D19" s="205" t="s">
        <v>1988</v>
      </c>
    </row>
    <row r="20" spans="2:4" ht="20.25" customHeight="1">
      <c r="B20" s="208" t="s">
        <v>655</v>
      </c>
      <c r="C20" s="206" t="s">
        <v>656</v>
      </c>
      <c r="D20" s="205" t="s">
        <v>2052</v>
      </c>
    </row>
    <row r="21" spans="2:4" ht="20.25" customHeight="1">
      <c r="B21" s="25" t="s">
        <v>1214</v>
      </c>
      <c r="C21" s="208" t="s">
        <v>1215</v>
      </c>
      <c r="D21" s="207" t="s">
        <v>2053</v>
      </c>
    </row>
    <row r="22" spans="2:4" ht="20.25" customHeight="1"/>
    <row r="23" spans="2:4" ht="20.25" customHeight="1">
      <c r="B23" s="28" t="s">
        <v>1305</v>
      </c>
      <c r="C23" s="26" t="s">
        <v>1306</v>
      </c>
      <c r="D23" s="207" t="s">
        <v>1307</v>
      </c>
    </row>
    <row r="24" spans="2:4" ht="20.25" customHeight="1"/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8417" r:id="rId3" name="Button 1">
              <controlPr defaultSize="0" print="0" autoFill="0" autoPict="0" macro="[0]!TestLock">
                <anchor moveWithCells="1" sizeWithCells="1">
                  <from>
                    <xdr:col>5</xdr:col>
                    <xdr:colOff>9525</xdr:colOff>
                    <xdr:row>2</xdr:row>
                    <xdr:rowOff>19050</xdr:rowOff>
                  </from>
                  <to>
                    <xdr:col>7</xdr:col>
                    <xdr:colOff>66675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418" r:id="rId4" name="Button 2">
              <controlPr defaultSize="0" print="0" autoFill="0" autoPict="0" macro="[0]!TestUnlock">
                <anchor moveWithCells="1" sizeWithCells="1">
                  <from>
                    <xdr:col>7</xdr:col>
                    <xdr:colOff>123825</xdr:colOff>
                    <xdr:row>2</xdr:row>
                    <xdr:rowOff>9525</xdr:rowOff>
                  </from>
                  <to>
                    <xdr:col>9</xdr:col>
                    <xdr:colOff>142875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F0"/>
  </sheetPr>
  <dimension ref="B1:F25"/>
  <sheetViews>
    <sheetView workbookViewId="0">
      <selection activeCell="H22" sqref="H22"/>
    </sheetView>
  </sheetViews>
  <sheetFormatPr defaultRowHeight="13.5"/>
  <cols>
    <col min="2" max="2" width="30.125" bestFit="1" customWidth="1"/>
    <col min="3" max="3" width="35.875" bestFit="1" customWidth="1"/>
    <col min="4" max="4" width="10.875" bestFit="1" customWidth="1"/>
    <col min="5" max="5" width="33" customWidth="1"/>
    <col min="6" max="6" width="5.25" bestFit="1" customWidth="1"/>
    <col min="7" max="7" width="19.375" bestFit="1" customWidth="1"/>
    <col min="9" max="9" width="10.875" bestFit="1" customWidth="1"/>
    <col min="10" max="10" width="19.375" bestFit="1" customWidth="1"/>
    <col min="11" max="11" width="2.5" bestFit="1" customWidth="1"/>
  </cols>
  <sheetData>
    <row r="1" spans="2:6">
      <c r="B1" t="s">
        <v>1948</v>
      </c>
    </row>
    <row r="2" spans="2:6">
      <c r="B2" s="129" t="s">
        <v>1815</v>
      </c>
      <c r="C2" s="129" t="s">
        <v>1817</v>
      </c>
      <c r="D2" s="51">
        <f>IF(ISERROR(VLOOKUP(LEFT(UNMM_COMMON_ACTIVE_SHEET_NAME,8),UNMM_COMMON_CHANGE_CHECK_AREA,3,FALSE))=FALSE,
IF(VLOOKUP(LEFT(UNMM_COMMON_ACTIVE_SHEET_NAME,8),UNMM_COMMON_CHANGE_CHECK_AREA,3,FALSE)&lt;&gt;0,1,2),2)</f>
        <v>2</v>
      </c>
      <c r="E2" s="129" t="s">
        <v>1834</v>
      </c>
    </row>
    <row r="3" spans="2:6">
      <c r="B3" s="129"/>
      <c r="C3" s="129"/>
    </row>
    <row r="4" spans="2:6">
      <c r="B4" s="129" t="s">
        <v>1816</v>
      </c>
      <c r="C4" s="129" t="s">
        <v>1818</v>
      </c>
      <c r="D4" s="51"/>
    </row>
    <row r="6" spans="2:6">
      <c r="D6" s="85" t="s">
        <v>1835</v>
      </c>
      <c r="E6" s="85" t="s">
        <v>1837</v>
      </c>
      <c r="F6" s="85" t="s">
        <v>1836</v>
      </c>
    </row>
    <row r="7" spans="2:6">
      <c r="B7" t="s">
        <v>1832</v>
      </c>
      <c r="C7" s="129" t="s">
        <v>1833</v>
      </c>
      <c r="D7" s="318" t="s">
        <v>1488</v>
      </c>
      <c r="E7" s="319" t="s">
        <v>1830</v>
      </c>
      <c r="F7" s="320">
        <f ca="1">INDIRECT(E7)</f>
        <v>0</v>
      </c>
    </row>
    <row r="8" spans="2:6">
      <c r="D8" s="321" t="s">
        <v>1049</v>
      </c>
      <c r="E8" s="111" t="s">
        <v>1059</v>
      </c>
      <c r="F8" s="322">
        <f t="shared" ref="F8:F18" ca="1" si="0">INDIRECT(E8)</f>
        <v>0</v>
      </c>
    </row>
    <row r="9" spans="2:6">
      <c r="D9" s="321" t="s">
        <v>1819</v>
      </c>
      <c r="E9" s="111" t="s">
        <v>312</v>
      </c>
      <c r="F9" s="322">
        <f t="shared" ca="1" si="0"/>
        <v>0</v>
      </c>
    </row>
    <row r="10" spans="2:6">
      <c r="D10" s="321" t="s">
        <v>721</v>
      </c>
      <c r="E10" s="111" t="s">
        <v>725</v>
      </c>
      <c r="F10" s="322">
        <f t="shared" ca="1" si="0"/>
        <v>0</v>
      </c>
    </row>
    <row r="11" spans="2:6">
      <c r="D11" s="321" t="s">
        <v>1820</v>
      </c>
      <c r="E11" s="111" t="s">
        <v>1831</v>
      </c>
      <c r="F11" s="322">
        <f t="shared" ca="1" si="0"/>
        <v>0</v>
      </c>
    </row>
    <row r="12" spans="2:6">
      <c r="D12" s="321" t="s">
        <v>1821</v>
      </c>
      <c r="E12" s="111" t="s">
        <v>1312</v>
      </c>
      <c r="F12" s="322">
        <f t="shared" ca="1" si="0"/>
        <v>0</v>
      </c>
    </row>
    <row r="13" spans="2:6">
      <c r="D13" s="321" t="s">
        <v>1822</v>
      </c>
      <c r="E13" s="111" t="s">
        <v>1829</v>
      </c>
      <c r="F13" s="322">
        <f t="shared" ca="1" si="0"/>
        <v>0</v>
      </c>
    </row>
    <row r="14" spans="2:6">
      <c r="D14" s="321" t="s">
        <v>1823</v>
      </c>
      <c r="E14" s="111" t="s">
        <v>1828</v>
      </c>
      <c r="F14" s="322">
        <f t="shared" ca="1" si="0"/>
        <v>0</v>
      </c>
    </row>
    <row r="15" spans="2:6">
      <c r="D15" s="321" t="s">
        <v>1824</v>
      </c>
      <c r="E15" s="111" t="s">
        <v>1827</v>
      </c>
      <c r="F15" s="322">
        <f t="shared" ca="1" si="0"/>
        <v>0</v>
      </c>
    </row>
    <row r="16" spans="2:6" s="130" customFormat="1">
      <c r="D16" s="321" t="s">
        <v>1825</v>
      </c>
      <c r="E16" s="111" t="s">
        <v>1826</v>
      </c>
      <c r="F16" s="322">
        <f t="shared" ref="F16:F17" ca="1" si="1">INDIRECT(E16)</f>
        <v>0</v>
      </c>
    </row>
    <row r="17" spans="2:6">
      <c r="D17" s="321" t="s">
        <v>2358</v>
      </c>
      <c r="E17" s="111" t="s">
        <v>2357</v>
      </c>
      <c r="F17" s="322">
        <f t="shared" ca="1" si="1"/>
        <v>0</v>
      </c>
    </row>
    <row r="18" spans="2:6">
      <c r="D18" s="323" t="s">
        <v>2360</v>
      </c>
      <c r="E18" s="324" t="s">
        <v>2359</v>
      </c>
      <c r="F18" s="325">
        <f t="shared" ca="1" si="0"/>
        <v>0</v>
      </c>
    </row>
    <row r="19" spans="2:6">
      <c r="B19" t="s">
        <v>1949</v>
      </c>
    </row>
    <row r="20" spans="2:6" ht="36.75" customHeight="1">
      <c r="B20" t="s">
        <v>1950</v>
      </c>
      <c r="C20" t="s">
        <v>1951</v>
      </c>
      <c r="D20" s="85" t="s">
        <v>1952</v>
      </c>
      <c r="E20" s="85" t="s">
        <v>756</v>
      </c>
    </row>
    <row r="21" spans="2:6" ht="36.75" customHeight="1">
      <c r="D21" s="51">
        <v>2627</v>
      </c>
      <c r="E21" s="387" t="s">
        <v>1953</v>
      </c>
    </row>
    <row r="22" spans="2:6" ht="27">
      <c r="D22" s="51">
        <v>515</v>
      </c>
      <c r="E22" s="387" t="s">
        <v>1954</v>
      </c>
    </row>
    <row r="25" spans="2:6">
      <c r="D25" s="130"/>
    </row>
  </sheetData>
  <phoneticPr fontId="2"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5"/>
  <sheetViews>
    <sheetView workbookViewId="0">
      <selection activeCell="I18" sqref="I18"/>
    </sheetView>
  </sheetViews>
  <sheetFormatPr defaultRowHeight="13.5"/>
  <cols>
    <col min="1" max="1" width="3.375" customWidth="1"/>
    <col min="2" max="7" width="11.75" customWidth="1"/>
    <col min="8" max="8" width="3.375" customWidth="1"/>
    <col min="9" max="9" width="40.125" customWidth="1"/>
    <col min="10" max="10" width="3.375" customWidth="1"/>
    <col min="11" max="11" width="4.375" customWidth="1"/>
  </cols>
  <sheetData>
    <row r="1" spans="1:8" ht="19.5">
      <c r="A1" s="5" t="s">
        <v>2081</v>
      </c>
      <c r="B1" s="5"/>
      <c r="C1" s="5"/>
      <c r="D1" s="5" t="s">
        <v>2080</v>
      </c>
      <c r="E1" s="5"/>
      <c r="F1" s="5"/>
      <c r="G1" s="5"/>
      <c r="H1" s="5"/>
    </row>
    <row r="2" spans="1:8" ht="16.5">
      <c r="A2" s="83"/>
      <c r="B2" s="83"/>
      <c r="C2" s="83"/>
      <c r="D2" s="83"/>
      <c r="E2" s="83"/>
      <c r="F2" s="83"/>
      <c r="G2" s="83"/>
      <c r="H2" s="83"/>
    </row>
    <row r="3" spans="1:8" ht="16.5">
      <c r="A3" s="83"/>
      <c r="B3" s="7" t="s">
        <v>2082</v>
      </c>
      <c r="C3" s="461"/>
      <c r="D3" s="83"/>
      <c r="E3" s="83"/>
      <c r="F3" s="83"/>
      <c r="G3" s="83"/>
      <c r="H3" s="83"/>
    </row>
    <row r="4" spans="1:8" ht="16.5">
      <c r="A4" s="83"/>
      <c r="B4" s="7" t="s">
        <v>2083</v>
      </c>
      <c r="C4" s="688"/>
      <c r="D4" s="689"/>
      <c r="E4" s="689"/>
      <c r="F4" s="689"/>
      <c r="G4" s="690"/>
      <c r="H4" s="83"/>
    </row>
    <row r="5" spans="1:8" ht="16.5">
      <c r="A5" s="83"/>
      <c r="B5" s="83"/>
      <c r="C5" s="83"/>
      <c r="D5" s="83"/>
      <c r="E5" s="83"/>
      <c r="F5" s="83"/>
      <c r="G5" s="83"/>
      <c r="H5" s="83"/>
    </row>
  </sheetData>
  <mergeCells count="1">
    <mergeCell ref="C4:G4"/>
  </mergeCells>
  <phoneticPr fontId="2"/>
  <dataValidations count="2">
    <dataValidation type="custom" allowBlank="1" showInputMessage="1" showErrorMessage="1" sqref="C3">
      <formula1>AND(LEN(C3)=LENB(C3),LEN(C3)&lt;=10)</formula1>
    </dataValidation>
    <dataValidation type="custom" allowBlank="1" showInputMessage="1" showErrorMessage="1" sqref="C4:G4">
      <formula1>LENB(C4)&lt;=60</formula1>
    </dataValidation>
  </dataValidation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workbookViewId="0"/>
  </sheetViews>
  <sheetFormatPr defaultRowHeight="13.5"/>
  <sheetData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64</vt:i4>
      </vt:variant>
      <vt:variant>
        <vt:lpstr>名前付き一覧</vt:lpstr>
      </vt:variant>
      <vt:variant>
        <vt:i4>1367</vt:i4>
      </vt:variant>
    </vt:vector>
  </HeadingPairs>
  <TitlesOfParts>
    <vt:vector size="1431" baseType="lpstr">
      <vt:lpstr>UNMM0011_H</vt:lpstr>
      <vt:lpstr>UNMM0011_B</vt:lpstr>
      <vt:lpstr>UNMM0011_IF</vt:lpstr>
      <vt:lpstr>UNMM0011_SQL</vt:lpstr>
      <vt:lpstr>UNMM0010</vt:lpstr>
      <vt:lpstr>UNMM0010_IF</vt:lpstr>
      <vt:lpstr>UNMM0010_SQL</vt:lpstr>
      <vt:lpstr>UNMM0021_H</vt:lpstr>
      <vt:lpstr>UNMM0021_B</vt:lpstr>
      <vt:lpstr>UNMM0021_IF</vt:lpstr>
      <vt:lpstr>UNMM0021_SQL</vt:lpstr>
      <vt:lpstr>UNMM0020</vt:lpstr>
      <vt:lpstr>UNMM0020_IF</vt:lpstr>
      <vt:lpstr>UNMM0020_SQL</vt:lpstr>
      <vt:lpstr>UNMM0051_H</vt:lpstr>
      <vt:lpstr>UNMM0051_B</vt:lpstr>
      <vt:lpstr>UNMM0051_IF</vt:lpstr>
      <vt:lpstr>UNMM0051_SQL</vt:lpstr>
      <vt:lpstr>UNMM0050</vt:lpstr>
      <vt:lpstr>UNMM0050_IF</vt:lpstr>
      <vt:lpstr>UNMM0050_SQL</vt:lpstr>
      <vt:lpstr>UNMM0070</vt:lpstr>
      <vt:lpstr>UNMM0070_IF</vt:lpstr>
      <vt:lpstr>UNMM0070_SQL</vt:lpstr>
      <vt:lpstr>UNMM0080</vt:lpstr>
      <vt:lpstr>UNMM0080_IF</vt:lpstr>
      <vt:lpstr>UNMM0080_SQL</vt:lpstr>
      <vt:lpstr>UNMM0091_H</vt:lpstr>
      <vt:lpstr>UNMM0091_B</vt:lpstr>
      <vt:lpstr>UNMM0091_IF</vt:lpstr>
      <vt:lpstr>UNMM0091_SQL</vt:lpstr>
      <vt:lpstr>UNMM0090</vt:lpstr>
      <vt:lpstr>UNMM0090_IF</vt:lpstr>
      <vt:lpstr>UNMM0090_SQL</vt:lpstr>
      <vt:lpstr>UNMM0100_H</vt:lpstr>
      <vt:lpstr>UNMM0100_B</vt:lpstr>
      <vt:lpstr>UNMM0100_IF</vt:lpstr>
      <vt:lpstr>UNMM0100_SQL</vt:lpstr>
      <vt:lpstr>UNMM0110_H</vt:lpstr>
      <vt:lpstr>UNMM0110_B</vt:lpstr>
      <vt:lpstr>UNMM0110_IF</vt:lpstr>
      <vt:lpstr>UNMM0110_SQL</vt:lpstr>
      <vt:lpstr>UNMM0111_H</vt:lpstr>
      <vt:lpstr>UNMM0111_B</vt:lpstr>
      <vt:lpstr>UNMM0111_IF</vt:lpstr>
      <vt:lpstr>UNMM0111_SQL</vt:lpstr>
      <vt:lpstr>UNMM0130</vt:lpstr>
      <vt:lpstr>UNMM0130_IF</vt:lpstr>
      <vt:lpstr>UNMM0130_SQL</vt:lpstr>
      <vt:lpstr>UNMM0131_H</vt:lpstr>
      <vt:lpstr>UNMM0131_B</vt:lpstr>
      <vt:lpstr>UNMM0131_IF</vt:lpstr>
      <vt:lpstr>UNMM0131_SQL</vt:lpstr>
      <vt:lpstr>UNMM0150_H</vt:lpstr>
      <vt:lpstr>UNMM0150_B</vt:lpstr>
      <vt:lpstr>UNMM0150_IF</vt:lpstr>
      <vt:lpstr>UNMM0150_SQL</vt:lpstr>
      <vt:lpstr>UNMM0151</vt:lpstr>
      <vt:lpstr>UNMM0151_IF</vt:lpstr>
      <vt:lpstr>UNMM0151_SQL</vt:lpstr>
      <vt:lpstr>UNMM_COMMON_SQL</vt:lpstr>
      <vt:lpstr>UNMM_COMMON</vt:lpstr>
      <vt:lpstr>Excel_Save_H</vt:lpstr>
      <vt:lpstr>Excel_Save_B</vt:lpstr>
      <vt:lpstr>LIST_CALENDAR_KBN_KENSU</vt:lpstr>
      <vt:lpstr>LIST_CALENDAR_KBN_TENKAIICHI</vt:lpstr>
      <vt:lpstr>LIST_DAY</vt:lpstr>
      <vt:lpstr>LIST_HASU_SHORI_KENSU</vt:lpstr>
      <vt:lpstr>LIST_HASU_SHORI_TENKAIICHI</vt:lpstr>
      <vt:lpstr>LIST_KAISHU_SHUBETSU_KENSU</vt:lpstr>
      <vt:lpstr>LIST_KAISHU_SHUBETSU_TENKAIICHI</vt:lpstr>
      <vt:lpstr>LIST_KEISHO_KENSU</vt:lpstr>
      <vt:lpstr>LIST_KEISHO_TENKAIICHI</vt:lpstr>
      <vt:lpstr>LIST_NYURYOKU_HOHO_KENSU</vt:lpstr>
      <vt:lpstr>LIST_NYURYOKU_TENKAIICHI</vt:lpstr>
      <vt:lpstr>LIST_RETSU_KATA_KENSU</vt:lpstr>
      <vt:lpstr>LIST_RETSU_KATA_TENKAIICHI</vt:lpstr>
      <vt:lpstr>LIST_SEIKYU_HOHO_KENSU</vt:lpstr>
      <vt:lpstr>LIST_SEIKYU_TENKAIICHI</vt:lpstr>
      <vt:lpstr>LIST_SHIIRE_HASU_KENSU</vt:lpstr>
      <vt:lpstr>LIST_SHIIRE_HASU_TENKAIICHI</vt:lpstr>
      <vt:lpstr>LIST_SHIIRE_SHIHARAI_KENSU</vt:lpstr>
      <vt:lpstr>LIST_SHIIRE_SHIHARAI_TENKAIICHI</vt:lpstr>
      <vt:lpstr>LIST_SHIIRE_TESURYO_KENSU</vt:lpstr>
      <vt:lpstr>LIST_SHIIRE_TESURYO_TENKAIICHI</vt:lpstr>
      <vt:lpstr>LIST_SHOHIN_STS_HOHO_KENSU</vt:lpstr>
      <vt:lpstr>LIST_SHOHIN_STS_TENKAIICHI</vt:lpstr>
      <vt:lpstr>LIST_TAX_KBN_KENSU</vt:lpstr>
      <vt:lpstr>LIST_TAX_KBN_TENKAIICHI</vt:lpstr>
      <vt:lpstr>LIST_TESURYO_KBN_KENSU</vt:lpstr>
      <vt:lpstr>LIST_TESURYO_KBN_TENKAIICHI</vt:lpstr>
      <vt:lpstr>UNMM0010!Print_Area</vt:lpstr>
      <vt:lpstr>UNMM0011_H!Print_Area</vt:lpstr>
      <vt:lpstr>UNMM0020!Print_Area</vt:lpstr>
      <vt:lpstr>UNMM0021_H!Print_Area</vt:lpstr>
      <vt:lpstr>UNMM0050!Print_Area</vt:lpstr>
      <vt:lpstr>UNMM0051_H!Print_Area</vt:lpstr>
      <vt:lpstr>UNMM0090!Print_Area</vt:lpstr>
      <vt:lpstr>UNMM0091_H!Print_Area</vt:lpstr>
      <vt:lpstr>UNMM0100_H!Print_Area</vt:lpstr>
      <vt:lpstr>UNMM0110_H!Print_Area</vt:lpstr>
      <vt:lpstr>UNMM0111_H!Print_Area</vt:lpstr>
      <vt:lpstr>UNMM0130!Print_Area</vt:lpstr>
      <vt:lpstr>UNMM0131_B!Print_Area</vt:lpstr>
      <vt:lpstr>UNMM0131_H!Print_Area</vt:lpstr>
      <vt:lpstr>SHOHIN_STS</vt:lpstr>
      <vt:lpstr>UNMM_COMMON_ACTIVE_SHEET_NAME</vt:lpstr>
      <vt:lpstr>UNMM_COMMON_CHANGE_CHECK</vt:lpstr>
      <vt:lpstr>UNMM_COMMON_CHANGE_CHECK_AREA</vt:lpstr>
      <vt:lpstr>UNMM_COMMON_ERROR_MESSAGE_AREA</vt:lpstr>
      <vt:lpstr>UNMM_COMMON_SQL_AITESAKI_SERCH</vt:lpstr>
      <vt:lpstr>UNMM_COMMON_SQL_BUSHO_SERCH</vt:lpstr>
      <vt:lpstr>UNMM_COMMON_SQL_GAICHU_SERCH</vt:lpstr>
      <vt:lpstr>UNMM_COMMON_SQL_HOKANBASHO_SERCH</vt:lpstr>
      <vt:lpstr>UNMM_COMMON_SQL_INFO_SEARCH</vt:lpstr>
      <vt:lpstr>UNMM_COMMON_SQL_KOMOKU_GUN_SERCH</vt:lpstr>
      <vt:lpstr>UNMM_COMMON_SQL_KOMOKU_SERCH</vt:lpstr>
      <vt:lpstr>UNMM_COMMON_SQL_MAKER_SERCH</vt:lpstr>
      <vt:lpstr>UNMM_COMMON_SQL_SEIKYU_SERCH</vt:lpstr>
      <vt:lpstr>UNMM_COMMON_SQL_SELECT_CTRL_HYOJI_GYO_SU</vt:lpstr>
      <vt:lpstr>UNMM_COMMON_SQL_SHAIN_SERCH</vt:lpstr>
      <vt:lpstr>UNMM_COMMON_SQL_SHIRESAKI_SERCH</vt:lpstr>
      <vt:lpstr>UNMM_COMMON_SQL_SHOHIN_BUNRUI_SERCH</vt:lpstr>
      <vt:lpstr>UNMM_COMMON_SQL_SHOHIN_SERCH</vt:lpstr>
      <vt:lpstr>UNMM_COMMON_SQL_SHOHIN_SORT_SEARCH</vt:lpstr>
      <vt:lpstr>UNMM_COMMON_SQL_SHOHIN_STS_SEARCH</vt:lpstr>
      <vt:lpstr>UNMM_COMMON_SQL_YOSAN_SERCH</vt:lpstr>
      <vt:lpstr>UNMM0010_BUSHO_CD</vt:lpstr>
      <vt:lpstr>UNMM0010_BUSHO_MEI</vt:lpstr>
      <vt:lpstr>UNMM0010_HIDE_COLUMN</vt:lpstr>
      <vt:lpstr>UNMM0010_HIDE_ROW</vt:lpstr>
      <vt:lpstr>UNMM0010_IF_ACTIVE_CELL_NAME</vt:lpstr>
      <vt:lpstr>UNMM0010_IF_ACTIVE_COLUMN</vt:lpstr>
      <vt:lpstr>UNMM0010_IF_ACTIVE_ROW</vt:lpstr>
      <vt:lpstr>UNMM0010_IF_ACTIVE_SHEET</vt:lpstr>
      <vt:lpstr>UNMM0010_IF_BUTTON_04_HYOJI</vt:lpstr>
      <vt:lpstr>UNMM0010_IF_BUTTON_06_FONTCOLOR</vt:lpstr>
      <vt:lpstr>UNMM0010_IF_BUTTON_06_HYOJI</vt:lpstr>
      <vt:lpstr>UNMM0010_IF_BUTTON_06_NAME</vt:lpstr>
      <vt:lpstr>UNMM0010_IF_BUTTON_07_HYOJI</vt:lpstr>
      <vt:lpstr>UNMM0010_IF_BUTTON_09_HYOJI</vt:lpstr>
      <vt:lpstr>UNMM0010_IF_BUTTON_10_FONTCOLOR</vt:lpstr>
      <vt:lpstr>UNMM0010_IF_BUTTON_10_HYOJI</vt:lpstr>
      <vt:lpstr>UNMM0010_IF_BUTTON_10_NAME</vt:lpstr>
      <vt:lpstr>UNMM0010_IF_BUTTON_11_HYOJI</vt:lpstr>
      <vt:lpstr>UNMM0010_IF_BUTTON_20_HYOJI</vt:lpstr>
      <vt:lpstr>UNMM0010_IF_DATA_SEARCH_FLG</vt:lpstr>
      <vt:lpstr>UNMM0010_IF_EXCEL_FILE_NAME</vt:lpstr>
      <vt:lpstr>UNMM0010_IF_IMG_CELL</vt:lpstr>
      <vt:lpstr>UNMM0010_IF_IMG_SAVE_CHECK_FLG</vt:lpstr>
      <vt:lpstr>UNMM0010_IF_IMG_SAVE_KIZON_FLG</vt:lpstr>
      <vt:lpstr>UNMM0010_IF_IMG_SAVE_LOCAL_FOLDER_PATH</vt:lpstr>
      <vt:lpstr>UNMM0010_IF_IMG_SAVE_LOCAL_PATH</vt:lpstr>
      <vt:lpstr>UNMM0010_IF_IMG_SAVE_UPDATE_FLG</vt:lpstr>
      <vt:lpstr>UNMM0010_IF_IMG_SAVE_UPLOAD_FOLDER_PATH</vt:lpstr>
      <vt:lpstr>UNMM0010_IF_IMG_SAVE_UPLOAD_PATH</vt:lpstr>
      <vt:lpstr>UNMM0010_IF_IMG_SELECT_FILE</vt:lpstr>
      <vt:lpstr>UNMM0010_IF_IMG_SELECT_FOLDER</vt:lpstr>
      <vt:lpstr>UNMM0010_IF_IMG_SELECT_PATH</vt:lpstr>
      <vt:lpstr>UNMM0010_IF_MODE</vt:lpstr>
      <vt:lpstr>UNMM0010_IF_MODE_SANSHO_COPY_MOTO</vt:lpstr>
      <vt:lpstr>UNMM0010_IF_MODE_SHINKI_COPY_MOTO</vt:lpstr>
      <vt:lpstr>UNMM0010_IF_MODE_SHUSEI_COPY_MOTO</vt:lpstr>
      <vt:lpstr>UNMM0010_IF_SAVE_BUSHO_CD</vt:lpstr>
      <vt:lpstr>UNMM0010_IF_SAVE_ERROR_CHECK</vt:lpstr>
      <vt:lpstr>UNMM0010_IF_SAVE_ERROR_MESSAGE</vt:lpstr>
      <vt:lpstr>UNMM0010_IF_SAVE_IMG_PATH</vt:lpstr>
      <vt:lpstr>UNMM0010_IF_SAVE_INPUT_CHECK</vt:lpstr>
      <vt:lpstr>UNMM0010_IF_SAVE_MISHIYO_FLG</vt:lpstr>
      <vt:lpstr>UNMM0010_IF_SAVE_RESULT_CD</vt:lpstr>
      <vt:lpstr>UNMM0010_IF_SAVE_RESULT_MESSAGE</vt:lpstr>
      <vt:lpstr>UNMM0010_IF_SAVE_SHAIN_CD</vt:lpstr>
      <vt:lpstr>UNMM0010_IF_SAVE_SHIMEI</vt:lpstr>
      <vt:lpstr>UNMM0010_IF_SAVE_W_MODE</vt:lpstr>
      <vt:lpstr>UNMM0010_IF_SAVE_W_ROW</vt:lpstr>
      <vt:lpstr>UNMM0010_IF_SAVE_W_SERIAL</vt:lpstr>
      <vt:lpstr>UNMM0010_IF_SAVE_W_USER_ID</vt:lpstr>
      <vt:lpstr>UNMM0010_IMG_PATH</vt:lpstr>
      <vt:lpstr>UNMM0010_INSERT_DATETIME</vt:lpstr>
      <vt:lpstr>UNMM0010_MISHIYO_FLG</vt:lpstr>
      <vt:lpstr>UNMM0010_MODE_COPY_SAKI</vt:lpstr>
      <vt:lpstr>UNMM0010_SCROLL_LOCK</vt:lpstr>
      <vt:lpstr>UNMM0010_SHAIN_CD</vt:lpstr>
      <vt:lpstr>UNMM0010_SHIMEI</vt:lpstr>
      <vt:lpstr>UNMM0010_SQL_DELETE_SHAIN_DATA</vt:lpstr>
      <vt:lpstr>UNMM0010_SQL_SELECT_SHAIN_DATA</vt:lpstr>
      <vt:lpstr>UNMM0010_UPDATE_DATETIME</vt:lpstr>
      <vt:lpstr>UNMM0011_B_ALL_KENSU</vt:lpstr>
      <vt:lpstr>UNMM0011_B_ALL_PEGE_SU</vt:lpstr>
      <vt:lpstr>UNMM0011_B_BACK_PAGE</vt:lpstr>
      <vt:lpstr>UNMM0011_B_BACK_PAGE_NUM</vt:lpstr>
      <vt:lpstr>UNMM0011_B_BUSHO_MEI</vt:lpstr>
      <vt:lpstr>UNMM0011_B_CTRL_HYOJI_GYO_SU</vt:lpstr>
      <vt:lpstr>UNMM0011_B_HIDE_COLUMN</vt:lpstr>
      <vt:lpstr>UNMM0011_B_HIDE_ROW</vt:lpstr>
      <vt:lpstr>UNMM0011_B_HYOJI_KENSU</vt:lpstr>
      <vt:lpstr>UNMM0011_B_LIST_CLEAR</vt:lpstr>
      <vt:lpstr>UNMM0011_B_LIST_COPY_SAKI</vt:lpstr>
      <vt:lpstr>UNMM0011_B_LIST_END</vt:lpstr>
      <vt:lpstr>UNMM0011_B_LIST_START</vt:lpstr>
      <vt:lpstr>UNMM0011_B_MISHOYO</vt:lpstr>
      <vt:lpstr>UNMM0011_B_NEXT_PAGE</vt:lpstr>
      <vt:lpstr>UNMM0011_B_NEXT_PAGE_NUM</vt:lpstr>
      <vt:lpstr>UNMM0011_B_PAGE_NO</vt:lpstr>
      <vt:lpstr>UNMM0011_B_SCROLL_LOCK</vt:lpstr>
      <vt:lpstr>UNMM0011_B_SELECT_GYO_NO</vt:lpstr>
      <vt:lpstr>UNMM0011_B_SELECT_SHAIN_CD</vt:lpstr>
      <vt:lpstr>UNMM0011_B_SENTAKU</vt:lpstr>
      <vt:lpstr>UNMM0011_B_SHAIN_CD</vt:lpstr>
      <vt:lpstr>UNMM0011_B_SHIMEI</vt:lpstr>
      <vt:lpstr>UNMM0011_H_BUSHO_CD</vt:lpstr>
      <vt:lpstr>UNMM0011_H_BUSHO_MEI</vt:lpstr>
      <vt:lpstr>UNMM0011_H_FREEWD_1</vt:lpstr>
      <vt:lpstr>UNMM0011_H_FREEWD_2</vt:lpstr>
      <vt:lpstr>UNMM0011_H_FREEWD_3</vt:lpstr>
      <vt:lpstr>UNMM0011_H_FREEWD_KBN</vt:lpstr>
      <vt:lpstr>UNMM0011_H_HIDE_COLUMN</vt:lpstr>
      <vt:lpstr>UNMM0011_H_HIDE_ROW</vt:lpstr>
      <vt:lpstr>UNMM0011_H_MISHIYO_FLG</vt:lpstr>
      <vt:lpstr>UNMM0011_H_SHAIN_CD</vt:lpstr>
      <vt:lpstr>UNMM0011_H_SHIMEI</vt:lpstr>
      <vt:lpstr>UNMM0011_IF_ACTIVE_CELL_NAME</vt:lpstr>
      <vt:lpstr>UNMM0011_IF_ACTIVE_COLUMN</vt:lpstr>
      <vt:lpstr>UNMM0011_IF_ACTIVE_ROW</vt:lpstr>
      <vt:lpstr>UNMM0011_IF_ACTIVE_SHEET</vt:lpstr>
      <vt:lpstr>UNMM0011_IF_B_LIST_COPY_MOTO</vt:lpstr>
      <vt:lpstr>UNMM0011_IF_B_LIST_DEFAULT</vt:lpstr>
      <vt:lpstr>UNMM0011_IF_BUTTON_11_HYOJI</vt:lpstr>
      <vt:lpstr>UNMM0011_IF_BUTTON_12_HYOJI</vt:lpstr>
      <vt:lpstr>UNMM0011_IF_COLUMS</vt:lpstr>
      <vt:lpstr>UNMM0011_IF_DATA_SEARCH_CHECK</vt:lpstr>
      <vt:lpstr>UNMM0011_IF_DATA_SEARCH_FLG</vt:lpstr>
      <vt:lpstr>UNMM0011_IF_EXCEL_FILE_NAME</vt:lpstr>
      <vt:lpstr>UNMM0011_IF_LIST_COPY_SAKI</vt:lpstr>
      <vt:lpstr>UNMM0011_IF_LIST_START</vt:lpstr>
      <vt:lpstr>UNMM0011_IF_PASTE</vt:lpstr>
      <vt:lpstr>UNMM0011_IF_PRINT_AREA</vt:lpstr>
      <vt:lpstr>UNMM0011_IF_PRINT_COUNT</vt:lpstr>
      <vt:lpstr>UNMM0011_IF_PRINT_SHOSHIKI</vt:lpstr>
      <vt:lpstr>UNMM0011_SQL_BUSHO_CD</vt:lpstr>
      <vt:lpstr>UNMM0011_SQL_CONJUNCTION</vt:lpstr>
      <vt:lpstr>UNMM0011_SQL_FREEWD_1</vt:lpstr>
      <vt:lpstr>UNMM0011_SQL_FREEWD_2</vt:lpstr>
      <vt:lpstr>UNMM0011_SQL_FREEWD_3</vt:lpstr>
      <vt:lpstr>UNMM0011_SQL_FREEWD_KBN</vt:lpstr>
      <vt:lpstr>UNMM0011_SQL_FREEWORD_1</vt:lpstr>
      <vt:lpstr>UNMM0011_SQL_FREEWORD_2</vt:lpstr>
      <vt:lpstr>UNMM0011_SQL_FREEWORD_3</vt:lpstr>
      <vt:lpstr>UNMM0011_SQL_JOKEN_COPY_MOTO</vt:lpstr>
      <vt:lpstr>UNMM0011_SQL_JOKEN_COPY_SAKI</vt:lpstr>
      <vt:lpstr>UNMM0011_SQL_MISHIYO_FLG</vt:lpstr>
      <vt:lpstr>UNMM0011_SQL_PRINT</vt:lpstr>
      <vt:lpstr>UNMM0011_SQL_SELECT_ORDER</vt:lpstr>
      <vt:lpstr>UNMM0011_SQL_SELECT_SHAIN_LIST</vt:lpstr>
      <vt:lpstr>UNMM0011_SQL_SELECT_SHAIN_LIST_CNT</vt:lpstr>
      <vt:lpstr>UNMM0011_SQL_SELECT_SHAIN_LIST_ORDER</vt:lpstr>
      <vt:lpstr>UNMM0011_SQL_SHAIN_CD</vt:lpstr>
      <vt:lpstr>UNMM0011_SQL_SHIMEI</vt:lpstr>
      <vt:lpstr>UNMM0011_SQL_SORT_SEARCH</vt:lpstr>
      <vt:lpstr>UNMM0020_AITE_CD</vt:lpstr>
      <vt:lpstr>UNMM0020_AITE_MEI</vt:lpstr>
      <vt:lpstr>UNMM0020_BIKO</vt:lpstr>
      <vt:lpstr>UNMM0020_BUSHO_MEI</vt:lpstr>
      <vt:lpstr>UNMM0020_DELETE_AITE_DATA</vt:lpstr>
      <vt:lpstr>UNMM0020_DOGYO_FLG</vt:lpstr>
      <vt:lpstr>UNMM0020_EIGYO_TANTO_CD</vt:lpstr>
      <vt:lpstr>UNMM0020_EIGYO_TANTO_MEI</vt:lpstr>
      <vt:lpstr>UNMM0020_FAX</vt:lpstr>
      <vt:lpstr>UNMM0020_GAICHU_FLG</vt:lpstr>
      <vt:lpstr>UNMM0020_HASSO_FLG</vt:lpstr>
      <vt:lpstr>UNMM0020_HIDE_COLUMN</vt:lpstr>
      <vt:lpstr>UNMM0020_HIDE_ROW</vt:lpstr>
      <vt:lpstr>UNMM0020_HIKAE_FLG</vt:lpstr>
      <vt:lpstr>UNMM0020_HOKOKU_FLG</vt:lpstr>
      <vt:lpstr>UNMM0020_IF_ACTIVE_CELL_NAME</vt:lpstr>
      <vt:lpstr>UNMM0020_IF_ACTIVE_COLUMN</vt:lpstr>
      <vt:lpstr>UNMM0020_IF_ACTIVE_ROW</vt:lpstr>
      <vt:lpstr>UNMM0020_IF_ACTIVE_SHEET</vt:lpstr>
      <vt:lpstr>UNMM0020_IF_BUTTON_04_HYOJI</vt:lpstr>
      <vt:lpstr>UNMM0020_IF_BUTTON_06_FONTCOLOR</vt:lpstr>
      <vt:lpstr>UNMM0020_IF_BUTTON_06_HYOJI</vt:lpstr>
      <vt:lpstr>UNMM0020_IF_BUTTON_06_NAME</vt:lpstr>
      <vt:lpstr>UNMM0020_IF_BUTTON_07_HYOJI</vt:lpstr>
      <vt:lpstr>UNMM0020_IF_BUTTON_09_HYOJI</vt:lpstr>
      <vt:lpstr>UNMM0020_IF_BUTTON_10_FONTCOLOR</vt:lpstr>
      <vt:lpstr>UNMM0020_IF_BUTTON_10_HYOJI</vt:lpstr>
      <vt:lpstr>UNMM0020_IF_BUTTON_10_NAME</vt:lpstr>
      <vt:lpstr>UNMM0020_IF_BUTTON_20_HYOJI</vt:lpstr>
      <vt:lpstr>UNMM0020_IF_DATA_SEARCH_FLG</vt:lpstr>
      <vt:lpstr>UNMM0020_IF_EXCEL_FILE_NAME</vt:lpstr>
      <vt:lpstr>UNMM0020_IF_INPUT_CHECK</vt:lpstr>
      <vt:lpstr>UNMM0020_IF_INPUT_ERROR_MESSAGE</vt:lpstr>
      <vt:lpstr>UNMM0020_IF_LINK_DATETIME</vt:lpstr>
      <vt:lpstr>UNMM0020_IF_MODE</vt:lpstr>
      <vt:lpstr>UNMM0020_IF_MODE_SANSHO_COPY_MOTO</vt:lpstr>
      <vt:lpstr>UNMM0020_IF_MODE_SHINKI_COPY_MOTO</vt:lpstr>
      <vt:lpstr>UNMM0020_IF_MODE_SHINKI_FLG_COPY_MOTO</vt:lpstr>
      <vt:lpstr>UNMM0020_IF_MODE_SHUSEI_COPY_MOTO</vt:lpstr>
      <vt:lpstr>UNMM0020_IF_SAVE_AITE_CD</vt:lpstr>
      <vt:lpstr>UNMM0020_IF_SAVE_AITE_MEI</vt:lpstr>
      <vt:lpstr>UNMM0020_IF_SAVE_BIKO</vt:lpstr>
      <vt:lpstr>UNMM0020_IF_SAVE_BUSHO_MEI</vt:lpstr>
      <vt:lpstr>UNMM0020_IF_SAVE_CD_ERROR</vt:lpstr>
      <vt:lpstr>UNMM0020_IF_SAVE_CHECK_ERROR_KOMOKU</vt:lpstr>
      <vt:lpstr>UNMM0020_IF_SAVE_CHECK_RESULT</vt:lpstr>
      <vt:lpstr>UNMM0020_IF_SAVE_DOGYO_FLG</vt:lpstr>
      <vt:lpstr>UNMM0020_IF_SAVE_EIGYO_TANTO_CD</vt:lpstr>
      <vt:lpstr>UNMM0020_IF_SAVE_ERROR_CHECK</vt:lpstr>
      <vt:lpstr>UNMM0020_IF_SAVE_ERROR_MESSAGE</vt:lpstr>
      <vt:lpstr>UNMM0020_IF_SAVE_FAX</vt:lpstr>
      <vt:lpstr>UNMM0020_IF_SAVE_GAICHU_FLG</vt:lpstr>
      <vt:lpstr>UNMM0020_IF_SAVE_HASSO_FLG</vt:lpstr>
      <vt:lpstr>UNMM0020_IF_SAVE_HIKAE_FLG</vt:lpstr>
      <vt:lpstr>UNMM0020_IF_SAVE_HOKOKU_FLG</vt:lpstr>
      <vt:lpstr>UNMM0020_IF_SAVE_INSERT_DATETIME</vt:lpstr>
      <vt:lpstr>UNMM0020_IF_SAVE_JURYOSHO_FLG</vt:lpstr>
      <vt:lpstr>UNMM0020_IF_SAVE_JUSHO1</vt:lpstr>
      <vt:lpstr>UNMM0020_IF_SAVE_JUSHO2</vt:lpstr>
      <vt:lpstr>UNMM0020_IF_SAVE_KAISHU_DAY</vt:lpstr>
      <vt:lpstr>UNMM0020_IF_SAVE_KAISHU_MONTH</vt:lpstr>
      <vt:lpstr>UNMM0020_IF_SAVE_KAISHU_SHUBETSU</vt:lpstr>
      <vt:lpstr>UNMM0020_IF_SAVE_KANKO_FLG</vt:lpstr>
      <vt:lpstr>UNMM0020_IF_SAVE_KEISHO</vt:lpstr>
      <vt:lpstr>UNMM0020_IF_SAVE_MAIL</vt:lpstr>
      <vt:lpstr>UNMM0020_IF_SAVE_MAKER_FLG</vt:lpstr>
      <vt:lpstr>UNMM0020_IF_SAVE_MISHIYO_FLG</vt:lpstr>
      <vt:lpstr>UNMM0020_IF_SAVE_NOHINSHO_FLG</vt:lpstr>
      <vt:lpstr>UNMM0020_IF_SAVE_RESULT_CD</vt:lpstr>
      <vt:lpstr>UNMM0020_IF_SAVE_RESULT_MESSAGE</vt:lpstr>
      <vt:lpstr>UNMM0020_IF_SAVE_SEIKYU_FLG</vt:lpstr>
      <vt:lpstr>UNMM0020_IF_SAVE_SEIKYU_HOHO</vt:lpstr>
      <vt:lpstr>UNMM0020_IF_SAVE_SEIKYUSAKI_BUNRUI</vt:lpstr>
      <vt:lpstr>UNMM0020_IF_SAVE_SEIKYUSAKI_CHUKI</vt:lpstr>
      <vt:lpstr>UNMM0020_IF_SAVE_SEIKYUSAKI_HASU</vt:lpstr>
      <vt:lpstr>UNMM0020_IF_SAVE_SEIKYUSHO_FLG</vt:lpstr>
      <vt:lpstr>UNMM0020_IF_SAVE_SHIIRE_FLG</vt:lpstr>
      <vt:lpstr>UNMM0020_IF_SAVE_SHIIRE_SHIHARAI_HOHO</vt:lpstr>
      <vt:lpstr>UNMM0020_IF_SAVE_SHIIRESAKI_CHUKI</vt:lpstr>
      <vt:lpstr>UNMM0020_IF_SAVE_SHIIRESAKI_HASU</vt:lpstr>
      <vt:lpstr>UNMM0020_IF_SAVE_SHIIRESAKI_TESURYO</vt:lpstr>
      <vt:lpstr>UNMM0020_IF_SAVE_SPOT_FLG</vt:lpstr>
      <vt:lpstr>UNMM0020_IF_SAVE_TANTO_MEI</vt:lpstr>
      <vt:lpstr>UNMM0020_IF_SAVE_TAX_KEISAN_KBN</vt:lpstr>
      <vt:lpstr>UNMM0020_IF_SAVE_TEL</vt:lpstr>
      <vt:lpstr>UNMM0020_IF_SAVE_TESURYO_KBN</vt:lpstr>
      <vt:lpstr>UNMM0020_IF_SAVE_UPDATE_DATETIME</vt:lpstr>
      <vt:lpstr>UNMM0020_IF_SAVE_W_MODE</vt:lpstr>
      <vt:lpstr>UNMM0020_IF_SAVE_W_ROW</vt:lpstr>
      <vt:lpstr>UNMM0020_IF_SAVE_W_SERIAL</vt:lpstr>
      <vt:lpstr>UNMM0020_IF_SAVE_W_USER_ID</vt:lpstr>
      <vt:lpstr>UNMM0020_IF_SAVE_YUBIN</vt:lpstr>
      <vt:lpstr>UNMM0020_INSERT_DATETIME</vt:lpstr>
      <vt:lpstr>UNMM0020_JURYOSHO_FLG</vt:lpstr>
      <vt:lpstr>UNMM0020_JUSHO_1</vt:lpstr>
      <vt:lpstr>UNMM0020_JUSHO_2</vt:lpstr>
      <vt:lpstr>UNMM0020_KAISHU_DAY</vt:lpstr>
      <vt:lpstr>UNMM0020_KAISHU_MONTH</vt:lpstr>
      <vt:lpstr>UNMM0020_KAISHU_SHUBETSU</vt:lpstr>
      <vt:lpstr>UNMM0020_KAISHU_SHUBETSU_CD</vt:lpstr>
      <vt:lpstr>UNMM0020_KANKO_FLG</vt:lpstr>
      <vt:lpstr>UNMM0020_KEISHO</vt:lpstr>
      <vt:lpstr>UNMM0020_LINK_DATETIME</vt:lpstr>
      <vt:lpstr>UNMM0020_MAIL</vt:lpstr>
      <vt:lpstr>UNMM0020_MAKER_FLG</vt:lpstr>
      <vt:lpstr>UNMM0020_MISHIYO_FLG</vt:lpstr>
      <vt:lpstr>UNMM0020_MODE_COPY_SAKI</vt:lpstr>
      <vt:lpstr>UNMM0020_NOHINSHO_FLG</vt:lpstr>
      <vt:lpstr>UNMM0020_SEIKYU_FLG</vt:lpstr>
      <vt:lpstr>UNMM0020_SEIKYU_HOHO</vt:lpstr>
      <vt:lpstr>UNMM0020_SEIKYU_HOHO_CD</vt:lpstr>
      <vt:lpstr>UNMM0020_SEIKYUSAKI_BUNRUI</vt:lpstr>
      <vt:lpstr>UNMM0020_SEIKYUSAKI_BUNRUI_CD</vt:lpstr>
      <vt:lpstr>UNMM0020_SEIKYUSAKI_CHUKI</vt:lpstr>
      <vt:lpstr>UNMM0020_SEIKYUSAKI_HASU</vt:lpstr>
      <vt:lpstr>UNMM0020_SEIKYUSAKI_HASU_SHORI_CD</vt:lpstr>
      <vt:lpstr>UNMM0020_SEIKYUSAKI_TESURYO</vt:lpstr>
      <vt:lpstr>UNMM0020_SEIKYUSAKI_TESURYO_KBN_CD</vt:lpstr>
      <vt:lpstr>UNMM0020_SEIKYUSHO_FLG</vt:lpstr>
      <vt:lpstr>UNMM0020_SEIKYUSHO_HAKKO_FLG_CHECK</vt:lpstr>
      <vt:lpstr>UNMM0020_SHIIRE_FLG</vt:lpstr>
      <vt:lpstr>UNMM0020_SHIIRE_SHIHARAI_HOHO</vt:lpstr>
      <vt:lpstr>UNMM0020_SHIIRE_SHIHARAI_HOHO_CD</vt:lpstr>
      <vt:lpstr>UNMM0020_SHIIRESAKI_CHUKI</vt:lpstr>
      <vt:lpstr>UNMM0020_SHIIRESAKI_HASU</vt:lpstr>
      <vt:lpstr>UNMM0020_SHIIRESAKI_HASU_CD</vt:lpstr>
      <vt:lpstr>UNMM0020_SHIIRESAKI_TESURYO</vt:lpstr>
      <vt:lpstr>UNMM0020_SHIIRESAKI_TESURYO_KBN_CD</vt:lpstr>
      <vt:lpstr>UNMM0020_SHINKI_FLG_COPY_SAKI</vt:lpstr>
      <vt:lpstr>UNMM0020_SPOT_FLG</vt:lpstr>
      <vt:lpstr>UNMM0020_SQL_MEISHO_HASU</vt:lpstr>
      <vt:lpstr>UNMM0020_SQL_MEISHO_KAISHU</vt:lpstr>
      <vt:lpstr>UNMM0020_SQL_MEISHO_SEIKYU</vt:lpstr>
      <vt:lpstr>UNMM0020_SQL_MEISHO_SHIHARAI</vt:lpstr>
      <vt:lpstr>UNMM0020_SQL_MEISHO_TAX</vt:lpstr>
      <vt:lpstr>UNMM0020_SQL_MEISHO_TESURYO</vt:lpstr>
      <vt:lpstr>UNMM0020_SQL_OVERLAP_CHECK</vt:lpstr>
      <vt:lpstr>UNMM0020_SQL_SANSHO_SAKUSEI</vt:lpstr>
      <vt:lpstr>UNMM0020_SQL_SELECT_AITESAKI_DATA</vt:lpstr>
      <vt:lpstr>UNMM0020_SQL_SELECT_KEISHO</vt:lpstr>
      <vt:lpstr>UNMM0020_TANTO_MEI</vt:lpstr>
      <vt:lpstr>UNMM0020_TAX_KEISAN_KBN</vt:lpstr>
      <vt:lpstr>UNMM0020_TAX_KEISAN_KBN_CD</vt:lpstr>
      <vt:lpstr>UNMM0020_TEL</vt:lpstr>
      <vt:lpstr>UNMM0020_TORIHIKI_KBN_FLG_CHECK</vt:lpstr>
      <vt:lpstr>UNMM0020_UPDATE_DATETIME</vt:lpstr>
      <vt:lpstr>UNMM0020_YUBIN</vt:lpstr>
      <vt:lpstr>UNMM0021_B_AITE_CD</vt:lpstr>
      <vt:lpstr>UNMM0021_B_ALL_KENSU</vt:lpstr>
      <vt:lpstr>UNMM0021_B_ALL_PEGE_SU</vt:lpstr>
      <vt:lpstr>UNMM0021_B_BACK_PAGE</vt:lpstr>
      <vt:lpstr>UNMM0021_B_BACK_PAGE_NUM</vt:lpstr>
      <vt:lpstr>UNMM0021_B_CTRL_HYOJI_GYO_SU</vt:lpstr>
      <vt:lpstr>UNMM0021_B_DEFALT_CURSOR</vt:lpstr>
      <vt:lpstr>UNMM0021_B_HIDE_COLUMN</vt:lpstr>
      <vt:lpstr>UNMM0021_B_HIDE_ROW</vt:lpstr>
      <vt:lpstr>UNMM0021_B_HYOJI_KENSU</vt:lpstr>
      <vt:lpstr>UNMM0021_B_LIST_CLEAR</vt:lpstr>
      <vt:lpstr>UNMM0021_B_LIST_COPY_SAKI</vt:lpstr>
      <vt:lpstr>UNMM0021_B_LIST_END</vt:lpstr>
      <vt:lpstr>UNMM0021_B_LIST_START</vt:lpstr>
      <vt:lpstr>UNMM0021_B_NEXT_PAGE</vt:lpstr>
      <vt:lpstr>UNMM0021_B_NEXT_PAGE_NUM</vt:lpstr>
      <vt:lpstr>UNMM0021_B_PAGE_NO</vt:lpstr>
      <vt:lpstr>UNMM0021_B_SCROLL_LOCK</vt:lpstr>
      <vt:lpstr>UNMM0021_B_SELECT_AITE_CD</vt:lpstr>
      <vt:lpstr>UNMM0021_B_SELECT_GYO_NO</vt:lpstr>
      <vt:lpstr>UNMM0021_B_SENTAKU</vt:lpstr>
      <vt:lpstr>UNMM0021_H_AITE_CD</vt:lpstr>
      <vt:lpstr>UNMM0021_H_DOGYO_FLG</vt:lpstr>
      <vt:lpstr>UNMM0021_H_EIGYO_TANTO_CD</vt:lpstr>
      <vt:lpstr>UNMM0021_H_EIGYO_TANTO_MEI</vt:lpstr>
      <vt:lpstr>UNMM0021_H_FLG_COPY_SAKI</vt:lpstr>
      <vt:lpstr>UNMM0021_H_FREEWD_1</vt:lpstr>
      <vt:lpstr>UNMM0021_H_FREEWD_2</vt:lpstr>
      <vt:lpstr>UNMM0021_H_FREEWD_3</vt:lpstr>
      <vt:lpstr>UNMM0021_H_FREEWD_KBN</vt:lpstr>
      <vt:lpstr>UNMM0021_H_GAICHU_FLG</vt:lpstr>
      <vt:lpstr>UNMM0021_H_HASSO_FLG</vt:lpstr>
      <vt:lpstr>UNMM0021_H_HIDE_COLUMN</vt:lpstr>
      <vt:lpstr>UNMM0021_H_HIDE_ROW</vt:lpstr>
      <vt:lpstr>UNMM0021_H_HOKOKU_FLG</vt:lpstr>
      <vt:lpstr>UNMM0021_H_KANKO_FLG</vt:lpstr>
      <vt:lpstr>UNMM0021_H_MAKER_FLG</vt:lpstr>
      <vt:lpstr>UNMM0021_H_MISHIYO_FLG</vt:lpstr>
      <vt:lpstr>UNMM0021_H_SEIKYU_FLG</vt:lpstr>
      <vt:lpstr>UNMM0021_H_SHIIRE_FLG</vt:lpstr>
      <vt:lpstr>UNMM0021_H_SPOT_FLG</vt:lpstr>
      <vt:lpstr>UNMM0021_IF_ACTIVE_CELL_NAME</vt:lpstr>
      <vt:lpstr>UNMM0021_IF_ACTIVE_COLUMN</vt:lpstr>
      <vt:lpstr>UNMM0021_IF_ACTIVE_ROW</vt:lpstr>
      <vt:lpstr>UNMM0021_IF_ACTIVE_SHEET</vt:lpstr>
      <vt:lpstr>UNMM0021_IF_B_LIST_COPY_MOTO</vt:lpstr>
      <vt:lpstr>UNMM0021_IF_B_LIST_DEFAULT</vt:lpstr>
      <vt:lpstr>UNMM0021_IF_COLUMNS</vt:lpstr>
      <vt:lpstr>UNMM0021_IF_DATA_SEARCH_CHECK</vt:lpstr>
      <vt:lpstr>UNMM0021_IF_DATA_SEARCH_FLG</vt:lpstr>
      <vt:lpstr>UNMM0021_IF_EXCEL_FILE_NAME</vt:lpstr>
      <vt:lpstr>UNMM0021_IF_FLG_COYO_MOTO</vt:lpstr>
      <vt:lpstr>UNMM0021_IF_LIST_COPY_SAKI</vt:lpstr>
      <vt:lpstr>UNMM0021_IF_LIST_START</vt:lpstr>
      <vt:lpstr>UNMM0021_IF_PASTE</vt:lpstr>
      <vt:lpstr>UNMM0021_IF_PRINT_AREA</vt:lpstr>
      <vt:lpstr>UNMM0021_IF_PRINT_COUNT</vt:lpstr>
      <vt:lpstr>UNMM0021_IF_PRINT_SHOSHIKI</vt:lpstr>
      <vt:lpstr>UNMM0021_SQL_AITE_CD</vt:lpstr>
      <vt:lpstr>UNMM0021_SQL_CONJUNCTION</vt:lpstr>
      <vt:lpstr>UNMM0021_SQL_DOGYO_FLG</vt:lpstr>
      <vt:lpstr>UNMM0021_SQL_EIGYO_TANTO_CD</vt:lpstr>
      <vt:lpstr>UNMM0021_SQL_FREEWD_1</vt:lpstr>
      <vt:lpstr>UNMM0021_SQL_FREEWD_2</vt:lpstr>
      <vt:lpstr>UNMM0021_SQL_FREEWD_3</vt:lpstr>
      <vt:lpstr>UNMM0021_SQL_FREEWD_KBN</vt:lpstr>
      <vt:lpstr>UNMM0021_SQL_FREEWORD_1</vt:lpstr>
      <vt:lpstr>UNMM0021_SQL_FREEWORD_2</vt:lpstr>
      <vt:lpstr>UNMM0021_SQL_FREEWORD_3</vt:lpstr>
      <vt:lpstr>UNMM0021_SQL_GAICHU_FLG</vt:lpstr>
      <vt:lpstr>UNMM0021_SQL_HASSO_FLG</vt:lpstr>
      <vt:lpstr>UNMM0021_SQL_HOKOKU_FLG</vt:lpstr>
      <vt:lpstr>UNMM0021_SQL_JOKEN_COPY_MOTO</vt:lpstr>
      <vt:lpstr>UNMM0021_SQL_JOKEN_COPY_SAKI</vt:lpstr>
      <vt:lpstr>UNMM0021_SQL_KANKO_FLG</vt:lpstr>
      <vt:lpstr>UNMM0021_SQL_MAKER_FLG</vt:lpstr>
      <vt:lpstr>UNMM0021_SQL_MISHIYO_FLG</vt:lpstr>
      <vt:lpstr>UNMM0021_SQL_ORDER_BY</vt:lpstr>
      <vt:lpstr>UNMM0021_SQL_ORDER_BY_COLUMN</vt:lpstr>
      <vt:lpstr>UNMM0021_SQL_PRINT</vt:lpstr>
      <vt:lpstr>UNMM0021_SQL_SEIKYU_FLG</vt:lpstr>
      <vt:lpstr>UNMM0021_SQL_SELECT_AITESAKI_LIST</vt:lpstr>
      <vt:lpstr>UNMM0021_SQL_SELECT_AITESAKI_LIST_CNT</vt:lpstr>
      <vt:lpstr>UNMM0021_SQL_SHIIRE_FLG</vt:lpstr>
      <vt:lpstr>UNMM0021_SQL_SORT_POP</vt:lpstr>
      <vt:lpstr>UNMM0021_SQL_SPOT_FLG</vt:lpstr>
      <vt:lpstr>UNMM0050_AITESAKI_SHOHIN_MEI</vt:lpstr>
      <vt:lpstr>UNMM0050_BAIKA</vt:lpstr>
      <vt:lpstr>UNMM0050_BARA_TANI</vt:lpstr>
      <vt:lpstr>UNMM0050_BIKO</vt:lpstr>
      <vt:lpstr>UNMM0050_BUNSEKI_FLOW</vt:lpstr>
      <vt:lpstr>UNMM0050_BUNSEKI_NO</vt:lpstr>
      <vt:lpstr>UNMM0050_BUNSEKI_TANI</vt:lpstr>
      <vt:lpstr>UNMM0050_BUNSEKIKOMOKU_FLG</vt:lpstr>
      <vt:lpstr>UNMM0050_CHOSEI_SHIYAKU_FLG</vt:lpstr>
      <vt:lpstr>UNMM0050_DOKU_FLG</vt:lpstr>
      <vt:lpstr>UNMM0050_DOKU_MEISHO</vt:lpstr>
      <vt:lpstr>UNMM0050_DOKU_SURYO</vt:lpstr>
      <vt:lpstr>UNMM0050_FLG_VALUE</vt:lpstr>
      <vt:lpstr>UNMM0050_GAICHU_CD</vt:lpstr>
      <vt:lpstr>UNMM0050_GAICHU_MEI</vt:lpstr>
      <vt:lpstr>UNMM0050_GENKA</vt:lpstr>
      <vt:lpstr>UNMM0050_HIDE_COLUMN</vt:lpstr>
      <vt:lpstr>UNMM0050_HIDE_ROW</vt:lpstr>
      <vt:lpstr>UNMM0050_HIMBAN</vt:lpstr>
      <vt:lpstr>UNMM0050_HOKAN</vt:lpstr>
      <vt:lpstr>UNMM0050_IF_ACTIVE_CELL_NAME</vt:lpstr>
      <vt:lpstr>UNMM0050_IF_ACTIVE_COLUMN</vt:lpstr>
      <vt:lpstr>UNMM0050_IF_ACTIVE_ROW</vt:lpstr>
      <vt:lpstr>UNMM0050_IF_ACTIVE_SHEET</vt:lpstr>
      <vt:lpstr>UNMM0050_IF_BUTTON_03_HYOJI</vt:lpstr>
      <vt:lpstr>UNMM0050_IF_BUTTON_04_HYOJI</vt:lpstr>
      <vt:lpstr>UNMM0050_IF_BUTTON_06_HYOJI</vt:lpstr>
      <vt:lpstr>UNMM0050_IF_BUTTON_06_NAME</vt:lpstr>
      <vt:lpstr>UNMM0050_IF_BUTTON_07_HYOJI</vt:lpstr>
      <vt:lpstr>UNMM0050_IF_BUTTON_09_HYOJI</vt:lpstr>
      <vt:lpstr>UNMM0050_IF_BUTTON_10_HYOJI</vt:lpstr>
      <vt:lpstr>UNMM0050_IF_BUTTON_10_NAME</vt:lpstr>
      <vt:lpstr>UNMM0050_IF_BUTTON_20_HYOJI</vt:lpstr>
      <vt:lpstr>UNMM0050_IF_DATA_SEARCH_FLG</vt:lpstr>
      <vt:lpstr>UNMM0050_IF_EXCEL_FILE_NAME</vt:lpstr>
      <vt:lpstr>UNMM0050_IF_FLG_INIT_VALUE</vt:lpstr>
      <vt:lpstr>UNMM0050_IF_HOKAN_BASHO_KBN</vt:lpstr>
      <vt:lpstr>UNMM0050_IF_INIT_DATA_COPY_MOTO</vt:lpstr>
      <vt:lpstr>UNMM0050_IF_INPUT_CHECK</vt:lpstr>
      <vt:lpstr>UNMM0050_IF_INPUT_ERROR_MESSAGE</vt:lpstr>
      <vt:lpstr>UNMM0050_IF_MODE</vt:lpstr>
      <vt:lpstr>UNMM0050_IF_MODE_SANSHO_COPY_MOTO</vt:lpstr>
      <vt:lpstr>UNMM0050_IF_MODE_SHINKI_COPY_MOTO</vt:lpstr>
      <vt:lpstr>UNMM0050_IF_MODE_SHUSEI_COPY_MOTO</vt:lpstr>
      <vt:lpstr>UNMM0050_IF_SANSHO_FLG</vt:lpstr>
      <vt:lpstr>UNMM0050_IF_SAVE_CD_ERROR</vt:lpstr>
      <vt:lpstr>UNMM0050_IF_SAVE_CHECK_ERROR_KOMOKU</vt:lpstr>
      <vt:lpstr>UNMM0050_IF_SAVE_CHECK_RESULT</vt:lpstr>
      <vt:lpstr>UNMM0050_IF_SAVE_ERROR_CHECK</vt:lpstr>
      <vt:lpstr>UNMM0050_IF_SAVE_ERROR_MESSAGE</vt:lpstr>
      <vt:lpstr>UNMM0050_IF_SAVE_RESULT_CD</vt:lpstr>
      <vt:lpstr>UNMM0050_IF_SAVE_RESULT_MESSAGE</vt:lpstr>
      <vt:lpstr>UNMM0050_IF_SHOHIN_BUNRUI</vt:lpstr>
      <vt:lpstr>UNMM0050_IF_USER_ID</vt:lpstr>
      <vt:lpstr>UNMM0050_IF_WORK_TABLE_W_MODE</vt:lpstr>
      <vt:lpstr>UNMM0050_IF_WORK_TABLE_W_ROW</vt:lpstr>
      <vt:lpstr>UNMM0050_IF_WORK_TABLE_W_SERIAL</vt:lpstr>
      <vt:lpstr>UNMM0050_IF_WORK_TABLE_W_USER_ID</vt:lpstr>
      <vt:lpstr>UNMM0050_INSERT_DATETIME</vt:lpstr>
      <vt:lpstr>UNMM0050_IRISU</vt:lpstr>
      <vt:lpstr>UNMM0050_IRISU_TANI</vt:lpstr>
      <vt:lpstr>UNMM0050_KAKAKU</vt:lpstr>
      <vt:lpstr>UNMM0050_KOBAIHIN_FLG</vt:lpstr>
      <vt:lpstr>UNMM0050_KOSU</vt:lpstr>
      <vt:lpstr>UNMM0050_LINK_DATETIME</vt:lpstr>
      <vt:lpstr>UNMM0050_MAKER_CD</vt:lpstr>
      <vt:lpstr>UNMM0050_MAKER_MEI</vt:lpstr>
      <vt:lpstr>UNMM0050_MISHIYO</vt:lpstr>
      <vt:lpstr>UNMM0050_MODE_COPY_SAKI</vt:lpstr>
      <vt:lpstr>UNMM0050_NOKI</vt:lpstr>
      <vt:lpstr>UNMM0050_SAITEI_KAKAKU</vt:lpstr>
      <vt:lpstr>UNMM0050_SHIIRE_CD</vt:lpstr>
      <vt:lpstr>UNMM0050_SHIIRE_IRISU</vt:lpstr>
      <vt:lpstr>UNMM0050_SHIIRE_IRISU_TANI</vt:lpstr>
      <vt:lpstr>UNMM0050_SHIIRE_MEI</vt:lpstr>
      <vt:lpstr>UNMM0050_SHIIRE_TANKA</vt:lpstr>
      <vt:lpstr>UNMM0050_SHIJO_KAKAKU</vt:lpstr>
      <vt:lpstr>UNMM0050_SHIKIICHI</vt:lpstr>
      <vt:lpstr>UNMM0050_SHIYAKU_FLG</vt:lpstr>
      <vt:lpstr>UNMM0050_SHIYAKU_MEI</vt:lpstr>
      <vt:lpstr>UNMM0050_SHIYAKU_NAIYO</vt:lpstr>
      <vt:lpstr>UNMM0050_SHOHIN_BUNRUI</vt:lpstr>
      <vt:lpstr>UNMM0050_SHOHIN_CD</vt:lpstr>
      <vt:lpstr>UNMM0050_SHOHIN_FLG</vt:lpstr>
      <vt:lpstr>UNMM0050_SHOHIN_MEI</vt:lpstr>
      <vt:lpstr>UNMM0050_SHOKEIHI_FLG</vt:lpstr>
      <vt:lpstr>UNMM0050_SQL_OVERLAP_CHECK</vt:lpstr>
      <vt:lpstr>UNMM0050_SQL_SELECT_SHOHIN_DATA</vt:lpstr>
      <vt:lpstr>UNMM0050_STS</vt:lpstr>
      <vt:lpstr>UNMM0050_TEIKA</vt:lpstr>
      <vt:lpstr>UNMM0050_TORIATSUKAI_KBN_FLG_CHECK</vt:lpstr>
      <vt:lpstr>UNMM0050_UPDATE_DATETIME</vt:lpstr>
      <vt:lpstr>UNMM0051_B_AITE_SHOHIN_MEI</vt:lpstr>
      <vt:lpstr>UNMM0051_B_ALL_PAGE_SU</vt:lpstr>
      <vt:lpstr>UNMM0051_B_BUNSEKI</vt:lpstr>
      <vt:lpstr>UNMM0051_B_COPY_SAKI</vt:lpstr>
      <vt:lpstr>UNMM0051_B_CTRL_HYOJI_GYO_SU</vt:lpstr>
      <vt:lpstr>UNMM0051_B_EXIST_NEXT_PAGE</vt:lpstr>
      <vt:lpstr>UNMM0051_B_EXIST_PREV_PAGE</vt:lpstr>
      <vt:lpstr>UNMM0051_B_FORMAT_COPY_FLG</vt:lpstr>
      <vt:lpstr>UNMM0051_B_HIDE_COLUMN</vt:lpstr>
      <vt:lpstr>UNMM0051_B_HIDE_ROW</vt:lpstr>
      <vt:lpstr>UNMM0051_B_HYOJI_KENSU</vt:lpstr>
      <vt:lpstr>UNMM0051_B_KENSAKU_KENSU</vt:lpstr>
      <vt:lpstr>UNMM0051_B_KOBAI</vt:lpstr>
      <vt:lpstr>UNMM0051_B_LIST_CLEAR</vt:lpstr>
      <vt:lpstr>UNMM0051_B_LIST_END</vt:lpstr>
      <vt:lpstr>UNMM0051_B_LIST_START</vt:lpstr>
      <vt:lpstr>UNMM0051_B_MAKER_CD</vt:lpstr>
      <vt:lpstr>UNMM0051_B_MAKER_MEI</vt:lpstr>
      <vt:lpstr>UNMM0051_B_MISIYO_FLG</vt:lpstr>
      <vt:lpstr>UNMM0051_B_NEXT_PAGE_NO</vt:lpstr>
      <vt:lpstr>UNMM0051_B_PAGE_NO</vt:lpstr>
      <vt:lpstr>UNMM0051_B_PREV_PAGE_NO</vt:lpstr>
      <vt:lpstr>UNMM0051_B_SCROLL_LOCK</vt:lpstr>
      <vt:lpstr>UNMM0051_B_SELECT_GYO_NO</vt:lpstr>
      <vt:lpstr>UNMM0051_B_SELECT_SHOHIN_CD</vt:lpstr>
      <vt:lpstr>UNMM0051_B_SENTAKU</vt:lpstr>
      <vt:lpstr>UNMM0051_B_SHIIRE_SAKI_CD</vt:lpstr>
      <vt:lpstr>UNMM0051_B_SHIRESAKI_MEI</vt:lpstr>
      <vt:lpstr>UNMM0051_B_SHOHIN</vt:lpstr>
      <vt:lpstr>UNMM0051_B_SHOHIN_CD</vt:lpstr>
      <vt:lpstr>UNMM0051_B_SHOHIN_MEI</vt:lpstr>
      <vt:lpstr>UNMM0051_B_SHOKEIHI</vt:lpstr>
      <vt:lpstr>UNMM0051_H_BUNSEKIKOMOKU_FLG</vt:lpstr>
      <vt:lpstr>UNMM0051_H_COPY_SAKI_INIT_WORDS</vt:lpstr>
      <vt:lpstr>UNMM0051_H_FLG_VALUE</vt:lpstr>
      <vt:lpstr>UNMM0051_H_FREEWD_1</vt:lpstr>
      <vt:lpstr>UNMM0051_H_FREEWD_2</vt:lpstr>
      <vt:lpstr>UNMM0051_H_FREEWD_3</vt:lpstr>
      <vt:lpstr>UNMM0051_H_FREEWD_KBN</vt:lpstr>
      <vt:lpstr>UNMM0051_H_HIDE_COLUMN</vt:lpstr>
      <vt:lpstr>UNMM0051_H_HIDE_ROW</vt:lpstr>
      <vt:lpstr>UNMM0051_H_KARI_STS</vt:lpstr>
      <vt:lpstr>UNMM0051_H_KOBAIHIN_FLG</vt:lpstr>
      <vt:lpstr>UNMM0051_H_MAKER_CD</vt:lpstr>
      <vt:lpstr>UNMM0051_H_MAKER_MEI</vt:lpstr>
      <vt:lpstr>UNMM0051_H_MISHIYO</vt:lpstr>
      <vt:lpstr>UNMM0051_H_SAIYO_STS</vt:lpstr>
      <vt:lpstr>UNMM0051_H_SHIIRE_CD</vt:lpstr>
      <vt:lpstr>UNMM0051_H_SHIIRE_MEI</vt:lpstr>
      <vt:lpstr>UNMM0051_H_SHOHIN_CD</vt:lpstr>
      <vt:lpstr>UNMM0051_H_SHOHIN_FLG</vt:lpstr>
      <vt:lpstr>UNMM0051_H_SHOKEIHI_FLG</vt:lpstr>
      <vt:lpstr>UNMM0051_IF_ACTIVE_CELL_NAME</vt:lpstr>
      <vt:lpstr>UNMM0051_IF_ACTIVE_COLUMN</vt:lpstr>
      <vt:lpstr>UNMM0051_IF_ACTIVE_ROW</vt:lpstr>
      <vt:lpstr>UNMM0051_IF_ACTIVE_SHEET</vt:lpstr>
      <vt:lpstr>UNMM0051_IF_B_LIST_COPY_MOTO</vt:lpstr>
      <vt:lpstr>UNMM0051_IF_B_LIST_DEFAULT</vt:lpstr>
      <vt:lpstr>UNMM0051_IF_DATA_SEARCH_FLG</vt:lpstr>
      <vt:lpstr>UNMM0051_IF_EXCEL_FILE_NAME</vt:lpstr>
      <vt:lpstr>UNMM0051_IF_FLG_INIT_VALUE</vt:lpstr>
      <vt:lpstr>UNMM0051_IF_INIT_WORDS</vt:lpstr>
      <vt:lpstr>UNMM0051_IF_LIST_COPY_SAKI</vt:lpstr>
      <vt:lpstr>UNMM0051_IF_LIST_START</vt:lpstr>
      <vt:lpstr>UNMM0051_IF_PRINT_COUNT</vt:lpstr>
      <vt:lpstr>UNMM0051_IF_PRINT_SHOSHIKI</vt:lpstr>
      <vt:lpstr>UNMM0051_IF_SENTAKU</vt:lpstr>
      <vt:lpstr>UNMM0051_SQL_BUNSEKIKOMOKU_FLG</vt:lpstr>
      <vt:lpstr>UNMM0051_SQL_FREEWD_1</vt:lpstr>
      <vt:lpstr>UNMM0051_SQL_FREEWD_2</vt:lpstr>
      <vt:lpstr>UNMM0051_SQL_FREEWD_3</vt:lpstr>
      <vt:lpstr>UNMM0051_SQL_FREEWD_KBN</vt:lpstr>
      <vt:lpstr>UNMM0051_SQL_FREEWORD1</vt:lpstr>
      <vt:lpstr>UNMM0051_SQL_FREEWORD2</vt:lpstr>
      <vt:lpstr>UNMM0051_SQL_FREEWORD3</vt:lpstr>
      <vt:lpstr>UNMM0051_SQL_INIT_SORT</vt:lpstr>
      <vt:lpstr>UNMM0051_SQL_JOKEN_COPY_MOTO</vt:lpstr>
      <vt:lpstr>UNMM0051_SQL_JOKEN_COPY_SAKI</vt:lpstr>
      <vt:lpstr>UNMM0051_SQL_KARI_STS</vt:lpstr>
      <vt:lpstr>UNMM0051_SQL_KOBAIHIN_FLG</vt:lpstr>
      <vt:lpstr>UNMM0051_SQL_MAKER_CD</vt:lpstr>
      <vt:lpstr>UNMM0051_SQL_MISHIYO</vt:lpstr>
      <vt:lpstr>UNMM0051_SQL_SAIYO_STS</vt:lpstr>
      <vt:lpstr>UNMM0051_SQL_SELECT_SHAIN_LIST</vt:lpstr>
      <vt:lpstr>UNMM0051_SQL_SELECT_SHAIN_LIST_COPY</vt:lpstr>
      <vt:lpstr>UNMM0051_SQL_SELECT_SHOHIN_LIST_CNT</vt:lpstr>
      <vt:lpstr>UNMM0051_SQL_SHIIRE_CD</vt:lpstr>
      <vt:lpstr>UNMM0051_SQL_SHOHIN_CD</vt:lpstr>
      <vt:lpstr>UNMM0051_SQL_SHOHIN_FLG</vt:lpstr>
      <vt:lpstr>UNMM0051_SQL_SHOKEIHI_FLG</vt:lpstr>
      <vt:lpstr>UNMM0051_SQL_SORT</vt:lpstr>
      <vt:lpstr>UNMM0070_BUNSEKI_GUN_CD_ERROR</vt:lpstr>
      <vt:lpstr>UNMM0070_BUNSEKI_GUN_MEI_ERROR</vt:lpstr>
      <vt:lpstr>UNMM0070_BUNSEKIKOMOKU_CD</vt:lpstr>
      <vt:lpstr>UNMM0070_BUNSEKIKOMOKU_MEI</vt:lpstr>
      <vt:lpstr>UNMM0070_BUNSEKIKOMOKUGUN_CD</vt:lpstr>
      <vt:lpstr>UNMM0070_BUNSEKIKOMOKUGUN_MEI</vt:lpstr>
      <vt:lpstr>UNMM0070_CTRL_HYOJI_GYO_SU</vt:lpstr>
      <vt:lpstr>UNMM0070_HIDE_COLUMN</vt:lpstr>
      <vt:lpstr>UNMM0070_HIDE_ROW</vt:lpstr>
      <vt:lpstr>UNMM0070_HYOJI_BUNSEKIKOMIKU</vt:lpstr>
      <vt:lpstr>UNMM0070_HYOJI_KENSU</vt:lpstr>
      <vt:lpstr>UNMM0070_IF_ACTIVE_CELL_NAME</vt:lpstr>
      <vt:lpstr>UNMM0070_IF_ACTIVE_COLUMN</vt:lpstr>
      <vt:lpstr>UNMM0070_IF_ACTIVE_ROW</vt:lpstr>
      <vt:lpstr>UNMM0070_IF_ACTIVE_SHEET</vt:lpstr>
      <vt:lpstr>UNMM0070_IF_BUTTON_04_HYOJI</vt:lpstr>
      <vt:lpstr>UNMM0070_IF_BUTTON_06_FONTCOLOR</vt:lpstr>
      <vt:lpstr>UNMM0070_IF_BUTTON_06_HYOJI</vt:lpstr>
      <vt:lpstr>UNMM0070_IF_BUTTON_06_NAME</vt:lpstr>
      <vt:lpstr>UNMM0070_IF_BUTTON_07_HYOJI</vt:lpstr>
      <vt:lpstr>UNMM0070_IF_BUTTON_09_HYOJI</vt:lpstr>
      <vt:lpstr>UNMM0070_IF_BUTTON_10_FONTCOLOR</vt:lpstr>
      <vt:lpstr>UNMM0070_IF_BUTTON_10_HYOJI</vt:lpstr>
      <vt:lpstr>UNMM0070_IF_BUTTON_10_NAME</vt:lpstr>
      <vt:lpstr>UNMM0070_IF_BUTTON_13_HYOJI</vt:lpstr>
      <vt:lpstr>UNMM0070_IF_BUTTON_14_ERROR</vt:lpstr>
      <vt:lpstr>UNMM0070_IF_BUTTON_14_HYOJI</vt:lpstr>
      <vt:lpstr>UNMM0070_IF_BUTTON_20_HYOJI</vt:lpstr>
      <vt:lpstr>UNMM0070_IF_DATA_SEARCH_FLG</vt:lpstr>
      <vt:lpstr>UNMM0070_IF_EXCEL_FILE_NAME</vt:lpstr>
      <vt:lpstr>UNMM0070_IF_LIST_COPY</vt:lpstr>
      <vt:lpstr>UNMM0070_IF_LIST_DEFAULT</vt:lpstr>
      <vt:lpstr>UNMM0070_IF_LIST_SANSHO_COPY</vt:lpstr>
      <vt:lpstr>UNMM0070_IF_MODE</vt:lpstr>
      <vt:lpstr>UNMM0070_IF_MODE_SANSHO_COPY_MOTO</vt:lpstr>
      <vt:lpstr>UNMM0070_IF_MODE_SHINKI_COPY_MOTO</vt:lpstr>
      <vt:lpstr>UNMM0070_IF_MODE_SHUSEI_COPY_MOTO</vt:lpstr>
      <vt:lpstr>UNMM0070_IF_SAVE_BUNSEKIKOMOKU_GUN_CD</vt:lpstr>
      <vt:lpstr>UNMM0070_IF_SAVE_BUNSEKIKOMOKU_GUN_MEI</vt:lpstr>
      <vt:lpstr>UNMM0070_IF_SAVE_CLEAR</vt:lpstr>
      <vt:lpstr>UNMM0070_IF_SAVE_COPY_MOTO</vt:lpstr>
      <vt:lpstr>UNMM0070_IF_SAVE_COPY_SAKI</vt:lpstr>
      <vt:lpstr>UNMM0070_IF_SAVE_COPY_START</vt:lpstr>
      <vt:lpstr>UNMM0070_IF_SAVE_DELETE_CHECK</vt:lpstr>
      <vt:lpstr>UNMM0070_IF_SAVE_ERROR_CHECK</vt:lpstr>
      <vt:lpstr>UNMM0070_IF_SAVE_ERROR_MESSAGE</vt:lpstr>
      <vt:lpstr>UNMM0070_IF_SAVE_INPUT_CHECK</vt:lpstr>
      <vt:lpstr>UNMM0070_IF_SAVE_RESULT_CD</vt:lpstr>
      <vt:lpstr>UNMM0070_IF_SAVE_RESULT_MESSAGE</vt:lpstr>
      <vt:lpstr>UNMM0070_IF_SAVE_SEQ</vt:lpstr>
      <vt:lpstr>UNMM0070_IF_SAVE_W_MODE</vt:lpstr>
      <vt:lpstr>UNMM0070_IF_SAVE_W_ROW</vt:lpstr>
      <vt:lpstr>UNMM0070_IF_SAVE_W_SERIAL</vt:lpstr>
      <vt:lpstr>UNMM0070_IF_SAVE_W_USER_ID</vt:lpstr>
      <vt:lpstr>UNMM0070_KENSU_DECREMENT</vt:lpstr>
      <vt:lpstr>UNMM0070_KENSU_INCREMENT</vt:lpstr>
      <vt:lpstr>UNMM0070_LIST_BUNSEKIKOMOKUGUN_CD</vt:lpstr>
      <vt:lpstr>UNMM0070_LIST_CLEAR</vt:lpstr>
      <vt:lpstr>UNMM0070_LIST_COPY_SAKI</vt:lpstr>
      <vt:lpstr>UNMM0070_LIST_END</vt:lpstr>
      <vt:lpstr>UNMM0070_LIST_INS_DEL</vt:lpstr>
      <vt:lpstr>UNMM0070_LIST_INSERT_SAKI</vt:lpstr>
      <vt:lpstr>UNMM0070_LIST_START</vt:lpstr>
      <vt:lpstr>UNMM0070_MODE_COPY_SAKI</vt:lpstr>
      <vt:lpstr>UNMM0070_SELECT_BUNSEKIKOMOKU_CD</vt:lpstr>
      <vt:lpstr>UNMM0070_SELECT_GYO_NO</vt:lpstr>
      <vt:lpstr>UNMM0070_SENTAKU</vt:lpstr>
      <vt:lpstr>UNMM0070_SET_BUNSEKIKOMOKU_CD</vt:lpstr>
      <vt:lpstr>UNMM0070_SET_BUNSEKIKOMOKU_MEI</vt:lpstr>
      <vt:lpstr>UNMM0070_SET_BUNSEKIKOMOKU_TANI</vt:lpstr>
      <vt:lpstr>UNMM0070_SQL_SELECT_BUNSEKIKOMOKUGUN_LIST</vt:lpstr>
      <vt:lpstr>UNMM0070_TANI</vt:lpstr>
      <vt:lpstr>UNMM0070_YOBI_GYOSU</vt:lpstr>
      <vt:lpstr>UNMM0070_YOBI_LIST_COPY_SAKI</vt:lpstr>
      <vt:lpstr>UNMM0080_B_ALL_KETA</vt:lpstr>
      <vt:lpstr>UNMM0080_B_KATA</vt:lpstr>
      <vt:lpstr>UNMM0080_B_KOBAN</vt:lpstr>
      <vt:lpstr>UNMM0080_B_MEISHO</vt:lpstr>
      <vt:lpstr>UNMM0080_B_NYURYOKU</vt:lpstr>
      <vt:lpstr>UNMM0080_B_SELECT_GYO_NO</vt:lpstr>
      <vt:lpstr>UNMM0080_B_SETTEICHI</vt:lpstr>
      <vt:lpstr>UNMM0080_B_SHOSU_KETA</vt:lpstr>
      <vt:lpstr>UNMM0080_BUNSEKI_CD</vt:lpstr>
      <vt:lpstr>UNMM0080_GYO_SU_HENDOU_DEC</vt:lpstr>
      <vt:lpstr>UNMM0080_GYO_SU_HENDOU_INC</vt:lpstr>
      <vt:lpstr>UNMM0080_H_BUNSEKIKOMOKU_CD</vt:lpstr>
      <vt:lpstr>UNMM0080_H_BUNSEKIKOMOKU_MEI</vt:lpstr>
      <vt:lpstr>UNMM0080_HIDE_COLUMN</vt:lpstr>
      <vt:lpstr>UNMM0080_HIDE_ROW</vt:lpstr>
      <vt:lpstr>UNMM0080_HYOJI_KENSU</vt:lpstr>
      <vt:lpstr>UNMM0080_IF_BUTTON_02_HYOJI</vt:lpstr>
      <vt:lpstr>UNMM0080_IF_BUTTON_04_HYOJI</vt:lpstr>
      <vt:lpstr>UNMM0080_IF_BUTTON_06_NAME</vt:lpstr>
      <vt:lpstr>UNMM0080_IF_BUTTON_07_HYOJI</vt:lpstr>
      <vt:lpstr>UNMM0080_IF_BUTTON_09_HYOJI</vt:lpstr>
      <vt:lpstr>UNMM0080_IF_BUTTON_10_HYOJI</vt:lpstr>
      <vt:lpstr>UNMM0080_IF_BUTTON_13_HYOJI</vt:lpstr>
      <vt:lpstr>UNMM0080_IF_BUTTON_14_ERROR</vt:lpstr>
      <vt:lpstr>UNMM0080_IF_BUTTON_14_HYOJI</vt:lpstr>
      <vt:lpstr>UNMM0080_IF_BUTTON_20_HYOJI</vt:lpstr>
      <vt:lpstr>UNMM0080_IF_DATA_SEARCH_FLG</vt:lpstr>
      <vt:lpstr>UNMM0080_IF_EXCEL_FILE_NAME</vt:lpstr>
      <vt:lpstr>UNMM0080_IF_KOBAN</vt:lpstr>
      <vt:lpstr>UNMM0080_IF_LIST_COPY_MODE_SANSHO_MOTO</vt:lpstr>
      <vt:lpstr>UNMM0080_IF_LIST_COPY_MODE_SHUSEI_MOTO</vt:lpstr>
      <vt:lpstr>UNMM0080_IF_LIST_DEFAULT</vt:lpstr>
      <vt:lpstr>UNMM0080_IF_MODE</vt:lpstr>
      <vt:lpstr>UNMM0080_IF_SAVE_COPY_MOTO</vt:lpstr>
      <vt:lpstr>UNMM0080_IF_SAVE_COPY_SAKI</vt:lpstr>
      <vt:lpstr>UNMM0080_IF_SAVE_COPY_START</vt:lpstr>
      <vt:lpstr>UNMM0080_IF_SAVE_ERROR_CHECK</vt:lpstr>
      <vt:lpstr>UNMM0080_IF_SAVE_ERROR_MESSAGE</vt:lpstr>
      <vt:lpstr>UNMM0080_IF_SAVE_INPUT_CHECK</vt:lpstr>
      <vt:lpstr>UNMM0080_IF_SAVE_INPUT_CHECK_COLUMN</vt:lpstr>
      <vt:lpstr>UNMM0080_IF_SAVE_RESULT_CD</vt:lpstr>
      <vt:lpstr>UNMM0080_IF_SAVE_RESULT_MESSAGE</vt:lpstr>
      <vt:lpstr>UNMM0080_IF_SAVE_W_MODE</vt:lpstr>
      <vt:lpstr>UNMM0080_IF_SAVE_W_SERIAL</vt:lpstr>
      <vt:lpstr>UNMM0080_IF_SAVE_W_USER_ID</vt:lpstr>
      <vt:lpstr>UNMM0080_IF_UPDATE_START</vt:lpstr>
      <vt:lpstr>UNMM0080_LIST_CLEAR</vt:lpstr>
      <vt:lpstr>UNMM0080_LIST_SHOSHIKI_COPY_SAKI</vt:lpstr>
      <vt:lpstr>UNMM0080_LIST_START</vt:lpstr>
      <vt:lpstr>UNMM0080_LIST_SUSHIKI_COPY_SAKI</vt:lpstr>
      <vt:lpstr>UNMM0080_SCROLL_LOCK</vt:lpstr>
      <vt:lpstr>UNMM0080_SELECT_RANGE</vt:lpstr>
      <vt:lpstr>UNMM0080_SHOSHIKI_SELECT_RANGE</vt:lpstr>
      <vt:lpstr>UNMM0080_SQL_NYURYOKU_HOHO</vt:lpstr>
      <vt:lpstr>UNMM0080_SQL_RETSU_KATA</vt:lpstr>
      <vt:lpstr>UNMM0080_SQL_SELECT_INFO_LIST</vt:lpstr>
      <vt:lpstr>UNMM0090_HIDE_COLUMN</vt:lpstr>
      <vt:lpstr>UNMM0090_HIDE_ROW</vt:lpstr>
      <vt:lpstr>UNMM0090_IF_BUTTON_04_HYOJI</vt:lpstr>
      <vt:lpstr>UNMM0090_IF_BUTTON_06_FONTCOLOR</vt:lpstr>
      <vt:lpstr>UNMM0090_IF_BUTTON_06_HYOJI</vt:lpstr>
      <vt:lpstr>UNMM0090_IF_BUTTON_06_NAME</vt:lpstr>
      <vt:lpstr>UNMM0090_IF_BUTTON_07_HYOJI</vt:lpstr>
      <vt:lpstr>UNMM0090_IF_BUTTON_09_HYOJI</vt:lpstr>
      <vt:lpstr>UNMM0090_IF_BUTTON_10_FONTCOLOR</vt:lpstr>
      <vt:lpstr>UNMM0090_IF_BUTTON_10_HYOJI</vt:lpstr>
      <vt:lpstr>UNMM0090_IF_BUTTON_10_NAME</vt:lpstr>
      <vt:lpstr>UNMM0090_IF_BUTTON_20_HYOJI</vt:lpstr>
      <vt:lpstr>UNMM0090_IF_EXCEL_FILE_NAME</vt:lpstr>
      <vt:lpstr>UNMM0090_IF_MODE</vt:lpstr>
      <vt:lpstr>UNMM0090_IF_MODE_SANSHO_COPY_MOTO</vt:lpstr>
      <vt:lpstr>UNMM0090_IF_MODE_SHINKI_COPY_MOTO</vt:lpstr>
      <vt:lpstr>UNMM0090_IF_MODE_SHUSEI_COPY_MOTO</vt:lpstr>
      <vt:lpstr>UNMM0090_IF_SAVE_DELETE_CHECK</vt:lpstr>
      <vt:lpstr>UNMM0090_IF_SAVE_ERROR_CHECK</vt:lpstr>
      <vt:lpstr>UNMM0090_IF_SAVE_ERROR_MESSAGE</vt:lpstr>
      <vt:lpstr>UNMM0090_IF_SAVE_INPUT_CHECK</vt:lpstr>
      <vt:lpstr>UNMM0090_IF_SAVE_RESULT_CD</vt:lpstr>
      <vt:lpstr>UNMM0090_IF_SAVE_RESULT_MESSAGE</vt:lpstr>
      <vt:lpstr>UNMM0090_IF_SAVE_W_MODE</vt:lpstr>
      <vt:lpstr>UNMM0090_IF_SAVE_W_ROW</vt:lpstr>
      <vt:lpstr>UNMM0090_IF_SAVE_W_SERIAL</vt:lpstr>
      <vt:lpstr>UNMM0090_IF_SAVE_W_USER_ID</vt:lpstr>
      <vt:lpstr>UNMM0090_MODE_COPY_SAKI</vt:lpstr>
      <vt:lpstr>UNMM0090_SQL_SELECT_YOSAN_DATA</vt:lpstr>
      <vt:lpstr>UNMM0090_YOSAN_CD</vt:lpstr>
      <vt:lpstr>UNMM0090_YOSAN_MEI</vt:lpstr>
      <vt:lpstr>UNMM0091_B_ALL_KENSU</vt:lpstr>
      <vt:lpstr>UNMM0091_B_ALL_PEGE_SU</vt:lpstr>
      <vt:lpstr>UNMM0091_B_BACK_PAGE</vt:lpstr>
      <vt:lpstr>UNMM0091_B_BACK_PAGE_NUM</vt:lpstr>
      <vt:lpstr>UNMM0091_B_CTRL_HYOJI_GYO_SU</vt:lpstr>
      <vt:lpstr>UNMM0091_B_HIDE_COLUMN</vt:lpstr>
      <vt:lpstr>UNMM0091_B_HIDE_ROW</vt:lpstr>
      <vt:lpstr>UNMM0091_B_HYOJI_KENSU</vt:lpstr>
      <vt:lpstr>UNMM0091_B_LIST_CLEAR</vt:lpstr>
      <vt:lpstr>UNMM0091_B_LIST_COPY_SAKI</vt:lpstr>
      <vt:lpstr>UNMM0091_B_LIST_END</vt:lpstr>
      <vt:lpstr>UNMM0091_B_LIST_START</vt:lpstr>
      <vt:lpstr>UNMM0091_B_NEXT_PAGE</vt:lpstr>
      <vt:lpstr>UNMM0091_B_NEXT_PAGE_NUM</vt:lpstr>
      <vt:lpstr>UNMM0091_B_PAGE_NO</vt:lpstr>
      <vt:lpstr>UNMM0091_B_SCROLL_LOCK</vt:lpstr>
      <vt:lpstr>UNMM0091_B_SELECT_GYO_NO</vt:lpstr>
      <vt:lpstr>UNMM0091_B_SELECT_YOSAN_CD</vt:lpstr>
      <vt:lpstr>UNMM0091_B_SENTAKU</vt:lpstr>
      <vt:lpstr>UNMM0091_B_YOSAN_CD</vt:lpstr>
      <vt:lpstr>UNMM0091_B_YOSAN_MEI</vt:lpstr>
      <vt:lpstr>UNMM0091_H_FREEWD_1</vt:lpstr>
      <vt:lpstr>UNMM0091_H_FREEWD_2</vt:lpstr>
      <vt:lpstr>UNMM0091_H_FREEWD_3</vt:lpstr>
      <vt:lpstr>UNMM0091_H_FREEWD_KBN</vt:lpstr>
      <vt:lpstr>UNMM0091_H_HIDE_COLUMN</vt:lpstr>
      <vt:lpstr>UNMM0091_H_HIDE_ROW</vt:lpstr>
      <vt:lpstr>UNMM0091_H_YOSAN_CD_END</vt:lpstr>
      <vt:lpstr>UNMM0091_H_YOSAN_CD_START</vt:lpstr>
      <vt:lpstr>UNMM0091_IF_ACTIVE_CELL_NAME</vt:lpstr>
      <vt:lpstr>UNMM0091_IF_ACTIVE_COLUMN</vt:lpstr>
      <vt:lpstr>UNMM0091_IF_ACTIVE_ROW</vt:lpstr>
      <vt:lpstr>UNMM0091_IF_ACTIVE_SHEET</vt:lpstr>
      <vt:lpstr>UNMM0091_IF_B_LIST_COPY_MOTO</vt:lpstr>
      <vt:lpstr>UNMM0091_IF_B_LIST_DEFAULT</vt:lpstr>
      <vt:lpstr>UNMM0091_IF_DATA_SEARCH_CHECK</vt:lpstr>
      <vt:lpstr>UNMM0091_IF_DATA_SEARCH_FLG</vt:lpstr>
      <vt:lpstr>UNMM0091_IF_EXCEL_FILE_NAME</vt:lpstr>
      <vt:lpstr>UNMM0091_IF_LIST_COPY_SAKI</vt:lpstr>
      <vt:lpstr>UNMM0091_IF_LIST_START</vt:lpstr>
      <vt:lpstr>UNMM0091_IF_PRINT_COUNT</vt:lpstr>
      <vt:lpstr>UNMM0091_IF_SENTAKU</vt:lpstr>
      <vt:lpstr>UNMM0091_SQL_CONJUNCTION</vt:lpstr>
      <vt:lpstr>UNMM0091_SQL_FREEWD_1</vt:lpstr>
      <vt:lpstr>UNMM0091_SQL_FREEWD_2</vt:lpstr>
      <vt:lpstr>UNMM0091_SQL_FREEWD_3</vt:lpstr>
      <vt:lpstr>UNMM0091_SQL_FREEWD_KBN</vt:lpstr>
      <vt:lpstr>UNMM0091_SQL_FREEWORD_1</vt:lpstr>
      <vt:lpstr>UNMM0091_SQL_FREEWORD_2</vt:lpstr>
      <vt:lpstr>UNMM0091_SQL_FREEWORD_3</vt:lpstr>
      <vt:lpstr>UNMM0091_SQL_JOKEN_COPY_MOTO</vt:lpstr>
      <vt:lpstr>UNMM0091_SQL_JOKEN_COPY_SAKI</vt:lpstr>
      <vt:lpstr>UNMM0091_SQL_ORDER_BY</vt:lpstr>
      <vt:lpstr>UNMM0091_SQL_SELECT_YOSAN_LIST</vt:lpstr>
      <vt:lpstr>UNMM0091_SQL_SELECT_YOSAN_LIST_CNT</vt:lpstr>
      <vt:lpstr>UNMM0091_SQL_SELECT_YOSAN_LIST_COPY</vt:lpstr>
      <vt:lpstr>UNMM0091_SQL_SORT_POP</vt:lpstr>
      <vt:lpstr>UNMM0091_SQL_YOSAN_CD_END</vt:lpstr>
      <vt:lpstr>UNMM0091_SQL_YOSAN_CD_START</vt:lpstr>
      <vt:lpstr>UNMM0100_B_GHO</vt:lpstr>
      <vt:lpstr>UNMM0100_B_GYO_SU_HENDOU_DEC</vt:lpstr>
      <vt:lpstr>UNMM0100_B_GYO_SU_HENDOU_INC</vt:lpstr>
      <vt:lpstr>UNMM0100_B_HIDE_COLUMN</vt:lpstr>
      <vt:lpstr>UNMM0100_B_HIDE_ROW</vt:lpstr>
      <vt:lpstr>UNMM0100_B_HYOJI_KENSU</vt:lpstr>
      <vt:lpstr>UNMM0100_B_INFO_ID</vt:lpstr>
      <vt:lpstr>UNMM0100_B_LIST_CLEAR</vt:lpstr>
      <vt:lpstr>UNMM0100_B_LIST_SHOSHIKI_COPY_SAKI</vt:lpstr>
      <vt:lpstr>UNMM0100_B_LIST_START</vt:lpstr>
      <vt:lpstr>UNMM0100_B_LIST_SUSHIKI_COPY_SAKI</vt:lpstr>
      <vt:lpstr>UNMM0100_B_SCROLL_LOCK</vt:lpstr>
      <vt:lpstr>UNMM0100_B_SEARCH_CLEAR_MEI</vt:lpstr>
      <vt:lpstr>UNMM0100_B_SEARCH_RESULT_CD</vt:lpstr>
      <vt:lpstr>UNMM0100_B_SEARCH_RESULT_MEI</vt:lpstr>
      <vt:lpstr>UNMM0100_B_SELECT_RANGE</vt:lpstr>
      <vt:lpstr>UNMM0100_B_SHOSHIKI_SELECT_RANGE</vt:lpstr>
      <vt:lpstr>UNMM0100_B_TUCHI_BUSHO</vt:lpstr>
      <vt:lpstr>UNMM0100_B_TUCHI_BUSHO_CD</vt:lpstr>
      <vt:lpstr>UNMM0100_B_TUCHI_TANTOSHA</vt:lpstr>
      <vt:lpstr>UNMM0100_B_TUCHI_TANTOSHA_CD</vt:lpstr>
      <vt:lpstr>UNMM0100_H_HIDE_COLUMN</vt:lpstr>
      <vt:lpstr>UNMM0100_H_HIDE_ROW</vt:lpstr>
      <vt:lpstr>UNMM0100_H_INFO_ID</vt:lpstr>
      <vt:lpstr>UNMM0100_H_INFO_KBN</vt:lpstr>
      <vt:lpstr>UNMM0100_H_INFO_MEI</vt:lpstr>
      <vt:lpstr>UNMM0100_H_INFO_MESSAGE</vt:lpstr>
      <vt:lpstr>UNMM0100_H_NYURYOKUSHA_FLG</vt:lpstr>
      <vt:lpstr>UNMM0100_H_RED_FLG</vt:lpstr>
      <vt:lpstr>UNMM0100_IF_ACTIVE_CELL_NAME</vt:lpstr>
      <vt:lpstr>UNMM0100_IF_ACTIVE_COLUMN</vt:lpstr>
      <vt:lpstr>UNMM0100_IF_ACTIVE_ROW</vt:lpstr>
      <vt:lpstr>UNMM0100_IF_ACTIVE_SHEET</vt:lpstr>
      <vt:lpstr>UNMM0100_IF_B_LIST_COPY_MODE_SANSHO_MOTO</vt:lpstr>
      <vt:lpstr>UNMM0100_IF_B_LIST_COPY_MODE_SHUSEI_MOTO</vt:lpstr>
      <vt:lpstr>UNMM0100_IF_B_LIST_DEFAULT</vt:lpstr>
      <vt:lpstr>UNMM0100_IF_BUTTON_06_NAME</vt:lpstr>
      <vt:lpstr>UNMM0100_IF_BUTTON_09_HYOJI</vt:lpstr>
      <vt:lpstr>UNMM0100_IF_BUTTON_10_HYOJI</vt:lpstr>
      <vt:lpstr>UNMM0100_IF_BUTTON_13_HYOJI</vt:lpstr>
      <vt:lpstr>UNMM0100_IF_BUTTON_14_ERROR</vt:lpstr>
      <vt:lpstr>UNMM0100_IF_BUTTON_14_HYOJI</vt:lpstr>
      <vt:lpstr>UNMM0100_IF_BUTTON_20_HYOJI</vt:lpstr>
      <vt:lpstr>UNMM0100_IF_DATA_SEARCH_FLG</vt:lpstr>
      <vt:lpstr>UNMM0100_IF_EXCEL_FILE_NAME</vt:lpstr>
      <vt:lpstr>UNMM0100_IF_GYO_NO</vt:lpstr>
      <vt:lpstr>UNMM0100_IF_MODE</vt:lpstr>
      <vt:lpstr>UNMM0100_IF_SAVE_COPY_MOTO</vt:lpstr>
      <vt:lpstr>UNMM0100_IF_SAVE_COPY_SAKI</vt:lpstr>
      <vt:lpstr>UNMM0100_IF_SAVE_COPY_START</vt:lpstr>
      <vt:lpstr>UNMM0100_IF_SAVE_ERROR_CHECK</vt:lpstr>
      <vt:lpstr>UNMM0100_IF_SAVE_ERROR_MESSAGE</vt:lpstr>
      <vt:lpstr>UNMM0100_IF_SAVE_GYO_SU</vt:lpstr>
      <vt:lpstr>UNMM0100_IF_SAVE_INPUT_CHECK</vt:lpstr>
      <vt:lpstr>UNMM0100_IF_SAVE_INPUT_CHECK_COLUMN</vt:lpstr>
      <vt:lpstr>UNMM0100_IF_SAVE_RESULT_CD</vt:lpstr>
      <vt:lpstr>UNMM0100_IF_SAVE_RESULT_MESSAGE</vt:lpstr>
      <vt:lpstr>UNMM0100_IF_SAVE_SEQ</vt:lpstr>
      <vt:lpstr>UNMM0100_IF_SAVE_W_MODE</vt:lpstr>
      <vt:lpstr>UNMM0100_IF_SAVE_W_SERIAL</vt:lpstr>
      <vt:lpstr>UNMM0100_IF_SAVE_W_USER_ID</vt:lpstr>
      <vt:lpstr>UNMM0100_IF_UPDATE_START</vt:lpstr>
      <vt:lpstr>UNMM0100_SQL_SELECT_INFO_LIST</vt:lpstr>
      <vt:lpstr>UNMM0110_B_CODE_KETASU</vt:lpstr>
      <vt:lpstr>UNMM0110_B_CODE_ZOKUSEI</vt:lpstr>
      <vt:lpstr>UNMM0110_B_DATA_KETASU</vt:lpstr>
      <vt:lpstr>UNMM0110_B_DBS_STATUS</vt:lpstr>
      <vt:lpstr>UNMM0110_B_DBS_UPDATE_DATE</vt:lpstr>
      <vt:lpstr>UNMM0110_B_GET_DATA_SU</vt:lpstr>
      <vt:lpstr>UNMM0110_B_GYO_SU_HENDOU</vt:lpstr>
      <vt:lpstr>UNMM0110_B_GYO_SU_HENDOU_DEC</vt:lpstr>
      <vt:lpstr>UNMM0110_B_GYO_SU_HENDOU_INC</vt:lpstr>
      <vt:lpstr>UNMM0110_B_HIDE_COLUMN</vt:lpstr>
      <vt:lpstr>UNMM0110_B_HIDE_ROW</vt:lpstr>
      <vt:lpstr>UNMM0110_B_HYOJI_KENSU</vt:lpstr>
      <vt:lpstr>UNMM0110_B_LIST_CLEAR</vt:lpstr>
      <vt:lpstr>UNMM0110_B_LIST_COPY_SAKI1</vt:lpstr>
      <vt:lpstr>UNMM0110_B_LIST_COPY_SAKI2</vt:lpstr>
      <vt:lpstr>UNMM0110_B_LIST_END</vt:lpstr>
      <vt:lpstr>UNMM0110_B_LIST_START</vt:lpstr>
      <vt:lpstr>UNMM0110_B_MEISHO</vt:lpstr>
      <vt:lpstr>UNMM0110_B_MEISHO_KBN</vt:lpstr>
      <vt:lpstr>UNMM0110_B_SCROLL_LOCK</vt:lpstr>
      <vt:lpstr>UNMM0110_B_SELECT_CODE_KETASU</vt:lpstr>
      <vt:lpstr>UNMM0110_B_SELECT_CODE_ZOKUSEI</vt:lpstr>
      <vt:lpstr>UNMM0110_B_SELECT_DATA_KETASU</vt:lpstr>
      <vt:lpstr>UNMM0110_B_SELECT_GYO_NO</vt:lpstr>
      <vt:lpstr>UNMM0110_B_SELECT_MEISHO</vt:lpstr>
      <vt:lpstr>UNMM0110_B_SELECT_MEISHO_KBN</vt:lpstr>
      <vt:lpstr>UNMM0110_B_SELECT_RANGE</vt:lpstr>
      <vt:lpstr>UNMM0110_B_SENTAKU</vt:lpstr>
      <vt:lpstr>UNMM0110_B_SHOSHIKI_SELECT_RANGE</vt:lpstr>
      <vt:lpstr>UNMM0110_B_TSUIKAHYOJI_KENSU</vt:lpstr>
      <vt:lpstr>UNMM0110_H_HIDE_COLUMN</vt:lpstr>
      <vt:lpstr>UNMM0110_H_HIDE_ROW</vt:lpstr>
      <vt:lpstr>UNMM0110_H_MEISHO_KBN</vt:lpstr>
      <vt:lpstr>UNMM0110_IF_B_LIST_COPY_MODE_SANSHO_MOTO</vt:lpstr>
      <vt:lpstr>UNMM0110_IF_B_LIST_COPY_MODE_SHUSEI_MOTO</vt:lpstr>
      <vt:lpstr>UNMM0110_IF_B_LIST_DEFAULT</vt:lpstr>
      <vt:lpstr>UNMM0110_IF_BUTTON_03_HYOJI</vt:lpstr>
      <vt:lpstr>UNMM0110_IF_BUTTON_04_HYOJI</vt:lpstr>
      <vt:lpstr>UNMM0110_IF_BUTTON_06_NAME</vt:lpstr>
      <vt:lpstr>UNMM0110_IF_BUTTON_09_HYOJI</vt:lpstr>
      <vt:lpstr>UNMM0110_IF_BUTTON_10_HYOJI</vt:lpstr>
      <vt:lpstr>UNMM0110_IF_BUTTON_13_HYOJI</vt:lpstr>
      <vt:lpstr>UNMM0110_IF_BUTTON_14_ERROR</vt:lpstr>
      <vt:lpstr>UNMM0110_IF_BUTTON_18_HYOJI</vt:lpstr>
      <vt:lpstr>UNMM0110_IF_BUTTON_20_HYOJI</vt:lpstr>
      <vt:lpstr>UNMM0110_IF_CODE_ZOKUSEI_LIST</vt:lpstr>
      <vt:lpstr>UNMM0110_IF_DELETE_KBN</vt:lpstr>
      <vt:lpstr>UNMM0110_IF_EXCEL_FILE_NAME</vt:lpstr>
      <vt:lpstr>UNMM0110_IF_GYO_NO</vt:lpstr>
      <vt:lpstr>UNMM0110_IF_MODE</vt:lpstr>
      <vt:lpstr>UNMM0110_IF_SAVE_COPY_MOTO</vt:lpstr>
      <vt:lpstr>UNMM0110_IF_SAVE_COPY_SAKI</vt:lpstr>
      <vt:lpstr>UNMM0110_IF_SAVE_COPY_START</vt:lpstr>
      <vt:lpstr>UNMM0110_IF_SAVE_ERROR_CHECK</vt:lpstr>
      <vt:lpstr>UNMM0110_IF_SAVE_ERROR_MESSAGE</vt:lpstr>
      <vt:lpstr>UNMM0110_IF_SAVE_GYO_SU</vt:lpstr>
      <vt:lpstr>UNMM0110_IF_SAVE_INPUT_CHECK</vt:lpstr>
      <vt:lpstr>UNMM0110_IF_SAVE_INPUT_CHECK_COLUMN</vt:lpstr>
      <vt:lpstr>UNMM0110_IF_SAVE_RESULT_CD</vt:lpstr>
      <vt:lpstr>UNMM0110_IF_SAVE_RESULT_MESSAGE</vt:lpstr>
      <vt:lpstr>UNMM0110_IF_SAVE_W_MODE</vt:lpstr>
      <vt:lpstr>UNMM0110_IF_SAVE_W_SERIAL</vt:lpstr>
      <vt:lpstr>UNMM0110_IF_SAVE_W_USER_ID</vt:lpstr>
      <vt:lpstr>UNMM0110_IF_UPDATE_START</vt:lpstr>
      <vt:lpstr>UNMM0110_SQL_SELECT_MEISHO_LIST</vt:lpstr>
      <vt:lpstr>UNMM0111_B_DATA_1</vt:lpstr>
      <vt:lpstr>UNMM0111_B_DATA_2</vt:lpstr>
      <vt:lpstr>UNMM0111_B_GET_DATA_SU</vt:lpstr>
      <vt:lpstr>UNMM0111_B_GYO_SU_HENDOU</vt:lpstr>
      <vt:lpstr>UNMM0111_B_GYO_SU_HENDOU_DEC</vt:lpstr>
      <vt:lpstr>UNMM0111_B_GYO_SU_HENDOU_INC</vt:lpstr>
      <vt:lpstr>UNMM0111_B_HIDE_COLUMN</vt:lpstr>
      <vt:lpstr>UNMM0111_B_HIDE_ROW</vt:lpstr>
      <vt:lpstr>UNMM0111_B_HYOJI_KENSU</vt:lpstr>
      <vt:lpstr>UNMM0111_B_LIST_CLEAR</vt:lpstr>
      <vt:lpstr>UNMM0111_B_LIST_OBJECT_COPY_SAKI1</vt:lpstr>
      <vt:lpstr>UNMM0111_B_LIST_OBJECT_COPY_SAKI2</vt:lpstr>
      <vt:lpstr>UNMM0111_B_LIST_SHOSHIKI_COPY_SAKI1</vt:lpstr>
      <vt:lpstr>UNMM0111_B_LIST_SHOSHIKI_COPY_SAKI2</vt:lpstr>
      <vt:lpstr>UNMM0111_B_LIST_START</vt:lpstr>
      <vt:lpstr>UNMM0111_B_MEISHO_CD</vt:lpstr>
      <vt:lpstr>UNMM0111_B_MEISHO_KBN</vt:lpstr>
      <vt:lpstr>UNMM0111_B_MISHIYO</vt:lpstr>
      <vt:lpstr>UNMM0111_B_MISHIYO_FLG</vt:lpstr>
      <vt:lpstr>UNMM0111_B_SCROLL_LOCK</vt:lpstr>
      <vt:lpstr>UNMM0111_B_SELECT_GYO_NO</vt:lpstr>
      <vt:lpstr>UNMM0111_B_SELECT_RANGE</vt:lpstr>
      <vt:lpstr>UNMM0111_B_SENTAKU</vt:lpstr>
      <vt:lpstr>UNMM0111_B_SHOSHIKI_SELECT_RANGE</vt:lpstr>
      <vt:lpstr>UNMM0111_B_SORT</vt:lpstr>
      <vt:lpstr>UNMM0111_B_TSUIKAHYOJI_KENSU</vt:lpstr>
      <vt:lpstr>UNMM0111_H_HIDE_COLUMN</vt:lpstr>
      <vt:lpstr>UNMM0111_H_HIDE_ROW</vt:lpstr>
      <vt:lpstr>UNMM0111_H_MEISHO</vt:lpstr>
      <vt:lpstr>UNMM0111_H_MEISHO_KBN</vt:lpstr>
      <vt:lpstr>UNMM0111_IF_B_CHECKBOX_MODE_SANSHO</vt:lpstr>
      <vt:lpstr>UNMM0111_IF_B_CHECKBOX_MODE_SHUSEI</vt:lpstr>
      <vt:lpstr>UNMM0111_IF_B_LIST_COPY_MODE_SANSHO_MOTO</vt:lpstr>
      <vt:lpstr>UNMM0111_IF_B_LIST_COPY_MODE_SHUSEI_MOTO</vt:lpstr>
      <vt:lpstr>UNMM0111_IF_B_LIST_DEFAULT</vt:lpstr>
      <vt:lpstr>UNMM0111_IF_BUTTON_04_HYOJI</vt:lpstr>
      <vt:lpstr>UNMM0111_IF_BUTTON_06_NAME</vt:lpstr>
      <vt:lpstr>UNMM0111_IF_BUTTON_09_HYOJI</vt:lpstr>
      <vt:lpstr>UNMM0111_IF_BUTTON_10_HYOJI</vt:lpstr>
      <vt:lpstr>UNMM0111_IF_BUTTON_13_HYOJI</vt:lpstr>
      <vt:lpstr>UNMM0111_IF_BUTTON_14_ERROR</vt:lpstr>
      <vt:lpstr>UNMM0111_IF_BUTTON_14_HYOJI</vt:lpstr>
      <vt:lpstr>UNMM0111_IF_BUTTON_20_HYOJI</vt:lpstr>
      <vt:lpstr>UNMM0111_IF_CODE_KETA</vt:lpstr>
      <vt:lpstr>UNMM0111_IF_DATA_KETA</vt:lpstr>
      <vt:lpstr>UNMM0111_IF_EXCEL_FILE_NAME</vt:lpstr>
      <vt:lpstr>UNMM0111_IF_GYO_NO</vt:lpstr>
      <vt:lpstr>UNMM0111_IF_MODE</vt:lpstr>
      <vt:lpstr>UNMM0111_IF_SAVE_COPY_MOTO</vt:lpstr>
      <vt:lpstr>UNMM0111_IF_SAVE_COPY_SAKI</vt:lpstr>
      <vt:lpstr>UNMM0111_IF_SAVE_COPY_START</vt:lpstr>
      <vt:lpstr>UNMM0111_IF_SAVE_ERROR_CHECK</vt:lpstr>
      <vt:lpstr>UNMM0111_IF_SAVE_ERROR_MESSAGE</vt:lpstr>
      <vt:lpstr>UNMM0111_IF_SAVE_GYO_SU</vt:lpstr>
      <vt:lpstr>UNMM0111_IF_SAVE_INPUT_CHECK</vt:lpstr>
      <vt:lpstr>UNMM0111_IF_SAVE_INPUT_CHECK_COLUMN</vt:lpstr>
      <vt:lpstr>UNMM0111_IF_SAVE_RESULT_CD</vt:lpstr>
      <vt:lpstr>UNMM0111_IF_SAVE_RESULT_MESSAGE</vt:lpstr>
      <vt:lpstr>UNMM0111_IF_SAVE_W_MODE</vt:lpstr>
      <vt:lpstr>UNMM0111_IF_SAVE_W_SERIAL</vt:lpstr>
      <vt:lpstr>UNMM0111_IF_SAVE_W_USER_ID</vt:lpstr>
      <vt:lpstr>UNMM0111_IF_UPDATE_START</vt:lpstr>
      <vt:lpstr>UNMM0111_IF_ZOKUSEI</vt:lpstr>
      <vt:lpstr>UNMM0111_SQL_SELECT_MEISHO_DATA</vt:lpstr>
      <vt:lpstr>UNMM0130_COMMON_INFO</vt:lpstr>
      <vt:lpstr>UNMM0130_DAIHYOSYA_MEI</vt:lpstr>
      <vt:lpstr>UNMM0130_HIDE_COLUMN</vt:lpstr>
      <vt:lpstr>UNMM0130_HIDE_ROW</vt:lpstr>
      <vt:lpstr>UNMM0130_HYOJI_GYO_SU</vt:lpstr>
      <vt:lpstr>UNMM0130_IF_ACTIVE_CELL_NAME</vt:lpstr>
      <vt:lpstr>UNMM0130_IF_ACTIVE_COLUMN</vt:lpstr>
      <vt:lpstr>UNMM0130_IF_ACTIVE_ROW</vt:lpstr>
      <vt:lpstr>UNMM0130_IF_ACTIVE_SHEET</vt:lpstr>
      <vt:lpstr>UNMM0130_IF_BUTTON_02_HYOJI</vt:lpstr>
      <vt:lpstr>UNMM0130_IF_BUTTON_06_NAME</vt:lpstr>
      <vt:lpstr>UNMM0130_IF_BUTTON_09_HYOJI</vt:lpstr>
      <vt:lpstr>UNMM0130_IF_BUTTON_10_HYOJI</vt:lpstr>
      <vt:lpstr>UNMM0130_IF_BUTTON_11_HYOJI</vt:lpstr>
      <vt:lpstr>UNMM0130_IF_BUTTON_20_HYOJI</vt:lpstr>
      <vt:lpstr>UNMM0130_IF_DATA_SEARCH_FLG</vt:lpstr>
      <vt:lpstr>UNMM0130_IF_EXCEL_FILE_NAME</vt:lpstr>
      <vt:lpstr>UNMM0130_IF_IMG_CELL</vt:lpstr>
      <vt:lpstr>UNMM0130_IF_IMG_SAVE_CHECK_FLG</vt:lpstr>
      <vt:lpstr>UNMM0130_IF_IMG_SAVE_KIZON_FLG</vt:lpstr>
      <vt:lpstr>UNMM0130_IF_IMG_SAVE_LOCAL_FOLDER_PATH</vt:lpstr>
      <vt:lpstr>UNMM0130_IF_IMG_SAVE_LOCAL_PATH</vt:lpstr>
      <vt:lpstr>UNMM0130_IF_IMG_SAVE_UPDATE_FLG</vt:lpstr>
      <vt:lpstr>UNMM0130_IF_IMG_SAVE_UPLOAD_FOLDER_PATH</vt:lpstr>
      <vt:lpstr>UNMM0130_IF_IMG_SAVE_UPLOAD_PATH</vt:lpstr>
      <vt:lpstr>UNMM0130_IF_IMG_SELECT_FILE</vt:lpstr>
      <vt:lpstr>UNMM0130_IF_IMG_SELECT_FOLDER</vt:lpstr>
      <vt:lpstr>UNMM0130_IF_IMG_SELECT_PATH</vt:lpstr>
      <vt:lpstr>UNMM0130_IF_MODE</vt:lpstr>
      <vt:lpstr>UNMM0130_IF_MODE_CLEAR_COPY_MOTO</vt:lpstr>
      <vt:lpstr>UNMM0130_IF_MODE_SANSHO_COPY_MOTO</vt:lpstr>
      <vt:lpstr>UNMM0130_IF_MODE_SHUSEI_COPY_MOTO</vt:lpstr>
      <vt:lpstr>UNMM0130_IF_SAVE_COMMON_INFO</vt:lpstr>
      <vt:lpstr>UNMM0130_IF_SAVE_DAIHYO_MEI</vt:lpstr>
      <vt:lpstr>UNMM0130_IF_SAVE_ERROR_CHECK</vt:lpstr>
      <vt:lpstr>UNMM0130_IF_SAVE_ERROR_MESSAGE</vt:lpstr>
      <vt:lpstr>UNMM0130_IF_SAVE_HYOJI_GYO_SU</vt:lpstr>
      <vt:lpstr>UNMM0130_IF_SAVE_KAISHA_MARK_PATH</vt:lpstr>
      <vt:lpstr>UNMM0130_IF_SAVE_RESULT_CD</vt:lpstr>
      <vt:lpstr>UNMM0130_IF_SAVE_RESULT_MESSAGE</vt:lpstr>
      <vt:lpstr>UNMM0130_IF_SAVE_SEIKYUSAKI_MASTER_LINK_DATE_TIME</vt:lpstr>
      <vt:lpstr>UNMM0130_IF_SAVE_SHIIRESAKI_MASTER_LINK_DATE_TIME</vt:lpstr>
      <vt:lpstr>UNMM0130_IF_SAVE_SHOHIN_MASTER_LINK_DATE_TIME</vt:lpstr>
      <vt:lpstr>UNMM0130_IF_SAVE_TAX_1</vt:lpstr>
      <vt:lpstr>UNMM0130_IF_SAVE_TAX_1_DATE</vt:lpstr>
      <vt:lpstr>UNMM0130_IF_SAVE_TAX_2</vt:lpstr>
      <vt:lpstr>UNMM0130_IF_SAVE_TAX_2_DATE</vt:lpstr>
      <vt:lpstr>UNMM0130_IF_SAVE_W_MODE</vt:lpstr>
      <vt:lpstr>UNMM0130_IF_SAVE_W_ROW</vt:lpstr>
      <vt:lpstr>UNMM0130_IF_SAVE_W_SERIAL</vt:lpstr>
      <vt:lpstr>UNMM0130_IF_SAVE_W_USER_ID</vt:lpstr>
      <vt:lpstr>UNMM0130_IF_SUSHIKI_COPY_MOTO</vt:lpstr>
      <vt:lpstr>UNMM0130_INSERT_DATETIME</vt:lpstr>
      <vt:lpstr>UNMM0130_JISSHI_DATE_1</vt:lpstr>
      <vt:lpstr>UNMM0130_JISSHI_DATE_2</vt:lpstr>
      <vt:lpstr>UNMM0130_KAISHA_MARK_PATH</vt:lpstr>
      <vt:lpstr>UNMM0130_MODE_CLEAR_COPY_SAKI</vt:lpstr>
      <vt:lpstr>UNMM0130_MODE_SHOSHIKI_COPY_SAKI</vt:lpstr>
      <vt:lpstr>UNMM0130_MODE_SUSHIKI_COPY_SAKI</vt:lpstr>
      <vt:lpstr>UNMM0130_SEIKYUSAKI_LINK_DATE_TIME</vt:lpstr>
      <vt:lpstr>UNMM0130_SHIIRESAKI_LINK_DATE_TIME</vt:lpstr>
      <vt:lpstr>UNMM0130_SHOHIN_LINK_DATE_TIME</vt:lpstr>
      <vt:lpstr>UNMM0130_SQL_CTRL_KEY</vt:lpstr>
      <vt:lpstr>UNMM0130_SQL_SELECT_CONTROL_LIST</vt:lpstr>
      <vt:lpstr>UNMM0130_TAX_1</vt:lpstr>
      <vt:lpstr>UNMM0130_TAX_2</vt:lpstr>
      <vt:lpstr>UNMM0130_UPDATE_DATETIME</vt:lpstr>
      <vt:lpstr>UNMM0130_ZEI_1</vt:lpstr>
      <vt:lpstr>UNMM0130_ZEI_2</vt:lpstr>
      <vt:lpstr>UNMM0131_B_CALENDAR_LIST_1</vt:lpstr>
      <vt:lpstr>UNMM0131_B_CALENDAR_LIST_10</vt:lpstr>
      <vt:lpstr>UNMM0131_B_CALENDAR_LIST_11</vt:lpstr>
      <vt:lpstr>UNMM0131_B_CALENDAR_LIST_12</vt:lpstr>
      <vt:lpstr>UNMM0131_B_CALENDAR_LIST_3</vt:lpstr>
      <vt:lpstr>UNMM0131_B_CALENDAR_LIST_4</vt:lpstr>
      <vt:lpstr>UNMM0131_B_CALENDAR_LIST_5</vt:lpstr>
      <vt:lpstr>UNMM0131_B_CALENDAR_LIST_6</vt:lpstr>
      <vt:lpstr>UNMM0131_B_CALENDAR_LIST_7</vt:lpstr>
      <vt:lpstr>UNMM0131_B_CALENDAR_LIST_8</vt:lpstr>
      <vt:lpstr>UNMM0131_B_CALENDAR_LIST_9</vt:lpstr>
      <vt:lpstr>UNMM0131_B_DATA_CHECK</vt:lpstr>
      <vt:lpstr>UNMM0131_B_DATE_1</vt:lpstr>
      <vt:lpstr>UNMM0131_B_DATE_10</vt:lpstr>
      <vt:lpstr>UNMM0131_B_DATE_11</vt:lpstr>
      <vt:lpstr>UNMM0131_B_DATE_12</vt:lpstr>
      <vt:lpstr>UNMM0131_B_DATE_2</vt:lpstr>
      <vt:lpstr>UNMM0131_B_DATE_3</vt:lpstr>
      <vt:lpstr>UNMM0131_B_DATE_4</vt:lpstr>
      <vt:lpstr>UNMM0131_B_DATE_5</vt:lpstr>
      <vt:lpstr>UNMM0131_B_DATE_6</vt:lpstr>
      <vt:lpstr>UNMM0131_B_DATE_7</vt:lpstr>
      <vt:lpstr>UNMM0131_B_DATE_8</vt:lpstr>
      <vt:lpstr>UNMM0131_B_DATE_9</vt:lpstr>
      <vt:lpstr>UNMM0131_B_HIDE_COLUMN</vt:lpstr>
      <vt:lpstr>UNMM0131_B_HIDE_ROW</vt:lpstr>
      <vt:lpstr>UNMM0131_B_KBN_1</vt:lpstr>
      <vt:lpstr>UNMM0131_B_KBN_10</vt:lpstr>
      <vt:lpstr>UNMM0131_B_KBN_11</vt:lpstr>
      <vt:lpstr>UNMM0131_B_KBN_12</vt:lpstr>
      <vt:lpstr>UNMM0131_B_KBN_2</vt:lpstr>
      <vt:lpstr>UNMM0131_B_KBN_3</vt:lpstr>
      <vt:lpstr>UNMM0131_B_KBN_4</vt:lpstr>
      <vt:lpstr>UNMM0131_B_KBN_5</vt:lpstr>
      <vt:lpstr>UNMM0131_B_KBN_6</vt:lpstr>
      <vt:lpstr>UNMM0131_B_KBN_7</vt:lpstr>
      <vt:lpstr>UNMM0131_B_KBN_8</vt:lpstr>
      <vt:lpstr>UNMM0131_B_KBN_9</vt:lpstr>
      <vt:lpstr>UNMM0131_B_LIST_COPY_MOTO_RANGE1</vt:lpstr>
      <vt:lpstr>UNMM0131_B_LIST_COPY_MOTO_RANGE10</vt:lpstr>
      <vt:lpstr>UNMM0131_B_LIST_COPY_MOTO_RANGE11</vt:lpstr>
      <vt:lpstr>UNMM0131_B_LIST_COPY_MOTO_RANGE12</vt:lpstr>
      <vt:lpstr>UNMM0131_B_LIST_COPY_MOTO_RANGE2</vt:lpstr>
      <vt:lpstr>UNMM0131_B_LIST_COPY_MOTO_RANGE3</vt:lpstr>
      <vt:lpstr>UNMM0131_B_LIST_COPY_MOTO_RANGE4</vt:lpstr>
      <vt:lpstr>UNMM0131_B_LIST_COPY_MOTO_RANGE5</vt:lpstr>
      <vt:lpstr>UNMM0131_B_LIST_COPY_MOTO_RANGE6</vt:lpstr>
      <vt:lpstr>UNMM0131_B_LIST_COPY_MOTO_RANGE7</vt:lpstr>
      <vt:lpstr>UNMM0131_B_LIST_COPY_MOTO_RANGE8</vt:lpstr>
      <vt:lpstr>UNMM0131_B_LIST_COPY_MOTO_RANGE9</vt:lpstr>
      <vt:lpstr>UNMM0131_B_LIST_COPY_MOTO_START</vt:lpstr>
      <vt:lpstr>UNMM0131_B_LIST_SHOSHIKI_COPY_SAKI</vt:lpstr>
      <vt:lpstr>UNMM0131_B_LIST_START</vt:lpstr>
      <vt:lpstr>UNMM0131_B_MONTH_1</vt:lpstr>
      <vt:lpstr>UNMM0131_B_MONTH_10</vt:lpstr>
      <vt:lpstr>UNMM0131_B_MONTH_11</vt:lpstr>
      <vt:lpstr>UNMM0131_B_MONTH_12</vt:lpstr>
      <vt:lpstr>UNMM0131_B_MONTH_2</vt:lpstr>
      <vt:lpstr>UNMM0131_B_MONTH_3</vt:lpstr>
      <vt:lpstr>UNMM0131_B_MONTH_4</vt:lpstr>
      <vt:lpstr>UNMM0131_B_MONTH_5</vt:lpstr>
      <vt:lpstr>UNMM0131_B_MONTH_6</vt:lpstr>
      <vt:lpstr>UNMM0131_B_MONTH_7</vt:lpstr>
      <vt:lpstr>UNMM0131_B_MONTH_8</vt:lpstr>
      <vt:lpstr>UNMM0131_B_MONTH_9</vt:lpstr>
      <vt:lpstr>UNMM0131_B_WEEK_1</vt:lpstr>
      <vt:lpstr>UNMM0131_B_WEEK_10</vt:lpstr>
      <vt:lpstr>UNMM0131_B_WEEK_11</vt:lpstr>
      <vt:lpstr>UNMM0131_B_WEEK_12</vt:lpstr>
      <vt:lpstr>UNMM0131_B_WEEK_2</vt:lpstr>
      <vt:lpstr>UNMM0131_B_WEEK_3</vt:lpstr>
      <vt:lpstr>UNMM0131_B_WEEK_4</vt:lpstr>
      <vt:lpstr>UNMM0131_B_WEEK_5</vt:lpstr>
      <vt:lpstr>UNMM0131_B_WEEK_6</vt:lpstr>
      <vt:lpstr>UNMM0131_B_WEEK_7</vt:lpstr>
      <vt:lpstr>UNMM0131_B_WEEK_8</vt:lpstr>
      <vt:lpstr>UNMM0131_B_WEEK_9</vt:lpstr>
      <vt:lpstr>UNMM0131_H_HIDE_COLUMN</vt:lpstr>
      <vt:lpstr>UNMM0131_H_HIDE_ROW</vt:lpstr>
      <vt:lpstr>UNMM0131_H_LIST_YEAR_COPY_MOTO</vt:lpstr>
      <vt:lpstr>UNMM0131_H_LIST_YEAR_COPY_SAKI</vt:lpstr>
      <vt:lpstr>UNMM0131_H_LIST_YEAR_RANGE</vt:lpstr>
      <vt:lpstr>UNMM0131_H_LIST_YEAR_START</vt:lpstr>
      <vt:lpstr>UNMM0131_H_YEAR</vt:lpstr>
      <vt:lpstr>UNMM0131_IF_BUTTON_03_HYOJI</vt:lpstr>
      <vt:lpstr>UNMM0131_IF_BUTTON_06_NAME</vt:lpstr>
      <vt:lpstr>UNMM0131_IF_BUTTON_09_HYOJI</vt:lpstr>
      <vt:lpstr>UNMM0131_IF_BUTTON_10_HYOJI</vt:lpstr>
      <vt:lpstr>UNMM0131_IF_BUTTON_11_HYOJI</vt:lpstr>
      <vt:lpstr>UNMM0131_IF_BUTTON_12_HYOJI</vt:lpstr>
      <vt:lpstr>UNMM0131_IF_BUTTON_20_HYOJI</vt:lpstr>
      <vt:lpstr>UNMM0131_IF_EXCEL_FILE_NAME</vt:lpstr>
      <vt:lpstr>UNMM0131_IF_LIST_COPY_MODE_SANSHO_MOTO</vt:lpstr>
      <vt:lpstr>UNMM0131_IF_LIST_COPY_MODE_SHUSEI_MOTO</vt:lpstr>
      <vt:lpstr>UNMM0131_IF_MODE</vt:lpstr>
      <vt:lpstr>UNMM0131_IF_SAVE_COPY_MOTO</vt:lpstr>
      <vt:lpstr>UNMM0131_IF_SAVE_COPY_SAKI</vt:lpstr>
      <vt:lpstr>UNMM0131_IF_SAVE_COPY_START</vt:lpstr>
      <vt:lpstr>UNMM0131_IF_SAVE_ERROR_CHECK</vt:lpstr>
      <vt:lpstr>UNMM0131_IF_SAVE_ERROR_MESSAGE</vt:lpstr>
      <vt:lpstr>UNMM0131_IF_SAVE_GYO_SU</vt:lpstr>
      <vt:lpstr>UNMM0131_IF_SAVE_INPUT_CHECK</vt:lpstr>
      <vt:lpstr>UNMM0131_IF_SAVE_INPUT_CHECK_COLUMN</vt:lpstr>
      <vt:lpstr>UNMM0131_IF_SAVE_RESULT_CD</vt:lpstr>
      <vt:lpstr>UNMM0131_IF_SAVE_RESULT_MESSAGE</vt:lpstr>
      <vt:lpstr>UNMM0131_IF_SAVE_W_MODE</vt:lpstr>
      <vt:lpstr>UNMM0131_IF_SAVE_W_SERIAL</vt:lpstr>
      <vt:lpstr>UNMM0131_IF_SAVE_W_USER_ID</vt:lpstr>
      <vt:lpstr>UNMM0131_IF_UPDATE_START</vt:lpstr>
      <vt:lpstr>UNMM0131_SQL_CALENDAR_KBN</vt:lpstr>
      <vt:lpstr>UNMM0131_SQL_SELECT_CALENDAR_LIST</vt:lpstr>
      <vt:lpstr>UNMM0150_B_ALL_KENSU</vt:lpstr>
      <vt:lpstr>UNMM0150_B_ALL_PEGE_SU</vt:lpstr>
      <vt:lpstr>UNMM0150_B_BACK_PAGE</vt:lpstr>
      <vt:lpstr>UNMM0150_B_BACK_PAGE_NUM</vt:lpstr>
      <vt:lpstr>UNMM0150_B_BUN_SORT_MEI</vt:lpstr>
      <vt:lpstr>UNMM0150_B_BUNSEKI_HOHO_CD</vt:lpstr>
      <vt:lpstr>UNMM0150_B_CTRL_HYOJI_GYO_SU</vt:lpstr>
      <vt:lpstr>UNMM0150_B_DEFAULT_FLG</vt:lpstr>
      <vt:lpstr>UNMM0150_B_DEFAULT_HYOJI</vt:lpstr>
      <vt:lpstr>UNMM0150_B_DEFAULT_SET_FLG</vt:lpstr>
      <vt:lpstr>UNMM0150_B_HIDE_COLUMN</vt:lpstr>
      <vt:lpstr>UNMM0150_B_HIDE_ROW</vt:lpstr>
      <vt:lpstr>UNMM0150_B_HYOJI_KENSU</vt:lpstr>
      <vt:lpstr>UNMM0150_B_LIST_CLEAR</vt:lpstr>
      <vt:lpstr>UNMM0150_B_LIST_COPY_SAKI</vt:lpstr>
      <vt:lpstr>UNMM0150_B_LIST_DEFAULT</vt:lpstr>
      <vt:lpstr>UNMM0150_B_LIST_END</vt:lpstr>
      <vt:lpstr>UNMM0150_B_LIST_START</vt:lpstr>
      <vt:lpstr>UNMM0150_B_NEXT_PAGE</vt:lpstr>
      <vt:lpstr>UNMM0150_B_NEXT_PAGE_NUM</vt:lpstr>
      <vt:lpstr>UNMM0150_B_PAGE_NO</vt:lpstr>
      <vt:lpstr>UNMM0150_B_SCROLL_LOCK</vt:lpstr>
      <vt:lpstr>UNMM0150_B_SELECT_BUN_SORT_MEI</vt:lpstr>
      <vt:lpstr>UNMM0150_B_SELECT_BUNSEKI_HOHO_CD</vt:lpstr>
      <vt:lpstr>UNMM0150_B_SELECT_DEFAULT_FLG</vt:lpstr>
      <vt:lpstr>UNMM0150_B_SELECT_GYO_NO</vt:lpstr>
      <vt:lpstr>UNMM0150_B_SELECT_SEQ</vt:lpstr>
      <vt:lpstr>UNMM0150_B_SENTAKU</vt:lpstr>
      <vt:lpstr>UNMM0150_B_SEQ</vt:lpstr>
      <vt:lpstr>UNMM0150_H_BUNSEKI_HOHO_CD</vt:lpstr>
      <vt:lpstr>UNMM0150_H_BUNSEKI_HOHO_CD_FLG</vt:lpstr>
      <vt:lpstr>UNMM0150_H_BUNSEKI_HOHO_MEI</vt:lpstr>
      <vt:lpstr>UNMM0150_H_COPY_SAKI</vt:lpstr>
      <vt:lpstr>UNMM0150_H_HIDE_COLUMN</vt:lpstr>
      <vt:lpstr>UNMM0150_H_HIDE_ROW</vt:lpstr>
      <vt:lpstr>UNMM0150_IF_ACTIVE_CELL_NAME</vt:lpstr>
      <vt:lpstr>UNMM0150_IF_ACTIVE_COLUMN</vt:lpstr>
      <vt:lpstr>UNMM0150_IF_ACTIVE_ROW</vt:lpstr>
      <vt:lpstr>UNMM0150_IF_ACTIVE_SHEET</vt:lpstr>
      <vt:lpstr>UNMM0150_IF_B_LIST_COPY_MOTO</vt:lpstr>
      <vt:lpstr>UNMM0150_IF_B_LIST_DEFAULT</vt:lpstr>
      <vt:lpstr>UNMM0150_IF_DATA_SEARCH_CHECK</vt:lpstr>
      <vt:lpstr>UNMM0150_IF_DATA_SEARCH_FLG</vt:lpstr>
      <vt:lpstr>UNMM0150_IF_LIST_BUNSEKIHOHO_KENSU</vt:lpstr>
      <vt:lpstr>UNMM0150_IF_LIST_BUNSEKIHOHO_START</vt:lpstr>
      <vt:lpstr>UNMM0150_IF_MODE</vt:lpstr>
      <vt:lpstr>UNMM0150_SQL_MEISHO_BUNSEKI_HOHO</vt:lpstr>
      <vt:lpstr>UNMM0150_SQL_ORDER_BY</vt:lpstr>
      <vt:lpstr>UNMM0150_SQL_SELECT_BUNSEKI_HOHO_LIST</vt:lpstr>
      <vt:lpstr>UNMM0150_SQL_SELECT_BUNSEKI_HOHO_LIST_CNT</vt:lpstr>
      <vt:lpstr>UNMM0150_SQL_SORT_POP</vt:lpstr>
      <vt:lpstr>UNMM0151_BUN_SORT_MEI</vt:lpstr>
      <vt:lpstr>UNMM0151_BUNSEKI_BUN_SORT_MEI</vt:lpstr>
      <vt:lpstr>UNMM0151_BUNSEKI_CD</vt:lpstr>
      <vt:lpstr>UNMM0151_BUNSEKI_HOHO_CD</vt:lpstr>
      <vt:lpstr>UNMM0151_BUNSEKI_HOHO_CD_B</vt:lpstr>
      <vt:lpstr>UNMM0151_BUNSEKI_HOHO_MEI</vt:lpstr>
      <vt:lpstr>UNMM0151_BUNSEKI_KOMOKU_GUN_CD</vt:lpstr>
      <vt:lpstr>UNMM0151_BUNSEKI_MEI</vt:lpstr>
      <vt:lpstr>UNMM0151_BUNSEKI_SEQ</vt:lpstr>
      <vt:lpstr>UNMM0151_BUNSEKI_SORT_NO</vt:lpstr>
      <vt:lpstr>UNMM0151_BUNSEKI_W_SERIAL</vt:lpstr>
      <vt:lpstr>UNMM0151_BUNSEKI_W_USER_ID</vt:lpstr>
      <vt:lpstr>UNMM0151_CELL_JUMP_SAKI</vt:lpstr>
      <vt:lpstr>UNMM0151_COPY_SAKI</vt:lpstr>
      <vt:lpstr>UNMM0151_DELETE</vt:lpstr>
      <vt:lpstr>UNMM0151_DELETE_FLG</vt:lpstr>
      <vt:lpstr>UNMM0151_GYO_COPY_SAKI_1</vt:lpstr>
      <vt:lpstr>UNMM0151_GYO_COPY_SAKI_2</vt:lpstr>
      <vt:lpstr>UNMM0151_GYO_INSERT</vt:lpstr>
      <vt:lpstr>UNMM0151_GYO_INSERT_NO</vt:lpstr>
      <vt:lpstr>UNMM0151_GYO_INSERT_SELECT_CELL</vt:lpstr>
      <vt:lpstr>UNMM0151_GYO_NO</vt:lpstr>
      <vt:lpstr>UNMM0151_HIDE_COLUMN</vt:lpstr>
      <vt:lpstr>UNMM0151_HIDE_ROW</vt:lpstr>
      <vt:lpstr>UNMM0151_IF_ACTIVE_CELL_NAME</vt:lpstr>
      <vt:lpstr>UNMM0151_IF_ACTIVE_COLUMN</vt:lpstr>
      <vt:lpstr>UNMM0151_IF_ACTIVE_ROW</vt:lpstr>
      <vt:lpstr>UNMM0151_IF_ACTIVE_SHEET</vt:lpstr>
      <vt:lpstr>UNMM0151_IF_BUTTON_04_HYOJI</vt:lpstr>
      <vt:lpstr>UNMM0151_IF_BUTTON_06_FONTCOLOR</vt:lpstr>
      <vt:lpstr>UNMM0151_IF_BUTTON_06_HYOJI</vt:lpstr>
      <vt:lpstr>UNMM0151_IF_BUTTON_06_NAME</vt:lpstr>
      <vt:lpstr>UNMM0151_IF_BUTTON_07_HYOJI</vt:lpstr>
      <vt:lpstr>UNMM0151_IF_BUTTON_09_HYOJI</vt:lpstr>
      <vt:lpstr>UNMM0151_IF_BUTTON_10_FONTCOLOR</vt:lpstr>
      <vt:lpstr>UNMM0151_IF_BUTTON_10_HYOJI</vt:lpstr>
      <vt:lpstr>UNMM0151_IF_BUTTON_10_NAME</vt:lpstr>
      <vt:lpstr>UNMM0151_IF_BUTTON_11_HYOJI</vt:lpstr>
      <vt:lpstr>UNMM0151_IF_BUTTON_12_HYOJI</vt:lpstr>
      <vt:lpstr>UNMM0151_IF_CHECKBOX_COPY_MOTO</vt:lpstr>
      <vt:lpstr>UNMM0151_IF_COPY_B_SANSHO</vt:lpstr>
      <vt:lpstr>UNMM0151_IF_COPY_B_SHINKI</vt:lpstr>
      <vt:lpstr>UNMM0151_IF_COPY_B_SHUSEI</vt:lpstr>
      <vt:lpstr>UNMM0151_IF_DATA_SEARCH_FLG</vt:lpstr>
      <vt:lpstr>UNMM0151_IF_DUPLICATE_CHECK</vt:lpstr>
      <vt:lpstr>UNMM0151_IF_KOMOKUGUN_ADD_MESSAGE</vt:lpstr>
      <vt:lpstr>UNMM0151_IF_LIST_DELETE</vt:lpstr>
      <vt:lpstr>UNMM0151_IF_LIST_DUPLICATE</vt:lpstr>
      <vt:lpstr>UNMM0151_IF_MODE</vt:lpstr>
      <vt:lpstr>UNMM0151_IF_MULTI_SELECT_CHECK</vt:lpstr>
      <vt:lpstr>UNMM0151_IF_MULTI_SELECT_COPY_MOTO</vt:lpstr>
      <vt:lpstr>UNMM0151_IF_MULTI_SELECT_FLG</vt:lpstr>
      <vt:lpstr>UNMM0151_IF_MULTI_SELECT_GYO_INCREMENT</vt:lpstr>
      <vt:lpstr>UNMM0151_IF_MULTI_SELECT_KENSU</vt:lpstr>
      <vt:lpstr>UNMM0151_IF_MULTI_SELECT_LIST_BUNSEKI_CD</vt:lpstr>
      <vt:lpstr>UNMM0151_IF_MULTI_SELECT_SHOSHIKI_COPY_SAKI</vt:lpstr>
      <vt:lpstr>UNMM0151_IF_MULTI_SELECT_TENKAI_KENSU</vt:lpstr>
      <vt:lpstr>UNMM0151_IF_MULTI_SELECT_TENKAI_START</vt:lpstr>
      <vt:lpstr>UNMM0151_IF_SANSHO_COPY_MOTO</vt:lpstr>
      <vt:lpstr>UNMM0151_IF_SAVE_COPY_MOTO</vt:lpstr>
      <vt:lpstr>UNMM0151_IF_SAVE_COPY_SAKI</vt:lpstr>
      <vt:lpstr>UNMM0151_IF_SAVE_COPY_START</vt:lpstr>
      <vt:lpstr>UNMM0151_IF_SAVE_DEFAULT_FLG</vt:lpstr>
      <vt:lpstr>UNMM0151_IF_SAVE_DELETE_CHECK</vt:lpstr>
      <vt:lpstr>UNMM0151_IF_SAVE_ERROR_CHECK</vt:lpstr>
      <vt:lpstr>UNMM0151_IF_SAVE_ERROR_MESSAGE</vt:lpstr>
      <vt:lpstr>UNMM0151_IF_SAVE_INPUT_CHECK</vt:lpstr>
      <vt:lpstr>UNMM0151_IF_SAVE_KENSU</vt:lpstr>
      <vt:lpstr>UNMM0151_IF_SAVE_LIST_W_USER_ID</vt:lpstr>
      <vt:lpstr>UNMM0151_IF_SAVE_RESULT_CD</vt:lpstr>
      <vt:lpstr>UNMM0151_IF_SAVE_RESULT_MESSAGE</vt:lpstr>
      <vt:lpstr>UNMM0151_IF_SAVE_SEQ</vt:lpstr>
      <vt:lpstr>UNMM0151_IF_SAVE_TENKAI_START</vt:lpstr>
      <vt:lpstr>UNMM0151_IF_SAVE_W_MODE</vt:lpstr>
      <vt:lpstr>UNMM0151_IF_SAVE_W_ROW</vt:lpstr>
      <vt:lpstr>UNMM0151_IF_SAVE_W_SERIAL</vt:lpstr>
      <vt:lpstr>UNMM0151_IF_SAVE_W_SERIAL_CREATE</vt:lpstr>
      <vt:lpstr>UNMM0151_IF_SAVE_W_USER_ID</vt:lpstr>
      <vt:lpstr>UNMM0151_IF_SAVE0_CHECK</vt:lpstr>
      <vt:lpstr>UNMM0151_IF_SHINKI_COPY_MOTO</vt:lpstr>
      <vt:lpstr>UNMM0151_IF_SHINKI_LIST_COPY_MOTO</vt:lpstr>
      <vt:lpstr>UNMM0151_IF_SHUSEI_COPY_MOTO</vt:lpstr>
      <vt:lpstr>UNMM0151_LIST_CLEAR_AREA</vt:lpstr>
      <vt:lpstr>UNMM0151_LIST_COPY_FLG</vt:lpstr>
      <vt:lpstr>UNMM0151_LIST_SHOSHIKI_COPY_SAKI_1</vt:lpstr>
      <vt:lpstr>UNMM0151_LIST_SHOSHIKI_COPY_SAKI_2</vt:lpstr>
      <vt:lpstr>UNMM0151_LIST_START</vt:lpstr>
      <vt:lpstr>UNMM0151_MODE_COPY_SAKI</vt:lpstr>
      <vt:lpstr>UNMM0151_MULTI_SELECT_COPY_SAKI_1</vt:lpstr>
      <vt:lpstr>UNMM0151_MULTI_SELECT_COPY_SAKI_2</vt:lpstr>
      <vt:lpstr>UNMM0151_SELECT_FLG</vt:lpstr>
      <vt:lpstr>UNMM0151_SET_BUNSEKIKOMOKU_CD</vt:lpstr>
      <vt:lpstr>UNMM0151_SET_BUNSEKIKOMOKU_MEI</vt:lpstr>
      <vt:lpstr>UNMM0151_SORT_DOWN</vt:lpstr>
      <vt:lpstr>UNMM0151_SORT_UP</vt:lpstr>
      <vt:lpstr>UNMM0151_SQL_DELETE_CHECK</vt:lpstr>
      <vt:lpstr>UNMM0151_SQL_MULTI_SELECT</vt:lpstr>
      <vt:lpstr>UNMM0151_SQL_SELECT_BUN_SORT_DATA</vt:lpstr>
      <vt:lpstr>UNMM0151_SQL_SELECT_BUN_SORT_MEISYO</vt:lpstr>
      <vt:lpstr>UNMM0151_SQL_SELECT_BUNSEKI_GUN</vt:lpstr>
      <vt:lpstr>UNMM0151_SQL_SELECT_TABLE_UPDATE</vt:lpstr>
      <vt:lpstr>UNMM0151_SQL_SEQ_SELECT</vt:lpstr>
      <vt:lpstr>UNMM0151_W_ROW</vt:lpstr>
      <vt:lpstr>UNMT0020_IF_MITSU_NO</vt:lpstr>
      <vt:lpstr>UNNH0030_IF_SAVE_CHECK_ERROR_KOMOKU</vt:lpstr>
      <vt:lpstr>UNNH0030_IF_SAVE_CHECK_RESULT</vt:lpstr>
      <vt:lpstr>UNNH0030_IF_SAVE_CHECK_START</vt:lpstr>
      <vt:lpstr>UNNH0030_IF_SAVE_JOGAI_GYO</vt:lpstr>
      <vt:lpstr>UNNH0030_IF_SAVE_KENSU</vt:lpstr>
      <vt:lpstr>UNNH0030_IF_SAVE_SHOHIN_MEI</vt:lpstr>
      <vt:lpstr>UNNH0030_IF_SAVE_URIAGE_SURYO_TANI</vt:lpstr>
      <vt:lpstr>UNMM0020_IF!必須チェック設定</vt:lpstr>
      <vt:lpstr>UNMM0050_IF!必須チェック設定</vt:lpstr>
    </vt:vector>
  </TitlesOfParts>
  <Company>MouseComputer PC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k.yamamoto</dc:creator>
  <cp:lastModifiedBy>永坂 朋子</cp:lastModifiedBy>
  <cp:lastPrinted>2015-10-22T08:21:46Z</cp:lastPrinted>
  <dcterms:created xsi:type="dcterms:W3CDTF">2012-09-11T00:34:42Z</dcterms:created>
  <dcterms:modified xsi:type="dcterms:W3CDTF">2017-09-13T06:50:28Z</dcterms:modified>
</cp:coreProperties>
</file>