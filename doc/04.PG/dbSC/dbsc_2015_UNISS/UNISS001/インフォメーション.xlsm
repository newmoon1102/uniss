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bsc_2015_UNISS\UNISS001\"/>
    </mc:Choice>
  </mc:AlternateContent>
  <bookViews>
    <workbookView xWindow="600" yWindow="405" windowWidth="27795" windowHeight="10965" tabRatio="891"/>
  </bookViews>
  <sheets>
    <sheet name="UNCM0010_H" sheetId="81" r:id="rId1"/>
    <sheet name="UNCM0010_B" sheetId="82" r:id="rId2"/>
    <sheet name="UNCM0010_IF" sheetId="84" r:id="rId3"/>
    <sheet name="UNCM0010_SQL" sheetId="85" r:id="rId4"/>
    <sheet name="UNCM0010_CALENDAR" sheetId="83" r:id="rId5"/>
    <sheet name="UNCM0020_H" sheetId="86" r:id="rId6"/>
    <sheet name="UNCM0020_B" sheetId="87" r:id="rId7"/>
    <sheet name="UNCM0020_IF" sheetId="88" r:id="rId8"/>
    <sheet name="UNCM0020_SQL" sheetId="89" r:id="rId9"/>
    <sheet name="UNCM_COMMON_SQL" sheetId="90" r:id="rId10"/>
    <sheet name="Excel_Save_H" sheetId="91" r:id="rId11"/>
    <sheet name="Excel_Save_B" sheetId="92" r:id="rId12"/>
  </sheets>
  <functionGroups builtInGroupCount="18"/>
  <definedNames>
    <definedName name="_xlnm.Print_Area" localSheetId="5">UNCM0020_H!$H$2:$L$13</definedName>
    <definedName name="_xlnm.Print_Area" localSheetId="7">OFFSET(UNCM0020_IF_EXCEL_FLG,0,1,1+UNCM0020_IF_EXCEL_KENSU,COLUMNS(UNCM0020_IF_B_SHOSHIKI_COPY_MOTO)-1)</definedName>
    <definedName name="UNCM_COMMON_SQL_SELECT_CTRL_HYOJI_GYO_SU">UNCM_COMMON_SQL!$D$3</definedName>
    <definedName name="UNCM_COMMON_SQL_SHAIN_SERCH">UNCM_COMMON_SQL!$D$4</definedName>
    <definedName name="UNCM0010_B_HIDE_COLUMN">UNCM0010_B!$G$12</definedName>
    <definedName name="UNCM0010_B_HIDE_ROW">UNCM0010_B!$G$11</definedName>
    <definedName name="UNCM0010_B_INFO_CLEAR_AREA">UNCM0010_B!$G$10</definedName>
    <definedName name="UNCM0010_B_INFO_JUCHU_FLG_COPY_SAKI">UNCM0010_B!$G$16</definedName>
    <definedName name="UNCM0010_B_INFO_JUCHU_KENSU">UNCM0010_B!$G$14</definedName>
    <definedName name="UNCM0010_B_INFO_JUCHU_SHOSHIKI_COPY_SAKI">UNCM0010_B!$G$17</definedName>
    <definedName name="UNCM0010_B_INFO_JUCHU_TENKAI_ICHI">UNCM0010_B!$G$15</definedName>
    <definedName name="UNCM0010_B_INFO_KOBAI_FLG_COPY_SAKI">UNCM0010_B!$G$22</definedName>
    <definedName name="UNCM0010_B_INFO_KOBAI_KENSU">UNCM0010_B!$G$20</definedName>
    <definedName name="UNCM0010_B_INFO_KOBAI_SHOSHIKI_COPY_SAKI">UNCM0010_B!$G$23</definedName>
    <definedName name="UNCM0010_B_INFO_KOBAI_TENKAI_ICHI">UNCM0010_B!$G$21</definedName>
    <definedName name="UNCM0010_B_INFO_MASTER_FLG_COPY_SAKI">UNCM0010_B!$G$28</definedName>
    <definedName name="UNCM0010_B_INFO_MASTER_KENSU">UNCM0010_B!$G$26</definedName>
    <definedName name="UNCM0010_B_INFO_MASTER_SHOSHIKI_COPY_SAKI">UNCM0010_B!$G$29</definedName>
    <definedName name="UNCM0010_B_INFO_MASTER_TENKAI_ICHI">UNCM0010_B!$G$27</definedName>
    <definedName name="UNCM0010_B_JUCHU_DATETIME">UNCM0010_B!$T$9</definedName>
    <definedName name="UNCM0010_B_JUCHU_FLG">UNCM0010_B!$L$9</definedName>
    <definedName name="UNCM0010_B_JUCHU_INFO_ID">UNCM0010_B!$N$9</definedName>
    <definedName name="UNCM0010_B_JUCHU_INFO_KBN">UNCM0010_B!$O$9</definedName>
    <definedName name="UNCM0010_B_JUCHU_INFO_NO">UNCM0010_B!$M$9</definedName>
    <definedName name="UNCM0010_B_JUCHU_MESSAGE">UNCM0010_B!$R$9</definedName>
    <definedName name="UNCM0010_B_JUCHU_NT_TANTO_CD">UNCM0010_B!$Q$9</definedName>
    <definedName name="UNCM0010_B_JUCHU_RED_FLG">UNCM0010_B!$P$9</definedName>
    <definedName name="UNCM0010_B_JUCHU_SENTAKU">UNCM0010_B!$K$9</definedName>
    <definedName name="UNCM0010_B_JUCHU_TANTOSHA_MEI">UNCM0010_B!$S$9</definedName>
    <definedName name="UNCM0010_B_KOBAI_DATETIME">UNCM0010_B!$AE$9</definedName>
    <definedName name="UNCM0010_B_KOBAI_FLG">UNCM0010_B!$W$9</definedName>
    <definedName name="UNCM0010_B_KOBAI_INFO_ID">UNCM0010_B!$Y$9</definedName>
    <definedName name="UNCM0010_B_KOBAI_INFO_KBN">UNCM0010_B!$Z$9</definedName>
    <definedName name="UNCM0010_B_KOBAI_INFO_NO">UNCM0010_B!$X$9</definedName>
    <definedName name="UNCM0010_B_KOBAI_MESSAGE">UNCM0010_B!$AC$9</definedName>
    <definedName name="UNCM0010_B_KOBAI_NT_TANTO_CD">UNCM0010_B!$AB$9</definedName>
    <definedName name="UNCM0010_B_KOBAI_RED_FLG">UNCM0010_B!$AA$9</definedName>
    <definedName name="UNCM0010_B_KOBAI_SENTAKU">UNCM0010_B!$V$9</definedName>
    <definedName name="UNCM0010_B_KOBAI_TANTOSHA_MEI">UNCM0010_B!$AD$9</definedName>
    <definedName name="UNCM0010_B_MASTER_DATETIME">UNCM0010_B!$AP$9</definedName>
    <definedName name="UNCM0010_B_MASTER_FLG">UNCM0010_B!$AH$9</definedName>
    <definedName name="UNCM0010_B_MASTER_INFO_ID">UNCM0010_B!$AJ$9</definedName>
    <definedName name="UNCM0010_B_MASTER_INFO_KBN">UNCM0010_B!$AK$9</definedName>
    <definedName name="UNCM0010_B_MASTER_INFO_NO">UNCM0010_B!$AI$9</definedName>
    <definedName name="UNCM0010_B_MASTER_MESSAGE">UNCM0010_B!$AN$9</definedName>
    <definedName name="UNCM0010_B_MASTER_NT_TANTO_CD">UNCM0010_B!$AM$9</definedName>
    <definedName name="UNCM0010_B_MASTER_RED_FLG">UNCM0010_B!$AL$9</definedName>
    <definedName name="UNCM0010_B_MASTER_SENTAKU">UNCM0010_B!$AG$9</definedName>
    <definedName name="UNCM0010_B_MASTER_TANTOSHA_MEI">UNCM0010_B!$AO$9</definedName>
    <definedName name="UNCM0010_B_SCROLL_LOCK">UNCM0010_B!$B$10</definedName>
    <definedName name="UNCM0010_CALENDAR_AREA">UNCM0010_CALENDAR!$H$3:$I$33</definedName>
    <definedName name="UNCM0010_CALENDAR_CALENDAR">UNCM0010_CALENDAR!$M$5:$S$12</definedName>
    <definedName name="UNCM0010_CALENDAR_START_DATE">UNCM0010_CALENDAR!$D$3</definedName>
    <definedName name="UNCM0010_CALENDAR_TENKAI_START">UNCM0010_CALENDAR!$I$3</definedName>
    <definedName name="UNCM0010_H_BUSHO_CD">UNCM0010_H!$D$4</definedName>
    <definedName name="UNCM0010_H_BUSHO_MEI">UNCM0010_H!$D$5</definedName>
    <definedName name="UNCM0010_H_COMMON_INFO">UNCM0010_H!$I$8</definedName>
    <definedName name="UNCM0010_H_HIDE_COLUMN">UNCM0010_H!$D$10</definedName>
    <definedName name="UNCM0010_H_HIDE_ROW">UNCM0010_H!$D$9</definedName>
    <definedName name="UNCM0010_H_SHAIN_CD">UNCM0010_H!$D$6</definedName>
    <definedName name="UNCM0010_H_SHAIN_MEI">UNCM0010_H!$D$7</definedName>
    <definedName name="UNCM0010_H_USER_ID">UNCM0010_H!$D$3</definedName>
    <definedName name="UNCM0010_IF_FLG_COPY_MOTO">UNCM0010_IF!$W$5:$X$5</definedName>
    <definedName name="UNCM0010_IF_LIST_DEFAULT">UNCM0010_IF!$W$8:$BB$8</definedName>
    <definedName name="UNCM0010_IF_SAVE_CHECK">UNCM0010_IF!$F$20</definedName>
    <definedName name="UNCM0010_IF_SAVE_COPY_MOTO">UNCM0010_IF!$J$7:$P$7</definedName>
    <definedName name="UNCM0010_IF_SAVE_COPY_SAKI">UNCM0010_IF!$F$16</definedName>
    <definedName name="UNCM0010_IF_SAVE_COPY_START">UNCM0010_IF!$J$9</definedName>
    <definedName name="UNCM0010_IF_SAVE_ERROR_CHECK">UNCM0010_IF!$F$25</definedName>
    <definedName name="UNCM0010_IF_SAVE_ERROR_MESSAGE">UNCM0010_IF!$F$26</definedName>
    <definedName name="UNCM0010_IF_SAVE_INFO_KENSU">UNCM0010_IF!$F$15</definedName>
    <definedName name="UNCM0010_IF_SAVE_KENSU">UNCM0010_IF!$F$17</definedName>
    <definedName name="UNCM0010_IF_SAVE_LIST_INFO_NO">UNCM0010_IF!$P$8</definedName>
    <definedName name="UNCM0010_IF_SAVE_RESULT_CD">UNCM0010_IF!$F$23</definedName>
    <definedName name="UNCM0010_IF_SAVE_RESULT_MESSAGE">UNCM0010_IF!$F$24</definedName>
    <definedName name="UNCM0010_IF_SAVE_START">UNCM0010_IF!$L$9</definedName>
    <definedName name="UNCM0010_IF_SAVE_W_MODE">UNCM0010_IF!$F$11</definedName>
    <definedName name="UNCM0010_IF_SAVE_W_SERIAL">UNCM0010_IF!$F$10</definedName>
    <definedName name="UNCM0010_IF_SAVE_W_USER_ID">UNCM0010_IF!$F$9</definedName>
    <definedName name="UNCM0010_IF_SHOSHIKI_COPY_MOTO">UNCM0010_IF!$W$3:$AD$3</definedName>
    <definedName name="UNCM0010_SQL_SELECT_BUSHO_USER">UNCM0010_SQL!$E$6</definedName>
    <definedName name="UNCM0010_SQL_SELECT_CALENDAR">UNCM0010_SQL!$E$10</definedName>
    <definedName name="UNCM0010_SQL_SELECT_COMMON_INFO">UNCM0010_SQL!$E$14</definedName>
    <definedName name="UNCM0010_SQL_SELECT_JUCHU_INFO">UNCM0010_SQL!$E$23</definedName>
    <definedName name="UNCM0010_SQL_SELECT_KOBAI_INFO">UNCM0010_SQL!$E$26</definedName>
    <definedName name="UNCM0010_SQL_SELECT_MASTER_INFO">UNCM0010_SQL!$E$29</definedName>
    <definedName name="UNCM0020_B_ALL_KENSU">UNCM0020_B!$G$11</definedName>
    <definedName name="UNCM0020_B_ALL_PEGE_SU">UNCM0020_B!$G$13</definedName>
    <definedName name="UNCM0020_B_CTRL_HYOJI_GYO_SU">UNCM0020_B!$G$14</definedName>
    <definedName name="UNCM0020_B_FLG">UNCM0020_B!$K$16</definedName>
    <definedName name="UNCM0020_B_HIDE_COLUMN">UNCM0020_B!$G$18</definedName>
    <definedName name="UNCM0020_B_HIDE_ROW">UNCM0020_B!$G$17</definedName>
    <definedName name="UNCM0020_B_INFO_CLEAR_AREA">UNCM0020_B!$G$20</definedName>
    <definedName name="UNCM0020_B_INFO_DATETIME">UNCM0020_B!$U$16</definedName>
    <definedName name="UNCM0020_B_INFO_FLG_COPY_SAKI">UNCM0020_B!$G$23</definedName>
    <definedName name="UNCM0020_B_INFO_ID">UNCM0020_B!$M$16</definedName>
    <definedName name="UNCM0020_B_INFO_KENSU">UNCM0020_B!$G$21</definedName>
    <definedName name="UNCM0020_B_INFO_NO">UNCM0020_B!$L$16</definedName>
    <definedName name="UNCM0020_B_INFO_SHOSHIKI_COPY_SAKI">UNCM0020_B!$G$24</definedName>
    <definedName name="UNCM0020_B_INFO_TENKAI_ICHI">UNCM0020_B!$G$22</definedName>
    <definedName name="UNCM0020_B_KBN">UNCM0020_B!$R$16</definedName>
    <definedName name="UNCM0020_B_KBN_CD">UNCM0020_B!$N$16</definedName>
    <definedName name="UNCM0020_B_MESSAGE">UNCM0020_B!$S$16</definedName>
    <definedName name="UNCM0020_B_NEXT_PAGE_NO">UNCM0020_B!$G$15</definedName>
    <definedName name="UNCM0020_B_NT_TANTO_CD">UNCM0020_B!$Q$16</definedName>
    <definedName name="UNCM0020_B_OP_TANTO_CD">UNCM0020_B!$P$16</definedName>
    <definedName name="UNCM0020_B_PAGE_NO">UNCM0020_B!$G$12</definedName>
    <definedName name="UNCM0020_B_PREV_PAGE_NO">UNCM0020_B!$G$16</definedName>
    <definedName name="UNCM0020_B_RED_FLG">UNCM0020_B!$O$16</definedName>
    <definedName name="UNCM0020_B_SCROLL_LOCK">UNCM0020_B!$B$17</definedName>
    <definedName name="UNCM0020_B_SENTAKU">UNCM0020_B!$J$16</definedName>
    <definedName name="UNCM0020_B_TANTOSHA_MEI">UNCM0020_B!$T$16</definedName>
    <definedName name="UNCM0020_H_COPY_SAKI">UNCM0020_H!$J$4:$L$12</definedName>
    <definedName name="UNCM0020_H_HIDE_COLUMN">UNCM0020_H!$E$13</definedName>
    <definedName name="UNCM0020_H_HIDE_ROW">UNCM0020_H!$E$12</definedName>
    <definedName name="UNCM0020_H_INFO_DATETIME_END">UNCM0020_H!$J$10</definedName>
    <definedName name="UNCM0020_H_INFO_DATETIME_START">UNCM0020_H!$J$8</definedName>
    <definedName name="UNCM0020_H_JUCHU_KBN">UNCM0020_H!$E$4</definedName>
    <definedName name="UNCM0020_H_KOBAI_KBN">UNCM0020_H!$E$5</definedName>
    <definedName name="UNCM0020_H_MASTER_KBN">UNCM0020_H!$E$6</definedName>
    <definedName name="UNCM0020_H_SEARCH_TANTOSHA_CD">UNCM0020_H!$E$9</definedName>
    <definedName name="UNCM0020_H_TANTOSHA_CD">UNCM0020_H!$E$7</definedName>
    <definedName name="UNCM0020_H_TANTOSHA_MEI">UNCM0020_H!$J$12</definedName>
    <definedName name="UNCM0020_IF_ACTIVE_CELL_NAME">UNCM0020_IF!$E$15</definedName>
    <definedName name="UNCM0020_IF_ACTIVE_COLUMN">UNCM0020_IF!$E$13</definedName>
    <definedName name="UNCM0020_IF_ACTIVE_ROW">UNCM0020_IF!$E$12</definedName>
    <definedName name="UNCM0020_IF_ACTIVE_SHEET">UNCM0020_IF!$E$11</definedName>
    <definedName name="UNCM0020_IF_B_FLG_COPY_MOTO">UNCM0020_IF!$AD$5</definedName>
    <definedName name="UNCM0020_IF_B_SHOSHIKI_COPY_MOTO">UNCM0020_IF!$AD$3:$AN$3</definedName>
    <definedName name="UNCM0020_IF_BUTTON_11_HYOJI">UNCM0020_IF!$E$18</definedName>
    <definedName name="UNCM0020_IF_BUTTON_12_HYOJI">UNCM0020_IF!$E$19</definedName>
    <definedName name="UNCM0020_IF_CREATE_W_SERIAL">UNCM0020_IF!$L$11</definedName>
    <definedName name="UNCM0020_IF_DATA_SEARCH_FLG">UNCM0020_IF!$E$8</definedName>
    <definedName name="UNCM0020_IF_EXCEL_FILE_NAME">UNCM0020_IF!$AY$6</definedName>
    <definedName name="UNCM0020_IF_EXCEL_FLG">UNCM0020_IF!$BA$2</definedName>
    <definedName name="UNCM0020_IF_EXCEL_KENSU">UNCM0020_IF!$AY$4</definedName>
    <definedName name="UNCM0020_IF_EXCEL_TENKAI_ICHI">UNCM0020_IF!$AY$5</definedName>
    <definedName name="UNCM0020_IF_H_COPY_MOTO">UNCM0020_IF!#REF!</definedName>
    <definedName name="UNCM0020_IF_LIST_DEFAULT">UNCM0020_IF!$AD$7:$AO$7</definedName>
    <definedName name="UNCM0020_IF_SAVE_CHECK">UNCM0020_IF!$L$20</definedName>
    <definedName name="UNCM0020_IF_SAVE_COPY_MOTO">UNCM0020_IF!$P$7:$U$7</definedName>
    <definedName name="UNCM0020_IF_SAVE_COPY_SAKI">UNCM0020_IF!$L$15</definedName>
    <definedName name="UNCM0020_IF_SAVE_COPY_START">UNCM0020_IF!$P$9</definedName>
    <definedName name="UNCM0020_IF_SAVE_COUNT">UNCM0020_IF!$L$19</definedName>
    <definedName name="UNCM0020_IF_SAVE_ERROR_CHECK">UNCM0020_IF!$L$25</definedName>
    <definedName name="UNCM0020_IF_SAVE_ERROR_MESSAGE">UNCM0020_IF!$L$26</definedName>
    <definedName name="UNCM0020_IF_SAVE_KENSU">UNCM0020_IF!$L$16</definedName>
    <definedName name="UNCM0020_IF_SAVE_RESULT_CD">UNCM0020_IF!$L$23</definedName>
    <definedName name="UNCM0020_IF_SAVE_RESULT_MESSAGE">UNCM0020_IF!$L$24</definedName>
    <definedName name="UNCM0020_IF_SAVE_START">UNCM0020_IF!$Q$9</definedName>
    <definedName name="UNCM0020_IF_SAVE_W_MODE">UNCM0020_IF!$L$12</definedName>
    <definedName name="UNCM0020_IF_SAVE_W_SERIAL">UNCM0020_IF!$L$10</definedName>
    <definedName name="UNCM0020_IF_SAVE_W_USER_ID">UNCM0020_IF!$L$9</definedName>
    <definedName name="UNCM0020_IF_SEARCH_DATETIME_END">UNCM0020_IF!#REF!</definedName>
    <definedName name="UNCM0020_IF_SEARCH_DATETIME_START">UNCM0020_IF!#REF!</definedName>
    <definedName name="UNCM0020_IF_SEARCH_JUCHU_KBN">UNCM0020_IF!#REF!</definedName>
    <definedName name="UNCM0020_IF_SEARCH_KOBAI_KBN">UNCM0020_IF!#REF!</definedName>
    <definedName name="UNCM0020_IF_SEARCH_MASTER_KBN">UNCM0020_IF!#REF!</definedName>
    <definedName name="UNCM0020_IF_SEARCH_TANTOSHA_CD">UNCM0020_IF!#REF!</definedName>
    <definedName name="UNCM0020_SQL_INFO_DATETIME_END">UNCM0020_SQL!$F$6</definedName>
    <definedName name="UNCM0020_SQL_INFO_DATETIME_START">UNCM0020_SQL!$F$5</definedName>
    <definedName name="UNCM0020_SQL_INFO_R_SORT_SEARCH">UNCM0020_SQL!$F$35</definedName>
    <definedName name="UNCM0020_SQL_INIT_SORT">UNCM0020_SQL!$F$33</definedName>
    <definedName name="UNCM0020_SQL_JUCHU_KBN">UNCM0020_SQL!$F$1</definedName>
    <definedName name="UNCM0020_SQL_KOBAI_KBN">UNCM0020_SQL!$F$2</definedName>
    <definedName name="UNCM0020_SQL_MASTER_KBN">UNCM0020_SQL!$F$3</definedName>
    <definedName name="UNCM0020_SQL_SAVE_COUNT">UNCM0020_SQL!$F$38</definedName>
    <definedName name="UNCM0020_SQL_SELECT_INFO_R">UNCM0020_SQL!$F$10</definedName>
    <definedName name="UNCM0020_SQL_SELECT_INFO_R_COUNT">UNCM0020_SQL!$F$11</definedName>
    <definedName name="UNCM0020_SQL_SELECT_INFO_R_EXCEL">UNCM0020_SQL!$F$13</definedName>
    <definedName name="UNCM0020_SQL_SELECT_INFO_R_TABLE_UPDATE">UNCM0020_SQL!$F$12</definedName>
    <definedName name="UNCM0020_SQL_SORT">UNCM0020_SQL!$F$29</definedName>
    <definedName name="UNCM0020_SQL_TANTOSHA_CD">UNCM0020_SQL!$F$4</definedName>
  </definedNames>
  <calcPr calcId="152511"/>
</workbook>
</file>

<file path=xl/calcChain.xml><?xml version="1.0" encoding="utf-8"?>
<calcChain xmlns="http://schemas.openxmlformats.org/spreadsheetml/2006/main">
  <c r="G26" i="89" l="1"/>
  <c r="G25" i="89"/>
  <c r="D3" i="83" l="1"/>
  <c r="G11" i="82" l="1"/>
  <c r="AY6" i="88" l="1"/>
  <c r="AY5" i="88" l="1"/>
  <c r="F27" i="89"/>
  <c r="G22" i="89"/>
  <c r="F20" i="89" s="1"/>
  <c r="G23" i="89"/>
  <c r="G21" i="89"/>
  <c r="F19" i="89"/>
  <c r="F17" i="89"/>
  <c r="L15" i="88" l="1"/>
  <c r="F9" i="84" l="1"/>
  <c r="G12" i="82" l="1"/>
  <c r="G18" i="87"/>
  <c r="E13" i="86"/>
  <c r="E12" i="86"/>
  <c r="D10" i="81"/>
  <c r="G17" i="87" l="1"/>
  <c r="L7" i="84" l="1"/>
  <c r="E9" i="86" l="1"/>
  <c r="F38" i="89"/>
  <c r="L20" i="88"/>
  <c r="L16" i="88"/>
  <c r="L11" i="88"/>
  <c r="P7" i="88"/>
  <c r="S7" i="88" s="1"/>
  <c r="G23" i="87"/>
  <c r="G22" i="87"/>
  <c r="G24" i="87" s="1"/>
  <c r="G16" i="87" l="1"/>
  <c r="G15" i="87"/>
  <c r="E18" i="88" l="1"/>
  <c r="H30" i="89" l="1"/>
  <c r="F30" i="89" s="1"/>
  <c r="G20" i="87"/>
  <c r="F15" i="84"/>
  <c r="F16" i="84" s="1"/>
  <c r="L25" i="88"/>
  <c r="G13" i="87"/>
  <c r="I15" i="87" l="1"/>
  <c r="E19" i="88"/>
  <c r="F17" i="84"/>
  <c r="F24" i="89"/>
  <c r="F13" i="89" s="1"/>
  <c r="T7" i="88"/>
  <c r="R7" i="88"/>
  <c r="Q7" i="88"/>
  <c r="F11" i="89" l="1"/>
  <c r="F10" i="89"/>
  <c r="F12" i="89"/>
  <c r="U7" i="88"/>
  <c r="E14" i="85" l="1"/>
  <c r="M7" i="83"/>
  <c r="F25" i="84" l="1"/>
  <c r="O7" i="84"/>
  <c r="N7" i="84"/>
  <c r="K7" i="84" s="1"/>
  <c r="F10" i="84"/>
  <c r="G28" i="82"/>
  <c r="G27" i="82"/>
  <c r="G29" i="82" s="1"/>
  <c r="G22" i="82"/>
  <c r="G21" i="82"/>
  <c r="G23" i="82" s="1"/>
  <c r="G17" i="82"/>
  <c r="G16" i="82"/>
  <c r="G15" i="82"/>
  <c r="G10" i="82"/>
  <c r="E3" i="85"/>
  <c r="E2" i="85"/>
  <c r="E1" i="85"/>
  <c r="E8" i="85" l="1"/>
  <c r="E6" i="85" s="1"/>
  <c r="E19" i="85"/>
  <c r="M7" i="84"/>
  <c r="J7" i="84"/>
  <c r="P7" i="84" s="1"/>
  <c r="E12" i="85"/>
  <c r="E10" i="85" s="1"/>
  <c r="M5" i="83"/>
  <c r="E29" i="85" l="1"/>
  <c r="E26" i="85"/>
  <c r="E23" i="85"/>
  <c r="F20" i="84"/>
  <c r="N7" i="83"/>
  <c r="O7" i="83" s="1"/>
  <c r="P7" i="83" s="1"/>
  <c r="Q7" i="83" s="1"/>
  <c r="R7" i="83" s="1"/>
  <c r="S7" i="83" s="1"/>
  <c r="M8" i="83" s="1"/>
  <c r="N8" i="83" s="1"/>
  <c r="O8" i="83" s="1"/>
  <c r="P8" i="83" s="1"/>
  <c r="Q8" i="83" s="1"/>
  <c r="R8" i="83" s="1"/>
  <c r="S8" i="83" s="1"/>
  <c r="M9" i="83" s="1"/>
  <c r="N9" i="83" s="1"/>
  <c r="O9" i="83" s="1"/>
  <c r="P9" i="83" s="1"/>
  <c r="Q9" i="83" s="1"/>
  <c r="R9" i="83" s="1"/>
  <c r="S9" i="83" s="1"/>
  <c r="M10" i="83" s="1"/>
  <c r="N10" i="83" s="1"/>
  <c r="O10" i="83" s="1"/>
  <c r="P10" i="83" s="1"/>
  <c r="Q10" i="83" s="1"/>
  <c r="R10" i="83" s="1"/>
  <c r="S10" i="83" s="1"/>
  <c r="M11" i="83" l="1"/>
  <c r="N11" i="83" s="1"/>
  <c r="O11" i="83" l="1"/>
  <c r="P11" i="83" s="1"/>
  <c r="Q11" i="83" s="1"/>
  <c r="R11" i="83" s="1"/>
  <c r="S11" i="83" s="1"/>
  <c r="M12" i="83" s="1"/>
  <c r="N12" i="83" s="1"/>
  <c r="O12" i="83" s="1"/>
  <c r="P12" i="83" s="1"/>
  <c r="Q12" i="83" s="1"/>
  <c r="R12" i="83" s="1"/>
  <c r="S12" i="83" s="1"/>
</calcChain>
</file>

<file path=xl/sharedStrings.xml><?xml version="1.0" encoding="utf-8"?>
<sst xmlns="http://schemas.openxmlformats.org/spreadsheetml/2006/main" count="462" uniqueCount="296">
  <si>
    <t>【受注関連】</t>
    <rPh sb="1" eb="3">
      <t>ジュチュウ</t>
    </rPh>
    <rPh sb="3" eb="5">
      <t>カンレン</t>
    </rPh>
    <phoneticPr fontId="1"/>
  </si>
  <si>
    <t>【購買関連】</t>
    <rPh sb="1" eb="3">
      <t>コウバイ</t>
    </rPh>
    <rPh sb="3" eb="5">
      <t>カンレン</t>
    </rPh>
    <phoneticPr fontId="1"/>
  </si>
  <si>
    <t>【マスタ関連】</t>
    <rPh sb="4" eb="6">
      <t>カンレン</t>
    </rPh>
    <phoneticPr fontId="1"/>
  </si>
  <si>
    <t>選択</t>
    <rPh sb="0" eb="2">
      <t>センタク</t>
    </rPh>
    <phoneticPr fontId="1"/>
  </si>
  <si>
    <t>メッセージ</t>
    <phoneticPr fontId="1"/>
  </si>
  <si>
    <t>通知日時</t>
    <rPh sb="0" eb="2">
      <t>ツウチ</t>
    </rPh>
    <rPh sb="2" eb="4">
      <t>ニチジ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</si>
  <si>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</si>
  <si>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</si>
  <si>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</si>
  <si>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</si>
  <si>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</si>
  <si>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</si>
  <si>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</si>
  <si>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前ページ</t>
    <rPh sb="0" eb="1">
      <t>マエ</t>
    </rPh>
    <phoneticPr fontId="1"/>
  </si>
  <si>
    <t>インフォメーション履歴</t>
    <rPh sb="9" eb="11">
      <t>リレキ</t>
    </rPh>
    <phoneticPr fontId="1"/>
  </si>
  <si>
    <t>区分：</t>
    <rPh sb="0" eb="2">
      <t>クブン</t>
    </rPh>
    <phoneticPr fontId="1"/>
  </si>
  <si>
    <t>受注関連</t>
    <rPh sb="0" eb="2">
      <t>ジュチュウ</t>
    </rPh>
    <rPh sb="2" eb="4">
      <t>カンレン</t>
    </rPh>
    <phoneticPr fontId="1"/>
  </si>
  <si>
    <t>購買関連</t>
    <rPh sb="0" eb="2">
      <t>コウバイ</t>
    </rPh>
    <rPh sb="2" eb="4">
      <t>カンレン</t>
    </rPh>
    <phoneticPr fontId="1"/>
  </si>
  <si>
    <t>マスタ関連</t>
    <rPh sb="3" eb="5">
      <t>カンレン</t>
    </rPh>
    <phoneticPr fontId="1"/>
  </si>
  <si>
    <t>～</t>
    <phoneticPr fontId="1"/>
  </si>
  <si>
    <t>区分</t>
    <rPh sb="0" eb="2">
      <t>クブン</t>
    </rPh>
    <phoneticPr fontId="1"/>
  </si>
  <si>
    <t>メッセージ</t>
    <phoneticPr fontId="1"/>
  </si>
  <si>
    <t>次ページ</t>
    <rPh sb="0" eb="1">
      <t>ツギ</t>
    </rPh>
    <phoneticPr fontId="1"/>
  </si>
  <si>
    <t>並べ替え</t>
    <rPh sb="0" eb="1">
      <t>ナラ</t>
    </rPh>
    <rPh sb="2" eb="3">
      <t>カ</t>
    </rPh>
    <phoneticPr fontId="1"/>
  </si>
  <si>
    <t>操作担当者名</t>
    <rPh sb="0" eb="2">
      <t>ソウサ</t>
    </rPh>
    <rPh sb="2" eb="5">
      <t>タントウシャ</t>
    </rPh>
    <rPh sb="5" eb="6">
      <t>メイ</t>
    </rPh>
    <phoneticPr fontId="1"/>
  </si>
  <si>
    <t>操作担当者名▼</t>
    <rPh sb="0" eb="2">
      <t>ソウサ</t>
    </rPh>
    <rPh sb="2" eb="5">
      <t>タントウシャ</t>
    </rPh>
    <rPh sb="5" eb="6">
      <t>メイ</t>
    </rPh>
    <phoneticPr fontId="1"/>
  </si>
  <si>
    <t>UNCM0010_CALENDAR_START_DATE</t>
    <phoneticPr fontId="1"/>
  </si>
  <si>
    <t>起点日</t>
    <rPh sb="0" eb="2">
      <t>キテン</t>
    </rPh>
    <rPh sb="2" eb="3">
      <t>ビ</t>
    </rPh>
    <phoneticPr fontId="1"/>
  </si>
  <si>
    <t>日</t>
    <rPh sb="0" eb="1">
      <t>ヒ</t>
    </rPh>
    <phoneticPr fontId="1"/>
  </si>
  <si>
    <t>UNCM0010_CALENDAR_AREA</t>
    <phoneticPr fontId="1"/>
  </si>
  <si>
    <t>カレンダー検索領域</t>
    <rPh sb="5" eb="7">
      <t>ケンサク</t>
    </rPh>
    <rPh sb="7" eb="9">
      <t>リョウイキ</t>
    </rPh>
    <phoneticPr fontId="1"/>
  </si>
  <si>
    <t>←展開開始位置</t>
    <rPh sb="1" eb="3">
      <t>テンカイ</t>
    </rPh>
    <rPh sb="3" eb="5">
      <t>カイシ</t>
    </rPh>
    <rPh sb="5" eb="7">
      <t>イチ</t>
    </rPh>
    <phoneticPr fontId="1"/>
  </si>
  <si>
    <t>UNCM0010_CALENDAR_TENKAI_START</t>
    <phoneticPr fontId="1"/>
  </si>
  <si>
    <t>カレンダー</t>
    <phoneticPr fontId="1"/>
  </si>
  <si>
    <t>UNCM0010_CALENDAR_CALENDAR</t>
    <phoneticPr fontId="1"/>
  </si>
  <si>
    <t>部署名</t>
    <rPh sb="0" eb="2">
      <t>ブショ</t>
    </rPh>
    <rPh sb="2" eb="3">
      <t>メイ</t>
    </rPh>
    <phoneticPr fontId="1"/>
  </si>
  <si>
    <t>部署CD</t>
    <rPh sb="0" eb="2">
      <t>ブショ</t>
    </rPh>
    <phoneticPr fontId="1"/>
  </si>
  <si>
    <t>社員CD</t>
    <rPh sb="0" eb="2">
      <t>シャイン</t>
    </rPh>
    <phoneticPr fontId="1"/>
  </si>
  <si>
    <t>社員名</t>
    <rPh sb="0" eb="2">
      <t>シャイン</t>
    </rPh>
    <rPh sb="2" eb="3">
      <t>メイ</t>
    </rPh>
    <phoneticPr fontId="1"/>
  </si>
  <si>
    <t>ユーザーID</t>
    <phoneticPr fontId="1"/>
  </si>
  <si>
    <t>UNCM0010_H_USER_ID</t>
    <phoneticPr fontId="1"/>
  </si>
  <si>
    <t>UNCM0010_H_BUSHO_CD</t>
    <phoneticPr fontId="1"/>
  </si>
  <si>
    <t>UNCM0010_H_BUSHO_MEI</t>
    <phoneticPr fontId="1"/>
  </si>
  <si>
    <t>UNCM0010_H_SHAIN_CD</t>
    <phoneticPr fontId="1"/>
  </si>
  <si>
    <t>UNCM0010_H_SHAIN_MEI</t>
    <phoneticPr fontId="1"/>
  </si>
  <si>
    <t>フラグ</t>
    <phoneticPr fontId="1"/>
  </si>
  <si>
    <t>部署・ユーザー名取得SQL</t>
    <rPh sb="0" eb="2">
      <t>ブショ</t>
    </rPh>
    <rPh sb="7" eb="8">
      <t>メイ</t>
    </rPh>
    <rPh sb="8" eb="10">
      <t>シュトク</t>
    </rPh>
    <phoneticPr fontId="1"/>
  </si>
  <si>
    <t>UNCM0010_SQL_SELECT_BUSHO_USER</t>
    <phoneticPr fontId="1"/>
  </si>
  <si>
    <t>SELECT</t>
    <phoneticPr fontId="1"/>
  </si>
  <si>
    <t>WHERE</t>
    <phoneticPr fontId="1"/>
  </si>
  <si>
    <t xml:space="preserve">SELECT M_SHAIN.SHAIN_CD     AS SHAIN_CD
      ,M_SHAIN.SHIMEI       AS SHIMEI
      ,M_SHAIN.BUSHO_CD     AS BUSHO_CD
      ,M_MEISHO_B.DATA_1    AS BUSHOMEI
  FROM M_SHAIN
  LEFT JOIN
       M_MEISHO_B
    ON M_MEISHO_B.MEISHO_KBN = 'M001'
   AND M_MEISHO_B.MEISHO_CD  = M_SHAIN.BUSHO_CD
</t>
    <phoneticPr fontId="1"/>
  </si>
  <si>
    <t>ユーザーID</t>
  </si>
  <si>
    <t>年</t>
    <rPh sb="0" eb="1">
      <t>ネン</t>
    </rPh>
    <phoneticPr fontId="1"/>
  </si>
  <si>
    <t>月</t>
    <rPh sb="0" eb="1">
      <t>ツキ</t>
    </rPh>
    <phoneticPr fontId="1"/>
  </si>
  <si>
    <t>営業日取得SQL</t>
    <rPh sb="0" eb="3">
      <t>エイギョウビ</t>
    </rPh>
    <rPh sb="3" eb="5">
      <t>シュトク</t>
    </rPh>
    <phoneticPr fontId="1"/>
  </si>
  <si>
    <t>UNCM0010_SQL_SELECT_CALENDAR</t>
    <phoneticPr fontId="1"/>
  </si>
  <si>
    <t xml:space="preserve">SELECT M_CALENDAR.CALENDAR_KBN
  FROM M_CALENDAR
</t>
    <phoneticPr fontId="1"/>
  </si>
  <si>
    <t>共有インフォメーション取得SQL</t>
    <rPh sb="0" eb="2">
      <t>キョウユウ</t>
    </rPh>
    <rPh sb="11" eb="13">
      <t>シュトク</t>
    </rPh>
    <phoneticPr fontId="1"/>
  </si>
  <si>
    <t>UNCM0010_SQL_SELECT_COMMON_INFO</t>
    <phoneticPr fontId="1"/>
  </si>
  <si>
    <t>受注インフォメーション取得SQL</t>
    <rPh sb="0" eb="2">
      <t>ジュチュウ</t>
    </rPh>
    <rPh sb="11" eb="13">
      <t>シュトク</t>
    </rPh>
    <phoneticPr fontId="1"/>
  </si>
  <si>
    <t>UNCM0010_SQL_SELECT_JUCHU_INFO</t>
    <phoneticPr fontId="1"/>
  </si>
  <si>
    <t>購買インフォメーション取得SQL</t>
    <rPh sb="0" eb="2">
      <t>コウバイ</t>
    </rPh>
    <rPh sb="11" eb="13">
      <t>シュトク</t>
    </rPh>
    <phoneticPr fontId="1"/>
  </si>
  <si>
    <t>マスタインフォメーション取得SQL</t>
    <rPh sb="12" eb="14">
      <t>シュトク</t>
    </rPh>
    <phoneticPr fontId="1"/>
  </si>
  <si>
    <t>UNCM0010_SQL_SELECT_MASTER_INFO</t>
    <phoneticPr fontId="1"/>
  </si>
  <si>
    <t>UNCM0010_SQL_SELECT_KOBAI_INFO</t>
    <phoneticPr fontId="1"/>
  </si>
  <si>
    <t>NO</t>
    <phoneticPr fontId="1"/>
  </si>
  <si>
    <t>区分</t>
    <rPh sb="0" eb="2">
      <t>クブン</t>
    </rPh>
    <phoneticPr fontId="1"/>
  </si>
  <si>
    <t>通知CD</t>
    <rPh sb="0" eb="2">
      <t>ツウチ</t>
    </rPh>
    <phoneticPr fontId="1"/>
  </si>
  <si>
    <t>インフォ共通</t>
    <rPh sb="4" eb="6">
      <t>キョウツウ</t>
    </rPh>
    <phoneticPr fontId="1"/>
  </si>
  <si>
    <t xml:space="preserve">SELECT *
  FROM V_INFO
</t>
    <phoneticPr fontId="1"/>
  </si>
  <si>
    <t>【コピー元書式】</t>
    <rPh sb="4" eb="5">
      <t>モト</t>
    </rPh>
    <rPh sb="5" eb="7">
      <t>ショシキ</t>
    </rPh>
    <phoneticPr fontId="1"/>
  </si>
  <si>
    <t>受注表示件数</t>
    <rPh sb="0" eb="2">
      <t>ジュチュウ</t>
    </rPh>
    <rPh sb="2" eb="4">
      <t>ヒョウジ</t>
    </rPh>
    <rPh sb="4" eb="6">
      <t>ケンスウ</t>
    </rPh>
    <phoneticPr fontId="1"/>
  </si>
  <si>
    <t>購買表示件数</t>
    <rPh sb="0" eb="2">
      <t>コウバイ</t>
    </rPh>
    <rPh sb="2" eb="4">
      <t>ヒョウジ</t>
    </rPh>
    <rPh sb="4" eb="6">
      <t>ケンスウ</t>
    </rPh>
    <phoneticPr fontId="1"/>
  </si>
  <si>
    <t>マスタ表示件数</t>
    <rPh sb="3" eb="5">
      <t>ヒョウジ</t>
    </rPh>
    <rPh sb="5" eb="7">
      <t>ケンスウ</t>
    </rPh>
    <phoneticPr fontId="1"/>
  </si>
  <si>
    <t>UNCM0010_B_INFO_JUCHU_KENSU</t>
    <phoneticPr fontId="1"/>
  </si>
  <si>
    <t>UNCM0010_B_INFO_KOBAI_KENSU</t>
    <phoneticPr fontId="1"/>
  </si>
  <si>
    <t>UNCM0010_B_INFO_MASTER_KENSU</t>
    <phoneticPr fontId="1"/>
  </si>
  <si>
    <t>【受注関連】</t>
    <rPh sb="1" eb="3">
      <t>ジュチュウ</t>
    </rPh>
    <rPh sb="3" eb="5">
      <t>カンレン</t>
    </rPh>
    <phoneticPr fontId="1"/>
  </si>
  <si>
    <t>【購買関連】</t>
    <rPh sb="1" eb="3">
      <t>コウバイ</t>
    </rPh>
    <rPh sb="3" eb="5">
      <t>カンレン</t>
    </rPh>
    <phoneticPr fontId="1"/>
  </si>
  <si>
    <t>【マスタ関連】</t>
    <rPh sb="4" eb="6">
      <t>カンレン</t>
    </rPh>
    <phoneticPr fontId="1"/>
  </si>
  <si>
    <t>フラグコピー先</t>
    <rPh sb="6" eb="7">
      <t>サキ</t>
    </rPh>
    <phoneticPr fontId="1"/>
  </si>
  <si>
    <t>書式コピー先</t>
    <rPh sb="0" eb="2">
      <t>ショシキ</t>
    </rPh>
    <rPh sb="5" eb="6">
      <t>サキ</t>
    </rPh>
    <phoneticPr fontId="1"/>
  </si>
  <si>
    <t>クリア範囲</t>
    <rPh sb="3" eb="5">
      <t>ハンイ</t>
    </rPh>
    <phoneticPr fontId="1"/>
  </si>
  <si>
    <t>データ展開開始位置</t>
    <rPh sb="3" eb="5">
      <t>テンカイ</t>
    </rPh>
    <rPh sb="5" eb="7">
      <t>カイシ</t>
    </rPh>
    <rPh sb="7" eb="9">
      <t>イチ</t>
    </rPh>
    <phoneticPr fontId="1"/>
  </si>
  <si>
    <t>【共通】</t>
    <rPh sb="1" eb="3">
      <t>キョウツウ</t>
    </rPh>
    <phoneticPr fontId="1"/>
  </si>
  <si>
    <t>UNCM0010_B_INFO_CLEAR_AREA</t>
    <phoneticPr fontId="1"/>
  </si>
  <si>
    <t>UNCM0010_B_INFO_JUCHU_TENKAI_ICHI</t>
    <phoneticPr fontId="1"/>
  </si>
  <si>
    <t>UNCM0010_B_INFO_JUCHU_FLG_COPY_SAKI</t>
    <phoneticPr fontId="1"/>
  </si>
  <si>
    <t>UNCM0010_B_INFO_JUCHU_SHOSHIKI_COPY_SAKI</t>
    <phoneticPr fontId="1"/>
  </si>
  <si>
    <t>UNCM0010_B_INFO_KOBAI_TENKAI_ICHI</t>
    <phoneticPr fontId="1"/>
  </si>
  <si>
    <t>UNCM0010_B_INFO_KOBAI_FLG_COPY_SAKI</t>
    <phoneticPr fontId="1"/>
  </si>
  <si>
    <t>UNCM0010_B_INFO_KOBAI_SHOSHIKI_COPY_SAKI</t>
    <phoneticPr fontId="1"/>
  </si>
  <si>
    <t>UNCM0010_B_INFO_MASTER_TENKAI_ICHI</t>
    <phoneticPr fontId="1"/>
  </si>
  <si>
    <t>UNCM0010_B_INFO_MASTER_FLG_COPY_SAKI</t>
    <phoneticPr fontId="1"/>
  </si>
  <si>
    <t>UNCM0010_B_INFO_MASTER_SHOSHIKI_COPY_SAKI</t>
    <phoneticPr fontId="1"/>
  </si>
  <si>
    <t>UNCM0010_IF_SHOSHIKI_COPY_MOTO</t>
    <phoneticPr fontId="1"/>
  </si>
  <si>
    <t>書式コピー元</t>
    <rPh sb="0" eb="2">
      <t>ショシキ</t>
    </rPh>
    <rPh sb="5" eb="6">
      <t>モト</t>
    </rPh>
    <phoneticPr fontId="1"/>
  </si>
  <si>
    <t>フラグコピー元</t>
    <rPh sb="6" eb="7">
      <t>モト</t>
    </rPh>
    <phoneticPr fontId="1"/>
  </si>
  <si>
    <t>UNCM0010_IF_FLG_COPY_MOTO</t>
    <phoneticPr fontId="1"/>
  </si>
  <si>
    <t>【ワークテーブル用】</t>
    <rPh sb="8" eb="9">
      <t>ヨウ</t>
    </rPh>
    <phoneticPr fontId="1"/>
  </si>
  <si>
    <t>シリアル値</t>
    <rPh sb="4" eb="5">
      <t>アタイ</t>
    </rPh>
    <phoneticPr fontId="1"/>
  </si>
  <si>
    <t>処理モード</t>
    <rPh sb="0" eb="2">
      <t>ショリ</t>
    </rPh>
    <phoneticPr fontId="1"/>
  </si>
  <si>
    <t>【保存IF】</t>
    <rPh sb="1" eb="3">
      <t>ホゾン</t>
    </rPh>
    <phoneticPr fontId="1"/>
  </si>
  <si>
    <t>【保存数式】</t>
    <rPh sb="1" eb="3">
      <t>ホゾン</t>
    </rPh>
    <rPh sb="3" eb="5">
      <t>スウシキ</t>
    </rPh>
    <phoneticPr fontId="1"/>
  </si>
  <si>
    <t>保存数式コピー先</t>
    <rPh sb="0" eb="2">
      <t>ホゾン</t>
    </rPh>
    <rPh sb="2" eb="4">
      <t>スウシキ</t>
    </rPh>
    <rPh sb="7" eb="8">
      <t>サキ</t>
    </rPh>
    <phoneticPr fontId="1"/>
  </si>
  <si>
    <t>【保存チェック】</t>
    <rPh sb="1" eb="3">
      <t>ホゾン</t>
    </rPh>
    <phoneticPr fontId="1"/>
  </si>
  <si>
    <t>【保存結果】</t>
    <rPh sb="1" eb="3">
      <t>ホゾン</t>
    </rPh>
    <rPh sb="3" eb="5">
      <t>ケッカ</t>
    </rPh>
    <phoneticPr fontId="1"/>
  </si>
  <si>
    <t>保存処理結果</t>
    <rPh sb="0" eb="2">
      <t>ホゾン</t>
    </rPh>
    <rPh sb="2" eb="4">
      <t>ショリ</t>
    </rPh>
    <rPh sb="4" eb="6">
      <t>ケッカ</t>
    </rPh>
    <phoneticPr fontId="1"/>
  </si>
  <si>
    <t>保存処理結果メッセージ</t>
    <rPh sb="0" eb="2">
      <t>ホゾン</t>
    </rPh>
    <rPh sb="2" eb="4">
      <t>ショリ</t>
    </rPh>
    <rPh sb="4" eb="6">
      <t>ケッカ</t>
    </rPh>
    <phoneticPr fontId="1"/>
  </si>
  <si>
    <t>保存エラー判定</t>
    <rPh sb="0" eb="2">
      <t>ホゾン</t>
    </rPh>
    <rPh sb="5" eb="7">
      <t>ハンテイ</t>
    </rPh>
    <phoneticPr fontId="1"/>
  </si>
  <si>
    <t>エラーメッセージ</t>
  </si>
  <si>
    <t>UNCM0010_IF_SAVE_W_USER_ID</t>
  </si>
  <si>
    <t>UNCM0010_IF_SAVE_W_SERIAL</t>
  </si>
  <si>
    <t>UNCM0010_IF_SAVE_W_MODE</t>
  </si>
  <si>
    <t>UNCM0010_IF_SAVE_COPY_SAKI</t>
  </si>
  <si>
    <t>UNCM0010_IF_SAVE_RESULT_CD</t>
  </si>
  <si>
    <t>UNCM0010_IF_SAVE_RESULT_MESSAGE</t>
  </si>
  <si>
    <t>UNCM0010_IF_SAVE_ERROR_CHECK</t>
  </si>
  <si>
    <t>UNCM0010_IF_SAVE_ERROR_MESSAGE</t>
  </si>
  <si>
    <t>保存数式コピー元</t>
    <rPh sb="0" eb="2">
      <t>ホゾン</t>
    </rPh>
    <rPh sb="2" eb="4">
      <t>スウシキ</t>
    </rPh>
    <rPh sb="7" eb="8">
      <t>モト</t>
    </rPh>
    <phoneticPr fontId="1"/>
  </si>
  <si>
    <t>行番号</t>
    <rPh sb="0" eb="3">
      <t>ギョウバンゴウ</t>
    </rPh>
    <phoneticPr fontId="1"/>
  </si>
  <si>
    <t>インフォメーション全件数</t>
    <rPh sb="9" eb="10">
      <t>ゼン</t>
    </rPh>
    <rPh sb="10" eb="12">
      <t>ケンスウ</t>
    </rPh>
    <phoneticPr fontId="1"/>
  </si>
  <si>
    <t>UNCM0010_IF_SAVE_INFO_KENSU</t>
    <phoneticPr fontId="1"/>
  </si>
  <si>
    <t>インフォメーションNo.</t>
    <phoneticPr fontId="1"/>
  </si>
  <si>
    <t>保存領域</t>
    <rPh sb="0" eb="2">
      <t>ホゾン</t>
    </rPh>
    <rPh sb="2" eb="4">
      <t>リョウイキ</t>
    </rPh>
    <phoneticPr fontId="1"/>
  </si>
  <si>
    <t>判定領域</t>
    <rPh sb="0" eb="2">
      <t>ハンテイ</t>
    </rPh>
    <rPh sb="2" eb="4">
      <t>リョウイキ</t>
    </rPh>
    <phoneticPr fontId="1"/>
  </si>
  <si>
    <t>UNCM0010_IF_SAVE_COPY_MOTO</t>
    <phoneticPr fontId="1"/>
  </si>
  <si>
    <t>保存可否チェック</t>
    <rPh sb="0" eb="2">
      <t>ホゾン</t>
    </rPh>
    <rPh sb="2" eb="4">
      <t>カヒ</t>
    </rPh>
    <phoneticPr fontId="1"/>
  </si>
  <si>
    <t>UNCM0010_IF_SAVE_CHECK</t>
    <phoneticPr fontId="1"/>
  </si>
  <si>
    <t>1:OK / 0:NG</t>
  </si>
  <si>
    <t>1:エラー / 2:正常終了</t>
    <rPh sb="10" eb="12">
      <t>セイジョウ</t>
    </rPh>
    <rPh sb="12" eb="14">
      <t>シュウリョウ</t>
    </rPh>
    <phoneticPr fontId="1"/>
  </si>
  <si>
    <t>処理に失敗しました。再度実行してください。</t>
    <rPh sb="0" eb="2">
      <t>ショリ</t>
    </rPh>
    <rPh sb="3" eb="5">
      <t>シッパイ</t>
    </rPh>
    <rPh sb="10" eb="12">
      <t>サイド</t>
    </rPh>
    <rPh sb="12" eb="14">
      <t>ジッコウ</t>
    </rPh>
    <phoneticPr fontId="1"/>
  </si>
  <si>
    <t>UNCM0010_IF_SAVE_KENSU</t>
    <phoneticPr fontId="1"/>
  </si>
  <si>
    <t>保存件数</t>
    <rPh sb="0" eb="2">
      <t>ホゾン</t>
    </rPh>
    <rPh sb="2" eb="4">
      <t>ケンスウ</t>
    </rPh>
    <phoneticPr fontId="1"/>
  </si>
  <si>
    <t>スクロールロック位置</t>
    <rPh sb="8" eb="10">
      <t>イチ</t>
    </rPh>
    <phoneticPr fontId="1"/>
  </si>
  <si>
    <t xml:space="preserve">SELECT M_CONTROL.COMMON_INFO
  FROM M_CONTROL
</t>
    <phoneticPr fontId="1"/>
  </si>
  <si>
    <t xml:space="preserve">WHERE M_CONTROL.CTRL_KEY = 1
</t>
    <phoneticPr fontId="1"/>
  </si>
  <si>
    <t>区分CD</t>
    <rPh sb="0" eb="2">
      <t>クブン</t>
    </rPh>
    <phoneticPr fontId="1"/>
  </si>
  <si>
    <t>UNCM0020_IF_SAVE_W_USER_ID</t>
  </si>
  <si>
    <t>UNCM0020_IF_SAVE_W_SERIAL</t>
  </si>
  <si>
    <t>UNCM0020_IF_SAVE_W_MODE</t>
  </si>
  <si>
    <t>UNCM0020_IF_SAVE_COPY_SAKI</t>
  </si>
  <si>
    <t>UNCM0020_IF_SAVE_KENSU</t>
  </si>
  <si>
    <t>UNCM0020_IF_SAVE_CHECK</t>
  </si>
  <si>
    <t>UNCM0020_IF_SAVE_RESULT_CD</t>
  </si>
  <si>
    <t>UNCM0020_IF_SAVE_RESULT_MESSAGE</t>
  </si>
  <si>
    <t>UNCM0020_IF_SAVE_ERROR_CHECK</t>
  </si>
  <si>
    <t>UNCM0020_IF_SAVE_ERROR_MESSAGE</t>
  </si>
  <si>
    <t>UNCM0020_IF_SAVE_COPY_MOTO</t>
    <phoneticPr fontId="1"/>
  </si>
  <si>
    <t>受注関連フラグ</t>
    <rPh sb="0" eb="2">
      <t>ジュチュウ</t>
    </rPh>
    <rPh sb="2" eb="4">
      <t>カンレン</t>
    </rPh>
    <phoneticPr fontId="1"/>
  </si>
  <si>
    <t>購買関連フラグ</t>
    <rPh sb="0" eb="2">
      <t>コウバイ</t>
    </rPh>
    <rPh sb="2" eb="4">
      <t>カンレン</t>
    </rPh>
    <phoneticPr fontId="1"/>
  </si>
  <si>
    <t>マスタ関連フラグ</t>
    <rPh sb="3" eb="5">
      <t>カンレン</t>
    </rPh>
    <phoneticPr fontId="1"/>
  </si>
  <si>
    <t>UNCM0020_H_JUCHU_KBN</t>
    <phoneticPr fontId="1"/>
  </si>
  <si>
    <t>UNCM0020_H_KOBAI_KBN</t>
    <phoneticPr fontId="1"/>
  </si>
  <si>
    <t>UNCM0020_H_MASTER_KBN</t>
    <phoneticPr fontId="1"/>
  </si>
  <si>
    <t>操作担当者CD</t>
    <rPh sb="0" eb="2">
      <t>ソウサ</t>
    </rPh>
    <rPh sb="2" eb="5">
      <t>タントウシャ</t>
    </rPh>
    <phoneticPr fontId="1"/>
  </si>
  <si>
    <t>UNCM0020_H_TANTOSHA_CD</t>
    <phoneticPr fontId="1"/>
  </si>
  <si>
    <t>UNCM0020_B_INFO_CLEAR_AREA</t>
  </si>
  <si>
    <t>UNCM0020_B_INFO_KENSU</t>
    <phoneticPr fontId="1"/>
  </si>
  <si>
    <t>UNCM0020_B_INFO_TENKAI_ICHI</t>
    <phoneticPr fontId="1"/>
  </si>
  <si>
    <t>UNCM0020_B_INFO_FLG_COPY_SAKI</t>
    <phoneticPr fontId="1"/>
  </si>
  <si>
    <t>UNCM0020_B_INFO_SHOSHIKI_COPY_SAKI</t>
    <phoneticPr fontId="1"/>
  </si>
  <si>
    <t>表示件数</t>
    <rPh sb="0" eb="2">
      <t>ヒョウジ</t>
    </rPh>
    <rPh sb="2" eb="4">
      <t>ケンスウ</t>
    </rPh>
    <phoneticPr fontId="1"/>
  </si>
  <si>
    <t>全件数</t>
    <rPh sb="0" eb="2">
      <t>ゼンケン</t>
    </rPh>
    <rPh sb="2" eb="3">
      <t>スウ</t>
    </rPh>
    <phoneticPr fontId="1"/>
  </si>
  <si>
    <t>ページ番号</t>
    <rPh sb="3" eb="5">
      <t>バンゴウ</t>
    </rPh>
    <phoneticPr fontId="1"/>
  </si>
  <si>
    <t>総ページ数</t>
    <rPh sb="0" eb="1">
      <t>ソウ</t>
    </rPh>
    <rPh sb="4" eb="5">
      <t>スウ</t>
    </rPh>
    <phoneticPr fontId="1"/>
  </si>
  <si>
    <t>表示行数定義</t>
    <rPh sb="0" eb="2">
      <t>ヒョウジ</t>
    </rPh>
    <rPh sb="2" eb="4">
      <t>ギョウスウ</t>
    </rPh>
    <rPh sb="4" eb="6">
      <t>テイギ</t>
    </rPh>
    <phoneticPr fontId="1"/>
  </si>
  <si>
    <t>UNCM0020_B_ALL_KENSU</t>
  </si>
  <si>
    <t>UNCM0020_B_PAGE_NO</t>
  </si>
  <si>
    <t>UNCM0020_B_ALL_PEGE_SU</t>
  </si>
  <si>
    <t>UNCM0020_B_CTRL_HYOJI_GYO_SU</t>
  </si>
  <si>
    <t>インフォメーション履歴取得SQL</t>
    <rPh sb="9" eb="11">
      <t>リレキ</t>
    </rPh>
    <rPh sb="11" eb="13">
      <t>シュトク</t>
    </rPh>
    <phoneticPr fontId="1"/>
  </si>
  <si>
    <t>UNCM0020_SQL_SELECT_INFO_R</t>
    <phoneticPr fontId="1"/>
  </si>
  <si>
    <t>WHERE句1</t>
    <rPh sb="5" eb="6">
      <t>ク</t>
    </rPh>
    <phoneticPr fontId="1"/>
  </si>
  <si>
    <t xml:space="preserve">SELECT *
  FROM V_INFO_R
</t>
    <phoneticPr fontId="1"/>
  </si>
  <si>
    <t>シリアル値生成</t>
    <rPh sb="4" eb="5">
      <t>アタイ</t>
    </rPh>
    <rPh sb="5" eb="7">
      <t>セイセイ</t>
    </rPh>
    <phoneticPr fontId="1"/>
  </si>
  <si>
    <t>UNCM0020_IF_CREATE_W_SERIAL</t>
    <phoneticPr fontId="1"/>
  </si>
  <si>
    <t>WHERE句(区分)</t>
    <rPh sb="5" eb="6">
      <t>ク</t>
    </rPh>
    <rPh sb="7" eb="9">
      <t>クブン</t>
    </rPh>
    <phoneticPr fontId="1"/>
  </si>
  <si>
    <t>受注区分</t>
    <rPh sb="0" eb="2">
      <t>ジュチュウ</t>
    </rPh>
    <rPh sb="2" eb="4">
      <t>クブン</t>
    </rPh>
    <phoneticPr fontId="1"/>
  </si>
  <si>
    <t>購買区分</t>
    <rPh sb="0" eb="2">
      <t>コウバイ</t>
    </rPh>
    <rPh sb="2" eb="4">
      <t>クブン</t>
    </rPh>
    <phoneticPr fontId="1"/>
  </si>
  <si>
    <t>マスタ区分</t>
    <rPh sb="3" eb="5">
      <t>クブン</t>
    </rPh>
    <phoneticPr fontId="1"/>
  </si>
  <si>
    <t xml:space="preserve"> WHERE 1 = 1
</t>
    <phoneticPr fontId="1"/>
  </si>
  <si>
    <t>WHERE(日時)</t>
    <rPh sb="6" eb="8">
      <t>ニチジ</t>
    </rPh>
    <phoneticPr fontId="1"/>
  </si>
  <si>
    <t>to</t>
    <phoneticPr fontId="1"/>
  </si>
  <si>
    <t>from</t>
    <phoneticPr fontId="1"/>
  </si>
  <si>
    <t>WHERE(操作担当者)</t>
    <rPh sb="6" eb="8">
      <t>ソウサ</t>
    </rPh>
    <rPh sb="8" eb="10">
      <t>タントウ</t>
    </rPh>
    <rPh sb="10" eb="11">
      <t>シャ</t>
    </rPh>
    <phoneticPr fontId="1"/>
  </si>
  <si>
    <t>操作CD</t>
    <rPh sb="0" eb="2">
      <t>ソウサ</t>
    </rPh>
    <phoneticPr fontId="1"/>
  </si>
  <si>
    <t>【ボディ】</t>
    <phoneticPr fontId="1"/>
  </si>
  <si>
    <t>ボディ書式コピー元</t>
    <rPh sb="3" eb="5">
      <t>ショシキ</t>
    </rPh>
    <rPh sb="8" eb="9">
      <t>モト</t>
    </rPh>
    <phoneticPr fontId="1"/>
  </si>
  <si>
    <t>UNCM0020_IF_B_FLG_COPY_MOTO</t>
    <phoneticPr fontId="1"/>
  </si>
  <si>
    <t>UNCM0020_IF_B_SHOSHIKI_COPY_MOTO</t>
    <phoneticPr fontId="1"/>
  </si>
  <si>
    <t>ORDER BY</t>
    <phoneticPr fontId="1"/>
  </si>
  <si>
    <t>初期ORDER句取得用SQL</t>
    <rPh sb="0" eb="2">
      <t>ショキ</t>
    </rPh>
    <rPh sb="7" eb="8">
      <t>ク</t>
    </rPh>
    <rPh sb="8" eb="10">
      <t>シュトク</t>
    </rPh>
    <rPh sb="10" eb="11">
      <t>ヨウ</t>
    </rPh>
    <phoneticPr fontId="1"/>
  </si>
  <si>
    <t>UNCM0020_SQL_SORT</t>
    <phoneticPr fontId="1"/>
  </si>
  <si>
    <t>UNCM0020_SQL_INIT_SORT</t>
    <phoneticPr fontId="1"/>
  </si>
  <si>
    <t>SELECT M_MEISHO_B.DATA_2   AS ORDER句
   FROM M_MEISHO_B
 WHERE M_MEISHO_B.MEISHO_KBN = 'O101'
   AND M_MEISHO_B.MEISHO_CD=1</t>
    <phoneticPr fontId="1"/>
  </si>
  <si>
    <t>ページング</t>
    <phoneticPr fontId="1"/>
  </si>
  <si>
    <t xml:space="preserve"> ORDER BY V_INFO_R.INFO_NO DESC
</t>
    <phoneticPr fontId="1"/>
  </si>
  <si>
    <t>【コード検索用】</t>
    <rPh sb="4" eb="7">
      <t>ケンサクヨウ</t>
    </rPh>
    <phoneticPr fontId="1"/>
  </si>
  <si>
    <t>表示行数取得</t>
    <rPh sb="0" eb="2">
      <t>ヒョウジ</t>
    </rPh>
    <rPh sb="2" eb="4">
      <t>ギョウスウ</t>
    </rPh>
    <rPh sb="4" eb="6">
      <t>シュトク</t>
    </rPh>
    <phoneticPr fontId="1"/>
  </si>
  <si>
    <t>社員検索用SQL</t>
    <rPh sb="0" eb="2">
      <t>シャイン</t>
    </rPh>
    <rPh sb="2" eb="4">
      <t>ケンサク</t>
    </rPh>
    <rPh sb="4" eb="5">
      <t>ヨウ</t>
    </rPh>
    <phoneticPr fontId="1"/>
  </si>
  <si>
    <t>SELECT HYOJI_GYO_SU
  FROM M_CONTROL
 WHERE CTRL_KEY = 1</t>
    <phoneticPr fontId="1"/>
  </si>
  <si>
    <t>UNCM_COMMON_SQL_SELECT_CTRL_HYOJI_GYO_SU</t>
    <phoneticPr fontId="1"/>
  </si>
  <si>
    <t>UNCM_COMMON_SQL_SHAIN_SERCH</t>
    <phoneticPr fontId="1"/>
  </si>
  <si>
    <t>インフォメーション履歴全件数カウントSQL</t>
    <rPh sb="9" eb="11">
      <t>リレキ</t>
    </rPh>
    <rPh sb="11" eb="12">
      <t>ゼン</t>
    </rPh>
    <rPh sb="12" eb="14">
      <t>ケンスウ</t>
    </rPh>
    <phoneticPr fontId="1"/>
  </si>
  <si>
    <t>UNCM0020_SQL_SELECT_INFO_R_COUNT</t>
    <phoneticPr fontId="1"/>
  </si>
  <si>
    <t>COUNT</t>
    <phoneticPr fontId="1"/>
  </si>
  <si>
    <t xml:space="preserve">SELECT COUNT(*) AS CNT
  FROM V_INFO_R
</t>
    <phoneticPr fontId="1"/>
  </si>
  <si>
    <t>【処理用判定】</t>
    <rPh sb="1" eb="4">
      <t>ショリヨウ</t>
    </rPh>
    <rPh sb="4" eb="6">
      <t>ハンテイ</t>
    </rPh>
    <phoneticPr fontId="1"/>
  </si>
  <si>
    <t>データ照会中フラグ</t>
    <rPh sb="3" eb="5">
      <t>ショウカイ</t>
    </rPh>
    <rPh sb="5" eb="6">
      <t>チュウ</t>
    </rPh>
    <phoneticPr fontId="1"/>
  </si>
  <si>
    <t>【フォーカス判定】</t>
    <rPh sb="6" eb="8">
      <t>ハンテイ</t>
    </rPh>
    <phoneticPr fontId="1"/>
  </si>
  <si>
    <t>選択シート名</t>
    <rPh sb="0" eb="2">
      <t>センタク</t>
    </rPh>
    <rPh sb="5" eb="6">
      <t>メイ</t>
    </rPh>
    <phoneticPr fontId="1"/>
  </si>
  <si>
    <t>選択行番号</t>
    <rPh sb="0" eb="2">
      <t>センタク</t>
    </rPh>
    <rPh sb="2" eb="3">
      <t>ギョウ</t>
    </rPh>
    <rPh sb="3" eb="5">
      <t>バンゴウ</t>
    </rPh>
    <phoneticPr fontId="1"/>
  </si>
  <si>
    <t>選択列番号</t>
    <rPh sb="0" eb="2">
      <t>センタク</t>
    </rPh>
    <rPh sb="2" eb="3">
      <t>レツ</t>
    </rPh>
    <rPh sb="3" eb="5">
      <t>バンゴウ</t>
    </rPh>
    <phoneticPr fontId="1"/>
  </si>
  <si>
    <t>選択セル名</t>
    <rPh sb="0" eb="2">
      <t>センタク</t>
    </rPh>
    <rPh sb="4" eb="5">
      <t>メイ</t>
    </rPh>
    <phoneticPr fontId="1"/>
  </si>
  <si>
    <t>ON:1</t>
  </si>
  <si>
    <t>OFF:1以外</t>
    <rPh sb="5" eb="7">
      <t>イガイ</t>
    </rPh>
    <phoneticPr fontId="1"/>
  </si>
  <si>
    <t>【ボタン制御】</t>
    <rPh sb="4" eb="6">
      <t>セイギョ</t>
    </rPh>
    <phoneticPr fontId="1"/>
  </si>
  <si>
    <t>UNCM0020_IF_ACTIVE_SHEET</t>
  </si>
  <si>
    <t>UNCM0020_IF_ACTIVE_ROW</t>
  </si>
  <si>
    <t>UNCM0020_IF_ACTIVE_COLUMN</t>
  </si>
  <si>
    <t>UNCM0020_IF_ACTIVE_CELL_NAME</t>
  </si>
  <si>
    <t>有効(1)</t>
  </si>
  <si>
    <t>無効(2)</t>
  </si>
  <si>
    <t>ページ番号が2以上の場合、前ページボタンを無効化</t>
    <rPh sb="3" eb="5">
      <t>バンゴウ</t>
    </rPh>
    <rPh sb="7" eb="9">
      <t>イジョウ</t>
    </rPh>
    <rPh sb="10" eb="12">
      <t>バアイ</t>
    </rPh>
    <rPh sb="13" eb="14">
      <t>マエ</t>
    </rPh>
    <rPh sb="21" eb="24">
      <t>ムコウカ</t>
    </rPh>
    <phoneticPr fontId="1"/>
  </si>
  <si>
    <t>総件数/(表示行数*ページ番号)の余りが表示件数以下の場合、次ページボタンを無効化</t>
    <rPh sb="0" eb="3">
      <t>ソウケンスウ</t>
    </rPh>
    <rPh sb="5" eb="7">
      <t>ヒョウジ</t>
    </rPh>
    <rPh sb="7" eb="9">
      <t>ギョウスウ</t>
    </rPh>
    <rPh sb="13" eb="15">
      <t>バンゴウ</t>
    </rPh>
    <rPh sb="17" eb="18">
      <t>アマ</t>
    </rPh>
    <rPh sb="20" eb="22">
      <t>ヒョウジ</t>
    </rPh>
    <rPh sb="22" eb="24">
      <t>ケンスウ</t>
    </rPh>
    <rPh sb="24" eb="26">
      <t>イカ</t>
    </rPh>
    <rPh sb="27" eb="29">
      <t>バアイ</t>
    </rPh>
    <rPh sb="30" eb="31">
      <t>ツギ</t>
    </rPh>
    <rPh sb="38" eb="41">
      <t>ムコウカ</t>
    </rPh>
    <phoneticPr fontId="1"/>
  </si>
  <si>
    <t>UNCM0020_IF_BUTTON_11_HYOJI</t>
    <phoneticPr fontId="1"/>
  </si>
  <si>
    <t>UNCM0020_IF_BUTTON_12_HYOJI</t>
    <phoneticPr fontId="1"/>
  </si>
  <si>
    <t>次ページ番号</t>
    <rPh sb="0" eb="1">
      <t>ツギ</t>
    </rPh>
    <rPh sb="4" eb="6">
      <t>バンゴウ</t>
    </rPh>
    <phoneticPr fontId="1"/>
  </si>
  <si>
    <t>前ページ番号</t>
    <rPh sb="0" eb="1">
      <t>マエ</t>
    </rPh>
    <rPh sb="4" eb="6">
      <t>バンゴウ</t>
    </rPh>
    <phoneticPr fontId="1"/>
  </si>
  <si>
    <t>UNCM0020_B_NEXT_PAGE_NO</t>
    <phoneticPr fontId="1"/>
  </si>
  <si>
    <t>UNCM0020_B_PREV_PAGE_NO</t>
    <phoneticPr fontId="1"/>
  </si>
  <si>
    <t>インフォ履歴並べ替え条件検索用SQL</t>
    <rPh sb="4" eb="6">
      <t>リレキ</t>
    </rPh>
    <rPh sb="6" eb="7">
      <t>ナラ</t>
    </rPh>
    <rPh sb="8" eb="9">
      <t>カ</t>
    </rPh>
    <rPh sb="10" eb="12">
      <t>ジョウケン</t>
    </rPh>
    <rPh sb="12" eb="15">
      <t>ケンサクヨウ</t>
    </rPh>
    <phoneticPr fontId="1"/>
  </si>
  <si>
    <t>UNCM0020_SQL_INFO_R_SORT_SEARCH</t>
    <phoneticPr fontId="1"/>
  </si>
  <si>
    <t>UNCM0020_IF_DATA_SEARCH_FLG</t>
    <phoneticPr fontId="1"/>
  </si>
  <si>
    <t>テーブル更新用SQL</t>
    <rPh sb="4" eb="6">
      <t>コウシン</t>
    </rPh>
    <rPh sb="6" eb="7">
      <t>ヨウ</t>
    </rPh>
    <phoneticPr fontId="1"/>
  </si>
  <si>
    <t>UNCM0020_SQL_SELECT_INFO_R_TABLE_UPDATE</t>
    <phoneticPr fontId="1"/>
  </si>
  <si>
    <t>TABLE_UPDATE</t>
    <phoneticPr fontId="1"/>
  </si>
  <si>
    <t>TABLE_UPDATE(WHERE)</t>
    <phoneticPr fontId="1"/>
  </si>
  <si>
    <t>保存件数取得SQL</t>
    <rPh sb="0" eb="2">
      <t>ホゾン</t>
    </rPh>
    <rPh sb="2" eb="4">
      <t>ケンスウ</t>
    </rPh>
    <rPh sb="4" eb="6">
      <t>シュトク</t>
    </rPh>
    <phoneticPr fontId="1"/>
  </si>
  <si>
    <t>UNCM0020_SQL_SAVE_COUNT</t>
    <phoneticPr fontId="1"/>
  </si>
  <si>
    <t>保存件数</t>
    <rPh sb="0" eb="2">
      <t>ホゾン</t>
    </rPh>
    <rPh sb="2" eb="4">
      <t>ケンスウ</t>
    </rPh>
    <phoneticPr fontId="1"/>
  </si>
  <si>
    <t>UNCM0020_IF_SAVE_COUNT</t>
    <phoneticPr fontId="1"/>
  </si>
  <si>
    <t>UNCM0020_H_SEARCH_TANTOSHA_CD</t>
    <phoneticPr fontId="1"/>
  </si>
  <si>
    <t>開始日時</t>
    <rPh sb="0" eb="2">
      <t>カイシ</t>
    </rPh>
    <rPh sb="2" eb="4">
      <t>ニチジ</t>
    </rPh>
    <phoneticPr fontId="1"/>
  </si>
  <si>
    <t>終了日時</t>
    <rPh sb="0" eb="2">
      <t>シュウリョウ</t>
    </rPh>
    <rPh sb="2" eb="4">
      <t>ニチジ</t>
    </rPh>
    <phoneticPr fontId="1"/>
  </si>
  <si>
    <t>検索対象操作担当者CD</t>
    <rPh sb="0" eb="2">
      <t>ケンサク</t>
    </rPh>
    <rPh sb="2" eb="4">
      <t>タイショウ</t>
    </rPh>
    <rPh sb="4" eb="6">
      <t>ソウサ</t>
    </rPh>
    <rPh sb="6" eb="9">
      <t>タントウシャ</t>
    </rPh>
    <phoneticPr fontId="1"/>
  </si>
  <si>
    <t>スクロールロック位置</t>
  </si>
  <si>
    <t>クリアコピー元</t>
    <rPh sb="6" eb="7">
      <t>モト</t>
    </rPh>
    <phoneticPr fontId="1"/>
  </si>
  <si>
    <t>UNCM0010_IF_LIST_DEFAULT</t>
    <phoneticPr fontId="1"/>
  </si>
  <si>
    <t>非表示列</t>
    <rPh sb="0" eb="3">
      <t>ヒヒョウジ</t>
    </rPh>
    <rPh sb="3" eb="4">
      <t>レツ</t>
    </rPh>
    <phoneticPr fontId="1"/>
  </si>
  <si>
    <t>UNJC0020_B_HIDE_COLUMN</t>
    <phoneticPr fontId="1"/>
  </si>
  <si>
    <t>$H$13</t>
    <phoneticPr fontId="1"/>
  </si>
  <si>
    <t>非表示行</t>
    <rPh sb="0" eb="3">
      <t>ヒヒョウジ</t>
    </rPh>
    <rPh sb="3" eb="4">
      <t>ギョウ</t>
    </rPh>
    <phoneticPr fontId="1"/>
  </si>
  <si>
    <t>UNCM0010_B_HIDE_ROW</t>
    <phoneticPr fontId="1"/>
  </si>
  <si>
    <t>UNCM0010_B_HIDE_COLUMN</t>
    <phoneticPr fontId="1"/>
  </si>
  <si>
    <t>UNCM0020_B_HIDE_ROW</t>
    <phoneticPr fontId="1"/>
  </si>
  <si>
    <t>UNCM0020_B_HIDE_COLUMN</t>
    <phoneticPr fontId="1"/>
  </si>
  <si>
    <t xml:space="preserve"> ORDER BY V_INFO.INFO_NO DESC
</t>
    <phoneticPr fontId="1"/>
  </si>
  <si>
    <t xml:space="preserve">   AND V_INFO.INFO_KBN    = 1
</t>
    <phoneticPr fontId="1"/>
  </si>
  <si>
    <t xml:space="preserve">   AND V_INFO.INFO_KBN    = 2
</t>
    <phoneticPr fontId="1"/>
  </si>
  <si>
    <t xml:space="preserve">   AND V_INFO.INFO_KBN    = 3
</t>
    <phoneticPr fontId="1"/>
  </si>
  <si>
    <t>UNCM0010_H_HIDE_ROW</t>
    <phoneticPr fontId="1"/>
  </si>
  <si>
    <t>UNCM0010_H_HIDE_COLUMN</t>
    <phoneticPr fontId="1"/>
  </si>
  <si>
    <t>UNCM0020_H_HIDE_ROW</t>
    <phoneticPr fontId="1"/>
  </si>
  <si>
    <t>UNCM0020_H_HIDE_COLUMN</t>
    <phoneticPr fontId="1"/>
  </si>
  <si>
    <t>UNCM0020_IF_LIST_DEFAULT</t>
    <phoneticPr fontId="1"/>
  </si>
  <si>
    <t>WHERE句(通知先担当者)</t>
    <rPh sb="5" eb="6">
      <t>ク</t>
    </rPh>
    <rPh sb="7" eb="9">
      <t>ツウチ</t>
    </rPh>
    <rPh sb="9" eb="10">
      <t>サキ</t>
    </rPh>
    <rPh sb="10" eb="13">
      <t>タントウシャ</t>
    </rPh>
    <phoneticPr fontId="1"/>
  </si>
  <si>
    <t>UNCM0020_SQL_JUCHU_KBN</t>
  </si>
  <si>
    <t>UNCM0020_SQL_KOBAI_KBN</t>
  </si>
  <si>
    <t>UNCM0020_SQL_MASTER_KBN</t>
  </si>
  <si>
    <t>UNCM0020_SQL_TANTOSHA_CD</t>
  </si>
  <si>
    <t>UNCM0020_SQL_INFO_DATETIME_START</t>
    <phoneticPr fontId="1"/>
  </si>
  <si>
    <t>UNCM0020_SQL_INFO_DATETIME_END</t>
    <phoneticPr fontId="1"/>
  </si>
  <si>
    <t xml:space="preserve">SELECT W_INFO_R.W_USER_ID
      ,W_INFO_R.W_SERIAL
      ,W_INFO_R.INFO_NO
      ,W_INFO_R.W_MODE
      ,W_INFO_R.SELECT_FLG
      ,W_INFO_R.DBS_STATUS
      ,W_INFO_R.DBS_CREATE_USER
      ,W_INFO_R.DBS_CREATE_DATE
      ,W_INFO_R.DBS_UPDATE_USER
      ,W_INFO_R.DBS_UPDATE_DATE
  FROM W_INFO_R
  LEFT JOIN
       V_INFO_R
    ON V_INFO_R.INFO_NO = W_INFO_R.INFO_NO
</t>
    <phoneticPr fontId="1"/>
  </si>
  <si>
    <t>【Excel展開用】</t>
    <rPh sb="6" eb="8">
      <t>テンカイ</t>
    </rPh>
    <rPh sb="8" eb="9">
      <t>ヨウ</t>
    </rPh>
    <phoneticPr fontId="1"/>
  </si>
  <si>
    <t>NO</t>
    <phoneticPr fontId="1"/>
  </si>
  <si>
    <t>EXCEL出力用SQL</t>
    <rPh sb="5" eb="7">
      <t>シュツリョク</t>
    </rPh>
    <rPh sb="7" eb="8">
      <t>ヨウ</t>
    </rPh>
    <phoneticPr fontId="1"/>
  </si>
  <si>
    <t>UNCM0020_SQL_SELECT_INFO_R_EXCEL</t>
    <phoneticPr fontId="1"/>
  </si>
  <si>
    <t>取得件数</t>
    <rPh sb="0" eb="2">
      <t>シュトク</t>
    </rPh>
    <rPh sb="2" eb="4">
      <t>ケンスウ</t>
    </rPh>
    <phoneticPr fontId="1"/>
  </si>
  <si>
    <t>UNCM0020_IF_EXCEL_KENSU</t>
    <phoneticPr fontId="1"/>
  </si>
  <si>
    <t>展開場所</t>
    <rPh sb="0" eb="2">
      <t>テンカイ</t>
    </rPh>
    <rPh sb="2" eb="4">
      <t>バショ</t>
    </rPh>
    <phoneticPr fontId="1"/>
  </si>
  <si>
    <t>UNCM0020_IF_EXCEL_TENKAI_ICHI</t>
    <phoneticPr fontId="1"/>
  </si>
  <si>
    <t>Excel保存ファイル名</t>
    <rPh sb="5" eb="7">
      <t>ホゾン</t>
    </rPh>
    <rPh sb="11" eb="12">
      <t>メイ</t>
    </rPh>
    <phoneticPr fontId="1"/>
  </si>
  <si>
    <t>UNCM0020_IF_EXCEL_FILE_NAME</t>
    <phoneticPr fontId="1"/>
  </si>
  <si>
    <t>ID</t>
    <phoneticPr fontId="1"/>
  </si>
  <si>
    <t>赤フラグ</t>
    <rPh sb="0" eb="1">
      <t>アカ</t>
    </rPh>
    <phoneticPr fontId="1"/>
  </si>
  <si>
    <t>赤文字フラグ</t>
    <rPh sb="0" eb="1">
      <t>アカ</t>
    </rPh>
    <rPh sb="1" eb="3">
      <t>モジ</t>
    </rPh>
    <phoneticPr fontId="1"/>
  </si>
  <si>
    <t>aaaaa</t>
    <phoneticPr fontId="1"/>
  </si>
  <si>
    <t>ID</t>
    <phoneticPr fontId="1"/>
  </si>
  <si>
    <t>赤フラグ</t>
    <rPh sb="0" eb="1">
      <t>アカ</t>
    </rPh>
    <phoneticPr fontId="1"/>
  </si>
  <si>
    <t xml:space="preserve"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
</t>
    <phoneticPr fontId="1"/>
  </si>
  <si>
    <t xml:space="preserve">OFFSET 0 ROWS
 FETCH NEXT 20 ROWS ONLY
</t>
    <phoneticPr fontId="1"/>
  </si>
  <si>
    <t>OFFSET</t>
    <phoneticPr fontId="1"/>
  </si>
  <si>
    <t xml:space="preserve">SELECT M_MEISHO_B.MEISHO_CD
      ,M_MEISHO_B.DATA_1        AS 並べ替え
      ,M_MEISHO_B.DATA_2
  FROM M_MEISHO_B
 WHERE M_MEISHO_B.MEISHO_KBN = 'O101'
</t>
    <phoneticPr fontId="1"/>
  </si>
  <si>
    <t>通知日時▽</t>
    <rPh sb="0" eb="2">
      <t>ツウチ</t>
    </rPh>
    <rPh sb="2" eb="3">
      <t>ビ</t>
    </rPh>
    <rPh sb="3" eb="4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</si>
</sst>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d"/>
    <numFmt numFmtId="177" formatCode="yyyy/mm/dd\ hh:mm"/>
    <numFmt numFmtId="178" formatCode="yyyy/mm/dd\ hh:mm:ss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b/>
      <sz val="11"/>
      <color rgb="FF0070C0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name val="メイリオ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7F1F3"/>
        <bgColor indexed="64"/>
      </patternFill>
    </fill>
    <fill>
      <patternFill patternType="solid">
        <fgColor rgb="FFCCFFCC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indexed="64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thin">
        <color indexed="64"/>
      </right>
      <top/>
      <bottom style="hair">
        <color theme="0" tint="-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499984740745262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2" fillId="3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vertical="center"/>
    </xf>
    <xf numFmtId="0" fontId="3" fillId="2" borderId="12" xfId="0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0" fontId="3" fillId="4" borderId="1" xfId="0" applyFont="1" applyFill="1" applyBorder="1" applyAlignment="1">
      <alignment horizontal="center" vertical="center" shrinkToFit="1"/>
    </xf>
    <xf numFmtId="0" fontId="3" fillId="4" borderId="1" xfId="0" applyFont="1" applyFill="1" applyBorder="1" applyAlignment="1">
      <alignment horizontal="left" vertical="top" wrapText="1" shrinkToFit="1"/>
    </xf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right" vertical="center"/>
    </xf>
    <xf numFmtId="0" fontId="4" fillId="6" borderId="1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right" vertical="center"/>
    </xf>
    <xf numFmtId="0" fontId="3" fillId="2" borderId="14" xfId="0" applyFont="1" applyFill="1" applyBorder="1" applyAlignment="1">
      <alignment horizontal="center" vertical="center" shrinkToFit="1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5" borderId="0" xfId="0" applyNumberFormat="1" applyFill="1">
      <alignment vertical="center"/>
    </xf>
    <xf numFmtId="176" fontId="8" fillId="0" borderId="15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5" borderId="4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176" fontId="8" fillId="0" borderId="16" xfId="0" applyNumberFormat="1" applyFont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shrinkToFit="1"/>
    </xf>
    <xf numFmtId="49" fontId="3" fillId="4" borderId="1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vertical="center" shrinkToFit="1"/>
    </xf>
    <xf numFmtId="0" fontId="9" fillId="0" borderId="0" xfId="0" applyFont="1" applyAlignment="1">
      <alignment horizontal="right" vertical="center" shrinkToFit="1"/>
    </xf>
    <xf numFmtId="0" fontId="9" fillId="0" borderId="0" xfId="0" applyFont="1" applyAlignment="1">
      <alignment vertical="center" wrapText="1" shrinkToFit="1"/>
    </xf>
    <xf numFmtId="0" fontId="9" fillId="5" borderId="0" xfId="0" applyFont="1" applyFill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10" fillId="0" borderId="0" xfId="0" applyFont="1">
      <alignment vertical="center"/>
    </xf>
    <xf numFmtId="0" fontId="0" fillId="5" borderId="0" xfId="0" applyFill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5" borderId="0" xfId="0" applyFill="1">
      <alignment vertical="center"/>
    </xf>
    <xf numFmtId="0" fontId="0" fillId="5" borderId="0" xfId="0" applyNumberFormat="1" applyFill="1">
      <alignment vertical="center"/>
    </xf>
    <xf numFmtId="0" fontId="0" fillId="0" borderId="0" xfId="0">
      <alignment vertical="center"/>
    </xf>
    <xf numFmtId="0" fontId="3" fillId="4" borderId="0" xfId="0" applyFont="1" applyFill="1" applyBorder="1" applyAlignment="1">
      <alignment vertical="center"/>
    </xf>
    <xf numFmtId="0" fontId="0" fillId="0" borderId="0" xfId="0" applyAlignment="1">
      <alignment vertical="center" shrinkToFit="1"/>
    </xf>
    <xf numFmtId="0" fontId="0" fillId="5" borderId="0" xfId="0" applyFill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5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0" xfId="0" applyFill="1">
      <alignment vertical="center"/>
    </xf>
    <xf numFmtId="0" fontId="3" fillId="0" borderId="11" xfId="0" applyFont="1" applyFill="1" applyBorder="1" applyAlignment="1">
      <alignment horizontal="left" vertical="center" shrinkToFit="1"/>
    </xf>
    <xf numFmtId="0" fontId="5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176" fontId="8" fillId="0" borderId="22" xfId="0" applyNumberFormat="1" applyFont="1" applyBorder="1" applyAlignment="1">
      <alignment horizontal="center" vertical="center"/>
    </xf>
    <xf numFmtId="176" fontId="8" fillId="0" borderId="23" xfId="0" applyNumberFormat="1" applyFont="1" applyBorder="1" applyAlignment="1">
      <alignment horizontal="center" vertical="center"/>
    </xf>
    <xf numFmtId="176" fontId="8" fillId="0" borderId="24" xfId="0" applyNumberFormat="1" applyFont="1" applyBorder="1" applyAlignment="1">
      <alignment horizontal="center" vertical="center"/>
    </xf>
    <xf numFmtId="176" fontId="8" fillId="0" borderId="25" xfId="0" applyNumberFormat="1" applyFont="1" applyBorder="1" applyAlignment="1">
      <alignment horizontal="center" vertical="center"/>
    </xf>
    <xf numFmtId="176" fontId="8" fillId="0" borderId="26" xfId="0" applyNumberFormat="1" applyFont="1" applyBorder="1" applyAlignment="1">
      <alignment horizontal="center" vertical="center"/>
    </xf>
    <xf numFmtId="176" fontId="8" fillId="0" borderId="27" xfId="0" applyNumberFormat="1" applyFont="1" applyBorder="1" applyAlignment="1">
      <alignment horizontal="center" vertical="center"/>
    </xf>
    <xf numFmtId="176" fontId="8" fillId="0" borderId="28" xfId="0" applyNumberFormat="1" applyFont="1" applyBorder="1" applyAlignment="1">
      <alignment horizontal="center" vertical="center"/>
    </xf>
    <xf numFmtId="0" fontId="9" fillId="0" borderId="0" xfId="0" applyFont="1">
      <alignment vertical="center"/>
    </xf>
    <xf numFmtId="177" fontId="3" fillId="4" borderId="1" xfId="0" applyNumberFormat="1" applyFont="1" applyFill="1" applyBorder="1" applyAlignment="1">
      <alignment horizontal="center" vertical="center" wrapText="1" shrinkToFit="1"/>
    </xf>
    <xf numFmtId="0" fontId="0" fillId="0" borderId="1" xfId="0" applyBorder="1" applyProtection="1">
      <alignment vertical="center"/>
      <protection locked="0"/>
    </xf>
    <xf numFmtId="0" fontId="3" fillId="5" borderId="0" xfId="0" applyFont="1" applyFill="1" applyBorder="1" applyAlignment="1">
      <alignment vertical="center" shrinkToFit="1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 shrinkToFit="1"/>
      <protection locked="0"/>
    </xf>
    <xf numFmtId="178" fontId="9" fillId="0" borderId="0" xfId="0" applyNumberFormat="1" applyFont="1">
      <alignment vertical="center"/>
    </xf>
    <xf numFmtId="0" fontId="11" fillId="0" borderId="0" xfId="0" applyFont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9" fillId="5" borderId="0" xfId="0" applyFont="1" applyFill="1" applyAlignment="1">
      <alignment vertical="center" wrapText="1"/>
    </xf>
    <xf numFmtId="0" fontId="9" fillId="0" borderId="0" xfId="0" applyFont="1">
      <alignment vertical="center"/>
    </xf>
    <xf numFmtId="0" fontId="11" fillId="0" borderId="0" xfId="0" applyFont="1" applyAlignment="1">
      <alignment vertical="center" shrinkToFit="1"/>
    </xf>
    <xf numFmtId="0" fontId="9" fillId="9" borderId="0" xfId="0" applyFont="1" applyFill="1">
      <alignment vertical="center"/>
    </xf>
    <xf numFmtId="0" fontId="0" fillId="0" borderId="0" xfId="0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5" borderId="0" xfId="0" applyFill="1">
      <alignment vertical="center"/>
    </xf>
    <xf numFmtId="0" fontId="3" fillId="0" borderId="0" xfId="0" applyFont="1" applyFill="1" applyBorder="1" applyAlignment="1">
      <alignment vertical="center"/>
    </xf>
    <xf numFmtId="0" fontId="11" fillId="0" borderId="0" xfId="0" applyFont="1" applyAlignment="1">
      <alignment vertical="center" shrinkToFit="1"/>
    </xf>
    <xf numFmtId="0" fontId="3" fillId="5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9" fillId="0" borderId="0" xfId="0" applyFont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Border="1" applyAlignment="1">
      <alignment vertical="center"/>
    </xf>
    <xf numFmtId="0" fontId="3" fillId="4" borderId="0" xfId="0" applyFont="1" applyFill="1" applyBorder="1" applyAlignment="1" applyProtection="1">
      <alignment horizontal="center" vertical="center" shrinkToFit="1"/>
    </xf>
    <xf numFmtId="0" fontId="0" fillId="4" borderId="0" xfId="0" applyFill="1" applyBorder="1" applyProtection="1">
      <alignment vertical="center"/>
    </xf>
    <xf numFmtId="49" fontId="3" fillId="4" borderId="0" xfId="0" applyNumberFormat="1" applyFont="1" applyFill="1" applyBorder="1" applyAlignment="1" applyProtection="1">
      <alignment horizontal="center" vertical="center" shrinkToFit="1"/>
    </xf>
    <xf numFmtId="0" fontId="3" fillId="4" borderId="0" xfId="0" applyFont="1" applyFill="1" applyBorder="1" applyAlignment="1" applyProtection="1">
      <alignment horizontal="left" vertical="top" wrapText="1" shrinkToFit="1"/>
    </xf>
    <xf numFmtId="177" fontId="3" fillId="4" borderId="0" xfId="0" applyNumberFormat="1" applyFont="1" applyFill="1" applyBorder="1" applyAlignment="1" applyProtection="1">
      <alignment horizontal="center" vertical="center" wrapText="1" shrinkToFit="1"/>
    </xf>
    <xf numFmtId="0" fontId="9" fillId="5" borderId="0" xfId="0" applyFont="1" applyFill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5" borderId="0" xfId="0" applyFill="1">
      <alignment vertical="center"/>
    </xf>
    <xf numFmtId="0" fontId="3" fillId="5" borderId="0" xfId="0" applyFont="1" applyFill="1" applyBorder="1" applyAlignment="1" applyProtection="1">
      <alignment vertical="center"/>
      <protection locked="0"/>
    </xf>
    <xf numFmtId="0" fontId="2" fillId="11" borderId="0" xfId="0" applyFont="1" applyFill="1" applyBorder="1" applyAlignment="1">
      <alignment vertical="center"/>
    </xf>
    <xf numFmtId="177" fontId="9" fillId="5" borderId="0" xfId="0" applyNumberFormat="1" applyFont="1" applyFill="1">
      <alignment vertical="center"/>
    </xf>
    <xf numFmtId="0" fontId="9" fillId="0" borderId="0" xfId="0" applyFont="1" applyAlignment="1">
      <alignment vertical="top" wrapText="1" shrinkToFit="1"/>
    </xf>
    <xf numFmtId="0" fontId="7" fillId="4" borderId="2" xfId="0" applyFont="1" applyFill="1" applyBorder="1" applyAlignment="1">
      <alignment horizontal="left" vertical="top" wrapText="1"/>
    </xf>
    <xf numFmtId="0" fontId="7" fillId="4" borderId="3" xfId="0" applyFont="1" applyFill="1" applyBorder="1" applyAlignment="1">
      <alignment horizontal="left" vertical="top" wrapText="1"/>
    </xf>
    <xf numFmtId="0" fontId="7" fillId="4" borderId="4" xfId="0" applyFont="1" applyFill="1" applyBorder="1" applyAlignment="1">
      <alignment horizontal="left" vertical="top" wrapText="1"/>
    </xf>
    <xf numFmtId="0" fontId="7" fillId="4" borderId="5" xfId="0" applyFont="1" applyFill="1" applyBorder="1" applyAlignment="1">
      <alignment horizontal="left" vertical="top" wrapText="1"/>
    </xf>
    <xf numFmtId="0" fontId="7" fillId="4" borderId="0" xfId="0" applyFont="1" applyFill="1" applyBorder="1" applyAlignment="1">
      <alignment horizontal="left" vertical="top" wrapText="1"/>
    </xf>
    <xf numFmtId="0" fontId="7" fillId="4" borderId="6" xfId="0" applyFont="1" applyFill="1" applyBorder="1" applyAlignment="1">
      <alignment horizontal="left" vertical="top" wrapText="1"/>
    </xf>
    <xf numFmtId="0" fontId="7" fillId="4" borderId="7" xfId="0" applyFont="1" applyFill="1" applyBorder="1" applyAlignment="1">
      <alignment horizontal="left" vertical="top" wrapText="1"/>
    </xf>
    <xf numFmtId="0" fontId="7" fillId="4" borderId="8" xfId="0" applyFont="1" applyFill="1" applyBorder="1" applyAlignment="1">
      <alignment horizontal="left" vertical="top" wrapText="1"/>
    </xf>
    <xf numFmtId="0" fontId="7" fillId="4" borderId="9" xfId="0" applyFont="1" applyFill="1" applyBorder="1" applyAlignment="1">
      <alignment horizontal="left" vertical="top" wrapText="1"/>
    </xf>
    <xf numFmtId="0" fontId="4" fillId="6" borderId="17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9" fillId="5" borderId="0" xfId="0" applyFont="1" applyFill="1" applyAlignment="1">
      <alignment horizontal="left" vertical="center" wrapText="1"/>
    </xf>
    <xf numFmtId="0" fontId="9" fillId="5" borderId="0" xfId="0" applyFont="1" applyFill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 wrapText="1"/>
    </xf>
    <xf numFmtId="0" fontId="9" fillId="10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left" vertical="center" wrapText="1"/>
    </xf>
    <xf numFmtId="0" fontId="9" fillId="8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177" fontId="3" fillId="12" borderId="1" xfId="0" applyNumberFormat="1" applyFont="1" applyFill="1" applyBorder="1" applyAlignment="1" applyProtection="1">
      <alignment horizontal="center" vertical="center"/>
      <protection locked="0"/>
    </xf>
  </cellXfs>
  <cellStyles count="2">
    <cellStyle name="標準" xfId="0" builtinId="0"/>
    <cellStyle name="標準 2" xfId="1"/>
  </cellStyles>
  <dxfs count="107"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</dxf>
  </dxfs>
  <tableStyles count="0" defaultTableStyle="TableStyleMedium9" defaultPivotStyle="PivotStyleLight16"/>
  <colors>
    <mruColors>
      <color rgb="FFCCFFCC"/>
      <color rgb="FF97F1F3"/>
      <color rgb="FF9BE7EF"/>
      <color rgb="FF92E5EE"/>
      <color rgb="FFB7F7F4"/>
      <color rgb="FFC2E3EC"/>
      <color rgb="FFFFFFB9"/>
      <color rgb="FFFFFF79"/>
      <color rgb="FFFAF3C6"/>
      <color rgb="FFFDF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UNCM0020_H_JUCHU_KBN" lockText="1" noThreeD="1"/>
</file>

<file path=xl/ctrlProps/ctrlProp3.xml><?xml version="1.0" encoding="utf-8"?>
<formControlPr xmlns="http://schemas.microsoft.com/office/spreadsheetml/2009/9/main" objectType="CheckBox" checked="Checked" fmlaLink="UNCM0020_H_KOBAI_KBN" lockText="1" noThreeD="1"/>
</file>

<file path=xl/ctrlProps/ctrlProp4.xml><?xml version="1.0" encoding="utf-8"?>
<formControlPr xmlns="http://schemas.microsoft.com/office/spreadsheetml/2009/9/main" objectType="CheckBox" checked="Checked" fmlaLink="UNCM0020_H_MASTER_KBN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47221</xdr:colOff>
      <xdr:row>1</xdr:row>
      <xdr:rowOff>27585</xdr:rowOff>
    </xdr:from>
    <xdr:ext cx="902812" cy="442429"/>
    <xdr:sp macro="" textlink="">
      <xdr:nvSpPr>
        <xdr:cNvPr id="4" name="正方形/長方形 3"/>
        <xdr:cNvSpPr/>
      </xdr:nvSpPr>
      <xdr:spPr>
        <a:xfrm>
          <a:off x="542521" y="770535"/>
          <a:ext cx="902812" cy="4424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r"/>
          <a:r>
            <a:rPr lang="ja-JP" altLang="en-US" sz="1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メイリオ" panose="020B0604030504040204" pitchFamily="50" charset="-128"/>
              <a:ea typeface="メイリオ" panose="020B0604030504040204" pitchFamily="50" charset="-128"/>
            </a:rPr>
            <a:t>部署名：</a:t>
          </a:r>
        </a:p>
      </xdr:txBody>
    </xdr:sp>
    <xdr:clientData/>
  </xdr:oneCellAnchor>
  <xdr:oneCellAnchor>
    <xdr:from>
      <xdr:col>6</xdr:col>
      <xdr:colOff>186363</xdr:colOff>
      <xdr:row>2</xdr:row>
      <xdr:rowOff>132103</xdr:rowOff>
    </xdr:from>
    <xdr:ext cx="1261884" cy="442429"/>
    <xdr:sp macro="" textlink="">
      <xdr:nvSpPr>
        <xdr:cNvPr id="5" name="正方形/長方形 4"/>
        <xdr:cNvSpPr/>
      </xdr:nvSpPr>
      <xdr:spPr>
        <a:xfrm>
          <a:off x="4899167" y="1084603"/>
          <a:ext cx="1261884" cy="4424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r"/>
          <a:r>
            <a:rPr lang="ja-JP" altLang="en-US" sz="1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メイリオ" panose="020B0604030504040204" pitchFamily="50" charset="-128"/>
              <a:ea typeface="メイリオ" panose="020B0604030504040204" pitchFamily="50" charset="-128"/>
            </a:rPr>
            <a:t>ユーザー名：</a:t>
          </a:r>
        </a:p>
      </xdr:txBody>
    </xdr:sp>
    <xdr:clientData/>
  </xdr:oneCellAnchor>
  <xdr:oneCellAnchor>
    <xdr:from>
      <xdr:col>11</xdr:col>
      <xdr:colOff>63549</xdr:colOff>
      <xdr:row>1</xdr:row>
      <xdr:rowOff>9254</xdr:rowOff>
    </xdr:from>
    <xdr:ext cx="252826" cy="492443"/>
    <xdr:sp macro="" textlink="UNCM0010_H_BUSHO_MEI">
      <xdr:nvSpPr>
        <xdr:cNvPr id="6" name="正方形/長方形 5"/>
        <xdr:cNvSpPr/>
      </xdr:nvSpPr>
      <xdr:spPr>
        <a:xfrm>
          <a:off x="6167832" y="754689"/>
          <a:ext cx="252826" cy="49244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fld id="{93F92CAE-A8EE-4845-9DB7-D3DEE07222DF}" type="TxLink">
            <a:rPr lang="en-US" altLang="en-US" sz="16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メイリオ"/>
              <a:ea typeface="メイリオ"/>
              <a:cs typeface="メイリオ"/>
            </a:rPr>
            <a:pPr algn="l"/>
            <a:t> </a:t>
          </a:fld>
          <a:endParaRPr lang="ja-JP" altLang="en-US" sz="4400" b="1" cap="none" spc="0">
            <a:ln w="6600">
              <a:solidFill>
                <a:schemeClr val="accent2"/>
              </a:solidFill>
              <a:prstDash val="solid"/>
            </a:ln>
            <a:solidFill>
              <a:schemeClr val="bg1"/>
            </a:solidFill>
            <a:effectLst>
              <a:outerShdw dist="38100" dir="2700000" algn="tl" rotWithShape="0">
                <a:schemeClr val="accent2"/>
              </a:outerShdw>
            </a:effectLst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oneCellAnchor>
  <xdr:oneCellAnchor>
    <xdr:from>
      <xdr:col>11</xdr:col>
      <xdr:colOff>70212</xdr:colOff>
      <xdr:row>2</xdr:row>
      <xdr:rowOff>105488</xdr:rowOff>
    </xdr:from>
    <xdr:ext cx="252826" cy="492443"/>
    <xdr:sp macro="" textlink="UNCM0010_H_SHAIN_MEI">
      <xdr:nvSpPr>
        <xdr:cNvPr id="7" name="正方形/長方形 6"/>
        <xdr:cNvSpPr/>
      </xdr:nvSpPr>
      <xdr:spPr>
        <a:xfrm>
          <a:off x="6174495" y="1057988"/>
          <a:ext cx="252826" cy="49244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fld id="{8524BE23-F230-4B2C-919A-1A9433E90BA1}" type="TxLink">
            <a:rPr lang="en-US" altLang="en-US" sz="16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メイリオ"/>
              <a:ea typeface="メイリオ"/>
              <a:cs typeface="メイリオ"/>
            </a:rPr>
            <a:pPr algn="l"/>
            <a:t> </a:t>
          </a:fld>
          <a:endParaRPr lang="ja-JP" altLang="en-US" sz="2800" b="1" cap="none" spc="0">
            <a:ln w="6600">
              <a:solidFill>
                <a:schemeClr val="accent2"/>
              </a:solidFill>
              <a:prstDash val="solid"/>
            </a:ln>
            <a:solidFill>
              <a:schemeClr val="bg1"/>
            </a:solidFill>
            <a:effectLst>
              <a:outerShdw dist="38100" dir="2700000" algn="tl" rotWithShape="0">
                <a:schemeClr val="accent2"/>
              </a:outerShdw>
            </a:effectLst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oneCellAnchor>
  <xdr:oneCellAnchor>
    <xdr:from>
      <xdr:col>6</xdr:col>
      <xdr:colOff>175567</xdr:colOff>
      <xdr:row>4</xdr:row>
      <xdr:rowOff>172987</xdr:rowOff>
    </xdr:from>
    <xdr:ext cx="2441695" cy="492443"/>
    <xdr:sp macro="" textlink="">
      <xdr:nvSpPr>
        <xdr:cNvPr id="8" name="正方形/長方形 7"/>
        <xdr:cNvSpPr/>
      </xdr:nvSpPr>
      <xdr:spPr>
        <a:xfrm>
          <a:off x="175567" y="1544587"/>
          <a:ext cx="2441695" cy="49244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メイリオ" panose="020B0604030504040204" pitchFamily="50" charset="-128"/>
              <a:ea typeface="メイリオ" panose="020B0604030504040204" pitchFamily="50" charset="-128"/>
            </a:rPr>
            <a:t>共通インフォメーション</a:t>
          </a:r>
        </a:p>
      </xdr:txBody>
    </xdr:sp>
    <xdr:clientData/>
  </xdr:oneCellAnchor>
  <xdr:twoCellAnchor>
    <xdr:from>
      <xdr:col>26</xdr:col>
      <xdr:colOff>89647</xdr:colOff>
      <xdr:row>1</xdr:row>
      <xdr:rowOff>67235</xdr:rowOff>
    </xdr:from>
    <xdr:to>
      <xdr:col>37</xdr:col>
      <xdr:colOff>44824</xdr:colOff>
      <xdr:row>11</xdr:row>
      <xdr:rowOff>67236</xdr:rowOff>
    </xdr:to>
    <xdr:grpSp>
      <xdr:nvGrpSpPr>
        <xdr:cNvPr id="9" name="グループ化 8"/>
        <xdr:cNvGrpSpPr/>
      </xdr:nvGrpSpPr>
      <xdr:grpSpPr>
        <a:xfrm>
          <a:off x="5042647" y="781610"/>
          <a:ext cx="2726952" cy="2095501"/>
          <a:chOff x="5020235" y="1064559"/>
          <a:chExt cx="2723030" cy="212911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3" name="図 2"/>
              <xdr:cNvPicPr>
                <a:picLocks noChangeAspect="1" noChangeArrowheads="1"/>
                <a:extLst>
                  <a:ext uri="{84589F7E-364E-4C9E-8A38-B11213B215E9}">
                    <a14:cameraTool cellRange="UNCM0010_CALENDAR_CALENDAR" spid="_x0000_s79304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5022116" y="1088000"/>
                <a:ext cx="2707494" cy="2094471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</xdr:spPr>
          </xdr:pic>
        </mc:Choice>
        <mc:Fallback xmlns=""/>
      </mc:AlternateContent>
      <xdr:sp macro="" textlink="">
        <xdr:nvSpPr>
          <xdr:cNvPr id="2" name="正方形/長方形 1"/>
          <xdr:cNvSpPr/>
        </xdr:nvSpPr>
        <xdr:spPr>
          <a:xfrm>
            <a:off x="5020235" y="1064559"/>
            <a:ext cx="2723030" cy="2129118"/>
          </a:xfrm>
          <a:prstGeom prst="rect">
            <a:avLst/>
          </a:prstGeom>
          <a:solidFill>
            <a:schemeClr val="bg1">
              <a:alpha val="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45</xdr:col>
      <xdr:colOff>161925</xdr:colOff>
      <xdr:row>1</xdr:row>
      <xdr:rowOff>85725</xdr:rowOff>
    </xdr:from>
    <xdr:to>
      <xdr:col>56</xdr:col>
      <xdr:colOff>38101</xdr:colOff>
      <xdr:row>11</xdr:row>
      <xdr:rowOff>85725</xdr:rowOff>
    </xdr:to>
    <xdr:sp macro="" textlink="">
      <xdr:nvSpPr>
        <xdr:cNvPr id="79156" name="AutoShape 308"/>
        <xdr:cNvSpPr>
          <a:spLocks noChangeAspect="1" noChangeArrowheads="1"/>
        </xdr:cNvSpPr>
      </xdr:nvSpPr>
      <xdr:spPr bwMode="auto">
        <a:xfrm>
          <a:off x="9944100" y="1085850"/>
          <a:ext cx="2705100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238124</xdr:colOff>
      <xdr:row>0</xdr:row>
      <xdr:rowOff>104775</xdr:rowOff>
    </xdr:from>
    <xdr:to>
      <xdr:col>19</xdr:col>
      <xdr:colOff>9525</xdr:colOff>
      <xdr:row>0</xdr:row>
      <xdr:rowOff>601120</xdr:rowOff>
    </xdr:to>
    <xdr:pic>
      <xdr:nvPicPr>
        <xdr:cNvPr id="12" name="図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99" y="104775"/>
          <a:ext cx="2743201" cy="4963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4</xdr:row>
          <xdr:rowOff>228600</xdr:rowOff>
        </xdr:from>
        <xdr:to>
          <xdr:col>22</xdr:col>
          <xdr:colOff>209550</xdr:colOff>
          <xdr:row>4</xdr:row>
          <xdr:rowOff>457200</xdr:rowOff>
        </xdr:to>
        <xdr:sp macro="" textlink="">
          <xdr:nvSpPr>
            <xdr:cNvPr id="84993" name="Check Box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19050</xdr:rowOff>
        </xdr:from>
        <xdr:to>
          <xdr:col>9</xdr:col>
          <xdr:colOff>276225</xdr:colOff>
          <xdr:row>3</xdr:row>
          <xdr:rowOff>180975</xdr:rowOff>
        </xdr:to>
        <xdr:sp macro="" textlink="">
          <xdr:nvSpPr>
            <xdr:cNvPr id="98305" name="Check Box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19050</xdr:rowOff>
        </xdr:from>
        <xdr:to>
          <xdr:col>9</xdr:col>
          <xdr:colOff>276225</xdr:colOff>
          <xdr:row>4</xdr:row>
          <xdr:rowOff>180975</xdr:rowOff>
        </xdr:to>
        <xdr:sp macro="" textlink="">
          <xdr:nvSpPr>
            <xdr:cNvPr id="98306" name="Check Box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19050</xdr:rowOff>
        </xdr:from>
        <xdr:to>
          <xdr:col>9</xdr:col>
          <xdr:colOff>276225</xdr:colOff>
          <xdr:row>5</xdr:row>
          <xdr:rowOff>180975</xdr:rowOff>
        </xdr:to>
        <xdr:sp macro="" textlink="">
          <xdr:nvSpPr>
            <xdr:cNvPr id="98307" name="Check Box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4</xdr:row>
          <xdr:rowOff>228600</xdr:rowOff>
        </xdr:from>
        <xdr:to>
          <xdr:col>29</xdr:col>
          <xdr:colOff>209550</xdr:colOff>
          <xdr:row>4</xdr:row>
          <xdr:rowOff>457200</xdr:rowOff>
        </xdr:to>
        <xdr:sp macro="" textlink="">
          <xdr:nvSpPr>
            <xdr:cNvPr id="101377" name="Check Box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19050</xdr:rowOff>
        </xdr:from>
        <xdr:to>
          <xdr:col>6</xdr:col>
          <xdr:colOff>228600</xdr:colOff>
          <xdr:row>2</xdr:row>
          <xdr:rowOff>447675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7</xdr:col>
          <xdr:colOff>561975</xdr:colOff>
          <xdr:row>2</xdr:row>
          <xdr:rowOff>447675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X14"/>
  <sheetViews>
    <sheetView showGridLines="0" showRowColHeaders="0" tabSelected="1" topLeftCell="G1" zoomScaleNormal="100" workbookViewId="0">
      <selection sqref="A1:F1"/>
    </sheetView>
  </sheetViews>
  <sheetFormatPr defaultRowHeight="16.5" x14ac:dyDescent="0.15"/>
  <cols>
    <col min="1" max="1" width="9" style="8" hidden="1" customWidth="1"/>
    <col min="2" max="2" width="9.875" style="8" hidden="1" customWidth="1"/>
    <col min="3" max="3" width="16.75" style="8" hidden="1" customWidth="1"/>
    <col min="4" max="4" width="11" style="8" hidden="1" customWidth="1"/>
    <col min="5" max="6" width="9" style="8" hidden="1" customWidth="1"/>
    <col min="7" max="32" width="3.25" style="2" customWidth="1"/>
    <col min="33" max="56" width="3.375" style="2" customWidth="1"/>
    <col min="57" max="16384" width="9" style="2"/>
  </cols>
  <sheetData>
    <row r="1" spans="1:24" s="117" customFormat="1" ht="56.25" customHeight="1" x14ac:dyDescent="0.15">
      <c r="A1" s="27">
        <v>1</v>
      </c>
      <c r="B1" s="27"/>
      <c r="C1" s="27"/>
      <c r="D1" s="27"/>
      <c r="E1" s="27"/>
      <c r="F1" s="27"/>
    </row>
    <row r="3" spans="1:24" x14ac:dyDescent="0.15">
      <c r="B3" s="28" t="s">
        <v>39</v>
      </c>
      <c r="C3" s="28" t="s">
        <v>40</v>
      </c>
      <c r="D3" s="26"/>
      <c r="J3" s="10"/>
    </row>
    <row r="4" spans="1:24" x14ac:dyDescent="0.15">
      <c r="B4" s="28" t="s">
        <v>36</v>
      </c>
      <c r="C4" s="28" t="s">
        <v>41</v>
      </c>
      <c r="D4" s="26"/>
      <c r="J4" s="10"/>
    </row>
    <row r="5" spans="1:24" x14ac:dyDescent="0.15">
      <c r="B5" s="28" t="s">
        <v>35</v>
      </c>
      <c r="C5" s="28" t="s">
        <v>42</v>
      </c>
      <c r="D5" s="26"/>
    </row>
    <row r="6" spans="1:24" x14ac:dyDescent="0.15">
      <c r="B6" s="28" t="s">
        <v>37</v>
      </c>
      <c r="C6" s="28" t="s">
        <v>43</v>
      </c>
      <c r="D6" s="26"/>
      <c r="H6" s="9"/>
    </row>
    <row r="7" spans="1:24" x14ac:dyDescent="0.15">
      <c r="B7" s="28" t="s">
        <v>38</v>
      </c>
      <c r="C7" s="28" t="s">
        <v>44</v>
      </c>
      <c r="D7" s="26"/>
    </row>
    <row r="8" spans="1:24" ht="16.5" customHeight="1" x14ac:dyDescent="0.15">
      <c r="I8" s="120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2"/>
    </row>
    <row r="9" spans="1:24" x14ac:dyDescent="0.15">
      <c r="B9" s="104" t="s">
        <v>253</v>
      </c>
      <c r="C9" s="105" t="s">
        <v>262</v>
      </c>
      <c r="D9" s="106"/>
      <c r="H9" s="9"/>
      <c r="I9" s="123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5"/>
    </row>
    <row r="10" spans="1:24" x14ac:dyDescent="0.15">
      <c r="B10" s="104" t="s">
        <v>250</v>
      </c>
      <c r="C10" s="105" t="s">
        <v>263</v>
      </c>
      <c r="D10" s="106" t="str">
        <f>ADDRESS(ROW(A1),COLUMN(A1))&amp;":"&amp;ADDRESS(ROW(F1),COLUMN(F1))</f>
        <v>$A$1:$F$1</v>
      </c>
      <c r="H10" s="9"/>
      <c r="I10" s="123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5"/>
    </row>
    <row r="11" spans="1:24" x14ac:dyDescent="0.15">
      <c r="H11" s="9"/>
      <c r="I11" s="126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8"/>
    </row>
    <row r="12" spans="1:24" x14ac:dyDescent="0.15">
      <c r="H12" s="9"/>
    </row>
    <row r="13" spans="1:24" x14ac:dyDescent="0.15">
      <c r="H13" s="9"/>
    </row>
    <row r="14" spans="1:24" x14ac:dyDescent="0.15">
      <c r="H14" s="9"/>
    </row>
  </sheetData>
  <sheetProtection sheet="1" objects="1" scenarios="1" selectLockedCells="1"/>
  <mergeCells count="1">
    <mergeCell ref="I8:X11"/>
  </mergeCells>
  <phoneticPr fontId="1"/>
  <pageMargins left="0.7" right="0.7" top="0.75" bottom="0.75" header="0.3" footer="0.3"/>
  <pageSetup paperSize="9" orientation="portrait" horizontalDpi="30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1:BG29"/>
  <sheetViews>
    <sheetView showGridLines="0" showRowColHeaders="0" topLeftCell="J8" zoomScaleNormal="100" workbookViewId="0">
      <selection sqref="A1:I1 L1:Q1 W1:AB1 AH1:AM1"/>
    </sheetView>
  </sheetViews>
  <sheetFormatPr defaultRowHeight="52.5" customHeight="1" x14ac:dyDescent="0.15"/>
  <cols>
    <col min="1" max="1" width="9" style="8" hidden="1" customWidth="1"/>
    <col min="2" max="2" width="15.5" style="8" hidden="1" customWidth="1"/>
    <col min="3" max="4" width="9" style="8" hidden="1" customWidth="1"/>
    <col min="5" max="5" width="12" style="8" hidden="1" customWidth="1"/>
    <col min="6" max="6" width="18.375" style="8" hidden="1" customWidth="1"/>
    <col min="7" max="7" width="11.375" style="8" hidden="1" customWidth="1"/>
    <col min="8" max="9" width="9" style="8" hidden="1" customWidth="1"/>
    <col min="10" max="11" width="3.25" style="2" customWidth="1"/>
    <col min="12" max="12" width="6.625" style="2" hidden="1" customWidth="1"/>
    <col min="13" max="13" width="3.25" style="2" hidden="1" customWidth="1"/>
    <col min="14" max="14" width="3.25" style="97" hidden="1" customWidth="1"/>
    <col min="15" max="15" width="3.25" style="2" hidden="1" customWidth="1"/>
    <col min="16" max="16" width="3.25" style="97" hidden="1" customWidth="1"/>
    <col min="17" max="17" width="3.25" style="2" hidden="1" customWidth="1"/>
    <col min="18" max="18" width="47.125" style="2" customWidth="1"/>
    <col min="19" max="19" width="18" style="2" customWidth="1"/>
    <col min="20" max="20" width="14.25" style="2" customWidth="1"/>
    <col min="21" max="22" width="3.25" style="2" customWidth="1"/>
    <col min="23" max="23" width="6.625" style="2" hidden="1" customWidth="1"/>
    <col min="24" max="24" width="3.25" style="2" hidden="1" customWidth="1"/>
    <col min="25" max="25" width="3.25" style="97" hidden="1" customWidth="1"/>
    <col min="26" max="26" width="3.25" style="2" hidden="1" customWidth="1"/>
    <col min="27" max="27" width="3.25" style="97" hidden="1" customWidth="1"/>
    <col min="28" max="28" width="3.25" style="2" hidden="1" customWidth="1"/>
    <col min="29" max="29" width="47" style="2" customWidth="1"/>
    <col min="30" max="30" width="17.625" style="2" customWidth="1"/>
    <col min="31" max="31" width="14.75" style="2" customWidth="1"/>
    <col min="32" max="33" width="3.25" style="2" customWidth="1"/>
    <col min="34" max="34" width="6.625" style="2" hidden="1" customWidth="1"/>
    <col min="35" max="35" width="3.25" style="2" hidden="1" customWidth="1"/>
    <col min="36" max="36" width="3.25" style="97" hidden="1" customWidth="1"/>
    <col min="37" max="37" width="3.25" style="2" hidden="1" customWidth="1"/>
    <col min="38" max="38" width="3.25" style="97" hidden="1" customWidth="1"/>
    <col min="39" max="39" width="3.25" style="2" hidden="1" customWidth="1"/>
    <col min="40" max="40" width="47.5" style="2" customWidth="1"/>
    <col min="41" max="41" width="18.25" style="2" customWidth="1"/>
    <col min="42" max="42" width="14.75" style="2" customWidth="1"/>
    <col min="43" max="56" width="3.25" style="2" customWidth="1"/>
    <col min="57" max="80" width="3.375" style="2" customWidth="1"/>
    <col min="81" max="16384" width="9" style="2"/>
  </cols>
  <sheetData>
    <row r="1" spans="1:59" s="8" customFormat="1" ht="16.5" hidden="1" x14ac:dyDescent="0.15"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103" customFormat="1" ht="16.5" hidden="1" x14ac:dyDescent="0.15"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</row>
    <row r="3" spans="1:59" s="8" customFormat="1" ht="16.5" hidden="1" x14ac:dyDescent="0.15"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</row>
    <row r="4" spans="1:59" ht="16.5" hidden="1" x14ac:dyDescent="0.15"/>
    <row r="5" spans="1:59" ht="16.5" hidden="1" x14ac:dyDescent="0.15"/>
    <row r="6" spans="1:59" ht="16.5" hidden="1" x14ac:dyDescent="0.15"/>
    <row r="7" spans="1:59" ht="16.5" hidden="1" x14ac:dyDescent="0.15"/>
    <row r="8" spans="1:59" ht="16.5" x14ac:dyDescent="0.15">
      <c r="K8" s="2" t="s">
        <v>0</v>
      </c>
      <c r="V8" s="2" t="s">
        <v>1</v>
      </c>
      <c r="AG8" s="2" t="s">
        <v>2</v>
      </c>
    </row>
    <row r="9" spans="1:59" ht="16.5" x14ac:dyDescent="0.15">
      <c r="D9" s="8" t="s">
        <v>84</v>
      </c>
      <c r="K9" s="4" t="s">
        <v>3</v>
      </c>
      <c r="L9" s="5" t="s">
        <v>45</v>
      </c>
      <c r="M9" s="5" t="s">
        <v>65</v>
      </c>
      <c r="N9" s="5" t="s">
        <v>285</v>
      </c>
      <c r="O9" s="5" t="s">
        <v>66</v>
      </c>
      <c r="P9" s="5" t="s">
        <v>286</v>
      </c>
      <c r="Q9" s="5" t="s">
        <v>67</v>
      </c>
      <c r="R9" s="4" t="s">
        <v>4</v>
      </c>
      <c r="S9" s="4" t="s">
        <v>24</v>
      </c>
      <c r="T9" s="4" t="s">
        <v>5</v>
      </c>
      <c r="V9" s="4" t="s">
        <v>3</v>
      </c>
      <c r="W9" s="5" t="s">
        <v>45</v>
      </c>
      <c r="X9" s="5" t="s">
        <v>65</v>
      </c>
      <c r="Y9" s="5" t="s">
        <v>285</v>
      </c>
      <c r="Z9" s="5" t="s">
        <v>66</v>
      </c>
      <c r="AA9" s="5" t="s">
        <v>286</v>
      </c>
      <c r="AB9" s="5" t="s">
        <v>67</v>
      </c>
      <c r="AC9" s="4" t="s">
        <v>4</v>
      </c>
      <c r="AD9" s="4" t="s">
        <v>24</v>
      </c>
      <c r="AE9" s="4" t="s">
        <v>5</v>
      </c>
      <c r="AG9" s="4" t="s">
        <v>3</v>
      </c>
      <c r="AH9" s="5" t="s">
        <v>45</v>
      </c>
      <c r="AI9" s="5" t="s">
        <v>65</v>
      </c>
      <c r="AJ9" s="5" t="s">
        <v>285</v>
      </c>
      <c r="AK9" s="5" t="s">
        <v>66</v>
      </c>
      <c r="AL9" s="5" t="s">
        <v>286</v>
      </c>
      <c r="AM9" s="5" t="s">
        <v>67</v>
      </c>
      <c r="AN9" s="4" t="s">
        <v>4</v>
      </c>
      <c r="AO9" s="4" t="s">
        <v>24</v>
      </c>
      <c r="AP9" s="4" t="s">
        <v>5</v>
      </c>
    </row>
    <row r="10" spans="1:59" ht="52.5" customHeight="1" x14ac:dyDescent="0.15">
      <c r="A10" s="8" t="s">
        <v>247</v>
      </c>
      <c r="B10" s="26"/>
      <c r="E10" s="8" t="s">
        <v>82</v>
      </c>
      <c r="F10" s="28" t="s">
        <v>85</v>
      </c>
      <c r="G10" s="26" t="str">
        <f>"UNCM0010_B!"&amp;ADDRESS(ROW(UNCM0010_B_JUCHU_SENTAKU)+1,COLUMN(UNCM0010_B_JUCHU_SENTAKU))&amp;":"&amp;
ADDRESS(ROW(UNCM0010_B_JUCHU_SENTAKU)+1+MAX(UNCM0010_B_INFO_JUCHU_KENSU,UNCM0010_B_INFO_KOBAI_KENSU,UNCM0010_B_INFO_MASTER_KENSU),COLUMN(UNCM0010_B_MASTER_DATETIME))</f>
        <v>UNCM0010_B!$K$10:$AP$10</v>
      </c>
      <c r="K10" s="97"/>
      <c r="L10" s="97"/>
      <c r="M10" s="97"/>
      <c r="O10" s="97"/>
      <c r="Q10" s="97"/>
      <c r="R10" s="97"/>
      <c r="S10" s="97"/>
      <c r="T10" s="97"/>
      <c r="U10" s="97"/>
      <c r="V10" s="97"/>
      <c r="W10" s="97"/>
      <c r="X10" s="97"/>
      <c r="Z10" s="97"/>
      <c r="AB10" s="97"/>
      <c r="AC10" s="97"/>
      <c r="AD10" s="97"/>
      <c r="AE10" s="97"/>
      <c r="AF10" s="97"/>
      <c r="AG10" s="97"/>
      <c r="AH10" s="97"/>
      <c r="AI10" s="97"/>
    </row>
    <row r="11" spans="1:59" ht="52.5" customHeight="1" x14ac:dyDescent="0.15">
      <c r="D11" s="101"/>
      <c r="E11" s="104" t="s">
        <v>253</v>
      </c>
      <c r="F11" s="105" t="s">
        <v>254</v>
      </c>
      <c r="G11" s="102" t="str">
        <f>ROW(A1)&amp;":"&amp;ROW(A7)</f>
        <v>1:7</v>
      </c>
      <c r="H11" s="101"/>
      <c r="I11" s="101"/>
      <c r="W11" s="44"/>
      <c r="AH11" s="44"/>
    </row>
    <row r="12" spans="1:59" ht="52.5" customHeight="1" x14ac:dyDescent="0.15">
      <c r="E12" s="104" t="s">
        <v>250</v>
      </c>
      <c r="F12" s="105" t="s">
        <v>255</v>
      </c>
      <c r="G12" s="102" t="str">
        <f>ADDRESS(ROW(A1),COLUMN(A1))&amp;":"&amp;ADDRESS(ROW(I1),COLUMN(I1))&amp;","&amp;ADDRESS(ROW(L1),COLUMN(L1))&amp;":"&amp;ADDRESS(ROW(Q1),COLUMN(Q1))&amp;","&amp;ADDRESS(ROW(W1),COLUMN(W1))&amp;":"&amp;ADDRESS(ROW(AB1),COLUMN(AB1))&amp;","&amp;ADDRESS(ROW(AH1),COLUMN(AH1))&amp;":"&amp;ADDRESS(ROW(AM1),COLUMN(AM1))</f>
        <v>$A$1:$I$1,$L$1:$Q$1,$W$1:$AB$1,$AH$1:$AM$1</v>
      </c>
      <c r="L12" s="44"/>
      <c r="W12" s="44"/>
      <c r="AH12" s="44"/>
    </row>
    <row r="13" spans="1:59" ht="52.5" customHeight="1" x14ac:dyDescent="0.15">
      <c r="D13" s="8" t="s">
        <v>77</v>
      </c>
      <c r="L13" s="44"/>
      <c r="W13" s="44"/>
    </row>
    <row r="14" spans="1:59" ht="52.5" customHeight="1" x14ac:dyDescent="0.15">
      <c r="E14" s="28" t="s">
        <v>71</v>
      </c>
      <c r="F14" s="28" t="s">
        <v>74</v>
      </c>
      <c r="G14" s="26"/>
      <c r="L14" s="44"/>
    </row>
    <row r="15" spans="1:59" ht="52.5" customHeight="1" x14ac:dyDescent="0.15">
      <c r="E15" s="8" t="s">
        <v>83</v>
      </c>
      <c r="F15" s="28" t="s">
        <v>86</v>
      </c>
      <c r="G15" s="26" t="str">
        <f>ADDRESS(ROW(UNCM0010_B_JUCHU_INFO_NO)+1,COLUMN(UNCM0010_B_JUCHU_INFO_NO))</f>
        <v>$M$10</v>
      </c>
    </row>
    <row r="16" spans="1:59" ht="52.5" customHeight="1" x14ac:dyDescent="0.15">
      <c r="E16" s="8" t="s">
        <v>80</v>
      </c>
      <c r="F16" s="28" t="s">
        <v>87</v>
      </c>
      <c r="G16" s="26" t="str">
        <f>IF(UNCM0010_B_INFO_JUCHU_KENSU=0,"",ADDRESS(ROW(UNCM0010_B_JUCHU_SENTAKU)+1,COLUMN(UNCM0010_B_JUCHU_SENTAKU))&amp;":"&amp;ADDRESS(ROW(UNCM0010_B_JUCHU_SENTAKU)+1+UNCM0010_B_INFO_JUCHU_KENSU-1,COLUMN(UNCM0010_B_JUCHU_FLG)))</f>
        <v/>
      </c>
    </row>
    <row r="17" spans="4:7" ht="52.5" customHeight="1" x14ac:dyDescent="0.15">
      <c r="E17" s="8" t="s">
        <v>81</v>
      </c>
      <c r="F17" s="28" t="s">
        <v>88</v>
      </c>
      <c r="G17" s="26" t="str">
        <f>IF(UNCM0010_B_INFO_JUCHU_KENSU=0,"",UNCM0010_B_INFO_JUCHU_TENKAI_ICHI&amp;":"&amp;ADDRESS(ROW(UNCM0010_B_JUCHU_SENTAKU)+1+UNCM0010_B_INFO_JUCHU_KENSU-1,COLUMN(UNCM0010_B_JUCHU_DATETIME)))</f>
        <v/>
      </c>
    </row>
    <row r="19" spans="4:7" ht="52.5" customHeight="1" x14ac:dyDescent="0.15">
      <c r="D19" s="8" t="s">
        <v>78</v>
      </c>
    </row>
    <row r="20" spans="4:7" ht="52.5" customHeight="1" x14ac:dyDescent="0.15">
      <c r="E20" s="28" t="s">
        <v>72</v>
      </c>
      <c r="F20" s="28" t="s">
        <v>75</v>
      </c>
      <c r="G20" s="26"/>
    </row>
    <row r="21" spans="4:7" ht="52.5" customHeight="1" x14ac:dyDescent="0.15">
      <c r="E21" s="8" t="s">
        <v>83</v>
      </c>
      <c r="F21" s="28" t="s">
        <v>89</v>
      </c>
      <c r="G21" s="26" t="str">
        <f>ADDRESS(ROW(UNCM0010_B_KOBAI_INFO_NO)+1,COLUMN(UNCM0010_B_KOBAI_INFO_NO))</f>
        <v>$X$10</v>
      </c>
    </row>
    <row r="22" spans="4:7" ht="52.5" customHeight="1" x14ac:dyDescent="0.15">
      <c r="E22" s="8" t="s">
        <v>80</v>
      </c>
      <c r="F22" s="28" t="s">
        <v>90</v>
      </c>
      <c r="G22" s="26" t="str">
        <f>IF(UNCM0010_B_INFO_KOBAI_KENSU=0,"",ADDRESS(ROW(UNCM0010_B_KOBAI_SENTAKU)+1,COLUMN(UNCM0010_B_KOBAI_SENTAKU))&amp;":"&amp;ADDRESS(ROW(UNCM0010_B_KOBAI_SENTAKU)+1+UNCM0010_B_INFO_KOBAI_KENSU-1,COLUMN(UNCM0010_B_KOBAI_FLG)))</f>
        <v/>
      </c>
    </row>
    <row r="23" spans="4:7" ht="52.5" customHeight="1" x14ac:dyDescent="0.15">
      <c r="E23" s="8" t="s">
        <v>81</v>
      </c>
      <c r="F23" s="28" t="s">
        <v>91</v>
      </c>
      <c r="G23" s="26" t="str">
        <f>IF(UNCM0010_B_INFO_KOBAI_KENSU=0,"",UNCM0010_B_INFO_KOBAI_TENKAI_ICHI&amp;":"&amp;ADDRESS(ROW(UNCM0010_B_KOBAI_SENTAKU)+1+UNCM0010_B_INFO_KOBAI_KENSU-1,COLUMN(UNCM0010_B_KOBAI_DATETIME)))</f>
        <v/>
      </c>
    </row>
    <row r="25" spans="4:7" ht="52.5" customHeight="1" x14ac:dyDescent="0.15">
      <c r="D25" s="8" t="s">
        <v>79</v>
      </c>
    </row>
    <row r="26" spans="4:7" ht="52.5" customHeight="1" x14ac:dyDescent="0.15">
      <c r="E26" s="28" t="s">
        <v>73</v>
      </c>
      <c r="F26" s="28" t="s">
        <v>76</v>
      </c>
      <c r="G26" s="26"/>
    </row>
    <row r="27" spans="4:7" ht="52.5" customHeight="1" x14ac:dyDescent="0.15">
      <c r="E27" s="8" t="s">
        <v>83</v>
      </c>
      <c r="F27" s="28" t="s">
        <v>92</v>
      </c>
      <c r="G27" s="26" t="str">
        <f>ADDRESS(ROW(UNCM0010_B_MASTER_INFO_NO)+1,COLUMN(UNCM0010_B_MASTER_INFO_NO))</f>
        <v>$AI$10</v>
      </c>
    </row>
    <row r="28" spans="4:7" ht="52.5" customHeight="1" x14ac:dyDescent="0.15">
      <c r="E28" s="8" t="s">
        <v>80</v>
      </c>
      <c r="F28" s="28" t="s">
        <v>93</v>
      </c>
      <c r="G28" s="26" t="str">
        <f>IF(UNCM0010_B_INFO_MASTER_KENSU=0,"",ADDRESS(ROW(UNCM0010_B_MASTER_SENTAKU)+1,COLUMN(UNCM0010_B_MASTER_SENTAKU))&amp;":"&amp;ADDRESS(ROW(UNCM0010_B_MASTER_SENTAKU)+1+UNCM0010_B_INFO_MASTER_KENSU-1,COLUMN(UNCM0010_B_MASTER_FLG)))</f>
        <v/>
      </c>
    </row>
    <row r="29" spans="4:7" ht="52.5" customHeight="1" x14ac:dyDescent="0.15">
      <c r="E29" s="8" t="s">
        <v>81</v>
      </c>
      <c r="F29" s="28" t="s">
        <v>94</v>
      </c>
      <c r="G29" s="26" t="str">
        <f>IF(UNCM0010_B_INFO_MASTER_KENSU=0,"",UNCM0010_B_INFO_MASTER_TENKAI_ICHI&amp;":"&amp;ADDRESS(ROW(UNCM0010_B_MASTER_SENTAKU)+1+UNCM0010_B_INFO_MASTER_KENSU-1,COLUMN(UNCM0010_B_MASTER_DATETIME)))</f>
        <v/>
      </c>
    </row>
  </sheetData>
  <sheetProtection sheet="1" objects="1" scenarios="1" selectLockedCells="1"/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C2:BB26"/>
  <sheetViews>
    <sheetView topLeftCell="Q1" zoomScale="40" zoomScaleNormal="40" workbookViewId="0">
      <selection activeCell="AJ18" sqref="AJ18"/>
    </sheetView>
  </sheetViews>
  <sheetFormatPr defaultRowHeight="13.5" x14ac:dyDescent="0.15"/>
  <cols>
    <col min="4" max="4" width="21.75" bestFit="1" customWidth="1"/>
    <col min="5" max="5" width="29" bestFit="1" customWidth="1"/>
    <col min="6" max="6" width="15" bestFit="1" customWidth="1"/>
    <col min="8" max="8" width="16.375" style="39" bestFit="1" customWidth="1"/>
    <col min="9" max="11" width="16.375" style="43" customWidth="1"/>
    <col min="12" max="14" width="9" style="39"/>
    <col min="17" max="19" width="9" style="43"/>
    <col min="21" max="21" width="35.5" bestFit="1" customWidth="1"/>
    <col min="22" max="22" width="23.875" customWidth="1"/>
    <col min="23" max="23" width="3.25" customWidth="1"/>
    <col min="24" max="24" width="6.625" bestFit="1" customWidth="1"/>
    <col min="25" max="27" width="3.25" customWidth="1"/>
    <col min="28" max="28" width="47.125" customWidth="1"/>
    <col min="29" max="29" width="18" customWidth="1"/>
    <col min="30" max="30" width="14.25" customWidth="1"/>
  </cols>
  <sheetData>
    <row r="2" spans="3:54" ht="16.5" x14ac:dyDescent="0.15">
      <c r="T2" t="s">
        <v>70</v>
      </c>
      <c r="W2" s="5" t="s">
        <v>65</v>
      </c>
      <c r="X2" s="5" t="s">
        <v>285</v>
      </c>
      <c r="Y2" s="5" t="s">
        <v>20</v>
      </c>
      <c r="Z2" s="5" t="s">
        <v>286</v>
      </c>
      <c r="AA2" s="5" t="s">
        <v>67</v>
      </c>
      <c r="AB2" s="4" t="s">
        <v>4</v>
      </c>
      <c r="AC2" s="4" t="s">
        <v>24</v>
      </c>
      <c r="AD2" s="4" t="s">
        <v>5</v>
      </c>
    </row>
    <row r="3" spans="3:54" ht="53.25" customHeight="1" x14ac:dyDescent="0.15">
      <c r="U3" t="s">
        <v>96</v>
      </c>
      <c r="V3" s="35" t="s">
        <v>95</v>
      </c>
      <c r="W3" s="30"/>
      <c r="X3" s="30"/>
      <c r="Y3" s="30"/>
      <c r="Z3" s="30" t="b">
        <v>1</v>
      </c>
      <c r="AA3" s="30"/>
      <c r="AB3" s="6" t="s">
        <v>288</v>
      </c>
      <c r="AC3" s="29"/>
      <c r="AD3" s="64"/>
    </row>
    <row r="4" spans="3:54" s="51" customFormat="1" ht="16.5" customHeight="1" x14ac:dyDescent="0.15">
      <c r="V4" s="48"/>
      <c r="W4" s="3" t="s">
        <v>3</v>
      </c>
      <c r="X4" s="5" t="s">
        <v>45</v>
      </c>
    </row>
    <row r="5" spans="3:54" ht="53.25" customHeight="1" x14ac:dyDescent="0.15">
      <c r="U5" t="s">
        <v>97</v>
      </c>
      <c r="V5" s="35" t="s">
        <v>98</v>
      </c>
      <c r="W5" s="30"/>
      <c r="X5" s="30" t="b">
        <v>0</v>
      </c>
    </row>
    <row r="6" spans="3:54" ht="58.5" customHeight="1" x14ac:dyDescent="0.15">
      <c r="J6" s="43" t="s">
        <v>125</v>
      </c>
      <c r="L6" s="39" t="s">
        <v>124</v>
      </c>
    </row>
    <row r="7" spans="3:54" ht="16.5" x14ac:dyDescent="0.15">
      <c r="C7" s="37" t="s">
        <v>102</v>
      </c>
      <c r="H7" s="39" t="s">
        <v>119</v>
      </c>
      <c r="I7" s="48" t="s">
        <v>126</v>
      </c>
      <c r="J7" s="49">
        <f ca="1">IF($N7&lt;=UNCM0010_B_INFO_JUCHU_KENSU,
OFFSET(UNCM0010_B_JUCHU_FLG,1+$N7-1,0),
IF($N7-UNCM0010_B_INFO_JUCHU_KENSU&lt;=UNCM0010_B_INFO_KOBAI_KENSU,
OFFSET(UNCM0010_B_KOBAI_FLG,1+$N7-UNCM0010_B_INFO_JUCHU_KENSU-1,0),
OFFSET(UNCM0010_B_MASTER_FLG,1+$N7-UNCM0010_B_INFO_JUCHU_KENSU-UNCM0010_B_INFO_KOBAI_KENSU-1,0)))</f>
        <v>0</v>
      </c>
      <c r="K7" s="49">
        <f ca="1">IF($N7&lt;=UNCM0010_B_INFO_JUCHU_KENSU,
OFFSET(UNCM0010_B_JUCHU_INFO_NO,1+$N7-1,0),
IF($N7-UNCM0010_B_INFO_JUCHU_KENSU&lt;=UNCM0010_B_INFO_KOBAI_KENSU,
OFFSET(UNCM0010_B_KOBAI_INFO_NO,1+$N7-UNCM0010_B_INFO_JUCHU_KENSU-1,0),
OFFSET(UNCM0010_B_MASTER_INFO_NO,1+$N7-UNCM0010_B_INFO_JUCHU_KENSU-UNCM0010_B_INFO_KOBAI_KENSU-1,0)))</f>
        <v>0</v>
      </c>
      <c r="L7" s="49">
        <f>UNCM0010_IF_SAVE_W_USER_ID</f>
        <v>0</v>
      </c>
      <c r="M7" s="49">
        <f ca="1">UNCM0010_IF_SAVE_W_SERIAL</f>
        <v>42926.739447916669</v>
      </c>
      <c r="N7" s="49">
        <f>1+ROW()-ROW(UNCM0010_IF_SAVE_COPY_START)</f>
        <v>-1</v>
      </c>
      <c r="O7" s="49">
        <f>UNCM0010_IF_SAVE_W_MODE</f>
        <v>1</v>
      </c>
      <c r="P7" s="49" t="str">
        <f ca="1">IF(J7=TRUE,K7,"")</f>
        <v/>
      </c>
      <c r="W7" s="4" t="s">
        <v>3</v>
      </c>
      <c r="X7" s="5" t="s">
        <v>45</v>
      </c>
      <c r="Y7" s="5" t="s">
        <v>65</v>
      </c>
      <c r="Z7" s="5" t="s">
        <v>285</v>
      </c>
      <c r="AA7" s="5" t="s">
        <v>20</v>
      </c>
      <c r="AB7" s="5" t="s">
        <v>286</v>
      </c>
      <c r="AC7" s="5" t="s">
        <v>67</v>
      </c>
      <c r="AD7" s="4" t="s">
        <v>4</v>
      </c>
      <c r="AE7" s="4" t="s">
        <v>24</v>
      </c>
      <c r="AF7" s="4" t="s">
        <v>5</v>
      </c>
      <c r="AG7" s="97"/>
      <c r="AH7" s="4" t="s">
        <v>3</v>
      </c>
      <c r="AI7" s="5" t="s">
        <v>45</v>
      </c>
      <c r="AJ7" s="5" t="s">
        <v>65</v>
      </c>
      <c r="AK7" s="5" t="s">
        <v>285</v>
      </c>
      <c r="AL7" s="5" t="s">
        <v>20</v>
      </c>
      <c r="AM7" s="5" t="s">
        <v>286</v>
      </c>
      <c r="AN7" s="5" t="s">
        <v>67</v>
      </c>
      <c r="AO7" s="4" t="s">
        <v>4</v>
      </c>
      <c r="AP7" s="4" t="s">
        <v>24</v>
      </c>
      <c r="AQ7" s="4" t="s">
        <v>5</v>
      </c>
      <c r="AR7" s="97"/>
      <c r="AS7" s="4" t="s">
        <v>3</v>
      </c>
      <c r="AT7" s="5" t="s">
        <v>45</v>
      </c>
      <c r="AU7" s="5" t="s">
        <v>65</v>
      </c>
      <c r="AV7" s="5" t="s">
        <v>285</v>
      </c>
      <c r="AW7" s="5" t="s">
        <v>20</v>
      </c>
      <c r="AX7" s="5" t="s">
        <v>286</v>
      </c>
      <c r="AY7" s="5" t="s">
        <v>67</v>
      </c>
      <c r="AZ7" s="4" t="s">
        <v>4</v>
      </c>
      <c r="BA7" s="4" t="s">
        <v>24</v>
      </c>
      <c r="BB7" s="4" t="s">
        <v>5</v>
      </c>
    </row>
    <row r="8" spans="3:54" ht="16.5" x14ac:dyDescent="0.15">
      <c r="D8" s="36" t="s">
        <v>99</v>
      </c>
      <c r="E8" s="36"/>
      <c r="F8" s="36"/>
      <c r="J8" s="43" t="s">
        <v>45</v>
      </c>
      <c r="K8" s="43" t="s">
        <v>123</v>
      </c>
      <c r="L8" s="43" t="s">
        <v>51</v>
      </c>
      <c r="M8" s="43" t="s">
        <v>100</v>
      </c>
      <c r="N8" s="43" t="s">
        <v>120</v>
      </c>
      <c r="O8" s="43" t="s">
        <v>101</v>
      </c>
      <c r="P8" s="52" t="s">
        <v>123</v>
      </c>
      <c r="U8" t="s">
        <v>248</v>
      </c>
      <c r="V8" t="s">
        <v>249</v>
      </c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97"/>
      <c r="AS8" s="97"/>
      <c r="AT8" s="97"/>
      <c r="AU8" s="97"/>
      <c r="AV8" s="97"/>
      <c r="AW8" s="97"/>
      <c r="AX8" s="97"/>
      <c r="AY8" s="97"/>
      <c r="AZ8" s="97"/>
      <c r="BA8" s="97"/>
      <c r="BB8" s="97"/>
    </row>
    <row r="9" spans="3:54" x14ac:dyDescent="0.15">
      <c r="D9" s="36" t="s">
        <v>51</v>
      </c>
      <c r="E9" s="36" t="s">
        <v>111</v>
      </c>
      <c r="F9" s="38">
        <f>UNCM0010_H_USER_ID</f>
        <v>0</v>
      </c>
      <c r="J9" s="49"/>
      <c r="L9" s="52"/>
    </row>
    <row r="10" spans="3:54" x14ac:dyDescent="0.15">
      <c r="D10" s="36" t="s">
        <v>100</v>
      </c>
      <c r="E10" s="36" t="s">
        <v>112</v>
      </c>
      <c r="F10" s="42">
        <f ca="1">NOW()</f>
        <v>42926.739447916669</v>
      </c>
      <c r="P10" s="43"/>
    </row>
    <row r="11" spans="3:54" x14ac:dyDescent="0.15">
      <c r="D11" s="36" t="s">
        <v>101</v>
      </c>
      <c r="E11" s="36" t="s">
        <v>113</v>
      </c>
      <c r="F11" s="38">
        <v>1</v>
      </c>
      <c r="J11" s="47"/>
      <c r="P11" s="43"/>
    </row>
    <row r="12" spans="3:54" x14ac:dyDescent="0.15">
      <c r="N12" s="43"/>
      <c r="P12" s="43"/>
    </row>
    <row r="13" spans="3:54" x14ac:dyDescent="0.15">
      <c r="N13" s="43"/>
      <c r="P13" s="43"/>
    </row>
    <row r="14" spans="3:54" x14ac:dyDescent="0.15">
      <c r="D14" s="39" t="s">
        <v>103</v>
      </c>
      <c r="E14" s="39"/>
      <c r="N14" s="43"/>
      <c r="P14" s="43"/>
    </row>
    <row r="15" spans="3:54" x14ac:dyDescent="0.15">
      <c r="D15" s="43" t="s">
        <v>121</v>
      </c>
      <c r="E15" s="45" t="s">
        <v>122</v>
      </c>
      <c r="F15" s="46">
        <f>UNCM0010_B_INFO_JUCHU_KENSU+UNCM0010_B_INFO_KOBAI_KENSU+UNCM0010_B_INFO_MASTER_KENSU</f>
        <v>0</v>
      </c>
      <c r="N15" s="43"/>
      <c r="P15" s="43"/>
    </row>
    <row r="16" spans="3:54" x14ac:dyDescent="0.15">
      <c r="D16" s="39" t="s">
        <v>104</v>
      </c>
      <c r="E16" s="40" t="s">
        <v>114</v>
      </c>
      <c r="F16" s="41" t="str">
        <f>IF(UNCM0010_IF_SAVE_INFO_KENSU=0,"",
"UNCM0010_IF!"&amp;
ADDRESS(ROW(UNCM0010_IF_SAVE_COPY_START),COLUMN(UNCM0010_IF_SAVE_COPY_START))&amp;":"&amp;ADDRESS(ROW(UNCM0010_IF_SAVE_COPY_START)+UNCM0010_IF_SAVE_INFO_KENSU-1,COLUMN(UNCM0010_IF_SAVE_COPY_START)+COLUMNS(UNCM0010_IF_SAVE_COPY_MOTO)-1))</f>
        <v/>
      </c>
      <c r="N16" s="43"/>
    </row>
    <row r="17" spans="4:7" x14ac:dyDescent="0.15">
      <c r="D17" s="39" t="s">
        <v>133</v>
      </c>
      <c r="E17" s="48" t="s">
        <v>132</v>
      </c>
      <c r="F17" s="52">
        <f ca="1">IF(UNCM0010_IF_SAVE_INFO_KENSU=0,0,COUNTIF(OFFSET(UNCM0010_IF_SAVE_COPY_START,0,0,UNCM0010_IF_SAVE_INFO_KENSU),TRUE))</f>
        <v>0</v>
      </c>
    </row>
    <row r="18" spans="4:7" x14ac:dyDescent="0.15">
      <c r="D18" s="51"/>
      <c r="E18" s="51"/>
      <c r="F18" s="51"/>
      <c r="G18" s="51"/>
    </row>
    <row r="19" spans="4:7" x14ac:dyDescent="0.15">
      <c r="D19" s="39" t="s">
        <v>105</v>
      </c>
      <c r="E19" s="40"/>
    </row>
    <row r="20" spans="4:7" x14ac:dyDescent="0.15">
      <c r="D20" s="39" t="s">
        <v>127</v>
      </c>
      <c r="E20" s="40" t="s">
        <v>128</v>
      </c>
      <c r="F20" s="41">
        <f ca="1">IF(AND(UNCM0010_IF_SAVE_INFO_KENSU&gt;0,UNCM0010_IF_SAVE_KENSU&gt;0),1,0)</f>
        <v>0</v>
      </c>
      <c r="G20" s="50" t="s">
        <v>129</v>
      </c>
    </row>
    <row r="21" spans="4:7" x14ac:dyDescent="0.15">
      <c r="D21" s="39"/>
      <c r="E21" s="39"/>
    </row>
    <row r="22" spans="4:7" x14ac:dyDescent="0.15">
      <c r="D22" s="39" t="s">
        <v>106</v>
      </c>
      <c r="E22" s="39"/>
    </row>
    <row r="23" spans="4:7" x14ac:dyDescent="0.15">
      <c r="D23" s="39" t="s">
        <v>107</v>
      </c>
      <c r="E23" s="40" t="s">
        <v>115</v>
      </c>
      <c r="F23" s="41"/>
    </row>
    <row r="24" spans="4:7" x14ac:dyDescent="0.15">
      <c r="D24" s="39" t="s">
        <v>108</v>
      </c>
      <c r="E24" s="40" t="s">
        <v>116</v>
      </c>
      <c r="F24" s="41"/>
    </row>
    <row r="25" spans="4:7" x14ac:dyDescent="0.15">
      <c r="D25" s="39" t="s">
        <v>109</v>
      </c>
      <c r="E25" s="40" t="s">
        <v>117</v>
      </c>
      <c r="F25" s="41">
        <f>IF(UNCM0010_IF_SAVE_RESULT_CD=0,2,1)</f>
        <v>2</v>
      </c>
      <c r="G25" s="51" t="s">
        <v>130</v>
      </c>
    </row>
    <row r="26" spans="4:7" x14ac:dyDescent="0.15">
      <c r="D26" s="39" t="s">
        <v>110</v>
      </c>
      <c r="E26" s="40" t="s">
        <v>118</v>
      </c>
      <c r="F26" s="52" t="s">
        <v>131</v>
      </c>
    </row>
  </sheetData>
  <phoneticPr fontId="1"/>
  <conditionalFormatting sqref="AB3">
    <cfRule type="expression" dxfId="106" priority="1">
      <formula>Z3=TRUE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Check Box 1">
              <controlPr defaultSize="0" autoFill="0" autoLine="0" autoPict="0" macro="[0]!M_UNCM0010_CLICK_CHECKBOX">
                <anchor moveWithCells="1">
                  <from>
                    <xdr:col>22</xdr:col>
                    <xdr:colOff>19050</xdr:colOff>
                    <xdr:row>4</xdr:row>
                    <xdr:rowOff>228600</xdr:rowOff>
                  </from>
                  <to>
                    <xdr:col>22</xdr:col>
                    <xdr:colOff>209550</xdr:colOff>
                    <xdr:row>4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E30"/>
  <sheetViews>
    <sheetView zoomScale="70" zoomScaleNormal="70" workbookViewId="0">
      <selection activeCell="E20" sqref="E20"/>
    </sheetView>
  </sheetViews>
  <sheetFormatPr defaultRowHeight="15" customHeight="1" x14ac:dyDescent="0.15"/>
  <cols>
    <col min="1" max="2" width="9" style="31"/>
    <col min="3" max="3" width="26.375" style="31" customWidth="1"/>
    <col min="4" max="4" width="28.75" style="31" customWidth="1"/>
    <col min="5" max="5" width="55.125" style="31" customWidth="1"/>
    <col min="6" max="16384" width="9" style="31"/>
  </cols>
  <sheetData>
    <row r="1" spans="3:5" ht="15" customHeight="1" x14ac:dyDescent="0.15">
      <c r="D1" s="31" t="s">
        <v>39</v>
      </c>
      <c r="E1" s="31">
        <f>UNCM0010_H_USER_ID</f>
        <v>0</v>
      </c>
    </row>
    <row r="2" spans="3:5" ht="15" customHeight="1" x14ac:dyDescent="0.15">
      <c r="D2" s="31" t="s">
        <v>52</v>
      </c>
      <c r="E2" s="31">
        <f ca="1">YEAR(NOW())</f>
        <v>2017</v>
      </c>
    </row>
    <row r="3" spans="3:5" ht="15" customHeight="1" x14ac:dyDescent="0.15">
      <c r="D3" s="31" t="s">
        <v>53</v>
      </c>
      <c r="E3" s="31">
        <f ca="1">MONTH(NOW())</f>
        <v>7</v>
      </c>
    </row>
    <row r="6" spans="3:5" ht="15" customHeight="1" x14ac:dyDescent="0.15">
      <c r="C6" s="70" t="s">
        <v>46</v>
      </c>
      <c r="D6" s="31" t="s">
        <v>47</v>
      </c>
      <c r="E6" s="34" t="str">
        <f>E7&amp;E8</f>
        <v xml:space="preserve">SELECT M_SHAIN.SHAIN_CD     AS SHAIN_CD
      ,M_SHAIN.SHIMEI       AS SHIMEI
      ,M_SHAIN.BUSHO_CD     AS BUSHO_CD
      ,M_MEISHO_B.DATA_1    AS BUSHOMEI
  FROM M_SHAIN
  LEFT JOIN
       M_MEISHO_B
    ON M_MEISHO_B.MEISHO_KBN = 'M001'
   AND M_MEISHO_B.MEISHO_CD  = M_SHAIN.BUSHO_CD
 WHERE M_SHAIN.SHAIN_CD = '0'
</v>
      </c>
    </row>
    <row r="7" spans="3:5" ht="15" customHeight="1" x14ac:dyDescent="0.15">
      <c r="D7" s="32" t="s">
        <v>48</v>
      </c>
      <c r="E7" s="33" t="s">
        <v>50</v>
      </c>
    </row>
    <row r="8" spans="3:5" ht="15" customHeight="1" x14ac:dyDescent="0.15">
      <c r="D8" s="32" t="s">
        <v>49</v>
      </c>
      <c r="E8" s="31" t="str">
        <f>" WHERE M_SHAIN.SHAIN_CD = '"&amp;E1&amp;"'
"</f>
        <v xml:space="preserve"> WHERE M_SHAIN.SHAIN_CD = '0'
</v>
      </c>
    </row>
    <row r="10" spans="3:5" ht="15" customHeight="1" x14ac:dyDescent="0.15">
      <c r="C10" s="70" t="s">
        <v>54</v>
      </c>
      <c r="D10" s="31" t="s">
        <v>55</v>
      </c>
      <c r="E10" s="34" t="str">
        <f ca="1">E11&amp;E12</f>
        <v xml:space="preserve">SELECT M_CALENDAR.CALENDAR_KBN
  FROM M_CALENDAR
 WHERE M_CALENDAR.YEAR  = 2017
   AND M_CALENDAR.MONTH = 7
</v>
      </c>
    </row>
    <row r="11" spans="3:5" ht="15" customHeight="1" x14ac:dyDescent="0.15">
      <c r="D11" s="32" t="s">
        <v>48</v>
      </c>
      <c r="E11" s="33" t="s">
        <v>56</v>
      </c>
    </row>
    <row r="12" spans="3:5" ht="15" customHeight="1" x14ac:dyDescent="0.15">
      <c r="D12" s="32" t="s">
        <v>49</v>
      </c>
      <c r="E12" s="33" t="str">
        <f ca="1">" WHERE M_CALENDAR.YEAR  = "&amp;E2&amp;"
   AND M_CALENDAR.MONTH = "&amp;E3&amp;"
"</f>
        <v xml:space="preserve"> WHERE M_CALENDAR.YEAR  = 2017
   AND M_CALENDAR.MONTH = 7
</v>
      </c>
    </row>
    <row r="14" spans="3:5" ht="15" customHeight="1" x14ac:dyDescent="0.15">
      <c r="C14" s="70" t="s">
        <v>57</v>
      </c>
      <c r="D14" s="31" t="s">
        <v>58</v>
      </c>
      <c r="E14" s="34" t="str">
        <f>E15&amp;E16</f>
        <v xml:space="preserve">SELECT M_CONTROL.COMMON_INFO
  FROM M_CONTROL
WHERE M_CONTROL.CTRL_KEY = 1
</v>
      </c>
    </row>
    <row r="15" spans="3:5" ht="15" customHeight="1" x14ac:dyDescent="0.15">
      <c r="D15" s="32" t="s">
        <v>48</v>
      </c>
      <c r="E15" s="33" t="s">
        <v>135</v>
      </c>
    </row>
    <row r="16" spans="3:5" ht="15" customHeight="1" x14ac:dyDescent="0.15">
      <c r="D16" s="32" t="s">
        <v>49</v>
      </c>
      <c r="E16" s="33" t="s">
        <v>136</v>
      </c>
    </row>
    <row r="18" spans="3:5" ht="15" customHeight="1" x14ac:dyDescent="0.15">
      <c r="C18" s="31" t="s">
        <v>68</v>
      </c>
      <c r="D18" s="32" t="s">
        <v>48</v>
      </c>
      <c r="E18" s="33" t="s">
        <v>69</v>
      </c>
    </row>
    <row r="19" spans="3:5" ht="15" customHeight="1" x14ac:dyDescent="0.15">
      <c r="D19" s="32" t="s">
        <v>49</v>
      </c>
      <c r="E19" s="31" t="str">
        <f>" WHERE V_INFO.NT_TANTO_CD = '"&amp;E1&amp;"'
"</f>
        <v xml:space="preserve"> WHERE V_INFO.NT_TANTO_CD = '0'
</v>
      </c>
    </row>
    <row r="20" spans="3:5" ht="15" customHeight="1" x14ac:dyDescent="0.15">
      <c r="D20" s="32" t="s">
        <v>191</v>
      </c>
      <c r="E20" s="119" t="s">
        <v>258</v>
      </c>
    </row>
    <row r="21" spans="3:5" s="75" customFormat="1" ht="15" customHeight="1" x14ac:dyDescent="0.15">
      <c r="D21" s="32" t="s">
        <v>293</v>
      </c>
      <c r="E21" s="119" t="s">
        <v>292</v>
      </c>
    </row>
    <row r="22" spans="3:5" s="75" customFormat="1" ht="15" customHeight="1" x14ac:dyDescent="0.15">
      <c r="D22" s="32"/>
      <c r="E22" s="33"/>
    </row>
    <row r="23" spans="3:5" ht="15" customHeight="1" x14ac:dyDescent="0.15">
      <c r="C23" s="70" t="s">
        <v>59</v>
      </c>
      <c r="D23" s="31" t="s">
        <v>60</v>
      </c>
      <c r="E23" s="34" t="str">
        <f>$E$18&amp;$E$19&amp;E24&amp;$E$20&amp;$E$21</f>
        <v xml:space="preserve">SELECT *
  FROM V_INFO
 WHERE V_INFO.NT_TANTO_CD = '0'
   AND V_INFO.INFO_KBN    = 1
 ORDER BY V_INFO.INFO_NO DESC
OFFSET 0 ROWS
 FETCH NEXT 20 ROWS ONLY
</v>
      </c>
    </row>
    <row r="24" spans="3:5" ht="15" customHeight="1" x14ac:dyDescent="0.15">
      <c r="D24" s="32" t="s">
        <v>49</v>
      </c>
      <c r="E24" s="33" t="s">
        <v>259</v>
      </c>
    </row>
    <row r="26" spans="3:5" ht="15" customHeight="1" x14ac:dyDescent="0.15">
      <c r="C26" s="70" t="s">
        <v>61</v>
      </c>
      <c r="D26" s="31" t="s">
        <v>64</v>
      </c>
      <c r="E26" s="34" t="str">
        <f>$E$18&amp;$E$19&amp;E27&amp;$E$20&amp;$E$21</f>
        <v xml:space="preserve">SELECT *
  FROM V_INFO
 WHERE V_INFO.NT_TANTO_CD = '0'
   AND V_INFO.INFO_KBN    = 2
 ORDER BY V_INFO.INFO_NO DESC
OFFSET 0 ROWS
 FETCH NEXT 20 ROWS ONLY
</v>
      </c>
    </row>
    <row r="27" spans="3:5" ht="15" customHeight="1" x14ac:dyDescent="0.15">
      <c r="C27" s="70"/>
      <c r="D27" s="32" t="s">
        <v>49</v>
      </c>
      <c r="E27" s="33" t="s">
        <v>260</v>
      </c>
    </row>
    <row r="29" spans="3:5" ht="15" customHeight="1" x14ac:dyDescent="0.15">
      <c r="C29" s="70" t="s">
        <v>62</v>
      </c>
      <c r="D29" s="31" t="s">
        <v>63</v>
      </c>
      <c r="E29" s="34" t="str">
        <f>$E$18&amp;$E$19&amp;E30&amp;$E$20&amp;$E$21</f>
        <v xml:space="preserve">SELECT *
  FROM V_INFO
 WHERE V_INFO.NT_TANTO_CD = '0'
   AND V_INFO.INFO_KBN    = 3
 ORDER BY V_INFO.INFO_NO DESC
OFFSET 0 ROWS
 FETCH NEXT 20 ROWS ONLY
</v>
      </c>
    </row>
    <row r="30" spans="3:5" ht="15" customHeight="1" x14ac:dyDescent="0.15">
      <c r="D30" s="32" t="s">
        <v>49</v>
      </c>
      <c r="E30" s="33" t="s">
        <v>261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S33"/>
  <sheetViews>
    <sheetView topLeftCell="B1" zoomScale="115" zoomScaleNormal="115" workbookViewId="0">
      <selection activeCell="F21" sqref="F21"/>
    </sheetView>
  </sheetViews>
  <sheetFormatPr defaultRowHeight="13.5" x14ac:dyDescent="0.15"/>
  <cols>
    <col min="3" max="3" width="27" bestFit="1" customWidth="1"/>
    <col min="4" max="4" width="10.5" bestFit="1" customWidth="1"/>
    <col min="5" max="5" width="9.5" customWidth="1"/>
    <col min="6" max="6" width="18" bestFit="1" customWidth="1"/>
    <col min="7" max="12" width="9.5" customWidth="1"/>
    <col min="13" max="19" width="5.25" customWidth="1"/>
  </cols>
  <sheetData>
    <row r="2" spans="2:19" x14ac:dyDescent="0.15">
      <c r="E2" s="15"/>
      <c r="H2" s="16" t="s">
        <v>28</v>
      </c>
      <c r="I2" s="16" t="s">
        <v>20</v>
      </c>
      <c r="J2" s="15"/>
      <c r="K2" s="15"/>
      <c r="L2" s="15"/>
    </row>
    <row r="3" spans="2:19" x14ac:dyDescent="0.15">
      <c r="B3" t="s">
        <v>27</v>
      </c>
      <c r="C3" t="s">
        <v>26</v>
      </c>
      <c r="D3" s="17">
        <f ca="1">DATE(YEAR(NOW()),MONTH(NOW()),1)</f>
        <v>42917</v>
      </c>
      <c r="F3" s="15" t="s">
        <v>30</v>
      </c>
      <c r="G3" t="s">
        <v>29</v>
      </c>
      <c r="H3" s="19">
        <v>1</v>
      </c>
      <c r="I3" s="20"/>
      <c r="J3" t="s">
        <v>31</v>
      </c>
      <c r="K3" t="s">
        <v>32</v>
      </c>
    </row>
    <row r="4" spans="2:19" x14ac:dyDescent="0.15">
      <c r="D4" s="51"/>
      <c r="H4" s="21">
        <v>2</v>
      </c>
      <c r="I4" s="22"/>
      <c r="M4" t="s">
        <v>33</v>
      </c>
      <c r="N4" t="s">
        <v>34</v>
      </c>
    </row>
    <row r="5" spans="2:19" ht="21.75" customHeight="1" x14ac:dyDescent="0.15">
      <c r="E5" s="15"/>
      <c r="F5" s="15"/>
      <c r="G5" s="15"/>
      <c r="H5" s="21">
        <v>3</v>
      </c>
      <c r="I5" s="22"/>
      <c r="J5" s="15"/>
      <c r="K5" s="15"/>
      <c r="L5" s="15"/>
      <c r="M5" s="129" t="str">
        <f ca="1">MONTH(NOW())&amp;"月"</f>
        <v>7月</v>
      </c>
      <c r="N5" s="130"/>
      <c r="O5" s="130"/>
      <c r="P5" s="130"/>
      <c r="Q5" s="130"/>
      <c r="R5" s="130"/>
      <c r="S5" s="131"/>
    </row>
    <row r="6" spans="2:19" ht="21.75" customHeight="1" thickBot="1" x14ac:dyDescent="0.2">
      <c r="H6" s="21">
        <v>4</v>
      </c>
      <c r="I6" s="22"/>
      <c r="M6" s="54" t="s">
        <v>6</v>
      </c>
      <c r="N6" s="11" t="s">
        <v>7</v>
      </c>
      <c r="O6" s="11" t="s">
        <v>8</v>
      </c>
      <c r="P6" s="11" t="s">
        <v>9</v>
      </c>
      <c r="Q6" s="11" t="s">
        <v>10</v>
      </c>
      <c r="R6" s="11" t="s">
        <v>11</v>
      </c>
      <c r="S6" s="55" t="s">
        <v>12</v>
      </c>
    </row>
    <row r="7" spans="2:19" ht="21.75" customHeight="1" thickTop="1" x14ac:dyDescent="0.15">
      <c r="H7" s="21">
        <v>5</v>
      </c>
      <c r="I7" s="22"/>
      <c r="M7" s="56">
        <f ca="1">UNCM0010_CALENDAR_START_DATE-WEEKDAY(UNCM0010_CALENDAR_START_DATE)+1</f>
        <v>42911</v>
      </c>
      <c r="N7" s="25">
        <f ca="1">M7+1</f>
        <v>42912</v>
      </c>
      <c r="O7" s="25">
        <f t="shared" ref="O7:S8" ca="1" si="0">N7+1</f>
        <v>42913</v>
      </c>
      <c r="P7" s="25">
        <f t="shared" ca="1" si="0"/>
        <v>42914</v>
      </c>
      <c r="Q7" s="25">
        <f t="shared" ca="1" si="0"/>
        <v>42915</v>
      </c>
      <c r="R7" s="25">
        <f t="shared" ca="1" si="0"/>
        <v>42916</v>
      </c>
      <c r="S7" s="57">
        <f t="shared" ca="1" si="0"/>
        <v>42917</v>
      </c>
    </row>
    <row r="8" spans="2:19" ht="21.75" customHeight="1" x14ac:dyDescent="0.15">
      <c r="H8" s="21">
        <v>6</v>
      </c>
      <c r="I8" s="22"/>
      <c r="M8" s="58">
        <f ca="1">S7+1</f>
        <v>42918</v>
      </c>
      <c r="N8" s="18">
        <f ca="1">M8+1</f>
        <v>42919</v>
      </c>
      <c r="O8" s="18">
        <f t="shared" ca="1" si="0"/>
        <v>42920</v>
      </c>
      <c r="P8" s="18">
        <f t="shared" ca="1" si="0"/>
        <v>42921</v>
      </c>
      <c r="Q8" s="18">
        <f t="shared" ca="1" si="0"/>
        <v>42922</v>
      </c>
      <c r="R8" s="18">
        <f t="shared" ca="1" si="0"/>
        <v>42923</v>
      </c>
      <c r="S8" s="59">
        <f t="shared" ca="1" si="0"/>
        <v>42924</v>
      </c>
    </row>
    <row r="9" spans="2:19" ht="21.75" customHeight="1" x14ac:dyDescent="0.15">
      <c r="H9" s="21">
        <v>7</v>
      </c>
      <c r="I9" s="22"/>
      <c r="M9" s="58">
        <f t="shared" ref="M9:M12" ca="1" si="1">S8+1</f>
        <v>42925</v>
      </c>
      <c r="N9" s="18">
        <f t="shared" ref="N9:S9" ca="1" si="2">M9+1</f>
        <v>42926</v>
      </c>
      <c r="O9" s="18">
        <f t="shared" ca="1" si="2"/>
        <v>42927</v>
      </c>
      <c r="P9" s="18">
        <f t="shared" ca="1" si="2"/>
        <v>42928</v>
      </c>
      <c r="Q9" s="18">
        <f t="shared" ca="1" si="2"/>
        <v>42929</v>
      </c>
      <c r="R9" s="18">
        <f t="shared" ca="1" si="2"/>
        <v>42930</v>
      </c>
      <c r="S9" s="59">
        <f t="shared" ca="1" si="2"/>
        <v>42931</v>
      </c>
    </row>
    <row r="10" spans="2:19" ht="21.75" customHeight="1" x14ac:dyDescent="0.15">
      <c r="H10" s="21">
        <v>8</v>
      </c>
      <c r="I10" s="22"/>
      <c r="M10" s="58">
        <f t="shared" ca="1" si="1"/>
        <v>42932</v>
      </c>
      <c r="N10" s="18">
        <f t="shared" ref="N10:S10" ca="1" si="3">M10+1</f>
        <v>42933</v>
      </c>
      <c r="O10" s="18">
        <f t="shared" ca="1" si="3"/>
        <v>42934</v>
      </c>
      <c r="P10" s="18">
        <f t="shared" ca="1" si="3"/>
        <v>42935</v>
      </c>
      <c r="Q10" s="18">
        <f t="shared" ca="1" si="3"/>
        <v>42936</v>
      </c>
      <c r="R10" s="18">
        <f t="shared" ca="1" si="3"/>
        <v>42937</v>
      </c>
      <c r="S10" s="59">
        <f t="shared" ca="1" si="3"/>
        <v>42938</v>
      </c>
    </row>
    <row r="11" spans="2:19" ht="21.75" customHeight="1" x14ac:dyDescent="0.15">
      <c r="H11" s="21">
        <v>9</v>
      </c>
      <c r="I11" s="22"/>
      <c r="M11" s="58">
        <f t="shared" ca="1" si="1"/>
        <v>42939</v>
      </c>
      <c r="N11" s="18">
        <f t="shared" ref="N11:S11" ca="1" si="4">M11+1</f>
        <v>42940</v>
      </c>
      <c r="O11" s="18">
        <f t="shared" ca="1" si="4"/>
        <v>42941</v>
      </c>
      <c r="P11" s="18">
        <f t="shared" ca="1" si="4"/>
        <v>42942</v>
      </c>
      <c r="Q11" s="18">
        <f t="shared" ca="1" si="4"/>
        <v>42943</v>
      </c>
      <c r="R11" s="18">
        <f t="shared" ca="1" si="4"/>
        <v>42944</v>
      </c>
      <c r="S11" s="59">
        <f t="shared" ca="1" si="4"/>
        <v>42945</v>
      </c>
    </row>
    <row r="12" spans="2:19" ht="21.75" customHeight="1" x14ac:dyDescent="0.15">
      <c r="H12" s="21">
        <v>10</v>
      </c>
      <c r="I12" s="22"/>
      <c r="M12" s="60">
        <f t="shared" ca="1" si="1"/>
        <v>42946</v>
      </c>
      <c r="N12" s="61">
        <f t="shared" ref="N12:S12" ca="1" si="5">M12+1</f>
        <v>42947</v>
      </c>
      <c r="O12" s="61">
        <f t="shared" ca="1" si="5"/>
        <v>42948</v>
      </c>
      <c r="P12" s="61">
        <f t="shared" ca="1" si="5"/>
        <v>42949</v>
      </c>
      <c r="Q12" s="61">
        <f t="shared" ca="1" si="5"/>
        <v>42950</v>
      </c>
      <c r="R12" s="61">
        <f t="shared" ca="1" si="5"/>
        <v>42951</v>
      </c>
      <c r="S12" s="62">
        <f t="shared" ca="1" si="5"/>
        <v>42952</v>
      </c>
    </row>
    <row r="13" spans="2:19" x14ac:dyDescent="0.15">
      <c r="H13" s="21">
        <v>11</v>
      </c>
      <c r="I13" s="22"/>
    </row>
    <row r="14" spans="2:19" x14ac:dyDescent="0.15">
      <c r="H14" s="21">
        <v>12</v>
      </c>
      <c r="I14" s="22"/>
    </row>
    <row r="15" spans="2:19" x14ac:dyDescent="0.15">
      <c r="H15" s="21">
        <v>13</v>
      </c>
      <c r="I15" s="22"/>
    </row>
    <row r="16" spans="2:19" x14ac:dyDescent="0.15">
      <c r="H16" s="21">
        <v>14</v>
      </c>
      <c r="I16" s="22"/>
    </row>
    <row r="17" spans="8:9" x14ac:dyDescent="0.15">
      <c r="H17" s="21">
        <v>15</v>
      </c>
      <c r="I17" s="22"/>
    </row>
    <row r="18" spans="8:9" x14ac:dyDescent="0.15">
      <c r="H18" s="21">
        <v>16</v>
      </c>
      <c r="I18" s="22"/>
    </row>
    <row r="19" spans="8:9" x14ac:dyDescent="0.15">
      <c r="H19" s="21">
        <v>17</v>
      </c>
      <c r="I19" s="22"/>
    </row>
    <row r="20" spans="8:9" x14ac:dyDescent="0.15">
      <c r="H20" s="21">
        <v>18</v>
      </c>
      <c r="I20" s="22"/>
    </row>
    <row r="21" spans="8:9" x14ac:dyDescent="0.15">
      <c r="H21" s="21">
        <v>19</v>
      </c>
      <c r="I21" s="22"/>
    </row>
    <row r="22" spans="8:9" x14ac:dyDescent="0.15">
      <c r="H22" s="21">
        <v>20</v>
      </c>
      <c r="I22" s="22"/>
    </row>
    <row r="23" spans="8:9" x14ac:dyDescent="0.15">
      <c r="H23" s="21">
        <v>21</v>
      </c>
      <c r="I23" s="22"/>
    </row>
    <row r="24" spans="8:9" x14ac:dyDescent="0.15">
      <c r="H24" s="21">
        <v>22</v>
      </c>
      <c r="I24" s="22"/>
    </row>
    <row r="25" spans="8:9" x14ac:dyDescent="0.15">
      <c r="H25" s="21">
        <v>23</v>
      </c>
      <c r="I25" s="22"/>
    </row>
    <row r="26" spans="8:9" x14ac:dyDescent="0.15">
      <c r="H26" s="21">
        <v>24</v>
      </c>
      <c r="I26" s="22"/>
    </row>
    <row r="27" spans="8:9" x14ac:dyDescent="0.15">
      <c r="H27" s="21">
        <v>25</v>
      </c>
      <c r="I27" s="22"/>
    </row>
    <row r="28" spans="8:9" x14ac:dyDescent="0.15">
      <c r="H28" s="21">
        <v>26</v>
      </c>
      <c r="I28" s="22"/>
    </row>
    <row r="29" spans="8:9" x14ac:dyDescent="0.15">
      <c r="H29" s="21">
        <v>27</v>
      </c>
      <c r="I29" s="22"/>
    </row>
    <row r="30" spans="8:9" x14ac:dyDescent="0.15">
      <c r="H30" s="21">
        <v>28</v>
      </c>
      <c r="I30" s="22"/>
    </row>
    <row r="31" spans="8:9" x14ac:dyDescent="0.15">
      <c r="H31" s="21">
        <v>29</v>
      </c>
      <c r="I31" s="22"/>
    </row>
    <row r="32" spans="8:9" x14ac:dyDescent="0.15">
      <c r="H32" s="21">
        <v>30</v>
      </c>
      <c r="I32" s="22"/>
    </row>
    <row r="33" spans="8:9" x14ac:dyDescent="0.15">
      <c r="H33" s="23">
        <v>31</v>
      </c>
      <c r="I33" s="24"/>
    </row>
  </sheetData>
  <mergeCells count="1">
    <mergeCell ref="M5:S5"/>
  </mergeCells>
  <phoneticPr fontId="1"/>
  <conditionalFormatting sqref="M7">
    <cfRule type="expression" dxfId="105" priority="138" stopIfTrue="1">
      <formula>DAY(M7)&gt;7</formula>
    </cfRule>
    <cfRule type="expression" dxfId="104" priority="153">
      <formula>M7=TODAY()</formula>
    </cfRule>
    <cfRule type="expression" dxfId="103" priority="196">
      <formula>VLOOKUP(DAY(M7),UNCM0010_CALENDAR_AREA,2)=2</formula>
    </cfRule>
  </conditionalFormatting>
  <conditionalFormatting sqref="N7">
    <cfRule type="expression" dxfId="102" priority="115" stopIfTrue="1">
      <formula>DAY(N7)&gt;7</formula>
    </cfRule>
    <cfRule type="expression" dxfId="101" priority="116">
      <formula>N7=TODAY()</formula>
    </cfRule>
    <cfRule type="expression" dxfId="100" priority="117">
      <formula>VLOOKUP(DAY(N7),UNCM0010_CALENDAR_AREA,2)=2</formula>
    </cfRule>
  </conditionalFormatting>
  <conditionalFormatting sqref="O7">
    <cfRule type="expression" dxfId="99" priority="112" stopIfTrue="1">
      <formula>DAY(O7)&gt;7</formula>
    </cfRule>
    <cfRule type="expression" dxfId="98" priority="113">
      <formula>O7=TODAY()</formula>
    </cfRule>
    <cfRule type="expression" dxfId="97" priority="114">
      <formula>VLOOKUP(DAY(O7),UNCM0010_CALENDAR_AREA,2)=2</formula>
    </cfRule>
  </conditionalFormatting>
  <conditionalFormatting sqref="P7">
    <cfRule type="expression" dxfId="96" priority="109" stopIfTrue="1">
      <formula>DAY(P7)&gt;7</formula>
    </cfRule>
    <cfRule type="expression" dxfId="95" priority="110">
      <formula>P7=TODAY()</formula>
    </cfRule>
    <cfRule type="expression" dxfId="94" priority="111">
      <formula>VLOOKUP(DAY(P7),UNCM0010_CALENDAR_AREA,2)=2</formula>
    </cfRule>
  </conditionalFormatting>
  <conditionalFormatting sqref="Q7">
    <cfRule type="expression" dxfId="93" priority="106" stopIfTrue="1">
      <formula>DAY(Q7)&gt;7</formula>
    </cfRule>
    <cfRule type="expression" dxfId="92" priority="107">
      <formula>Q7=TODAY()</formula>
    </cfRule>
    <cfRule type="expression" dxfId="91" priority="108">
      <formula>VLOOKUP(DAY(Q7),UNCM0010_CALENDAR_AREA,2)=2</formula>
    </cfRule>
  </conditionalFormatting>
  <conditionalFormatting sqref="R7">
    <cfRule type="expression" dxfId="90" priority="103" stopIfTrue="1">
      <formula>DAY(R7)&gt;7</formula>
    </cfRule>
    <cfRule type="expression" dxfId="89" priority="104">
      <formula>R7=TODAY()</formula>
    </cfRule>
    <cfRule type="expression" dxfId="88" priority="105">
      <formula>VLOOKUP(DAY(R7),UNCM0010_CALENDAR_AREA,2)=2</formula>
    </cfRule>
  </conditionalFormatting>
  <conditionalFormatting sqref="S7">
    <cfRule type="expression" dxfId="87" priority="100" stopIfTrue="1">
      <formula>DAY(S7)&gt;7</formula>
    </cfRule>
    <cfRule type="expression" dxfId="86" priority="101">
      <formula>S7=TODAY()</formula>
    </cfRule>
    <cfRule type="expression" dxfId="85" priority="102">
      <formula>VLOOKUP(DAY(S7),UNCM0010_CALENDAR_AREA,2)=2</formula>
    </cfRule>
  </conditionalFormatting>
  <conditionalFormatting sqref="M8">
    <cfRule type="expression" dxfId="84" priority="98">
      <formula>M8=TODAY()</formula>
    </cfRule>
    <cfRule type="expression" dxfId="83" priority="99">
      <formula>VLOOKUP(DAY(M8),UNCM0010_CALENDAR_AREA,2)=2</formula>
    </cfRule>
  </conditionalFormatting>
  <conditionalFormatting sqref="N8">
    <cfRule type="expression" dxfId="82" priority="93">
      <formula>N8=TODAY()</formula>
    </cfRule>
    <cfRule type="expression" dxfId="81" priority="94">
      <formula>VLOOKUP(DAY(N8),UNCM0010_CALENDAR_AREA,2)=2</formula>
    </cfRule>
  </conditionalFormatting>
  <conditionalFormatting sqref="O8">
    <cfRule type="expression" dxfId="80" priority="91">
      <formula>O8=TODAY()</formula>
    </cfRule>
    <cfRule type="expression" dxfId="79" priority="92">
      <formula>VLOOKUP(DAY(O8),UNCM0010_CALENDAR_AREA,2)=2</formula>
    </cfRule>
  </conditionalFormatting>
  <conditionalFormatting sqref="P8">
    <cfRule type="expression" dxfId="78" priority="89">
      <formula>P8=TODAY()</formula>
    </cfRule>
    <cfRule type="expression" dxfId="77" priority="90">
      <formula>VLOOKUP(DAY(P8),UNCM0010_CALENDAR_AREA,2)=2</formula>
    </cfRule>
  </conditionalFormatting>
  <conditionalFormatting sqref="Q8">
    <cfRule type="expression" dxfId="76" priority="87">
      <formula>Q8=TODAY()</formula>
    </cfRule>
    <cfRule type="expression" dxfId="75" priority="88">
      <formula>VLOOKUP(DAY(Q8),UNCM0010_CALENDAR_AREA,2)=2</formula>
    </cfRule>
  </conditionalFormatting>
  <conditionalFormatting sqref="R8">
    <cfRule type="expression" dxfId="74" priority="85">
      <formula>R8=TODAY()</formula>
    </cfRule>
    <cfRule type="expression" dxfId="73" priority="86">
      <formula>VLOOKUP(DAY(R8),UNCM0010_CALENDAR_AREA,2)=2</formula>
    </cfRule>
  </conditionalFormatting>
  <conditionalFormatting sqref="S8">
    <cfRule type="expression" dxfId="72" priority="83">
      <formula>S8=TODAY()</formula>
    </cfRule>
    <cfRule type="expression" dxfId="71" priority="84">
      <formula>VLOOKUP(DAY(S8),UNCM0010_CALENDAR_AREA,2)=2</formula>
    </cfRule>
  </conditionalFormatting>
  <conditionalFormatting sqref="M9">
    <cfRule type="expression" dxfId="70" priority="81">
      <formula>M9=TODAY()</formula>
    </cfRule>
    <cfRule type="expression" dxfId="69" priority="82">
      <formula>VLOOKUP(DAY(M9),UNCM0010_CALENDAR_AREA,2)=2</formula>
    </cfRule>
  </conditionalFormatting>
  <conditionalFormatting sqref="N9">
    <cfRule type="expression" dxfId="68" priority="79">
      <formula>N9=TODAY()</formula>
    </cfRule>
    <cfRule type="expression" dxfId="67" priority="80">
      <formula>VLOOKUP(DAY(N9),UNCM0010_CALENDAR_AREA,2)=2</formula>
    </cfRule>
  </conditionalFormatting>
  <conditionalFormatting sqref="O9">
    <cfRule type="expression" dxfId="66" priority="77">
      <formula>O9=TODAY()</formula>
    </cfRule>
    <cfRule type="expression" dxfId="65" priority="78">
      <formula>VLOOKUP(DAY(O9),UNCM0010_CALENDAR_AREA,2)=2</formula>
    </cfRule>
  </conditionalFormatting>
  <conditionalFormatting sqref="P9">
    <cfRule type="expression" dxfId="64" priority="75">
      <formula>P9=TODAY()</formula>
    </cfRule>
    <cfRule type="expression" dxfId="63" priority="76">
      <formula>VLOOKUP(DAY(P9),UNCM0010_CALENDAR_AREA,2)=2</formula>
    </cfRule>
  </conditionalFormatting>
  <conditionalFormatting sqref="Q9">
    <cfRule type="expression" dxfId="62" priority="73">
      <formula>Q9=TODAY()</formula>
    </cfRule>
    <cfRule type="expression" dxfId="61" priority="74">
      <formula>VLOOKUP(DAY(Q9),UNCM0010_CALENDAR_AREA,2)=2</formula>
    </cfRule>
  </conditionalFormatting>
  <conditionalFormatting sqref="R9">
    <cfRule type="expression" dxfId="60" priority="71">
      <formula>R9=TODAY()</formula>
    </cfRule>
    <cfRule type="expression" dxfId="59" priority="72">
      <formula>VLOOKUP(DAY(R9),UNCM0010_CALENDAR_AREA,2)=2</formula>
    </cfRule>
  </conditionalFormatting>
  <conditionalFormatting sqref="S9">
    <cfRule type="expression" dxfId="58" priority="69">
      <formula>S9=TODAY()</formula>
    </cfRule>
    <cfRule type="expression" dxfId="57" priority="70">
      <formula>VLOOKUP(DAY(S9),UNCM0010_CALENDAR_AREA,2)=2</formula>
    </cfRule>
  </conditionalFormatting>
  <conditionalFormatting sqref="M10">
    <cfRule type="expression" dxfId="56" priority="67">
      <formula>M10=TODAY()</formula>
    </cfRule>
    <cfRule type="expression" dxfId="55" priority="68">
      <formula>VLOOKUP(DAY(M10),UNCM0010_CALENDAR_AREA,2)=2</formula>
    </cfRule>
  </conditionalFormatting>
  <conditionalFormatting sqref="N10">
    <cfRule type="expression" dxfId="54" priority="65">
      <formula>N10=TODAY()</formula>
    </cfRule>
    <cfRule type="expression" dxfId="53" priority="66">
      <formula>VLOOKUP(DAY(N10),UNCM0010_CALENDAR_AREA,2)=2</formula>
    </cfRule>
  </conditionalFormatting>
  <conditionalFormatting sqref="O10">
    <cfRule type="expression" dxfId="52" priority="63">
      <formula>O10=TODAY()</formula>
    </cfRule>
    <cfRule type="expression" dxfId="51" priority="64">
      <formula>VLOOKUP(DAY(O10),UNCM0010_CALENDAR_AREA,2)=2</formula>
    </cfRule>
  </conditionalFormatting>
  <conditionalFormatting sqref="P10">
    <cfRule type="expression" dxfId="50" priority="61">
      <formula>P10=TODAY()</formula>
    </cfRule>
    <cfRule type="expression" dxfId="49" priority="62">
      <formula>VLOOKUP(DAY(P10),UNCM0010_CALENDAR_AREA,2)=2</formula>
    </cfRule>
  </conditionalFormatting>
  <conditionalFormatting sqref="Q10">
    <cfRule type="expression" dxfId="48" priority="59">
      <formula>Q10=TODAY()</formula>
    </cfRule>
    <cfRule type="expression" dxfId="47" priority="60">
      <formula>VLOOKUP(DAY(Q10),UNCM0010_CALENDAR_AREA,2)=2</formula>
    </cfRule>
  </conditionalFormatting>
  <conditionalFormatting sqref="R10">
    <cfRule type="expression" dxfId="46" priority="57">
      <formula>R10=TODAY()</formula>
    </cfRule>
    <cfRule type="expression" dxfId="45" priority="58">
      <formula>VLOOKUP(DAY(R10),UNCM0010_CALENDAR_AREA,2)=2</formula>
    </cfRule>
  </conditionalFormatting>
  <conditionalFormatting sqref="S10">
    <cfRule type="expression" dxfId="44" priority="55">
      <formula>S10=TODAY()</formula>
    </cfRule>
    <cfRule type="expression" dxfId="43" priority="56">
      <formula>VLOOKUP(DAY(S10),UNCM0010_CALENDAR_AREA,2)=2</formula>
    </cfRule>
  </conditionalFormatting>
  <conditionalFormatting sqref="M11">
    <cfRule type="expression" dxfId="42" priority="17">
      <formula>DAY(M11)&lt;15</formula>
    </cfRule>
    <cfRule type="expression" dxfId="41" priority="53">
      <formula>M11=TODAY()</formula>
    </cfRule>
    <cfRule type="expression" dxfId="40" priority="54">
      <formula>VLOOKUP(DAY(M11),UNCM0010_CALENDAR_AREA,2)=2</formula>
    </cfRule>
  </conditionalFormatting>
  <conditionalFormatting sqref="N11">
    <cfRule type="expression" dxfId="39" priority="16">
      <formula>DAY(N11)&lt;15</formula>
    </cfRule>
    <cfRule type="expression" dxfId="38" priority="51">
      <formula>N11=TODAY()</formula>
    </cfRule>
    <cfRule type="expression" dxfId="37" priority="52">
      <formula>VLOOKUP(DAY(N11),UNCM0010_CALENDAR_AREA,2)=2</formula>
    </cfRule>
  </conditionalFormatting>
  <conditionalFormatting sqref="M12">
    <cfRule type="expression" dxfId="36" priority="36" stopIfTrue="1">
      <formula>DAY(M12)&lt;15</formula>
    </cfRule>
    <cfRule type="expression" dxfId="35" priority="37">
      <formula>M12=TODAY()</formula>
    </cfRule>
    <cfRule type="expression" dxfId="34" priority="38">
      <formula>VLOOKUP(DAY(M12),UNCM0010_CALENDAR_AREA,2)=2</formula>
    </cfRule>
  </conditionalFormatting>
  <conditionalFormatting sqref="N12">
    <cfRule type="expression" dxfId="33" priority="33" stopIfTrue="1">
      <formula>DAY(N12)&lt;15</formula>
    </cfRule>
    <cfRule type="expression" dxfId="32" priority="34">
      <formula>N12=TODAY()</formula>
    </cfRule>
    <cfRule type="expression" dxfId="31" priority="35">
      <formula>VLOOKUP(DAY(N12),UNCM0010_CALENDAR_AREA,2)=2</formula>
    </cfRule>
  </conditionalFormatting>
  <conditionalFormatting sqref="O12">
    <cfRule type="expression" dxfId="30" priority="30" stopIfTrue="1">
      <formula>DAY(O12)&lt;15</formula>
    </cfRule>
    <cfRule type="expression" dxfId="29" priority="31">
      <formula>O12=TODAY()</formula>
    </cfRule>
    <cfRule type="expression" dxfId="28" priority="32">
      <formula>VLOOKUP(DAY(O12),UNCM0010_CALENDAR_AREA,2)=2</formula>
    </cfRule>
  </conditionalFormatting>
  <conditionalFormatting sqref="P12">
    <cfRule type="expression" dxfId="27" priority="27" stopIfTrue="1">
      <formula>DAY(P12)&lt;15</formula>
    </cfRule>
    <cfRule type="expression" dxfId="26" priority="28">
      <formula>P12=TODAY()</formula>
    </cfRule>
    <cfRule type="expression" dxfId="25" priority="29">
      <formula>VLOOKUP(DAY(P12),UNCM0010_CALENDAR_AREA,2)=2</formula>
    </cfRule>
  </conditionalFormatting>
  <conditionalFormatting sqref="Q12">
    <cfRule type="expression" dxfId="24" priority="24" stopIfTrue="1">
      <formula>DAY(Q12)&lt;15</formula>
    </cfRule>
    <cfRule type="expression" dxfId="23" priority="25">
      <formula>Q12=TODAY()</formula>
    </cfRule>
    <cfRule type="expression" dxfId="22" priority="26">
      <formula>VLOOKUP(DAY(Q12),UNCM0010_CALENDAR_AREA,2)=2</formula>
    </cfRule>
  </conditionalFormatting>
  <conditionalFormatting sqref="R12">
    <cfRule type="expression" dxfId="21" priority="21" stopIfTrue="1">
      <formula>DAY(R12)&lt;15</formula>
    </cfRule>
    <cfRule type="expression" dxfId="20" priority="22">
      <formula>R12=TODAY()</formula>
    </cfRule>
    <cfRule type="expression" dxfId="19" priority="23">
      <formula>VLOOKUP(DAY(R12),UNCM0010_CALENDAR_AREA,2)=2</formula>
    </cfRule>
  </conditionalFormatting>
  <conditionalFormatting sqref="S12">
    <cfRule type="expression" dxfId="18" priority="18" stopIfTrue="1">
      <formula>DAY(S12)&lt;15</formula>
    </cfRule>
    <cfRule type="expression" dxfId="17" priority="19">
      <formula>S12=TODAY()</formula>
    </cfRule>
    <cfRule type="expression" dxfId="16" priority="20">
      <formula>VLOOKUP(DAY(S12),UNCM0010_CALENDAR_AREA,2)=2</formula>
    </cfRule>
  </conditionalFormatting>
  <conditionalFormatting sqref="O11">
    <cfRule type="expression" dxfId="15" priority="13">
      <formula>DAY(O11)&lt;15</formula>
    </cfRule>
    <cfRule type="expression" dxfId="14" priority="14">
      <formula>O11=TODAY()</formula>
    </cfRule>
    <cfRule type="expression" dxfId="13" priority="15">
      <formula>VLOOKUP(DAY(O11),UNCM0010_CALENDAR_AREA,2)=2</formula>
    </cfRule>
  </conditionalFormatting>
  <conditionalFormatting sqref="P11">
    <cfRule type="expression" dxfId="12" priority="10">
      <formula>DAY(P11)&lt;15</formula>
    </cfRule>
    <cfRule type="expression" dxfId="11" priority="11">
      <formula>P11=TODAY()</formula>
    </cfRule>
    <cfRule type="expression" dxfId="10" priority="12">
      <formula>VLOOKUP(DAY(P11),UNCM0010_CALENDAR_AREA,2)=2</formula>
    </cfRule>
  </conditionalFormatting>
  <conditionalFormatting sqref="Q11">
    <cfRule type="expression" dxfId="9" priority="7">
      <formula>DAY(Q11)&lt;15</formula>
    </cfRule>
    <cfRule type="expression" dxfId="8" priority="8">
      <formula>Q11=TODAY()</formula>
    </cfRule>
    <cfRule type="expression" dxfId="7" priority="9">
      <formula>VLOOKUP(DAY(Q11),UNCM0010_CALENDAR_AREA,2)=2</formula>
    </cfRule>
  </conditionalFormatting>
  <conditionalFormatting sqref="R11">
    <cfRule type="expression" dxfId="6" priority="4">
      <formula>DAY(R11)&lt;15</formula>
    </cfRule>
    <cfRule type="expression" dxfId="5" priority="5">
      <formula>R11=TODAY()</formula>
    </cfRule>
    <cfRule type="expression" dxfId="4" priority="6">
      <formula>VLOOKUP(DAY(R11),UNCM0010_CALENDAR_AREA,2)=2</formula>
    </cfRule>
  </conditionalFormatting>
  <conditionalFormatting sqref="S11">
    <cfRule type="expression" dxfId="3" priority="1">
      <formula>DAY(S11)&lt;15</formula>
    </cfRule>
    <cfRule type="expression" dxfId="2" priority="2">
      <formula>S11=TODAY()</formula>
    </cfRule>
    <cfRule type="expression" dxfId="1" priority="3">
      <formula>VLOOKUP(DAY(S11),UNCM0010_CALENDAR_AREA,2)=2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C000"/>
  </sheetPr>
  <dimension ref="A1:K13"/>
  <sheetViews>
    <sheetView showGridLines="0" showRowColHeaders="0" topLeftCell="H2" zoomScaleNormal="100" workbookViewId="0">
      <selection activeCell="J8" sqref="J8:K8"/>
    </sheetView>
  </sheetViews>
  <sheetFormatPr defaultRowHeight="16.5" x14ac:dyDescent="0.15"/>
  <cols>
    <col min="1" max="2" width="9" style="8" hidden="1" customWidth="1"/>
    <col min="3" max="3" width="15" style="8" hidden="1" customWidth="1"/>
    <col min="4" max="4" width="12.75" style="8" hidden="1" customWidth="1"/>
    <col min="5" max="7" width="9" style="8" hidden="1" customWidth="1"/>
    <col min="8" max="8" width="3.25" style="44" customWidth="1"/>
    <col min="9" max="9" width="13.125" style="44" bestFit="1" customWidth="1"/>
    <col min="10" max="10" width="5.125" style="44" customWidth="1"/>
    <col min="11" max="11" width="15.5" style="44" customWidth="1"/>
    <col min="12" max="12" width="7.25" style="44" bestFit="1" customWidth="1"/>
    <col min="13" max="25" width="3.25" style="44" customWidth="1"/>
    <col min="26" max="49" width="3.375" style="44" customWidth="1"/>
    <col min="50" max="16384" width="9" style="44"/>
  </cols>
  <sheetData>
    <row r="1" spans="1:11" s="8" customFormat="1" hidden="1" x14ac:dyDescent="0.15"/>
    <row r="2" spans="1:11" s="1" customFormat="1" ht="19.5" x14ac:dyDescent="0.15">
      <c r="A2" s="27"/>
      <c r="B2" s="27"/>
      <c r="C2" s="27"/>
      <c r="D2" s="27"/>
      <c r="E2" s="27"/>
      <c r="F2" s="27"/>
      <c r="G2" s="27"/>
      <c r="H2" s="1" t="s">
        <v>14</v>
      </c>
    </row>
    <row r="4" spans="1:11" x14ac:dyDescent="0.15">
      <c r="C4" s="8" t="s">
        <v>149</v>
      </c>
      <c r="D4" s="28" t="s">
        <v>152</v>
      </c>
      <c r="E4" s="116" t="b">
        <v>1</v>
      </c>
      <c r="I4" s="10" t="s">
        <v>15</v>
      </c>
      <c r="J4" s="13"/>
      <c r="K4" s="53" t="s">
        <v>16</v>
      </c>
    </row>
    <row r="5" spans="1:11" x14ac:dyDescent="0.15">
      <c r="C5" s="8" t="s">
        <v>150</v>
      </c>
      <c r="D5" s="28" t="s">
        <v>153</v>
      </c>
      <c r="E5" s="116" t="b">
        <v>1</v>
      </c>
      <c r="J5" s="13"/>
      <c r="K5" s="53" t="s">
        <v>17</v>
      </c>
    </row>
    <row r="6" spans="1:11" x14ac:dyDescent="0.15">
      <c r="C6" s="8" t="s">
        <v>151</v>
      </c>
      <c r="D6" s="28" t="s">
        <v>154</v>
      </c>
      <c r="E6" s="116" t="b">
        <v>1</v>
      </c>
      <c r="J6" s="13"/>
      <c r="K6" s="53" t="s">
        <v>18</v>
      </c>
    </row>
    <row r="7" spans="1:11" x14ac:dyDescent="0.15">
      <c r="C7" s="8" t="s">
        <v>155</v>
      </c>
      <c r="D7" s="28" t="s">
        <v>156</v>
      </c>
      <c r="E7" s="26"/>
    </row>
    <row r="8" spans="1:11" x14ac:dyDescent="0.15">
      <c r="I8" s="10" t="s">
        <v>295</v>
      </c>
      <c r="J8" s="141"/>
      <c r="K8" s="141"/>
    </row>
    <row r="9" spans="1:11" x14ac:dyDescent="0.15">
      <c r="C9" s="8" t="s">
        <v>246</v>
      </c>
      <c r="D9" s="94" t="s">
        <v>243</v>
      </c>
      <c r="E9" s="93">
        <f>IF(UNCM0020_H_TANTOSHA_MEI=0,0,UNCM0020_H_TANTOSHA_CD)</f>
        <v>0</v>
      </c>
      <c r="J9" s="12" t="s">
        <v>19</v>
      </c>
    </row>
    <row r="10" spans="1:11" x14ac:dyDescent="0.15">
      <c r="J10" s="141"/>
      <c r="K10" s="141"/>
    </row>
    <row r="12" spans="1:11" x14ac:dyDescent="0.15">
      <c r="C12" s="104" t="s">
        <v>253</v>
      </c>
      <c r="D12" s="105" t="s">
        <v>264</v>
      </c>
      <c r="E12" s="106" t="str">
        <f>ROW(A1)&amp;":"&amp;ROW(A1)</f>
        <v>1:1</v>
      </c>
      <c r="I12" s="10" t="s">
        <v>25</v>
      </c>
      <c r="J12" s="132"/>
      <c r="K12" s="132"/>
    </row>
    <row r="13" spans="1:11" x14ac:dyDescent="0.15">
      <c r="C13" s="104" t="s">
        <v>250</v>
      </c>
      <c r="D13" s="105" t="s">
        <v>265</v>
      </c>
      <c r="E13" s="106" t="str">
        <f>ADDRESS(ROW(A1),COLUMN(A1))&amp;":"&amp;ADDRESS(ROW(G1),COLUMN(G1))</f>
        <v>$A$1:$G$1</v>
      </c>
    </row>
  </sheetData>
  <sheetProtection sheet="1" objects="1" scenarios="1" selectLockedCells="1"/>
  <mergeCells count="3">
    <mergeCell ref="J8:K8"/>
    <mergeCell ref="J10:K10"/>
    <mergeCell ref="J12:K12"/>
  </mergeCells>
  <phoneticPr fontId="1"/>
  <dataValidations count="1">
    <dataValidation type="date" allowBlank="1" showInputMessage="1" showErrorMessage="1" sqref="J8:K8 J10:K10">
      <formula1>36526</formula1>
      <formula2>73415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Check Box 1">
              <controlPr defaultSize="0" autoFill="0" autoLine="0" autoPict="0">
                <anchor moveWithCells="1">
                  <from>
                    <xdr:col>9</xdr:col>
                    <xdr:colOff>85725</xdr:colOff>
                    <xdr:row>3</xdr:row>
                    <xdr:rowOff>19050</xdr:rowOff>
                  </from>
                  <to>
                    <xdr:col>9</xdr:col>
                    <xdr:colOff>276225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Check Box 2">
              <controlPr defaultSize="0" autoFill="0" autoLine="0" autoPict="0">
                <anchor moveWithCells="1">
                  <from>
                    <xdr:col>9</xdr:col>
                    <xdr:colOff>85725</xdr:colOff>
                    <xdr:row>4</xdr:row>
                    <xdr:rowOff>19050</xdr:rowOff>
                  </from>
                  <to>
                    <xdr:col>9</xdr:col>
                    <xdr:colOff>276225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Check Box 3">
              <controlPr defaultSize="0" autoFill="0" autoLine="0" autoPict="0">
                <anchor moveWithCells="1">
                  <from>
                    <xdr:col>9</xdr:col>
                    <xdr:colOff>85725</xdr:colOff>
                    <xdr:row>5</xdr:row>
                    <xdr:rowOff>19050</xdr:rowOff>
                  </from>
                  <to>
                    <xdr:col>9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000"/>
  </sheetPr>
  <dimension ref="A1:U25"/>
  <sheetViews>
    <sheetView showGridLines="0" showRowColHeaders="0" topLeftCell="I14" zoomScaleNormal="100" workbookViewId="0">
      <selection sqref="A1:H1 K1:Q1"/>
    </sheetView>
  </sheetViews>
  <sheetFormatPr defaultRowHeight="52.5" customHeight="1" x14ac:dyDescent="0.15"/>
  <cols>
    <col min="1" max="4" width="9" style="8" hidden="1" customWidth="1"/>
    <col min="5" max="6" width="13.5" style="8" hidden="1" customWidth="1"/>
    <col min="7" max="8" width="9" style="8" hidden="1" customWidth="1"/>
    <col min="9" max="10" width="3.25" style="44" customWidth="1"/>
    <col min="11" max="11" width="6.625" style="44" hidden="1" customWidth="1"/>
    <col min="12" max="12" width="3.25" style="44" hidden="1" customWidth="1"/>
    <col min="13" max="13" width="3.25" style="97" hidden="1" customWidth="1"/>
    <col min="14" max="14" width="3.25" style="44" hidden="1" customWidth="1"/>
    <col min="15" max="15" width="3.25" style="97" hidden="1" customWidth="1"/>
    <col min="16" max="17" width="3.25" style="44" hidden="1" customWidth="1"/>
    <col min="18" max="18" width="8" style="44" bestFit="1" customWidth="1"/>
    <col min="19" max="19" width="51" style="44" bestFit="1" customWidth="1"/>
    <col min="20" max="20" width="16.375" style="44" customWidth="1"/>
    <col min="21" max="21" width="12.5" style="44" bestFit="1" customWidth="1"/>
    <col min="22" max="23" width="3.25" style="44" customWidth="1"/>
    <col min="24" max="24" width="32.75" style="44" customWidth="1"/>
    <col min="25" max="25" width="11.875" style="44" customWidth="1"/>
    <col min="26" max="27" width="3.25" style="44" customWidth="1"/>
    <col min="28" max="28" width="32.75" style="44" customWidth="1"/>
    <col min="29" max="29" width="11.875" style="44" customWidth="1"/>
    <col min="30" max="43" width="3.25" style="44" customWidth="1"/>
    <col min="44" max="67" width="3.375" style="44" customWidth="1"/>
    <col min="68" max="16384" width="9" style="44"/>
  </cols>
  <sheetData>
    <row r="1" spans="1:21" s="8" customFormat="1" ht="16.5" hidden="1" customHeight="1" x14ac:dyDescent="0.15">
      <c r="M1" s="103"/>
      <c r="O1" s="103"/>
    </row>
    <row r="2" spans="1:21" s="8" customFormat="1" ht="16.5" hidden="1" customHeight="1" x14ac:dyDescent="0.15">
      <c r="M2" s="103"/>
      <c r="O2" s="103"/>
    </row>
    <row r="3" spans="1:21" s="103" customFormat="1" ht="16.5" hidden="1" customHeight="1" x14ac:dyDescent="0.15"/>
    <row r="4" spans="1:21" s="8" customFormat="1" ht="16.5" hidden="1" customHeight="1" x14ac:dyDescent="0.15">
      <c r="I4" s="103"/>
      <c r="J4" s="103"/>
      <c r="M4" s="103"/>
      <c r="O4" s="103"/>
    </row>
    <row r="5" spans="1:21" s="8" customFormat="1" ht="16.5" hidden="1" customHeight="1" x14ac:dyDescent="0.15">
      <c r="M5" s="103"/>
      <c r="O5" s="103"/>
    </row>
    <row r="6" spans="1:21" s="8" customFormat="1" ht="16.5" hidden="1" customHeight="1" x14ac:dyDescent="0.15">
      <c r="M6" s="103"/>
      <c r="O6" s="103"/>
    </row>
    <row r="7" spans="1:21" s="8" customFormat="1" ht="16.5" hidden="1" customHeight="1" x14ac:dyDescent="0.15">
      <c r="M7" s="103"/>
      <c r="O7" s="103"/>
    </row>
    <row r="8" spans="1:21" s="8" customFormat="1" ht="16.5" hidden="1" customHeight="1" x14ac:dyDescent="0.15">
      <c r="M8" s="103"/>
      <c r="O8" s="103"/>
    </row>
    <row r="9" spans="1:21" s="8" customFormat="1" ht="16.5" hidden="1" customHeight="1" x14ac:dyDescent="0.15">
      <c r="M9" s="103"/>
      <c r="O9" s="103"/>
    </row>
    <row r="10" spans="1:21" s="8" customFormat="1" ht="16.5" hidden="1" customHeight="1" x14ac:dyDescent="0.15">
      <c r="M10" s="103"/>
      <c r="O10" s="103"/>
    </row>
    <row r="11" spans="1:21" s="8" customFormat="1" ht="16.5" hidden="1" customHeight="1" x14ac:dyDescent="0.15">
      <c r="E11" s="67" t="s">
        <v>163</v>
      </c>
      <c r="F11" s="68" t="s">
        <v>167</v>
      </c>
      <c r="G11" s="26"/>
      <c r="M11" s="103"/>
      <c r="O11" s="103"/>
    </row>
    <row r="12" spans="1:21" s="8" customFormat="1" ht="16.5" hidden="1" customHeight="1" x14ac:dyDescent="0.15">
      <c r="E12" s="67" t="s">
        <v>164</v>
      </c>
      <c r="F12" s="68" t="s">
        <v>168</v>
      </c>
      <c r="G12" s="26">
        <v>1</v>
      </c>
      <c r="M12" s="103"/>
      <c r="O12" s="103"/>
    </row>
    <row r="13" spans="1:21" s="8" customFormat="1" ht="16.5" hidden="1" customHeight="1" x14ac:dyDescent="0.15">
      <c r="E13" s="67" t="s">
        <v>165</v>
      </c>
      <c r="F13" s="68" t="s">
        <v>169</v>
      </c>
      <c r="G13" s="26">
        <f>IF(OR(UNCM0020_B_ALL_KENSU=0,UNCM0020_B_CTRL_HYOJI_GYO_SU=0),1,ROUNDUP(UNCM0020_B_ALL_KENSU/UNCM0020_B_CTRL_HYOJI_GYO_SU,0))</f>
        <v>1</v>
      </c>
      <c r="M13" s="103"/>
      <c r="O13" s="103"/>
    </row>
    <row r="14" spans="1:21" s="1" customFormat="1" ht="19.5" x14ac:dyDescent="0.15">
      <c r="A14" s="8"/>
      <c r="B14" s="27"/>
      <c r="C14" s="27"/>
      <c r="D14" s="27"/>
      <c r="E14" s="67" t="s">
        <v>166</v>
      </c>
      <c r="F14" s="68" t="s">
        <v>170</v>
      </c>
      <c r="G14" s="26">
        <v>50</v>
      </c>
      <c r="H14" s="27"/>
    </row>
    <row r="15" spans="1:21" ht="16.5" x14ac:dyDescent="0.15">
      <c r="E15" s="91" t="s">
        <v>228</v>
      </c>
      <c r="F15" s="94" t="s">
        <v>230</v>
      </c>
      <c r="G15" s="93">
        <f>UNCM0020_B_PAGE_NO+1</f>
        <v>2</v>
      </c>
      <c r="I15" s="44" t="str">
        <f>"("&amp;UNCM0020_B_PAGE_NO&amp;"/"&amp;UNCM0020_B_ALL_PEGE_SU&amp;")"</f>
        <v>(1/1)</v>
      </c>
    </row>
    <row r="16" spans="1:21" ht="16.5" x14ac:dyDescent="0.15">
      <c r="E16" s="91" t="s">
        <v>229</v>
      </c>
      <c r="F16" s="94" t="s">
        <v>231</v>
      </c>
      <c r="G16" s="93">
        <f>UNCM0020_B_PAGE_NO-1</f>
        <v>0</v>
      </c>
      <c r="J16" s="4" t="s">
        <v>3</v>
      </c>
      <c r="K16" s="5" t="s">
        <v>45</v>
      </c>
      <c r="L16" s="5" t="s">
        <v>65</v>
      </c>
      <c r="M16" s="5" t="s">
        <v>285</v>
      </c>
      <c r="N16" s="5" t="s">
        <v>137</v>
      </c>
      <c r="O16" s="5" t="s">
        <v>286</v>
      </c>
      <c r="P16" s="5" t="s">
        <v>186</v>
      </c>
      <c r="Q16" s="5" t="s">
        <v>67</v>
      </c>
      <c r="R16" s="4" t="s">
        <v>20</v>
      </c>
      <c r="S16" s="4" t="s">
        <v>21</v>
      </c>
      <c r="T16" s="4" t="s">
        <v>24</v>
      </c>
      <c r="U16" s="4" t="s">
        <v>5</v>
      </c>
    </row>
    <row r="17" spans="1:8" ht="52.5" customHeight="1" x14ac:dyDescent="0.15">
      <c r="B17" s="26" t="s">
        <v>134</v>
      </c>
      <c r="E17" s="104" t="s">
        <v>253</v>
      </c>
      <c r="F17" s="105" t="s">
        <v>256</v>
      </c>
      <c r="G17" s="106" t="str">
        <f>ROW(A1)&amp;":"&amp;ROW(A13)</f>
        <v>1:13</v>
      </c>
    </row>
    <row r="18" spans="1:8" ht="52.5" customHeight="1" x14ac:dyDescent="0.15">
      <c r="E18" s="104" t="s">
        <v>250</v>
      </c>
      <c r="F18" s="105" t="s">
        <v>257</v>
      </c>
      <c r="G18" s="106" t="str">
        <f>ADDRESS(ROW(A1),COLUMN(A1))&amp;":"&amp;ADDRESS(ROW(H1),COLUMN(H1))&amp;","&amp;ADDRESS(ROW(K1),COLUMN(K1))&amp;":"&amp;ADDRESS(ROW(Q1),COLUMN(Q1))</f>
        <v>$A$1:$H$1,$K$1:$Q$1</v>
      </c>
    </row>
    <row r="19" spans="1:8" ht="52.5" customHeight="1" x14ac:dyDescent="0.15">
      <c r="A19" s="103"/>
      <c r="B19" s="103"/>
      <c r="C19" s="103"/>
      <c r="D19" s="103"/>
      <c r="E19" s="104"/>
      <c r="F19" s="105"/>
      <c r="G19" s="103"/>
      <c r="H19" s="103"/>
    </row>
    <row r="20" spans="1:8" ht="52.5" customHeight="1" x14ac:dyDescent="0.15">
      <c r="E20" s="8" t="s">
        <v>82</v>
      </c>
      <c r="F20" s="28" t="s">
        <v>157</v>
      </c>
      <c r="G20" s="66" t="str">
        <f>ADDRESS(ROW(UNCM0020_B_SENTAKU)+1,COLUMN(UNCM0020_B_SENTAKU))&amp;":"&amp;ADDRESS(ROW(UNCM0020_B_SENTAKU)+1+UNCM0020_B_CTRL_HYOJI_GYO_SU-1,COLUMN(UNCM0020_B_SENTAKU)+COLUMNS(UNCM0020_IF_B_FLG_COPY_MOTO)+COLUMNS(UNCM0020_IF_B_SHOSHIKI_COPY_MOTO)-1)</f>
        <v>$J$17:$U$66</v>
      </c>
    </row>
    <row r="21" spans="1:8" ht="52.5" customHeight="1" x14ac:dyDescent="0.15">
      <c r="E21" s="28" t="s">
        <v>162</v>
      </c>
      <c r="F21" s="28" t="s">
        <v>158</v>
      </c>
      <c r="G21" s="66"/>
    </row>
    <row r="22" spans="1:8" ht="52.5" customHeight="1" x14ac:dyDescent="0.15">
      <c r="E22" s="8" t="s">
        <v>83</v>
      </c>
      <c r="F22" s="28" t="s">
        <v>159</v>
      </c>
      <c r="G22" s="66" t="str">
        <f>ADDRESS(ROW(UNCM0020_B_FLG)+1,COLUMN(UNCM0020_B_FLG))</f>
        <v>$K$17</v>
      </c>
    </row>
    <row r="23" spans="1:8" ht="52.5" customHeight="1" x14ac:dyDescent="0.15">
      <c r="E23" s="8" t="s">
        <v>80</v>
      </c>
      <c r="F23" s="28" t="s">
        <v>160</v>
      </c>
      <c r="G23" s="66" t="str">
        <f>IF(UNCM0020_B_INFO_KENSU=0,"",ADDRESS(ROW(UNCM0020_B_SENTAKU)+1,COLUMN(UNCM0020_B_SENTAKU))&amp;":"&amp;ADDRESS(ROW(UNCM0020_B_SENTAKU)+1+UNCM0020_B_INFO_KENSU-1,COLUMN(UNCM0020_B_SENTAKU)))</f>
        <v/>
      </c>
    </row>
    <row r="24" spans="1:8" ht="52.5" customHeight="1" x14ac:dyDescent="0.15">
      <c r="E24" s="8" t="s">
        <v>81</v>
      </c>
      <c r="F24" s="28" t="s">
        <v>161</v>
      </c>
      <c r="G24" s="66" t="str">
        <f>IF(UNCM0020_B_INFO_KENSU=0,"",UNCM0020_B_INFO_TENKAI_ICHI&amp;":"&amp;ADDRESS(ROW(UNCM0020_B_SENTAKU)+1+UNCM0020_B_INFO_KENSU-1,COLUMN(UNCM0020_B_INFO_DATETIME)))</f>
        <v/>
      </c>
    </row>
    <row r="25" spans="1:8" ht="52.5" customHeight="1" x14ac:dyDescent="0.15">
      <c r="E25" s="98" t="s">
        <v>250</v>
      </c>
      <c r="F25" s="99" t="s">
        <v>251</v>
      </c>
      <c r="G25" s="100" t="s">
        <v>252</v>
      </c>
    </row>
  </sheetData>
  <sheetProtection sheet="1" objects="1" scenarios="1" selectLockedCells="1"/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BK26"/>
  <sheetViews>
    <sheetView zoomScale="85" zoomScaleNormal="85" zoomScaleSheetLayoutView="85" workbookViewId="0">
      <selection activeCell="AO6" sqref="AO6"/>
    </sheetView>
  </sheetViews>
  <sheetFormatPr defaultRowHeight="13.5" x14ac:dyDescent="0.15"/>
  <cols>
    <col min="3" max="3" width="17.5" style="73" bestFit="1" customWidth="1"/>
    <col min="4" max="4" width="21.5" style="73" customWidth="1"/>
    <col min="5" max="8" width="9" style="73"/>
    <col min="10" max="10" width="21.875" customWidth="1"/>
    <col min="11" max="11" width="30.25" customWidth="1"/>
    <col min="12" max="12" width="15" bestFit="1" customWidth="1"/>
    <col min="14" max="14" width="16.875" bestFit="1" customWidth="1"/>
    <col min="15" max="15" width="15.75" customWidth="1"/>
    <col min="16" max="16" width="9" style="51"/>
    <col min="17" max="17" width="10.625" bestFit="1" customWidth="1"/>
    <col min="18" max="18" width="17.25" style="51" customWidth="1"/>
    <col min="19" max="19" width="17.375" customWidth="1"/>
    <col min="20" max="20" width="10" style="51" bestFit="1" customWidth="1"/>
    <col min="22" max="22" width="3.5" style="51" customWidth="1"/>
    <col min="23" max="25" width="3.5" style="87" customWidth="1"/>
    <col min="26" max="26" width="3.5" style="51" customWidth="1"/>
    <col min="28" max="28" width="12.25" customWidth="1"/>
    <col min="29" max="29" width="15.75" customWidth="1"/>
    <col min="30" max="31" width="3.25" customWidth="1"/>
    <col min="32" max="40" width="6.125" customWidth="1"/>
    <col min="41" max="41" width="6.125" style="113" customWidth="1"/>
    <col min="42" max="46" width="9" style="113"/>
    <col min="49" max="49" width="9" style="87"/>
    <col min="50" max="50" width="14.25" style="87" customWidth="1"/>
    <col min="51" max="52" width="9" style="87"/>
    <col min="53" max="53" width="15.5" style="113" customWidth="1"/>
    <col min="54" max="54" width="15.5" customWidth="1"/>
    <col min="55" max="55" width="15.5" style="113" customWidth="1"/>
    <col min="56" max="61" width="15.5" customWidth="1"/>
  </cols>
  <sheetData>
    <row r="1" spans="2:63" s="51" customFormat="1" x14ac:dyDescent="0.15">
      <c r="C1" s="73"/>
      <c r="D1" s="73"/>
      <c r="E1" s="73"/>
      <c r="F1" s="73"/>
      <c r="G1" s="73"/>
      <c r="H1" s="73"/>
      <c r="W1" s="87"/>
      <c r="X1" s="87"/>
      <c r="Y1" s="87"/>
      <c r="AA1" s="37" t="s">
        <v>70</v>
      </c>
      <c r="AO1" s="113"/>
      <c r="AP1" s="113"/>
      <c r="AQ1" s="113"/>
      <c r="AR1" s="113"/>
      <c r="AS1" s="113"/>
      <c r="AT1" s="113"/>
      <c r="AV1" s="88" t="s">
        <v>275</v>
      </c>
      <c r="AW1" s="88"/>
      <c r="AX1" s="88"/>
      <c r="AY1" s="88"/>
      <c r="AZ1" s="88"/>
      <c r="BA1" s="113"/>
      <c r="BC1" s="113"/>
    </row>
    <row r="2" spans="2:63" ht="16.5" x14ac:dyDescent="0.15">
      <c r="AA2" t="s">
        <v>187</v>
      </c>
      <c r="AB2" s="51"/>
      <c r="AC2" s="51"/>
      <c r="AD2" s="5" t="s">
        <v>45</v>
      </c>
      <c r="AE2" s="5" t="s">
        <v>65</v>
      </c>
      <c r="AF2" s="5" t="s">
        <v>289</v>
      </c>
      <c r="AG2" s="5" t="s">
        <v>137</v>
      </c>
      <c r="AH2" s="5" t="s">
        <v>290</v>
      </c>
      <c r="AI2" s="5" t="s">
        <v>186</v>
      </c>
      <c r="AJ2" s="5" t="s">
        <v>67</v>
      </c>
      <c r="AK2" s="3" t="s">
        <v>20</v>
      </c>
      <c r="AL2" s="3" t="s">
        <v>21</v>
      </c>
      <c r="AM2" s="14" t="s">
        <v>24</v>
      </c>
      <c r="AN2" s="4" t="s">
        <v>5</v>
      </c>
      <c r="AO2"/>
      <c r="AP2"/>
      <c r="AU2" s="113"/>
      <c r="AV2" s="113"/>
      <c r="AW2"/>
      <c r="AX2"/>
      <c r="BA2" s="5" t="s">
        <v>45</v>
      </c>
      <c r="BB2" s="4" t="s">
        <v>276</v>
      </c>
      <c r="BC2" s="4" t="s">
        <v>285</v>
      </c>
      <c r="BD2" s="4" t="s">
        <v>137</v>
      </c>
      <c r="BE2" s="4" t="s">
        <v>287</v>
      </c>
      <c r="BF2" s="4" t="s">
        <v>186</v>
      </c>
      <c r="BG2" s="4" t="s">
        <v>67</v>
      </c>
      <c r="BH2" s="4" t="s">
        <v>20</v>
      </c>
      <c r="BI2" s="4" t="s">
        <v>21</v>
      </c>
      <c r="BJ2" s="4" t="s">
        <v>24</v>
      </c>
      <c r="BK2" s="4" t="s">
        <v>5</v>
      </c>
    </row>
    <row r="3" spans="2:63" ht="54" customHeight="1" x14ac:dyDescent="0.15">
      <c r="AA3" s="51"/>
      <c r="AB3" s="51" t="s">
        <v>188</v>
      </c>
      <c r="AC3" s="48" t="s">
        <v>190</v>
      </c>
      <c r="AD3" s="65"/>
      <c r="AE3" s="65"/>
      <c r="AF3" s="65"/>
      <c r="AG3" s="65"/>
      <c r="AH3" s="65"/>
      <c r="AI3" s="65"/>
      <c r="AJ3" s="65"/>
      <c r="AK3" s="29"/>
      <c r="AL3" s="6"/>
      <c r="AM3" s="29"/>
      <c r="AN3" s="64"/>
      <c r="AO3"/>
      <c r="AP3"/>
      <c r="AU3" s="113"/>
      <c r="AV3" s="113"/>
      <c r="AW3"/>
      <c r="AX3"/>
      <c r="BA3"/>
      <c r="BE3" s="113"/>
    </row>
    <row r="4" spans="2:63" s="51" customFormat="1" ht="21" customHeight="1" x14ac:dyDescent="0.15">
      <c r="C4" s="73"/>
      <c r="D4" s="73"/>
      <c r="E4" s="73"/>
      <c r="F4" s="73"/>
      <c r="G4" s="73"/>
      <c r="H4" s="73"/>
      <c r="W4" s="87"/>
      <c r="X4" s="87"/>
      <c r="Y4" s="87"/>
      <c r="AC4" s="48"/>
      <c r="AD4" s="3" t="s">
        <v>3</v>
      </c>
      <c r="AE4" s="87"/>
      <c r="AO4" s="113"/>
      <c r="AP4" s="113"/>
      <c r="AQ4" s="113"/>
      <c r="AR4" s="113"/>
      <c r="AS4" s="113"/>
      <c r="AT4" s="113"/>
      <c r="AW4" s="87" t="s">
        <v>279</v>
      </c>
      <c r="AX4" s="89" t="s">
        <v>280</v>
      </c>
      <c r="AY4" s="90">
        <v>10</v>
      </c>
      <c r="AZ4" s="87"/>
      <c r="BA4" s="113"/>
      <c r="BC4" s="113"/>
    </row>
    <row r="5" spans="2:63" ht="54" customHeight="1" x14ac:dyDescent="0.15">
      <c r="AA5" s="51"/>
      <c r="AB5" s="51" t="s">
        <v>97</v>
      </c>
      <c r="AC5" s="48" t="s">
        <v>189</v>
      </c>
      <c r="AD5" s="30"/>
      <c r="AE5" s="87"/>
      <c r="AW5" s="87" t="s">
        <v>281</v>
      </c>
      <c r="AX5" s="89" t="s">
        <v>282</v>
      </c>
      <c r="AY5" s="90" t="str">
        <f>ADDRESS(ROW(UNCM0020_IF_EXCEL_FLG)+1,COLUMN(UNCM0020_IF_EXCEL_FLG))</f>
        <v>$BA$3</v>
      </c>
    </row>
    <row r="6" spans="2:63" ht="16.5" x14ac:dyDescent="0.15">
      <c r="Q6" s="51" t="s">
        <v>124</v>
      </c>
      <c r="S6" s="51"/>
      <c r="U6" s="51" t="s">
        <v>125</v>
      </c>
      <c r="AA6" s="51"/>
      <c r="AB6" s="51"/>
      <c r="AC6" s="51"/>
      <c r="AD6" s="4" t="s">
        <v>3</v>
      </c>
      <c r="AE6" s="5" t="s">
        <v>45</v>
      </c>
      <c r="AF6" s="5" t="s">
        <v>65</v>
      </c>
      <c r="AG6" s="5" t="s">
        <v>289</v>
      </c>
      <c r="AH6" s="5" t="s">
        <v>137</v>
      </c>
      <c r="AI6" s="5" t="s">
        <v>290</v>
      </c>
      <c r="AJ6" s="5" t="s">
        <v>186</v>
      </c>
      <c r="AK6" s="5" t="s">
        <v>67</v>
      </c>
      <c r="AL6" s="4" t="s">
        <v>20</v>
      </c>
      <c r="AM6" s="4" t="s">
        <v>4</v>
      </c>
      <c r="AN6" s="4" t="s">
        <v>24</v>
      </c>
      <c r="AO6" s="4" t="s">
        <v>5</v>
      </c>
      <c r="AP6"/>
      <c r="AU6" s="113"/>
      <c r="AV6" s="113"/>
      <c r="AW6" s="113" t="s">
        <v>283</v>
      </c>
      <c r="AX6" s="114" t="s">
        <v>284</v>
      </c>
      <c r="AY6" s="115" t="str">
        <f ca="1">"インフォメーション履歴画面_"&amp;UNCM0020_IF_SAVE_W_USER_ID&amp;"_"&amp;TEXT(NOW(),"YYYYMMDD")</f>
        <v>インフォメーション履歴画面_0_20170710</v>
      </c>
      <c r="BA6"/>
      <c r="BE6" s="113"/>
    </row>
    <row r="7" spans="2:63" ht="16.5" x14ac:dyDescent="0.15">
      <c r="B7" s="81" t="s">
        <v>208</v>
      </c>
      <c r="C7" s="80"/>
      <c r="D7" s="80"/>
      <c r="I7" s="37" t="s">
        <v>102</v>
      </c>
      <c r="J7" s="51"/>
      <c r="K7" s="51"/>
      <c r="N7" s="51" t="s">
        <v>119</v>
      </c>
      <c r="O7" s="48" t="s">
        <v>148</v>
      </c>
      <c r="P7" s="52">
        <f>1+ROW()-ROW(UNCM0020_IF_SAVE_START)</f>
        <v>-1</v>
      </c>
      <c r="Q7" s="52">
        <f>UNCM0020_IF_SAVE_W_USER_ID</f>
        <v>0</v>
      </c>
      <c r="R7" s="52">
        <f>UNCM0020_IF_SAVE_W_SERIAL</f>
        <v>0</v>
      </c>
      <c r="S7" s="52">
        <f ca="1">OFFSET(UNCM0020_B_INFO_NO,1+$P7-1,0)</f>
        <v>0</v>
      </c>
      <c r="T7" s="52">
        <f>UNCM0020_IF_SAVE_W_MODE</f>
        <v>1</v>
      </c>
      <c r="U7" s="52">
        <f ca="1">OFFSET(UNCM0020_B_FLG,1+$P7-1,0)</f>
        <v>0</v>
      </c>
      <c r="AB7" s="87" t="s">
        <v>248</v>
      </c>
      <c r="AC7" s="87" t="s">
        <v>266</v>
      </c>
      <c r="AD7" s="107"/>
      <c r="AE7" s="108"/>
      <c r="AF7" s="108"/>
      <c r="AG7" s="108"/>
      <c r="AH7" s="108"/>
      <c r="AI7" s="108"/>
      <c r="AJ7" s="108"/>
      <c r="AK7" s="108"/>
      <c r="AL7" s="109"/>
      <c r="AM7" s="110"/>
      <c r="AN7" s="109"/>
      <c r="AO7" s="111"/>
      <c r="AP7"/>
      <c r="AU7" s="113"/>
      <c r="AV7" s="113"/>
      <c r="AW7"/>
      <c r="AX7"/>
      <c r="BA7"/>
      <c r="BE7" s="113"/>
    </row>
    <row r="8" spans="2:63" x14ac:dyDescent="0.15">
      <c r="B8" s="80"/>
      <c r="C8" s="82" t="s">
        <v>209</v>
      </c>
      <c r="D8" s="82" t="s">
        <v>234</v>
      </c>
      <c r="E8" s="90"/>
      <c r="F8" s="87" t="s">
        <v>215</v>
      </c>
      <c r="G8" s="87" t="s">
        <v>216</v>
      </c>
      <c r="I8" s="51"/>
      <c r="J8" s="51" t="s">
        <v>99</v>
      </c>
      <c r="K8" s="51"/>
      <c r="N8" s="51"/>
      <c r="O8" s="51"/>
      <c r="P8" s="51" t="s">
        <v>120</v>
      </c>
      <c r="Q8" s="51" t="s">
        <v>51</v>
      </c>
      <c r="R8" s="51" t="s">
        <v>100</v>
      </c>
      <c r="S8" s="51" t="s">
        <v>123</v>
      </c>
      <c r="T8" s="51" t="s">
        <v>101</v>
      </c>
      <c r="U8" s="51" t="s">
        <v>45</v>
      </c>
    </row>
    <row r="9" spans="2:63" x14ac:dyDescent="0.15">
      <c r="I9" s="51"/>
      <c r="J9" s="51" t="s">
        <v>51</v>
      </c>
      <c r="K9" s="51" t="s">
        <v>138</v>
      </c>
      <c r="L9" s="52">
        <v>0</v>
      </c>
      <c r="P9" s="52"/>
      <c r="Q9" s="52"/>
      <c r="S9" s="51"/>
    </row>
    <row r="10" spans="2:63" x14ac:dyDescent="0.15">
      <c r="B10" s="84" t="s">
        <v>210</v>
      </c>
      <c r="C10" s="83"/>
      <c r="D10" s="86"/>
      <c r="I10" s="51"/>
      <c r="J10" s="51" t="s">
        <v>100</v>
      </c>
      <c r="K10" s="51" t="s">
        <v>139</v>
      </c>
      <c r="L10" s="42">
        <v>0</v>
      </c>
    </row>
    <row r="11" spans="2:63" x14ac:dyDescent="0.15">
      <c r="B11" s="83"/>
      <c r="C11" s="83" t="s">
        <v>211</v>
      </c>
      <c r="D11" s="85" t="s">
        <v>218</v>
      </c>
      <c r="E11" s="90"/>
      <c r="I11" s="51"/>
      <c r="J11" s="51" t="s">
        <v>175</v>
      </c>
      <c r="K11" s="51" t="s">
        <v>176</v>
      </c>
      <c r="L11" s="42">
        <f ca="1">NOW()</f>
        <v>42926.739447916669</v>
      </c>
    </row>
    <row r="12" spans="2:63" x14ac:dyDescent="0.15">
      <c r="B12" s="83"/>
      <c r="C12" s="83" t="s">
        <v>212</v>
      </c>
      <c r="D12" s="85" t="s">
        <v>219</v>
      </c>
      <c r="E12" s="90"/>
      <c r="I12" s="51"/>
      <c r="J12" s="51" t="s">
        <v>101</v>
      </c>
      <c r="K12" s="51" t="s">
        <v>140</v>
      </c>
      <c r="L12" s="52">
        <v>1</v>
      </c>
    </row>
    <row r="13" spans="2:63" x14ac:dyDescent="0.15">
      <c r="B13" s="83"/>
      <c r="C13" s="83" t="s">
        <v>213</v>
      </c>
      <c r="D13" s="85" t="s">
        <v>220</v>
      </c>
      <c r="E13" s="90"/>
      <c r="I13" s="51"/>
      <c r="J13" s="51"/>
      <c r="K13" s="51"/>
    </row>
    <row r="14" spans="2:63" x14ac:dyDescent="0.15">
      <c r="B14" s="83"/>
      <c r="C14" s="83"/>
      <c r="D14" s="83"/>
      <c r="I14" s="51"/>
      <c r="J14" s="51" t="s">
        <v>103</v>
      </c>
      <c r="K14" s="51"/>
    </row>
    <row r="15" spans="2:63" x14ac:dyDescent="0.15">
      <c r="B15" s="83"/>
      <c r="C15" s="83" t="s">
        <v>214</v>
      </c>
      <c r="D15" s="85" t="s">
        <v>221</v>
      </c>
      <c r="E15" s="90"/>
      <c r="I15" s="51"/>
      <c r="J15" s="51" t="s">
        <v>104</v>
      </c>
      <c r="K15" s="48" t="s">
        <v>141</v>
      </c>
      <c r="L15" s="52" t="str">
        <f>IF(UNCM0020_B_INFO_KENSU=0,"",
"UNCM0020_IF!"&amp;ADDRESS(ROW(UNCM0020_IF_SAVE_COPY_START),COLUMN(UNCM0020_IF_SAVE_COPY_START))&amp;":"&amp;ADDRESS(ROW(UNCM0020_IF_SAVE_COPY_START)+UNCM0020_B_INFO_KENSU-1,COLUMN(UNCM0020_IF_SAVE_COPY_START)+COLUMNS(UNCM0020_IF_SAVE_COPY_MOTO)-1))</f>
        <v/>
      </c>
    </row>
    <row r="16" spans="2:63" x14ac:dyDescent="0.15">
      <c r="I16" s="51"/>
      <c r="J16" s="51" t="s">
        <v>133</v>
      </c>
      <c r="K16" s="48" t="s">
        <v>142</v>
      </c>
      <c r="L16" s="52">
        <f>UNCM0020_B_INFO_KENSU</f>
        <v>0</v>
      </c>
    </row>
    <row r="17" spans="2:13" x14ac:dyDescent="0.15">
      <c r="B17" s="88" t="s">
        <v>217</v>
      </c>
      <c r="C17" s="87"/>
      <c r="D17" s="89"/>
      <c r="F17" s="87" t="s">
        <v>222</v>
      </c>
      <c r="G17" s="87" t="s">
        <v>223</v>
      </c>
      <c r="I17" s="51"/>
      <c r="J17" s="51"/>
      <c r="K17" s="51"/>
    </row>
    <row r="18" spans="2:13" x14ac:dyDescent="0.15">
      <c r="B18" s="87"/>
      <c r="C18" s="87" t="s">
        <v>13</v>
      </c>
      <c r="D18" s="89" t="s">
        <v>226</v>
      </c>
      <c r="E18" s="90">
        <f>IF(UNCM0020_B_PAGE_NO&gt;=2,1,2)</f>
        <v>2</v>
      </c>
      <c r="F18" s="87" t="s">
        <v>224</v>
      </c>
      <c r="G18" s="87"/>
      <c r="I18" s="51"/>
      <c r="J18" s="51" t="s">
        <v>105</v>
      </c>
      <c r="K18" s="48"/>
    </row>
    <row r="19" spans="2:13" x14ac:dyDescent="0.15">
      <c r="B19" s="87"/>
      <c r="C19" s="87" t="s">
        <v>22</v>
      </c>
      <c r="D19" s="89" t="s">
        <v>227</v>
      </c>
      <c r="E19" s="90">
        <f>IF(UNCM0020_B_ALL_PEGE_SU&gt;UNCM0020_B_PAGE_NO,1,2)</f>
        <v>2</v>
      </c>
      <c r="F19" s="87" t="s">
        <v>225</v>
      </c>
      <c r="G19" s="87"/>
      <c r="I19" s="51"/>
      <c r="J19" s="87" t="s">
        <v>241</v>
      </c>
      <c r="K19" s="89" t="s">
        <v>242</v>
      </c>
      <c r="L19" s="90"/>
      <c r="M19" s="87"/>
    </row>
    <row r="20" spans="2:13" x14ac:dyDescent="0.15">
      <c r="I20" s="51"/>
      <c r="J20" s="51" t="s">
        <v>127</v>
      </c>
      <c r="K20" s="48" t="s">
        <v>143</v>
      </c>
      <c r="L20" s="52">
        <f>IF(UNCM0020_IF_SAVE_COUNT&gt;0,1,0)</f>
        <v>0</v>
      </c>
    </row>
    <row r="21" spans="2:13" x14ac:dyDescent="0.15">
      <c r="I21" s="51"/>
      <c r="J21" s="51"/>
      <c r="K21" s="51"/>
    </row>
    <row r="22" spans="2:13" x14ac:dyDescent="0.15">
      <c r="I22" s="51"/>
      <c r="J22" s="51" t="s">
        <v>106</v>
      </c>
      <c r="K22" s="51"/>
    </row>
    <row r="23" spans="2:13" x14ac:dyDescent="0.15">
      <c r="I23" s="51"/>
      <c r="J23" s="51" t="s">
        <v>107</v>
      </c>
      <c r="K23" s="48" t="s">
        <v>144</v>
      </c>
      <c r="L23" s="52"/>
    </row>
    <row r="24" spans="2:13" x14ac:dyDescent="0.15">
      <c r="I24" s="51"/>
      <c r="J24" s="51" t="s">
        <v>108</v>
      </c>
      <c r="K24" s="48" t="s">
        <v>145</v>
      </c>
      <c r="L24" s="52"/>
    </row>
    <row r="25" spans="2:13" x14ac:dyDescent="0.15">
      <c r="I25" s="51"/>
      <c r="J25" s="51" t="s">
        <v>109</v>
      </c>
      <c r="K25" s="48" t="s">
        <v>146</v>
      </c>
      <c r="L25" s="52">
        <f>IF(UNCM0010_IF_SAVE_RESULT_CD=0,2,1)</f>
        <v>2</v>
      </c>
      <c r="M25" s="87" t="s">
        <v>130</v>
      </c>
    </row>
    <row r="26" spans="2:13" x14ac:dyDescent="0.15">
      <c r="I26" s="51"/>
      <c r="J26" s="51" t="s">
        <v>110</v>
      </c>
      <c r="K26" s="48" t="s">
        <v>147</v>
      </c>
      <c r="L26" s="52" t="s">
        <v>131</v>
      </c>
    </row>
  </sheetData>
  <phoneticPr fontId="1"/>
  <conditionalFormatting sqref="AL3">
    <cfRule type="expression" dxfId="0" priority="1">
      <formula>AH3=TRUE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Check Box 1">
              <controlPr defaultSize="0" autoFill="0" autoLine="0" autoPict="0" macro="[0]!M_UNCM0020_CLICK_CHECKBOX">
                <anchor moveWithCells="1">
                  <from>
                    <xdr:col>29</xdr:col>
                    <xdr:colOff>19050</xdr:colOff>
                    <xdr:row>4</xdr:row>
                    <xdr:rowOff>228600</xdr:rowOff>
                  </from>
                  <to>
                    <xdr:col>29</xdr:col>
                    <xdr:colOff>209550</xdr:colOff>
                    <xdr:row>4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D1:H38"/>
  <sheetViews>
    <sheetView topLeftCell="A19" workbookViewId="0">
      <selection activeCell="F36" sqref="F36"/>
    </sheetView>
  </sheetViews>
  <sheetFormatPr defaultRowHeight="13.5" x14ac:dyDescent="0.15"/>
  <cols>
    <col min="1" max="3" width="9" style="63"/>
    <col min="4" max="4" width="35" style="63" bestFit="1" customWidth="1"/>
    <col min="5" max="5" width="35" style="63" customWidth="1"/>
    <col min="6" max="6" width="18.375" style="63" bestFit="1" customWidth="1"/>
    <col min="7" max="7" width="50.5" style="63" customWidth="1"/>
    <col min="8" max="8" width="21.625" style="63" bestFit="1" customWidth="1"/>
    <col min="9" max="16384" width="9" style="63"/>
  </cols>
  <sheetData>
    <row r="1" spans="4:7" s="77" customFormat="1" ht="16.5" x14ac:dyDescent="0.15">
      <c r="D1" s="103" t="s">
        <v>149</v>
      </c>
      <c r="E1" s="94" t="s">
        <v>268</v>
      </c>
      <c r="F1" s="112"/>
    </row>
    <row r="2" spans="4:7" s="77" customFormat="1" ht="16.5" x14ac:dyDescent="0.15">
      <c r="D2" s="103" t="s">
        <v>150</v>
      </c>
      <c r="E2" s="94" t="s">
        <v>269</v>
      </c>
      <c r="F2" s="112"/>
    </row>
    <row r="3" spans="4:7" s="77" customFormat="1" ht="16.5" x14ac:dyDescent="0.15">
      <c r="D3" s="103" t="s">
        <v>151</v>
      </c>
      <c r="E3" s="94" t="s">
        <v>270</v>
      </c>
      <c r="F3" s="112"/>
    </row>
    <row r="4" spans="4:7" s="77" customFormat="1" ht="16.5" x14ac:dyDescent="0.15">
      <c r="D4" s="103" t="s">
        <v>155</v>
      </c>
      <c r="E4" s="94" t="s">
        <v>271</v>
      </c>
      <c r="F4" s="112"/>
    </row>
    <row r="5" spans="4:7" s="77" customFormat="1" ht="16.5" x14ac:dyDescent="0.15">
      <c r="D5" s="103" t="s">
        <v>244</v>
      </c>
      <c r="E5" s="94" t="s">
        <v>272</v>
      </c>
      <c r="F5" s="118"/>
    </row>
    <row r="6" spans="4:7" s="77" customFormat="1" ht="16.5" x14ac:dyDescent="0.15">
      <c r="D6" s="103" t="s">
        <v>245</v>
      </c>
      <c r="E6" s="94" t="s">
        <v>273</v>
      </c>
      <c r="F6" s="118"/>
    </row>
    <row r="7" spans="4:7" s="77" customFormat="1" x14ac:dyDescent="0.15"/>
    <row r="9" spans="4:7" x14ac:dyDescent="0.15">
      <c r="D9" s="31"/>
      <c r="E9" s="32"/>
    </row>
    <row r="10" spans="4:7" x14ac:dyDescent="0.15">
      <c r="D10" s="70" t="s">
        <v>171</v>
      </c>
      <c r="E10" s="31" t="s">
        <v>172</v>
      </c>
      <c r="F10" s="134" t="str">
        <f>F14&amp;F18&amp;F19&amp;F20&amp;F24&amp;F27&amp;UNCM0020_SQL_SORT&amp;F30</f>
        <v xml:space="preserve">SELECT *
  FROM V_INFO_R
 WHERE 1 = 1
   AND V_INFO_R.NT_TANTO_CD = '0'
   AND (
       1! = 1
       )
 ORDER BY V_INFO_R.INFO_NO DESC
  OFFSET 0*50 ROWS
 FETCH NEXT 50 ROWS ONLY
</v>
      </c>
      <c r="G10" s="134"/>
    </row>
    <row r="11" spans="4:7" s="77" customFormat="1" x14ac:dyDescent="0.15">
      <c r="D11" s="78" t="s">
        <v>204</v>
      </c>
      <c r="E11" s="75" t="s">
        <v>205</v>
      </c>
      <c r="F11" s="134" t="str">
        <f>F15&amp;F18&amp;F19&amp;F20&amp;F24&amp;F27</f>
        <v xml:space="preserve">SELECT COUNT(*) AS CNT
  FROM V_INFO_R
 WHERE 1 = 1
   AND V_INFO_R.NT_TANTO_CD = '0'
   AND (
       1! = 1
       )
</v>
      </c>
      <c r="G11" s="134"/>
    </row>
    <row r="12" spans="4:7" s="77" customFormat="1" x14ac:dyDescent="0.15">
      <c r="D12" s="92" t="s">
        <v>235</v>
      </c>
      <c r="E12" s="75" t="s">
        <v>236</v>
      </c>
      <c r="F12" s="134" t="str">
        <f>F16&amp;F18&amp;F17&amp;F20&amp;F24&amp;F27&amp;UNCM0020_SQL_SORT&amp;F30</f>
        <v xml:space="preserve">SELECT W_INFO_R.W_USER_ID
      ,W_INFO_R.W_SERIAL
      ,W_INFO_R.INFO_NO
      ,W_INFO_R.W_MODE
      ,W_INFO_R.SELECT_FLG
      ,W_INFO_R.DBS_STATUS
      ,W_INFO_R.DBS_CREATE_USER
      ,W_INFO_R.DBS_CREATE_DATE
      ,W_INFO_R.DBS_UPDATE_USER
      ,W_INFO_R.DBS_UPDATE_DATE
  FROM W_INFO_R
  LEFT JOIN
       V_INFO_R
    ON V_INFO_R.INFO_NO = W_INFO_R.INFO_NO
 WHERE 1 = 1
   AND W_INFO_R.W_USER_ID = '0'
   AND W_INFO_R.W_SERIAL = '0'
   AND (
       1! = 1
       )
 ORDER BY V_INFO_R.INFO_NO DESC
  OFFSET 0*50 ROWS
 FETCH NEXT 50 ROWS ONLY
</v>
      </c>
      <c r="G12" s="134"/>
    </row>
    <row r="13" spans="4:7" s="77" customFormat="1" x14ac:dyDescent="0.15">
      <c r="D13" s="92" t="s">
        <v>277</v>
      </c>
      <c r="E13" s="75" t="s">
        <v>278</v>
      </c>
      <c r="F13" s="140" t="str">
        <f>F14&amp;F18&amp;F19&amp;F20&amp;F24&amp;F27&amp;UNCM0020_SQL_SORT</f>
        <v xml:space="preserve">SELECT *
  FROM V_INFO_R
 WHERE 1 = 1
   AND V_INFO_R.NT_TANTO_CD = '0'
   AND (
       1! = 1
       )
 ORDER BY V_INFO_R.INFO_NO DESC
</v>
      </c>
      <c r="G13" s="140"/>
    </row>
    <row r="14" spans="4:7" x14ac:dyDescent="0.15">
      <c r="D14" s="31"/>
      <c r="E14" s="32" t="s">
        <v>48</v>
      </c>
      <c r="F14" s="138" t="s">
        <v>174</v>
      </c>
      <c r="G14" s="138"/>
    </row>
    <row r="15" spans="4:7" s="77" customFormat="1" x14ac:dyDescent="0.15">
      <c r="D15" s="75"/>
      <c r="E15" s="32" t="s">
        <v>206</v>
      </c>
      <c r="F15" s="138" t="s">
        <v>207</v>
      </c>
      <c r="G15" s="138"/>
    </row>
    <row r="16" spans="4:7" s="77" customFormat="1" x14ac:dyDescent="0.15">
      <c r="D16" s="75"/>
      <c r="E16" s="32" t="s">
        <v>237</v>
      </c>
      <c r="F16" s="136" t="s">
        <v>274</v>
      </c>
      <c r="G16" s="136"/>
    </row>
    <row r="17" spans="4:8" s="77" customFormat="1" x14ac:dyDescent="0.15">
      <c r="D17" s="75"/>
      <c r="E17" s="32" t="s">
        <v>238</v>
      </c>
      <c r="F17" s="137" t="str">
        <f>"   AND W_INFO_R.W_USER_ID = '"&amp;UNCM0020_IF_SAVE_W_USER_ID&amp;"'
   AND W_INFO_R.W_SERIAL = '"&amp;UNCM0020_IF_SAVE_W_SERIAL&amp;"'
"</f>
        <v xml:space="preserve">   AND W_INFO_R.W_USER_ID = '0'
   AND W_INFO_R.W_SERIAL = '0'
</v>
      </c>
      <c r="G17" s="137"/>
    </row>
    <row r="18" spans="4:8" x14ac:dyDescent="0.15">
      <c r="D18" s="31"/>
      <c r="E18" s="32" t="s">
        <v>173</v>
      </c>
      <c r="F18" s="138" t="s">
        <v>181</v>
      </c>
      <c r="G18" s="135"/>
    </row>
    <row r="19" spans="4:8" s="77" customFormat="1" x14ac:dyDescent="0.15">
      <c r="D19" s="75"/>
      <c r="E19" s="32" t="s">
        <v>267</v>
      </c>
      <c r="F19" s="139" t="str">
        <f>"   AND V_INFO_R.NT_TANTO_CD = '"&amp;UNCM0020_IF_SAVE_W_USER_ID&amp;"'
"</f>
        <v xml:space="preserve">   AND V_INFO_R.NT_TANTO_CD = '0'
</v>
      </c>
      <c r="G19" s="139"/>
    </row>
    <row r="20" spans="4:8" x14ac:dyDescent="0.15">
      <c r="E20" s="32" t="s">
        <v>177</v>
      </c>
      <c r="F20" s="135" t="str">
        <f>"   AND (
       1! = 1
"&amp;G21&amp;G22&amp;G23&amp;"
       )
"</f>
        <v xml:space="preserve">   AND (
       1! = 1
       )
</v>
      </c>
      <c r="G20" s="135"/>
    </row>
    <row r="21" spans="4:8" x14ac:dyDescent="0.15">
      <c r="D21" s="31"/>
      <c r="E21" s="32" t="s">
        <v>178</v>
      </c>
      <c r="G21" s="79" t="str">
        <f>IF(UNCM0020_SQL_JUCHU_KBN=TRUE,"       OR V_INFO_R.INFO_KBN = 1
",
"")</f>
        <v/>
      </c>
    </row>
    <row r="22" spans="4:8" x14ac:dyDescent="0.15">
      <c r="D22" s="31"/>
      <c r="E22" s="32" t="s">
        <v>179</v>
      </c>
      <c r="G22" s="79" t="str">
        <f>IF(UNCM0020_SQL_KOBAI_KBN=TRUE,"       OR V_INFO_R.INFO_KBN = 2
",
"")</f>
        <v/>
      </c>
    </row>
    <row r="23" spans="4:8" x14ac:dyDescent="0.15">
      <c r="D23" s="31"/>
      <c r="E23" s="32" t="s">
        <v>180</v>
      </c>
      <c r="G23" s="79" t="str">
        <f>IF(UNCM0020_SQL_MASTER_KBN=TRUE,"       OR V_INFO_R.INFO_KBN = 3
",
"")</f>
        <v/>
      </c>
    </row>
    <row r="24" spans="4:8" x14ac:dyDescent="0.15">
      <c r="D24" s="31"/>
      <c r="E24" s="32" t="s">
        <v>182</v>
      </c>
      <c r="F24" s="135" t="str">
        <f>G25&amp;G26</f>
        <v/>
      </c>
      <c r="G24" s="135"/>
    </row>
    <row r="25" spans="4:8" x14ac:dyDescent="0.15">
      <c r="D25" s="31"/>
      <c r="E25" s="32" t="s">
        <v>184</v>
      </c>
      <c r="G25" s="79" t="str">
        <f>IF(UNCM0020_SQL_INFO_DATETIME_START=0,"",
"   AND V_INFO_R.TUCHI_DATE_TIME &gt;= '"&amp;TEXT(UNCM0020_SQL_INFO_DATETIME_START,"yyyy/mm/dd hh:mm:ss")&amp;"'
")</f>
        <v/>
      </c>
      <c r="H25" s="69"/>
    </row>
    <row r="26" spans="4:8" x14ac:dyDescent="0.15">
      <c r="D26" s="31"/>
      <c r="E26" s="32" t="s">
        <v>183</v>
      </c>
      <c r="G26" s="79" t="str">
        <f>IF(UNCM0020_SQL_INFO_DATETIME_END=0,"",
"   AND V_INFO_R.TUCHI_DATE_TIME &lt;= '"&amp;TEXT(UNCM0020_SQL_INFO_DATETIME_END,"yyyy/mm/dd hh:mm:ss")&amp;"'
")</f>
        <v/>
      </c>
      <c r="H26" s="69"/>
    </row>
    <row r="27" spans="4:8" x14ac:dyDescent="0.15">
      <c r="D27" s="31"/>
      <c r="E27" s="32" t="s">
        <v>185</v>
      </c>
      <c r="F27" s="135" t="str">
        <f>IF(UNCM0020_SQL_TANTOSHA_CD=0,"",
"   AND V_INFO_R.OP_TANTO_CD     =  '"&amp;UNCM0020_SQL_TANTOSHA_CD&amp;"'
")</f>
        <v/>
      </c>
      <c r="G27" s="135"/>
    </row>
    <row r="29" spans="4:8" x14ac:dyDescent="0.15">
      <c r="D29" s="78" t="s">
        <v>23</v>
      </c>
      <c r="E29" s="72" t="s">
        <v>193</v>
      </c>
      <c r="F29" s="133" t="s">
        <v>197</v>
      </c>
      <c r="G29" s="134"/>
    </row>
    <row r="30" spans="4:8" s="77" customFormat="1" x14ac:dyDescent="0.15">
      <c r="D30" s="96" t="s">
        <v>196</v>
      </c>
      <c r="E30" s="75"/>
      <c r="F30" s="134" t="str">
        <f xml:space="preserve"> "  OFFSET "&amp;H30&amp;"*"&amp;UNCM0020_B_CTRL_HYOJI_GYO_SU&amp;" ROWS
 FETCH NEXT "&amp;UNCM0020_B_CTRL_HYOJI_GYO_SU&amp;" ROWS ONLY
"</f>
        <v xml:space="preserve">  OFFSET 0*50 ROWS
 FETCH NEXT 50 ROWS ONLY
</v>
      </c>
      <c r="G30" s="134"/>
      <c r="H30" s="112">
        <f>UNCM0020_B_PAGE_NO-1</f>
        <v>0</v>
      </c>
    </row>
    <row r="33" spans="4:7" x14ac:dyDescent="0.15">
      <c r="D33" s="70" t="s">
        <v>192</v>
      </c>
      <c r="E33" s="71" t="s">
        <v>194</v>
      </c>
      <c r="F33" s="133" t="s">
        <v>195</v>
      </c>
      <c r="G33" s="134"/>
    </row>
    <row r="35" spans="4:7" x14ac:dyDescent="0.15">
      <c r="D35" s="92" t="s">
        <v>232</v>
      </c>
      <c r="E35" s="95" t="s">
        <v>233</v>
      </c>
      <c r="F35" s="133" t="s">
        <v>294</v>
      </c>
      <c r="G35" s="133"/>
    </row>
    <row r="38" spans="4:7" x14ac:dyDescent="0.15">
      <c r="D38" s="92" t="s">
        <v>239</v>
      </c>
      <c r="E38" s="95" t="s">
        <v>240</v>
      </c>
      <c r="F38" s="133" t="str">
        <f>"SELECT COUNT(*) AS CNT
  FROM W_INFO_R
 WHERE W_INFO_R.W_USER_ID = '"&amp;UNCM0020_IF_SAVE_W_USER_ID&amp;"'
   AND W_INFO_R.W_SERIAL  = '"&amp;UNCM0020_IF_SAVE_W_SERIAL&amp;"'
   AND W_INFO_R.SELECT_FLG = 'True'
"</f>
        <v xml:space="preserve">SELECT COUNT(*) AS CNT
  FROM W_INFO_R
 WHERE W_INFO_R.W_USER_ID = '0'
   AND W_INFO_R.W_SERIAL  = '0'
   AND W_INFO_R.SELECT_FLG = 'True'
</v>
      </c>
      <c r="G38" s="133"/>
    </row>
  </sheetData>
  <mergeCells count="18">
    <mergeCell ref="F10:G10"/>
    <mergeCell ref="F24:G24"/>
    <mergeCell ref="F27:G27"/>
    <mergeCell ref="F16:G16"/>
    <mergeCell ref="F12:G12"/>
    <mergeCell ref="F17:G17"/>
    <mergeCell ref="F11:G11"/>
    <mergeCell ref="F15:G15"/>
    <mergeCell ref="F14:G14"/>
    <mergeCell ref="F18:G18"/>
    <mergeCell ref="F20:G20"/>
    <mergeCell ref="F19:G19"/>
    <mergeCell ref="F13:G13"/>
    <mergeCell ref="F38:G38"/>
    <mergeCell ref="F35:G35"/>
    <mergeCell ref="F29:G29"/>
    <mergeCell ref="F33:G33"/>
    <mergeCell ref="F30:G30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B0F0"/>
  </sheetPr>
  <dimension ref="A2:D4"/>
  <sheetViews>
    <sheetView workbookViewId="0">
      <selection activeCell="C19" sqref="C19"/>
    </sheetView>
  </sheetViews>
  <sheetFormatPr defaultRowHeight="13.5" x14ac:dyDescent="0.15"/>
  <cols>
    <col min="2" max="2" width="21" bestFit="1" customWidth="1"/>
    <col min="3" max="3" width="26.875" customWidth="1"/>
    <col min="4" max="4" width="47" customWidth="1"/>
  </cols>
  <sheetData>
    <row r="2" spans="1:4" x14ac:dyDescent="0.15">
      <c r="A2" s="74" t="s">
        <v>198</v>
      </c>
      <c r="B2" s="77"/>
      <c r="C2" s="77"/>
    </row>
    <row r="3" spans="1:4" ht="40.5" x14ac:dyDescent="0.15">
      <c r="A3" s="77"/>
      <c r="B3" s="78" t="s">
        <v>199</v>
      </c>
      <c r="C3" s="75" t="s">
        <v>202</v>
      </c>
      <c r="D3" s="76" t="s">
        <v>201</v>
      </c>
    </row>
    <row r="4" spans="1:4" ht="175.5" x14ac:dyDescent="0.15">
      <c r="A4" s="77"/>
      <c r="B4" s="78" t="s">
        <v>200</v>
      </c>
      <c r="C4" s="75" t="s">
        <v>203</v>
      </c>
      <c r="D4" s="76" t="s">
        <v>291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 macro="[0]!TestLock">
                <anchor moveWithCells="1">
                  <from>
                    <xdr:col>5</xdr:col>
                    <xdr:colOff>9525</xdr:colOff>
                    <xdr:row>2</xdr:row>
                    <xdr:rowOff>19050</xdr:rowOff>
                  </from>
                  <to>
                    <xdr:col>6</xdr:col>
                    <xdr:colOff>228600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 macro="[0]!TestUnlock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7</xdr:col>
                    <xdr:colOff>561975</xdr:colOff>
                    <xdr:row>2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2"/>
  <sheetViews>
    <sheetView workbookViewId="0">
      <selection activeCell="J20" sqref="J20"/>
    </sheetView>
  </sheetViews>
  <sheetFormatPr defaultRowHeight="13.5" x14ac:dyDescent="0.15"/>
  <cols>
    <col min="1" max="1" width="3.25" customWidth="1"/>
    <col min="2" max="2" width="13.125" bestFit="1" customWidth="1"/>
    <col min="3" max="3" width="5.125" customWidth="1"/>
    <col min="4" max="4" width="15.5" customWidth="1"/>
    <col min="5" max="5" width="7.25" bestFit="1" customWidth="1"/>
  </cols>
  <sheetData>
    <row r="1" spans="1:5" x14ac:dyDescent="0.15">
      <c r="A1" s="113"/>
      <c r="B1" s="113"/>
      <c r="C1" s="113"/>
      <c r="D1" s="113"/>
      <c r="E1" s="113"/>
    </row>
    <row r="2" spans="1:5" x14ac:dyDescent="0.15">
      <c r="A2" s="113"/>
      <c r="B2" s="113"/>
      <c r="C2" s="113"/>
      <c r="D2" s="113"/>
      <c r="E2" s="113"/>
    </row>
    <row r="3" spans="1:5" x14ac:dyDescent="0.15">
      <c r="A3" s="113"/>
      <c r="B3" s="113"/>
      <c r="C3" s="113"/>
      <c r="D3" s="113"/>
      <c r="E3" s="113"/>
    </row>
    <row r="4" spans="1:5" x14ac:dyDescent="0.15">
      <c r="A4" s="113"/>
      <c r="B4" s="113"/>
      <c r="C4" s="113"/>
      <c r="D4" s="113"/>
      <c r="E4" s="113"/>
    </row>
    <row r="5" spans="1:5" x14ac:dyDescent="0.15">
      <c r="A5" s="113"/>
      <c r="B5" s="113"/>
      <c r="C5" s="113"/>
      <c r="D5" s="113"/>
      <c r="E5" s="113"/>
    </row>
    <row r="6" spans="1:5" x14ac:dyDescent="0.15">
      <c r="A6" s="113"/>
      <c r="B6" s="113"/>
      <c r="C6" s="113"/>
      <c r="D6" s="113"/>
      <c r="E6" s="113"/>
    </row>
    <row r="7" spans="1:5" x14ac:dyDescent="0.15">
      <c r="A7" s="113"/>
      <c r="B7" s="113"/>
      <c r="C7" s="113"/>
      <c r="D7" s="113"/>
      <c r="E7" s="113"/>
    </row>
    <row r="8" spans="1:5" x14ac:dyDescent="0.15">
      <c r="A8" s="113"/>
      <c r="B8" s="113"/>
      <c r="C8" s="113"/>
      <c r="D8" s="113"/>
      <c r="E8" s="113"/>
    </row>
    <row r="9" spans="1:5" x14ac:dyDescent="0.15">
      <c r="A9" s="113"/>
      <c r="B9" s="113"/>
      <c r="C9" s="113"/>
      <c r="D9" s="113"/>
      <c r="E9" s="113"/>
    </row>
    <row r="10" spans="1:5" x14ac:dyDescent="0.15">
      <c r="A10" s="113"/>
      <c r="B10" s="113"/>
      <c r="C10" s="113"/>
      <c r="D10" s="113"/>
      <c r="E10" s="113"/>
    </row>
    <row r="11" spans="1:5" x14ac:dyDescent="0.15">
      <c r="A11" s="113"/>
      <c r="B11" s="113"/>
      <c r="C11" s="113"/>
      <c r="D11" s="113"/>
      <c r="E11" s="113"/>
    </row>
    <row r="12" spans="1:5" x14ac:dyDescent="0.15">
      <c r="A12" s="113"/>
      <c r="B12" s="113"/>
      <c r="C12" s="113"/>
      <c r="D12" s="113"/>
      <c r="E12" s="113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12"/>
  <sheetViews>
    <sheetView workbookViewId="0">
      <selection activeCell="F32" sqref="F32"/>
    </sheetView>
  </sheetViews>
  <sheetFormatPr defaultRowHeight="13.5" x14ac:dyDescent="0.15"/>
  <cols>
    <col min="1" max="8" width="15.5" customWidth="1"/>
  </cols>
  <sheetData>
    <row r="1" spans="1:9" x14ac:dyDescent="0.15">
      <c r="A1" s="113"/>
      <c r="B1" s="113"/>
      <c r="C1" s="113"/>
      <c r="D1" s="113"/>
      <c r="E1" s="113"/>
      <c r="F1" s="113"/>
      <c r="G1" s="113"/>
      <c r="H1" s="113"/>
      <c r="I1" s="113"/>
    </row>
    <row r="2" spans="1:9" x14ac:dyDescent="0.15">
      <c r="A2" s="113"/>
      <c r="B2" s="113"/>
      <c r="C2" s="113"/>
      <c r="D2" s="113"/>
      <c r="E2" s="113"/>
      <c r="F2" s="113"/>
      <c r="G2" s="113"/>
      <c r="H2" s="113"/>
      <c r="I2" s="113"/>
    </row>
    <row r="3" spans="1:9" x14ac:dyDescent="0.15">
      <c r="A3" s="113"/>
      <c r="B3" s="113"/>
      <c r="C3" s="113"/>
      <c r="D3" s="113"/>
      <c r="E3" s="113"/>
      <c r="F3" s="113"/>
      <c r="G3" s="113"/>
      <c r="H3" s="113"/>
      <c r="I3" s="113"/>
    </row>
    <row r="4" spans="1:9" x14ac:dyDescent="0.15">
      <c r="A4" s="113"/>
      <c r="B4" s="113"/>
      <c r="C4" s="113"/>
      <c r="D4" s="113"/>
      <c r="E4" s="113"/>
      <c r="F4" s="113"/>
      <c r="G4" s="113"/>
      <c r="H4" s="113"/>
      <c r="I4" s="113"/>
    </row>
    <row r="5" spans="1:9" x14ac:dyDescent="0.15">
      <c r="A5" s="113"/>
      <c r="B5" s="113"/>
      <c r="C5" s="113"/>
      <c r="D5" s="113"/>
      <c r="E5" s="113"/>
      <c r="F5" s="113"/>
      <c r="G5" s="113"/>
      <c r="H5" s="113"/>
      <c r="I5" s="113"/>
    </row>
    <row r="6" spans="1:9" x14ac:dyDescent="0.15">
      <c r="A6" s="113"/>
      <c r="B6" s="113"/>
      <c r="C6" s="113"/>
      <c r="D6" s="113"/>
      <c r="E6" s="113"/>
      <c r="F6" s="113"/>
      <c r="G6" s="113"/>
      <c r="H6" s="113"/>
      <c r="I6" s="113"/>
    </row>
    <row r="7" spans="1:9" x14ac:dyDescent="0.15">
      <c r="A7" s="113"/>
      <c r="B7" s="113"/>
      <c r="C7" s="113"/>
      <c r="D7" s="113"/>
      <c r="E7" s="113"/>
      <c r="F7" s="113"/>
      <c r="G7" s="113"/>
      <c r="H7" s="113"/>
      <c r="I7" s="113"/>
    </row>
    <row r="8" spans="1:9" x14ac:dyDescent="0.15">
      <c r="A8" s="113"/>
      <c r="B8" s="113"/>
      <c r="C8" s="113"/>
      <c r="D8" s="113"/>
      <c r="E8" s="113"/>
      <c r="F8" s="113"/>
      <c r="G8" s="113"/>
      <c r="H8" s="113"/>
      <c r="I8" s="113"/>
    </row>
    <row r="9" spans="1:9" x14ac:dyDescent="0.15">
      <c r="A9" s="113"/>
      <c r="B9" s="113"/>
      <c r="C9" s="113"/>
      <c r="D9" s="113"/>
      <c r="E9" s="113"/>
      <c r="F9" s="113"/>
      <c r="G9" s="113"/>
      <c r="H9" s="113"/>
      <c r="I9" s="113"/>
    </row>
    <row r="10" spans="1:9" x14ac:dyDescent="0.15">
      <c r="A10" s="113"/>
      <c r="B10" s="113"/>
      <c r="C10" s="113"/>
      <c r="D10" s="113"/>
      <c r="E10" s="113"/>
      <c r="F10" s="113"/>
      <c r="G10" s="113"/>
      <c r="H10" s="113"/>
      <c r="I10" s="113"/>
    </row>
    <row r="11" spans="1:9" x14ac:dyDescent="0.15">
      <c r="A11" s="113"/>
      <c r="B11" s="113"/>
      <c r="C11" s="113"/>
      <c r="D11" s="113"/>
      <c r="E11" s="113"/>
      <c r="F11" s="113"/>
      <c r="G11" s="113"/>
      <c r="H11" s="113"/>
      <c r="I11" s="113"/>
    </row>
    <row r="12" spans="1:9" x14ac:dyDescent="0.15">
      <c r="A12" s="113"/>
      <c r="B12" s="113"/>
      <c r="C12" s="113"/>
      <c r="D12" s="113"/>
      <c r="E12" s="113"/>
      <c r="F12" s="113"/>
      <c r="G12" s="113"/>
      <c r="H12" s="113"/>
      <c r="I12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165</vt:i4>
      </vt:variant>
    </vt:vector>
  </HeadingPairs>
  <TitlesOfParts>
    <vt:vector size="177" baseType="lpstr">
      <vt:lpstr>UNCM0010_H</vt:lpstr>
      <vt:lpstr>UNCM0010_B</vt:lpstr>
      <vt:lpstr>UNCM0010_IF</vt:lpstr>
      <vt:lpstr>UNCM0010_SQL</vt:lpstr>
      <vt:lpstr>UNCM0010_CALENDAR</vt:lpstr>
      <vt:lpstr>UNCM0020_H</vt:lpstr>
      <vt:lpstr>UNCM0020_B</vt:lpstr>
      <vt:lpstr>UNCM0020_IF</vt:lpstr>
      <vt:lpstr>UNCM0020_SQL</vt:lpstr>
      <vt:lpstr>UNCM_COMMON_SQL</vt:lpstr>
      <vt:lpstr>Excel_Save_H</vt:lpstr>
      <vt:lpstr>Excel_Save_B</vt:lpstr>
      <vt:lpstr>UNCM0020_H!Print_Area</vt:lpstr>
      <vt:lpstr>UNCM_COMMON_SQL_SELECT_CTRL_HYOJI_GYO_SU</vt:lpstr>
      <vt:lpstr>UNCM_COMMON_SQL_SHAIN_SERCH</vt:lpstr>
      <vt:lpstr>UNCM0010_B_HIDE_COLUMN</vt:lpstr>
      <vt:lpstr>UNCM0010_B_HIDE_ROW</vt:lpstr>
      <vt:lpstr>UNCM0010_B_INFO_CLEAR_AREA</vt:lpstr>
      <vt:lpstr>UNCM0010_B_INFO_JUCHU_FLG_COPY_SAKI</vt:lpstr>
      <vt:lpstr>UNCM0010_B_INFO_JUCHU_KENSU</vt:lpstr>
      <vt:lpstr>UNCM0010_B_INFO_JUCHU_SHOSHIKI_COPY_SAKI</vt:lpstr>
      <vt:lpstr>UNCM0010_B_INFO_JUCHU_TENKAI_ICHI</vt:lpstr>
      <vt:lpstr>UNCM0010_B_INFO_KOBAI_FLG_COPY_SAKI</vt:lpstr>
      <vt:lpstr>UNCM0010_B_INFO_KOBAI_KENSU</vt:lpstr>
      <vt:lpstr>UNCM0010_B_INFO_KOBAI_SHOSHIKI_COPY_SAKI</vt:lpstr>
      <vt:lpstr>UNCM0010_B_INFO_KOBAI_TENKAI_ICHI</vt:lpstr>
      <vt:lpstr>UNCM0010_B_INFO_MASTER_FLG_COPY_SAKI</vt:lpstr>
      <vt:lpstr>UNCM0010_B_INFO_MASTER_KENSU</vt:lpstr>
      <vt:lpstr>UNCM0010_B_INFO_MASTER_SHOSHIKI_COPY_SAKI</vt:lpstr>
      <vt:lpstr>UNCM0010_B_INFO_MASTER_TENKAI_ICHI</vt:lpstr>
      <vt:lpstr>UNCM0010_B_JUCHU_DATETIME</vt:lpstr>
      <vt:lpstr>UNCM0010_B_JUCHU_FLG</vt:lpstr>
      <vt:lpstr>UNCM0010_B_JUCHU_INFO_ID</vt:lpstr>
      <vt:lpstr>UNCM0010_B_JUCHU_INFO_KBN</vt:lpstr>
      <vt:lpstr>UNCM0010_B_JUCHU_INFO_NO</vt:lpstr>
      <vt:lpstr>UNCM0010_B_JUCHU_MESSAGE</vt:lpstr>
      <vt:lpstr>UNCM0010_B_JUCHU_NT_TANTO_CD</vt:lpstr>
      <vt:lpstr>UNCM0010_B_JUCHU_RED_FLG</vt:lpstr>
      <vt:lpstr>UNCM0010_B_JUCHU_SENTAKU</vt:lpstr>
      <vt:lpstr>UNCM0010_B_JUCHU_TANTOSHA_MEI</vt:lpstr>
      <vt:lpstr>UNCM0010_B_KOBAI_DATETIME</vt:lpstr>
      <vt:lpstr>UNCM0010_B_KOBAI_FLG</vt:lpstr>
      <vt:lpstr>UNCM0010_B_KOBAI_INFO_ID</vt:lpstr>
      <vt:lpstr>UNCM0010_B_KOBAI_INFO_KBN</vt:lpstr>
      <vt:lpstr>UNCM0010_B_KOBAI_INFO_NO</vt:lpstr>
      <vt:lpstr>UNCM0010_B_KOBAI_MESSAGE</vt:lpstr>
      <vt:lpstr>UNCM0010_B_KOBAI_NT_TANTO_CD</vt:lpstr>
      <vt:lpstr>UNCM0010_B_KOBAI_RED_FLG</vt:lpstr>
      <vt:lpstr>UNCM0010_B_KOBAI_SENTAKU</vt:lpstr>
      <vt:lpstr>UNCM0010_B_KOBAI_TANTOSHA_MEI</vt:lpstr>
      <vt:lpstr>UNCM0010_B_MASTER_DATETIME</vt:lpstr>
      <vt:lpstr>UNCM0010_B_MASTER_FLG</vt:lpstr>
      <vt:lpstr>UNCM0010_B_MASTER_INFO_ID</vt:lpstr>
      <vt:lpstr>UNCM0010_B_MASTER_INFO_KBN</vt:lpstr>
      <vt:lpstr>UNCM0010_B_MASTER_INFO_NO</vt:lpstr>
      <vt:lpstr>UNCM0010_B_MASTER_MESSAGE</vt:lpstr>
      <vt:lpstr>UNCM0010_B_MASTER_NT_TANTO_CD</vt:lpstr>
      <vt:lpstr>UNCM0010_B_MASTER_RED_FLG</vt:lpstr>
      <vt:lpstr>UNCM0010_B_MASTER_SENTAKU</vt:lpstr>
      <vt:lpstr>UNCM0010_B_MASTER_TANTOSHA_MEI</vt:lpstr>
      <vt:lpstr>UNCM0010_B_SCROLL_LOCK</vt:lpstr>
      <vt:lpstr>UNCM0010_CALENDAR_AREA</vt:lpstr>
      <vt:lpstr>UNCM0010_CALENDAR_CALENDAR</vt:lpstr>
      <vt:lpstr>UNCM0010_CALENDAR_START_DATE</vt:lpstr>
      <vt:lpstr>UNCM0010_CALENDAR_TENKAI_START</vt:lpstr>
      <vt:lpstr>UNCM0010_H_BUSHO_CD</vt:lpstr>
      <vt:lpstr>UNCM0010_H_BUSHO_MEI</vt:lpstr>
      <vt:lpstr>UNCM0010_H_COMMON_INFO</vt:lpstr>
      <vt:lpstr>UNCM0010_H_HIDE_COLUMN</vt:lpstr>
      <vt:lpstr>UNCM0010_H_HIDE_ROW</vt:lpstr>
      <vt:lpstr>UNCM0010_H_SHAIN_CD</vt:lpstr>
      <vt:lpstr>UNCM0010_H_SHAIN_MEI</vt:lpstr>
      <vt:lpstr>UNCM0010_H_USER_ID</vt:lpstr>
      <vt:lpstr>UNCM0010_IF_FLG_COPY_MOTO</vt:lpstr>
      <vt:lpstr>UNCM0010_IF_LIST_DEFAULT</vt:lpstr>
      <vt:lpstr>UNCM0010_IF_SAVE_CHECK</vt:lpstr>
      <vt:lpstr>UNCM0010_IF_SAVE_COPY_MOTO</vt:lpstr>
      <vt:lpstr>UNCM0010_IF_SAVE_COPY_SAKI</vt:lpstr>
      <vt:lpstr>UNCM0010_IF_SAVE_COPY_START</vt:lpstr>
      <vt:lpstr>UNCM0010_IF_SAVE_ERROR_CHECK</vt:lpstr>
      <vt:lpstr>UNCM0010_IF_SAVE_ERROR_MESSAGE</vt:lpstr>
      <vt:lpstr>UNCM0010_IF_SAVE_INFO_KENSU</vt:lpstr>
      <vt:lpstr>UNCM0010_IF_SAVE_KENSU</vt:lpstr>
      <vt:lpstr>UNCM0010_IF_SAVE_LIST_INFO_NO</vt:lpstr>
      <vt:lpstr>UNCM0010_IF_SAVE_RESULT_CD</vt:lpstr>
      <vt:lpstr>UNCM0010_IF_SAVE_RESULT_MESSAGE</vt:lpstr>
      <vt:lpstr>UNCM0010_IF_SAVE_START</vt:lpstr>
      <vt:lpstr>UNCM0010_IF_SAVE_W_MODE</vt:lpstr>
      <vt:lpstr>UNCM0010_IF_SAVE_W_SERIAL</vt:lpstr>
      <vt:lpstr>UNCM0010_IF_SAVE_W_USER_ID</vt:lpstr>
      <vt:lpstr>UNCM0010_IF_SHOSHIKI_COPY_MOTO</vt:lpstr>
      <vt:lpstr>UNCM0010_SQL_SELECT_BUSHO_USER</vt:lpstr>
      <vt:lpstr>UNCM0010_SQL_SELECT_CALENDAR</vt:lpstr>
      <vt:lpstr>UNCM0010_SQL_SELECT_COMMON_INFO</vt:lpstr>
      <vt:lpstr>UNCM0010_SQL_SELECT_JUCHU_INFO</vt:lpstr>
      <vt:lpstr>UNCM0010_SQL_SELECT_KOBAI_INFO</vt:lpstr>
      <vt:lpstr>UNCM0010_SQL_SELECT_MASTER_INFO</vt:lpstr>
      <vt:lpstr>UNCM0020_B_ALL_KENSU</vt:lpstr>
      <vt:lpstr>UNCM0020_B_ALL_PEGE_SU</vt:lpstr>
      <vt:lpstr>UNCM0020_B_CTRL_HYOJI_GYO_SU</vt:lpstr>
      <vt:lpstr>UNCM0020_B_FLG</vt:lpstr>
      <vt:lpstr>UNCM0020_B_HIDE_COLUMN</vt:lpstr>
      <vt:lpstr>UNCM0020_B_HIDE_ROW</vt:lpstr>
      <vt:lpstr>UNCM0020_B_INFO_CLEAR_AREA</vt:lpstr>
      <vt:lpstr>UNCM0020_B_INFO_DATETIME</vt:lpstr>
      <vt:lpstr>UNCM0020_B_INFO_FLG_COPY_SAKI</vt:lpstr>
      <vt:lpstr>UNCM0020_B_INFO_ID</vt:lpstr>
      <vt:lpstr>UNCM0020_B_INFO_KENSU</vt:lpstr>
      <vt:lpstr>UNCM0020_B_INFO_NO</vt:lpstr>
      <vt:lpstr>UNCM0020_B_INFO_SHOSHIKI_COPY_SAKI</vt:lpstr>
      <vt:lpstr>UNCM0020_B_INFO_TENKAI_ICHI</vt:lpstr>
      <vt:lpstr>UNCM0020_B_KBN</vt:lpstr>
      <vt:lpstr>UNCM0020_B_KBN_CD</vt:lpstr>
      <vt:lpstr>UNCM0020_B_MESSAGE</vt:lpstr>
      <vt:lpstr>UNCM0020_B_NEXT_PAGE_NO</vt:lpstr>
      <vt:lpstr>UNCM0020_B_NT_TANTO_CD</vt:lpstr>
      <vt:lpstr>UNCM0020_B_OP_TANTO_CD</vt:lpstr>
      <vt:lpstr>UNCM0020_B_PAGE_NO</vt:lpstr>
      <vt:lpstr>UNCM0020_B_PREV_PAGE_NO</vt:lpstr>
      <vt:lpstr>UNCM0020_B_RED_FLG</vt:lpstr>
      <vt:lpstr>UNCM0020_B_SCROLL_LOCK</vt:lpstr>
      <vt:lpstr>UNCM0020_B_SENTAKU</vt:lpstr>
      <vt:lpstr>UNCM0020_B_TANTOSHA_MEI</vt:lpstr>
      <vt:lpstr>UNCM0020_H_COPY_SAKI</vt:lpstr>
      <vt:lpstr>UNCM0020_H_HIDE_COLUMN</vt:lpstr>
      <vt:lpstr>UNCM0020_H_HIDE_ROW</vt:lpstr>
      <vt:lpstr>UNCM0020_H_INFO_DATETIME_END</vt:lpstr>
      <vt:lpstr>UNCM0020_H_INFO_DATETIME_START</vt:lpstr>
      <vt:lpstr>UNCM0020_H_JUCHU_KBN</vt:lpstr>
      <vt:lpstr>UNCM0020_H_KOBAI_KBN</vt:lpstr>
      <vt:lpstr>UNCM0020_H_MASTER_KBN</vt:lpstr>
      <vt:lpstr>UNCM0020_H_SEARCH_TANTOSHA_CD</vt:lpstr>
      <vt:lpstr>UNCM0020_H_TANTOSHA_CD</vt:lpstr>
      <vt:lpstr>UNCM0020_H_TANTOSHA_MEI</vt:lpstr>
      <vt:lpstr>UNCM0020_IF_ACTIVE_CELL_NAME</vt:lpstr>
      <vt:lpstr>UNCM0020_IF_ACTIVE_COLUMN</vt:lpstr>
      <vt:lpstr>UNCM0020_IF_ACTIVE_ROW</vt:lpstr>
      <vt:lpstr>UNCM0020_IF_ACTIVE_SHEET</vt:lpstr>
      <vt:lpstr>UNCM0020_IF_B_FLG_COPY_MOTO</vt:lpstr>
      <vt:lpstr>UNCM0020_IF_B_SHOSHIKI_COPY_MOTO</vt:lpstr>
      <vt:lpstr>UNCM0020_IF_BUTTON_11_HYOJI</vt:lpstr>
      <vt:lpstr>UNCM0020_IF_BUTTON_12_HYOJI</vt:lpstr>
      <vt:lpstr>UNCM0020_IF_CREATE_W_SERIAL</vt:lpstr>
      <vt:lpstr>UNCM0020_IF_DATA_SEARCH_FLG</vt:lpstr>
      <vt:lpstr>UNCM0020_IF_EXCEL_FILE_NAME</vt:lpstr>
      <vt:lpstr>UNCM0020_IF_EXCEL_FLG</vt:lpstr>
      <vt:lpstr>UNCM0020_IF_EXCEL_KENSU</vt:lpstr>
      <vt:lpstr>UNCM0020_IF_EXCEL_TENKAI_ICHI</vt:lpstr>
      <vt:lpstr>UNCM0020_IF_LIST_DEFAULT</vt:lpstr>
      <vt:lpstr>UNCM0020_IF_SAVE_CHECK</vt:lpstr>
      <vt:lpstr>UNCM0020_IF_SAVE_COPY_MOTO</vt:lpstr>
      <vt:lpstr>UNCM0020_IF_SAVE_COPY_SAKI</vt:lpstr>
      <vt:lpstr>UNCM0020_IF_SAVE_COPY_START</vt:lpstr>
      <vt:lpstr>UNCM0020_IF_SAVE_COUNT</vt:lpstr>
      <vt:lpstr>UNCM0020_IF_SAVE_ERROR_CHECK</vt:lpstr>
      <vt:lpstr>UNCM0020_IF_SAVE_ERROR_MESSAGE</vt:lpstr>
      <vt:lpstr>UNCM0020_IF_SAVE_KENSU</vt:lpstr>
      <vt:lpstr>UNCM0020_IF_SAVE_RESULT_CD</vt:lpstr>
      <vt:lpstr>UNCM0020_IF_SAVE_RESULT_MESSAGE</vt:lpstr>
      <vt:lpstr>UNCM0020_IF_SAVE_START</vt:lpstr>
      <vt:lpstr>UNCM0020_IF_SAVE_W_MODE</vt:lpstr>
      <vt:lpstr>UNCM0020_IF_SAVE_W_SERIAL</vt:lpstr>
      <vt:lpstr>UNCM0020_IF_SAVE_W_USER_ID</vt:lpstr>
      <vt:lpstr>UNCM0020_SQL_INFO_DATETIME_END</vt:lpstr>
      <vt:lpstr>UNCM0020_SQL_INFO_DATETIME_START</vt:lpstr>
      <vt:lpstr>UNCM0020_SQL_INFO_R_SORT_SEARCH</vt:lpstr>
      <vt:lpstr>UNCM0020_SQL_INIT_SORT</vt:lpstr>
      <vt:lpstr>UNCM0020_SQL_JUCHU_KBN</vt:lpstr>
      <vt:lpstr>UNCM0020_SQL_KOBAI_KBN</vt:lpstr>
      <vt:lpstr>UNCM0020_SQL_MASTER_KBN</vt:lpstr>
      <vt:lpstr>UNCM0020_SQL_SAVE_COUNT</vt:lpstr>
      <vt:lpstr>UNCM0020_SQL_SELECT_INFO_R</vt:lpstr>
      <vt:lpstr>UNCM0020_SQL_SELECT_INFO_R_COUNT</vt:lpstr>
      <vt:lpstr>UNCM0020_SQL_SELECT_INFO_R_EXCEL</vt:lpstr>
      <vt:lpstr>UNCM0020_SQL_SELECT_INFO_R_TABLE_UPDATE</vt:lpstr>
      <vt:lpstr>UNCM0020_SQL_SORT</vt:lpstr>
      <vt:lpstr>UNCM0020_SQL_TANTOSHA_CD</vt:lpstr>
    </vt:vector>
  </TitlesOfParts>
  <Company>MouseComputer 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k.yamamoto</dc:creator>
  <cp:lastModifiedBy>システム開発者 2</cp:lastModifiedBy>
  <cp:lastPrinted>2015-12-21T01:00:09Z</cp:lastPrinted>
  <dcterms:created xsi:type="dcterms:W3CDTF">2012-09-11T00:34:42Z</dcterms:created>
  <dcterms:modified xsi:type="dcterms:W3CDTF">2017-07-10T08:47:01Z</dcterms:modified>
</cp:coreProperties>
</file>