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dbsc_2015_UNISS\UNISS001\"/>
    </mc:Choice>
  </mc:AlternateContent>
  <bookViews>
    <workbookView xWindow="0" yWindow="0" windowWidth="18930" windowHeight="9450" tabRatio="942"/>
  </bookViews>
  <sheets>
    <sheet name="UNMM0140" sheetId="43" r:id="rId1"/>
    <sheet name="UNMM0140_SQL" sheetId="44" r:id="rId2"/>
    <sheet name="UNRD0000" sheetId="7" r:id="rId3"/>
    <sheet name="UNRD0010" sheetId="4" r:id="rId4"/>
    <sheet name="UNRD0010_IF" sheetId="21" r:id="rId5"/>
    <sheet name="UNRD0010_SQL" sheetId="22" r:id="rId6"/>
    <sheet name="UNRD0020" sheetId="5" r:id="rId7"/>
    <sheet name="UNRD0020_IF" sheetId="23" r:id="rId8"/>
    <sheet name="UNRD0020_SQL" sheetId="24" r:id="rId9"/>
    <sheet name="UNRD0030" sheetId="6" r:id="rId10"/>
    <sheet name="UNRD0030_IF" sheetId="8" r:id="rId11"/>
    <sheet name="UNRD0030_SQL" sheetId="12" r:id="rId12"/>
    <sheet name="UNRD0031" sheetId="15" r:id="rId13"/>
    <sheet name="UNRD0031_IF" sheetId="19" r:id="rId14"/>
    <sheet name="UNRD0031_SQL" sheetId="20" r:id="rId15"/>
    <sheet name="UNRD0040" sheetId="3" r:id="rId16"/>
    <sheet name="UNRD0040_IF" sheetId="10" r:id="rId17"/>
    <sheet name="UNRD0040_SQL" sheetId="13" r:id="rId18"/>
    <sheet name="UNRD0050" sheetId="2" r:id="rId19"/>
    <sheet name="UNRD0050_IF" sheetId="9" r:id="rId20"/>
    <sheet name="UNRD0050_SQL" sheetId="14" r:id="rId21"/>
    <sheet name="UNRD0051" sheetId="11" r:id="rId22"/>
    <sheet name="UNRD0051_IF" sheetId="17" r:id="rId23"/>
    <sheet name="UNRD0051_SQL" sheetId="18" r:id="rId24"/>
    <sheet name="UNRD0060" sheetId="27" r:id="rId25"/>
    <sheet name="UNRD0060_IF" sheetId="28" r:id="rId26"/>
    <sheet name="UNRD0060_SQL" sheetId="29" r:id="rId27"/>
    <sheet name="UNKB0220_H" sheetId="30" r:id="rId28"/>
    <sheet name="UNKB0220_B" sheetId="31" r:id="rId29"/>
    <sheet name="UNKB0220_IF" sheetId="32" r:id="rId30"/>
    <sheet name="UNKB0220_RENDO_IF" sheetId="33" r:id="rId31"/>
    <sheet name="UNKB0220_SQL" sheetId="34" r:id="rId32"/>
    <sheet name="UNNH0090_H" sheetId="35" r:id="rId33"/>
    <sheet name="UNNH0090_B" sheetId="36" r:id="rId34"/>
    <sheet name="UNNH0090_IF" sheetId="37" r:id="rId35"/>
    <sheet name="UNNH0090_RENDO_IF" sheetId="38" r:id="rId36"/>
    <sheet name="UNNH0090_SQL" sheetId="39" r:id="rId37"/>
    <sheet name="UNRD_COMMON_SQL" sheetId="25" r:id="rId38"/>
    <sheet name="UNRD_COMMON" sheetId="26" r:id="rId39"/>
    <sheet name="Excel_Save_H" sheetId="40" r:id="rId40"/>
    <sheet name="Excel_Save_B" sheetId="41" r:id="rId41"/>
  </sheets>
  <functionGroups builtInGroupCount="18"/>
  <definedNames>
    <definedName name="_xlnm.Print_Area" localSheetId="27">UNKB0220_H!$G$1:$AL$11</definedName>
    <definedName name="_xlnm.Print_Area" localSheetId="29">OFFSET(UNKB0220_IF_PRINT_START,-1,0,1+UNKB0220_IF_PRINT_COUNT,COLUMNS(UNKB0220_IF_PRINT_SHOSHIKI_COPY_MOTO))</definedName>
    <definedName name="_xlnm.Print_Area" localSheetId="32">UNNH0090_H!$G$1:$AM$13</definedName>
    <definedName name="_xlnm.Print_Area" localSheetId="34">OFFSET(UNNH0090_IF_PRINT_START,-1,0,1+UNNH0090_IF_PRINT_COUNT,COLUMNS(UNNH0090_IF_PRINT_SHOSHIKI_COPY_MOTO))</definedName>
    <definedName name="UNKB0220_B_ALL_KENSU">UNKB0220_B!$D$20</definedName>
    <definedName name="UNKB0220_B_ALL_PAGE_SU">UNKB0220_B!$D$22</definedName>
    <definedName name="UNKB0220_B_BACK_PAGE">UNKB0220_B!$D$36</definedName>
    <definedName name="UNKB0220_B_BACK_PAGE_NO">UNKB0220_B!$D$35</definedName>
    <definedName name="UNKB0220_B_HIDE_COLUMN">UNKB0220_B!$D$17</definedName>
    <definedName name="UNKB0220_B_HIDE_ROW">UNKB0220_B!$D$16</definedName>
    <definedName name="UNKB0220_B_HYOJI_GYO_SU">UNKB0220_B!$D$24</definedName>
    <definedName name="UNKB0220_B_HYOJI_KENSU">UNKB0220_B!$D$23</definedName>
    <definedName name="UNKB0220_B_KOBAI_KBN">UNKB0220_B!$N$16</definedName>
    <definedName name="UNKB0220_B_LIST_CLEAR">UNKB0220_B!$D$31</definedName>
    <definedName name="UNKB0220_B_LIST_COPY_FLG">UNKB0220_B!$D$28</definedName>
    <definedName name="UNKB0220_B_LIST_COPY_SAKI">UNKB0220_B!$D$29</definedName>
    <definedName name="UNKB0220_B_LIST_END">UNKB0220_B!$D$27</definedName>
    <definedName name="UNKB0220_B_LIST_START">UNKB0220_B!$D$26</definedName>
    <definedName name="UNKB0220_B_NEXT_PAGE">UNKB0220_B!$D$37</definedName>
    <definedName name="UNKB0220_B_NEXT_PAGE_NO">UNKB0220_B!$D$34</definedName>
    <definedName name="UNKB0220_B_NYURYOKUSHA_MEI">UNKB0220_B!$S$16</definedName>
    <definedName name="UNKB0220_B_PAGE_NO">UNKB0220_B!$D$21</definedName>
    <definedName name="UNKB0220_B_SAVE_START">UNKB0220_B!$D$32</definedName>
    <definedName name="UNKB0220_B_SCROLL_LOCK">UNKB0220_B!$D$18</definedName>
    <definedName name="UNKB0220_B_SELECT_FLG_COPY_SAKI">UNKB0220_B!$D$30</definedName>
    <definedName name="UNKB0220_B_SENTAKU">UNKB0220_B!$G$16</definedName>
    <definedName name="UNKB0220_B_SHIIRE_DATE">UNKB0220_B!$Q$16</definedName>
    <definedName name="UNKB0220_B_SHIIRE_NO">UNKB0220_B!$W$16</definedName>
    <definedName name="UNKB0220_B_SHIIRESAKI_CD">UNKB0220_B!$O$16</definedName>
    <definedName name="UNKB0220_B_SHIIRESAKI_MEI">UNKB0220_B!$P$16</definedName>
    <definedName name="UNKB0220_B_STS">UNKB0220_B!$M$16</definedName>
    <definedName name="UNKB0220_B_YOTEI_DATE">UNKB0220_B!$R$16</definedName>
    <definedName name="UNKB0220_B_ZEINUKI_GOKEI">UNKB0220_B!$T$16</definedName>
    <definedName name="UNKB0220_H_COPY_CELL_SAKI">UNKB0220_H!$I$6:$AK$10</definedName>
    <definedName name="UNKB0220_H_FREEWD_1">UNKB0220_H!$I$10</definedName>
    <definedName name="UNKB0220_H_FREEWD_1_S">UNKB0220_H!$E$40</definedName>
    <definedName name="UNKB0220_H_FREEWD_2">UNKB0220_H!$N$10</definedName>
    <definedName name="UNKB0220_H_FREEWD_2_S">UNKB0220_H!$E$41</definedName>
    <definedName name="UNKB0220_H_FREEWD_3">UNKB0220_H!$S$10</definedName>
    <definedName name="UNKB0220_H_FREEWD_3_S">UNKB0220_H!$E$42</definedName>
    <definedName name="UNKB0220_H_FREEWD_KBN">UNKB0220_H!$E$17</definedName>
    <definedName name="UNKB0220_H_FREEWD_KBN_DISP">UNKB0220_H!$M$10</definedName>
    <definedName name="UNKB0220_H_FREEWD_KBN_S">UNKB0220_H!$E$43</definedName>
    <definedName name="UNKB0220_H_GAICHU_KBN">UNKB0220_H!$E$11</definedName>
    <definedName name="UNKB0220_H_GAICHU_KBN_S">UNKB0220_H!$E$26</definedName>
    <definedName name="UNKB0220_H_HANBAI_KBN">UNKB0220_H!$E$14</definedName>
    <definedName name="UNKB0220_H_HANBAI_KBN_S">UNKB0220_H!$E$29</definedName>
    <definedName name="UNKB0220_H_HIDE_COLUMN">UNKB0220_H!$E$3</definedName>
    <definedName name="UNKB0220_H_HIDE_ROW">UNKB0220_H!$E$2</definedName>
    <definedName name="UNKB0220_H_INIT_HEADER_FLG_COPY_SAKI">UNKB0220_H!$E$7:$E$17</definedName>
    <definedName name="UNKB0220_H_KOBAIHIN_KBN">UNKB0220_H!$E$10</definedName>
    <definedName name="UNKB0220_H_KOBAIHIN_KBN_S">UNKB0220_H!$E$25</definedName>
    <definedName name="UNKB0220_H_MITOTSUGO_STS">UNKB0220_H!$E$7</definedName>
    <definedName name="UNKB0220_H_MITOTSUGO_STS_S">UNKB0220_H!$E$22</definedName>
    <definedName name="UNKB0220_H_NYURYOKUSHA_CD">UNKB0220_H!$E$16</definedName>
    <definedName name="UNKB0220_H_NYURYOKUSHA_CD_S">UNKB0220_H!$E$38</definedName>
    <definedName name="UNKB0220_H_NYURYOKUSHA_MEI">UNKB0220_H!$W$8</definedName>
    <definedName name="UNKB0220_H_NYURYOKUSHA_MEI_S">UNKB0220_H!$E$39</definedName>
    <definedName name="UNKB0220_H_SHIIRE_DATE_END">UNKB0220_H!$N$7</definedName>
    <definedName name="UNKB0220_H_SHIIRE_DATE_END_S">UNKB0220_H!$E$33</definedName>
    <definedName name="UNKB0220_H_SHIIRE_DATE_START">UNKB0220_H!$I$7</definedName>
    <definedName name="UNKB0220_H_SHIIRE_DATE_START_S">UNKB0220_H!$E$32</definedName>
    <definedName name="UNKB0220_H_SHIIRE_NO_END">UNKB0220_H!$N$6</definedName>
    <definedName name="UNKB0220_H_SHIIRE_NO_END_S">UNKB0220_H!$E$31</definedName>
    <definedName name="UNKB0220_H_SHIIRE_NO_START">UNKB0220_H!$I$6</definedName>
    <definedName name="UNKB0220_H_SHIIRE_NO_START_S">UNKB0220_H!$E$30</definedName>
    <definedName name="UNKB0220_H_SHIIRERENDOZUMI_STS">UNKB0220_H!$E$9</definedName>
    <definedName name="UNKB0220_H_SHIIRERENDOZUMI_STS_S">UNKB0220_H!$E$24</definedName>
    <definedName name="UNKB0220_H_SHIIRESAKI_CD">UNKB0220_H!$W$6</definedName>
    <definedName name="UNKB0220_H_SHIIRESAKI_CD_S">UNKB0220_H!$E$36</definedName>
    <definedName name="UNKB0220_H_SHIIRESAKI_MEI">UNKB0220_H!$E$15</definedName>
    <definedName name="UNKB0220_H_SHIIRESAKI_MEI_S">UNKB0220_H!$E$37</definedName>
    <definedName name="UNKB0220_H_SHUZEN_KBN">UNKB0220_H!$E$12</definedName>
    <definedName name="UNKB0220_H_SHUZEN_KBN_S">UNKB0220_H!$E$27</definedName>
    <definedName name="UNKB0220_H_TOSHI_KBN">UNKB0220_H!$E$13</definedName>
    <definedName name="UNKB0220_H_TOSHI_KBN_S">UNKB0220_H!$E$28</definedName>
    <definedName name="UNKB0220_H_TOTSUGOSUMI_STS">UNKB0220_H!$E$8</definedName>
    <definedName name="UNKB0220_H_TOTSUGOSUMI_STS_S">UNKB0220_H!$E$23</definedName>
    <definedName name="UNKB0220_H_YOTEI_DATE_END">UNKB0220_H!$N$8</definedName>
    <definedName name="UNKB0220_H_YOTEI_DATE_END_S">UNKB0220_H!$E$35</definedName>
    <definedName name="UNKB0220_H_YOTEI_DATE_START">UNKB0220_H!$I$8</definedName>
    <definedName name="UNKB0220_H_YOTEI_DATE_START_S">UNKB0220_H!$E$34</definedName>
    <definedName name="UNKB0220_IF_ACTIVE_CELL_NAME">UNKB0220_IF!$D$22</definedName>
    <definedName name="UNKB0220_IF_ACTIVE_COLUMN">UNKB0220_IF!$D$20</definedName>
    <definedName name="UNKB0220_IF_ACTIVE_ROW">UNKB0220_IF!$D$19</definedName>
    <definedName name="UNKB0220_IF_ACTIVE_SHEET">UNKB0220_IF!$D$18</definedName>
    <definedName name="UNKB0220_IF_B_FLG_COPY_MOTO">UNKB0220_IF!$D$6</definedName>
    <definedName name="UNKB0220_IF_DATA_SEARCH_FLG">UNKB0220_IF!$D$9</definedName>
    <definedName name="UNKB0220_IF_EXCEL_FILE_NAME">UNKB0220_IF!$BK$10</definedName>
    <definedName name="UNKB0220_IF_INIT_HEADER_COPY_MOTO">UNKB0220_IF!$AE$3:$BG$7</definedName>
    <definedName name="UNKB0220_IF_INIT_HEADER_FLG_COPY_MOTO">UNKB0220_IF!$AB$5:$AB$15</definedName>
    <definedName name="UNKB0220_IF_LIST_COPY_MOTO">UNKB0220_IF!$D$5:$Y$5</definedName>
    <definedName name="UNKB0220_IF_LIST_DEFAULT">UNKB0220_IF!$D$4:$Y$4</definedName>
    <definedName name="UNKB0220_IF_PRINT_COUNT">UNKB0220_IF!$BK$6</definedName>
    <definedName name="UNKB0220_IF_PRINT_SHOSHIKI_COPY_FLAG">UNKB0220_IF!$BK$8</definedName>
    <definedName name="UNKB0220_IF_PRINT_SHOSHIKI_COPY_MOTO">UNKB0220_IF!$BM$3:$CA$3</definedName>
    <definedName name="UNKB0220_IF_PRINT_SHOSHIKI_COPY_SAKI">UNKB0220_IF!$BK$7</definedName>
    <definedName name="UNKB0220_IF_PRINT_START">UNKB0220_IF!$BM$5</definedName>
    <definedName name="UNKB0220_IF_W_SERIAL">UNKB0220_IF!$C$14</definedName>
    <definedName name="UNKB0220_IF_W_SERIAL_CREATE">UNKB0220_IF!$C$15</definedName>
    <definedName name="UNKB0220_IF_W_USER_ID">UNKB0220_IF!$C$13</definedName>
    <definedName name="UNKB0220_RENDO_IF_B_CLEAR">UNKB0220_RENDO_IF!$AK$5</definedName>
    <definedName name="UNKB0220_RENDO_IF_B_KENSU">UNKB0220_RENDO_IF!$AK$4</definedName>
    <definedName name="UNKB0220_RENDO_IF_B_START">UNKB0220_RENDO_IF!$AM$5</definedName>
    <definedName name="UNKB0220_RENDO_IF_H_CLEAR">UNKB0220_RENDO_IF!$B$5</definedName>
    <definedName name="UNKB0220_RENDO_IF_H_KENSU">UNKB0220_RENDO_IF!$B$4</definedName>
    <definedName name="UNKB0220_RENDO_IF_H_START">UNKB0220_RENDO_IF!$D$5</definedName>
    <definedName name="UNKB0220_RENDO_IF_SHIIRE_H_COUNT">UNKB0220_RENDO_IF!$CM$6</definedName>
    <definedName name="UNKB0220_RENDO_IF_SHIIRE_H_RENDO_FLG">UNKB0220_RENDO_IF!$CM$8</definedName>
    <definedName name="UNKB0220_RENDO_IF_SHIIRE_H_SHOSHIKI_COPY_MOTO">UNKB0220_RENDO_IF!$CO$3:$DE$3</definedName>
    <definedName name="UNKB0220_RENDO_IF_SHIIRE_H_SHOSHIKI_COPY_SAKI">UNKB0220_RENDO_IF!$CM$7</definedName>
    <definedName name="UNKB0220_RENDO_IF_SHIIRE_H_START">UNKB0220_RENDO_IF!$CO$5</definedName>
    <definedName name="UNKB0220_RENDO_IF_SHIIRE_NO">UNKB0220_RENDO_IF!$CO$4</definedName>
    <definedName name="UNKB0220_RENDO_IF_SHIIRE_STS">UNKB0220_RENDO_IF!$CW$4</definedName>
    <definedName name="UNKB0220_RENDO_IF_SHOKAN_LINK_DATETIME">UNKB0220_RENDO_IF!$DD$4</definedName>
    <definedName name="UNKB0220_RENDO_IF_SHOKAN_NO">UNKB0220_RENDO_IF!$DC$4</definedName>
    <definedName name="UNKB0220_SQL_DEFAULT_SORT">UNKB0220_SQL!$F$78</definedName>
    <definedName name="UNKB0220_SQL_EXCEL_LIST">UNKB0220_SQL!$F$9</definedName>
    <definedName name="UNKB0220_SQL_SHIIRE_H_LIST">UNKB0220_SQL!$F$59</definedName>
    <definedName name="UNKB0220_SQL_SHIIRE_RENDO_B_LIST">UNKB0220_SQL!$F$65</definedName>
    <definedName name="UNKB0220_SQL_SHIIRE_RENDO_H_LIST">UNKB0220_SQL!$F$62</definedName>
    <definedName name="UNKB0220_SQL_SHIIRE_RENDO_LIST">UNKB0220_SQL!$F$6</definedName>
    <definedName name="UNKB0220_SQL_SHIIRE_RENDO_LIST_CNT">UNKB0220_SQL!$F$12</definedName>
    <definedName name="UNKB0220_SQL_SORT">UNKB0220_SQL!$F$54</definedName>
    <definedName name="UNKB0220_SQL_SORT_BY">UNKB0220_SQL!$F$74</definedName>
    <definedName name="UNKB0220_SQL_SP_CLEAR">UNKB0220_SQL!$F$45</definedName>
    <definedName name="UNKB0220_SQL_SP_LOAD">UNKB0220_SQL!$F$43</definedName>
    <definedName name="UNKB0220_SQL_W_SHIIRE_RENDO_LIST">UNKB0220_SQL!$F$50</definedName>
    <definedName name="UNMM0140_HIDE_COLUMN">UNMM0140!$D$3</definedName>
    <definedName name="UNMM0140_HIDE_ROW">UNMM0140!$D$2</definedName>
    <definedName name="UNMM0140_SEIKYU_RENDO_COUNT">UNMM0140!$I$6</definedName>
    <definedName name="UNMM0140_SEIKYU_RENDO_DATETIME">UNMM0140!$H$6</definedName>
    <definedName name="UNMM0140_SHIIRE_RENDO_COUNT">UNMM0140!$I$7</definedName>
    <definedName name="UNMM0140_SHIIRE_RENDO_DATETIME">UNMM0140!$H$7</definedName>
    <definedName name="UNMM0140_SHOHIN_RENDO_COUNT">UNMM0140!$I$5</definedName>
    <definedName name="UNMM0140_SHOHIN_RENDO_DATETIME">UNMM0140!$H$5</definedName>
    <definedName name="UNMM0140_SQL_GET_SEIKYU_COUNT">UNMM0140_SQL!$F$13</definedName>
    <definedName name="UNMM0140_SQL_GET_SEIKYU_LINK_DATETIME">UNMM0140_SQL!$F$10</definedName>
    <definedName name="UNMM0140_SQL_GET_SHIIRE_COUNT">UNMM0140_SQL!$F$20</definedName>
    <definedName name="UNMM0140_SQL_GET_SHIIRE_LINK_DATETIME">UNMM0140_SQL!$F$17</definedName>
    <definedName name="UNMM0140_SQL_GET_SHOHIN_COUNT">UNMM0140_SQL!$F$6</definedName>
    <definedName name="UNMM0140_SQL_GET_SHOHIN_LINK_DATETIME">UNMM0140_SQL!$F$3</definedName>
    <definedName name="UNNH0090_B_ALL_KENSU">UNNH0090_B!$D$20</definedName>
    <definedName name="UNNH0090_B_ALL_PAGE_SU">UNNH0090_B!$D$22</definedName>
    <definedName name="UNNH0090_B_ARARIEKI">UNNH0090_B!$AA$16</definedName>
    <definedName name="UNNH0090_B_ARARIRITSU">UNNH0090_B!$AB$16</definedName>
    <definedName name="UNNH0090_B_BACK_PAGE">UNNH0090_B!$D$36</definedName>
    <definedName name="UNNH0090_B_BACK_PAGE_NO">UNNH0090_B!$D$35</definedName>
    <definedName name="UNNH0090_B_DEMPYO_KBN">UNNH0090_B!$N$16</definedName>
    <definedName name="UNNH0090_B_GENKA_GOKEI">UNNH0090_B!$Z$16</definedName>
    <definedName name="UNNH0090_B_HIDE_COLUMN">UNNH0090_B!$D$17</definedName>
    <definedName name="UNNH0090_B_HIDE_ROW">UNNH0090_B!$D$16</definedName>
    <definedName name="UNNH0090_B_HYOJI_GYO_SU">UNNH0090_B!$D$24</definedName>
    <definedName name="UNNH0090_B_HYOJI_KENSU">UNNH0090_B!$D$23</definedName>
    <definedName name="UNNH0090_B_JURI_NO">UNNH0090_B!$AC$16</definedName>
    <definedName name="UNNH0090_B_KAISHU_DATE">UNNH0090_B!$U$16</definedName>
    <definedName name="UNNH0090_B_LIST_CLEAR">UNNH0090_B!$D$31</definedName>
    <definedName name="UNNH0090_B_LIST_COPY_FLG">UNNH0090_B!$D$28</definedName>
    <definedName name="UNNH0090_B_LIST_COPY_SAKI">UNNH0090_B!$D$29</definedName>
    <definedName name="UNNH0090_B_LIST_END">UNNH0090_B!$D$27</definedName>
    <definedName name="UNNH0090_B_LIST_START">UNNH0090_B!$D$26</definedName>
    <definedName name="UNNH0090_B_NEXT_PAGE">UNNH0090_B!$D$37</definedName>
    <definedName name="UNNH0090_B_NEXT_PAGE_NO">UNNH0090_B!$D$34</definedName>
    <definedName name="UNNH0090_B_NOHIN_DATE">UNNH0090_B!$T$16</definedName>
    <definedName name="UNNH0090_B_NYURYOKUSHA_MEI">UNNH0090_B!$V$16</definedName>
    <definedName name="UNNH0090_B_PAGE_NO">UNNH0090_B!$D$21</definedName>
    <definedName name="UNNH0090_B_SAVE_START">UNNH0090_B!$D$32</definedName>
    <definedName name="UNNH0090_B_SCROLL_LOCK">UNNH0090_B!$D$18</definedName>
    <definedName name="UNNH0090_B_SEIKYUSAKI_CD">UNNH0090_B!$O$16</definedName>
    <definedName name="UNNH0090_B_SEIKYUSAKI_MEI">UNNH0090_B!$P$16</definedName>
    <definedName name="UNNH0090_B_SELECT_FLG_COPY_SAKI">UNNH0090_B!$D$30</definedName>
    <definedName name="UNNH0090_B_SENTAKU">UNNH0090_B!$G$16</definedName>
    <definedName name="UNNH0090_B_STS">UNNH0090_B!$M$16</definedName>
    <definedName name="UNNH0090_B_URIAGE_DATE">UNNH0090_B!$S$16</definedName>
    <definedName name="UNNH0090_B_URIAGE_NO">UNNH0090_B!$AD$16</definedName>
    <definedName name="UNNH0090_B_ZEI">UNNH0090_B!$X$16</definedName>
    <definedName name="UNNH0090_B_ZEIKOMI_GOKEI">UNNH0090_B!$Y$16</definedName>
    <definedName name="UNNH0090_B_ZEINUKI_GOKEI">UNNH0090_B!$W$16</definedName>
    <definedName name="UNNH0090_H_AKA_KBN">UNNH0090_H!$E$12</definedName>
    <definedName name="UNNH0090_H_AKA_KBN_S">UNNH0090_H!$E$30</definedName>
    <definedName name="UNNH0090_H_COPY_CELL_SAKI">UNNH0090_H!$K$6:$AL$12</definedName>
    <definedName name="UNNH0090_H_DEMPYO_MEI">UNNH0090_H!$X$7</definedName>
    <definedName name="UNNH0090_H_DEMPYO_MEI_S">UNNH0090_H!$E$45</definedName>
    <definedName name="UNNH0090_H_FREEWD_1">UNNH0090_H!$K$12</definedName>
    <definedName name="UNNH0090_H_FREEWD_1_S">UNNH0090_H!$E$49</definedName>
    <definedName name="UNNH0090_H_FREEWD_2">UNNH0090_H!$P$12</definedName>
    <definedName name="UNNH0090_H_FREEWD_2_S">UNNH0090_H!$E$50</definedName>
    <definedName name="UNNH0090_H_FREEWD_3">UNNH0090_H!$U$12</definedName>
    <definedName name="UNNH0090_H_FREEWD_3_S">UNNH0090_H!$E$51</definedName>
    <definedName name="UNNH0090_H_FREEWD_KBN">UNNH0090_H!$E$18</definedName>
    <definedName name="UNNH0090_H_FREEWD_KBN_DISP">UNNH0090_H!$O$12</definedName>
    <definedName name="UNNH0090_H_FREEWD_KBN_S">UNNH0090_H!$E$52</definedName>
    <definedName name="UNNH0090_H_HAKKOSUMI_STS">UNNH0090_H!$E$8</definedName>
    <definedName name="UNNH0090_H_HAKKOSUMI_STS_S">UNNH0090_H!$E$26</definedName>
    <definedName name="UNNH0090_H_HIDE_COLUMN">UNNH0090_H!$E$3</definedName>
    <definedName name="UNNH0090_H_HIDE_ROW">UNNH0090_H!$E$2</definedName>
    <definedName name="UNNH0090_H_INIT_HEADER_FLG_COPY_SAKI">UNNH0090_H!$E$7:$E$18</definedName>
    <definedName name="UNNH0090_H_JURI_NO_END">UNNH0090_H!$P$8</definedName>
    <definedName name="UNNH0090_H_JURI_NO_END_S">UNNH0090_H!$E$38</definedName>
    <definedName name="UNNH0090_H_JURI_NO_START">UNNH0090_H!$K$8</definedName>
    <definedName name="UNNH0090_H_JURI_NO_START_S">UNNH0090_H!$E$37</definedName>
    <definedName name="UNNH0090_H_KAISHU_DATE_END">UNNH0090_H!$P$9</definedName>
    <definedName name="UNNH0090_H_KAISHU_DATE_END_S">UNNH0090_H!$E$42</definedName>
    <definedName name="UNNH0090_H_KAISHU_DATE_START">UNNH0090_H!$K$9</definedName>
    <definedName name="UNNH0090_H_KAISHU_DATE_START_S">UNNH0090_H!$E$41</definedName>
    <definedName name="UNNH0090_H_KETSUGO_KBN">UNNH0090_H!$E$14</definedName>
    <definedName name="UNNH0090_H_KETSUGO_KBN_S">UNNH0090_H!$E$32</definedName>
    <definedName name="UNNH0090_H_KURO_KBN">UNNH0090_H!$E$13</definedName>
    <definedName name="UNNH0090_H_KURO_KBN_S">UNNH0090_H!$E$31</definedName>
    <definedName name="UNNH0090_H_MIHAKKO_STS">UNNH0090_H!$E$7</definedName>
    <definedName name="UNNH0090_H_MIHAKKO_STS_S">UNNH0090_H!$E$25</definedName>
    <definedName name="UNNH0090_H_NOHIN_DATE_END">UNNH0090_H!$D$56</definedName>
    <definedName name="UNNH0090_H_NOHIN_DATE_END_S">UNNH0090_H!$E$40</definedName>
    <definedName name="UNNH0090_H_NOHIN_DATE_START">UNNH0090_H!$D$55</definedName>
    <definedName name="UNNH0090_H_NOHIN_DATE_START_S">UNNH0090_H!$E$39</definedName>
    <definedName name="UNNH0090_H_NYURYOKUSHA_CD">UNNH0090_H!$E$17</definedName>
    <definedName name="UNNH0090_H_NYURYOKUSHA_CD_S">UNNH0090_H!$E$46</definedName>
    <definedName name="UNNH0090_H_NYURYOKUSHA_MEI">UNNH0090_H!$X$9</definedName>
    <definedName name="UNNH0090_H_NYURYOKUSHA_MEI_S">UNNH0090_H!$E$47</definedName>
    <definedName name="UNNH0090_H_SAIHAKKOSUMI_STS">UNNH0090_H!$E$9</definedName>
    <definedName name="UNNH0090_H_SAIHAKKOSUMI_STS_S">UNNH0090_H!$E$27</definedName>
    <definedName name="UNNH0090_H_SEIKYUSAKI_CD">UNNH0090_H!$X$6</definedName>
    <definedName name="UNNH0090_H_SEIKYUSAKI_CD_S">UNNH0090_H!$E$43</definedName>
    <definedName name="UNNH0090_H_SEIKYUSAKI_MEI">UNNH0090_H!$E$15</definedName>
    <definedName name="UNNH0090_H_SEIKYUSAKI_MEI_S">UNNH0090_H!$E$44</definedName>
    <definedName name="UNNH0090_H_SHIMEBI">UNNH0090_H!$X$8</definedName>
    <definedName name="UNNH0090_H_SHIMEBI_KBN">UNNH0090_H!$E$19</definedName>
    <definedName name="UNNH0090_H_SHIMEBI_KBN_S">UNNH0090_H!$E$48</definedName>
    <definedName name="UNNH0090_H_TEISEI_KBN">UNNH0090_H!$E$11</definedName>
    <definedName name="UNNH0090_H_TEISEI_KBN_S">UNNH0090_H!$E$29</definedName>
    <definedName name="UNNH0090_H_TSUJO_KBN">UNNH0090_H!$E$10</definedName>
    <definedName name="UNNH0090_H_TSUJO_KBN_S">UNNH0090_H!$E$28</definedName>
    <definedName name="UNNH0090_H_URIAGE_DATE_END">UNNH0090_H!$P$6</definedName>
    <definedName name="UNNH0090_H_URIAGE_DATE_END_S">UNNH0090_H!$E$34</definedName>
    <definedName name="UNNH0090_H_URIAGE_DATE_START">UNNH0090_H!$K$6</definedName>
    <definedName name="UNNH0090_H_URIAGE_DATE_START_S">UNNH0090_H!$E$33</definedName>
    <definedName name="UNNH0090_H_URIAGE_NO_END">UNNH0090_H!$P$7</definedName>
    <definedName name="UNNH0090_H_URIAGE_NO_END_S">UNNH0090_H!$E$36</definedName>
    <definedName name="UNNH0090_H_URIAGE_NO_START">UNNH0090_H!$K$7</definedName>
    <definedName name="UNNH0090_H_URIAGE_NO_START_S">UNNH0090_H!$E$35</definedName>
    <definedName name="UNNH0090_IF_ACTIVE_CELL_NAME">UNNH0090_IF!$D$22</definedName>
    <definedName name="UNNH0090_IF_ACTIVE_COLUMN">UNNH0090_IF!$D$20</definedName>
    <definedName name="UNNH0090_IF_ACTIVE_ROW">UNNH0090_IF!$D$19</definedName>
    <definedName name="UNNH0090_IF_ACTIVE_SHEET">UNNH0090_IF!$D$18</definedName>
    <definedName name="UNNH0090_IF_B_FLG_COPY_MOTO">UNNH0090_IF!$D$6</definedName>
    <definedName name="UNNH0090_IF_DATA_SEARCH_FLG">UNNH0090_IF!$D$9</definedName>
    <definedName name="UNNH0090_IF_EXCEL_FILE_NAME">UNNH0090_IF!$BX$10</definedName>
    <definedName name="UNNH0090_IF_INIT_HEADER_COPY_MOTO">UNNH0090_IF!$AL$3:$BM$9</definedName>
    <definedName name="UNNH0090_IF_INIT_HEADER_FLG_COPY_MOTO">UNNH0090_IF!$AI$5:$AI$16</definedName>
    <definedName name="UNNH0090_IF_LIST_COPY_MOTO">UNNH0090_IF!$D$5:$AF$5</definedName>
    <definedName name="UNNH0090_IF_LIST_DEFAULT">UNNH0090_IF!$D$4:$AF$4</definedName>
    <definedName name="UNNH0090_IF_LIST_SHIMEBI">OFFSET(UNNH0090_IF_LIST_SHIMEBI_START,,,IF(UNNH0090_IF_LIST_SHIMEBI_KENSU=0,1,UNNH0090_IF_LIST_SHIMEBI_KENSU),1)</definedName>
    <definedName name="UNNH0090_IF_LIST_SHIMEBI_KENSU">UNNH0090_IF!$BQ$4</definedName>
    <definedName name="UNNH0090_IF_LIST_SHIMEBI_START">UNNH0090_IF!$BP$7</definedName>
    <definedName name="UNNH0090_IF_PRINT_COUNT">UNNH0090_IF!$BX$6</definedName>
    <definedName name="UNNH0090_IF_PRINT_SHOSHIKI_COPY_FLAG">UNNH0090_IF!$BX$8</definedName>
    <definedName name="UNNH0090_IF_PRINT_SHOSHIKI_COPY_MOTO">UNNH0090_IF!$BZ$3:$CT$3</definedName>
    <definedName name="UNNH0090_IF_PRINT_SHOSHIKI_COPY_SAKI">UNNH0090_IF!$BX$7</definedName>
    <definedName name="UNNH0090_IF_PRINT_START">UNNH0090_IF!$BZ$5</definedName>
    <definedName name="UNNH0090_IF_W_SERIAL">UNNH0090_IF!$C$14</definedName>
    <definedName name="UNNH0090_IF_W_SERIAL_CREATE">UNNH0090_IF!$C$15</definedName>
    <definedName name="UNNH0090_IF_W_USER_ID">UNNH0090_IF!$C$13</definedName>
    <definedName name="UNNH0090_RENDO_IF_B_CLEAR">UNNH0090_RENDO_IF!$AX$6</definedName>
    <definedName name="UNNH0090_RENDO_IF_B_KENSU">UNNH0090_RENDO_IF!$AX$5</definedName>
    <definedName name="UNNH0090_RENDO_IF_B_START">UNNH0090_RENDO_IF!$AZ$6</definedName>
    <definedName name="UNNH0090_RENDO_IF_H_CLEAR">UNNH0090_RENDO_IF!$B$6</definedName>
    <definedName name="UNNH0090_RENDO_IF_H_KENSU">UNNH0090_RENDO_IF!$B$5</definedName>
    <definedName name="UNNH0090_RENDO_IF_H_START">UNNH0090_RENDO_IF!$D$6</definedName>
    <definedName name="UNNH0090_RENDO_IF_URIAGE_H_RENDO_FLG">UNNH0090_RENDO_IF!$DI$9</definedName>
    <definedName name="UNNH0090_RENDO_IF_URIAGE_H_RENDO_KBN">UNNH0090_RENDO_IF!$DM$5</definedName>
    <definedName name="UNNH0090_RENDO_IF_URIAGE_H_RENDO_STS">UNNH0090_RENDO_IF!$DZ$5</definedName>
    <definedName name="UNNH0090_RENDO_IF_URIAGE_H_SHOKON_LIST_DATE_TIME">UNNH0090_RENDO_IF!$EX$5</definedName>
    <definedName name="UNNH0090_RENDO_IF_URIAGE_H_SHOKON_NO">UNNH0090_RENDO_IF!$EW$5</definedName>
    <definedName name="UNNH0090_RENDO_IF_URIAGE_H_SHOSHIKI_COPY_MOTO">UNNH0090_RENDO_IF!$DK$4:$EY$4</definedName>
    <definedName name="UNNH0090_RENDO_IF_URIAGE_H_SHOSHIKI_COPY_SAKI">UNNH0090_RENDO_IF!$DI$8</definedName>
    <definedName name="UNNH0090_RENDO_IF_URIAGE_H_START">UNNH0090_RENDO_IF!$DK$6</definedName>
    <definedName name="UNNH0090_RENDO_IF_URIAGE_H_URIAGE_NO">UNNH0090_RENDO_IF!$DK$5</definedName>
    <definedName name="UNNH0090_RENDO_URIAGE_H_COUNT">UNNH0090_RENDO_IF!$DI$7</definedName>
    <definedName name="UNNH0090_SQL_DEFAULT_SORT">UNNH0090_SQL!$F$82</definedName>
    <definedName name="UNNH0090_SQL_EXCEL_LIST">UNNH0090_SQL!$F$9</definedName>
    <definedName name="UNNH0090_SQL_LIST_SHIMEBI">UNNH0090_SQL!$F$85</definedName>
    <definedName name="UNNH0090_SQL_SORT">UNNH0090_SQL!$F$58</definedName>
    <definedName name="UNNH0090_SQL_SORT_BY">UNNH0090_SQL!$F$78</definedName>
    <definedName name="UNNH0090_SQL_SP_CLEAR">UNNH0090_SQL!$F$50</definedName>
    <definedName name="UNNH0090_SQL_SP_LOAD">UNNH0090_SQL!$F$48</definedName>
    <definedName name="UNNH0090_SQL_URIAGE_H_LIST">UNNH0090_SQL!$F$62</definedName>
    <definedName name="UNNH0090_SQL_URIAGE_RENDO_B_LIST">UNNH0090_SQL!$F$68</definedName>
    <definedName name="UNNH0090_SQL_URIAGE_RENDO_H_LIST">UNNH0090_SQL!$F$65</definedName>
    <definedName name="UNNH0090_SQL_URIAGE_RENDO_LIST">UNNH0090_SQL!$F$6</definedName>
    <definedName name="UNNH0090_SQL_URIAGE_RENDO_LIST_CNT">UNNH0090_SQL!$F$12</definedName>
    <definedName name="UNNH0090_SQL_W_URIAGE_RENDO_LIST">UNNH0090_SQL!$F$54</definedName>
    <definedName name="UNRD_COMMON_BUMON_PART_STS">UNRD_COMMON!$D$16</definedName>
    <definedName name="UNRD_COMMON_PROJECT_PART_STS">UNRD_COMMON!$D$28</definedName>
    <definedName name="UNRD_COMMON_SEIKYU_ERROR_CODE_LIST">UNRD_COMMON!$D$8</definedName>
    <definedName name="UNRD_COMMON_SEIKYU_LAST_DATE_TIME">UNRD_COMMON!$D$4</definedName>
    <definedName name="UNRD_COMMON_SHIIRE_ERROR_CODE_LIST">UNRD_COMMON!$D$10</definedName>
    <definedName name="UNRD_COMMON_SHIIRE_LAST_DATE_TIME">UNRD_COMMON!$D$6</definedName>
    <definedName name="UNRD_COMMON_SHIIRE_SAKI_ALL_STS">UNRD_COMMON!$D$34</definedName>
    <definedName name="UNRD_COMMON_SHIIRE_SAKI_PART_STS">UNRD_COMMON!$D$26</definedName>
    <definedName name="UNRD_COMMON_SHOHIN_ALL_STS">UNRD_COMMON!$D$30</definedName>
    <definedName name="UNRD_COMMON_SHOHIN_ERROR_CODE_LIST">UNRD_COMMON!$D$12</definedName>
    <definedName name="UNRD_COMMON_SHOHIN_KUBUN_PART_STS">UNRD_COMMON!$D$14</definedName>
    <definedName name="UNRD_COMMON_SHOHIN_LAST_DATE_TIME">UNRD_COMMON!$D$2</definedName>
    <definedName name="UNRD_COMMON_SHOHIN_PART_STS">UNRD_COMMON!$D$22</definedName>
    <definedName name="UNRD_COMMON_SQL_JURI_NO_SEARCH">UNRD_COMMON_SQL!$D$19</definedName>
    <definedName name="UNRD_COMMON_SQL_LAST_DATE_TIME">UNRD_COMMON_SQL!$D$4</definedName>
    <definedName name="UNRD_COMMON_SQL_SEIKYUSAKI_SEARCH">UNRD_COMMON_SQL!$D$15</definedName>
    <definedName name="UNRD_COMMON_SQL_SELECT_CTRL_HYOJI_GYO_SU">UNRD_COMMON_SQL!$D$2</definedName>
    <definedName name="UNRD_COMMON_SQL_SHAIN_SEARCH">UNRD_COMMON_SQL!$D$9</definedName>
    <definedName name="UNRD_COMMON_SQL_SHIIRE_NO_SEARCH">UNRD_COMMON_SQL!$D$13</definedName>
    <definedName name="UNRD_COMMON_SQL_SHIIRESAKI_SEARCH">UNRD_COMMON_SQL!$D$11</definedName>
    <definedName name="UNRD_COMMON_SQL_URIAGE_SERCH">UNRD_COMMON_SQL!$D$17</definedName>
    <definedName name="UNRD_COMMON_TANTOSHA_PART_STS">UNRD_COMMON!$D$18</definedName>
    <definedName name="UNRD_COMMON_TOKUI_ALL_SAKI">UNRD_COMMON!$D$32</definedName>
    <definedName name="UNRD_COMMON_TOKUI_SAKI_KUBUN_PART_STS">UNRD_COMMON!$D$20</definedName>
    <definedName name="UNRD_COMMON_TOKUI_SAKI_PART_STS">UNRD_COMMON!$D$24</definedName>
    <definedName name="UNRD0000_RENDO_MASTER_AREA_ID">UNRD0000!$I$4</definedName>
    <definedName name="UNRD0000_RENDO_MASTER_DBS_USER_ID">UNRD0000!$E$6</definedName>
    <definedName name="UNRD0000_RENDO_MASTER_PASSWORD">UNRD0000!$G$4</definedName>
    <definedName name="UNRD0000_RENDO_MASTER_USER_ID">UNRD0000!$E$4</definedName>
    <definedName name="UNRD0010_BUMON_MASTER_START">UNRD0010!$A$2</definedName>
    <definedName name="UNRD0010_IF_BUMON_MASTER_CLEAR">UNRD0010_IF!$E$1</definedName>
    <definedName name="UNRD0010_IF_BUMON_MASTER_KENSU">UNRD0010_IF!$B$1</definedName>
    <definedName name="UNRD0010_IF_BUMON_MASTER_RENDO_DATETIME">UNRD0010_IF!$E$2</definedName>
    <definedName name="UNRD0010_IF_BUMON_MASTER_START">UNRD0010_IF!$A$3</definedName>
    <definedName name="UNRD0010_SQL_BUMON_RENDO_DATETIME">UNRD0010_SQL!$F$17</definedName>
    <definedName name="UNRD0010_SQL_BUMON_RENDO_LIST">UNRD0010_SQL!$F$7</definedName>
    <definedName name="UNRD0010_SQL_UPDATE_MASTER_LINK_DATETIME">UNRD0010_SQL!$F$24</definedName>
    <definedName name="UNRD0020_IF_TANTOSHA_MASTER_CLEAR">UNRD0020_IF!$F$1</definedName>
    <definedName name="UNRD0020_IF_TANTOSHA_MASTER_KENSU">UNRD0020_IF!$B$1</definedName>
    <definedName name="UNRD0020_IF_TANTOSHA_MASTER_RENDO_DATETIME">UNRD0020_IF!$F$2</definedName>
    <definedName name="UNRD0020_IF_TANTOSHA_MASTER_START">UNRD0020_IF!$A$3</definedName>
    <definedName name="UNRD0020_SQL_SHAIN_RENDO_DATETIME">UNRD0020_SQL!$F$14</definedName>
    <definedName name="UNRD0020_SQL_SHAIN_RENDO_LIST">UNRD0020_SQL!$F$7</definedName>
    <definedName name="UNRD0020_SQL_UPDATE_MASTER_LINK_DATETIME">UNRD0020_SQL!$F$21</definedName>
    <definedName name="UNRD0020_TANTOSHA_MASTER_START">UNRD0020!$A$2</definedName>
    <definedName name="UNRD0030_IF_ERROR_CODE_LIST">UNRD0030_IF!#REF!</definedName>
    <definedName name="UNRD0030_IF_TOKUI_SAKI_MASTER_CLEAR">UNRD0030_IF!$E$1</definedName>
    <definedName name="UNRD0030_IF_TOKUI_SAKI_MASTER_KENSU">UNRD0030_IF!$B$1</definedName>
    <definedName name="UNRD0030_IF_TOKUI_SAKI_MASTER_START">UNRD0030_IF!$A$3</definedName>
    <definedName name="UNRD0030_SQL_TOKUI_SAKI_RENDO_LIST">UNRD0030_SQL!$F$7</definedName>
    <definedName name="UNRD0030_SQL_UPDATE_CONTROL_LINK_DATETIME">UNRD0030_SQL!$F$28</definedName>
    <definedName name="UNRD0030_SQL_UPDATE_MASTER_LINK_DATETIME">UNRD0030_SQL!$F$19</definedName>
    <definedName name="UNRD0030_TOKUI_SAKI_MASTER_START">UNRD0030!$A$2</definedName>
    <definedName name="UNRD0031_IF_TOKUI_SAKI_KUBUN_MASTER_CLEAR">UNRD0031_IF!$F$1</definedName>
    <definedName name="UNRD0031_IF_TOKUI_SAKI_KUBUN_MASTER_KENSU">UNRD0031_IF!$B$1</definedName>
    <definedName name="UNRD0031_IF_TOKUI_SAKI_KUBUN_MASTER_RENDO_DATETIME">UNRD0031_IF!$F$2</definedName>
    <definedName name="UNRD0031_IF_TOKUI_SAKI_KUBUN_MASTER_START">UNRD0031_IF!$A$3</definedName>
    <definedName name="UNRD0031_SQL_TOKUI_SAKI_KUBUN_RENDO_DATETIME">UNRD0031_SQL!$F$16</definedName>
    <definedName name="UNRD0031_SQL_TOKUI_SAKI_KUBUN_RENDO_LIST">UNRD0031_SQL!$F$7</definedName>
    <definedName name="UNRD0031_SQL_UPDATE_MASTER_LINK_DATETIME">UNRD0031_SQL!$F$23</definedName>
    <definedName name="UNRD0031_TOKUI_SAKI_KUBUN_MASTER_START">UNRD0031!$A$2</definedName>
    <definedName name="UNRD0040_IF_SHIIRE_SAKI_MASTER_CLEAR">UNRD0040_IF!$E$1</definedName>
    <definedName name="UNRD0040_IF_SHIIRE_SAKI_MASTER_KENSU">UNRD0040_IF!$B$1</definedName>
    <definedName name="UNRD0040_IF_SHIIRE_SAKI_MASTER_START">UNRD0040_IF!$A$3</definedName>
    <definedName name="UNRD0040_SHIIRE_SAKI_MASTER_START">UNRD0040!$A$2</definedName>
    <definedName name="UNRD0040_SQL_SHIIRE_SAKI_RENDO_LIST">UNRD0040_SQL!$F$7</definedName>
    <definedName name="UNRD0040_SQL_UPDATE_CONTROL_LINK_DATETIME">UNRD0040_SQL!$F$30</definedName>
    <definedName name="UNRD0040_SQL_UPDATE_MASTER_LINK_DATETIME">UNRD0040_SQL!$F$21</definedName>
    <definedName name="UNRD0050_IF_SHOHIN_MASTER_CLEAR">UNRD0050_IF!$E$1</definedName>
    <definedName name="UNRD0050_IF_SHOHIN_MASTER_KENSU">UNRD0050_IF!$B$1</definedName>
    <definedName name="UNRD0050_IF_SHOHIN_MASTER_START">UNRD0050_IF!$A$3</definedName>
    <definedName name="UNRD0050_SHOHIN_MASTER_MASTER_KUBUN">UNRD0050!$AC$1</definedName>
    <definedName name="UNRD0050_SHOHIN_MASTER_START">UNRD0050!$A$2</definedName>
    <definedName name="UNRD0050_SHOHIN_MASTER_SYSTEM_KUBUN">UNRD0050!$AB$1</definedName>
    <definedName name="UNRD0050_SQL_SHOHIN_RENDO_LIST">UNRD0050_SQL!$F$7</definedName>
    <definedName name="UNRD0050_SQL_UPDATE_CONTROL_LINK_DATETIME">UNRD0050_SQL!$F$27</definedName>
    <definedName name="UNRD0050_SQL_UPDATE_MASTER_LINK_DATETIME">UNRD0050_SQL!$F$19</definedName>
    <definedName name="UNRD0051_IF_BUMON_MASTER_RENDO_DATETIME">UNRD0051_IF!$F$2</definedName>
    <definedName name="UNRD0051_IF_SHOHIN_KUBUN_MASTER_CLEAR">UNRD0051_IF!$F$1</definedName>
    <definedName name="UNRD0051_IF_SHOHIN_KUBUN_MASTER_KENSU">UNRD0051_IF!$B$1</definedName>
    <definedName name="UNRD0051_IF_SHOHIN_KUBUN_MASTER_START">UNRD0051_IF!$A$3</definedName>
    <definedName name="UNRD0051_SHOHIN_KUBUN_MASTER_START">UNRD0051!$A$2</definedName>
    <definedName name="UNRD0051_SQL_SHOHIN_KUBUN_RENDO_DATETIME">UNRD0051_SQL!$F$15</definedName>
    <definedName name="UNRD0051_SQL_SHOHIN_KUBUN_RENDO_LIST">UNRD0051_SQL!$F$7</definedName>
    <definedName name="UNRD0051_SQL_UPDATE_MASTER_LINK_DATETIME">UNRD0051_SQL!$F$22</definedName>
    <definedName name="UNRD0060_IF_BUMON_MASTER_RENDO_DATETIME">UNRD0060_IF!$E$2</definedName>
    <definedName name="UNRD0060_IF_PROJECT_MASTER_CLEAR">UNRD0060_IF!$E$1</definedName>
    <definedName name="UNRD0060_IF_PROJECT_MASTER_KENSU">UNRD0060_IF!$B$1</definedName>
    <definedName name="UNRD0060_IF_PROJECT_MASTER_START">UNRD0060_IF!$A$3</definedName>
    <definedName name="UNRD0060_PROJECT_MASTER_START">UNRD0060!$A$2</definedName>
    <definedName name="UNRD0060_SQL_PROJECT_RENDO_DATETIME">UNRD0060_SQL!$F$17</definedName>
    <definedName name="UNRD0060_SQL_PROJECT_RENDO_LIST">UNRD0060_SQL!$F$7</definedName>
    <definedName name="UNRD0060_SQL_UPDATE_MASTER_LINK_DATETIME">UNRD0060_SQL!$F$24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10" i="32" l="1"/>
  <c r="BX10" i="37"/>
  <c r="BC3" i="37" l="1"/>
  <c r="G40" i="39"/>
  <c r="F40" i="39" s="1"/>
  <c r="E19" i="35"/>
  <c r="D36" i="36" l="1"/>
  <c r="D35" i="36"/>
  <c r="D34" i="36"/>
  <c r="D22" i="36"/>
  <c r="F15" i="36" s="1"/>
  <c r="D37" i="36" l="1"/>
  <c r="F74" i="39" l="1"/>
  <c r="D17" i="36" l="1"/>
  <c r="F46" i="34" l="1"/>
  <c r="F45" i="34"/>
  <c r="F51" i="39"/>
  <c r="F50" i="39" s="1"/>
  <c r="AW3" i="32" l="1"/>
  <c r="F12" i="22" l="1"/>
  <c r="F13" i="22"/>
  <c r="G16" i="22"/>
  <c r="F12" i="20" l="1"/>
  <c r="D32" i="26"/>
  <c r="F7" i="29" l="1"/>
  <c r="F12" i="29"/>
  <c r="F7" i="18"/>
  <c r="F12" i="18"/>
  <c r="F7" i="24"/>
  <c r="F12" i="24"/>
  <c r="F26" i="29" l="1"/>
  <c r="F24" i="29" s="1"/>
  <c r="F17" i="29"/>
  <c r="G16" i="29"/>
  <c r="F16" i="29" s="1"/>
  <c r="F24" i="18"/>
  <c r="F22" i="18" s="1"/>
  <c r="F15" i="18"/>
  <c r="G14" i="18"/>
  <c r="F14" i="18" s="1"/>
  <c r="F25" i="20"/>
  <c r="F23" i="20" s="1"/>
  <c r="F16" i="20"/>
  <c r="G15" i="20"/>
  <c r="F15" i="20" s="1"/>
  <c r="F7" i="20" s="1"/>
  <c r="F23" i="24"/>
  <c r="F21" i="24" s="1"/>
  <c r="F14" i="24"/>
  <c r="G13" i="24"/>
  <c r="F13" i="24" s="1"/>
  <c r="F26" i="22"/>
  <c r="F24" i="22" s="1"/>
  <c r="F16" i="22"/>
  <c r="F7" i="22" s="1"/>
  <c r="F17" i="22"/>
  <c r="F13" i="29"/>
  <c r="F17" i="44" l="1"/>
  <c r="F10" i="44"/>
  <c r="F20" i="44" l="1"/>
  <c r="F13" i="44"/>
  <c r="F6" i="44"/>
  <c r="F3" i="44"/>
  <c r="D3" i="43" l="1"/>
  <c r="BX7" i="37" l="1"/>
  <c r="G20" i="34" l="1"/>
  <c r="F20" i="34" s="1"/>
  <c r="DI8" i="38"/>
  <c r="CM7" i="33"/>
  <c r="F45" i="39" l="1"/>
  <c r="F73" i="39"/>
  <c r="F72" i="39"/>
  <c r="F57" i="39"/>
  <c r="F59" i="39"/>
  <c r="G44" i="39"/>
  <c r="F44" i="39" s="1"/>
  <c r="G43" i="39"/>
  <c r="F43" i="39" s="1"/>
  <c r="G42" i="39"/>
  <c r="G27" i="39"/>
  <c r="F27" i="39" s="1"/>
  <c r="G39" i="39"/>
  <c r="F39" i="39" s="1"/>
  <c r="G38" i="39"/>
  <c r="F38" i="39" s="1"/>
  <c r="G37" i="39"/>
  <c r="F37" i="39" s="1"/>
  <c r="G36" i="39"/>
  <c r="F36" i="39" s="1"/>
  <c r="G35" i="39"/>
  <c r="F35" i="39" s="1"/>
  <c r="G34" i="39"/>
  <c r="F34" i="39" s="1"/>
  <c r="G33" i="39"/>
  <c r="F33" i="39" s="1"/>
  <c r="G32" i="39"/>
  <c r="F32" i="39" s="1"/>
  <c r="G31" i="39"/>
  <c r="F31" i="39" s="1"/>
  <c r="G30" i="39"/>
  <c r="F30" i="39" s="1"/>
  <c r="G29" i="39"/>
  <c r="F29" i="39" s="1"/>
  <c r="G28" i="39"/>
  <c r="F28" i="39" s="1"/>
  <c r="F54" i="39" l="1"/>
  <c r="F71" i="39"/>
  <c r="F68" i="39" s="1"/>
  <c r="G41" i="39"/>
  <c r="F41" i="39" s="1"/>
  <c r="F42" i="39"/>
  <c r="G26" i="39"/>
  <c r="G25" i="39"/>
  <c r="G24" i="39"/>
  <c r="G23" i="39"/>
  <c r="G22" i="39"/>
  <c r="G20" i="39"/>
  <c r="G19" i="39"/>
  <c r="G18" i="39"/>
  <c r="F18" i="39" s="1"/>
  <c r="D34" i="26" l="1"/>
  <c r="D30" i="26"/>
  <c r="AX6" i="38" l="1"/>
  <c r="B6" i="38"/>
  <c r="BX8" i="37"/>
  <c r="D32" i="36"/>
  <c r="D31" i="36"/>
  <c r="D30" i="36"/>
  <c r="D29" i="36"/>
  <c r="D28" i="36"/>
  <c r="D27" i="36"/>
  <c r="D26" i="36"/>
  <c r="F26" i="39" l="1"/>
  <c r="F25" i="39"/>
  <c r="F24" i="39"/>
  <c r="F23" i="39"/>
  <c r="F22" i="39"/>
  <c r="F20" i="39"/>
  <c r="F19" i="39"/>
  <c r="D16" i="36"/>
  <c r="O12" i="35"/>
  <c r="T12" i="35" s="1"/>
  <c r="AB6" i="35"/>
  <c r="E3" i="35"/>
  <c r="F17" i="39" l="1"/>
  <c r="F21" i="39"/>
  <c r="F16" i="39" l="1"/>
  <c r="F12" i="39" s="1"/>
  <c r="F65" i="39"/>
  <c r="F62" i="39"/>
  <c r="F6" i="39" l="1"/>
  <c r="F49" i="39" s="1"/>
  <c r="F48" i="39" s="1"/>
  <c r="F9" i="39"/>
  <c r="D26" i="31"/>
  <c r="F71" i="34"/>
  <c r="F70" i="34"/>
  <c r="F69" i="34"/>
  <c r="F55" i="34"/>
  <c r="F53" i="34"/>
  <c r="F39" i="34"/>
  <c r="G38" i="34"/>
  <c r="F38" i="34" s="1"/>
  <c r="G37" i="34"/>
  <c r="F37" i="34" s="1"/>
  <c r="G36" i="34"/>
  <c r="F36" i="34" s="1"/>
  <c r="G34" i="34"/>
  <c r="F34" i="34" s="1"/>
  <c r="G33" i="34"/>
  <c r="F33" i="34" s="1"/>
  <c r="G32" i="34"/>
  <c r="F32" i="34" s="1"/>
  <c r="G31" i="34"/>
  <c r="F31" i="34" s="1"/>
  <c r="G30" i="34"/>
  <c r="F30" i="34" s="1"/>
  <c r="G29" i="34"/>
  <c r="F29" i="34" s="1"/>
  <c r="G28" i="34"/>
  <c r="F28" i="34" s="1"/>
  <c r="G27" i="34"/>
  <c r="F27" i="34" s="1"/>
  <c r="G26" i="34"/>
  <c r="F26" i="34" s="1"/>
  <c r="G25" i="34"/>
  <c r="F25" i="34" s="1"/>
  <c r="G24" i="34"/>
  <c r="F24" i="34" s="1"/>
  <c r="G23" i="34"/>
  <c r="F23" i="34" s="1"/>
  <c r="G22" i="34"/>
  <c r="F22" i="34" s="1"/>
  <c r="G19" i="34"/>
  <c r="F19" i="34" s="1"/>
  <c r="G18" i="34"/>
  <c r="F18" i="34" s="1"/>
  <c r="AK5" i="33"/>
  <c r="B5" i="33"/>
  <c r="BK8" i="32"/>
  <c r="BK7" i="32"/>
  <c r="AI7" i="32"/>
  <c r="D36" i="31"/>
  <c r="D35" i="31"/>
  <c r="D34" i="31"/>
  <c r="D32" i="31"/>
  <c r="D31" i="31"/>
  <c r="D30" i="31"/>
  <c r="D29" i="31"/>
  <c r="D28" i="31"/>
  <c r="D27" i="31"/>
  <c r="D22" i="31"/>
  <c r="F15" i="31" s="1"/>
  <c r="D18" i="31"/>
  <c r="D17" i="31"/>
  <c r="D16" i="31"/>
  <c r="M10" i="30"/>
  <c r="R10" i="30" s="1"/>
  <c r="AA6" i="30"/>
  <c r="E3" i="30"/>
  <c r="F17" i="34" l="1"/>
  <c r="F21" i="34"/>
  <c r="D37" i="31"/>
  <c r="AN7" i="32"/>
  <c r="F50" i="34"/>
  <c r="F68" i="34"/>
  <c r="F59" i="34" s="1"/>
  <c r="G35" i="34"/>
  <c r="F35" i="34" s="1"/>
  <c r="F62" i="34" l="1"/>
  <c r="F16" i="34"/>
  <c r="F12" i="34" s="1"/>
  <c r="F65" i="34"/>
  <c r="F6" i="34" l="1"/>
  <c r="F44" i="34" s="1"/>
  <c r="F43" i="34" s="1"/>
  <c r="F9" i="34"/>
  <c r="E1" i="28"/>
  <c r="F1" i="17" l="1"/>
  <c r="F21" i="12" l="1"/>
  <c r="F24" i="12"/>
  <c r="F23" i="14"/>
  <c r="G26" i="14"/>
  <c r="F26" i="14" s="1"/>
  <c r="F12" i="14"/>
  <c r="F11" i="14" s="1"/>
  <c r="F26" i="13"/>
  <c r="E1" i="21"/>
  <c r="F1" i="23"/>
  <c r="E1" i="8"/>
  <c r="F1" i="19"/>
  <c r="E1" i="10"/>
  <c r="F22" i="14" l="1"/>
  <c r="E1" i="9"/>
  <c r="F29" i="14" l="1"/>
  <c r="F27" i="14" s="1"/>
  <c r="G27" i="12" l="1"/>
  <c r="F27" i="12" s="1"/>
  <c r="F22" i="12" s="1"/>
  <c r="G29" i="13"/>
  <c r="F29" i="13" s="1"/>
  <c r="F24" i="13" s="1"/>
  <c r="F32" i="13" l="1"/>
  <c r="F30" i="13" s="1"/>
  <c r="F11" i="12"/>
  <c r="F13" i="12"/>
  <c r="F30" i="12"/>
  <c r="F28" i="12" s="1"/>
  <c r="F23" i="13"/>
  <c r="F7" i="13"/>
  <c r="F11" i="13"/>
  <c r="F13" i="13"/>
  <c r="F21" i="14"/>
  <c r="F19" i="14" s="1"/>
  <c r="F21" i="13" l="1"/>
  <c r="F19" i="12"/>
  <c r="F7" i="14" l="1"/>
  <c r="F7" i="12" l="1"/>
</calcChain>
</file>

<file path=xl/sharedStrings.xml><?xml version="1.0" encoding="utf-8"?>
<sst xmlns="http://schemas.openxmlformats.org/spreadsheetml/2006/main" count="22251" uniqueCount="1870">
  <si>
    <t>UserId</t>
    <phoneticPr fontId="4"/>
  </si>
  <si>
    <t>Password</t>
    <phoneticPr fontId="4"/>
  </si>
  <si>
    <t>AreaId</t>
    <phoneticPr fontId="4"/>
  </si>
  <si>
    <t>エンティティバージョン</t>
  </si>
  <si>
    <t>商品コード</t>
  </si>
  <si>
    <t>商品名</t>
  </si>
  <si>
    <t>商品名2</t>
    <phoneticPr fontId="2"/>
  </si>
  <si>
    <t>商品コード2</t>
  </si>
  <si>
    <t>商品コード3</t>
  </si>
  <si>
    <t>商品区分1</t>
  </si>
  <si>
    <t>商品区分2</t>
  </si>
  <si>
    <t>商品区分3</t>
  </si>
  <si>
    <t>商品区分4</t>
  </si>
  <si>
    <t>商品区分5</t>
  </si>
  <si>
    <t>単位</t>
  </si>
  <si>
    <t>入数</t>
  </si>
  <si>
    <t>規格・型番</t>
  </si>
  <si>
    <t>色</t>
  </si>
  <si>
    <t>サイズ</t>
  </si>
  <si>
    <t>倉庫コード</t>
  </si>
  <si>
    <t>主仕入先</t>
  </si>
  <si>
    <t>標準単価</t>
  </si>
  <si>
    <t>原価</t>
  </si>
  <si>
    <t>売価1</t>
  </si>
  <si>
    <t>売価2</t>
  </si>
  <si>
    <t>売価3</t>
  </si>
  <si>
    <t>売価4</t>
  </si>
  <si>
    <t>売価5</t>
  </si>
  <si>
    <t>仕入単価</t>
  </si>
  <si>
    <t>在庫単価</t>
  </si>
  <si>
    <t>システム区分</t>
  </si>
  <si>
    <t>マスター区分</t>
  </si>
  <si>
    <t>在庫管理</t>
  </si>
  <si>
    <t>実績管理</t>
  </si>
  <si>
    <t>税区分</t>
  </si>
  <si>
    <t>税込区分</t>
  </si>
  <si>
    <t>単価小数桁</t>
  </si>
  <si>
    <t>数量小数桁</t>
  </si>
  <si>
    <t>商品項目1</t>
  </si>
  <si>
    <t>商品項目2</t>
  </si>
  <si>
    <t>商品項目3</t>
  </si>
  <si>
    <t>売上計算式コード</t>
  </si>
  <si>
    <t>仕入計算式コード</t>
  </si>
  <si>
    <t>使用区分</t>
  </si>
  <si>
    <t>登録ユーザー</t>
  </si>
  <si>
    <t>登録PG</t>
  </si>
  <si>
    <t>登録Date</t>
  </si>
  <si>
    <t>更新ユーザー</t>
  </si>
  <si>
    <t>更新PG</t>
  </si>
  <si>
    <t>更新Date</t>
  </si>
  <si>
    <t>商品予備1</t>
  </si>
  <si>
    <t>商品予備2</t>
  </si>
  <si>
    <t>商品予備3</t>
  </si>
  <si>
    <t>商品予備数値1</t>
  </si>
  <si>
    <t>商品予備数値2</t>
  </si>
  <si>
    <t>商品予備数値3</t>
  </si>
  <si>
    <t>商品予備金額1</t>
  </si>
  <si>
    <t>商品予備金額2</t>
  </si>
  <si>
    <t>商品予備金額3</t>
  </si>
  <si>
    <t>商品予備文字列1</t>
  </si>
  <si>
    <t>商品予備文字列2</t>
  </si>
  <si>
    <t>商品予備文字列3</t>
  </si>
  <si>
    <t>単価登録ユーザー</t>
  </si>
  <si>
    <t>単価登録PG</t>
  </si>
  <si>
    <t>単価登録Date</t>
  </si>
  <si>
    <t>単価更新ユーザー</t>
  </si>
  <si>
    <t>単価更新PG</t>
  </si>
  <si>
    <t>単価更新Date</t>
  </si>
  <si>
    <t>単価予備1</t>
  </si>
  <si>
    <t>単価予備数値1</t>
  </si>
  <si>
    <t>単価予備金額1</t>
  </si>
  <si>
    <t>入数小数桁</t>
    <phoneticPr fontId="2"/>
  </si>
  <si>
    <t>箱数小数桁</t>
    <phoneticPr fontId="2"/>
  </si>
  <si>
    <t>数量端数</t>
    <phoneticPr fontId="2"/>
  </si>
  <si>
    <t>有効期間開始</t>
    <phoneticPr fontId="2"/>
  </si>
  <si>
    <t>有効期間終了</t>
    <phoneticPr fontId="2"/>
  </si>
  <si>
    <t>コメント</t>
    <phoneticPr fontId="2"/>
  </si>
  <si>
    <t>0</t>
  </si>
  <si>
    <t>0.0000</t>
  </si>
  <si>
    <t>2</t>
  </si>
  <si>
    <t>1</t>
  </si>
  <si>
    <t>御中</t>
  </si>
  <si>
    <t>エンティティバージョン</t>
    <phoneticPr fontId="2"/>
  </si>
  <si>
    <t>仕入先コード</t>
  </si>
  <si>
    <t>相手先ID</t>
  </si>
  <si>
    <t>仕入先名称1</t>
  </si>
  <si>
    <t>仕入先名称2</t>
  </si>
  <si>
    <t>相手先敬称</t>
  </si>
  <si>
    <t>カナ索引</t>
  </si>
  <si>
    <t>郵便番号</t>
  </si>
  <si>
    <t>住所1</t>
  </si>
  <si>
    <t>住所2</t>
    <phoneticPr fontId="2"/>
  </si>
  <si>
    <t>相手先TEL</t>
  </si>
  <si>
    <t>相手先FAX</t>
  </si>
  <si>
    <t>相手先メールアドレス</t>
  </si>
  <si>
    <t>企業コード1</t>
  </si>
  <si>
    <t>企業コード2</t>
  </si>
  <si>
    <t>法人番号</t>
    <phoneticPr fontId="2"/>
  </si>
  <si>
    <t>先方担当者ID</t>
  </si>
  <si>
    <t>先方担当者名</t>
  </si>
  <si>
    <t>所属部署</t>
  </si>
  <si>
    <t>役職</t>
  </si>
  <si>
    <t>先方担当者敬称</t>
  </si>
  <si>
    <t>先方担当者TEL</t>
  </si>
  <si>
    <t>先方担当者FAX</t>
  </si>
  <si>
    <t>携帯番号</t>
  </si>
  <si>
    <t>先方担当者メールアドレス</t>
  </si>
  <si>
    <t>仕入先区分1</t>
  </si>
  <si>
    <t>仕入先区分2</t>
    <phoneticPr fontId="2"/>
  </si>
  <si>
    <t>仕入先区分3</t>
  </si>
  <si>
    <t>仕入先区分4</t>
  </si>
  <si>
    <t>仕入先区分5</t>
  </si>
  <si>
    <t>主担当者</t>
  </si>
  <si>
    <t>主部門</t>
  </si>
  <si>
    <t>実績管理</t>
    <phoneticPr fontId="2"/>
  </si>
  <si>
    <t>税換算</t>
    <phoneticPr fontId="2"/>
  </si>
  <si>
    <t>支払先コード</t>
  </si>
  <si>
    <t>支払締日</t>
  </si>
  <si>
    <t>買掛金残高</t>
  </si>
  <si>
    <t>未払金残高</t>
  </si>
  <si>
    <t>金額端数</t>
    <phoneticPr fontId="2"/>
  </si>
  <si>
    <t>消費税端数</t>
  </si>
  <si>
    <t>消費税計算</t>
  </si>
  <si>
    <t>支払種別1</t>
    <phoneticPr fontId="2"/>
  </si>
  <si>
    <t>支払種別2</t>
  </si>
  <si>
    <t>種別境界額</t>
  </si>
  <si>
    <t>支払日</t>
  </si>
  <si>
    <t>支払方法</t>
    <phoneticPr fontId="2"/>
  </si>
  <si>
    <t>会社口座ID</t>
  </si>
  <si>
    <t>振込先名</t>
    <phoneticPr fontId="2"/>
  </si>
  <si>
    <t>仕入先名カナ</t>
  </si>
  <si>
    <t>金融機関ID</t>
  </si>
  <si>
    <t>支店ID</t>
  </si>
  <si>
    <t>預金種目</t>
    <phoneticPr fontId="2"/>
  </si>
  <si>
    <t>口座番号</t>
  </si>
  <si>
    <t>手数料負担</t>
    <phoneticPr fontId="2"/>
  </si>
  <si>
    <t>手数料境界額</t>
  </si>
  <si>
    <t>手数料区分</t>
  </si>
  <si>
    <t>定額料金</t>
  </si>
  <si>
    <t>送金方法</t>
    <phoneticPr fontId="2"/>
  </si>
  <si>
    <t>利用者番号</t>
    <phoneticPr fontId="2"/>
  </si>
  <si>
    <t>コメント</t>
  </si>
  <si>
    <t>仕入先予備1</t>
  </si>
  <si>
    <t>仕入先予備2</t>
  </si>
  <si>
    <t>仕入先予備3</t>
  </si>
  <si>
    <t>仕入先予備数値1</t>
  </si>
  <si>
    <t>仕入先予備数値2</t>
  </si>
  <si>
    <t>仕入先予備数値3</t>
  </si>
  <si>
    <t>仕入先予備金額1</t>
  </si>
  <si>
    <t>仕入先予備金額2</t>
  </si>
  <si>
    <t>仕入先予備金額3</t>
  </si>
  <si>
    <t>仕入先予備文字列1</t>
  </si>
  <si>
    <t>仕入先予備文字列2</t>
  </si>
  <si>
    <t>仕入先予備文字列3</t>
  </si>
  <si>
    <t>得意先フラグ</t>
  </si>
  <si>
    <t>仕入先フラグ</t>
  </si>
  <si>
    <t>出荷先フラグ</t>
  </si>
  <si>
    <t>直送先フラグ</t>
  </si>
  <si>
    <t>コード0フラグ</t>
  </si>
  <si>
    <t>相手先登録ユーザー</t>
  </si>
  <si>
    <t>相手先登録PG</t>
  </si>
  <si>
    <t>相手先登録Date</t>
  </si>
  <si>
    <t>相手先更新ユーザー</t>
  </si>
  <si>
    <t>相手先更新PG</t>
  </si>
  <si>
    <t>相手先更新Date</t>
  </si>
  <si>
    <t>相手先予備1</t>
  </si>
  <si>
    <t>相手先予備数値1</t>
  </si>
  <si>
    <t>相手先予備金額1</t>
  </si>
  <si>
    <t>相手先予備文字列1</t>
  </si>
  <si>
    <t>相手先予備文字列2</t>
  </si>
  <si>
    <t>相手先予備文字列3</t>
  </si>
  <si>
    <t>先方担当者登録ユーザー</t>
  </si>
  <si>
    <t>先方担当者登録PG</t>
  </si>
  <si>
    <t>先方担当者登録Date</t>
  </si>
  <si>
    <t>先方担当者更新ユーザー</t>
  </si>
  <si>
    <t>先方担当者更新PG</t>
  </si>
  <si>
    <t>先方担当者更新Date</t>
  </si>
  <si>
    <t>先方担当者予備1</t>
  </si>
  <si>
    <t>先方担当者予備数値1</t>
  </si>
  <si>
    <t>先方担当者予備金額1</t>
  </si>
  <si>
    <t>先方担当者予備文字列1</t>
  </si>
  <si>
    <t>先方担当者予備文字列2</t>
  </si>
  <si>
    <t>先方担当者予備文字列3</t>
  </si>
  <si>
    <t>最終清算期間TO</t>
  </si>
  <si>
    <t>支払残高</t>
  </si>
  <si>
    <t>精算後支払</t>
  </si>
  <si>
    <t>未精算仕入</t>
  </si>
  <si>
    <t>残高更新Date</t>
  </si>
  <si>
    <t>休日対応</t>
    <rPh sb="0" eb="2">
      <t>キュウジツ</t>
    </rPh>
    <rPh sb="2" eb="4">
      <t>タイオウ</t>
    </rPh>
    <phoneticPr fontId="2"/>
  </si>
  <si>
    <t>休日カレンダーID</t>
    <rPh sb="0" eb="2">
      <t>キュウジツ</t>
    </rPh>
    <phoneticPr fontId="2"/>
  </si>
  <si>
    <t>振込先名2</t>
    <phoneticPr fontId="2"/>
  </si>
  <si>
    <t>振込先名カナ2</t>
    <phoneticPr fontId="2"/>
  </si>
  <si>
    <t>金融機関ID2</t>
    <phoneticPr fontId="2"/>
  </si>
  <si>
    <t>支店ID2</t>
    <phoneticPr fontId="2"/>
  </si>
  <si>
    <t>預金種目2</t>
    <phoneticPr fontId="2"/>
  </si>
  <si>
    <t>口座番号2</t>
    <phoneticPr fontId="2"/>
  </si>
  <si>
    <t>手数料負担2</t>
    <phoneticPr fontId="2"/>
  </si>
  <si>
    <t>手数料境界額2</t>
    <phoneticPr fontId="2"/>
  </si>
  <si>
    <t>手数料区分2</t>
    <phoneticPr fontId="2"/>
  </si>
  <si>
    <t>定額料金2</t>
    <phoneticPr fontId="2"/>
  </si>
  <si>
    <t>送金方法2</t>
    <phoneticPr fontId="2"/>
  </si>
  <si>
    <t>利用者番号2</t>
    <phoneticPr fontId="2"/>
  </si>
  <si>
    <t>振込先名3</t>
    <phoneticPr fontId="2"/>
  </si>
  <si>
    <t>振込先名カナ3</t>
    <phoneticPr fontId="2"/>
  </si>
  <si>
    <t>支店ID3</t>
    <phoneticPr fontId="2"/>
  </si>
  <si>
    <t>預金種目3</t>
    <phoneticPr fontId="2"/>
  </si>
  <si>
    <t>口座番号3</t>
    <phoneticPr fontId="2"/>
  </si>
  <si>
    <t>手数料負担3</t>
    <phoneticPr fontId="2"/>
  </si>
  <si>
    <t>手数料境界額3</t>
    <phoneticPr fontId="2"/>
  </si>
  <si>
    <t>手数料区分3</t>
    <phoneticPr fontId="2"/>
  </si>
  <si>
    <t>定額料金3</t>
    <phoneticPr fontId="2"/>
  </si>
  <si>
    <t>送金方法3</t>
    <phoneticPr fontId="2"/>
  </si>
  <si>
    <t>利用者番号3</t>
    <phoneticPr fontId="2"/>
  </si>
  <si>
    <t>振込先名4</t>
    <phoneticPr fontId="2"/>
  </si>
  <si>
    <t>振込先名カナ4</t>
    <phoneticPr fontId="2"/>
  </si>
  <si>
    <t>金融機関ID4</t>
    <phoneticPr fontId="2"/>
  </si>
  <si>
    <t>支店ID4</t>
    <phoneticPr fontId="2"/>
  </si>
  <si>
    <t>預金種目4</t>
    <phoneticPr fontId="2"/>
  </si>
  <si>
    <t>口座番号4</t>
    <phoneticPr fontId="2"/>
  </si>
  <si>
    <t>手数料負担4</t>
    <phoneticPr fontId="2"/>
  </si>
  <si>
    <t>手数料境界額4</t>
    <phoneticPr fontId="2"/>
  </si>
  <si>
    <t>手数料区分4</t>
    <phoneticPr fontId="2"/>
  </si>
  <si>
    <t>定額料金4</t>
    <phoneticPr fontId="2"/>
  </si>
  <si>
    <t>送金方法4</t>
    <phoneticPr fontId="2"/>
  </si>
  <si>
    <t>利用者番号4</t>
    <phoneticPr fontId="2"/>
  </si>
  <si>
    <t>振込先名5</t>
    <phoneticPr fontId="2"/>
  </si>
  <si>
    <t>振込先名カナ5</t>
    <phoneticPr fontId="2"/>
  </si>
  <si>
    <t>金融機関ID5</t>
    <phoneticPr fontId="2"/>
  </si>
  <si>
    <t>支店ID5</t>
    <phoneticPr fontId="2"/>
  </si>
  <si>
    <t>預金種目5</t>
    <phoneticPr fontId="2"/>
  </si>
  <si>
    <t>口座番号5</t>
    <phoneticPr fontId="2"/>
  </si>
  <si>
    <t>手数料負担5</t>
    <phoneticPr fontId="2"/>
  </si>
  <si>
    <t>手数料境界額5</t>
    <phoneticPr fontId="2"/>
  </si>
  <si>
    <t>手数料区分5</t>
    <phoneticPr fontId="2"/>
  </si>
  <si>
    <t>定額料金5</t>
    <phoneticPr fontId="2"/>
  </si>
  <si>
    <t>送金方法5</t>
    <phoneticPr fontId="2"/>
  </si>
  <si>
    <t>利用者番号5</t>
    <phoneticPr fontId="2"/>
  </si>
  <si>
    <t>相手先ID</t>
    <phoneticPr fontId="2"/>
  </si>
  <si>
    <t>役職</t>
    <phoneticPr fontId="2"/>
  </si>
  <si>
    <t>請求先コード</t>
    <phoneticPr fontId="2"/>
  </si>
  <si>
    <t>請求書用紙</t>
    <phoneticPr fontId="2"/>
  </si>
  <si>
    <t>回収種別2</t>
    <phoneticPr fontId="2"/>
  </si>
  <si>
    <t>回収日</t>
    <phoneticPr fontId="2"/>
  </si>
  <si>
    <t>登録PG</t>
    <phoneticPr fontId="2"/>
  </si>
  <si>
    <t>得意先フラグ</t>
    <phoneticPr fontId="2"/>
  </si>
  <si>
    <t>先方担当者更新ユーザー</t>
    <phoneticPr fontId="2"/>
  </si>
  <si>
    <t>請求残高</t>
    <phoneticPr fontId="2"/>
  </si>
  <si>
    <t>送り状用紙</t>
    <rPh sb="0" eb="1">
      <t>オク</t>
    </rPh>
    <rPh sb="2" eb="3">
      <t>ジョウ</t>
    </rPh>
    <rPh sb="3" eb="5">
      <t>ヨウシ</t>
    </rPh>
    <phoneticPr fontId="2"/>
  </si>
  <si>
    <t>エンティティバージョン</t>
    <phoneticPr fontId="2"/>
  </si>
  <si>
    <t>得意先コード</t>
    <phoneticPr fontId="2"/>
  </si>
  <si>
    <t>得意先名称1</t>
    <phoneticPr fontId="2"/>
  </si>
  <si>
    <t>得意先名称2</t>
    <phoneticPr fontId="2"/>
  </si>
  <si>
    <t>相手先敬称</t>
    <phoneticPr fontId="2"/>
  </si>
  <si>
    <t>ｶﾅ索引</t>
    <phoneticPr fontId="2"/>
  </si>
  <si>
    <t>郵便番号</t>
    <phoneticPr fontId="2"/>
  </si>
  <si>
    <t>住所1</t>
    <phoneticPr fontId="2"/>
  </si>
  <si>
    <t>住所2</t>
    <phoneticPr fontId="2"/>
  </si>
  <si>
    <t>相手先TEL</t>
    <phoneticPr fontId="2"/>
  </si>
  <si>
    <t>相手先FAX</t>
    <phoneticPr fontId="2"/>
  </si>
  <si>
    <t>相手先メールアドレス</t>
    <phoneticPr fontId="2"/>
  </si>
  <si>
    <t>企業コード1</t>
    <phoneticPr fontId="2"/>
  </si>
  <si>
    <t>企業コード2</t>
    <phoneticPr fontId="2"/>
  </si>
  <si>
    <t>法人番号</t>
    <phoneticPr fontId="2"/>
  </si>
  <si>
    <t>先方担当者ID</t>
    <phoneticPr fontId="2"/>
  </si>
  <si>
    <t>先方担当者名</t>
    <phoneticPr fontId="2"/>
  </si>
  <si>
    <t>所属部署</t>
    <phoneticPr fontId="2"/>
  </si>
  <si>
    <t>先方担当者敬称</t>
    <phoneticPr fontId="2"/>
  </si>
  <si>
    <t>先方担当者FAX</t>
    <phoneticPr fontId="2"/>
  </si>
  <si>
    <t>携帯番号</t>
    <phoneticPr fontId="2"/>
  </si>
  <si>
    <t>先方担当者メールアドレス</t>
    <phoneticPr fontId="2"/>
  </si>
  <si>
    <t>得意先区分1</t>
    <phoneticPr fontId="2"/>
  </si>
  <si>
    <t>得意先区分2</t>
    <phoneticPr fontId="2"/>
  </si>
  <si>
    <t>得意先区分3</t>
    <phoneticPr fontId="2"/>
  </si>
  <si>
    <t>得意先区分4</t>
    <phoneticPr fontId="2"/>
  </si>
  <si>
    <t>得意先区分5</t>
    <phoneticPr fontId="2"/>
  </si>
  <si>
    <t>主担当者</t>
    <phoneticPr fontId="2"/>
  </si>
  <si>
    <t>主部門</t>
    <phoneticPr fontId="2"/>
  </si>
  <si>
    <t>適用売価No</t>
    <phoneticPr fontId="2"/>
  </si>
  <si>
    <t>掛率</t>
    <phoneticPr fontId="2"/>
  </si>
  <si>
    <t>実績管理</t>
    <phoneticPr fontId="2"/>
  </si>
  <si>
    <t>売上日印字</t>
    <phoneticPr fontId="2"/>
  </si>
  <si>
    <t>税換算</t>
    <phoneticPr fontId="2"/>
  </si>
  <si>
    <t>売単価換算</t>
    <phoneticPr fontId="2"/>
  </si>
  <si>
    <t>納品書用紙</t>
    <phoneticPr fontId="2"/>
  </si>
  <si>
    <t>納品書社名</t>
    <phoneticPr fontId="2"/>
  </si>
  <si>
    <t>社店コード</t>
    <phoneticPr fontId="2"/>
  </si>
  <si>
    <t>分類コード</t>
    <phoneticPr fontId="2"/>
  </si>
  <si>
    <t>伝票区分</t>
    <phoneticPr fontId="2"/>
  </si>
  <si>
    <t>チェーンストア取引先コード</t>
    <phoneticPr fontId="2"/>
  </si>
  <si>
    <t>請求締日</t>
    <phoneticPr fontId="2"/>
  </si>
  <si>
    <t>与信限度額</t>
    <phoneticPr fontId="2"/>
  </si>
  <si>
    <t>繰越残高(売掛金残高)</t>
    <phoneticPr fontId="2"/>
  </si>
  <si>
    <t>金額端数</t>
    <phoneticPr fontId="2"/>
  </si>
  <si>
    <t>消費税端数</t>
    <phoneticPr fontId="2"/>
  </si>
  <si>
    <t>消費税通知</t>
    <phoneticPr fontId="2"/>
  </si>
  <si>
    <t>請求書社名</t>
    <phoneticPr fontId="2"/>
  </si>
  <si>
    <t>回収種別1</t>
    <phoneticPr fontId="2"/>
  </si>
  <si>
    <t>種別境界額</t>
    <phoneticPr fontId="2"/>
  </si>
  <si>
    <t>回収方法</t>
    <phoneticPr fontId="2"/>
  </si>
  <si>
    <t>会社口座ID</t>
    <phoneticPr fontId="2"/>
  </si>
  <si>
    <t>登録ユーザー</t>
    <phoneticPr fontId="2"/>
  </si>
  <si>
    <t>登録Date</t>
    <phoneticPr fontId="2"/>
  </si>
  <si>
    <t>更新ユーザー</t>
    <phoneticPr fontId="2"/>
  </si>
  <si>
    <t>更新PG</t>
    <phoneticPr fontId="2"/>
  </si>
  <si>
    <t>更新Date</t>
    <phoneticPr fontId="2"/>
  </si>
  <si>
    <t>得意先予備1</t>
    <phoneticPr fontId="2"/>
  </si>
  <si>
    <t>得意先予備2</t>
    <phoneticPr fontId="2"/>
  </si>
  <si>
    <t>得意先予備3</t>
    <phoneticPr fontId="2"/>
  </si>
  <si>
    <t>得意先予備数値1</t>
    <phoneticPr fontId="2"/>
  </si>
  <si>
    <t>得意先予備数値2</t>
    <phoneticPr fontId="2"/>
  </si>
  <si>
    <t>得意先予備数値3</t>
    <phoneticPr fontId="2"/>
  </si>
  <si>
    <t>得意先予備金額1</t>
    <phoneticPr fontId="2"/>
  </si>
  <si>
    <t>得意先予備金額2</t>
    <phoneticPr fontId="2"/>
  </si>
  <si>
    <t>得意先予備金額3</t>
    <phoneticPr fontId="2"/>
  </si>
  <si>
    <t>得意先予備文字列1</t>
    <phoneticPr fontId="2"/>
  </si>
  <si>
    <t>得意先予備文字列2</t>
    <phoneticPr fontId="2"/>
  </si>
  <si>
    <t>得意先予備文字列3</t>
    <phoneticPr fontId="2"/>
  </si>
  <si>
    <t>仕入先フラグ</t>
    <phoneticPr fontId="2"/>
  </si>
  <si>
    <t>出荷先フラグ</t>
    <phoneticPr fontId="2"/>
  </si>
  <si>
    <t>直送先フラグ</t>
    <phoneticPr fontId="2"/>
  </si>
  <si>
    <t>コード0フラグ</t>
    <phoneticPr fontId="2"/>
  </si>
  <si>
    <t>相手先登録ユーザー</t>
    <phoneticPr fontId="2"/>
  </si>
  <si>
    <t>相手先登録PG</t>
    <phoneticPr fontId="2"/>
  </si>
  <si>
    <t>相手先登録Date</t>
    <phoneticPr fontId="2"/>
  </si>
  <si>
    <t>相手先更新ユーザー</t>
    <phoneticPr fontId="2"/>
  </si>
  <si>
    <t>相手先更新PG</t>
    <phoneticPr fontId="2"/>
  </si>
  <si>
    <t>相手先更新Date</t>
    <phoneticPr fontId="2"/>
  </si>
  <si>
    <t>相手先予備1</t>
    <phoneticPr fontId="2"/>
  </si>
  <si>
    <t>相手先予備数値1</t>
    <phoneticPr fontId="2"/>
  </si>
  <si>
    <t>相手先予備金額1</t>
    <phoneticPr fontId="2"/>
  </si>
  <si>
    <t>相手先予備文字列1</t>
    <phoneticPr fontId="2"/>
  </si>
  <si>
    <t>相手先予備文字列2</t>
    <phoneticPr fontId="2"/>
  </si>
  <si>
    <t>相手先予備文字列3</t>
    <phoneticPr fontId="2"/>
  </si>
  <si>
    <t>先方担当者登録ユーザー</t>
    <phoneticPr fontId="2"/>
  </si>
  <si>
    <t>先方担当者登録PG</t>
    <phoneticPr fontId="2"/>
  </si>
  <si>
    <t>先方担当者登録Date</t>
    <phoneticPr fontId="2"/>
  </si>
  <si>
    <t>先方担当者更新PG</t>
    <phoneticPr fontId="2"/>
  </si>
  <si>
    <t>先方担当者更新Date</t>
    <phoneticPr fontId="2"/>
  </si>
  <si>
    <t>先方担当者予備1</t>
    <phoneticPr fontId="2"/>
  </si>
  <si>
    <t>先方担当者予備数値1</t>
    <phoneticPr fontId="2"/>
  </si>
  <si>
    <t>先方担当者予備金額1</t>
    <phoneticPr fontId="2"/>
  </si>
  <si>
    <t>先方担当者予備文字列1</t>
    <phoneticPr fontId="2"/>
  </si>
  <si>
    <t>先方担当者予備文字列2</t>
    <phoneticPr fontId="2"/>
  </si>
  <si>
    <t>先方担当者予備文字列3</t>
    <phoneticPr fontId="2"/>
  </si>
  <si>
    <t>最終請求期間TO</t>
    <phoneticPr fontId="2"/>
  </si>
  <si>
    <t>請求後入金</t>
    <phoneticPr fontId="2"/>
  </si>
  <si>
    <t>未請求売上</t>
    <phoneticPr fontId="2"/>
  </si>
  <si>
    <t>残高更新Date</t>
    <phoneticPr fontId="2"/>
  </si>
  <si>
    <t>Sample</t>
  </si>
  <si>
    <t>3</t>
  </si>
  <si>
    <t>部門コード</t>
    <rPh sb="0" eb="2">
      <t>ブモン</t>
    </rPh>
    <phoneticPr fontId="2"/>
  </si>
  <si>
    <t>部門名</t>
    <rPh sb="0" eb="2">
      <t>ブモン</t>
    </rPh>
    <rPh sb="2" eb="3">
      <t>メイ</t>
    </rPh>
    <phoneticPr fontId="2"/>
  </si>
  <si>
    <t>倉庫コード</t>
    <rPh sb="0" eb="2">
      <t>ソウコ</t>
    </rPh>
    <phoneticPr fontId="2"/>
  </si>
  <si>
    <t>会計部門コード</t>
    <rPh sb="0" eb="2">
      <t>カイケイ</t>
    </rPh>
    <rPh sb="2" eb="4">
      <t>ブモン</t>
    </rPh>
    <phoneticPr fontId="2"/>
  </si>
  <si>
    <t>更新日付時間</t>
    <rPh sb="0" eb="2">
      <t>コウシン</t>
    </rPh>
    <rPh sb="2" eb="4">
      <t>ヒヅケ</t>
    </rPh>
    <rPh sb="4" eb="6">
      <t>ジカン</t>
    </rPh>
    <phoneticPr fontId="2"/>
  </si>
  <si>
    <t>担当者コード</t>
    <rPh sb="0" eb="3">
      <t>タントウシャ</t>
    </rPh>
    <phoneticPr fontId="2"/>
  </si>
  <si>
    <t>担当者名</t>
    <rPh sb="0" eb="3">
      <t>タントウシャ</t>
    </rPh>
    <rPh sb="3" eb="4">
      <t>メイ</t>
    </rPh>
    <phoneticPr fontId="2"/>
  </si>
  <si>
    <t>住所2</t>
    <phoneticPr fontId="2"/>
  </si>
  <si>
    <t>税換算</t>
    <phoneticPr fontId="2"/>
  </si>
  <si>
    <t>支払種別1</t>
    <phoneticPr fontId="2"/>
  </si>
  <si>
    <t>手数料負担</t>
    <phoneticPr fontId="2"/>
  </si>
  <si>
    <t>金融機関ID3</t>
    <phoneticPr fontId="2"/>
  </si>
  <si>
    <t>区分ID</t>
    <rPh sb="0" eb="2">
      <t>クブン</t>
    </rPh>
    <phoneticPr fontId="2"/>
  </si>
  <si>
    <t>商品区分コード</t>
    <rPh sb="0" eb="2">
      <t>ショウヒン</t>
    </rPh>
    <rPh sb="2" eb="4">
      <t>クブン</t>
    </rPh>
    <phoneticPr fontId="2"/>
  </si>
  <si>
    <t>商品区分名</t>
    <rPh sb="0" eb="2">
      <t>ショウヒン</t>
    </rPh>
    <rPh sb="2" eb="4">
      <t>クブン</t>
    </rPh>
    <rPh sb="4" eb="5">
      <t>メイ</t>
    </rPh>
    <phoneticPr fontId="2"/>
  </si>
  <si>
    <t xml:space="preserve">PCA商魂X Ver.1.0 Rev.4.20
</t>
    <rPh sb="3" eb="5">
      <t>ショウコン</t>
    </rPh>
    <phoneticPr fontId="2"/>
  </si>
  <si>
    <t>データ取得SQL</t>
    <rPh sb="3" eb="5">
      <t>シュトク</t>
    </rPh>
    <phoneticPr fontId="2"/>
  </si>
  <si>
    <t>メイン</t>
  </si>
  <si>
    <t>検索結果取得SQL</t>
    <rPh sb="0" eb="2">
      <t>ケンサク</t>
    </rPh>
    <rPh sb="2" eb="4">
      <t>ケッカ</t>
    </rPh>
    <rPh sb="4" eb="6">
      <t>シュトク</t>
    </rPh>
    <phoneticPr fontId="2"/>
  </si>
  <si>
    <t>SELECT</t>
    <phoneticPr fontId="2"/>
  </si>
  <si>
    <t>FROM</t>
    <phoneticPr fontId="2"/>
  </si>
  <si>
    <t>共通項目</t>
    <rPh sb="0" eb="2">
      <t>キョウツウ</t>
    </rPh>
    <rPh sb="2" eb="4">
      <t>コウモク</t>
    </rPh>
    <phoneticPr fontId="2"/>
  </si>
  <si>
    <t>WHERE</t>
    <phoneticPr fontId="2"/>
  </si>
  <si>
    <t xml:space="preserve">   FROM M_AITESAKI
</t>
    <phoneticPr fontId="2"/>
  </si>
  <si>
    <t>請求先フラグ</t>
    <rPh sb="0" eb="2">
      <t>セイキュウ</t>
    </rPh>
    <rPh sb="2" eb="3">
      <t>サキ</t>
    </rPh>
    <phoneticPr fontId="2"/>
  </si>
  <si>
    <t xml:space="preserve"> AND M_AITESAKI.SEIKYU_FLG = 'True'</t>
    <phoneticPr fontId="2"/>
  </si>
  <si>
    <t>得意先区分コード</t>
    <rPh sb="0" eb="3">
      <t>トクイサキ</t>
    </rPh>
    <rPh sb="3" eb="5">
      <t>クブン</t>
    </rPh>
    <phoneticPr fontId="2"/>
  </si>
  <si>
    <t>得意先区分名</t>
    <rPh sb="0" eb="5">
      <t>トクイサキクブン</t>
    </rPh>
    <rPh sb="5" eb="6">
      <t>メイ</t>
    </rPh>
    <phoneticPr fontId="2"/>
  </si>
  <si>
    <t>名称区分</t>
    <rPh sb="0" eb="2">
      <t>メイショウ</t>
    </rPh>
    <rPh sb="2" eb="4">
      <t>クブン</t>
    </rPh>
    <phoneticPr fontId="2"/>
  </si>
  <si>
    <t>UNRD0010_SQL_BUMON_RENDO_LIST</t>
    <phoneticPr fontId="2"/>
  </si>
  <si>
    <t>UNRD0020_SQL_SHAIN_RENDO_LIST</t>
    <phoneticPr fontId="2"/>
  </si>
  <si>
    <t xml:space="preserve">  FROM M_SHAIN
</t>
    <phoneticPr fontId="2"/>
  </si>
  <si>
    <t>UNRD0030_SQL_TOKUI_SAKI_RENDO_LIST</t>
    <phoneticPr fontId="2"/>
  </si>
  <si>
    <t>UNRD0031_SQL_TOKUI_SAKI_KUBUN_RENDO_LIST</t>
    <phoneticPr fontId="2"/>
  </si>
  <si>
    <t xml:space="preserve">SELECT 11
    ,M_MEISHO_B.MEISHO_CD
    ,M_MEISHO_B.DATA_1
</t>
    <phoneticPr fontId="2"/>
  </si>
  <si>
    <t xml:space="preserve">  FROM M_MEISHO_B
</t>
    <phoneticPr fontId="2"/>
  </si>
  <si>
    <t>UNRD0051_SQL_SHOHIN_KUBUN_RENDO_LIST</t>
    <phoneticPr fontId="2"/>
  </si>
  <si>
    <t xml:space="preserve">SELECT 21
    ,M_MEISHO_B.MEISHO_CD
    ,M_MEISHO_B.DATA_1
</t>
    <phoneticPr fontId="2"/>
  </si>
  <si>
    <t xml:space="preserve">  FROM M_MEISHO_B
</t>
    <phoneticPr fontId="2"/>
  </si>
  <si>
    <t xml:space="preserve"> AND M_MEISHO_B.MEISHO_KBN = 'K025'  </t>
    <phoneticPr fontId="2"/>
  </si>
  <si>
    <t>UNRD0040_SQL_SHIIRE_SAKI_RENDO_LIST</t>
    <phoneticPr fontId="2"/>
  </si>
  <si>
    <t xml:space="preserve"> AND M_AITESAKI.SHIRE_FLG = 'True'</t>
    <phoneticPr fontId="2"/>
  </si>
  <si>
    <t>仕入先フラグ</t>
    <rPh sb="0" eb="2">
      <t>シイレ</t>
    </rPh>
    <rPh sb="2" eb="3">
      <t>サキ</t>
    </rPh>
    <phoneticPr fontId="2"/>
  </si>
  <si>
    <t>B02701</t>
  </si>
  <si>
    <t xml:space="preserve">   FROM M_SHOHIN
</t>
    <phoneticPr fontId="2"/>
  </si>
  <si>
    <t>仕入先フラグ</t>
    <phoneticPr fontId="2"/>
  </si>
  <si>
    <t>SELECT SHOHIN_MASTER_LINK_DATE_TIME
           ,SEIKYU_MASTER_LINK_DATE_TIME
           ,SHIIRE_MASTER_LINK_DATE_TIME
  FROM M_CONTROL
 WHERE CTRL_KEY = 1</t>
    <phoneticPr fontId="2"/>
  </si>
  <si>
    <t>UNRD_COMMON_SHOHIN_LAST_DATE_TIME</t>
    <phoneticPr fontId="2"/>
  </si>
  <si>
    <t>UNRD_COMMON_SEIKYU_LAST_DATE_TIME</t>
    <phoneticPr fontId="2"/>
  </si>
  <si>
    <t>UNRD_COMMON_SQL_LAST_DATE_TIME</t>
    <phoneticPr fontId="2"/>
  </si>
  <si>
    <t>商品マスター最終更新日時</t>
    <rPh sb="0" eb="2">
      <t>ショウヒン</t>
    </rPh>
    <rPh sb="6" eb="8">
      <t>サイシュウ</t>
    </rPh>
    <rPh sb="8" eb="10">
      <t>コウシン</t>
    </rPh>
    <rPh sb="10" eb="12">
      <t>ニチジ</t>
    </rPh>
    <phoneticPr fontId="2"/>
  </si>
  <si>
    <t>請求マスター最終更新日時</t>
    <rPh sb="0" eb="2">
      <t>セイキュウ</t>
    </rPh>
    <rPh sb="6" eb="8">
      <t>サイシュウ</t>
    </rPh>
    <rPh sb="8" eb="10">
      <t>コウシン</t>
    </rPh>
    <rPh sb="10" eb="12">
      <t>ニチジ</t>
    </rPh>
    <phoneticPr fontId="2"/>
  </si>
  <si>
    <t>仕入マスター最終更新日時</t>
    <rPh sb="0" eb="2">
      <t>シイレ</t>
    </rPh>
    <rPh sb="6" eb="8">
      <t>サイシュウ</t>
    </rPh>
    <rPh sb="8" eb="10">
      <t>コウシン</t>
    </rPh>
    <rPh sb="10" eb="12">
      <t>ニチジ</t>
    </rPh>
    <phoneticPr fontId="2"/>
  </si>
  <si>
    <t>最終更新日時</t>
    <rPh sb="0" eb="2">
      <t>サイシュウ</t>
    </rPh>
    <rPh sb="2" eb="4">
      <t>コウシン</t>
    </rPh>
    <rPh sb="4" eb="6">
      <t>ニチジ</t>
    </rPh>
    <phoneticPr fontId="2"/>
  </si>
  <si>
    <t>最終更新日時</t>
    <rPh sb="0" eb="2">
      <t>サイシュウ</t>
    </rPh>
    <rPh sb="2" eb="4">
      <t>コウシン</t>
    </rPh>
    <rPh sb="4" eb="6">
      <t>ニチジ</t>
    </rPh>
    <phoneticPr fontId="2"/>
  </si>
  <si>
    <t>最終更新日時</t>
    <phoneticPr fontId="2"/>
  </si>
  <si>
    <t>UNRD_COMMON_SEIKYU_ERROR_CODE_LIST</t>
    <phoneticPr fontId="2"/>
  </si>
  <si>
    <t>UNRD_COMMON_SHIIRE_LAST_DATE_TIME</t>
    <phoneticPr fontId="2"/>
  </si>
  <si>
    <t>UNRD_COMMON_SHIIRE_ERROR_CODE_LIST</t>
    <phoneticPr fontId="2"/>
  </si>
  <si>
    <t>UNRD_COMMON_SHOHIN_ERROR_CODE_LIST</t>
    <phoneticPr fontId="2"/>
  </si>
  <si>
    <t>請求マスターエラーコードリスト</t>
    <phoneticPr fontId="2"/>
  </si>
  <si>
    <t>仕入マスターエラーコードリスト</t>
    <phoneticPr fontId="2"/>
  </si>
  <si>
    <t>商品マスターエラーコードリスト</t>
    <phoneticPr fontId="2"/>
  </si>
  <si>
    <t>更新日SQL</t>
    <rPh sb="0" eb="3">
      <t>コウシンビ</t>
    </rPh>
    <phoneticPr fontId="2"/>
  </si>
  <si>
    <t>UPDATE</t>
    <phoneticPr fontId="2"/>
  </si>
  <si>
    <t>VALUES</t>
    <phoneticPr fontId="2"/>
  </si>
  <si>
    <t xml:space="preserve">UPDATE M_SHOHIN 
      SET </t>
    <phoneticPr fontId="2"/>
  </si>
  <si>
    <t xml:space="preserve"> 
      OR M_SHOHIN.LINK_DATETIME IS NULL OR M_SHOHIN.LINK_DATETIME  = ''</t>
    <phoneticPr fontId="2"/>
  </si>
  <si>
    <t xml:space="preserve"> 
      OR CONVERT(DATETIME, SUBSTRING(M_SHOHIN.DBS_UPDATE_DATE,3,19) , 120)  &gt; M_SHOHIN.LINK_DATETIME</t>
    <phoneticPr fontId="2"/>
  </si>
  <si>
    <t xml:space="preserve">UPDATE M_CONTROL 
      SET </t>
    <phoneticPr fontId="2"/>
  </si>
  <si>
    <t xml:space="preserve">
  WHERE M_CONTROL.CTRL_KEY = 1</t>
    <phoneticPr fontId="2"/>
  </si>
  <si>
    <t>UNRD0050_SQL_UPDATE_CONTROL_LINK_DATETIME</t>
    <phoneticPr fontId="2"/>
  </si>
  <si>
    <t>UNRD0050_SQL_UPDATE_MASTER_LINK_DATETIME</t>
    <phoneticPr fontId="2"/>
  </si>
  <si>
    <t>商品マスタ－更新SQL</t>
    <rPh sb="0" eb="2">
      <t>ショウヒン</t>
    </rPh>
    <rPh sb="6" eb="8">
      <t>コウシン</t>
    </rPh>
    <phoneticPr fontId="2"/>
  </si>
  <si>
    <t>コントロールマスター更新SQL</t>
    <rPh sb="10" eb="12">
      <t>コウシン</t>
    </rPh>
    <phoneticPr fontId="2"/>
  </si>
  <si>
    <t>UNRD0050_SQL_SHOHIN_RENDO_LIST</t>
    <phoneticPr fontId="2"/>
  </si>
  <si>
    <t>WHERE</t>
    <phoneticPr fontId="2"/>
  </si>
  <si>
    <t xml:space="preserve">
   OR CONVERT(DATETIME, SUBSTRING(M_AITESAKI.DBS_UPDATE_DATE,3,19) , 120) &gt; M_AITESAKI.LINK_DATETIME</t>
    <phoneticPr fontId="2"/>
  </si>
  <si>
    <t xml:space="preserve">
   OR M_AITESAKI.LINK_DATETIME IS NULL OR M_AITESAKI.LINK_DATETIME = ''</t>
    <phoneticPr fontId="2"/>
  </si>
  <si>
    <t>相手先マスタ－更新SQL</t>
    <rPh sb="0" eb="3">
      <t>アイテサキ</t>
    </rPh>
    <rPh sb="7" eb="9">
      <t>コウシン</t>
    </rPh>
    <phoneticPr fontId="2"/>
  </si>
  <si>
    <t>NOT　NULL</t>
    <phoneticPr fontId="2"/>
  </si>
  <si>
    <t>IS NULL</t>
    <phoneticPr fontId="2"/>
  </si>
  <si>
    <t>UNRD0040_SQL_UPDATE_MASTER_LINK_DATETIME</t>
    <phoneticPr fontId="2"/>
  </si>
  <si>
    <t>UNRD0040_SQL_UPDATE_CONTROL_LINK_DATETIME</t>
    <phoneticPr fontId="2"/>
  </si>
  <si>
    <t xml:space="preserve">UPDATE M_AITESAKI 
      SET </t>
    <phoneticPr fontId="2"/>
  </si>
  <si>
    <t>仕入コード</t>
    <rPh sb="0" eb="2">
      <t>シイレ</t>
    </rPh>
    <phoneticPr fontId="2"/>
  </si>
  <si>
    <t>UNRD0030_SQL_UPDATE_MASTER_LINK_DATETIME</t>
    <phoneticPr fontId="2"/>
  </si>
  <si>
    <t>UNRD0030_SQL_UPDATE_CONTROL_LINK_DATETIME</t>
    <phoneticPr fontId="2"/>
  </si>
  <si>
    <t>0000000</t>
  </si>
  <si>
    <t>2016-08-08T14:25:33.017</t>
  </si>
  <si>
    <t>2016-08-08T14:25:32.92</t>
  </si>
  <si>
    <t>2016-08-08T14:25:32.97</t>
  </si>
  <si>
    <t>138960.0000</t>
  </si>
  <si>
    <t>2016-08-08T15:38:59.43</t>
  </si>
  <si>
    <t>2016-08-08T14:25:34.293</t>
  </si>
  <si>
    <t>2016-08-08T14:25:34.28</t>
  </si>
  <si>
    <t>2016-08-08T14:25:34.467</t>
  </si>
  <si>
    <t>2016-08-08T14:25:34.48</t>
  </si>
  <si>
    <t>2016-08-08T14:25:34.637</t>
  </si>
  <si>
    <t>2016-08-08T14:25:34.623</t>
  </si>
  <si>
    <t>2016-08-08T14:25:34.653</t>
  </si>
  <si>
    <t>2016-08-08T14:25:34.81</t>
  </si>
  <si>
    <t>2016-08-08T14:25:34.793</t>
  </si>
  <si>
    <t>2016-08-08T14:25:35.2</t>
  </si>
  <si>
    <t>2016-08-08T14:25:35.17</t>
  </si>
  <si>
    <t>2016-08-08T14:25:35.183</t>
  </si>
  <si>
    <t>2016-08-08T14:25:35.373</t>
  </si>
  <si>
    <t>2016-08-08T14:25:35.357</t>
  </si>
  <si>
    <t>2016-08-08T14:25:35.387</t>
  </si>
  <si>
    <t>2016-08-08T14:25:35.543</t>
  </si>
  <si>
    <t>2016-08-08T14:25:35.56</t>
  </si>
  <si>
    <t>2016-08-08T14:25:35.747</t>
  </si>
  <si>
    <t>2016-08-08T14:25:35.733</t>
  </si>
  <si>
    <t>2016-08-08T14:25:35.92</t>
  </si>
  <si>
    <t>2016-08-08T14:25:35.933</t>
  </si>
  <si>
    <t>2016-08-08T14:25:36.107</t>
  </si>
  <si>
    <t>2016-08-08T14:25:36.09</t>
  </si>
  <si>
    <t>2016-08-08T14:25:36.123</t>
  </si>
  <si>
    <t>2016-08-08T14:25:36.34</t>
  </si>
  <si>
    <t>2016-08-08T14:25:36.327</t>
  </si>
  <si>
    <t>2016-08-08T14:25:36.56</t>
  </si>
  <si>
    <t>2016-08-08T14:25:36.543</t>
  </si>
  <si>
    <t>2016-08-08T14:25:36.733</t>
  </si>
  <si>
    <t>2016-08-08T14:25:36.747</t>
  </si>
  <si>
    <t>2016-08-08T14:25:36.92</t>
  </si>
  <si>
    <t>2016-08-08T14:25:36.903</t>
  </si>
  <si>
    <t>2016-08-08T14:25:37.09</t>
  </si>
  <si>
    <t>2016-08-08T14:25:37.077</t>
  </si>
  <si>
    <t>2016-08-08T14:25:37.263</t>
  </si>
  <si>
    <t>2016-08-08T14:25:37.247</t>
  </si>
  <si>
    <t>2016-08-08T14:25:37.45</t>
  </si>
  <si>
    <t>2016-08-08T14:25:37.433</t>
  </si>
  <si>
    <t>2016-08-08T14:25:37.623</t>
  </si>
  <si>
    <t>2016-08-08T14:25:37.607</t>
  </si>
  <si>
    <t>2016-08-08T14:25:37.84</t>
  </si>
  <si>
    <t>2016-08-08T14:25:37.857</t>
  </si>
  <si>
    <t>2016-08-08T14:25:38.03</t>
  </si>
  <si>
    <t>2016-08-08T14:25:38.013</t>
  </si>
  <si>
    <t>2016-08-08T14:25:38.217</t>
  </si>
  <si>
    <t>2016-08-08T14:25:38.2</t>
  </si>
  <si>
    <t>2016-08-08T14:25:38.387</t>
  </si>
  <si>
    <t>2016-08-08T14:25:38.373</t>
  </si>
  <si>
    <t>2016-08-08T14:25:38.403</t>
  </si>
  <si>
    <t>2016-08-08T14:25:38.577</t>
  </si>
  <si>
    <t>2016-08-08T14:25:38.563</t>
  </si>
  <si>
    <t>2016-08-08T14:25:38.767</t>
  </si>
  <si>
    <t>2016-08-08T14:25:38.75</t>
  </si>
  <si>
    <t>2016-08-08T14:25:38.937</t>
  </si>
  <si>
    <t>2016-08-08T14:25:38.92</t>
  </si>
  <si>
    <t>2016-08-08T14:25:39.157</t>
  </si>
  <si>
    <t>2016-08-08T14:25:39.17</t>
  </si>
  <si>
    <t>2016-08-08T14:25:39.343</t>
  </si>
  <si>
    <t>2016-08-08T14:25:39.327</t>
  </si>
  <si>
    <t>2016-08-08T14:25:39.517</t>
  </si>
  <si>
    <t>2016-08-08T14:25:39.5</t>
  </si>
  <si>
    <t>2016-08-08T14:25:39.687</t>
  </si>
  <si>
    <t>2016-08-08T14:25:39.67</t>
  </si>
  <si>
    <t>2016-08-08T14:25:40.017</t>
  </si>
  <si>
    <t>2016-08-08T14:25:40</t>
  </si>
  <si>
    <t>2016-08-08T14:25:40.187</t>
  </si>
  <si>
    <t>2016-08-08T14:25:40.203</t>
  </si>
  <si>
    <t>2016-08-08T14:25:40.407</t>
  </si>
  <si>
    <t>2016-08-08T14:25:40.36</t>
  </si>
  <si>
    <t>2016-08-08T14:25:40.39</t>
  </si>
  <si>
    <t>2016-08-08T14:25:40.667</t>
  </si>
  <si>
    <t>2016-08-08T14:25:40.683</t>
  </si>
  <si>
    <t>2016-08-08T14:25:40.84</t>
  </si>
  <si>
    <t>2016-08-08T14:25:40.823</t>
  </si>
  <si>
    <t>2016-08-08T14:25:40.853</t>
  </si>
  <si>
    <t>2016-08-08T14:25:41.01</t>
  </si>
  <si>
    <t>2016-08-08T14:25:40.997</t>
  </si>
  <si>
    <t>2016-08-08T14:25:41.027</t>
  </si>
  <si>
    <t>2016-08-08T14:25:41.213</t>
  </si>
  <si>
    <t>2016-08-08T14:25:41.197</t>
  </si>
  <si>
    <t>2016-08-08T14:25:41.387</t>
  </si>
  <si>
    <t>2016-08-08T14:25:41.37</t>
  </si>
  <si>
    <t>2016-08-08T14:25:41.573</t>
  </si>
  <si>
    <t>2016-08-08T14:25:41.557</t>
  </si>
  <si>
    <t>2016-08-08T14:25:41.793</t>
  </si>
  <si>
    <t>2016-08-08T14:25:41.73</t>
  </si>
  <si>
    <t>2016-08-08T14:25:41.81</t>
  </si>
  <si>
    <t>2016-08-08T14:25:42.293</t>
  </si>
  <si>
    <t>2016-08-08T14:25:42.28</t>
  </si>
  <si>
    <t>2016-08-08T14:25:42.287</t>
  </si>
  <si>
    <t>2016-08-08T14:25:42.297</t>
  </si>
  <si>
    <t>2016-08-08T14:25:42.45</t>
  </si>
  <si>
    <t>2016-08-08T14:25:42.44</t>
  </si>
  <si>
    <t>2016-08-08T14:25:42.447</t>
  </si>
  <si>
    <t>2016-08-08T14:25:42.453</t>
  </si>
  <si>
    <t>2016-08-08T14:25:42.58</t>
  </si>
  <si>
    <t>2016-08-08T14:25:42.563</t>
  </si>
  <si>
    <t>2016-08-08T14:25:42.707</t>
  </si>
  <si>
    <t>2016-08-08T14:25:42.847</t>
  </si>
  <si>
    <t>2016-08-08T14:25:42.86</t>
  </si>
  <si>
    <t>2016-08-08T14:25:43.017</t>
  </si>
  <si>
    <t>2016-08-08T14:25:43.003</t>
  </si>
  <si>
    <t>2016-08-08T14:25:43.033</t>
  </si>
  <si>
    <t>2016-08-08T14:25:43.423</t>
  </si>
  <si>
    <t>2016-08-08T14:25:43.313</t>
  </si>
  <si>
    <t>2016-08-08T14:25:43.44</t>
  </si>
  <si>
    <t>2016-08-08T14:25:43.967</t>
  </si>
  <si>
    <t>2016-08-08T14:25:43.95</t>
  </si>
  <si>
    <t>2016-08-08T14:25:43.983</t>
  </si>
  <si>
    <t>2016-08-08T14:25:44.14</t>
  </si>
  <si>
    <t>2016-08-08T14:25:44.123</t>
  </si>
  <si>
    <t>2016-08-08T14:25:44.153</t>
  </si>
  <si>
    <t>2016-08-08T14:25:44.31</t>
  </si>
  <si>
    <t>2016-08-08T14:25:44.293</t>
  </si>
  <si>
    <t>2016-08-08T14:25:44.56</t>
  </si>
  <si>
    <t>2016-08-08T14:25:44.543</t>
  </si>
  <si>
    <t>2016-08-08T14:25:44.92</t>
  </si>
  <si>
    <t>2016-08-08T14:25:44.84</t>
  </si>
  <si>
    <t>2016-08-08T14:25:44.937</t>
  </si>
  <si>
    <t>2016-08-08T14:25:45.09</t>
  </si>
  <si>
    <t>2016-08-08T14:25:45.107</t>
  </si>
  <si>
    <t>2016-08-08T14:25:45.263</t>
  </si>
  <si>
    <t>2016-08-08T14:25:45.247</t>
  </si>
  <si>
    <t>2016-08-08T14:25:45.28</t>
  </si>
  <si>
    <t>2016-08-08T14:25:45.437</t>
  </si>
  <si>
    <t>2016-08-08T14:25:45.42</t>
  </si>
  <si>
    <t>2016-08-08T14:25:45.607</t>
  </si>
  <si>
    <t>2016-08-08T14:25:45.593</t>
  </si>
  <si>
    <t>2016-08-08T14:25:45.78</t>
  </si>
  <si>
    <t>2016-08-08T14:25:45.763</t>
  </si>
  <si>
    <t>2016-08-08T14:25:45.793</t>
  </si>
  <si>
    <t>2016-08-08T14:25:45.973</t>
  </si>
  <si>
    <t>2016-08-08T14:25:45.957</t>
  </si>
  <si>
    <t>2016-08-08T14:25:46.16</t>
  </si>
  <si>
    <t>2016-08-08T14:25:46.147</t>
  </si>
  <si>
    <t>2016-08-08T14:25:46.333</t>
  </si>
  <si>
    <t>2016-08-08T14:25:46.317</t>
  </si>
  <si>
    <t>2016-08-08T14:25:46.35</t>
  </si>
  <si>
    <t>2016-08-08T14:25:46.537</t>
  </si>
  <si>
    <t>2016-08-08T14:25:46.553</t>
  </si>
  <si>
    <t>2016-08-08T14:25:46.85</t>
  </si>
  <si>
    <t>2016-08-08T14:25:46.833</t>
  </si>
  <si>
    <t>2016-08-08T14:25:47.02</t>
  </si>
  <si>
    <t>2016-08-08T14:25:47.003</t>
  </si>
  <si>
    <t>2016-08-08T14:25:47.197</t>
  </si>
  <si>
    <t>2016-08-08T14:25:47.213</t>
  </si>
  <si>
    <t>2016-08-08T14:25:47.383</t>
  </si>
  <si>
    <t>2016-08-08T14:25:47.4</t>
  </si>
  <si>
    <t>2016-08-08T14:25:47.57</t>
  </si>
  <si>
    <t>2016-08-08T14:25:47.557</t>
  </si>
  <si>
    <t>2016-08-08T14:25:47.743</t>
  </si>
  <si>
    <t>2016-08-08T14:25:47.727</t>
  </si>
  <si>
    <t>2016-08-08T14:25:47.76</t>
  </si>
  <si>
    <t>2016-08-08T14:25:47.913</t>
  </si>
  <si>
    <t>2016-08-08T14:25:47.93</t>
  </si>
  <si>
    <t>2016-08-08T14:25:48.103</t>
  </si>
  <si>
    <t>2016-08-08T14:25:48.087</t>
  </si>
  <si>
    <t>2016-08-08T14:25:48.29</t>
  </si>
  <si>
    <t>2016-08-08T14:25:48.273</t>
  </si>
  <si>
    <t>2016-08-08T14:25:48.477</t>
  </si>
  <si>
    <t>2016-08-08T14:25:48.463</t>
  </si>
  <si>
    <t>2016-08-08T14:25:48.65</t>
  </si>
  <si>
    <t>2016-08-08T14:25:48.633</t>
  </si>
  <si>
    <t>2016-08-08T14:25:48.667</t>
  </si>
  <si>
    <t>2016-08-08T14:25:48.837</t>
  </si>
  <si>
    <t>2016-08-08T14:25:48.82</t>
  </si>
  <si>
    <t>2016-08-08T14:25:48.993</t>
  </si>
  <si>
    <t>2016-08-08T14:25:49.01</t>
  </si>
  <si>
    <t>2016-08-08T14:25:49.18</t>
  </si>
  <si>
    <t>2016-08-08T14:25:49.167</t>
  </si>
  <si>
    <t>2016-08-08T14:25:49.447</t>
  </si>
  <si>
    <t>2016-08-08T14:25:49.463</t>
  </si>
  <si>
    <t>2016-08-08T14:25:49.633</t>
  </si>
  <si>
    <t>2016-08-08T14:25:49.617</t>
  </si>
  <si>
    <t>2016-08-08T14:25:49.807</t>
  </si>
  <si>
    <t>2016-08-08T14:25:49.79</t>
  </si>
  <si>
    <t>2016-08-08T14:25:49.977</t>
  </si>
  <si>
    <t>2016-08-08T14:25:49.963</t>
  </si>
  <si>
    <t>2016-08-08T14:25:50.153</t>
  </si>
  <si>
    <t>2016-08-08T14:25:50.137</t>
  </si>
  <si>
    <t>2016-08-08T14:25:50.323</t>
  </si>
  <si>
    <t>2016-08-08T14:25:50.31</t>
  </si>
  <si>
    <t>2016-08-08T14:25:50.48</t>
  </si>
  <si>
    <t>2016-08-08T14:25:50.497</t>
  </si>
  <si>
    <t>2016-08-08T14:25:50.67</t>
  </si>
  <si>
    <t>2016-08-08T14:25:50.683</t>
  </si>
  <si>
    <t>2016-08-08T14:25:50.857</t>
  </si>
  <si>
    <t>2016-08-08T14:25:50.84</t>
  </si>
  <si>
    <t>2016-08-08T14:25:51.013</t>
  </si>
  <si>
    <t>2016-08-08T14:25:51.027</t>
  </si>
  <si>
    <t>2016-08-08T14:25:51.2</t>
  </si>
  <si>
    <t>2016-08-08T14:25:51.183</t>
  </si>
  <si>
    <t>2016-08-08T14:25:51.373</t>
  </si>
  <si>
    <t>2016-08-08T14:25:51.357</t>
  </si>
  <si>
    <t>2016-08-08T14:25:51.543</t>
  </si>
  <si>
    <t>2016-08-08T14:25:51.527</t>
  </si>
  <si>
    <t>2016-08-08T14:25:51.73</t>
  </si>
  <si>
    <t>2016-08-08T14:25:51.747</t>
  </si>
  <si>
    <t>2016-08-08T14:25:51.903</t>
  </si>
  <si>
    <t>2016-08-08T14:25:51.887</t>
  </si>
  <si>
    <t>2016-08-08T14:25:51.92</t>
  </si>
  <si>
    <t>2016-08-08T14:25:52.107</t>
  </si>
  <si>
    <t>2016-08-08T14:25:52.09</t>
  </si>
  <si>
    <t>2016-08-08T14:25:52.123</t>
  </si>
  <si>
    <t>2016-08-08T14:25:52.277</t>
  </si>
  <si>
    <t>2016-08-08T14:25:52.263</t>
  </si>
  <si>
    <t>2016-08-08T14:25:52.293</t>
  </si>
  <si>
    <t>2016-08-08T14:25:52.467</t>
  </si>
  <si>
    <t>2016-08-08T14:25:52.45</t>
  </si>
  <si>
    <t>2016-08-08T14:25:52.637</t>
  </si>
  <si>
    <t>2016-08-08T14:25:52.623</t>
  </si>
  <si>
    <t>2016-08-08T14:25:52.82</t>
  </si>
  <si>
    <t>2016-08-08T14:25:52.807</t>
  </si>
  <si>
    <t>2016-08-08T14:25:52.993</t>
  </si>
  <si>
    <t>2016-08-08T14:25:52.977</t>
  </si>
  <si>
    <t>2016-08-08T14:25:53.163</t>
  </si>
  <si>
    <t>2016-08-08T14:25:53.15</t>
  </si>
  <si>
    <t>2016-08-08T14:25:53.353</t>
  </si>
  <si>
    <t>2016-08-08T14:25:53.337</t>
  </si>
  <si>
    <t>2016-08-08T14:25:53.523</t>
  </si>
  <si>
    <t>2016-08-08T14:25:53.54</t>
  </si>
  <si>
    <t>2016-08-08T14:25:53.697</t>
  </si>
  <si>
    <t>2016-08-08T14:25:53.713</t>
  </si>
  <si>
    <t>2016-08-08T14:25:53.883</t>
  </si>
  <si>
    <t>2016-08-08T14:25:53.867</t>
  </si>
  <si>
    <t>2016-08-08T14:25:54.057</t>
  </si>
  <si>
    <t>2016-08-08T14:25:54.04</t>
  </si>
  <si>
    <t>2016-08-08T14:25:54.07</t>
  </si>
  <si>
    <t>2016-08-08T14:25:54.26</t>
  </si>
  <si>
    <t>2016-08-08T14:25:54.243</t>
  </si>
  <si>
    <t>2016-08-08T14:25:54.43</t>
  </si>
  <si>
    <t>2016-08-08T14:25:54.413</t>
  </si>
  <si>
    <t>2016-08-08T14:25:54.447</t>
  </si>
  <si>
    <t>2016-08-08T14:25:54.633</t>
  </si>
  <si>
    <t>2016-08-08T14:25:54.617</t>
  </si>
  <si>
    <t>2016-08-08T14:25:54.807</t>
  </si>
  <si>
    <t>2016-08-08T14:25:54.79</t>
  </si>
  <si>
    <t>2016-08-08T14:25:54.977</t>
  </si>
  <si>
    <t>2016-08-08T14:25:54.963</t>
  </si>
  <si>
    <t>2016-08-08T14:25:55.167</t>
  </si>
  <si>
    <t>2016-08-08T14:25:55.15</t>
  </si>
  <si>
    <t>2016-08-08T14:25:55.4</t>
  </si>
  <si>
    <t>2016-08-08T14:25:55.383</t>
  </si>
  <si>
    <t>2016-08-08T14:25:55.573</t>
  </si>
  <si>
    <t>2016-08-08T14:25:55.557</t>
  </si>
  <si>
    <t>2016-08-08T14:25:55.773</t>
  </si>
  <si>
    <t>2016-08-08T14:25:55.76</t>
  </si>
  <si>
    <t>2016-08-08T14:25:55.963</t>
  </si>
  <si>
    <t>2016-08-08T14:25:55.947</t>
  </si>
  <si>
    <t>2016-08-08T14:25:56.133</t>
  </si>
  <si>
    <t>2016-08-08T14:25:56.12</t>
  </si>
  <si>
    <t>2016-08-08T14:25:56.15</t>
  </si>
  <si>
    <t>2016-08-08T14:25:56.323</t>
  </si>
  <si>
    <t>2016-08-08T14:25:56.307</t>
  </si>
  <si>
    <t>2016-08-08T14:25:56.337</t>
  </si>
  <si>
    <t>2016-08-08T14:25:56.493</t>
  </si>
  <si>
    <t>2016-08-08T14:25:56.51</t>
  </si>
  <si>
    <t>2016-08-08T14:25:56.68</t>
  </si>
  <si>
    <t>2016-08-08T14:25:56.667</t>
  </si>
  <si>
    <t>2016-08-08T14:25:56.853</t>
  </si>
  <si>
    <t>2016-08-08T14:25:56.837</t>
  </si>
  <si>
    <t>2016-08-08T14:25:57.027</t>
  </si>
  <si>
    <t>2016-08-08T14:25:57.01</t>
  </si>
  <si>
    <t>2016-08-08T14:25:57.167</t>
  </si>
  <si>
    <t>2016-08-08T14:25:57.18</t>
  </si>
  <si>
    <t>2016-08-08T14:25:57.307</t>
  </si>
  <si>
    <t>2016-08-08T14:25:57.323</t>
  </si>
  <si>
    <t>2016-08-08T14:25:57.447</t>
  </si>
  <si>
    <t>2016-08-08T14:25:57.463</t>
  </si>
  <si>
    <t>2016-08-08T14:25:57.713</t>
  </si>
  <si>
    <t>2016-08-08T14:25:57.697</t>
  </si>
  <si>
    <t>2016-08-08T14:25:57.853</t>
  </si>
  <si>
    <t>2016-08-08T14:25:57.837</t>
  </si>
  <si>
    <t>2016-08-08T14:25:57.993</t>
  </si>
  <si>
    <t>2016-08-08T14:25:57.98</t>
  </si>
  <si>
    <t>2016-08-08T14:25:58.133</t>
  </si>
  <si>
    <t>2016-08-08T14:25:58.12</t>
  </si>
  <si>
    <t>2016-08-08T14:25:58.277</t>
  </si>
  <si>
    <t>2016-08-08T14:25:58.26</t>
  </si>
  <si>
    <t>2016-08-08T14:25:58.417</t>
  </si>
  <si>
    <t>2016-08-08T14:25:58.557</t>
  </si>
  <si>
    <t>2016-08-08T14:25:58.573</t>
  </si>
  <si>
    <t>2016-08-08T14:25:58.697</t>
  </si>
  <si>
    <t>2016-08-08T14:25:58.847</t>
  </si>
  <si>
    <t>2016-08-08T14:25:58.83</t>
  </si>
  <si>
    <t>2016-08-08T14:25:58.987</t>
  </si>
  <si>
    <t>2016-08-08T14:25:58.97</t>
  </si>
  <si>
    <t>2016-08-08T14:25:59.143</t>
  </si>
  <si>
    <t>2016-08-08T14:25:59.127</t>
  </si>
  <si>
    <t>2016-08-08T14:25:59.36</t>
  </si>
  <si>
    <t>2016-08-08T14:25:59.347</t>
  </si>
  <si>
    <t>2016-08-08T14:25:59.533</t>
  </si>
  <si>
    <t>2016-08-08T14:25:59.517</t>
  </si>
  <si>
    <t>2016-08-08T14:25:59.703</t>
  </si>
  <si>
    <t>2016-08-08T14:25:59.69</t>
  </si>
  <si>
    <t>2016-08-08T14:25:59.72</t>
  </si>
  <si>
    <t>2016-08-08T14:25:59.923</t>
  </si>
  <si>
    <t>2016-08-08T14:25:59.91</t>
  </si>
  <si>
    <t>2016-08-08T14:25:59.94</t>
  </si>
  <si>
    <t>2016-08-08T14:26:00.097</t>
  </si>
  <si>
    <t>2016-08-08T14:26:00.113</t>
  </si>
  <si>
    <t>2016-08-08T14:26:00.283</t>
  </si>
  <si>
    <t>2016-08-08T14:26:00.3</t>
  </si>
  <si>
    <t>2016-08-08T14:26:00.47</t>
  </si>
  <si>
    <t>2016-08-08T14:26:00.457</t>
  </si>
  <si>
    <t>2016-08-08T14:26:00.487</t>
  </si>
  <si>
    <t>2016-08-08T14:26:00.66</t>
  </si>
  <si>
    <t>2016-08-08T14:26:00.643</t>
  </si>
  <si>
    <t>2016-08-08T14:26:00.83</t>
  </si>
  <si>
    <t>2016-08-08T14:26:00.817</t>
  </si>
  <si>
    <t>2016-08-08T14:26:00.847</t>
  </si>
  <si>
    <t>2016-08-08T14:26:01.02</t>
  </si>
  <si>
    <t>2016-08-08T14:26:01.003</t>
  </si>
  <si>
    <t>2016-08-08T14:26:01.207</t>
  </si>
  <si>
    <t>2016-08-08T14:26:01.19</t>
  </si>
  <si>
    <t>2016-08-08T14:26:01.52</t>
  </si>
  <si>
    <t>2016-08-08T14:26:01.533</t>
  </si>
  <si>
    <t>2016-08-08T14:26:01.707</t>
  </si>
  <si>
    <t>2016-08-08T14:26:01.69</t>
  </si>
  <si>
    <t>2016-08-08T14:26:01.863</t>
  </si>
  <si>
    <t>2016-08-08T14:26:01.877</t>
  </si>
  <si>
    <t>2016-08-08T14:26:02.033</t>
  </si>
  <si>
    <t>2016-08-08T14:26:02.02</t>
  </si>
  <si>
    <t>2016-08-08T14:26:02.207</t>
  </si>
  <si>
    <t>2016-08-08T14:26:02.19</t>
  </si>
  <si>
    <t>2016-08-08T14:26:02.223</t>
  </si>
  <si>
    <t>2016-08-08T14:26:02.393</t>
  </si>
  <si>
    <t>2016-08-08T14:26:02.377</t>
  </si>
  <si>
    <t>2016-08-08T14:26:02.567</t>
  </si>
  <si>
    <t>2016-08-08T14:26:02.55</t>
  </si>
  <si>
    <t>2016-08-08T14:26:02.723</t>
  </si>
  <si>
    <t>2016-08-08T14:26:02.737</t>
  </si>
  <si>
    <t>2016-08-08T14:26:02.903</t>
  </si>
  <si>
    <t>2016-08-08T14:26:02.887</t>
  </si>
  <si>
    <t>2016-08-08T14:26:03.107</t>
  </si>
  <si>
    <t>2016-08-08T14:26:03.09</t>
  </si>
  <si>
    <t>2016-08-08T14:26:03.293</t>
  </si>
  <si>
    <t>2016-08-08T14:26:03.277</t>
  </si>
  <si>
    <t>2016-08-08T14:26:03.463</t>
  </si>
  <si>
    <t>2016-08-08T14:26:03.45</t>
  </si>
  <si>
    <t>2016-08-08T14:26:03.637</t>
  </si>
  <si>
    <t>2016-08-08T14:26:03.62</t>
  </si>
  <si>
    <t>2016-08-08T14:26:03.653</t>
  </si>
  <si>
    <t>2016-08-08T14:26:03.807</t>
  </si>
  <si>
    <t>2016-08-08T14:26:03.823</t>
  </si>
  <si>
    <t>2016-08-08T14:26:03.997</t>
  </si>
  <si>
    <t>2016-08-08T14:26:03.98</t>
  </si>
  <si>
    <t>2016-08-08T14:26:04.167</t>
  </si>
  <si>
    <t>2016-08-08T14:26:04.153</t>
  </si>
  <si>
    <t>2016-08-08T14:26:04.34</t>
  </si>
  <si>
    <t>2016-08-08T14:26:04.357</t>
  </si>
  <si>
    <t>2016-08-08T14:26:04.527</t>
  </si>
  <si>
    <t>2016-08-08T14:26:04.543</t>
  </si>
  <si>
    <t>2016-08-08T14:26:04.713</t>
  </si>
  <si>
    <t>2016-08-08T14:26:04.7</t>
  </si>
  <si>
    <t>2016-08-08T14:26:04.887</t>
  </si>
  <si>
    <t>2016-08-08T14:26:04.903</t>
  </si>
  <si>
    <t>2016-08-08T14:26:05.073</t>
  </si>
  <si>
    <t>2016-08-08T14:26:05.09</t>
  </si>
  <si>
    <t>2016-08-08T14:26:05.277</t>
  </si>
  <si>
    <t>2016-08-08T14:26:05.26</t>
  </si>
  <si>
    <t>2016-08-08T14:26:05.293</t>
  </si>
  <si>
    <t>2016-08-08T14:26:05.45</t>
  </si>
  <si>
    <t>2016-08-08T14:26:05.463</t>
  </si>
  <si>
    <t>2016-08-08T14:26:05.607</t>
  </si>
  <si>
    <t>2016-08-08T14:26:05.62</t>
  </si>
  <si>
    <t>2016-08-08T14:26:05.747</t>
  </si>
  <si>
    <t>2016-08-08T14:26:05.76</t>
  </si>
  <si>
    <t>2016-08-08T14:26:05.887</t>
  </si>
  <si>
    <t>2016-08-08T14:26:05.903</t>
  </si>
  <si>
    <t>2016-08-08T14:26:06.043</t>
  </si>
  <si>
    <t>2016-08-08T14:26:06.027</t>
  </si>
  <si>
    <t>2016-08-08T14:26:06.06</t>
  </si>
  <si>
    <t>2016-08-08T14:26:06.247</t>
  </si>
  <si>
    <t>2016-08-08T14:26:06.23</t>
  </si>
  <si>
    <t>2016-08-08T14:26:06.433</t>
  </si>
  <si>
    <t>2016-08-08T14:26:06.417</t>
  </si>
  <si>
    <t>2016-08-08T14:26:06.607</t>
  </si>
  <si>
    <t>2016-08-08T14:26:06.62</t>
  </si>
  <si>
    <t>2016-08-08T14:26:06.81</t>
  </si>
  <si>
    <t>2016-08-08T14:26:06.777</t>
  </si>
  <si>
    <t>2016-08-08T14:26:06.98</t>
  </si>
  <si>
    <t>2016-08-08T14:26:06.997</t>
  </si>
  <si>
    <t>2016-08-08T14:26:07.167</t>
  </si>
  <si>
    <t>2016-08-08T14:26:07.153</t>
  </si>
  <si>
    <t>2016-08-08T14:26:07.34</t>
  </si>
  <si>
    <t>2016-08-08T14:26:07.357</t>
  </si>
  <si>
    <t>2016-08-08T14:26:07.513</t>
  </si>
  <si>
    <t>2016-08-08T14:26:07.527</t>
  </si>
  <si>
    <t>2016-08-08T14:26:07.7</t>
  </si>
  <si>
    <t>2016-08-08T14:26:07.683</t>
  </si>
  <si>
    <t>2016-08-08T14:26:07.887</t>
  </si>
  <si>
    <t>2016-08-08T14:26:07.87</t>
  </si>
  <si>
    <t>2016-08-08T14:26:08.073</t>
  </si>
  <si>
    <t>2016-08-08T14:26:08.06</t>
  </si>
  <si>
    <t>2016-08-08T14:26:08.263</t>
  </si>
  <si>
    <t>2016-08-08T14:26:08.247</t>
  </si>
  <si>
    <t>2016-08-08T14:26:08.433</t>
  </si>
  <si>
    <t>2016-08-08T14:26:08.45</t>
  </si>
  <si>
    <t>2016-08-08T14:26:08.637</t>
  </si>
  <si>
    <t>2016-08-08T14:26:08.62</t>
  </si>
  <si>
    <t>2016-08-08T14:26:08.81</t>
  </si>
  <si>
    <t>2016-08-08T14:26:08.823</t>
  </si>
  <si>
    <t>2016-08-08T14:26:08.98</t>
  </si>
  <si>
    <t>2016-08-08T14:26:08.967</t>
  </si>
  <si>
    <t>2016-08-08T14:26:09.153</t>
  </si>
  <si>
    <t>2016-08-08T14:26:09.137</t>
  </si>
  <si>
    <t>2016-08-08T14:26:09.34</t>
  </si>
  <si>
    <t>2016-08-08T14:26:09.323</t>
  </si>
  <si>
    <t>2016-08-08T14:26:09.497</t>
  </si>
  <si>
    <t>2016-08-08T14:26:09.513</t>
  </si>
  <si>
    <t>2016-08-08T14:26:09.67</t>
  </si>
  <si>
    <t>2016-08-08T14:26:09.653</t>
  </si>
  <si>
    <t>2016-08-08T14:26:09.683</t>
  </si>
  <si>
    <t>2016-08-08T14:26:09.84</t>
  </si>
  <si>
    <t>2016-08-08T14:26:09.823</t>
  </si>
  <si>
    <t>2016-08-08T14:26:10.013</t>
  </si>
  <si>
    <t>2016-08-08T14:26:09.997</t>
  </si>
  <si>
    <t>2016-08-08T14:26:10.2</t>
  </si>
  <si>
    <t>2016-08-08T14:26:10.183</t>
  </si>
  <si>
    <t>2016-08-08T14:26:10.37</t>
  </si>
  <si>
    <t>2016-08-08T14:26:10.357</t>
  </si>
  <si>
    <t>2016-08-08T14:26:10.543</t>
  </si>
  <si>
    <t>2016-08-08T14:26:10.527</t>
  </si>
  <si>
    <t>2016-08-08T14:26:10.56</t>
  </si>
  <si>
    <t>2016-08-08T14:26:10.73</t>
  </si>
  <si>
    <t>2016-08-08T14:26:10.717</t>
  </si>
  <si>
    <t>2016-08-08T14:26:10.903</t>
  </si>
  <si>
    <t>2016-08-08T14:26:10.92</t>
  </si>
  <si>
    <t>2016-08-08T14:26:11.09</t>
  </si>
  <si>
    <t>2016-08-08T14:26:11.073</t>
  </si>
  <si>
    <t>2016-08-08T14:26:11.277</t>
  </si>
  <si>
    <t>2016-08-08T14:26:11.263</t>
  </si>
  <si>
    <t>2016-08-08T14:26:11.45</t>
  </si>
  <si>
    <t>2016-08-08T14:26:11.433</t>
  </si>
  <si>
    <t>2016-08-08T14:26:11.467</t>
  </si>
  <si>
    <t>2016-08-08T14:26:11.637</t>
  </si>
  <si>
    <t>2016-08-08T14:26:11.623</t>
  </si>
  <si>
    <t>2016-08-08T14:26:11.827</t>
  </si>
  <si>
    <t>2016-08-08T14:26:11.81</t>
  </si>
  <si>
    <t>2016-08-08T14:26:11.997</t>
  </si>
  <si>
    <t>2016-08-08T14:26:11.98</t>
  </si>
  <si>
    <t>2016-08-08T14:26:12.183</t>
  </si>
  <si>
    <t>2016-08-08T14:26:12.17</t>
  </si>
  <si>
    <t>2016-08-08T14:26:12.2</t>
  </si>
  <si>
    <t>2016-08-08T14:26:12.373</t>
  </si>
  <si>
    <t>2016-08-08T14:26:12.36</t>
  </si>
  <si>
    <t>2016-08-08T14:26:12.37</t>
  </si>
  <si>
    <t>2016-08-08T14:26:12.38</t>
  </si>
  <si>
    <t>2016-08-08T14:26:12.55</t>
  </si>
  <si>
    <t>2016-08-08T14:26:12.537</t>
  </si>
  <si>
    <t>2016-08-08T14:26:12.723</t>
  </si>
  <si>
    <t>2016-08-08T14:26:12.74</t>
  </si>
  <si>
    <t>2016-08-08T14:26:12.91</t>
  </si>
  <si>
    <t>2016-08-08T14:26:12.893</t>
  </si>
  <si>
    <t>2016-08-08T14:26:13.083</t>
  </si>
  <si>
    <t>2016-08-08T14:26:13.067</t>
  </si>
  <si>
    <t>2016-08-08T14:26:13.27</t>
  </si>
  <si>
    <t>2016-08-08T14:26:13.287</t>
  </si>
  <si>
    <t>2016-08-08T14:26:13.457</t>
  </si>
  <si>
    <t>2016-08-08T14:26:13.473</t>
  </si>
  <si>
    <t>2016-08-08T14:26:13.647</t>
  </si>
  <si>
    <t>2016-08-08T14:26:13.63</t>
  </si>
  <si>
    <t>2016-08-08T14:26:13.817</t>
  </si>
  <si>
    <t>2016-08-08T14:26:13.8</t>
  </si>
  <si>
    <t>2016-08-08T14:26:14.003</t>
  </si>
  <si>
    <t>2016-08-08T14:26:13.99</t>
  </si>
  <si>
    <t>2016-08-08T14:26:14.177</t>
  </si>
  <si>
    <t>2016-08-08T14:26:14.16</t>
  </si>
  <si>
    <t>2016-08-08T14:26:14.193</t>
  </si>
  <si>
    <t>2016-08-08T14:26:14.363</t>
  </si>
  <si>
    <t>2016-08-08T14:26:14.347</t>
  </si>
  <si>
    <t>2016-08-08T14:26:14.547</t>
  </si>
  <si>
    <t>2016-08-08T14:26:14.53</t>
  </si>
  <si>
    <t>2016-08-08T14:26:14.717</t>
  </si>
  <si>
    <t>2016-08-08T14:26:14.703</t>
  </si>
  <si>
    <t>2016-08-08T14:26:14.89</t>
  </si>
  <si>
    <t>2016-08-08T14:26:14.907</t>
  </si>
  <si>
    <t>2016-08-08T14:26:15.077</t>
  </si>
  <si>
    <t>2016-08-08T14:26:15.06</t>
  </si>
  <si>
    <t>2016-08-08T14:26:15.263</t>
  </si>
  <si>
    <t>2016-08-08T14:26:15.25</t>
  </si>
  <si>
    <t>2016-08-08T14:26:15.437</t>
  </si>
  <si>
    <t>2016-08-08T14:26:15.453</t>
  </si>
  <si>
    <t>取得件数</t>
    <rPh sb="0" eb="2">
      <t>シュトク</t>
    </rPh>
    <rPh sb="2" eb="4">
      <t>ケンスウ</t>
    </rPh>
    <phoneticPr fontId="2"/>
  </si>
  <si>
    <t xml:space="preserve">    AND M_AITESAKI.SHIRE_FLG = 'True'
</t>
    <phoneticPr fontId="2"/>
  </si>
  <si>
    <t>NOT NULL</t>
    <phoneticPr fontId="2"/>
  </si>
  <si>
    <t>IS NULL</t>
    <phoneticPr fontId="2"/>
  </si>
  <si>
    <t>商品コード</t>
    <rPh sb="0" eb="2">
      <t>ショウヒン</t>
    </rPh>
    <phoneticPr fontId="2"/>
  </si>
  <si>
    <t>クリア範囲</t>
    <rPh sb="3" eb="5">
      <t>ハンイ</t>
    </rPh>
    <phoneticPr fontId="2"/>
  </si>
  <si>
    <t>クリア範囲</t>
    <phoneticPr fontId="2"/>
  </si>
  <si>
    <t>クリア範囲</t>
    <phoneticPr fontId="2"/>
  </si>
  <si>
    <t>ユーザーID</t>
  </si>
  <si>
    <t>プロジェクト名</t>
    <rPh sb="6" eb="7">
      <t>メイ</t>
    </rPh>
    <phoneticPr fontId="2"/>
  </si>
  <si>
    <t>使用区分</t>
    <rPh sb="0" eb="2">
      <t>シヨウ</t>
    </rPh>
    <rPh sb="2" eb="4">
      <t>クブン</t>
    </rPh>
    <phoneticPr fontId="2"/>
  </si>
  <si>
    <t>更新DATE</t>
    <rPh sb="0" eb="2">
      <t>コウシン</t>
    </rPh>
    <phoneticPr fontId="2"/>
  </si>
  <si>
    <t>予備1</t>
    <rPh sb="0" eb="2">
      <t>ヨビ</t>
    </rPh>
    <phoneticPr fontId="2"/>
  </si>
  <si>
    <t>予備2</t>
    <rPh sb="0" eb="2">
      <t>ヨビ</t>
    </rPh>
    <phoneticPr fontId="2"/>
  </si>
  <si>
    <t>予備3</t>
    <rPh sb="0" eb="2">
      <t>ヨビ</t>
    </rPh>
    <phoneticPr fontId="2"/>
  </si>
  <si>
    <t>予備数値1</t>
    <rPh sb="0" eb="2">
      <t>ヨビ</t>
    </rPh>
    <rPh sb="2" eb="4">
      <t>スウチ</t>
    </rPh>
    <phoneticPr fontId="2"/>
  </si>
  <si>
    <t>予備数値2</t>
    <rPh sb="0" eb="2">
      <t>ヨビ</t>
    </rPh>
    <rPh sb="2" eb="4">
      <t>スウチ</t>
    </rPh>
    <phoneticPr fontId="2"/>
  </si>
  <si>
    <t>予備数値3</t>
    <rPh sb="0" eb="2">
      <t>ヨビ</t>
    </rPh>
    <rPh sb="2" eb="4">
      <t>スウチ</t>
    </rPh>
    <phoneticPr fontId="2"/>
  </si>
  <si>
    <t>予備金額1</t>
    <rPh sb="0" eb="2">
      <t>ヨビ</t>
    </rPh>
    <rPh sb="2" eb="4">
      <t>キンガク</t>
    </rPh>
    <phoneticPr fontId="2"/>
  </si>
  <si>
    <t>予備金額2</t>
    <rPh sb="0" eb="2">
      <t>ヨビ</t>
    </rPh>
    <rPh sb="2" eb="4">
      <t>キンガク</t>
    </rPh>
    <phoneticPr fontId="2"/>
  </si>
  <si>
    <t>予備金額3</t>
    <rPh sb="0" eb="2">
      <t>ヨビ</t>
    </rPh>
    <rPh sb="2" eb="4">
      <t>キンガク</t>
    </rPh>
    <phoneticPr fontId="2"/>
  </si>
  <si>
    <t>予備文字列1</t>
    <rPh sb="0" eb="2">
      <t>ヨビ</t>
    </rPh>
    <rPh sb="2" eb="5">
      <t>モジレツ</t>
    </rPh>
    <phoneticPr fontId="2"/>
  </si>
  <si>
    <t>予備文字列2</t>
    <rPh sb="0" eb="2">
      <t>ヨビ</t>
    </rPh>
    <rPh sb="2" eb="5">
      <t>モジレツ</t>
    </rPh>
    <phoneticPr fontId="2"/>
  </si>
  <si>
    <t>予備文字列3</t>
    <rPh sb="0" eb="2">
      <t>ヨビ</t>
    </rPh>
    <rPh sb="2" eb="5">
      <t>モジレツ</t>
    </rPh>
    <phoneticPr fontId="2"/>
  </si>
  <si>
    <t>プロジェクトコード</t>
    <phoneticPr fontId="2"/>
  </si>
  <si>
    <t>プロジェクトコード</t>
    <phoneticPr fontId="2"/>
  </si>
  <si>
    <t>H9環告10号(地下水)</t>
  </si>
  <si>
    <t>相手先メールアドレス</t>
    <phoneticPr fontId="2"/>
  </si>
  <si>
    <t>先方担当者名</t>
    <phoneticPr fontId="2"/>
  </si>
  <si>
    <t>納品書社名</t>
    <phoneticPr fontId="2"/>
  </si>
  <si>
    <t>請求締日</t>
    <phoneticPr fontId="2"/>
  </si>
  <si>
    <t>消費税通知</t>
    <phoneticPr fontId="2"/>
  </si>
  <si>
    <t>請求書用紙</t>
    <phoneticPr fontId="2"/>
  </si>
  <si>
    <t>コメント</t>
    <phoneticPr fontId="2"/>
  </si>
  <si>
    <t>使用区分</t>
    <phoneticPr fontId="2"/>
  </si>
  <si>
    <t>A00943-00</t>
  </si>
  <si>
    <t>有限会社すずろ</t>
  </si>
  <si>
    <t>734-0021</t>
  </si>
  <si>
    <t>広島県広島市南区上東雲町２２－３０</t>
  </si>
  <si>
    <t>082-284-7272</t>
  </si>
  <si>
    <t>082-284-7260</t>
  </si>
  <si>
    <t>仕入連動</t>
    <rPh sb="0" eb="2">
      <t>シイレ</t>
    </rPh>
    <rPh sb="2" eb="4">
      <t>レンドウ</t>
    </rPh>
    <phoneticPr fontId="2"/>
  </si>
  <si>
    <t>非表示行指定</t>
    <rPh sb="0" eb="3">
      <t>ヒヒョウジ</t>
    </rPh>
    <rPh sb="3" eb="4">
      <t>ギョウ</t>
    </rPh>
    <rPh sb="4" eb="6">
      <t>シテイ</t>
    </rPh>
    <phoneticPr fontId="2"/>
  </si>
  <si>
    <t>UNKB0220_H_HIDE_ROW</t>
    <phoneticPr fontId="2"/>
  </si>
  <si>
    <t>非表示列指定</t>
    <rPh sb="0" eb="3">
      <t>ヒヒョウジ</t>
    </rPh>
    <rPh sb="3" eb="4">
      <t>レツ</t>
    </rPh>
    <rPh sb="4" eb="6">
      <t>シテイ</t>
    </rPh>
    <phoneticPr fontId="2"/>
  </si>
  <si>
    <t>UNKB0220_H_HIDE_COLUMN</t>
    <phoneticPr fontId="2"/>
  </si>
  <si>
    <t>ステータス：</t>
    <phoneticPr fontId="2"/>
  </si>
  <si>
    <t>伝票未突合</t>
    <rPh sb="0" eb="2">
      <t>デンピョウ</t>
    </rPh>
    <rPh sb="2" eb="3">
      <t>ミ</t>
    </rPh>
    <rPh sb="3" eb="5">
      <t>トツゴウ</t>
    </rPh>
    <phoneticPr fontId="2"/>
  </si>
  <si>
    <t>伝票突合済</t>
    <rPh sb="0" eb="2">
      <t>デンピョウ</t>
    </rPh>
    <rPh sb="2" eb="4">
      <t>トツゴウ</t>
    </rPh>
    <rPh sb="4" eb="5">
      <t>ス</t>
    </rPh>
    <phoneticPr fontId="2"/>
  </si>
  <si>
    <t>購買区分：</t>
    <rPh sb="0" eb="2">
      <t>コウバイ</t>
    </rPh>
    <rPh sb="2" eb="4">
      <t>クブン</t>
    </rPh>
    <phoneticPr fontId="2"/>
  </si>
  <si>
    <t>購買品</t>
    <rPh sb="0" eb="2">
      <t>コウバイ</t>
    </rPh>
    <rPh sb="2" eb="3">
      <t>ヒン</t>
    </rPh>
    <phoneticPr fontId="2"/>
  </si>
  <si>
    <t>外注手配</t>
    <rPh sb="0" eb="2">
      <t>ガイチュウ</t>
    </rPh>
    <rPh sb="2" eb="4">
      <t>テハイ</t>
    </rPh>
    <phoneticPr fontId="2"/>
  </si>
  <si>
    <t>修繕・定期点検</t>
    <rPh sb="0" eb="2">
      <t>シュウゼン</t>
    </rPh>
    <rPh sb="3" eb="5">
      <t>テイキ</t>
    </rPh>
    <rPh sb="5" eb="7">
      <t>テンケン</t>
    </rPh>
    <phoneticPr fontId="2"/>
  </si>
  <si>
    <t>投資</t>
    <rPh sb="0" eb="2">
      <t>トウシ</t>
    </rPh>
    <phoneticPr fontId="2"/>
  </si>
  <si>
    <t>販売商品</t>
    <rPh sb="0" eb="2">
      <t>ハンバイ</t>
    </rPh>
    <rPh sb="2" eb="4">
      <t>ショウヒン</t>
    </rPh>
    <phoneticPr fontId="2"/>
  </si>
  <si>
    <t>その他設定項目</t>
    <rPh sb="2" eb="3">
      <t>タ</t>
    </rPh>
    <rPh sb="3" eb="7">
      <t>セッテイコウモク</t>
    </rPh>
    <phoneticPr fontId="2"/>
  </si>
  <si>
    <t>UNKB0220_H_INIT_HEADER_FLG_COPY_SAKI</t>
  </si>
  <si>
    <t>グループ</t>
    <phoneticPr fontId="2"/>
  </si>
  <si>
    <t>項目名</t>
    <rPh sb="0" eb="3">
      <t>コウモクメイ</t>
    </rPh>
    <phoneticPr fontId="2"/>
  </si>
  <si>
    <t>セル名</t>
    <phoneticPr fontId="2"/>
  </si>
  <si>
    <t>設定値</t>
    <rPh sb="0" eb="3">
      <t>セッテイチ</t>
    </rPh>
    <phoneticPr fontId="2"/>
  </si>
  <si>
    <t>仕入No.▽</t>
    <rPh sb="0" eb="2">
      <t>シイレ</t>
    </rPh>
    <phoneticPr fontId="2"/>
  </si>
  <si>
    <t>～</t>
    <phoneticPr fontId="2"/>
  </si>
  <si>
    <t>仕入先▼</t>
    <rPh sb="0" eb="2">
      <t>シイレ</t>
    </rPh>
    <rPh sb="2" eb="3">
      <t>サキ</t>
    </rPh>
    <phoneticPr fontId="2"/>
  </si>
  <si>
    <t>ステータス</t>
    <phoneticPr fontId="2"/>
  </si>
  <si>
    <t>UNKB0220_H_MITOTSUGO_STS</t>
    <phoneticPr fontId="2"/>
  </si>
  <si>
    <t>伝票突合済</t>
    <phoneticPr fontId="2"/>
  </si>
  <si>
    <t>UNKB0220_H_TOTSUGOSUMI_STS</t>
    <phoneticPr fontId="2"/>
  </si>
  <si>
    <t>仕入入力者名▼</t>
    <rPh sb="0" eb="2">
      <t>シイレ</t>
    </rPh>
    <phoneticPr fontId="2"/>
  </si>
  <si>
    <t>購買区分</t>
    <rPh sb="0" eb="2">
      <t>コウバイ</t>
    </rPh>
    <rPh sb="2" eb="4">
      <t>クブン</t>
    </rPh>
    <phoneticPr fontId="2"/>
  </si>
  <si>
    <t>購買品</t>
    <rPh sb="0" eb="3">
      <t>コウバイヒン</t>
    </rPh>
    <phoneticPr fontId="2"/>
  </si>
  <si>
    <t>UNKB0220_H_KOBAIHIN_KBN</t>
    <phoneticPr fontId="2"/>
  </si>
  <si>
    <t>UNKB0220_H_GAICHU_KBN</t>
    <phoneticPr fontId="2"/>
  </si>
  <si>
    <t>フリーワード：</t>
    <phoneticPr fontId="2"/>
  </si>
  <si>
    <t>修繕定期点検</t>
    <rPh sb="0" eb="2">
      <t>シュウゼン</t>
    </rPh>
    <rPh sb="2" eb="4">
      <t>テイキ</t>
    </rPh>
    <rPh sb="4" eb="6">
      <t>テンケン</t>
    </rPh>
    <phoneticPr fontId="2"/>
  </si>
  <si>
    <t>UNKB0220_H_SHUZEN_KBN</t>
    <phoneticPr fontId="2"/>
  </si>
  <si>
    <t>UNKB0220_H_TOSHI_KBN</t>
    <phoneticPr fontId="2"/>
  </si>
  <si>
    <t>UNKB0220_H_HANBAI_KBN</t>
    <phoneticPr fontId="2"/>
  </si>
  <si>
    <t>-</t>
    <phoneticPr fontId="2"/>
  </si>
  <si>
    <t>仕入先名</t>
    <rPh sb="0" eb="2">
      <t>シイレ</t>
    </rPh>
    <rPh sb="2" eb="3">
      <t>サキ</t>
    </rPh>
    <rPh sb="3" eb="4">
      <t>メイ</t>
    </rPh>
    <phoneticPr fontId="2"/>
  </si>
  <si>
    <t>UNKB0220_H_SHIIRESAKI_MEI</t>
    <phoneticPr fontId="2"/>
  </si>
  <si>
    <t>-</t>
    <phoneticPr fontId="2"/>
  </si>
  <si>
    <t>仕入入力者CD</t>
    <rPh sb="0" eb="2">
      <t>シイレ</t>
    </rPh>
    <rPh sb="2" eb="4">
      <t>ニュウリョク</t>
    </rPh>
    <rPh sb="4" eb="5">
      <t>シャ</t>
    </rPh>
    <phoneticPr fontId="2"/>
  </si>
  <si>
    <t>UNKB0220_H_NYURYOKUSHA_CD</t>
    <phoneticPr fontId="2"/>
  </si>
  <si>
    <t>フリーワード区分</t>
    <rPh sb="6" eb="8">
      <t>クブン</t>
    </rPh>
    <phoneticPr fontId="2"/>
  </si>
  <si>
    <t>UNKB0220_H_FREEWD_KBN</t>
    <phoneticPr fontId="2"/>
  </si>
  <si>
    <t>※検索ボタン押すと条件が保持される</t>
    <rPh sb="1" eb="3">
      <t>ケンサク</t>
    </rPh>
    <rPh sb="6" eb="7">
      <t>オ</t>
    </rPh>
    <rPh sb="9" eb="11">
      <t>ジョウケン</t>
    </rPh>
    <rPh sb="12" eb="14">
      <t>ホジ</t>
    </rPh>
    <phoneticPr fontId="2"/>
  </si>
  <si>
    <t>検索条件</t>
    <rPh sb="0" eb="4">
      <t>ケンサクジョウケン</t>
    </rPh>
    <phoneticPr fontId="2"/>
  </si>
  <si>
    <t>保存値セルのセル名</t>
    <rPh sb="0" eb="2">
      <t>ホゾン</t>
    </rPh>
    <rPh sb="2" eb="3">
      <t>チ</t>
    </rPh>
    <rPh sb="8" eb="9">
      <t>メイ</t>
    </rPh>
    <phoneticPr fontId="2"/>
  </si>
  <si>
    <t>保存値</t>
    <rPh sb="0" eb="2">
      <t>ホゾン</t>
    </rPh>
    <rPh sb="2" eb="3">
      <t>チ</t>
    </rPh>
    <phoneticPr fontId="2"/>
  </si>
  <si>
    <t>UNKB0220_H_MITOTSUGO_STS_S</t>
    <phoneticPr fontId="2"/>
  </si>
  <si>
    <t>UNKB0220_H_TOTSUGOSUMI_STS_S</t>
    <phoneticPr fontId="2"/>
  </si>
  <si>
    <t>UNKB0220_H_KOBAIHIN_KBN_S</t>
    <phoneticPr fontId="2"/>
  </si>
  <si>
    <t>UNKB0220_H_GAICHU_KBN_S</t>
    <phoneticPr fontId="2"/>
  </si>
  <si>
    <t>UNKB0220_H_SHUZEN_KBN_S</t>
    <phoneticPr fontId="2"/>
  </si>
  <si>
    <t>UNKB0220_H_TOSHI_KBN_S</t>
    <phoneticPr fontId="2"/>
  </si>
  <si>
    <t>UNKB0220_H_HANBAI_KBN_S</t>
    <phoneticPr fontId="2"/>
  </si>
  <si>
    <t>仕入No・スタート</t>
    <phoneticPr fontId="2"/>
  </si>
  <si>
    <t>UNKB0220_H_SHIIRE_NO_START_S</t>
    <phoneticPr fontId="2"/>
  </si>
  <si>
    <t>SYY-MM9999</t>
  </si>
  <si>
    <t>仕入No・エンド</t>
    <phoneticPr fontId="2"/>
  </si>
  <si>
    <t>UNKB0220_H_SHIIRE_NO_END_S</t>
    <phoneticPr fontId="2"/>
  </si>
  <si>
    <t>仕入日・スタート</t>
    <phoneticPr fontId="2"/>
  </si>
  <si>
    <t>UNKB0220_H_SHIIRE_DATE_START_S</t>
    <phoneticPr fontId="2"/>
  </si>
  <si>
    <t xml:space="preserve">YYYY/MM/DD   </t>
    <phoneticPr fontId="2"/>
  </si>
  <si>
    <t>仕入日・エンド</t>
    <phoneticPr fontId="2"/>
  </si>
  <si>
    <t>UNKB0220_H_SHIIRE_DATE_END_S</t>
    <phoneticPr fontId="2"/>
  </si>
  <si>
    <t xml:space="preserve">YYYY/MM/DD   </t>
  </si>
  <si>
    <t>支払予定日・スタート</t>
    <rPh sb="0" eb="2">
      <t>シハライ</t>
    </rPh>
    <rPh sb="2" eb="4">
      <t>ヨテイ</t>
    </rPh>
    <rPh sb="4" eb="5">
      <t>ビ</t>
    </rPh>
    <phoneticPr fontId="2"/>
  </si>
  <si>
    <t>UNKB0220_H_YOTEI_DATE_START_S</t>
    <phoneticPr fontId="2"/>
  </si>
  <si>
    <t>支払予定日・エンド</t>
    <rPh sb="0" eb="2">
      <t>シハライ</t>
    </rPh>
    <rPh sb="2" eb="4">
      <t>ヨテイ</t>
    </rPh>
    <rPh sb="4" eb="5">
      <t>ビ</t>
    </rPh>
    <phoneticPr fontId="2"/>
  </si>
  <si>
    <t>UNKB0220_H_YOTEI_DATE_END_S</t>
    <phoneticPr fontId="2"/>
  </si>
  <si>
    <t>仕入先CD</t>
    <rPh sb="0" eb="2">
      <t>シイレ</t>
    </rPh>
    <rPh sb="2" eb="3">
      <t>サキ</t>
    </rPh>
    <phoneticPr fontId="2"/>
  </si>
  <si>
    <t>UNKB0220_H_SHIIRESAKI_CD_S</t>
    <phoneticPr fontId="2"/>
  </si>
  <si>
    <t>UNKB0220_H_SHIIRESAKI_MEI_S</t>
    <phoneticPr fontId="2"/>
  </si>
  <si>
    <t>仕入入力者CD</t>
    <phoneticPr fontId="2"/>
  </si>
  <si>
    <t>UNKB0220_H_NYURYOKUSHA_CD_S</t>
    <phoneticPr fontId="2"/>
  </si>
  <si>
    <t>仕入入力者名</t>
    <phoneticPr fontId="2"/>
  </si>
  <si>
    <t>UNKB0220_H_NYURYOKUSHA_MEI_S</t>
    <phoneticPr fontId="2"/>
  </si>
  <si>
    <t>フリーワード１</t>
    <phoneticPr fontId="2"/>
  </si>
  <si>
    <t>UNKB0220_H_FREEWD_1_S</t>
    <phoneticPr fontId="2"/>
  </si>
  <si>
    <t>フリーワード２</t>
  </si>
  <si>
    <t>UNKB0220_H_FREEWD_2_S</t>
    <phoneticPr fontId="2"/>
  </si>
  <si>
    <t>フリーワード３</t>
  </si>
  <si>
    <t>UNKB0220_H_FREEWD_3_S</t>
    <phoneticPr fontId="2"/>
  </si>
  <si>
    <t>UNKB0220_H_FREEWD_KBN_S</t>
    <phoneticPr fontId="2"/>
  </si>
  <si>
    <t>UNKB0220_B_HIDE_ROW</t>
    <phoneticPr fontId="2"/>
  </si>
  <si>
    <t>選択</t>
    <rPh sb="0" eb="2">
      <t>センタク</t>
    </rPh>
    <phoneticPr fontId="2"/>
  </si>
  <si>
    <t>シリアル</t>
  </si>
  <si>
    <t>行番号</t>
    <rPh sb="0" eb="3">
      <t>ギョウバンゴウ</t>
    </rPh>
    <phoneticPr fontId="2"/>
  </si>
  <si>
    <t>処理モード</t>
    <rPh sb="0" eb="2">
      <t>ショリ</t>
    </rPh>
    <phoneticPr fontId="2"/>
  </si>
  <si>
    <t>選択フラグ</t>
    <rPh sb="0" eb="2">
      <t>センタク</t>
    </rPh>
    <phoneticPr fontId="2"/>
  </si>
  <si>
    <t>仕入日</t>
    <rPh sb="0" eb="2">
      <t>シイレ</t>
    </rPh>
    <rPh sb="2" eb="3">
      <t>ビ</t>
    </rPh>
    <phoneticPr fontId="2"/>
  </si>
  <si>
    <t>支払予定日</t>
    <rPh sb="0" eb="2">
      <t>シハライ</t>
    </rPh>
    <rPh sb="2" eb="4">
      <t>ヨテイ</t>
    </rPh>
    <rPh sb="4" eb="5">
      <t>ビ</t>
    </rPh>
    <phoneticPr fontId="2"/>
  </si>
  <si>
    <t>仕入入力者名</t>
    <rPh sb="0" eb="2">
      <t>シイレ</t>
    </rPh>
    <phoneticPr fontId="2"/>
  </si>
  <si>
    <t>税抜合計</t>
    <rPh sb="0" eb="2">
      <t>ゼイヌキ</t>
    </rPh>
    <rPh sb="2" eb="4">
      <t>ゴウケイ</t>
    </rPh>
    <phoneticPr fontId="2"/>
  </si>
  <si>
    <t>消費税</t>
    <rPh sb="0" eb="3">
      <t>ショウヒゼイ</t>
    </rPh>
    <phoneticPr fontId="2"/>
  </si>
  <si>
    <t>税込合計</t>
    <rPh sb="0" eb="2">
      <t>ゼイコミ</t>
    </rPh>
    <rPh sb="2" eb="4">
      <t>ゴウケイ</t>
    </rPh>
    <phoneticPr fontId="2"/>
  </si>
  <si>
    <t>仕入No.</t>
    <rPh sb="0" eb="2">
      <t>シイレ</t>
    </rPh>
    <phoneticPr fontId="2"/>
  </si>
  <si>
    <t>連動済フラグ</t>
    <rPh sb="0" eb="2">
      <t>レンドウ</t>
    </rPh>
    <rPh sb="2" eb="3">
      <t>スミ</t>
    </rPh>
    <phoneticPr fontId="2"/>
  </si>
  <si>
    <t>仕入ステータス</t>
    <rPh sb="0" eb="2">
      <t>シイレ</t>
    </rPh>
    <phoneticPr fontId="2"/>
  </si>
  <si>
    <t>フリーワード検索用</t>
    <rPh sb="6" eb="9">
      <t>ケンサクヨウ</t>
    </rPh>
    <phoneticPr fontId="2"/>
  </si>
  <si>
    <t>UNKB0220_B_HIDE_COLUMN</t>
    <phoneticPr fontId="2"/>
  </si>
  <si>
    <t>ウィンドウ固定位置</t>
    <rPh sb="5" eb="7">
      <t>コテイ</t>
    </rPh>
    <rPh sb="7" eb="9">
      <t>イチ</t>
    </rPh>
    <phoneticPr fontId="2"/>
  </si>
  <si>
    <t>UNKB0220_B_SCROLL_LOCK</t>
    <phoneticPr fontId="2"/>
  </si>
  <si>
    <t>全件数</t>
    <rPh sb="0" eb="2">
      <t>ゼンケン</t>
    </rPh>
    <rPh sb="2" eb="3">
      <t>スウ</t>
    </rPh>
    <phoneticPr fontId="2"/>
  </si>
  <si>
    <t>ページ番号</t>
    <rPh sb="3" eb="5">
      <t>バンゴウ</t>
    </rPh>
    <phoneticPr fontId="2"/>
  </si>
  <si>
    <t>総ページ数</t>
    <rPh sb="0" eb="1">
      <t>ソウ</t>
    </rPh>
    <rPh sb="4" eb="5">
      <t>スウ</t>
    </rPh>
    <phoneticPr fontId="2"/>
  </si>
  <si>
    <t>UNKB0220_B_ALL_PAGE_SU</t>
    <phoneticPr fontId="2"/>
  </si>
  <si>
    <t>表示件数</t>
    <rPh sb="0" eb="2">
      <t>ヒョウジ</t>
    </rPh>
    <rPh sb="2" eb="4">
      <t>ケンスウ</t>
    </rPh>
    <phoneticPr fontId="2"/>
  </si>
  <si>
    <t>UNKB0220_B_HYOJI_KENSU</t>
    <phoneticPr fontId="2"/>
  </si>
  <si>
    <t>表示行数定義</t>
    <rPh sb="0" eb="2">
      <t>ヒョウジ</t>
    </rPh>
    <rPh sb="2" eb="4">
      <t>ギョウスウ</t>
    </rPh>
    <rPh sb="4" eb="6">
      <t>テイギ</t>
    </rPh>
    <phoneticPr fontId="2"/>
  </si>
  <si>
    <t>UNKB0220_B_HYOJI_GYO_SU</t>
    <phoneticPr fontId="2"/>
  </si>
  <si>
    <t>リスト展開開始位置</t>
    <rPh sb="3" eb="5">
      <t>テンカイ</t>
    </rPh>
    <rPh sb="5" eb="7">
      <t>カイシ</t>
    </rPh>
    <rPh sb="7" eb="9">
      <t>イチ</t>
    </rPh>
    <phoneticPr fontId="2"/>
  </si>
  <si>
    <t>UNKB0220_B_LIST_START</t>
    <phoneticPr fontId="2"/>
  </si>
  <si>
    <t>リスト展開終了位置</t>
    <rPh sb="3" eb="5">
      <t>テンカイ</t>
    </rPh>
    <rPh sb="5" eb="7">
      <t>シュウリョウ</t>
    </rPh>
    <rPh sb="7" eb="9">
      <t>イチ</t>
    </rPh>
    <phoneticPr fontId="2"/>
  </si>
  <si>
    <t>UNKB0220_B_LIST_END</t>
    <phoneticPr fontId="2"/>
  </si>
  <si>
    <t>リスト書式コピーフラグ</t>
    <phoneticPr fontId="2"/>
  </si>
  <si>
    <t>UNKB0220_B_LIST_COPY_FLG</t>
    <phoneticPr fontId="2"/>
  </si>
  <si>
    <t>リスト書式コピー先</t>
    <rPh sb="3" eb="5">
      <t>ショシキ</t>
    </rPh>
    <rPh sb="8" eb="9">
      <t>サキ</t>
    </rPh>
    <phoneticPr fontId="2"/>
  </si>
  <si>
    <t>UNKB0220_B_LIST_COPY_SAKI</t>
    <phoneticPr fontId="2"/>
  </si>
  <si>
    <t>フラグコピー先</t>
  </si>
  <si>
    <t>UNKB0220_B_SELECT_FLG_COPY_SAKI</t>
    <phoneticPr fontId="2"/>
  </si>
  <si>
    <t>リストクリア範囲</t>
    <rPh sb="6" eb="8">
      <t>ハンイ</t>
    </rPh>
    <phoneticPr fontId="2"/>
  </si>
  <si>
    <t>UNKB0220_B_LIST_CLEAR</t>
    <phoneticPr fontId="2"/>
  </si>
  <si>
    <t>保存数式コピー先</t>
    <rPh sb="0" eb="2">
      <t>ホゾン</t>
    </rPh>
    <rPh sb="2" eb="4">
      <t>スウシキ</t>
    </rPh>
    <rPh sb="7" eb="8">
      <t>サキ</t>
    </rPh>
    <phoneticPr fontId="2"/>
  </si>
  <si>
    <t>UNKB0220_B_SAVE_START</t>
    <phoneticPr fontId="2"/>
  </si>
  <si>
    <t>次ページ番号</t>
    <rPh sb="0" eb="1">
      <t>ツギ</t>
    </rPh>
    <rPh sb="4" eb="6">
      <t>バンゴウ</t>
    </rPh>
    <phoneticPr fontId="2"/>
  </si>
  <si>
    <t>UNKB0220_B_NEXT_PAGE_NO</t>
    <phoneticPr fontId="2"/>
  </si>
  <si>
    <t>前ページ番号</t>
    <rPh sb="0" eb="1">
      <t>マエ</t>
    </rPh>
    <rPh sb="4" eb="6">
      <t>バンゴウ</t>
    </rPh>
    <phoneticPr fontId="2"/>
  </si>
  <si>
    <t>UNKB0220_B_BACK_PAGE_NO</t>
    <phoneticPr fontId="2"/>
  </si>
  <si>
    <t>前ページ判断</t>
    <rPh sb="0" eb="1">
      <t>マエ</t>
    </rPh>
    <rPh sb="4" eb="6">
      <t>ハンダン</t>
    </rPh>
    <phoneticPr fontId="2"/>
  </si>
  <si>
    <t>UNKB0220_B_BACK_PAGE</t>
    <phoneticPr fontId="2"/>
  </si>
  <si>
    <t>次ページ判断</t>
    <rPh sb="0" eb="1">
      <t>ツギ</t>
    </rPh>
    <rPh sb="4" eb="6">
      <t>ハンダン</t>
    </rPh>
    <phoneticPr fontId="2"/>
  </si>
  <si>
    <t>UNKB0220_B_NEXT_PAGE</t>
    <phoneticPr fontId="2"/>
  </si>
  <si>
    <t>【コピー元書式】</t>
    <rPh sb="4" eb="5">
      <t>モト</t>
    </rPh>
    <rPh sb="5" eb="7">
      <t>ショシキ</t>
    </rPh>
    <phoneticPr fontId="2"/>
  </si>
  <si>
    <t>【初期化用】</t>
    <rPh sb="1" eb="4">
      <t>ショキカ</t>
    </rPh>
    <rPh sb="4" eb="5">
      <t>ヨウ</t>
    </rPh>
    <phoneticPr fontId="2"/>
  </si>
  <si>
    <t>UNKB0220_IF_INIT_HEADER_COPY_MOTO</t>
    <phoneticPr fontId="2"/>
  </si>
  <si>
    <t>ステータス</t>
  </si>
  <si>
    <t>フリーワード検索用</t>
    <rPh sb="6" eb="8">
      <t>ケンサク</t>
    </rPh>
    <rPh sb="8" eb="9">
      <t>ヨウ</t>
    </rPh>
    <phoneticPr fontId="2"/>
  </si>
  <si>
    <t>Excel出力用書式コピー元</t>
    <rPh sb="5" eb="7">
      <t>シュツリョク</t>
    </rPh>
    <rPh sb="7" eb="8">
      <t>ヨウ</t>
    </rPh>
    <rPh sb="8" eb="10">
      <t>ショシキ</t>
    </rPh>
    <rPh sb="13" eb="14">
      <t>モト</t>
    </rPh>
    <phoneticPr fontId="2"/>
  </si>
  <si>
    <t>UNKB0220_IF_PRINT_SHOSHIKI_COPY_MOTO</t>
    <phoneticPr fontId="2"/>
  </si>
  <si>
    <t>リスト初期書式コピー元範囲</t>
    <rPh sb="3" eb="5">
      <t>ショキ</t>
    </rPh>
    <rPh sb="5" eb="7">
      <t>ショシキ</t>
    </rPh>
    <rPh sb="10" eb="11">
      <t>モト</t>
    </rPh>
    <rPh sb="11" eb="13">
      <t>ハンイ</t>
    </rPh>
    <phoneticPr fontId="2"/>
  </si>
  <si>
    <t>UNKB0220_IF_LIST_DEFAULT</t>
    <phoneticPr fontId="2"/>
  </si>
  <si>
    <t>UNKB0220_IF_INIT_HEADER_FLG_COPY_MOTO</t>
    <phoneticPr fontId="2"/>
  </si>
  <si>
    <t>仕入ステータス名</t>
    <phoneticPr fontId="2"/>
  </si>
  <si>
    <t>購買区分名</t>
    <phoneticPr fontId="2"/>
  </si>
  <si>
    <t>仕入先CD</t>
    <phoneticPr fontId="2"/>
  </si>
  <si>
    <t>仕入先名</t>
    <phoneticPr fontId="2"/>
  </si>
  <si>
    <t>仕入日</t>
    <phoneticPr fontId="2"/>
  </si>
  <si>
    <t>支払予定日</t>
    <phoneticPr fontId="2"/>
  </si>
  <si>
    <t>仕入入力者名</t>
    <phoneticPr fontId="2"/>
  </si>
  <si>
    <t>税込合計</t>
    <phoneticPr fontId="2"/>
  </si>
  <si>
    <t>仕入No.</t>
    <phoneticPr fontId="2"/>
  </si>
  <si>
    <t>仕入ステータス</t>
    <phoneticPr fontId="2"/>
  </si>
  <si>
    <t>購買区分</t>
    <phoneticPr fontId="2"/>
  </si>
  <si>
    <t>仕入入力者CD</t>
    <phoneticPr fontId="2"/>
  </si>
  <si>
    <t>連動済フラグ</t>
    <phoneticPr fontId="2"/>
  </si>
  <si>
    <t>リスト書式コピー元範囲</t>
    <rPh sb="3" eb="5">
      <t>ショシキ</t>
    </rPh>
    <rPh sb="8" eb="9">
      <t>モト</t>
    </rPh>
    <rPh sb="9" eb="11">
      <t>ハンイ</t>
    </rPh>
    <phoneticPr fontId="2"/>
  </si>
  <si>
    <t>UNKB0220_IF_LIST_COPY_MOTO</t>
    <phoneticPr fontId="2"/>
  </si>
  <si>
    <t>フラグコピー元</t>
    <phoneticPr fontId="2"/>
  </si>
  <si>
    <t>UNKB0220_IF_B_FLG_COPY_MOTO</t>
    <phoneticPr fontId="2"/>
  </si>
  <si>
    <t>伝票突合済</t>
  </si>
  <si>
    <t>検索件数</t>
    <rPh sb="0" eb="2">
      <t>ケンサク</t>
    </rPh>
    <rPh sb="2" eb="4">
      <t>ケンスウ</t>
    </rPh>
    <phoneticPr fontId="2"/>
  </si>
  <si>
    <t>UNKB0220_IF_PRINT_COUNT</t>
    <phoneticPr fontId="2"/>
  </si>
  <si>
    <t>書式コピー先</t>
    <rPh sb="0" eb="2">
      <t>ショシキ</t>
    </rPh>
    <rPh sb="5" eb="6">
      <t>サキ</t>
    </rPh>
    <phoneticPr fontId="2"/>
  </si>
  <si>
    <t>UNKB0220_IF_PRINT_SHOSHIKI_COPY_SAKI</t>
    <phoneticPr fontId="2"/>
  </si>
  <si>
    <t>【処理用判定】</t>
    <rPh sb="1" eb="3">
      <t>ショリ</t>
    </rPh>
    <rPh sb="3" eb="4">
      <t>ヨウ</t>
    </rPh>
    <rPh sb="4" eb="6">
      <t>ハンテイ</t>
    </rPh>
    <phoneticPr fontId="2"/>
  </si>
  <si>
    <t>書式コピーフラグ</t>
    <rPh sb="0" eb="2">
      <t>ショシキ</t>
    </rPh>
    <phoneticPr fontId="2"/>
  </si>
  <si>
    <t>UNKB0220_IF_PRINT_SHOSHIKI_COPY_FLAG</t>
    <phoneticPr fontId="2"/>
  </si>
  <si>
    <t>データ照会中フラグ</t>
    <rPh sb="3" eb="5">
      <t>ショウカイ</t>
    </rPh>
    <rPh sb="5" eb="6">
      <t>チュウ</t>
    </rPh>
    <phoneticPr fontId="2"/>
  </si>
  <si>
    <t>UNKB0220_IF_DATA_SEARCH_FLG</t>
    <phoneticPr fontId="2"/>
  </si>
  <si>
    <t>ON:1</t>
  </si>
  <si>
    <t>OFF:1以外</t>
    <rPh sb="5" eb="7">
      <t>イガイ</t>
    </rPh>
    <phoneticPr fontId="2"/>
  </si>
  <si>
    <t>保存ファイル名</t>
    <rPh sb="0" eb="2">
      <t>ホゾン</t>
    </rPh>
    <rPh sb="6" eb="7">
      <t>メイ</t>
    </rPh>
    <phoneticPr fontId="2"/>
  </si>
  <si>
    <t>UNKB0220_IF_EXCEL_FILE_NAME</t>
    <phoneticPr fontId="2"/>
  </si>
  <si>
    <t>【ワークテーブル用】</t>
    <rPh sb="8" eb="9">
      <t>ヨウ</t>
    </rPh>
    <phoneticPr fontId="2"/>
  </si>
  <si>
    <t>UNKB0220_IF_W_USER_ID</t>
    <phoneticPr fontId="2"/>
  </si>
  <si>
    <t>シリアル値</t>
    <rPh sb="4" eb="5">
      <t>アタイ</t>
    </rPh>
    <phoneticPr fontId="2"/>
  </si>
  <si>
    <t>UNKB0220_IF_W_SERIAL</t>
    <phoneticPr fontId="2"/>
  </si>
  <si>
    <t>シリアル生成</t>
    <rPh sb="4" eb="6">
      <t>セイセイ</t>
    </rPh>
    <phoneticPr fontId="2"/>
  </si>
  <si>
    <t>UNKB0220_IF_W_SERIAL_CREATE</t>
    <phoneticPr fontId="2"/>
  </si>
  <si>
    <t>【フォーカス判定】</t>
    <rPh sb="6" eb="8">
      <t>ハンテイ</t>
    </rPh>
    <phoneticPr fontId="2"/>
  </si>
  <si>
    <t>選択シート名</t>
    <rPh sb="0" eb="2">
      <t>センタク</t>
    </rPh>
    <rPh sb="5" eb="6">
      <t>メイ</t>
    </rPh>
    <phoneticPr fontId="2"/>
  </si>
  <si>
    <t>UNKB0220_IF_ACTIVE_SHEET</t>
    <phoneticPr fontId="2"/>
  </si>
  <si>
    <t>選択行番号</t>
    <rPh sb="0" eb="2">
      <t>センタク</t>
    </rPh>
    <rPh sb="2" eb="3">
      <t>ギョウ</t>
    </rPh>
    <rPh sb="3" eb="5">
      <t>バンゴウ</t>
    </rPh>
    <phoneticPr fontId="2"/>
  </si>
  <si>
    <t>UNKB0220_IF_ACTIVE_ROW</t>
    <phoneticPr fontId="2"/>
  </si>
  <si>
    <t>選択列番号</t>
    <rPh sb="0" eb="2">
      <t>センタク</t>
    </rPh>
    <rPh sb="2" eb="3">
      <t>レツ</t>
    </rPh>
    <rPh sb="3" eb="5">
      <t>バンゴウ</t>
    </rPh>
    <phoneticPr fontId="2"/>
  </si>
  <si>
    <t>UNKB0220_IF_ACTIVE_COLUMN</t>
    <phoneticPr fontId="2"/>
  </si>
  <si>
    <t>選択セル名</t>
    <rPh sb="0" eb="2">
      <t>センタク</t>
    </rPh>
    <rPh sb="4" eb="5">
      <t>メイ</t>
    </rPh>
    <phoneticPr fontId="2"/>
  </si>
  <si>
    <t>UNKB0220_IF_ACTIVE_CELL_NAME</t>
    <phoneticPr fontId="2"/>
  </si>
  <si>
    <t>【連動用】</t>
    <rPh sb="1" eb="3">
      <t>レンドウ</t>
    </rPh>
    <rPh sb="3" eb="4">
      <t>ヨウ</t>
    </rPh>
    <phoneticPr fontId="2"/>
  </si>
  <si>
    <t>【ヘッダー】</t>
    <phoneticPr fontId="2"/>
  </si>
  <si>
    <t>【ボディー】</t>
    <phoneticPr fontId="2"/>
  </si>
  <si>
    <t>UNKB0220_RENDO_IF_SHIIRE_H_SHOSHIKI_COPY_MOTO</t>
    <phoneticPr fontId="2"/>
  </si>
  <si>
    <t>仕入ヘッダー件数</t>
    <rPh sb="0" eb="2">
      <t>シイレ</t>
    </rPh>
    <rPh sb="6" eb="8">
      <t>ケンスウ</t>
    </rPh>
    <phoneticPr fontId="2"/>
  </si>
  <si>
    <t>仕入No.</t>
    <rPh sb="0" eb="2">
      <t>シイレ</t>
    </rPh>
    <phoneticPr fontId="4"/>
  </si>
  <si>
    <t>エンティティバージョン</t>
    <phoneticPr fontId="4"/>
  </si>
  <si>
    <t>仕入科目</t>
    <rPh sb="0" eb="2">
      <t>シイレ</t>
    </rPh>
    <rPh sb="2" eb="4">
      <t>カモク</t>
    </rPh>
    <phoneticPr fontId="4"/>
  </si>
  <si>
    <t>伝区</t>
    <phoneticPr fontId="4"/>
  </si>
  <si>
    <t>仕入日</t>
    <rPh sb="0" eb="2">
      <t>シイレ</t>
    </rPh>
    <phoneticPr fontId="4"/>
  </si>
  <si>
    <t>精算日</t>
    <rPh sb="0" eb="2">
      <t>セイサン</t>
    </rPh>
    <phoneticPr fontId="4"/>
  </si>
  <si>
    <t>伝票No</t>
    <phoneticPr fontId="4"/>
  </si>
  <si>
    <t>仕入先コード</t>
    <rPh sb="0" eb="2">
      <t>シイレ</t>
    </rPh>
    <rPh sb="2" eb="3">
      <t>サキ</t>
    </rPh>
    <phoneticPr fontId="4"/>
  </si>
  <si>
    <t>注文No</t>
    <rPh sb="0" eb="2">
      <t>チュウモン</t>
    </rPh>
    <phoneticPr fontId="4"/>
  </si>
  <si>
    <t>先方担当者ID</t>
    <phoneticPr fontId="4"/>
  </si>
  <si>
    <t>先方担当者名</t>
    <phoneticPr fontId="4"/>
  </si>
  <si>
    <t>部門コード</t>
    <phoneticPr fontId="4"/>
  </si>
  <si>
    <t>担当者コード</t>
    <phoneticPr fontId="4"/>
  </si>
  <si>
    <t>摘要コード</t>
    <phoneticPr fontId="4"/>
  </si>
  <si>
    <t>摘要名</t>
    <phoneticPr fontId="4"/>
  </si>
  <si>
    <t>プロジェクトコード</t>
    <phoneticPr fontId="4"/>
  </si>
  <si>
    <t>伝票No2</t>
    <phoneticPr fontId="4"/>
  </si>
  <si>
    <t>フセンコメント</t>
    <phoneticPr fontId="4"/>
  </si>
  <si>
    <t>更新Date</t>
    <phoneticPr fontId="4"/>
  </si>
  <si>
    <t>予備1</t>
    <phoneticPr fontId="4"/>
  </si>
  <si>
    <t>予備2</t>
    <phoneticPr fontId="4"/>
  </si>
  <si>
    <t>予備3</t>
    <phoneticPr fontId="4"/>
  </si>
  <si>
    <t>予備数値1</t>
    <phoneticPr fontId="4"/>
  </si>
  <si>
    <t>予備数値2</t>
    <phoneticPr fontId="4"/>
  </si>
  <si>
    <t>予備金額1</t>
    <phoneticPr fontId="4"/>
  </si>
  <si>
    <t>予備金額2</t>
    <phoneticPr fontId="4"/>
  </si>
  <si>
    <t>予備金額3</t>
    <phoneticPr fontId="4"/>
  </si>
  <si>
    <t>予備文字列1</t>
    <phoneticPr fontId="4"/>
  </si>
  <si>
    <t>予備文字列2</t>
    <phoneticPr fontId="4"/>
  </si>
  <si>
    <t>予備文字列3</t>
    <phoneticPr fontId="4"/>
  </si>
  <si>
    <t>仕入ボディー件数</t>
    <rPh sb="0" eb="2">
      <t>シイレ</t>
    </rPh>
    <rPh sb="6" eb="8">
      <t>ケンスウ</t>
    </rPh>
    <phoneticPr fontId="2"/>
  </si>
  <si>
    <t>商品コード</t>
    <phoneticPr fontId="4"/>
  </si>
  <si>
    <t>マスター区分</t>
    <phoneticPr fontId="4"/>
  </si>
  <si>
    <t>税区分</t>
    <phoneticPr fontId="4"/>
  </si>
  <si>
    <t>税込区分</t>
    <phoneticPr fontId="4"/>
  </si>
  <si>
    <t>単価小数桁</t>
    <phoneticPr fontId="4"/>
  </si>
  <si>
    <t>数量小数桁</t>
    <phoneticPr fontId="4"/>
  </si>
  <si>
    <t>商品名</t>
    <phoneticPr fontId="4"/>
  </si>
  <si>
    <t>商品名2</t>
    <phoneticPr fontId="4"/>
  </si>
  <si>
    <t>規格・型番</t>
    <phoneticPr fontId="4"/>
  </si>
  <si>
    <t>色</t>
    <phoneticPr fontId="4"/>
  </si>
  <si>
    <t>サイズ</t>
    <phoneticPr fontId="4"/>
  </si>
  <si>
    <t>倉庫コード</t>
    <phoneticPr fontId="4"/>
  </si>
  <si>
    <t>区</t>
    <phoneticPr fontId="4"/>
  </si>
  <si>
    <t>入数</t>
    <phoneticPr fontId="4"/>
  </si>
  <si>
    <t>箱数</t>
    <phoneticPr fontId="4"/>
  </si>
  <si>
    <t>数量</t>
    <phoneticPr fontId="4"/>
  </si>
  <si>
    <t>単位</t>
    <phoneticPr fontId="4"/>
  </si>
  <si>
    <t>単価</t>
    <phoneticPr fontId="4"/>
  </si>
  <si>
    <t>金額</t>
    <phoneticPr fontId="4"/>
  </si>
  <si>
    <t>備考</t>
    <phoneticPr fontId="4"/>
  </si>
  <si>
    <t>標準仕入単価</t>
    <rPh sb="0" eb="2">
      <t>ヒョウジュン</t>
    </rPh>
    <rPh sb="2" eb="4">
      <t>シイレ</t>
    </rPh>
    <rPh sb="4" eb="6">
      <t>タンカ</t>
    </rPh>
    <phoneticPr fontId="4"/>
  </si>
  <si>
    <t>税率</t>
    <phoneticPr fontId="4"/>
  </si>
  <si>
    <t>外税額</t>
    <phoneticPr fontId="4"/>
  </si>
  <si>
    <t>内税額</t>
    <phoneticPr fontId="4"/>
  </si>
  <si>
    <t>計算式コード</t>
    <phoneticPr fontId="4"/>
  </si>
  <si>
    <t>商品項目1</t>
    <phoneticPr fontId="4"/>
  </si>
  <si>
    <t>商品項目2</t>
    <phoneticPr fontId="4"/>
  </si>
  <si>
    <t>商品項目3</t>
    <phoneticPr fontId="4"/>
  </si>
  <si>
    <t>仕入項目1</t>
    <rPh sb="0" eb="2">
      <t>シイレ</t>
    </rPh>
    <phoneticPr fontId="4"/>
  </si>
  <si>
    <t>仕入項目2</t>
    <phoneticPr fontId="4"/>
  </si>
  <si>
    <t>仕入項目3</t>
    <phoneticPr fontId="4"/>
  </si>
  <si>
    <t>入荷指示</t>
    <rPh sb="0" eb="2">
      <t>ニュウカ</t>
    </rPh>
    <phoneticPr fontId="4"/>
  </si>
  <si>
    <t>発注ヘッダーID</t>
    <rPh sb="0" eb="2">
      <t>ハッチュウ</t>
    </rPh>
    <phoneticPr fontId="4"/>
  </si>
  <si>
    <t>発注明細SEQ</t>
    <rPh sb="0" eb="2">
      <t>ハッチュウ</t>
    </rPh>
    <phoneticPr fontId="4"/>
  </si>
  <si>
    <t>予備2</t>
    <phoneticPr fontId="4"/>
  </si>
  <si>
    <t>予備3</t>
    <phoneticPr fontId="4"/>
  </si>
  <si>
    <t>予備数値1</t>
    <phoneticPr fontId="4"/>
  </si>
  <si>
    <t>予備数値2</t>
    <phoneticPr fontId="4"/>
  </si>
  <si>
    <t>予備数値3</t>
    <phoneticPr fontId="4"/>
  </si>
  <si>
    <t>予備金額2</t>
    <phoneticPr fontId="4"/>
  </si>
  <si>
    <t>予備金額3</t>
    <phoneticPr fontId="4"/>
  </si>
  <si>
    <t>予備文字列2</t>
    <phoneticPr fontId="4"/>
  </si>
  <si>
    <t>予備文字列3</t>
    <phoneticPr fontId="4"/>
  </si>
  <si>
    <t>入数小数桁</t>
    <phoneticPr fontId="4"/>
  </si>
  <si>
    <t>箱数小数桁</t>
    <phoneticPr fontId="4"/>
  </si>
  <si>
    <t>仕入No.</t>
    <phoneticPr fontId="4"/>
  </si>
  <si>
    <t>仕入日</t>
    <rPh sb="0" eb="1">
      <t>シ</t>
    </rPh>
    <rPh sb="1" eb="2">
      <t>ニュウ</t>
    </rPh>
    <rPh sb="2" eb="3">
      <t>ニチ</t>
    </rPh>
    <phoneticPr fontId="4"/>
  </si>
  <si>
    <t>購買区分</t>
    <phoneticPr fontId="4"/>
  </si>
  <si>
    <t>仕入入力者CD</t>
    <phoneticPr fontId="4"/>
  </si>
  <si>
    <t>支払予定日</t>
    <rPh sb="0" eb="2">
      <t>シハライ</t>
    </rPh>
    <rPh sb="2" eb="4">
      <t>ヨテイ</t>
    </rPh>
    <rPh sb="4" eb="5">
      <t>ビ</t>
    </rPh>
    <phoneticPr fontId="4"/>
  </si>
  <si>
    <t>仕入ステータス</t>
    <phoneticPr fontId="4"/>
  </si>
  <si>
    <t>仕入先CD</t>
    <phoneticPr fontId="4"/>
  </si>
  <si>
    <t>税抜合計</t>
    <phoneticPr fontId="4"/>
  </si>
  <si>
    <t>消費税</t>
    <phoneticPr fontId="4"/>
  </si>
  <si>
    <t>税込合計</t>
    <phoneticPr fontId="4"/>
  </si>
  <si>
    <t>商管伝票No.</t>
    <phoneticPr fontId="4"/>
  </si>
  <si>
    <t>連動日時</t>
    <phoneticPr fontId="4"/>
  </si>
  <si>
    <t>削除フラグ</t>
    <phoneticPr fontId="4"/>
  </si>
  <si>
    <t>S16-060006</t>
  </si>
  <si>
    <t>20160627</t>
    <phoneticPr fontId="2"/>
  </si>
  <si>
    <t>20160627</t>
    <phoneticPr fontId="2"/>
  </si>
  <si>
    <t>B00002</t>
    <phoneticPr fontId="2"/>
  </si>
  <si>
    <t>204</t>
    <phoneticPr fontId="2"/>
  </si>
  <si>
    <t>CAA-001</t>
    <phoneticPr fontId="2"/>
  </si>
  <si>
    <t>定量ろ紙 No.5A 150φ</t>
  </si>
  <si>
    <t>UNKB0220_RENDO_IF_SHIIRE_H_COUNT</t>
    <phoneticPr fontId="2"/>
  </si>
  <si>
    <t>UNKB0220_RENDO_IF_SHIIRE_H_SHOSHIKI_COPY_SAKI</t>
    <phoneticPr fontId="2"/>
  </si>
  <si>
    <t>連動状態</t>
    <rPh sb="0" eb="2">
      <t>レンドウ</t>
    </rPh>
    <rPh sb="2" eb="4">
      <t>ジョウタイ</t>
    </rPh>
    <phoneticPr fontId="2"/>
  </si>
  <si>
    <t>UNKB0220_SQL_SHIIRE_RENDO_LIST</t>
    <phoneticPr fontId="2"/>
  </si>
  <si>
    <t>SELECT</t>
    <phoneticPr fontId="2"/>
  </si>
  <si>
    <t xml:space="preserve">SELECT *
</t>
    <phoneticPr fontId="2"/>
  </si>
  <si>
    <t>FROM</t>
    <phoneticPr fontId="2"/>
  </si>
  <si>
    <t xml:space="preserve"> FROM V_SHIIRE_RENDO_LIST
</t>
    <phoneticPr fontId="2"/>
  </si>
  <si>
    <t>Excel用データ取得SQL</t>
    <rPh sb="5" eb="6">
      <t>ヨウ</t>
    </rPh>
    <rPh sb="9" eb="11">
      <t>シュトク</t>
    </rPh>
    <phoneticPr fontId="2"/>
  </si>
  <si>
    <t>UNKB0220_SQL_EXCEL_LIST</t>
    <phoneticPr fontId="2"/>
  </si>
  <si>
    <t>SELECT</t>
    <phoneticPr fontId="2"/>
  </si>
  <si>
    <t xml:space="preserve">SELECT V_SHIIRE_RENDO_LIST.SHIIRE_STS_MEI            -- 仕入ステータス名
      ,V_SHIIRE_RENDO_LIST.KOBAI_KBN_MEI             -- 購買区分名
      ,V_SHIIRE_RENDO_LIST.SHIIRE_CD                 -- 仕入先CD
      ,V_SHIIRE_RENDO_LIST.SHIIRE_MEI                -- 仕入先名
      ,V_SHIIRE_RENDO_LIST.SHIIRE_DATE               -- 仕入日
      ,V_SHIIRE_RENDO_LIST.SHIHARAI_DATE             -- 支払予定日
      ,V_SHIIRE_RENDO_LIST.SHIIRE_NYURYOKUSHA_MEI    -- 仕入入力者名
      ,V_SHIIRE_RENDO_LIST.NUKI_TOTAL                -- 税抜合計
      ,V_SHIIRE_RENDO_LIST.TAX                       -- 消費税
      ,V_SHIIRE_RENDO_LIST.KOMI_TOTAL                -- 税込合計
      ,V_SHIIRE_RENDO_LIST.SHIIRE_NO                 -- 仕入No.
      ,V_SHIIRE_RENDO_LIST.SHIIRE_STS                -- 仕入ステータス
      ,V_SHIIRE_RENDO_LIST.KOBAI_KBN                 -- 購買区分
      ,V_SHIIRE_RENDO_LIST.SHIIRE_NYURYOKUSHA_CD     -- 仕入入力者CD
      ,V_SHIIRE_RENDO_LIST.RENDO_SUMI_FLG            -- 連動済フラグ
</t>
    <phoneticPr fontId="2"/>
  </si>
  <si>
    <t>FROM</t>
    <phoneticPr fontId="2"/>
  </si>
  <si>
    <t xml:space="preserve">  FROM V_SHIIRE_RENDO_LIST
  </t>
  </si>
  <si>
    <t>カウントSQL</t>
    <phoneticPr fontId="2"/>
  </si>
  <si>
    <t>UNKB0220_SQL_SHIIRE_RENDO_LIST_CNT</t>
    <phoneticPr fontId="2"/>
  </si>
  <si>
    <t>SELECT</t>
    <phoneticPr fontId="2"/>
  </si>
  <si>
    <t xml:space="preserve">SELECT COUNT(*) AS CNT
</t>
    <phoneticPr fontId="2"/>
  </si>
  <si>
    <t xml:space="preserve"> FROM V_SHIIRE_RENDO_LIST
</t>
  </si>
  <si>
    <t>WHERE</t>
    <phoneticPr fontId="2"/>
  </si>
  <si>
    <t>ステータス</t>
    <phoneticPr fontId="2"/>
  </si>
  <si>
    <t>購買区分</t>
    <rPh sb="0" eb="2">
      <t>コウバイ</t>
    </rPh>
    <phoneticPr fontId="2"/>
  </si>
  <si>
    <t>仕入No.・スタート</t>
    <phoneticPr fontId="2"/>
  </si>
  <si>
    <t>受入日・スタート</t>
    <rPh sb="0" eb="3">
      <t>ウケイレビ</t>
    </rPh>
    <phoneticPr fontId="2"/>
  </si>
  <si>
    <t>仕入No.・エンド</t>
    <phoneticPr fontId="2"/>
  </si>
  <si>
    <t>受入日・エンド</t>
    <rPh sb="0" eb="3">
      <t>ウケイレビ</t>
    </rPh>
    <phoneticPr fontId="2"/>
  </si>
  <si>
    <t>申請者CD</t>
    <rPh sb="0" eb="2">
      <t>シンセイ</t>
    </rPh>
    <rPh sb="2" eb="3">
      <t>シャ</t>
    </rPh>
    <phoneticPr fontId="2"/>
  </si>
  <si>
    <t>仕入日・エンド</t>
    <phoneticPr fontId="2"/>
  </si>
  <si>
    <t>受理No.</t>
    <rPh sb="0" eb="2">
      <t>ジュリ</t>
    </rPh>
    <phoneticPr fontId="2"/>
  </si>
  <si>
    <t>支払予定日・スタート</t>
    <phoneticPr fontId="2"/>
  </si>
  <si>
    <t>予算コード</t>
    <rPh sb="0" eb="2">
      <t>ヨサン</t>
    </rPh>
    <phoneticPr fontId="2"/>
  </si>
  <si>
    <t>支払予定日・エンド</t>
    <phoneticPr fontId="2"/>
  </si>
  <si>
    <t>購買品CD</t>
    <rPh sb="0" eb="2">
      <t>コウバイ</t>
    </rPh>
    <rPh sb="2" eb="3">
      <t>シナ</t>
    </rPh>
    <phoneticPr fontId="2"/>
  </si>
  <si>
    <t>仕入先CD</t>
    <rPh sb="0" eb="2">
      <t>シイレ</t>
    </rPh>
    <phoneticPr fontId="2"/>
  </si>
  <si>
    <t>仕入入力者CD</t>
    <rPh sb="0" eb="2">
      <t>シイレ</t>
    </rPh>
    <phoneticPr fontId="2"/>
  </si>
  <si>
    <t>メーカーCD</t>
  </si>
  <si>
    <t>フリーワード</t>
    <phoneticPr fontId="2"/>
  </si>
  <si>
    <t>フリーワード１</t>
  </si>
  <si>
    <t>表示データSQL</t>
    <phoneticPr fontId="2"/>
  </si>
  <si>
    <t>ワークテーブル取得データSQL</t>
    <rPh sb="7" eb="9">
      <t>シュトク</t>
    </rPh>
    <phoneticPr fontId="2"/>
  </si>
  <si>
    <t>UNKB0220_SQL_W_SHIIRE_RENDO_LIST</t>
    <phoneticPr fontId="2"/>
  </si>
  <si>
    <t>SELECT</t>
    <phoneticPr fontId="2"/>
  </si>
  <si>
    <t xml:space="preserve">SELECT *
</t>
    <phoneticPr fontId="2"/>
  </si>
  <si>
    <t>FROM</t>
    <phoneticPr fontId="2"/>
  </si>
  <si>
    <t xml:space="preserve">FROM W_SHIIRE_RENDO_LIST
</t>
    <phoneticPr fontId="2"/>
  </si>
  <si>
    <t>ORDER BY</t>
    <phoneticPr fontId="2"/>
  </si>
  <si>
    <t>ORDER BY SHIIRE_NO ASC</t>
    <phoneticPr fontId="2"/>
  </si>
  <si>
    <t>UNKB0220_SQL_SORT</t>
    <phoneticPr fontId="2"/>
  </si>
  <si>
    <t>PAGE</t>
    <phoneticPr fontId="2"/>
  </si>
  <si>
    <t>仕入連動SQL</t>
    <rPh sb="0" eb="2">
      <t>シイレ</t>
    </rPh>
    <rPh sb="2" eb="4">
      <t>レンドウ</t>
    </rPh>
    <phoneticPr fontId="2"/>
  </si>
  <si>
    <t>仕入ヘッダー</t>
    <rPh sb="0" eb="2">
      <t>シイレ</t>
    </rPh>
    <phoneticPr fontId="2"/>
  </si>
  <si>
    <t>UNKB0200_SQL_SHIIRE_H_LIST</t>
    <phoneticPr fontId="2"/>
  </si>
  <si>
    <t xml:space="preserve">SELECT T_SHIIRE_H.*
</t>
    <phoneticPr fontId="2"/>
  </si>
  <si>
    <t xml:space="preserve">FROM W_SHIIRE_RENDO_LIST
  LEFT JOIN T_SHIIRE_H
   ON W_SHIIRE_RENDO_LIST.SHIIRE_NO = T_SHIIRE_H.SHIIRE_NO
</t>
    <phoneticPr fontId="2"/>
  </si>
  <si>
    <t>ヘッダーデータ連動</t>
    <rPh sb="7" eb="9">
      <t>レンドウ</t>
    </rPh>
    <phoneticPr fontId="2"/>
  </si>
  <si>
    <t>UNKB0200_SQL_SHIIRE_RENDO_H_LIST</t>
    <phoneticPr fontId="2"/>
  </si>
  <si>
    <t xml:space="preserve">FROM W_SHIIRE_RENDO_LIST
  LEFT JOIN T_SHIIRE_H
   ON W_SHIIRE_RENDO_LIST.SHIIRE_NO= T_SHIIRE_H.SHIIRE_NO
</t>
    <phoneticPr fontId="2"/>
  </si>
  <si>
    <t>ボディーデータ連動</t>
    <rPh sb="7" eb="9">
      <t>レンドウ</t>
    </rPh>
    <phoneticPr fontId="2"/>
  </si>
  <si>
    <t>UNKB0200_SQL_SHIIRE_RENDO_B_LIST</t>
    <phoneticPr fontId="2"/>
  </si>
  <si>
    <t>ユーザーID</t>
    <phoneticPr fontId="2"/>
  </si>
  <si>
    <t>シリアス</t>
    <phoneticPr fontId="2"/>
  </si>
  <si>
    <t>並び替えSQL</t>
    <rPh sb="0" eb="1">
      <t>ナラ</t>
    </rPh>
    <rPh sb="2" eb="3">
      <t>カ</t>
    </rPh>
    <phoneticPr fontId="2"/>
  </si>
  <si>
    <t>ORDER BY</t>
    <phoneticPr fontId="2"/>
  </si>
  <si>
    <t>SELECT M_MEISHO_B.DATA_1   AS 並べ替え
      ,M_MEISHO_B.DATA_2        AS ORDER句
  FROM M_MEISHO_B
 WHERE M_MEISHO_B.MEISHO_KBN='O503'
 ORDER BY
       M_MEISHO_B.SORT_NO ASC
      ,CAST(M_MEISHO_B.MEISHO_CD AS INT) ASC</t>
    <phoneticPr fontId="2"/>
  </si>
  <si>
    <t>UNKB0220_SQL_SORT_BY</t>
    <phoneticPr fontId="2"/>
  </si>
  <si>
    <t>初期値</t>
    <rPh sb="0" eb="3">
      <t>ショキチ</t>
    </rPh>
    <phoneticPr fontId="2"/>
  </si>
  <si>
    <t>UNKB0220_SQL_DEFAULT_SORT</t>
    <phoneticPr fontId="2"/>
  </si>
  <si>
    <t>売上No.検索用SQL</t>
    <rPh sb="0" eb="2">
      <t>ウリアゲ</t>
    </rPh>
    <rPh sb="5" eb="8">
      <t>ケンサクヨウ</t>
    </rPh>
    <phoneticPr fontId="2"/>
  </si>
  <si>
    <t>UNKB0220_B_PAGE_NO</t>
    <phoneticPr fontId="2"/>
  </si>
  <si>
    <t>UNKB0220_B_ALL_KENSU</t>
    <phoneticPr fontId="2"/>
  </si>
  <si>
    <t>表示行数取得</t>
    <rPh sb="0" eb="2">
      <t>ヒョウジ</t>
    </rPh>
    <rPh sb="2" eb="4">
      <t>ギョウスウ</t>
    </rPh>
    <rPh sb="4" eb="6">
      <t>シュトク</t>
    </rPh>
    <phoneticPr fontId="2"/>
  </si>
  <si>
    <t>SELECT HYOJI_GYO_SU
  FROM M_CONTROL
 WHERE CTRL_KEY = 1</t>
  </si>
  <si>
    <t>■ポップアップ表示用SQL</t>
    <rPh sb="7" eb="9">
      <t>ヒョウジ</t>
    </rPh>
    <rPh sb="9" eb="10">
      <t>ヨウ</t>
    </rPh>
    <phoneticPr fontId="2"/>
  </si>
  <si>
    <t>社員検索用SQL</t>
    <rPh sb="0" eb="2">
      <t>シャイン</t>
    </rPh>
    <rPh sb="2" eb="4">
      <t>ケンサク</t>
    </rPh>
    <rPh sb="4" eb="5">
      <t>ヨウ</t>
    </rPh>
    <phoneticPr fontId="2"/>
  </si>
  <si>
    <t>SELECT M_SHAIN.SHAIN_CD     AS 社員CD
      ,M_MEISHO_B.DATA_1    AS 所属部署
      ,M_SHAIN.SHIMEI       AS 氏名
  FROM M_SHAIN
  LEFT JOIN
       M_MEISHO_B
    ON M_MEISHO_B.MEISHO_KBN = 'M001'
   AND M_MEISHO_B.MEISHO_CD  = M_SHAIN.BUSHO_CD
 WHERE M_SHAIN.MISHIYO_FLG = 'False'
 ORDER BY
       CAST(M_SHAIN.SHAIN_CD AS INT) ASC</t>
    <phoneticPr fontId="2"/>
  </si>
  <si>
    <t>仕入先取得SQL</t>
    <rPh sb="0" eb="2">
      <t>シイレ</t>
    </rPh>
    <rPh sb="2" eb="3">
      <t>サキ</t>
    </rPh>
    <rPh sb="3" eb="5">
      <t>シュトク</t>
    </rPh>
    <phoneticPr fontId="2"/>
  </si>
  <si>
    <t>SELECT M_AITESAKI.AITE_CD                   AS  仕入先CD
      ,M_AITESAKI.AITE_MEI                  AS  仕入先名
      ,M_AITESAKI.BUSHO_MEI                 AS  相手先部署名
      ,M_AITESAKI.TANTO_MEI                 AS  相手先担当者名
      ,M_AITESAKI.SHIHARAIHOHO_KBN          AS  支払方法区分
      ,J_SHIHARAIHOHO.DATA_1                AS  支払方法
      ,M_AITESAKI.SHIIRE_CHUKI              AS  注記
      ,M_AITESAKI.SHIIRE_HASU_KBN           AS  端数処理区分
      ,M_AITESAKI.SHIIRE_TESURYO_KBN        AS  手数料負担区分
  FROM M_AITESAKI
  LEFT JOIN M_MEISHO_B   AS J_SHIHARAIHOHO
    ON J_SHIHARAIHOHO.MEISHO_KBN = 'K006'
   AND J_SHIHARAIHOHO.MEISHO_CD  =  M_AITESAKI.SHIHARAIHOHO_KBN
 WHERE M_AITESAKI.SHIRE_FLG = 'True'
   AND M_AITESAKI.MISHIYO_FLG = 'False'
 ORDER BY AITE_CD ASC</t>
    <phoneticPr fontId="2"/>
  </si>
  <si>
    <t>仕入No.検索</t>
    <phoneticPr fontId="2"/>
  </si>
  <si>
    <t>SELECT SHIIRE_NO                AS '仕入No.'
      ,SHIIRE_DATE              AS 仕入日
      ,KOBAI_KBN_MEI            AS 購買区分
      ,SHIIRE_NYURYOKUSHA_MEI   AS 入力者
      ,SHIIRE_STS_MEI           AS ステータス
      ,SHIIRE_CD                AS 仕入先CD
      ,SHIIRE_MEI               AS 仕入先名
      ,NUKI_TOTAL               AS 税抜合計
      ,SHOKAN_NO                AS '商管伝票No.'
  FROM V_C_SHIIRE_H
 WHERE DEL_FLG = 'False'</t>
    <phoneticPr fontId="2"/>
  </si>
  <si>
    <t>売上連動</t>
    <rPh sb="0" eb="2">
      <t>ウリアゲ</t>
    </rPh>
    <rPh sb="2" eb="4">
      <t>レンドウ</t>
    </rPh>
    <phoneticPr fontId="2"/>
  </si>
  <si>
    <t>UNNH0090_H_HIDE_ROW</t>
    <phoneticPr fontId="2"/>
  </si>
  <si>
    <t>UNNH0090_H_HIDE_COLUMN</t>
    <phoneticPr fontId="2"/>
  </si>
  <si>
    <t>ステータス：</t>
    <phoneticPr fontId="2"/>
  </si>
  <si>
    <t>伝票未発行</t>
    <rPh sb="0" eb="2">
      <t>デンピョウ</t>
    </rPh>
    <rPh sb="2" eb="5">
      <t>ミハッコウ</t>
    </rPh>
    <phoneticPr fontId="2"/>
  </si>
  <si>
    <t>伝票発行済</t>
    <rPh sb="0" eb="2">
      <t>デンピョウ</t>
    </rPh>
    <rPh sb="2" eb="4">
      <t>ハッコウ</t>
    </rPh>
    <rPh sb="4" eb="5">
      <t>スミ</t>
    </rPh>
    <phoneticPr fontId="2"/>
  </si>
  <si>
    <t>伝票再発行済</t>
    <rPh sb="0" eb="2">
      <t>デンピョウ</t>
    </rPh>
    <rPh sb="2" eb="5">
      <t>サイハッコウ</t>
    </rPh>
    <rPh sb="5" eb="6">
      <t>スミ</t>
    </rPh>
    <phoneticPr fontId="2"/>
  </si>
  <si>
    <t>伝票区分：</t>
    <rPh sb="0" eb="2">
      <t>デンピョウ</t>
    </rPh>
    <rPh sb="2" eb="4">
      <t>クブン</t>
    </rPh>
    <phoneticPr fontId="2"/>
  </si>
  <si>
    <t>通常伝票</t>
    <rPh sb="0" eb="2">
      <t>ツウジョウ</t>
    </rPh>
    <rPh sb="2" eb="4">
      <t>デンピョウ</t>
    </rPh>
    <phoneticPr fontId="2"/>
  </si>
  <si>
    <t>訂正伝票</t>
    <rPh sb="0" eb="2">
      <t>テイセイ</t>
    </rPh>
    <rPh sb="2" eb="4">
      <t>デンピョウ</t>
    </rPh>
    <phoneticPr fontId="2"/>
  </si>
  <si>
    <t>赤伝票</t>
    <rPh sb="0" eb="1">
      <t>アカ</t>
    </rPh>
    <rPh sb="1" eb="3">
      <t>デンピョウ</t>
    </rPh>
    <phoneticPr fontId="2"/>
  </si>
  <si>
    <t>黒伝票</t>
    <rPh sb="0" eb="1">
      <t>クロ</t>
    </rPh>
    <rPh sb="1" eb="3">
      <t>デンピョウ</t>
    </rPh>
    <phoneticPr fontId="2"/>
  </si>
  <si>
    <t>UNNH0090_H_INIT_HEADER_FLG_COPY_SAKI</t>
    <phoneticPr fontId="2"/>
  </si>
  <si>
    <t>グループ</t>
    <phoneticPr fontId="2"/>
  </si>
  <si>
    <t>セル名</t>
    <phoneticPr fontId="2"/>
  </si>
  <si>
    <t>～</t>
    <phoneticPr fontId="2"/>
  </si>
  <si>
    <t>請求先▼</t>
    <rPh sb="0" eb="2">
      <t>セイキュウ</t>
    </rPh>
    <rPh sb="2" eb="3">
      <t>サキ</t>
    </rPh>
    <phoneticPr fontId="2"/>
  </si>
  <si>
    <t>ステータス</t>
    <phoneticPr fontId="2"/>
  </si>
  <si>
    <t>伝票未発行</t>
    <rPh sb="0" eb="2">
      <t>デンピョウ</t>
    </rPh>
    <rPh sb="2" eb="5">
      <t>ミハッコウ</t>
    </rPh>
    <phoneticPr fontId="20"/>
  </si>
  <si>
    <t>UNNH0090_H_MIHAKKO_STS</t>
    <phoneticPr fontId="2"/>
  </si>
  <si>
    <t>売上No.▽</t>
    <rPh sb="0" eb="2">
      <t>ウリアゲ</t>
    </rPh>
    <phoneticPr fontId="2"/>
  </si>
  <si>
    <t>～</t>
    <phoneticPr fontId="2"/>
  </si>
  <si>
    <t>伝票送付先：</t>
    <rPh sb="0" eb="2">
      <t>デンピョウ</t>
    </rPh>
    <rPh sb="2" eb="4">
      <t>ソウフ</t>
    </rPh>
    <rPh sb="4" eb="5">
      <t>サキ</t>
    </rPh>
    <phoneticPr fontId="2"/>
  </si>
  <si>
    <t>伝票発行済</t>
    <rPh sb="0" eb="2">
      <t>デンピョウ</t>
    </rPh>
    <rPh sb="2" eb="4">
      <t>ハッコウ</t>
    </rPh>
    <rPh sb="4" eb="5">
      <t>スミ</t>
    </rPh>
    <phoneticPr fontId="20"/>
  </si>
  <si>
    <t>UNNH0090_H_HAKKOSUMI_STS</t>
    <phoneticPr fontId="2"/>
  </si>
  <si>
    <t>受理No.▽</t>
    <rPh sb="0" eb="2">
      <t>ジュリ</t>
    </rPh>
    <phoneticPr fontId="2"/>
  </si>
  <si>
    <t>～</t>
    <phoneticPr fontId="2"/>
  </si>
  <si>
    <t>伝票再発行済</t>
    <rPh sb="0" eb="2">
      <t>デンピョウ</t>
    </rPh>
    <rPh sb="2" eb="5">
      <t>サイハッコウ</t>
    </rPh>
    <rPh sb="5" eb="6">
      <t>スミ</t>
    </rPh>
    <phoneticPr fontId="20"/>
  </si>
  <si>
    <t>UNNH0090_H_SAIHAKKOSUMI_STS</t>
    <phoneticPr fontId="2"/>
  </si>
  <si>
    <t>納品日▼</t>
    <rPh sb="0" eb="2">
      <t>ノウヒン</t>
    </rPh>
    <phoneticPr fontId="2"/>
  </si>
  <si>
    <t>伝票区分</t>
    <rPh sb="0" eb="2">
      <t>デンピョウ</t>
    </rPh>
    <rPh sb="2" eb="4">
      <t>クブン</t>
    </rPh>
    <phoneticPr fontId="2"/>
  </si>
  <si>
    <t>通常伝票</t>
    <rPh sb="0" eb="2">
      <t>ツウジョウ</t>
    </rPh>
    <rPh sb="2" eb="4">
      <t>デンピョウ</t>
    </rPh>
    <phoneticPr fontId="20"/>
  </si>
  <si>
    <t>UNNH0090_H_TSUJO_KBN</t>
    <phoneticPr fontId="2"/>
  </si>
  <si>
    <t>売上入力者名▼</t>
    <rPh sb="0" eb="2">
      <t>ウリアゲ</t>
    </rPh>
    <phoneticPr fontId="2"/>
  </si>
  <si>
    <t>訂正伝票</t>
    <rPh sb="0" eb="2">
      <t>テイセイ</t>
    </rPh>
    <rPh sb="2" eb="4">
      <t>デンピョウ</t>
    </rPh>
    <phoneticPr fontId="20"/>
  </si>
  <si>
    <t>UNNH0090_H_TEISEI_KBN</t>
    <phoneticPr fontId="2"/>
  </si>
  <si>
    <t>赤伝票</t>
    <rPh sb="0" eb="1">
      <t>アカ</t>
    </rPh>
    <rPh sb="1" eb="3">
      <t>デンピョウ</t>
    </rPh>
    <phoneticPr fontId="20"/>
  </si>
  <si>
    <t>UNNH0090_H_AKA_KBN</t>
    <phoneticPr fontId="2"/>
  </si>
  <si>
    <t>フリーワード：</t>
    <phoneticPr fontId="2"/>
  </si>
  <si>
    <t>黒伝票</t>
    <rPh sb="0" eb="1">
      <t>クロ</t>
    </rPh>
    <rPh sb="1" eb="3">
      <t>デンピョウ</t>
    </rPh>
    <phoneticPr fontId="20"/>
  </si>
  <si>
    <t>UNNH0090_H_KURO_KBN</t>
    <phoneticPr fontId="2"/>
  </si>
  <si>
    <t>結合用</t>
    <phoneticPr fontId="2"/>
  </si>
  <si>
    <t>UNNH0090_H_KETSUGO_KBN</t>
    <phoneticPr fontId="2"/>
  </si>
  <si>
    <t>-</t>
    <phoneticPr fontId="2"/>
  </si>
  <si>
    <t>請求先名</t>
    <rPh sb="3" eb="4">
      <t>メイ</t>
    </rPh>
    <phoneticPr fontId="2"/>
  </si>
  <si>
    <t>UNNH0090_H_SEIKYUSAKI_MEI</t>
    <phoneticPr fontId="2"/>
  </si>
  <si>
    <t>伝票送付先名</t>
    <rPh sb="5" eb="6">
      <t>メイ</t>
    </rPh>
    <phoneticPr fontId="2"/>
  </si>
  <si>
    <t>UNNH0090_H_DEMPYO_MEI</t>
    <phoneticPr fontId="2"/>
  </si>
  <si>
    <t>売上入力者CD</t>
    <phoneticPr fontId="2"/>
  </si>
  <si>
    <t>UNNH0090_H_NYURYOKUSHA_CD</t>
    <phoneticPr fontId="2"/>
  </si>
  <si>
    <t>UNNH0090_H_FREEWD_KBN</t>
    <phoneticPr fontId="2"/>
  </si>
  <si>
    <t>UNNH0090_H_MIHAKKO_STS_S</t>
    <phoneticPr fontId="2"/>
  </si>
  <si>
    <t>UNNH0090_H_HAKKOSUMI_STS_S</t>
    <phoneticPr fontId="2"/>
  </si>
  <si>
    <t>UNNH0090_H_SAIHAKKOSUMI_STS_S</t>
    <phoneticPr fontId="2"/>
  </si>
  <si>
    <t>UNNH0090_H_TSUJO_KBN_S</t>
    <phoneticPr fontId="2"/>
  </si>
  <si>
    <t>UNNH0090_H_TEISEI_KBN_S</t>
    <phoneticPr fontId="2"/>
  </si>
  <si>
    <t>UNNH0090_H_AKA_KBN_S</t>
    <phoneticPr fontId="2"/>
  </si>
  <si>
    <t>UNNH0090_H_KURO_KBN_S</t>
    <phoneticPr fontId="2"/>
  </si>
  <si>
    <t>結合用</t>
  </si>
  <si>
    <t>UNNH0090_H_KETSUGO_KBN_S</t>
    <phoneticPr fontId="2"/>
  </si>
  <si>
    <t>売上日・スタート</t>
    <phoneticPr fontId="2"/>
  </si>
  <si>
    <t>UNNH0090_H_URIAGE_DATE_START_S</t>
    <phoneticPr fontId="2"/>
  </si>
  <si>
    <t>売上日・エンド</t>
    <phoneticPr fontId="2"/>
  </si>
  <si>
    <t>UNNH0090_H_URIAGE_DATE_END_S</t>
    <phoneticPr fontId="2"/>
  </si>
  <si>
    <t>売上No.・スタート</t>
    <phoneticPr fontId="2"/>
  </si>
  <si>
    <t>UNNH0090_H_URIAGE_NO_START_S</t>
    <phoneticPr fontId="2"/>
  </si>
  <si>
    <t>売上No.・エンド</t>
    <phoneticPr fontId="2"/>
  </si>
  <si>
    <t>UNNH0090_H_URIAGE_NO_END_S</t>
    <phoneticPr fontId="2"/>
  </si>
  <si>
    <t>受理No.・スタート</t>
    <rPh sb="0" eb="2">
      <t>ジュリ</t>
    </rPh>
    <phoneticPr fontId="2"/>
  </si>
  <si>
    <t>UNNH0090_H_JURI_NO_START_S</t>
    <phoneticPr fontId="2"/>
  </si>
  <si>
    <t>受理No.・エンド</t>
    <rPh sb="0" eb="2">
      <t>ジュリ</t>
    </rPh>
    <phoneticPr fontId="2"/>
  </si>
  <si>
    <t>UNNH0090_H_JURI_NO_END_S</t>
    <phoneticPr fontId="2"/>
  </si>
  <si>
    <t>納品日・スタート</t>
    <phoneticPr fontId="2"/>
  </si>
  <si>
    <t>UNNH0090_H_NOHIN_DATE_START_S</t>
    <phoneticPr fontId="2"/>
  </si>
  <si>
    <t>納品日・エンド</t>
    <phoneticPr fontId="2"/>
  </si>
  <si>
    <t>UNNH0090_H_NOHIN_DATE_END_S</t>
    <phoneticPr fontId="2"/>
  </si>
  <si>
    <t>回収予定日・スタート</t>
    <phoneticPr fontId="2"/>
  </si>
  <si>
    <t>UNNH0090_H_KAISHU_DATE_START_S</t>
    <phoneticPr fontId="2"/>
  </si>
  <si>
    <t>回収予定日・エンド</t>
    <phoneticPr fontId="2"/>
  </si>
  <si>
    <t>UNNH0090_H_KAISHU_DATE_END_S</t>
    <phoneticPr fontId="2"/>
  </si>
  <si>
    <t>請求先CD</t>
    <rPh sb="0" eb="2">
      <t>セイキュウ</t>
    </rPh>
    <rPh sb="2" eb="3">
      <t>サキ</t>
    </rPh>
    <phoneticPr fontId="2"/>
  </si>
  <si>
    <t>UNNH0090_H_SEIKYUSAKI_CD_S</t>
    <phoneticPr fontId="2"/>
  </si>
  <si>
    <t>請求先名</t>
    <rPh sb="0" eb="2">
      <t>セイキュウ</t>
    </rPh>
    <rPh sb="2" eb="3">
      <t>サキ</t>
    </rPh>
    <rPh sb="3" eb="4">
      <t>メイ</t>
    </rPh>
    <phoneticPr fontId="2"/>
  </si>
  <si>
    <t>UNNH0090_H_SEIKYUSAKI_MEI_S</t>
    <phoneticPr fontId="2"/>
  </si>
  <si>
    <t>伝票送付先名</t>
    <rPh sb="0" eb="2">
      <t>デンピョウ</t>
    </rPh>
    <rPh sb="2" eb="5">
      <t>ソウフサキ</t>
    </rPh>
    <rPh sb="5" eb="6">
      <t>メイ</t>
    </rPh>
    <phoneticPr fontId="2"/>
  </si>
  <si>
    <t>UNNH0090_H_DEMPYO_MEI_S</t>
    <phoneticPr fontId="2"/>
  </si>
  <si>
    <t>売上入力者CD</t>
    <rPh sb="0" eb="2">
      <t>ウリアゲ</t>
    </rPh>
    <rPh sb="2" eb="4">
      <t>ニュウリョク</t>
    </rPh>
    <rPh sb="4" eb="5">
      <t>シャ</t>
    </rPh>
    <phoneticPr fontId="2"/>
  </si>
  <si>
    <t>UNNH0090_H_NYURYOKUSHA_CD_S</t>
    <phoneticPr fontId="2"/>
  </si>
  <si>
    <t>売上入力者名</t>
    <rPh sb="0" eb="2">
      <t>ウリアゲ</t>
    </rPh>
    <rPh sb="2" eb="4">
      <t>ニュウリョク</t>
    </rPh>
    <rPh sb="4" eb="5">
      <t>シャ</t>
    </rPh>
    <rPh sb="5" eb="6">
      <t>メイ</t>
    </rPh>
    <phoneticPr fontId="2"/>
  </si>
  <si>
    <t>UNNH0090_H_NYURYOKUSHA_MEI_S</t>
    <phoneticPr fontId="2"/>
  </si>
  <si>
    <t>フリーワード１</t>
    <phoneticPr fontId="2"/>
  </si>
  <si>
    <t>UNNH0090_H_FREEWD_1_S</t>
    <phoneticPr fontId="2"/>
  </si>
  <si>
    <t>UNNH0090_H_FREEWD_2_S</t>
    <phoneticPr fontId="2"/>
  </si>
  <si>
    <t>UNNH0090_H_FREEWD_3_S</t>
    <phoneticPr fontId="2"/>
  </si>
  <si>
    <t>UNNH0090_H_FREEWD_KBN_S</t>
    <phoneticPr fontId="2"/>
  </si>
  <si>
    <t>UNNH0090_B_HIDE_ROW</t>
    <phoneticPr fontId="2"/>
  </si>
  <si>
    <t>ユーザーID</t>
    <phoneticPr fontId="2"/>
  </si>
  <si>
    <t>シリアル</t>
    <phoneticPr fontId="2"/>
  </si>
  <si>
    <t>ステータス</t>
    <phoneticPr fontId="2"/>
  </si>
  <si>
    <t>伝票宛名</t>
    <rPh sb="0" eb="2">
      <t>デンピョウ</t>
    </rPh>
    <rPh sb="2" eb="4">
      <t>アテナ</t>
    </rPh>
    <phoneticPr fontId="2"/>
  </si>
  <si>
    <t>売上日</t>
    <rPh sb="0" eb="2">
      <t>ウリアゲ</t>
    </rPh>
    <rPh sb="2" eb="3">
      <t>ビ</t>
    </rPh>
    <phoneticPr fontId="2"/>
  </si>
  <si>
    <t>納品日</t>
    <rPh sb="0" eb="3">
      <t>ノウヒンビ</t>
    </rPh>
    <phoneticPr fontId="2"/>
  </si>
  <si>
    <t>回収予定日</t>
    <rPh sb="0" eb="2">
      <t>カイシュウ</t>
    </rPh>
    <rPh sb="2" eb="5">
      <t>ヨテイビ</t>
    </rPh>
    <phoneticPr fontId="2"/>
  </si>
  <si>
    <t>入力者名</t>
    <phoneticPr fontId="2"/>
  </si>
  <si>
    <t>原価合計</t>
    <rPh sb="0" eb="2">
      <t>ゲンカ</t>
    </rPh>
    <rPh sb="2" eb="4">
      <t>ゴウケイ</t>
    </rPh>
    <phoneticPr fontId="2"/>
  </si>
  <si>
    <t>粗利益</t>
    <rPh sb="0" eb="2">
      <t>アラリ</t>
    </rPh>
    <rPh sb="2" eb="3">
      <t>エキ</t>
    </rPh>
    <phoneticPr fontId="2"/>
  </si>
  <si>
    <t>粗利率</t>
    <rPh sb="0" eb="2">
      <t>アラリ</t>
    </rPh>
    <rPh sb="2" eb="3">
      <t>リツ</t>
    </rPh>
    <phoneticPr fontId="2"/>
  </si>
  <si>
    <t>売上No.</t>
    <rPh sb="0" eb="2">
      <t>ウリアゲ</t>
    </rPh>
    <phoneticPr fontId="2"/>
  </si>
  <si>
    <t>売上ステータス</t>
    <rPh sb="0" eb="2">
      <t>ウリアゲ</t>
    </rPh>
    <phoneticPr fontId="2"/>
  </si>
  <si>
    <t>UNNH0090_B_HIDE_COLUMN</t>
    <phoneticPr fontId="2"/>
  </si>
  <si>
    <t>UNNH0090_B_SCROLL_LOCK</t>
    <phoneticPr fontId="2"/>
  </si>
  <si>
    <t>UNNH0090_B_LIST_START</t>
    <phoneticPr fontId="2"/>
  </si>
  <si>
    <t>UNNH0090_B_LIST_END</t>
    <phoneticPr fontId="2"/>
  </si>
  <si>
    <t>リスト書式コピーフラグ</t>
    <phoneticPr fontId="2"/>
  </si>
  <si>
    <t>UNNH0090_B_LIST_COPY_FLG</t>
    <phoneticPr fontId="2"/>
  </si>
  <si>
    <t>UNNH0090_B_LIST_COPY_SAKI</t>
    <phoneticPr fontId="2"/>
  </si>
  <si>
    <t>フラグコピー先</t>
    <phoneticPr fontId="2"/>
  </si>
  <si>
    <t>UNNH0090_B_SELECT_FLG_COPY_SAKI</t>
    <phoneticPr fontId="2"/>
  </si>
  <si>
    <t>UNNH0090_B_LIST_CLEAR</t>
    <phoneticPr fontId="2"/>
  </si>
  <si>
    <t>UNNH0090_B_SAVE_START</t>
    <phoneticPr fontId="2"/>
  </si>
  <si>
    <t>UNNH0090_B_NEXT_PAGE_NO</t>
    <phoneticPr fontId="2"/>
  </si>
  <si>
    <t>UNNH0090_B_BACK_PAGE_NO</t>
    <phoneticPr fontId="2"/>
  </si>
  <si>
    <t>UNNH0090_B_BACK_PAGE</t>
    <phoneticPr fontId="2"/>
  </si>
  <si>
    <t>UNNH0090_B_NEXT_PAGE</t>
    <phoneticPr fontId="2"/>
  </si>
  <si>
    <t>UNNH0090_IF_INIT_HEADER_COPY_MOTO</t>
    <phoneticPr fontId="2"/>
  </si>
  <si>
    <t>入力者名</t>
  </si>
  <si>
    <t>【Excel保存用】</t>
    <rPh sb="6" eb="8">
      <t>ホゾン</t>
    </rPh>
    <rPh sb="8" eb="9">
      <t>ヨウ</t>
    </rPh>
    <phoneticPr fontId="2"/>
  </si>
  <si>
    <t>UNNH0090_IF_PRINT_SHOSHIKI_COPY_MOTO</t>
    <phoneticPr fontId="2"/>
  </si>
  <si>
    <t>UNNH0090_IF_LIST_DEFAULT</t>
    <phoneticPr fontId="2"/>
  </si>
  <si>
    <t>UNNH0090_IF_INIT_HEADER_FLG_COPY_MOTO</t>
    <phoneticPr fontId="2"/>
  </si>
  <si>
    <t>売上ステータス名</t>
    <rPh sb="0" eb="2">
      <t>ウリアゲ</t>
    </rPh>
    <rPh sb="7" eb="8">
      <t>メイ</t>
    </rPh>
    <phoneticPr fontId="2"/>
  </si>
  <si>
    <t>伝票区分名</t>
    <phoneticPr fontId="2"/>
  </si>
  <si>
    <t>請求先名</t>
    <phoneticPr fontId="2"/>
  </si>
  <si>
    <t>伝票送付先名</t>
    <phoneticPr fontId="2"/>
  </si>
  <si>
    <t>売上日</t>
    <phoneticPr fontId="2"/>
  </si>
  <si>
    <t>納品日</t>
    <phoneticPr fontId="2"/>
  </si>
  <si>
    <t>回収予定日</t>
    <phoneticPr fontId="2"/>
  </si>
  <si>
    <t>売上入力者名</t>
    <phoneticPr fontId="2"/>
  </si>
  <si>
    <t>税込合計</t>
    <phoneticPr fontId="2"/>
  </si>
  <si>
    <t>原価合計</t>
    <phoneticPr fontId="2"/>
  </si>
  <si>
    <t>粗利益</t>
    <phoneticPr fontId="2"/>
  </si>
  <si>
    <t>粗利率</t>
    <phoneticPr fontId="2"/>
  </si>
  <si>
    <t>対象受理No.</t>
    <phoneticPr fontId="2"/>
  </si>
  <si>
    <t>売上No.</t>
    <phoneticPr fontId="2"/>
  </si>
  <si>
    <t>伝票区分</t>
    <phoneticPr fontId="2"/>
  </si>
  <si>
    <t>売上入力者CD</t>
    <phoneticPr fontId="2"/>
  </si>
  <si>
    <t>UNNH0090_IF_LIST_COPY_MOTO</t>
    <phoneticPr fontId="2"/>
  </si>
  <si>
    <t>フラグコピー元</t>
    <phoneticPr fontId="2"/>
  </si>
  <si>
    <t>UNNH0090_IF_B_FLG_COPY_MOTO</t>
    <phoneticPr fontId="2"/>
  </si>
  <si>
    <t>UNNH0090_IF_PRINT_COUNT</t>
    <phoneticPr fontId="2"/>
  </si>
  <si>
    <t>UNNH0090_IF_PRINT_SHOSHIKI_COPY_FLAG</t>
    <phoneticPr fontId="2"/>
  </si>
  <si>
    <t>UNNH0090_IF_DATA_SEARCH_FLG</t>
    <phoneticPr fontId="2"/>
  </si>
  <si>
    <t>UNNH0090_IF_EXCEL_FILE_NAME</t>
    <phoneticPr fontId="2"/>
  </si>
  <si>
    <t>UNNH0090_IF_W_USER_ID</t>
    <phoneticPr fontId="2"/>
  </si>
  <si>
    <t>UNNH0090_IF_W_SERIAL</t>
    <phoneticPr fontId="2"/>
  </si>
  <si>
    <t>UNNH0090_IF_W_SERIAL_CREATE</t>
    <phoneticPr fontId="2"/>
  </si>
  <si>
    <t>売上入力者CD</t>
  </si>
  <si>
    <t>UNNH0090_IF_ACTIVE_SHEET</t>
    <phoneticPr fontId="2"/>
  </si>
  <si>
    <t>UNNH0090_IF_ACTIVE_ROW</t>
    <phoneticPr fontId="2"/>
  </si>
  <si>
    <t>UNNH0090_IF_ACTIVE_COLUMN</t>
    <phoneticPr fontId="2"/>
  </si>
  <si>
    <t>UNNH0090_IF_ACTIVE_CELL_NAME</t>
    <phoneticPr fontId="2"/>
  </si>
  <si>
    <t>【ボディー】</t>
    <phoneticPr fontId="2"/>
  </si>
  <si>
    <t>売上ヘッダー件数</t>
    <rPh sb="0" eb="2">
      <t>ウリアゲ</t>
    </rPh>
    <rPh sb="6" eb="8">
      <t>ケンスウ</t>
    </rPh>
    <phoneticPr fontId="2"/>
  </si>
  <si>
    <t>売上No.</t>
    <rPh sb="0" eb="2">
      <t>ウリアゲ</t>
    </rPh>
    <phoneticPr fontId="4"/>
  </si>
  <si>
    <t>エンティティバージョン</t>
    <phoneticPr fontId="4"/>
  </si>
  <si>
    <t>伝区</t>
    <phoneticPr fontId="4"/>
  </si>
  <si>
    <t>売上日</t>
    <phoneticPr fontId="4"/>
  </si>
  <si>
    <t>請求日</t>
    <phoneticPr fontId="4"/>
  </si>
  <si>
    <t>伝票No</t>
    <phoneticPr fontId="4"/>
  </si>
  <si>
    <t>得意先コード</t>
    <phoneticPr fontId="4"/>
  </si>
  <si>
    <t>得意先 名1</t>
    <phoneticPr fontId="4"/>
  </si>
  <si>
    <t>得意先 名2</t>
    <phoneticPr fontId="4"/>
  </si>
  <si>
    <t>得意先 住所1</t>
    <phoneticPr fontId="4"/>
  </si>
  <si>
    <t>得意先 住所2</t>
    <phoneticPr fontId="4"/>
  </si>
  <si>
    <t>得意先 郵便番号</t>
    <phoneticPr fontId="4"/>
  </si>
  <si>
    <t>得意先 TEL</t>
    <phoneticPr fontId="4"/>
  </si>
  <si>
    <t>得意先 FAX</t>
    <phoneticPr fontId="4"/>
  </si>
  <si>
    <t>得意先 敬称(相手先)</t>
    <phoneticPr fontId="4"/>
  </si>
  <si>
    <t>得意先 メールアドレス(相手先)</t>
    <phoneticPr fontId="4"/>
  </si>
  <si>
    <t>得意先 法人番号</t>
    <phoneticPr fontId="4"/>
  </si>
  <si>
    <t>連動区分</t>
    <phoneticPr fontId="4"/>
  </si>
  <si>
    <t>見積No or 受注No</t>
    <phoneticPr fontId="4"/>
  </si>
  <si>
    <t>相手先ID(スポット用)</t>
    <phoneticPr fontId="4"/>
  </si>
  <si>
    <t>先方担当者ID</t>
    <phoneticPr fontId="4"/>
  </si>
  <si>
    <t>摘要コード</t>
    <phoneticPr fontId="4"/>
  </si>
  <si>
    <t>摘要名</t>
    <phoneticPr fontId="4"/>
  </si>
  <si>
    <t>分類コード</t>
    <phoneticPr fontId="4"/>
  </si>
  <si>
    <t>伝票区分</t>
    <phoneticPr fontId="4"/>
  </si>
  <si>
    <t>直送先コード</t>
    <phoneticPr fontId="4"/>
  </si>
  <si>
    <t>フセンコメント</t>
    <phoneticPr fontId="4"/>
  </si>
  <si>
    <t>予備1</t>
    <phoneticPr fontId="4"/>
  </si>
  <si>
    <t>予備3</t>
    <phoneticPr fontId="4"/>
  </si>
  <si>
    <t>予備数値2</t>
    <phoneticPr fontId="4"/>
  </si>
  <si>
    <t>予備金額1</t>
    <phoneticPr fontId="4"/>
  </si>
  <si>
    <t>予備金額3</t>
    <phoneticPr fontId="4"/>
  </si>
  <si>
    <t>予備文字列3</t>
    <phoneticPr fontId="4"/>
  </si>
  <si>
    <t>売上ボディー件数</t>
    <rPh sb="0" eb="2">
      <t>ウリアゲ</t>
    </rPh>
    <rPh sb="6" eb="8">
      <t>ケンスウ</t>
    </rPh>
    <phoneticPr fontId="2"/>
  </si>
  <si>
    <t>商品コード</t>
    <phoneticPr fontId="4"/>
  </si>
  <si>
    <t>マスター区分</t>
    <phoneticPr fontId="4"/>
  </si>
  <si>
    <t>税区分</t>
    <phoneticPr fontId="4"/>
  </si>
  <si>
    <t>税込区分</t>
    <phoneticPr fontId="4"/>
  </si>
  <si>
    <t>単価小数桁</t>
    <phoneticPr fontId="4"/>
  </si>
  <si>
    <t>数量小数桁</t>
    <phoneticPr fontId="4"/>
  </si>
  <si>
    <t>商品名</t>
    <rPh sb="0" eb="2">
      <t>ショウヒン</t>
    </rPh>
    <phoneticPr fontId="4"/>
  </si>
  <si>
    <t>商品名2</t>
    <phoneticPr fontId="4"/>
  </si>
  <si>
    <t>規格・型番</t>
    <phoneticPr fontId="4"/>
  </si>
  <si>
    <t>色</t>
    <phoneticPr fontId="4"/>
  </si>
  <si>
    <t>サイズ</t>
    <phoneticPr fontId="4"/>
  </si>
  <si>
    <t>倉庫</t>
    <phoneticPr fontId="4"/>
  </si>
  <si>
    <t>区</t>
    <phoneticPr fontId="4"/>
  </si>
  <si>
    <t>入数</t>
    <phoneticPr fontId="4"/>
  </si>
  <si>
    <t>箱数</t>
    <phoneticPr fontId="4"/>
  </si>
  <si>
    <t>数量</t>
    <phoneticPr fontId="4"/>
  </si>
  <si>
    <t>単価</t>
    <phoneticPr fontId="4"/>
  </si>
  <si>
    <t>原単価</t>
    <phoneticPr fontId="4"/>
  </si>
  <si>
    <t>売単価</t>
    <phoneticPr fontId="4"/>
  </si>
  <si>
    <t>金額</t>
    <phoneticPr fontId="4"/>
  </si>
  <si>
    <t>原価金額</t>
    <phoneticPr fontId="4"/>
  </si>
  <si>
    <t>売価金額</t>
    <phoneticPr fontId="4"/>
  </si>
  <si>
    <t>粗利益</t>
    <phoneticPr fontId="4"/>
  </si>
  <si>
    <t>備考</t>
    <phoneticPr fontId="4"/>
  </si>
  <si>
    <t>入荷マーク</t>
    <phoneticPr fontId="4"/>
  </si>
  <si>
    <t>標準価格</t>
    <phoneticPr fontId="4"/>
  </si>
  <si>
    <t>標準価格(入力)</t>
    <phoneticPr fontId="4"/>
  </si>
  <si>
    <t>外税額</t>
    <phoneticPr fontId="4"/>
  </si>
  <si>
    <t>内税額</t>
    <phoneticPr fontId="4"/>
  </si>
  <si>
    <t>計算式コード</t>
    <phoneticPr fontId="4"/>
  </si>
  <si>
    <t>商品項目3</t>
    <phoneticPr fontId="4"/>
  </si>
  <si>
    <t>売上項目1</t>
    <phoneticPr fontId="4"/>
  </si>
  <si>
    <t>売上項目2</t>
    <phoneticPr fontId="4"/>
  </si>
  <si>
    <t>売上項目3</t>
    <phoneticPr fontId="4"/>
  </si>
  <si>
    <t>出荷指示</t>
    <phoneticPr fontId="4"/>
  </si>
  <si>
    <t>受注ヘッダーID</t>
    <phoneticPr fontId="4"/>
  </si>
  <si>
    <t>受注明細SEQ</t>
    <phoneticPr fontId="4"/>
  </si>
  <si>
    <t>予備3</t>
    <phoneticPr fontId="4"/>
  </si>
  <si>
    <t>予備数値1</t>
    <phoneticPr fontId="4"/>
  </si>
  <si>
    <t>予備数値2</t>
    <phoneticPr fontId="4"/>
  </si>
  <si>
    <t>予備数値3</t>
    <phoneticPr fontId="4"/>
  </si>
  <si>
    <t>予備金額2</t>
    <phoneticPr fontId="4"/>
  </si>
  <si>
    <t>予備金額3</t>
    <phoneticPr fontId="4"/>
  </si>
  <si>
    <t>予備文字列1</t>
    <phoneticPr fontId="4"/>
  </si>
  <si>
    <t>入金済フラグ</t>
    <phoneticPr fontId="4"/>
  </si>
  <si>
    <t>入数小数桁</t>
    <phoneticPr fontId="4"/>
  </si>
  <si>
    <t>箱数小数桁</t>
    <phoneticPr fontId="4"/>
  </si>
  <si>
    <t>数量端数</t>
    <phoneticPr fontId="4"/>
  </si>
  <si>
    <t>伝票区分</t>
    <rPh sb="0" eb="2">
      <t>デンピョウ</t>
    </rPh>
    <rPh sb="2" eb="4">
      <t>クブン</t>
    </rPh>
    <phoneticPr fontId="4"/>
  </si>
  <si>
    <t>商魂連動区分</t>
    <phoneticPr fontId="4"/>
  </si>
  <si>
    <t>担当部署CD</t>
    <phoneticPr fontId="4"/>
  </si>
  <si>
    <t>売上入力者CD</t>
    <rPh sb="0" eb="2">
      <t>ウリアゲ</t>
    </rPh>
    <rPh sb="2" eb="4">
      <t>ニュウリョク</t>
    </rPh>
    <rPh sb="4" eb="5">
      <t>シャ</t>
    </rPh>
    <phoneticPr fontId="4"/>
  </si>
  <si>
    <t>入力日時</t>
    <phoneticPr fontId="4"/>
  </si>
  <si>
    <t>受注区分</t>
    <phoneticPr fontId="4"/>
  </si>
  <si>
    <t>対象受理No.</t>
    <phoneticPr fontId="4"/>
  </si>
  <si>
    <t>対象見積No.</t>
    <phoneticPr fontId="4"/>
  </si>
  <si>
    <t>結合先売上No.</t>
    <phoneticPr fontId="4"/>
  </si>
  <si>
    <t>納品日</t>
    <phoneticPr fontId="4"/>
  </si>
  <si>
    <t>売上ステータス</t>
    <phoneticPr fontId="4"/>
  </si>
  <si>
    <t>同時発行フラグ</t>
    <phoneticPr fontId="4"/>
  </si>
  <si>
    <t>請求先CD</t>
    <phoneticPr fontId="4"/>
  </si>
  <si>
    <t>回収予定日</t>
    <phoneticPr fontId="4"/>
  </si>
  <si>
    <t>分析方法</t>
    <phoneticPr fontId="4"/>
  </si>
  <si>
    <t>摘要</t>
    <phoneticPr fontId="4"/>
  </si>
  <si>
    <t>伝票送付先名</t>
    <phoneticPr fontId="4"/>
  </si>
  <si>
    <t>敬称</t>
    <phoneticPr fontId="4"/>
  </si>
  <si>
    <t>送付先郵便番号</t>
    <phoneticPr fontId="4"/>
  </si>
  <si>
    <t>送付先住所１</t>
    <phoneticPr fontId="4"/>
  </si>
  <si>
    <t>送付先住所２</t>
    <phoneticPr fontId="4"/>
  </si>
  <si>
    <t>送付先TEL</t>
    <phoneticPr fontId="4"/>
  </si>
  <si>
    <t>送付先FAX</t>
    <phoneticPr fontId="4"/>
  </si>
  <si>
    <t>送付先担当者</t>
    <phoneticPr fontId="4"/>
  </si>
  <si>
    <t>訂正備考</t>
    <phoneticPr fontId="4"/>
  </si>
  <si>
    <t>住所印字不要フラグ</t>
    <phoneticPr fontId="4"/>
  </si>
  <si>
    <t>税率</t>
    <phoneticPr fontId="4"/>
  </si>
  <si>
    <t>消費税</t>
    <phoneticPr fontId="4"/>
  </si>
  <si>
    <t>税込合計</t>
    <phoneticPr fontId="4"/>
  </si>
  <si>
    <t>原価合計</t>
    <phoneticPr fontId="4"/>
  </si>
  <si>
    <t>粗利益</t>
    <phoneticPr fontId="4"/>
  </si>
  <si>
    <t>粗利率</t>
    <phoneticPr fontId="4"/>
  </si>
  <si>
    <t>商魂伝票No.</t>
    <phoneticPr fontId="4"/>
  </si>
  <si>
    <t>連動日時</t>
    <phoneticPr fontId="4"/>
  </si>
  <si>
    <t>U16-050022</t>
  </si>
  <si>
    <t>A00000-00</t>
    <phoneticPr fontId="2"/>
  </si>
  <si>
    <t xml:space="preserve"> </t>
  </si>
  <si>
    <t>8</t>
    <phoneticPr fontId="2"/>
  </si>
  <si>
    <t>アワクリン１０３０</t>
  </si>
  <si>
    <t>nebiki_dir</t>
  </si>
  <si>
    <t>値引</t>
    <rPh sb="0" eb="2">
      <t>ネビ</t>
    </rPh>
    <phoneticPr fontId="2"/>
  </si>
  <si>
    <t>-3000</t>
    <phoneticPr fontId="2"/>
  </si>
  <si>
    <t>U16-050022</t>
    <phoneticPr fontId="2"/>
  </si>
  <si>
    <t>J16-050003</t>
  </si>
  <si>
    <t>ラボタオル</t>
  </si>
  <si>
    <t>comment</t>
    <phoneticPr fontId="2"/>
  </si>
  <si>
    <t>UNNH0090_RENDO_URIAGE_H_COUNT</t>
    <phoneticPr fontId="2"/>
  </si>
  <si>
    <t>UNNH0090_IF_RENDO_URIAGE_H_SHOSHIKI_COPY_SAKI</t>
    <phoneticPr fontId="2"/>
  </si>
  <si>
    <t>UNNH0090_SQL_URIAGE_RENDO_LIST</t>
    <phoneticPr fontId="2"/>
  </si>
  <si>
    <t xml:space="preserve">SELECT *
</t>
    <phoneticPr fontId="2"/>
  </si>
  <si>
    <t xml:space="preserve"> FROM V_URIAGE_RENDO_LIST
</t>
  </si>
  <si>
    <t>UNNH0090_SQL_EXCEL_LIST</t>
    <phoneticPr fontId="2"/>
  </si>
  <si>
    <t xml:space="preserve">  FROM V_URIAGE_RENDO_LIST
  </t>
  </si>
  <si>
    <t>カウントSQL</t>
    <phoneticPr fontId="2"/>
  </si>
  <si>
    <t>UNNH0090_SQL_URIAGE_RENDO_LIST_CNT</t>
    <phoneticPr fontId="2"/>
  </si>
  <si>
    <t xml:space="preserve">SELECT COUNT(*) AS CNT
</t>
    <phoneticPr fontId="2"/>
  </si>
  <si>
    <t>WHERE</t>
    <phoneticPr fontId="2"/>
  </si>
  <si>
    <t>売上日・スタート</t>
    <phoneticPr fontId="2"/>
  </si>
  <si>
    <t>売上日・エンド</t>
    <phoneticPr fontId="2"/>
  </si>
  <si>
    <t>売上No.・スタート</t>
    <rPh sb="0" eb="2">
      <t>ウリアゲ</t>
    </rPh>
    <phoneticPr fontId="2"/>
  </si>
  <si>
    <t>売上No.・エンド</t>
    <rPh sb="0" eb="2">
      <t>ウリアゲ</t>
    </rPh>
    <phoneticPr fontId="2"/>
  </si>
  <si>
    <t>検収日・スタート</t>
    <rPh sb="0" eb="2">
      <t>ケンシュウ</t>
    </rPh>
    <rPh sb="2" eb="3">
      <t>ビ</t>
    </rPh>
    <phoneticPr fontId="2"/>
  </si>
  <si>
    <t>検収日・エンド</t>
    <rPh sb="0" eb="2">
      <t>ケンシュウ</t>
    </rPh>
    <rPh sb="2" eb="3">
      <t>ビ</t>
    </rPh>
    <phoneticPr fontId="2"/>
  </si>
  <si>
    <t>納品日・スタート</t>
    <rPh sb="0" eb="3">
      <t>ノウヒンビ</t>
    </rPh>
    <phoneticPr fontId="2"/>
  </si>
  <si>
    <t>納品日・エンド</t>
    <rPh sb="0" eb="3">
      <t>ノウヒンビ</t>
    </rPh>
    <phoneticPr fontId="2"/>
  </si>
  <si>
    <t>回収予定日・スタート</t>
    <rPh sb="0" eb="2">
      <t>カイシュウ</t>
    </rPh>
    <rPh sb="2" eb="4">
      <t>ヨテイ</t>
    </rPh>
    <rPh sb="4" eb="5">
      <t>ビ</t>
    </rPh>
    <phoneticPr fontId="2"/>
  </si>
  <si>
    <t>回収予定日・エンド</t>
    <rPh sb="0" eb="2">
      <t>カイシュウ</t>
    </rPh>
    <rPh sb="2" eb="4">
      <t>ヨテイ</t>
    </rPh>
    <rPh sb="4" eb="5">
      <t>ビ</t>
    </rPh>
    <phoneticPr fontId="2"/>
  </si>
  <si>
    <t>請求先CD</t>
    <phoneticPr fontId="2"/>
  </si>
  <si>
    <t>フリーワード</t>
    <phoneticPr fontId="2"/>
  </si>
  <si>
    <t>UNNH0090_SQL_W_URIAGE_RENDO_LIST</t>
    <phoneticPr fontId="2"/>
  </si>
  <si>
    <t xml:space="preserve">SELECT *
</t>
    <phoneticPr fontId="2"/>
  </si>
  <si>
    <t xml:space="preserve">FROM W_URIAGE_RENDO
</t>
    <phoneticPr fontId="2"/>
  </si>
  <si>
    <t>ORDER BY URIAGE_NO ASC</t>
    <phoneticPr fontId="2"/>
  </si>
  <si>
    <t>UNNH0090_SQL_SORT</t>
    <phoneticPr fontId="2"/>
  </si>
  <si>
    <t>PAGE</t>
    <phoneticPr fontId="2"/>
  </si>
  <si>
    <t>売上連動SQL</t>
    <rPh sb="0" eb="4">
      <t>ウリアゲレンドウ</t>
    </rPh>
    <phoneticPr fontId="2"/>
  </si>
  <si>
    <t>売上ヘッダー</t>
    <rPh sb="0" eb="2">
      <t>ウリアゲ</t>
    </rPh>
    <phoneticPr fontId="2"/>
  </si>
  <si>
    <t>UNNH0090_SQL_URIAGE_H_LIST</t>
    <phoneticPr fontId="2"/>
  </si>
  <si>
    <t xml:space="preserve">SELECT T_URIAGE_H.*
</t>
    <phoneticPr fontId="2"/>
  </si>
  <si>
    <t xml:space="preserve">FROM W_URIAGE_RENDO
  LEFT JOIN T_URIAGE_H
   ON W_URIAGE_RENDO.URIAGE_NO = T_URIAGE_H.URIAGE_NO
</t>
    <phoneticPr fontId="2"/>
  </si>
  <si>
    <t>UNNH0090_SQL_URIAGE_RENDO_H_LIST</t>
    <phoneticPr fontId="2"/>
  </si>
  <si>
    <t>UNNH0090_SQL_URIAGE_RENDO_B_LIST</t>
    <phoneticPr fontId="2"/>
  </si>
  <si>
    <t>シリアス</t>
    <phoneticPr fontId="2"/>
  </si>
  <si>
    <t>SELECT M_MEISHO_B.DATA_1   AS 並べ替え
      ,M_MEISHO_B.DATA_2        AS ORDER句
  FROM M_MEISHO_B
 WHERE M_MEISHO_B.MEISHO_KBN='O604'
 ORDER BY
       M_MEISHO_B.SORT_NO ASC
      ,CAST(M_MEISHO_B.MEISHO_CD AS INT) ASC</t>
    <phoneticPr fontId="2"/>
  </si>
  <si>
    <t>UNNH0090_SQL_SORT_BY</t>
    <phoneticPr fontId="2"/>
  </si>
  <si>
    <t>UNNH0090_SQL_DEFAULT_SORT</t>
    <phoneticPr fontId="2"/>
  </si>
  <si>
    <t>AND</t>
  </si>
  <si>
    <t>$Q$17</t>
  </si>
  <si>
    <t>UNNH0090_B_ALL_KENSU</t>
    <phoneticPr fontId="2"/>
  </si>
  <si>
    <t>UNNH0090_B_PAGE_NO</t>
    <phoneticPr fontId="2"/>
  </si>
  <si>
    <t>UNNH0090_B_ALL_PAGE_SU</t>
    <phoneticPr fontId="2"/>
  </si>
  <si>
    <t>UNNH0090_B_HYOJI_KENSU</t>
    <phoneticPr fontId="2"/>
  </si>
  <si>
    <t>UNNH0090_B_HYOJI_GYO_SU</t>
    <phoneticPr fontId="2"/>
  </si>
  <si>
    <t>UNNH0090_IF_PRINT_SHOSHIKI_COPY_SAKI</t>
    <phoneticPr fontId="2"/>
  </si>
  <si>
    <t>部門マスタ連動ステータス</t>
    <phoneticPr fontId="2"/>
  </si>
  <si>
    <t>担当者マスタ連動ステータス</t>
    <phoneticPr fontId="2"/>
  </si>
  <si>
    <t>得意先区分１連動ステータス</t>
    <phoneticPr fontId="2"/>
  </si>
  <si>
    <t>商品区分１連動ステータス</t>
    <phoneticPr fontId="2"/>
  </si>
  <si>
    <t>商品マスタ連動ステータス</t>
    <phoneticPr fontId="2"/>
  </si>
  <si>
    <t>得意先マスタ連動ステータス</t>
    <phoneticPr fontId="2"/>
  </si>
  <si>
    <t>商品マスタ連動</t>
    <phoneticPr fontId="2"/>
  </si>
  <si>
    <t>得意先マスタ連動</t>
    <phoneticPr fontId="2"/>
  </si>
  <si>
    <t>仕入先マスタ連動</t>
    <phoneticPr fontId="2"/>
  </si>
  <si>
    <t>エラーリスト</t>
    <phoneticPr fontId="2"/>
  </si>
  <si>
    <t>連動ステータス</t>
    <rPh sb="0" eb="2">
      <t>レンドウ</t>
    </rPh>
    <phoneticPr fontId="2"/>
  </si>
  <si>
    <t>更新日時</t>
    <rPh sb="0" eb="4">
      <t>コウシンニチジ</t>
    </rPh>
    <phoneticPr fontId="2"/>
  </si>
  <si>
    <t>UNRD_COMMON_SHOHIN_KUBUN_PART_STS</t>
    <phoneticPr fontId="2"/>
  </si>
  <si>
    <t>UNRD_COMMON_TANTOSHA_PART_STS</t>
    <phoneticPr fontId="2"/>
  </si>
  <si>
    <t>UNRD_COMMON_TOKUI_SAKI_KUBUN_PART_STS</t>
    <phoneticPr fontId="2"/>
  </si>
  <si>
    <t>UNRD_COMMON_SHOHIN_PART_STS</t>
    <phoneticPr fontId="2"/>
  </si>
  <si>
    <t>UNRD_COMMON_TOKUI_SAKI_PART_STS</t>
    <phoneticPr fontId="2"/>
  </si>
  <si>
    <t>UNRD_COMMON_SHIIRE_SAKI_PART_STS</t>
    <phoneticPr fontId="2"/>
  </si>
  <si>
    <t>UNRD_COMMON_TOKUI_ALL_SAKI</t>
    <phoneticPr fontId="2"/>
  </si>
  <si>
    <t>UNRD_COMMON_SHIIRE_SAKI_ALL_STS</t>
    <phoneticPr fontId="2"/>
  </si>
  <si>
    <t>UNRD_COMMON_BUMON_PART_STS</t>
    <phoneticPr fontId="2"/>
  </si>
  <si>
    <t>UNRD_COMMON_SHOHIN_ALL_STS</t>
    <phoneticPr fontId="2"/>
  </si>
  <si>
    <t>0:成功　１：エラー</t>
    <rPh sb="2" eb="4">
      <t>セイコウ</t>
    </rPh>
    <phoneticPr fontId="2"/>
  </si>
  <si>
    <t>28</t>
    <phoneticPr fontId="2"/>
  </si>
  <si>
    <t>UNRD_COMMON_SQL_SELECT_CTRL_HYOJI_GYO_SU</t>
  </si>
  <si>
    <t>UNRD_COMMON_SQL_SHAIN_SEARCH</t>
    <phoneticPr fontId="2"/>
  </si>
  <si>
    <t>UNRD_COMMON_SQL_SHIIRESAKI_SEARCH</t>
    <phoneticPr fontId="2"/>
  </si>
  <si>
    <t>UNRD_COMMON_SQL_SHIIRE_NO_SEARCH</t>
    <phoneticPr fontId="2"/>
  </si>
  <si>
    <t>UNRD_COMMON_SQL_URIAGE_SERCH</t>
    <phoneticPr fontId="2"/>
  </si>
  <si>
    <t>SELECT T_URIAGE_H.URIAGE_NO             AS '売上No.'
      ,T_URIAGE_H.URIAGE_DATE           AS '売上日'
      ,J_BUN_NYURYOKU_MEI.SHIMEI        AS '入力担当者名'
      ,T_URIAGE_H.NOHIN_DATE            AS '納品日'
      ,J_BUN_STATUS_MEISHO.DATA_1       AS 'ステータス'
      ,T_URIAGE_H.JURI_NO               AS '対象受理No.'
      ,J_BUN_SEIKYU_MEI.AITE_MEI        AS '請求先名'
      ,T_URIAGE_H.NUKI_TOTAL            AS '税抜合計額'
      ,T_URIAGE_H.SHOKON_NO             AS '商魂伝票No.'
  FROM T_URIAGE_H
 LEFT JOIN M_MEISHO_B                   AS J_BUN_STATUS_MEISHO
   ON J_BUN_STATUS_MEISHO.MEISHO_KBN = 'S007'
  AND T_URIAGE_H.URIAGE_STS = J_BUN_STATUS_MEISHO.MEISHO_CD
LEFT JOIN M_AITESAKI                    AS J_BUN_SEIKYU_MEI
   ON T_URIAGE_H.SEIKYU_CD = J_BUN_SEIKYU_MEI.AITE_CD
LEFT JOIN M_SHAIN                       AS J_BUN_NYURYOKU_MEI
   ON T_URIAGE_H.URIAGE_NYURYOKUSHA_CD = J_BUN_NYURYOKU_MEI.SHAIN_CD
ORDER BY T_URIAGE_H.URIAGE_NO</t>
    <phoneticPr fontId="2"/>
  </si>
  <si>
    <t>請求先取得SQL</t>
    <rPh sb="0" eb="2">
      <t>セイキュウ</t>
    </rPh>
    <rPh sb="2" eb="3">
      <t>サキ</t>
    </rPh>
    <rPh sb="3" eb="5">
      <t>シュトク</t>
    </rPh>
    <phoneticPr fontId="2"/>
  </si>
  <si>
    <t>SELECT M_AITESAKI.AITE_CD                   AS  請求先CD
      ,M_AITESAKI.AITE_MEI                  AS  請求先名
      ,M_AITESAKI.EIGYO_TANTO_CD            AS  営業担当者CD
      ,M_SHAIN.SHIMEI                       AS  営業担当者
      ,M_AITESAKI.ADDRESS_1+M_AITESAKI.ADDRESS_2
                                            AS  住所
      ,M_AITESAKI.TEL                       AS  TEL
      ,M_AITESAKI.BUSHO_MEI                 AS  相手先部署名
      ,M_AITESAKI.TANTO_MEI                 AS  相手先担当者名
      ,R_BUNRUI.DATA_1                      AS  分類
      ,M_AITESAKI.SEIKYU_CHUKI              AS  注記
      ,M_AITESAKI.KEISHO                    AS  敬称
      ,M_AITESAKI.YUBIN_NO                  AS  郵便番号
      ,M_AITESAKI.ADDRESS_1                 AS  住所１
      ,M_AITESAKI.ADDRESS_2                 AS  住所２
      ,M_AITESAKI.FAX                       AS  FAX
      ,M_AITESAKI.TANTO_MEI                 AS  担当者名
      ,SEIKYU_HASU_KBN                      AS  請求先端数処理区分
  FROM M_AITESAKI
  LEFT JOIN
       M_SHAIN
    ON M_SHAIN.SHAIN_CD = M_AITESAKI.EIGYO_TANTO_CD
  LEFT JOIN M_MEISHO_B   AS R_BUNRUI
    ON R_BUNRUI.MEISHO_KBN = 'K001'
   AND M_AITESAKI.SEIKYU_BUNRUI = R_BUNRUI.MEISHO_CD
 WHERE M_AITESAKI.SEIKYU_FLG = 'True'
   AND M_AITESAKI.MISHIYO_FLG = 'False'
 ORDER BY AITE_CD ASC</t>
    <phoneticPr fontId="2"/>
  </si>
  <si>
    <t>UNRD_COMMON_SQL_SEIKYUSAKI_SEARCH</t>
    <phoneticPr fontId="2"/>
  </si>
  <si>
    <t>UNNH0090_RENDO_IF_URIAGE_H_RENDO_FLG</t>
    <phoneticPr fontId="2"/>
  </si>
  <si>
    <t>UNNH0090_RENDO_IF_URIAGE_H_SHOSHIKI_COPY_MOTO</t>
    <phoneticPr fontId="2"/>
  </si>
  <si>
    <t>UNKB0220_RENDO_IF_SHIIRE_H_RENDO_FLG</t>
    <phoneticPr fontId="2"/>
  </si>
  <si>
    <t>86</t>
    <phoneticPr fontId="2"/>
  </si>
  <si>
    <t>86</t>
    <phoneticPr fontId="2"/>
  </si>
  <si>
    <t>仕入連携済</t>
    <phoneticPr fontId="2"/>
  </si>
  <si>
    <t>UNKB0220_H_SHIIRERENDOZUMI_STS</t>
    <phoneticPr fontId="2"/>
  </si>
  <si>
    <t>UNKB0220_H_SHIIRERENDOZUMI_STS_S</t>
    <phoneticPr fontId="2"/>
  </si>
  <si>
    <t>仕入連携済</t>
    <phoneticPr fontId="2"/>
  </si>
  <si>
    <t>仕入連動済</t>
    <rPh sb="0" eb="4">
      <t>シイレレンドウ</t>
    </rPh>
    <rPh sb="4" eb="5">
      <t>ズ</t>
    </rPh>
    <phoneticPr fontId="2"/>
  </si>
  <si>
    <t>受理No検索用SQL</t>
    <rPh sb="0" eb="2">
      <t>ジュリ</t>
    </rPh>
    <rPh sb="4" eb="6">
      <t>ケンサク</t>
    </rPh>
    <rPh sb="6" eb="7">
      <t>ヨウ</t>
    </rPh>
    <phoneticPr fontId="2"/>
  </si>
  <si>
    <t xml:space="preserve">SELECT T_BUN_JUCHU_H.JURI_NO                AS '受理No.'
      ,J_BUN_HAN_STATUS_MEISHO.MEISHO_CD    AS '受注区分CD'
      ,J_BUN_HAN_STATUS_MEISHO.DATA_1       AS '分析／販売区分'
      ,J_BUN_STATUS_MEISHO.DATA_1           AS 'ステータス'
      ,J_BUN_KBN_MEISHO.DATA_1              AS '分析区分'
      ,J_SEIKYU_MEI.AITE_MEI                AS '請求先名'
      ,T_BUN_JUCHU_H.NOHIN_DATE             AS '納品日'
      ,T_BUN_JUCHU_H.MITSU_NO               AS '見積No.'
  FROM T_BUN_JUCHU_H
 LEFT JOIN M_MEISHO_B                    AS J_BUN_HAN_STATUS_MEISHO    --分析／販売区分名称用
    ON J_BUN_HAN_STATUS_MEISHO .MEISHO_KBN = 'K030'
   AND J_BUN_HAN_STATUS_MEISHO .MEISHO_CD = 1
  LEFT JOIN M_MEISHO_B                   AS J_BUN_STATUS_MEISHO        --分析ステータス名称用
    ON J_BUN_STATUS_MEISHO.MEISHO_KBN = 'S003'
   AND T_BUN_JUCHU_H.BUNSEKI_STS = J_BUN_STATUS_MEISHO.MEISHO_CD
  LEFT JOIN M_MEISHO_B                   AS J_BUN_KBN_MEISHO           --分析区分名称用
    ON J_BUN_KBN_MEISHO.MEISHO_KBN = 'K012'
   AND T_BUN_JUCHU_H.JUCHU_KBN = J_BUN_KBN_MEISHO.MEISHO_CD
  LEFT JOIN M_AITESAKI                   AS J_SEIKYU_MEI               --請求先名名称用
    ON T_BUN_JUCHU_H.SEIKYU_CD = J_SEIKYU_MEI.AITE_CD
 WHERE T_BUN_JUCHU_H.DEMPYO_HAKKO_KBN &lt;&gt; '1'
   AND T_BUN_JUCHU_H.DEL_FLG          =  'False'
   AND T_BUN_JUCHU_H.BUNSEKI_STS      &lt;= 10
UNION ALL
SELECT T_HAN_JUCHU_H.JURI_NO                AS '受理No.'
      ,J_BUN_HAN_STATUS_MEISHO.MEISHO_CD    AS '受注区分CD'
      ,J_BUN_HAN_STATUS_MEISHO.DATA_1       AS '分析／販売区分'
      ,J_BUN_STATUS_MEISHO.DATA_1           AS 'ステータス'
      ,J_BUN_KBN_MEISHO.DATA_1              AS '分析区分'
      ,J_SEIKYU_MEI.AITE_MEI                AS '請求先名'
      ,T_HAN_JUCHU_H.NOHIN_DATE             AS '納品日'
      ,T_HAN_JUCHU_H.MITSU_NO               AS '見積No.'
  FROM T_HAN_JUCHU_H
  LEFT JOIN M_MEISHO_B                   AS J_BUN_HAN_STATUS_MEISHO         --分析／販売区分名称用
    ON J_BUN_HAN_STATUS_MEISHO .MEISHO_KBN = 'K030'
   AND J_BUN_HAN_STATUS_MEISHO .MEISHO_CD = 2
  LEFT JOIN M_MEISHO_B                   AS J_BUN_STATUS_MEISHO        --販売商品ステータス名称用
    ON J_BUN_STATUS_MEISHO.MEISHO_KBN = 'S004'
   AND T_HAN_JUCHU_H.HAMBAI_STS = J_BUN_STATUS_MEISHO.MEISHO_CD
  LEFT JOIN M_MEISHO_B                   AS J_BUN_KBN_MEISHO           --分析区分名称用
    ON J_BUN_KBN_MEISHO.MEISHO_KBN = 'K020'
   AND T_HAN_JUCHU_H.HAMBAI_KBN = J_BUN_KBN_MEISHO.MEISHO_CD
  LEFT JOIN M_AITESAKI                   AS J_SEIKYU_MEI               --請求先名名称用
    ON T_HAN_JUCHU_H.SEIKYU_CD = J_SEIKYU_MEI.AITE_CD
 WHERE T_HAN_JUCHU_H.DEMPYO_HAKKO_KBN &lt;&gt; '1'
   AND T_HAN_JUCHU_H.DEL_FLG          =  'False'
 ORDER BY JURI_NO
</t>
    <phoneticPr fontId="2"/>
  </si>
  <si>
    <t>UNRD_COMMON_SQL_JURI_NO_SEARCH</t>
    <phoneticPr fontId="2"/>
  </si>
  <si>
    <t>マスタ連動</t>
    <rPh sb="3" eb="5">
      <t>レンドウ</t>
    </rPh>
    <phoneticPr fontId="2"/>
  </si>
  <si>
    <t>マスタ</t>
    <phoneticPr fontId="2"/>
  </si>
  <si>
    <t>前回連動日時</t>
    <rPh sb="0" eb="2">
      <t>ゼンカイ</t>
    </rPh>
    <rPh sb="2" eb="4">
      <t>レンドウ</t>
    </rPh>
    <rPh sb="4" eb="6">
      <t>ニチジ</t>
    </rPh>
    <phoneticPr fontId="2"/>
  </si>
  <si>
    <t>更新対象件数</t>
    <rPh sb="0" eb="2">
      <t>コウシン</t>
    </rPh>
    <rPh sb="2" eb="4">
      <t>タイショウ</t>
    </rPh>
    <rPh sb="4" eb="6">
      <t>ケンスウ</t>
    </rPh>
    <phoneticPr fontId="2"/>
  </si>
  <si>
    <t>商品マスタ</t>
    <rPh sb="0" eb="2">
      <t>ショウヒン</t>
    </rPh>
    <phoneticPr fontId="2"/>
  </si>
  <si>
    <t>請求先マスタ</t>
    <rPh sb="0" eb="2">
      <t>セイキュウ</t>
    </rPh>
    <rPh sb="2" eb="3">
      <t>サキ</t>
    </rPh>
    <phoneticPr fontId="2"/>
  </si>
  <si>
    <t>仕入先マスタ</t>
    <rPh sb="0" eb="2">
      <t>シイレ</t>
    </rPh>
    <rPh sb="2" eb="3">
      <t>サキ</t>
    </rPh>
    <phoneticPr fontId="2"/>
  </si>
  <si>
    <t>非表示行</t>
  </si>
  <si>
    <t>非表示列</t>
  </si>
  <si>
    <t>UNMM0140_HIDE_ROW</t>
    <phoneticPr fontId="2"/>
  </si>
  <si>
    <t>UNMM0140_HIDE_COLUMN</t>
    <phoneticPr fontId="2"/>
  </si>
  <si>
    <t>メイン</t>
    <phoneticPr fontId="2"/>
  </si>
  <si>
    <t xml:space="preserve"> WHERE CTRL_KEY = 1</t>
    <phoneticPr fontId="2"/>
  </si>
  <si>
    <t>商品マスタ連動件数取得SQL</t>
    <rPh sb="0" eb="2">
      <t>ショウヒン</t>
    </rPh>
    <rPh sb="5" eb="7">
      <t>レンドウ</t>
    </rPh>
    <rPh sb="7" eb="9">
      <t>ケンスウ</t>
    </rPh>
    <rPh sb="9" eb="11">
      <t>シュトク</t>
    </rPh>
    <phoneticPr fontId="2"/>
  </si>
  <si>
    <t>請求先マスタ連動件数取得SQL</t>
    <rPh sb="0" eb="2">
      <t>セイキュウ</t>
    </rPh>
    <rPh sb="2" eb="3">
      <t>サキ</t>
    </rPh>
    <rPh sb="6" eb="8">
      <t>レンドウ</t>
    </rPh>
    <rPh sb="8" eb="10">
      <t>ケンスウ</t>
    </rPh>
    <rPh sb="10" eb="12">
      <t>シュトク</t>
    </rPh>
    <phoneticPr fontId="2"/>
  </si>
  <si>
    <t>仕入先マスタ連動件数取得SQL</t>
    <rPh sb="0" eb="2">
      <t>シイレ</t>
    </rPh>
    <rPh sb="2" eb="3">
      <t>サキ</t>
    </rPh>
    <rPh sb="6" eb="8">
      <t>レンドウ</t>
    </rPh>
    <rPh sb="8" eb="10">
      <t>ケンスウ</t>
    </rPh>
    <rPh sb="10" eb="12">
      <t>シュトク</t>
    </rPh>
    <phoneticPr fontId="2"/>
  </si>
  <si>
    <t>UNMM0140_SQL_GET_SHOHIN_COUNT</t>
    <phoneticPr fontId="2"/>
  </si>
  <si>
    <t>UNMM0140_SQL_GET_SEIKYU_COUNT</t>
    <phoneticPr fontId="2"/>
  </si>
  <si>
    <t>UNMM0140_SQL_GET_SHIIRE_COUNT</t>
    <phoneticPr fontId="2"/>
  </si>
  <si>
    <t xml:space="preserve">SELECT COUNT(*) AS CNT
  FROM M_SHOHIN
</t>
    <phoneticPr fontId="2"/>
  </si>
  <si>
    <t xml:space="preserve">SELECT COUNT(*) AS CNT
  FROM M_AITESAKI
</t>
    <phoneticPr fontId="2"/>
  </si>
  <si>
    <t>商品マスタ連動日時取得SQL</t>
    <rPh sb="0" eb="2">
      <t>ショウヒン</t>
    </rPh>
    <rPh sb="5" eb="7">
      <t>レンドウ</t>
    </rPh>
    <rPh sb="7" eb="9">
      <t>ニチジ</t>
    </rPh>
    <rPh sb="9" eb="11">
      <t>シュトク</t>
    </rPh>
    <phoneticPr fontId="2"/>
  </si>
  <si>
    <t>請求先マスタ連動日時取得SQL</t>
    <rPh sb="0" eb="2">
      <t>セイキュウ</t>
    </rPh>
    <rPh sb="2" eb="3">
      <t>サキ</t>
    </rPh>
    <rPh sb="6" eb="8">
      <t>レンドウ</t>
    </rPh>
    <rPh sb="8" eb="10">
      <t>ニチジ</t>
    </rPh>
    <rPh sb="10" eb="12">
      <t>シュトク</t>
    </rPh>
    <phoneticPr fontId="2"/>
  </si>
  <si>
    <t>仕入先マスタ連動日時取得SQL</t>
    <rPh sb="0" eb="2">
      <t>シイ</t>
    </rPh>
    <rPh sb="2" eb="3">
      <t>サキ</t>
    </rPh>
    <rPh sb="6" eb="8">
      <t>レンドウ</t>
    </rPh>
    <rPh sb="8" eb="10">
      <t>ニチジ</t>
    </rPh>
    <rPh sb="10" eb="12">
      <t>シュトク</t>
    </rPh>
    <phoneticPr fontId="2"/>
  </si>
  <si>
    <t>UNMM0140_SQL_GET_SHOHIN_LINK_DATETIME</t>
    <phoneticPr fontId="2"/>
  </si>
  <si>
    <t>UNMM0140_SQL_GET_SEIKYU_LINK_DATETIME</t>
    <phoneticPr fontId="2"/>
  </si>
  <si>
    <t>UNMM0140_SQL_GET_SHIIRE_LINK_DATETIME</t>
    <phoneticPr fontId="2"/>
  </si>
  <si>
    <t xml:space="preserve">SELECT SHOHIN_MASTER_LINK_DATE_TIME
  FROM M_CONTROL
</t>
    <phoneticPr fontId="2"/>
  </si>
  <si>
    <t xml:space="preserve">SELECT SEIKYU_MASTER_LINK_DATE_TIME
  FROM M_CONTROL
</t>
    <phoneticPr fontId="2"/>
  </si>
  <si>
    <t xml:space="preserve">SELECT SHIIRE_MASTER_LINK_DATE_TIME
  FROM M_CONTROL
</t>
    <phoneticPr fontId="2"/>
  </si>
  <si>
    <t>pcaadmin</t>
    <phoneticPr fontId="2"/>
  </si>
  <si>
    <t>伝区</t>
    <rPh sb="0" eb="1">
      <t>デン</t>
    </rPh>
    <rPh sb="1" eb="2">
      <t>ク</t>
    </rPh>
    <phoneticPr fontId="2"/>
  </si>
  <si>
    <t>勘定科目</t>
    <rPh sb="0" eb="2">
      <t>カンジョウ</t>
    </rPh>
    <rPh sb="2" eb="4">
      <t>カモク</t>
    </rPh>
    <phoneticPr fontId="2"/>
  </si>
  <si>
    <t xml:space="preserve">FROM W_URIAGE_RENDO
  LEFT JOIN T_URIAGE_H
   ON W_URIAGE_RENDO.URIAGE_NO = T_URIAGE_H.URIAGE_NO
  LEFT JOIN T_URIAGE_B
   ON W_URIAGE_RENDO.URIAGE_NO = T_URIAGE_B.URIAGE_NO
</t>
    <phoneticPr fontId="2"/>
  </si>
  <si>
    <t>仕入科目</t>
    <rPh sb="0" eb="2">
      <t>シイレ</t>
    </rPh>
    <rPh sb="2" eb="4">
      <t>カモク</t>
    </rPh>
    <phoneticPr fontId="2"/>
  </si>
  <si>
    <t xml:space="preserve">FROM W_SHIIRE_RENDO_LIST
  LEFT JOIN T_SHIIRE_H
   ON W_SHIIRE_RENDO_LIST.SHIIRE_NO = T_SHIIRE_H.SHIIRE_NO
  LEFT JOIN T_SHIIRE_B
   ON W_SHIIRE_RENDO_LIST.SHIIRE_NO = T_SHIIRE_B.SHIIRE_NO
</t>
    <phoneticPr fontId="2"/>
  </si>
  <si>
    <t xml:space="preserve"> OR M_MEISHO_B.MEISHO_KBN = 'K033'  </t>
    <phoneticPr fontId="2"/>
  </si>
  <si>
    <t xml:space="preserve"> OR M_MEISHO_B.MEISHO_KBN = 'K036'  </t>
    <phoneticPr fontId="2"/>
  </si>
  <si>
    <t>売上勘定科目</t>
    <rPh sb="0" eb="2">
      <t>ウリアゲ</t>
    </rPh>
    <phoneticPr fontId="2"/>
  </si>
  <si>
    <t>仕入勘定科目</t>
    <rPh sb="0" eb="2">
      <t>シイレ</t>
    </rPh>
    <phoneticPr fontId="2"/>
  </si>
  <si>
    <t>連動日時取得SQL</t>
    <rPh sb="0" eb="2">
      <t>レンドウ</t>
    </rPh>
    <rPh sb="2" eb="4">
      <t>ニチジ</t>
    </rPh>
    <rPh sb="4" eb="6">
      <t>シュトク</t>
    </rPh>
    <phoneticPr fontId="2"/>
  </si>
  <si>
    <t xml:space="preserve">SELECT 
     LINK_DATE_TIME
</t>
    <phoneticPr fontId="2"/>
  </si>
  <si>
    <t xml:space="preserve"> WHERE LINK_CD = 1</t>
    <phoneticPr fontId="2"/>
  </si>
  <si>
    <t>UNRD0010_SQL_BUMON_RENDO_DATETIME</t>
    <phoneticPr fontId="2"/>
  </si>
  <si>
    <t>連動日時</t>
    <rPh sb="0" eb="2">
      <t>レンドウ</t>
    </rPh>
    <rPh sb="2" eb="4">
      <t>ニチジ</t>
    </rPh>
    <phoneticPr fontId="2"/>
  </si>
  <si>
    <t xml:space="preserve">  FROM M_LINK_DATETIME</t>
    <phoneticPr fontId="2"/>
  </si>
  <si>
    <t>部門マスタ－更新日時SQL</t>
    <rPh sb="0" eb="2">
      <t>ブモン</t>
    </rPh>
    <rPh sb="6" eb="8">
      <t>コウシン</t>
    </rPh>
    <rPh sb="8" eb="10">
      <t>ニチジ</t>
    </rPh>
    <phoneticPr fontId="2"/>
  </si>
  <si>
    <t xml:space="preserve">UPDATE M_LINK_DATETIME
      SET </t>
    <phoneticPr fontId="2"/>
  </si>
  <si>
    <t xml:space="preserve">
 WHERE M_LINK_DATETIME.LINK_CD = 1</t>
    <phoneticPr fontId="2"/>
  </si>
  <si>
    <t>UNRD0010_SQL_UPDATE_MASTER_LINK_DATETIME</t>
    <phoneticPr fontId="2"/>
  </si>
  <si>
    <t>UNRD0020_SQL_UPDATE_MASTER_LINK_DATETIME</t>
    <phoneticPr fontId="2"/>
  </si>
  <si>
    <t xml:space="preserve"> WHERE LINK_CD = 2</t>
    <phoneticPr fontId="2"/>
  </si>
  <si>
    <t xml:space="preserve">
 WHERE M_LINK_DATETIME.LINK_CD = 2</t>
    <phoneticPr fontId="2"/>
  </si>
  <si>
    <t>UNRD0020_SQL_SHAIN_RENDO_DATETIME</t>
    <phoneticPr fontId="2"/>
  </si>
  <si>
    <t>UNRD0031_SQL_TOKUI_SAKI_KUBUN_RENDO_DATETIME</t>
    <phoneticPr fontId="2"/>
  </si>
  <si>
    <t>UNRD0031_SQL_UPDATE_MASTER_LINK_DATETIME</t>
    <phoneticPr fontId="2"/>
  </si>
  <si>
    <t xml:space="preserve"> WHERE LINK_CD = 3</t>
    <phoneticPr fontId="2"/>
  </si>
  <si>
    <t xml:space="preserve">
 WHERE M_LINK_DATETIME.LINK_CD = 3</t>
    <phoneticPr fontId="2"/>
  </si>
  <si>
    <t>UNRD0051_SQL_SHOHIN_KUBUN_RENDO_DATETIME</t>
    <phoneticPr fontId="2"/>
  </si>
  <si>
    <t>UNRD0051_SQL_UPDATE_MASTER_LINK_DATETIME</t>
    <phoneticPr fontId="2"/>
  </si>
  <si>
    <t xml:space="preserve"> WHERE LINK_CD = 4</t>
    <phoneticPr fontId="2"/>
  </si>
  <si>
    <t xml:space="preserve">
 WHERE M_LINK_DATETIME.LINK_CD = 4</t>
    <phoneticPr fontId="2"/>
  </si>
  <si>
    <t xml:space="preserve"> WHERE LINK_CD = 5</t>
    <phoneticPr fontId="2"/>
  </si>
  <si>
    <t xml:space="preserve">
 WHERE M_LINK_DATETIME.LINK_CD = 5</t>
    <phoneticPr fontId="2"/>
  </si>
  <si>
    <t>UNRD0060_SQL_PROJECT_RENDO_LIST</t>
    <phoneticPr fontId="2"/>
  </si>
  <si>
    <t>UNRD0060_SQL_PROJECT_RENDO_DATETIME</t>
    <phoneticPr fontId="2"/>
  </si>
  <si>
    <t>UNRD0060_SQL_UPDATE_MASTER_LINK_DATETIME</t>
    <phoneticPr fontId="2"/>
  </si>
  <si>
    <t>UNRD_COMMON_PROJECT_PART_STS</t>
    <phoneticPr fontId="2"/>
  </si>
  <si>
    <t>仕入先マスタ連動ステータス</t>
    <phoneticPr fontId="2"/>
  </si>
  <si>
    <t>プロジェクトマスタ連動ステータス</t>
    <phoneticPr fontId="2"/>
  </si>
  <si>
    <t>GROUP BY</t>
    <phoneticPr fontId="2"/>
  </si>
  <si>
    <t xml:space="preserve"> GROUP BY MEISHO_CD,DATA_1,MEISHO_KBN</t>
    <phoneticPr fontId="2"/>
  </si>
  <si>
    <t>GROUP BY</t>
    <phoneticPr fontId="2"/>
  </si>
  <si>
    <t xml:space="preserve"> GROUP BY</t>
    <phoneticPr fontId="2"/>
  </si>
  <si>
    <t xml:space="preserve">  GROUP BY MEISHO_CD,DATA_1,MEISHO_KBN</t>
    <phoneticPr fontId="2"/>
  </si>
  <si>
    <t xml:space="preserve">SELECT
    M_MEISHO_B.MEISHO_CD
    ,M_MEISHO_B.DATA_1
</t>
    <phoneticPr fontId="2"/>
  </si>
  <si>
    <t>GROUP BY MEISHO_CD,DATA_1,MEISHO_KBN</t>
    <phoneticPr fontId="2"/>
  </si>
  <si>
    <t>0'コード</t>
    <phoneticPr fontId="2"/>
  </si>
  <si>
    <t xml:space="preserve"> AND M_MEISHO_B.MEISHO_CD &lt;&gt; 0</t>
    <phoneticPr fontId="2"/>
  </si>
  <si>
    <t xml:space="preserve"> AND M_MEISHO_B.MEISHO_KBN = 'K001' </t>
    <phoneticPr fontId="2"/>
  </si>
  <si>
    <t xml:space="preserve"> WHERE CONVERT(DATETIME2,SUBSTRING(DBS_UPDATE_DATE,3,19)) &gt; ISNULL(LINK_DATETIME,'')</t>
    <phoneticPr fontId="2"/>
  </si>
  <si>
    <t xml:space="preserve"> WHERE SEIKYU_FLG = 'True'
   AND CONVERT(DATETIME2,SUBSTRING(DBS_UPDATE_DATE,3,19)) &gt; ISNULL(LINK_DATETIME,'')</t>
    <phoneticPr fontId="2"/>
  </si>
  <si>
    <t xml:space="preserve"> WHERE SHIRE_FLG = 'True'
   AND CONVERT(DATETIME2,SUBSTRING(DBS_UPDATE_DATE,3,19)) &gt; ISNULL(LINK_DATETIME,'')
</t>
    <phoneticPr fontId="2"/>
  </si>
  <si>
    <t>0</t>
    <phoneticPr fontId="2"/>
  </si>
  <si>
    <t>pca</t>
    <phoneticPr fontId="2"/>
  </si>
  <si>
    <t>売上勘定科目</t>
    <phoneticPr fontId="2"/>
  </si>
  <si>
    <t>仕入勘定科目</t>
    <phoneticPr fontId="2"/>
  </si>
  <si>
    <t>SELECT
    M_MEISHO_B.MEISHO_CD
    ,M_MEISHO_B.DATA_1</t>
    <phoneticPr fontId="2"/>
  </si>
  <si>
    <t xml:space="preserve"> OR M_MEISHO_B.MEISHO_KBN = 'K033'  </t>
    <phoneticPr fontId="2"/>
  </si>
  <si>
    <t xml:space="preserve"> OR M_MEISHO_B.MEISHO_KBN = 'K036'  </t>
    <phoneticPr fontId="2"/>
  </si>
  <si>
    <t xml:space="preserve"> GROUP BY SHAIN_CD,SHIMEI</t>
    <phoneticPr fontId="2"/>
  </si>
  <si>
    <t xml:space="preserve">SELECT M_SHAIN.SHAIN_CD    --担当者CD
      ,M_SHAIN.SHIMEI　　　　　　 --担当者名
      ,0　　　　　　　　　　　　　　　　 --部門コード
</t>
    <rPh sb="29" eb="32">
      <t>タントウシャ</t>
    </rPh>
    <rPh sb="65" eb="69">
      <t>タントウシャメイ</t>
    </rPh>
    <rPh sb="97" eb="99">
      <t>ブモン</t>
    </rPh>
    <phoneticPr fontId="2"/>
  </si>
  <si>
    <t xml:space="preserve">SELECT 
    W_SHIIRE_RENDO_LIST.SHIIRE_NO        --仕入Ｎo.
    ,4                           --エンティティバージョン
    ,T_SHIIRE_H.SHIIRE_KAMOKU    --仕入科目
    ,T_SHIIRE_H.DENKU            --伝区
    ,REPLACE(CONVERT(VARCHAR, W_SHIIRE_RENDO_LIST.SHIIRE_DATE, 111), '/','')    --仕入日
    ,REPLACE(CONVERT(VARCHAR, W_SHIIRE_RENDO_LIST.SHIIRE_DATE, 111), '/','')    --精算日
    ,''                    --伝票No
    ,W_SHIIRE_RENDO_LIST.SHIIRE_CD            --仕入先コード
    ,''        --注文No
    ,''        --先方担当者ID
    ,''        --先方担当者名 ?
    ,T_SHIIRE_H.KANJO_KAMOKU                  --部門コード
    ,W_SHIIRE_RENDO_LIST.SHIIRE_NYURYOKUSHA_CD--担当者コード
    ,''        --摘要コード
    ,''        --摘要名
    ,T_SHIIRE_H.KANJO_KAMOKU                  --プロジェクトコード
    ,W_SHIIRE_RENDO_LIST.SHIIRE_NO            --伝票No2
    ,''        --フセンコメント
    ,''        --更新Date
    ,''        --予備1
    ,''        --予備2
    ,''        --予備3
    ,''        --予備数値1
    ,''        --予備数値2
    ,''        --予備金額1
    ,''        --予備金額2
    ,''        --予備金額3
    ,''        --予備文字列1
    ,''        --予備文字列2
    ,''        --予備文字列3
</t>
    <phoneticPr fontId="2"/>
  </si>
  <si>
    <t>P10V01C001KON0001</t>
    <phoneticPr fontId="4"/>
  </si>
  <si>
    <t xml:space="preserve">SELECT M_AITESAKI.AITE_CD               --得意先コード 
       ,M_AITESAKI.AITE_MEI             --得意先名称1
       ,CASE 
        WHEN M_AITESAKI.TANTO_MEI IS NULL Or M_AITESAKI.TANTO_MEI =''
            THEN M_AITESAKI.KEISHO
          ELSE ''
        END AS KEISHO                   --相手先敬称
       ,M_AITESAKI.YUBIN_NO             --郵便番号
       ,M_AITESAKI.ADDRESS_1            --住所1 
       ,M_AITESAKI.ADDRESS_2            --住所2 
       ,M_AITESAKI.TEL                  --相手先TEL
       ,M_AITESAKI.FAX                  --相手先FAX
       ,M_AITESAKI.MAIL                 --相手先メールアドレス 
       ,M_AITESAKI.TANTO_MEI            --先方担当者名 
       ,M_AITESAKI.BUSHO_MEI            --所属部署
       ,CASE 
        WHEN M_AITESAKI.TANTO_MEI IS NULL Or M_AITESAKI.TANTO_MEI =''
            THEN ''
          ELSE M_AITESAKI.KEISHO
        END AS TANTOSHA_KEISHO          --先方担当者敬称
        ,M_AITESAKI.SEIKYU_BUNRUI         --得意先区分1
        ,M_AITESAKI.EIGYO_TANTO_CD       --主担当者
        ,NULL                           --実績管理
        ,NULL                           --売上日印字 
        ,NULL                           --税換算
        ,NULL                           --売単価換算
        ,NULL                           --納品書用紙
        ,NULL                           --納品書社名
        ,M_AITESAKI.SEIKYUHOHO_KBN      --請求締日
        ,M_AITESAKI.SEIKYU_HASU_KBN     --金額端数
        ,M_AITESAKI.TAX_KBN             --消費税通知
        ,NULL                           --請求書用紙
        ,NULL                           --請求書社名
        ,M_AITESAKI.KAISHU_KBN          --回収種別1
        ,M_AITESAKI.KAISHU_MONTH*100 +  M_AITESAKI.KAISHU_DAY--回収日
        ,M_AITESAKI.SEIKYU_CHUKI        --コメント
       ,CASE 
        WHEN M_AITESAKI.MISHIYO_FLG ='False'
            THEN 0
          ELSE 1
        END AS SHIYO_KUBUN              --使用区分
        ,1                              --得意先フラグ
</t>
    <phoneticPr fontId="2"/>
  </si>
  <si>
    <t xml:space="preserve">SELECT M_AITESAKI.AITE_CD
       ,M_AITESAKI.AITE_MEI
       ,CASE 
        WHEN M_AITESAKI.TANTO_MEI IS NULL Or M_AITESAKI.TANTO_MEI =''
            THEN M_AITESAKI.KEISHO
          ELSE ''
        END AS KEISHO
       ,M_AITESAKI.YUBIN_NO
       ,M_AITESAKI.ADDRESS_1
       ,M_AITESAKI.ADDRESS_2
       ,M_AITESAKI.TEL
       ,M_AITESAKI.FAX
       ,M_AITESAKI.MAIL
       ,M_AITESAKI.TANTO_MEI
       ,M_AITESAKI.BUSHO_MEI
       ,CASE 
        WHEN M_AITESAKI.TANTO_MEI IS NULL Or M_AITESAKI.TANTO_MEI =''
            THEN ''
          ELSE M_AITESAKI.KEISHO
        END AS TANTOSHA_KEISHO
        ,NULL
        ,NULL
        ,M_AITESAKI.SHIHARAIHOHO_KBN
        ,M_AITESAKI.SHIIRE_HASU_KBN
        ,NULL
        ,NULL
        ,M_AITESAKI.SHIIRE_TESURYO_KBN
        ,M_AITESAKI.BIKO
        ,NULL
        ,NULL
</t>
    <phoneticPr fontId="2"/>
  </si>
  <si>
    <t>SELECT DATA_2   AS ORDER句
  FROM M_MEISHO_B
 WHERE MEISHO_KBN = 'O503'
   AND MEISHO_CD  = '1'</t>
    <phoneticPr fontId="2"/>
  </si>
  <si>
    <t>SELECT DATA_2   AS ORDER句
  FROM M_MEISHO_B
 WHERE MEISHO_KBN = 'O604'
   AND MEISHO_CD  = '1'</t>
    <phoneticPr fontId="2"/>
  </si>
  <si>
    <t>ストアドコール</t>
    <phoneticPr fontId="2"/>
  </si>
  <si>
    <t>データ読込SQL</t>
    <rPh sb="3" eb="5">
      <t>ヨミコミ</t>
    </rPh>
    <phoneticPr fontId="2"/>
  </si>
  <si>
    <t>SQL</t>
    <phoneticPr fontId="2"/>
  </si>
  <si>
    <t>ワークテーブルクリアSQL</t>
    <phoneticPr fontId="2"/>
  </si>
  <si>
    <t>UNKB0220_SQL_SP_CLEAR</t>
    <phoneticPr fontId="2"/>
  </si>
  <si>
    <t>UNKB0220_SQL_SP_LOAD</t>
    <phoneticPr fontId="2"/>
  </si>
  <si>
    <t>UNNH0090_SQL_SP_LOAD</t>
    <phoneticPr fontId="2"/>
  </si>
  <si>
    <t>UNNH0090_SQL_SP_CLEAR</t>
    <phoneticPr fontId="2"/>
  </si>
  <si>
    <t>結合用</t>
    <rPh sb="0" eb="3">
      <t>ケツゴウヨウ</t>
    </rPh>
    <phoneticPr fontId="2"/>
  </si>
  <si>
    <t xml:space="preserve">SELECT
      W_URIAGE_RENDO.URIAGE_NO      --売上No.
      ,4                            --エンティティバージョン
      ,T_URIAGE_H.DENKU             --伝区
      ,REPLACE(CONVERT(VARCHAR, W_URIAGE_RENDO.URIAGE_DATE, 111), '/','')   --売上日
      ,REPLACE(CONVERT(VARCHAR, W_URIAGE_RENDO.URIAGE_DATE, 111), '/','')   --請求日
      ,''           --伝票No
      ,W_URIAGE_RENDO.SEIKYU_CD       --得意先コード
      ,''      --得意先 名1
      ,''      --得意先 名2
      ,''      --得意先 住所1
      ,''      --得意先 住所2
      ,''      --得意先 郵便番号
      ,''      --得意先 TEL
      ,''      --得意先 FAX
      ,''      --得意先 敬称(相手先)
      ,''      --得意先 メールアドレス(相手先)
      ,''      --得意先 法人番号
      ,''      --連動区分
      ,''      --見積No or 受注No
      ,''      --相手先ID(スポット用)
      ,''      --先方担当者ID
      ,T_URIAGE_H.SOFU_TANTO                    --先方担当者名
      ,T_URIAGE_H.KANJO_KAMOKU                  --部門コード
      ,T_URIAGE_H.EIGYO_TANTO_CD                --担当者コード
      ,''                                       --摘要コード
      ,case DATALENGTH(CAST (TEKIYO AS VARCHAR(100)))
         when LEN(TEKIYO)   then case when LEN(TEKIYO) &lt;= 30 then TEKIYO else SUBSTRING(TEKIYO, 1, 30) end
         when 2*LEN(TEKIYO) then case when LEN(TEKIYO) &lt;= 15 then TEKIYO else SUBSTRING(TEKIYO, 1, 15) end
       else case when LEN(TEKIYO) &lt;= 15 then TEKIYO else SUBSTRING(TEKIYO, 1, 15) end
       end     --摘要名
      ,T_URIAGE_H.KANJO_KAMOKU                --プロジェクトコード
      ,''      --分類コード
      ,''      --伝票区分
      ,''      --直送先コード
      ,W_URIAGE_RENDO.URIAGE_NO               --伝票No2
      ,0       --フセンコメント
      ,''      --予備1
      ,''      --予備2
      ,''      --予備3
      ,''      --予備数値1
      ,''     --予備数値2
      ,''      --予備金額1
      ,''      --予備金額2
      ,''      --予備金額3
      ,''      --予備文字列1
      ,''      --予備文字列2
      ,''      --予備文字列3
</t>
    <phoneticPr fontId="2"/>
  </si>
  <si>
    <t>営業担当者CD</t>
    <rPh sb="0" eb="2">
      <t>エイギョウ</t>
    </rPh>
    <rPh sb="2" eb="4">
      <t>タントウ</t>
    </rPh>
    <rPh sb="4" eb="5">
      <t>シャ</t>
    </rPh>
    <phoneticPr fontId="4"/>
  </si>
  <si>
    <t>資産</t>
    <rPh sb="0" eb="2">
      <t>シサン</t>
    </rPh>
    <phoneticPr fontId="2"/>
  </si>
  <si>
    <t>資産（旧投資）</t>
    <rPh sb="0" eb="2">
      <t>シサン</t>
    </rPh>
    <rPh sb="3" eb="4">
      <t>キュウ</t>
    </rPh>
    <rPh sb="4" eb="6">
      <t>トウシ</t>
    </rPh>
    <phoneticPr fontId="2"/>
  </si>
  <si>
    <t xml:space="preserve">SELECT
        W_URIAGE_RENDO.URIAGE_NO       --売上No.
        ,T_URIAGE_B.SHOHIN_CD          --商品コード
        ,''                            --マスター区分
        ,2                             --税区分
        ,0                             --税込区分
        ,CASE WHEN LEN(CONVERT(INT,T_URIAGE_B.HAMBAI_TANKA)) &gt; 6
              THEN 0
              ELSE 2
         END                           --単価小数桁
        ,2                             --数量小数桁
        ,T_URIAGE_B.SHOHIN_MEI         --商品名
        ,''                            --商品名2
        ,(SELECT
            M_SHOHIN.HIMBAN
          FROM M_SHOHIN
         WHERE M_SHOHIN.SHOHIN_CD = T_URIAGE_B.SHOHIN_CD)--規格・型番                          
        ,''                            --色
        ,''                            --サイズ
        ,''                            --倉庫
        ,CASE WHEN T_URIAGE_B.HAMBAI_TANKA &lt; 0   then 2
          else  0 
        end                            --区
        ,''                            --入数 
        ,''                            --箱数
        ,T_URIAGE_B.URIAGE_SURYO       --数量
        ,T_URIAGE_B.URIAGE_SURYO_TANI  --単位
        ,T_URIAGE_B.HAMBAI_TANKA       --単価
        ,T_URIAGE_B.GENTANKA           --原単価
        ,''                            --売単価
        ,T_URIAGE_B.HAMBAI_KINGAKU     --金額
        ,T_URIAGE_B.GENKA_KINGAKU      --原価金額
        ,''                            --売価金額
        ,T_URIAGE_B.ARARIEKI           --粗利益
        ,T_URIAGE_B.TEKIYO             --備考
        ,''                            --入荷マーク
        ,T_URIAGE_B.TEIKA              --標準価格
        ,T_URIAGE_B.TEIKA              --標準価格(入力)
        ,T_URIAGE_H.TAX_RATE * 100     --税率 
        ,T_URIAGE_H.TAX                --外税額 
        ,''     --内税額 
        ,''     --計算式コード
        ,''     --商品項目1
        ,''     --商品項目2
        ,''     --商品項目3
        ,''     --売上項目1
        ,''     --売上項目2
        ,''     --売上項目3
        ,''     --出荷指示
        ,''     --受注ヘッダーID
        ,''     --受注明細SEQ
        ,''     --予備1
        ,''     --予備2
        ,''     --予備3
        ,''     --予備数値1
        ,''     --予備数値2
        ,''     --予備数値3
        ,''     --予備金額1
        ,''     --予備金額2
        ,''     --予備金額3
        ,''     --予備文字列1
        ,''     --予備文字列2
        ,''     --予備文字列3
        ,''     --入金済フラグ
        ,''     --入数小数桁
        ,''     --箱数小数桁
        ,''     --数量端数
</t>
    <phoneticPr fontId="2"/>
  </si>
  <si>
    <t xml:space="preserve">SELECT 
    W_SHIIRE_RENDO_LIST.SHIIRE_NO           --仕入Ｎo.
    ,T_SHIIRE_B.KOBAIHIN_CD                 --商品コード
    ,''                                     --マスター区分
    ,2                                      --税区分
    ,0                                      --税込区分
    ,CASE WHEN LEN(CONVERT(INT,T_SHIIRE_B.TANKA)) &gt; 6
          THEN 0
          ELSE 2
     END                                    --単価小数桁
    ,2                                      --数量小数桁
    ,T_SHIIRE_B.KOBAIHIN_MEI                --商品名
    ,''                                     --商品名2
    ,(SELECT
        M_SHOHIN.HIMBAN
      FROM M_SHOHIN
     WHERE M_SHOHIN.SHOHIN_CD = T_SHIIRE_B.KOBAIHIN_CD) --規格・型番   
    ,''                                     --色
    ,''                                     --サイズ
    ,''                                     --倉庫コード
    ,CASE WHEN T_SHIIRE_B.TANKA &lt; 0   then 2
         else  0 
        end           --区
    ,T_SHIIRE_B.IRISU                       --入数
    ,''                                     --箱数
    ,T_SHIIRE_B.SURYO                       --数量
    ,T_SHIIRE_B.IRISU_TANI                  --単位
    ,T_SHIIRE_B.TANKA                       --単価
    ,T_SHIIRE_B.TOTAL                       --金額
    ,T_SHIIRE_B.BIKO                        --備考
    ,''                                     --標準仕入単価
    ,T_SHIIRE_H.TAX_RATE * 100              --税率
    ,T_SHIIRE_H.TAX                         --外税額
    ,''                                     --内税額
    ,''                                     --計算式コード
    ,''                                     --商品項目1
    ,''                                     --商品項目2
    ,''                                     --商品項目3
    ,''                                     --仕入項目1
    ,''                                     --仕入項目2
    ,''                                     --仕入項目3
    ,''                                     --入荷指示
    ,''                                     --発注ヘッダーID
    ,''                                     --発注明細SEQ
    ,''                                     --予備1
    ,''                                     --予備2
    ,''                                     --予備3
    ,''                                     --予備数値1
    ,''                                     --予備数値2
    ,''                                     --予備数値3
    ,''                                     --予備金額1
    ,''                                     --予備金額2
    ,''                                     --予備金額3
    ,''                                     --予備文字列1
    ,''                                     --予備文字列2
    ,''                                     --予備文字列3
    ,2                                      --入数小数桁
    ,''                                     --箱数小数桁
</t>
    <phoneticPr fontId="2"/>
  </si>
  <si>
    <t>請求締日</t>
    <rPh sb="0" eb="2">
      <t>セイキュウ</t>
    </rPh>
    <rPh sb="2" eb="3">
      <t>シ</t>
    </rPh>
    <rPh sb="3" eb="4">
      <t>ヒ</t>
    </rPh>
    <phoneticPr fontId="2"/>
  </si>
  <si>
    <t>締日区分</t>
    <rPh sb="0" eb="1">
      <t>シ</t>
    </rPh>
    <rPh sb="1" eb="2">
      <t>ヒ</t>
    </rPh>
    <rPh sb="2" eb="4">
      <t>クブン</t>
    </rPh>
    <phoneticPr fontId="2"/>
  </si>
  <si>
    <t>請求締日</t>
    <rPh sb="0" eb="2">
      <t>セイキュウ</t>
    </rPh>
    <rPh sb="2" eb="3">
      <t>シ</t>
    </rPh>
    <rPh sb="3" eb="4">
      <t>ヒ</t>
    </rPh>
    <phoneticPr fontId="2"/>
  </si>
  <si>
    <t>締日区分</t>
    <rPh sb="0" eb="1">
      <t>シ</t>
    </rPh>
    <rPh sb="1" eb="2">
      <t>ヒ</t>
    </rPh>
    <rPh sb="2" eb="4">
      <t>クブン</t>
    </rPh>
    <phoneticPr fontId="2"/>
  </si>
  <si>
    <t>【可変コンボボックス】</t>
    <rPh sb="1" eb="3">
      <t>カヘン</t>
    </rPh>
    <phoneticPr fontId="2"/>
  </si>
  <si>
    <t>リスト名</t>
    <rPh sb="3" eb="4">
      <t>メイ</t>
    </rPh>
    <phoneticPr fontId="2"/>
  </si>
  <si>
    <t>件数</t>
    <rPh sb="0" eb="2">
      <t>ケンスウ</t>
    </rPh>
    <phoneticPr fontId="2"/>
  </si>
  <si>
    <t>名称</t>
    <rPh sb="0" eb="2">
      <t>メイショウ</t>
    </rPh>
    <phoneticPr fontId="2"/>
  </si>
  <si>
    <t>コード</t>
    <phoneticPr fontId="2"/>
  </si>
  <si>
    <t>UNNH0090_IF_LIST_SHIMEBI</t>
    <phoneticPr fontId="2"/>
  </si>
  <si>
    <t>「=OFFSET(UNNH0090_IF_LIST_SHIMEBI_START,,,IF(UNNH0090_IF_LIST_SHIMEBI_KENSU=0,1,UNNH0090_IF_LIST_SHIMEBI_KENSU),1)」</t>
    <phoneticPr fontId="2"/>
  </si>
  <si>
    <t>UNNH0090_SQL_LIST_SHIMEBI</t>
    <phoneticPr fontId="2"/>
  </si>
  <si>
    <t xml:space="preserve">SELECT DATA_1
      ,MEISHO_CD
  FROM M_MEISHO_B
 WHERE M_MEISHO_B.MEISHO_KBN = 'K002'
 ORDER BY SORT_NO ASC
</t>
    <phoneticPr fontId="2"/>
  </si>
  <si>
    <t>リストボックスSQL</t>
    <phoneticPr fontId="2"/>
  </si>
  <si>
    <t>請求締日▼</t>
    <rPh sb="0" eb="2">
      <t>セイキュウ</t>
    </rPh>
    <rPh sb="2" eb="3">
      <t>シ</t>
    </rPh>
    <rPh sb="3" eb="4">
      <t>ヒ</t>
    </rPh>
    <phoneticPr fontId="2"/>
  </si>
  <si>
    <t>UNNH0090_H_SHIMEBI_KBN</t>
    <phoneticPr fontId="2"/>
  </si>
  <si>
    <t>請求締日区分</t>
    <rPh sb="0" eb="2">
      <t>セイキュウ</t>
    </rPh>
    <rPh sb="2" eb="3">
      <t>シ</t>
    </rPh>
    <rPh sb="3" eb="4">
      <t>ヒ</t>
    </rPh>
    <rPh sb="4" eb="6">
      <t>クブン</t>
    </rPh>
    <phoneticPr fontId="2"/>
  </si>
  <si>
    <t>UNNH0090_H_SHIMEBI_KBN_S</t>
    <phoneticPr fontId="2"/>
  </si>
  <si>
    <t>都度A</t>
    <phoneticPr fontId="2"/>
  </si>
  <si>
    <t>5日締めB</t>
    <phoneticPr fontId="2"/>
  </si>
  <si>
    <t>10日締めC</t>
    <phoneticPr fontId="2"/>
  </si>
  <si>
    <t>15日締めD</t>
    <phoneticPr fontId="2"/>
  </si>
  <si>
    <t>20日締めE</t>
    <phoneticPr fontId="2"/>
  </si>
  <si>
    <t>25日締めF</t>
    <phoneticPr fontId="2"/>
  </si>
  <si>
    <t>末日締めG</t>
    <phoneticPr fontId="2"/>
  </si>
  <si>
    <t xml:space="preserve">SELECT V_URIAGE_RENDO_LIST.URIAGE_STS_MEI            -- 売上ステータス名
      ,V_URIAGE_RENDO_LIST.DEMPYO_KBN_MEI            -- 伝票区分名
      ,V_URIAGE_RENDO_LIST.SEIKYU_CD                 -- 請求先CD
      ,V_URIAGE_RENDO_LIST.SEIKYU_MEI                -- 請求先名
      ,V_URIAGE_RENDO_LIST.DEMPYO_SOFU_MEI           -- 伝票送付先名
      ,V_URIAGE_RENDO_LIST.SEIKYUHOHO                -- 請求締日
      ,V_URIAGE_RENDO_LIST.URIAGE_DATE               -- 売上日
      ,V_URIAGE_RENDO_LIST.NOHIN_DATE                -- 納品日
      ,V_URIAGE_RENDO_LIST.KAISHU_DATE               -- 回収予定日
      ,V_URIAGE_RENDO_LIST.URI_NYU_MEI               -- 売上入力者名
      ,V_URIAGE_RENDO_LIST.NUKI_TOTAL                -- 税抜合計
      ,V_URIAGE_RENDO_LIST.TAX                       -- 消費税
      ,V_URIAGE_RENDO_LIST.KOMI_TOTAL                -- 税込合計
      ,V_URIAGE_RENDO_LIST.GENKA_TOTAL               -- 原価合計
      ,V_URIAGE_RENDO_LIST.ARARIEKI                  -- 粗利益
      ,V_URIAGE_RENDO_LIST.ARARIRITSU                -- 粗利率
      ,V_URIAGE_RENDO_LIST.JURI_NO                   -- 対象受理No.
      ,V_URIAGE_RENDO_LIST.URIAGE_NO                 -- 売上No.
      ,V_URIAGE_RENDO_LIST.DEMPYO_KBN                -- 伝票区分
      ,V_URIAGE_RENDO_LIST.URIAGE_NYURYOKUSHA_CD     -- 売上入力者CD
      ,V_URIAGE_RENDO_LIST.URIAGE_STS                -- 売上ステータス
</t>
    <phoneticPr fontId="2"/>
  </si>
  <si>
    <t xml:space="preserve"> AND M_AITESAKI.SEIKYU_FLG = 'True'</t>
    <phoneticPr fontId="2"/>
  </si>
  <si>
    <t xml:space="preserve">SELECT M_SHOHIN.SHOHIN_CD
       ,M_SHOHIN.SHOHIN_MEI
       ,M_SHOHIN.SHOHIN_BUNRUI
       ,NULL
       ,NULL
       ,NULL
       ,NULL
       ,CASE 
        WHEN M_SHOHIN.IRISU IS NULL Or M_SHOHIN.IRISU = 0
            THEN M_SHOHIN.BARA_TANI
          ELSE M_SHOHIN.IRISU_TANI
        END AS TANI
       ,M_SHOHIN.IRISU
       ,M_SHOHIN.HIMBAN
       ,M_SHOHIN.SHIIRE_CD
       ,M_SHOHIN.HYOJUN_KAKAKU
       ,M_SHOHIN.GENKA
       ,M_SHOHIN.BAIKA
       ,M_SHOHIN.SHIIRE_TANKA
       ,CASE 
        WHEN (M_SHOHIN.BUNSEKI_FLG = 'True' Or M_SHOHIN.SHOHIN_FLG = 'True') And M_SHOHIN.KOBAIHIN_FLG = 'True'
            THEN 0
        WHEN (M_SHOHIN.BUNSEKI_FLG = 'True' Or M_SHOHIN.SHOHIN_FLG = 'True') And M_SHOHIN.KOBAIHIN_FLG = 'False'
            THEN 0
        WHEN (M_SHOHIN.BUNSEKI_FLG = 'False' And M_SHOHIN.SHOHIN_FLG = 'False') And M_SHOHIN.KOBAIHIN_FLG = 'True'
            THEN 0
        END AS SYSTEM_KUBUN
       ,CASE 
        WHEN M_SHOHIN.SHOKEIHI_FLG = 'True'
            THEN 2
          ELSE 0
        END AS MASTER_KUBUN
       ,NULL
       ,NULL
       ,NULL
       ,NULL
       ,2
       ,2
       ,CASE 
        WHEN M_SHOHIN.MISHIYO_FLG = 'True'
            THEN 1
          ELSE 0
        END AS MISHIYO_FLG
       ,M_SHOHIN.BIKO
</t>
    <phoneticPr fontId="2"/>
  </si>
  <si>
    <t>2016/12/20
システム区分は全て「0:共通」にするよう変更</t>
    <rPh sb="15" eb="17">
      <t>クブン</t>
    </rPh>
    <rPh sb="18" eb="19">
      <t>スベ</t>
    </rPh>
    <rPh sb="23" eb="25">
      <t>キョウツウ</t>
    </rPh>
    <rPh sb="31" eb="33">
      <t>ヘンコウ</t>
    </rPh>
    <phoneticPr fontId="2"/>
  </si>
  <si>
    <t>売上日▽</t>
    <rPh sb="0" eb="2">
      <t>ウリアゲ</t>
    </rPh>
    <phoneticPr fontId="2"/>
  </si>
  <si>
    <t>回収予定日▽</t>
    <rPh sb="0" eb="2">
      <t>カイシュウ</t>
    </rPh>
    <rPh sb="2" eb="4">
      <t>ヨテイ</t>
    </rPh>
    <phoneticPr fontId="2"/>
  </si>
  <si>
    <t>仕入日▽</t>
    <rPh sb="0" eb="2">
      <t>シイレ</t>
    </rPh>
    <phoneticPr fontId="2"/>
  </si>
  <si>
    <t>支払予定日▽</t>
    <rPh sb="0" eb="2">
      <t>シハライ</t>
    </rPh>
    <rPh sb="2" eb="4">
      <t>ヨテイ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</si>
</sst>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yyyy/m/d\ hh:mm:ss"/>
    <numFmt numFmtId="177" formatCode="yyyy/mm/dd"/>
    <numFmt numFmtId="178" formatCode="#,##0.00_ "/>
    <numFmt numFmtId="179" formatCode="#,##0.00_ ;[Red]\-#,##0.00\ "/>
    <numFmt numFmtId="180" formatCode="0_);[Red]\(0\)"/>
    <numFmt numFmtId="181" formatCode="yyyy/mm/dd\ hh:mm:ss"/>
    <numFmt numFmtId="182" formatCode="#,##0_ "/>
    <numFmt numFmtId="183" formatCode="0.0000000000_ "/>
  </numFmts>
  <fonts count="40">
    <font>
      <sz val="11"/>
      <color theme="1"/>
      <name val="ＭＳ Ｐゴシック"/>
      <family val="2"/>
      <charset val="128"/>
      <scheme val="minor"/>
    </font>
    <font>
      <sz val="10"/>
      <color theme="1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0"/>
      <color theme="0"/>
      <name val="ＭＳ ゴシック"/>
      <family val="3"/>
      <charset val="128"/>
    </font>
    <font>
      <sz val="6"/>
      <name val="ＭＳ Ｐゴシック"/>
      <family val="3"/>
      <charset val="128"/>
    </font>
    <font>
      <b/>
      <sz val="10"/>
      <color theme="1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1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</font>
    <font>
      <sz val="9"/>
      <color rgb="FF000000"/>
      <name val="Meiryo UI"/>
      <family val="3"/>
      <charset val="128"/>
    </font>
    <font>
      <b/>
      <sz val="12"/>
      <color theme="0"/>
      <name val="メイリオ"/>
      <family val="3"/>
      <charset val="128"/>
    </font>
    <font>
      <sz val="11"/>
      <color theme="1"/>
      <name val="メイリオ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color theme="3" tint="-0.499984740745262"/>
      <name val="メイリオ"/>
      <family val="3"/>
      <charset val="128"/>
    </font>
    <font>
      <sz val="10"/>
      <name val="ＭＳ ゴシック"/>
      <family val="3"/>
      <charset val="128"/>
    </font>
    <font>
      <sz val="10"/>
      <name val="ＭＳ Ｐゴシック"/>
      <family val="3"/>
      <charset val="128"/>
    </font>
    <font>
      <b/>
      <sz val="10"/>
      <name val="ＭＳ ゴシック"/>
      <family val="3"/>
      <charset val="128"/>
    </font>
    <font>
      <sz val="10"/>
      <name val="メイリオ"/>
      <family val="3"/>
      <charset val="128"/>
    </font>
    <font>
      <sz val="11"/>
      <name val="明朝"/>
      <family val="1"/>
      <charset val="128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8B8CE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EDF7F9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 diagonalUp="1">
      <left/>
      <right/>
      <top/>
      <bottom/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47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/>
    <xf numFmtId="0" fontId="24" fillId="0" borderId="0" applyNumberFormat="0" applyFill="0" applyBorder="0" applyAlignment="0" applyProtection="0">
      <alignment vertical="center"/>
    </xf>
    <xf numFmtId="0" fontId="25" fillId="0" borderId="23" applyNumberFormat="0" applyFill="0" applyAlignment="0" applyProtection="0">
      <alignment vertical="center"/>
    </xf>
    <xf numFmtId="0" fontId="26" fillId="0" borderId="24" applyNumberFormat="0" applyFill="0" applyAlignment="0" applyProtection="0">
      <alignment vertical="center"/>
    </xf>
    <xf numFmtId="0" fontId="27" fillId="0" borderId="25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31" fillId="20" borderId="26" applyNumberFormat="0" applyAlignment="0" applyProtection="0">
      <alignment vertical="center"/>
    </xf>
    <xf numFmtId="0" fontId="32" fillId="21" borderId="27" applyNumberFormat="0" applyAlignment="0" applyProtection="0">
      <alignment vertical="center"/>
    </xf>
    <xf numFmtId="0" fontId="33" fillId="21" borderId="26" applyNumberFormat="0" applyAlignment="0" applyProtection="0">
      <alignment vertical="center"/>
    </xf>
    <xf numFmtId="0" fontId="34" fillId="0" borderId="28" applyNumberFormat="0" applyFill="0" applyAlignment="0" applyProtection="0">
      <alignment vertical="center"/>
    </xf>
    <xf numFmtId="0" fontId="35" fillId="22" borderId="29" applyNumberFormat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23" fillId="23" borderId="30" applyNumberFormat="0" applyFon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31" applyNumberFormat="0" applyFill="0" applyAlignment="0" applyProtection="0">
      <alignment vertical="center"/>
    </xf>
    <xf numFmtId="0" fontId="39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39" fillId="27" borderId="0" applyNumberFormat="0" applyBorder="0" applyAlignment="0" applyProtection="0">
      <alignment vertical="center"/>
    </xf>
    <xf numFmtId="0" fontId="39" fillId="2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39" fillId="31" borderId="0" applyNumberFormat="0" applyBorder="0" applyAlignment="0" applyProtection="0">
      <alignment vertical="center"/>
    </xf>
    <xf numFmtId="0" fontId="39" fillId="32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39" fillId="35" borderId="0" applyNumberFormat="0" applyBorder="0" applyAlignment="0" applyProtection="0">
      <alignment vertical="center"/>
    </xf>
    <xf numFmtId="0" fontId="39" fillId="36" borderId="0" applyNumberFormat="0" applyBorder="0" applyAlignment="0" applyProtection="0">
      <alignment vertical="center"/>
    </xf>
    <xf numFmtId="0" fontId="23" fillId="37" borderId="0" applyNumberFormat="0" applyBorder="0" applyAlignment="0" applyProtection="0">
      <alignment vertical="center"/>
    </xf>
    <xf numFmtId="0" fontId="23" fillId="38" borderId="0" applyNumberFormat="0" applyBorder="0" applyAlignment="0" applyProtection="0">
      <alignment vertical="center"/>
    </xf>
    <xf numFmtId="0" fontId="39" fillId="39" borderId="0" applyNumberFormat="0" applyBorder="0" applyAlignment="0" applyProtection="0">
      <alignment vertical="center"/>
    </xf>
    <xf numFmtId="0" fontId="39" fillId="40" borderId="0" applyNumberFormat="0" applyBorder="0" applyAlignment="0" applyProtection="0">
      <alignment vertical="center"/>
    </xf>
    <xf numFmtId="0" fontId="23" fillId="41" borderId="0" applyNumberFormat="0" applyBorder="0" applyAlignment="0" applyProtection="0">
      <alignment vertical="center"/>
    </xf>
    <xf numFmtId="0" fontId="23" fillId="42" borderId="0" applyNumberFormat="0" applyBorder="0" applyAlignment="0" applyProtection="0">
      <alignment vertical="center"/>
    </xf>
    <xf numFmtId="0" fontId="39" fillId="43" borderId="0" applyNumberFormat="0" applyBorder="0" applyAlignment="0" applyProtection="0">
      <alignment vertical="center"/>
    </xf>
    <xf numFmtId="0" fontId="39" fillId="44" borderId="0" applyNumberFormat="0" applyBorder="0" applyAlignment="0" applyProtection="0">
      <alignment vertical="center"/>
    </xf>
    <xf numFmtId="0" fontId="23" fillId="45" borderId="0" applyNumberFormat="0" applyBorder="0" applyAlignment="0" applyProtection="0">
      <alignment vertical="center"/>
    </xf>
    <xf numFmtId="0" fontId="23" fillId="46" borderId="0" applyNumberFormat="0" applyBorder="0" applyAlignment="0" applyProtection="0">
      <alignment vertical="center"/>
    </xf>
    <xf numFmtId="0" fontId="39" fillId="47" borderId="0" applyNumberFormat="0" applyBorder="0" applyAlignment="0" applyProtection="0">
      <alignment vertical="center"/>
    </xf>
    <xf numFmtId="0" fontId="14" fillId="0" borderId="0"/>
    <xf numFmtId="38" fontId="14" fillId="0" borderId="0" applyFont="0" applyFill="0" applyBorder="0" applyAlignment="0" applyProtection="0"/>
    <xf numFmtId="0" fontId="13" fillId="0" borderId="0" applyNumberFormat="0" applyFill="0" applyBorder="0" applyAlignment="0" applyProtection="0">
      <alignment vertical="center"/>
    </xf>
  </cellStyleXfs>
  <cellXfs count="255">
    <xf numFmtId="0" fontId="0" fillId="0" borderId="0" xfId="0">
      <alignment vertical="center"/>
    </xf>
    <xf numFmtId="49" fontId="1" fillId="0" borderId="0" xfId="0" applyNumberFormat="1" applyFont="1" applyAlignment="1">
      <alignment vertical="center" wrapText="1"/>
    </xf>
    <xf numFmtId="49" fontId="1" fillId="0" borderId="0" xfId="0" applyNumberFormat="1" applyFont="1" applyAlignment="1">
      <alignment vertical="center"/>
    </xf>
    <xf numFmtId="49" fontId="3" fillId="2" borderId="1" xfId="0" applyNumberFormat="1" applyFont="1" applyFill="1" applyBorder="1" applyAlignment="1">
      <alignment vertical="center"/>
    </xf>
    <xf numFmtId="49" fontId="1" fillId="0" borderId="1" xfId="0" applyNumberFormat="1" applyFont="1" applyBorder="1" applyAlignment="1">
      <alignment vertical="center"/>
    </xf>
    <xf numFmtId="49" fontId="1" fillId="3" borderId="0" xfId="0" applyNumberFormat="1" applyFont="1" applyFill="1" applyAlignment="1">
      <alignment vertical="center"/>
    </xf>
    <xf numFmtId="49" fontId="1" fillId="4" borderId="0" xfId="0" applyNumberFormat="1" applyFont="1" applyFill="1" applyAlignment="1">
      <alignment vertical="center"/>
    </xf>
    <xf numFmtId="49" fontId="1" fillId="3" borderId="1" xfId="0" applyNumberFormat="1" applyFont="1" applyFill="1" applyBorder="1" applyAlignment="1">
      <alignment vertical="center"/>
    </xf>
    <xf numFmtId="49" fontId="0" fillId="4" borderId="0" xfId="0" applyNumberFormat="1" applyFill="1">
      <alignment vertical="center"/>
    </xf>
    <xf numFmtId="49" fontId="0" fillId="0" borderId="0" xfId="0" applyNumberFormat="1">
      <alignment vertical="center"/>
    </xf>
    <xf numFmtId="0" fontId="5" fillId="5" borderId="1" xfId="0" applyFont="1" applyFill="1" applyBorder="1" applyAlignment="1">
      <alignment vertical="center" wrapText="1"/>
    </xf>
    <xf numFmtId="0" fontId="5" fillId="5" borderId="1" xfId="0" applyFont="1" applyFill="1" applyBorder="1">
      <alignment vertical="center"/>
    </xf>
    <xf numFmtId="0" fontId="6" fillId="6" borderId="1" xfId="0" applyFont="1" applyFill="1" applyBorder="1" applyAlignment="1">
      <alignment vertical="center" wrapText="1"/>
    </xf>
    <xf numFmtId="0" fontId="6" fillId="6" borderId="1" xfId="0" applyFont="1" applyFill="1" applyBorder="1">
      <alignment vertical="center"/>
    </xf>
    <xf numFmtId="0" fontId="6" fillId="6" borderId="7" xfId="0" applyFont="1" applyFill="1" applyBorder="1">
      <alignment vertical="center"/>
    </xf>
    <xf numFmtId="0" fontId="6" fillId="7" borderId="1" xfId="0" applyFont="1" applyFill="1" applyBorder="1">
      <alignment vertical="center"/>
    </xf>
    <xf numFmtId="0" fontId="6" fillId="7" borderId="3" xfId="0" applyFont="1" applyFill="1" applyBorder="1" applyAlignment="1">
      <alignment vertical="center" wrapText="1"/>
    </xf>
    <xf numFmtId="0" fontId="6" fillId="7" borderId="7" xfId="0" applyFont="1" applyFill="1" applyBorder="1" applyAlignment="1">
      <alignment horizontal="left" vertical="center"/>
    </xf>
    <xf numFmtId="0" fontId="6" fillId="6" borderId="9" xfId="0" applyFont="1" applyFill="1" applyBorder="1">
      <alignment vertical="center"/>
    </xf>
    <xf numFmtId="0" fontId="6" fillId="7" borderId="9" xfId="0" applyFont="1" applyFill="1" applyBorder="1" applyAlignment="1">
      <alignment horizontal="left" vertical="center"/>
    </xf>
    <xf numFmtId="0" fontId="6" fillId="7" borderId="3" xfId="0" applyFont="1" applyFill="1" applyBorder="1" applyAlignme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shrinkToFit="1"/>
    </xf>
    <xf numFmtId="0" fontId="7" fillId="4" borderId="0" xfId="0" applyFont="1" applyFill="1" applyAlignment="1">
      <alignment vertical="center" wrapText="1"/>
    </xf>
    <xf numFmtId="49" fontId="0" fillId="0" borderId="0" xfId="0" applyNumberFormat="1" applyAlignment="1">
      <alignment vertical="center" wrapText="1"/>
    </xf>
    <xf numFmtId="0" fontId="6" fillId="7" borderId="4" xfId="0" applyFont="1" applyFill="1" applyBorder="1" applyAlignment="1">
      <alignment vertical="top"/>
    </xf>
    <xf numFmtId="0" fontId="6" fillId="7" borderId="6" xfId="0" applyFont="1" applyFill="1" applyBorder="1" applyAlignment="1">
      <alignment vertical="top"/>
    </xf>
    <xf numFmtId="0" fontId="6" fillId="7" borderId="7" xfId="0" applyFont="1" applyFill="1" applyBorder="1" applyAlignment="1">
      <alignment vertical="top"/>
    </xf>
    <xf numFmtId="0" fontId="6" fillId="7" borderId="9" xfId="0" applyFont="1" applyFill="1" applyBorder="1" applyAlignment="1">
      <alignment vertical="top"/>
    </xf>
    <xf numFmtId="0" fontId="6" fillId="7" borderId="8" xfId="0" applyFont="1" applyFill="1" applyBorder="1" applyAlignment="1">
      <alignment vertical="top"/>
    </xf>
    <xf numFmtId="0" fontId="6" fillId="7" borderId="1" xfId="0" applyFont="1" applyFill="1" applyBorder="1" applyAlignment="1">
      <alignment vertical="top"/>
    </xf>
    <xf numFmtId="0" fontId="6" fillId="7" borderId="1" xfId="0" applyFont="1" applyFill="1" applyBorder="1" applyAlignment="1">
      <alignment vertical="center" wrapText="1"/>
    </xf>
    <xf numFmtId="0" fontId="7" fillId="4" borderId="0" xfId="0" quotePrefix="1" applyNumberFormat="1" applyFont="1" applyFill="1" applyAlignment="1">
      <alignment vertical="center" wrapText="1"/>
    </xf>
    <xf numFmtId="49" fontId="0" fillId="0" borderId="1" xfId="0" applyNumberFormat="1" applyBorder="1">
      <alignment vertical="center"/>
    </xf>
    <xf numFmtId="49" fontId="0" fillId="4" borderId="1" xfId="0" applyNumberFormat="1" applyFill="1" applyBorder="1">
      <alignment vertical="center"/>
    </xf>
    <xf numFmtId="0" fontId="0" fillId="4" borderId="1" xfId="0" applyNumberFormat="1" applyFill="1" applyBorder="1" applyAlignment="1">
      <alignment vertical="center" wrapText="1"/>
    </xf>
    <xf numFmtId="0" fontId="6" fillId="7" borderId="2" xfId="0" applyFont="1" applyFill="1" applyBorder="1" applyAlignment="1">
      <alignment vertical="center"/>
    </xf>
    <xf numFmtId="0" fontId="6" fillId="7" borderId="1" xfId="0" applyFont="1" applyFill="1" applyBorder="1" applyAlignment="1">
      <alignment vertical="center"/>
    </xf>
    <xf numFmtId="0" fontId="6" fillId="6" borderId="11" xfId="0" applyFont="1" applyFill="1" applyBorder="1">
      <alignment vertical="center"/>
    </xf>
    <xf numFmtId="0" fontId="6" fillId="7" borderId="12" xfId="0" applyFont="1" applyFill="1" applyBorder="1" applyAlignment="1">
      <alignment vertical="center"/>
    </xf>
    <xf numFmtId="0" fontId="6" fillId="7" borderId="11" xfId="0" applyFont="1" applyFill="1" applyBorder="1" applyAlignment="1">
      <alignment horizontal="left" vertical="center"/>
    </xf>
    <xf numFmtId="0" fontId="0" fillId="4" borderId="1" xfId="0" applyNumberFormat="1" applyFill="1" applyBorder="1">
      <alignment vertical="center"/>
    </xf>
    <xf numFmtId="0" fontId="6" fillId="7" borderId="12" xfId="0" applyFont="1" applyFill="1" applyBorder="1" applyAlignment="1">
      <alignment horizontal="left" vertical="center"/>
    </xf>
    <xf numFmtId="0" fontId="0" fillId="0" borderId="1" xfId="0" applyBorder="1" applyAlignment="1">
      <alignment vertical="center" shrinkToFit="1"/>
    </xf>
    <xf numFmtId="0" fontId="0" fillId="4" borderId="0" xfId="0" applyFill="1">
      <alignment vertical="center"/>
    </xf>
    <xf numFmtId="0" fontId="10" fillId="8" borderId="0" xfId="0" applyFont="1" applyFill="1" applyBorder="1" applyAlignment="1">
      <alignment vertical="center"/>
    </xf>
    <xf numFmtId="0" fontId="11" fillId="0" borderId="1" xfId="0" applyFont="1" applyBorder="1">
      <alignment vertical="center"/>
    </xf>
    <xf numFmtId="0" fontId="6" fillId="9" borderId="0" xfId="0" applyFont="1" applyFill="1" applyBorder="1" applyAlignment="1">
      <alignment vertical="center"/>
    </xf>
    <xf numFmtId="0" fontId="6" fillId="9" borderId="0" xfId="0" applyFont="1" applyFill="1" applyBorder="1" applyAlignment="1">
      <alignment horizontal="right" vertical="center"/>
    </xf>
    <xf numFmtId="0" fontId="6" fillId="10" borderId="2" xfId="0" applyFont="1" applyFill="1" applyBorder="1" applyAlignment="1">
      <alignment horizontal="right" vertical="center"/>
    </xf>
    <xf numFmtId="0" fontId="6" fillId="10" borderId="10" xfId="0" applyFont="1" applyFill="1" applyBorder="1" applyAlignment="1">
      <alignment horizontal="right"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vertical="center" shrinkToFit="1"/>
    </xf>
    <xf numFmtId="0" fontId="11" fillId="11" borderId="1" xfId="0" applyFont="1" applyFill="1" applyBorder="1">
      <alignment vertical="center"/>
    </xf>
    <xf numFmtId="0" fontId="11" fillId="11" borderId="8" xfId="0" applyFont="1" applyFill="1" applyBorder="1">
      <alignment vertical="center"/>
    </xf>
    <xf numFmtId="0" fontId="6" fillId="9" borderId="0" xfId="0" applyFont="1" applyFill="1" applyBorder="1" applyAlignment="1">
      <alignment horizontal="center" vertical="center"/>
    </xf>
    <xf numFmtId="0" fontId="11" fillId="0" borderId="1" xfId="0" applyFont="1" applyFill="1" applyBorder="1">
      <alignment vertical="center"/>
    </xf>
    <xf numFmtId="0" fontId="11" fillId="0" borderId="2" xfId="0" applyFont="1" applyFill="1" applyBorder="1">
      <alignment vertical="center"/>
    </xf>
    <xf numFmtId="0" fontId="11" fillId="0" borderId="13" xfId="0" applyFont="1" applyFill="1" applyBorder="1" applyProtection="1">
      <alignment vertical="center"/>
      <protection locked="0"/>
    </xf>
    <xf numFmtId="0" fontId="6" fillId="9" borderId="0" xfId="0" applyFont="1" applyFill="1" applyBorder="1" applyAlignment="1">
      <alignment horizontal="center" vertical="center" shrinkToFit="1"/>
    </xf>
    <xf numFmtId="0" fontId="11" fillId="0" borderId="1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vertical="center"/>
    </xf>
    <xf numFmtId="0" fontId="11" fillId="0" borderId="2" xfId="0" applyFont="1" applyFill="1" applyBorder="1" applyAlignment="1">
      <alignment vertical="center"/>
    </xf>
    <xf numFmtId="0" fontId="6" fillId="0" borderId="13" xfId="0" applyFont="1" applyFill="1" applyBorder="1" applyAlignment="1" applyProtection="1">
      <alignment horizontal="right" vertical="center"/>
      <protection locked="0"/>
    </xf>
    <xf numFmtId="0" fontId="6" fillId="0" borderId="14" xfId="0" applyFont="1" applyFill="1" applyBorder="1" applyAlignment="1" applyProtection="1">
      <alignment horizontal="right" vertical="center"/>
      <protection locked="0"/>
    </xf>
    <xf numFmtId="0" fontId="6" fillId="11" borderId="1" xfId="0" applyFont="1" applyFill="1" applyBorder="1" applyAlignment="1">
      <alignment vertical="center"/>
    </xf>
    <xf numFmtId="14" fontId="11" fillId="0" borderId="1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6" fillId="9" borderId="15" xfId="0" applyFont="1" applyFill="1" applyBorder="1" applyAlignment="1">
      <alignment vertical="center"/>
    </xf>
    <xf numFmtId="0" fontId="6" fillId="9" borderId="1" xfId="0" applyNumberFormat="1" applyFont="1" applyFill="1" applyBorder="1" applyAlignment="1" applyProtection="1">
      <alignment horizontal="center" vertical="center" shrinkToFit="1"/>
    </xf>
    <xf numFmtId="0" fontId="0" fillId="0" borderId="0" xfId="0" applyProtection="1">
      <alignment vertical="center"/>
    </xf>
    <xf numFmtId="0" fontId="0" fillId="0" borderId="0" xfId="0" applyAlignment="1" applyProtection="1">
      <alignment vertical="center" shrinkToFit="1"/>
    </xf>
    <xf numFmtId="0" fontId="12" fillId="0" borderId="0" xfId="0" applyFont="1">
      <alignment vertical="center"/>
    </xf>
    <xf numFmtId="0" fontId="12" fillId="0" borderId="0" xfId="0" applyFont="1" applyAlignment="1">
      <alignment vertical="center" shrinkToFit="1"/>
    </xf>
    <xf numFmtId="0" fontId="6" fillId="11" borderId="1" xfId="0" applyNumberFormat="1" applyFont="1" applyFill="1" applyBorder="1" applyAlignment="1" applyProtection="1">
      <alignment horizontal="center" vertical="center" shrinkToFit="1"/>
    </xf>
    <xf numFmtId="0" fontId="6" fillId="11" borderId="3" xfId="0" applyNumberFormat="1" applyFont="1" applyFill="1" applyBorder="1" applyAlignment="1" applyProtection="1">
      <alignment horizontal="center" vertical="center" shrinkToFit="1"/>
    </xf>
    <xf numFmtId="0" fontId="14" fillId="0" borderId="1" xfId="1" applyNumberFormat="1" applyFont="1" applyBorder="1">
      <alignment vertical="center"/>
    </xf>
    <xf numFmtId="177" fontId="14" fillId="0" borderId="1" xfId="1" applyNumberFormat="1" applyFont="1" applyBorder="1">
      <alignment vertical="center"/>
    </xf>
    <xf numFmtId="178" fontId="14" fillId="0" borderId="1" xfId="1" applyNumberFormat="1" applyFont="1" applyBorder="1">
      <alignment vertical="center"/>
    </xf>
    <xf numFmtId="0" fontId="6" fillId="9" borderId="0" xfId="0" applyNumberFormat="1" applyFont="1" applyFill="1" applyBorder="1" applyAlignment="1">
      <alignment vertical="center"/>
    </xf>
    <xf numFmtId="0" fontId="6" fillId="11" borderId="1" xfId="0" applyFont="1" applyFill="1" applyBorder="1" applyAlignment="1">
      <alignment horizontal="center" vertical="center" shrinkToFit="1"/>
    </xf>
    <xf numFmtId="0" fontId="6" fillId="9" borderId="12" xfId="0" applyNumberFormat="1" applyFont="1" applyFill="1" applyBorder="1" applyAlignment="1" applyProtection="1">
      <alignment horizontal="center" vertical="center" shrinkToFit="1"/>
    </xf>
    <xf numFmtId="0" fontId="6" fillId="9" borderId="12" xfId="0" applyNumberFormat="1" applyFont="1" applyFill="1" applyBorder="1" applyAlignment="1" applyProtection="1">
      <alignment horizontal="center" vertical="center" shrinkToFit="1"/>
      <protection locked="0"/>
    </xf>
    <xf numFmtId="0" fontId="6" fillId="9" borderId="12" xfId="0" applyNumberFormat="1" applyFont="1" applyFill="1" applyBorder="1" applyAlignment="1">
      <alignment horizontal="center" vertical="center" shrinkToFit="1"/>
    </xf>
    <xf numFmtId="0" fontId="6" fillId="9" borderId="12" xfId="0" applyNumberFormat="1" applyFont="1" applyFill="1" applyBorder="1" applyAlignment="1">
      <alignment horizontal="left" vertical="center" shrinkToFit="1"/>
    </xf>
    <xf numFmtId="177" fontId="6" fillId="9" borderId="12" xfId="0" applyNumberFormat="1" applyFont="1" applyFill="1" applyBorder="1" applyAlignment="1">
      <alignment horizontal="center" vertical="center" shrinkToFit="1"/>
    </xf>
    <xf numFmtId="0" fontId="15" fillId="0" borderId="0" xfId="2" applyFont="1" applyBorder="1" applyAlignment="1">
      <alignment vertical="center"/>
    </xf>
    <xf numFmtId="180" fontId="6" fillId="4" borderId="16" xfId="0" applyNumberFormat="1" applyFont="1" applyFill="1" applyBorder="1" applyAlignment="1" applyProtection="1">
      <alignment vertical="center"/>
      <protection locked="0"/>
    </xf>
    <xf numFmtId="0" fontId="6" fillId="10" borderId="1" xfId="0" applyNumberFormat="1" applyFont="1" applyFill="1" applyBorder="1" applyAlignment="1" applyProtection="1">
      <alignment horizontal="center" vertical="center" shrinkToFit="1"/>
    </xf>
    <xf numFmtId="0" fontId="0" fillId="0" borderId="17" xfId="0" applyBorder="1" applyAlignment="1" applyProtection="1">
      <alignment vertical="center"/>
      <protection locked="0"/>
    </xf>
    <xf numFmtId="0" fontId="0" fillId="0" borderId="18" xfId="0" applyBorder="1" applyAlignment="1" applyProtection="1">
      <alignment vertical="center"/>
      <protection locked="0"/>
    </xf>
    <xf numFmtId="0" fontId="0" fillId="0" borderId="18" xfId="0" applyBorder="1" applyAlignment="1">
      <alignment vertical="center"/>
    </xf>
    <xf numFmtId="0" fontId="0" fillId="0" borderId="19" xfId="0" applyBorder="1" applyAlignment="1">
      <alignment vertical="center"/>
    </xf>
    <xf numFmtId="180" fontId="6" fillId="4" borderId="20" xfId="0" applyNumberFormat="1" applyFont="1" applyFill="1" applyBorder="1" applyAlignment="1" applyProtection="1">
      <alignment vertical="center"/>
      <protection locked="0"/>
    </xf>
    <xf numFmtId="0" fontId="0" fillId="4" borderId="0" xfId="0" applyFill="1" applyAlignment="1">
      <alignment vertical="center" shrinkToFit="1"/>
    </xf>
    <xf numFmtId="0" fontId="12" fillId="0" borderId="0" xfId="0" applyFont="1" applyAlignment="1">
      <alignment horizontal="center" vertical="center" shrinkToFit="1"/>
    </xf>
    <xf numFmtId="180" fontId="6" fillId="4" borderId="21" xfId="0" applyNumberFormat="1" applyFont="1" applyFill="1" applyBorder="1" applyAlignment="1" applyProtection="1">
      <alignment vertical="center"/>
      <protection locked="0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6" fillId="0" borderId="0" xfId="0" applyFont="1" applyFill="1" applyBorder="1" applyAlignment="1" applyProtection="1">
      <alignment vertical="center" shrinkToFit="1"/>
    </xf>
    <xf numFmtId="49" fontId="12" fillId="0" borderId="0" xfId="0" applyNumberFormat="1" applyFont="1">
      <alignment vertical="center"/>
    </xf>
    <xf numFmtId="49" fontId="16" fillId="0" borderId="0" xfId="0" applyNumberFormat="1" applyFont="1" applyAlignment="1">
      <alignment vertical="center"/>
    </xf>
    <xf numFmtId="49" fontId="16" fillId="0" borderId="1" xfId="0" applyNumberFormat="1" applyFont="1" applyBorder="1" applyAlignment="1">
      <alignment vertical="center"/>
    </xf>
    <xf numFmtId="49" fontId="16" fillId="0" borderId="0" xfId="0" applyNumberFormat="1" applyFont="1" applyBorder="1" applyAlignment="1">
      <alignment vertical="center"/>
    </xf>
    <xf numFmtId="49" fontId="17" fillId="0" borderId="0" xfId="0" applyNumberFormat="1" applyFont="1" applyAlignment="1"/>
    <xf numFmtId="49" fontId="0" fillId="0" borderId="0" xfId="0" applyNumberFormat="1" applyAlignment="1">
      <alignment vertical="center" shrinkToFit="1"/>
    </xf>
    <xf numFmtId="177" fontId="0" fillId="0" borderId="1" xfId="0" applyNumberFormat="1" applyBorder="1">
      <alignment vertical="center"/>
    </xf>
    <xf numFmtId="181" fontId="0" fillId="0" borderId="1" xfId="0" applyNumberFormat="1" applyBorder="1">
      <alignment vertical="center"/>
    </xf>
    <xf numFmtId="49" fontId="17" fillId="0" borderId="1" xfId="0" applyNumberFormat="1" applyFont="1" applyBorder="1" applyAlignment="1"/>
    <xf numFmtId="0" fontId="17" fillId="0" borderId="1" xfId="0" applyNumberFormat="1" applyFont="1" applyBorder="1" applyAlignment="1"/>
    <xf numFmtId="49" fontId="16" fillId="9" borderId="1" xfId="0" applyNumberFormat="1" applyFont="1" applyFill="1" applyBorder="1" applyAlignment="1">
      <alignment vertical="center"/>
    </xf>
    <xf numFmtId="49" fontId="0" fillId="0" borderId="0" xfId="0" applyNumberFormat="1" applyAlignment="1"/>
    <xf numFmtId="49" fontId="18" fillId="14" borderId="1" xfId="0" applyNumberFormat="1" applyFont="1" applyFill="1" applyBorder="1" applyAlignment="1">
      <alignment vertical="center"/>
    </xf>
    <xf numFmtId="49" fontId="16" fillId="14" borderId="1" xfId="0" applyNumberFormat="1" applyFont="1" applyFill="1" applyBorder="1" applyAlignment="1">
      <alignment vertical="center"/>
    </xf>
    <xf numFmtId="49" fontId="16" fillId="4" borderId="1" xfId="0" applyNumberFormat="1" applyFont="1" applyFill="1" applyBorder="1" applyAlignment="1">
      <alignment vertical="center"/>
    </xf>
    <xf numFmtId="49" fontId="16" fillId="0" borderId="1" xfId="0" applyNumberFormat="1" applyFont="1" applyFill="1" applyBorder="1" applyAlignment="1">
      <alignment vertical="center"/>
    </xf>
    <xf numFmtId="49" fontId="17" fillId="4" borderId="0" xfId="0" applyNumberFormat="1" applyFont="1" applyFill="1" applyAlignment="1"/>
    <xf numFmtId="49" fontId="16" fillId="0" borderId="0" xfId="0" applyNumberFormat="1" applyFont="1" applyAlignment="1"/>
    <xf numFmtId="177" fontId="0" fillId="0" borderId="0" xfId="0" applyNumberFormat="1">
      <alignment vertical="center"/>
    </xf>
    <xf numFmtId="181" fontId="0" fillId="0" borderId="0" xfId="0" applyNumberFormat="1">
      <alignment vertical="center"/>
    </xf>
    <xf numFmtId="0" fontId="0" fillId="4" borderId="0" xfId="0" applyNumberFormat="1" applyFill="1" applyAlignment="1">
      <alignment vertical="center"/>
    </xf>
    <xf numFmtId="0" fontId="0" fillId="0" borderId="0" xfId="0" applyNumberFormat="1">
      <alignment vertical="center"/>
    </xf>
    <xf numFmtId="0" fontId="6" fillId="7" borderId="3" xfId="0" applyFont="1" applyFill="1" applyBorder="1">
      <alignment vertical="center"/>
    </xf>
    <xf numFmtId="0" fontId="6" fillId="7" borderId="7" xfId="0" applyFont="1" applyFill="1" applyBorder="1" applyAlignment="1">
      <alignment vertical="center"/>
    </xf>
    <xf numFmtId="0" fontId="6" fillId="15" borderId="1" xfId="0" applyFont="1" applyFill="1" applyBorder="1" applyAlignment="1">
      <alignment vertical="center"/>
    </xf>
    <xf numFmtId="0" fontId="6" fillId="15" borderId="3" xfId="0" applyFont="1" applyFill="1" applyBorder="1">
      <alignment vertical="center"/>
    </xf>
    <xf numFmtId="0" fontId="6" fillId="15" borderId="1" xfId="0" applyFont="1" applyFill="1" applyBorder="1">
      <alignment vertical="center"/>
    </xf>
    <xf numFmtId="0" fontId="6" fillId="7" borderId="3" xfId="0" applyNumberFormat="1" applyFont="1" applyFill="1" applyBorder="1">
      <alignment vertical="center"/>
    </xf>
    <xf numFmtId="0" fontId="6" fillId="7" borderId="11" xfId="0" applyFont="1" applyFill="1" applyBorder="1" applyAlignment="1">
      <alignment vertical="center"/>
    </xf>
    <xf numFmtId="0" fontId="5" fillId="7" borderId="1" xfId="0" applyFont="1" applyFill="1" applyBorder="1">
      <alignment vertical="center"/>
    </xf>
    <xf numFmtId="0" fontId="6" fillId="6" borderId="12" xfId="0" applyFont="1" applyFill="1" applyBorder="1">
      <alignment vertical="center"/>
    </xf>
    <xf numFmtId="0" fontId="6" fillId="7" borderId="11" xfId="0" applyNumberFormat="1" applyFont="1" applyFill="1" applyBorder="1" applyAlignment="1">
      <alignment vertical="center"/>
    </xf>
    <xf numFmtId="0" fontId="6" fillId="7" borderId="7" xfId="0" applyNumberFormat="1" applyFont="1" applyFill="1" applyBorder="1" applyAlignment="1">
      <alignment vertical="center"/>
    </xf>
    <xf numFmtId="0" fontId="11" fillId="6" borderId="1" xfId="0" applyFont="1" applyFill="1" applyBorder="1" applyAlignment="1">
      <alignment vertical="center" wrapText="1"/>
    </xf>
    <xf numFmtId="0" fontId="11" fillId="6" borderId="11" xfId="0" applyFont="1" applyFill="1" applyBorder="1">
      <alignment vertical="center"/>
    </xf>
    <xf numFmtId="0" fontId="6" fillId="7" borderId="1" xfId="0" applyFont="1" applyFill="1" applyBorder="1" applyAlignment="1">
      <alignment vertical="top" wrapText="1"/>
    </xf>
    <xf numFmtId="0" fontId="11" fillId="7" borderId="1" xfId="0" applyFont="1" applyFill="1" applyBorder="1" applyAlignment="1">
      <alignment vertical="center" wrapText="1"/>
    </xf>
    <xf numFmtId="0" fontId="11" fillId="7" borderId="1" xfId="0" applyFont="1" applyFill="1" applyBorder="1">
      <alignment vertical="center"/>
    </xf>
    <xf numFmtId="0" fontId="0" fillId="0" borderId="0" xfId="0" applyFont="1">
      <alignment vertical="center"/>
    </xf>
    <xf numFmtId="0" fontId="11" fillId="0" borderId="22" xfId="0" applyFont="1" applyFill="1" applyBorder="1" applyProtection="1">
      <alignment vertical="center"/>
      <protection locked="0"/>
    </xf>
    <xf numFmtId="0" fontId="11" fillId="10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vertical="center"/>
    </xf>
    <xf numFmtId="0" fontId="11" fillId="10" borderId="2" xfId="0" applyFont="1" applyFill="1" applyBorder="1" applyAlignment="1">
      <alignment vertical="center"/>
    </xf>
    <xf numFmtId="0" fontId="6" fillId="10" borderId="13" xfId="0" applyFont="1" applyFill="1" applyBorder="1" applyAlignment="1" applyProtection="1">
      <alignment horizontal="right" vertical="center"/>
      <protection locked="0"/>
    </xf>
    <xf numFmtId="9" fontId="14" fillId="0" borderId="1" xfId="1" applyNumberFormat="1" applyFont="1" applyBorder="1">
      <alignment vertical="center"/>
    </xf>
    <xf numFmtId="9" fontId="6" fillId="9" borderId="12" xfId="0" applyNumberFormat="1" applyFont="1" applyFill="1" applyBorder="1" applyAlignment="1">
      <alignment horizontal="center" vertical="center" shrinkToFit="1"/>
    </xf>
    <xf numFmtId="49" fontId="21" fillId="0" borderId="1" xfId="0" applyNumberFormat="1" applyFont="1" applyBorder="1">
      <alignment vertical="center"/>
    </xf>
    <xf numFmtId="0" fontId="0" fillId="0" borderId="1" xfId="0" applyNumberFormat="1" applyBorder="1">
      <alignment vertical="center"/>
    </xf>
    <xf numFmtId="49" fontId="18" fillId="9" borderId="1" xfId="0" applyNumberFormat="1" applyFont="1" applyFill="1" applyBorder="1" applyAlignment="1">
      <alignment vertical="center"/>
    </xf>
    <xf numFmtId="0" fontId="22" fillId="0" borderId="1" xfId="0" applyNumberFormat="1" applyFont="1" applyBorder="1">
      <alignment vertical="center"/>
    </xf>
    <xf numFmtId="49" fontId="22" fillId="0" borderId="1" xfId="0" applyNumberFormat="1" applyFont="1" applyBorder="1">
      <alignment vertical="center"/>
    </xf>
    <xf numFmtId="0" fontId="0" fillId="4" borderId="0" xfId="0" applyNumberFormat="1" applyFill="1">
      <alignment vertical="center"/>
    </xf>
    <xf numFmtId="0" fontId="0" fillId="4" borderId="0" xfId="0" applyNumberFormat="1" applyFill="1" applyAlignment="1">
      <alignment vertical="center" wrapText="1"/>
    </xf>
    <xf numFmtId="0" fontId="7" fillId="4" borderId="0" xfId="0" quotePrefix="1" applyNumberFormat="1" applyFont="1" applyFill="1" applyAlignment="1">
      <alignment horizontal="left" vertical="center" wrapText="1"/>
    </xf>
    <xf numFmtId="0" fontId="7" fillId="4" borderId="0" xfId="0" quotePrefix="1" applyNumberFormat="1" applyFont="1" applyFill="1" applyAlignment="1">
      <alignment horizontal="right" vertical="center" wrapText="1"/>
    </xf>
    <xf numFmtId="0" fontId="6" fillId="16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181" fontId="6" fillId="9" borderId="1" xfId="0" applyNumberFormat="1" applyFont="1" applyFill="1" applyBorder="1" applyAlignment="1">
      <alignment horizontal="center" vertical="center"/>
    </xf>
    <xf numFmtId="182" fontId="6" fillId="9" borderId="1" xfId="0" applyNumberFormat="1" applyFont="1" applyFill="1" applyBorder="1" applyAlignment="1">
      <alignment horizontal="center" vertical="center"/>
    </xf>
    <xf numFmtId="0" fontId="6" fillId="7" borderId="3" xfId="0" applyFont="1" applyFill="1" applyBorder="1" applyAlignment="1">
      <alignment vertical="top" wrapText="1"/>
    </xf>
    <xf numFmtId="0" fontId="6" fillId="7" borderId="1" xfId="0" applyFont="1" applyFill="1" applyBorder="1" applyAlignment="1">
      <alignment horizontal="left" vertical="center"/>
    </xf>
    <xf numFmtId="0" fontId="7" fillId="9" borderId="0" xfId="0" applyFont="1" applyFill="1">
      <alignment vertical="center"/>
    </xf>
    <xf numFmtId="0" fontId="7" fillId="9" borderId="0" xfId="0" applyFont="1" applyFill="1" applyAlignment="1">
      <alignment vertical="center" shrinkToFit="1"/>
    </xf>
    <xf numFmtId="176" fontId="7" fillId="9" borderId="0" xfId="0" applyNumberFormat="1" applyFont="1" applyFill="1" applyAlignment="1">
      <alignment vertical="center" wrapText="1"/>
    </xf>
    <xf numFmtId="0" fontId="0" fillId="0" borderId="0" xfId="0">
      <alignment vertical="center"/>
    </xf>
    <xf numFmtId="0" fontId="0" fillId="0" borderId="0" xfId="0">
      <alignment vertical="center"/>
    </xf>
    <xf numFmtId="0" fontId="6" fillId="7" borderId="1" xfId="0" applyFont="1" applyFill="1" applyBorder="1" applyAlignment="1">
      <alignment horizontal="left" vertical="center"/>
    </xf>
    <xf numFmtId="0" fontId="11" fillId="9" borderId="1" xfId="0" applyFont="1" applyFill="1" applyBorder="1">
      <alignment vertical="center"/>
    </xf>
    <xf numFmtId="0" fontId="11" fillId="9" borderId="2" xfId="0" applyFont="1" applyFill="1" applyBorder="1">
      <alignment vertical="center"/>
    </xf>
    <xf numFmtId="0" fontId="11" fillId="9" borderId="13" xfId="0" applyFont="1" applyFill="1" applyBorder="1" applyProtection="1">
      <alignment vertical="center"/>
      <protection locked="0"/>
    </xf>
    <xf numFmtId="0" fontId="11" fillId="9" borderId="1" xfId="0" applyFont="1" applyFill="1" applyBorder="1" applyAlignment="1">
      <alignment horizontal="center" vertical="center"/>
    </xf>
    <xf numFmtId="179" fontId="6" fillId="9" borderId="12" xfId="0" applyNumberFormat="1" applyFont="1" applyFill="1" applyBorder="1" applyAlignment="1">
      <alignment horizontal="right" vertical="center" shrinkToFit="1"/>
    </xf>
    <xf numFmtId="0" fontId="6" fillId="9" borderId="1" xfId="0" applyFont="1" applyFill="1" applyBorder="1" applyAlignment="1">
      <alignment horizontal="center" vertical="center" shrinkToFit="1"/>
    </xf>
    <xf numFmtId="0" fontId="6" fillId="9" borderId="32" xfId="0" applyFont="1" applyFill="1" applyBorder="1" applyAlignment="1">
      <alignment vertical="center"/>
    </xf>
    <xf numFmtId="0" fontId="6" fillId="10" borderId="10" xfId="0" applyFont="1" applyFill="1" applyBorder="1" applyAlignment="1">
      <alignment horizontal="left" vertical="center"/>
    </xf>
    <xf numFmtId="0" fontId="6" fillId="10" borderId="10" xfId="0" applyFont="1" applyFill="1" applyBorder="1" applyAlignment="1">
      <alignment horizontal="left" vertical="center" shrinkToFit="1"/>
    </xf>
    <xf numFmtId="0" fontId="6" fillId="10" borderId="3" xfId="0" applyFont="1" applyFill="1" applyBorder="1" applyAlignment="1">
      <alignment horizontal="left" vertical="center" shrinkToFit="1"/>
    </xf>
    <xf numFmtId="0" fontId="6" fillId="10" borderId="10" xfId="0" applyFont="1" applyFill="1" applyBorder="1" applyAlignment="1">
      <alignment horizontal="left" vertical="center"/>
    </xf>
    <xf numFmtId="0" fontId="6" fillId="10" borderId="10" xfId="0" applyFont="1" applyFill="1" applyBorder="1" applyAlignment="1">
      <alignment horizontal="left" vertical="center" shrinkToFit="1"/>
    </xf>
    <xf numFmtId="183" fontId="0" fillId="4" borderId="0" xfId="0" applyNumberFormat="1" applyFill="1" applyAlignment="1">
      <alignment vertical="center" shrinkToFit="1"/>
    </xf>
    <xf numFmtId="0" fontId="6" fillId="7" borderId="9" xfId="0" applyFont="1" applyFill="1" applyBorder="1" applyAlignment="1">
      <alignment vertical="center"/>
    </xf>
    <xf numFmtId="0" fontId="6" fillId="9" borderId="33" xfId="0" applyFont="1" applyFill="1" applyBorder="1" applyAlignment="1">
      <alignment horizontal="right" vertical="center"/>
    </xf>
    <xf numFmtId="177" fontId="19" fillId="13" borderId="34" xfId="0" applyNumberFormat="1" applyFont="1" applyFill="1" applyBorder="1" applyAlignment="1" applyProtection="1">
      <alignment vertical="center" shrinkToFit="1"/>
      <protection locked="0"/>
    </xf>
    <xf numFmtId="0" fontId="0" fillId="0" borderId="33" xfId="0" applyBorder="1">
      <alignment vertical="center"/>
    </xf>
    <xf numFmtId="0" fontId="11" fillId="9" borderId="1" xfId="0" applyFont="1" applyFill="1" applyBorder="1" applyAlignment="1">
      <alignment vertical="center"/>
    </xf>
    <xf numFmtId="0" fontId="0" fillId="4" borderId="1" xfId="0" applyFill="1" applyBorder="1" applyAlignment="1">
      <alignment vertical="center" shrinkToFit="1"/>
    </xf>
    <xf numFmtId="0" fontId="6" fillId="0" borderId="1" xfId="0" applyFont="1" applyFill="1" applyBorder="1" applyAlignment="1" applyProtection="1">
      <alignment horizontal="right" vertical="center"/>
      <protection locked="0"/>
    </xf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6" fillId="7" borderId="2" xfId="0" applyFont="1" applyFill="1" applyBorder="1" applyAlignment="1">
      <alignment horizontal="left" vertical="center"/>
    </xf>
    <xf numFmtId="0" fontId="6" fillId="7" borderId="10" xfId="0" applyFont="1" applyFill="1" applyBorder="1" applyAlignment="1">
      <alignment horizontal="left" vertical="center"/>
    </xf>
    <xf numFmtId="0" fontId="6" fillId="7" borderId="3" xfId="0" applyFont="1" applyFill="1" applyBorder="1" applyAlignment="1">
      <alignment horizontal="left" vertical="center"/>
    </xf>
    <xf numFmtId="0" fontId="6" fillId="6" borderId="4" xfId="0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left" vertical="center"/>
    </xf>
    <xf numFmtId="0" fontId="5" fillId="5" borderId="4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49" fontId="1" fillId="0" borderId="2" xfId="0" applyNumberFormat="1" applyFont="1" applyBorder="1" applyAlignment="1">
      <alignment horizontal="left" vertical="center"/>
    </xf>
    <xf numFmtId="49" fontId="1" fillId="0" borderId="3" xfId="0" applyNumberFormat="1" applyFont="1" applyBorder="1" applyAlignment="1">
      <alignment horizontal="left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NumberFormat="1" applyFill="1" applyBorder="1" applyAlignment="1">
      <alignment horizontal="center" vertical="center" wrapText="1"/>
    </xf>
    <xf numFmtId="176" fontId="0" fillId="4" borderId="1" xfId="0" applyNumberFormat="1" applyFill="1" applyBorder="1" applyAlignment="1">
      <alignment horizontal="center" vertical="center" wrapText="1"/>
    </xf>
    <xf numFmtId="0" fontId="6" fillId="7" borderId="4" xfId="0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left" vertical="center"/>
    </xf>
    <xf numFmtId="0" fontId="6" fillId="6" borderId="7" xfId="0" applyFont="1" applyFill="1" applyBorder="1" applyAlignment="1">
      <alignment horizontal="center" vertical="center"/>
    </xf>
    <xf numFmtId="0" fontId="6" fillId="7" borderId="2" xfId="0" quotePrefix="1" applyFont="1" applyFill="1" applyBorder="1" applyAlignment="1">
      <alignment horizontal="left" vertical="center"/>
    </xf>
    <xf numFmtId="0" fontId="6" fillId="7" borderId="6" xfId="0" applyFont="1" applyFill="1" applyBorder="1" applyAlignment="1">
      <alignment horizontal="left" vertical="center"/>
    </xf>
    <xf numFmtId="0" fontId="6" fillId="10" borderId="1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>
      <alignment horizontal="left" vertical="center"/>
    </xf>
    <xf numFmtId="0" fontId="11" fillId="0" borderId="8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 shrinkToFit="1"/>
    </xf>
    <xf numFmtId="0" fontId="11" fillId="0" borderId="11" xfId="0" applyFont="1" applyFill="1" applyBorder="1" applyAlignment="1">
      <alignment horizontal="center" vertical="center" shrinkToFit="1"/>
    </xf>
    <xf numFmtId="0" fontId="11" fillId="0" borderId="12" xfId="0" applyFont="1" applyFill="1" applyBorder="1" applyAlignment="1">
      <alignment horizontal="center" vertical="center" shrinkToFit="1"/>
    </xf>
    <xf numFmtId="0" fontId="6" fillId="12" borderId="2" xfId="0" applyFont="1" applyFill="1" applyBorder="1" applyAlignment="1" applyProtection="1">
      <alignment horizontal="center" vertical="center" shrinkToFit="1"/>
      <protection locked="0"/>
    </xf>
    <xf numFmtId="0" fontId="6" fillId="12" borderId="10" xfId="0" applyFont="1" applyFill="1" applyBorder="1" applyAlignment="1" applyProtection="1">
      <alignment horizontal="center" vertical="center" shrinkToFit="1"/>
      <protection locked="0"/>
    </xf>
    <xf numFmtId="0" fontId="6" fillId="12" borderId="3" xfId="0" applyFont="1" applyFill="1" applyBorder="1" applyAlignment="1" applyProtection="1">
      <alignment horizontal="center" vertical="center" shrinkToFit="1"/>
      <protection locked="0"/>
    </xf>
    <xf numFmtId="0" fontId="6" fillId="13" borderId="2" xfId="0" applyFont="1" applyFill="1" applyBorder="1" applyAlignment="1" applyProtection="1">
      <alignment horizontal="center" vertical="center"/>
      <protection locked="0"/>
    </xf>
    <xf numFmtId="0" fontId="6" fillId="13" borderId="10" xfId="0" applyFont="1" applyFill="1" applyBorder="1" applyAlignment="1" applyProtection="1">
      <alignment horizontal="center" vertical="center"/>
      <protection locked="0"/>
    </xf>
    <xf numFmtId="0" fontId="6" fillId="13" borderId="3" xfId="0" applyFont="1" applyFill="1" applyBorder="1" applyAlignment="1" applyProtection="1">
      <alignment horizontal="center" vertical="center"/>
      <protection locked="0"/>
    </xf>
    <xf numFmtId="0" fontId="6" fillId="9" borderId="2" xfId="0" applyFont="1" applyFill="1" applyBorder="1" applyAlignment="1">
      <alignment horizontal="left" vertical="center" shrinkToFit="1"/>
    </xf>
    <xf numFmtId="0" fontId="0" fillId="0" borderId="10" xfId="0" applyBorder="1" applyAlignment="1">
      <alignment horizontal="left" vertical="center" shrinkToFit="1"/>
    </xf>
    <xf numFmtId="0" fontId="0" fillId="0" borderId="3" xfId="0" applyBorder="1" applyAlignment="1">
      <alignment horizontal="left" vertical="center" shrinkToFit="1"/>
    </xf>
    <xf numFmtId="0" fontId="6" fillId="13" borderId="2" xfId="0" applyFont="1" applyFill="1" applyBorder="1" applyAlignment="1" applyProtection="1">
      <alignment horizontal="center" vertical="center" shrinkToFit="1"/>
      <protection locked="0"/>
    </xf>
    <xf numFmtId="0" fontId="6" fillId="13" borderId="10" xfId="0" applyFont="1" applyFill="1" applyBorder="1" applyAlignment="1" applyProtection="1">
      <alignment horizontal="center" vertical="center" shrinkToFit="1"/>
      <protection locked="0"/>
    </xf>
    <xf numFmtId="0" fontId="6" fillId="13" borderId="3" xfId="0" applyFont="1" applyFill="1" applyBorder="1" applyAlignment="1" applyProtection="1">
      <alignment horizontal="center" vertical="center" shrinkToFit="1"/>
      <protection locked="0"/>
    </xf>
    <xf numFmtId="0" fontId="6" fillId="10" borderId="10" xfId="0" applyFont="1" applyFill="1" applyBorder="1" applyAlignment="1">
      <alignment horizontal="left" vertical="center"/>
    </xf>
    <xf numFmtId="0" fontId="6" fillId="10" borderId="10" xfId="0" applyFont="1" applyFill="1" applyBorder="1" applyAlignment="1">
      <alignment horizontal="left" vertical="center" shrinkToFit="1"/>
    </xf>
    <xf numFmtId="0" fontId="6" fillId="10" borderId="3" xfId="0" applyFont="1" applyFill="1" applyBorder="1" applyAlignment="1">
      <alignment horizontal="left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6" fillId="12" borderId="2" xfId="0" applyFont="1" applyFill="1" applyBorder="1" applyAlignment="1" applyProtection="1">
      <alignment horizontal="center" vertical="center"/>
      <protection locked="0"/>
    </xf>
    <xf numFmtId="0" fontId="6" fillId="12" borderId="10" xfId="0" applyFont="1" applyFill="1" applyBorder="1" applyAlignment="1" applyProtection="1">
      <alignment horizontal="center" vertical="center"/>
      <protection locked="0"/>
    </xf>
    <xf numFmtId="0" fontId="6" fillId="12" borderId="3" xfId="0" applyFont="1" applyFill="1" applyBorder="1" applyAlignment="1" applyProtection="1">
      <alignment horizontal="center" vertical="center"/>
      <protection locked="0"/>
    </xf>
    <xf numFmtId="0" fontId="6" fillId="10" borderId="2" xfId="0" applyFont="1" applyFill="1" applyBorder="1" applyAlignment="1" applyProtection="1">
      <alignment horizontal="left" vertical="center"/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10" borderId="3" xfId="0" applyFont="1" applyFill="1" applyBorder="1" applyAlignment="1" applyProtection="1">
      <alignment horizontal="left" vertical="center"/>
      <protection locked="0"/>
    </xf>
    <xf numFmtId="0" fontId="6" fillId="0" borderId="2" xfId="0" applyFont="1" applyFill="1" applyBorder="1" applyAlignment="1" applyProtection="1">
      <alignment horizontal="center" vertical="center" shrinkToFit="1"/>
      <protection locked="0"/>
    </xf>
    <xf numFmtId="0" fontId="6" fillId="0" borderId="10" xfId="0" applyFont="1" applyFill="1" applyBorder="1" applyAlignment="1" applyProtection="1">
      <alignment horizontal="center" vertical="center" shrinkToFit="1"/>
      <protection locked="0"/>
    </xf>
    <xf numFmtId="0" fontId="6" fillId="0" borderId="3" xfId="0" applyFont="1" applyFill="1" applyBorder="1" applyAlignment="1" applyProtection="1">
      <alignment horizontal="center" vertical="center" shrinkToFit="1"/>
      <protection locked="0"/>
    </xf>
    <xf numFmtId="0" fontId="6" fillId="9" borderId="10" xfId="0" applyFont="1" applyFill="1" applyBorder="1" applyAlignment="1">
      <alignment horizontal="left" vertical="center" shrinkToFit="1"/>
    </xf>
    <xf numFmtId="0" fontId="6" fillId="9" borderId="3" xfId="0" applyFont="1" applyFill="1" applyBorder="1" applyAlignment="1">
      <alignment horizontal="left" vertical="center" shrinkToFit="1"/>
    </xf>
    <xf numFmtId="0" fontId="6" fillId="7" borderId="12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177" fontId="19" fillId="12" borderId="1" xfId="0" applyNumberFormat="1" applyFont="1" applyFill="1" applyBorder="1" applyAlignment="1" applyProtection="1">
      <alignment horizontal="center" vertical="center" shrinkToFit="1"/>
      <protection locked="0"/>
    </xf>
    <xf numFmtId="177" fontId="6" fillId="12" borderId="1" xfId="0" applyNumberFormat="1" applyFont="1" applyFill="1" applyBorder="1" applyAlignment="1" applyProtection="1">
      <alignment horizontal="center" vertical="center" shrinkToFit="1"/>
      <protection locked="0"/>
    </xf>
  </cellXfs>
  <cellStyles count="47">
    <cellStyle name="20% - アクセント 1" xfId="21" builtinId="30" customBuiltin="1"/>
    <cellStyle name="20% - アクセント 2" xfId="25" builtinId="34" customBuiltin="1"/>
    <cellStyle name="20% - アクセント 3" xfId="29" builtinId="38" customBuiltin="1"/>
    <cellStyle name="20% - アクセント 4" xfId="33" builtinId="42" customBuiltin="1"/>
    <cellStyle name="20% - アクセント 5" xfId="37" builtinId="46" customBuiltin="1"/>
    <cellStyle name="20% - アクセント 6" xfId="41" builtinId="50" customBuiltin="1"/>
    <cellStyle name="40% - アクセント 1" xfId="22" builtinId="31" customBuiltin="1"/>
    <cellStyle name="40% - アクセント 2" xfId="26" builtinId="35" customBuiltin="1"/>
    <cellStyle name="40% - アクセント 3" xfId="30" builtinId="39" customBuiltin="1"/>
    <cellStyle name="40% - アクセント 4" xfId="34" builtinId="43" customBuiltin="1"/>
    <cellStyle name="40% - アクセント 5" xfId="38" builtinId="47" customBuiltin="1"/>
    <cellStyle name="40% - アクセント 6" xfId="42" builtinId="51" customBuiltin="1"/>
    <cellStyle name="60% - アクセント 1" xfId="23" builtinId="32" customBuiltin="1"/>
    <cellStyle name="60% - アクセント 2" xfId="27" builtinId="36" customBuiltin="1"/>
    <cellStyle name="60% - アクセント 3" xfId="31" builtinId="40" customBuiltin="1"/>
    <cellStyle name="60% - アクセント 4" xfId="35" builtinId="44" customBuiltin="1"/>
    <cellStyle name="60% - アクセント 5" xfId="39" builtinId="48" customBuiltin="1"/>
    <cellStyle name="60% - アクセント 6" xfId="43" builtinId="52" customBuiltin="1"/>
    <cellStyle name="アクセント 1" xfId="20" builtinId="29" customBuiltin="1"/>
    <cellStyle name="アクセント 2" xfId="24" builtinId="33" customBuiltin="1"/>
    <cellStyle name="アクセント 3" xfId="28" builtinId="37" customBuiltin="1"/>
    <cellStyle name="アクセント 4" xfId="32" builtinId="41" customBuiltin="1"/>
    <cellStyle name="アクセント 5" xfId="36" builtinId="45" customBuiltin="1"/>
    <cellStyle name="アクセント 6" xfId="40" builtinId="49" customBuiltin="1"/>
    <cellStyle name="タイトル" xfId="3" builtinId="15" customBuiltin="1"/>
    <cellStyle name="チェック セル" xfId="15" builtinId="23" customBuiltin="1"/>
    <cellStyle name="どちらでもない" xfId="10" builtinId="28" customBuiltin="1"/>
    <cellStyle name="メモ" xfId="17" builtinId="10" customBuiltin="1"/>
    <cellStyle name="リンク セル" xfId="14" builtinId="24" customBuiltin="1"/>
    <cellStyle name="悪い" xfId="9" builtinId="27" customBuiltin="1"/>
    <cellStyle name="計算" xfId="13" builtinId="22" customBuiltin="1"/>
    <cellStyle name="警告文" xfId="16" builtinId="11" customBuiltin="1"/>
    <cellStyle name="桁区切り 2" xfId="45"/>
    <cellStyle name="見出し 1" xfId="4" builtinId="16" customBuiltin="1"/>
    <cellStyle name="見出し 2" xfId="5" builtinId="17" customBuiltin="1"/>
    <cellStyle name="見出し 3" xfId="6" builtinId="18" customBuiltin="1"/>
    <cellStyle name="見出し 4" xfId="7" builtinId="19" customBuiltin="1"/>
    <cellStyle name="集計" xfId="19" builtinId="25" customBuiltin="1"/>
    <cellStyle name="出力" xfId="12" builtinId="21" customBuiltin="1"/>
    <cellStyle name="説明文" xfId="18" builtinId="53" customBuiltin="1"/>
    <cellStyle name="入力" xfId="11" builtinId="20" customBuiltin="1"/>
    <cellStyle name="標準" xfId="0" builtinId="0"/>
    <cellStyle name="標準 2" xfId="1"/>
    <cellStyle name="標準 2 2" xfId="46"/>
    <cellStyle name="標準 2 3" xfId="44"/>
    <cellStyle name="標準_外部一覧" xfId="2"/>
    <cellStyle name="良い" xfId="8" builtinId="26" customBuiltin="1"/>
  </cellStyles>
  <dxfs count="21">
    <dxf>
      <numFmt numFmtId="184" formatCode="#,##0_ ;[Red]\-#,##0\ "/>
    </dxf>
    <dxf>
      <numFmt numFmtId="184" formatCode="#,##0_ ;[Red]\-#,##0\ "/>
    </dxf>
    <dxf>
      <numFmt numFmtId="184" formatCode="#,##0_ ;[Red]\-#,##0\ "/>
    </dxf>
    <dxf>
      <numFmt numFmtId="184" formatCode="#,##0_ ;[Red]\-#,##0\ "/>
    </dxf>
    <dxf>
      <numFmt numFmtId="184" formatCode="#,##0_ ;[Red]\-#,##0\ "/>
    </dxf>
    <dxf>
      <numFmt numFmtId="184" formatCode="#,##0_ ;[Red]\-#,##0\ "/>
    </dxf>
    <dxf>
      <numFmt numFmtId="184" formatCode="#,##0_ ;[Red]\-#,##0\ "/>
    </dxf>
    <dxf>
      <numFmt numFmtId="184" formatCode="#,##0_ ;[Red]\-#,##0\ "/>
    </dxf>
    <dxf>
      <numFmt numFmtId="184" formatCode="#,##0_ ;[Red]\-#,##0\ "/>
    </dxf>
    <dxf>
      <numFmt numFmtId="184" formatCode="#,##0_ ;[Red]\-#,##0\ "/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numFmt numFmtId="184" formatCode="#,##0_ ;[Red]\-#,##0\ "/>
    </dxf>
    <dxf>
      <numFmt numFmtId="184" formatCode="#,##0_ ;[Red]\-#,##0\ "/>
    </dxf>
    <dxf>
      <numFmt numFmtId="184" formatCode="#,##0_ ;[Red]\-#,##0\ "/>
    </dxf>
    <dxf>
      <numFmt numFmtId="184" formatCode="#,##0_ ;[Red]\-#,##0\ "/>
    </dxf>
    <dxf>
      <numFmt numFmtId="184" formatCode="#,##0_ ;[Red]\-#,##0\ "/>
    </dxf>
    <dxf>
      <numFmt numFmtId="184" formatCode="#,##0_ ;[Red]\-#,##0\ "/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UNKB0220_H_MITOTSUGO_STS" lockText="1" noThreeD="1"/>
</file>

<file path=xl/ctrlProps/ctrlProp3.xml><?xml version="1.0" encoding="utf-8"?>
<formControlPr xmlns="http://schemas.microsoft.com/office/spreadsheetml/2009/9/main" objectType="CheckBox" checked="Checked" fmlaLink="UNKB0220_H_TOTSUGOSUMI_STS" lockText="1" noThreeD="1"/>
</file>

<file path=xl/ctrlProps/ctrlProp4.xml><?xml version="1.0" encoding="utf-8"?>
<formControlPr xmlns="http://schemas.microsoft.com/office/spreadsheetml/2009/9/main" objectType="CheckBox" checked="Checked" fmlaLink="UNKB0220_H_KOBAIHIN_KBN" lockText="1" noThreeD="1"/>
</file>

<file path=xl/ctrlProps/ctrlProp5.xml><?xml version="1.0" encoding="utf-8"?>
<formControlPr xmlns="http://schemas.microsoft.com/office/spreadsheetml/2009/9/main" objectType="CheckBox" checked="Checked" fmlaLink="UNKB0220_H_GAICHU_KBN" lockText="1" noThreeD="1"/>
</file>

<file path=xl/ctrlProps/ctrlProp6.xml><?xml version="1.0" encoding="utf-8"?>
<formControlPr xmlns="http://schemas.microsoft.com/office/spreadsheetml/2009/9/main" objectType="CheckBox" checked="Checked" fmlaLink="UNKB0220_H_SHUZEN_KBN" lockText="1" noThreeD="1"/>
</file>

<file path=xl/ctrlProps/ctrlProp7.xml><?xml version="1.0" encoding="utf-8"?>
<formControlPr xmlns="http://schemas.microsoft.com/office/spreadsheetml/2009/9/main" objectType="CheckBox" checked="Checked" fmlaLink="UNKB0220_H_TOSHI_KBN" lockText="1" noThreeD="1"/>
</file>

<file path=xl/ctrlProps/ctrlProp8.xml><?xml version="1.0" encoding="utf-8"?>
<formControlPr xmlns="http://schemas.microsoft.com/office/spreadsheetml/2009/9/main" objectType="CheckBox" checked="Checked" fmlaLink="UNKB0220_H_HANBAI_KBN" lockText="1" noThreeD="1"/>
</file>

<file path=xl/ctrlProps/ctrlProp9.xml><?xml version="1.0" encoding="utf-8"?>
<formControlPr xmlns="http://schemas.microsoft.com/office/spreadsheetml/2009/9/main" objectType="Radio" checked="Checked" firstButton="1" fmlaLink="UNKB0220_H_FREEWD_KBN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UNNH0090_H_MIHAKKO_STS" lockText="1" noThreeD="1"/>
</file>

<file path=xl/ctrlProps/ctrlProp15.xml><?xml version="1.0" encoding="utf-8"?>
<formControlPr xmlns="http://schemas.microsoft.com/office/spreadsheetml/2009/9/main" objectType="CheckBox" checked="Checked" fmlaLink="UNNH0090_H_HAKKOSUMI_STS" lockText="1" noThreeD="1"/>
</file>

<file path=xl/ctrlProps/ctrlProp16.xml><?xml version="1.0" encoding="utf-8"?>
<formControlPr xmlns="http://schemas.microsoft.com/office/spreadsheetml/2009/9/main" objectType="CheckBox" checked="Checked" fmlaLink="UNNH0090_H_SAIHAKKOSUMI_STS" lockText="1" noThreeD="1"/>
</file>

<file path=xl/ctrlProps/ctrlProp17.xml><?xml version="1.0" encoding="utf-8"?>
<formControlPr xmlns="http://schemas.microsoft.com/office/spreadsheetml/2009/9/main" objectType="CheckBox" checked="Checked" fmlaLink="UNNH0090_H_TSUJO_KBN" lockText="1" noThreeD="1"/>
</file>

<file path=xl/ctrlProps/ctrlProp18.xml><?xml version="1.0" encoding="utf-8"?>
<formControlPr xmlns="http://schemas.microsoft.com/office/spreadsheetml/2009/9/main" objectType="CheckBox" checked="Checked" fmlaLink="UNNH0090_H_TEISEI_KBN" lockText="1" noThreeD="1"/>
</file>

<file path=xl/ctrlProps/ctrlProp19.xml><?xml version="1.0" encoding="utf-8"?>
<formControlPr xmlns="http://schemas.microsoft.com/office/spreadsheetml/2009/9/main" objectType="CheckBox" checked="Checked" fmlaLink="UNNH0090_H_AKA_KBN" lockText="1" noThreeD="1"/>
</file>

<file path=xl/ctrlProps/ctrlProp20.xml><?xml version="1.0" encoding="utf-8"?>
<formControlPr xmlns="http://schemas.microsoft.com/office/spreadsheetml/2009/9/main" objectType="CheckBox" checked="Checked" fmlaLink="UNNH0090_H_KURO_KBN" lockText="1" noThreeD="1"/>
</file>

<file path=xl/ctrlProps/ctrlProp21.xml><?xml version="1.0" encoding="utf-8"?>
<formControlPr xmlns="http://schemas.microsoft.com/office/spreadsheetml/2009/9/main" objectType="Radio" checked="Checked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CheckBox" checked="Checked" fmlaLink="UNNH0090_H_KETSUGO_KBN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18</xdr:row>
          <xdr:rowOff>47625</xdr:rowOff>
        </xdr:from>
        <xdr:to>
          <xdr:col>3</xdr:col>
          <xdr:colOff>1619250</xdr:colOff>
          <xdr:row>19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</xdr:row>
          <xdr:rowOff>19050</xdr:rowOff>
        </xdr:from>
        <xdr:to>
          <xdr:col>11</xdr:col>
          <xdr:colOff>180975</xdr:colOff>
          <xdr:row>2</xdr:row>
          <xdr:rowOff>190500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</xdr:row>
          <xdr:rowOff>19050</xdr:rowOff>
        </xdr:from>
        <xdr:to>
          <xdr:col>15</xdr:col>
          <xdr:colOff>180975</xdr:colOff>
          <xdr:row>2</xdr:row>
          <xdr:rowOff>190500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</xdr:row>
          <xdr:rowOff>9525</xdr:rowOff>
        </xdr:from>
        <xdr:to>
          <xdr:col>10</xdr:col>
          <xdr:colOff>152400</xdr:colOff>
          <xdr:row>3</xdr:row>
          <xdr:rowOff>161925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3</xdr:row>
          <xdr:rowOff>9525</xdr:rowOff>
        </xdr:from>
        <xdr:to>
          <xdr:col>15</xdr:col>
          <xdr:colOff>47625</xdr:colOff>
          <xdr:row>3</xdr:row>
          <xdr:rowOff>152400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3</xdr:row>
          <xdr:rowOff>9525</xdr:rowOff>
        </xdr:from>
        <xdr:to>
          <xdr:col>19</xdr:col>
          <xdr:colOff>228600</xdr:colOff>
          <xdr:row>3</xdr:row>
          <xdr:rowOff>161925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76200</xdr:colOff>
          <xdr:row>3</xdr:row>
          <xdr:rowOff>9525</xdr:rowOff>
        </xdr:from>
        <xdr:to>
          <xdr:col>22</xdr:col>
          <xdr:colOff>57150</xdr:colOff>
          <xdr:row>3</xdr:row>
          <xdr:rowOff>171450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76200</xdr:colOff>
          <xdr:row>3</xdr:row>
          <xdr:rowOff>9525</xdr:rowOff>
        </xdr:from>
        <xdr:to>
          <xdr:col>27</xdr:col>
          <xdr:colOff>57150</xdr:colOff>
          <xdr:row>3</xdr:row>
          <xdr:rowOff>171450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228600</xdr:colOff>
          <xdr:row>8</xdr:row>
          <xdr:rowOff>228600</xdr:rowOff>
        </xdr:from>
        <xdr:to>
          <xdr:col>25</xdr:col>
          <xdr:colOff>0</xdr:colOff>
          <xdr:row>10</xdr:row>
          <xdr:rowOff>19050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9</xdr:row>
          <xdr:rowOff>0</xdr:rowOff>
        </xdr:from>
        <xdr:to>
          <xdr:col>26</xdr:col>
          <xdr:colOff>200025</xdr:colOff>
          <xdr:row>10</xdr:row>
          <xdr:rowOff>9525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228600</xdr:colOff>
          <xdr:row>9</xdr:row>
          <xdr:rowOff>0</xdr:rowOff>
        </xdr:from>
        <xdr:to>
          <xdr:col>29</xdr:col>
          <xdr:colOff>95250</xdr:colOff>
          <xdr:row>10</xdr:row>
          <xdr:rowOff>19050</xdr:rowOff>
        </xdr:to>
        <xdr:sp macro="" textlink="">
          <xdr:nvSpPr>
            <xdr:cNvPr id="1035" name="Option 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NAND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5</xdr:row>
          <xdr:rowOff>28575</xdr:rowOff>
        </xdr:from>
        <xdr:to>
          <xdr:col>3</xdr:col>
          <xdr:colOff>238125</xdr:colOff>
          <xdr:row>5</xdr:row>
          <xdr:rowOff>219075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21</xdr:row>
          <xdr:rowOff>47625</xdr:rowOff>
        </xdr:from>
        <xdr:to>
          <xdr:col>3</xdr:col>
          <xdr:colOff>1619250</xdr:colOff>
          <xdr:row>22</xdr:row>
          <xdr:rowOff>142875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</xdr:row>
          <xdr:rowOff>19050</xdr:rowOff>
        </xdr:from>
        <xdr:to>
          <xdr:col>13</xdr:col>
          <xdr:colOff>190500</xdr:colOff>
          <xdr:row>2</xdr:row>
          <xdr:rowOff>190500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2</xdr:row>
          <xdr:rowOff>28575</xdr:rowOff>
        </xdr:from>
        <xdr:to>
          <xdr:col>17</xdr:col>
          <xdr:colOff>190500</xdr:colOff>
          <xdr:row>2</xdr:row>
          <xdr:rowOff>190500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66675</xdr:colOff>
          <xdr:row>2</xdr:row>
          <xdr:rowOff>28575</xdr:rowOff>
        </xdr:from>
        <xdr:to>
          <xdr:col>21</xdr:col>
          <xdr:colOff>190500</xdr:colOff>
          <xdr:row>2</xdr:row>
          <xdr:rowOff>190500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3</xdr:row>
          <xdr:rowOff>9525</xdr:rowOff>
        </xdr:from>
        <xdr:to>
          <xdr:col>13</xdr:col>
          <xdr:colOff>66675</xdr:colOff>
          <xdr:row>3</xdr:row>
          <xdr:rowOff>171450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3</xdr:row>
          <xdr:rowOff>9525</xdr:rowOff>
        </xdr:from>
        <xdr:to>
          <xdr:col>17</xdr:col>
          <xdr:colOff>57150</xdr:colOff>
          <xdr:row>3</xdr:row>
          <xdr:rowOff>171450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66675</xdr:colOff>
          <xdr:row>3</xdr:row>
          <xdr:rowOff>9525</xdr:rowOff>
        </xdr:from>
        <xdr:to>
          <xdr:col>20</xdr:col>
          <xdr:colOff>180975</xdr:colOff>
          <xdr:row>3</xdr:row>
          <xdr:rowOff>171450</xdr:rowOff>
        </xdr:to>
        <xdr:sp macro="" textlink="">
          <xdr:nvSpPr>
            <xdr:cNvPr id="33799" name="Check Box 7" hidden="1">
              <a:extLst>
                <a:ext uri="{63B3BB69-23CF-44E3-9099-C40C66FF867C}">
                  <a14:compatExt spid="_x0000_s33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66675</xdr:colOff>
          <xdr:row>3</xdr:row>
          <xdr:rowOff>9525</xdr:rowOff>
        </xdr:from>
        <xdr:to>
          <xdr:col>24</xdr:col>
          <xdr:colOff>171450</xdr:colOff>
          <xdr:row>3</xdr:row>
          <xdr:rowOff>171450</xdr:rowOff>
        </xdr:to>
        <xdr:sp macro="" textlink="">
          <xdr:nvSpPr>
            <xdr:cNvPr id="33800" name="Check Box 8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228600</xdr:colOff>
          <xdr:row>11</xdr:row>
          <xdr:rowOff>9525</xdr:rowOff>
        </xdr:from>
        <xdr:to>
          <xdr:col>27</xdr:col>
          <xdr:colOff>0</xdr:colOff>
          <xdr:row>12</xdr:row>
          <xdr:rowOff>38100</xdr:rowOff>
        </xdr:to>
        <xdr:sp macro="" textlink="">
          <xdr:nvSpPr>
            <xdr:cNvPr id="33802" name="Option Button 10" hidden="1">
              <a:extLst>
                <a:ext uri="{63B3BB69-23CF-44E3-9099-C40C66FF867C}">
                  <a14:compatExt spid="_x0000_s33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11</xdr:row>
          <xdr:rowOff>19050</xdr:rowOff>
        </xdr:from>
        <xdr:to>
          <xdr:col>28</xdr:col>
          <xdr:colOff>200025</xdr:colOff>
          <xdr:row>12</xdr:row>
          <xdr:rowOff>28575</xdr:rowOff>
        </xdr:to>
        <xdr:sp macro="" textlink="">
          <xdr:nvSpPr>
            <xdr:cNvPr id="33803" name="Option Button 11" hidden="1">
              <a:extLst>
                <a:ext uri="{63B3BB69-23CF-44E3-9099-C40C66FF867C}">
                  <a14:compatExt spid="_x0000_s33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228600</xdr:colOff>
          <xdr:row>11</xdr:row>
          <xdr:rowOff>19050</xdr:rowOff>
        </xdr:from>
        <xdr:to>
          <xdr:col>31</xdr:col>
          <xdr:colOff>95250</xdr:colOff>
          <xdr:row>12</xdr:row>
          <xdr:rowOff>38100</xdr:rowOff>
        </xdr:to>
        <xdr:sp macro="" textlink="">
          <xdr:nvSpPr>
            <xdr:cNvPr id="33804" name="Option Button 12" hidden="1">
              <a:extLst>
                <a:ext uri="{63B3BB69-23CF-44E3-9099-C40C66FF867C}">
                  <a14:compatExt spid="_x0000_s33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66675</xdr:colOff>
          <xdr:row>3</xdr:row>
          <xdr:rowOff>9525</xdr:rowOff>
        </xdr:from>
        <xdr:to>
          <xdr:col>28</xdr:col>
          <xdr:colOff>171450</xdr:colOff>
          <xdr:row>3</xdr:row>
          <xdr:rowOff>171450</xdr:rowOff>
        </xdr:to>
        <xdr:sp macro="" textlink="">
          <xdr:nvSpPr>
            <xdr:cNvPr id="33805" name="Check Box 13" hidden="1">
              <a:extLst>
                <a:ext uri="{63B3BB69-23CF-44E3-9099-C40C66FF867C}">
                  <a14:compatExt spid="_x0000_s33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5</xdr:row>
          <xdr:rowOff>28575</xdr:rowOff>
        </xdr:from>
        <xdr:to>
          <xdr:col>3</xdr:col>
          <xdr:colOff>247650</xdr:colOff>
          <xdr:row>5</xdr:row>
          <xdr:rowOff>219075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3</xdr:row>
          <xdr:rowOff>390525</xdr:rowOff>
        </xdr:from>
        <xdr:to>
          <xdr:col>6</xdr:col>
          <xdr:colOff>38100</xdr:colOff>
          <xdr:row>6</xdr:row>
          <xdr:rowOff>95250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保護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3</xdr:row>
          <xdr:rowOff>390525</xdr:rowOff>
        </xdr:from>
        <xdr:to>
          <xdr:col>7</xdr:col>
          <xdr:colOff>371475</xdr:colOff>
          <xdr:row>6</xdr:row>
          <xdr:rowOff>104775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保護解除1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2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13" Type="http://schemas.openxmlformats.org/officeDocument/2006/relationships/ctrlProp" Target="../ctrlProps/ctrlProp2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5" Type="http://schemas.openxmlformats.org/officeDocument/2006/relationships/ctrlProp" Target="../ctrlProps/ctrlProp2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2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7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>
    <tabColor rgb="FFFFC000"/>
  </sheetPr>
  <dimension ref="A1:I7"/>
  <sheetViews>
    <sheetView showGridLines="0" showRowColHeaders="0" tabSelected="1" topLeftCell="F1" workbookViewId="0">
      <selection sqref="A1:E1"/>
    </sheetView>
  </sheetViews>
  <sheetFormatPr defaultRowHeight="16.5"/>
  <cols>
    <col min="1" max="2" width="9" style="67" hidden="1" customWidth="1"/>
    <col min="3" max="3" width="27.625" style="67" hidden="1" customWidth="1"/>
    <col min="4" max="4" width="10.625" style="67" hidden="1" customWidth="1"/>
    <col min="5" max="5" width="9" style="67" hidden="1" customWidth="1"/>
    <col min="6" max="6" width="7" style="47" customWidth="1"/>
    <col min="7" max="7" width="11.375" style="47" bestFit="1" customWidth="1"/>
    <col min="8" max="8" width="21.875" style="47" bestFit="1" customWidth="1"/>
    <col min="9" max="9" width="11.375" style="47" bestFit="1" customWidth="1"/>
    <col min="10" max="19" width="4.75" style="47" customWidth="1"/>
    <col min="20" max="16384" width="9" style="47"/>
  </cols>
  <sheetData>
    <row r="1" spans="1:9" s="45" customFormat="1" ht="19.5">
      <c r="A1" s="157"/>
      <c r="B1" s="157"/>
      <c r="C1" s="157"/>
      <c r="D1" s="157"/>
      <c r="E1" s="157"/>
      <c r="F1" s="45" t="s">
        <v>1724</v>
      </c>
    </row>
    <row r="2" spans="1:9">
      <c r="B2" s="158" t="s">
        <v>1731</v>
      </c>
      <c r="C2" s="158" t="s">
        <v>1733</v>
      </c>
      <c r="D2" s="158"/>
    </row>
    <row r="3" spans="1:9">
      <c r="B3" s="158" t="s">
        <v>1732</v>
      </c>
      <c r="C3" s="158" t="s">
        <v>1734</v>
      </c>
      <c r="D3" s="158" t="str">
        <f>ADDRESS(ROW(A1),COLUMN(A1))&amp;":"&amp;ADDRESS(ROW(E1),COLUMN(E1))</f>
        <v>$A$1:$E$1</v>
      </c>
    </row>
    <row r="4" spans="1:9">
      <c r="G4" s="155" t="s">
        <v>1725</v>
      </c>
      <c r="H4" s="155" t="s">
        <v>1726</v>
      </c>
      <c r="I4" s="155" t="s">
        <v>1727</v>
      </c>
    </row>
    <row r="5" spans="1:9">
      <c r="G5" s="156" t="s">
        <v>1728</v>
      </c>
      <c r="H5" s="159"/>
      <c r="I5" s="160"/>
    </row>
    <row r="6" spans="1:9">
      <c r="G6" s="156" t="s">
        <v>1729</v>
      </c>
      <c r="H6" s="159"/>
      <c r="I6" s="160"/>
    </row>
    <row r="7" spans="1:9">
      <c r="G7" s="156" t="s">
        <v>1730</v>
      </c>
      <c r="H7" s="159"/>
      <c r="I7" s="160"/>
    </row>
  </sheetData>
  <sheetProtection sheet="1" objects="1" scenarios="1" selectLockedCells="1"/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B2:H22"/>
  <sheetViews>
    <sheetView workbookViewId="0">
      <selection activeCell="F16" sqref="F16"/>
    </sheetView>
  </sheetViews>
  <sheetFormatPr defaultRowHeight="15" customHeight="1"/>
  <cols>
    <col min="2" max="2" width="3.25" customWidth="1"/>
    <col min="6" max="6" width="30.5" customWidth="1"/>
    <col min="7" max="7" width="5.875" customWidth="1"/>
    <col min="8" max="8" width="44.125" bestFit="1" customWidth="1"/>
  </cols>
  <sheetData>
    <row r="2" spans="2:8" ht="15" customHeight="1">
      <c r="B2" s="198" t="s">
        <v>1728</v>
      </c>
      <c r="C2" s="199"/>
      <c r="D2" s="199"/>
      <c r="E2" s="200"/>
      <c r="F2" s="10"/>
      <c r="G2" s="10"/>
      <c r="H2" s="11" t="s">
        <v>1735</v>
      </c>
    </row>
    <row r="3" spans="2:8" ht="15" customHeight="1">
      <c r="B3" s="194" t="s">
        <v>1745</v>
      </c>
      <c r="C3" s="195"/>
      <c r="D3" s="195"/>
      <c r="E3" s="196"/>
      <c r="F3" s="12" t="str">
        <f>F4&amp;F5</f>
        <v>SELECT SHOHIN_MASTER_LINK_DATE_TIME
  FROM M_CONTROL
 WHERE CTRL_KEY = 1</v>
      </c>
      <c r="G3" s="12"/>
      <c r="H3" s="13" t="s">
        <v>1748</v>
      </c>
    </row>
    <row r="4" spans="2:8" ht="15" customHeight="1">
      <c r="B4" s="14"/>
      <c r="C4" s="197" t="s">
        <v>369</v>
      </c>
      <c r="D4" s="197"/>
      <c r="E4" s="197"/>
      <c r="F4" s="161" t="s">
        <v>1751</v>
      </c>
      <c r="G4" s="122"/>
      <c r="H4" s="15"/>
    </row>
    <row r="5" spans="2:8" ht="15" customHeight="1">
      <c r="B5" s="14"/>
      <c r="C5" s="191" t="s">
        <v>372</v>
      </c>
      <c r="D5" s="192"/>
      <c r="E5" s="193"/>
      <c r="F5" s="20" t="s">
        <v>1736</v>
      </c>
      <c r="G5" s="122"/>
      <c r="H5" s="15"/>
    </row>
    <row r="6" spans="2:8" ht="15" customHeight="1">
      <c r="B6" s="194" t="s">
        <v>1737</v>
      </c>
      <c r="C6" s="195"/>
      <c r="D6" s="195"/>
      <c r="E6" s="196"/>
      <c r="F6" s="12" t="str">
        <f>F7&amp;F8</f>
        <v>SELECT COUNT(*) AS CNT
  FROM M_SHOHIN
 WHERE CONVERT(DATETIME2,SUBSTRING(DBS_UPDATE_DATE,3,19)) &gt; ISNULL(LINK_DATETIME,'')</v>
      </c>
      <c r="G6" s="12"/>
      <c r="H6" s="13" t="s">
        <v>1740</v>
      </c>
    </row>
    <row r="7" spans="2:8" ht="15" customHeight="1">
      <c r="B7" s="14"/>
      <c r="C7" s="197" t="s">
        <v>369</v>
      </c>
      <c r="D7" s="197"/>
      <c r="E7" s="197"/>
      <c r="F7" s="16" t="s">
        <v>1743</v>
      </c>
      <c r="G7" s="122"/>
      <c r="H7" s="15"/>
    </row>
    <row r="8" spans="2:8" ht="15" customHeight="1">
      <c r="B8" s="130"/>
      <c r="C8" s="191" t="s">
        <v>372</v>
      </c>
      <c r="D8" s="192"/>
      <c r="E8" s="193"/>
      <c r="F8" s="16" t="s">
        <v>1804</v>
      </c>
      <c r="G8" s="122"/>
      <c r="H8" s="15"/>
    </row>
    <row r="9" spans="2:8" ht="15" customHeight="1">
      <c r="B9" s="198" t="s">
        <v>1729</v>
      </c>
      <c r="C9" s="199"/>
      <c r="D9" s="199"/>
      <c r="E9" s="200"/>
      <c r="F9" s="10"/>
      <c r="G9" s="10"/>
      <c r="H9" s="11" t="s">
        <v>1735</v>
      </c>
    </row>
    <row r="10" spans="2:8" ht="15" customHeight="1">
      <c r="B10" s="194" t="s">
        <v>1746</v>
      </c>
      <c r="C10" s="195"/>
      <c r="D10" s="195"/>
      <c r="E10" s="196"/>
      <c r="F10" s="12" t="str">
        <f>F11&amp;F12</f>
        <v>SELECT SEIKYU_MASTER_LINK_DATE_TIME
  FROM M_CONTROL
 WHERE CTRL_KEY = 1</v>
      </c>
      <c r="G10" s="12"/>
      <c r="H10" s="13" t="s">
        <v>1749</v>
      </c>
    </row>
    <row r="11" spans="2:8" ht="15" customHeight="1">
      <c r="B11" s="14"/>
      <c r="C11" s="197" t="s">
        <v>369</v>
      </c>
      <c r="D11" s="197"/>
      <c r="E11" s="197"/>
      <c r="F11" s="161" t="s">
        <v>1752</v>
      </c>
      <c r="G11" s="122"/>
      <c r="H11" s="15"/>
    </row>
    <row r="12" spans="2:8" ht="15" customHeight="1">
      <c r="B12" s="14"/>
      <c r="C12" s="191" t="s">
        <v>372</v>
      </c>
      <c r="D12" s="192"/>
      <c r="E12" s="193"/>
      <c r="F12" s="20" t="s">
        <v>1736</v>
      </c>
      <c r="G12" s="122"/>
      <c r="H12" s="15"/>
    </row>
    <row r="13" spans="2:8" ht="15" customHeight="1">
      <c r="B13" s="194" t="s">
        <v>1738</v>
      </c>
      <c r="C13" s="195"/>
      <c r="D13" s="195"/>
      <c r="E13" s="196"/>
      <c r="F13" s="12" t="str">
        <f>F14&amp;F15</f>
        <v>SELECT COUNT(*) AS CNT
  FROM M_AITESAKI
 WHERE SEIKYU_FLG = 'True'
   AND CONVERT(DATETIME2,SUBSTRING(DBS_UPDATE_DATE,3,19)) &gt; ISNULL(LINK_DATETIME,'')</v>
      </c>
      <c r="G13" s="12"/>
      <c r="H13" s="13" t="s">
        <v>1741</v>
      </c>
    </row>
    <row r="14" spans="2:8" ht="15" customHeight="1">
      <c r="B14" s="14"/>
      <c r="C14" s="197" t="s">
        <v>369</v>
      </c>
      <c r="D14" s="197"/>
      <c r="E14" s="197"/>
      <c r="F14" s="16" t="s">
        <v>1744</v>
      </c>
      <c r="G14" s="122"/>
      <c r="H14" s="15"/>
    </row>
    <row r="15" spans="2:8" ht="15" customHeight="1">
      <c r="B15" s="130"/>
      <c r="C15" s="191" t="s">
        <v>372</v>
      </c>
      <c r="D15" s="192"/>
      <c r="E15" s="193"/>
      <c r="F15" s="16" t="s">
        <v>1805</v>
      </c>
      <c r="G15" s="122"/>
      <c r="H15" s="15"/>
    </row>
    <row r="16" spans="2:8" ht="15" customHeight="1">
      <c r="B16" s="198" t="s">
        <v>1730</v>
      </c>
      <c r="C16" s="199"/>
      <c r="D16" s="199"/>
      <c r="E16" s="200"/>
      <c r="F16" s="10"/>
      <c r="G16" s="10"/>
      <c r="H16" s="11" t="s">
        <v>1735</v>
      </c>
    </row>
    <row r="17" spans="2:8" ht="15" customHeight="1">
      <c r="B17" s="194" t="s">
        <v>1747</v>
      </c>
      <c r="C17" s="195"/>
      <c r="D17" s="195"/>
      <c r="E17" s="196"/>
      <c r="F17" s="12" t="str">
        <f>F18&amp;F19</f>
        <v>SELECT SHIIRE_MASTER_LINK_DATE_TIME
  FROM M_CONTROL
 WHERE CTRL_KEY = 1</v>
      </c>
      <c r="G17" s="12"/>
      <c r="H17" s="13" t="s">
        <v>1750</v>
      </c>
    </row>
    <row r="18" spans="2:8" ht="15" customHeight="1">
      <c r="B18" s="14"/>
      <c r="C18" s="197" t="s">
        <v>369</v>
      </c>
      <c r="D18" s="197"/>
      <c r="E18" s="197"/>
      <c r="F18" s="161" t="s">
        <v>1753</v>
      </c>
      <c r="G18" s="122"/>
      <c r="H18" s="15"/>
    </row>
    <row r="19" spans="2:8" ht="15" customHeight="1">
      <c r="B19" s="14"/>
      <c r="C19" s="191" t="s">
        <v>372</v>
      </c>
      <c r="D19" s="192"/>
      <c r="E19" s="193"/>
      <c r="F19" s="20" t="s">
        <v>1736</v>
      </c>
      <c r="G19" s="122"/>
      <c r="H19" s="15"/>
    </row>
    <row r="20" spans="2:8" ht="15" customHeight="1">
      <c r="B20" s="194" t="s">
        <v>1739</v>
      </c>
      <c r="C20" s="195"/>
      <c r="D20" s="195"/>
      <c r="E20" s="196"/>
      <c r="F20" s="12" t="str">
        <f>F21&amp;F22</f>
        <v xml:space="preserve">SELECT COUNT(*) AS CNT
  FROM M_AITESAKI
 WHERE SHIRE_FLG = 'True'
   AND CONVERT(DATETIME2,SUBSTRING(DBS_UPDATE_DATE,3,19)) &gt; ISNULL(LINK_DATETIME,'')
</v>
      </c>
      <c r="G20" s="12"/>
      <c r="H20" s="13" t="s">
        <v>1742</v>
      </c>
    </row>
    <row r="21" spans="2:8" ht="15" customHeight="1">
      <c r="B21" s="14"/>
      <c r="C21" s="197" t="s">
        <v>369</v>
      </c>
      <c r="D21" s="197"/>
      <c r="E21" s="197"/>
      <c r="F21" s="16" t="s">
        <v>1744</v>
      </c>
      <c r="G21" s="122"/>
      <c r="H21" s="15"/>
    </row>
    <row r="22" spans="2:8" ht="15" customHeight="1">
      <c r="B22" s="130"/>
      <c r="C22" s="191" t="s">
        <v>372</v>
      </c>
      <c r="D22" s="192"/>
      <c r="E22" s="193"/>
      <c r="F22" s="16" t="s">
        <v>1806</v>
      </c>
      <c r="G22" s="122"/>
      <c r="H22" s="15"/>
    </row>
  </sheetData>
  <mergeCells count="21">
    <mergeCell ref="B2:E2"/>
    <mergeCell ref="B3:E3"/>
    <mergeCell ref="C4:E4"/>
    <mergeCell ref="C5:E5"/>
    <mergeCell ref="C7:E7"/>
    <mergeCell ref="C19:E19"/>
    <mergeCell ref="B9:E9"/>
    <mergeCell ref="B16:E16"/>
    <mergeCell ref="C21:E21"/>
    <mergeCell ref="C22:E22"/>
    <mergeCell ref="B20:E20"/>
    <mergeCell ref="B10:E10"/>
    <mergeCell ref="C11:E11"/>
    <mergeCell ref="C12:E12"/>
    <mergeCell ref="B17:E17"/>
    <mergeCell ref="C18:E18"/>
    <mergeCell ref="C8:E8"/>
    <mergeCell ref="B6:E6"/>
    <mergeCell ref="B13:E13"/>
    <mergeCell ref="C14:E14"/>
    <mergeCell ref="C15:E15"/>
  </mergeCells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8" tint="0.79998168889431442"/>
  </sheetPr>
  <dimension ref="B4:J6"/>
  <sheetViews>
    <sheetView workbookViewId="0">
      <selection activeCell="B18" sqref="B18"/>
    </sheetView>
  </sheetViews>
  <sheetFormatPr defaultRowHeight="13.5"/>
  <cols>
    <col min="2" max="2" width="24.875" customWidth="1"/>
  </cols>
  <sheetData>
    <row r="4" spans="2:10" s="2" customFormat="1" ht="43.5" customHeight="1">
      <c r="B4" s="1" t="s">
        <v>365</v>
      </c>
      <c r="D4" s="3" t="s">
        <v>0</v>
      </c>
      <c r="E4" s="4" t="s">
        <v>1754</v>
      </c>
      <c r="F4" s="3" t="s">
        <v>1</v>
      </c>
      <c r="G4" s="4" t="s">
        <v>1808</v>
      </c>
      <c r="H4" s="3" t="s">
        <v>2</v>
      </c>
      <c r="I4" s="201" t="s">
        <v>1817</v>
      </c>
      <c r="J4" s="202"/>
    </row>
    <row r="6" spans="2:10">
      <c r="D6" s="43" t="s">
        <v>936</v>
      </c>
      <c r="E6" s="203">
        <v>1</v>
      </c>
      <c r="F6" s="203"/>
    </row>
  </sheetData>
  <mergeCells count="2">
    <mergeCell ref="I4:J4"/>
    <mergeCell ref="E6:F6"/>
  </mergeCells>
  <phoneticPr fontId="2"/>
  <dataValidations count="1">
    <dataValidation imeMode="off" allowBlank="1" showInputMessage="1" showErrorMessage="1" sqref="B4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79998168889431442"/>
  </sheetPr>
  <dimension ref="A1:E2"/>
  <sheetViews>
    <sheetView workbookViewId="0">
      <selection activeCell="E31" sqref="E31"/>
    </sheetView>
  </sheetViews>
  <sheetFormatPr defaultRowHeight="13.5"/>
  <cols>
    <col min="1" max="1" width="17.625" style="9" customWidth="1"/>
    <col min="2" max="2" width="19.375" style="9" customWidth="1"/>
    <col min="3" max="3" width="12.5" style="9" customWidth="1"/>
    <col min="4" max="4" width="14.25" style="9" customWidth="1"/>
    <col min="5" max="5" width="17.625" style="9" customWidth="1"/>
    <col min="6" max="16384" width="9" style="9"/>
  </cols>
  <sheetData>
    <row r="1" spans="1:5" s="2" customFormat="1" ht="21.75" customHeight="1">
      <c r="A1" s="5" t="s">
        <v>350</v>
      </c>
      <c r="B1" s="5" t="s">
        <v>351</v>
      </c>
      <c r="C1" s="5" t="s">
        <v>352</v>
      </c>
      <c r="D1" s="5" t="s">
        <v>353</v>
      </c>
      <c r="E1" s="5" t="s">
        <v>354</v>
      </c>
    </row>
    <row r="2" spans="1:5">
      <c r="A2" s="8"/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"/>
  <sheetViews>
    <sheetView workbookViewId="0">
      <selection activeCell="B10" sqref="B10"/>
    </sheetView>
  </sheetViews>
  <sheetFormatPr defaultRowHeight="13.5"/>
  <cols>
    <col min="1" max="1" width="17" style="9" customWidth="1"/>
    <col min="2" max="2" width="33.5" style="9" customWidth="1"/>
    <col min="3" max="16384" width="9" style="9"/>
  </cols>
  <sheetData>
    <row r="1" spans="1:7" ht="24" customHeight="1">
      <c r="A1" s="33" t="s">
        <v>928</v>
      </c>
      <c r="B1" s="34" t="s">
        <v>1807</v>
      </c>
      <c r="D1" s="33" t="s">
        <v>935</v>
      </c>
      <c r="E1" s="204" t="str">
        <f>ADDRESS(ROW(UNRD0010_IF_BUMON_MASTER_START),COLUMN(UNRD0010_IF_BUMON_MASTER_START))&amp;":"&amp;
ADDRESS(ROW(UNRD0010_IF_BUMON_MASTER_START)+UNRD0010_IF_BUMON_MASTER_KENSU,COLUMN(UNRD0010_IF_BUMON_MASTER_START)+1)</f>
        <v>$A$3:$B$3</v>
      </c>
      <c r="F1" s="204"/>
      <c r="G1" s="204"/>
    </row>
    <row r="2" spans="1:7" ht="26.25" customHeight="1">
      <c r="A2" s="5" t="s">
        <v>350</v>
      </c>
      <c r="B2" s="5" t="s">
        <v>351</v>
      </c>
      <c r="D2" s="33" t="s">
        <v>1768</v>
      </c>
      <c r="E2" s="205">
        <v>42611.680555555555</v>
      </c>
      <c r="F2" s="205"/>
      <c r="G2" s="205"/>
    </row>
    <row r="3" spans="1:7">
      <c r="A3" s="8"/>
    </row>
  </sheetData>
  <mergeCells count="2">
    <mergeCell ref="E1:G1"/>
    <mergeCell ref="E2:G2"/>
  </mergeCells>
  <phoneticPr fontId="2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6:H27"/>
  <sheetViews>
    <sheetView workbookViewId="0">
      <selection activeCell="F14" sqref="F14"/>
    </sheetView>
  </sheetViews>
  <sheetFormatPr defaultRowHeight="13.5"/>
  <cols>
    <col min="1" max="1" width="18.875" customWidth="1"/>
    <col min="2" max="2" width="4.375" customWidth="1"/>
    <col min="3" max="3" width="4" customWidth="1"/>
    <col min="4" max="4" width="4.75" customWidth="1"/>
    <col min="5" max="5" width="23.375" customWidth="1"/>
    <col min="6" max="6" width="96.375" customWidth="1"/>
    <col min="7" max="7" width="7.5" customWidth="1"/>
    <col min="8" max="8" width="26.875" customWidth="1"/>
  </cols>
  <sheetData>
    <row r="6" spans="2:8" ht="16.5">
      <c r="B6" s="198" t="s">
        <v>366</v>
      </c>
      <c r="C6" s="199"/>
      <c r="D6" s="199"/>
      <c r="E6" s="200"/>
      <c r="F6" s="10"/>
      <c r="G6" s="10"/>
      <c r="H6" s="11" t="s">
        <v>367</v>
      </c>
    </row>
    <row r="7" spans="2:8" ht="30.75" customHeight="1">
      <c r="B7" s="194" t="s">
        <v>368</v>
      </c>
      <c r="C7" s="195"/>
      <c r="D7" s="195"/>
      <c r="E7" s="196"/>
      <c r="F7" s="12" t="str">
        <f>F8 &amp; F9 &amp;F10 &amp; F12</f>
        <v>SELECT
    M_MEISHO_B.MEISHO_CD
    ,M_MEISHO_B.DATA_1  FROM M_MEISHO_B
 GROUP BY MEISHO_CD,DATA_1,MEISHO_KBN HAVING (1=1)
  AND (1!= 1 OR M_MEISHO_B.MEISHO_KBN = 'K033'   OR M_MEISHO_B.MEISHO_KBN = 'K036'  )
  AND MAX(CONVERT(DATETIME, SUBSTRING(M_MEISHO_B.DBS_UPDATE_DATE,3,19) , 120)) &gt; '2016/08/29 16:20:00'</v>
      </c>
      <c r="G7" s="12"/>
      <c r="H7" s="13" t="s">
        <v>379</v>
      </c>
    </row>
    <row r="8" spans="2:8" ht="36.75" customHeight="1">
      <c r="B8" s="14"/>
      <c r="C8" s="197" t="s">
        <v>369</v>
      </c>
      <c r="D8" s="197"/>
      <c r="E8" s="197"/>
      <c r="F8" s="16" t="s">
        <v>1811</v>
      </c>
      <c r="G8" s="16"/>
      <c r="H8" s="15"/>
    </row>
    <row r="9" spans="2:8" ht="32.25" customHeight="1">
      <c r="B9" s="14"/>
      <c r="C9" s="197" t="s">
        <v>370</v>
      </c>
      <c r="D9" s="197"/>
      <c r="E9" s="197"/>
      <c r="F9" s="16" t="s">
        <v>385</v>
      </c>
      <c r="G9" s="16"/>
      <c r="H9" s="15"/>
    </row>
    <row r="10" spans="2:8" ht="32.25" customHeight="1">
      <c r="B10" s="14"/>
      <c r="C10" s="191" t="s">
        <v>1794</v>
      </c>
      <c r="D10" s="192"/>
      <c r="E10" s="193"/>
      <c r="F10" s="16" t="s">
        <v>1795</v>
      </c>
      <c r="G10" s="16"/>
      <c r="H10" s="15"/>
    </row>
    <row r="11" spans="2:8" ht="16.5">
      <c r="B11" s="194" t="s">
        <v>371</v>
      </c>
      <c r="C11" s="195"/>
      <c r="D11" s="195"/>
      <c r="E11" s="196"/>
      <c r="F11" s="12"/>
      <c r="G11" s="12"/>
      <c r="H11" s="13"/>
    </row>
    <row r="12" spans="2:8" ht="29.25" customHeight="1">
      <c r="B12" s="14"/>
      <c r="C12" s="197" t="s">
        <v>372</v>
      </c>
      <c r="D12" s="197"/>
      <c r="E12" s="197"/>
      <c r="F12" s="16" t="str">
        <f>" HAVING (1=1)
" &amp;F13&amp;F16</f>
        <v xml:space="preserve"> HAVING (1=1)
  AND (1!= 1 OR M_MEISHO_B.MEISHO_KBN = 'K033'   OR M_MEISHO_B.MEISHO_KBN = 'K036'  )
  AND MAX(CONVERT(DATETIME, SUBSTRING(M_MEISHO_B.DBS_UPDATE_DATE,3,19) , 120)) &gt; '2016/08/29 16:20:00'</v>
      </c>
      <c r="G12" s="16"/>
      <c r="H12" s="15"/>
    </row>
    <row r="13" spans="2:8" ht="27.75" customHeight="1">
      <c r="B13" s="14"/>
      <c r="C13" s="17"/>
      <c r="D13" s="206" t="s">
        <v>378</v>
      </c>
      <c r="E13" s="193"/>
      <c r="F13" s="16" t="str">
        <f>"  AND (1!= 1"
   &amp;F14&amp;F15
&amp; ")"</f>
        <v xml:space="preserve">  AND (1!= 1 OR M_MEISHO_B.MEISHO_KBN = 'K033'   OR M_MEISHO_B.MEISHO_KBN = 'K036'  )</v>
      </c>
      <c r="G13" s="16"/>
      <c r="H13" s="15"/>
    </row>
    <row r="14" spans="2:8" s="167" customFormat="1" ht="27.75" customHeight="1">
      <c r="B14" s="14"/>
      <c r="C14" s="17"/>
      <c r="D14" s="40"/>
      <c r="E14" s="168" t="s">
        <v>1809</v>
      </c>
      <c r="F14" s="16" t="s">
        <v>1812</v>
      </c>
      <c r="G14" s="16"/>
      <c r="H14" s="15"/>
    </row>
    <row r="15" spans="2:8" s="167" customFormat="1" ht="27.75" customHeight="1">
      <c r="B15" s="14"/>
      <c r="C15" s="17"/>
      <c r="D15" s="42"/>
      <c r="E15" s="168" t="s">
        <v>1810</v>
      </c>
      <c r="F15" s="16" t="s">
        <v>1813</v>
      </c>
      <c r="G15" s="16"/>
      <c r="H15" s="15"/>
    </row>
    <row r="16" spans="2:8" ht="27.75" customHeight="1">
      <c r="B16" s="18"/>
      <c r="C16" s="19"/>
      <c r="D16" s="191" t="s">
        <v>404</v>
      </c>
      <c r="E16" s="193"/>
      <c r="F16" s="16" t="str">
        <f>IF(G16,"
  AND MAX(CONVERT(DATETIME, SUBSTRING(M_MEISHO_B.DBS_UPDATE_DATE,3,19) , 120)) &gt; '"&amp;TEXT(UNRD0010_IF_BUMON_MASTER_RENDO_DATETIME,"YYYY/MM/DD hh:mm:ss") &amp; "'","")</f>
        <v xml:space="preserve">
  AND MAX(CONVERT(DATETIME, SUBSTRING(M_MEISHO_B.DBS_UPDATE_DATE,3,19) , 120)) &gt; '2016/08/29 16:20:00'</v>
      </c>
      <c r="G16" s="16" t="b">
        <f>NOT(ISBLANK(UNRD0010_IF_BUMON_MASTER_RENDO_DATETIME))</f>
        <v>1</v>
      </c>
      <c r="H16" s="15"/>
    </row>
    <row r="17" spans="2:8" ht="40.5" customHeight="1">
      <c r="B17" s="194" t="s">
        <v>1764</v>
      </c>
      <c r="C17" s="195"/>
      <c r="D17" s="195"/>
      <c r="E17" s="196"/>
      <c r="F17" s="12" t="str">
        <f>F18 &amp; F19 &amp; F21</f>
        <v>SELECT 
     LINK_DATE_TIME
  FROM M_LINK_DATETIME WHERE LINK_CD = 1</v>
      </c>
      <c r="G17" s="12"/>
      <c r="H17" s="13" t="s">
        <v>1767</v>
      </c>
    </row>
    <row r="18" spans="2:8" ht="29.25" customHeight="1">
      <c r="B18" s="14"/>
      <c r="C18" s="197" t="s">
        <v>369</v>
      </c>
      <c r="D18" s="197"/>
      <c r="E18" s="197"/>
      <c r="F18" s="161" t="s">
        <v>1765</v>
      </c>
      <c r="G18" s="161"/>
      <c r="H18" s="15"/>
    </row>
    <row r="19" spans="2:8" ht="16.5">
      <c r="B19" s="14"/>
      <c r="C19" s="197" t="s">
        <v>370</v>
      </c>
      <c r="D19" s="197"/>
      <c r="E19" s="197"/>
      <c r="F19" s="16" t="s">
        <v>1769</v>
      </c>
      <c r="G19" s="16"/>
      <c r="H19" s="15"/>
    </row>
    <row r="20" spans="2:8" ht="16.5">
      <c r="B20" s="194" t="s">
        <v>371</v>
      </c>
      <c r="C20" s="195"/>
      <c r="D20" s="195"/>
      <c r="E20" s="196"/>
      <c r="F20" s="12"/>
      <c r="G20" s="12"/>
      <c r="H20" s="13"/>
    </row>
    <row r="21" spans="2:8" ht="16.5">
      <c r="B21" s="18"/>
      <c r="C21" s="207" t="s">
        <v>372</v>
      </c>
      <c r="D21" s="207"/>
      <c r="E21" s="207"/>
      <c r="F21" s="16" t="s">
        <v>1766</v>
      </c>
      <c r="G21" s="16"/>
      <c r="H21" s="15"/>
    </row>
    <row r="23" spans="2:8" ht="16.5">
      <c r="B23" s="198" t="s">
        <v>413</v>
      </c>
      <c r="C23" s="199"/>
      <c r="D23" s="199"/>
      <c r="E23" s="200"/>
      <c r="F23" s="10"/>
      <c r="G23" s="10"/>
      <c r="H23" s="11" t="s">
        <v>367</v>
      </c>
    </row>
    <row r="24" spans="2:8" ht="49.5">
      <c r="B24" s="194" t="s">
        <v>1770</v>
      </c>
      <c r="C24" s="195"/>
      <c r="D24" s="195"/>
      <c r="E24" s="196"/>
      <c r="F24" s="12" t="str">
        <f ca="1">F25 &amp;F26 &amp; F27</f>
        <v>UPDATE M_LINK_DATETIME
      SET     M_LINK_DATETIME.LINK_DATE_TIME = '2017/07/10 10:48:29'
 WHERE M_LINK_DATETIME.LINK_CD = 1</v>
      </c>
      <c r="G24" s="12"/>
      <c r="H24" s="13" t="s">
        <v>1773</v>
      </c>
    </row>
    <row r="25" spans="2:8" ht="33">
      <c r="B25" s="14"/>
      <c r="C25" s="197" t="s">
        <v>414</v>
      </c>
      <c r="D25" s="197"/>
      <c r="E25" s="197"/>
      <c r="F25" s="16" t="s">
        <v>1771</v>
      </c>
      <c r="G25" s="16"/>
      <c r="H25" s="15"/>
    </row>
    <row r="26" spans="2:8" ht="16.5">
      <c r="B26" s="14"/>
      <c r="C26" s="206" t="s">
        <v>415</v>
      </c>
      <c r="D26" s="192"/>
      <c r="E26" s="193"/>
      <c r="F26" s="16" t="str">
        <f ca="1">"    M_LINK_DATETIME.LINK_DATE_TIME = '" &amp; TEXT(NOW(),"YYYY/MM/DD　ｈｈ：ｍｍ：ｓｓ")&amp;"'"</f>
        <v xml:space="preserve">    M_LINK_DATETIME.LINK_DATE_TIME = '2017/07/10 10:48:29'</v>
      </c>
      <c r="G26" s="16"/>
      <c r="H26" s="15"/>
    </row>
    <row r="27" spans="2:8" ht="33">
      <c r="B27" s="14"/>
      <c r="C27" s="207" t="s">
        <v>372</v>
      </c>
      <c r="D27" s="207"/>
      <c r="E27" s="207"/>
      <c r="F27" s="16" t="s">
        <v>1772</v>
      </c>
      <c r="G27" s="16"/>
      <c r="H27" s="15"/>
    </row>
  </sheetData>
  <mergeCells count="19">
    <mergeCell ref="B23:E23"/>
    <mergeCell ref="B24:E24"/>
    <mergeCell ref="C25:E25"/>
    <mergeCell ref="C26:E26"/>
    <mergeCell ref="C27:E27"/>
    <mergeCell ref="B17:E17"/>
    <mergeCell ref="C18:E18"/>
    <mergeCell ref="C19:E19"/>
    <mergeCell ref="B20:E20"/>
    <mergeCell ref="C21:E21"/>
    <mergeCell ref="D13:E13"/>
    <mergeCell ref="D16:E16"/>
    <mergeCell ref="B6:E6"/>
    <mergeCell ref="B7:E7"/>
    <mergeCell ref="C8:E8"/>
    <mergeCell ref="C9:E9"/>
    <mergeCell ref="B11:E11"/>
    <mergeCell ref="C12:E12"/>
    <mergeCell ref="C10:E10"/>
  </mergeCells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8" tint="0.79998168889431442"/>
  </sheetPr>
  <dimension ref="A1:D6"/>
  <sheetViews>
    <sheetView workbookViewId="0">
      <selection activeCell="B16" sqref="B16"/>
    </sheetView>
  </sheetViews>
  <sheetFormatPr defaultRowHeight="12"/>
  <cols>
    <col min="1" max="1" width="22.25" style="2" customWidth="1"/>
    <col min="2" max="2" width="26.5" style="2" customWidth="1"/>
    <col min="3" max="3" width="17.5" style="2" customWidth="1"/>
    <col min="4" max="4" width="20.875" style="2" customWidth="1"/>
    <col min="5" max="8" width="15.25" style="2" customWidth="1"/>
    <col min="9" max="9" width="13.125" style="2" bestFit="1" customWidth="1"/>
    <col min="10" max="10" width="4.875" style="2" bestFit="1" customWidth="1"/>
    <col min="11" max="11" width="6.875" style="2" bestFit="1" customWidth="1"/>
    <col min="12" max="12" width="13.125" style="2" bestFit="1" customWidth="1"/>
    <col min="13" max="13" width="5.75" style="2" bestFit="1" customWidth="1"/>
    <col min="14" max="14" width="4.875" style="2" bestFit="1" customWidth="1"/>
    <col min="15" max="15" width="9.625" style="2" bestFit="1" customWidth="1"/>
    <col min="16" max="16" width="11.75" style="2" bestFit="1" customWidth="1"/>
    <col min="17" max="17" width="12.875" style="2" bestFit="1" customWidth="1"/>
    <col min="18" max="23" width="6.875" style="2" bestFit="1" customWidth="1"/>
    <col min="24" max="25" width="10.375" style="2" bestFit="1" customWidth="1"/>
    <col min="26" max="26" width="12.625" style="2" bestFit="1" customWidth="1"/>
    <col min="27" max="27" width="12.125" style="2" bestFit="1" customWidth="1"/>
    <col min="28" max="28" width="9.625" style="2" bestFit="1" customWidth="1"/>
    <col min="29" max="29" width="11" style="2" bestFit="1" customWidth="1"/>
    <col min="30" max="30" width="8.875" style="2" bestFit="1" customWidth="1"/>
    <col min="31" max="31" width="12.75" style="2" bestFit="1" customWidth="1"/>
    <col min="32" max="32" width="9.875" style="2" bestFit="1" customWidth="1"/>
    <col min="33" max="33" width="9.75" style="2" bestFit="1" customWidth="1"/>
    <col min="34" max="36" width="14.75" style="2" bestFit="1" customWidth="1"/>
    <col min="37" max="37" width="11.875" style="2" bestFit="1" customWidth="1"/>
    <col min="38" max="40" width="11" style="2" bestFit="1" customWidth="1"/>
    <col min="41" max="41" width="14" style="2" bestFit="1" customWidth="1"/>
    <col min="42" max="42" width="24.125" style="2" bestFit="1" customWidth="1"/>
    <col min="43" max="43" width="9.625" style="2" bestFit="1" customWidth="1"/>
    <col min="44" max="44" width="12.625" style="2" bestFit="1" customWidth="1"/>
    <col min="45" max="45" width="24.125" style="2" bestFit="1" customWidth="1"/>
    <col min="46" max="48" width="16.25" style="2" bestFit="1" customWidth="1"/>
    <col min="49" max="51" width="13.75" style="2" bestFit="1" customWidth="1"/>
    <col min="52" max="54" width="18.375" style="2" bestFit="1" customWidth="1"/>
    <col min="55" max="57" width="16.5" style="2" bestFit="1" customWidth="1"/>
    <col min="58" max="58" width="16.25" style="2" bestFit="1" customWidth="1"/>
    <col min="59" max="59" width="19.25" style="2" bestFit="1" customWidth="1"/>
    <col min="60" max="60" width="24.125" style="2" bestFit="1" customWidth="1"/>
    <col min="61" max="61" width="14.875" style="2" bestFit="1" customWidth="1"/>
    <col min="62" max="62" width="17.875" style="2" bestFit="1" customWidth="1"/>
    <col min="63" max="63" width="24.125" style="2" bestFit="1" customWidth="1"/>
    <col min="64" max="64" width="15.5" style="2" bestFit="1" customWidth="1"/>
    <col min="65" max="65" width="13" style="2" bestFit="1" customWidth="1"/>
    <col min="66" max="66" width="17.625" style="2" bestFit="1" customWidth="1"/>
    <col min="67" max="16384" width="9" style="2"/>
  </cols>
  <sheetData>
    <row r="1" spans="1:4" ht="26.25" customHeight="1">
      <c r="A1" s="5" t="s">
        <v>355</v>
      </c>
      <c r="B1" s="5" t="s">
        <v>356</v>
      </c>
      <c r="C1" s="5" t="s">
        <v>350</v>
      </c>
      <c r="D1" s="5" t="s">
        <v>354</v>
      </c>
    </row>
    <row r="2" spans="1:4">
      <c r="A2" s="6"/>
    </row>
    <row r="5" spans="1:4">
      <c r="A5" s="1"/>
    </row>
    <row r="6" spans="1:4">
      <c r="A6" s="1"/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"/>
  <sheetViews>
    <sheetView workbookViewId="0">
      <selection activeCell="E17" sqref="E17"/>
    </sheetView>
  </sheetViews>
  <sheetFormatPr defaultRowHeight="13.5"/>
  <cols>
    <col min="1" max="1" width="14.375" style="9" customWidth="1"/>
    <col min="2" max="2" width="25.75" style="9" customWidth="1"/>
    <col min="3" max="4" width="16.75" style="9" customWidth="1"/>
    <col min="5" max="5" width="10.5" style="9" customWidth="1"/>
    <col min="6" max="16384" width="9" style="9"/>
  </cols>
  <sheetData>
    <row r="1" spans="1:8" ht="27" customHeight="1">
      <c r="A1" s="33" t="s">
        <v>928</v>
      </c>
      <c r="B1" s="34" t="s">
        <v>1807</v>
      </c>
      <c r="E1" s="33" t="s">
        <v>935</v>
      </c>
      <c r="F1" s="204" t="str">
        <f>ADDRESS(ROW(UNRD0020_IF_TANTOSHA_MASTER_START),COLUMN(UNRD0020_IF_TANTOSHA_MASTER_START))&amp;":"&amp;
ADDRESS(ROW(UNRD0020_IF_TANTOSHA_MASTER_START)+UNRD0020_IF_TANTOSHA_MASTER_KENSU,COLUMN(UNRD0020_IF_TANTOSHA_MASTER_START)+2)</f>
        <v>$A$3:$C$3</v>
      </c>
      <c r="G1" s="204"/>
      <c r="H1" s="204"/>
    </row>
    <row r="2" spans="1:8" ht="21.75" customHeight="1">
      <c r="A2" s="5" t="s">
        <v>355</v>
      </c>
      <c r="B2" s="5" t="s">
        <v>356</v>
      </c>
      <c r="C2" s="5" t="s">
        <v>350</v>
      </c>
      <c r="E2" s="33" t="s">
        <v>1768</v>
      </c>
      <c r="F2" s="205">
        <v>42611.680555555555</v>
      </c>
      <c r="G2" s="205"/>
      <c r="H2" s="205"/>
    </row>
    <row r="3" spans="1:8">
      <c r="A3" s="6"/>
      <c r="B3" s="2"/>
      <c r="C3" s="2"/>
      <c r="D3" s="2"/>
    </row>
  </sheetData>
  <mergeCells count="2">
    <mergeCell ref="F1:H1"/>
    <mergeCell ref="F2:H2"/>
  </mergeCells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6:H24"/>
  <sheetViews>
    <sheetView workbookViewId="0">
      <selection activeCell="C8" sqref="C8:E8"/>
    </sheetView>
  </sheetViews>
  <sheetFormatPr defaultRowHeight="13.5"/>
  <cols>
    <col min="1" max="1" width="18.875" customWidth="1"/>
    <col min="2" max="2" width="4.375" customWidth="1"/>
    <col min="3" max="3" width="4" customWidth="1"/>
    <col min="4" max="4" width="4.75" customWidth="1"/>
    <col min="5" max="5" width="23.375" customWidth="1"/>
    <col min="6" max="6" width="96.375" customWidth="1"/>
    <col min="7" max="7" width="10.25" customWidth="1"/>
    <col min="8" max="8" width="26.875" customWidth="1"/>
  </cols>
  <sheetData>
    <row r="6" spans="2:8" ht="16.5">
      <c r="B6" s="198" t="s">
        <v>366</v>
      </c>
      <c r="C6" s="199"/>
      <c r="D6" s="199"/>
      <c r="E6" s="200"/>
      <c r="F6" s="10"/>
      <c r="G6" s="10"/>
      <c r="H6" s="11" t="s">
        <v>367</v>
      </c>
    </row>
    <row r="7" spans="2:8" ht="30.75" customHeight="1">
      <c r="B7" s="194" t="s">
        <v>368</v>
      </c>
      <c r="C7" s="195"/>
      <c r="D7" s="195"/>
      <c r="E7" s="196"/>
      <c r="F7" s="12" t="str">
        <f>F8 &amp; F9 &amp; F10 &amp; F12</f>
        <v>SELECT M_SHAIN.SHAIN_CD    --担当者CD
      ,M_SHAIN.SHIMEI　　　　　　 --担当者名
      ,0　　　　　　　　　　　　　　　　 --部門コード
  FROM M_SHAIN
 GROUP BY SHAIN_CD,SHIMEI HAVING (1=1)
  AND MAX(CONVERT(DATETIME, SUBSTRING(M_SHAIN.DBS_UPDATE_DATE,3,19) , 120)) &gt; '2016/08/29 16:20:00'</v>
      </c>
      <c r="G7" s="12"/>
      <c r="H7" s="13" t="s">
        <v>380</v>
      </c>
    </row>
    <row r="8" spans="2:8" ht="36.75" customHeight="1">
      <c r="B8" s="14"/>
      <c r="C8" s="197" t="s">
        <v>369</v>
      </c>
      <c r="D8" s="197"/>
      <c r="E8" s="197"/>
      <c r="F8" s="16" t="s">
        <v>1815</v>
      </c>
      <c r="G8" s="16"/>
      <c r="H8" s="15"/>
    </row>
    <row r="9" spans="2:8" ht="20.25" customHeight="1">
      <c r="B9" s="14"/>
      <c r="C9" s="197" t="s">
        <v>370</v>
      </c>
      <c r="D9" s="197"/>
      <c r="E9" s="197"/>
      <c r="F9" s="20" t="s">
        <v>381</v>
      </c>
      <c r="G9" s="20"/>
      <c r="H9" s="15"/>
    </row>
    <row r="10" spans="2:8" ht="20.25" customHeight="1">
      <c r="B10" s="14"/>
      <c r="C10" s="191" t="s">
        <v>1796</v>
      </c>
      <c r="D10" s="192"/>
      <c r="E10" s="193"/>
      <c r="F10" s="20" t="s">
        <v>1814</v>
      </c>
      <c r="G10" s="20"/>
      <c r="H10" s="15"/>
    </row>
    <row r="11" spans="2:8" ht="16.5">
      <c r="B11" s="194" t="s">
        <v>371</v>
      </c>
      <c r="C11" s="195"/>
      <c r="D11" s="195"/>
      <c r="E11" s="196"/>
      <c r="F11" s="12"/>
      <c r="G11" s="12"/>
      <c r="H11" s="13"/>
    </row>
    <row r="12" spans="2:8" ht="29.25" customHeight="1">
      <c r="B12" s="14"/>
      <c r="C12" s="197" t="s">
        <v>372</v>
      </c>
      <c r="D12" s="197"/>
      <c r="E12" s="197"/>
      <c r="F12" s="16" t="str">
        <f>" HAVING (1=1)" &amp;F13</f>
        <v xml:space="preserve"> HAVING (1=1)
  AND MAX(CONVERT(DATETIME, SUBSTRING(M_SHAIN.DBS_UPDATE_DATE,3,19) , 120)) &gt; '2016/08/29 16:20:00'</v>
      </c>
      <c r="G12" s="16"/>
      <c r="H12" s="15"/>
    </row>
    <row r="13" spans="2:8" ht="27.75" customHeight="1">
      <c r="B13" s="14"/>
      <c r="C13" s="17"/>
      <c r="D13" s="191" t="s">
        <v>404</v>
      </c>
      <c r="E13" s="193"/>
      <c r="F13" s="16" t="str">
        <f>IF(G13,"
  AND MAX(CONVERT(DATETIME, SUBSTRING(M_SHAIN.DBS_UPDATE_DATE,3,19) , 120)) &gt; '"&amp;TEXT(UNRD0020_IF_TANTOSHA_MASTER_RENDO_DATETIME,"YYYY/MM/DD hh:mm:ss") &amp; "'","")</f>
        <v xml:space="preserve">
  AND MAX(CONVERT(DATETIME, SUBSTRING(M_SHAIN.DBS_UPDATE_DATE,3,19) , 120)) &gt; '2016/08/29 16:20:00'</v>
      </c>
      <c r="G13" s="16" t="b">
        <f>NOT(ISBLANK(UNRD0020_IF_TANTOSHA_MASTER_RENDO_DATETIME))</f>
        <v>1</v>
      </c>
      <c r="H13" s="15"/>
    </row>
    <row r="14" spans="2:8" ht="49.5">
      <c r="B14" s="194" t="s">
        <v>1764</v>
      </c>
      <c r="C14" s="195"/>
      <c r="D14" s="195"/>
      <c r="E14" s="196"/>
      <c r="F14" s="12" t="str">
        <f>F15 &amp; F16 &amp; F18</f>
        <v>SELECT 
     LINK_DATE_TIME
  FROM M_LINK_DATETIME WHERE LINK_CD = 2</v>
      </c>
      <c r="G14" s="12"/>
      <c r="H14" s="13" t="s">
        <v>1777</v>
      </c>
    </row>
    <row r="15" spans="2:8" ht="49.5">
      <c r="B15" s="14"/>
      <c r="C15" s="197" t="s">
        <v>369</v>
      </c>
      <c r="D15" s="197"/>
      <c r="E15" s="197"/>
      <c r="F15" s="161" t="s">
        <v>1765</v>
      </c>
      <c r="G15" s="161"/>
      <c r="H15" s="15"/>
    </row>
    <row r="16" spans="2:8" ht="16.5">
      <c r="B16" s="14"/>
      <c r="C16" s="197" t="s">
        <v>370</v>
      </c>
      <c r="D16" s="197"/>
      <c r="E16" s="197"/>
      <c r="F16" s="16" t="s">
        <v>1769</v>
      </c>
      <c r="G16" s="16"/>
      <c r="H16" s="15"/>
    </row>
    <row r="17" spans="2:8" ht="16.5">
      <c r="B17" s="194" t="s">
        <v>371</v>
      </c>
      <c r="C17" s="195"/>
      <c r="D17" s="195"/>
      <c r="E17" s="196"/>
      <c r="F17" s="12"/>
      <c r="G17" s="12"/>
      <c r="H17" s="13"/>
    </row>
    <row r="18" spans="2:8" ht="16.5">
      <c r="B18" s="18"/>
      <c r="C18" s="207" t="s">
        <v>372</v>
      </c>
      <c r="D18" s="207"/>
      <c r="E18" s="207"/>
      <c r="F18" s="16" t="s">
        <v>1775</v>
      </c>
      <c r="G18" s="16"/>
      <c r="H18" s="15"/>
    </row>
    <row r="20" spans="2:8" ht="16.5">
      <c r="B20" s="198" t="s">
        <v>413</v>
      </c>
      <c r="C20" s="199"/>
      <c r="D20" s="199"/>
      <c r="E20" s="200"/>
      <c r="F20" s="10"/>
      <c r="G20" s="10"/>
      <c r="H20" s="11" t="s">
        <v>367</v>
      </c>
    </row>
    <row r="21" spans="2:8" ht="49.5">
      <c r="B21" s="194" t="s">
        <v>1770</v>
      </c>
      <c r="C21" s="195"/>
      <c r="D21" s="195"/>
      <c r="E21" s="196"/>
      <c r="F21" s="12" t="str">
        <f ca="1">F22 &amp;F23 &amp; F24</f>
        <v>UPDATE M_LINK_DATETIME
      SET     M_LINK_DATETIME.LINK_DATE_TIME = '2017/07/10 10:48:29'
 WHERE M_LINK_DATETIME.LINK_CD = 2</v>
      </c>
      <c r="G21" s="12"/>
      <c r="H21" s="13" t="s">
        <v>1774</v>
      </c>
    </row>
    <row r="22" spans="2:8" ht="33">
      <c r="B22" s="14"/>
      <c r="C22" s="197" t="s">
        <v>414</v>
      </c>
      <c r="D22" s="197"/>
      <c r="E22" s="197"/>
      <c r="F22" s="16" t="s">
        <v>1771</v>
      </c>
      <c r="G22" s="16"/>
      <c r="H22" s="15"/>
    </row>
    <row r="23" spans="2:8" ht="16.5">
      <c r="B23" s="14"/>
      <c r="C23" s="206" t="s">
        <v>415</v>
      </c>
      <c r="D23" s="192"/>
      <c r="E23" s="193"/>
      <c r="F23" s="16" t="str">
        <f ca="1">"    M_LINK_DATETIME.LINK_DATE_TIME = '" &amp; TEXT(NOW(),"YYYY/MM/DD　ｈｈ：ｍｍ：ｓｓ")&amp;"'"</f>
        <v xml:space="preserve">    M_LINK_DATETIME.LINK_DATE_TIME = '2017/07/10 10:48:29'</v>
      </c>
      <c r="G23" s="16"/>
      <c r="H23" s="15"/>
    </row>
    <row r="24" spans="2:8" ht="33">
      <c r="B24" s="14"/>
      <c r="C24" s="207" t="s">
        <v>372</v>
      </c>
      <c r="D24" s="207"/>
      <c r="E24" s="207"/>
      <c r="F24" s="16" t="s">
        <v>1776</v>
      </c>
      <c r="G24" s="16"/>
      <c r="H24" s="15"/>
    </row>
  </sheetData>
  <mergeCells count="18">
    <mergeCell ref="B21:E21"/>
    <mergeCell ref="C22:E22"/>
    <mergeCell ref="C23:E23"/>
    <mergeCell ref="C24:E24"/>
    <mergeCell ref="C15:E15"/>
    <mergeCell ref="C16:E16"/>
    <mergeCell ref="B17:E17"/>
    <mergeCell ref="C18:E18"/>
    <mergeCell ref="B20:E20"/>
    <mergeCell ref="B14:E14"/>
    <mergeCell ref="D13:E13"/>
    <mergeCell ref="B6:E6"/>
    <mergeCell ref="B7:E7"/>
    <mergeCell ref="C8:E8"/>
    <mergeCell ref="C9:E9"/>
    <mergeCell ref="B11:E11"/>
    <mergeCell ref="C12:E12"/>
    <mergeCell ref="C10:E10"/>
  </mergeCells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8" tint="0.79998168889431442"/>
  </sheetPr>
  <dimension ref="A1:DL2"/>
  <sheetViews>
    <sheetView zoomScale="112" zoomScaleNormal="112" workbookViewId="0">
      <selection activeCell="A6" sqref="A6"/>
    </sheetView>
  </sheetViews>
  <sheetFormatPr defaultRowHeight="12"/>
  <cols>
    <col min="1" max="1" width="24.375" style="2" customWidth="1"/>
    <col min="2" max="2" width="10.25" style="2" bestFit="1" customWidth="1"/>
    <col min="3" max="4" width="12.25" style="2" bestFit="1" customWidth="1"/>
    <col min="5" max="7" width="13.125" style="2" bestFit="1" customWidth="1"/>
    <col min="8" max="8" width="20.75" style="2" bestFit="1" customWidth="1"/>
    <col min="9" max="9" width="13.125" style="2" bestFit="1" customWidth="1"/>
    <col min="10" max="10" width="4.875" style="2" bestFit="1" customWidth="1"/>
    <col min="11" max="11" width="6.875" style="2" bestFit="1" customWidth="1"/>
    <col min="12" max="12" width="13.125" style="2" bestFit="1" customWidth="1"/>
    <col min="13" max="13" width="5.75" style="2" bestFit="1" customWidth="1"/>
    <col min="14" max="14" width="4.875" style="2" bestFit="1" customWidth="1"/>
    <col min="15" max="15" width="9.625" style="2" bestFit="1" customWidth="1"/>
    <col min="16" max="16" width="9.625" style="2" customWidth="1"/>
    <col min="17" max="17" width="11.75" style="2" bestFit="1" customWidth="1"/>
    <col min="18" max="18" width="12.875" style="2" bestFit="1" customWidth="1"/>
    <col min="19" max="24" width="6.875" style="2" bestFit="1" customWidth="1"/>
    <col min="25" max="26" width="10.375" style="2" bestFit="1" customWidth="1"/>
    <col min="27" max="27" width="12.625" style="2" bestFit="1" customWidth="1"/>
    <col min="28" max="28" width="12.125" style="2" bestFit="1" customWidth="1"/>
    <col min="29" max="29" width="9.625" style="2" bestFit="1" customWidth="1"/>
    <col min="30" max="30" width="11" style="2" bestFit="1" customWidth="1"/>
    <col min="31" max="31" width="8.875" style="2" bestFit="1" customWidth="1"/>
    <col min="32" max="32" width="12.75" style="2" bestFit="1" customWidth="1"/>
    <col min="33" max="33" width="9.875" style="2" bestFit="1" customWidth="1"/>
    <col min="34" max="34" width="9.75" style="2" bestFit="1" customWidth="1"/>
    <col min="35" max="37" width="14.75" style="2" bestFit="1" customWidth="1"/>
    <col min="38" max="38" width="11.875" style="2" bestFit="1" customWidth="1"/>
    <col min="39" max="41" width="11" style="2" bestFit="1" customWidth="1"/>
    <col min="42" max="42" width="14" style="2" bestFit="1" customWidth="1"/>
    <col min="43" max="43" width="24.125" style="2" bestFit="1" customWidth="1"/>
    <col min="44" max="44" width="9.625" style="2" bestFit="1" customWidth="1"/>
    <col min="45" max="45" width="12.625" style="2" bestFit="1" customWidth="1"/>
    <col min="46" max="46" width="24.125" style="2" bestFit="1" customWidth="1"/>
    <col min="47" max="49" width="16.25" style="2" bestFit="1" customWidth="1"/>
    <col min="50" max="52" width="13.75" style="2" bestFit="1" customWidth="1"/>
    <col min="53" max="55" width="18.375" style="2" bestFit="1" customWidth="1"/>
    <col min="56" max="58" width="16.5" style="2" bestFit="1" customWidth="1"/>
    <col min="59" max="59" width="16.25" style="2" bestFit="1" customWidth="1"/>
    <col min="60" max="60" width="19.25" style="2" bestFit="1" customWidth="1"/>
    <col min="61" max="61" width="24.125" style="2" bestFit="1" customWidth="1"/>
    <col min="62" max="62" width="14.875" style="2" bestFit="1" customWidth="1"/>
    <col min="63" max="63" width="17.875" style="2" bestFit="1" customWidth="1"/>
    <col min="64" max="64" width="24.125" style="2" bestFit="1" customWidth="1"/>
    <col min="65" max="65" width="15.5" style="2" bestFit="1" customWidth="1"/>
    <col min="66" max="66" width="13" style="2" bestFit="1" customWidth="1"/>
    <col min="67" max="67" width="9.875" style="2" customWidth="1"/>
    <col min="68" max="89" width="9" style="2"/>
    <col min="90" max="90" width="19.625" style="2" customWidth="1"/>
    <col min="91" max="111" width="9" style="2"/>
    <col min="112" max="112" width="10.25" style="2" customWidth="1"/>
    <col min="113" max="114" width="9" style="2"/>
    <col min="115" max="115" width="13.75" style="2" customWidth="1"/>
    <col min="116" max="116" width="18.75" style="2" customWidth="1"/>
    <col min="117" max="16384" width="9" style="2"/>
  </cols>
  <sheetData>
    <row r="1" spans="1:116" ht="29.25" customHeight="1">
      <c r="A1" s="5" t="s">
        <v>248</v>
      </c>
      <c r="B1" s="5" t="s">
        <v>249</v>
      </c>
      <c r="C1" s="5" t="s">
        <v>237</v>
      </c>
      <c r="D1" s="5" t="s">
        <v>250</v>
      </c>
      <c r="E1" s="5" t="s">
        <v>251</v>
      </c>
      <c r="F1" s="5" t="s">
        <v>252</v>
      </c>
      <c r="G1" s="5" t="s">
        <v>253</v>
      </c>
      <c r="H1" s="5" t="s">
        <v>254</v>
      </c>
      <c r="I1" s="5" t="s">
        <v>255</v>
      </c>
      <c r="J1" s="5" t="s">
        <v>256</v>
      </c>
      <c r="K1" s="5" t="s">
        <v>257</v>
      </c>
      <c r="L1" s="5" t="s">
        <v>258</v>
      </c>
      <c r="M1" s="5" t="s">
        <v>259</v>
      </c>
      <c r="N1" s="5" t="s">
        <v>260</v>
      </c>
      <c r="O1" s="5" t="s">
        <v>261</v>
      </c>
      <c r="P1" s="5" t="s">
        <v>262</v>
      </c>
      <c r="Q1" s="5" t="s">
        <v>263</v>
      </c>
      <c r="R1" s="5" t="s">
        <v>264</v>
      </c>
      <c r="S1" s="5" t="s">
        <v>265</v>
      </c>
      <c r="T1" s="5" t="s">
        <v>238</v>
      </c>
      <c r="U1" s="5" t="s">
        <v>266</v>
      </c>
      <c r="V1" s="5" t="s">
        <v>103</v>
      </c>
      <c r="W1" s="5" t="s">
        <v>267</v>
      </c>
      <c r="X1" s="5" t="s">
        <v>268</v>
      </c>
      <c r="Y1" s="5" t="s">
        <v>269</v>
      </c>
      <c r="Z1" s="5" t="s">
        <v>270</v>
      </c>
      <c r="AA1" s="5" t="s">
        <v>271</v>
      </c>
      <c r="AB1" s="5" t="s">
        <v>272</v>
      </c>
      <c r="AC1" s="5" t="s">
        <v>273</v>
      </c>
      <c r="AD1" s="5" t="s">
        <v>274</v>
      </c>
      <c r="AE1" s="5" t="s">
        <v>275</v>
      </c>
      <c r="AF1" s="5" t="s">
        <v>276</v>
      </c>
      <c r="AG1" s="5" t="s">
        <v>277</v>
      </c>
      <c r="AH1" s="5" t="s">
        <v>278</v>
      </c>
      <c r="AI1" s="5" t="s">
        <v>279</v>
      </c>
      <c r="AJ1" s="5" t="s">
        <v>280</v>
      </c>
      <c r="AK1" s="5" t="s">
        <v>281</v>
      </c>
      <c r="AL1" s="5" t="s">
        <v>282</v>
      </c>
      <c r="AM1" s="5" t="s">
        <v>283</v>
      </c>
      <c r="AN1" s="5" t="s">
        <v>284</v>
      </c>
      <c r="AO1" s="5" t="s">
        <v>285</v>
      </c>
      <c r="AP1" s="5" t="s">
        <v>286</v>
      </c>
      <c r="AQ1" s="5" t="s">
        <v>287</v>
      </c>
      <c r="AR1" s="5" t="s">
        <v>288</v>
      </c>
      <c r="AS1" s="5" t="s">
        <v>239</v>
      </c>
      <c r="AT1" s="5" t="s">
        <v>289</v>
      </c>
      <c r="AU1" s="5" t="s">
        <v>290</v>
      </c>
      <c r="AV1" s="5" t="s">
        <v>291</v>
      </c>
      <c r="AW1" s="5" t="s">
        <v>292</v>
      </c>
      <c r="AX1" s="5" t="s">
        <v>293</v>
      </c>
      <c r="AY1" s="5" t="s">
        <v>294</v>
      </c>
      <c r="AZ1" s="5" t="s">
        <v>240</v>
      </c>
      <c r="BA1" s="5" t="s">
        <v>295</v>
      </c>
      <c r="BB1" s="5" t="s">
        <v>296</v>
      </c>
      <c r="BC1" s="5" t="s">
        <v>241</v>
      </c>
      <c r="BD1" s="5" t="s">
        <v>297</v>
      </c>
      <c r="BE1" s="5" t="s">
        <v>242</v>
      </c>
      <c r="BF1" s="5" t="s">
        <v>298</v>
      </c>
      <c r="BG1" s="5" t="s">
        <v>299</v>
      </c>
      <c r="BH1" s="5" t="s">
        <v>76</v>
      </c>
      <c r="BI1" s="5" t="s">
        <v>76</v>
      </c>
      <c r="BJ1" s="5" t="s">
        <v>300</v>
      </c>
      <c r="BK1" s="5" t="s">
        <v>243</v>
      </c>
      <c r="BL1" s="5" t="s">
        <v>301</v>
      </c>
      <c r="BM1" s="5" t="s">
        <v>302</v>
      </c>
      <c r="BN1" s="5" t="s">
        <v>303</v>
      </c>
      <c r="BO1" s="5" t="s">
        <v>304</v>
      </c>
      <c r="BP1" s="5" t="s">
        <v>305</v>
      </c>
      <c r="BQ1" s="5" t="s">
        <v>306</v>
      </c>
      <c r="BR1" s="5" t="s">
        <v>307</v>
      </c>
      <c r="BS1" s="5" t="s">
        <v>308</v>
      </c>
      <c r="BT1" s="5" t="s">
        <v>309</v>
      </c>
      <c r="BU1" s="5" t="s">
        <v>310</v>
      </c>
      <c r="BV1" s="5" t="s">
        <v>311</v>
      </c>
      <c r="BW1" s="5" t="s">
        <v>312</v>
      </c>
      <c r="BX1" s="5" t="s">
        <v>313</v>
      </c>
      <c r="BY1" s="5" t="s">
        <v>314</v>
      </c>
      <c r="BZ1" s="5" t="s">
        <v>315</v>
      </c>
      <c r="CA1" s="5" t="s">
        <v>316</v>
      </c>
      <c r="CB1" s="5" t="s">
        <v>244</v>
      </c>
      <c r="CC1" s="5" t="s">
        <v>317</v>
      </c>
      <c r="CD1" s="5" t="s">
        <v>318</v>
      </c>
      <c r="CE1" s="5" t="s">
        <v>319</v>
      </c>
      <c r="CF1" s="5" t="s">
        <v>320</v>
      </c>
      <c r="CG1" s="5" t="s">
        <v>321</v>
      </c>
      <c r="CH1" s="5" t="s">
        <v>322</v>
      </c>
      <c r="CI1" s="5" t="s">
        <v>323</v>
      </c>
      <c r="CJ1" s="5" t="s">
        <v>324</v>
      </c>
      <c r="CK1" s="5" t="s">
        <v>325</v>
      </c>
      <c r="CL1" s="5" t="s">
        <v>326</v>
      </c>
      <c r="CM1" s="5" t="s">
        <v>327</v>
      </c>
      <c r="CN1" s="5" t="s">
        <v>328</v>
      </c>
      <c r="CO1" s="5" t="s">
        <v>329</v>
      </c>
      <c r="CP1" s="5" t="s">
        <v>330</v>
      </c>
      <c r="CQ1" s="5" t="s">
        <v>331</v>
      </c>
      <c r="CR1" s="5" t="s">
        <v>332</v>
      </c>
      <c r="CS1" s="5" t="s">
        <v>333</v>
      </c>
      <c r="CT1" s="5" t="s">
        <v>334</v>
      </c>
      <c r="CU1" s="5" t="s">
        <v>335</v>
      </c>
      <c r="CV1" s="5" t="s">
        <v>245</v>
      </c>
      <c r="CW1" s="5" t="s">
        <v>336</v>
      </c>
      <c r="CX1" s="5" t="s">
        <v>337</v>
      </c>
      <c r="CY1" s="5" t="s">
        <v>338</v>
      </c>
      <c r="CZ1" s="5" t="s">
        <v>339</v>
      </c>
      <c r="DA1" s="5" t="s">
        <v>340</v>
      </c>
      <c r="DB1" s="5" t="s">
        <v>341</v>
      </c>
      <c r="DC1" s="5" t="s">
        <v>342</v>
      </c>
      <c r="DD1" s="5" t="s">
        <v>343</v>
      </c>
      <c r="DE1" s="5" t="s">
        <v>344</v>
      </c>
      <c r="DF1" s="5" t="s">
        <v>246</v>
      </c>
      <c r="DG1" s="5" t="s">
        <v>345</v>
      </c>
      <c r="DH1" s="5" t="s">
        <v>346</v>
      </c>
      <c r="DI1" s="5" t="s">
        <v>347</v>
      </c>
      <c r="DJ1" s="5" t="s">
        <v>247</v>
      </c>
      <c r="DK1" s="5" t="s">
        <v>188</v>
      </c>
      <c r="DL1" s="5" t="s">
        <v>189</v>
      </c>
    </row>
    <row r="2" spans="1:116">
      <c r="A2" s="6"/>
    </row>
  </sheetData>
  <phoneticPr fontId="2"/>
  <dataValidations count="1">
    <dataValidation imeMode="off" allowBlank="1" showInputMessage="1" showErrorMessage="1" sqref="B1 A1:A1048576"/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3"/>
  <sheetViews>
    <sheetView zoomScale="85" zoomScaleNormal="85" workbookViewId="0">
      <selection activeCell="E11" sqref="E11"/>
    </sheetView>
  </sheetViews>
  <sheetFormatPr defaultRowHeight="13.5"/>
  <cols>
    <col min="1" max="1" width="12" style="9" customWidth="1"/>
    <col min="2" max="2" width="20" style="9" bestFit="1" customWidth="1"/>
    <col min="3" max="3" width="10.375" style="9" customWidth="1"/>
    <col min="4" max="4" width="11.75" style="9" customWidth="1"/>
    <col min="5" max="5" width="33.375" style="9" customWidth="1"/>
    <col min="6" max="6" width="27.25" style="9" customWidth="1"/>
    <col min="7" max="7" width="13.875" style="9" bestFit="1" customWidth="1"/>
    <col min="8" max="8" width="20.25" style="9" customWidth="1"/>
    <col min="9" max="9" width="20.75" style="9" customWidth="1"/>
    <col min="10" max="16384" width="9" style="9"/>
  </cols>
  <sheetData>
    <row r="1" spans="1:30" ht="27" customHeight="1">
      <c r="A1" s="33" t="s">
        <v>928</v>
      </c>
      <c r="B1" s="34" t="s">
        <v>1807</v>
      </c>
      <c r="D1" s="33" t="s">
        <v>935</v>
      </c>
      <c r="E1" s="35" t="str">
        <f>ADDRESS(ROW(UNRD0030_IF_TOKUI_SAKI_MASTER_START),COLUMN(UNRD0030_IF_TOKUI_SAKI_MASTER_START))&amp;":"&amp;
ADDRESS(ROW(UNRD0030_IF_TOKUI_SAKI_MASTER_START)+UNRD0030_IF_TOKUI_SAKI_MASTER_KENSU,COLUMN(UNRD0030_IF_TOKUI_SAKI_MASTER_START)+8)</f>
        <v>$A$3:$I$3</v>
      </c>
    </row>
    <row r="2" spans="1:30" ht="21" customHeight="1">
      <c r="A2" s="5" t="s">
        <v>249</v>
      </c>
      <c r="B2" s="5" t="s">
        <v>250</v>
      </c>
      <c r="C2" s="5" t="s">
        <v>252</v>
      </c>
      <c r="D2" s="5" t="s">
        <v>254</v>
      </c>
      <c r="E2" s="5" t="s">
        <v>255</v>
      </c>
      <c r="F2" s="5" t="s">
        <v>256</v>
      </c>
      <c r="G2" s="5" t="s">
        <v>257</v>
      </c>
      <c r="H2" s="5" t="s">
        <v>258</v>
      </c>
      <c r="I2" s="5" t="s">
        <v>955</v>
      </c>
      <c r="J2" s="5" t="s">
        <v>956</v>
      </c>
      <c r="K2" s="5" t="s">
        <v>265</v>
      </c>
      <c r="L2" s="5" t="s">
        <v>266</v>
      </c>
      <c r="M2" s="5" t="s">
        <v>270</v>
      </c>
      <c r="N2" s="5" t="s">
        <v>275</v>
      </c>
      <c r="O2" s="5" t="s">
        <v>279</v>
      </c>
      <c r="P2" s="5" t="s">
        <v>280</v>
      </c>
      <c r="Q2" s="5" t="s">
        <v>281</v>
      </c>
      <c r="R2" s="5" t="s">
        <v>282</v>
      </c>
      <c r="S2" s="5" t="s">
        <v>283</v>
      </c>
      <c r="T2" s="5" t="s">
        <v>957</v>
      </c>
      <c r="U2" s="5" t="s">
        <v>958</v>
      </c>
      <c r="V2" s="5" t="s">
        <v>292</v>
      </c>
      <c r="W2" s="5" t="s">
        <v>959</v>
      </c>
      <c r="X2" s="5" t="s">
        <v>960</v>
      </c>
      <c r="Y2" s="5" t="s">
        <v>295</v>
      </c>
      <c r="Z2" s="5" t="s">
        <v>296</v>
      </c>
      <c r="AA2" s="5" t="s">
        <v>242</v>
      </c>
      <c r="AB2" s="5" t="s">
        <v>961</v>
      </c>
      <c r="AC2" s="5" t="s">
        <v>962</v>
      </c>
      <c r="AD2" s="5" t="s">
        <v>244</v>
      </c>
    </row>
    <row r="3" spans="1:30">
      <c r="A3" s="8"/>
    </row>
  </sheetData>
  <phoneticPr fontId="2"/>
  <dataValidations count="1">
    <dataValidation imeMode="off" allowBlank="1" showInputMessage="1" showErrorMessage="1" sqref="A2"/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6:G31"/>
  <sheetViews>
    <sheetView workbookViewId="0">
      <selection activeCell="F7" sqref="F7"/>
    </sheetView>
  </sheetViews>
  <sheetFormatPr defaultRowHeight="13.5"/>
  <cols>
    <col min="1" max="1" width="18.875" customWidth="1"/>
    <col min="2" max="2" width="4.375" customWidth="1"/>
    <col min="3" max="3" width="4" customWidth="1"/>
    <col min="4" max="4" width="4.75" customWidth="1"/>
    <col min="5" max="5" width="23.375" customWidth="1"/>
    <col min="6" max="6" width="96.375" customWidth="1"/>
    <col min="7" max="7" width="26.875" customWidth="1"/>
  </cols>
  <sheetData>
    <row r="6" spans="2:7" ht="16.5">
      <c r="B6" s="198" t="s">
        <v>366</v>
      </c>
      <c r="C6" s="199"/>
      <c r="D6" s="199"/>
      <c r="E6" s="200"/>
      <c r="F6" s="10"/>
      <c r="G6" s="11" t="s">
        <v>367</v>
      </c>
    </row>
    <row r="7" spans="2:7" ht="30.75" customHeight="1">
      <c r="B7" s="194" t="s">
        <v>368</v>
      </c>
      <c r="C7" s="195"/>
      <c r="D7" s="195"/>
      <c r="E7" s="196"/>
      <c r="F7" s="12" t="str">
        <f>F8 &amp; F9 &amp; F11</f>
        <v>SELECT M_AITESAKI.AITE_CD               --得意先コード 
       ,M_AITESAKI.AITE_MEI             --得意先名称1
       ,CASE 
        WHEN M_AITESAKI.TANTO_MEI IS NULL Or M_AITESAKI.TANTO_MEI =''
            THEN M_AITESAKI.KEISHO
          ELSE ''
        END AS KEISHO                   --相手先敬称
       ,M_AITESAKI.YUBIN_NO             --郵便番号
       ,M_AITESAKI.ADDRESS_1            --住所1 
       ,M_AITESAKI.ADDRESS_2            --住所2 
       ,M_AITESAKI.TEL                  --相手先TEL
       ,M_AITESAKI.FAX                  --相手先FAX
       ,M_AITESAKI.MAIL                 --相手先メールアドレス 
       ,M_AITESAKI.TANTO_MEI            --先方担当者名 
       ,M_AITESAKI.BUSHO_MEI            --所属部署
       ,CASE 
        WHEN M_AITESAKI.TANTO_MEI IS NULL Or M_AITESAKI.TANTO_MEI =''
            THEN ''
          ELSE M_AITESAKI.KEISHO
        END AS TANTOSHA_KEISHO          --先方担当者敬称
        ,M_AITESAKI.SEIKYU_BUNRUI         --得意先区分1
        ,M_AITESAKI.EIGYO_TANTO_CD       --主担当者
        ,NULL                           --実績管理
        ,NULL                           --売上日印字 
        ,NULL                           --税換算
        ,NULL                           --売単価換算
        ,NULL                           --納品書用紙
        ,NULL                           --納品書社名
        ,M_AITESAKI.SEIKYUHOHO_KBN      --請求締日
        ,M_AITESAKI.SEIKYU_HASU_KBN     --金額端数
        ,M_AITESAKI.TAX_KBN             --消費税通知
        ,NULL                           --請求書用紙
        ,NULL                           --請求書社名
        ,M_AITESAKI.KAISHU_KBN          --回収種別1
        ,M_AITESAKI.KAISHU_MONTH*100 +  M_AITESAKI.KAISHU_DAY--回収日
        ,M_AITESAKI.SEIKYU_CHUKI        --コメント
       ,CASE 
        WHEN M_AITESAKI.MISHIYO_FLG ='False'
            THEN 0
          ELSE 1
        END AS SHIYO_KUBUN              --使用区分
        ,1                              --得意先フラグ
   FROM M_AITESAKI
 WHERE 1=1
 AND M_AITESAKI.SEIKYU_FLG = 'True' AND (1!=1
   OR CONVERT(DATETIME, SUBSTRING(M_AITESAKI.DBS_UPDATE_DATE,3,19) , 120) &gt; M_AITESAKI.LINK_DATETIME
   OR M_AITESAKI.LINK_DATETIME IS NULL OR M_AITESAKI.LINK_DATETIME = '' )</v>
      </c>
      <c r="G7" s="13" t="s">
        <v>382</v>
      </c>
    </row>
    <row r="8" spans="2:7" ht="36.75" customHeight="1">
      <c r="B8" s="14"/>
      <c r="C8" s="197" t="s">
        <v>369</v>
      </c>
      <c r="D8" s="197"/>
      <c r="E8" s="197"/>
      <c r="F8" s="16" t="s">
        <v>1818</v>
      </c>
      <c r="G8" s="15"/>
    </row>
    <row r="9" spans="2:7" ht="32.25" customHeight="1">
      <c r="B9" s="14"/>
      <c r="C9" s="197" t="s">
        <v>370</v>
      </c>
      <c r="D9" s="197"/>
      <c r="E9" s="197"/>
      <c r="F9" s="16" t="s">
        <v>373</v>
      </c>
      <c r="G9" s="15"/>
    </row>
    <row r="10" spans="2:7" ht="16.5">
      <c r="B10" s="194" t="s">
        <v>371</v>
      </c>
      <c r="C10" s="195"/>
      <c r="D10" s="195"/>
      <c r="E10" s="196"/>
      <c r="F10" s="12"/>
      <c r="G10" s="13"/>
    </row>
    <row r="11" spans="2:7" ht="29.25" customHeight="1">
      <c r="B11" s="14"/>
      <c r="C11" s="197" t="s">
        <v>372</v>
      </c>
      <c r="D11" s="197"/>
      <c r="E11" s="197"/>
      <c r="F11" s="16" t="str">
        <f>" WHERE 1=1
" &amp;F12&amp;F13</f>
        <v xml:space="preserve"> WHERE 1=1
 AND M_AITESAKI.SEIKYU_FLG = 'True' AND (1!=1
   OR CONVERT(DATETIME, SUBSTRING(M_AITESAKI.DBS_UPDATE_DATE,3,19) , 120) &gt; M_AITESAKI.LINK_DATETIME
   OR M_AITESAKI.LINK_DATETIME IS NULL OR M_AITESAKI.LINK_DATETIME = '' )</v>
      </c>
      <c r="G11" s="15"/>
    </row>
    <row r="12" spans="2:7" ht="27.75" customHeight="1">
      <c r="B12" s="14"/>
      <c r="C12" s="17"/>
      <c r="D12" s="206" t="s">
        <v>374</v>
      </c>
      <c r="E12" s="193"/>
      <c r="F12" s="16" t="s">
        <v>1863</v>
      </c>
      <c r="G12" s="15"/>
    </row>
    <row r="13" spans="2:7" ht="27.75" customHeight="1">
      <c r="B13" s="14"/>
      <c r="C13" s="17"/>
      <c r="D13" s="25" t="s">
        <v>403</v>
      </c>
      <c r="E13" s="26"/>
      <c r="F13" s="16" t="str">
        <f xml:space="preserve"> " AND (1!=1" &amp;F14 &amp;F15 &amp;
" )"</f>
        <v xml:space="preserve"> AND (1!=1
   OR CONVERT(DATETIME, SUBSTRING(M_AITESAKI.DBS_UPDATE_DATE,3,19) , 120) &gt; M_AITESAKI.LINK_DATETIME
   OR M_AITESAKI.LINK_DATETIME IS NULL OR M_AITESAKI.LINK_DATETIME = '' )</v>
      </c>
      <c r="G13" s="15"/>
    </row>
    <row r="14" spans="2:7" ht="27.75" customHeight="1">
      <c r="B14" s="14"/>
      <c r="C14" s="17"/>
      <c r="D14" s="27"/>
      <c r="E14" s="29" t="s">
        <v>430</v>
      </c>
      <c r="F14" s="16" t="s">
        <v>427</v>
      </c>
      <c r="G14" s="15"/>
    </row>
    <row r="15" spans="2:7" ht="27.75" customHeight="1">
      <c r="B15" s="18"/>
      <c r="C15" s="19"/>
      <c r="D15" s="28"/>
      <c r="E15" s="30" t="s">
        <v>431</v>
      </c>
      <c r="F15" s="16" t="s">
        <v>428</v>
      </c>
      <c r="G15" s="15"/>
    </row>
    <row r="18" spans="2:7" ht="16.5">
      <c r="B18" s="198" t="s">
        <v>413</v>
      </c>
      <c r="C18" s="199"/>
      <c r="D18" s="199"/>
      <c r="E18" s="200"/>
      <c r="F18" s="10"/>
      <c r="G18" s="11" t="s">
        <v>367</v>
      </c>
    </row>
    <row r="19" spans="2:7" ht="49.5" customHeight="1">
      <c r="B19" s="194" t="s">
        <v>429</v>
      </c>
      <c r="C19" s="195"/>
      <c r="D19" s="195"/>
      <c r="E19" s="196"/>
      <c r="F19" s="12" t="str">
        <f ca="1">F20 &amp;F21 &amp; F22</f>
        <v>UPDATE M_AITESAKI 
      SET  M_AITESAKI.LINK_DATETIME = '2017/07/10 10:48:29' 
    WHERE (1=1)
       AND M_AITESAKI.SEIKYU_FLG = 'True' AND (1!=1
   OR CONVERT(DATETIME, SUBSTRING(M_AITESAKI.DBS_UPDATE_DATE,3,19) , 120) &gt; M_AITESAKI.LINK_DATETIME
   OR M_AITESAKI.LINK_DATETIME IS NULL OR M_AITESAKI.LINK_DATETIME = '' )</v>
      </c>
      <c r="G19" s="13" t="s">
        <v>436</v>
      </c>
    </row>
    <row r="20" spans="2:7" ht="28.5" customHeight="1">
      <c r="B20" s="14"/>
      <c r="C20" s="197" t="s">
        <v>414</v>
      </c>
      <c r="D20" s="197"/>
      <c r="E20" s="197"/>
      <c r="F20" s="16" t="s">
        <v>434</v>
      </c>
      <c r="G20" s="15"/>
    </row>
    <row r="21" spans="2:7" ht="28.5" customHeight="1">
      <c r="B21" s="14"/>
      <c r="C21" s="206" t="s">
        <v>415</v>
      </c>
      <c r="D21" s="192"/>
      <c r="E21" s="193"/>
      <c r="F21" s="16" t="str">
        <f ca="1">" M_AITESAKI.LINK_DATETIME = '" &amp; TEXT(NOW(),"YYYY/MM/DD　ｈｈ：ｍｍ：ｓｓ")&amp;"'"</f>
        <v xml:space="preserve"> M_AITESAKI.LINK_DATETIME = '2017/07/10 10:48:29'</v>
      </c>
      <c r="G21" s="15"/>
    </row>
    <row r="22" spans="2:7" ht="29.25" customHeight="1">
      <c r="B22" s="14"/>
      <c r="C22" s="197" t="s">
        <v>372</v>
      </c>
      <c r="D22" s="197"/>
      <c r="E22" s="197"/>
      <c r="F22" s="16" t="str">
        <f>" 
    WHERE (1=1)
      " &amp;F23&amp;F24 &amp;F27</f>
        <v xml:space="preserve"> 
    WHERE (1=1)
       AND M_AITESAKI.SEIKYU_FLG = 'True' AND (1!=1
   OR CONVERT(DATETIME, SUBSTRING(M_AITESAKI.DBS_UPDATE_DATE,3,19) , 120) &gt; M_AITESAKI.LINK_DATETIME
   OR M_AITESAKI.LINK_DATETIME IS NULL OR M_AITESAKI.LINK_DATETIME = '' )</v>
      </c>
      <c r="G22" s="15"/>
    </row>
    <row r="23" spans="2:7" ht="29.25" customHeight="1">
      <c r="B23" s="14"/>
      <c r="C23" s="17"/>
      <c r="D23" s="191" t="s">
        <v>374</v>
      </c>
      <c r="E23" s="193"/>
      <c r="F23" s="31" t="s">
        <v>375</v>
      </c>
      <c r="G23" s="15"/>
    </row>
    <row r="24" spans="2:7" ht="27.75" customHeight="1">
      <c r="B24" s="14"/>
      <c r="C24" s="17"/>
      <c r="D24" s="25" t="s">
        <v>403</v>
      </c>
      <c r="E24" s="26"/>
      <c r="F24" s="16" t="str">
        <f xml:space="preserve"> " AND (1!=1" &amp;F25 &amp;F26 &amp;
" )"</f>
        <v xml:space="preserve"> AND (1!=1
   OR CONVERT(DATETIME, SUBSTRING(M_AITESAKI.DBS_UPDATE_DATE,3,19) , 120) &gt; M_AITESAKI.LINK_DATETIME
   OR M_AITESAKI.LINK_DATETIME IS NULL OR M_AITESAKI.LINK_DATETIME = '' )</v>
      </c>
      <c r="G24" s="15"/>
    </row>
    <row r="25" spans="2:7" ht="27.75" customHeight="1">
      <c r="B25" s="14"/>
      <c r="C25" s="17"/>
      <c r="D25" s="27"/>
      <c r="E25" s="29" t="s">
        <v>430</v>
      </c>
      <c r="F25" s="16" t="s">
        <v>427</v>
      </c>
      <c r="G25" s="15"/>
    </row>
    <row r="26" spans="2:7" ht="27.75" customHeight="1">
      <c r="B26" s="14"/>
      <c r="C26" s="17"/>
      <c r="D26" s="28"/>
      <c r="E26" s="30" t="s">
        <v>431</v>
      </c>
      <c r="F26" s="16" t="s">
        <v>428</v>
      </c>
      <c r="G26" s="15"/>
    </row>
    <row r="27" spans="2:7" ht="29.25" customHeight="1">
      <c r="B27" s="38"/>
      <c r="C27" s="42"/>
      <c r="D27" s="191" t="s">
        <v>435</v>
      </c>
      <c r="E27" s="193"/>
      <c r="F27" s="31" t="str">
        <f>IF(G27," 
    AND M_AITESAKI.AITE_CD NOT IN " &amp; UNRD_COMMON_SEIKYU_ERROR_CODE_LIST,"")</f>
        <v/>
      </c>
      <c r="G27" s="15" t="b">
        <f>NOT(ISBLANK(UNRD_COMMON_SEIKYU_ERROR_CODE_LIST))</f>
        <v>0</v>
      </c>
    </row>
    <row r="28" spans="2:7" ht="49.5" customHeight="1">
      <c r="B28" s="208" t="s">
        <v>424</v>
      </c>
      <c r="C28" s="195"/>
      <c r="D28" s="195"/>
      <c r="E28" s="196"/>
      <c r="F28" s="12" t="str">
        <f ca="1">F29 &amp;F30 &amp;F31</f>
        <v>UPDATE M_CONTROL 
      SET   SEIKYU_MASTER_LINK_DATE_TIME = '2017/07/10 10:48:29'
  WHERE M_CONTROL.CTRL_KEY = 1</v>
      </c>
      <c r="G28" s="13" t="s">
        <v>437</v>
      </c>
    </row>
    <row r="29" spans="2:7" ht="28.5" customHeight="1">
      <c r="B29" s="14"/>
      <c r="C29" s="197" t="s">
        <v>414</v>
      </c>
      <c r="D29" s="197"/>
      <c r="E29" s="197"/>
      <c r="F29" s="16" t="s">
        <v>419</v>
      </c>
      <c r="G29" s="15"/>
    </row>
    <row r="30" spans="2:7" ht="28.5" customHeight="1">
      <c r="B30" s="14"/>
      <c r="C30" s="206" t="s">
        <v>415</v>
      </c>
      <c r="D30" s="192"/>
      <c r="E30" s="193"/>
      <c r="F30" s="16" t="str">
        <f ca="1" xml:space="preserve"> "  SEIKYU_MASTER_LINK_DATE_TIME = '" &amp; TEXT(NOW(),"YYYY/MM/DD　ｈｈ：ｍｍ：ｓｓ")&amp;"'"</f>
        <v xml:space="preserve">  SEIKYU_MASTER_LINK_DATE_TIME = '2017/07/10 10:48:29'</v>
      </c>
      <c r="G30" s="15"/>
    </row>
    <row r="31" spans="2:7" ht="29.25" customHeight="1">
      <c r="B31" s="18"/>
      <c r="C31" s="207" t="s">
        <v>372</v>
      </c>
      <c r="D31" s="207"/>
      <c r="E31" s="207"/>
      <c r="F31" s="16" t="s">
        <v>420</v>
      </c>
      <c r="G31" s="15"/>
    </row>
  </sheetData>
  <mergeCells count="18">
    <mergeCell ref="D12:E12"/>
    <mergeCell ref="B10:E10"/>
    <mergeCell ref="C11:E11"/>
    <mergeCell ref="B6:E6"/>
    <mergeCell ref="B7:E7"/>
    <mergeCell ref="C8:E8"/>
    <mergeCell ref="C9:E9"/>
    <mergeCell ref="B18:E18"/>
    <mergeCell ref="B19:E19"/>
    <mergeCell ref="C20:E20"/>
    <mergeCell ref="C21:E21"/>
    <mergeCell ref="C22:E22"/>
    <mergeCell ref="C31:E31"/>
    <mergeCell ref="D23:E23"/>
    <mergeCell ref="D27:E27"/>
    <mergeCell ref="B28:E28"/>
    <mergeCell ref="C29:E29"/>
    <mergeCell ref="C30:E30"/>
  </mergeCells>
  <phoneticPr fontId="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8" tint="0.79998168889431442"/>
  </sheetPr>
  <dimension ref="A1:D8"/>
  <sheetViews>
    <sheetView workbookViewId="0">
      <selection activeCell="E16" sqref="E16"/>
    </sheetView>
  </sheetViews>
  <sheetFormatPr defaultRowHeight="13.5"/>
  <cols>
    <col min="1" max="1" width="23.125" style="9" customWidth="1"/>
    <col min="2" max="2" width="17.25" style="9" customWidth="1"/>
    <col min="3" max="3" width="23.125" style="9" customWidth="1"/>
    <col min="4" max="4" width="22.25" style="9" customWidth="1"/>
    <col min="5" max="16384" width="9" style="9"/>
  </cols>
  <sheetData>
    <row r="1" spans="1:4" ht="23.25" customHeight="1">
      <c r="A1" s="5" t="s">
        <v>362</v>
      </c>
      <c r="B1" s="5" t="s">
        <v>376</v>
      </c>
      <c r="C1" s="5" t="s">
        <v>377</v>
      </c>
      <c r="D1" s="5" t="s">
        <v>354</v>
      </c>
    </row>
    <row r="2" spans="1:4">
      <c r="A2" s="6"/>
      <c r="B2" s="2"/>
      <c r="C2" s="2"/>
      <c r="D2" s="2"/>
    </row>
    <row r="8" spans="1:4">
      <c r="C8" s="24"/>
    </row>
  </sheetData>
  <phoneticPr fontId="2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9"/>
  <sheetViews>
    <sheetView workbookViewId="0">
      <selection activeCell="F15" sqref="F15"/>
    </sheetView>
  </sheetViews>
  <sheetFormatPr defaultRowHeight="13.5"/>
  <cols>
    <col min="1" max="1" width="21.625" style="9" customWidth="1"/>
    <col min="2" max="2" width="17.875" style="9" customWidth="1"/>
    <col min="3" max="3" width="26.625" style="9" customWidth="1"/>
    <col min="4" max="4" width="9.625" style="9" customWidth="1"/>
    <col min="5" max="5" width="11.75" style="9" customWidth="1"/>
    <col min="6" max="16384" width="9" style="9"/>
  </cols>
  <sheetData>
    <row r="1" spans="1:8" ht="27" customHeight="1">
      <c r="A1" s="33" t="s">
        <v>928</v>
      </c>
      <c r="B1" s="34" t="s">
        <v>1807</v>
      </c>
      <c r="E1" s="33" t="s">
        <v>935</v>
      </c>
      <c r="F1" s="204" t="str">
        <f>ADDRESS(ROW(UNRD0031_IF_TOKUI_SAKI_KUBUN_MASTER_START),COLUMN(UNRD0031_IF_TOKUI_SAKI_KUBUN_MASTER_START))&amp;":"&amp;
ADDRESS(ROW(UNRD0031_IF_TOKUI_SAKI_KUBUN_MASTER_START)+UNRD0031_IF_TOKUI_SAKI_KUBUN_MASTER_KENSU,COLUMN(UNRD0031_IF_TOKUI_SAKI_KUBUN_MASTER_START)+2)</f>
        <v>$A$3:$C$3</v>
      </c>
      <c r="G1" s="204"/>
      <c r="H1" s="204"/>
    </row>
    <row r="2" spans="1:8" ht="30.75" customHeight="1">
      <c r="A2" s="5" t="s">
        <v>362</v>
      </c>
      <c r="B2" s="5" t="s">
        <v>376</v>
      </c>
      <c r="C2" s="5" t="s">
        <v>377</v>
      </c>
      <c r="E2" s="33" t="s">
        <v>1768</v>
      </c>
      <c r="F2" s="205">
        <v>42611.680555555555</v>
      </c>
      <c r="G2" s="205"/>
      <c r="H2" s="205"/>
    </row>
    <row r="3" spans="1:8">
      <c r="A3" s="6"/>
      <c r="B3" s="2"/>
      <c r="C3" s="2"/>
      <c r="D3" s="2"/>
    </row>
    <row r="9" spans="1:8">
      <c r="C9" s="24"/>
      <c r="D9" s="24"/>
    </row>
  </sheetData>
  <mergeCells count="2">
    <mergeCell ref="F1:H1"/>
    <mergeCell ref="F2:H2"/>
  </mergeCells>
  <phoneticPr fontId="2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6:H26"/>
  <sheetViews>
    <sheetView zoomScaleNormal="100" workbookViewId="0">
      <selection activeCell="F17" sqref="F17"/>
    </sheetView>
  </sheetViews>
  <sheetFormatPr defaultRowHeight="13.5"/>
  <cols>
    <col min="1" max="1" width="18.875" customWidth="1"/>
    <col min="2" max="2" width="4.375" customWidth="1"/>
    <col min="3" max="3" width="4" customWidth="1"/>
    <col min="4" max="4" width="4.75" customWidth="1"/>
    <col min="5" max="5" width="23.375" customWidth="1"/>
    <col min="6" max="6" width="96.375" customWidth="1"/>
    <col min="7" max="7" width="9.875" customWidth="1"/>
    <col min="8" max="8" width="26.875" customWidth="1"/>
  </cols>
  <sheetData>
    <row r="6" spans="2:8" ht="16.5">
      <c r="B6" s="198" t="s">
        <v>366</v>
      </c>
      <c r="C6" s="199"/>
      <c r="D6" s="199"/>
      <c r="E6" s="200"/>
      <c r="F6" s="10"/>
      <c r="G6" s="10"/>
      <c r="H6" s="11" t="s">
        <v>367</v>
      </c>
    </row>
    <row r="7" spans="2:8" ht="30.75" customHeight="1">
      <c r="B7" s="194" t="s">
        <v>368</v>
      </c>
      <c r="C7" s="195"/>
      <c r="D7" s="195"/>
      <c r="E7" s="196"/>
      <c r="F7" s="12" t="str">
        <f>F8 &amp; F9 &amp; F10 &amp; F12</f>
        <v>SELECT 11
    ,M_MEISHO_B.MEISHO_CD
    ,M_MEISHO_B.DATA_1
  FROM M_MEISHO_B
  GROUP BY MEISHO_CD,DATA_1,MEISHO_KBN HAVING (1=1)
 AND M_MEISHO_B.MEISHO_KBN = 'K001'  AND M_MEISHO_B.MEISHO_CD &lt;&gt; 0
  AND MAX(CONVERT(DATETIME, SUBSTRING(M_MEISHO_B.DBS_UPDATE_DATE,3,19) , 120)) &gt; '2016/08/29 16:20:00'</v>
      </c>
      <c r="G7" s="12"/>
      <c r="H7" s="13" t="s">
        <v>383</v>
      </c>
    </row>
    <row r="8" spans="2:8" ht="36.75" customHeight="1">
      <c r="B8" s="14"/>
      <c r="C8" s="197" t="s">
        <v>369</v>
      </c>
      <c r="D8" s="197"/>
      <c r="E8" s="197"/>
      <c r="F8" s="16" t="s">
        <v>384</v>
      </c>
      <c r="G8" s="16"/>
      <c r="H8" s="15"/>
    </row>
    <row r="9" spans="2:8" ht="32.25" customHeight="1">
      <c r="B9" s="14"/>
      <c r="C9" s="197" t="s">
        <v>370</v>
      </c>
      <c r="D9" s="197"/>
      <c r="E9" s="197"/>
      <c r="F9" s="16" t="s">
        <v>385</v>
      </c>
      <c r="G9" s="16"/>
      <c r="H9" s="15"/>
    </row>
    <row r="10" spans="2:8" ht="25.5" customHeight="1">
      <c r="B10" s="14"/>
      <c r="C10" s="191" t="s">
        <v>1797</v>
      </c>
      <c r="D10" s="192"/>
      <c r="E10" s="193"/>
      <c r="F10" s="16" t="s">
        <v>1798</v>
      </c>
      <c r="G10" s="16"/>
      <c r="H10" s="15"/>
    </row>
    <row r="11" spans="2:8" ht="16.5">
      <c r="B11" s="194" t="s">
        <v>371</v>
      </c>
      <c r="C11" s="195"/>
      <c r="D11" s="195"/>
      <c r="E11" s="196"/>
      <c r="F11" s="12"/>
      <c r="G11" s="12"/>
      <c r="H11" s="13"/>
    </row>
    <row r="12" spans="2:8" ht="29.25" customHeight="1">
      <c r="B12" s="14"/>
      <c r="C12" s="197" t="s">
        <v>372</v>
      </c>
      <c r="D12" s="197"/>
      <c r="E12" s="197"/>
      <c r="F12" s="16" t="str">
        <f>" HAVING (1=1)
" &amp;F13&amp;F14&amp;F15</f>
        <v xml:space="preserve"> HAVING (1=1)
 AND M_MEISHO_B.MEISHO_KBN = 'K001'  AND M_MEISHO_B.MEISHO_CD &lt;&gt; 0
  AND MAX(CONVERT(DATETIME, SUBSTRING(M_MEISHO_B.DBS_UPDATE_DATE,3,19) , 120)) &gt; '2016/08/29 16:20:00'</v>
      </c>
      <c r="G12" s="16"/>
      <c r="H12" s="15"/>
    </row>
    <row r="13" spans="2:8" ht="27.75" customHeight="1">
      <c r="B13" s="14"/>
      <c r="C13" s="17"/>
      <c r="D13" s="206" t="s">
        <v>378</v>
      </c>
      <c r="E13" s="193"/>
      <c r="F13" s="16" t="s">
        <v>1803</v>
      </c>
      <c r="G13" s="16"/>
      <c r="H13" s="15"/>
    </row>
    <row r="14" spans="2:8" ht="27.75" customHeight="1">
      <c r="B14" s="14"/>
      <c r="C14" s="17"/>
      <c r="D14" s="209" t="s">
        <v>1801</v>
      </c>
      <c r="E14" s="193"/>
      <c r="F14" s="16" t="s">
        <v>1802</v>
      </c>
      <c r="G14" s="16"/>
      <c r="H14" s="15"/>
    </row>
    <row r="15" spans="2:8" ht="27.75" customHeight="1">
      <c r="B15" s="18"/>
      <c r="C15" s="19"/>
      <c r="D15" s="191" t="s">
        <v>405</v>
      </c>
      <c r="E15" s="193"/>
      <c r="F15" s="16" t="str">
        <f>IF(G15,"
  AND MAX(CONVERT(DATETIME, SUBSTRING(M_MEISHO_B.DBS_UPDATE_DATE,3,19) , 120)) &gt; '"&amp;TEXT(UNRD0031_IF_TOKUI_SAKI_KUBUN_MASTER_RENDO_DATETIME,"YYYY/MM/DD hh:mm:ss") &amp; "'","")</f>
        <v xml:space="preserve">
  AND MAX(CONVERT(DATETIME, SUBSTRING(M_MEISHO_B.DBS_UPDATE_DATE,3,19) , 120)) &gt; '2016/08/29 16:20:00'</v>
      </c>
      <c r="G15" s="16" t="b">
        <f>NOT(ISBLANK(UNRD0031_IF_TOKUI_SAKI_KUBUN_MASTER_RENDO_DATETIME))</f>
        <v>1</v>
      </c>
      <c r="H15" s="15"/>
    </row>
    <row r="16" spans="2:8" ht="49.5">
      <c r="B16" s="194" t="s">
        <v>1764</v>
      </c>
      <c r="C16" s="195"/>
      <c r="D16" s="195"/>
      <c r="E16" s="196"/>
      <c r="F16" s="12" t="str">
        <f>F17 &amp; F18 &amp; F20</f>
        <v>SELECT 
     LINK_DATE_TIME
  FROM M_LINK_DATETIME WHERE LINK_CD = 3</v>
      </c>
      <c r="G16" s="12"/>
      <c r="H16" s="13" t="s">
        <v>1778</v>
      </c>
    </row>
    <row r="17" spans="2:8" ht="49.5">
      <c r="B17" s="14"/>
      <c r="C17" s="197" t="s">
        <v>369</v>
      </c>
      <c r="D17" s="197"/>
      <c r="E17" s="197"/>
      <c r="F17" s="161" t="s">
        <v>1765</v>
      </c>
      <c r="G17" s="161"/>
      <c r="H17" s="15"/>
    </row>
    <row r="18" spans="2:8" ht="16.5">
      <c r="B18" s="14"/>
      <c r="C18" s="197" t="s">
        <v>370</v>
      </c>
      <c r="D18" s="197"/>
      <c r="E18" s="197"/>
      <c r="F18" s="16" t="s">
        <v>1769</v>
      </c>
      <c r="G18" s="16"/>
      <c r="H18" s="15"/>
    </row>
    <row r="19" spans="2:8" ht="16.5">
      <c r="B19" s="194" t="s">
        <v>371</v>
      </c>
      <c r="C19" s="195"/>
      <c r="D19" s="195"/>
      <c r="E19" s="196"/>
      <c r="F19" s="12"/>
      <c r="G19" s="12"/>
      <c r="H19" s="13"/>
    </row>
    <row r="20" spans="2:8" ht="16.5">
      <c r="B20" s="18"/>
      <c r="C20" s="207" t="s">
        <v>372</v>
      </c>
      <c r="D20" s="207"/>
      <c r="E20" s="207"/>
      <c r="F20" s="16" t="s">
        <v>1780</v>
      </c>
      <c r="G20" s="16"/>
      <c r="H20" s="15"/>
    </row>
    <row r="22" spans="2:8" ht="16.5">
      <c r="B22" s="198" t="s">
        <v>413</v>
      </c>
      <c r="C22" s="199"/>
      <c r="D22" s="199"/>
      <c r="E22" s="200"/>
      <c r="F22" s="10"/>
      <c r="G22" s="10"/>
      <c r="H22" s="11" t="s">
        <v>367</v>
      </c>
    </row>
    <row r="23" spans="2:8" ht="49.5">
      <c r="B23" s="194" t="s">
        <v>1770</v>
      </c>
      <c r="C23" s="195"/>
      <c r="D23" s="195"/>
      <c r="E23" s="196"/>
      <c r="F23" s="12" t="str">
        <f ca="1">F24 &amp;F25 &amp; F26</f>
        <v>UPDATE M_LINK_DATETIME
      SET     M_LINK_DATETIME.LINK_DATE_TIME = '2017/07/10 10:48:29'
 WHERE M_LINK_DATETIME.LINK_CD = 3</v>
      </c>
      <c r="G23" s="12"/>
      <c r="H23" s="13" t="s">
        <v>1779</v>
      </c>
    </row>
    <row r="24" spans="2:8" ht="33">
      <c r="B24" s="14"/>
      <c r="C24" s="197" t="s">
        <v>414</v>
      </c>
      <c r="D24" s="197"/>
      <c r="E24" s="197"/>
      <c r="F24" s="16" t="s">
        <v>1771</v>
      </c>
      <c r="G24" s="16"/>
      <c r="H24" s="15"/>
    </row>
    <row r="25" spans="2:8" ht="16.5">
      <c r="B25" s="14"/>
      <c r="C25" s="206" t="s">
        <v>415</v>
      </c>
      <c r="D25" s="192"/>
      <c r="E25" s="193"/>
      <c r="F25" s="16" t="str">
        <f ca="1">"    M_LINK_DATETIME.LINK_DATE_TIME = '" &amp; TEXT(NOW(),"YYYY/MM/DD　ｈｈ：ｍｍ：ｓｓ")&amp;"'"</f>
        <v xml:space="preserve">    M_LINK_DATETIME.LINK_DATE_TIME = '2017/07/10 10:48:29'</v>
      </c>
      <c r="G25" s="16"/>
      <c r="H25" s="15"/>
    </row>
    <row r="26" spans="2:8" ht="33">
      <c r="B26" s="14"/>
      <c r="C26" s="207" t="s">
        <v>372</v>
      </c>
      <c r="D26" s="207"/>
      <c r="E26" s="207"/>
      <c r="F26" s="16" t="s">
        <v>1781</v>
      </c>
      <c r="G26" s="16"/>
      <c r="H26" s="15"/>
    </row>
  </sheetData>
  <mergeCells count="20">
    <mergeCell ref="B22:E22"/>
    <mergeCell ref="B23:E23"/>
    <mergeCell ref="C24:E24"/>
    <mergeCell ref="C25:E25"/>
    <mergeCell ref="C26:E26"/>
    <mergeCell ref="B16:E16"/>
    <mergeCell ref="C17:E17"/>
    <mergeCell ref="C18:E18"/>
    <mergeCell ref="B19:E19"/>
    <mergeCell ref="C20:E20"/>
    <mergeCell ref="D13:E13"/>
    <mergeCell ref="D15:E15"/>
    <mergeCell ref="B6:E6"/>
    <mergeCell ref="B7:E7"/>
    <mergeCell ref="C8:E8"/>
    <mergeCell ref="C9:E9"/>
    <mergeCell ref="B11:E11"/>
    <mergeCell ref="C12:E12"/>
    <mergeCell ref="C10:E10"/>
    <mergeCell ref="D14:E14"/>
  </mergeCells>
  <phoneticPr fontId="2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8" tint="0.79998168889431442"/>
  </sheetPr>
  <dimension ref="A1:FG226"/>
  <sheetViews>
    <sheetView workbookViewId="0">
      <selection activeCell="A2" sqref="A2"/>
    </sheetView>
  </sheetViews>
  <sheetFormatPr defaultRowHeight="13.5"/>
  <cols>
    <col min="1" max="1" width="21.625" style="9" customWidth="1"/>
    <col min="2" max="16384" width="9" style="9"/>
  </cols>
  <sheetData>
    <row r="1" spans="1:163" s="2" customFormat="1" ht="30.75" customHeight="1">
      <c r="A1" s="7" t="s">
        <v>82</v>
      </c>
      <c r="B1" s="7" t="s">
        <v>83</v>
      </c>
      <c r="C1" s="7" t="s">
        <v>84</v>
      </c>
      <c r="D1" s="7" t="s">
        <v>85</v>
      </c>
      <c r="E1" s="7" t="s">
        <v>86</v>
      </c>
      <c r="F1" s="7" t="s">
        <v>87</v>
      </c>
      <c r="G1" s="7" t="s">
        <v>88</v>
      </c>
      <c r="H1" s="7" t="s">
        <v>89</v>
      </c>
      <c r="I1" s="7" t="s">
        <v>90</v>
      </c>
      <c r="J1" s="7" t="s">
        <v>91</v>
      </c>
      <c r="K1" s="7" t="s">
        <v>92</v>
      </c>
      <c r="L1" s="7" t="s">
        <v>93</v>
      </c>
      <c r="M1" s="7" t="s">
        <v>94</v>
      </c>
      <c r="N1" s="7" t="s">
        <v>95</v>
      </c>
      <c r="O1" s="7" t="s">
        <v>96</v>
      </c>
      <c r="P1" s="7" t="s">
        <v>97</v>
      </c>
      <c r="Q1" s="7" t="s">
        <v>98</v>
      </c>
      <c r="R1" s="7" t="s">
        <v>99</v>
      </c>
      <c r="S1" s="7" t="s">
        <v>100</v>
      </c>
      <c r="T1" s="7" t="s">
        <v>101</v>
      </c>
      <c r="U1" s="7" t="s">
        <v>102</v>
      </c>
      <c r="V1" s="7" t="s">
        <v>103</v>
      </c>
      <c r="W1" s="7" t="s">
        <v>104</v>
      </c>
      <c r="X1" s="7" t="s">
        <v>105</v>
      </c>
      <c r="Y1" s="7" t="s">
        <v>106</v>
      </c>
      <c r="Z1" s="7" t="s">
        <v>107</v>
      </c>
      <c r="AA1" s="7" t="s">
        <v>108</v>
      </c>
      <c r="AB1" s="7" t="s">
        <v>109</v>
      </c>
      <c r="AC1" s="7" t="s">
        <v>110</v>
      </c>
      <c r="AD1" s="7" t="s">
        <v>111</v>
      </c>
      <c r="AE1" s="7" t="s">
        <v>112</v>
      </c>
      <c r="AF1" s="7" t="s">
        <v>113</v>
      </c>
      <c r="AG1" s="7" t="s">
        <v>114</v>
      </c>
      <c r="AH1" s="7" t="s">
        <v>115</v>
      </c>
      <c r="AI1" s="7" t="s">
        <v>116</v>
      </c>
      <c r="AJ1" s="7" t="s">
        <v>117</v>
      </c>
      <c r="AK1" s="7" t="s">
        <v>118</v>
      </c>
      <c r="AL1" s="7" t="s">
        <v>119</v>
      </c>
      <c r="AM1" s="7" t="s">
        <v>120</v>
      </c>
      <c r="AN1" s="7" t="s">
        <v>121</v>
      </c>
      <c r="AO1" s="7" t="s">
        <v>122</v>
      </c>
      <c r="AP1" s="7" t="s">
        <v>123</v>
      </c>
      <c r="AQ1" s="7" t="s">
        <v>124</v>
      </c>
      <c r="AR1" s="7" t="s">
        <v>125</v>
      </c>
      <c r="AS1" s="7" t="s">
        <v>126</v>
      </c>
      <c r="AT1" s="7" t="s">
        <v>127</v>
      </c>
      <c r="AU1" s="7" t="s">
        <v>128</v>
      </c>
      <c r="AV1" s="7" t="s">
        <v>129</v>
      </c>
      <c r="AW1" s="7" t="s">
        <v>130</v>
      </c>
      <c r="AX1" s="7" t="s">
        <v>131</v>
      </c>
      <c r="AY1" s="7" t="s">
        <v>132</v>
      </c>
      <c r="AZ1" s="7" t="s">
        <v>133</v>
      </c>
      <c r="BA1" s="7" t="s">
        <v>134</v>
      </c>
      <c r="BB1" s="7" t="s">
        <v>135</v>
      </c>
      <c r="BC1" s="7" t="s">
        <v>136</v>
      </c>
      <c r="BD1" s="7" t="s">
        <v>137</v>
      </c>
      <c r="BE1" s="7" t="s">
        <v>138</v>
      </c>
      <c r="BF1" s="7" t="s">
        <v>139</v>
      </c>
      <c r="BG1" s="7" t="s">
        <v>140</v>
      </c>
      <c r="BH1" s="7" t="s">
        <v>141</v>
      </c>
      <c r="BI1" s="7" t="s">
        <v>43</v>
      </c>
      <c r="BJ1" s="7" t="s">
        <v>44</v>
      </c>
      <c r="BK1" s="7" t="s">
        <v>45</v>
      </c>
      <c r="BL1" s="7" t="s">
        <v>46</v>
      </c>
      <c r="BM1" s="7" t="s">
        <v>47</v>
      </c>
      <c r="BN1" s="7" t="s">
        <v>48</v>
      </c>
      <c r="BO1" s="7" t="s">
        <v>49</v>
      </c>
      <c r="BP1" s="7" t="s">
        <v>142</v>
      </c>
      <c r="BQ1" s="7" t="s">
        <v>143</v>
      </c>
      <c r="BR1" s="7" t="s">
        <v>144</v>
      </c>
      <c r="BS1" s="7" t="s">
        <v>145</v>
      </c>
      <c r="BT1" s="7" t="s">
        <v>146</v>
      </c>
      <c r="BU1" s="7" t="s">
        <v>147</v>
      </c>
      <c r="BV1" s="7" t="s">
        <v>148</v>
      </c>
      <c r="BW1" s="7" t="s">
        <v>149</v>
      </c>
      <c r="BX1" s="7" t="s">
        <v>150</v>
      </c>
      <c r="BY1" s="7" t="s">
        <v>151</v>
      </c>
      <c r="BZ1" s="7" t="s">
        <v>152</v>
      </c>
      <c r="CA1" s="7" t="s">
        <v>153</v>
      </c>
      <c r="CB1" s="7" t="s">
        <v>154</v>
      </c>
      <c r="CC1" s="7" t="s">
        <v>155</v>
      </c>
      <c r="CD1" s="7" t="s">
        <v>156</v>
      </c>
      <c r="CE1" s="7" t="s">
        <v>157</v>
      </c>
      <c r="CF1" s="7" t="s">
        <v>158</v>
      </c>
      <c r="CG1" s="7" t="s">
        <v>159</v>
      </c>
      <c r="CH1" s="7" t="s">
        <v>160</v>
      </c>
      <c r="CI1" s="7" t="s">
        <v>161</v>
      </c>
      <c r="CJ1" s="7" t="s">
        <v>162</v>
      </c>
      <c r="CK1" s="7" t="s">
        <v>163</v>
      </c>
      <c r="CL1" s="7" t="s">
        <v>164</v>
      </c>
      <c r="CM1" s="7" t="s">
        <v>165</v>
      </c>
      <c r="CN1" s="7" t="s">
        <v>166</v>
      </c>
      <c r="CO1" s="7" t="s">
        <v>167</v>
      </c>
      <c r="CP1" s="7" t="s">
        <v>168</v>
      </c>
      <c r="CQ1" s="7" t="s">
        <v>169</v>
      </c>
      <c r="CR1" s="7" t="s">
        <v>170</v>
      </c>
      <c r="CS1" s="7" t="s">
        <v>171</v>
      </c>
      <c r="CT1" s="7" t="s">
        <v>172</v>
      </c>
      <c r="CU1" s="7" t="s">
        <v>173</v>
      </c>
      <c r="CV1" s="7" t="s">
        <v>174</v>
      </c>
      <c r="CW1" s="7" t="s">
        <v>175</v>
      </c>
      <c r="CX1" s="7" t="s">
        <v>176</v>
      </c>
      <c r="CY1" s="7" t="s">
        <v>177</v>
      </c>
      <c r="CZ1" s="7" t="s">
        <v>178</v>
      </c>
      <c r="DA1" s="7" t="s">
        <v>179</v>
      </c>
      <c r="DB1" s="7" t="s">
        <v>180</v>
      </c>
      <c r="DC1" s="7" t="s">
        <v>181</v>
      </c>
      <c r="DD1" s="7" t="s">
        <v>182</v>
      </c>
      <c r="DE1" s="7" t="s">
        <v>183</v>
      </c>
      <c r="DF1" s="7" t="s">
        <v>184</v>
      </c>
      <c r="DG1" s="7" t="s">
        <v>185</v>
      </c>
      <c r="DH1" s="7" t="s">
        <v>186</v>
      </c>
      <c r="DI1" s="7" t="s">
        <v>187</v>
      </c>
      <c r="DJ1" s="7" t="s">
        <v>188</v>
      </c>
      <c r="DK1" s="7" t="s">
        <v>189</v>
      </c>
      <c r="DL1" s="7" t="s">
        <v>190</v>
      </c>
      <c r="DM1" s="7" t="s">
        <v>191</v>
      </c>
      <c r="DN1" s="7" t="s">
        <v>192</v>
      </c>
      <c r="DO1" s="7" t="s">
        <v>193</v>
      </c>
      <c r="DP1" s="7" t="s">
        <v>194</v>
      </c>
      <c r="DQ1" s="7" t="s">
        <v>195</v>
      </c>
      <c r="DR1" s="7" t="s">
        <v>196</v>
      </c>
      <c r="DS1" s="7" t="s">
        <v>197</v>
      </c>
      <c r="DT1" s="7" t="s">
        <v>198</v>
      </c>
      <c r="DU1" s="7" t="s">
        <v>199</v>
      </c>
      <c r="DV1" s="7" t="s">
        <v>200</v>
      </c>
      <c r="DW1" s="7" t="s">
        <v>201</v>
      </c>
      <c r="DX1" s="7" t="s">
        <v>202</v>
      </c>
      <c r="DY1" s="7" t="s">
        <v>203</v>
      </c>
      <c r="DZ1" s="7" t="s">
        <v>361</v>
      </c>
      <c r="EA1" s="7" t="s">
        <v>204</v>
      </c>
      <c r="EB1" s="7" t="s">
        <v>205</v>
      </c>
      <c r="EC1" s="7" t="s">
        <v>206</v>
      </c>
      <c r="ED1" s="7" t="s">
        <v>207</v>
      </c>
      <c r="EE1" s="7" t="s">
        <v>208</v>
      </c>
      <c r="EF1" s="7" t="s">
        <v>209</v>
      </c>
      <c r="EG1" s="7" t="s">
        <v>210</v>
      </c>
      <c r="EH1" s="7" t="s">
        <v>211</v>
      </c>
      <c r="EI1" s="7" t="s">
        <v>212</v>
      </c>
      <c r="EJ1" s="7" t="s">
        <v>213</v>
      </c>
      <c r="EK1" s="7" t="s">
        <v>214</v>
      </c>
      <c r="EL1" s="7" t="s">
        <v>215</v>
      </c>
      <c r="EM1" s="7" t="s">
        <v>216</v>
      </c>
      <c r="EN1" s="7" t="s">
        <v>217</v>
      </c>
      <c r="EO1" s="7" t="s">
        <v>218</v>
      </c>
      <c r="EP1" s="7" t="s">
        <v>219</v>
      </c>
      <c r="EQ1" s="7" t="s">
        <v>220</v>
      </c>
      <c r="ER1" s="7" t="s">
        <v>221</v>
      </c>
      <c r="ES1" s="7" t="s">
        <v>222</v>
      </c>
      <c r="ET1" s="7" t="s">
        <v>223</v>
      </c>
      <c r="EU1" s="7" t="s">
        <v>224</v>
      </c>
      <c r="EV1" s="7" t="s">
        <v>225</v>
      </c>
      <c r="EW1" s="7" t="s">
        <v>226</v>
      </c>
      <c r="EX1" s="7" t="s">
        <v>227</v>
      </c>
      <c r="EY1" s="7" t="s">
        <v>228</v>
      </c>
      <c r="EZ1" s="7" t="s">
        <v>229</v>
      </c>
      <c r="FA1" s="7" t="s">
        <v>230</v>
      </c>
      <c r="FB1" s="7" t="s">
        <v>231</v>
      </c>
      <c r="FC1" s="7" t="s">
        <v>232</v>
      </c>
      <c r="FD1" s="7" t="s">
        <v>233</v>
      </c>
      <c r="FE1" s="7" t="s">
        <v>234</v>
      </c>
      <c r="FF1" s="7" t="s">
        <v>235</v>
      </c>
      <c r="FG1" s="7" t="s">
        <v>236</v>
      </c>
    </row>
    <row r="2" spans="1:163" s="2" customFormat="1" ht="15" customHeight="1">
      <c r="A2" s="8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AX2" s="2" t="s">
        <v>77</v>
      </c>
      <c r="AY2" s="2" t="s">
        <v>77</v>
      </c>
      <c r="AZ2" s="2" t="s">
        <v>80</v>
      </c>
      <c r="BA2" s="2" t="s">
        <v>438</v>
      </c>
      <c r="BB2" s="2" t="s">
        <v>79</v>
      </c>
      <c r="BC2" s="2" t="s">
        <v>78</v>
      </c>
      <c r="BD2" s="2" t="s">
        <v>349</v>
      </c>
      <c r="BE2" s="2" t="s">
        <v>78</v>
      </c>
      <c r="BF2" s="2" t="s">
        <v>77</v>
      </c>
      <c r="BI2" s="2" t="s">
        <v>77</v>
      </c>
      <c r="BJ2" s="2" t="s">
        <v>80</v>
      </c>
      <c r="BK2" s="2" t="s">
        <v>348</v>
      </c>
      <c r="BL2" s="2" t="s">
        <v>439</v>
      </c>
      <c r="BM2" s="2" t="s">
        <v>80</v>
      </c>
      <c r="BN2" s="2" t="s">
        <v>348</v>
      </c>
      <c r="BO2" s="2" t="s">
        <v>439</v>
      </c>
      <c r="BP2" s="2" t="s">
        <v>77</v>
      </c>
      <c r="BQ2" s="2" t="s">
        <v>77</v>
      </c>
      <c r="BR2" s="2" t="s">
        <v>77</v>
      </c>
      <c r="BS2" s="2" t="s">
        <v>77</v>
      </c>
      <c r="BT2" s="2" t="s">
        <v>77</v>
      </c>
      <c r="BU2" s="2" t="s">
        <v>77</v>
      </c>
      <c r="BV2" s="2" t="s">
        <v>78</v>
      </c>
      <c r="BW2" s="2" t="s">
        <v>78</v>
      </c>
      <c r="BX2" s="2" t="s">
        <v>78</v>
      </c>
      <c r="CB2" s="2" t="s">
        <v>77</v>
      </c>
      <c r="CC2" s="2" t="s">
        <v>80</v>
      </c>
      <c r="CD2" s="2" t="s">
        <v>77</v>
      </c>
      <c r="CE2" s="2" t="s">
        <v>77</v>
      </c>
      <c r="CF2" s="2" t="s">
        <v>77</v>
      </c>
      <c r="CG2" s="2" t="s">
        <v>80</v>
      </c>
      <c r="CH2" s="2" t="s">
        <v>348</v>
      </c>
      <c r="CI2" s="2" t="s">
        <v>440</v>
      </c>
      <c r="CJ2" s="2" t="s">
        <v>80</v>
      </c>
      <c r="CK2" s="2" t="s">
        <v>348</v>
      </c>
      <c r="CL2" s="2" t="s">
        <v>440</v>
      </c>
      <c r="CM2" s="2" t="s">
        <v>77</v>
      </c>
      <c r="CN2" s="2" t="s">
        <v>77</v>
      </c>
      <c r="CO2" s="2" t="s">
        <v>78</v>
      </c>
      <c r="CS2" s="2" t="s">
        <v>80</v>
      </c>
      <c r="CT2" s="2" t="s">
        <v>348</v>
      </c>
      <c r="CU2" s="2" t="s">
        <v>441</v>
      </c>
      <c r="CV2" s="2" t="s">
        <v>80</v>
      </c>
      <c r="CW2" s="2" t="s">
        <v>348</v>
      </c>
      <c r="CX2" s="2" t="s">
        <v>441</v>
      </c>
      <c r="CY2" s="2" t="s">
        <v>77</v>
      </c>
      <c r="CZ2" s="2" t="s">
        <v>77</v>
      </c>
      <c r="DA2" s="2" t="s">
        <v>78</v>
      </c>
      <c r="DE2" s="2" t="s">
        <v>77</v>
      </c>
      <c r="DF2" s="2" t="s">
        <v>78</v>
      </c>
      <c r="DG2" s="2" t="s">
        <v>78</v>
      </c>
      <c r="DH2" s="2" t="s">
        <v>442</v>
      </c>
      <c r="DI2" s="2" t="s">
        <v>443</v>
      </c>
      <c r="DJ2" s="2" t="s">
        <v>77</v>
      </c>
      <c r="DK2" s="2" t="s">
        <v>77</v>
      </c>
      <c r="DN2" s="2" t="s">
        <v>77</v>
      </c>
      <c r="DO2" s="2" t="s">
        <v>77</v>
      </c>
      <c r="DP2" s="2" t="s">
        <v>80</v>
      </c>
      <c r="DQ2" s="2" t="s">
        <v>438</v>
      </c>
      <c r="DR2" s="2" t="s">
        <v>77</v>
      </c>
      <c r="DS2" s="2" t="s">
        <v>78</v>
      </c>
      <c r="DT2" s="2" t="s">
        <v>349</v>
      </c>
      <c r="DU2" s="2" t="s">
        <v>78</v>
      </c>
      <c r="DV2" s="2" t="s">
        <v>77</v>
      </c>
      <c r="DZ2" s="9" t="s">
        <v>77</v>
      </c>
      <c r="EA2" s="2" t="s">
        <v>77</v>
      </c>
      <c r="EB2" s="2" t="s">
        <v>80</v>
      </c>
      <c r="EC2" s="2" t="s">
        <v>438</v>
      </c>
      <c r="ED2" s="2" t="s">
        <v>77</v>
      </c>
      <c r="EE2" s="2" t="s">
        <v>78</v>
      </c>
      <c r="EF2" s="2" t="s">
        <v>349</v>
      </c>
      <c r="EG2" s="2" t="s">
        <v>78</v>
      </c>
      <c r="EH2" s="2" t="s">
        <v>77</v>
      </c>
      <c r="EL2" s="2" t="s">
        <v>77</v>
      </c>
      <c r="EM2" s="2" t="s">
        <v>77</v>
      </c>
      <c r="EN2" s="2" t="s">
        <v>80</v>
      </c>
      <c r="EO2" s="2" t="s">
        <v>438</v>
      </c>
      <c r="EP2" s="2" t="s">
        <v>77</v>
      </c>
      <c r="EQ2" s="2" t="s">
        <v>78</v>
      </c>
      <c r="ER2" s="2" t="s">
        <v>349</v>
      </c>
      <c r="ES2" s="2" t="s">
        <v>78</v>
      </c>
      <c r="ET2" s="2" t="s">
        <v>77</v>
      </c>
      <c r="EX2" s="2" t="s">
        <v>77</v>
      </c>
      <c r="EY2" s="2" t="s">
        <v>77</v>
      </c>
      <c r="EZ2" s="2" t="s">
        <v>80</v>
      </c>
      <c r="FA2" s="2" t="s">
        <v>438</v>
      </c>
      <c r="FB2" s="2" t="s">
        <v>77</v>
      </c>
      <c r="FC2" s="2" t="s">
        <v>78</v>
      </c>
      <c r="FD2" s="2" t="s">
        <v>349</v>
      </c>
      <c r="FE2" s="2" t="s">
        <v>78</v>
      </c>
      <c r="FF2" s="2" t="s">
        <v>77</v>
      </c>
    </row>
    <row r="3" spans="1:163"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 t="s">
        <v>77</v>
      </c>
      <c r="AY3" s="2" t="s">
        <v>77</v>
      </c>
      <c r="AZ3" s="2" t="s">
        <v>80</v>
      </c>
      <c r="BA3" s="2" t="s">
        <v>438</v>
      </c>
      <c r="BB3" s="2" t="s">
        <v>79</v>
      </c>
      <c r="BC3" s="2" t="s">
        <v>78</v>
      </c>
      <c r="BD3" s="2" t="s">
        <v>349</v>
      </c>
      <c r="BE3" s="2" t="s">
        <v>78</v>
      </c>
      <c r="BF3" s="2" t="s">
        <v>77</v>
      </c>
      <c r="BG3" s="2"/>
      <c r="BH3" s="2"/>
      <c r="BI3" s="2" t="s">
        <v>77</v>
      </c>
      <c r="BJ3" s="2" t="s">
        <v>80</v>
      </c>
      <c r="BK3" s="2" t="s">
        <v>348</v>
      </c>
      <c r="BL3" s="2" t="s">
        <v>444</v>
      </c>
      <c r="BM3" s="2" t="s">
        <v>80</v>
      </c>
      <c r="BN3" s="2" t="s">
        <v>348</v>
      </c>
      <c r="BO3" s="2" t="s">
        <v>444</v>
      </c>
      <c r="BP3" s="2" t="s">
        <v>77</v>
      </c>
      <c r="BQ3" s="2" t="s">
        <v>77</v>
      </c>
      <c r="BR3" s="2" t="s">
        <v>77</v>
      </c>
      <c r="BS3" s="2" t="s">
        <v>77</v>
      </c>
      <c r="BT3" s="2" t="s">
        <v>77</v>
      </c>
      <c r="BU3" s="2" t="s">
        <v>77</v>
      </c>
      <c r="BV3" s="2" t="s">
        <v>78</v>
      </c>
      <c r="BW3" s="2" t="s">
        <v>78</v>
      </c>
      <c r="BX3" s="2" t="s">
        <v>78</v>
      </c>
      <c r="BY3" s="2"/>
      <c r="BZ3" s="2"/>
      <c r="CA3" s="2"/>
      <c r="CB3" s="2" t="s">
        <v>77</v>
      </c>
      <c r="CC3" s="2" t="s">
        <v>80</v>
      </c>
      <c r="CD3" s="2" t="s">
        <v>77</v>
      </c>
      <c r="CE3" s="2" t="s">
        <v>77</v>
      </c>
      <c r="CF3" s="2" t="s">
        <v>77</v>
      </c>
      <c r="CG3" s="2" t="s">
        <v>80</v>
      </c>
      <c r="CH3" s="2" t="s">
        <v>348</v>
      </c>
      <c r="CI3" s="2" t="s">
        <v>445</v>
      </c>
      <c r="CJ3" s="2" t="s">
        <v>80</v>
      </c>
      <c r="CK3" s="2" t="s">
        <v>348</v>
      </c>
      <c r="CL3" s="2" t="s">
        <v>445</v>
      </c>
      <c r="CM3" s="2" t="s">
        <v>77</v>
      </c>
      <c r="CN3" s="2" t="s">
        <v>77</v>
      </c>
      <c r="CO3" s="2" t="s">
        <v>78</v>
      </c>
      <c r="CP3" s="2"/>
      <c r="CQ3" s="2"/>
      <c r="CR3" s="2"/>
      <c r="CS3" s="2" t="s">
        <v>80</v>
      </c>
      <c r="CT3" s="2" t="s">
        <v>348</v>
      </c>
      <c r="CU3" s="2" t="s">
        <v>444</v>
      </c>
      <c r="CV3" s="2" t="s">
        <v>80</v>
      </c>
      <c r="CW3" s="2" t="s">
        <v>348</v>
      </c>
      <c r="CX3" s="2" t="s">
        <v>444</v>
      </c>
      <c r="CY3" s="2" t="s">
        <v>77</v>
      </c>
      <c r="CZ3" s="2" t="s">
        <v>77</v>
      </c>
      <c r="DA3" s="2" t="s">
        <v>78</v>
      </c>
      <c r="DB3" s="2"/>
      <c r="DC3" s="2"/>
      <c r="DD3" s="2"/>
      <c r="DE3" s="2" t="s">
        <v>77</v>
      </c>
      <c r="DF3" s="2" t="s">
        <v>78</v>
      </c>
      <c r="DG3" s="2" t="s">
        <v>78</v>
      </c>
      <c r="DH3" s="2" t="s">
        <v>78</v>
      </c>
      <c r="DI3" s="2" t="s">
        <v>444</v>
      </c>
      <c r="DJ3" s="2" t="s">
        <v>77</v>
      </c>
      <c r="DK3" s="2" t="s">
        <v>77</v>
      </c>
      <c r="DL3" s="2"/>
      <c r="DM3" s="2"/>
      <c r="DN3" s="2" t="s">
        <v>77</v>
      </c>
      <c r="DO3" s="2" t="s">
        <v>77</v>
      </c>
      <c r="DP3" s="2" t="s">
        <v>80</v>
      </c>
      <c r="DQ3" s="2" t="s">
        <v>438</v>
      </c>
      <c r="DR3" s="2" t="s">
        <v>77</v>
      </c>
      <c r="DS3" s="2" t="s">
        <v>78</v>
      </c>
      <c r="DT3" s="2" t="s">
        <v>349</v>
      </c>
      <c r="DU3" s="2" t="s">
        <v>78</v>
      </c>
      <c r="DV3" s="2" t="s">
        <v>77</v>
      </c>
      <c r="DW3" s="2"/>
      <c r="DX3" s="2"/>
      <c r="DY3" s="2"/>
      <c r="DZ3" s="9" t="s">
        <v>77</v>
      </c>
      <c r="EA3" s="2" t="s">
        <v>77</v>
      </c>
      <c r="EB3" s="2" t="s">
        <v>80</v>
      </c>
      <c r="EC3" s="2" t="s">
        <v>438</v>
      </c>
      <c r="ED3" s="2" t="s">
        <v>77</v>
      </c>
      <c r="EE3" s="2" t="s">
        <v>78</v>
      </c>
      <c r="EF3" s="2" t="s">
        <v>349</v>
      </c>
      <c r="EG3" s="2" t="s">
        <v>78</v>
      </c>
      <c r="EH3" s="2" t="s">
        <v>77</v>
      </c>
      <c r="EI3" s="2"/>
      <c r="EJ3" s="2"/>
      <c r="EK3" s="2"/>
      <c r="EL3" s="2" t="s">
        <v>77</v>
      </c>
      <c r="EM3" s="2" t="s">
        <v>77</v>
      </c>
      <c r="EN3" s="2" t="s">
        <v>80</v>
      </c>
      <c r="EO3" s="2" t="s">
        <v>438</v>
      </c>
      <c r="EP3" s="2" t="s">
        <v>77</v>
      </c>
      <c r="EQ3" s="2" t="s">
        <v>78</v>
      </c>
      <c r="ER3" s="2" t="s">
        <v>349</v>
      </c>
      <c r="ES3" s="2" t="s">
        <v>78</v>
      </c>
      <c r="ET3" s="2" t="s">
        <v>77</v>
      </c>
      <c r="EU3" s="2"/>
      <c r="EV3" s="2"/>
      <c r="EW3" s="2"/>
      <c r="EX3" s="2" t="s">
        <v>77</v>
      </c>
      <c r="EY3" s="2" t="s">
        <v>77</v>
      </c>
      <c r="EZ3" s="2" t="s">
        <v>80</v>
      </c>
      <c r="FA3" s="2" t="s">
        <v>438</v>
      </c>
      <c r="FB3" s="2" t="s">
        <v>77</v>
      </c>
      <c r="FC3" s="2" t="s">
        <v>78</v>
      </c>
      <c r="FD3" s="2" t="s">
        <v>349</v>
      </c>
      <c r="FE3" s="2" t="s">
        <v>78</v>
      </c>
      <c r="FF3" s="2" t="s">
        <v>77</v>
      </c>
      <c r="FG3" s="2"/>
    </row>
    <row r="4" spans="1:163">
      <c r="AX4" s="9" t="s">
        <v>77</v>
      </c>
      <c r="AY4" s="9" t="s">
        <v>77</v>
      </c>
      <c r="AZ4" s="9" t="s">
        <v>80</v>
      </c>
      <c r="BA4" s="9" t="s">
        <v>438</v>
      </c>
      <c r="BB4" s="9" t="s">
        <v>79</v>
      </c>
      <c r="BC4" s="9" t="s">
        <v>78</v>
      </c>
      <c r="BD4" s="9" t="s">
        <v>349</v>
      </c>
      <c r="BE4" s="9" t="s">
        <v>78</v>
      </c>
      <c r="BF4" s="9" t="s">
        <v>77</v>
      </c>
      <c r="BI4" s="9" t="s">
        <v>77</v>
      </c>
      <c r="BJ4" s="9" t="s">
        <v>80</v>
      </c>
      <c r="BK4" s="9" t="s">
        <v>348</v>
      </c>
      <c r="BL4" s="9" t="s">
        <v>446</v>
      </c>
      <c r="BM4" s="9" t="s">
        <v>80</v>
      </c>
      <c r="BN4" s="9" t="s">
        <v>348</v>
      </c>
      <c r="BO4" s="9" t="s">
        <v>446</v>
      </c>
      <c r="BP4" s="9" t="s">
        <v>77</v>
      </c>
      <c r="BQ4" s="9" t="s">
        <v>77</v>
      </c>
      <c r="BR4" s="9" t="s">
        <v>77</v>
      </c>
      <c r="BS4" s="9" t="s">
        <v>77</v>
      </c>
      <c r="BT4" s="9" t="s">
        <v>77</v>
      </c>
      <c r="BU4" s="9" t="s">
        <v>77</v>
      </c>
      <c r="BV4" s="9" t="s">
        <v>78</v>
      </c>
      <c r="BW4" s="9" t="s">
        <v>78</v>
      </c>
      <c r="BX4" s="9" t="s">
        <v>78</v>
      </c>
      <c r="CB4" s="9" t="s">
        <v>77</v>
      </c>
      <c r="CC4" s="9" t="s">
        <v>80</v>
      </c>
      <c r="CD4" s="9" t="s">
        <v>77</v>
      </c>
      <c r="CE4" s="9" t="s">
        <v>77</v>
      </c>
      <c r="CF4" s="9" t="s">
        <v>77</v>
      </c>
      <c r="CG4" s="9" t="s">
        <v>80</v>
      </c>
      <c r="CH4" s="9" t="s">
        <v>348</v>
      </c>
      <c r="CI4" s="9" t="s">
        <v>446</v>
      </c>
      <c r="CJ4" s="9" t="s">
        <v>80</v>
      </c>
      <c r="CK4" s="9" t="s">
        <v>348</v>
      </c>
      <c r="CL4" s="9" t="s">
        <v>446</v>
      </c>
      <c r="CM4" s="9" t="s">
        <v>77</v>
      </c>
      <c r="CN4" s="9" t="s">
        <v>77</v>
      </c>
      <c r="CO4" s="9" t="s">
        <v>78</v>
      </c>
      <c r="CS4" s="9" t="s">
        <v>80</v>
      </c>
      <c r="CT4" s="9" t="s">
        <v>348</v>
      </c>
      <c r="CU4" s="9" t="s">
        <v>446</v>
      </c>
      <c r="CV4" s="9" t="s">
        <v>80</v>
      </c>
      <c r="CW4" s="9" t="s">
        <v>348</v>
      </c>
      <c r="CX4" s="9" t="s">
        <v>446</v>
      </c>
      <c r="CY4" s="9" t="s">
        <v>77</v>
      </c>
      <c r="CZ4" s="9" t="s">
        <v>77</v>
      </c>
      <c r="DA4" s="9" t="s">
        <v>78</v>
      </c>
      <c r="DE4" s="9" t="s">
        <v>77</v>
      </c>
      <c r="DF4" s="9" t="s">
        <v>78</v>
      </c>
      <c r="DG4" s="9" t="s">
        <v>78</v>
      </c>
      <c r="DH4" s="9" t="s">
        <v>78</v>
      </c>
      <c r="DI4" s="9" t="s">
        <v>447</v>
      </c>
      <c r="DJ4" s="9" t="s">
        <v>77</v>
      </c>
      <c r="DK4" s="9" t="s">
        <v>77</v>
      </c>
      <c r="DN4" s="9" t="s">
        <v>77</v>
      </c>
      <c r="DO4" s="9" t="s">
        <v>77</v>
      </c>
      <c r="DP4" s="9" t="s">
        <v>80</v>
      </c>
      <c r="DQ4" s="9" t="s">
        <v>438</v>
      </c>
      <c r="DR4" s="9" t="s">
        <v>77</v>
      </c>
      <c r="DS4" s="9" t="s">
        <v>78</v>
      </c>
      <c r="DT4" s="9" t="s">
        <v>349</v>
      </c>
      <c r="DU4" s="9" t="s">
        <v>78</v>
      </c>
      <c r="DV4" s="9" t="s">
        <v>77</v>
      </c>
      <c r="DZ4" s="9" t="s">
        <v>77</v>
      </c>
      <c r="EA4" s="9" t="s">
        <v>77</v>
      </c>
      <c r="EB4" s="9" t="s">
        <v>80</v>
      </c>
      <c r="EC4" s="9" t="s">
        <v>438</v>
      </c>
      <c r="ED4" s="9" t="s">
        <v>77</v>
      </c>
      <c r="EE4" s="9" t="s">
        <v>78</v>
      </c>
      <c r="EF4" s="9" t="s">
        <v>349</v>
      </c>
      <c r="EG4" s="9" t="s">
        <v>78</v>
      </c>
      <c r="EH4" s="9" t="s">
        <v>77</v>
      </c>
      <c r="EL4" s="9" t="s">
        <v>77</v>
      </c>
      <c r="EM4" s="9" t="s">
        <v>77</v>
      </c>
      <c r="EN4" s="9" t="s">
        <v>80</v>
      </c>
      <c r="EO4" s="9" t="s">
        <v>438</v>
      </c>
      <c r="EP4" s="9" t="s">
        <v>77</v>
      </c>
      <c r="EQ4" s="9" t="s">
        <v>78</v>
      </c>
      <c r="ER4" s="9" t="s">
        <v>349</v>
      </c>
      <c r="ES4" s="9" t="s">
        <v>78</v>
      </c>
      <c r="ET4" s="9" t="s">
        <v>77</v>
      </c>
      <c r="EX4" s="9" t="s">
        <v>77</v>
      </c>
      <c r="EY4" s="9" t="s">
        <v>77</v>
      </c>
      <c r="EZ4" s="9" t="s">
        <v>80</v>
      </c>
      <c r="FA4" s="9" t="s">
        <v>438</v>
      </c>
      <c r="FB4" s="9" t="s">
        <v>77</v>
      </c>
      <c r="FC4" s="9" t="s">
        <v>78</v>
      </c>
      <c r="FD4" s="9" t="s">
        <v>349</v>
      </c>
      <c r="FE4" s="9" t="s">
        <v>78</v>
      </c>
      <c r="FF4" s="9" t="s">
        <v>77</v>
      </c>
    </row>
    <row r="5" spans="1:163">
      <c r="AX5" s="9" t="s">
        <v>77</v>
      </c>
      <c r="AY5" s="9" t="s">
        <v>77</v>
      </c>
      <c r="AZ5" s="9" t="s">
        <v>80</v>
      </c>
      <c r="BA5" s="9" t="s">
        <v>438</v>
      </c>
      <c r="BB5" s="9" t="s">
        <v>79</v>
      </c>
      <c r="BC5" s="9" t="s">
        <v>78</v>
      </c>
      <c r="BD5" s="9" t="s">
        <v>349</v>
      </c>
      <c r="BE5" s="9" t="s">
        <v>78</v>
      </c>
      <c r="BF5" s="9" t="s">
        <v>77</v>
      </c>
      <c r="BI5" s="9" t="s">
        <v>77</v>
      </c>
      <c r="BJ5" s="9" t="s">
        <v>80</v>
      </c>
      <c r="BK5" s="9" t="s">
        <v>348</v>
      </c>
      <c r="BL5" s="9" t="s">
        <v>448</v>
      </c>
      <c r="BM5" s="9" t="s">
        <v>80</v>
      </c>
      <c r="BN5" s="9" t="s">
        <v>348</v>
      </c>
      <c r="BO5" s="9" t="s">
        <v>448</v>
      </c>
      <c r="BP5" s="9" t="s">
        <v>77</v>
      </c>
      <c r="BQ5" s="9" t="s">
        <v>77</v>
      </c>
      <c r="BR5" s="9" t="s">
        <v>77</v>
      </c>
      <c r="BS5" s="9" t="s">
        <v>77</v>
      </c>
      <c r="BT5" s="9" t="s">
        <v>77</v>
      </c>
      <c r="BU5" s="9" t="s">
        <v>77</v>
      </c>
      <c r="BV5" s="9" t="s">
        <v>78</v>
      </c>
      <c r="BW5" s="9" t="s">
        <v>78</v>
      </c>
      <c r="BX5" s="9" t="s">
        <v>78</v>
      </c>
      <c r="CB5" s="9" t="s">
        <v>77</v>
      </c>
      <c r="CC5" s="9" t="s">
        <v>80</v>
      </c>
      <c r="CD5" s="9" t="s">
        <v>77</v>
      </c>
      <c r="CE5" s="9" t="s">
        <v>77</v>
      </c>
      <c r="CF5" s="9" t="s">
        <v>77</v>
      </c>
      <c r="CG5" s="9" t="s">
        <v>80</v>
      </c>
      <c r="CH5" s="9" t="s">
        <v>348</v>
      </c>
      <c r="CI5" s="9" t="s">
        <v>449</v>
      </c>
      <c r="CJ5" s="9" t="s">
        <v>80</v>
      </c>
      <c r="CK5" s="9" t="s">
        <v>348</v>
      </c>
      <c r="CL5" s="9" t="s">
        <v>449</v>
      </c>
      <c r="CM5" s="9" t="s">
        <v>77</v>
      </c>
      <c r="CN5" s="9" t="s">
        <v>77</v>
      </c>
      <c r="CO5" s="9" t="s">
        <v>78</v>
      </c>
      <c r="CS5" s="9" t="s">
        <v>80</v>
      </c>
      <c r="CT5" s="9" t="s">
        <v>348</v>
      </c>
      <c r="CU5" s="9" t="s">
        <v>448</v>
      </c>
      <c r="CV5" s="9" t="s">
        <v>80</v>
      </c>
      <c r="CW5" s="9" t="s">
        <v>348</v>
      </c>
      <c r="CX5" s="9" t="s">
        <v>448</v>
      </c>
      <c r="CY5" s="9" t="s">
        <v>77</v>
      </c>
      <c r="CZ5" s="9" t="s">
        <v>77</v>
      </c>
      <c r="DA5" s="9" t="s">
        <v>78</v>
      </c>
      <c r="DE5" s="9" t="s">
        <v>77</v>
      </c>
      <c r="DF5" s="9" t="s">
        <v>78</v>
      </c>
      <c r="DG5" s="9" t="s">
        <v>78</v>
      </c>
      <c r="DH5" s="9" t="s">
        <v>78</v>
      </c>
      <c r="DI5" s="9" t="s">
        <v>450</v>
      </c>
      <c r="DJ5" s="9" t="s">
        <v>77</v>
      </c>
      <c r="DK5" s="9" t="s">
        <v>77</v>
      </c>
      <c r="DN5" s="9" t="s">
        <v>77</v>
      </c>
      <c r="DO5" s="9" t="s">
        <v>77</v>
      </c>
      <c r="DP5" s="9" t="s">
        <v>80</v>
      </c>
      <c r="DQ5" s="9" t="s">
        <v>438</v>
      </c>
      <c r="DR5" s="9" t="s">
        <v>77</v>
      </c>
      <c r="DS5" s="9" t="s">
        <v>78</v>
      </c>
      <c r="DT5" s="9" t="s">
        <v>349</v>
      </c>
      <c r="DU5" s="9" t="s">
        <v>78</v>
      </c>
      <c r="DV5" s="9" t="s">
        <v>77</v>
      </c>
      <c r="DZ5" s="9" t="s">
        <v>77</v>
      </c>
      <c r="EA5" s="9" t="s">
        <v>77</v>
      </c>
      <c r="EB5" s="9" t="s">
        <v>80</v>
      </c>
      <c r="EC5" s="9" t="s">
        <v>438</v>
      </c>
      <c r="ED5" s="9" t="s">
        <v>77</v>
      </c>
      <c r="EE5" s="9" t="s">
        <v>78</v>
      </c>
      <c r="EF5" s="9" t="s">
        <v>349</v>
      </c>
      <c r="EG5" s="9" t="s">
        <v>78</v>
      </c>
      <c r="EH5" s="9" t="s">
        <v>77</v>
      </c>
      <c r="EL5" s="9" t="s">
        <v>77</v>
      </c>
      <c r="EM5" s="9" t="s">
        <v>77</v>
      </c>
      <c r="EN5" s="9" t="s">
        <v>80</v>
      </c>
      <c r="EO5" s="9" t="s">
        <v>438</v>
      </c>
      <c r="EP5" s="9" t="s">
        <v>77</v>
      </c>
      <c r="EQ5" s="9" t="s">
        <v>78</v>
      </c>
      <c r="ER5" s="9" t="s">
        <v>349</v>
      </c>
      <c r="ES5" s="9" t="s">
        <v>78</v>
      </c>
      <c r="ET5" s="9" t="s">
        <v>77</v>
      </c>
      <c r="EX5" s="9" t="s">
        <v>77</v>
      </c>
      <c r="EY5" s="9" t="s">
        <v>77</v>
      </c>
      <c r="EZ5" s="9" t="s">
        <v>80</v>
      </c>
      <c r="FA5" s="9" t="s">
        <v>438</v>
      </c>
      <c r="FB5" s="9" t="s">
        <v>77</v>
      </c>
      <c r="FC5" s="9" t="s">
        <v>78</v>
      </c>
      <c r="FD5" s="9" t="s">
        <v>349</v>
      </c>
      <c r="FE5" s="9" t="s">
        <v>78</v>
      </c>
      <c r="FF5" s="9" t="s">
        <v>77</v>
      </c>
    </row>
    <row r="6" spans="1:163">
      <c r="AX6" s="9" t="s">
        <v>77</v>
      </c>
      <c r="AY6" s="9" t="s">
        <v>77</v>
      </c>
      <c r="AZ6" s="9" t="s">
        <v>80</v>
      </c>
      <c r="BA6" s="9" t="s">
        <v>438</v>
      </c>
      <c r="BB6" s="9" t="s">
        <v>79</v>
      </c>
      <c r="BC6" s="9" t="s">
        <v>78</v>
      </c>
      <c r="BD6" s="9" t="s">
        <v>349</v>
      </c>
      <c r="BE6" s="9" t="s">
        <v>78</v>
      </c>
      <c r="BF6" s="9" t="s">
        <v>77</v>
      </c>
      <c r="BI6" s="9" t="s">
        <v>77</v>
      </c>
      <c r="BJ6" s="9" t="s">
        <v>80</v>
      </c>
      <c r="BK6" s="9" t="s">
        <v>348</v>
      </c>
      <c r="BL6" s="9" t="s">
        <v>451</v>
      </c>
      <c r="BM6" s="9" t="s">
        <v>80</v>
      </c>
      <c r="BN6" s="9" t="s">
        <v>348</v>
      </c>
      <c r="BO6" s="9" t="s">
        <v>451</v>
      </c>
      <c r="BP6" s="9" t="s">
        <v>77</v>
      </c>
      <c r="BQ6" s="9" t="s">
        <v>77</v>
      </c>
      <c r="BR6" s="9" t="s">
        <v>77</v>
      </c>
      <c r="BS6" s="9" t="s">
        <v>77</v>
      </c>
      <c r="BT6" s="9" t="s">
        <v>77</v>
      </c>
      <c r="BU6" s="9" t="s">
        <v>77</v>
      </c>
      <c r="BV6" s="9" t="s">
        <v>78</v>
      </c>
      <c r="BW6" s="9" t="s">
        <v>78</v>
      </c>
      <c r="BX6" s="9" t="s">
        <v>78</v>
      </c>
      <c r="CB6" s="9" t="s">
        <v>77</v>
      </c>
      <c r="CC6" s="9" t="s">
        <v>80</v>
      </c>
      <c r="CD6" s="9" t="s">
        <v>77</v>
      </c>
      <c r="CE6" s="9" t="s">
        <v>77</v>
      </c>
      <c r="CF6" s="9" t="s">
        <v>77</v>
      </c>
      <c r="CG6" s="9" t="s">
        <v>80</v>
      </c>
      <c r="CH6" s="9" t="s">
        <v>348</v>
      </c>
      <c r="CI6" s="9" t="s">
        <v>452</v>
      </c>
      <c r="CJ6" s="9" t="s">
        <v>80</v>
      </c>
      <c r="CK6" s="9" t="s">
        <v>348</v>
      </c>
      <c r="CL6" s="9" t="s">
        <v>452</v>
      </c>
      <c r="CM6" s="9" t="s">
        <v>77</v>
      </c>
      <c r="CN6" s="9" t="s">
        <v>77</v>
      </c>
      <c r="CO6" s="9" t="s">
        <v>78</v>
      </c>
      <c r="CS6" s="9" t="s">
        <v>80</v>
      </c>
      <c r="CT6" s="9" t="s">
        <v>348</v>
      </c>
      <c r="CU6" s="9" t="s">
        <v>451</v>
      </c>
      <c r="CV6" s="9" t="s">
        <v>80</v>
      </c>
      <c r="CW6" s="9" t="s">
        <v>348</v>
      </c>
      <c r="CX6" s="9" t="s">
        <v>451</v>
      </c>
      <c r="CY6" s="9" t="s">
        <v>77</v>
      </c>
      <c r="CZ6" s="9" t="s">
        <v>77</v>
      </c>
      <c r="DA6" s="9" t="s">
        <v>78</v>
      </c>
      <c r="DE6" s="9" t="s">
        <v>77</v>
      </c>
      <c r="DF6" s="9" t="s">
        <v>78</v>
      </c>
      <c r="DG6" s="9" t="s">
        <v>78</v>
      </c>
      <c r="DH6" s="9" t="s">
        <v>78</v>
      </c>
      <c r="DI6" s="9" t="s">
        <v>451</v>
      </c>
      <c r="DJ6" s="9" t="s">
        <v>77</v>
      </c>
      <c r="DK6" s="9" t="s">
        <v>77</v>
      </c>
      <c r="DN6" s="9" t="s">
        <v>77</v>
      </c>
      <c r="DO6" s="9" t="s">
        <v>77</v>
      </c>
      <c r="DP6" s="9" t="s">
        <v>80</v>
      </c>
      <c r="DQ6" s="9" t="s">
        <v>438</v>
      </c>
      <c r="DR6" s="9" t="s">
        <v>77</v>
      </c>
      <c r="DS6" s="9" t="s">
        <v>78</v>
      </c>
      <c r="DT6" s="9" t="s">
        <v>349</v>
      </c>
      <c r="DU6" s="9" t="s">
        <v>78</v>
      </c>
      <c r="DV6" s="9" t="s">
        <v>77</v>
      </c>
      <c r="DZ6" s="9" t="s">
        <v>77</v>
      </c>
      <c r="EA6" s="9" t="s">
        <v>77</v>
      </c>
      <c r="EB6" s="9" t="s">
        <v>80</v>
      </c>
      <c r="EC6" s="9" t="s">
        <v>438</v>
      </c>
      <c r="ED6" s="9" t="s">
        <v>77</v>
      </c>
      <c r="EE6" s="9" t="s">
        <v>78</v>
      </c>
      <c r="EF6" s="9" t="s">
        <v>349</v>
      </c>
      <c r="EG6" s="9" t="s">
        <v>78</v>
      </c>
      <c r="EH6" s="9" t="s">
        <v>77</v>
      </c>
      <c r="EL6" s="9" t="s">
        <v>77</v>
      </c>
      <c r="EM6" s="9" t="s">
        <v>77</v>
      </c>
      <c r="EN6" s="9" t="s">
        <v>80</v>
      </c>
      <c r="EO6" s="9" t="s">
        <v>438</v>
      </c>
      <c r="EP6" s="9" t="s">
        <v>77</v>
      </c>
      <c r="EQ6" s="9" t="s">
        <v>78</v>
      </c>
      <c r="ER6" s="9" t="s">
        <v>349</v>
      </c>
      <c r="ES6" s="9" t="s">
        <v>78</v>
      </c>
      <c r="ET6" s="9" t="s">
        <v>77</v>
      </c>
      <c r="EX6" s="9" t="s">
        <v>77</v>
      </c>
      <c r="EY6" s="9" t="s">
        <v>77</v>
      </c>
      <c r="EZ6" s="9" t="s">
        <v>80</v>
      </c>
      <c r="FA6" s="9" t="s">
        <v>438</v>
      </c>
      <c r="FB6" s="9" t="s">
        <v>77</v>
      </c>
      <c r="FC6" s="9" t="s">
        <v>78</v>
      </c>
      <c r="FD6" s="9" t="s">
        <v>349</v>
      </c>
      <c r="FE6" s="9" t="s">
        <v>78</v>
      </c>
      <c r="FF6" s="9" t="s">
        <v>77</v>
      </c>
    </row>
    <row r="7" spans="1:163">
      <c r="AX7" s="9" t="s">
        <v>77</v>
      </c>
      <c r="AY7" s="9" t="s">
        <v>77</v>
      </c>
      <c r="AZ7" s="9" t="s">
        <v>80</v>
      </c>
      <c r="BA7" s="9" t="s">
        <v>438</v>
      </c>
      <c r="BB7" s="9" t="s">
        <v>79</v>
      </c>
      <c r="BC7" s="9" t="s">
        <v>78</v>
      </c>
      <c r="BD7" s="9" t="s">
        <v>349</v>
      </c>
      <c r="BE7" s="9" t="s">
        <v>78</v>
      </c>
      <c r="BF7" s="9" t="s">
        <v>77</v>
      </c>
      <c r="BI7" s="9" t="s">
        <v>77</v>
      </c>
      <c r="BJ7" s="9" t="s">
        <v>80</v>
      </c>
      <c r="BK7" s="9" t="s">
        <v>348</v>
      </c>
      <c r="BL7" s="9" t="s">
        <v>453</v>
      </c>
      <c r="BM7" s="9" t="s">
        <v>80</v>
      </c>
      <c r="BN7" s="9" t="s">
        <v>348</v>
      </c>
      <c r="BO7" s="9" t="s">
        <v>453</v>
      </c>
      <c r="BP7" s="9" t="s">
        <v>77</v>
      </c>
      <c r="BQ7" s="9" t="s">
        <v>77</v>
      </c>
      <c r="BR7" s="9" t="s">
        <v>77</v>
      </c>
      <c r="BS7" s="9" t="s">
        <v>77</v>
      </c>
      <c r="BT7" s="9" t="s">
        <v>77</v>
      </c>
      <c r="BU7" s="9" t="s">
        <v>77</v>
      </c>
      <c r="BV7" s="9" t="s">
        <v>78</v>
      </c>
      <c r="BW7" s="9" t="s">
        <v>78</v>
      </c>
      <c r="BX7" s="9" t="s">
        <v>78</v>
      </c>
      <c r="CB7" s="9" t="s">
        <v>77</v>
      </c>
      <c r="CC7" s="9" t="s">
        <v>80</v>
      </c>
      <c r="CD7" s="9" t="s">
        <v>77</v>
      </c>
      <c r="CE7" s="9" t="s">
        <v>77</v>
      </c>
      <c r="CF7" s="9" t="s">
        <v>77</v>
      </c>
      <c r="CG7" s="9" t="s">
        <v>80</v>
      </c>
      <c r="CH7" s="9" t="s">
        <v>348</v>
      </c>
      <c r="CI7" s="9" t="s">
        <v>454</v>
      </c>
      <c r="CJ7" s="9" t="s">
        <v>80</v>
      </c>
      <c r="CK7" s="9" t="s">
        <v>348</v>
      </c>
      <c r="CL7" s="9" t="s">
        <v>454</v>
      </c>
      <c r="CM7" s="9" t="s">
        <v>77</v>
      </c>
      <c r="CN7" s="9" t="s">
        <v>77</v>
      </c>
      <c r="CO7" s="9" t="s">
        <v>78</v>
      </c>
      <c r="CS7" s="9" t="s">
        <v>80</v>
      </c>
      <c r="CT7" s="9" t="s">
        <v>348</v>
      </c>
      <c r="CU7" s="9" t="s">
        <v>455</v>
      </c>
      <c r="CV7" s="9" t="s">
        <v>80</v>
      </c>
      <c r="CW7" s="9" t="s">
        <v>348</v>
      </c>
      <c r="CX7" s="9" t="s">
        <v>455</v>
      </c>
      <c r="CY7" s="9" t="s">
        <v>77</v>
      </c>
      <c r="CZ7" s="9" t="s">
        <v>77</v>
      </c>
      <c r="DA7" s="9" t="s">
        <v>78</v>
      </c>
      <c r="DE7" s="9" t="s">
        <v>77</v>
      </c>
      <c r="DF7" s="9" t="s">
        <v>78</v>
      </c>
      <c r="DG7" s="9" t="s">
        <v>78</v>
      </c>
      <c r="DH7" s="9" t="s">
        <v>78</v>
      </c>
      <c r="DI7" s="9" t="s">
        <v>453</v>
      </c>
      <c r="DJ7" s="9" t="s">
        <v>77</v>
      </c>
      <c r="DK7" s="9" t="s">
        <v>77</v>
      </c>
      <c r="DN7" s="9" t="s">
        <v>77</v>
      </c>
      <c r="DO7" s="9" t="s">
        <v>77</v>
      </c>
      <c r="DP7" s="9" t="s">
        <v>80</v>
      </c>
      <c r="DQ7" s="9" t="s">
        <v>438</v>
      </c>
      <c r="DR7" s="9" t="s">
        <v>77</v>
      </c>
      <c r="DS7" s="9" t="s">
        <v>78</v>
      </c>
      <c r="DT7" s="9" t="s">
        <v>349</v>
      </c>
      <c r="DU7" s="9" t="s">
        <v>78</v>
      </c>
      <c r="DV7" s="9" t="s">
        <v>77</v>
      </c>
      <c r="DZ7" s="9" t="s">
        <v>77</v>
      </c>
      <c r="EA7" s="9" t="s">
        <v>77</v>
      </c>
      <c r="EB7" s="9" t="s">
        <v>80</v>
      </c>
      <c r="EC7" s="9" t="s">
        <v>438</v>
      </c>
      <c r="ED7" s="9" t="s">
        <v>77</v>
      </c>
      <c r="EE7" s="9" t="s">
        <v>78</v>
      </c>
      <c r="EF7" s="9" t="s">
        <v>349</v>
      </c>
      <c r="EG7" s="9" t="s">
        <v>78</v>
      </c>
      <c r="EH7" s="9" t="s">
        <v>77</v>
      </c>
      <c r="EL7" s="9" t="s">
        <v>77</v>
      </c>
      <c r="EM7" s="9" t="s">
        <v>77</v>
      </c>
      <c r="EN7" s="9" t="s">
        <v>80</v>
      </c>
      <c r="EO7" s="9" t="s">
        <v>438</v>
      </c>
      <c r="EP7" s="9" t="s">
        <v>77</v>
      </c>
      <c r="EQ7" s="9" t="s">
        <v>78</v>
      </c>
      <c r="ER7" s="9" t="s">
        <v>349</v>
      </c>
      <c r="ES7" s="9" t="s">
        <v>78</v>
      </c>
      <c r="ET7" s="9" t="s">
        <v>77</v>
      </c>
      <c r="EX7" s="9" t="s">
        <v>77</v>
      </c>
      <c r="EY7" s="9" t="s">
        <v>77</v>
      </c>
      <c r="EZ7" s="9" t="s">
        <v>80</v>
      </c>
      <c r="FA7" s="9" t="s">
        <v>438</v>
      </c>
      <c r="FB7" s="9" t="s">
        <v>77</v>
      </c>
      <c r="FC7" s="9" t="s">
        <v>78</v>
      </c>
      <c r="FD7" s="9" t="s">
        <v>349</v>
      </c>
      <c r="FE7" s="9" t="s">
        <v>78</v>
      </c>
      <c r="FF7" s="9" t="s">
        <v>77</v>
      </c>
    </row>
    <row r="8" spans="1:163">
      <c r="AX8" s="9" t="s">
        <v>77</v>
      </c>
      <c r="AY8" s="9" t="s">
        <v>77</v>
      </c>
      <c r="AZ8" s="9" t="s">
        <v>80</v>
      </c>
      <c r="BA8" s="9" t="s">
        <v>438</v>
      </c>
      <c r="BB8" s="9" t="s">
        <v>79</v>
      </c>
      <c r="BC8" s="9" t="s">
        <v>78</v>
      </c>
      <c r="BD8" s="9" t="s">
        <v>349</v>
      </c>
      <c r="BE8" s="9" t="s">
        <v>78</v>
      </c>
      <c r="BF8" s="9" t="s">
        <v>77</v>
      </c>
      <c r="BI8" s="9" t="s">
        <v>77</v>
      </c>
      <c r="BJ8" s="9" t="s">
        <v>80</v>
      </c>
      <c r="BK8" s="9" t="s">
        <v>348</v>
      </c>
      <c r="BL8" s="9" t="s">
        <v>456</v>
      </c>
      <c r="BM8" s="9" t="s">
        <v>80</v>
      </c>
      <c r="BN8" s="9" t="s">
        <v>348</v>
      </c>
      <c r="BO8" s="9" t="s">
        <v>456</v>
      </c>
      <c r="BP8" s="9" t="s">
        <v>77</v>
      </c>
      <c r="BQ8" s="9" t="s">
        <v>77</v>
      </c>
      <c r="BR8" s="9" t="s">
        <v>77</v>
      </c>
      <c r="BS8" s="9" t="s">
        <v>77</v>
      </c>
      <c r="BT8" s="9" t="s">
        <v>77</v>
      </c>
      <c r="BU8" s="9" t="s">
        <v>77</v>
      </c>
      <c r="BV8" s="9" t="s">
        <v>78</v>
      </c>
      <c r="BW8" s="9" t="s">
        <v>78</v>
      </c>
      <c r="BX8" s="9" t="s">
        <v>78</v>
      </c>
      <c r="CB8" s="9" t="s">
        <v>77</v>
      </c>
      <c r="CC8" s="9" t="s">
        <v>80</v>
      </c>
      <c r="CD8" s="9" t="s">
        <v>77</v>
      </c>
      <c r="CE8" s="9" t="s">
        <v>77</v>
      </c>
      <c r="CF8" s="9" t="s">
        <v>77</v>
      </c>
      <c r="CG8" s="9" t="s">
        <v>80</v>
      </c>
      <c r="CH8" s="9" t="s">
        <v>348</v>
      </c>
      <c r="CI8" s="9" t="s">
        <v>457</v>
      </c>
      <c r="CJ8" s="9" t="s">
        <v>80</v>
      </c>
      <c r="CK8" s="9" t="s">
        <v>348</v>
      </c>
      <c r="CL8" s="9" t="s">
        <v>457</v>
      </c>
      <c r="CM8" s="9" t="s">
        <v>77</v>
      </c>
      <c r="CN8" s="9" t="s">
        <v>77</v>
      </c>
      <c r="CO8" s="9" t="s">
        <v>78</v>
      </c>
      <c r="CS8" s="9" t="s">
        <v>80</v>
      </c>
      <c r="CT8" s="9" t="s">
        <v>348</v>
      </c>
      <c r="CU8" s="9" t="s">
        <v>456</v>
      </c>
      <c r="CV8" s="9" t="s">
        <v>80</v>
      </c>
      <c r="CW8" s="9" t="s">
        <v>348</v>
      </c>
      <c r="CX8" s="9" t="s">
        <v>456</v>
      </c>
      <c r="CY8" s="9" t="s">
        <v>77</v>
      </c>
      <c r="CZ8" s="9" t="s">
        <v>77</v>
      </c>
      <c r="DA8" s="9" t="s">
        <v>78</v>
      </c>
      <c r="DE8" s="9" t="s">
        <v>77</v>
      </c>
      <c r="DF8" s="9" t="s">
        <v>78</v>
      </c>
      <c r="DG8" s="9" t="s">
        <v>78</v>
      </c>
      <c r="DH8" s="9" t="s">
        <v>78</v>
      </c>
      <c r="DI8" s="9" t="s">
        <v>458</v>
      </c>
      <c r="DJ8" s="9" t="s">
        <v>77</v>
      </c>
      <c r="DK8" s="9" t="s">
        <v>77</v>
      </c>
      <c r="DN8" s="9" t="s">
        <v>77</v>
      </c>
      <c r="DO8" s="9" t="s">
        <v>77</v>
      </c>
      <c r="DP8" s="9" t="s">
        <v>80</v>
      </c>
      <c r="DQ8" s="9" t="s">
        <v>438</v>
      </c>
      <c r="DR8" s="9" t="s">
        <v>77</v>
      </c>
      <c r="DS8" s="9" t="s">
        <v>78</v>
      </c>
      <c r="DT8" s="9" t="s">
        <v>349</v>
      </c>
      <c r="DU8" s="9" t="s">
        <v>78</v>
      </c>
      <c r="DV8" s="9" t="s">
        <v>77</v>
      </c>
      <c r="DZ8" s="9" t="s">
        <v>77</v>
      </c>
      <c r="EA8" s="9" t="s">
        <v>77</v>
      </c>
      <c r="EB8" s="9" t="s">
        <v>80</v>
      </c>
      <c r="EC8" s="9" t="s">
        <v>438</v>
      </c>
      <c r="ED8" s="9" t="s">
        <v>77</v>
      </c>
      <c r="EE8" s="9" t="s">
        <v>78</v>
      </c>
      <c r="EF8" s="9" t="s">
        <v>349</v>
      </c>
      <c r="EG8" s="9" t="s">
        <v>78</v>
      </c>
      <c r="EH8" s="9" t="s">
        <v>77</v>
      </c>
      <c r="EL8" s="9" t="s">
        <v>77</v>
      </c>
      <c r="EM8" s="9" t="s">
        <v>77</v>
      </c>
      <c r="EN8" s="9" t="s">
        <v>80</v>
      </c>
      <c r="EO8" s="9" t="s">
        <v>438</v>
      </c>
      <c r="EP8" s="9" t="s">
        <v>77</v>
      </c>
      <c r="EQ8" s="9" t="s">
        <v>78</v>
      </c>
      <c r="ER8" s="9" t="s">
        <v>349</v>
      </c>
      <c r="ES8" s="9" t="s">
        <v>78</v>
      </c>
      <c r="ET8" s="9" t="s">
        <v>77</v>
      </c>
      <c r="EX8" s="9" t="s">
        <v>77</v>
      </c>
      <c r="EY8" s="9" t="s">
        <v>77</v>
      </c>
      <c r="EZ8" s="9" t="s">
        <v>80</v>
      </c>
      <c r="FA8" s="9" t="s">
        <v>438</v>
      </c>
      <c r="FB8" s="9" t="s">
        <v>77</v>
      </c>
      <c r="FC8" s="9" t="s">
        <v>78</v>
      </c>
      <c r="FD8" s="9" t="s">
        <v>349</v>
      </c>
      <c r="FE8" s="9" t="s">
        <v>78</v>
      </c>
      <c r="FF8" s="9" t="s">
        <v>77</v>
      </c>
    </row>
    <row r="9" spans="1:163">
      <c r="AX9" s="9" t="s">
        <v>77</v>
      </c>
      <c r="AY9" s="9" t="s">
        <v>77</v>
      </c>
      <c r="AZ9" s="9" t="s">
        <v>80</v>
      </c>
      <c r="BA9" s="9" t="s">
        <v>438</v>
      </c>
      <c r="BB9" s="9" t="s">
        <v>79</v>
      </c>
      <c r="BC9" s="9" t="s">
        <v>78</v>
      </c>
      <c r="BD9" s="9" t="s">
        <v>349</v>
      </c>
      <c r="BE9" s="9" t="s">
        <v>78</v>
      </c>
      <c r="BF9" s="9" t="s">
        <v>77</v>
      </c>
      <c r="BI9" s="9" t="s">
        <v>77</v>
      </c>
      <c r="BJ9" s="9" t="s">
        <v>80</v>
      </c>
      <c r="BK9" s="9" t="s">
        <v>348</v>
      </c>
      <c r="BL9" s="9" t="s">
        <v>459</v>
      </c>
      <c r="BM9" s="9" t="s">
        <v>80</v>
      </c>
      <c r="BN9" s="9" t="s">
        <v>348</v>
      </c>
      <c r="BO9" s="9" t="s">
        <v>459</v>
      </c>
      <c r="BP9" s="9" t="s">
        <v>77</v>
      </c>
      <c r="BQ9" s="9" t="s">
        <v>77</v>
      </c>
      <c r="BR9" s="9" t="s">
        <v>77</v>
      </c>
      <c r="BS9" s="9" t="s">
        <v>77</v>
      </c>
      <c r="BT9" s="9" t="s">
        <v>77</v>
      </c>
      <c r="BU9" s="9" t="s">
        <v>77</v>
      </c>
      <c r="BV9" s="9" t="s">
        <v>78</v>
      </c>
      <c r="BW9" s="9" t="s">
        <v>78</v>
      </c>
      <c r="BX9" s="9" t="s">
        <v>78</v>
      </c>
      <c r="CB9" s="9" t="s">
        <v>77</v>
      </c>
      <c r="CC9" s="9" t="s">
        <v>80</v>
      </c>
      <c r="CD9" s="9" t="s">
        <v>77</v>
      </c>
      <c r="CE9" s="9" t="s">
        <v>77</v>
      </c>
      <c r="CF9" s="9" t="s">
        <v>77</v>
      </c>
      <c r="CG9" s="9" t="s">
        <v>80</v>
      </c>
      <c r="CH9" s="9" t="s">
        <v>348</v>
      </c>
      <c r="CI9" s="9" t="s">
        <v>459</v>
      </c>
      <c r="CJ9" s="9" t="s">
        <v>80</v>
      </c>
      <c r="CK9" s="9" t="s">
        <v>348</v>
      </c>
      <c r="CL9" s="9" t="s">
        <v>459</v>
      </c>
      <c r="CM9" s="9" t="s">
        <v>77</v>
      </c>
      <c r="CN9" s="9" t="s">
        <v>77</v>
      </c>
      <c r="CO9" s="9" t="s">
        <v>78</v>
      </c>
      <c r="CS9" s="9" t="s">
        <v>80</v>
      </c>
      <c r="CT9" s="9" t="s">
        <v>348</v>
      </c>
      <c r="CU9" s="9" t="s">
        <v>459</v>
      </c>
      <c r="CV9" s="9" t="s">
        <v>80</v>
      </c>
      <c r="CW9" s="9" t="s">
        <v>348</v>
      </c>
      <c r="CX9" s="9" t="s">
        <v>459</v>
      </c>
      <c r="CY9" s="9" t="s">
        <v>77</v>
      </c>
      <c r="CZ9" s="9" t="s">
        <v>77</v>
      </c>
      <c r="DA9" s="9" t="s">
        <v>78</v>
      </c>
      <c r="DE9" s="9" t="s">
        <v>77</v>
      </c>
      <c r="DF9" s="9" t="s">
        <v>78</v>
      </c>
      <c r="DG9" s="9" t="s">
        <v>78</v>
      </c>
      <c r="DH9" s="9" t="s">
        <v>78</v>
      </c>
      <c r="DI9" s="9" t="s">
        <v>460</v>
      </c>
      <c r="DJ9" s="9" t="s">
        <v>77</v>
      </c>
      <c r="DK9" s="9" t="s">
        <v>77</v>
      </c>
      <c r="DN9" s="9" t="s">
        <v>77</v>
      </c>
      <c r="DO9" s="9" t="s">
        <v>77</v>
      </c>
      <c r="DP9" s="9" t="s">
        <v>80</v>
      </c>
      <c r="DQ9" s="9" t="s">
        <v>438</v>
      </c>
      <c r="DR9" s="9" t="s">
        <v>77</v>
      </c>
      <c r="DS9" s="9" t="s">
        <v>78</v>
      </c>
      <c r="DT9" s="9" t="s">
        <v>349</v>
      </c>
      <c r="DU9" s="9" t="s">
        <v>78</v>
      </c>
      <c r="DV9" s="9" t="s">
        <v>77</v>
      </c>
      <c r="DZ9" s="9" t="s">
        <v>77</v>
      </c>
      <c r="EA9" s="9" t="s">
        <v>77</v>
      </c>
      <c r="EB9" s="9" t="s">
        <v>80</v>
      </c>
      <c r="EC9" s="9" t="s">
        <v>438</v>
      </c>
      <c r="ED9" s="9" t="s">
        <v>77</v>
      </c>
      <c r="EE9" s="9" t="s">
        <v>78</v>
      </c>
      <c r="EF9" s="9" t="s">
        <v>349</v>
      </c>
      <c r="EG9" s="9" t="s">
        <v>78</v>
      </c>
      <c r="EH9" s="9" t="s">
        <v>77</v>
      </c>
      <c r="EL9" s="9" t="s">
        <v>77</v>
      </c>
      <c r="EM9" s="9" t="s">
        <v>77</v>
      </c>
      <c r="EN9" s="9" t="s">
        <v>80</v>
      </c>
      <c r="EO9" s="9" t="s">
        <v>438</v>
      </c>
      <c r="EP9" s="9" t="s">
        <v>77</v>
      </c>
      <c r="EQ9" s="9" t="s">
        <v>78</v>
      </c>
      <c r="ER9" s="9" t="s">
        <v>349</v>
      </c>
      <c r="ES9" s="9" t="s">
        <v>78</v>
      </c>
      <c r="ET9" s="9" t="s">
        <v>77</v>
      </c>
      <c r="EX9" s="9" t="s">
        <v>77</v>
      </c>
      <c r="EY9" s="9" t="s">
        <v>77</v>
      </c>
      <c r="EZ9" s="9" t="s">
        <v>80</v>
      </c>
      <c r="FA9" s="9" t="s">
        <v>438</v>
      </c>
      <c r="FB9" s="9" t="s">
        <v>77</v>
      </c>
      <c r="FC9" s="9" t="s">
        <v>78</v>
      </c>
      <c r="FD9" s="9" t="s">
        <v>349</v>
      </c>
      <c r="FE9" s="9" t="s">
        <v>78</v>
      </c>
      <c r="FF9" s="9" t="s">
        <v>77</v>
      </c>
    </row>
    <row r="10" spans="1:163">
      <c r="AX10" s="9" t="s">
        <v>77</v>
      </c>
      <c r="AY10" s="9" t="s">
        <v>77</v>
      </c>
      <c r="AZ10" s="9" t="s">
        <v>80</v>
      </c>
      <c r="BA10" s="9" t="s">
        <v>438</v>
      </c>
      <c r="BB10" s="9" t="s">
        <v>79</v>
      </c>
      <c r="BC10" s="9" t="s">
        <v>78</v>
      </c>
      <c r="BD10" s="9" t="s">
        <v>349</v>
      </c>
      <c r="BE10" s="9" t="s">
        <v>78</v>
      </c>
      <c r="BF10" s="9" t="s">
        <v>77</v>
      </c>
      <c r="BI10" s="9" t="s">
        <v>77</v>
      </c>
      <c r="BJ10" s="9" t="s">
        <v>80</v>
      </c>
      <c r="BK10" s="9" t="s">
        <v>348</v>
      </c>
      <c r="BL10" s="9" t="s">
        <v>461</v>
      </c>
      <c r="BM10" s="9" t="s">
        <v>80</v>
      </c>
      <c r="BN10" s="9" t="s">
        <v>348</v>
      </c>
      <c r="BO10" s="9" t="s">
        <v>461</v>
      </c>
      <c r="BP10" s="9" t="s">
        <v>77</v>
      </c>
      <c r="BQ10" s="9" t="s">
        <v>77</v>
      </c>
      <c r="BR10" s="9" t="s">
        <v>77</v>
      </c>
      <c r="BS10" s="9" t="s">
        <v>77</v>
      </c>
      <c r="BT10" s="9" t="s">
        <v>77</v>
      </c>
      <c r="BU10" s="9" t="s">
        <v>77</v>
      </c>
      <c r="BV10" s="9" t="s">
        <v>78</v>
      </c>
      <c r="BW10" s="9" t="s">
        <v>78</v>
      </c>
      <c r="BX10" s="9" t="s">
        <v>78</v>
      </c>
      <c r="CB10" s="9" t="s">
        <v>77</v>
      </c>
      <c r="CC10" s="9" t="s">
        <v>80</v>
      </c>
      <c r="CD10" s="9" t="s">
        <v>77</v>
      </c>
      <c r="CE10" s="9" t="s">
        <v>77</v>
      </c>
      <c r="CF10" s="9" t="s">
        <v>77</v>
      </c>
      <c r="CG10" s="9" t="s">
        <v>80</v>
      </c>
      <c r="CH10" s="9" t="s">
        <v>348</v>
      </c>
      <c r="CI10" s="9" t="s">
        <v>462</v>
      </c>
      <c r="CJ10" s="9" t="s">
        <v>80</v>
      </c>
      <c r="CK10" s="9" t="s">
        <v>348</v>
      </c>
      <c r="CL10" s="9" t="s">
        <v>462</v>
      </c>
      <c r="CM10" s="9" t="s">
        <v>77</v>
      </c>
      <c r="CN10" s="9" t="s">
        <v>77</v>
      </c>
      <c r="CO10" s="9" t="s">
        <v>78</v>
      </c>
      <c r="CS10" s="9" t="s">
        <v>80</v>
      </c>
      <c r="CT10" s="9" t="s">
        <v>348</v>
      </c>
      <c r="CU10" s="9" t="s">
        <v>461</v>
      </c>
      <c r="CV10" s="9" t="s">
        <v>80</v>
      </c>
      <c r="CW10" s="9" t="s">
        <v>348</v>
      </c>
      <c r="CX10" s="9" t="s">
        <v>461</v>
      </c>
      <c r="CY10" s="9" t="s">
        <v>77</v>
      </c>
      <c r="CZ10" s="9" t="s">
        <v>77</v>
      </c>
      <c r="DA10" s="9" t="s">
        <v>78</v>
      </c>
      <c r="DE10" s="9" t="s">
        <v>77</v>
      </c>
      <c r="DF10" s="9" t="s">
        <v>78</v>
      </c>
      <c r="DG10" s="9" t="s">
        <v>78</v>
      </c>
      <c r="DH10" s="9" t="s">
        <v>78</v>
      </c>
      <c r="DI10" s="9" t="s">
        <v>461</v>
      </c>
      <c r="DJ10" s="9" t="s">
        <v>77</v>
      </c>
      <c r="DK10" s="9" t="s">
        <v>77</v>
      </c>
      <c r="DN10" s="9" t="s">
        <v>77</v>
      </c>
      <c r="DO10" s="9" t="s">
        <v>77</v>
      </c>
      <c r="DP10" s="9" t="s">
        <v>80</v>
      </c>
      <c r="DQ10" s="9" t="s">
        <v>438</v>
      </c>
      <c r="DR10" s="9" t="s">
        <v>77</v>
      </c>
      <c r="DS10" s="9" t="s">
        <v>78</v>
      </c>
      <c r="DT10" s="9" t="s">
        <v>349</v>
      </c>
      <c r="DU10" s="9" t="s">
        <v>78</v>
      </c>
      <c r="DV10" s="9" t="s">
        <v>77</v>
      </c>
      <c r="DZ10" s="9" t="s">
        <v>77</v>
      </c>
      <c r="EA10" s="9" t="s">
        <v>77</v>
      </c>
      <c r="EB10" s="9" t="s">
        <v>80</v>
      </c>
      <c r="EC10" s="9" t="s">
        <v>438</v>
      </c>
      <c r="ED10" s="9" t="s">
        <v>77</v>
      </c>
      <c r="EE10" s="9" t="s">
        <v>78</v>
      </c>
      <c r="EF10" s="9" t="s">
        <v>349</v>
      </c>
      <c r="EG10" s="9" t="s">
        <v>78</v>
      </c>
      <c r="EH10" s="9" t="s">
        <v>77</v>
      </c>
      <c r="EL10" s="9" t="s">
        <v>77</v>
      </c>
      <c r="EM10" s="9" t="s">
        <v>77</v>
      </c>
      <c r="EN10" s="9" t="s">
        <v>80</v>
      </c>
      <c r="EO10" s="9" t="s">
        <v>438</v>
      </c>
      <c r="EP10" s="9" t="s">
        <v>77</v>
      </c>
      <c r="EQ10" s="9" t="s">
        <v>78</v>
      </c>
      <c r="ER10" s="9" t="s">
        <v>349</v>
      </c>
      <c r="ES10" s="9" t="s">
        <v>78</v>
      </c>
      <c r="ET10" s="9" t="s">
        <v>77</v>
      </c>
      <c r="EX10" s="9" t="s">
        <v>77</v>
      </c>
      <c r="EY10" s="9" t="s">
        <v>77</v>
      </c>
      <c r="EZ10" s="9" t="s">
        <v>80</v>
      </c>
      <c r="FA10" s="9" t="s">
        <v>438</v>
      </c>
      <c r="FB10" s="9" t="s">
        <v>77</v>
      </c>
      <c r="FC10" s="9" t="s">
        <v>78</v>
      </c>
      <c r="FD10" s="9" t="s">
        <v>349</v>
      </c>
      <c r="FE10" s="9" t="s">
        <v>78</v>
      </c>
      <c r="FF10" s="9" t="s">
        <v>77</v>
      </c>
    </row>
    <row r="11" spans="1:163">
      <c r="AX11" s="9" t="s">
        <v>77</v>
      </c>
      <c r="AY11" s="9" t="s">
        <v>77</v>
      </c>
      <c r="AZ11" s="9" t="s">
        <v>80</v>
      </c>
      <c r="BA11" s="9" t="s">
        <v>438</v>
      </c>
      <c r="BB11" s="9" t="s">
        <v>79</v>
      </c>
      <c r="BC11" s="9" t="s">
        <v>78</v>
      </c>
      <c r="BD11" s="9" t="s">
        <v>349</v>
      </c>
      <c r="BE11" s="9" t="s">
        <v>78</v>
      </c>
      <c r="BF11" s="9" t="s">
        <v>77</v>
      </c>
      <c r="BI11" s="9" t="s">
        <v>77</v>
      </c>
      <c r="BJ11" s="9" t="s">
        <v>80</v>
      </c>
      <c r="BK11" s="9" t="s">
        <v>348</v>
      </c>
      <c r="BL11" s="9" t="s">
        <v>463</v>
      </c>
      <c r="BM11" s="9" t="s">
        <v>80</v>
      </c>
      <c r="BN11" s="9" t="s">
        <v>348</v>
      </c>
      <c r="BO11" s="9" t="s">
        <v>463</v>
      </c>
      <c r="BP11" s="9" t="s">
        <v>77</v>
      </c>
      <c r="BQ11" s="9" t="s">
        <v>77</v>
      </c>
      <c r="BR11" s="9" t="s">
        <v>77</v>
      </c>
      <c r="BS11" s="9" t="s">
        <v>77</v>
      </c>
      <c r="BT11" s="9" t="s">
        <v>77</v>
      </c>
      <c r="BU11" s="9" t="s">
        <v>77</v>
      </c>
      <c r="BV11" s="9" t="s">
        <v>78</v>
      </c>
      <c r="BW11" s="9" t="s">
        <v>78</v>
      </c>
      <c r="BX11" s="9" t="s">
        <v>78</v>
      </c>
      <c r="CB11" s="9" t="s">
        <v>77</v>
      </c>
      <c r="CC11" s="9" t="s">
        <v>80</v>
      </c>
      <c r="CD11" s="9" t="s">
        <v>77</v>
      </c>
      <c r="CE11" s="9" t="s">
        <v>77</v>
      </c>
      <c r="CF11" s="9" t="s">
        <v>77</v>
      </c>
      <c r="CG11" s="9" t="s">
        <v>80</v>
      </c>
      <c r="CH11" s="9" t="s">
        <v>348</v>
      </c>
      <c r="CI11" s="9" t="s">
        <v>463</v>
      </c>
      <c r="CJ11" s="9" t="s">
        <v>80</v>
      </c>
      <c r="CK11" s="9" t="s">
        <v>348</v>
      </c>
      <c r="CL11" s="9" t="s">
        <v>463</v>
      </c>
      <c r="CM11" s="9" t="s">
        <v>77</v>
      </c>
      <c r="CN11" s="9" t="s">
        <v>77</v>
      </c>
      <c r="CO11" s="9" t="s">
        <v>78</v>
      </c>
      <c r="CS11" s="9" t="s">
        <v>80</v>
      </c>
      <c r="CT11" s="9" t="s">
        <v>348</v>
      </c>
      <c r="CU11" s="9" t="s">
        <v>463</v>
      </c>
      <c r="CV11" s="9" t="s">
        <v>80</v>
      </c>
      <c r="CW11" s="9" t="s">
        <v>348</v>
      </c>
      <c r="CX11" s="9" t="s">
        <v>463</v>
      </c>
      <c r="CY11" s="9" t="s">
        <v>77</v>
      </c>
      <c r="CZ11" s="9" t="s">
        <v>77</v>
      </c>
      <c r="DA11" s="9" t="s">
        <v>78</v>
      </c>
      <c r="DE11" s="9" t="s">
        <v>77</v>
      </c>
      <c r="DF11" s="9" t="s">
        <v>78</v>
      </c>
      <c r="DG11" s="9" t="s">
        <v>78</v>
      </c>
      <c r="DH11" s="9" t="s">
        <v>78</v>
      </c>
      <c r="DI11" s="9" t="s">
        <v>464</v>
      </c>
      <c r="DJ11" s="9" t="s">
        <v>77</v>
      </c>
      <c r="DK11" s="9" t="s">
        <v>77</v>
      </c>
      <c r="DN11" s="9" t="s">
        <v>77</v>
      </c>
      <c r="DO11" s="9" t="s">
        <v>77</v>
      </c>
      <c r="DP11" s="9" t="s">
        <v>80</v>
      </c>
      <c r="DQ11" s="9" t="s">
        <v>438</v>
      </c>
      <c r="DR11" s="9" t="s">
        <v>77</v>
      </c>
      <c r="DS11" s="9" t="s">
        <v>78</v>
      </c>
      <c r="DT11" s="9" t="s">
        <v>349</v>
      </c>
      <c r="DU11" s="9" t="s">
        <v>78</v>
      </c>
      <c r="DV11" s="9" t="s">
        <v>77</v>
      </c>
      <c r="DZ11" s="9" t="s">
        <v>77</v>
      </c>
      <c r="EA11" s="9" t="s">
        <v>77</v>
      </c>
      <c r="EB11" s="9" t="s">
        <v>80</v>
      </c>
      <c r="EC11" s="9" t="s">
        <v>438</v>
      </c>
      <c r="ED11" s="9" t="s">
        <v>77</v>
      </c>
      <c r="EE11" s="9" t="s">
        <v>78</v>
      </c>
      <c r="EF11" s="9" t="s">
        <v>349</v>
      </c>
      <c r="EG11" s="9" t="s">
        <v>78</v>
      </c>
      <c r="EH11" s="9" t="s">
        <v>77</v>
      </c>
      <c r="EL11" s="9" t="s">
        <v>77</v>
      </c>
      <c r="EM11" s="9" t="s">
        <v>77</v>
      </c>
      <c r="EN11" s="9" t="s">
        <v>80</v>
      </c>
      <c r="EO11" s="9" t="s">
        <v>438</v>
      </c>
      <c r="EP11" s="9" t="s">
        <v>77</v>
      </c>
      <c r="EQ11" s="9" t="s">
        <v>78</v>
      </c>
      <c r="ER11" s="9" t="s">
        <v>349</v>
      </c>
      <c r="ES11" s="9" t="s">
        <v>78</v>
      </c>
      <c r="ET11" s="9" t="s">
        <v>77</v>
      </c>
      <c r="EX11" s="9" t="s">
        <v>77</v>
      </c>
      <c r="EY11" s="9" t="s">
        <v>77</v>
      </c>
      <c r="EZ11" s="9" t="s">
        <v>80</v>
      </c>
      <c r="FA11" s="9" t="s">
        <v>438</v>
      </c>
      <c r="FB11" s="9" t="s">
        <v>77</v>
      </c>
      <c r="FC11" s="9" t="s">
        <v>78</v>
      </c>
      <c r="FD11" s="9" t="s">
        <v>349</v>
      </c>
      <c r="FE11" s="9" t="s">
        <v>78</v>
      </c>
      <c r="FF11" s="9" t="s">
        <v>77</v>
      </c>
    </row>
    <row r="12" spans="1:163">
      <c r="AX12" s="9" t="s">
        <v>77</v>
      </c>
      <c r="AY12" s="9" t="s">
        <v>77</v>
      </c>
      <c r="AZ12" s="9" t="s">
        <v>80</v>
      </c>
      <c r="BA12" s="9" t="s">
        <v>438</v>
      </c>
      <c r="BB12" s="9" t="s">
        <v>79</v>
      </c>
      <c r="BC12" s="9" t="s">
        <v>78</v>
      </c>
      <c r="BD12" s="9" t="s">
        <v>349</v>
      </c>
      <c r="BE12" s="9" t="s">
        <v>78</v>
      </c>
      <c r="BF12" s="9" t="s">
        <v>77</v>
      </c>
      <c r="BI12" s="9" t="s">
        <v>77</v>
      </c>
      <c r="BJ12" s="9" t="s">
        <v>80</v>
      </c>
      <c r="BK12" s="9" t="s">
        <v>348</v>
      </c>
      <c r="BL12" s="9" t="s">
        <v>465</v>
      </c>
      <c r="BM12" s="9" t="s">
        <v>80</v>
      </c>
      <c r="BN12" s="9" t="s">
        <v>348</v>
      </c>
      <c r="BO12" s="9" t="s">
        <v>465</v>
      </c>
      <c r="BP12" s="9" t="s">
        <v>77</v>
      </c>
      <c r="BQ12" s="9" t="s">
        <v>77</v>
      </c>
      <c r="BR12" s="9" t="s">
        <v>77</v>
      </c>
      <c r="BS12" s="9" t="s">
        <v>77</v>
      </c>
      <c r="BT12" s="9" t="s">
        <v>77</v>
      </c>
      <c r="BU12" s="9" t="s">
        <v>77</v>
      </c>
      <c r="BV12" s="9" t="s">
        <v>78</v>
      </c>
      <c r="BW12" s="9" t="s">
        <v>78</v>
      </c>
      <c r="BX12" s="9" t="s">
        <v>78</v>
      </c>
      <c r="CB12" s="9" t="s">
        <v>77</v>
      </c>
      <c r="CC12" s="9" t="s">
        <v>80</v>
      </c>
      <c r="CD12" s="9" t="s">
        <v>77</v>
      </c>
      <c r="CE12" s="9" t="s">
        <v>77</v>
      </c>
      <c r="CF12" s="9" t="s">
        <v>77</v>
      </c>
      <c r="CG12" s="9" t="s">
        <v>80</v>
      </c>
      <c r="CH12" s="9" t="s">
        <v>348</v>
      </c>
      <c r="CI12" s="9" t="s">
        <v>466</v>
      </c>
      <c r="CJ12" s="9" t="s">
        <v>80</v>
      </c>
      <c r="CK12" s="9" t="s">
        <v>348</v>
      </c>
      <c r="CL12" s="9" t="s">
        <v>466</v>
      </c>
      <c r="CM12" s="9" t="s">
        <v>77</v>
      </c>
      <c r="CN12" s="9" t="s">
        <v>77</v>
      </c>
      <c r="CO12" s="9" t="s">
        <v>78</v>
      </c>
      <c r="CS12" s="9" t="s">
        <v>80</v>
      </c>
      <c r="CT12" s="9" t="s">
        <v>348</v>
      </c>
      <c r="CU12" s="9" t="s">
        <v>465</v>
      </c>
      <c r="CV12" s="9" t="s">
        <v>80</v>
      </c>
      <c r="CW12" s="9" t="s">
        <v>348</v>
      </c>
      <c r="CX12" s="9" t="s">
        <v>465</v>
      </c>
      <c r="CY12" s="9" t="s">
        <v>77</v>
      </c>
      <c r="CZ12" s="9" t="s">
        <v>77</v>
      </c>
      <c r="DA12" s="9" t="s">
        <v>78</v>
      </c>
      <c r="DE12" s="9" t="s">
        <v>77</v>
      </c>
      <c r="DF12" s="9" t="s">
        <v>78</v>
      </c>
      <c r="DG12" s="9" t="s">
        <v>78</v>
      </c>
      <c r="DH12" s="9" t="s">
        <v>78</v>
      </c>
      <c r="DI12" s="9" t="s">
        <v>467</v>
      </c>
      <c r="DJ12" s="9" t="s">
        <v>77</v>
      </c>
      <c r="DK12" s="9" t="s">
        <v>77</v>
      </c>
      <c r="DN12" s="9" t="s">
        <v>77</v>
      </c>
      <c r="DO12" s="9" t="s">
        <v>77</v>
      </c>
      <c r="DP12" s="9" t="s">
        <v>80</v>
      </c>
      <c r="DQ12" s="9" t="s">
        <v>438</v>
      </c>
      <c r="DR12" s="9" t="s">
        <v>77</v>
      </c>
      <c r="DS12" s="9" t="s">
        <v>78</v>
      </c>
      <c r="DT12" s="9" t="s">
        <v>349</v>
      </c>
      <c r="DU12" s="9" t="s">
        <v>78</v>
      </c>
      <c r="DV12" s="9" t="s">
        <v>77</v>
      </c>
      <c r="DZ12" s="9" t="s">
        <v>77</v>
      </c>
      <c r="EA12" s="9" t="s">
        <v>77</v>
      </c>
      <c r="EB12" s="9" t="s">
        <v>80</v>
      </c>
      <c r="EC12" s="9" t="s">
        <v>438</v>
      </c>
      <c r="ED12" s="9" t="s">
        <v>77</v>
      </c>
      <c r="EE12" s="9" t="s">
        <v>78</v>
      </c>
      <c r="EF12" s="9" t="s">
        <v>349</v>
      </c>
      <c r="EG12" s="9" t="s">
        <v>78</v>
      </c>
      <c r="EH12" s="9" t="s">
        <v>77</v>
      </c>
      <c r="EL12" s="9" t="s">
        <v>77</v>
      </c>
      <c r="EM12" s="9" t="s">
        <v>77</v>
      </c>
      <c r="EN12" s="9" t="s">
        <v>80</v>
      </c>
      <c r="EO12" s="9" t="s">
        <v>438</v>
      </c>
      <c r="EP12" s="9" t="s">
        <v>77</v>
      </c>
      <c r="EQ12" s="9" t="s">
        <v>78</v>
      </c>
      <c r="ER12" s="9" t="s">
        <v>349</v>
      </c>
      <c r="ES12" s="9" t="s">
        <v>78</v>
      </c>
      <c r="ET12" s="9" t="s">
        <v>77</v>
      </c>
      <c r="EX12" s="9" t="s">
        <v>77</v>
      </c>
      <c r="EY12" s="9" t="s">
        <v>77</v>
      </c>
      <c r="EZ12" s="9" t="s">
        <v>80</v>
      </c>
      <c r="FA12" s="9" t="s">
        <v>438</v>
      </c>
      <c r="FB12" s="9" t="s">
        <v>77</v>
      </c>
      <c r="FC12" s="9" t="s">
        <v>78</v>
      </c>
      <c r="FD12" s="9" t="s">
        <v>349</v>
      </c>
      <c r="FE12" s="9" t="s">
        <v>78</v>
      </c>
      <c r="FF12" s="9" t="s">
        <v>77</v>
      </c>
    </row>
    <row r="13" spans="1:163">
      <c r="AX13" s="9" t="s">
        <v>77</v>
      </c>
      <c r="AY13" s="9" t="s">
        <v>77</v>
      </c>
      <c r="AZ13" s="9" t="s">
        <v>80</v>
      </c>
      <c r="BA13" s="9" t="s">
        <v>438</v>
      </c>
      <c r="BB13" s="9" t="s">
        <v>79</v>
      </c>
      <c r="BC13" s="9" t="s">
        <v>78</v>
      </c>
      <c r="BD13" s="9" t="s">
        <v>349</v>
      </c>
      <c r="BE13" s="9" t="s">
        <v>78</v>
      </c>
      <c r="BF13" s="9" t="s">
        <v>77</v>
      </c>
      <c r="BI13" s="9" t="s">
        <v>77</v>
      </c>
      <c r="BJ13" s="9" t="s">
        <v>80</v>
      </c>
      <c r="BK13" s="9" t="s">
        <v>348</v>
      </c>
      <c r="BL13" s="9" t="s">
        <v>468</v>
      </c>
      <c r="BM13" s="9" t="s">
        <v>80</v>
      </c>
      <c r="BN13" s="9" t="s">
        <v>348</v>
      </c>
      <c r="BO13" s="9" t="s">
        <v>468</v>
      </c>
      <c r="BP13" s="9" t="s">
        <v>77</v>
      </c>
      <c r="BQ13" s="9" t="s">
        <v>77</v>
      </c>
      <c r="BR13" s="9" t="s">
        <v>77</v>
      </c>
      <c r="BS13" s="9" t="s">
        <v>77</v>
      </c>
      <c r="BT13" s="9" t="s">
        <v>77</v>
      </c>
      <c r="BU13" s="9" t="s">
        <v>77</v>
      </c>
      <c r="BV13" s="9" t="s">
        <v>78</v>
      </c>
      <c r="BW13" s="9" t="s">
        <v>78</v>
      </c>
      <c r="BX13" s="9" t="s">
        <v>78</v>
      </c>
      <c r="CB13" s="9" t="s">
        <v>77</v>
      </c>
      <c r="CC13" s="9" t="s">
        <v>80</v>
      </c>
      <c r="CD13" s="9" t="s">
        <v>77</v>
      </c>
      <c r="CE13" s="9" t="s">
        <v>77</v>
      </c>
      <c r="CF13" s="9" t="s">
        <v>77</v>
      </c>
      <c r="CG13" s="9" t="s">
        <v>80</v>
      </c>
      <c r="CH13" s="9" t="s">
        <v>348</v>
      </c>
      <c r="CI13" s="9" t="s">
        <v>469</v>
      </c>
      <c r="CJ13" s="9" t="s">
        <v>80</v>
      </c>
      <c r="CK13" s="9" t="s">
        <v>348</v>
      </c>
      <c r="CL13" s="9" t="s">
        <v>469</v>
      </c>
      <c r="CM13" s="9" t="s">
        <v>77</v>
      </c>
      <c r="CN13" s="9" t="s">
        <v>77</v>
      </c>
      <c r="CO13" s="9" t="s">
        <v>78</v>
      </c>
      <c r="CS13" s="9" t="s">
        <v>80</v>
      </c>
      <c r="CT13" s="9" t="s">
        <v>348</v>
      </c>
      <c r="CU13" s="9" t="s">
        <v>468</v>
      </c>
      <c r="CV13" s="9" t="s">
        <v>80</v>
      </c>
      <c r="CW13" s="9" t="s">
        <v>348</v>
      </c>
      <c r="CX13" s="9" t="s">
        <v>468</v>
      </c>
      <c r="CY13" s="9" t="s">
        <v>77</v>
      </c>
      <c r="CZ13" s="9" t="s">
        <v>77</v>
      </c>
      <c r="DA13" s="9" t="s">
        <v>78</v>
      </c>
      <c r="DE13" s="9" t="s">
        <v>77</v>
      </c>
      <c r="DF13" s="9" t="s">
        <v>78</v>
      </c>
      <c r="DG13" s="9" t="s">
        <v>78</v>
      </c>
      <c r="DH13" s="9" t="s">
        <v>78</v>
      </c>
      <c r="DI13" s="9" t="s">
        <v>468</v>
      </c>
      <c r="DJ13" s="9" t="s">
        <v>77</v>
      </c>
      <c r="DK13" s="9" t="s">
        <v>77</v>
      </c>
      <c r="DN13" s="9" t="s">
        <v>77</v>
      </c>
      <c r="DO13" s="9" t="s">
        <v>77</v>
      </c>
      <c r="DP13" s="9" t="s">
        <v>80</v>
      </c>
      <c r="DQ13" s="9" t="s">
        <v>438</v>
      </c>
      <c r="DR13" s="9" t="s">
        <v>77</v>
      </c>
      <c r="DS13" s="9" t="s">
        <v>78</v>
      </c>
      <c r="DT13" s="9" t="s">
        <v>349</v>
      </c>
      <c r="DU13" s="9" t="s">
        <v>78</v>
      </c>
      <c r="DV13" s="9" t="s">
        <v>77</v>
      </c>
      <c r="DZ13" s="9" t="s">
        <v>77</v>
      </c>
      <c r="EA13" s="9" t="s">
        <v>77</v>
      </c>
      <c r="EB13" s="9" t="s">
        <v>80</v>
      </c>
      <c r="EC13" s="9" t="s">
        <v>438</v>
      </c>
      <c r="ED13" s="9" t="s">
        <v>77</v>
      </c>
      <c r="EE13" s="9" t="s">
        <v>78</v>
      </c>
      <c r="EF13" s="9" t="s">
        <v>349</v>
      </c>
      <c r="EG13" s="9" t="s">
        <v>78</v>
      </c>
      <c r="EH13" s="9" t="s">
        <v>77</v>
      </c>
      <c r="EL13" s="9" t="s">
        <v>77</v>
      </c>
      <c r="EM13" s="9" t="s">
        <v>77</v>
      </c>
      <c r="EN13" s="9" t="s">
        <v>80</v>
      </c>
      <c r="EO13" s="9" t="s">
        <v>438</v>
      </c>
      <c r="EP13" s="9" t="s">
        <v>77</v>
      </c>
      <c r="EQ13" s="9" t="s">
        <v>78</v>
      </c>
      <c r="ER13" s="9" t="s">
        <v>349</v>
      </c>
      <c r="ES13" s="9" t="s">
        <v>78</v>
      </c>
      <c r="ET13" s="9" t="s">
        <v>77</v>
      </c>
      <c r="EX13" s="9" t="s">
        <v>77</v>
      </c>
      <c r="EY13" s="9" t="s">
        <v>77</v>
      </c>
      <c r="EZ13" s="9" t="s">
        <v>80</v>
      </c>
      <c r="FA13" s="9" t="s">
        <v>438</v>
      </c>
      <c r="FB13" s="9" t="s">
        <v>77</v>
      </c>
      <c r="FC13" s="9" t="s">
        <v>78</v>
      </c>
      <c r="FD13" s="9" t="s">
        <v>349</v>
      </c>
      <c r="FE13" s="9" t="s">
        <v>78</v>
      </c>
      <c r="FF13" s="9" t="s">
        <v>77</v>
      </c>
    </row>
    <row r="14" spans="1:163">
      <c r="AX14" s="9" t="s">
        <v>77</v>
      </c>
      <c r="AY14" s="9" t="s">
        <v>77</v>
      </c>
      <c r="AZ14" s="9" t="s">
        <v>80</v>
      </c>
      <c r="BA14" s="9" t="s">
        <v>438</v>
      </c>
      <c r="BB14" s="9" t="s">
        <v>79</v>
      </c>
      <c r="BC14" s="9" t="s">
        <v>78</v>
      </c>
      <c r="BD14" s="9" t="s">
        <v>349</v>
      </c>
      <c r="BE14" s="9" t="s">
        <v>78</v>
      </c>
      <c r="BF14" s="9" t="s">
        <v>77</v>
      </c>
      <c r="BI14" s="9" t="s">
        <v>77</v>
      </c>
      <c r="BJ14" s="9" t="s">
        <v>80</v>
      </c>
      <c r="BK14" s="9" t="s">
        <v>348</v>
      </c>
      <c r="BL14" s="9" t="s">
        <v>470</v>
      </c>
      <c r="BM14" s="9" t="s">
        <v>80</v>
      </c>
      <c r="BN14" s="9" t="s">
        <v>348</v>
      </c>
      <c r="BO14" s="9" t="s">
        <v>470</v>
      </c>
      <c r="BP14" s="9" t="s">
        <v>77</v>
      </c>
      <c r="BQ14" s="9" t="s">
        <v>77</v>
      </c>
      <c r="BR14" s="9" t="s">
        <v>77</v>
      </c>
      <c r="BS14" s="9" t="s">
        <v>77</v>
      </c>
      <c r="BT14" s="9" t="s">
        <v>77</v>
      </c>
      <c r="BU14" s="9" t="s">
        <v>77</v>
      </c>
      <c r="BV14" s="9" t="s">
        <v>78</v>
      </c>
      <c r="BW14" s="9" t="s">
        <v>78</v>
      </c>
      <c r="BX14" s="9" t="s">
        <v>78</v>
      </c>
      <c r="CB14" s="9" t="s">
        <v>77</v>
      </c>
      <c r="CC14" s="9" t="s">
        <v>80</v>
      </c>
      <c r="CD14" s="9" t="s">
        <v>77</v>
      </c>
      <c r="CE14" s="9" t="s">
        <v>77</v>
      </c>
      <c r="CF14" s="9" t="s">
        <v>77</v>
      </c>
      <c r="CG14" s="9" t="s">
        <v>80</v>
      </c>
      <c r="CH14" s="9" t="s">
        <v>348</v>
      </c>
      <c r="CI14" s="9" t="s">
        <v>471</v>
      </c>
      <c r="CJ14" s="9" t="s">
        <v>80</v>
      </c>
      <c r="CK14" s="9" t="s">
        <v>348</v>
      </c>
      <c r="CL14" s="9" t="s">
        <v>471</v>
      </c>
      <c r="CM14" s="9" t="s">
        <v>77</v>
      </c>
      <c r="CN14" s="9" t="s">
        <v>77</v>
      </c>
      <c r="CO14" s="9" t="s">
        <v>78</v>
      </c>
      <c r="CS14" s="9" t="s">
        <v>80</v>
      </c>
      <c r="CT14" s="9" t="s">
        <v>348</v>
      </c>
      <c r="CU14" s="9" t="s">
        <v>471</v>
      </c>
      <c r="CV14" s="9" t="s">
        <v>80</v>
      </c>
      <c r="CW14" s="9" t="s">
        <v>348</v>
      </c>
      <c r="CX14" s="9" t="s">
        <v>471</v>
      </c>
      <c r="CY14" s="9" t="s">
        <v>77</v>
      </c>
      <c r="CZ14" s="9" t="s">
        <v>77</v>
      </c>
      <c r="DA14" s="9" t="s">
        <v>78</v>
      </c>
      <c r="DE14" s="9" t="s">
        <v>77</v>
      </c>
      <c r="DF14" s="9" t="s">
        <v>78</v>
      </c>
      <c r="DG14" s="9" t="s">
        <v>78</v>
      </c>
      <c r="DH14" s="9" t="s">
        <v>78</v>
      </c>
      <c r="DI14" s="9" t="s">
        <v>470</v>
      </c>
      <c r="DJ14" s="9" t="s">
        <v>77</v>
      </c>
      <c r="DK14" s="9" t="s">
        <v>77</v>
      </c>
      <c r="DN14" s="9" t="s">
        <v>77</v>
      </c>
      <c r="DO14" s="9" t="s">
        <v>77</v>
      </c>
      <c r="DP14" s="9" t="s">
        <v>80</v>
      </c>
      <c r="DQ14" s="9" t="s">
        <v>438</v>
      </c>
      <c r="DR14" s="9" t="s">
        <v>77</v>
      </c>
      <c r="DS14" s="9" t="s">
        <v>78</v>
      </c>
      <c r="DT14" s="9" t="s">
        <v>349</v>
      </c>
      <c r="DU14" s="9" t="s">
        <v>78</v>
      </c>
      <c r="DV14" s="9" t="s">
        <v>77</v>
      </c>
      <c r="DZ14" s="9" t="s">
        <v>77</v>
      </c>
      <c r="EA14" s="9" t="s">
        <v>77</v>
      </c>
      <c r="EB14" s="9" t="s">
        <v>80</v>
      </c>
      <c r="EC14" s="9" t="s">
        <v>438</v>
      </c>
      <c r="ED14" s="9" t="s">
        <v>77</v>
      </c>
      <c r="EE14" s="9" t="s">
        <v>78</v>
      </c>
      <c r="EF14" s="9" t="s">
        <v>349</v>
      </c>
      <c r="EG14" s="9" t="s">
        <v>78</v>
      </c>
      <c r="EH14" s="9" t="s">
        <v>77</v>
      </c>
      <c r="EL14" s="9" t="s">
        <v>77</v>
      </c>
      <c r="EM14" s="9" t="s">
        <v>77</v>
      </c>
      <c r="EN14" s="9" t="s">
        <v>80</v>
      </c>
      <c r="EO14" s="9" t="s">
        <v>438</v>
      </c>
      <c r="EP14" s="9" t="s">
        <v>77</v>
      </c>
      <c r="EQ14" s="9" t="s">
        <v>78</v>
      </c>
      <c r="ER14" s="9" t="s">
        <v>349</v>
      </c>
      <c r="ES14" s="9" t="s">
        <v>78</v>
      </c>
      <c r="ET14" s="9" t="s">
        <v>77</v>
      </c>
      <c r="EX14" s="9" t="s">
        <v>77</v>
      </c>
      <c r="EY14" s="9" t="s">
        <v>77</v>
      </c>
      <c r="EZ14" s="9" t="s">
        <v>80</v>
      </c>
      <c r="FA14" s="9" t="s">
        <v>438</v>
      </c>
      <c r="FB14" s="9" t="s">
        <v>77</v>
      </c>
      <c r="FC14" s="9" t="s">
        <v>78</v>
      </c>
      <c r="FD14" s="9" t="s">
        <v>349</v>
      </c>
      <c r="FE14" s="9" t="s">
        <v>78</v>
      </c>
      <c r="FF14" s="9" t="s">
        <v>77</v>
      </c>
    </row>
    <row r="15" spans="1:163">
      <c r="AX15" s="9" t="s">
        <v>77</v>
      </c>
      <c r="AY15" s="9" t="s">
        <v>77</v>
      </c>
      <c r="AZ15" s="9" t="s">
        <v>80</v>
      </c>
      <c r="BA15" s="9" t="s">
        <v>438</v>
      </c>
      <c r="BB15" s="9" t="s">
        <v>79</v>
      </c>
      <c r="BC15" s="9" t="s">
        <v>78</v>
      </c>
      <c r="BD15" s="9" t="s">
        <v>349</v>
      </c>
      <c r="BE15" s="9" t="s">
        <v>78</v>
      </c>
      <c r="BF15" s="9" t="s">
        <v>77</v>
      </c>
      <c r="BI15" s="9" t="s">
        <v>77</v>
      </c>
      <c r="BJ15" s="9" t="s">
        <v>80</v>
      </c>
      <c r="BK15" s="9" t="s">
        <v>348</v>
      </c>
      <c r="BL15" s="9" t="s">
        <v>472</v>
      </c>
      <c r="BM15" s="9" t="s">
        <v>80</v>
      </c>
      <c r="BN15" s="9" t="s">
        <v>348</v>
      </c>
      <c r="BO15" s="9" t="s">
        <v>472</v>
      </c>
      <c r="BP15" s="9" t="s">
        <v>77</v>
      </c>
      <c r="BQ15" s="9" t="s">
        <v>77</v>
      </c>
      <c r="BR15" s="9" t="s">
        <v>77</v>
      </c>
      <c r="BS15" s="9" t="s">
        <v>77</v>
      </c>
      <c r="BT15" s="9" t="s">
        <v>77</v>
      </c>
      <c r="BU15" s="9" t="s">
        <v>77</v>
      </c>
      <c r="BV15" s="9" t="s">
        <v>78</v>
      </c>
      <c r="BW15" s="9" t="s">
        <v>78</v>
      </c>
      <c r="BX15" s="9" t="s">
        <v>78</v>
      </c>
      <c r="CB15" s="9" t="s">
        <v>77</v>
      </c>
      <c r="CC15" s="9" t="s">
        <v>80</v>
      </c>
      <c r="CD15" s="9" t="s">
        <v>77</v>
      </c>
      <c r="CE15" s="9" t="s">
        <v>77</v>
      </c>
      <c r="CF15" s="9" t="s">
        <v>77</v>
      </c>
      <c r="CG15" s="9" t="s">
        <v>80</v>
      </c>
      <c r="CH15" s="9" t="s">
        <v>348</v>
      </c>
      <c r="CI15" s="9" t="s">
        <v>472</v>
      </c>
      <c r="CJ15" s="9" t="s">
        <v>80</v>
      </c>
      <c r="CK15" s="9" t="s">
        <v>348</v>
      </c>
      <c r="CL15" s="9" t="s">
        <v>472</v>
      </c>
      <c r="CM15" s="9" t="s">
        <v>77</v>
      </c>
      <c r="CN15" s="9" t="s">
        <v>77</v>
      </c>
      <c r="CO15" s="9" t="s">
        <v>78</v>
      </c>
      <c r="CS15" s="9" t="s">
        <v>80</v>
      </c>
      <c r="CT15" s="9" t="s">
        <v>348</v>
      </c>
      <c r="CU15" s="9" t="s">
        <v>472</v>
      </c>
      <c r="CV15" s="9" t="s">
        <v>80</v>
      </c>
      <c r="CW15" s="9" t="s">
        <v>348</v>
      </c>
      <c r="CX15" s="9" t="s">
        <v>472</v>
      </c>
      <c r="CY15" s="9" t="s">
        <v>77</v>
      </c>
      <c r="CZ15" s="9" t="s">
        <v>77</v>
      </c>
      <c r="DA15" s="9" t="s">
        <v>78</v>
      </c>
      <c r="DE15" s="9" t="s">
        <v>77</v>
      </c>
      <c r="DF15" s="9" t="s">
        <v>78</v>
      </c>
      <c r="DG15" s="9" t="s">
        <v>78</v>
      </c>
      <c r="DH15" s="9" t="s">
        <v>78</v>
      </c>
      <c r="DI15" s="9" t="s">
        <v>473</v>
      </c>
      <c r="DJ15" s="9" t="s">
        <v>77</v>
      </c>
      <c r="DK15" s="9" t="s">
        <v>77</v>
      </c>
      <c r="DN15" s="9" t="s">
        <v>77</v>
      </c>
      <c r="DO15" s="9" t="s">
        <v>77</v>
      </c>
      <c r="DP15" s="9" t="s">
        <v>80</v>
      </c>
      <c r="DQ15" s="9" t="s">
        <v>438</v>
      </c>
      <c r="DR15" s="9" t="s">
        <v>77</v>
      </c>
      <c r="DS15" s="9" t="s">
        <v>78</v>
      </c>
      <c r="DT15" s="9" t="s">
        <v>349</v>
      </c>
      <c r="DU15" s="9" t="s">
        <v>78</v>
      </c>
      <c r="DV15" s="9" t="s">
        <v>77</v>
      </c>
      <c r="DZ15" s="9" t="s">
        <v>77</v>
      </c>
      <c r="EA15" s="9" t="s">
        <v>77</v>
      </c>
      <c r="EB15" s="9" t="s">
        <v>80</v>
      </c>
      <c r="EC15" s="9" t="s">
        <v>438</v>
      </c>
      <c r="ED15" s="9" t="s">
        <v>77</v>
      </c>
      <c r="EE15" s="9" t="s">
        <v>78</v>
      </c>
      <c r="EF15" s="9" t="s">
        <v>349</v>
      </c>
      <c r="EG15" s="9" t="s">
        <v>78</v>
      </c>
      <c r="EH15" s="9" t="s">
        <v>77</v>
      </c>
      <c r="EL15" s="9" t="s">
        <v>77</v>
      </c>
      <c r="EM15" s="9" t="s">
        <v>77</v>
      </c>
      <c r="EN15" s="9" t="s">
        <v>80</v>
      </c>
      <c r="EO15" s="9" t="s">
        <v>438</v>
      </c>
      <c r="EP15" s="9" t="s">
        <v>77</v>
      </c>
      <c r="EQ15" s="9" t="s">
        <v>78</v>
      </c>
      <c r="ER15" s="9" t="s">
        <v>349</v>
      </c>
      <c r="ES15" s="9" t="s">
        <v>78</v>
      </c>
      <c r="ET15" s="9" t="s">
        <v>77</v>
      </c>
      <c r="EX15" s="9" t="s">
        <v>77</v>
      </c>
      <c r="EY15" s="9" t="s">
        <v>77</v>
      </c>
      <c r="EZ15" s="9" t="s">
        <v>80</v>
      </c>
      <c r="FA15" s="9" t="s">
        <v>438</v>
      </c>
      <c r="FB15" s="9" t="s">
        <v>77</v>
      </c>
      <c r="FC15" s="9" t="s">
        <v>78</v>
      </c>
      <c r="FD15" s="9" t="s">
        <v>349</v>
      </c>
      <c r="FE15" s="9" t="s">
        <v>78</v>
      </c>
      <c r="FF15" s="9" t="s">
        <v>77</v>
      </c>
    </row>
    <row r="16" spans="1:163">
      <c r="AX16" s="9" t="s">
        <v>77</v>
      </c>
      <c r="AY16" s="9" t="s">
        <v>77</v>
      </c>
      <c r="AZ16" s="9" t="s">
        <v>80</v>
      </c>
      <c r="BA16" s="9" t="s">
        <v>438</v>
      </c>
      <c r="BB16" s="9" t="s">
        <v>79</v>
      </c>
      <c r="BC16" s="9" t="s">
        <v>78</v>
      </c>
      <c r="BD16" s="9" t="s">
        <v>349</v>
      </c>
      <c r="BE16" s="9" t="s">
        <v>78</v>
      </c>
      <c r="BF16" s="9" t="s">
        <v>77</v>
      </c>
      <c r="BI16" s="9" t="s">
        <v>77</v>
      </c>
      <c r="BJ16" s="9" t="s">
        <v>80</v>
      </c>
      <c r="BK16" s="9" t="s">
        <v>348</v>
      </c>
      <c r="BL16" s="9" t="s">
        <v>474</v>
      </c>
      <c r="BM16" s="9" t="s">
        <v>80</v>
      </c>
      <c r="BN16" s="9" t="s">
        <v>348</v>
      </c>
      <c r="BO16" s="9" t="s">
        <v>474</v>
      </c>
      <c r="BP16" s="9" t="s">
        <v>77</v>
      </c>
      <c r="BQ16" s="9" t="s">
        <v>77</v>
      </c>
      <c r="BR16" s="9" t="s">
        <v>77</v>
      </c>
      <c r="BS16" s="9" t="s">
        <v>77</v>
      </c>
      <c r="BT16" s="9" t="s">
        <v>77</v>
      </c>
      <c r="BU16" s="9" t="s">
        <v>77</v>
      </c>
      <c r="BV16" s="9" t="s">
        <v>78</v>
      </c>
      <c r="BW16" s="9" t="s">
        <v>78</v>
      </c>
      <c r="BX16" s="9" t="s">
        <v>78</v>
      </c>
      <c r="CB16" s="9" t="s">
        <v>77</v>
      </c>
      <c r="CC16" s="9" t="s">
        <v>80</v>
      </c>
      <c r="CD16" s="9" t="s">
        <v>77</v>
      </c>
      <c r="CE16" s="9" t="s">
        <v>77</v>
      </c>
      <c r="CF16" s="9" t="s">
        <v>77</v>
      </c>
      <c r="CG16" s="9" t="s">
        <v>80</v>
      </c>
      <c r="CH16" s="9" t="s">
        <v>348</v>
      </c>
      <c r="CI16" s="9" t="s">
        <v>475</v>
      </c>
      <c r="CJ16" s="9" t="s">
        <v>80</v>
      </c>
      <c r="CK16" s="9" t="s">
        <v>348</v>
      </c>
      <c r="CL16" s="9" t="s">
        <v>475</v>
      </c>
      <c r="CM16" s="9" t="s">
        <v>77</v>
      </c>
      <c r="CN16" s="9" t="s">
        <v>77</v>
      </c>
      <c r="CO16" s="9" t="s">
        <v>78</v>
      </c>
      <c r="CS16" s="9" t="s">
        <v>80</v>
      </c>
      <c r="CT16" s="9" t="s">
        <v>348</v>
      </c>
      <c r="CU16" s="9" t="s">
        <v>475</v>
      </c>
      <c r="CV16" s="9" t="s">
        <v>80</v>
      </c>
      <c r="CW16" s="9" t="s">
        <v>348</v>
      </c>
      <c r="CX16" s="9" t="s">
        <v>475</v>
      </c>
      <c r="CY16" s="9" t="s">
        <v>77</v>
      </c>
      <c r="CZ16" s="9" t="s">
        <v>77</v>
      </c>
      <c r="DA16" s="9" t="s">
        <v>78</v>
      </c>
      <c r="DE16" s="9" t="s">
        <v>77</v>
      </c>
      <c r="DF16" s="9" t="s">
        <v>78</v>
      </c>
      <c r="DG16" s="9" t="s">
        <v>78</v>
      </c>
      <c r="DH16" s="9" t="s">
        <v>78</v>
      </c>
      <c r="DI16" s="9" t="s">
        <v>474</v>
      </c>
      <c r="DJ16" s="9" t="s">
        <v>77</v>
      </c>
      <c r="DK16" s="9" t="s">
        <v>77</v>
      </c>
      <c r="DN16" s="9" t="s">
        <v>77</v>
      </c>
      <c r="DO16" s="9" t="s">
        <v>77</v>
      </c>
      <c r="DP16" s="9" t="s">
        <v>80</v>
      </c>
      <c r="DQ16" s="9" t="s">
        <v>438</v>
      </c>
      <c r="DR16" s="9" t="s">
        <v>77</v>
      </c>
      <c r="DS16" s="9" t="s">
        <v>78</v>
      </c>
      <c r="DT16" s="9" t="s">
        <v>349</v>
      </c>
      <c r="DU16" s="9" t="s">
        <v>78</v>
      </c>
      <c r="DV16" s="9" t="s">
        <v>77</v>
      </c>
      <c r="DZ16" s="9" t="s">
        <v>77</v>
      </c>
      <c r="EA16" s="9" t="s">
        <v>77</v>
      </c>
      <c r="EB16" s="9" t="s">
        <v>80</v>
      </c>
      <c r="EC16" s="9" t="s">
        <v>438</v>
      </c>
      <c r="ED16" s="9" t="s">
        <v>77</v>
      </c>
      <c r="EE16" s="9" t="s">
        <v>78</v>
      </c>
      <c r="EF16" s="9" t="s">
        <v>349</v>
      </c>
      <c r="EG16" s="9" t="s">
        <v>78</v>
      </c>
      <c r="EH16" s="9" t="s">
        <v>77</v>
      </c>
      <c r="EL16" s="9" t="s">
        <v>77</v>
      </c>
      <c r="EM16" s="9" t="s">
        <v>77</v>
      </c>
      <c r="EN16" s="9" t="s">
        <v>80</v>
      </c>
      <c r="EO16" s="9" t="s">
        <v>438</v>
      </c>
      <c r="EP16" s="9" t="s">
        <v>77</v>
      </c>
      <c r="EQ16" s="9" t="s">
        <v>78</v>
      </c>
      <c r="ER16" s="9" t="s">
        <v>349</v>
      </c>
      <c r="ES16" s="9" t="s">
        <v>78</v>
      </c>
      <c r="ET16" s="9" t="s">
        <v>77</v>
      </c>
      <c r="EX16" s="9" t="s">
        <v>77</v>
      </c>
      <c r="EY16" s="9" t="s">
        <v>77</v>
      </c>
      <c r="EZ16" s="9" t="s">
        <v>80</v>
      </c>
      <c r="FA16" s="9" t="s">
        <v>438</v>
      </c>
      <c r="FB16" s="9" t="s">
        <v>77</v>
      </c>
      <c r="FC16" s="9" t="s">
        <v>78</v>
      </c>
      <c r="FD16" s="9" t="s">
        <v>349</v>
      </c>
      <c r="FE16" s="9" t="s">
        <v>78</v>
      </c>
      <c r="FF16" s="9" t="s">
        <v>77</v>
      </c>
    </row>
    <row r="17" spans="50:162">
      <c r="AX17" s="9" t="s">
        <v>77</v>
      </c>
      <c r="AY17" s="9" t="s">
        <v>77</v>
      </c>
      <c r="AZ17" s="9" t="s">
        <v>80</v>
      </c>
      <c r="BA17" s="9" t="s">
        <v>438</v>
      </c>
      <c r="BB17" s="9" t="s">
        <v>79</v>
      </c>
      <c r="BC17" s="9" t="s">
        <v>78</v>
      </c>
      <c r="BD17" s="9" t="s">
        <v>349</v>
      </c>
      <c r="BE17" s="9" t="s">
        <v>78</v>
      </c>
      <c r="BF17" s="9" t="s">
        <v>77</v>
      </c>
      <c r="BI17" s="9" t="s">
        <v>77</v>
      </c>
      <c r="BJ17" s="9" t="s">
        <v>80</v>
      </c>
      <c r="BK17" s="9" t="s">
        <v>348</v>
      </c>
      <c r="BL17" s="9" t="s">
        <v>476</v>
      </c>
      <c r="BM17" s="9" t="s">
        <v>80</v>
      </c>
      <c r="BN17" s="9" t="s">
        <v>348</v>
      </c>
      <c r="BO17" s="9" t="s">
        <v>476</v>
      </c>
      <c r="BP17" s="9" t="s">
        <v>77</v>
      </c>
      <c r="BQ17" s="9" t="s">
        <v>77</v>
      </c>
      <c r="BR17" s="9" t="s">
        <v>77</v>
      </c>
      <c r="BS17" s="9" t="s">
        <v>77</v>
      </c>
      <c r="BT17" s="9" t="s">
        <v>77</v>
      </c>
      <c r="BU17" s="9" t="s">
        <v>77</v>
      </c>
      <c r="BV17" s="9" t="s">
        <v>78</v>
      </c>
      <c r="BW17" s="9" t="s">
        <v>78</v>
      </c>
      <c r="BX17" s="9" t="s">
        <v>78</v>
      </c>
      <c r="CB17" s="9" t="s">
        <v>77</v>
      </c>
      <c r="CC17" s="9" t="s">
        <v>80</v>
      </c>
      <c r="CD17" s="9" t="s">
        <v>77</v>
      </c>
      <c r="CE17" s="9" t="s">
        <v>77</v>
      </c>
      <c r="CF17" s="9" t="s">
        <v>77</v>
      </c>
      <c r="CG17" s="9" t="s">
        <v>80</v>
      </c>
      <c r="CH17" s="9" t="s">
        <v>348</v>
      </c>
      <c r="CI17" s="9" t="s">
        <v>477</v>
      </c>
      <c r="CJ17" s="9" t="s">
        <v>80</v>
      </c>
      <c r="CK17" s="9" t="s">
        <v>348</v>
      </c>
      <c r="CL17" s="9" t="s">
        <v>477</v>
      </c>
      <c r="CM17" s="9" t="s">
        <v>77</v>
      </c>
      <c r="CN17" s="9" t="s">
        <v>77</v>
      </c>
      <c r="CO17" s="9" t="s">
        <v>78</v>
      </c>
      <c r="CS17" s="9" t="s">
        <v>80</v>
      </c>
      <c r="CT17" s="9" t="s">
        <v>348</v>
      </c>
      <c r="CU17" s="9" t="s">
        <v>476</v>
      </c>
      <c r="CV17" s="9" t="s">
        <v>80</v>
      </c>
      <c r="CW17" s="9" t="s">
        <v>348</v>
      </c>
      <c r="CX17" s="9" t="s">
        <v>476</v>
      </c>
      <c r="CY17" s="9" t="s">
        <v>77</v>
      </c>
      <c r="CZ17" s="9" t="s">
        <v>77</v>
      </c>
      <c r="DA17" s="9" t="s">
        <v>78</v>
      </c>
      <c r="DE17" s="9" t="s">
        <v>77</v>
      </c>
      <c r="DF17" s="9" t="s">
        <v>78</v>
      </c>
      <c r="DG17" s="9" t="s">
        <v>78</v>
      </c>
      <c r="DH17" s="9" t="s">
        <v>78</v>
      </c>
      <c r="DI17" s="9" t="s">
        <v>476</v>
      </c>
      <c r="DJ17" s="9" t="s">
        <v>77</v>
      </c>
      <c r="DK17" s="9" t="s">
        <v>77</v>
      </c>
      <c r="DN17" s="9" t="s">
        <v>77</v>
      </c>
      <c r="DO17" s="9" t="s">
        <v>77</v>
      </c>
      <c r="DP17" s="9" t="s">
        <v>80</v>
      </c>
      <c r="DQ17" s="9" t="s">
        <v>438</v>
      </c>
      <c r="DR17" s="9" t="s">
        <v>77</v>
      </c>
      <c r="DS17" s="9" t="s">
        <v>78</v>
      </c>
      <c r="DT17" s="9" t="s">
        <v>349</v>
      </c>
      <c r="DU17" s="9" t="s">
        <v>78</v>
      </c>
      <c r="DV17" s="9" t="s">
        <v>77</v>
      </c>
      <c r="DZ17" s="9" t="s">
        <v>77</v>
      </c>
      <c r="EA17" s="9" t="s">
        <v>77</v>
      </c>
      <c r="EB17" s="9" t="s">
        <v>80</v>
      </c>
      <c r="EC17" s="9" t="s">
        <v>438</v>
      </c>
      <c r="ED17" s="9" t="s">
        <v>77</v>
      </c>
      <c r="EE17" s="9" t="s">
        <v>78</v>
      </c>
      <c r="EF17" s="9" t="s">
        <v>349</v>
      </c>
      <c r="EG17" s="9" t="s">
        <v>78</v>
      </c>
      <c r="EH17" s="9" t="s">
        <v>77</v>
      </c>
      <c r="EL17" s="9" t="s">
        <v>77</v>
      </c>
      <c r="EM17" s="9" t="s">
        <v>77</v>
      </c>
      <c r="EN17" s="9" t="s">
        <v>80</v>
      </c>
      <c r="EO17" s="9" t="s">
        <v>438</v>
      </c>
      <c r="EP17" s="9" t="s">
        <v>77</v>
      </c>
      <c r="EQ17" s="9" t="s">
        <v>78</v>
      </c>
      <c r="ER17" s="9" t="s">
        <v>349</v>
      </c>
      <c r="ES17" s="9" t="s">
        <v>78</v>
      </c>
      <c r="ET17" s="9" t="s">
        <v>77</v>
      </c>
      <c r="EX17" s="9" t="s">
        <v>77</v>
      </c>
      <c r="EY17" s="9" t="s">
        <v>77</v>
      </c>
      <c r="EZ17" s="9" t="s">
        <v>80</v>
      </c>
      <c r="FA17" s="9" t="s">
        <v>438</v>
      </c>
      <c r="FB17" s="9" t="s">
        <v>77</v>
      </c>
      <c r="FC17" s="9" t="s">
        <v>78</v>
      </c>
      <c r="FD17" s="9" t="s">
        <v>349</v>
      </c>
      <c r="FE17" s="9" t="s">
        <v>78</v>
      </c>
      <c r="FF17" s="9" t="s">
        <v>77</v>
      </c>
    </row>
    <row r="18" spans="50:162">
      <c r="AX18" s="9" t="s">
        <v>77</v>
      </c>
      <c r="AY18" s="9" t="s">
        <v>77</v>
      </c>
      <c r="AZ18" s="9" t="s">
        <v>80</v>
      </c>
      <c r="BA18" s="9" t="s">
        <v>438</v>
      </c>
      <c r="BB18" s="9" t="s">
        <v>79</v>
      </c>
      <c r="BC18" s="9" t="s">
        <v>78</v>
      </c>
      <c r="BD18" s="9" t="s">
        <v>349</v>
      </c>
      <c r="BE18" s="9" t="s">
        <v>78</v>
      </c>
      <c r="BF18" s="9" t="s">
        <v>77</v>
      </c>
      <c r="BI18" s="9" t="s">
        <v>77</v>
      </c>
      <c r="BJ18" s="9" t="s">
        <v>80</v>
      </c>
      <c r="BK18" s="9" t="s">
        <v>348</v>
      </c>
      <c r="BL18" s="9" t="s">
        <v>478</v>
      </c>
      <c r="BM18" s="9" t="s">
        <v>80</v>
      </c>
      <c r="BN18" s="9" t="s">
        <v>348</v>
      </c>
      <c r="BO18" s="9" t="s">
        <v>478</v>
      </c>
      <c r="BP18" s="9" t="s">
        <v>77</v>
      </c>
      <c r="BQ18" s="9" t="s">
        <v>77</v>
      </c>
      <c r="BR18" s="9" t="s">
        <v>77</v>
      </c>
      <c r="BS18" s="9" t="s">
        <v>77</v>
      </c>
      <c r="BT18" s="9" t="s">
        <v>77</v>
      </c>
      <c r="BU18" s="9" t="s">
        <v>77</v>
      </c>
      <c r="BV18" s="9" t="s">
        <v>78</v>
      </c>
      <c r="BW18" s="9" t="s">
        <v>78</v>
      </c>
      <c r="BX18" s="9" t="s">
        <v>78</v>
      </c>
      <c r="CB18" s="9" t="s">
        <v>77</v>
      </c>
      <c r="CC18" s="9" t="s">
        <v>80</v>
      </c>
      <c r="CD18" s="9" t="s">
        <v>77</v>
      </c>
      <c r="CE18" s="9" t="s">
        <v>77</v>
      </c>
      <c r="CF18" s="9" t="s">
        <v>77</v>
      </c>
      <c r="CG18" s="9" t="s">
        <v>80</v>
      </c>
      <c r="CH18" s="9" t="s">
        <v>348</v>
      </c>
      <c r="CI18" s="9" t="s">
        <v>479</v>
      </c>
      <c r="CJ18" s="9" t="s">
        <v>80</v>
      </c>
      <c r="CK18" s="9" t="s">
        <v>348</v>
      </c>
      <c r="CL18" s="9" t="s">
        <v>479</v>
      </c>
      <c r="CM18" s="9" t="s">
        <v>77</v>
      </c>
      <c r="CN18" s="9" t="s">
        <v>77</v>
      </c>
      <c r="CO18" s="9" t="s">
        <v>78</v>
      </c>
      <c r="CS18" s="9" t="s">
        <v>80</v>
      </c>
      <c r="CT18" s="9" t="s">
        <v>348</v>
      </c>
      <c r="CU18" s="9" t="s">
        <v>478</v>
      </c>
      <c r="CV18" s="9" t="s">
        <v>80</v>
      </c>
      <c r="CW18" s="9" t="s">
        <v>348</v>
      </c>
      <c r="CX18" s="9" t="s">
        <v>478</v>
      </c>
      <c r="CY18" s="9" t="s">
        <v>77</v>
      </c>
      <c r="CZ18" s="9" t="s">
        <v>77</v>
      </c>
      <c r="DA18" s="9" t="s">
        <v>78</v>
      </c>
      <c r="DE18" s="9" t="s">
        <v>77</v>
      </c>
      <c r="DF18" s="9" t="s">
        <v>78</v>
      </c>
      <c r="DG18" s="9" t="s">
        <v>78</v>
      </c>
      <c r="DH18" s="9" t="s">
        <v>78</v>
      </c>
      <c r="DI18" s="9" t="s">
        <v>478</v>
      </c>
      <c r="DJ18" s="9" t="s">
        <v>77</v>
      </c>
      <c r="DK18" s="9" t="s">
        <v>77</v>
      </c>
      <c r="DN18" s="9" t="s">
        <v>77</v>
      </c>
      <c r="DO18" s="9" t="s">
        <v>77</v>
      </c>
      <c r="DP18" s="9" t="s">
        <v>80</v>
      </c>
      <c r="DQ18" s="9" t="s">
        <v>438</v>
      </c>
      <c r="DR18" s="9" t="s">
        <v>77</v>
      </c>
      <c r="DS18" s="9" t="s">
        <v>78</v>
      </c>
      <c r="DT18" s="9" t="s">
        <v>349</v>
      </c>
      <c r="DU18" s="9" t="s">
        <v>78</v>
      </c>
      <c r="DV18" s="9" t="s">
        <v>77</v>
      </c>
      <c r="DZ18" s="9" t="s">
        <v>77</v>
      </c>
      <c r="EA18" s="9" t="s">
        <v>77</v>
      </c>
      <c r="EB18" s="9" t="s">
        <v>80</v>
      </c>
      <c r="EC18" s="9" t="s">
        <v>438</v>
      </c>
      <c r="ED18" s="9" t="s">
        <v>77</v>
      </c>
      <c r="EE18" s="9" t="s">
        <v>78</v>
      </c>
      <c r="EF18" s="9" t="s">
        <v>349</v>
      </c>
      <c r="EG18" s="9" t="s">
        <v>78</v>
      </c>
      <c r="EH18" s="9" t="s">
        <v>77</v>
      </c>
      <c r="EL18" s="9" t="s">
        <v>77</v>
      </c>
      <c r="EM18" s="9" t="s">
        <v>77</v>
      </c>
      <c r="EN18" s="9" t="s">
        <v>80</v>
      </c>
      <c r="EO18" s="9" t="s">
        <v>438</v>
      </c>
      <c r="EP18" s="9" t="s">
        <v>77</v>
      </c>
      <c r="EQ18" s="9" t="s">
        <v>78</v>
      </c>
      <c r="ER18" s="9" t="s">
        <v>349</v>
      </c>
      <c r="ES18" s="9" t="s">
        <v>78</v>
      </c>
      <c r="ET18" s="9" t="s">
        <v>77</v>
      </c>
      <c r="EX18" s="9" t="s">
        <v>77</v>
      </c>
      <c r="EY18" s="9" t="s">
        <v>77</v>
      </c>
      <c r="EZ18" s="9" t="s">
        <v>80</v>
      </c>
      <c r="FA18" s="9" t="s">
        <v>438</v>
      </c>
      <c r="FB18" s="9" t="s">
        <v>77</v>
      </c>
      <c r="FC18" s="9" t="s">
        <v>78</v>
      </c>
      <c r="FD18" s="9" t="s">
        <v>349</v>
      </c>
      <c r="FE18" s="9" t="s">
        <v>78</v>
      </c>
      <c r="FF18" s="9" t="s">
        <v>77</v>
      </c>
    </row>
    <row r="19" spans="50:162">
      <c r="AX19" s="9" t="s">
        <v>77</v>
      </c>
      <c r="AY19" s="9" t="s">
        <v>77</v>
      </c>
      <c r="AZ19" s="9" t="s">
        <v>80</v>
      </c>
      <c r="BA19" s="9" t="s">
        <v>438</v>
      </c>
      <c r="BB19" s="9" t="s">
        <v>79</v>
      </c>
      <c r="BC19" s="9" t="s">
        <v>78</v>
      </c>
      <c r="BD19" s="9" t="s">
        <v>349</v>
      </c>
      <c r="BE19" s="9" t="s">
        <v>78</v>
      </c>
      <c r="BF19" s="9" t="s">
        <v>77</v>
      </c>
      <c r="BI19" s="9" t="s">
        <v>77</v>
      </c>
      <c r="BJ19" s="9" t="s">
        <v>80</v>
      </c>
      <c r="BK19" s="9" t="s">
        <v>348</v>
      </c>
      <c r="BL19" s="9" t="s">
        <v>480</v>
      </c>
      <c r="BM19" s="9" t="s">
        <v>80</v>
      </c>
      <c r="BN19" s="9" t="s">
        <v>348</v>
      </c>
      <c r="BO19" s="9" t="s">
        <v>480</v>
      </c>
      <c r="BP19" s="9" t="s">
        <v>77</v>
      </c>
      <c r="BQ19" s="9" t="s">
        <v>77</v>
      </c>
      <c r="BR19" s="9" t="s">
        <v>77</v>
      </c>
      <c r="BS19" s="9" t="s">
        <v>77</v>
      </c>
      <c r="BT19" s="9" t="s">
        <v>77</v>
      </c>
      <c r="BU19" s="9" t="s">
        <v>77</v>
      </c>
      <c r="BV19" s="9" t="s">
        <v>78</v>
      </c>
      <c r="BW19" s="9" t="s">
        <v>78</v>
      </c>
      <c r="BX19" s="9" t="s">
        <v>78</v>
      </c>
      <c r="CB19" s="9" t="s">
        <v>77</v>
      </c>
      <c r="CC19" s="9" t="s">
        <v>80</v>
      </c>
      <c r="CD19" s="9" t="s">
        <v>77</v>
      </c>
      <c r="CE19" s="9" t="s">
        <v>77</v>
      </c>
      <c r="CF19" s="9" t="s">
        <v>77</v>
      </c>
      <c r="CG19" s="9" t="s">
        <v>80</v>
      </c>
      <c r="CH19" s="9" t="s">
        <v>348</v>
      </c>
      <c r="CI19" s="9" t="s">
        <v>481</v>
      </c>
      <c r="CJ19" s="9" t="s">
        <v>80</v>
      </c>
      <c r="CK19" s="9" t="s">
        <v>348</v>
      </c>
      <c r="CL19" s="9" t="s">
        <v>481</v>
      </c>
      <c r="CM19" s="9" t="s">
        <v>77</v>
      </c>
      <c r="CN19" s="9" t="s">
        <v>77</v>
      </c>
      <c r="CO19" s="9" t="s">
        <v>78</v>
      </c>
      <c r="CS19" s="9" t="s">
        <v>80</v>
      </c>
      <c r="CT19" s="9" t="s">
        <v>348</v>
      </c>
      <c r="CU19" s="9" t="s">
        <v>481</v>
      </c>
      <c r="CV19" s="9" t="s">
        <v>80</v>
      </c>
      <c r="CW19" s="9" t="s">
        <v>348</v>
      </c>
      <c r="CX19" s="9" t="s">
        <v>481</v>
      </c>
      <c r="CY19" s="9" t="s">
        <v>77</v>
      </c>
      <c r="CZ19" s="9" t="s">
        <v>77</v>
      </c>
      <c r="DA19" s="9" t="s">
        <v>78</v>
      </c>
      <c r="DE19" s="9" t="s">
        <v>77</v>
      </c>
      <c r="DF19" s="9" t="s">
        <v>78</v>
      </c>
      <c r="DG19" s="9" t="s">
        <v>78</v>
      </c>
      <c r="DH19" s="9" t="s">
        <v>78</v>
      </c>
      <c r="DI19" s="9" t="s">
        <v>480</v>
      </c>
      <c r="DJ19" s="9" t="s">
        <v>77</v>
      </c>
      <c r="DK19" s="9" t="s">
        <v>77</v>
      </c>
      <c r="DN19" s="9" t="s">
        <v>77</v>
      </c>
      <c r="DO19" s="9" t="s">
        <v>77</v>
      </c>
      <c r="DP19" s="9" t="s">
        <v>80</v>
      </c>
      <c r="DQ19" s="9" t="s">
        <v>438</v>
      </c>
      <c r="DR19" s="9" t="s">
        <v>77</v>
      </c>
      <c r="DS19" s="9" t="s">
        <v>78</v>
      </c>
      <c r="DT19" s="9" t="s">
        <v>349</v>
      </c>
      <c r="DU19" s="9" t="s">
        <v>78</v>
      </c>
      <c r="DV19" s="9" t="s">
        <v>77</v>
      </c>
      <c r="DZ19" s="9" t="s">
        <v>77</v>
      </c>
      <c r="EA19" s="9" t="s">
        <v>77</v>
      </c>
      <c r="EB19" s="9" t="s">
        <v>80</v>
      </c>
      <c r="EC19" s="9" t="s">
        <v>438</v>
      </c>
      <c r="ED19" s="9" t="s">
        <v>77</v>
      </c>
      <c r="EE19" s="9" t="s">
        <v>78</v>
      </c>
      <c r="EF19" s="9" t="s">
        <v>349</v>
      </c>
      <c r="EG19" s="9" t="s">
        <v>78</v>
      </c>
      <c r="EH19" s="9" t="s">
        <v>77</v>
      </c>
      <c r="EL19" s="9" t="s">
        <v>77</v>
      </c>
      <c r="EM19" s="9" t="s">
        <v>77</v>
      </c>
      <c r="EN19" s="9" t="s">
        <v>80</v>
      </c>
      <c r="EO19" s="9" t="s">
        <v>438</v>
      </c>
      <c r="EP19" s="9" t="s">
        <v>77</v>
      </c>
      <c r="EQ19" s="9" t="s">
        <v>78</v>
      </c>
      <c r="ER19" s="9" t="s">
        <v>349</v>
      </c>
      <c r="ES19" s="9" t="s">
        <v>78</v>
      </c>
      <c r="ET19" s="9" t="s">
        <v>77</v>
      </c>
      <c r="EX19" s="9" t="s">
        <v>77</v>
      </c>
      <c r="EY19" s="9" t="s">
        <v>77</v>
      </c>
      <c r="EZ19" s="9" t="s">
        <v>80</v>
      </c>
      <c r="FA19" s="9" t="s">
        <v>438</v>
      </c>
      <c r="FB19" s="9" t="s">
        <v>77</v>
      </c>
      <c r="FC19" s="9" t="s">
        <v>78</v>
      </c>
      <c r="FD19" s="9" t="s">
        <v>349</v>
      </c>
      <c r="FE19" s="9" t="s">
        <v>78</v>
      </c>
      <c r="FF19" s="9" t="s">
        <v>77</v>
      </c>
    </row>
    <row r="20" spans="50:162">
      <c r="AX20" s="9" t="s">
        <v>77</v>
      </c>
      <c r="AY20" s="9" t="s">
        <v>77</v>
      </c>
      <c r="AZ20" s="9" t="s">
        <v>80</v>
      </c>
      <c r="BA20" s="9" t="s">
        <v>438</v>
      </c>
      <c r="BB20" s="9" t="s">
        <v>79</v>
      </c>
      <c r="BC20" s="9" t="s">
        <v>78</v>
      </c>
      <c r="BD20" s="9" t="s">
        <v>349</v>
      </c>
      <c r="BE20" s="9" t="s">
        <v>78</v>
      </c>
      <c r="BF20" s="9" t="s">
        <v>77</v>
      </c>
      <c r="BI20" s="9" t="s">
        <v>77</v>
      </c>
      <c r="BJ20" s="9" t="s">
        <v>80</v>
      </c>
      <c r="BK20" s="9" t="s">
        <v>348</v>
      </c>
      <c r="BL20" s="9" t="s">
        <v>482</v>
      </c>
      <c r="BM20" s="9" t="s">
        <v>80</v>
      </c>
      <c r="BN20" s="9" t="s">
        <v>348</v>
      </c>
      <c r="BO20" s="9" t="s">
        <v>482</v>
      </c>
      <c r="BP20" s="9" t="s">
        <v>77</v>
      </c>
      <c r="BQ20" s="9" t="s">
        <v>77</v>
      </c>
      <c r="BR20" s="9" t="s">
        <v>77</v>
      </c>
      <c r="BS20" s="9" t="s">
        <v>77</v>
      </c>
      <c r="BT20" s="9" t="s">
        <v>77</v>
      </c>
      <c r="BU20" s="9" t="s">
        <v>77</v>
      </c>
      <c r="BV20" s="9" t="s">
        <v>78</v>
      </c>
      <c r="BW20" s="9" t="s">
        <v>78</v>
      </c>
      <c r="BX20" s="9" t="s">
        <v>78</v>
      </c>
      <c r="CB20" s="9" t="s">
        <v>77</v>
      </c>
      <c r="CC20" s="9" t="s">
        <v>80</v>
      </c>
      <c r="CD20" s="9" t="s">
        <v>77</v>
      </c>
      <c r="CE20" s="9" t="s">
        <v>77</v>
      </c>
      <c r="CF20" s="9" t="s">
        <v>77</v>
      </c>
      <c r="CG20" s="9" t="s">
        <v>80</v>
      </c>
      <c r="CH20" s="9" t="s">
        <v>348</v>
      </c>
      <c r="CI20" s="9" t="s">
        <v>483</v>
      </c>
      <c r="CJ20" s="9" t="s">
        <v>80</v>
      </c>
      <c r="CK20" s="9" t="s">
        <v>348</v>
      </c>
      <c r="CL20" s="9" t="s">
        <v>483</v>
      </c>
      <c r="CM20" s="9" t="s">
        <v>77</v>
      </c>
      <c r="CN20" s="9" t="s">
        <v>77</v>
      </c>
      <c r="CO20" s="9" t="s">
        <v>78</v>
      </c>
      <c r="CS20" s="9" t="s">
        <v>80</v>
      </c>
      <c r="CT20" s="9" t="s">
        <v>348</v>
      </c>
      <c r="CU20" s="9" t="s">
        <v>482</v>
      </c>
      <c r="CV20" s="9" t="s">
        <v>80</v>
      </c>
      <c r="CW20" s="9" t="s">
        <v>348</v>
      </c>
      <c r="CX20" s="9" t="s">
        <v>482</v>
      </c>
      <c r="CY20" s="9" t="s">
        <v>77</v>
      </c>
      <c r="CZ20" s="9" t="s">
        <v>77</v>
      </c>
      <c r="DA20" s="9" t="s">
        <v>78</v>
      </c>
      <c r="DE20" s="9" t="s">
        <v>77</v>
      </c>
      <c r="DF20" s="9" t="s">
        <v>78</v>
      </c>
      <c r="DG20" s="9" t="s">
        <v>78</v>
      </c>
      <c r="DH20" s="9" t="s">
        <v>78</v>
      </c>
      <c r="DI20" s="9" t="s">
        <v>482</v>
      </c>
      <c r="DJ20" s="9" t="s">
        <v>77</v>
      </c>
      <c r="DK20" s="9" t="s">
        <v>77</v>
      </c>
      <c r="DN20" s="9" t="s">
        <v>77</v>
      </c>
      <c r="DO20" s="9" t="s">
        <v>77</v>
      </c>
      <c r="DP20" s="9" t="s">
        <v>80</v>
      </c>
      <c r="DQ20" s="9" t="s">
        <v>438</v>
      </c>
      <c r="DR20" s="9" t="s">
        <v>77</v>
      </c>
      <c r="DS20" s="9" t="s">
        <v>78</v>
      </c>
      <c r="DT20" s="9" t="s">
        <v>349</v>
      </c>
      <c r="DU20" s="9" t="s">
        <v>78</v>
      </c>
      <c r="DV20" s="9" t="s">
        <v>77</v>
      </c>
      <c r="DZ20" s="9" t="s">
        <v>77</v>
      </c>
      <c r="EA20" s="9" t="s">
        <v>77</v>
      </c>
      <c r="EB20" s="9" t="s">
        <v>80</v>
      </c>
      <c r="EC20" s="9" t="s">
        <v>438</v>
      </c>
      <c r="ED20" s="9" t="s">
        <v>77</v>
      </c>
      <c r="EE20" s="9" t="s">
        <v>78</v>
      </c>
      <c r="EF20" s="9" t="s">
        <v>349</v>
      </c>
      <c r="EG20" s="9" t="s">
        <v>78</v>
      </c>
      <c r="EH20" s="9" t="s">
        <v>77</v>
      </c>
      <c r="EL20" s="9" t="s">
        <v>77</v>
      </c>
      <c r="EM20" s="9" t="s">
        <v>77</v>
      </c>
      <c r="EN20" s="9" t="s">
        <v>80</v>
      </c>
      <c r="EO20" s="9" t="s">
        <v>438</v>
      </c>
      <c r="EP20" s="9" t="s">
        <v>77</v>
      </c>
      <c r="EQ20" s="9" t="s">
        <v>78</v>
      </c>
      <c r="ER20" s="9" t="s">
        <v>349</v>
      </c>
      <c r="ES20" s="9" t="s">
        <v>78</v>
      </c>
      <c r="ET20" s="9" t="s">
        <v>77</v>
      </c>
      <c r="EX20" s="9" t="s">
        <v>77</v>
      </c>
      <c r="EY20" s="9" t="s">
        <v>77</v>
      </c>
      <c r="EZ20" s="9" t="s">
        <v>80</v>
      </c>
      <c r="FA20" s="9" t="s">
        <v>438</v>
      </c>
      <c r="FB20" s="9" t="s">
        <v>77</v>
      </c>
      <c r="FC20" s="9" t="s">
        <v>78</v>
      </c>
      <c r="FD20" s="9" t="s">
        <v>349</v>
      </c>
      <c r="FE20" s="9" t="s">
        <v>78</v>
      </c>
      <c r="FF20" s="9" t="s">
        <v>77</v>
      </c>
    </row>
    <row r="21" spans="50:162">
      <c r="AX21" s="9" t="s">
        <v>77</v>
      </c>
      <c r="AY21" s="9" t="s">
        <v>77</v>
      </c>
      <c r="AZ21" s="9" t="s">
        <v>80</v>
      </c>
      <c r="BA21" s="9" t="s">
        <v>438</v>
      </c>
      <c r="BB21" s="9" t="s">
        <v>79</v>
      </c>
      <c r="BC21" s="9" t="s">
        <v>78</v>
      </c>
      <c r="BD21" s="9" t="s">
        <v>349</v>
      </c>
      <c r="BE21" s="9" t="s">
        <v>78</v>
      </c>
      <c r="BF21" s="9" t="s">
        <v>77</v>
      </c>
      <c r="BI21" s="9" t="s">
        <v>77</v>
      </c>
      <c r="BJ21" s="9" t="s">
        <v>80</v>
      </c>
      <c r="BK21" s="9" t="s">
        <v>348</v>
      </c>
      <c r="BL21" s="9" t="s">
        <v>484</v>
      </c>
      <c r="BM21" s="9" t="s">
        <v>80</v>
      </c>
      <c r="BN21" s="9" t="s">
        <v>348</v>
      </c>
      <c r="BO21" s="9" t="s">
        <v>484</v>
      </c>
      <c r="BP21" s="9" t="s">
        <v>77</v>
      </c>
      <c r="BQ21" s="9" t="s">
        <v>77</v>
      </c>
      <c r="BR21" s="9" t="s">
        <v>77</v>
      </c>
      <c r="BS21" s="9" t="s">
        <v>77</v>
      </c>
      <c r="BT21" s="9" t="s">
        <v>77</v>
      </c>
      <c r="BU21" s="9" t="s">
        <v>77</v>
      </c>
      <c r="BV21" s="9" t="s">
        <v>78</v>
      </c>
      <c r="BW21" s="9" t="s">
        <v>78</v>
      </c>
      <c r="BX21" s="9" t="s">
        <v>78</v>
      </c>
      <c r="CB21" s="9" t="s">
        <v>77</v>
      </c>
      <c r="CC21" s="9" t="s">
        <v>80</v>
      </c>
      <c r="CD21" s="9" t="s">
        <v>77</v>
      </c>
      <c r="CE21" s="9" t="s">
        <v>77</v>
      </c>
      <c r="CF21" s="9" t="s">
        <v>77</v>
      </c>
      <c r="CG21" s="9" t="s">
        <v>80</v>
      </c>
      <c r="CH21" s="9" t="s">
        <v>348</v>
      </c>
      <c r="CI21" s="9" t="s">
        <v>484</v>
      </c>
      <c r="CJ21" s="9" t="s">
        <v>80</v>
      </c>
      <c r="CK21" s="9" t="s">
        <v>348</v>
      </c>
      <c r="CL21" s="9" t="s">
        <v>484</v>
      </c>
      <c r="CM21" s="9" t="s">
        <v>77</v>
      </c>
      <c r="CN21" s="9" t="s">
        <v>77</v>
      </c>
      <c r="CO21" s="9" t="s">
        <v>78</v>
      </c>
      <c r="CS21" s="9" t="s">
        <v>80</v>
      </c>
      <c r="CT21" s="9" t="s">
        <v>348</v>
      </c>
      <c r="CU21" s="9" t="s">
        <v>484</v>
      </c>
      <c r="CV21" s="9" t="s">
        <v>80</v>
      </c>
      <c r="CW21" s="9" t="s">
        <v>348</v>
      </c>
      <c r="CX21" s="9" t="s">
        <v>484</v>
      </c>
      <c r="CY21" s="9" t="s">
        <v>77</v>
      </c>
      <c r="CZ21" s="9" t="s">
        <v>77</v>
      </c>
      <c r="DA21" s="9" t="s">
        <v>78</v>
      </c>
      <c r="DE21" s="9" t="s">
        <v>77</v>
      </c>
      <c r="DF21" s="9" t="s">
        <v>78</v>
      </c>
      <c r="DG21" s="9" t="s">
        <v>78</v>
      </c>
      <c r="DH21" s="9" t="s">
        <v>78</v>
      </c>
      <c r="DI21" s="9" t="s">
        <v>485</v>
      </c>
      <c r="DJ21" s="9" t="s">
        <v>77</v>
      </c>
      <c r="DK21" s="9" t="s">
        <v>77</v>
      </c>
      <c r="DN21" s="9" t="s">
        <v>77</v>
      </c>
      <c r="DO21" s="9" t="s">
        <v>77</v>
      </c>
      <c r="DP21" s="9" t="s">
        <v>80</v>
      </c>
      <c r="DQ21" s="9" t="s">
        <v>438</v>
      </c>
      <c r="DR21" s="9" t="s">
        <v>77</v>
      </c>
      <c r="DS21" s="9" t="s">
        <v>78</v>
      </c>
      <c r="DT21" s="9" t="s">
        <v>349</v>
      </c>
      <c r="DU21" s="9" t="s">
        <v>78</v>
      </c>
      <c r="DV21" s="9" t="s">
        <v>77</v>
      </c>
      <c r="DZ21" s="9" t="s">
        <v>77</v>
      </c>
      <c r="EA21" s="9" t="s">
        <v>77</v>
      </c>
      <c r="EB21" s="9" t="s">
        <v>80</v>
      </c>
      <c r="EC21" s="9" t="s">
        <v>438</v>
      </c>
      <c r="ED21" s="9" t="s">
        <v>77</v>
      </c>
      <c r="EE21" s="9" t="s">
        <v>78</v>
      </c>
      <c r="EF21" s="9" t="s">
        <v>349</v>
      </c>
      <c r="EG21" s="9" t="s">
        <v>78</v>
      </c>
      <c r="EH21" s="9" t="s">
        <v>77</v>
      </c>
      <c r="EL21" s="9" t="s">
        <v>77</v>
      </c>
      <c r="EM21" s="9" t="s">
        <v>77</v>
      </c>
      <c r="EN21" s="9" t="s">
        <v>80</v>
      </c>
      <c r="EO21" s="9" t="s">
        <v>438</v>
      </c>
      <c r="EP21" s="9" t="s">
        <v>77</v>
      </c>
      <c r="EQ21" s="9" t="s">
        <v>78</v>
      </c>
      <c r="ER21" s="9" t="s">
        <v>349</v>
      </c>
      <c r="ES21" s="9" t="s">
        <v>78</v>
      </c>
      <c r="ET21" s="9" t="s">
        <v>77</v>
      </c>
      <c r="EX21" s="9" t="s">
        <v>77</v>
      </c>
      <c r="EY21" s="9" t="s">
        <v>77</v>
      </c>
      <c r="EZ21" s="9" t="s">
        <v>80</v>
      </c>
      <c r="FA21" s="9" t="s">
        <v>438</v>
      </c>
      <c r="FB21" s="9" t="s">
        <v>77</v>
      </c>
      <c r="FC21" s="9" t="s">
        <v>78</v>
      </c>
      <c r="FD21" s="9" t="s">
        <v>349</v>
      </c>
      <c r="FE21" s="9" t="s">
        <v>78</v>
      </c>
      <c r="FF21" s="9" t="s">
        <v>77</v>
      </c>
    </row>
    <row r="22" spans="50:162">
      <c r="AX22" s="9" t="s">
        <v>77</v>
      </c>
      <c r="AY22" s="9" t="s">
        <v>77</v>
      </c>
      <c r="AZ22" s="9" t="s">
        <v>80</v>
      </c>
      <c r="BA22" s="9" t="s">
        <v>438</v>
      </c>
      <c r="BB22" s="9" t="s">
        <v>79</v>
      </c>
      <c r="BC22" s="9" t="s">
        <v>78</v>
      </c>
      <c r="BD22" s="9" t="s">
        <v>349</v>
      </c>
      <c r="BE22" s="9" t="s">
        <v>78</v>
      </c>
      <c r="BF22" s="9" t="s">
        <v>77</v>
      </c>
      <c r="BI22" s="9" t="s">
        <v>77</v>
      </c>
      <c r="BJ22" s="9" t="s">
        <v>80</v>
      </c>
      <c r="BK22" s="9" t="s">
        <v>348</v>
      </c>
      <c r="BL22" s="9" t="s">
        <v>486</v>
      </c>
      <c r="BM22" s="9" t="s">
        <v>80</v>
      </c>
      <c r="BN22" s="9" t="s">
        <v>348</v>
      </c>
      <c r="BO22" s="9" t="s">
        <v>486</v>
      </c>
      <c r="BP22" s="9" t="s">
        <v>77</v>
      </c>
      <c r="BQ22" s="9" t="s">
        <v>77</v>
      </c>
      <c r="BR22" s="9" t="s">
        <v>77</v>
      </c>
      <c r="BS22" s="9" t="s">
        <v>77</v>
      </c>
      <c r="BT22" s="9" t="s">
        <v>77</v>
      </c>
      <c r="BU22" s="9" t="s">
        <v>77</v>
      </c>
      <c r="BV22" s="9" t="s">
        <v>78</v>
      </c>
      <c r="BW22" s="9" t="s">
        <v>78</v>
      </c>
      <c r="BX22" s="9" t="s">
        <v>78</v>
      </c>
      <c r="CB22" s="9" t="s">
        <v>77</v>
      </c>
      <c r="CC22" s="9" t="s">
        <v>80</v>
      </c>
      <c r="CD22" s="9" t="s">
        <v>77</v>
      </c>
      <c r="CE22" s="9" t="s">
        <v>77</v>
      </c>
      <c r="CF22" s="9" t="s">
        <v>77</v>
      </c>
      <c r="CG22" s="9" t="s">
        <v>80</v>
      </c>
      <c r="CH22" s="9" t="s">
        <v>348</v>
      </c>
      <c r="CI22" s="9" t="s">
        <v>487</v>
      </c>
      <c r="CJ22" s="9" t="s">
        <v>80</v>
      </c>
      <c r="CK22" s="9" t="s">
        <v>348</v>
      </c>
      <c r="CL22" s="9" t="s">
        <v>487</v>
      </c>
      <c r="CM22" s="9" t="s">
        <v>77</v>
      </c>
      <c r="CN22" s="9" t="s">
        <v>77</v>
      </c>
      <c r="CO22" s="9" t="s">
        <v>78</v>
      </c>
      <c r="CS22" s="9" t="s">
        <v>80</v>
      </c>
      <c r="CT22" s="9" t="s">
        <v>348</v>
      </c>
      <c r="CU22" s="9" t="s">
        <v>487</v>
      </c>
      <c r="CV22" s="9" t="s">
        <v>80</v>
      </c>
      <c r="CW22" s="9" t="s">
        <v>348</v>
      </c>
      <c r="CX22" s="9" t="s">
        <v>487</v>
      </c>
      <c r="CY22" s="9" t="s">
        <v>77</v>
      </c>
      <c r="CZ22" s="9" t="s">
        <v>77</v>
      </c>
      <c r="DA22" s="9" t="s">
        <v>78</v>
      </c>
      <c r="DE22" s="9" t="s">
        <v>77</v>
      </c>
      <c r="DF22" s="9" t="s">
        <v>78</v>
      </c>
      <c r="DG22" s="9" t="s">
        <v>78</v>
      </c>
      <c r="DH22" s="9" t="s">
        <v>78</v>
      </c>
      <c r="DI22" s="9" t="s">
        <v>486</v>
      </c>
      <c r="DJ22" s="9" t="s">
        <v>77</v>
      </c>
      <c r="DK22" s="9" t="s">
        <v>77</v>
      </c>
      <c r="DN22" s="9" t="s">
        <v>77</v>
      </c>
      <c r="DO22" s="9" t="s">
        <v>77</v>
      </c>
      <c r="DP22" s="9" t="s">
        <v>80</v>
      </c>
      <c r="DQ22" s="9" t="s">
        <v>438</v>
      </c>
      <c r="DR22" s="9" t="s">
        <v>77</v>
      </c>
      <c r="DS22" s="9" t="s">
        <v>78</v>
      </c>
      <c r="DT22" s="9" t="s">
        <v>349</v>
      </c>
      <c r="DU22" s="9" t="s">
        <v>78</v>
      </c>
      <c r="DV22" s="9" t="s">
        <v>77</v>
      </c>
      <c r="DZ22" s="9" t="s">
        <v>77</v>
      </c>
      <c r="EA22" s="9" t="s">
        <v>77</v>
      </c>
      <c r="EB22" s="9" t="s">
        <v>80</v>
      </c>
      <c r="EC22" s="9" t="s">
        <v>438</v>
      </c>
      <c r="ED22" s="9" t="s">
        <v>77</v>
      </c>
      <c r="EE22" s="9" t="s">
        <v>78</v>
      </c>
      <c r="EF22" s="9" t="s">
        <v>349</v>
      </c>
      <c r="EG22" s="9" t="s">
        <v>78</v>
      </c>
      <c r="EH22" s="9" t="s">
        <v>77</v>
      </c>
      <c r="EL22" s="9" t="s">
        <v>77</v>
      </c>
      <c r="EM22" s="9" t="s">
        <v>77</v>
      </c>
      <c r="EN22" s="9" t="s">
        <v>80</v>
      </c>
      <c r="EO22" s="9" t="s">
        <v>438</v>
      </c>
      <c r="EP22" s="9" t="s">
        <v>77</v>
      </c>
      <c r="EQ22" s="9" t="s">
        <v>78</v>
      </c>
      <c r="ER22" s="9" t="s">
        <v>349</v>
      </c>
      <c r="ES22" s="9" t="s">
        <v>78</v>
      </c>
      <c r="ET22" s="9" t="s">
        <v>77</v>
      </c>
      <c r="EX22" s="9" t="s">
        <v>77</v>
      </c>
      <c r="EY22" s="9" t="s">
        <v>77</v>
      </c>
      <c r="EZ22" s="9" t="s">
        <v>80</v>
      </c>
      <c r="FA22" s="9" t="s">
        <v>438</v>
      </c>
      <c r="FB22" s="9" t="s">
        <v>77</v>
      </c>
      <c r="FC22" s="9" t="s">
        <v>78</v>
      </c>
      <c r="FD22" s="9" t="s">
        <v>349</v>
      </c>
      <c r="FE22" s="9" t="s">
        <v>78</v>
      </c>
      <c r="FF22" s="9" t="s">
        <v>77</v>
      </c>
    </row>
    <row r="23" spans="50:162">
      <c r="AX23" s="9" t="s">
        <v>77</v>
      </c>
      <c r="AY23" s="9" t="s">
        <v>77</v>
      </c>
      <c r="AZ23" s="9" t="s">
        <v>80</v>
      </c>
      <c r="BA23" s="9" t="s">
        <v>438</v>
      </c>
      <c r="BB23" s="9" t="s">
        <v>79</v>
      </c>
      <c r="BC23" s="9" t="s">
        <v>78</v>
      </c>
      <c r="BD23" s="9" t="s">
        <v>349</v>
      </c>
      <c r="BE23" s="9" t="s">
        <v>78</v>
      </c>
      <c r="BF23" s="9" t="s">
        <v>77</v>
      </c>
      <c r="BI23" s="9" t="s">
        <v>77</v>
      </c>
      <c r="BJ23" s="9" t="s">
        <v>80</v>
      </c>
      <c r="BK23" s="9" t="s">
        <v>348</v>
      </c>
      <c r="BL23" s="9" t="s">
        <v>488</v>
      </c>
      <c r="BM23" s="9" t="s">
        <v>80</v>
      </c>
      <c r="BN23" s="9" t="s">
        <v>348</v>
      </c>
      <c r="BO23" s="9" t="s">
        <v>488</v>
      </c>
      <c r="BP23" s="9" t="s">
        <v>77</v>
      </c>
      <c r="BQ23" s="9" t="s">
        <v>77</v>
      </c>
      <c r="BR23" s="9" t="s">
        <v>77</v>
      </c>
      <c r="BS23" s="9" t="s">
        <v>77</v>
      </c>
      <c r="BT23" s="9" t="s">
        <v>77</v>
      </c>
      <c r="BU23" s="9" t="s">
        <v>77</v>
      </c>
      <c r="BV23" s="9" t="s">
        <v>78</v>
      </c>
      <c r="BW23" s="9" t="s">
        <v>78</v>
      </c>
      <c r="BX23" s="9" t="s">
        <v>78</v>
      </c>
      <c r="CB23" s="9" t="s">
        <v>77</v>
      </c>
      <c r="CC23" s="9" t="s">
        <v>80</v>
      </c>
      <c r="CD23" s="9" t="s">
        <v>77</v>
      </c>
      <c r="CE23" s="9" t="s">
        <v>77</v>
      </c>
      <c r="CF23" s="9" t="s">
        <v>77</v>
      </c>
      <c r="CG23" s="9" t="s">
        <v>80</v>
      </c>
      <c r="CH23" s="9" t="s">
        <v>348</v>
      </c>
      <c r="CI23" s="9" t="s">
        <v>489</v>
      </c>
      <c r="CJ23" s="9" t="s">
        <v>80</v>
      </c>
      <c r="CK23" s="9" t="s">
        <v>348</v>
      </c>
      <c r="CL23" s="9" t="s">
        <v>489</v>
      </c>
      <c r="CM23" s="9" t="s">
        <v>77</v>
      </c>
      <c r="CN23" s="9" t="s">
        <v>77</v>
      </c>
      <c r="CO23" s="9" t="s">
        <v>78</v>
      </c>
      <c r="CS23" s="9" t="s">
        <v>80</v>
      </c>
      <c r="CT23" s="9" t="s">
        <v>348</v>
      </c>
      <c r="CU23" s="9" t="s">
        <v>489</v>
      </c>
      <c r="CV23" s="9" t="s">
        <v>80</v>
      </c>
      <c r="CW23" s="9" t="s">
        <v>348</v>
      </c>
      <c r="CX23" s="9" t="s">
        <v>489</v>
      </c>
      <c r="CY23" s="9" t="s">
        <v>77</v>
      </c>
      <c r="CZ23" s="9" t="s">
        <v>77</v>
      </c>
      <c r="DA23" s="9" t="s">
        <v>78</v>
      </c>
      <c r="DE23" s="9" t="s">
        <v>77</v>
      </c>
      <c r="DF23" s="9" t="s">
        <v>78</v>
      </c>
      <c r="DG23" s="9" t="s">
        <v>78</v>
      </c>
      <c r="DH23" s="9" t="s">
        <v>78</v>
      </c>
      <c r="DI23" s="9" t="s">
        <v>488</v>
      </c>
      <c r="DJ23" s="9" t="s">
        <v>77</v>
      </c>
      <c r="DK23" s="9" t="s">
        <v>77</v>
      </c>
      <c r="DN23" s="9" t="s">
        <v>77</v>
      </c>
      <c r="DO23" s="9" t="s">
        <v>77</v>
      </c>
      <c r="DP23" s="9" t="s">
        <v>80</v>
      </c>
      <c r="DQ23" s="9" t="s">
        <v>438</v>
      </c>
      <c r="DR23" s="9" t="s">
        <v>77</v>
      </c>
      <c r="DS23" s="9" t="s">
        <v>78</v>
      </c>
      <c r="DT23" s="9" t="s">
        <v>349</v>
      </c>
      <c r="DU23" s="9" t="s">
        <v>78</v>
      </c>
      <c r="DV23" s="9" t="s">
        <v>77</v>
      </c>
      <c r="DZ23" s="9" t="s">
        <v>77</v>
      </c>
      <c r="EA23" s="9" t="s">
        <v>77</v>
      </c>
      <c r="EB23" s="9" t="s">
        <v>80</v>
      </c>
      <c r="EC23" s="9" t="s">
        <v>438</v>
      </c>
      <c r="ED23" s="9" t="s">
        <v>77</v>
      </c>
      <c r="EE23" s="9" t="s">
        <v>78</v>
      </c>
      <c r="EF23" s="9" t="s">
        <v>349</v>
      </c>
      <c r="EG23" s="9" t="s">
        <v>78</v>
      </c>
      <c r="EH23" s="9" t="s">
        <v>77</v>
      </c>
      <c r="EL23" s="9" t="s">
        <v>77</v>
      </c>
      <c r="EM23" s="9" t="s">
        <v>77</v>
      </c>
      <c r="EN23" s="9" t="s">
        <v>80</v>
      </c>
      <c r="EO23" s="9" t="s">
        <v>438</v>
      </c>
      <c r="EP23" s="9" t="s">
        <v>77</v>
      </c>
      <c r="EQ23" s="9" t="s">
        <v>78</v>
      </c>
      <c r="ER23" s="9" t="s">
        <v>349</v>
      </c>
      <c r="ES23" s="9" t="s">
        <v>78</v>
      </c>
      <c r="ET23" s="9" t="s">
        <v>77</v>
      </c>
      <c r="EX23" s="9" t="s">
        <v>77</v>
      </c>
      <c r="EY23" s="9" t="s">
        <v>77</v>
      </c>
      <c r="EZ23" s="9" t="s">
        <v>80</v>
      </c>
      <c r="FA23" s="9" t="s">
        <v>438</v>
      </c>
      <c r="FB23" s="9" t="s">
        <v>77</v>
      </c>
      <c r="FC23" s="9" t="s">
        <v>78</v>
      </c>
      <c r="FD23" s="9" t="s">
        <v>349</v>
      </c>
      <c r="FE23" s="9" t="s">
        <v>78</v>
      </c>
      <c r="FF23" s="9" t="s">
        <v>77</v>
      </c>
    </row>
    <row r="24" spans="50:162">
      <c r="AX24" s="9" t="s">
        <v>77</v>
      </c>
      <c r="AY24" s="9" t="s">
        <v>77</v>
      </c>
      <c r="AZ24" s="9" t="s">
        <v>80</v>
      </c>
      <c r="BA24" s="9" t="s">
        <v>438</v>
      </c>
      <c r="BB24" s="9" t="s">
        <v>79</v>
      </c>
      <c r="BC24" s="9" t="s">
        <v>78</v>
      </c>
      <c r="BD24" s="9" t="s">
        <v>349</v>
      </c>
      <c r="BE24" s="9" t="s">
        <v>78</v>
      </c>
      <c r="BF24" s="9" t="s">
        <v>77</v>
      </c>
      <c r="BI24" s="9" t="s">
        <v>77</v>
      </c>
      <c r="BJ24" s="9" t="s">
        <v>80</v>
      </c>
      <c r="BK24" s="9" t="s">
        <v>348</v>
      </c>
      <c r="BL24" s="9" t="s">
        <v>490</v>
      </c>
      <c r="BM24" s="9" t="s">
        <v>80</v>
      </c>
      <c r="BN24" s="9" t="s">
        <v>348</v>
      </c>
      <c r="BO24" s="9" t="s">
        <v>490</v>
      </c>
      <c r="BP24" s="9" t="s">
        <v>77</v>
      </c>
      <c r="BQ24" s="9" t="s">
        <v>77</v>
      </c>
      <c r="BR24" s="9" t="s">
        <v>77</v>
      </c>
      <c r="BS24" s="9" t="s">
        <v>77</v>
      </c>
      <c r="BT24" s="9" t="s">
        <v>77</v>
      </c>
      <c r="BU24" s="9" t="s">
        <v>77</v>
      </c>
      <c r="BV24" s="9" t="s">
        <v>78</v>
      </c>
      <c r="BW24" s="9" t="s">
        <v>78</v>
      </c>
      <c r="BX24" s="9" t="s">
        <v>78</v>
      </c>
      <c r="CB24" s="9" t="s">
        <v>77</v>
      </c>
      <c r="CC24" s="9" t="s">
        <v>80</v>
      </c>
      <c r="CD24" s="9" t="s">
        <v>77</v>
      </c>
      <c r="CE24" s="9" t="s">
        <v>77</v>
      </c>
      <c r="CF24" s="9" t="s">
        <v>77</v>
      </c>
      <c r="CG24" s="9" t="s">
        <v>80</v>
      </c>
      <c r="CH24" s="9" t="s">
        <v>348</v>
      </c>
      <c r="CI24" s="9" t="s">
        <v>491</v>
      </c>
      <c r="CJ24" s="9" t="s">
        <v>80</v>
      </c>
      <c r="CK24" s="9" t="s">
        <v>348</v>
      </c>
      <c r="CL24" s="9" t="s">
        <v>491</v>
      </c>
      <c r="CM24" s="9" t="s">
        <v>77</v>
      </c>
      <c r="CN24" s="9" t="s">
        <v>77</v>
      </c>
      <c r="CO24" s="9" t="s">
        <v>78</v>
      </c>
      <c r="CS24" s="9" t="s">
        <v>80</v>
      </c>
      <c r="CT24" s="9" t="s">
        <v>348</v>
      </c>
      <c r="CU24" s="9" t="s">
        <v>490</v>
      </c>
      <c r="CV24" s="9" t="s">
        <v>80</v>
      </c>
      <c r="CW24" s="9" t="s">
        <v>348</v>
      </c>
      <c r="CX24" s="9" t="s">
        <v>490</v>
      </c>
      <c r="CY24" s="9" t="s">
        <v>77</v>
      </c>
      <c r="CZ24" s="9" t="s">
        <v>77</v>
      </c>
      <c r="DA24" s="9" t="s">
        <v>78</v>
      </c>
      <c r="DE24" s="9" t="s">
        <v>77</v>
      </c>
      <c r="DF24" s="9" t="s">
        <v>78</v>
      </c>
      <c r="DG24" s="9" t="s">
        <v>78</v>
      </c>
      <c r="DH24" s="9" t="s">
        <v>78</v>
      </c>
      <c r="DI24" s="9" t="s">
        <v>492</v>
      </c>
      <c r="DJ24" s="9" t="s">
        <v>77</v>
      </c>
      <c r="DK24" s="9" t="s">
        <v>77</v>
      </c>
      <c r="DN24" s="9" t="s">
        <v>77</v>
      </c>
      <c r="DO24" s="9" t="s">
        <v>77</v>
      </c>
      <c r="DP24" s="9" t="s">
        <v>80</v>
      </c>
      <c r="DQ24" s="9" t="s">
        <v>438</v>
      </c>
      <c r="DR24" s="9" t="s">
        <v>77</v>
      </c>
      <c r="DS24" s="9" t="s">
        <v>78</v>
      </c>
      <c r="DT24" s="9" t="s">
        <v>349</v>
      </c>
      <c r="DU24" s="9" t="s">
        <v>78</v>
      </c>
      <c r="DV24" s="9" t="s">
        <v>77</v>
      </c>
      <c r="DZ24" s="9" t="s">
        <v>77</v>
      </c>
      <c r="EA24" s="9" t="s">
        <v>77</v>
      </c>
      <c r="EB24" s="9" t="s">
        <v>80</v>
      </c>
      <c r="EC24" s="9" t="s">
        <v>438</v>
      </c>
      <c r="ED24" s="9" t="s">
        <v>77</v>
      </c>
      <c r="EE24" s="9" t="s">
        <v>78</v>
      </c>
      <c r="EF24" s="9" t="s">
        <v>349</v>
      </c>
      <c r="EG24" s="9" t="s">
        <v>78</v>
      </c>
      <c r="EH24" s="9" t="s">
        <v>77</v>
      </c>
      <c r="EL24" s="9" t="s">
        <v>77</v>
      </c>
      <c r="EM24" s="9" t="s">
        <v>77</v>
      </c>
      <c r="EN24" s="9" t="s">
        <v>80</v>
      </c>
      <c r="EO24" s="9" t="s">
        <v>438</v>
      </c>
      <c r="EP24" s="9" t="s">
        <v>77</v>
      </c>
      <c r="EQ24" s="9" t="s">
        <v>78</v>
      </c>
      <c r="ER24" s="9" t="s">
        <v>349</v>
      </c>
      <c r="ES24" s="9" t="s">
        <v>78</v>
      </c>
      <c r="ET24" s="9" t="s">
        <v>77</v>
      </c>
      <c r="EX24" s="9" t="s">
        <v>77</v>
      </c>
      <c r="EY24" s="9" t="s">
        <v>77</v>
      </c>
      <c r="EZ24" s="9" t="s">
        <v>80</v>
      </c>
      <c r="FA24" s="9" t="s">
        <v>438</v>
      </c>
      <c r="FB24" s="9" t="s">
        <v>77</v>
      </c>
      <c r="FC24" s="9" t="s">
        <v>78</v>
      </c>
      <c r="FD24" s="9" t="s">
        <v>349</v>
      </c>
      <c r="FE24" s="9" t="s">
        <v>78</v>
      </c>
      <c r="FF24" s="9" t="s">
        <v>77</v>
      </c>
    </row>
    <row r="25" spans="50:162">
      <c r="AX25" s="9" t="s">
        <v>77</v>
      </c>
      <c r="AY25" s="9" t="s">
        <v>77</v>
      </c>
      <c r="AZ25" s="9" t="s">
        <v>80</v>
      </c>
      <c r="BA25" s="9" t="s">
        <v>438</v>
      </c>
      <c r="BB25" s="9" t="s">
        <v>79</v>
      </c>
      <c r="BC25" s="9" t="s">
        <v>78</v>
      </c>
      <c r="BD25" s="9" t="s">
        <v>349</v>
      </c>
      <c r="BE25" s="9" t="s">
        <v>78</v>
      </c>
      <c r="BF25" s="9" t="s">
        <v>77</v>
      </c>
      <c r="BI25" s="9" t="s">
        <v>77</v>
      </c>
      <c r="BJ25" s="9" t="s">
        <v>80</v>
      </c>
      <c r="BK25" s="9" t="s">
        <v>348</v>
      </c>
      <c r="BL25" s="9" t="s">
        <v>493</v>
      </c>
      <c r="BM25" s="9" t="s">
        <v>80</v>
      </c>
      <c r="BN25" s="9" t="s">
        <v>348</v>
      </c>
      <c r="BO25" s="9" t="s">
        <v>493</v>
      </c>
      <c r="BP25" s="9" t="s">
        <v>77</v>
      </c>
      <c r="BQ25" s="9" t="s">
        <v>77</v>
      </c>
      <c r="BR25" s="9" t="s">
        <v>77</v>
      </c>
      <c r="BS25" s="9" t="s">
        <v>77</v>
      </c>
      <c r="BT25" s="9" t="s">
        <v>77</v>
      </c>
      <c r="BU25" s="9" t="s">
        <v>77</v>
      </c>
      <c r="BV25" s="9" t="s">
        <v>78</v>
      </c>
      <c r="BW25" s="9" t="s">
        <v>78</v>
      </c>
      <c r="BX25" s="9" t="s">
        <v>78</v>
      </c>
      <c r="CB25" s="9" t="s">
        <v>77</v>
      </c>
      <c r="CC25" s="9" t="s">
        <v>80</v>
      </c>
      <c r="CD25" s="9" t="s">
        <v>77</v>
      </c>
      <c r="CE25" s="9" t="s">
        <v>77</v>
      </c>
      <c r="CF25" s="9" t="s">
        <v>77</v>
      </c>
      <c r="CG25" s="9" t="s">
        <v>80</v>
      </c>
      <c r="CH25" s="9" t="s">
        <v>348</v>
      </c>
      <c r="CI25" s="9" t="s">
        <v>494</v>
      </c>
      <c r="CJ25" s="9" t="s">
        <v>80</v>
      </c>
      <c r="CK25" s="9" t="s">
        <v>348</v>
      </c>
      <c r="CL25" s="9" t="s">
        <v>494</v>
      </c>
      <c r="CM25" s="9" t="s">
        <v>77</v>
      </c>
      <c r="CN25" s="9" t="s">
        <v>77</v>
      </c>
      <c r="CO25" s="9" t="s">
        <v>78</v>
      </c>
      <c r="CS25" s="9" t="s">
        <v>80</v>
      </c>
      <c r="CT25" s="9" t="s">
        <v>348</v>
      </c>
      <c r="CU25" s="9" t="s">
        <v>493</v>
      </c>
      <c r="CV25" s="9" t="s">
        <v>80</v>
      </c>
      <c r="CW25" s="9" t="s">
        <v>348</v>
      </c>
      <c r="CX25" s="9" t="s">
        <v>493</v>
      </c>
      <c r="CY25" s="9" t="s">
        <v>77</v>
      </c>
      <c r="CZ25" s="9" t="s">
        <v>77</v>
      </c>
      <c r="DA25" s="9" t="s">
        <v>78</v>
      </c>
      <c r="DE25" s="9" t="s">
        <v>77</v>
      </c>
      <c r="DF25" s="9" t="s">
        <v>78</v>
      </c>
      <c r="DG25" s="9" t="s">
        <v>78</v>
      </c>
      <c r="DH25" s="9" t="s">
        <v>78</v>
      </c>
      <c r="DI25" s="9" t="s">
        <v>493</v>
      </c>
      <c r="DJ25" s="9" t="s">
        <v>77</v>
      </c>
      <c r="DK25" s="9" t="s">
        <v>77</v>
      </c>
      <c r="DN25" s="9" t="s">
        <v>77</v>
      </c>
      <c r="DO25" s="9" t="s">
        <v>77</v>
      </c>
      <c r="DP25" s="9" t="s">
        <v>80</v>
      </c>
      <c r="DQ25" s="9" t="s">
        <v>438</v>
      </c>
      <c r="DR25" s="9" t="s">
        <v>77</v>
      </c>
      <c r="DS25" s="9" t="s">
        <v>78</v>
      </c>
      <c r="DT25" s="9" t="s">
        <v>349</v>
      </c>
      <c r="DU25" s="9" t="s">
        <v>78</v>
      </c>
      <c r="DV25" s="9" t="s">
        <v>77</v>
      </c>
      <c r="DZ25" s="9" t="s">
        <v>77</v>
      </c>
      <c r="EA25" s="9" t="s">
        <v>77</v>
      </c>
      <c r="EB25" s="9" t="s">
        <v>80</v>
      </c>
      <c r="EC25" s="9" t="s">
        <v>438</v>
      </c>
      <c r="ED25" s="9" t="s">
        <v>77</v>
      </c>
      <c r="EE25" s="9" t="s">
        <v>78</v>
      </c>
      <c r="EF25" s="9" t="s">
        <v>349</v>
      </c>
      <c r="EG25" s="9" t="s">
        <v>78</v>
      </c>
      <c r="EH25" s="9" t="s">
        <v>77</v>
      </c>
      <c r="EL25" s="9" t="s">
        <v>77</v>
      </c>
      <c r="EM25" s="9" t="s">
        <v>77</v>
      </c>
      <c r="EN25" s="9" t="s">
        <v>80</v>
      </c>
      <c r="EO25" s="9" t="s">
        <v>438</v>
      </c>
      <c r="EP25" s="9" t="s">
        <v>77</v>
      </c>
      <c r="EQ25" s="9" t="s">
        <v>78</v>
      </c>
      <c r="ER25" s="9" t="s">
        <v>349</v>
      </c>
      <c r="ES25" s="9" t="s">
        <v>78</v>
      </c>
      <c r="ET25" s="9" t="s">
        <v>77</v>
      </c>
      <c r="EX25" s="9" t="s">
        <v>77</v>
      </c>
      <c r="EY25" s="9" t="s">
        <v>77</v>
      </c>
      <c r="EZ25" s="9" t="s">
        <v>80</v>
      </c>
      <c r="FA25" s="9" t="s">
        <v>438</v>
      </c>
      <c r="FB25" s="9" t="s">
        <v>77</v>
      </c>
      <c r="FC25" s="9" t="s">
        <v>78</v>
      </c>
      <c r="FD25" s="9" t="s">
        <v>349</v>
      </c>
      <c r="FE25" s="9" t="s">
        <v>78</v>
      </c>
      <c r="FF25" s="9" t="s">
        <v>77</v>
      </c>
    </row>
    <row r="26" spans="50:162">
      <c r="AX26" s="9" t="s">
        <v>77</v>
      </c>
      <c r="AY26" s="9" t="s">
        <v>77</v>
      </c>
      <c r="AZ26" s="9" t="s">
        <v>80</v>
      </c>
      <c r="BA26" s="9" t="s">
        <v>438</v>
      </c>
      <c r="BB26" s="9" t="s">
        <v>79</v>
      </c>
      <c r="BC26" s="9" t="s">
        <v>78</v>
      </c>
      <c r="BD26" s="9" t="s">
        <v>349</v>
      </c>
      <c r="BE26" s="9" t="s">
        <v>78</v>
      </c>
      <c r="BF26" s="9" t="s">
        <v>77</v>
      </c>
      <c r="BI26" s="9" t="s">
        <v>77</v>
      </c>
      <c r="BJ26" s="9" t="s">
        <v>80</v>
      </c>
      <c r="BK26" s="9" t="s">
        <v>348</v>
      </c>
      <c r="BL26" s="9" t="s">
        <v>495</v>
      </c>
      <c r="BM26" s="9" t="s">
        <v>80</v>
      </c>
      <c r="BN26" s="9" t="s">
        <v>348</v>
      </c>
      <c r="BO26" s="9" t="s">
        <v>495</v>
      </c>
      <c r="BP26" s="9" t="s">
        <v>77</v>
      </c>
      <c r="BQ26" s="9" t="s">
        <v>77</v>
      </c>
      <c r="BR26" s="9" t="s">
        <v>77</v>
      </c>
      <c r="BS26" s="9" t="s">
        <v>77</v>
      </c>
      <c r="BT26" s="9" t="s">
        <v>77</v>
      </c>
      <c r="BU26" s="9" t="s">
        <v>77</v>
      </c>
      <c r="BV26" s="9" t="s">
        <v>78</v>
      </c>
      <c r="BW26" s="9" t="s">
        <v>78</v>
      </c>
      <c r="BX26" s="9" t="s">
        <v>78</v>
      </c>
      <c r="CB26" s="9" t="s">
        <v>77</v>
      </c>
      <c r="CC26" s="9" t="s">
        <v>80</v>
      </c>
      <c r="CD26" s="9" t="s">
        <v>77</v>
      </c>
      <c r="CE26" s="9" t="s">
        <v>77</v>
      </c>
      <c r="CF26" s="9" t="s">
        <v>77</v>
      </c>
      <c r="CG26" s="9" t="s">
        <v>80</v>
      </c>
      <c r="CH26" s="9" t="s">
        <v>348</v>
      </c>
      <c r="CI26" s="9" t="s">
        <v>496</v>
      </c>
      <c r="CJ26" s="9" t="s">
        <v>80</v>
      </c>
      <c r="CK26" s="9" t="s">
        <v>348</v>
      </c>
      <c r="CL26" s="9" t="s">
        <v>496</v>
      </c>
      <c r="CM26" s="9" t="s">
        <v>77</v>
      </c>
      <c r="CN26" s="9" t="s">
        <v>77</v>
      </c>
      <c r="CO26" s="9" t="s">
        <v>78</v>
      </c>
      <c r="CS26" s="9" t="s">
        <v>80</v>
      </c>
      <c r="CT26" s="9" t="s">
        <v>348</v>
      </c>
      <c r="CU26" s="9" t="s">
        <v>495</v>
      </c>
      <c r="CV26" s="9" t="s">
        <v>80</v>
      </c>
      <c r="CW26" s="9" t="s">
        <v>348</v>
      </c>
      <c r="CX26" s="9" t="s">
        <v>495</v>
      </c>
      <c r="CY26" s="9" t="s">
        <v>77</v>
      </c>
      <c r="CZ26" s="9" t="s">
        <v>77</v>
      </c>
      <c r="DA26" s="9" t="s">
        <v>78</v>
      </c>
      <c r="DE26" s="9" t="s">
        <v>77</v>
      </c>
      <c r="DF26" s="9" t="s">
        <v>78</v>
      </c>
      <c r="DG26" s="9" t="s">
        <v>78</v>
      </c>
      <c r="DH26" s="9" t="s">
        <v>78</v>
      </c>
      <c r="DI26" s="9" t="s">
        <v>495</v>
      </c>
      <c r="DJ26" s="9" t="s">
        <v>77</v>
      </c>
      <c r="DK26" s="9" t="s">
        <v>77</v>
      </c>
      <c r="DN26" s="9" t="s">
        <v>77</v>
      </c>
      <c r="DO26" s="9" t="s">
        <v>77</v>
      </c>
      <c r="DP26" s="9" t="s">
        <v>80</v>
      </c>
      <c r="DQ26" s="9" t="s">
        <v>438</v>
      </c>
      <c r="DR26" s="9" t="s">
        <v>77</v>
      </c>
      <c r="DS26" s="9" t="s">
        <v>78</v>
      </c>
      <c r="DT26" s="9" t="s">
        <v>349</v>
      </c>
      <c r="DU26" s="9" t="s">
        <v>78</v>
      </c>
      <c r="DV26" s="9" t="s">
        <v>77</v>
      </c>
      <c r="DZ26" s="9" t="s">
        <v>77</v>
      </c>
      <c r="EA26" s="9" t="s">
        <v>77</v>
      </c>
      <c r="EB26" s="9" t="s">
        <v>80</v>
      </c>
      <c r="EC26" s="9" t="s">
        <v>438</v>
      </c>
      <c r="ED26" s="9" t="s">
        <v>77</v>
      </c>
      <c r="EE26" s="9" t="s">
        <v>78</v>
      </c>
      <c r="EF26" s="9" t="s">
        <v>349</v>
      </c>
      <c r="EG26" s="9" t="s">
        <v>78</v>
      </c>
      <c r="EH26" s="9" t="s">
        <v>77</v>
      </c>
      <c r="EL26" s="9" t="s">
        <v>77</v>
      </c>
      <c r="EM26" s="9" t="s">
        <v>77</v>
      </c>
      <c r="EN26" s="9" t="s">
        <v>80</v>
      </c>
      <c r="EO26" s="9" t="s">
        <v>438</v>
      </c>
      <c r="EP26" s="9" t="s">
        <v>77</v>
      </c>
      <c r="EQ26" s="9" t="s">
        <v>78</v>
      </c>
      <c r="ER26" s="9" t="s">
        <v>349</v>
      </c>
      <c r="ES26" s="9" t="s">
        <v>78</v>
      </c>
      <c r="ET26" s="9" t="s">
        <v>77</v>
      </c>
      <c r="EX26" s="9" t="s">
        <v>77</v>
      </c>
      <c r="EY26" s="9" t="s">
        <v>77</v>
      </c>
      <c r="EZ26" s="9" t="s">
        <v>80</v>
      </c>
      <c r="FA26" s="9" t="s">
        <v>438</v>
      </c>
      <c r="FB26" s="9" t="s">
        <v>77</v>
      </c>
      <c r="FC26" s="9" t="s">
        <v>78</v>
      </c>
      <c r="FD26" s="9" t="s">
        <v>349</v>
      </c>
      <c r="FE26" s="9" t="s">
        <v>78</v>
      </c>
      <c r="FF26" s="9" t="s">
        <v>77</v>
      </c>
    </row>
    <row r="27" spans="50:162">
      <c r="AX27" s="9" t="s">
        <v>77</v>
      </c>
      <c r="AY27" s="9" t="s">
        <v>77</v>
      </c>
      <c r="AZ27" s="9" t="s">
        <v>80</v>
      </c>
      <c r="BA27" s="9" t="s">
        <v>438</v>
      </c>
      <c r="BB27" s="9" t="s">
        <v>79</v>
      </c>
      <c r="BC27" s="9" t="s">
        <v>78</v>
      </c>
      <c r="BD27" s="9" t="s">
        <v>349</v>
      </c>
      <c r="BE27" s="9" t="s">
        <v>78</v>
      </c>
      <c r="BF27" s="9" t="s">
        <v>77</v>
      </c>
      <c r="BI27" s="9" t="s">
        <v>77</v>
      </c>
      <c r="BJ27" s="9" t="s">
        <v>80</v>
      </c>
      <c r="BK27" s="9" t="s">
        <v>348</v>
      </c>
      <c r="BL27" s="9" t="s">
        <v>497</v>
      </c>
      <c r="BM27" s="9" t="s">
        <v>80</v>
      </c>
      <c r="BN27" s="9" t="s">
        <v>348</v>
      </c>
      <c r="BO27" s="9" t="s">
        <v>497</v>
      </c>
      <c r="BP27" s="9" t="s">
        <v>77</v>
      </c>
      <c r="BQ27" s="9" t="s">
        <v>77</v>
      </c>
      <c r="BR27" s="9" t="s">
        <v>77</v>
      </c>
      <c r="BS27" s="9" t="s">
        <v>77</v>
      </c>
      <c r="BT27" s="9" t="s">
        <v>77</v>
      </c>
      <c r="BU27" s="9" t="s">
        <v>77</v>
      </c>
      <c r="BV27" s="9" t="s">
        <v>78</v>
      </c>
      <c r="BW27" s="9" t="s">
        <v>78</v>
      </c>
      <c r="BX27" s="9" t="s">
        <v>78</v>
      </c>
      <c r="CB27" s="9" t="s">
        <v>77</v>
      </c>
      <c r="CC27" s="9" t="s">
        <v>80</v>
      </c>
      <c r="CD27" s="9" t="s">
        <v>77</v>
      </c>
      <c r="CE27" s="9" t="s">
        <v>77</v>
      </c>
      <c r="CF27" s="9" t="s">
        <v>77</v>
      </c>
      <c r="CG27" s="9" t="s">
        <v>80</v>
      </c>
      <c r="CH27" s="9" t="s">
        <v>348</v>
      </c>
      <c r="CI27" s="9" t="s">
        <v>498</v>
      </c>
      <c r="CJ27" s="9" t="s">
        <v>80</v>
      </c>
      <c r="CK27" s="9" t="s">
        <v>348</v>
      </c>
      <c r="CL27" s="9" t="s">
        <v>498</v>
      </c>
      <c r="CM27" s="9" t="s">
        <v>77</v>
      </c>
      <c r="CN27" s="9" t="s">
        <v>77</v>
      </c>
      <c r="CO27" s="9" t="s">
        <v>78</v>
      </c>
      <c r="CS27" s="9" t="s">
        <v>80</v>
      </c>
      <c r="CT27" s="9" t="s">
        <v>348</v>
      </c>
      <c r="CU27" s="9" t="s">
        <v>497</v>
      </c>
      <c r="CV27" s="9" t="s">
        <v>80</v>
      </c>
      <c r="CW27" s="9" t="s">
        <v>348</v>
      </c>
      <c r="CX27" s="9" t="s">
        <v>497</v>
      </c>
      <c r="CY27" s="9" t="s">
        <v>77</v>
      </c>
      <c r="CZ27" s="9" t="s">
        <v>77</v>
      </c>
      <c r="DA27" s="9" t="s">
        <v>78</v>
      </c>
      <c r="DE27" s="9" t="s">
        <v>77</v>
      </c>
      <c r="DF27" s="9" t="s">
        <v>78</v>
      </c>
      <c r="DG27" s="9" t="s">
        <v>78</v>
      </c>
      <c r="DH27" s="9" t="s">
        <v>78</v>
      </c>
      <c r="DI27" s="9" t="s">
        <v>497</v>
      </c>
      <c r="DJ27" s="9" t="s">
        <v>77</v>
      </c>
      <c r="DK27" s="9" t="s">
        <v>77</v>
      </c>
      <c r="DN27" s="9" t="s">
        <v>77</v>
      </c>
      <c r="DO27" s="9" t="s">
        <v>77</v>
      </c>
      <c r="DP27" s="9" t="s">
        <v>80</v>
      </c>
      <c r="DQ27" s="9" t="s">
        <v>438</v>
      </c>
      <c r="DR27" s="9" t="s">
        <v>77</v>
      </c>
      <c r="DS27" s="9" t="s">
        <v>78</v>
      </c>
      <c r="DT27" s="9" t="s">
        <v>349</v>
      </c>
      <c r="DU27" s="9" t="s">
        <v>78</v>
      </c>
      <c r="DV27" s="9" t="s">
        <v>77</v>
      </c>
      <c r="DZ27" s="9" t="s">
        <v>77</v>
      </c>
      <c r="EA27" s="9" t="s">
        <v>77</v>
      </c>
      <c r="EB27" s="9" t="s">
        <v>80</v>
      </c>
      <c r="EC27" s="9" t="s">
        <v>438</v>
      </c>
      <c r="ED27" s="9" t="s">
        <v>77</v>
      </c>
      <c r="EE27" s="9" t="s">
        <v>78</v>
      </c>
      <c r="EF27" s="9" t="s">
        <v>349</v>
      </c>
      <c r="EG27" s="9" t="s">
        <v>78</v>
      </c>
      <c r="EH27" s="9" t="s">
        <v>77</v>
      </c>
      <c r="EL27" s="9" t="s">
        <v>77</v>
      </c>
      <c r="EM27" s="9" t="s">
        <v>77</v>
      </c>
      <c r="EN27" s="9" t="s">
        <v>80</v>
      </c>
      <c r="EO27" s="9" t="s">
        <v>438</v>
      </c>
      <c r="EP27" s="9" t="s">
        <v>77</v>
      </c>
      <c r="EQ27" s="9" t="s">
        <v>78</v>
      </c>
      <c r="ER27" s="9" t="s">
        <v>349</v>
      </c>
      <c r="ES27" s="9" t="s">
        <v>78</v>
      </c>
      <c r="ET27" s="9" t="s">
        <v>77</v>
      </c>
      <c r="EX27" s="9" t="s">
        <v>77</v>
      </c>
      <c r="EY27" s="9" t="s">
        <v>77</v>
      </c>
      <c r="EZ27" s="9" t="s">
        <v>80</v>
      </c>
      <c r="FA27" s="9" t="s">
        <v>438</v>
      </c>
      <c r="FB27" s="9" t="s">
        <v>77</v>
      </c>
      <c r="FC27" s="9" t="s">
        <v>78</v>
      </c>
      <c r="FD27" s="9" t="s">
        <v>349</v>
      </c>
      <c r="FE27" s="9" t="s">
        <v>78</v>
      </c>
      <c r="FF27" s="9" t="s">
        <v>77</v>
      </c>
    </row>
    <row r="28" spans="50:162">
      <c r="AX28" s="9" t="s">
        <v>77</v>
      </c>
      <c r="AY28" s="9" t="s">
        <v>77</v>
      </c>
      <c r="AZ28" s="9" t="s">
        <v>80</v>
      </c>
      <c r="BA28" s="9" t="s">
        <v>438</v>
      </c>
      <c r="BB28" s="9" t="s">
        <v>79</v>
      </c>
      <c r="BC28" s="9" t="s">
        <v>78</v>
      </c>
      <c r="BD28" s="9" t="s">
        <v>349</v>
      </c>
      <c r="BE28" s="9" t="s">
        <v>78</v>
      </c>
      <c r="BF28" s="9" t="s">
        <v>77</v>
      </c>
      <c r="BI28" s="9" t="s">
        <v>77</v>
      </c>
      <c r="BJ28" s="9" t="s">
        <v>80</v>
      </c>
      <c r="BK28" s="9" t="s">
        <v>348</v>
      </c>
      <c r="BL28" s="9" t="s">
        <v>499</v>
      </c>
      <c r="BM28" s="9" t="s">
        <v>80</v>
      </c>
      <c r="BN28" s="9" t="s">
        <v>348</v>
      </c>
      <c r="BO28" s="9" t="s">
        <v>499</v>
      </c>
      <c r="BP28" s="9" t="s">
        <v>77</v>
      </c>
      <c r="BQ28" s="9" t="s">
        <v>77</v>
      </c>
      <c r="BR28" s="9" t="s">
        <v>77</v>
      </c>
      <c r="BS28" s="9" t="s">
        <v>77</v>
      </c>
      <c r="BT28" s="9" t="s">
        <v>77</v>
      </c>
      <c r="BU28" s="9" t="s">
        <v>77</v>
      </c>
      <c r="BV28" s="9" t="s">
        <v>78</v>
      </c>
      <c r="BW28" s="9" t="s">
        <v>78</v>
      </c>
      <c r="BX28" s="9" t="s">
        <v>78</v>
      </c>
      <c r="CB28" s="9" t="s">
        <v>77</v>
      </c>
      <c r="CC28" s="9" t="s">
        <v>80</v>
      </c>
      <c r="CD28" s="9" t="s">
        <v>77</v>
      </c>
      <c r="CE28" s="9" t="s">
        <v>77</v>
      </c>
      <c r="CF28" s="9" t="s">
        <v>77</v>
      </c>
      <c r="CG28" s="9" t="s">
        <v>80</v>
      </c>
      <c r="CH28" s="9" t="s">
        <v>348</v>
      </c>
      <c r="CI28" s="9" t="s">
        <v>499</v>
      </c>
      <c r="CJ28" s="9" t="s">
        <v>80</v>
      </c>
      <c r="CK28" s="9" t="s">
        <v>348</v>
      </c>
      <c r="CL28" s="9" t="s">
        <v>499</v>
      </c>
      <c r="CM28" s="9" t="s">
        <v>77</v>
      </c>
      <c r="CN28" s="9" t="s">
        <v>77</v>
      </c>
      <c r="CO28" s="9" t="s">
        <v>78</v>
      </c>
      <c r="CS28" s="9" t="s">
        <v>80</v>
      </c>
      <c r="CT28" s="9" t="s">
        <v>348</v>
      </c>
      <c r="CU28" s="9" t="s">
        <v>499</v>
      </c>
      <c r="CV28" s="9" t="s">
        <v>80</v>
      </c>
      <c r="CW28" s="9" t="s">
        <v>348</v>
      </c>
      <c r="CX28" s="9" t="s">
        <v>499</v>
      </c>
      <c r="CY28" s="9" t="s">
        <v>77</v>
      </c>
      <c r="CZ28" s="9" t="s">
        <v>77</v>
      </c>
      <c r="DA28" s="9" t="s">
        <v>78</v>
      </c>
      <c r="DE28" s="9" t="s">
        <v>77</v>
      </c>
      <c r="DF28" s="9" t="s">
        <v>78</v>
      </c>
      <c r="DG28" s="9" t="s">
        <v>78</v>
      </c>
      <c r="DH28" s="9" t="s">
        <v>78</v>
      </c>
      <c r="DI28" s="9" t="s">
        <v>500</v>
      </c>
      <c r="DJ28" s="9" t="s">
        <v>77</v>
      </c>
      <c r="DK28" s="9" t="s">
        <v>77</v>
      </c>
      <c r="DN28" s="9" t="s">
        <v>77</v>
      </c>
      <c r="DO28" s="9" t="s">
        <v>77</v>
      </c>
      <c r="DP28" s="9" t="s">
        <v>80</v>
      </c>
      <c r="DQ28" s="9" t="s">
        <v>438</v>
      </c>
      <c r="DR28" s="9" t="s">
        <v>77</v>
      </c>
      <c r="DS28" s="9" t="s">
        <v>78</v>
      </c>
      <c r="DT28" s="9" t="s">
        <v>349</v>
      </c>
      <c r="DU28" s="9" t="s">
        <v>78</v>
      </c>
      <c r="DV28" s="9" t="s">
        <v>77</v>
      </c>
      <c r="DZ28" s="9" t="s">
        <v>77</v>
      </c>
      <c r="EA28" s="9" t="s">
        <v>77</v>
      </c>
      <c r="EB28" s="9" t="s">
        <v>80</v>
      </c>
      <c r="EC28" s="9" t="s">
        <v>438</v>
      </c>
      <c r="ED28" s="9" t="s">
        <v>77</v>
      </c>
      <c r="EE28" s="9" t="s">
        <v>78</v>
      </c>
      <c r="EF28" s="9" t="s">
        <v>349</v>
      </c>
      <c r="EG28" s="9" t="s">
        <v>78</v>
      </c>
      <c r="EH28" s="9" t="s">
        <v>77</v>
      </c>
      <c r="EL28" s="9" t="s">
        <v>77</v>
      </c>
      <c r="EM28" s="9" t="s">
        <v>77</v>
      </c>
      <c r="EN28" s="9" t="s">
        <v>80</v>
      </c>
      <c r="EO28" s="9" t="s">
        <v>438</v>
      </c>
      <c r="EP28" s="9" t="s">
        <v>77</v>
      </c>
      <c r="EQ28" s="9" t="s">
        <v>78</v>
      </c>
      <c r="ER28" s="9" t="s">
        <v>349</v>
      </c>
      <c r="ES28" s="9" t="s">
        <v>78</v>
      </c>
      <c r="ET28" s="9" t="s">
        <v>77</v>
      </c>
      <c r="EX28" s="9" t="s">
        <v>77</v>
      </c>
      <c r="EY28" s="9" t="s">
        <v>77</v>
      </c>
      <c r="EZ28" s="9" t="s">
        <v>80</v>
      </c>
      <c r="FA28" s="9" t="s">
        <v>438</v>
      </c>
      <c r="FB28" s="9" t="s">
        <v>77</v>
      </c>
      <c r="FC28" s="9" t="s">
        <v>78</v>
      </c>
      <c r="FD28" s="9" t="s">
        <v>349</v>
      </c>
      <c r="FE28" s="9" t="s">
        <v>78</v>
      </c>
      <c r="FF28" s="9" t="s">
        <v>77</v>
      </c>
    </row>
    <row r="29" spans="50:162">
      <c r="AX29" s="9" t="s">
        <v>77</v>
      </c>
      <c r="AY29" s="9" t="s">
        <v>77</v>
      </c>
      <c r="AZ29" s="9" t="s">
        <v>80</v>
      </c>
      <c r="BA29" s="9" t="s">
        <v>438</v>
      </c>
      <c r="BB29" s="9" t="s">
        <v>79</v>
      </c>
      <c r="BC29" s="9" t="s">
        <v>78</v>
      </c>
      <c r="BD29" s="9" t="s">
        <v>349</v>
      </c>
      <c r="BE29" s="9" t="s">
        <v>78</v>
      </c>
      <c r="BF29" s="9" t="s">
        <v>77</v>
      </c>
      <c r="BI29" s="9" t="s">
        <v>77</v>
      </c>
      <c r="BJ29" s="9" t="s">
        <v>80</v>
      </c>
      <c r="BK29" s="9" t="s">
        <v>348</v>
      </c>
      <c r="BL29" s="9" t="s">
        <v>501</v>
      </c>
      <c r="BM29" s="9" t="s">
        <v>80</v>
      </c>
      <c r="BN29" s="9" t="s">
        <v>348</v>
      </c>
      <c r="BO29" s="9" t="s">
        <v>501</v>
      </c>
      <c r="BP29" s="9" t="s">
        <v>77</v>
      </c>
      <c r="BQ29" s="9" t="s">
        <v>77</v>
      </c>
      <c r="BR29" s="9" t="s">
        <v>77</v>
      </c>
      <c r="BS29" s="9" t="s">
        <v>77</v>
      </c>
      <c r="BT29" s="9" t="s">
        <v>77</v>
      </c>
      <c r="BU29" s="9" t="s">
        <v>77</v>
      </c>
      <c r="BV29" s="9" t="s">
        <v>78</v>
      </c>
      <c r="BW29" s="9" t="s">
        <v>78</v>
      </c>
      <c r="BX29" s="9" t="s">
        <v>78</v>
      </c>
      <c r="CB29" s="9" t="s">
        <v>77</v>
      </c>
      <c r="CC29" s="9" t="s">
        <v>80</v>
      </c>
      <c r="CD29" s="9" t="s">
        <v>77</v>
      </c>
      <c r="CE29" s="9" t="s">
        <v>77</v>
      </c>
      <c r="CF29" s="9" t="s">
        <v>77</v>
      </c>
      <c r="CG29" s="9" t="s">
        <v>80</v>
      </c>
      <c r="CH29" s="9" t="s">
        <v>348</v>
      </c>
      <c r="CI29" s="9" t="s">
        <v>502</v>
      </c>
      <c r="CJ29" s="9" t="s">
        <v>80</v>
      </c>
      <c r="CK29" s="9" t="s">
        <v>348</v>
      </c>
      <c r="CL29" s="9" t="s">
        <v>502</v>
      </c>
      <c r="CM29" s="9" t="s">
        <v>77</v>
      </c>
      <c r="CN29" s="9" t="s">
        <v>77</v>
      </c>
      <c r="CO29" s="9" t="s">
        <v>78</v>
      </c>
      <c r="CS29" s="9" t="s">
        <v>80</v>
      </c>
      <c r="CT29" s="9" t="s">
        <v>348</v>
      </c>
      <c r="CU29" s="9" t="s">
        <v>501</v>
      </c>
      <c r="CV29" s="9" t="s">
        <v>80</v>
      </c>
      <c r="CW29" s="9" t="s">
        <v>348</v>
      </c>
      <c r="CX29" s="9" t="s">
        <v>501</v>
      </c>
      <c r="CY29" s="9" t="s">
        <v>77</v>
      </c>
      <c r="CZ29" s="9" t="s">
        <v>77</v>
      </c>
      <c r="DA29" s="9" t="s">
        <v>78</v>
      </c>
      <c r="DE29" s="9" t="s">
        <v>77</v>
      </c>
      <c r="DF29" s="9" t="s">
        <v>78</v>
      </c>
      <c r="DG29" s="9" t="s">
        <v>78</v>
      </c>
      <c r="DH29" s="9" t="s">
        <v>78</v>
      </c>
      <c r="DI29" s="9" t="s">
        <v>501</v>
      </c>
      <c r="DJ29" s="9" t="s">
        <v>77</v>
      </c>
      <c r="DK29" s="9" t="s">
        <v>77</v>
      </c>
      <c r="DN29" s="9" t="s">
        <v>77</v>
      </c>
      <c r="DO29" s="9" t="s">
        <v>77</v>
      </c>
      <c r="DP29" s="9" t="s">
        <v>80</v>
      </c>
      <c r="DQ29" s="9" t="s">
        <v>438</v>
      </c>
      <c r="DR29" s="9" t="s">
        <v>77</v>
      </c>
      <c r="DS29" s="9" t="s">
        <v>78</v>
      </c>
      <c r="DT29" s="9" t="s">
        <v>349</v>
      </c>
      <c r="DU29" s="9" t="s">
        <v>78</v>
      </c>
      <c r="DV29" s="9" t="s">
        <v>77</v>
      </c>
      <c r="DZ29" s="9" t="s">
        <v>77</v>
      </c>
      <c r="EA29" s="9" t="s">
        <v>77</v>
      </c>
      <c r="EB29" s="9" t="s">
        <v>80</v>
      </c>
      <c r="EC29" s="9" t="s">
        <v>438</v>
      </c>
      <c r="ED29" s="9" t="s">
        <v>77</v>
      </c>
      <c r="EE29" s="9" t="s">
        <v>78</v>
      </c>
      <c r="EF29" s="9" t="s">
        <v>349</v>
      </c>
      <c r="EG29" s="9" t="s">
        <v>78</v>
      </c>
      <c r="EH29" s="9" t="s">
        <v>77</v>
      </c>
      <c r="EL29" s="9" t="s">
        <v>77</v>
      </c>
      <c r="EM29" s="9" t="s">
        <v>77</v>
      </c>
      <c r="EN29" s="9" t="s">
        <v>80</v>
      </c>
      <c r="EO29" s="9" t="s">
        <v>438</v>
      </c>
      <c r="EP29" s="9" t="s">
        <v>77</v>
      </c>
      <c r="EQ29" s="9" t="s">
        <v>78</v>
      </c>
      <c r="ER29" s="9" t="s">
        <v>349</v>
      </c>
      <c r="ES29" s="9" t="s">
        <v>78</v>
      </c>
      <c r="ET29" s="9" t="s">
        <v>77</v>
      </c>
      <c r="EX29" s="9" t="s">
        <v>77</v>
      </c>
      <c r="EY29" s="9" t="s">
        <v>77</v>
      </c>
      <c r="EZ29" s="9" t="s">
        <v>80</v>
      </c>
      <c r="FA29" s="9" t="s">
        <v>438</v>
      </c>
      <c r="FB29" s="9" t="s">
        <v>77</v>
      </c>
      <c r="FC29" s="9" t="s">
        <v>78</v>
      </c>
      <c r="FD29" s="9" t="s">
        <v>349</v>
      </c>
      <c r="FE29" s="9" t="s">
        <v>78</v>
      </c>
      <c r="FF29" s="9" t="s">
        <v>77</v>
      </c>
    </row>
    <row r="30" spans="50:162">
      <c r="AX30" s="9" t="s">
        <v>77</v>
      </c>
      <c r="AY30" s="9" t="s">
        <v>77</v>
      </c>
      <c r="AZ30" s="9" t="s">
        <v>80</v>
      </c>
      <c r="BA30" s="9" t="s">
        <v>438</v>
      </c>
      <c r="BB30" s="9" t="s">
        <v>79</v>
      </c>
      <c r="BC30" s="9" t="s">
        <v>78</v>
      </c>
      <c r="BD30" s="9" t="s">
        <v>349</v>
      </c>
      <c r="BE30" s="9" t="s">
        <v>78</v>
      </c>
      <c r="BF30" s="9" t="s">
        <v>77</v>
      </c>
      <c r="BI30" s="9" t="s">
        <v>77</v>
      </c>
      <c r="BJ30" s="9" t="s">
        <v>80</v>
      </c>
      <c r="BK30" s="9" t="s">
        <v>348</v>
      </c>
      <c r="BL30" s="9" t="s">
        <v>503</v>
      </c>
      <c r="BM30" s="9" t="s">
        <v>80</v>
      </c>
      <c r="BN30" s="9" t="s">
        <v>348</v>
      </c>
      <c r="BO30" s="9" t="s">
        <v>503</v>
      </c>
      <c r="BP30" s="9" t="s">
        <v>77</v>
      </c>
      <c r="BQ30" s="9" t="s">
        <v>77</v>
      </c>
      <c r="BR30" s="9" t="s">
        <v>77</v>
      </c>
      <c r="BS30" s="9" t="s">
        <v>77</v>
      </c>
      <c r="BT30" s="9" t="s">
        <v>77</v>
      </c>
      <c r="BU30" s="9" t="s">
        <v>77</v>
      </c>
      <c r="BV30" s="9" t="s">
        <v>78</v>
      </c>
      <c r="BW30" s="9" t="s">
        <v>78</v>
      </c>
      <c r="BX30" s="9" t="s">
        <v>78</v>
      </c>
      <c r="CB30" s="9" t="s">
        <v>77</v>
      </c>
      <c r="CC30" s="9" t="s">
        <v>80</v>
      </c>
      <c r="CD30" s="9" t="s">
        <v>77</v>
      </c>
      <c r="CE30" s="9" t="s">
        <v>77</v>
      </c>
      <c r="CF30" s="9" t="s">
        <v>77</v>
      </c>
      <c r="CG30" s="9" t="s">
        <v>80</v>
      </c>
      <c r="CH30" s="9" t="s">
        <v>348</v>
      </c>
      <c r="CI30" s="9" t="s">
        <v>504</v>
      </c>
      <c r="CJ30" s="9" t="s">
        <v>80</v>
      </c>
      <c r="CK30" s="9" t="s">
        <v>348</v>
      </c>
      <c r="CL30" s="9" t="s">
        <v>504</v>
      </c>
      <c r="CM30" s="9" t="s">
        <v>77</v>
      </c>
      <c r="CN30" s="9" t="s">
        <v>77</v>
      </c>
      <c r="CO30" s="9" t="s">
        <v>78</v>
      </c>
      <c r="CS30" s="9" t="s">
        <v>80</v>
      </c>
      <c r="CT30" s="9" t="s">
        <v>348</v>
      </c>
      <c r="CU30" s="9" t="s">
        <v>503</v>
      </c>
      <c r="CV30" s="9" t="s">
        <v>80</v>
      </c>
      <c r="CW30" s="9" t="s">
        <v>348</v>
      </c>
      <c r="CX30" s="9" t="s">
        <v>503</v>
      </c>
      <c r="CY30" s="9" t="s">
        <v>77</v>
      </c>
      <c r="CZ30" s="9" t="s">
        <v>77</v>
      </c>
      <c r="DA30" s="9" t="s">
        <v>78</v>
      </c>
      <c r="DE30" s="9" t="s">
        <v>77</v>
      </c>
      <c r="DF30" s="9" t="s">
        <v>78</v>
      </c>
      <c r="DG30" s="9" t="s">
        <v>78</v>
      </c>
      <c r="DH30" s="9" t="s">
        <v>78</v>
      </c>
      <c r="DI30" s="9" t="s">
        <v>503</v>
      </c>
      <c r="DJ30" s="9" t="s">
        <v>77</v>
      </c>
      <c r="DK30" s="9" t="s">
        <v>77</v>
      </c>
      <c r="DN30" s="9" t="s">
        <v>77</v>
      </c>
      <c r="DO30" s="9" t="s">
        <v>77</v>
      </c>
      <c r="DP30" s="9" t="s">
        <v>80</v>
      </c>
      <c r="DQ30" s="9" t="s">
        <v>438</v>
      </c>
      <c r="DR30" s="9" t="s">
        <v>77</v>
      </c>
      <c r="DS30" s="9" t="s">
        <v>78</v>
      </c>
      <c r="DT30" s="9" t="s">
        <v>349</v>
      </c>
      <c r="DU30" s="9" t="s">
        <v>78</v>
      </c>
      <c r="DV30" s="9" t="s">
        <v>77</v>
      </c>
      <c r="DZ30" s="9" t="s">
        <v>77</v>
      </c>
      <c r="EA30" s="9" t="s">
        <v>77</v>
      </c>
      <c r="EB30" s="9" t="s">
        <v>80</v>
      </c>
      <c r="EC30" s="9" t="s">
        <v>438</v>
      </c>
      <c r="ED30" s="9" t="s">
        <v>77</v>
      </c>
      <c r="EE30" s="9" t="s">
        <v>78</v>
      </c>
      <c r="EF30" s="9" t="s">
        <v>349</v>
      </c>
      <c r="EG30" s="9" t="s">
        <v>78</v>
      </c>
      <c r="EH30" s="9" t="s">
        <v>77</v>
      </c>
      <c r="EL30" s="9" t="s">
        <v>77</v>
      </c>
      <c r="EM30" s="9" t="s">
        <v>77</v>
      </c>
      <c r="EN30" s="9" t="s">
        <v>80</v>
      </c>
      <c r="EO30" s="9" t="s">
        <v>438</v>
      </c>
      <c r="EP30" s="9" t="s">
        <v>77</v>
      </c>
      <c r="EQ30" s="9" t="s">
        <v>78</v>
      </c>
      <c r="ER30" s="9" t="s">
        <v>349</v>
      </c>
      <c r="ES30" s="9" t="s">
        <v>78</v>
      </c>
      <c r="ET30" s="9" t="s">
        <v>77</v>
      </c>
      <c r="EX30" s="9" t="s">
        <v>77</v>
      </c>
      <c r="EY30" s="9" t="s">
        <v>77</v>
      </c>
      <c r="EZ30" s="9" t="s">
        <v>80</v>
      </c>
      <c r="FA30" s="9" t="s">
        <v>438</v>
      </c>
      <c r="FB30" s="9" t="s">
        <v>77</v>
      </c>
      <c r="FC30" s="9" t="s">
        <v>78</v>
      </c>
      <c r="FD30" s="9" t="s">
        <v>349</v>
      </c>
      <c r="FE30" s="9" t="s">
        <v>78</v>
      </c>
      <c r="FF30" s="9" t="s">
        <v>77</v>
      </c>
    </row>
    <row r="31" spans="50:162">
      <c r="AX31" s="9" t="s">
        <v>77</v>
      </c>
      <c r="AY31" s="9" t="s">
        <v>77</v>
      </c>
      <c r="AZ31" s="9" t="s">
        <v>80</v>
      </c>
      <c r="BA31" s="9" t="s">
        <v>438</v>
      </c>
      <c r="BB31" s="9" t="s">
        <v>79</v>
      </c>
      <c r="BC31" s="9" t="s">
        <v>78</v>
      </c>
      <c r="BD31" s="9" t="s">
        <v>349</v>
      </c>
      <c r="BE31" s="9" t="s">
        <v>78</v>
      </c>
      <c r="BF31" s="9" t="s">
        <v>77</v>
      </c>
      <c r="BI31" s="9" t="s">
        <v>77</v>
      </c>
      <c r="BJ31" s="9" t="s">
        <v>80</v>
      </c>
      <c r="BK31" s="9" t="s">
        <v>348</v>
      </c>
      <c r="BL31" s="9" t="s">
        <v>505</v>
      </c>
      <c r="BM31" s="9" t="s">
        <v>80</v>
      </c>
      <c r="BN31" s="9" t="s">
        <v>348</v>
      </c>
      <c r="BO31" s="9" t="s">
        <v>505</v>
      </c>
      <c r="BP31" s="9" t="s">
        <v>77</v>
      </c>
      <c r="BQ31" s="9" t="s">
        <v>77</v>
      </c>
      <c r="BR31" s="9" t="s">
        <v>77</v>
      </c>
      <c r="BS31" s="9" t="s">
        <v>77</v>
      </c>
      <c r="BT31" s="9" t="s">
        <v>77</v>
      </c>
      <c r="BU31" s="9" t="s">
        <v>77</v>
      </c>
      <c r="BV31" s="9" t="s">
        <v>78</v>
      </c>
      <c r="BW31" s="9" t="s">
        <v>78</v>
      </c>
      <c r="BX31" s="9" t="s">
        <v>78</v>
      </c>
      <c r="CB31" s="9" t="s">
        <v>77</v>
      </c>
      <c r="CC31" s="9" t="s">
        <v>80</v>
      </c>
      <c r="CD31" s="9" t="s">
        <v>77</v>
      </c>
      <c r="CE31" s="9" t="s">
        <v>77</v>
      </c>
      <c r="CF31" s="9" t="s">
        <v>77</v>
      </c>
      <c r="CG31" s="9" t="s">
        <v>80</v>
      </c>
      <c r="CH31" s="9" t="s">
        <v>348</v>
      </c>
      <c r="CI31" s="9" t="s">
        <v>506</v>
      </c>
      <c r="CJ31" s="9" t="s">
        <v>80</v>
      </c>
      <c r="CK31" s="9" t="s">
        <v>348</v>
      </c>
      <c r="CL31" s="9" t="s">
        <v>506</v>
      </c>
      <c r="CM31" s="9" t="s">
        <v>77</v>
      </c>
      <c r="CN31" s="9" t="s">
        <v>77</v>
      </c>
      <c r="CO31" s="9" t="s">
        <v>78</v>
      </c>
      <c r="CS31" s="9" t="s">
        <v>80</v>
      </c>
      <c r="CT31" s="9" t="s">
        <v>348</v>
      </c>
      <c r="CU31" s="9" t="s">
        <v>505</v>
      </c>
      <c r="CV31" s="9" t="s">
        <v>80</v>
      </c>
      <c r="CW31" s="9" t="s">
        <v>348</v>
      </c>
      <c r="CX31" s="9" t="s">
        <v>505</v>
      </c>
      <c r="CY31" s="9" t="s">
        <v>77</v>
      </c>
      <c r="CZ31" s="9" t="s">
        <v>77</v>
      </c>
      <c r="DA31" s="9" t="s">
        <v>78</v>
      </c>
      <c r="DE31" s="9" t="s">
        <v>77</v>
      </c>
      <c r="DF31" s="9" t="s">
        <v>78</v>
      </c>
      <c r="DG31" s="9" t="s">
        <v>78</v>
      </c>
      <c r="DH31" s="9" t="s">
        <v>78</v>
      </c>
      <c r="DI31" s="9" t="s">
        <v>505</v>
      </c>
      <c r="DJ31" s="9" t="s">
        <v>77</v>
      </c>
      <c r="DK31" s="9" t="s">
        <v>77</v>
      </c>
      <c r="DN31" s="9" t="s">
        <v>77</v>
      </c>
      <c r="DO31" s="9" t="s">
        <v>77</v>
      </c>
      <c r="DP31" s="9" t="s">
        <v>80</v>
      </c>
      <c r="DQ31" s="9" t="s">
        <v>438</v>
      </c>
      <c r="DR31" s="9" t="s">
        <v>77</v>
      </c>
      <c r="DS31" s="9" t="s">
        <v>78</v>
      </c>
      <c r="DT31" s="9" t="s">
        <v>349</v>
      </c>
      <c r="DU31" s="9" t="s">
        <v>78</v>
      </c>
      <c r="DV31" s="9" t="s">
        <v>77</v>
      </c>
      <c r="DZ31" s="9" t="s">
        <v>77</v>
      </c>
      <c r="EA31" s="9" t="s">
        <v>77</v>
      </c>
      <c r="EB31" s="9" t="s">
        <v>80</v>
      </c>
      <c r="EC31" s="9" t="s">
        <v>438</v>
      </c>
      <c r="ED31" s="9" t="s">
        <v>77</v>
      </c>
      <c r="EE31" s="9" t="s">
        <v>78</v>
      </c>
      <c r="EF31" s="9" t="s">
        <v>349</v>
      </c>
      <c r="EG31" s="9" t="s">
        <v>78</v>
      </c>
      <c r="EH31" s="9" t="s">
        <v>77</v>
      </c>
      <c r="EL31" s="9" t="s">
        <v>77</v>
      </c>
      <c r="EM31" s="9" t="s">
        <v>77</v>
      </c>
      <c r="EN31" s="9" t="s">
        <v>80</v>
      </c>
      <c r="EO31" s="9" t="s">
        <v>438</v>
      </c>
      <c r="EP31" s="9" t="s">
        <v>77</v>
      </c>
      <c r="EQ31" s="9" t="s">
        <v>78</v>
      </c>
      <c r="ER31" s="9" t="s">
        <v>349</v>
      </c>
      <c r="ES31" s="9" t="s">
        <v>78</v>
      </c>
      <c r="ET31" s="9" t="s">
        <v>77</v>
      </c>
      <c r="EX31" s="9" t="s">
        <v>77</v>
      </c>
      <c r="EY31" s="9" t="s">
        <v>77</v>
      </c>
      <c r="EZ31" s="9" t="s">
        <v>80</v>
      </c>
      <c r="FA31" s="9" t="s">
        <v>438</v>
      </c>
      <c r="FB31" s="9" t="s">
        <v>77</v>
      </c>
      <c r="FC31" s="9" t="s">
        <v>78</v>
      </c>
      <c r="FD31" s="9" t="s">
        <v>349</v>
      </c>
      <c r="FE31" s="9" t="s">
        <v>78</v>
      </c>
      <c r="FF31" s="9" t="s">
        <v>77</v>
      </c>
    </row>
    <row r="32" spans="50:162">
      <c r="BB32" s="9" t="s">
        <v>79</v>
      </c>
      <c r="BI32" s="9" t="s">
        <v>77</v>
      </c>
      <c r="CC32" s="9" t="s">
        <v>80</v>
      </c>
    </row>
    <row r="33" spans="50:162">
      <c r="AX33" s="9" t="s">
        <v>77</v>
      </c>
      <c r="AY33" s="9" t="s">
        <v>77</v>
      </c>
      <c r="AZ33" s="9" t="s">
        <v>80</v>
      </c>
      <c r="BA33" s="9" t="s">
        <v>438</v>
      </c>
      <c r="BB33" s="9" t="s">
        <v>79</v>
      </c>
      <c r="BC33" s="9" t="s">
        <v>78</v>
      </c>
      <c r="BD33" s="9" t="s">
        <v>349</v>
      </c>
      <c r="BE33" s="9" t="s">
        <v>78</v>
      </c>
      <c r="BF33" s="9" t="s">
        <v>77</v>
      </c>
      <c r="BI33" s="9" t="s">
        <v>77</v>
      </c>
      <c r="BJ33" s="9" t="s">
        <v>80</v>
      </c>
      <c r="BK33" s="9" t="s">
        <v>348</v>
      </c>
      <c r="BL33" s="9" t="s">
        <v>507</v>
      </c>
      <c r="BM33" s="9" t="s">
        <v>80</v>
      </c>
      <c r="BN33" s="9" t="s">
        <v>348</v>
      </c>
      <c r="BO33" s="9" t="s">
        <v>507</v>
      </c>
      <c r="BP33" s="9" t="s">
        <v>77</v>
      </c>
      <c r="BQ33" s="9" t="s">
        <v>77</v>
      </c>
      <c r="BR33" s="9" t="s">
        <v>77</v>
      </c>
      <c r="BS33" s="9" t="s">
        <v>77</v>
      </c>
      <c r="BT33" s="9" t="s">
        <v>77</v>
      </c>
      <c r="BU33" s="9" t="s">
        <v>77</v>
      </c>
      <c r="BV33" s="9" t="s">
        <v>78</v>
      </c>
      <c r="BW33" s="9" t="s">
        <v>78</v>
      </c>
      <c r="BX33" s="9" t="s">
        <v>78</v>
      </c>
      <c r="CB33" s="9" t="s">
        <v>77</v>
      </c>
      <c r="CC33" s="9" t="s">
        <v>80</v>
      </c>
      <c r="CD33" s="9" t="s">
        <v>77</v>
      </c>
      <c r="CE33" s="9" t="s">
        <v>77</v>
      </c>
      <c r="CF33" s="9" t="s">
        <v>77</v>
      </c>
      <c r="CG33" s="9" t="s">
        <v>80</v>
      </c>
      <c r="CH33" s="9" t="s">
        <v>348</v>
      </c>
      <c r="CI33" s="9" t="s">
        <v>508</v>
      </c>
      <c r="CJ33" s="9" t="s">
        <v>80</v>
      </c>
      <c r="CK33" s="9" t="s">
        <v>348</v>
      </c>
      <c r="CL33" s="9" t="s">
        <v>508</v>
      </c>
      <c r="CM33" s="9" t="s">
        <v>77</v>
      </c>
      <c r="CN33" s="9" t="s">
        <v>77</v>
      </c>
      <c r="CO33" s="9" t="s">
        <v>78</v>
      </c>
      <c r="CS33" s="9" t="s">
        <v>80</v>
      </c>
      <c r="CT33" s="9" t="s">
        <v>348</v>
      </c>
      <c r="CU33" s="9" t="s">
        <v>508</v>
      </c>
      <c r="CV33" s="9" t="s">
        <v>80</v>
      </c>
      <c r="CW33" s="9" t="s">
        <v>348</v>
      </c>
      <c r="CX33" s="9" t="s">
        <v>508</v>
      </c>
      <c r="CY33" s="9" t="s">
        <v>77</v>
      </c>
      <c r="CZ33" s="9" t="s">
        <v>77</v>
      </c>
      <c r="DA33" s="9" t="s">
        <v>78</v>
      </c>
      <c r="DE33" s="9" t="s">
        <v>77</v>
      </c>
      <c r="DF33" s="9" t="s">
        <v>78</v>
      </c>
      <c r="DG33" s="9" t="s">
        <v>78</v>
      </c>
      <c r="DH33" s="9" t="s">
        <v>78</v>
      </c>
      <c r="DI33" s="9" t="s">
        <v>507</v>
      </c>
      <c r="DJ33" s="9" t="s">
        <v>77</v>
      </c>
      <c r="DK33" s="9" t="s">
        <v>77</v>
      </c>
      <c r="DN33" s="9" t="s">
        <v>77</v>
      </c>
      <c r="DO33" s="9" t="s">
        <v>77</v>
      </c>
      <c r="DP33" s="9" t="s">
        <v>80</v>
      </c>
      <c r="DQ33" s="9" t="s">
        <v>438</v>
      </c>
      <c r="DR33" s="9" t="s">
        <v>77</v>
      </c>
      <c r="DS33" s="9" t="s">
        <v>78</v>
      </c>
      <c r="DT33" s="9" t="s">
        <v>349</v>
      </c>
      <c r="DU33" s="9" t="s">
        <v>78</v>
      </c>
      <c r="DV33" s="9" t="s">
        <v>77</v>
      </c>
      <c r="DZ33" s="9" t="s">
        <v>77</v>
      </c>
      <c r="EA33" s="9" t="s">
        <v>77</v>
      </c>
      <c r="EB33" s="9" t="s">
        <v>80</v>
      </c>
      <c r="EC33" s="9" t="s">
        <v>438</v>
      </c>
      <c r="ED33" s="9" t="s">
        <v>77</v>
      </c>
      <c r="EE33" s="9" t="s">
        <v>78</v>
      </c>
      <c r="EF33" s="9" t="s">
        <v>349</v>
      </c>
      <c r="EG33" s="9" t="s">
        <v>78</v>
      </c>
      <c r="EH33" s="9" t="s">
        <v>77</v>
      </c>
      <c r="EL33" s="9" t="s">
        <v>77</v>
      </c>
      <c r="EM33" s="9" t="s">
        <v>77</v>
      </c>
      <c r="EN33" s="9" t="s">
        <v>80</v>
      </c>
      <c r="EO33" s="9" t="s">
        <v>438</v>
      </c>
      <c r="EP33" s="9" t="s">
        <v>77</v>
      </c>
      <c r="EQ33" s="9" t="s">
        <v>78</v>
      </c>
      <c r="ER33" s="9" t="s">
        <v>349</v>
      </c>
      <c r="ES33" s="9" t="s">
        <v>78</v>
      </c>
      <c r="ET33" s="9" t="s">
        <v>77</v>
      </c>
      <c r="EX33" s="9" t="s">
        <v>77</v>
      </c>
      <c r="EY33" s="9" t="s">
        <v>77</v>
      </c>
      <c r="EZ33" s="9" t="s">
        <v>80</v>
      </c>
      <c r="FA33" s="9" t="s">
        <v>438</v>
      </c>
      <c r="FB33" s="9" t="s">
        <v>77</v>
      </c>
      <c r="FC33" s="9" t="s">
        <v>78</v>
      </c>
      <c r="FD33" s="9" t="s">
        <v>349</v>
      </c>
      <c r="FE33" s="9" t="s">
        <v>78</v>
      </c>
      <c r="FF33" s="9" t="s">
        <v>77</v>
      </c>
    </row>
    <row r="34" spans="50:162">
      <c r="AX34" s="9" t="s">
        <v>77</v>
      </c>
      <c r="AY34" s="9" t="s">
        <v>77</v>
      </c>
      <c r="AZ34" s="9" t="s">
        <v>80</v>
      </c>
      <c r="BA34" s="9" t="s">
        <v>438</v>
      </c>
      <c r="BB34" s="9" t="s">
        <v>79</v>
      </c>
      <c r="BC34" s="9" t="s">
        <v>78</v>
      </c>
      <c r="BD34" s="9" t="s">
        <v>349</v>
      </c>
      <c r="BE34" s="9" t="s">
        <v>78</v>
      </c>
      <c r="BF34" s="9" t="s">
        <v>77</v>
      </c>
      <c r="BI34" s="9" t="s">
        <v>77</v>
      </c>
      <c r="BJ34" s="9" t="s">
        <v>80</v>
      </c>
      <c r="BK34" s="9" t="s">
        <v>348</v>
      </c>
      <c r="BL34" s="9" t="s">
        <v>509</v>
      </c>
      <c r="BM34" s="9" t="s">
        <v>80</v>
      </c>
      <c r="BN34" s="9" t="s">
        <v>348</v>
      </c>
      <c r="BO34" s="9" t="s">
        <v>509</v>
      </c>
      <c r="BP34" s="9" t="s">
        <v>77</v>
      </c>
      <c r="BQ34" s="9" t="s">
        <v>77</v>
      </c>
      <c r="BR34" s="9" t="s">
        <v>77</v>
      </c>
      <c r="BS34" s="9" t="s">
        <v>77</v>
      </c>
      <c r="BT34" s="9" t="s">
        <v>77</v>
      </c>
      <c r="BU34" s="9" t="s">
        <v>77</v>
      </c>
      <c r="BV34" s="9" t="s">
        <v>78</v>
      </c>
      <c r="BW34" s="9" t="s">
        <v>78</v>
      </c>
      <c r="BX34" s="9" t="s">
        <v>78</v>
      </c>
      <c r="CB34" s="9" t="s">
        <v>77</v>
      </c>
      <c r="CC34" s="9" t="s">
        <v>80</v>
      </c>
      <c r="CD34" s="9" t="s">
        <v>77</v>
      </c>
      <c r="CE34" s="9" t="s">
        <v>77</v>
      </c>
      <c r="CF34" s="9" t="s">
        <v>77</v>
      </c>
      <c r="CG34" s="9" t="s">
        <v>80</v>
      </c>
      <c r="CH34" s="9" t="s">
        <v>348</v>
      </c>
      <c r="CI34" s="9" t="s">
        <v>509</v>
      </c>
      <c r="CJ34" s="9" t="s">
        <v>80</v>
      </c>
      <c r="CK34" s="9" t="s">
        <v>348</v>
      </c>
      <c r="CL34" s="9" t="s">
        <v>509</v>
      </c>
      <c r="CM34" s="9" t="s">
        <v>77</v>
      </c>
      <c r="CN34" s="9" t="s">
        <v>77</v>
      </c>
      <c r="CO34" s="9" t="s">
        <v>78</v>
      </c>
      <c r="CS34" s="9" t="s">
        <v>80</v>
      </c>
      <c r="CT34" s="9" t="s">
        <v>348</v>
      </c>
      <c r="CU34" s="9" t="s">
        <v>509</v>
      </c>
      <c r="CV34" s="9" t="s">
        <v>80</v>
      </c>
      <c r="CW34" s="9" t="s">
        <v>348</v>
      </c>
      <c r="CX34" s="9" t="s">
        <v>509</v>
      </c>
      <c r="CY34" s="9" t="s">
        <v>77</v>
      </c>
      <c r="CZ34" s="9" t="s">
        <v>77</v>
      </c>
      <c r="DA34" s="9" t="s">
        <v>78</v>
      </c>
      <c r="DE34" s="9" t="s">
        <v>77</v>
      </c>
      <c r="DF34" s="9" t="s">
        <v>78</v>
      </c>
      <c r="DG34" s="9" t="s">
        <v>78</v>
      </c>
      <c r="DH34" s="9" t="s">
        <v>78</v>
      </c>
      <c r="DI34" s="9" t="s">
        <v>510</v>
      </c>
      <c r="DJ34" s="9" t="s">
        <v>77</v>
      </c>
      <c r="DK34" s="9" t="s">
        <v>77</v>
      </c>
      <c r="DN34" s="9" t="s">
        <v>77</v>
      </c>
      <c r="DO34" s="9" t="s">
        <v>77</v>
      </c>
      <c r="DP34" s="9" t="s">
        <v>80</v>
      </c>
      <c r="DQ34" s="9" t="s">
        <v>438</v>
      </c>
      <c r="DR34" s="9" t="s">
        <v>77</v>
      </c>
      <c r="DS34" s="9" t="s">
        <v>78</v>
      </c>
      <c r="DT34" s="9" t="s">
        <v>349</v>
      </c>
      <c r="DU34" s="9" t="s">
        <v>78</v>
      </c>
      <c r="DV34" s="9" t="s">
        <v>77</v>
      </c>
      <c r="DZ34" s="9" t="s">
        <v>77</v>
      </c>
      <c r="EA34" s="9" t="s">
        <v>77</v>
      </c>
      <c r="EB34" s="9" t="s">
        <v>80</v>
      </c>
      <c r="EC34" s="9" t="s">
        <v>438</v>
      </c>
      <c r="ED34" s="9" t="s">
        <v>77</v>
      </c>
      <c r="EE34" s="9" t="s">
        <v>78</v>
      </c>
      <c r="EF34" s="9" t="s">
        <v>349</v>
      </c>
      <c r="EG34" s="9" t="s">
        <v>78</v>
      </c>
      <c r="EH34" s="9" t="s">
        <v>77</v>
      </c>
      <c r="EL34" s="9" t="s">
        <v>77</v>
      </c>
      <c r="EM34" s="9" t="s">
        <v>77</v>
      </c>
      <c r="EN34" s="9" t="s">
        <v>80</v>
      </c>
      <c r="EO34" s="9" t="s">
        <v>438</v>
      </c>
      <c r="EP34" s="9" t="s">
        <v>77</v>
      </c>
      <c r="EQ34" s="9" t="s">
        <v>78</v>
      </c>
      <c r="ER34" s="9" t="s">
        <v>349</v>
      </c>
      <c r="ES34" s="9" t="s">
        <v>78</v>
      </c>
      <c r="ET34" s="9" t="s">
        <v>77</v>
      </c>
      <c r="EX34" s="9" t="s">
        <v>77</v>
      </c>
      <c r="EY34" s="9" t="s">
        <v>77</v>
      </c>
      <c r="EZ34" s="9" t="s">
        <v>80</v>
      </c>
      <c r="FA34" s="9" t="s">
        <v>438</v>
      </c>
      <c r="FB34" s="9" t="s">
        <v>77</v>
      </c>
      <c r="FC34" s="9" t="s">
        <v>78</v>
      </c>
      <c r="FD34" s="9" t="s">
        <v>349</v>
      </c>
      <c r="FE34" s="9" t="s">
        <v>78</v>
      </c>
      <c r="FF34" s="9" t="s">
        <v>77</v>
      </c>
    </row>
    <row r="35" spans="50:162">
      <c r="AX35" s="9" t="s">
        <v>77</v>
      </c>
      <c r="AY35" s="9" t="s">
        <v>77</v>
      </c>
      <c r="AZ35" s="9" t="s">
        <v>80</v>
      </c>
      <c r="BA35" s="9" t="s">
        <v>438</v>
      </c>
      <c r="BB35" s="9" t="s">
        <v>79</v>
      </c>
      <c r="BC35" s="9" t="s">
        <v>78</v>
      </c>
      <c r="BD35" s="9" t="s">
        <v>349</v>
      </c>
      <c r="BE35" s="9" t="s">
        <v>78</v>
      </c>
      <c r="BF35" s="9" t="s">
        <v>77</v>
      </c>
      <c r="BI35" s="9" t="s">
        <v>77</v>
      </c>
      <c r="BJ35" s="9" t="s">
        <v>80</v>
      </c>
      <c r="BK35" s="9" t="s">
        <v>348</v>
      </c>
      <c r="BL35" s="9" t="s">
        <v>511</v>
      </c>
      <c r="BM35" s="9" t="s">
        <v>80</v>
      </c>
      <c r="BN35" s="9" t="s">
        <v>348</v>
      </c>
      <c r="BO35" s="9" t="s">
        <v>511</v>
      </c>
      <c r="BP35" s="9" t="s">
        <v>77</v>
      </c>
      <c r="BQ35" s="9" t="s">
        <v>77</v>
      </c>
      <c r="BR35" s="9" t="s">
        <v>77</v>
      </c>
      <c r="BS35" s="9" t="s">
        <v>77</v>
      </c>
      <c r="BT35" s="9" t="s">
        <v>77</v>
      </c>
      <c r="BU35" s="9" t="s">
        <v>77</v>
      </c>
      <c r="BV35" s="9" t="s">
        <v>78</v>
      </c>
      <c r="BW35" s="9" t="s">
        <v>78</v>
      </c>
      <c r="BX35" s="9" t="s">
        <v>78</v>
      </c>
      <c r="CB35" s="9" t="s">
        <v>77</v>
      </c>
      <c r="CC35" s="9" t="s">
        <v>80</v>
      </c>
      <c r="CD35" s="9" t="s">
        <v>77</v>
      </c>
      <c r="CE35" s="9" t="s">
        <v>77</v>
      </c>
      <c r="CF35" s="9" t="s">
        <v>77</v>
      </c>
      <c r="CG35" s="9" t="s">
        <v>80</v>
      </c>
      <c r="CH35" s="9" t="s">
        <v>348</v>
      </c>
      <c r="CI35" s="9" t="s">
        <v>512</v>
      </c>
      <c r="CJ35" s="9" t="s">
        <v>80</v>
      </c>
      <c r="CK35" s="9" t="s">
        <v>348</v>
      </c>
      <c r="CL35" s="9" t="s">
        <v>512</v>
      </c>
      <c r="CM35" s="9" t="s">
        <v>77</v>
      </c>
      <c r="CN35" s="9" t="s">
        <v>77</v>
      </c>
      <c r="CO35" s="9" t="s">
        <v>78</v>
      </c>
      <c r="CS35" s="9" t="s">
        <v>80</v>
      </c>
      <c r="CT35" s="9" t="s">
        <v>348</v>
      </c>
      <c r="CU35" s="9" t="s">
        <v>513</v>
      </c>
      <c r="CV35" s="9" t="s">
        <v>80</v>
      </c>
      <c r="CW35" s="9" t="s">
        <v>348</v>
      </c>
      <c r="CX35" s="9" t="s">
        <v>513</v>
      </c>
      <c r="CY35" s="9" t="s">
        <v>77</v>
      </c>
      <c r="CZ35" s="9" t="s">
        <v>77</v>
      </c>
      <c r="DA35" s="9" t="s">
        <v>78</v>
      </c>
      <c r="DE35" s="9" t="s">
        <v>77</v>
      </c>
      <c r="DF35" s="9" t="s">
        <v>78</v>
      </c>
      <c r="DG35" s="9" t="s">
        <v>78</v>
      </c>
      <c r="DH35" s="9" t="s">
        <v>78</v>
      </c>
      <c r="DI35" s="9" t="s">
        <v>511</v>
      </c>
      <c r="DJ35" s="9" t="s">
        <v>77</v>
      </c>
      <c r="DK35" s="9" t="s">
        <v>77</v>
      </c>
      <c r="DN35" s="9" t="s">
        <v>77</v>
      </c>
      <c r="DO35" s="9" t="s">
        <v>77</v>
      </c>
      <c r="DP35" s="9" t="s">
        <v>80</v>
      </c>
      <c r="DQ35" s="9" t="s">
        <v>438</v>
      </c>
      <c r="DR35" s="9" t="s">
        <v>77</v>
      </c>
      <c r="DS35" s="9" t="s">
        <v>78</v>
      </c>
      <c r="DT35" s="9" t="s">
        <v>349</v>
      </c>
      <c r="DU35" s="9" t="s">
        <v>78</v>
      </c>
      <c r="DV35" s="9" t="s">
        <v>77</v>
      </c>
      <c r="DZ35" s="9" t="s">
        <v>77</v>
      </c>
      <c r="EA35" s="9" t="s">
        <v>77</v>
      </c>
      <c r="EB35" s="9" t="s">
        <v>80</v>
      </c>
      <c r="EC35" s="9" t="s">
        <v>438</v>
      </c>
      <c r="ED35" s="9" t="s">
        <v>77</v>
      </c>
      <c r="EE35" s="9" t="s">
        <v>78</v>
      </c>
      <c r="EF35" s="9" t="s">
        <v>349</v>
      </c>
      <c r="EG35" s="9" t="s">
        <v>78</v>
      </c>
      <c r="EH35" s="9" t="s">
        <v>77</v>
      </c>
      <c r="EL35" s="9" t="s">
        <v>77</v>
      </c>
      <c r="EM35" s="9" t="s">
        <v>77</v>
      </c>
      <c r="EN35" s="9" t="s">
        <v>80</v>
      </c>
      <c r="EO35" s="9" t="s">
        <v>438</v>
      </c>
      <c r="EP35" s="9" t="s">
        <v>77</v>
      </c>
      <c r="EQ35" s="9" t="s">
        <v>78</v>
      </c>
      <c r="ER35" s="9" t="s">
        <v>349</v>
      </c>
      <c r="ES35" s="9" t="s">
        <v>78</v>
      </c>
      <c r="ET35" s="9" t="s">
        <v>77</v>
      </c>
      <c r="EX35" s="9" t="s">
        <v>77</v>
      </c>
      <c r="EY35" s="9" t="s">
        <v>77</v>
      </c>
      <c r="EZ35" s="9" t="s">
        <v>80</v>
      </c>
      <c r="FA35" s="9" t="s">
        <v>438</v>
      </c>
      <c r="FB35" s="9" t="s">
        <v>77</v>
      </c>
      <c r="FC35" s="9" t="s">
        <v>78</v>
      </c>
      <c r="FD35" s="9" t="s">
        <v>349</v>
      </c>
      <c r="FE35" s="9" t="s">
        <v>78</v>
      </c>
      <c r="FF35" s="9" t="s">
        <v>77</v>
      </c>
    </row>
    <row r="36" spans="50:162">
      <c r="AX36" s="9" t="s">
        <v>77</v>
      </c>
      <c r="AY36" s="9" t="s">
        <v>77</v>
      </c>
      <c r="AZ36" s="9" t="s">
        <v>80</v>
      </c>
      <c r="BA36" s="9" t="s">
        <v>438</v>
      </c>
      <c r="BB36" s="9" t="s">
        <v>79</v>
      </c>
      <c r="BC36" s="9" t="s">
        <v>78</v>
      </c>
      <c r="BD36" s="9" t="s">
        <v>349</v>
      </c>
      <c r="BE36" s="9" t="s">
        <v>78</v>
      </c>
      <c r="BF36" s="9" t="s">
        <v>77</v>
      </c>
      <c r="BI36" s="9" t="s">
        <v>77</v>
      </c>
      <c r="BJ36" s="9" t="s">
        <v>80</v>
      </c>
      <c r="BK36" s="9" t="s">
        <v>348</v>
      </c>
      <c r="BL36" s="9" t="s">
        <v>514</v>
      </c>
      <c r="BM36" s="9" t="s">
        <v>80</v>
      </c>
      <c r="BN36" s="9" t="s">
        <v>348</v>
      </c>
      <c r="BO36" s="9" t="s">
        <v>514</v>
      </c>
      <c r="BP36" s="9" t="s">
        <v>77</v>
      </c>
      <c r="BQ36" s="9" t="s">
        <v>77</v>
      </c>
      <c r="BR36" s="9" t="s">
        <v>77</v>
      </c>
      <c r="BS36" s="9" t="s">
        <v>77</v>
      </c>
      <c r="BT36" s="9" t="s">
        <v>77</v>
      </c>
      <c r="BU36" s="9" t="s">
        <v>77</v>
      </c>
      <c r="BV36" s="9" t="s">
        <v>78</v>
      </c>
      <c r="BW36" s="9" t="s">
        <v>78</v>
      </c>
      <c r="BX36" s="9" t="s">
        <v>78</v>
      </c>
      <c r="CB36" s="9" t="s">
        <v>77</v>
      </c>
      <c r="CC36" s="9" t="s">
        <v>80</v>
      </c>
      <c r="CD36" s="9" t="s">
        <v>77</v>
      </c>
      <c r="CE36" s="9" t="s">
        <v>77</v>
      </c>
      <c r="CF36" s="9" t="s">
        <v>77</v>
      </c>
      <c r="CG36" s="9" t="s">
        <v>80</v>
      </c>
      <c r="CH36" s="9" t="s">
        <v>348</v>
      </c>
      <c r="CI36" s="9" t="s">
        <v>514</v>
      </c>
      <c r="CJ36" s="9" t="s">
        <v>80</v>
      </c>
      <c r="CK36" s="9" t="s">
        <v>348</v>
      </c>
      <c r="CL36" s="9" t="s">
        <v>514</v>
      </c>
      <c r="CM36" s="9" t="s">
        <v>77</v>
      </c>
      <c r="CN36" s="9" t="s">
        <v>77</v>
      </c>
      <c r="CO36" s="9" t="s">
        <v>78</v>
      </c>
      <c r="CS36" s="9" t="s">
        <v>80</v>
      </c>
      <c r="CT36" s="9" t="s">
        <v>348</v>
      </c>
      <c r="CU36" s="9" t="s">
        <v>514</v>
      </c>
      <c r="CV36" s="9" t="s">
        <v>80</v>
      </c>
      <c r="CW36" s="9" t="s">
        <v>348</v>
      </c>
      <c r="CX36" s="9" t="s">
        <v>514</v>
      </c>
      <c r="CY36" s="9" t="s">
        <v>77</v>
      </c>
      <c r="CZ36" s="9" t="s">
        <v>77</v>
      </c>
      <c r="DA36" s="9" t="s">
        <v>78</v>
      </c>
      <c r="DE36" s="9" t="s">
        <v>77</v>
      </c>
      <c r="DF36" s="9" t="s">
        <v>78</v>
      </c>
      <c r="DG36" s="9" t="s">
        <v>78</v>
      </c>
      <c r="DH36" s="9" t="s">
        <v>78</v>
      </c>
      <c r="DI36" s="9" t="s">
        <v>515</v>
      </c>
      <c r="DJ36" s="9" t="s">
        <v>77</v>
      </c>
      <c r="DK36" s="9" t="s">
        <v>77</v>
      </c>
      <c r="DN36" s="9" t="s">
        <v>77</v>
      </c>
      <c r="DO36" s="9" t="s">
        <v>77</v>
      </c>
      <c r="DP36" s="9" t="s">
        <v>80</v>
      </c>
      <c r="DQ36" s="9" t="s">
        <v>438</v>
      </c>
      <c r="DR36" s="9" t="s">
        <v>77</v>
      </c>
      <c r="DS36" s="9" t="s">
        <v>78</v>
      </c>
      <c r="DT36" s="9" t="s">
        <v>349</v>
      </c>
      <c r="DU36" s="9" t="s">
        <v>78</v>
      </c>
      <c r="DV36" s="9" t="s">
        <v>77</v>
      </c>
      <c r="DZ36" s="9" t="s">
        <v>77</v>
      </c>
      <c r="EA36" s="9" t="s">
        <v>77</v>
      </c>
      <c r="EB36" s="9" t="s">
        <v>80</v>
      </c>
      <c r="EC36" s="9" t="s">
        <v>438</v>
      </c>
      <c r="ED36" s="9" t="s">
        <v>77</v>
      </c>
      <c r="EE36" s="9" t="s">
        <v>78</v>
      </c>
      <c r="EF36" s="9" t="s">
        <v>349</v>
      </c>
      <c r="EG36" s="9" t="s">
        <v>78</v>
      </c>
      <c r="EH36" s="9" t="s">
        <v>77</v>
      </c>
      <c r="EL36" s="9" t="s">
        <v>77</v>
      </c>
      <c r="EM36" s="9" t="s">
        <v>77</v>
      </c>
      <c r="EN36" s="9" t="s">
        <v>80</v>
      </c>
      <c r="EO36" s="9" t="s">
        <v>438</v>
      </c>
      <c r="EP36" s="9" t="s">
        <v>77</v>
      </c>
      <c r="EQ36" s="9" t="s">
        <v>78</v>
      </c>
      <c r="ER36" s="9" t="s">
        <v>349</v>
      </c>
      <c r="ES36" s="9" t="s">
        <v>78</v>
      </c>
      <c r="ET36" s="9" t="s">
        <v>77</v>
      </c>
      <c r="EX36" s="9" t="s">
        <v>77</v>
      </c>
      <c r="EY36" s="9" t="s">
        <v>77</v>
      </c>
      <c r="EZ36" s="9" t="s">
        <v>80</v>
      </c>
      <c r="FA36" s="9" t="s">
        <v>438</v>
      </c>
      <c r="FB36" s="9" t="s">
        <v>77</v>
      </c>
      <c r="FC36" s="9" t="s">
        <v>78</v>
      </c>
      <c r="FD36" s="9" t="s">
        <v>349</v>
      </c>
      <c r="FE36" s="9" t="s">
        <v>78</v>
      </c>
      <c r="FF36" s="9" t="s">
        <v>77</v>
      </c>
    </row>
    <row r="37" spans="50:162">
      <c r="AX37" s="9" t="s">
        <v>77</v>
      </c>
      <c r="AY37" s="9" t="s">
        <v>77</v>
      </c>
      <c r="AZ37" s="9" t="s">
        <v>80</v>
      </c>
      <c r="BA37" s="9" t="s">
        <v>438</v>
      </c>
      <c r="BB37" s="9" t="s">
        <v>79</v>
      </c>
      <c r="BC37" s="9" t="s">
        <v>78</v>
      </c>
      <c r="BD37" s="9" t="s">
        <v>349</v>
      </c>
      <c r="BE37" s="9" t="s">
        <v>78</v>
      </c>
      <c r="BF37" s="9" t="s">
        <v>77</v>
      </c>
      <c r="BI37" s="9" t="s">
        <v>77</v>
      </c>
      <c r="BJ37" s="9" t="s">
        <v>80</v>
      </c>
      <c r="BK37" s="9" t="s">
        <v>348</v>
      </c>
      <c r="BL37" s="9" t="s">
        <v>516</v>
      </c>
      <c r="BM37" s="9" t="s">
        <v>80</v>
      </c>
      <c r="BN37" s="9" t="s">
        <v>348</v>
      </c>
      <c r="BO37" s="9" t="s">
        <v>516</v>
      </c>
      <c r="BP37" s="9" t="s">
        <v>77</v>
      </c>
      <c r="BQ37" s="9" t="s">
        <v>77</v>
      </c>
      <c r="BR37" s="9" t="s">
        <v>77</v>
      </c>
      <c r="BS37" s="9" t="s">
        <v>77</v>
      </c>
      <c r="BT37" s="9" t="s">
        <v>77</v>
      </c>
      <c r="BU37" s="9" t="s">
        <v>77</v>
      </c>
      <c r="BV37" s="9" t="s">
        <v>78</v>
      </c>
      <c r="BW37" s="9" t="s">
        <v>78</v>
      </c>
      <c r="BX37" s="9" t="s">
        <v>78</v>
      </c>
      <c r="CB37" s="9" t="s">
        <v>77</v>
      </c>
      <c r="CC37" s="9" t="s">
        <v>80</v>
      </c>
      <c r="CD37" s="9" t="s">
        <v>77</v>
      </c>
      <c r="CE37" s="9" t="s">
        <v>77</v>
      </c>
      <c r="CF37" s="9" t="s">
        <v>77</v>
      </c>
      <c r="CG37" s="9" t="s">
        <v>80</v>
      </c>
      <c r="CH37" s="9" t="s">
        <v>348</v>
      </c>
      <c r="CI37" s="9" t="s">
        <v>517</v>
      </c>
      <c r="CJ37" s="9" t="s">
        <v>80</v>
      </c>
      <c r="CK37" s="9" t="s">
        <v>348</v>
      </c>
      <c r="CL37" s="9" t="s">
        <v>517</v>
      </c>
      <c r="CM37" s="9" t="s">
        <v>77</v>
      </c>
      <c r="CN37" s="9" t="s">
        <v>77</v>
      </c>
      <c r="CO37" s="9" t="s">
        <v>78</v>
      </c>
      <c r="CS37" s="9" t="s">
        <v>80</v>
      </c>
      <c r="CT37" s="9" t="s">
        <v>348</v>
      </c>
      <c r="CU37" s="9" t="s">
        <v>516</v>
      </c>
      <c r="CV37" s="9" t="s">
        <v>80</v>
      </c>
      <c r="CW37" s="9" t="s">
        <v>348</v>
      </c>
      <c r="CX37" s="9" t="s">
        <v>516</v>
      </c>
      <c r="CY37" s="9" t="s">
        <v>77</v>
      </c>
      <c r="CZ37" s="9" t="s">
        <v>77</v>
      </c>
      <c r="DA37" s="9" t="s">
        <v>78</v>
      </c>
      <c r="DE37" s="9" t="s">
        <v>77</v>
      </c>
      <c r="DF37" s="9" t="s">
        <v>78</v>
      </c>
      <c r="DG37" s="9" t="s">
        <v>78</v>
      </c>
      <c r="DH37" s="9" t="s">
        <v>78</v>
      </c>
      <c r="DI37" s="9" t="s">
        <v>518</v>
      </c>
      <c r="DJ37" s="9" t="s">
        <v>77</v>
      </c>
      <c r="DK37" s="9" t="s">
        <v>77</v>
      </c>
      <c r="DN37" s="9" t="s">
        <v>77</v>
      </c>
      <c r="DO37" s="9" t="s">
        <v>77</v>
      </c>
      <c r="DP37" s="9" t="s">
        <v>80</v>
      </c>
      <c r="DQ37" s="9" t="s">
        <v>438</v>
      </c>
      <c r="DR37" s="9" t="s">
        <v>77</v>
      </c>
      <c r="DS37" s="9" t="s">
        <v>78</v>
      </c>
      <c r="DT37" s="9" t="s">
        <v>349</v>
      </c>
      <c r="DU37" s="9" t="s">
        <v>78</v>
      </c>
      <c r="DV37" s="9" t="s">
        <v>77</v>
      </c>
      <c r="DZ37" s="9" t="s">
        <v>77</v>
      </c>
      <c r="EA37" s="9" t="s">
        <v>77</v>
      </c>
      <c r="EB37" s="9" t="s">
        <v>80</v>
      </c>
      <c r="EC37" s="9" t="s">
        <v>438</v>
      </c>
      <c r="ED37" s="9" t="s">
        <v>77</v>
      </c>
      <c r="EE37" s="9" t="s">
        <v>78</v>
      </c>
      <c r="EF37" s="9" t="s">
        <v>349</v>
      </c>
      <c r="EG37" s="9" t="s">
        <v>78</v>
      </c>
      <c r="EH37" s="9" t="s">
        <v>77</v>
      </c>
      <c r="EL37" s="9" t="s">
        <v>77</v>
      </c>
      <c r="EM37" s="9" t="s">
        <v>77</v>
      </c>
      <c r="EN37" s="9" t="s">
        <v>80</v>
      </c>
      <c r="EO37" s="9" t="s">
        <v>438</v>
      </c>
      <c r="EP37" s="9" t="s">
        <v>77</v>
      </c>
      <c r="EQ37" s="9" t="s">
        <v>78</v>
      </c>
      <c r="ER37" s="9" t="s">
        <v>349</v>
      </c>
      <c r="ES37" s="9" t="s">
        <v>78</v>
      </c>
      <c r="ET37" s="9" t="s">
        <v>77</v>
      </c>
      <c r="EX37" s="9" t="s">
        <v>77</v>
      </c>
      <c r="EY37" s="9" t="s">
        <v>77</v>
      </c>
      <c r="EZ37" s="9" t="s">
        <v>80</v>
      </c>
      <c r="FA37" s="9" t="s">
        <v>438</v>
      </c>
      <c r="FB37" s="9" t="s">
        <v>77</v>
      </c>
      <c r="FC37" s="9" t="s">
        <v>78</v>
      </c>
      <c r="FD37" s="9" t="s">
        <v>349</v>
      </c>
      <c r="FE37" s="9" t="s">
        <v>78</v>
      </c>
      <c r="FF37" s="9" t="s">
        <v>77</v>
      </c>
    </row>
    <row r="38" spans="50:162">
      <c r="AX38" s="9" t="s">
        <v>77</v>
      </c>
      <c r="AY38" s="9" t="s">
        <v>77</v>
      </c>
      <c r="AZ38" s="9" t="s">
        <v>80</v>
      </c>
      <c r="BA38" s="9" t="s">
        <v>438</v>
      </c>
      <c r="BB38" s="9" t="s">
        <v>79</v>
      </c>
      <c r="BC38" s="9" t="s">
        <v>78</v>
      </c>
      <c r="BD38" s="9" t="s">
        <v>349</v>
      </c>
      <c r="BE38" s="9" t="s">
        <v>78</v>
      </c>
      <c r="BF38" s="9" t="s">
        <v>77</v>
      </c>
      <c r="BI38" s="9" t="s">
        <v>77</v>
      </c>
      <c r="BJ38" s="9" t="s">
        <v>80</v>
      </c>
      <c r="BK38" s="9" t="s">
        <v>348</v>
      </c>
      <c r="BL38" s="9" t="s">
        <v>519</v>
      </c>
      <c r="BM38" s="9" t="s">
        <v>80</v>
      </c>
      <c r="BN38" s="9" t="s">
        <v>348</v>
      </c>
      <c r="BO38" s="9" t="s">
        <v>519</v>
      </c>
      <c r="BP38" s="9" t="s">
        <v>77</v>
      </c>
      <c r="BQ38" s="9" t="s">
        <v>77</v>
      </c>
      <c r="BR38" s="9" t="s">
        <v>77</v>
      </c>
      <c r="BS38" s="9" t="s">
        <v>77</v>
      </c>
      <c r="BT38" s="9" t="s">
        <v>77</v>
      </c>
      <c r="BU38" s="9" t="s">
        <v>77</v>
      </c>
      <c r="BV38" s="9" t="s">
        <v>78</v>
      </c>
      <c r="BW38" s="9" t="s">
        <v>78</v>
      </c>
      <c r="BX38" s="9" t="s">
        <v>78</v>
      </c>
      <c r="CB38" s="9" t="s">
        <v>77</v>
      </c>
      <c r="CC38" s="9" t="s">
        <v>80</v>
      </c>
      <c r="CD38" s="9" t="s">
        <v>77</v>
      </c>
      <c r="CE38" s="9" t="s">
        <v>77</v>
      </c>
      <c r="CF38" s="9" t="s">
        <v>77</v>
      </c>
      <c r="CG38" s="9" t="s">
        <v>80</v>
      </c>
      <c r="CH38" s="9" t="s">
        <v>348</v>
      </c>
      <c r="CI38" s="9" t="s">
        <v>520</v>
      </c>
      <c r="CJ38" s="9" t="s">
        <v>80</v>
      </c>
      <c r="CK38" s="9" t="s">
        <v>348</v>
      </c>
      <c r="CL38" s="9" t="s">
        <v>520</v>
      </c>
      <c r="CM38" s="9" t="s">
        <v>77</v>
      </c>
      <c r="CN38" s="9" t="s">
        <v>77</v>
      </c>
      <c r="CO38" s="9" t="s">
        <v>78</v>
      </c>
      <c r="CS38" s="9" t="s">
        <v>80</v>
      </c>
      <c r="CT38" s="9" t="s">
        <v>348</v>
      </c>
      <c r="CU38" s="9" t="s">
        <v>519</v>
      </c>
      <c r="CV38" s="9" t="s">
        <v>80</v>
      </c>
      <c r="CW38" s="9" t="s">
        <v>348</v>
      </c>
      <c r="CX38" s="9" t="s">
        <v>519</v>
      </c>
      <c r="CY38" s="9" t="s">
        <v>77</v>
      </c>
      <c r="CZ38" s="9" t="s">
        <v>77</v>
      </c>
      <c r="DA38" s="9" t="s">
        <v>78</v>
      </c>
      <c r="DE38" s="9" t="s">
        <v>77</v>
      </c>
      <c r="DF38" s="9" t="s">
        <v>78</v>
      </c>
      <c r="DG38" s="9" t="s">
        <v>78</v>
      </c>
      <c r="DH38" s="9" t="s">
        <v>78</v>
      </c>
      <c r="DI38" s="9" t="s">
        <v>521</v>
      </c>
      <c r="DJ38" s="9" t="s">
        <v>77</v>
      </c>
      <c r="DK38" s="9" t="s">
        <v>77</v>
      </c>
      <c r="DN38" s="9" t="s">
        <v>77</v>
      </c>
      <c r="DO38" s="9" t="s">
        <v>77</v>
      </c>
      <c r="DP38" s="9" t="s">
        <v>80</v>
      </c>
      <c r="DQ38" s="9" t="s">
        <v>438</v>
      </c>
      <c r="DR38" s="9" t="s">
        <v>77</v>
      </c>
      <c r="DS38" s="9" t="s">
        <v>78</v>
      </c>
      <c r="DT38" s="9" t="s">
        <v>349</v>
      </c>
      <c r="DU38" s="9" t="s">
        <v>78</v>
      </c>
      <c r="DV38" s="9" t="s">
        <v>77</v>
      </c>
      <c r="DZ38" s="9" t="s">
        <v>77</v>
      </c>
      <c r="EA38" s="9" t="s">
        <v>77</v>
      </c>
      <c r="EB38" s="9" t="s">
        <v>80</v>
      </c>
      <c r="EC38" s="9" t="s">
        <v>438</v>
      </c>
      <c r="ED38" s="9" t="s">
        <v>77</v>
      </c>
      <c r="EE38" s="9" t="s">
        <v>78</v>
      </c>
      <c r="EF38" s="9" t="s">
        <v>349</v>
      </c>
      <c r="EG38" s="9" t="s">
        <v>78</v>
      </c>
      <c r="EH38" s="9" t="s">
        <v>77</v>
      </c>
      <c r="EL38" s="9" t="s">
        <v>77</v>
      </c>
      <c r="EM38" s="9" t="s">
        <v>77</v>
      </c>
      <c r="EN38" s="9" t="s">
        <v>80</v>
      </c>
      <c r="EO38" s="9" t="s">
        <v>438</v>
      </c>
      <c r="EP38" s="9" t="s">
        <v>77</v>
      </c>
      <c r="EQ38" s="9" t="s">
        <v>78</v>
      </c>
      <c r="ER38" s="9" t="s">
        <v>349</v>
      </c>
      <c r="ES38" s="9" t="s">
        <v>78</v>
      </c>
      <c r="ET38" s="9" t="s">
        <v>77</v>
      </c>
      <c r="EX38" s="9" t="s">
        <v>77</v>
      </c>
      <c r="EY38" s="9" t="s">
        <v>77</v>
      </c>
      <c r="EZ38" s="9" t="s">
        <v>80</v>
      </c>
      <c r="FA38" s="9" t="s">
        <v>438</v>
      </c>
      <c r="FB38" s="9" t="s">
        <v>77</v>
      </c>
      <c r="FC38" s="9" t="s">
        <v>78</v>
      </c>
      <c r="FD38" s="9" t="s">
        <v>349</v>
      </c>
      <c r="FE38" s="9" t="s">
        <v>78</v>
      </c>
      <c r="FF38" s="9" t="s">
        <v>77</v>
      </c>
    </row>
    <row r="39" spans="50:162">
      <c r="AX39" s="9" t="s">
        <v>77</v>
      </c>
      <c r="AY39" s="9" t="s">
        <v>77</v>
      </c>
      <c r="AZ39" s="9" t="s">
        <v>80</v>
      </c>
      <c r="BA39" s="9" t="s">
        <v>438</v>
      </c>
      <c r="BB39" s="9" t="s">
        <v>79</v>
      </c>
      <c r="BC39" s="9" t="s">
        <v>78</v>
      </c>
      <c r="BD39" s="9" t="s">
        <v>349</v>
      </c>
      <c r="BE39" s="9" t="s">
        <v>78</v>
      </c>
      <c r="BF39" s="9" t="s">
        <v>77</v>
      </c>
      <c r="BI39" s="9" t="s">
        <v>77</v>
      </c>
      <c r="BJ39" s="9" t="s">
        <v>80</v>
      </c>
      <c r="BK39" s="9" t="s">
        <v>348</v>
      </c>
      <c r="BL39" s="9" t="s">
        <v>522</v>
      </c>
      <c r="BM39" s="9" t="s">
        <v>80</v>
      </c>
      <c r="BN39" s="9" t="s">
        <v>348</v>
      </c>
      <c r="BO39" s="9" t="s">
        <v>522</v>
      </c>
      <c r="BP39" s="9" t="s">
        <v>77</v>
      </c>
      <c r="BQ39" s="9" t="s">
        <v>77</v>
      </c>
      <c r="BR39" s="9" t="s">
        <v>77</v>
      </c>
      <c r="BS39" s="9" t="s">
        <v>77</v>
      </c>
      <c r="BT39" s="9" t="s">
        <v>77</v>
      </c>
      <c r="BU39" s="9" t="s">
        <v>77</v>
      </c>
      <c r="BV39" s="9" t="s">
        <v>78</v>
      </c>
      <c r="BW39" s="9" t="s">
        <v>78</v>
      </c>
      <c r="BX39" s="9" t="s">
        <v>78</v>
      </c>
      <c r="CB39" s="9" t="s">
        <v>77</v>
      </c>
      <c r="CC39" s="9" t="s">
        <v>80</v>
      </c>
      <c r="CD39" s="9" t="s">
        <v>77</v>
      </c>
      <c r="CE39" s="9" t="s">
        <v>77</v>
      </c>
      <c r="CF39" s="9" t="s">
        <v>77</v>
      </c>
      <c r="CG39" s="9" t="s">
        <v>80</v>
      </c>
      <c r="CH39" s="9" t="s">
        <v>348</v>
      </c>
      <c r="CI39" s="9" t="s">
        <v>523</v>
      </c>
      <c r="CJ39" s="9" t="s">
        <v>80</v>
      </c>
      <c r="CK39" s="9" t="s">
        <v>348</v>
      </c>
      <c r="CL39" s="9" t="s">
        <v>523</v>
      </c>
      <c r="CM39" s="9" t="s">
        <v>77</v>
      </c>
      <c r="CN39" s="9" t="s">
        <v>77</v>
      </c>
      <c r="CO39" s="9" t="s">
        <v>78</v>
      </c>
      <c r="CS39" s="9" t="s">
        <v>80</v>
      </c>
      <c r="CT39" s="9" t="s">
        <v>348</v>
      </c>
      <c r="CU39" s="9" t="s">
        <v>523</v>
      </c>
      <c r="CV39" s="9" t="s">
        <v>80</v>
      </c>
      <c r="CW39" s="9" t="s">
        <v>348</v>
      </c>
      <c r="CX39" s="9" t="s">
        <v>523</v>
      </c>
      <c r="CY39" s="9" t="s">
        <v>77</v>
      </c>
      <c r="CZ39" s="9" t="s">
        <v>77</v>
      </c>
      <c r="DA39" s="9" t="s">
        <v>78</v>
      </c>
      <c r="DE39" s="9" t="s">
        <v>77</v>
      </c>
      <c r="DF39" s="9" t="s">
        <v>78</v>
      </c>
      <c r="DG39" s="9" t="s">
        <v>78</v>
      </c>
      <c r="DH39" s="9" t="s">
        <v>78</v>
      </c>
      <c r="DI39" s="9" t="s">
        <v>522</v>
      </c>
      <c r="DJ39" s="9" t="s">
        <v>77</v>
      </c>
      <c r="DK39" s="9" t="s">
        <v>77</v>
      </c>
      <c r="DN39" s="9" t="s">
        <v>77</v>
      </c>
      <c r="DO39" s="9" t="s">
        <v>77</v>
      </c>
      <c r="DP39" s="9" t="s">
        <v>80</v>
      </c>
      <c r="DQ39" s="9" t="s">
        <v>438</v>
      </c>
      <c r="DR39" s="9" t="s">
        <v>77</v>
      </c>
      <c r="DS39" s="9" t="s">
        <v>78</v>
      </c>
      <c r="DT39" s="9" t="s">
        <v>349</v>
      </c>
      <c r="DU39" s="9" t="s">
        <v>78</v>
      </c>
      <c r="DV39" s="9" t="s">
        <v>77</v>
      </c>
      <c r="DZ39" s="9" t="s">
        <v>77</v>
      </c>
      <c r="EA39" s="9" t="s">
        <v>77</v>
      </c>
      <c r="EB39" s="9" t="s">
        <v>80</v>
      </c>
      <c r="EC39" s="9" t="s">
        <v>438</v>
      </c>
      <c r="ED39" s="9" t="s">
        <v>77</v>
      </c>
      <c r="EE39" s="9" t="s">
        <v>78</v>
      </c>
      <c r="EF39" s="9" t="s">
        <v>349</v>
      </c>
      <c r="EG39" s="9" t="s">
        <v>78</v>
      </c>
      <c r="EH39" s="9" t="s">
        <v>77</v>
      </c>
      <c r="EL39" s="9" t="s">
        <v>77</v>
      </c>
      <c r="EM39" s="9" t="s">
        <v>77</v>
      </c>
      <c r="EN39" s="9" t="s">
        <v>80</v>
      </c>
      <c r="EO39" s="9" t="s">
        <v>438</v>
      </c>
      <c r="EP39" s="9" t="s">
        <v>77</v>
      </c>
      <c r="EQ39" s="9" t="s">
        <v>78</v>
      </c>
      <c r="ER39" s="9" t="s">
        <v>349</v>
      </c>
      <c r="ES39" s="9" t="s">
        <v>78</v>
      </c>
      <c r="ET39" s="9" t="s">
        <v>77</v>
      </c>
      <c r="EX39" s="9" t="s">
        <v>77</v>
      </c>
      <c r="EY39" s="9" t="s">
        <v>77</v>
      </c>
      <c r="EZ39" s="9" t="s">
        <v>80</v>
      </c>
      <c r="FA39" s="9" t="s">
        <v>438</v>
      </c>
      <c r="FB39" s="9" t="s">
        <v>77</v>
      </c>
      <c r="FC39" s="9" t="s">
        <v>78</v>
      </c>
      <c r="FD39" s="9" t="s">
        <v>349</v>
      </c>
      <c r="FE39" s="9" t="s">
        <v>78</v>
      </c>
      <c r="FF39" s="9" t="s">
        <v>77</v>
      </c>
    </row>
    <row r="40" spans="50:162">
      <c r="AX40" s="9" t="s">
        <v>77</v>
      </c>
      <c r="AY40" s="9" t="s">
        <v>77</v>
      </c>
      <c r="AZ40" s="9" t="s">
        <v>80</v>
      </c>
      <c r="BA40" s="9" t="s">
        <v>438</v>
      </c>
      <c r="BB40" s="9" t="s">
        <v>79</v>
      </c>
      <c r="BC40" s="9" t="s">
        <v>78</v>
      </c>
      <c r="BD40" s="9" t="s">
        <v>349</v>
      </c>
      <c r="BE40" s="9" t="s">
        <v>78</v>
      </c>
      <c r="BF40" s="9" t="s">
        <v>77</v>
      </c>
      <c r="BI40" s="9" t="s">
        <v>77</v>
      </c>
      <c r="BJ40" s="9" t="s">
        <v>80</v>
      </c>
      <c r="BK40" s="9" t="s">
        <v>348</v>
      </c>
      <c r="BL40" s="9" t="s">
        <v>524</v>
      </c>
      <c r="BM40" s="9" t="s">
        <v>80</v>
      </c>
      <c r="BN40" s="9" t="s">
        <v>348</v>
      </c>
      <c r="BO40" s="9" t="s">
        <v>524</v>
      </c>
      <c r="BP40" s="9" t="s">
        <v>77</v>
      </c>
      <c r="BQ40" s="9" t="s">
        <v>77</v>
      </c>
      <c r="BR40" s="9" t="s">
        <v>77</v>
      </c>
      <c r="BS40" s="9" t="s">
        <v>77</v>
      </c>
      <c r="BT40" s="9" t="s">
        <v>77</v>
      </c>
      <c r="BU40" s="9" t="s">
        <v>77</v>
      </c>
      <c r="BV40" s="9" t="s">
        <v>78</v>
      </c>
      <c r="BW40" s="9" t="s">
        <v>78</v>
      </c>
      <c r="BX40" s="9" t="s">
        <v>78</v>
      </c>
      <c r="CB40" s="9" t="s">
        <v>77</v>
      </c>
      <c r="CC40" s="9" t="s">
        <v>80</v>
      </c>
      <c r="CD40" s="9" t="s">
        <v>77</v>
      </c>
      <c r="CE40" s="9" t="s">
        <v>77</v>
      </c>
      <c r="CF40" s="9" t="s">
        <v>77</v>
      </c>
      <c r="CG40" s="9" t="s">
        <v>80</v>
      </c>
      <c r="CH40" s="9" t="s">
        <v>348</v>
      </c>
      <c r="CI40" s="9" t="s">
        <v>525</v>
      </c>
      <c r="CJ40" s="9" t="s">
        <v>80</v>
      </c>
      <c r="CK40" s="9" t="s">
        <v>348</v>
      </c>
      <c r="CL40" s="9" t="s">
        <v>525</v>
      </c>
      <c r="CM40" s="9" t="s">
        <v>77</v>
      </c>
      <c r="CN40" s="9" t="s">
        <v>77</v>
      </c>
      <c r="CO40" s="9" t="s">
        <v>78</v>
      </c>
      <c r="CS40" s="9" t="s">
        <v>80</v>
      </c>
      <c r="CT40" s="9" t="s">
        <v>348</v>
      </c>
      <c r="CU40" s="9" t="s">
        <v>524</v>
      </c>
      <c r="CV40" s="9" t="s">
        <v>80</v>
      </c>
      <c r="CW40" s="9" t="s">
        <v>348</v>
      </c>
      <c r="CX40" s="9" t="s">
        <v>524</v>
      </c>
      <c r="CY40" s="9" t="s">
        <v>77</v>
      </c>
      <c r="CZ40" s="9" t="s">
        <v>77</v>
      </c>
      <c r="DA40" s="9" t="s">
        <v>78</v>
      </c>
      <c r="DE40" s="9" t="s">
        <v>77</v>
      </c>
      <c r="DF40" s="9" t="s">
        <v>78</v>
      </c>
      <c r="DG40" s="9" t="s">
        <v>78</v>
      </c>
      <c r="DH40" s="9" t="s">
        <v>78</v>
      </c>
      <c r="DI40" s="9" t="s">
        <v>524</v>
      </c>
      <c r="DJ40" s="9" t="s">
        <v>77</v>
      </c>
      <c r="DK40" s="9" t="s">
        <v>77</v>
      </c>
      <c r="DN40" s="9" t="s">
        <v>77</v>
      </c>
      <c r="DO40" s="9" t="s">
        <v>77</v>
      </c>
      <c r="DP40" s="9" t="s">
        <v>80</v>
      </c>
      <c r="DQ40" s="9" t="s">
        <v>438</v>
      </c>
      <c r="DR40" s="9" t="s">
        <v>77</v>
      </c>
      <c r="DS40" s="9" t="s">
        <v>78</v>
      </c>
      <c r="DT40" s="9" t="s">
        <v>349</v>
      </c>
      <c r="DU40" s="9" t="s">
        <v>78</v>
      </c>
      <c r="DV40" s="9" t="s">
        <v>77</v>
      </c>
      <c r="DZ40" s="9" t="s">
        <v>77</v>
      </c>
      <c r="EA40" s="9" t="s">
        <v>77</v>
      </c>
      <c r="EB40" s="9" t="s">
        <v>80</v>
      </c>
      <c r="EC40" s="9" t="s">
        <v>438</v>
      </c>
      <c r="ED40" s="9" t="s">
        <v>77</v>
      </c>
      <c r="EE40" s="9" t="s">
        <v>78</v>
      </c>
      <c r="EF40" s="9" t="s">
        <v>349</v>
      </c>
      <c r="EG40" s="9" t="s">
        <v>78</v>
      </c>
      <c r="EH40" s="9" t="s">
        <v>77</v>
      </c>
      <c r="EL40" s="9" t="s">
        <v>77</v>
      </c>
      <c r="EM40" s="9" t="s">
        <v>77</v>
      </c>
      <c r="EN40" s="9" t="s">
        <v>80</v>
      </c>
      <c r="EO40" s="9" t="s">
        <v>438</v>
      </c>
      <c r="EP40" s="9" t="s">
        <v>77</v>
      </c>
      <c r="EQ40" s="9" t="s">
        <v>78</v>
      </c>
      <c r="ER40" s="9" t="s">
        <v>349</v>
      </c>
      <c r="ES40" s="9" t="s">
        <v>78</v>
      </c>
      <c r="ET40" s="9" t="s">
        <v>77</v>
      </c>
      <c r="EX40" s="9" t="s">
        <v>77</v>
      </c>
      <c r="EY40" s="9" t="s">
        <v>77</v>
      </c>
      <c r="EZ40" s="9" t="s">
        <v>80</v>
      </c>
      <c r="FA40" s="9" t="s">
        <v>438</v>
      </c>
      <c r="FB40" s="9" t="s">
        <v>77</v>
      </c>
      <c r="FC40" s="9" t="s">
        <v>78</v>
      </c>
      <c r="FD40" s="9" t="s">
        <v>349</v>
      </c>
      <c r="FE40" s="9" t="s">
        <v>78</v>
      </c>
      <c r="FF40" s="9" t="s">
        <v>77</v>
      </c>
    </row>
    <row r="41" spans="50:162">
      <c r="AX41" s="9" t="s">
        <v>77</v>
      </c>
      <c r="AY41" s="9" t="s">
        <v>77</v>
      </c>
      <c r="AZ41" s="9" t="s">
        <v>80</v>
      </c>
      <c r="BA41" s="9" t="s">
        <v>438</v>
      </c>
      <c r="BB41" s="9" t="s">
        <v>79</v>
      </c>
      <c r="BC41" s="9" t="s">
        <v>78</v>
      </c>
      <c r="BD41" s="9" t="s">
        <v>349</v>
      </c>
      <c r="BE41" s="9" t="s">
        <v>78</v>
      </c>
      <c r="BF41" s="9" t="s">
        <v>77</v>
      </c>
      <c r="BI41" s="9" t="s">
        <v>77</v>
      </c>
      <c r="BJ41" s="9" t="s">
        <v>80</v>
      </c>
      <c r="BK41" s="9" t="s">
        <v>348</v>
      </c>
      <c r="BL41" s="9" t="s">
        <v>526</v>
      </c>
      <c r="BM41" s="9" t="s">
        <v>80</v>
      </c>
      <c r="BN41" s="9" t="s">
        <v>348</v>
      </c>
      <c r="BO41" s="9" t="s">
        <v>526</v>
      </c>
      <c r="BP41" s="9" t="s">
        <v>77</v>
      </c>
      <c r="BQ41" s="9" t="s">
        <v>77</v>
      </c>
      <c r="BR41" s="9" t="s">
        <v>77</v>
      </c>
      <c r="BS41" s="9" t="s">
        <v>77</v>
      </c>
      <c r="BT41" s="9" t="s">
        <v>77</v>
      </c>
      <c r="BU41" s="9" t="s">
        <v>77</v>
      </c>
      <c r="BV41" s="9" t="s">
        <v>78</v>
      </c>
      <c r="BW41" s="9" t="s">
        <v>78</v>
      </c>
      <c r="BX41" s="9" t="s">
        <v>78</v>
      </c>
      <c r="CB41" s="9" t="s">
        <v>77</v>
      </c>
      <c r="CC41" s="9" t="s">
        <v>80</v>
      </c>
      <c r="CD41" s="9" t="s">
        <v>77</v>
      </c>
      <c r="CE41" s="9" t="s">
        <v>77</v>
      </c>
      <c r="CF41" s="9" t="s">
        <v>77</v>
      </c>
      <c r="CG41" s="9" t="s">
        <v>80</v>
      </c>
      <c r="CH41" s="9" t="s">
        <v>348</v>
      </c>
      <c r="CI41" s="9" t="s">
        <v>527</v>
      </c>
      <c r="CJ41" s="9" t="s">
        <v>80</v>
      </c>
      <c r="CK41" s="9" t="s">
        <v>348</v>
      </c>
      <c r="CL41" s="9" t="s">
        <v>527</v>
      </c>
      <c r="CM41" s="9" t="s">
        <v>77</v>
      </c>
      <c r="CN41" s="9" t="s">
        <v>77</v>
      </c>
      <c r="CO41" s="9" t="s">
        <v>78</v>
      </c>
      <c r="CS41" s="9" t="s">
        <v>80</v>
      </c>
      <c r="CT41" s="9" t="s">
        <v>348</v>
      </c>
      <c r="CU41" s="9" t="s">
        <v>527</v>
      </c>
      <c r="CV41" s="9" t="s">
        <v>80</v>
      </c>
      <c r="CW41" s="9" t="s">
        <v>348</v>
      </c>
      <c r="CX41" s="9" t="s">
        <v>527</v>
      </c>
      <c r="CY41" s="9" t="s">
        <v>77</v>
      </c>
      <c r="CZ41" s="9" t="s">
        <v>77</v>
      </c>
      <c r="DA41" s="9" t="s">
        <v>78</v>
      </c>
      <c r="DE41" s="9" t="s">
        <v>77</v>
      </c>
      <c r="DF41" s="9" t="s">
        <v>78</v>
      </c>
      <c r="DG41" s="9" t="s">
        <v>78</v>
      </c>
      <c r="DH41" s="9" t="s">
        <v>78</v>
      </c>
      <c r="DI41" s="9" t="s">
        <v>526</v>
      </c>
      <c r="DJ41" s="9" t="s">
        <v>77</v>
      </c>
      <c r="DK41" s="9" t="s">
        <v>77</v>
      </c>
      <c r="DN41" s="9" t="s">
        <v>77</v>
      </c>
      <c r="DO41" s="9" t="s">
        <v>77</v>
      </c>
      <c r="DP41" s="9" t="s">
        <v>80</v>
      </c>
      <c r="DQ41" s="9" t="s">
        <v>438</v>
      </c>
      <c r="DR41" s="9" t="s">
        <v>77</v>
      </c>
      <c r="DS41" s="9" t="s">
        <v>78</v>
      </c>
      <c r="DT41" s="9" t="s">
        <v>349</v>
      </c>
      <c r="DU41" s="9" t="s">
        <v>78</v>
      </c>
      <c r="DV41" s="9" t="s">
        <v>77</v>
      </c>
      <c r="DZ41" s="9" t="s">
        <v>77</v>
      </c>
      <c r="EA41" s="9" t="s">
        <v>77</v>
      </c>
      <c r="EB41" s="9" t="s">
        <v>80</v>
      </c>
      <c r="EC41" s="9" t="s">
        <v>438</v>
      </c>
      <c r="ED41" s="9" t="s">
        <v>77</v>
      </c>
      <c r="EE41" s="9" t="s">
        <v>78</v>
      </c>
      <c r="EF41" s="9" t="s">
        <v>349</v>
      </c>
      <c r="EG41" s="9" t="s">
        <v>78</v>
      </c>
      <c r="EH41" s="9" t="s">
        <v>77</v>
      </c>
      <c r="EL41" s="9" t="s">
        <v>77</v>
      </c>
      <c r="EM41" s="9" t="s">
        <v>77</v>
      </c>
      <c r="EN41" s="9" t="s">
        <v>80</v>
      </c>
      <c r="EO41" s="9" t="s">
        <v>438</v>
      </c>
      <c r="EP41" s="9" t="s">
        <v>77</v>
      </c>
      <c r="EQ41" s="9" t="s">
        <v>78</v>
      </c>
      <c r="ER41" s="9" t="s">
        <v>349</v>
      </c>
      <c r="ES41" s="9" t="s">
        <v>78</v>
      </c>
      <c r="ET41" s="9" t="s">
        <v>77</v>
      </c>
      <c r="EX41" s="9" t="s">
        <v>77</v>
      </c>
      <c r="EY41" s="9" t="s">
        <v>77</v>
      </c>
      <c r="EZ41" s="9" t="s">
        <v>80</v>
      </c>
      <c r="FA41" s="9" t="s">
        <v>438</v>
      </c>
      <c r="FB41" s="9" t="s">
        <v>77</v>
      </c>
      <c r="FC41" s="9" t="s">
        <v>78</v>
      </c>
      <c r="FD41" s="9" t="s">
        <v>349</v>
      </c>
      <c r="FE41" s="9" t="s">
        <v>78</v>
      </c>
      <c r="FF41" s="9" t="s">
        <v>77</v>
      </c>
    </row>
    <row r="42" spans="50:162">
      <c r="AX42" s="9" t="s">
        <v>77</v>
      </c>
      <c r="AY42" s="9" t="s">
        <v>77</v>
      </c>
      <c r="AZ42" s="9" t="s">
        <v>80</v>
      </c>
      <c r="BA42" s="9" t="s">
        <v>438</v>
      </c>
      <c r="BB42" s="9" t="s">
        <v>79</v>
      </c>
      <c r="BC42" s="9" t="s">
        <v>78</v>
      </c>
      <c r="BD42" s="9" t="s">
        <v>349</v>
      </c>
      <c r="BE42" s="9" t="s">
        <v>78</v>
      </c>
      <c r="BF42" s="9" t="s">
        <v>77</v>
      </c>
      <c r="BI42" s="9" t="s">
        <v>77</v>
      </c>
      <c r="BJ42" s="9" t="s">
        <v>80</v>
      </c>
      <c r="BK42" s="9" t="s">
        <v>348</v>
      </c>
      <c r="BL42" s="9" t="s">
        <v>528</v>
      </c>
      <c r="BM42" s="9" t="s">
        <v>80</v>
      </c>
      <c r="BN42" s="9" t="s">
        <v>348</v>
      </c>
      <c r="BO42" s="9" t="s">
        <v>528</v>
      </c>
      <c r="BP42" s="9" t="s">
        <v>77</v>
      </c>
      <c r="BQ42" s="9" t="s">
        <v>77</v>
      </c>
      <c r="BR42" s="9" t="s">
        <v>77</v>
      </c>
      <c r="BS42" s="9" t="s">
        <v>77</v>
      </c>
      <c r="BT42" s="9" t="s">
        <v>77</v>
      </c>
      <c r="BU42" s="9" t="s">
        <v>77</v>
      </c>
      <c r="BV42" s="9" t="s">
        <v>78</v>
      </c>
      <c r="BW42" s="9" t="s">
        <v>78</v>
      </c>
      <c r="BX42" s="9" t="s">
        <v>78</v>
      </c>
      <c r="CB42" s="9" t="s">
        <v>77</v>
      </c>
      <c r="CC42" s="9" t="s">
        <v>80</v>
      </c>
      <c r="CD42" s="9" t="s">
        <v>77</v>
      </c>
      <c r="CE42" s="9" t="s">
        <v>77</v>
      </c>
      <c r="CF42" s="9" t="s">
        <v>77</v>
      </c>
      <c r="CG42" s="9" t="s">
        <v>80</v>
      </c>
      <c r="CH42" s="9" t="s">
        <v>348</v>
      </c>
      <c r="CI42" s="9" t="s">
        <v>529</v>
      </c>
      <c r="CJ42" s="9" t="s">
        <v>80</v>
      </c>
      <c r="CK42" s="9" t="s">
        <v>348</v>
      </c>
      <c r="CL42" s="9" t="s">
        <v>529</v>
      </c>
      <c r="CM42" s="9" t="s">
        <v>77</v>
      </c>
      <c r="CN42" s="9" t="s">
        <v>77</v>
      </c>
      <c r="CO42" s="9" t="s">
        <v>78</v>
      </c>
      <c r="CS42" s="9" t="s">
        <v>80</v>
      </c>
      <c r="CT42" s="9" t="s">
        <v>348</v>
      </c>
      <c r="CU42" s="9" t="s">
        <v>528</v>
      </c>
      <c r="CV42" s="9" t="s">
        <v>80</v>
      </c>
      <c r="CW42" s="9" t="s">
        <v>348</v>
      </c>
      <c r="CX42" s="9" t="s">
        <v>528</v>
      </c>
      <c r="CY42" s="9" t="s">
        <v>77</v>
      </c>
      <c r="CZ42" s="9" t="s">
        <v>77</v>
      </c>
      <c r="DA42" s="9" t="s">
        <v>78</v>
      </c>
      <c r="DE42" s="9" t="s">
        <v>77</v>
      </c>
      <c r="DF42" s="9" t="s">
        <v>78</v>
      </c>
      <c r="DG42" s="9" t="s">
        <v>78</v>
      </c>
      <c r="DH42" s="9" t="s">
        <v>78</v>
      </c>
      <c r="DI42" s="9" t="s">
        <v>530</v>
      </c>
      <c r="DJ42" s="9" t="s">
        <v>77</v>
      </c>
      <c r="DK42" s="9" t="s">
        <v>77</v>
      </c>
      <c r="DN42" s="9" t="s">
        <v>77</v>
      </c>
      <c r="DO42" s="9" t="s">
        <v>77</v>
      </c>
      <c r="DP42" s="9" t="s">
        <v>80</v>
      </c>
      <c r="DQ42" s="9" t="s">
        <v>438</v>
      </c>
      <c r="DR42" s="9" t="s">
        <v>77</v>
      </c>
      <c r="DS42" s="9" t="s">
        <v>78</v>
      </c>
      <c r="DT42" s="9" t="s">
        <v>349</v>
      </c>
      <c r="DU42" s="9" t="s">
        <v>78</v>
      </c>
      <c r="DV42" s="9" t="s">
        <v>77</v>
      </c>
      <c r="DZ42" s="9" t="s">
        <v>77</v>
      </c>
      <c r="EA42" s="9" t="s">
        <v>77</v>
      </c>
      <c r="EB42" s="9" t="s">
        <v>80</v>
      </c>
      <c r="EC42" s="9" t="s">
        <v>438</v>
      </c>
      <c r="ED42" s="9" t="s">
        <v>77</v>
      </c>
      <c r="EE42" s="9" t="s">
        <v>78</v>
      </c>
      <c r="EF42" s="9" t="s">
        <v>349</v>
      </c>
      <c r="EG42" s="9" t="s">
        <v>78</v>
      </c>
      <c r="EH42" s="9" t="s">
        <v>77</v>
      </c>
      <c r="EL42" s="9" t="s">
        <v>77</v>
      </c>
      <c r="EM42" s="9" t="s">
        <v>77</v>
      </c>
      <c r="EN42" s="9" t="s">
        <v>80</v>
      </c>
      <c r="EO42" s="9" t="s">
        <v>438</v>
      </c>
      <c r="EP42" s="9" t="s">
        <v>77</v>
      </c>
      <c r="EQ42" s="9" t="s">
        <v>78</v>
      </c>
      <c r="ER42" s="9" t="s">
        <v>349</v>
      </c>
      <c r="ES42" s="9" t="s">
        <v>78</v>
      </c>
      <c r="ET42" s="9" t="s">
        <v>77</v>
      </c>
      <c r="EX42" s="9" t="s">
        <v>77</v>
      </c>
      <c r="EY42" s="9" t="s">
        <v>77</v>
      </c>
      <c r="EZ42" s="9" t="s">
        <v>80</v>
      </c>
      <c r="FA42" s="9" t="s">
        <v>438</v>
      </c>
      <c r="FB42" s="9" t="s">
        <v>77</v>
      </c>
      <c r="FC42" s="9" t="s">
        <v>78</v>
      </c>
      <c r="FD42" s="9" t="s">
        <v>349</v>
      </c>
      <c r="FE42" s="9" t="s">
        <v>78</v>
      </c>
      <c r="FF42" s="9" t="s">
        <v>77</v>
      </c>
    </row>
    <row r="43" spans="50:162">
      <c r="AX43" s="9" t="s">
        <v>77</v>
      </c>
      <c r="AY43" s="9" t="s">
        <v>77</v>
      </c>
      <c r="AZ43" s="9" t="s">
        <v>80</v>
      </c>
      <c r="BA43" s="9" t="s">
        <v>438</v>
      </c>
      <c r="BB43" s="9" t="s">
        <v>79</v>
      </c>
      <c r="BC43" s="9" t="s">
        <v>78</v>
      </c>
      <c r="BD43" s="9" t="s">
        <v>349</v>
      </c>
      <c r="BE43" s="9" t="s">
        <v>78</v>
      </c>
      <c r="BF43" s="9" t="s">
        <v>77</v>
      </c>
      <c r="BI43" s="9" t="s">
        <v>77</v>
      </c>
      <c r="BJ43" s="9" t="s">
        <v>80</v>
      </c>
      <c r="BK43" s="9" t="s">
        <v>348</v>
      </c>
      <c r="BL43" s="9" t="s">
        <v>531</v>
      </c>
      <c r="BM43" s="9" t="s">
        <v>80</v>
      </c>
      <c r="BN43" s="9" t="s">
        <v>348</v>
      </c>
      <c r="BO43" s="9" t="s">
        <v>531</v>
      </c>
      <c r="BP43" s="9" t="s">
        <v>77</v>
      </c>
      <c r="BQ43" s="9" t="s">
        <v>77</v>
      </c>
      <c r="BR43" s="9" t="s">
        <v>77</v>
      </c>
      <c r="BS43" s="9" t="s">
        <v>77</v>
      </c>
      <c r="BT43" s="9" t="s">
        <v>77</v>
      </c>
      <c r="BU43" s="9" t="s">
        <v>77</v>
      </c>
      <c r="BV43" s="9" t="s">
        <v>78</v>
      </c>
      <c r="BW43" s="9" t="s">
        <v>78</v>
      </c>
      <c r="BX43" s="9" t="s">
        <v>78</v>
      </c>
      <c r="CB43" s="9" t="s">
        <v>77</v>
      </c>
      <c r="CC43" s="9" t="s">
        <v>80</v>
      </c>
      <c r="CD43" s="9" t="s">
        <v>77</v>
      </c>
      <c r="CE43" s="9" t="s">
        <v>77</v>
      </c>
      <c r="CF43" s="9" t="s">
        <v>77</v>
      </c>
      <c r="CG43" s="9" t="s">
        <v>80</v>
      </c>
      <c r="CH43" s="9" t="s">
        <v>348</v>
      </c>
      <c r="CI43" s="9" t="s">
        <v>532</v>
      </c>
      <c r="CJ43" s="9" t="s">
        <v>80</v>
      </c>
      <c r="CK43" s="9" t="s">
        <v>348</v>
      </c>
      <c r="CL43" s="9" t="s">
        <v>532</v>
      </c>
      <c r="CM43" s="9" t="s">
        <v>77</v>
      </c>
      <c r="CN43" s="9" t="s">
        <v>77</v>
      </c>
      <c r="CO43" s="9" t="s">
        <v>78</v>
      </c>
      <c r="CS43" s="9" t="s">
        <v>80</v>
      </c>
      <c r="CT43" s="9" t="s">
        <v>348</v>
      </c>
      <c r="CU43" s="9" t="s">
        <v>533</v>
      </c>
      <c r="CV43" s="9" t="s">
        <v>80</v>
      </c>
      <c r="CW43" s="9" t="s">
        <v>348</v>
      </c>
      <c r="CX43" s="9" t="s">
        <v>533</v>
      </c>
      <c r="CY43" s="9" t="s">
        <v>77</v>
      </c>
      <c r="CZ43" s="9" t="s">
        <v>77</v>
      </c>
      <c r="DA43" s="9" t="s">
        <v>78</v>
      </c>
      <c r="DE43" s="9" t="s">
        <v>77</v>
      </c>
      <c r="DF43" s="9" t="s">
        <v>78</v>
      </c>
      <c r="DG43" s="9" t="s">
        <v>78</v>
      </c>
      <c r="DH43" s="9" t="s">
        <v>78</v>
      </c>
      <c r="DI43" s="9" t="s">
        <v>534</v>
      </c>
      <c r="DJ43" s="9" t="s">
        <v>77</v>
      </c>
      <c r="DK43" s="9" t="s">
        <v>77</v>
      </c>
      <c r="DN43" s="9" t="s">
        <v>77</v>
      </c>
      <c r="DO43" s="9" t="s">
        <v>77</v>
      </c>
      <c r="DP43" s="9" t="s">
        <v>80</v>
      </c>
      <c r="DQ43" s="9" t="s">
        <v>438</v>
      </c>
      <c r="DR43" s="9" t="s">
        <v>77</v>
      </c>
      <c r="DS43" s="9" t="s">
        <v>78</v>
      </c>
      <c r="DT43" s="9" t="s">
        <v>349</v>
      </c>
      <c r="DU43" s="9" t="s">
        <v>78</v>
      </c>
      <c r="DV43" s="9" t="s">
        <v>77</v>
      </c>
      <c r="DZ43" s="9" t="s">
        <v>77</v>
      </c>
      <c r="EA43" s="9" t="s">
        <v>77</v>
      </c>
      <c r="EB43" s="9" t="s">
        <v>80</v>
      </c>
      <c r="EC43" s="9" t="s">
        <v>438</v>
      </c>
      <c r="ED43" s="9" t="s">
        <v>77</v>
      </c>
      <c r="EE43" s="9" t="s">
        <v>78</v>
      </c>
      <c r="EF43" s="9" t="s">
        <v>349</v>
      </c>
      <c r="EG43" s="9" t="s">
        <v>78</v>
      </c>
      <c r="EH43" s="9" t="s">
        <v>77</v>
      </c>
      <c r="EL43" s="9" t="s">
        <v>77</v>
      </c>
      <c r="EM43" s="9" t="s">
        <v>77</v>
      </c>
      <c r="EN43" s="9" t="s">
        <v>80</v>
      </c>
      <c r="EO43" s="9" t="s">
        <v>438</v>
      </c>
      <c r="EP43" s="9" t="s">
        <v>77</v>
      </c>
      <c r="EQ43" s="9" t="s">
        <v>78</v>
      </c>
      <c r="ER43" s="9" t="s">
        <v>349</v>
      </c>
      <c r="ES43" s="9" t="s">
        <v>78</v>
      </c>
      <c r="ET43" s="9" t="s">
        <v>77</v>
      </c>
      <c r="EX43" s="9" t="s">
        <v>77</v>
      </c>
      <c r="EY43" s="9" t="s">
        <v>77</v>
      </c>
      <c r="EZ43" s="9" t="s">
        <v>80</v>
      </c>
      <c r="FA43" s="9" t="s">
        <v>438</v>
      </c>
      <c r="FB43" s="9" t="s">
        <v>77</v>
      </c>
      <c r="FC43" s="9" t="s">
        <v>78</v>
      </c>
      <c r="FD43" s="9" t="s">
        <v>349</v>
      </c>
      <c r="FE43" s="9" t="s">
        <v>78</v>
      </c>
      <c r="FF43" s="9" t="s">
        <v>77</v>
      </c>
    </row>
    <row r="44" spans="50:162">
      <c r="AX44" s="9" t="s">
        <v>77</v>
      </c>
      <c r="AY44" s="9" t="s">
        <v>77</v>
      </c>
      <c r="AZ44" s="9" t="s">
        <v>80</v>
      </c>
      <c r="BA44" s="9" t="s">
        <v>438</v>
      </c>
      <c r="BB44" s="9" t="s">
        <v>79</v>
      </c>
      <c r="BC44" s="9" t="s">
        <v>78</v>
      </c>
      <c r="BD44" s="9" t="s">
        <v>349</v>
      </c>
      <c r="BE44" s="9" t="s">
        <v>78</v>
      </c>
      <c r="BF44" s="9" t="s">
        <v>77</v>
      </c>
      <c r="BI44" s="9" t="s">
        <v>77</v>
      </c>
      <c r="BJ44" s="9" t="s">
        <v>80</v>
      </c>
      <c r="BK44" s="9" t="s">
        <v>348</v>
      </c>
      <c r="BL44" s="9" t="s">
        <v>535</v>
      </c>
      <c r="BM44" s="9" t="s">
        <v>80</v>
      </c>
      <c r="BN44" s="9" t="s">
        <v>348</v>
      </c>
      <c r="BO44" s="9" t="s">
        <v>535</v>
      </c>
      <c r="BP44" s="9" t="s">
        <v>77</v>
      </c>
      <c r="BQ44" s="9" t="s">
        <v>77</v>
      </c>
      <c r="BR44" s="9" t="s">
        <v>77</v>
      </c>
      <c r="BS44" s="9" t="s">
        <v>77</v>
      </c>
      <c r="BT44" s="9" t="s">
        <v>77</v>
      </c>
      <c r="BU44" s="9" t="s">
        <v>77</v>
      </c>
      <c r="BV44" s="9" t="s">
        <v>78</v>
      </c>
      <c r="BW44" s="9" t="s">
        <v>78</v>
      </c>
      <c r="BX44" s="9" t="s">
        <v>78</v>
      </c>
      <c r="CB44" s="9" t="s">
        <v>77</v>
      </c>
      <c r="CC44" s="9" t="s">
        <v>80</v>
      </c>
      <c r="CD44" s="9" t="s">
        <v>77</v>
      </c>
      <c r="CE44" s="9" t="s">
        <v>77</v>
      </c>
      <c r="CF44" s="9" t="s">
        <v>77</v>
      </c>
      <c r="CG44" s="9" t="s">
        <v>80</v>
      </c>
      <c r="CH44" s="9" t="s">
        <v>348</v>
      </c>
      <c r="CI44" s="9" t="s">
        <v>536</v>
      </c>
      <c r="CJ44" s="9" t="s">
        <v>80</v>
      </c>
      <c r="CK44" s="9" t="s">
        <v>348</v>
      </c>
      <c r="CL44" s="9" t="s">
        <v>536</v>
      </c>
      <c r="CM44" s="9" t="s">
        <v>77</v>
      </c>
      <c r="CN44" s="9" t="s">
        <v>77</v>
      </c>
      <c r="CO44" s="9" t="s">
        <v>78</v>
      </c>
      <c r="CS44" s="9" t="s">
        <v>80</v>
      </c>
      <c r="CT44" s="9" t="s">
        <v>348</v>
      </c>
      <c r="CU44" s="9" t="s">
        <v>537</v>
      </c>
      <c r="CV44" s="9" t="s">
        <v>80</v>
      </c>
      <c r="CW44" s="9" t="s">
        <v>348</v>
      </c>
      <c r="CX44" s="9" t="s">
        <v>537</v>
      </c>
      <c r="CY44" s="9" t="s">
        <v>77</v>
      </c>
      <c r="CZ44" s="9" t="s">
        <v>77</v>
      </c>
      <c r="DA44" s="9" t="s">
        <v>78</v>
      </c>
      <c r="DE44" s="9" t="s">
        <v>77</v>
      </c>
      <c r="DF44" s="9" t="s">
        <v>78</v>
      </c>
      <c r="DG44" s="9" t="s">
        <v>78</v>
      </c>
      <c r="DH44" s="9" t="s">
        <v>78</v>
      </c>
      <c r="DI44" s="9" t="s">
        <v>538</v>
      </c>
      <c r="DJ44" s="9" t="s">
        <v>77</v>
      </c>
      <c r="DK44" s="9" t="s">
        <v>77</v>
      </c>
      <c r="DN44" s="9" t="s">
        <v>77</v>
      </c>
      <c r="DO44" s="9" t="s">
        <v>77</v>
      </c>
      <c r="DP44" s="9" t="s">
        <v>80</v>
      </c>
      <c r="DQ44" s="9" t="s">
        <v>438</v>
      </c>
      <c r="DR44" s="9" t="s">
        <v>77</v>
      </c>
      <c r="DS44" s="9" t="s">
        <v>78</v>
      </c>
      <c r="DT44" s="9" t="s">
        <v>349</v>
      </c>
      <c r="DU44" s="9" t="s">
        <v>78</v>
      </c>
      <c r="DV44" s="9" t="s">
        <v>77</v>
      </c>
      <c r="DZ44" s="9" t="s">
        <v>77</v>
      </c>
      <c r="EA44" s="9" t="s">
        <v>77</v>
      </c>
      <c r="EB44" s="9" t="s">
        <v>80</v>
      </c>
      <c r="EC44" s="9" t="s">
        <v>438</v>
      </c>
      <c r="ED44" s="9" t="s">
        <v>77</v>
      </c>
      <c r="EE44" s="9" t="s">
        <v>78</v>
      </c>
      <c r="EF44" s="9" t="s">
        <v>349</v>
      </c>
      <c r="EG44" s="9" t="s">
        <v>78</v>
      </c>
      <c r="EH44" s="9" t="s">
        <v>77</v>
      </c>
      <c r="EL44" s="9" t="s">
        <v>77</v>
      </c>
      <c r="EM44" s="9" t="s">
        <v>77</v>
      </c>
      <c r="EN44" s="9" t="s">
        <v>80</v>
      </c>
      <c r="EO44" s="9" t="s">
        <v>438</v>
      </c>
      <c r="EP44" s="9" t="s">
        <v>77</v>
      </c>
      <c r="EQ44" s="9" t="s">
        <v>78</v>
      </c>
      <c r="ER44" s="9" t="s">
        <v>349</v>
      </c>
      <c r="ES44" s="9" t="s">
        <v>78</v>
      </c>
      <c r="ET44" s="9" t="s">
        <v>77</v>
      </c>
      <c r="EX44" s="9" t="s">
        <v>77</v>
      </c>
      <c r="EY44" s="9" t="s">
        <v>77</v>
      </c>
      <c r="EZ44" s="9" t="s">
        <v>80</v>
      </c>
      <c r="FA44" s="9" t="s">
        <v>438</v>
      </c>
      <c r="FB44" s="9" t="s">
        <v>77</v>
      </c>
      <c r="FC44" s="9" t="s">
        <v>78</v>
      </c>
      <c r="FD44" s="9" t="s">
        <v>349</v>
      </c>
      <c r="FE44" s="9" t="s">
        <v>78</v>
      </c>
      <c r="FF44" s="9" t="s">
        <v>77</v>
      </c>
    </row>
    <row r="45" spans="50:162">
      <c r="AX45" s="9" t="s">
        <v>77</v>
      </c>
      <c r="AY45" s="9" t="s">
        <v>77</v>
      </c>
      <c r="AZ45" s="9" t="s">
        <v>80</v>
      </c>
      <c r="BA45" s="9" t="s">
        <v>438</v>
      </c>
      <c r="BB45" s="9" t="s">
        <v>79</v>
      </c>
      <c r="BC45" s="9" t="s">
        <v>78</v>
      </c>
      <c r="BD45" s="9" t="s">
        <v>349</v>
      </c>
      <c r="BE45" s="9" t="s">
        <v>78</v>
      </c>
      <c r="BF45" s="9" t="s">
        <v>77</v>
      </c>
      <c r="BI45" s="9" t="s">
        <v>77</v>
      </c>
      <c r="BJ45" s="9" t="s">
        <v>80</v>
      </c>
      <c r="BK45" s="9" t="s">
        <v>348</v>
      </c>
      <c r="BL45" s="9" t="s">
        <v>539</v>
      </c>
      <c r="BM45" s="9" t="s">
        <v>80</v>
      </c>
      <c r="BN45" s="9" t="s">
        <v>348</v>
      </c>
      <c r="BO45" s="9" t="s">
        <v>539</v>
      </c>
      <c r="BP45" s="9" t="s">
        <v>77</v>
      </c>
      <c r="BQ45" s="9" t="s">
        <v>77</v>
      </c>
      <c r="BR45" s="9" t="s">
        <v>77</v>
      </c>
      <c r="BS45" s="9" t="s">
        <v>77</v>
      </c>
      <c r="BT45" s="9" t="s">
        <v>77</v>
      </c>
      <c r="BU45" s="9" t="s">
        <v>77</v>
      </c>
      <c r="BV45" s="9" t="s">
        <v>78</v>
      </c>
      <c r="BW45" s="9" t="s">
        <v>78</v>
      </c>
      <c r="BX45" s="9" t="s">
        <v>78</v>
      </c>
      <c r="CB45" s="9" t="s">
        <v>77</v>
      </c>
      <c r="CC45" s="9" t="s">
        <v>80</v>
      </c>
      <c r="CD45" s="9" t="s">
        <v>77</v>
      </c>
      <c r="CE45" s="9" t="s">
        <v>77</v>
      </c>
      <c r="CF45" s="9" t="s">
        <v>77</v>
      </c>
      <c r="CG45" s="9" t="s">
        <v>80</v>
      </c>
      <c r="CH45" s="9" t="s">
        <v>348</v>
      </c>
      <c r="CI45" s="9" t="s">
        <v>540</v>
      </c>
      <c r="CJ45" s="9" t="s">
        <v>80</v>
      </c>
      <c r="CK45" s="9" t="s">
        <v>348</v>
      </c>
      <c r="CL45" s="9" t="s">
        <v>540</v>
      </c>
      <c r="CM45" s="9" t="s">
        <v>77</v>
      </c>
      <c r="CN45" s="9" t="s">
        <v>77</v>
      </c>
      <c r="CO45" s="9" t="s">
        <v>78</v>
      </c>
      <c r="CS45" s="9" t="s">
        <v>80</v>
      </c>
      <c r="CT45" s="9" t="s">
        <v>348</v>
      </c>
      <c r="CU45" s="9" t="s">
        <v>539</v>
      </c>
      <c r="CV45" s="9" t="s">
        <v>80</v>
      </c>
      <c r="CW45" s="9" t="s">
        <v>348</v>
      </c>
      <c r="CX45" s="9" t="s">
        <v>539</v>
      </c>
      <c r="CY45" s="9" t="s">
        <v>77</v>
      </c>
      <c r="CZ45" s="9" t="s">
        <v>77</v>
      </c>
      <c r="DA45" s="9" t="s">
        <v>78</v>
      </c>
      <c r="DE45" s="9" t="s">
        <v>77</v>
      </c>
      <c r="DF45" s="9" t="s">
        <v>78</v>
      </c>
      <c r="DG45" s="9" t="s">
        <v>78</v>
      </c>
      <c r="DH45" s="9" t="s">
        <v>78</v>
      </c>
      <c r="DI45" s="9" t="s">
        <v>539</v>
      </c>
      <c r="DJ45" s="9" t="s">
        <v>77</v>
      </c>
      <c r="DK45" s="9" t="s">
        <v>77</v>
      </c>
      <c r="DN45" s="9" t="s">
        <v>77</v>
      </c>
      <c r="DO45" s="9" t="s">
        <v>77</v>
      </c>
      <c r="DP45" s="9" t="s">
        <v>80</v>
      </c>
      <c r="DQ45" s="9" t="s">
        <v>438</v>
      </c>
      <c r="DR45" s="9" t="s">
        <v>77</v>
      </c>
      <c r="DS45" s="9" t="s">
        <v>78</v>
      </c>
      <c r="DT45" s="9" t="s">
        <v>349</v>
      </c>
      <c r="DU45" s="9" t="s">
        <v>78</v>
      </c>
      <c r="DV45" s="9" t="s">
        <v>77</v>
      </c>
      <c r="DZ45" s="9" t="s">
        <v>77</v>
      </c>
      <c r="EA45" s="9" t="s">
        <v>77</v>
      </c>
      <c r="EB45" s="9" t="s">
        <v>80</v>
      </c>
      <c r="EC45" s="9" t="s">
        <v>438</v>
      </c>
      <c r="ED45" s="9" t="s">
        <v>77</v>
      </c>
      <c r="EE45" s="9" t="s">
        <v>78</v>
      </c>
      <c r="EF45" s="9" t="s">
        <v>349</v>
      </c>
      <c r="EG45" s="9" t="s">
        <v>78</v>
      </c>
      <c r="EH45" s="9" t="s">
        <v>77</v>
      </c>
      <c r="EL45" s="9" t="s">
        <v>77</v>
      </c>
      <c r="EM45" s="9" t="s">
        <v>77</v>
      </c>
      <c r="EN45" s="9" t="s">
        <v>80</v>
      </c>
      <c r="EO45" s="9" t="s">
        <v>438</v>
      </c>
      <c r="EP45" s="9" t="s">
        <v>77</v>
      </c>
      <c r="EQ45" s="9" t="s">
        <v>78</v>
      </c>
      <c r="ER45" s="9" t="s">
        <v>349</v>
      </c>
      <c r="ES45" s="9" t="s">
        <v>78</v>
      </c>
      <c r="ET45" s="9" t="s">
        <v>77</v>
      </c>
      <c r="EX45" s="9" t="s">
        <v>77</v>
      </c>
      <c r="EY45" s="9" t="s">
        <v>77</v>
      </c>
      <c r="EZ45" s="9" t="s">
        <v>80</v>
      </c>
      <c r="FA45" s="9" t="s">
        <v>438</v>
      </c>
      <c r="FB45" s="9" t="s">
        <v>77</v>
      </c>
      <c r="FC45" s="9" t="s">
        <v>78</v>
      </c>
      <c r="FD45" s="9" t="s">
        <v>349</v>
      </c>
      <c r="FE45" s="9" t="s">
        <v>78</v>
      </c>
      <c r="FF45" s="9" t="s">
        <v>77</v>
      </c>
    </row>
    <row r="46" spans="50:162">
      <c r="AX46" s="9" t="s">
        <v>77</v>
      </c>
      <c r="AY46" s="9" t="s">
        <v>77</v>
      </c>
      <c r="AZ46" s="9" t="s">
        <v>80</v>
      </c>
      <c r="BA46" s="9" t="s">
        <v>438</v>
      </c>
      <c r="BB46" s="9" t="s">
        <v>79</v>
      </c>
      <c r="BC46" s="9" t="s">
        <v>78</v>
      </c>
      <c r="BD46" s="9" t="s">
        <v>349</v>
      </c>
      <c r="BE46" s="9" t="s">
        <v>78</v>
      </c>
      <c r="BF46" s="9" t="s">
        <v>77</v>
      </c>
      <c r="BI46" s="9" t="s">
        <v>77</v>
      </c>
      <c r="BJ46" s="9" t="s">
        <v>80</v>
      </c>
      <c r="BK46" s="9" t="s">
        <v>348</v>
      </c>
      <c r="BL46" s="9" t="s">
        <v>541</v>
      </c>
      <c r="BM46" s="9" t="s">
        <v>80</v>
      </c>
      <c r="BN46" s="9" t="s">
        <v>348</v>
      </c>
      <c r="BO46" s="9" t="s">
        <v>541</v>
      </c>
      <c r="BP46" s="9" t="s">
        <v>77</v>
      </c>
      <c r="BQ46" s="9" t="s">
        <v>77</v>
      </c>
      <c r="BR46" s="9" t="s">
        <v>77</v>
      </c>
      <c r="BS46" s="9" t="s">
        <v>77</v>
      </c>
      <c r="BT46" s="9" t="s">
        <v>77</v>
      </c>
      <c r="BU46" s="9" t="s">
        <v>77</v>
      </c>
      <c r="BV46" s="9" t="s">
        <v>78</v>
      </c>
      <c r="BW46" s="9" t="s">
        <v>78</v>
      </c>
      <c r="BX46" s="9" t="s">
        <v>78</v>
      </c>
      <c r="CB46" s="9" t="s">
        <v>77</v>
      </c>
      <c r="CC46" s="9" t="s">
        <v>80</v>
      </c>
      <c r="CD46" s="9" t="s">
        <v>77</v>
      </c>
      <c r="CE46" s="9" t="s">
        <v>77</v>
      </c>
      <c r="CF46" s="9" t="s">
        <v>77</v>
      </c>
      <c r="CG46" s="9" t="s">
        <v>80</v>
      </c>
      <c r="CH46" s="9" t="s">
        <v>348</v>
      </c>
      <c r="CI46" s="9" t="s">
        <v>541</v>
      </c>
      <c r="CJ46" s="9" t="s">
        <v>80</v>
      </c>
      <c r="CK46" s="9" t="s">
        <v>348</v>
      </c>
      <c r="CL46" s="9" t="s">
        <v>541</v>
      </c>
      <c r="CM46" s="9" t="s">
        <v>77</v>
      </c>
      <c r="CN46" s="9" t="s">
        <v>77</v>
      </c>
      <c r="CO46" s="9" t="s">
        <v>78</v>
      </c>
      <c r="CS46" s="9" t="s">
        <v>80</v>
      </c>
      <c r="CT46" s="9" t="s">
        <v>348</v>
      </c>
      <c r="CU46" s="9" t="s">
        <v>541</v>
      </c>
      <c r="CV46" s="9" t="s">
        <v>80</v>
      </c>
      <c r="CW46" s="9" t="s">
        <v>348</v>
      </c>
      <c r="CX46" s="9" t="s">
        <v>541</v>
      </c>
      <c r="CY46" s="9" t="s">
        <v>77</v>
      </c>
      <c r="CZ46" s="9" t="s">
        <v>77</v>
      </c>
      <c r="DA46" s="9" t="s">
        <v>78</v>
      </c>
      <c r="DE46" s="9" t="s">
        <v>77</v>
      </c>
      <c r="DF46" s="9" t="s">
        <v>78</v>
      </c>
      <c r="DG46" s="9" t="s">
        <v>78</v>
      </c>
      <c r="DH46" s="9" t="s">
        <v>78</v>
      </c>
      <c r="DI46" s="9" t="s">
        <v>541</v>
      </c>
      <c r="DJ46" s="9" t="s">
        <v>77</v>
      </c>
      <c r="DK46" s="9" t="s">
        <v>77</v>
      </c>
      <c r="DN46" s="9" t="s">
        <v>77</v>
      </c>
      <c r="DO46" s="9" t="s">
        <v>77</v>
      </c>
      <c r="DP46" s="9" t="s">
        <v>80</v>
      </c>
      <c r="DQ46" s="9" t="s">
        <v>438</v>
      </c>
      <c r="DR46" s="9" t="s">
        <v>77</v>
      </c>
      <c r="DS46" s="9" t="s">
        <v>78</v>
      </c>
      <c r="DT46" s="9" t="s">
        <v>349</v>
      </c>
      <c r="DU46" s="9" t="s">
        <v>78</v>
      </c>
      <c r="DV46" s="9" t="s">
        <v>77</v>
      </c>
      <c r="DZ46" s="9" t="s">
        <v>77</v>
      </c>
      <c r="EA46" s="9" t="s">
        <v>77</v>
      </c>
      <c r="EB46" s="9" t="s">
        <v>80</v>
      </c>
      <c r="EC46" s="9" t="s">
        <v>438</v>
      </c>
      <c r="ED46" s="9" t="s">
        <v>77</v>
      </c>
      <c r="EE46" s="9" t="s">
        <v>78</v>
      </c>
      <c r="EF46" s="9" t="s">
        <v>349</v>
      </c>
      <c r="EG46" s="9" t="s">
        <v>78</v>
      </c>
      <c r="EH46" s="9" t="s">
        <v>77</v>
      </c>
      <c r="EL46" s="9" t="s">
        <v>77</v>
      </c>
      <c r="EM46" s="9" t="s">
        <v>77</v>
      </c>
      <c r="EN46" s="9" t="s">
        <v>80</v>
      </c>
      <c r="EO46" s="9" t="s">
        <v>438</v>
      </c>
      <c r="EP46" s="9" t="s">
        <v>77</v>
      </c>
      <c r="EQ46" s="9" t="s">
        <v>78</v>
      </c>
      <c r="ER46" s="9" t="s">
        <v>349</v>
      </c>
      <c r="ES46" s="9" t="s">
        <v>78</v>
      </c>
      <c r="ET46" s="9" t="s">
        <v>77</v>
      </c>
      <c r="EX46" s="9" t="s">
        <v>77</v>
      </c>
      <c r="EY46" s="9" t="s">
        <v>77</v>
      </c>
      <c r="EZ46" s="9" t="s">
        <v>80</v>
      </c>
      <c r="FA46" s="9" t="s">
        <v>438</v>
      </c>
      <c r="FB46" s="9" t="s">
        <v>77</v>
      </c>
      <c r="FC46" s="9" t="s">
        <v>78</v>
      </c>
      <c r="FD46" s="9" t="s">
        <v>349</v>
      </c>
      <c r="FE46" s="9" t="s">
        <v>78</v>
      </c>
      <c r="FF46" s="9" t="s">
        <v>77</v>
      </c>
    </row>
    <row r="47" spans="50:162">
      <c r="AX47" s="9" t="s">
        <v>77</v>
      </c>
      <c r="AY47" s="9" t="s">
        <v>77</v>
      </c>
      <c r="AZ47" s="9" t="s">
        <v>80</v>
      </c>
      <c r="BA47" s="9" t="s">
        <v>438</v>
      </c>
      <c r="BB47" s="9" t="s">
        <v>79</v>
      </c>
      <c r="BC47" s="9" t="s">
        <v>78</v>
      </c>
      <c r="BD47" s="9" t="s">
        <v>349</v>
      </c>
      <c r="BE47" s="9" t="s">
        <v>78</v>
      </c>
      <c r="BF47" s="9" t="s">
        <v>77</v>
      </c>
      <c r="BI47" s="9" t="s">
        <v>77</v>
      </c>
      <c r="BJ47" s="9" t="s">
        <v>80</v>
      </c>
      <c r="BK47" s="9" t="s">
        <v>348</v>
      </c>
      <c r="BL47" s="9" t="s">
        <v>542</v>
      </c>
      <c r="BM47" s="9" t="s">
        <v>80</v>
      </c>
      <c r="BN47" s="9" t="s">
        <v>348</v>
      </c>
      <c r="BO47" s="9" t="s">
        <v>542</v>
      </c>
      <c r="BP47" s="9" t="s">
        <v>77</v>
      </c>
      <c r="BQ47" s="9" t="s">
        <v>77</v>
      </c>
      <c r="BR47" s="9" t="s">
        <v>77</v>
      </c>
      <c r="BS47" s="9" t="s">
        <v>77</v>
      </c>
      <c r="BT47" s="9" t="s">
        <v>77</v>
      </c>
      <c r="BU47" s="9" t="s">
        <v>77</v>
      </c>
      <c r="BV47" s="9" t="s">
        <v>78</v>
      </c>
      <c r="BW47" s="9" t="s">
        <v>78</v>
      </c>
      <c r="BX47" s="9" t="s">
        <v>78</v>
      </c>
      <c r="CB47" s="9" t="s">
        <v>77</v>
      </c>
      <c r="CC47" s="9" t="s">
        <v>80</v>
      </c>
      <c r="CD47" s="9" t="s">
        <v>77</v>
      </c>
      <c r="CE47" s="9" t="s">
        <v>77</v>
      </c>
      <c r="CF47" s="9" t="s">
        <v>77</v>
      </c>
      <c r="CG47" s="9" t="s">
        <v>80</v>
      </c>
      <c r="CH47" s="9" t="s">
        <v>348</v>
      </c>
      <c r="CI47" s="9" t="s">
        <v>542</v>
      </c>
      <c r="CJ47" s="9" t="s">
        <v>80</v>
      </c>
      <c r="CK47" s="9" t="s">
        <v>348</v>
      </c>
      <c r="CL47" s="9" t="s">
        <v>542</v>
      </c>
      <c r="CM47" s="9" t="s">
        <v>77</v>
      </c>
      <c r="CN47" s="9" t="s">
        <v>77</v>
      </c>
      <c r="CO47" s="9" t="s">
        <v>78</v>
      </c>
      <c r="CS47" s="9" t="s">
        <v>80</v>
      </c>
      <c r="CT47" s="9" t="s">
        <v>348</v>
      </c>
      <c r="CU47" s="9" t="s">
        <v>542</v>
      </c>
      <c r="CV47" s="9" t="s">
        <v>80</v>
      </c>
      <c r="CW47" s="9" t="s">
        <v>348</v>
      </c>
      <c r="CX47" s="9" t="s">
        <v>542</v>
      </c>
      <c r="CY47" s="9" t="s">
        <v>77</v>
      </c>
      <c r="CZ47" s="9" t="s">
        <v>77</v>
      </c>
      <c r="DA47" s="9" t="s">
        <v>78</v>
      </c>
      <c r="DE47" s="9" t="s">
        <v>77</v>
      </c>
      <c r="DF47" s="9" t="s">
        <v>78</v>
      </c>
      <c r="DG47" s="9" t="s">
        <v>78</v>
      </c>
      <c r="DH47" s="9" t="s">
        <v>78</v>
      </c>
      <c r="DI47" s="9" t="s">
        <v>543</v>
      </c>
      <c r="DJ47" s="9" t="s">
        <v>77</v>
      </c>
      <c r="DK47" s="9" t="s">
        <v>77</v>
      </c>
      <c r="DN47" s="9" t="s">
        <v>77</v>
      </c>
      <c r="DO47" s="9" t="s">
        <v>77</v>
      </c>
      <c r="DP47" s="9" t="s">
        <v>80</v>
      </c>
      <c r="DQ47" s="9" t="s">
        <v>438</v>
      </c>
      <c r="DR47" s="9" t="s">
        <v>77</v>
      </c>
      <c r="DS47" s="9" t="s">
        <v>78</v>
      </c>
      <c r="DT47" s="9" t="s">
        <v>349</v>
      </c>
      <c r="DU47" s="9" t="s">
        <v>78</v>
      </c>
      <c r="DV47" s="9" t="s">
        <v>77</v>
      </c>
      <c r="DZ47" s="9" t="s">
        <v>77</v>
      </c>
      <c r="EA47" s="9" t="s">
        <v>77</v>
      </c>
      <c r="EB47" s="9" t="s">
        <v>80</v>
      </c>
      <c r="EC47" s="9" t="s">
        <v>438</v>
      </c>
      <c r="ED47" s="9" t="s">
        <v>77</v>
      </c>
      <c r="EE47" s="9" t="s">
        <v>78</v>
      </c>
      <c r="EF47" s="9" t="s">
        <v>349</v>
      </c>
      <c r="EG47" s="9" t="s">
        <v>78</v>
      </c>
      <c r="EH47" s="9" t="s">
        <v>77</v>
      </c>
      <c r="EL47" s="9" t="s">
        <v>77</v>
      </c>
      <c r="EM47" s="9" t="s">
        <v>77</v>
      </c>
      <c r="EN47" s="9" t="s">
        <v>80</v>
      </c>
      <c r="EO47" s="9" t="s">
        <v>438</v>
      </c>
      <c r="EP47" s="9" t="s">
        <v>77</v>
      </c>
      <c r="EQ47" s="9" t="s">
        <v>78</v>
      </c>
      <c r="ER47" s="9" t="s">
        <v>349</v>
      </c>
      <c r="ES47" s="9" t="s">
        <v>78</v>
      </c>
      <c r="ET47" s="9" t="s">
        <v>77</v>
      </c>
      <c r="EX47" s="9" t="s">
        <v>77</v>
      </c>
      <c r="EY47" s="9" t="s">
        <v>77</v>
      </c>
      <c r="EZ47" s="9" t="s">
        <v>80</v>
      </c>
      <c r="FA47" s="9" t="s">
        <v>438</v>
      </c>
      <c r="FB47" s="9" t="s">
        <v>77</v>
      </c>
      <c r="FC47" s="9" t="s">
        <v>78</v>
      </c>
      <c r="FD47" s="9" t="s">
        <v>349</v>
      </c>
      <c r="FE47" s="9" t="s">
        <v>78</v>
      </c>
      <c r="FF47" s="9" t="s">
        <v>77</v>
      </c>
    </row>
    <row r="48" spans="50:162">
      <c r="AX48" s="9" t="s">
        <v>77</v>
      </c>
      <c r="AY48" s="9" t="s">
        <v>77</v>
      </c>
      <c r="AZ48" s="9" t="s">
        <v>80</v>
      </c>
      <c r="BA48" s="9" t="s">
        <v>438</v>
      </c>
      <c r="BB48" s="9" t="s">
        <v>79</v>
      </c>
      <c r="BC48" s="9" t="s">
        <v>78</v>
      </c>
      <c r="BD48" s="9" t="s">
        <v>349</v>
      </c>
      <c r="BE48" s="9" t="s">
        <v>78</v>
      </c>
      <c r="BF48" s="9" t="s">
        <v>77</v>
      </c>
      <c r="BI48" s="9" t="s">
        <v>77</v>
      </c>
      <c r="BJ48" s="9" t="s">
        <v>80</v>
      </c>
      <c r="BK48" s="9" t="s">
        <v>348</v>
      </c>
      <c r="BL48" s="9" t="s">
        <v>544</v>
      </c>
      <c r="BM48" s="9" t="s">
        <v>80</v>
      </c>
      <c r="BN48" s="9" t="s">
        <v>348</v>
      </c>
      <c r="BO48" s="9" t="s">
        <v>544</v>
      </c>
      <c r="BP48" s="9" t="s">
        <v>77</v>
      </c>
      <c r="BQ48" s="9" t="s">
        <v>77</v>
      </c>
      <c r="BR48" s="9" t="s">
        <v>77</v>
      </c>
      <c r="BS48" s="9" t="s">
        <v>77</v>
      </c>
      <c r="BT48" s="9" t="s">
        <v>77</v>
      </c>
      <c r="BU48" s="9" t="s">
        <v>77</v>
      </c>
      <c r="BV48" s="9" t="s">
        <v>78</v>
      </c>
      <c r="BW48" s="9" t="s">
        <v>78</v>
      </c>
      <c r="BX48" s="9" t="s">
        <v>78</v>
      </c>
      <c r="CB48" s="9" t="s">
        <v>77</v>
      </c>
      <c r="CC48" s="9" t="s">
        <v>80</v>
      </c>
      <c r="CD48" s="9" t="s">
        <v>77</v>
      </c>
      <c r="CE48" s="9" t="s">
        <v>77</v>
      </c>
      <c r="CF48" s="9" t="s">
        <v>77</v>
      </c>
      <c r="CG48" s="9" t="s">
        <v>80</v>
      </c>
      <c r="CH48" s="9" t="s">
        <v>348</v>
      </c>
      <c r="CI48" s="9" t="s">
        <v>545</v>
      </c>
      <c r="CJ48" s="9" t="s">
        <v>80</v>
      </c>
      <c r="CK48" s="9" t="s">
        <v>348</v>
      </c>
      <c r="CL48" s="9" t="s">
        <v>545</v>
      </c>
      <c r="CM48" s="9" t="s">
        <v>77</v>
      </c>
      <c r="CN48" s="9" t="s">
        <v>77</v>
      </c>
      <c r="CO48" s="9" t="s">
        <v>78</v>
      </c>
      <c r="CS48" s="9" t="s">
        <v>80</v>
      </c>
      <c r="CT48" s="9" t="s">
        <v>348</v>
      </c>
      <c r="CU48" s="9" t="s">
        <v>544</v>
      </c>
      <c r="CV48" s="9" t="s">
        <v>80</v>
      </c>
      <c r="CW48" s="9" t="s">
        <v>348</v>
      </c>
      <c r="CX48" s="9" t="s">
        <v>544</v>
      </c>
      <c r="CY48" s="9" t="s">
        <v>77</v>
      </c>
      <c r="CZ48" s="9" t="s">
        <v>77</v>
      </c>
      <c r="DA48" s="9" t="s">
        <v>78</v>
      </c>
      <c r="DE48" s="9" t="s">
        <v>77</v>
      </c>
      <c r="DF48" s="9" t="s">
        <v>78</v>
      </c>
      <c r="DG48" s="9" t="s">
        <v>78</v>
      </c>
      <c r="DH48" s="9" t="s">
        <v>78</v>
      </c>
      <c r="DI48" s="9" t="s">
        <v>546</v>
      </c>
      <c r="DJ48" s="9" t="s">
        <v>77</v>
      </c>
      <c r="DK48" s="9" t="s">
        <v>77</v>
      </c>
      <c r="DN48" s="9" t="s">
        <v>77</v>
      </c>
      <c r="DO48" s="9" t="s">
        <v>77</v>
      </c>
      <c r="DP48" s="9" t="s">
        <v>80</v>
      </c>
      <c r="DQ48" s="9" t="s">
        <v>438</v>
      </c>
      <c r="DR48" s="9" t="s">
        <v>77</v>
      </c>
      <c r="DS48" s="9" t="s">
        <v>78</v>
      </c>
      <c r="DT48" s="9" t="s">
        <v>349</v>
      </c>
      <c r="DU48" s="9" t="s">
        <v>78</v>
      </c>
      <c r="DV48" s="9" t="s">
        <v>77</v>
      </c>
      <c r="DZ48" s="9" t="s">
        <v>77</v>
      </c>
      <c r="EA48" s="9" t="s">
        <v>77</v>
      </c>
      <c r="EB48" s="9" t="s">
        <v>80</v>
      </c>
      <c r="EC48" s="9" t="s">
        <v>438</v>
      </c>
      <c r="ED48" s="9" t="s">
        <v>77</v>
      </c>
      <c r="EE48" s="9" t="s">
        <v>78</v>
      </c>
      <c r="EF48" s="9" t="s">
        <v>349</v>
      </c>
      <c r="EG48" s="9" t="s">
        <v>78</v>
      </c>
      <c r="EH48" s="9" t="s">
        <v>77</v>
      </c>
      <c r="EL48" s="9" t="s">
        <v>77</v>
      </c>
      <c r="EM48" s="9" t="s">
        <v>77</v>
      </c>
      <c r="EN48" s="9" t="s">
        <v>80</v>
      </c>
      <c r="EO48" s="9" t="s">
        <v>438</v>
      </c>
      <c r="EP48" s="9" t="s">
        <v>77</v>
      </c>
      <c r="EQ48" s="9" t="s">
        <v>78</v>
      </c>
      <c r="ER48" s="9" t="s">
        <v>349</v>
      </c>
      <c r="ES48" s="9" t="s">
        <v>78</v>
      </c>
      <c r="ET48" s="9" t="s">
        <v>77</v>
      </c>
      <c r="EX48" s="9" t="s">
        <v>77</v>
      </c>
      <c r="EY48" s="9" t="s">
        <v>77</v>
      </c>
      <c r="EZ48" s="9" t="s">
        <v>80</v>
      </c>
      <c r="FA48" s="9" t="s">
        <v>438</v>
      </c>
      <c r="FB48" s="9" t="s">
        <v>77</v>
      </c>
      <c r="FC48" s="9" t="s">
        <v>78</v>
      </c>
      <c r="FD48" s="9" t="s">
        <v>349</v>
      </c>
      <c r="FE48" s="9" t="s">
        <v>78</v>
      </c>
      <c r="FF48" s="9" t="s">
        <v>77</v>
      </c>
    </row>
    <row r="49" spans="50:162">
      <c r="AX49" s="9" t="s">
        <v>77</v>
      </c>
      <c r="AY49" s="9" t="s">
        <v>77</v>
      </c>
      <c r="AZ49" s="9" t="s">
        <v>80</v>
      </c>
      <c r="BA49" s="9" t="s">
        <v>438</v>
      </c>
      <c r="BB49" s="9" t="s">
        <v>79</v>
      </c>
      <c r="BC49" s="9" t="s">
        <v>78</v>
      </c>
      <c r="BD49" s="9" t="s">
        <v>349</v>
      </c>
      <c r="BE49" s="9" t="s">
        <v>78</v>
      </c>
      <c r="BF49" s="9" t="s">
        <v>77</v>
      </c>
      <c r="BI49" s="9" t="s">
        <v>77</v>
      </c>
      <c r="BJ49" s="9" t="s">
        <v>80</v>
      </c>
      <c r="BK49" s="9" t="s">
        <v>348</v>
      </c>
      <c r="BL49" s="9" t="s">
        <v>547</v>
      </c>
      <c r="BM49" s="9" t="s">
        <v>80</v>
      </c>
      <c r="BN49" s="9" t="s">
        <v>348</v>
      </c>
      <c r="BO49" s="9" t="s">
        <v>547</v>
      </c>
      <c r="BP49" s="9" t="s">
        <v>77</v>
      </c>
      <c r="BQ49" s="9" t="s">
        <v>77</v>
      </c>
      <c r="BR49" s="9" t="s">
        <v>77</v>
      </c>
      <c r="BS49" s="9" t="s">
        <v>77</v>
      </c>
      <c r="BT49" s="9" t="s">
        <v>77</v>
      </c>
      <c r="BU49" s="9" t="s">
        <v>77</v>
      </c>
      <c r="BV49" s="9" t="s">
        <v>78</v>
      </c>
      <c r="BW49" s="9" t="s">
        <v>78</v>
      </c>
      <c r="BX49" s="9" t="s">
        <v>78</v>
      </c>
      <c r="CB49" s="9" t="s">
        <v>77</v>
      </c>
      <c r="CC49" s="9" t="s">
        <v>80</v>
      </c>
      <c r="CD49" s="9" t="s">
        <v>77</v>
      </c>
      <c r="CE49" s="9" t="s">
        <v>77</v>
      </c>
      <c r="CF49" s="9" t="s">
        <v>77</v>
      </c>
      <c r="CG49" s="9" t="s">
        <v>80</v>
      </c>
      <c r="CH49" s="9" t="s">
        <v>348</v>
      </c>
      <c r="CI49" s="9" t="s">
        <v>548</v>
      </c>
      <c r="CJ49" s="9" t="s">
        <v>80</v>
      </c>
      <c r="CK49" s="9" t="s">
        <v>348</v>
      </c>
      <c r="CL49" s="9" t="s">
        <v>548</v>
      </c>
      <c r="CM49" s="9" t="s">
        <v>77</v>
      </c>
      <c r="CN49" s="9" t="s">
        <v>77</v>
      </c>
      <c r="CO49" s="9" t="s">
        <v>78</v>
      </c>
      <c r="CS49" s="9" t="s">
        <v>80</v>
      </c>
      <c r="CT49" s="9" t="s">
        <v>348</v>
      </c>
      <c r="CU49" s="9" t="s">
        <v>547</v>
      </c>
      <c r="CV49" s="9" t="s">
        <v>80</v>
      </c>
      <c r="CW49" s="9" t="s">
        <v>348</v>
      </c>
      <c r="CX49" s="9" t="s">
        <v>547</v>
      </c>
      <c r="CY49" s="9" t="s">
        <v>77</v>
      </c>
      <c r="CZ49" s="9" t="s">
        <v>77</v>
      </c>
      <c r="DA49" s="9" t="s">
        <v>78</v>
      </c>
      <c r="DE49" s="9" t="s">
        <v>77</v>
      </c>
      <c r="DF49" s="9" t="s">
        <v>78</v>
      </c>
      <c r="DG49" s="9" t="s">
        <v>78</v>
      </c>
      <c r="DH49" s="9" t="s">
        <v>78</v>
      </c>
      <c r="DI49" s="9" t="s">
        <v>549</v>
      </c>
      <c r="DJ49" s="9" t="s">
        <v>77</v>
      </c>
      <c r="DK49" s="9" t="s">
        <v>77</v>
      </c>
      <c r="DN49" s="9" t="s">
        <v>77</v>
      </c>
      <c r="DO49" s="9" t="s">
        <v>77</v>
      </c>
      <c r="DP49" s="9" t="s">
        <v>80</v>
      </c>
      <c r="DQ49" s="9" t="s">
        <v>438</v>
      </c>
      <c r="DR49" s="9" t="s">
        <v>77</v>
      </c>
      <c r="DS49" s="9" t="s">
        <v>78</v>
      </c>
      <c r="DT49" s="9" t="s">
        <v>349</v>
      </c>
      <c r="DU49" s="9" t="s">
        <v>78</v>
      </c>
      <c r="DV49" s="9" t="s">
        <v>77</v>
      </c>
      <c r="DZ49" s="9" t="s">
        <v>77</v>
      </c>
      <c r="EA49" s="9" t="s">
        <v>77</v>
      </c>
      <c r="EB49" s="9" t="s">
        <v>80</v>
      </c>
      <c r="EC49" s="9" t="s">
        <v>438</v>
      </c>
      <c r="ED49" s="9" t="s">
        <v>77</v>
      </c>
      <c r="EE49" s="9" t="s">
        <v>78</v>
      </c>
      <c r="EF49" s="9" t="s">
        <v>349</v>
      </c>
      <c r="EG49" s="9" t="s">
        <v>78</v>
      </c>
      <c r="EH49" s="9" t="s">
        <v>77</v>
      </c>
      <c r="EL49" s="9" t="s">
        <v>77</v>
      </c>
      <c r="EM49" s="9" t="s">
        <v>77</v>
      </c>
      <c r="EN49" s="9" t="s">
        <v>80</v>
      </c>
      <c r="EO49" s="9" t="s">
        <v>438</v>
      </c>
      <c r="EP49" s="9" t="s">
        <v>77</v>
      </c>
      <c r="EQ49" s="9" t="s">
        <v>78</v>
      </c>
      <c r="ER49" s="9" t="s">
        <v>349</v>
      </c>
      <c r="ES49" s="9" t="s">
        <v>78</v>
      </c>
      <c r="ET49" s="9" t="s">
        <v>77</v>
      </c>
      <c r="EX49" s="9" t="s">
        <v>77</v>
      </c>
      <c r="EY49" s="9" t="s">
        <v>77</v>
      </c>
      <c r="EZ49" s="9" t="s">
        <v>80</v>
      </c>
      <c r="FA49" s="9" t="s">
        <v>438</v>
      </c>
      <c r="FB49" s="9" t="s">
        <v>77</v>
      </c>
      <c r="FC49" s="9" t="s">
        <v>78</v>
      </c>
      <c r="FD49" s="9" t="s">
        <v>349</v>
      </c>
      <c r="FE49" s="9" t="s">
        <v>78</v>
      </c>
      <c r="FF49" s="9" t="s">
        <v>77</v>
      </c>
    </row>
    <row r="50" spans="50:162">
      <c r="AX50" s="9" t="s">
        <v>77</v>
      </c>
      <c r="AY50" s="9" t="s">
        <v>77</v>
      </c>
      <c r="AZ50" s="9" t="s">
        <v>80</v>
      </c>
      <c r="BA50" s="9" t="s">
        <v>438</v>
      </c>
      <c r="BB50" s="9" t="s">
        <v>79</v>
      </c>
      <c r="BC50" s="9" t="s">
        <v>78</v>
      </c>
      <c r="BD50" s="9" t="s">
        <v>349</v>
      </c>
      <c r="BE50" s="9" t="s">
        <v>78</v>
      </c>
      <c r="BF50" s="9" t="s">
        <v>77</v>
      </c>
      <c r="BI50" s="9" t="s">
        <v>77</v>
      </c>
      <c r="BJ50" s="9" t="s">
        <v>80</v>
      </c>
      <c r="BK50" s="9" t="s">
        <v>348</v>
      </c>
      <c r="BL50" s="9" t="s">
        <v>550</v>
      </c>
      <c r="BM50" s="9" t="s">
        <v>80</v>
      </c>
      <c r="BN50" s="9" t="s">
        <v>348</v>
      </c>
      <c r="BO50" s="9" t="s">
        <v>550</v>
      </c>
      <c r="BP50" s="9" t="s">
        <v>77</v>
      </c>
      <c r="BQ50" s="9" t="s">
        <v>77</v>
      </c>
      <c r="BR50" s="9" t="s">
        <v>77</v>
      </c>
      <c r="BS50" s="9" t="s">
        <v>77</v>
      </c>
      <c r="BT50" s="9" t="s">
        <v>77</v>
      </c>
      <c r="BU50" s="9" t="s">
        <v>77</v>
      </c>
      <c r="BV50" s="9" t="s">
        <v>78</v>
      </c>
      <c r="BW50" s="9" t="s">
        <v>78</v>
      </c>
      <c r="BX50" s="9" t="s">
        <v>78</v>
      </c>
      <c r="CB50" s="9" t="s">
        <v>77</v>
      </c>
      <c r="CC50" s="9" t="s">
        <v>80</v>
      </c>
      <c r="CD50" s="9" t="s">
        <v>77</v>
      </c>
      <c r="CE50" s="9" t="s">
        <v>77</v>
      </c>
      <c r="CF50" s="9" t="s">
        <v>77</v>
      </c>
      <c r="CG50" s="9" t="s">
        <v>80</v>
      </c>
      <c r="CH50" s="9" t="s">
        <v>348</v>
      </c>
      <c r="CI50" s="9" t="s">
        <v>551</v>
      </c>
      <c r="CJ50" s="9" t="s">
        <v>80</v>
      </c>
      <c r="CK50" s="9" t="s">
        <v>348</v>
      </c>
      <c r="CL50" s="9" t="s">
        <v>551</v>
      </c>
      <c r="CM50" s="9" t="s">
        <v>77</v>
      </c>
      <c r="CN50" s="9" t="s">
        <v>77</v>
      </c>
      <c r="CO50" s="9" t="s">
        <v>78</v>
      </c>
      <c r="CS50" s="9" t="s">
        <v>80</v>
      </c>
      <c r="CT50" s="9" t="s">
        <v>348</v>
      </c>
      <c r="CU50" s="9" t="s">
        <v>550</v>
      </c>
      <c r="CV50" s="9" t="s">
        <v>80</v>
      </c>
      <c r="CW50" s="9" t="s">
        <v>348</v>
      </c>
      <c r="CX50" s="9" t="s">
        <v>550</v>
      </c>
      <c r="CY50" s="9" t="s">
        <v>77</v>
      </c>
      <c r="CZ50" s="9" t="s">
        <v>77</v>
      </c>
      <c r="DA50" s="9" t="s">
        <v>78</v>
      </c>
      <c r="DE50" s="9" t="s">
        <v>77</v>
      </c>
      <c r="DF50" s="9" t="s">
        <v>78</v>
      </c>
      <c r="DG50" s="9" t="s">
        <v>78</v>
      </c>
      <c r="DH50" s="9" t="s">
        <v>78</v>
      </c>
      <c r="DI50" s="9" t="s">
        <v>552</v>
      </c>
      <c r="DJ50" s="9" t="s">
        <v>77</v>
      </c>
      <c r="DK50" s="9" t="s">
        <v>77</v>
      </c>
      <c r="DN50" s="9" t="s">
        <v>77</v>
      </c>
      <c r="DO50" s="9" t="s">
        <v>77</v>
      </c>
      <c r="DP50" s="9" t="s">
        <v>80</v>
      </c>
      <c r="DQ50" s="9" t="s">
        <v>438</v>
      </c>
      <c r="DR50" s="9" t="s">
        <v>77</v>
      </c>
      <c r="DS50" s="9" t="s">
        <v>78</v>
      </c>
      <c r="DT50" s="9" t="s">
        <v>349</v>
      </c>
      <c r="DU50" s="9" t="s">
        <v>78</v>
      </c>
      <c r="DV50" s="9" t="s">
        <v>77</v>
      </c>
      <c r="DZ50" s="9" t="s">
        <v>77</v>
      </c>
      <c r="EA50" s="9" t="s">
        <v>77</v>
      </c>
      <c r="EB50" s="9" t="s">
        <v>80</v>
      </c>
      <c r="EC50" s="9" t="s">
        <v>438</v>
      </c>
      <c r="ED50" s="9" t="s">
        <v>77</v>
      </c>
      <c r="EE50" s="9" t="s">
        <v>78</v>
      </c>
      <c r="EF50" s="9" t="s">
        <v>349</v>
      </c>
      <c r="EG50" s="9" t="s">
        <v>78</v>
      </c>
      <c r="EH50" s="9" t="s">
        <v>77</v>
      </c>
      <c r="EL50" s="9" t="s">
        <v>77</v>
      </c>
      <c r="EM50" s="9" t="s">
        <v>77</v>
      </c>
      <c r="EN50" s="9" t="s">
        <v>80</v>
      </c>
      <c r="EO50" s="9" t="s">
        <v>438</v>
      </c>
      <c r="EP50" s="9" t="s">
        <v>77</v>
      </c>
      <c r="EQ50" s="9" t="s">
        <v>78</v>
      </c>
      <c r="ER50" s="9" t="s">
        <v>349</v>
      </c>
      <c r="ES50" s="9" t="s">
        <v>78</v>
      </c>
      <c r="ET50" s="9" t="s">
        <v>77</v>
      </c>
      <c r="EX50" s="9" t="s">
        <v>77</v>
      </c>
      <c r="EY50" s="9" t="s">
        <v>77</v>
      </c>
      <c r="EZ50" s="9" t="s">
        <v>80</v>
      </c>
      <c r="FA50" s="9" t="s">
        <v>438</v>
      </c>
      <c r="FB50" s="9" t="s">
        <v>77</v>
      </c>
      <c r="FC50" s="9" t="s">
        <v>78</v>
      </c>
      <c r="FD50" s="9" t="s">
        <v>349</v>
      </c>
      <c r="FE50" s="9" t="s">
        <v>78</v>
      </c>
      <c r="FF50" s="9" t="s">
        <v>77</v>
      </c>
    </row>
    <row r="51" spans="50:162">
      <c r="AX51" s="9" t="s">
        <v>77</v>
      </c>
      <c r="AY51" s="9" t="s">
        <v>77</v>
      </c>
      <c r="AZ51" s="9" t="s">
        <v>80</v>
      </c>
      <c r="BA51" s="9" t="s">
        <v>438</v>
      </c>
      <c r="BB51" s="9" t="s">
        <v>79</v>
      </c>
      <c r="BC51" s="9" t="s">
        <v>78</v>
      </c>
      <c r="BD51" s="9" t="s">
        <v>349</v>
      </c>
      <c r="BE51" s="9" t="s">
        <v>78</v>
      </c>
      <c r="BF51" s="9" t="s">
        <v>77</v>
      </c>
      <c r="BI51" s="9" t="s">
        <v>77</v>
      </c>
      <c r="BJ51" s="9" t="s">
        <v>80</v>
      </c>
      <c r="BK51" s="9" t="s">
        <v>348</v>
      </c>
      <c r="BL51" s="9" t="s">
        <v>553</v>
      </c>
      <c r="BM51" s="9" t="s">
        <v>80</v>
      </c>
      <c r="BN51" s="9" t="s">
        <v>348</v>
      </c>
      <c r="BO51" s="9" t="s">
        <v>553</v>
      </c>
      <c r="BP51" s="9" t="s">
        <v>77</v>
      </c>
      <c r="BQ51" s="9" t="s">
        <v>77</v>
      </c>
      <c r="BR51" s="9" t="s">
        <v>77</v>
      </c>
      <c r="BS51" s="9" t="s">
        <v>77</v>
      </c>
      <c r="BT51" s="9" t="s">
        <v>77</v>
      </c>
      <c r="BU51" s="9" t="s">
        <v>77</v>
      </c>
      <c r="BV51" s="9" t="s">
        <v>78</v>
      </c>
      <c r="BW51" s="9" t="s">
        <v>78</v>
      </c>
      <c r="BX51" s="9" t="s">
        <v>78</v>
      </c>
      <c r="CB51" s="9" t="s">
        <v>77</v>
      </c>
      <c r="CC51" s="9" t="s">
        <v>80</v>
      </c>
      <c r="CD51" s="9" t="s">
        <v>77</v>
      </c>
      <c r="CE51" s="9" t="s">
        <v>77</v>
      </c>
      <c r="CF51" s="9" t="s">
        <v>77</v>
      </c>
      <c r="CG51" s="9" t="s">
        <v>80</v>
      </c>
      <c r="CH51" s="9" t="s">
        <v>348</v>
      </c>
      <c r="CI51" s="9" t="s">
        <v>554</v>
      </c>
      <c r="CJ51" s="9" t="s">
        <v>80</v>
      </c>
      <c r="CK51" s="9" t="s">
        <v>348</v>
      </c>
      <c r="CL51" s="9" t="s">
        <v>554</v>
      </c>
      <c r="CM51" s="9" t="s">
        <v>77</v>
      </c>
      <c r="CN51" s="9" t="s">
        <v>77</v>
      </c>
      <c r="CO51" s="9" t="s">
        <v>78</v>
      </c>
      <c r="CS51" s="9" t="s">
        <v>80</v>
      </c>
      <c r="CT51" s="9" t="s">
        <v>348</v>
      </c>
      <c r="CU51" s="9" t="s">
        <v>553</v>
      </c>
      <c r="CV51" s="9" t="s">
        <v>80</v>
      </c>
      <c r="CW51" s="9" t="s">
        <v>348</v>
      </c>
      <c r="CX51" s="9" t="s">
        <v>553</v>
      </c>
      <c r="CY51" s="9" t="s">
        <v>77</v>
      </c>
      <c r="CZ51" s="9" t="s">
        <v>77</v>
      </c>
      <c r="DA51" s="9" t="s">
        <v>78</v>
      </c>
      <c r="DE51" s="9" t="s">
        <v>77</v>
      </c>
      <c r="DF51" s="9" t="s">
        <v>78</v>
      </c>
      <c r="DG51" s="9" t="s">
        <v>78</v>
      </c>
      <c r="DH51" s="9" t="s">
        <v>78</v>
      </c>
      <c r="DI51" s="9" t="s">
        <v>555</v>
      </c>
      <c r="DJ51" s="9" t="s">
        <v>77</v>
      </c>
      <c r="DK51" s="9" t="s">
        <v>77</v>
      </c>
      <c r="DN51" s="9" t="s">
        <v>77</v>
      </c>
      <c r="DO51" s="9" t="s">
        <v>77</v>
      </c>
      <c r="DP51" s="9" t="s">
        <v>80</v>
      </c>
      <c r="DQ51" s="9" t="s">
        <v>438</v>
      </c>
      <c r="DR51" s="9" t="s">
        <v>77</v>
      </c>
      <c r="DS51" s="9" t="s">
        <v>78</v>
      </c>
      <c r="DT51" s="9" t="s">
        <v>349</v>
      </c>
      <c r="DU51" s="9" t="s">
        <v>78</v>
      </c>
      <c r="DV51" s="9" t="s">
        <v>77</v>
      </c>
      <c r="DZ51" s="9" t="s">
        <v>77</v>
      </c>
      <c r="EA51" s="9" t="s">
        <v>77</v>
      </c>
      <c r="EB51" s="9" t="s">
        <v>80</v>
      </c>
      <c r="EC51" s="9" t="s">
        <v>438</v>
      </c>
      <c r="ED51" s="9" t="s">
        <v>77</v>
      </c>
      <c r="EE51" s="9" t="s">
        <v>78</v>
      </c>
      <c r="EF51" s="9" t="s">
        <v>349</v>
      </c>
      <c r="EG51" s="9" t="s">
        <v>78</v>
      </c>
      <c r="EH51" s="9" t="s">
        <v>77</v>
      </c>
      <c r="EL51" s="9" t="s">
        <v>77</v>
      </c>
      <c r="EM51" s="9" t="s">
        <v>77</v>
      </c>
      <c r="EN51" s="9" t="s">
        <v>80</v>
      </c>
      <c r="EO51" s="9" t="s">
        <v>438</v>
      </c>
      <c r="EP51" s="9" t="s">
        <v>77</v>
      </c>
      <c r="EQ51" s="9" t="s">
        <v>78</v>
      </c>
      <c r="ER51" s="9" t="s">
        <v>349</v>
      </c>
      <c r="ES51" s="9" t="s">
        <v>78</v>
      </c>
      <c r="ET51" s="9" t="s">
        <v>77</v>
      </c>
      <c r="EX51" s="9" t="s">
        <v>77</v>
      </c>
      <c r="EY51" s="9" t="s">
        <v>77</v>
      </c>
      <c r="EZ51" s="9" t="s">
        <v>80</v>
      </c>
      <c r="FA51" s="9" t="s">
        <v>438</v>
      </c>
      <c r="FB51" s="9" t="s">
        <v>77</v>
      </c>
      <c r="FC51" s="9" t="s">
        <v>78</v>
      </c>
      <c r="FD51" s="9" t="s">
        <v>349</v>
      </c>
      <c r="FE51" s="9" t="s">
        <v>78</v>
      </c>
      <c r="FF51" s="9" t="s">
        <v>77</v>
      </c>
    </row>
    <row r="52" spans="50:162">
      <c r="AX52" s="9" t="s">
        <v>77</v>
      </c>
      <c r="AY52" s="9" t="s">
        <v>77</v>
      </c>
      <c r="AZ52" s="9" t="s">
        <v>80</v>
      </c>
      <c r="BA52" s="9" t="s">
        <v>438</v>
      </c>
      <c r="BB52" s="9" t="s">
        <v>79</v>
      </c>
      <c r="BC52" s="9" t="s">
        <v>78</v>
      </c>
      <c r="BD52" s="9" t="s">
        <v>349</v>
      </c>
      <c r="BE52" s="9" t="s">
        <v>78</v>
      </c>
      <c r="BF52" s="9" t="s">
        <v>77</v>
      </c>
      <c r="BI52" s="9" t="s">
        <v>77</v>
      </c>
      <c r="BJ52" s="9" t="s">
        <v>80</v>
      </c>
      <c r="BK52" s="9" t="s">
        <v>348</v>
      </c>
      <c r="BL52" s="9" t="s">
        <v>556</v>
      </c>
      <c r="BM52" s="9" t="s">
        <v>80</v>
      </c>
      <c r="BN52" s="9" t="s">
        <v>348</v>
      </c>
      <c r="BO52" s="9" t="s">
        <v>556</v>
      </c>
      <c r="BP52" s="9" t="s">
        <v>77</v>
      </c>
      <c r="BQ52" s="9" t="s">
        <v>77</v>
      </c>
      <c r="BR52" s="9" t="s">
        <v>77</v>
      </c>
      <c r="BS52" s="9" t="s">
        <v>77</v>
      </c>
      <c r="BT52" s="9" t="s">
        <v>77</v>
      </c>
      <c r="BU52" s="9" t="s">
        <v>77</v>
      </c>
      <c r="BV52" s="9" t="s">
        <v>78</v>
      </c>
      <c r="BW52" s="9" t="s">
        <v>78</v>
      </c>
      <c r="BX52" s="9" t="s">
        <v>78</v>
      </c>
      <c r="CB52" s="9" t="s">
        <v>77</v>
      </c>
      <c r="CC52" s="9" t="s">
        <v>80</v>
      </c>
      <c r="CD52" s="9" t="s">
        <v>77</v>
      </c>
      <c r="CE52" s="9" t="s">
        <v>77</v>
      </c>
      <c r="CF52" s="9" t="s">
        <v>77</v>
      </c>
      <c r="CG52" s="9" t="s">
        <v>80</v>
      </c>
      <c r="CH52" s="9" t="s">
        <v>348</v>
      </c>
      <c r="CI52" s="9" t="s">
        <v>557</v>
      </c>
      <c r="CJ52" s="9" t="s">
        <v>80</v>
      </c>
      <c r="CK52" s="9" t="s">
        <v>348</v>
      </c>
      <c r="CL52" s="9" t="s">
        <v>557</v>
      </c>
      <c r="CM52" s="9" t="s">
        <v>77</v>
      </c>
      <c r="CN52" s="9" t="s">
        <v>77</v>
      </c>
      <c r="CO52" s="9" t="s">
        <v>78</v>
      </c>
      <c r="CS52" s="9" t="s">
        <v>80</v>
      </c>
      <c r="CT52" s="9" t="s">
        <v>348</v>
      </c>
      <c r="CU52" s="9" t="s">
        <v>557</v>
      </c>
      <c r="CV52" s="9" t="s">
        <v>80</v>
      </c>
      <c r="CW52" s="9" t="s">
        <v>348</v>
      </c>
      <c r="CX52" s="9" t="s">
        <v>557</v>
      </c>
      <c r="CY52" s="9" t="s">
        <v>77</v>
      </c>
      <c r="CZ52" s="9" t="s">
        <v>77</v>
      </c>
      <c r="DA52" s="9" t="s">
        <v>78</v>
      </c>
      <c r="DE52" s="9" t="s">
        <v>77</v>
      </c>
      <c r="DF52" s="9" t="s">
        <v>78</v>
      </c>
      <c r="DG52" s="9" t="s">
        <v>78</v>
      </c>
      <c r="DH52" s="9" t="s">
        <v>78</v>
      </c>
      <c r="DI52" s="9" t="s">
        <v>556</v>
      </c>
      <c r="DJ52" s="9" t="s">
        <v>77</v>
      </c>
      <c r="DK52" s="9" t="s">
        <v>77</v>
      </c>
      <c r="DN52" s="9" t="s">
        <v>77</v>
      </c>
      <c r="DO52" s="9" t="s">
        <v>77</v>
      </c>
      <c r="DP52" s="9" t="s">
        <v>80</v>
      </c>
      <c r="DQ52" s="9" t="s">
        <v>438</v>
      </c>
      <c r="DR52" s="9" t="s">
        <v>77</v>
      </c>
      <c r="DS52" s="9" t="s">
        <v>78</v>
      </c>
      <c r="DT52" s="9" t="s">
        <v>349</v>
      </c>
      <c r="DU52" s="9" t="s">
        <v>78</v>
      </c>
      <c r="DV52" s="9" t="s">
        <v>77</v>
      </c>
      <c r="DZ52" s="9" t="s">
        <v>77</v>
      </c>
      <c r="EA52" s="9" t="s">
        <v>77</v>
      </c>
      <c r="EB52" s="9" t="s">
        <v>80</v>
      </c>
      <c r="EC52" s="9" t="s">
        <v>438</v>
      </c>
      <c r="ED52" s="9" t="s">
        <v>77</v>
      </c>
      <c r="EE52" s="9" t="s">
        <v>78</v>
      </c>
      <c r="EF52" s="9" t="s">
        <v>349</v>
      </c>
      <c r="EG52" s="9" t="s">
        <v>78</v>
      </c>
      <c r="EH52" s="9" t="s">
        <v>77</v>
      </c>
      <c r="EL52" s="9" t="s">
        <v>77</v>
      </c>
      <c r="EM52" s="9" t="s">
        <v>77</v>
      </c>
      <c r="EN52" s="9" t="s">
        <v>80</v>
      </c>
      <c r="EO52" s="9" t="s">
        <v>438</v>
      </c>
      <c r="EP52" s="9" t="s">
        <v>77</v>
      </c>
      <c r="EQ52" s="9" t="s">
        <v>78</v>
      </c>
      <c r="ER52" s="9" t="s">
        <v>349</v>
      </c>
      <c r="ES52" s="9" t="s">
        <v>78</v>
      </c>
      <c r="ET52" s="9" t="s">
        <v>77</v>
      </c>
      <c r="EX52" s="9" t="s">
        <v>77</v>
      </c>
      <c r="EY52" s="9" t="s">
        <v>77</v>
      </c>
      <c r="EZ52" s="9" t="s">
        <v>80</v>
      </c>
      <c r="FA52" s="9" t="s">
        <v>438</v>
      </c>
      <c r="FB52" s="9" t="s">
        <v>77</v>
      </c>
      <c r="FC52" s="9" t="s">
        <v>78</v>
      </c>
      <c r="FD52" s="9" t="s">
        <v>349</v>
      </c>
      <c r="FE52" s="9" t="s">
        <v>78</v>
      </c>
      <c r="FF52" s="9" t="s">
        <v>77</v>
      </c>
    </row>
    <row r="53" spans="50:162">
      <c r="AX53" s="9" t="s">
        <v>77</v>
      </c>
      <c r="AY53" s="9" t="s">
        <v>77</v>
      </c>
      <c r="AZ53" s="9" t="s">
        <v>80</v>
      </c>
      <c r="BA53" s="9" t="s">
        <v>438</v>
      </c>
      <c r="BB53" s="9" t="s">
        <v>79</v>
      </c>
      <c r="BC53" s="9" t="s">
        <v>78</v>
      </c>
      <c r="BD53" s="9" t="s">
        <v>349</v>
      </c>
      <c r="BE53" s="9" t="s">
        <v>78</v>
      </c>
      <c r="BF53" s="9" t="s">
        <v>77</v>
      </c>
      <c r="BI53" s="9" t="s">
        <v>77</v>
      </c>
      <c r="BJ53" s="9" t="s">
        <v>80</v>
      </c>
      <c r="BK53" s="9" t="s">
        <v>348</v>
      </c>
      <c r="BL53" s="9" t="s">
        <v>558</v>
      </c>
      <c r="BM53" s="9" t="s">
        <v>80</v>
      </c>
      <c r="BN53" s="9" t="s">
        <v>348</v>
      </c>
      <c r="BO53" s="9" t="s">
        <v>558</v>
      </c>
      <c r="BP53" s="9" t="s">
        <v>77</v>
      </c>
      <c r="BQ53" s="9" t="s">
        <v>77</v>
      </c>
      <c r="BR53" s="9" t="s">
        <v>77</v>
      </c>
      <c r="BS53" s="9" t="s">
        <v>77</v>
      </c>
      <c r="BT53" s="9" t="s">
        <v>77</v>
      </c>
      <c r="BU53" s="9" t="s">
        <v>77</v>
      </c>
      <c r="BV53" s="9" t="s">
        <v>78</v>
      </c>
      <c r="BW53" s="9" t="s">
        <v>78</v>
      </c>
      <c r="BX53" s="9" t="s">
        <v>78</v>
      </c>
      <c r="CB53" s="9" t="s">
        <v>77</v>
      </c>
      <c r="CC53" s="9" t="s">
        <v>80</v>
      </c>
      <c r="CD53" s="9" t="s">
        <v>77</v>
      </c>
      <c r="CE53" s="9" t="s">
        <v>77</v>
      </c>
      <c r="CF53" s="9" t="s">
        <v>77</v>
      </c>
      <c r="CG53" s="9" t="s">
        <v>80</v>
      </c>
      <c r="CH53" s="9" t="s">
        <v>348</v>
      </c>
      <c r="CI53" s="9" t="s">
        <v>559</v>
      </c>
      <c r="CJ53" s="9" t="s">
        <v>80</v>
      </c>
      <c r="CK53" s="9" t="s">
        <v>348</v>
      </c>
      <c r="CL53" s="9" t="s">
        <v>559</v>
      </c>
      <c r="CM53" s="9" t="s">
        <v>77</v>
      </c>
      <c r="CN53" s="9" t="s">
        <v>77</v>
      </c>
      <c r="CO53" s="9" t="s">
        <v>78</v>
      </c>
      <c r="CS53" s="9" t="s">
        <v>80</v>
      </c>
      <c r="CT53" s="9" t="s">
        <v>348</v>
      </c>
      <c r="CU53" s="9" t="s">
        <v>558</v>
      </c>
      <c r="CV53" s="9" t="s">
        <v>80</v>
      </c>
      <c r="CW53" s="9" t="s">
        <v>348</v>
      </c>
      <c r="CX53" s="9" t="s">
        <v>558</v>
      </c>
      <c r="CY53" s="9" t="s">
        <v>77</v>
      </c>
      <c r="CZ53" s="9" t="s">
        <v>77</v>
      </c>
      <c r="DA53" s="9" t="s">
        <v>78</v>
      </c>
      <c r="DE53" s="9" t="s">
        <v>77</v>
      </c>
      <c r="DF53" s="9" t="s">
        <v>78</v>
      </c>
      <c r="DG53" s="9" t="s">
        <v>78</v>
      </c>
      <c r="DH53" s="9" t="s">
        <v>78</v>
      </c>
      <c r="DI53" s="9" t="s">
        <v>558</v>
      </c>
      <c r="DJ53" s="9" t="s">
        <v>77</v>
      </c>
      <c r="DK53" s="9" t="s">
        <v>77</v>
      </c>
      <c r="DN53" s="9" t="s">
        <v>77</v>
      </c>
      <c r="DO53" s="9" t="s">
        <v>77</v>
      </c>
      <c r="DP53" s="9" t="s">
        <v>80</v>
      </c>
      <c r="DQ53" s="9" t="s">
        <v>438</v>
      </c>
      <c r="DR53" s="9" t="s">
        <v>77</v>
      </c>
      <c r="DS53" s="9" t="s">
        <v>78</v>
      </c>
      <c r="DT53" s="9" t="s">
        <v>349</v>
      </c>
      <c r="DU53" s="9" t="s">
        <v>78</v>
      </c>
      <c r="DV53" s="9" t="s">
        <v>77</v>
      </c>
      <c r="DZ53" s="9" t="s">
        <v>77</v>
      </c>
      <c r="EA53" s="9" t="s">
        <v>77</v>
      </c>
      <c r="EB53" s="9" t="s">
        <v>80</v>
      </c>
      <c r="EC53" s="9" t="s">
        <v>438</v>
      </c>
      <c r="ED53" s="9" t="s">
        <v>77</v>
      </c>
      <c r="EE53" s="9" t="s">
        <v>78</v>
      </c>
      <c r="EF53" s="9" t="s">
        <v>349</v>
      </c>
      <c r="EG53" s="9" t="s">
        <v>78</v>
      </c>
      <c r="EH53" s="9" t="s">
        <v>77</v>
      </c>
      <c r="EL53" s="9" t="s">
        <v>77</v>
      </c>
      <c r="EM53" s="9" t="s">
        <v>77</v>
      </c>
      <c r="EN53" s="9" t="s">
        <v>80</v>
      </c>
      <c r="EO53" s="9" t="s">
        <v>438</v>
      </c>
      <c r="EP53" s="9" t="s">
        <v>77</v>
      </c>
      <c r="EQ53" s="9" t="s">
        <v>78</v>
      </c>
      <c r="ER53" s="9" t="s">
        <v>349</v>
      </c>
      <c r="ES53" s="9" t="s">
        <v>78</v>
      </c>
      <c r="ET53" s="9" t="s">
        <v>77</v>
      </c>
      <c r="EX53" s="9" t="s">
        <v>77</v>
      </c>
      <c r="EY53" s="9" t="s">
        <v>77</v>
      </c>
      <c r="EZ53" s="9" t="s">
        <v>80</v>
      </c>
      <c r="FA53" s="9" t="s">
        <v>438</v>
      </c>
      <c r="FB53" s="9" t="s">
        <v>77</v>
      </c>
      <c r="FC53" s="9" t="s">
        <v>78</v>
      </c>
      <c r="FD53" s="9" t="s">
        <v>349</v>
      </c>
      <c r="FE53" s="9" t="s">
        <v>78</v>
      </c>
      <c r="FF53" s="9" t="s">
        <v>77</v>
      </c>
    </row>
    <row r="54" spans="50:162">
      <c r="AX54" s="9" t="s">
        <v>77</v>
      </c>
      <c r="AY54" s="9" t="s">
        <v>77</v>
      </c>
      <c r="AZ54" s="9" t="s">
        <v>80</v>
      </c>
      <c r="BA54" s="9" t="s">
        <v>438</v>
      </c>
      <c r="BB54" s="9" t="s">
        <v>79</v>
      </c>
      <c r="BC54" s="9" t="s">
        <v>78</v>
      </c>
      <c r="BD54" s="9" t="s">
        <v>349</v>
      </c>
      <c r="BE54" s="9" t="s">
        <v>78</v>
      </c>
      <c r="BF54" s="9" t="s">
        <v>77</v>
      </c>
      <c r="BI54" s="9" t="s">
        <v>77</v>
      </c>
      <c r="BJ54" s="9" t="s">
        <v>80</v>
      </c>
      <c r="BK54" s="9" t="s">
        <v>348</v>
      </c>
      <c r="BL54" s="9" t="s">
        <v>560</v>
      </c>
      <c r="BM54" s="9" t="s">
        <v>80</v>
      </c>
      <c r="BN54" s="9" t="s">
        <v>348</v>
      </c>
      <c r="BO54" s="9" t="s">
        <v>560</v>
      </c>
      <c r="BP54" s="9" t="s">
        <v>77</v>
      </c>
      <c r="BQ54" s="9" t="s">
        <v>77</v>
      </c>
      <c r="BR54" s="9" t="s">
        <v>77</v>
      </c>
      <c r="BS54" s="9" t="s">
        <v>77</v>
      </c>
      <c r="BT54" s="9" t="s">
        <v>77</v>
      </c>
      <c r="BU54" s="9" t="s">
        <v>77</v>
      </c>
      <c r="BV54" s="9" t="s">
        <v>78</v>
      </c>
      <c r="BW54" s="9" t="s">
        <v>78</v>
      </c>
      <c r="BX54" s="9" t="s">
        <v>78</v>
      </c>
      <c r="CB54" s="9" t="s">
        <v>77</v>
      </c>
      <c r="CC54" s="9" t="s">
        <v>80</v>
      </c>
      <c r="CD54" s="9" t="s">
        <v>77</v>
      </c>
      <c r="CE54" s="9" t="s">
        <v>77</v>
      </c>
      <c r="CF54" s="9" t="s">
        <v>77</v>
      </c>
      <c r="CG54" s="9" t="s">
        <v>80</v>
      </c>
      <c r="CH54" s="9" t="s">
        <v>348</v>
      </c>
      <c r="CI54" s="9" t="s">
        <v>561</v>
      </c>
      <c r="CJ54" s="9" t="s">
        <v>80</v>
      </c>
      <c r="CK54" s="9" t="s">
        <v>348</v>
      </c>
      <c r="CL54" s="9" t="s">
        <v>561</v>
      </c>
      <c r="CM54" s="9" t="s">
        <v>77</v>
      </c>
      <c r="CN54" s="9" t="s">
        <v>77</v>
      </c>
      <c r="CO54" s="9" t="s">
        <v>78</v>
      </c>
      <c r="CS54" s="9" t="s">
        <v>80</v>
      </c>
      <c r="CT54" s="9" t="s">
        <v>348</v>
      </c>
      <c r="CU54" s="9" t="s">
        <v>560</v>
      </c>
      <c r="CV54" s="9" t="s">
        <v>80</v>
      </c>
      <c r="CW54" s="9" t="s">
        <v>348</v>
      </c>
      <c r="CX54" s="9" t="s">
        <v>560</v>
      </c>
      <c r="CY54" s="9" t="s">
        <v>77</v>
      </c>
      <c r="CZ54" s="9" t="s">
        <v>77</v>
      </c>
      <c r="DA54" s="9" t="s">
        <v>78</v>
      </c>
      <c r="DE54" s="9" t="s">
        <v>77</v>
      </c>
      <c r="DF54" s="9" t="s">
        <v>78</v>
      </c>
      <c r="DG54" s="9" t="s">
        <v>78</v>
      </c>
      <c r="DH54" s="9" t="s">
        <v>78</v>
      </c>
      <c r="DI54" s="9" t="s">
        <v>562</v>
      </c>
      <c r="DJ54" s="9" t="s">
        <v>77</v>
      </c>
      <c r="DK54" s="9" t="s">
        <v>77</v>
      </c>
      <c r="DN54" s="9" t="s">
        <v>77</v>
      </c>
      <c r="DO54" s="9" t="s">
        <v>77</v>
      </c>
      <c r="DP54" s="9" t="s">
        <v>80</v>
      </c>
      <c r="DQ54" s="9" t="s">
        <v>438</v>
      </c>
      <c r="DR54" s="9" t="s">
        <v>77</v>
      </c>
      <c r="DS54" s="9" t="s">
        <v>78</v>
      </c>
      <c r="DT54" s="9" t="s">
        <v>349</v>
      </c>
      <c r="DU54" s="9" t="s">
        <v>78</v>
      </c>
      <c r="DV54" s="9" t="s">
        <v>77</v>
      </c>
      <c r="DZ54" s="9" t="s">
        <v>77</v>
      </c>
      <c r="EA54" s="9" t="s">
        <v>77</v>
      </c>
      <c r="EB54" s="9" t="s">
        <v>80</v>
      </c>
      <c r="EC54" s="9" t="s">
        <v>438</v>
      </c>
      <c r="ED54" s="9" t="s">
        <v>77</v>
      </c>
      <c r="EE54" s="9" t="s">
        <v>78</v>
      </c>
      <c r="EF54" s="9" t="s">
        <v>349</v>
      </c>
      <c r="EG54" s="9" t="s">
        <v>78</v>
      </c>
      <c r="EH54" s="9" t="s">
        <v>77</v>
      </c>
      <c r="EL54" s="9" t="s">
        <v>77</v>
      </c>
      <c r="EM54" s="9" t="s">
        <v>77</v>
      </c>
      <c r="EN54" s="9" t="s">
        <v>80</v>
      </c>
      <c r="EO54" s="9" t="s">
        <v>438</v>
      </c>
      <c r="EP54" s="9" t="s">
        <v>77</v>
      </c>
      <c r="EQ54" s="9" t="s">
        <v>78</v>
      </c>
      <c r="ER54" s="9" t="s">
        <v>349</v>
      </c>
      <c r="ES54" s="9" t="s">
        <v>78</v>
      </c>
      <c r="ET54" s="9" t="s">
        <v>77</v>
      </c>
      <c r="EX54" s="9" t="s">
        <v>77</v>
      </c>
      <c r="EY54" s="9" t="s">
        <v>77</v>
      </c>
      <c r="EZ54" s="9" t="s">
        <v>80</v>
      </c>
      <c r="FA54" s="9" t="s">
        <v>438</v>
      </c>
      <c r="FB54" s="9" t="s">
        <v>77</v>
      </c>
      <c r="FC54" s="9" t="s">
        <v>78</v>
      </c>
      <c r="FD54" s="9" t="s">
        <v>349</v>
      </c>
      <c r="FE54" s="9" t="s">
        <v>78</v>
      </c>
      <c r="FF54" s="9" t="s">
        <v>77</v>
      </c>
    </row>
    <row r="55" spans="50:162">
      <c r="AX55" s="9" t="s">
        <v>77</v>
      </c>
      <c r="AY55" s="9" t="s">
        <v>77</v>
      </c>
      <c r="AZ55" s="9" t="s">
        <v>80</v>
      </c>
      <c r="BA55" s="9" t="s">
        <v>438</v>
      </c>
      <c r="BB55" s="9" t="s">
        <v>79</v>
      </c>
      <c r="BC55" s="9" t="s">
        <v>78</v>
      </c>
      <c r="BD55" s="9" t="s">
        <v>349</v>
      </c>
      <c r="BE55" s="9" t="s">
        <v>78</v>
      </c>
      <c r="BF55" s="9" t="s">
        <v>77</v>
      </c>
      <c r="BI55" s="9" t="s">
        <v>77</v>
      </c>
      <c r="BJ55" s="9" t="s">
        <v>80</v>
      </c>
      <c r="BK55" s="9" t="s">
        <v>348</v>
      </c>
      <c r="BL55" s="9" t="s">
        <v>563</v>
      </c>
      <c r="BM55" s="9" t="s">
        <v>80</v>
      </c>
      <c r="BN55" s="9" t="s">
        <v>348</v>
      </c>
      <c r="BO55" s="9" t="s">
        <v>563</v>
      </c>
      <c r="BP55" s="9" t="s">
        <v>77</v>
      </c>
      <c r="BQ55" s="9" t="s">
        <v>77</v>
      </c>
      <c r="BR55" s="9" t="s">
        <v>77</v>
      </c>
      <c r="BS55" s="9" t="s">
        <v>77</v>
      </c>
      <c r="BT55" s="9" t="s">
        <v>77</v>
      </c>
      <c r="BU55" s="9" t="s">
        <v>77</v>
      </c>
      <c r="BV55" s="9" t="s">
        <v>78</v>
      </c>
      <c r="BW55" s="9" t="s">
        <v>78</v>
      </c>
      <c r="BX55" s="9" t="s">
        <v>78</v>
      </c>
      <c r="CB55" s="9" t="s">
        <v>77</v>
      </c>
      <c r="CC55" s="9" t="s">
        <v>80</v>
      </c>
      <c r="CD55" s="9" t="s">
        <v>77</v>
      </c>
      <c r="CE55" s="9" t="s">
        <v>77</v>
      </c>
      <c r="CF55" s="9" t="s">
        <v>77</v>
      </c>
      <c r="CG55" s="9" t="s">
        <v>80</v>
      </c>
      <c r="CH55" s="9" t="s">
        <v>348</v>
      </c>
      <c r="CI55" s="9" t="s">
        <v>563</v>
      </c>
      <c r="CJ55" s="9" t="s">
        <v>80</v>
      </c>
      <c r="CK55" s="9" t="s">
        <v>348</v>
      </c>
      <c r="CL55" s="9" t="s">
        <v>563</v>
      </c>
      <c r="CM55" s="9" t="s">
        <v>77</v>
      </c>
      <c r="CN55" s="9" t="s">
        <v>77</v>
      </c>
      <c r="CO55" s="9" t="s">
        <v>78</v>
      </c>
      <c r="CS55" s="9" t="s">
        <v>80</v>
      </c>
      <c r="CT55" s="9" t="s">
        <v>348</v>
      </c>
      <c r="CU55" s="9" t="s">
        <v>563</v>
      </c>
      <c r="CV55" s="9" t="s">
        <v>80</v>
      </c>
      <c r="CW55" s="9" t="s">
        <v>348</v>
      </c>
      <c r="CX55" s="9" t="s">
        <v>563</v>
      </c>
      <c r="CY55" s="9" t="s">
        <v>77</v>
      </c>
      <c r="CZ55" s="9" t="s">
        <v>77</v>
      </c>
      <c r="DA55" s="9" t="s">
        <v>78</v>
      </c>
      <c r="DE55" s="9" t="s">
        <v>77</v>
      </c>
      <c r="DF55" s="9" t="s">
        <v>78</v>
      </c>
      <c r="DG55" s="9" t="s">
        <v>78</v>
      </c>
      <c r="DH55" s="9" t="s">
        <v>78</v>
      </c>
      <c r="DI55" s="9" t="s">
        <v>564</v>
      </c>
      <c r="DJ55" s="9" t="s">
        <v>77</v>
      </c>
      <c r="DK55" s="9" t="s">
        <v>77</v>
      </c>
      <c r="DN55" s="9" t="s">
        <v>77</v>
      </c>
      <c r="DO55" s="9" t="s">
        <v>77</v>
      </c>
      <c r="DP55" s="9" t="s">
        <v>80</v>
      </c>
      <c r="DQ55" s="9" t="s">
        <v>438</v>
      </c>
      <c r="DR55" s="9" t="s">
        <v>77</v>
      </c>
      <c r="DS55" s="9" t="s">
        <v>78</v>
      </c>
      <c r="DT55" s="9" t="s">
        <v>349</v>
      </c>
      <c r="DU55" s="9" t="s">
        <v>78</v>
      </c>
      <c r="DV55" s="9" t="s">
        <v>77</v>
      </c>
      <c r="DZ55" s="9" t="s">
        <v>77</v>
      </c>
      <c r="EA55" s="9" t="s">
        <v>77</v>
      </c>
      <c r="EB55" s="9" t="s">
        <v>80</v>
      </c>
      <c r="EC55" s="9" t="s">
        <v>438</v>
      </c>
      <c r="ED55" s="9" t="s">
        <v>77</v>
      </c>
      <c r="EE55" s="9" t="s">
        <v>78</v>
      </c>
      <c r="EF55" s="9" t="s">
        <v>349</v>
      </c>
      <c r="EG55" s="9" t="s">
        <v>78</v>
      </c>
      <c r="EH55" s="9" t="s">
        <v>77</v>
      </c>
      <c r="EL55" s="9" t="s">
        <v>77</v>
      </c>
      <c r="EM55" s="9" t="s">
        <v>77</v>
      </c>
      <c r="EN55" s="9" t="s">
        <v>80</v>
      </c>
      <c r="EO55" s="9" t="s">
        <v>438</v>
      </c>
      <c r="EP55" s="9" t="s">
        <v>77</v>
      </c>
      <c r="EQ55" s="9" t="s">
        <v>78</v>
      </c>
      <c r="ER55" s="9" t="s">
        <v>349</v>
      </c>
      <c r="ES55" s="9" t="s">
        <v>78</v>
      </c>
      <c r="ET55" s="9" t="s">
        <v>77</v>
      </c>
      <c r="EX55" s="9" t="s">
        <v>77</v>
      </c>
      <c r="EY55" s="9" t="s">
        <v>77</v>
      </c>
      <c r="EZ55" s="9" t="s">
        <v>80</v>
      </c>
      <c r="FA55" s="9" t="s">
        <v>438</v>
      </c>
      <c r="FB55" s="9" t="s">
        <v>77</v>
      </c>
      <c r="FC55" s="9" t="s">
        <v>78</v>
      </c>
      <c r="FD55" s="9" t="s">
        <v>349</v>
      </c>
      <c r="FE55" s="9" t="s">
        <v>78</v>
      </c>
      <c r="FF55" s="9" t="s">
        <v>77</v>
      </c>
    </row>
    <row r="56" spans="50:162">
      <c r="AX56" s="9" t="s">
        <v>77</v>
      </c>
      <c r="AY56" s="9" t="s">
        <v>77</v>
      </c>
      <c r="AZ56" s="9" t="s">
        <v>80</v>
      </c>
      <c r="BA56" s="9" t="s">
        <v>438</v>
      </c>
      <c r="BB56" s="9" t="s">
        <v>79</v>
      </c>
      <c r="BC56" s="9" t="s">
        <v>78</v>
      </c>
      <c r="BD56" s="9" t="s">
        <v>349</v>
      </c>
      <c r="BE56" s="9" t="s">
        <v>78</v>
      </c>
      <c r="BF56" s="9" t="s">
        <v>77</v>
      </c>
      <c r="BI56" s="9" t="s">
        <v>77</v>
      </c>
      <c r="BJ56" s="9" t="s">
        <v>80</v>
      </c>
      <c r="BK56" s="9" t="s">
        <v>348</v>
      </c>
      <c r="BL56" s="9" t="s">
        <v>565</v>
      </c>
      <c r="BM56" s="9" t="s">
        <v>80</v>
      </c>
      <c r="BN56" s="9" t="s">
        <v>348</v>
      </c>
      <c r="BO56" s="9" t="s">
        <v>565</v>
      </c>
      <c r="BP56" s="9" t="s">
        <v>77</v>
      </c>
      <c r="BQ56" s="9" t="s">
        <v>77</v>
      </c>
      <c r="BR56" s="9" t="s">
        <v>77</v>
      </c>
      <c r="BS56" s="9" t="s">
        <v>77</v>
      </c>
      <c r="BT56" s="9" t="s">
        <v>77</v>
      </c>
      <c r="BU56" s="9" t="s">
        <v>77</v>
      </c>
      <c r="BV56" s="9" t="s">
        <v>78</v>
      </c>
      <c r="BW56" s="9" t="s">
        <v>78</v>
      </c>
      <c r="BX56" s="9" t="s">
        <v>78</v>
      </c>
      <c r="CB56" s="9" t="s">
        <v>77</v>
      </c>
      <c r="CC56" s="9" t="s">
        <v>80</v>
      </c>
      <c r="CD56" s="9" t="s">
        <v>77</v>
      </c>
      <c r="CE56" s="9" t="s">
        <v>77</v>
      </c>
      <c r="CF56" s="9" t="s">
        <v>77</v>
      </c>
      <c r="CG56" s="9" t="s">
        <v>80</v>
      </c>
      <c r="CH56" s="9" t="s">
        <v>348</v>
      </c>
      <c r="CI56" s="9" t="s">
        <v>566</v>
      </c>
      <c r="CJ56" s="9" t="s">
        <v>80</v>
      </c>
      <c r="CK56" s="9" t="s">
        <v>348</v>
      </c>
      <c r="CL56" s="9" t="s">
        <v>566</v>
      </c>
      <c r="CM56" s="9" t="s">
        <v>77</v>
      </c>
      <c r="CN56" s="9" t="s">
        <v>77</v>
      </c>
      <c r="CO56" s="9" t="s">
        <v>78</v>
      </c>
      <c r="CS56" s="9" t="s">
        <v>80</v>
      </c>
      <c r="CT56" s="9" t="s">
        <v>348</v>
      </c>
      <c r="CU56" s="9" t="s">
        <v>565</v>
      </c>
      <c r="CV56" s="9" t="s">
        <v>80</v>
      </c>
      <c r="CW56" s="9" t="s">
        <v>348</v>
      </c>
      <c r="CX56" s="9" t="s">
        <v>565</v>
      </c>
      <c r="CY56" s="9" t="s">
        <v>77</v>
      </c>
      <c r="CZ56" s="9" t="s">
        <v>77</v>
      </c>
      <c r="DA56" s="9" t="s">
        <v>78</v>
      </c>
      <c r="DE56" s="9" t="s">
        <v>77</v>
      </c>
      <c r="DF56" s="9" t="s">
        <v>78</v>
      </c>
      <c r="DG56" s="9" t="s">
        <v>78</v>
      </c>
      <c r="DH56" s="9" t="s">
        <v>78</v>
      </c>
      <c r="DI56" s="9" t="s">
        <v>567</v>
      </c>
      <c r="DJ56" s="9" t="s">
        <v>77</v>
      </c>
      <c r="DK56" s="9" t="s">
        <v>77</v>
      </c>
      <c r="DN56" s="9" t="s">
        <v>77</v>
      </c>
      <c r="DO56" s="9" t="s">
        <v>77</v>
      </c>
      <c r="DP56" s="9" t="s">
        <v>80</v>
      </c>
      <c r="DQ56" s="9" t="s">
        <v>438</v>
      </c>
      <c r="DR56" s="9" t="s">
        <v>77</v>
      </c>
      <c r="DS56" s="9" t="s">
        <v>78</v>
      </c>
      <c r="DT56" s="9" t="s">
        <v>349</v>
      </c>
      <c r="DU56" s="9" t="s">
        <v>78</v>
      </c>
      <c r="DV56" s="9" t="s">
        <v>77</v>
      </c>
      <c r="DZ56" s="9" t="s">
        <v>77</v>
      </c>
      <c r="EA56" s="9" t="s">
        <v>77</v>
      </c>
      <c r="EB56" s="9" t="s">
        <v>80</v>
      </c>
      <c r="EC56" s="9" t="s">
        <v>438</v>
      </c>
      <c r="ED56" s="9" t="s">
        <v>77</v>
      </c>
      <c r="EE56" s="9" t="s">
        <v>78</v>
      </c>
      <c r="EF56" s="9" t="s">
        <v>349</v>
      </c>
      <c r="EG56" s="9" t="s">
        <v>78</v>
      </c>
      <c r="EH56" s="9" t="s">
        <v>77</v>
      </c>
      <c r="EL56" s="9" t="s">
        <v>77</v>
      </c>
      <c r="EM56" s="9" t="s">
        <v>77</v>
      </c>
      <c r="EN56" s="9" t="s">
        <v>80</v>
      </c>
      <c r="EO56" s="9" t="s">
        <v>438</v>
      </c>
      <c r="EP56" s="9" t="s">
        <v>77</v>
      </c>
      <c r="EQ56" s="9" t="s">
        <v>78</v>
      </c>
      <c r="ER56" s="9" t="s">
        <v>349</v>
      </c>
      <c r="ES56" s="9" t="s">
        <v>78</v>
      </c>
      <c r="ET56" s="9" t="s">
        <v>77</v>
      </c>
      <c r="EX56" s="9" t="s">
        <v>77</v>
      </c>
      <c r="EY56" s="9" t="s">
        <v>77</v>
      </c>
      <c r="EZ56" s="9" t="s">
        <v>80</v>
      </c>
      <c r="FA56" s="9" t="s">
        <v>438</v>
      </c>
      <c r="FB56" s="9" t="s">
        <v>77</v>
      </c>
      <c r="FC56" s="9" t="s">
        <v>78</v>
      </c>
      <c r="FD56" s="9" t="s">
        <v>349</v>
      </c>
      <c r="FE56" s="9" t="s">
        <v>78</v>
      </c>
      <c r="FF56" s="9" t="s">
        <v>77</v>
      </c>
    </row>
    <row r="57" spans="50:162">
      <c r="AX57" s="9" t="s">
        <v>77</v>
      </c>
      <c r="AY57" s="9" t="s">
        <v>77</v>
      </c>
      <c r="AZ57" s="9" t="s">
        <v>80</v>
      </c>
      <c r="BA57" s="9" t="s">
        <v>438</v>
      </c>
      <c r="BB57" s="9" t="s">
        <v>79</v>
      </c>
      <c r="BC57" s="9" t="s">
        <v>78</v>
      </c>
      <c r="BD57" s="9" t="s">
        <v>349</v>
      </c>
      <c r="BE57" s="9" t="s">
        <v>78</v>
      </c>
      <c r="BF57" s="9" t="s">
        <v>77</v>
      </c>
      <c r="BI57" s="9" t="s">
        <v>77</v>
      </c>
      <c r="BJ57" s="9" t="s">
        <v>80</v>
      </c>
      <c r="BK57" s="9" t="s">
        <v>348</v>
      </c>
      <c r="BL57" s="9" t="s">
        <v>568</v>
      </c>
      <c r="BM57" s="9" t="s">
        <v>80</v>
      </c>
      <c r="BN57" s="9" t="s">
        <v>348</v>
      </c>
      <c r="BO57" s="9" t="s">
        <v>568</v>
      </c>
      <c r="BP57" s="9" t="s">
        <v>77</v>
      </c>
      <c r="BQ57" s="9" t="s">
        <v>77</v>
      </c>
      <c r="BR57" s="9" t="s">
        <v>77</v>
      </c>
      <c r="BS57" s="9" t="s">
        <v>77</v>
      </c>
      <c r="BT57" s="9" t="s">
        <v>77</v>
      </c>
      <c r="BU57" s="9" t="s">
        <v>77</v>
      </c>
      <c r="BV57" s="9" t="s">
        <v>78</v>
      </c>
      <c r="BW57" s="9" t="s">
        <v>78</v>
      </c>
      <c r="BX57" s="9" t="s">
        <v>78</v>
      </c>
      <c r="CB57" s="9" t="s">
        <v>77</v>
      </c>
      <c r="CC57" s="9" t="s">
        <v>80</v>
      </c>
      <c r="CD57" s="9" t="s">
        <v>77</v>
      </c>
      <c r="CE57" s="9" t="s">
        <v>77</v>
      </c>
      <c r="CF57" s="9" t="s">
        <v>77</v>
      </c>
      <c r="CG57" s="9" t="s">
        <v>80</v>
      </c>
      <c r="CH57" s="9" t="s">
        <v>348</v>
      </c>
      <c r="CI57" s="9" t="s">
        <v>569</v>
      </c>
      <c r="CJ57" s="9" t="s">
        <v>80</v>
      </c>
      <c r="CK57" s="9" t="s">
        <v>348</v>
      </c>
      <c r="CL57" s="9" t="s">
        <v>569</v>
      </c>
      <c r="CM57" s="9" t="s">
        <v>77</v>
      </c>
      <c r="CN57" s="9" t="s">
        <v>77</v>
      </c>
      <c r="CO57" s="9" t="s">
        <v>78</v>
      </c>
      <c r="CS57" s="9" t="s">
        <v>80</v>
      </c>
      <c r="CT57" s="9" t="s">
        <v>348</v>
      </c>
      <c r="CU57" s="9" t="s">
        <v>568</v>
      </c>
      <c r="CV57" s="9" t="s">
        <v>80</v>
      </c>
      <c r="CW57" s="9" t="s">
        <v>348</v>
      </c>
      <c r="CX57" s="9" t="s">
        <v>568</v>
      </c>
      <c r="CY57" s="9" t="s">
        <v>77</v>
      </c>
      <c r="CZ57" s="9" t="s">
        <v>77</v>
      </c>
      <c r="DA57" s="9" t="s">
        <v>78</v>
      </c>
      <c r="DE57" s="9" t="s">
        <v>77</v>
      </c>
      <c r="DF57" s="9" t="s">
        <v>78</v>
      </c>
      <c r="DG57" s="9" t="s">
        <v>78</v>
      </c>
      <c r="DH57" s="9" t="s">
        <v>78</v>
      </c>
      <c r="DI57" s="9" t="s">
        <v>568</v>
      </c>
      <c r="DJ57" s="9" t="s">
        <v>77</v>
      </c>
      <c r="DK57" s="9" t="s">
        <v>77</v>
      </c>
      <c r="DN57" s="9" t="s">
        <v>77</v>
      </c>
      <c r="DO57" s="9" t="s">
        <v>77</v>
      </c>
      <c r="DP57" s="9" t="s">
        <v>80</v>
      </c>
      <c r="DQ57" s="9" t="s">
        <v>438</v>
      </c>
      <c r="DR57" s="9" t="s">
        <v>77</v>
      </c>
      <c r="DS57" s="9" t="s">
        <v>78</v>
      </c>
      <c r="DT57" s="9" t="s">
        <v>349</v>
      </c>
      <c r="DU57" s="9" t="s">
        <v>78</v>
      </c>
      <c r="DV57" s="9" t="s">
        <v>77</v>
      </c>
      <c r="DZ57" s="9" t="s">
        <v>77</v>
      </c>
      <c r="EA57" s="9" t="s">
        <v>77</v>
      </c>
      <c r="EB57" s="9" t="s">
        <v>80</v>
      </c>
      <c r="EC57" s="9" t="s">
        <v>438</v>
      </c>
      <c r="ED57" s="9" t="s">
        <v>77</v>
      </c>
      <c r="EE57" s="9" t="s">
        <v>78</v>
      </c>
      <c r="EF57" s="9" t="s">
        <v>349</v>
      </c>
      <c r="EG57" s="9" t="s">
        <v>78</v>
      </c>
      <c r="EH57" s="9" t="s">
        <v>77</v>
      </c>
      <c r="EL57" s="9" t="s">
        <v>77</v>
      </c>
      <c r="EM57" s="9" t="s">
        <v>77</v>
      </c>
      <c r="EN57" s="9" t="s">
        <v>80</v>
      </c>
      <c r="EO57" s="9" t="s">
        <v>438</v>
      </c>
      <c r="EP57" s="9" t="s">
        <v>77</v>
      </c>
      <c r="EQ57" s="9" t="s">
        <v>78</v>
      </c>
      <c r="ER57" s="9" t="s">
        <v>349</v>
      </c>
      <c r="ES57" s="9" t="s">
        <v>78</v>
      </c>
      <c r="ET57" s="9" t="s">
        <v>77</v>
      </c>
      <c r="EX57" s="9" t="s">
        <v>77</v>
      </c>
      <c r="EY57" s="9" t="s">
        <v>77</v>
      </c>
      <c r="EZ57" s="9" t="s">
        <v>80</v>
      </c>
      <c r="FA57" s="9" t="s">
        <v>438</v>
      </c>
      <c r="FB57" s="9" t="s">
        <v>77</v>
      </c>
      <c r="FC57" s="9" t="s">
        <v>78</v>
      </c>
      <c r="FD57" s="9" t="s">
        <v>349</v>
      </c>
      <c r="FE57" s="9" t="s">
        <v>78</v>
      </c>
      <c r="FF57" s="9" t="s">
        <v>77</v>
      </c>
    </row>
    <row r="58" spans="50:162">
      <c r="AX58" s="9" t="s">
        <v>77</v>
      </c>
      <c r="AY58" s="9" t="s">
        <v>77</v>
      </c>
      <c r="AZ58" s="9" t="s">
        <v>80</v>
      </c>
      <c r="BA58" s="9" t="s">
        <v>438</v>
      </c>
      <c r="BB58" s="9" t="s">
        <v>79</v>
      </c>
      <c r="BC58" s="9" t="s">
        <v>78</v>
      </c>
      <c r="BD58" s="9" t="s">
        <v>349</v>
      </c>
      <c r="BE58" s="9" t="s">
        <v>78</v>
      </c>
      <c r="BF58" s="9" t="s">
        <v>77</v>
      </c>
      <c r="BI58" s="9" t="s">
        <v>77</v>
      </c>
      <c r="BJ58" s="9" t="s">
        <v>80</v>
      </c>
      <c r="BK58" s="9" t="s">
        <v>348</v>
      </c>
      <c r="BL58" s="9" t="s">
        <v>570</v>
      </c>
      <c r="BM58" s="9" t="s">
        <v>80</v>
      </c>
      <c r="BN58" s="9" t="s">
        <v>348</v>
      </c>
      <c r="BO58" s="9" t="s">
        <v>570</v>
      </c>
      <c r="BP58" s="9" t="s">
        <v>77</v>
      </c>
      <c r="BQ58" s="9" t="s">
        <v>77</v>
      </c>
      <c r="BR58" s="9" t="s">
        <v>77</v>
      </c>
      <c r="BS58" s="9" t="s">
        <v>77</v>
      </c>
      <c r="BT58" s="9" t="s">
        <v>77</v>
      </c>
      <c r="BU58" s="9" t="s">
        <v>77</v>
      </c>
      <c r="BV58" s="9" t="s">
        <v>78</v>
      </c>
      <c r="BW58" s="9" t="s">
        <v>78</v>
      </c>
      <c r="BX58" s="9" t="s">
        <v>78</v>
      </c>
      <c r="CB58" s="9" t="s">
        <v>77</v>
      </c>
      <c r="CC58" s="9" t="s">
        <v>80</v>
      </c>
      <c r="CD58" s="9" t="s">
        <v>77</v>
      </c>
      <c r="CE58" s="9" t="s">
        <v>77</v>
      </c>
      <c r="CF58" s="9" t="s">
        <v>77</v>
      </c>
      <c r="CG58" s="9" t="s">
        <v>80</v>
      </c>
      <c r="CH58" s="9" t="s">
        <v>348</v>
      </c>
      <c r="CI58" s="9" t="s">
        <v>571</v>
      </c>
      <c r="CJ58" s="9" t="s">
        <v>80</v>
      </c>
      <c r="CK58" s="9" t="s">
        <v>348</v>
      </c>
      <c r="CL58" s="9" t="s">
        <v>571</v>
      </c>
      <c r="CM58" s="9" t="s">
        <v>77</v>
      </c>
      <c r="CN58" s="9" t="s">
        <v>77</v>
      </c>
      <c r="CO58" s="9" t="s">
        <v>78</v>
      </c>
      <c r="CS58" s="9" t="s">
        <v>80</v>
      </c>
      <c r="CT58" s="9" t="s">
        <v>348</v>
      </c>
      <c r="CU58" s="9" t="s">
        <v>570</v>
      </c>
      <c r="CV58" s="9" t="s">
        <v>80</v>
      </c>
      <c r="CW58" s="9" t="s">
        <v>348</v>
      </c>
      <c r="CX58" s="9" t="s">
        <v>570</v>
      </c>
      <c r="CY58" s="9" t="s">
        <v>77</v>
      </c>
      <c r="CZ58" s="9" t="s">
        <v>77</v>
      </c>
      <c r="DA58" s="9" t="s">
        <v>78</v>
      </c>
      <c r="DE58" s="9" t="s">
        <v>77</v>
      </c>
      <c r="DF58" s="9" t="s">
        <v>78</v>
      </c>
      <c r="DG58" s="9" t="s">
        <v>78</v>
      </c>
      <c r="DH58" s="9" t="s">
        <v>78</v>
      </c>
      <c r="DI58" s="9" t="s">
        <v>570</v>
      </c>
      <c r="DJ58" s="9" t="s">
        <v>77</v>
      </c>
      <c r="DK58" s="9" t="s">
        <v>77</v>
      </c>
      <c r="DN58" s="9" t="s">
        <v>77</v>
      </c>
      <c r="DO58" s="9" t="s">
        <v>77</v>
      </c>
      <c r="DP58" s="9" t="s">
        <v>80</v>
      </c>
      <c r="DQ58" s="9" t="s">
        <v>438</v>
      </c>
      <c r="DR58" s="9" t="s">
        <v>77</v>
      </c>
      <c r="DS58" s="9" t="s">
        <v>78</v>
      </c>
      <c r="DT58" s="9" t="s">
        <v>349</v>
      </c>
      <c r="DU58" s="9" t="s">
        <v>78</v>
      </c>
      <c r="DV58" s="9" t="s">
        <v>77</v>
      </c>
      <c r="DZ58" s="9" t="s">
        <v>77</v>
      </c>
      <c r="EA58" s="9" t="s">
        <v>77</v>
      </c>
      <c r="EB58" s="9" t="s">
        <v>80</v>
      </c>
      <c r="EC58" s="9" t="s">
        <v>438</v>
      </c>
      <c r="ED58" s="9" t="s">
        <v>77</v>
      </c>
      <c r="EE58" s="9" t="s">
        <v>78</v>
      </c>
      <c r="EF58" s="9" t="s">
        <v>349</v>
      </c>
      <c r="EG58" s="9" t="s">
        <v>78</v>
      </c>
      <c r="EH58" s="9" t="s">
        <v>77</v>
      </c>
      <c r="EL58" s="9" t="s">
        <v>77</v>
      </c>
      <c r="EM58" s="9" t="s">
        <v>77</v>
      </c>
      <c r="EN58" s="9" t="s">
        <v>80</v>
      </c>
      <c r="EO58" s="9" t="s">
        <v>438</v>
      </c>
      <c r="EP58" s="9" t="s">
        <v>77</v>
      </c>
      <c r="EQ58" s="9" t="s">
        <v>78</v>
      </c>
      <c r="ER58" s="9" t="s">
        <v>349</v>
      </c>
      <c r="ES58" s="9" t="s">
        <v>78</v>
      </c>
      <c r="ET58" s="9" t="s">
        <v>77</v>
      </c>
      <c r="EX58" s="9" t="s">
        <v>77</v>
      </c>
      <c r="EY58" s="9" t="s">
        <v>77</v>
      </c>
      <c r="EZ58" s="9" t="s">
        <v>80</v>
      </c>
      <c r="FA58" s="9" t="s">
        <v>438</v>
      </c>
      <c r="FB58" s="9" t="s">
        <v>77</v>
      </c>
      <c r="FC58" s="9" t="s">
        <v>78</v>
      </c>
      <c r="FD58" s="9" t="s">
        <v>349</v>
      </c>
      <c r="FE58" s="9" t="s">
        <v>78</v>
      </c>
      <c r="FF58" s="9" t="s">
        <v>77</v>
      </c>
    </row>
    <row r="59" spans="50:162">
      <c r="AX59" s="9" t="s">
        <v>77</v>
      </c>
      <c r="AY59" s="9" t="s">
        <v>77</v>
      </c>
      <c r="AZ59" s="9" t="s">
        <v>80</v>
      </c>
      <c r="BA59" s="9" t="s">
        <v>438</v>
      </c>
      <c r="BB59" s="9" t="s">
        <v>79</v>
      </c>
      <c r="BC59" s="9" t="s">
        <v>78</v>
      </c>
      <c r="BD59" s="9" t="s">
        <v>349</v>
      </c>
      <c r="BE59" s="9" t="s">
        <v>78</v>
      </c>
      <c r="BF59" s="9" t="s">
        <v>77</v>
      </c>
      <c r="BI59" s="9" t="s">
        <v>77</v>
      </c>
      <c r="BJ59" s="9" t="s">
        <v>80</v>
      </c>
      <c r="BK59" s="9" t="s">
        <v>348</v>
      </c>
      <c r="BL59" s="9" t="s">
        <v>572</v>
      </c>
      <c r="BM59" s="9" t="s">
        <v>80</v>
      </c>
      <c r="BN59" s="9" t="s">
        <v>348</v>
      </c>
      <c r="BO59" s="9" t="s">
        <v>572</v>
      </c>
      <c r="BP59" s="9" t="s">
        <v>77</v>
      </c>
      <c r="BQ59" s="9" t="s">
        <v>77</v>
      </c>
      <c r="BR59" s="9" t="s">
        <v>77</v>
      </c>
      <c r="BS59" s="9" t="s">
        <v>77</v>
      </c>
      <c r="BT59" s="9" t="s">
        <v>77</v>
      </c>
      <c r="BU59" s="9" t="s">
        <v>77</v>
      </c>
      <c r="BV59" s="9" t="s">
        <v>78</v>
      </c>
      <c r="BW59" s="9" t="s">
        <v>78</v>
      </c>
      <c r="BX59" s="9" t="s">
        <v>78</v>
      </c>
      <c r="CB59" s="9" t="s">
        <v>77</v>
      </c>
      <c r="CC59" s="9" t="s">
        <v>80</v>
      </c>
      <c r="CD59" s="9" t="s">
        <v>77</v>
      </c>
      <c r="CE59" s="9" t="s">
        <v>77</v>
      </c>
      <c r="CF59" s="9" t="s">
        <v>77</v>
      </c>
      <c r="CG59" s="9" t="s">
        <v>80</v>
      </c>
      <c r="CH59" s="9" t="s">
        <v>348</v>
      </c>
      <c r="CI59" s="9" t="s">
        <v>573</v>
      </c>
      <c r="CJ59" s="9" t="s">
        <v>80</v>
      </c>
      <c r="CK59" s="9" t="s">
        <v>348</v>
      </c>
      <c r="CL59" s="9" t="s">
        <v>573</v>
      </c>
      <c r="CM59" s="9" t="s">
        <v>77</v>
      </c>
      <c r="CN59" s="9" t="s">
        <v>77</v>
      </c>
      <c r="CO59" s="9" t="s">
        <v>78</v>
      </c>
      <c r="CS59" s="9" t="s">
        <v>80</v>
      </c>
      <c r="CT59" s="9" t="s">
        <v>348</v>
      </c>
      <c r="CU59" s="9" t="s">
        <v>572</v>
      </c>
      <c r="CV59" s="9" t="s">
        <v>80</v>
      </c>
      <c r="CW59" s="9" t="s">
        <v>348</v>
      </c>
      <c r="CX59" s="9" t="s">
        <v>572</v>
      </c>
      <c r="CY59" s="9" t="s">
        <v>77</v>
      </c>
      <c r="CZ59" s="9" t="s">
        <v>77</v>
      </c>
      <c r="DA59" s="9" t="s">
        <v>78</v>
      </c>
      <c r="DE59" s="9" t="s">
        <v>77</v>
      </c>
      <c r="DF59" s="9" t="s">
        <v>78</v>
      </c>
      <c r="DG59" s="9" t="s">
        <v>78</v>
      </c>
      <c r="DH59" s="9" t="s">
        <v>78</v>
      </c>
      <c r="DI59" s="9" t="s">
        <v>574</v>
      </c>
      <c r="DJ59" s="9" t="s">
        <v>77</v>
      </c>
      <c r="DK59" s="9" t="s">
        <v>77</v>
      </c>
      <c r="DN59" s="9" t="s">
        <v>77</v>
      </c>
      <c r="DO59" s="9" t="s">
        <v>77</v>
      </c>
      <c r="DP59" s="9" t="s">
        <v>80</v>
      </c>
      <c r="DQ59" s="9" t="s">
        <v>438</v>
      </c>
      <c r="DR59" s="9" t="s">
        <v>77</v>
      </c>
      <c r="DS59" s="9" t="s">
        <v>78</v>
      </c>
      <c r="DT59" s="9" t="s">
        <v>349</v>
      </c>
      <c r="DU59" s="9" t="s">
        <v>78</v>
      </c>
      <c r="DV59" s="9" t="s">
        <v>77</v>
      </c>
      <c r="DZ59" s="9" t="s">
        <v>77</v>
      </c>
      <c r="EA59" s="9" t="s">
        <v>77</v>
      </c>
      <c r="EB59" s="9" t="s">
        <v>80</v>
      </c>
      <c r="EC59" s="9" t="s">
        <v>438</v>
      </c>
      <c r="ED59" s="9" t="s">
        <v>77</v>
      </c>
      <c r="EE59" s="9" t="s">
        <v>78</v>
      </c>
      <c r="EF59" s="9" t="s">
        <v>349</v>
      </c>
      <c r="EG59" s="9" t="s">
        <v>78</v>
      </c>
      <c r="EH59" s="9" t="s">
        <v>77</v>
      </c>
      <c r="EL59" s="9" t="s">
        <v>77</v>
      </c>
      <c r="EM59" s="9" t="s">
        <v>77</v>
      </c>
      <c r="EN59" s="9" t="s">
        <v>80</v>
      </c>
      <c r="EO59" s="9" t="s">
        <v>438</v>
      </c>
      <c r="EP59" s="9" t="s">
        <v>77</v>
      </c>
      <c r="EQ59" s="9" t="s">
        <v>78</v>
      </c>
      <c r="ER59" s="9" t="s">
        <v>349</v>
      </c>
      <c r="ES59" s="9" t="s">
        <v>78</v>
      </c>
      <c r="ET59" s="9" t="s">
        <v>77</v>
      </c>
      <c r="EX59" s="9" t="s">
        <v>77</v>
      </c>
      <c r="EY59" s="9" t="s">
        <v>77</v>
      </c>
      <c r="EZ59" s="9" t="s">
        <v>80</v>
      </c>
      <c r="FA59" s="9" t="s">
        <v>438</v>
      </c>
      <c r="FB59" s="9" t="s">
        <v>77</v>
      </c>
      <c r="FC59" s="9" t="s">
        <v>78</v>
      </c>
      <c r="FD59" s="9" t="s">
        <v>349</v>
      </c>
      <c r="FE59" s="9" t="s">
        <v>78</v>
      </c>
      <c r="FF59" s="9" t="s">
        <v>77</v>
      </c>
    </row>
    <row r="60" spans="50:162">
      <c r="AX60" s="9" t="s">
        <v>77</v>
      </c>
      <c r="AY60" s="9" t="s">
        <v>77</v>
      </c>
      <c r="AZ60" s="9" t="s">
        <v>80</v>
      </c>
      <c r="BA60" s="9" t="s">
        <v>438</v>
      </c>
      <c r="BB60" s="9" t="s">
        <v>79</v>
      </c>
      <c r="BC60" s="9" t="s">
        <v>78</v>
      </c>
      <c r="BD60" s="9" t="s">
        <v>349</v>
      </c>
      <c r="BE60" s="9" t="s">
        <v>78</v>
      </c>
      <c r="BF60" s="9" t="s">
        <v>77</v>
      </c>
      <c r="BI60" s="9" t="s">
        <v>77</v>
      </c>
      <c r="BJ60" s="9" t="s">
        <v>80</v>
      </c>
      <c r="BK60" s="9" t="s">
        <v>348</v>
      </c>
      <c r="BL60" s="9" t="s">
        <v>575</v>
      </c>
      <c r="BM60" s="9" t="s">
        <v>80</v>
      </c>
      <c r="BN60" s="9" t="s">
        <v>348</v>
      </c>
      <c r="BO60" s="9" t="s">
        <v>575</v>
      </c>
      <c r="BP60" s="9" t="s">
        <v>77</v>
      </c>
      <c r="BQ60" s="9" t="s">
        <v>77</v>
      </c>
      <c r="BR60" s="9" t="s">
        <v>77</v>
      </c>
      <c r="BS60" s="9" t="s">
        <v>77</v>
      </c>
      <c r="BT60" s="9" t="s">
        <v>77</v>
      </c>
      <c r="BU60" s="9" t="s">
        <v>77</v>
      </c>
      <c r="BV60" s="9" t="s">
        <v>78</v>
      </c>
      <c r="BW60" s="9" t="s">
        <v>78</v>
      </c>
      <c r="BX60" s="9" t="s">
        <v>78</v>
      </c>
      <c r="CB60" s="9" t="s">
        <v>77</v>
      </c>
      <c r="CC60" s="9" t="s">
        <v>80</v>
      </c>
      <c r="CD60" s="9" t="s">
        <v>77</v>
      </c>
      <c r="CE60" s="9" t="s">
        <v>77</v>
      </c>
      <c r="CF60" s="9" t="s">
        <v>77</v>
      </c>
      <c r="CG60" s="9" t="s">
        <v>80</v>
      </c>
      <c r="CH60" s="9" t="s">
        <v>348</v>
      </c>
      <c r="CI60" s="9" t="s">
        <v>576</v>
      </c>
      <c r="CJ60" s="9" t="s">
        <v>80</v>
      </c>
      <c r="CK60" s="9" t="s">
        <v>348</v>
      </c>
      <c r="CL60" s="9" t="s">
        <v>576</v>
      </c>
      <c r="CM60" s="9" t="s">
        <v>77</v>
      </c>
      <c r="CN60" s="9" t="s">
        <v>77</v>
      </c>
      <c r="CO60" s="9" t="s">
        <v>78</v>
      </c>
      <c r="CS60" s="9" t="s">
        <v>80</v>
      </c>
      <c r="CT60" s="9" t="s">
        <v>348</v>
      </c>
      <c r="CU60" s="9" t="s">
        <v>575</v>
      </c>
      <c r="CV60" s="9" t="s">
        <v>80</v>
      </c>
      <c r="CW60" s="9" t="s">
        <v>348</v>
      </c>
      <c r="CX60" s="9" t="s">
        <v>575</v>
      </c>
      <c r="CY60" s="9" t="s">
        <v>77</v>
      </c>
      <c r="CZ60" s="9" t="s">
        <v>77</v>
      </c>
      <c r="DA60" s="9" t="s">
        <v>78</v>
      </c>
      <c r="DE60" s="9" t="s">
        <v>77</v>
      </c>
      <c r="DF60" s="9" t="s">
        <v>78</v>
      </c>
      <c r="DG60" s="9" t="s">
        <v>78</v>
      </c>
      <c r="DH60" s="9" t="s">
        <v>78</v>
      </c>
      <c r="DI60" s="9" t="s">
        <v>575</v>
      </c>
      <c r="DJ60" s="9" t="s">
        <v>77</v>
      </c>
      <c r="DK60" s="9" t="s">
        <v>77</v>
      </c>
      <c r="DN60" s="9" t="s">
        <v>77</v>
      </c>
      <c r="DO60" s="9" t="s">
        <v>77</v>
      </c>
      <c r="DP60" s="9" t="s">
        <v>80</v>
      </c>
      <c r="DQ60" s="9" t="s">
        <v>438</v>
      </c>
      <c r="DR60" s="9" t="s">
        <v>77</v>
      </c>
      <c r="DS60" s="9" t="s">
        <v>78</v>
      </c>
      <c r="DT60" s="9" t="s">
        <v>349</v>
      </c>
      <c r="DU60" s="9" t="s">
        <v>78</v>
      </c>
      <c r="DV60" s="9" t="s">
        <v>77</v>
      </c>
      <c r="DZ60" s="9" t="s">
        <v>77</v>
      </c>
      <c r="EA60" s="9" t="s">
        <v>77</v>
      </c>
      <c r="EB60" s="9" t="s">
        <v>80</v>
      </c>
      <c r="EC60" s="9" t="s">
        <v>438</v>
      </c>
      <c r="ED60" s="9" t="s">
        <v>77</v>
      </c>
      <c r="EE60" s="9" t="s">
        <v>78</v>
      </c>
      <c r="EF60" s="9" t="s">
        <v>349</v>
      </c>
      <c r="EG60" s="9" t="s">
        <v>78</v>
      </c>
      <c r="EH60" s="9" t="s">
        <v>77</v>
      </c>
      <c r="EL60" s="9" t="s">
        <v>77</v>
      </c>
      <c r="EM60" s="9" t="s">
        <v>77</v>
      </c>
      <c r="EN60" s="9" t="s">
        <v>80</v>
      </c>
      <c r="EO60" s="9" t="s">
        <v>438</v>
      </c>
      <c r="EP60" s="9" t="s">
        <v>77</v>
      </c>
      <c r="EQ60" s="9" t="s">
        <v>78</v>
      </c>
      <c r="ER60" s="9" t="s">
        <v>349</v>
      </c>
      <c r="ES60" s="9" t="s">
        <v>78</v>
      </c>
      <c r="ET60" s="9" t="s">
        <v>77</v>
      </c>
      <c r="EX60" s="9" t="s">
        <v>77</v>
      </c>
      <c r="EY60" s="9" t="s">
        <v>77</v>
      </c>
      <c r="EZ60" s="9" t="s">
        <v>80</v>
      </c>
      <c r="FA60" s="9" t="s">
        <v>438</v>
      </c>
      <c r="FB60" s="9" t="s">
        <v>77</v>
      </c>
      <c r="FC60" s="9" t="s">
        <v>78</v>
      </c>
      <c r="FD60" s="9" t="s">
        <v>349</v>
      </c>
      <c r="FE60" s="9" t="s">
        <v>78</v>
      </c>
      <c r="FF60" s="9" t="s">
        <v>77</v>
      </c>
    </row>
    <row r="61" spans="50:162">
      <c r="AX61" s="9" t="s">
        <v>77</v>
      </c>
      <c r="AY61" s="9" t="s">
        <v>77</v>
      </c>
      <c r="AZ61" s="9" t="s">
        <v>80</v>
      </c>
      <c r="BA61" s="9" t="s">
        <v>438</v>
      </c>
      <c r="BB61" s="9" t="s">
        <v>79</v>
      </c>
      <c r="BC61" s="9" t="s">
        <v>78</v>
      </c>
      <c r="BD61" s="9" t="s">
        <v>349</v>
      </c>
      <c r="BE61" s="9" t="s">
        <v>78</v>
      </c>
      <c r="BF61" s="9" t="s">
        <v>77</v>
      </c>
      <c r="BI61" s="9" t="s">
        <v>77</v>
      </c>
      <c r="BJ61" s="9" t="s">
        <v>80</v>
      </c>
      <c r="BK61" s="9" t="s">
        <v>348</v>
      </c>
      <c r="BL61" s="9" t="s">
        <v>577</v>
      </c>
      <c r="BM61" s="9" t="s">
        <v>80</v>
      </c>
      <c r="BN61" s="9" t="s">
        <v>348</v>
      </c>
      <c r="BO61" s="9" t="s">
        <v>577</v>
      </c>
      <c r="BP61" s="9" t="s">
        <v>77</v>
      </c>
      <c r="BQ61" s="9" t="s">
        <v>77</v>
      </c>
      <c r="BR61" s="9" t="s">
        <v>77</v>
      </c>
      <c r="BS61" s="9" t="s">
        <v>77</v>
      </c>
      <c r="BT61" s="9" t="s">
        <v>77</v>
      </c>
      <c r="BU61" s="9" t="s">
        <v>77</v>
      </c>
      <c r="BV61" s="9" t="s">
        <v>78</v>
      </c>
      <c r="BW61" s="9" t="s">
        <v>78</v>
      </c>
      <c r="BX61" s="9" t="s">
        <v>78</v>
      </c>
      <c r="CB61" s="9" t="s">
        <v>77</v>
      </c>
      <c r="CC61" s="9" t="s">
        <v>80</v>
      </c>
      <c r="CD61" s="9" t="s">
        <v>77</v>
      </c>
      <c r="CE61" s="9" t="s">
        <v>77</v>
      </c>
      <c r="CF61" s="9" t="s">
        <v>77</v>
      </c>
      <c r="CG61" s="9" t="s">
        <v>80</v>
      </c>
      <c r="CH61" s="9" t="s">
        <v>348</v>
      </c>
      <c r="CI61" s="9" t="s">
        <v>578</v>
      </c>
      <c r="CJ61" s="9" t="s">
        <v>80</v>
      </c>
      <c r="CK61" s="9" t="s">
        <v>348</v>
      </c>
      <c r="CL61" s="9" t="s">
        <v>578</v>
      </c>
      <c r="CM61" s="9" t="s">
        <v>77</v>
      </c>
      <c r="CN61" s="9" t="s">
        <v>77</v>
      </c>
      <c r="CO61" s="9" t="s">
        <v>78</v>
      </c>
      <c r="CS61" s="9" t="s">
        <v>80</v>
      </c>
      <c r="CT61" s="9" t="s">
        <v>348</v>
      </c>
      <c r="CU61" s="9" t="s">
        <v>578</v>
      </c>
      <c r="CV61" s="9" t="s">
        <v>80</v>
      </c>
      <c r="CW61" s="9" t="s">
        <v>348</v>
      </c>
      <c r="CX61" s="9" t="s">
        <v>578</v>
      </c>
      <c r="CY61" s="9" t="s">
        <v>77</v>
      </c>
      <c r="CZ61" s="9" t="s">
        <v>77</v>
      </c>
      <c r="DA61" s="9" t="s">
        <v>78</v>
      </c>
      <c r="DE61" s="9" t="s">
        <v>77</v>
      </c>
      <c r="DF61" s="9" t="s">
        <v>78</v>
      </c>
      <c r="DG61" s="9" t="s">
        <v>78</v>
      </c>
      <c r="DH61" s="9" t="s">
        <v>78</v>
      </c>
      <c r="DI61" s="9" t="s">
        <v>577</v>
      </c>
      <c r="DJ61" s="9" t="s">
        <v>77</v>
      </c>
      <c r="DK61" s="9" t="s">
        <v>77</v>
      </c>
      <c r="DN61" s="9" t="s">
        <v>77</v>
      </c>
      <c r="DO61" s="9" t="s">
        <v>77</v>
      </c>
      <c r="DP61" s="9" t="s">
        <v>80</v>
      </c>
      <c r="DQ61" s="9" t="s">
        <v>438</v>
      </c>
      <c r="DR61" s="9" t="s">
        <v>77</v>
      </c>
      <c r="DS61" s="9" t="s">
        <v>78</v>
      </c>
      <c r="DT61" s="9" t="s">
        <v>349</v>
      </c>
      <c r="DU61" s="9" t="s">
        <v>78</v>
      </c>
      <c r="DV61" s="9" t="s">
        <v>77</v>
      </c>
      <c r="DZ61" s="9" t="s">
        <v>77</v>
      </c>
      <c r="EA61" s="9" t="s">
        <v>77</v>
      </c>
      <c r="EB61" s="9" t="s">
        <v>80</v>
      </c>
      <c r="EC61" s="9" t="s">
        <v>438</v>
      </c>
      <c r="ED61" s="9" t="s">
        <v>77</v>
      </c>
      <c r="EE61" s="9" t="s">
        <v>78</v>
      </c>
      <c r="EF61" s="9" t="s">
        <v>349</v>
      </c>
      <c r="EG61" s="9" t="s">
        <v>78</v>
      </c>
      <c r="EH61" s="9" t="s">
        <v>77</v>
      </c>
      <c r="EL61" s="9" t="s">
        <v>77</v>
      </c>
      <c r="EM61" s="9" t="s">
        <v>77</v>
      </c>
      <c r="EN61" s="9" t="s">
        <v>80</v>
      </c>
      <c r="EO61" s="9" t="s">
        <v>438</v>
      </c>
      <c r="EP61" s="9" t="s">
        <v>77</v>
      </c>
      <c r="EQ61" s="9" t="s">
        <v>78</v>
      </c>
      <c r="ER61" s="9" t="s">
        <v>349</v>
      </c>
      <c r="ES61" s="9" t="s">
        <v>78</v>
      </c>
      <c r="ET61" s="9" t="s">
        <v>77</v>
      </c>
      <c r="EX61" s="9" t="s">
        <v>77</v>
      </c>
      <c r="EY61" s="9" t="s">
        <v>77</v>
      </c>
      <c r="EZ61" s="9" t="s">
        <v>80</v>
      </c>
      <c r="FA61" s="9" t="s">
        <v>438</v>
      </c>
      <c r="FB61" s="9" t="s">
        <v>77</v>
      </c>
      <c r="FC61" s="9" t="s">
        <v>78</v>
      </c>
      <c r="FD61" s="9" t="s">
        <v>349</v>
      </c>
      <c r="FE61" s="9" t="s">
        <v>78</v>
      </c>
      <c r="FF61" s="9" t="s">
        <v>77</v>
      </c>
    </row>
    <row r="62" spans="50:162">
      <c r="AX62" s="9" t="s">
        <v>77</v>
      </c>
      <c r="AY62" s="9" t="s">
        <v>77</v>
      </c>
      <c r="AZ62" s="9" t="s">
        <v>80</v>
      </c>
      <c r="BA62" s="9" t="s">
        <v>438</v>
      </c>
      <c r="BB62" s="9" t="s">
        <v>79</v>
      </c>
      <c r="BC62" s="9" t="s">
        <v>78</v>
      </c>
      <c r="BD62" s="9" t="s">
        <v>349</v>
      </c>
      <c r="BE62" s="9" t="s">
        <v>78</v>
      </c>
      <c r="BF62" s="9" t="s">
        <v>77</v>
      </c>
      <c r="BI62" s="9" t="s">
        <v>77</v>
      </c>
      <c r="BJ62" s="9" t="s">
        <v>80</v>
      </c>
      <c r="BK62" s="9" t="s">
        <v>348</v>
      </c>
      <c r="BL62" s="9" t="s">
        <v>579</v>
      </c>
      <c r="BM62" s="9" t="s">
        <v>80</v>
      </c>
      <c r="BN62" s="9" t="s">
        <v>348</v>
      </c>
      <c r="BO62" s="9" t="s">
        <v>579</v>
      </c>
      <c r="BP62" s="9" t="s">
        <v>77</v>
      </c>
      <c r="BQ62" s="9" t="s">
        <v>77</v>
      </c>
      <c r="BR62" s="9" t="s">
        <v>77</v>
      </c>
      <c r="BS62" s="9" t="s">
        <v>77</v>
      </c>
      <c r="BT62" s="9" t="s">
        <v>77</v>
      </c>
      <c r="BU62" s="9" t="s">
        <v>77</v>
      </c>
      <c r="BV62" s="9" t="s">
        <v>78</v>
      </c>
      <c r="BW62" s="9" t="s">
        <v>78</v>
      </c>
      <c r="BX62" s="9" t="s">
        <v>78</v>
      </c>
      <c r="CB62" s="9" t="s">
        <v>77</v>
      </c>
      <c r="CC62" s="9" t="s">
        <v>80</v>
      </c>
      <c r="CD62" s="9" t="s">
        <v>77</v>
      </c>
      <c r="CE62" s="9" t="s">
        <v>77</v>
      </c>
      <c r="CF62" s="9" t="s">
        <v>77</v>
      </c>
      <c r="CG62" s="9" t="s">
        <v>80</v>
      </c>
      <c r="CH62" s="9" t="s">
        <v>348</v>
      </c>
      <c r="CI62" s="9" t="s">
        <v>580</v>
      </c>
      <c r="CJ62" s="9" t="s">
        <v>80</v>
      </c>
      <c r="CK62" s="9" t="s">
        <v>348</v>
      </c>
      <c r="CL62" s="9" t="s">
        <v>580</v>
      </c>
      <c r="CM62" s="9" t="s">
        <v>77</v>
      </c>
      <c r="CN62" s="9" t="s">
        <v>77</v>
      </c>
      <c r="CO62" s="9" t="s">
        <v>78</v>
      </c>
      <c r="CS62" s="9" t="s">
        <v>80</v>
      </c>
      <c r="CT62" s="9" t="s">
        <v>348</v>
      </c>
      <c r="CU62" s="9" t="s">
        <v>579</v>
      </c>
      <c r="CV62" s="9" t="s">
        <v>80</v>
      </c>
      <c r="CW62" s="9" t="s">
        <v>348</v>
      </c>
      <c r="CX62" s="9" t="s">
        <v>579</v>
      </c>
      <c r="CY62" s="9" t="s">
        <v>77</v>
      </c>
      <c r="CZ62" s="9" t="s">
        <v>77</v>
      </c>
      <c r="DA62" s="9" t="s">
        <v>78</v>
      </c>
      <c r="DE62" s="9" t="s">
        <v>77</v>
      </c>
      <c r="DF62" s="9" t="s">
        <v>78</v>
      </c>
      <c r="DG62" s="9" t="s">
        <v>78</v>
      </c>
      <c r="DH62" s="9" t="s">
        <v>78</v>
      </c>
      <c r="DI62" s="9" t="s">
        <v>581</v>
      </c>
      <c r="DJ62" s="9" t="s">
        <v>77</v>
      </c>
      <c r="DK62" s="9" t="s">
        <v>77</v>
      </c>
      <c r="DN62" s="9" t="s">
        <v>77</v>
      </c>
      <c r="DO62" s="9" t="s">
        <v>77</v>
      </c>
      <c r="DP62" s="9" t="s">
        <v>80</v>
      </c>
      <c r="DQ62" s="9" t="s">
        <v>438</v>
      </c>
      <c r="DR62" s="9" t="s">
        <v>77</v>
      </c>
      <c r="DS62" s="9" t="s">
        <v>78</v>
      </c>
      <c r="DT62" s="9" t="s">
        <v>349</v>
      </c>
      <c r="DU62" s="9" t="s">
        <v>78</v>
      </c>
      <c r="DV62" s="9" t="s">
        <v>77</v>
      </c>
      <c r="DZ62" s="9" t="s">
        <v>77</v>
      </c>
      <c r="EA62" s="9" t="s">
        <v>77</v>
      </c>
      <c r="EB62" s="9" t="s">
        <v>80</v>
      </c>
      <c r="EC62" s="9" t="s">
        <v>438</v>
      </c>
      <c r="ED62" s="9" t="s">
        <v>77</v>
      </c>
      <c r="EE62" s="9" t="s">
        <v>78</v>
      </c>
      <c r="EF62" s="9" t="s">
        <v>349</v>
      </c>
      <c r="EG62" s="9" t="s">
        <v>78</v>
      </c>
      <c r="EH62" s="9" t="s">
        <v>77</v>
      </c>
      <c r="EL62" s="9" t="s">
        <v>77</v>
      </c>
      <c r="EM62" s="9" t="s">
        <v>77</v>
      </c>
      <c r="EN62" s="9" t="s">
        <v>80</v>
      </c>
      <c r="EO62" s="9" t="s">
        <v>438</v>
      </c>
      <c r="EP62" s="9" t="s">
        <v>77</v>
      </c>
      <c r="EQ62" s="9" t="s">
        <v>78</v>
      </c>
      <c r="ER62" s="9" t="s">
        <v>349</v>
      </c>
      <c r="ES62" s="9" t="s">
        <v>78</v>
      </c>
      <c r="ET62" s="9" t="s">
        <v>77</v>
      </c>
      <c r="EX62" s="9" t="s">
        <v>77</v>
      </c>
      <c r="EY62" s="9" t="s">
        <v>77</v>
      </c>
      <c r="EZ62" s="9" t="s">
        <v>80</v>
      </c>
      <c r="FA62" s="9" t="s">
        <v>438</v>
      </c>
      <c r="FB62" s="9" t="s">
        <v>77</v>
      </c>
      <c r="FC62" s="9" t="s">
        <v>78</v>
      </c>
      <c r="FD62" s="9" t="s">
        <v>349</v>
      </c>
      <c r="FE62" s="9" t="s">
        <v>78</v>
      </c>
      <c r="FF62" s="9" t="s">
        <v>77</v>
      </c>
    </row>
    <row r="63" spans="50:162">
      <c r="AX63" s="9" t="s">
        <v>77</v>
      </c>
      <c r="AY63" s="9" t="s">
        <v>77</v>
      </c>
      <c r="AZ63" s="9" t="s">
        <v>80</v>
      </c>
      <c r="BA63" s="9" t="s">
        <v>438</v>
      </c>
      <c r="BB63" s="9" t="s">
        <v>79</v>
      </c>
      <c r="BC63" s="9" t="s">
        <v>78</v>
      </c>
      <c r="BD63" s="9" t="s">
        <v>349</v>
      </c>
      <c r="BE63" s="9" t="s">
        <v>78</v>
      </c>
      <c r="BF63" s="9" t="s">
        <v>77</v>
      </c>
      <c r="BI63" s="9" t="s">
        <v>77</v>
      </c>
      <c r="BJ63" s="9" t="s">
        <v>80</v>
      </c>
      <c r="BK63" s="9" t="s">
        <v>348</v>
      </c>
      <c r="BL63" s="9" t="s">
        <v>582</v>
      </c>
      <c r="BM63" s="9" t="s">
        <v>80</v>
      </c>
      <c r="BN63" s="9" t="s">
        <v>348</v>
      </c>
      <c r="BO63" s="9" t="s">
        <v>582</v>
      </c>
      <c r="BP63" s="9" t="s">
        <v>77</v>
      </c>
      <c r="BQ63" s="9" t="s">
        <v>77</v>
      </c>
      <c r="BR63" s="9" t="s">
        <v>77</v>
      </c>
      <c r="BS63" s="9" t="s">
        <v>77</v>
      </c>
      <c r="BT63" s="9" t="s">
        <v>77</v>
      </c>
      <c r="BU63" s="9" t="s">
        <v>77</v>
      </c>
      <c r="BV63" s="9" t="s">
        <v>78</v>
      </c>
      <c r="BW63" s="9" t="s">
        <v>78</v>
      </c>
      <c r="BX63" s="9" t="s">
        <v>78</v>
      </c>
      <c r="CB63" s="9" t="s">
        <v>77</v>
      </c>
      <c r="CC63" s="9" t="s">
        <v>80</v>
      </c>
      <c r="CD63" s="9" t="s">
        <v>77</v>
      </c>
      <c r="CE63" s="9" t="s">
        <v>77</v>
      </c>
      <c r="CF63" s="9" t="s">
        <v>77</v>
      </c>
      <c r="CG63" s="9" t="s">
        <v>80</v>
      </c>
      <c r="CH63" s="9" t="s">
        <v>348</v>
      </c>
      <c r="CI63" s="9" t="s">
        <v>582</v>
      </c>
      <c r="CJ63" s="9" t="s">
        <v>80</v>
      </c>
      <c r="CK63" s="9" t="s">
        <v>348</v>
      </c>
      <c r="CL63" s="9" t="s">
        <v>582</v>
      </c>
      <c r="CM63" s="9" t="s">
        <v>77</v>
      </c>
      <c r="CN63" s="9" t="s">
        <v>77</v>
      </c>
      <c r="CO63" s="9" t="s">
        <v>78</v>
      </c>
      <c r="CS63" s="9" t="s">
        <v>80</v>
      </c>
      <c r="CT63" s="9" t="s">
        <v>348</v>
      </c>
      <c r="CU63" s="9" t="s">
        <v>582</v>
      </c>
      <c r="CV63" s="9" t="s">
        <v>80</v>
      </c>
      <c r="CW63" s="9" t="s">
        <v>348</v>
      </c>
      <c r="CX63" s="9" t="s">
        <v>582</v>
      </c>
      <c r="CY63" s="9" t="s">
        <v>77</v>
      </c>
      <c r="CZ63" s="9" t="s">
        <v>77</v>
      </c>
      <c r="DA63" s="9" t="s">
        <v>78</v>
      </c>
      <c r="DE63" s="9" t="s">
        <v>77</v>
      </c>
      <c r="DF63" s="9" t="s">
        <v>78</v>
      </c>
      <c r="DG63" s="9" t="s">
        <v>78</v>
      </c>
      <c r="DH63" s="9" t="s">
        <v>78</v>
      </c>
      <c r="DI63" s="9" t="s">
        <v>583</v>
      </c>
      <c r="DJ63" s="9" t="s">
        <v>77</v>
      </c>
      <c r="DK63" s="9" t="s">
        <v>77</v>
      </c>
      <c r="DN63" s="9" t="s">
        <v>77</v>
      </c>
      <c r="DO63" s="9" t="s">
        <v>77</v>
      </c>
      <c r="DP63" s="9" t="s">
        <v>80</v>
      </c>
      <c r="DQ63" s="9" t="s">
        <v>438</v>
      </c>
      <c r="DR63" s="9" t="s">
        <v>77</v>
      </c>
      <c r="DS63" s="9" t="s">
        <v>78</v>
      </c>
      <c r="DT63" s="9" t="s">
        <v>349</v>
      </c>
      <c r="DU63" s="9" t="s">
        <v>78</v>
      </c>
      <c r="DV63" s="9" t="s">
        <v>77</v>
      </c>
      <c r="DZ63" s="9" t="s">
        <v>77</v>
      </c>
      <c r="EA63" s="9" t="s">
        <v>77</v>
      </c>
      <c r="EB63" s="9" t="s">
        <v>80</v>
      </c>
      <c r="EC63" s="9" t="s">
        <v>438</v>
      </c>
      <c r="ED63" s="9" t="s">
        <v>77</v>
      </c>
      <c r="EE63" s="9" t="s">
        <v>78</v>
      </c>
      <c r="EF63" s="9" t="s">
        <v>349</v>
      </c>
      <c r="EG63" s="9" t="s">
        <v>78</v>
      </c>
      <c r="EH63" s="9" t="s">
        <v>77</v>
      </c>
      <c r="EL63" s="9" t="s">
        <v>77</v>
      </c>
      <c r="EM63" s="9" t="s">
        <v>77</v>
      </c>
      <c r="EN63" s="9" t="s">
        <v>80</v>
      </c>
      <c r="EO63" s="9" t="s">
        <v>438</v>
      </c>
      <c r="EP63" s="9" t="s">
        <v>77</v>
      </c>
      <c r="EQ63" s="9" t="s">
        <v>78</v>
      </c>
      <c r="ER63" s="9" t="s">
        <v>349</v>
      </c>
      <c r="ES63" s="9" t="s">
        <v>78</v>
      </c>
      <c r="ET63" s="9" t="s">
        <v>77</v>
      </c>
      <c r="EX63" s="9" t="s">
        <v>77</v>
      </c>
      <c r="EY63" s="9" t="s">
        <v>77</v>
      </c>
      <c r="EZ63" s="9" t="s">
        <v>80</v>
      </c>
      <c r="FA63" s="9" t="s">
        <v>438</v>
      </c>
      <c r="FB63" s="9" t="s">
        <v>77</v>
      </c>
      <c r="FC63" s="9" t="s">
        <v>78</v>
      </c>
      <c r="FD63" s="9" t="s">
        <v>349</v>
      </c>
      <c r="FE63" s="9" t="s">
        <v>78</v>
      </c>
      <c r="FF63" s="9" t="s">
        <v>77</v>
      </c>
    </row>
    <row r="64" spans="50:162">
      <c r="AX64" s="9" t="s">
        <v>77</v>
      </c>
      <c r="AY64" s="9" t="s">
        <v>77</v>
      </c>
      <c r="AZ64" s="9" t="s">
        <v>80</v>
      </c>
      <c r="BA64" s="9" t="s">
        <v>438</v>
      </c>
      <c r="BB64" s="9" t="s">
        <v>79</v>
      </c>
      <c r="BC64" s="9" t="s">
        <v>78</v>
      </c>
      <c r="BD64" s="9" t="s">
        <v>349</v>
      </c>
      <c r="BE64" s="9" t="s">
        <v>78</v>
      </c>
      <c r="BF64" s="9" t="s">
        <v>77</v>
      </c>
      <c r="BI64" s="9" t="s">
        <v>77</v>
      </c>
      <c r="BJ64" s="9" t="s">
        <v>80</v>
      </c>
      <c r="BK64" s="9" t="s">
        <v>348</v>
      </c>
      <c r="BL64" s="9" t="s">
        <v>584</v>
      </c>
      <c r="BM64" s="9" t="s">
        <v>80</v>
      </c>
      <c r="BN64" s="9" t="s">
        <v>348</v>
      </c>
      <c r="BO64" s="9" t="s">
        <v>584</v>
      </c>
      <c r="BP64" s="9" t="s">
        <v>77</v>
      </c>
      <c r="BQ64" s="9" t="s">
        <v>77</v>
      </c>
      <c r="BR64" s="9" t="s">
        <v>77</v>
      </c>
      <c r="BS64" s="9" t="s">
        <v>77</v>
      </c>
      <c r="BT64" s="9" t="s">
        <v>77</v>
      </c>
      <c r="BU64" s="9" t="s">
        <v>77</v>
      </c>
      <c r="BV64" s="9" t="s">
        <v>78</v>
      </c>
      <c r="BW64" s="9" t="s">
        <v>78</v>
      </c>
      <c r="BX64" s="9" t="s">
        <v>78</v>
      </c>
      <c r="CB64" s="9" t="s">
        <v>77</v>
      </c>
      <c r="CC64" s="9" t="s">
        <v>80</v>
      </c>
      <c r="CD64" s="9" t="s">
        <v>77</v>
      </c>
      <c r="CE64" s="9" t="s">
        <v>77</v>
      </c>
      <c r="CF64" s="9" t="s">
        <v>77</v>
      </c>
      <c r="CG64" s="9" t="s">
        <v>80</v>
      </c>
      <c r="CH64" s="9" t="s">
        <v>348</v>
      </c>
      <c r="CI64" s="9" t="s">
        <v>585</v>
      </c>
      <c r="CJ64" s="9" t="s">
        <v>80</v>
      </c>
      <c r="CK64" s="9" t="s">
        <v>348</v>
      </c>
      <c r="CL64" s="9" t="s">
        <v>585</v>
      </c>
      <c r="CM64" s="9" t="s">
        <v>77</v>
      </c>
      <c r="CN64" s="9" t="s">
        <v>77</v>
      </c>
      <c r="CO64" s="9" t="s">
        <v>78</v>
      </c>
      <c r="CS64" s="9" t="s">
        <v>80</v>
      </c>
      <c r="CT64" s="9" t="s">
        <v>348</v>
      </c>
      <c r="CU64" s="9" t="s">
        <v>585</v>
      </c>
      <c r="CV64" s="9" t="s">
        <v>80</v>
      </c>
      <c r="CW64" s="9" t="s">
        <v>348</v>
      </c>
      <c r="CX64" s="9" t="s">
        <v>585</v>
      </c>
      <c r="CY64" s="9" t="s">
        <v>77</v>
      </c>
      <c r="CZ64" s="9" t="s">
        <v>77</v>
      </c>
      <c r="DA64" s="9" t="s">
        <v>78</v>
      </c>
      <c r="DE64" s="9" t="s">
        <v>77</v>
      </c>
      <c r="DF64" s="9" t="s">
        <v>78</v>
      </c>
      <c r="DG64" s="9" t="s">
        <v>78</v>
      </c>
      <c r="DH64" s="9" t="s">
        <v>78</v>
      </c>
      <c r="DI64" s="9" t="s">
        <v>584</v>
      </c>
      <c r="DJ64" s="9" t="s">
        <v>77</v>
      </c>
      <c r="DK64" s="9" t="s">
        <v>77</v>
      </c>
      <c r="DN64" s="9" t="s">
        <v>77</v>
      </c>
      <c r="DO64" s="9" t="s">
        <v>77</v>
      </c>
      <c r="DP64" s="9" t="s">
        <v>80</v>
      </c>
      <c r="DQ64" s="9" t="s">
        <v>438</v>
      </c>
      <c r="DR64" s="9" t="s">
        <v>77</v>
      </c>
      <c r="DS64" s="9" t="s">
        <v>78</v>
      </c>
      <c r="DT64" s="9" t="s">
        <v>349</v>
      </c>
      <c r="DU64" s="9" t="s">
        <v>78</v>
      </c>
      <c r="DV64" s="9" t="s">
        <v>77</v>
      </c>
      <c r="DZ64" s="9" t="s">
        <v>77</v>
      </c>
      <c r="EA64" s="9" t="s">
        <v>77</v>
      </c>
      <c r="EB64" s="9" t="s">
        <v>80</v>
      </c>
      <c r="EC64" s="9" t="s">
        <v>438</v>
      </c>
      <c r="ED64" s="9" t="s">
        <v>77</v>
      </c>
      <c r="EE64" s="9" t="s">
        <v>78</v>
      </c>
      <c r="EF64" s="9" t="s">
        <v>349</v>
      </c>
      <c r="EG64" s="9" t="s">
        <v>78</v>
      </c>
      <c r="EH64" s="9" t="s">
        <v>77</v>
      </c>
      <c r="EL64" s="9" t="s">
        <v>77</v>
      </c>
      <c r="EM64" s="9" t="s">
        <v>77</v>
      </c>
      <c r="EN64" s="9" t="s">
        <v>80</v>
      </c>
      <c r="EO64" s="9" t="s">
        <v>438</v>
      </c>
      <c r="EP64" s="9" t="s">
        <v>77</v>
      </c>
      <c r="EQ64" s="9" t="s">
        <v>78</v>
      </c>
      <c r="ER64" s="9" t="s">
        <v>349</v>
      </c>
      <c r="ES64" s="9" t="s">
        <v>78</v>
      </c>
      <c r="ET64" s="9" t="s">
        <v>77</v>
      </c>
      <c r="EX64" s="9" t="s">
        <v>77</v>
      </c>
      <c r="EY64" s="9" t="s">
        <v>77</v>
      </c>
      <c r="EZ64" s="9" t="s">
        <v>80</v>
      </c>
      <c r="FA64" s="9" t="s">
        <v>438</v>
      </c>
      <c r="FB64" s="9" t="s">
        <v>77</v>
      </c>
      <c r="FC64" s="9" t="s">
        <v>78</v>
      </c>
      <c r="FD64" s="9" t="s">
        <v>349</v>
      </c>
      <c r="FE64" s="9" t="s">
        <v>78</v>
      </c>
      <c r="FF64" s="9" t="s">
        <v>77</v>
      </c>
    </row>
    <row r="65" spans="50:162">
      <c r="AX65" s="9" t="s">
        <v>77</v>
      </c>
      <c r="AY65" s="9" t="s">
        <v>77</v>
      </c>
      <c r="AZ65" s="9" t="s">
        <v>80</v>
      </c>
      <c r="BA65" s="9" t="s">
        <v>438</v>
      </c>
      <c r="BB65" s="9" t="s">
        <v>79</v>
      </c>
      <c r="BC65" s="9" t="s">
        <v>78</v>
      </c>
      <c r="BD65" s="9" t="s">
        <v>349</v>
      </c>
      <c r="BE65" s="9" t="s">
        <v>78</v>
      </c>
      <c r="BF65" s="9" t="s">
        <v>77</v>
      </c>
      <c r="BI65" s="9" t="s">
        <v>77</v>
      </c>
      <c r="BJ65" s="9" t="s">
        <v>80</v>
      </c>
      <c r="BK65" s="9" t="s">
        <v>348</v>
      </c>
      <c r="BL65" s="9" t="s">
        <v>586</v>
      </c>
      <c r="BM65" s="9" t="s">
        <v>80</v>
      </c>
      <c r="BN65" s="9" t="s">
        <v>348</v>
      </c>
      <c r="BO65" s="9" t="s">
        <v>586</v>
      </c>
      <c r="BP65" s="9" t="s">
        <v>77</v>
      </c>
      <c r="BQ65" s="9" t="s">
        <v>77</v>
      </c>
      <c r="BR65" s="9" t="s">
        <v>77</v>
      </c>
      <c r="BS65" s="9" t="s">
        <v>77</v>
      </c>
      <c r="BT65" s="9" t="s">
        <v>77</v>
      </c>
      <c r="BU65" s="9" t="s">
        <v>77</v>
      </c>
      <c r="BV65" s="9" t="s">
        <v>78</v>
      </c>
      <c r="BW65" s="9" t="s">
        <v>78</v>
      </c>
      <c r="BX65" s="9" t="s">
        <v>78</v>
      </c>
      <c r="CB65" s="9" t="s">
        <v>77</v>
      </c>
      <c r="CC65" s="9" t="s">
        <v>80</v>
      </c>
      <c r="CD65" s="9" t="s">
        <v>77</v>
      </c>
      <c r="CE65" s="9" t="s">
        <v>77</v>
      </c>
      <c r="CF65" s="9" t="s">
        <v>77</v>
      </c>
      <c r="CG65" s="9" t="s">
        <v>80</v>
      </c>
      <c r="CH65" s="9" t="s">
        <v>348</v>
      </c>
      <c r="CI65" s="9" t="s">
        <v>587</v>
      </c>
      <c r="CJ65" s="9" t="s">
        <v>80</v>
      </c>
      <c r="CK65" s="9" t="s">
        <v>348</v>
      </c>
      <c r="CL65" s="9" t="s">
        <v>587</v>
      </c>
      <c r="CM65" s="9" t="s">
        <v>77</v>
      </c>
      <c r="CN65" s="9" t="s">
        <v>77</v>
      </c>
      <c r="CO65" s="9" t="s">
        <v>78</v>
      </c>
      <c r="CS65" s="9" t="s">
        <v>80</v>
      </c>
      <c r="CT65" s="9" t="s">
        <v>348</v>
      </c>
      <c r="CU65" s="9" t="s">
        <v>586</v>
      </c>
      <c r="CV65" s="9" t="s">
        <v>80</v>
      </c>
      <c r="CW65" s="9" t="s">
        <v>348</v>
      </c>
      <c r="CX65" s="9" t="s">
        <v>586</v>
      </c>
      <c r="CY65" s="9" t="s">
        <v>77</v>
      </c>
      <c r="CZ65" s="9" t="s">
        <v>77</v>
      </c>
      <c r="DA65" s="9" t="s">
        <v>78</v>
      </c>
      <c r="DE65" s="9" t="s">
        <v>77</v>
      </c>
      <c r="DF65" s="9" t="s">
        <v>78</v>
      </c>
      <c r="DG65" s="9" t="s">
        <v>78</v>
      </c>
      <c r="DH65" s="9" t="s">
        <v>78</v>
      </c>
      <c r="DI65" s="9" t="s">
        <v>586</v>
      </c>
      <c r="DJ65" s="9" t="s">
        <v>77</v>
      </c>
      <c r="DK65" s="9" t="s">
        <v>77</v>
      </c>
      <c r="DN65" s="9" t="s">
        <v>77</v>
      </c>
      <c r="DO65" s="9" t="s">
        <v>77</v>
      </c>
      <c r="DP65" s="9" t="s">
        <v>80</v>
      </c>
      <c r="DQ65" s="9" t="s">
        <v>438</v>
      </c>
      <c r="DR65" s="9" t="s">
        <v>77</v>
      </c>
      <c r="DS65" s="9" t="s">
        <v>78</v>
      </c>
      <c r="DT65" s="9" t="s">
        <v>349</v>
      </c>
      <c r="DU65" s="9" t="s">
        <v>78</v>
      </c>
      <c r="DV65" s="9" t="s">
        <v>77</v>
      </c>
      <c r="DZ65" s="9" t="s">
        <v>77</v>
      </c>
      <c r="EA65" s="9" t="s">
        <v>77</v>
      </c>
      <c r="EB65" s="9" t="s">
        <v>80</v>
      </c>
      <c r="EC65" s="9" t="s">
        <v>438</v>
      </c>
      <c r="ED65" s="9" t="s">
        <v>77</v>
      </c>
      <c r="EE65" s="9" t="s">
        <v>78</v>
      </c>
      <c r="EF65" s="9" t="s">
        <v>349</v>
      </c>
      <c r="EG65" s="9" t="s">
        <v>78</v>
      </c>
      <c r="EH65" s="9" t="s">
        <v>77</v>
      </c>
      <c r="EL65" s="9" t="s">
        <v>77</v>
      </c>
      <c r="EM65" s="9" t="s">
        <v>77</v>
      </c>
      <c r="EN65" s="9" t="s">
        <v>80</v>
      </c>
      <c r="EO65" s="9" t="s">
        <v>438</v>
      </c>
      <c r="EP65" s="9" t="s">
        <v>77</v>
      </c>
      <c r="EQ65" s="9" t="s">
        <v>78</v>
      </c>
      <c r="ER65" s="9" t="s">
        <v>349</v>
      </c>
      <c r="ES65" s="9" t="s">
        <v>78</v>
      </c>
      <c r="ET65" s="9" t="s">
        <v>77</v>
      </c>
      <c r="EX65" s="9" t="s">
        <v>77</v>
      </c>
      <c r="EY65" s="9" t="s">
        <v>77</v>
      </c>
      <c r="EZ65" s="9" t="s">
        <v>80</v>
      </c>
      <c r="FA65" s="9" t="s">
        <v>438</v>
      </c>
      <c r="FB65" s="9" t="s">
        <v>77</v>
      </c>
      <c r="FC65" s="9" t="s">
        <v>78</v>
      </c>
      <c r="FD65" s="9" t="s">
        <v>349</v>
      </c>
      <c r="FE65" s="9" t="s">
        <v>78</v>
      </c>
      <c r="FF65" s="9" t="s">
        <v>77</v>
      </c>
    </row>
    <row r="66" spans="50:162">
      <c r="AX66" s="9" t="s">
        <v>77</v>
      </c>
      <c r="AY66" s="9" t="s">
        <v>77</v>
      </c>
      <c r="AZ66" s="9" t="s">
        <v>80</v>
      </c>
      <c r="BA66" s="9" t="s">
        <v>438</v>
      </c>
      <c r="BB66" s="9" t="s">
        <v>79</v>
      </c>
      <c r="BC66" s="9" t="s">
        <v>78</v>
      </c>
      <c r="BD66" s="9" t="s">
        <v>349</v>
      </c>
      <c r="BE66" s="9" t="s">
        <v>78</v>
      </c>
      <c r="BF66" s="9" t="s">
        <v>77</v>
      </c>
      <c r="BI66" s="9" t="s">
        <v>77</v>
      </c>
      <c r="BJ66" s="9" t="s">
        <v>80</v>
      </c>
      <c r="BK66" s="9" t="s">
        <v>348</v>
      </c>
      <c r="BL66" s="9" t="s">
        <v>588</v>
      </c>
      <c r="BM66" s="9" t="s">
        <v>80</v>
      </c>
      <c r="BN66" s="9" t="s">
        <v>348</v>
      </c>
      <c r="BO66" s="9" t="s">
        <v>588</v>
      </c>
      <c r="BP66" s="9" t="s">
        <v>77</v>
      </c>
      <c r="BQ66" s="9" t="s">
        <v>77</v>
      </c>
      <c r="BR66" s="9" t="s">
        <v>77</v>
      </c>
      <c r="BS66" s="9" t="s">
        <v>77</v>
      </c>
      <c r="BT66" s="9" t="s">
        <v>77</v>
      </c>
      <c r="BU66" s="9" t="s">
        <v>77</v>
      </c>
      <c r="BV66" s="9" t="s">
        <v>78</v>
      </c>
      <c r="BW66" s="9" t="s">
        <v>78</v>
      </c>
      <c r="BX66" s="9" t="s">
        <v>78</v>
      </c>
      <c r="CB66" s="9" t="s">
        <v>77</v>
      </c>
      <c r="CC66" s="9" t="s">
        <v>80</v>
      </c>
      <c r="CD66" s="9" t="s">
        <v>77</v>
      </c>
      <c r="CE66" s="9" t="s">
        <v>77</v>
      </c>
      <c r="CF66" s="9" t="s">
        <v>77</v>
      </c>
      <c r="CG66" s="9" t="s">
        <v>80</v>
      </c>
      <c r="CH66" s="9" t="s">
        <v>348</v>
      </c>
      <c r="CI66" s="9" t="s">
        <v>588</v>
      </c>
      <c r="CJ66" s="9" t="s">
        <v>80</v>
      </c>
      <c r="CK66" s="9" t="s">
        <v>348</v>
      </c>
      <c r="CL66" s="9" t="s">
        <v>588</v>
      </c>
      <c r="CM66" s="9" t="s">
        <v>77</v>
      </c>
      <c r="CN66" s="9" t="s">
        <v>77</v>
      </c>
      <c r="CO66" s="9" t="s">
        <v>78</v>
      </c>
      <c r="CS66" s="9" t="s">
        <v>80</v>
      </c>
      <c r="CT66" s="9" t="s">
        <v>348</v>
      </c>
      <c r="CU66" s="9" t="s">
        <v>588</v>
      </c>
      <c r="CV66" s="9" t="s">
        <v>80</v>
      </c>
      <c r="CW66" s="9" t="s">
        <v>348</v>
      </c>
      <c r="CX66" s="9" t="s">
        <v>588</v>
      </c>
      <c r="CY66" s="9" t="s">
        <v>77</v>
      </c>
      <c r="CZ66" s="9" t="s">
        <v>77</v>
      </c>
      <c r="DA66" s="9" t="s">
        <v>78</v>
      </c>
      <c r="DE66" s="9" t="s">
        <v>77</v>
      </c>
      <c r="DF66" s="9" t="s">
        <v>78</v>
      </c>
      <c r="DG66" s="9" t="s">
        <v>78</v>
      </c>
      <c r="DH66" s="9" t="s">
        <v>78</v>
      </c>
      <c r="DI66" s="9" t="s">
        <v>589</v>
      </c>
      <c r="DJ66" s="9" t="s">
        <v>77</v>
      </c>
      <c r="DK66" s="9" t="s">
        <v>77</v>
      </c>
      <c r="DN66" s="9" t="s">
        <v>77</v>
      </c>
      <c r="DO66" s="9" t="s">
        <v>77</v>
      </c>
      <c r="DP66" s="9" t="s">
        <v>80</v>
      </c>
      <c r="DQ66" s="9" t="s">
        <v>438</v>
      </c>
      <c r="DR66" s="9" t="s">
        <v>77</v>
      </c>
      <c r="DS66" s="9" t="s">
        <v>78</v>
      </c>
      <c r="DT66" s="9" t="s">
        <v>349</v>
      </c>
      <c r="DU66" s="9" t="s">
        <v>78</v>
      </c>
      <c r="DV66" s="9" t="s">
        <v>77</v>
      </c>
      <c r="DZ66" s="9" t="s">
        <v>77</v>
      </c>
      <c r="EA66" s="9" t="s">
        <v>77</v>
      </c>
      <c r="EB66" s="9" t="s">
        <v>80</v>
      </c>
      <c r="EC66" s="9" t="s">
        <v>438</v>
      </c>
      <c r="ED66" s="9" t="s">
        <v>77</v>
      </c>
      <c r="EE66" s="9" t="s">
        <v>78</v>
      </c>
      <c r="EF66" s="9" t="s">
        <v>349</v>
      </c>
      <c r="EG66" s="9" t="s">
        <v>78</v>
      </c>
      <c r="EH66" s="9" t="s">
        <v>77</v>
      </c>
      <c r="EL66" s="9" t="s">
        <v>77</v>
      </c>
      <c r="EM66" s="9" t="s">
        <v>77</v>
      </c>
      <c r="EN66" s="9" t="s">
        <v>80</v>
      </c>
      <c r="EO66" s="9" t="s">
        <v>438</v>
      </c>
      <c r="EP66" s="9" t="s">
        <v>77</v>
      </c>
      <c r="EQ66" s="9" t="s">
        <v>78</v>
      </c>
      <c r="ER66" s="9" t="s">
        <v>349</v>
      </c>
      <c r="ES66" s="9" t="s">
        <v>78</v>
      </c>
      <c r="ET66" s="9" t="s">
        <v>77</v>
      </c>
      <c r="EX66" s="9" t="s">
        <v>77</v>
      </c>
      <c r="EY66" s="9" t="s">
        <v>77</v>
      </c>
      <c r="EZ66" s="9" t="s">
        <v>80</v>
      </c>
      <c r="FA66" s="9" t="s">
        <v>438</v>
      </c>
      <c r="FB66" s="9" t="s">
        <v>77</v>
      </c>
      <c r="FC66" s="9" t="s">
        <v>78</v>
      </c>
      <c r="FD66" s="9" t="s">
        <v>349</v>
      </c>
      <c r="FE66" s="9" t="s">
        <v>78</v>
      </c>
      <c r="FF66" s="9" t="s">
        <v>77</v>
      </c>
    </row>
    <row r="67" spans="50:162">
      <c r="AX67" s="9" t="s">
        <v>77</v>
      </c>
      <c r="AY67" s="9" t="s">
        <v>77</v>
      </c>
      <c r="AZ67" s="9" t="s">
        <v>80</v>
      </c>
      <c r="BA67" s="9" t="s">
        <v>438</v>
      </c>
      <c r="BB67" s="9" t="s">
        <v>79</v>
      </c>
      <c r="BC67" s="9" t="s">
        <v>78</v>
      </c>
      <c r="BD67" s="9" t="s">
        <v>349</v>
      </c>
      <c r="BE67" s="9" t="s">
        <v>78</v>
      </c>
      <c r="BF67" s="9" t="s">
        <v>77</v>
      </c>
      <c r="BI67" s="9" t="s">
        <v>77</v>
      </c>
      <c r="BJ67" s="9" t="s">
        <v>80</v>
      </c>
      <c r="BK67" s="9" t="s">
        <v>348</v>
      </c>
      <c r="BL67" s="9" t="s">
        <v>590</v>
      </c>
      <c r="BM67" s="9" t="s">
        <v>80</v>
      </c>
      <c r="BN67" s="9" t="s">
        <v>348</v>
      </c>
      <c r="BO67" s="9" t="s">
        <v>590</v>
      </c>
      <c r="BP67" s="9" t="s">
        <v>77</v>
      </c>
      <c r="BQ67" s="9" t="s">
        <v>77</v>
      </c>
      <c r="BR67" s="9" t="s">
        <v>77</v>
      </c>
      <c r="BS67" s="9" t="s">
        <v>77</v>
      </c>
      <c r="BT67" s="9" t="s">
        <v>77</v>
      </c>
      <c r="BU67" s="9" t="s">
        <v>77</v>
      </c>
      <c r="BV67" s="9" t="s">
        <v>78</v>
      </c>
      <c r="BW67" s="9" t="s">
        <v>78</v>
      </c>
      <c r="BX67" s="9" t="s">
        <v>78</v>
      </c>
      <c r="CB67" s="9" t="s">
        <v>77</v>
      </c>
      <c r="CC67" s="9" t="s">
        <v>80</v>
      </c>
      <c r="CD67" s="9" t="s">
        <v>77</v>
      </c>
      <c r="CE67" s="9" t="s">
        <v>77</v>
      </c>
      <c r="CF67" s="9" t="s">
        <v>77</v>
      </c>
      <c r="CG67" s="9" t="s">
        <v>80</v>
      </c>
      <c r="CH67" s="9" t="s">
        <v>348</v>
      </c>
      <c r="CI67" s="9" t="s">
        <v>590</v>
      </c>
      <c r="CJ67" s="9" t="s">
        <v>80</v>
      </c>
      <c r="CK67" s="9" t="s">
        <v>348</v>
      </c>
      <c r="CL67" s="9" t="s">
        <v>590</v>
      </c>
      <c r="CM67" s="9" t="s">
        <v>77</v>
      </c>
      <c r="CN67" s="9" t="s">
        <v>77</v>
      </c>
      <c r="CO67" s="9" t="s">
        <v>78</v>
      </c>
      <c r="CS67" s="9" t="s">
        <v>80</v>
      </c>
      <c r="CT67" s="9" t="s">
        <v>348</v>
      </c>
      <c r="CU67" s="9" t="s">
        <v>590</v>
      </c>
      <c r="CV67" s="9" t="s">
        <v>80</v>
      </c>
      <c r="CW67" s="9" t="s">
        <v>348</v>
      </c>
      <c r="CX67" s="9" t="s">
        <v>590</v>
      </c>
      <c r="CY67" s="9" t="s">
        <v>77</v>
      </c>
      <c r="CZ67" s="9" t="s">
        <v>77</v>
      </c>
      <c r="DA67" s="9" t="s">
        <v>78</v>
      </c>
      <c r="DE67" s="9" t="s">
        <v>77</v>
      </c>
      <c r="DF67" s="9" t="s">
        <v>78</v>
      </c>
      <c r="DG67" s="9" t="s">
        <v>78</v>
      </c>
      <c r="DH67" s="9" t="s">
        <v>78</v>
      </c>
      <c r="DI67" s="9" t="s">
        <v>591</v>
      </c>
      <c r="DJ67" s="9" t="s">
        <v>77</v>
      </c>
      <c r="DK67" s="9" t="s">
        <v>77</v>
      </c>
      <c r="DN67" s="9" t="s">
        <v>77</v>
      </c>
      <c r="DO67" s="9" t="s">
        <v>77</v>
      </c>
      <c r="DP67" s="9" t="s">
        <v>80</v>
      </c>
      <c r="DQ67" s="9" t="s">
        <v>438</v>
      </c>
      <c r="DR67" s="9" t="s">
        <v>77</v>
      </c>
      <c r="DS67" s="9" t="s">
        <v>78</v>
      </c>
      <c r="DT67" s="9" t="s">
        <v>349</v>
      </c>
      <c r="DU67" s="9" t="s">
        <v>78</v>
      </c>
      <c r="DV67" s="9" t="s">
        <v>77</v>
      </c>
      <c r="DZ67" s="9" t="s">
        <v>77</v>
      </c>
      <c r="EA67" s="9" t="s">
        <v>77</v>
      </c>
      <c r="EB67" s="9" t="s">
        <v>80</v>
      </c>
      <c r="EC67" s="9" t="s">
        <v>438</v>
      </c>
      <c r="ED67" s="9" t="s">
        <v>77</v>
      </c>
      <c r="EE67" s="9" t="s">
        <v>78</v>
      </c>
      <c r="EF67" s="9" t="s">
        <v>349</v>
      </c>
      <c r="EG67" s="9" t="s">
        <v>78</v>
      </c>
      <c r="EH67" s="9" t="s">
        <v>77</v>
      </c>
      <c r="EL67" s="9" t="s">
        <v>77</v>
      </c>
      <c r="EM67" s="9" t="s">
        <v>77</v>
      </c>
      <c r="EN67" s="9" t="s">
        <v>80</v>
      </c>
      <c r="EO67" s="9" t="s">
        <v>438</v>
      </c>
      <c r="EP67" s="9" t="s">
        <v>77</v>
      </c>
      <c r="EQ67" s="9" t="s">
        <v>78</v>
      </c>
      <c r="ER67" s="9" t="s">
        <v>349</v>
      </c>
      <c r="ES67" s="9" t="s">
        <v>78</v>
      </c>
      <c r="ET67" s="9" t="s">
        <v>77</v>
      </c>
      <c r="EX67" s="9" t="s">
        <v>77</v>
      </c>
      <c r="EY67" s="9" t="s">
        <v>77</v>
      </c>
      <c r="EZ67" s="9" t="s">
        <v>80</v>
      </c>
      <c r="FA67" s="9" t="s">
        <v>438</v>
      </c>
      <c r="FB67" s="9" t="s">
        <v>77</v>
      </c>
      <c r="FC67" s="9" t="s">
        <v>78</v>
      </c>
      <c r="FD67" s="9" t="s">
        <v>349</v>
      </c>
      <c r="FE67" s="9" t="s">
        <v>78</v>
      </c>
      <c r="FF67" s="9" t="s">
        <v>77</v>
      </c>
    </row>
    <row r="68" spans="50:162">
      <c r="AX68" s="9" t="s">
        <v>77</v>
      </c>
      <c r="AY68" s="9" t="s">
        <v>77</v>
      </c>
      <c r="AZ68" s="9" t="s">
        <v>80</v>
      </c>
      <c r="BA68" s="9" t="s">
        <v>438</v>
      </c>
      <c r="BB68" s="9" t="s">
        <v>79</v>
      </c>
      <c r="BC68" s="9" t="s">
        <v>78</v>
      </c>
      <c r="BD68" s="9" t="s">
        <v>349</v>
      </c>
      <c r="BE68" s="9" t="s">
        <v>78</v>
      </c>
      <c r="BF68" s="9" t="s">
        <v>77</v>
      </c>
      <c r="BI68" s="9" t="s">
        <v>77</v>
      </c>
      <c r="BJ68" s="9" t="s">
        <v>80</v>
      </c>
      <c r="BK68" s="9" t="s">
        <v>348</v>
      </c>
      <c r="BL68" s="9" t="s">
        <v>592</v>
      </c>
      <c r="BM68" s="9" t="s">
        <v>80</v>
      </c>
      <c r="BN68" s="9" t="s">
        <v>348</v>
      </c>
      <c r="BO68" s="9" t="s">
        <v>592</v>
      </c>
      <c r="BP68" s="9" t="s">
        <v>77</v>
      </c>
      <c r="BQ68" s="9" t="s">
        <v>77</v>
      </c>
      <c r="BR68" s="9" t="s">
        <v>77</v>
      </c>
      <c r="BS68" s="9" t="s">
        <v>77</v>
      </c>
      <c r="BT68" s="9" t="s">
        <v>77</v>
      </c>
      <c r="BU68" s="9" t="s">
        <v>77</v>
      </c>
      <c r="BV68" s="9" t="s">
        <v>78</v>
      </c>
      <c r="BW68" s="9" t="s">
        <v>78</v>
      </c>
      <c r="BX68" s="9" t="s">
        <v>78</v>
      </c>
      <c r="CB68" s="9" t="s">
        <v>77</v>
      </c>
      <c r="CC68" s="9" t="s">
        <v>80</v>
      </c>
      <c r="CD68" s="9" t="s">
        <v>77</v>
      </c>
      <c r="CE68" s="9" t="s">
        <v>77</v>
      </c>
      <c r="CF68" s="9" t="s">
        <v>77</v>
      </c>
      <c r="CG68" s="9" t="s">
        <v>80</v>
      </c>
      <c r="CH68" s="9" t="s">
        <v>348</v>
      </c>
      <c r="CI68" s="9" t="s">
        <v>593</v>
      </c>
      <c r="CJ68" s="9" t="s">
        <v>80</v>
      </c>
      <c r="CK68" s="9" t="s">
        <v>348</v>
      </c>
      <c r="CL68" s="9" t="s">
        <v>593</v>
      </c>
      <c r="CM68" s="9" t="s">
        <v>77</v>
      </c>
      <c r="CN68" s="9" t="s">
        <v>77</v>
      </c>
      <c r="CO68" s="9" t="s">
        <v>78</v>
      </c>
      <c r="CS68" s="9" t="s">
        <v>80</v>
      </c>
      <c r="CT68" s="9" t="s">
        <v>348</v>
      </c>
      <c r="CU68" s="9" t="s">
        <v>592</v>
      </c>
      <c r="CV68" s="9" t="s">
        <v>80</v>
      </c>
      <c r="CW68" s="9" t="s">
        <v>348</v>
      </c>
      <c r="CX68" s="9" t="s">
        <v>592</v>
      </c>
      <c r="CY68" s="9" t="s">
        <v>77</v>
      </c>
      <c r="CZ68" s="9" t="s">
        <v>77</v>
      </c>
      <c r="DA68" s="9" t="s">
        <v>78</v>
      </c>
      <c r="DE68" s="9" t="s">
        <v>77</v>
      </c>
      <c r="DF68" s="9" t="s">
        <v>78</v>
      </c>
      <c r="DG68" s="9" t="s">
        <v>78</v>
      </c>
      <c r="DH68" s="9" t="s">
        <v>78</v>
      </c>
      <c r="DI68" s="9" t="s">
        <v>592</v>
      </c>
      <c r="DJ68" s="9" t="s">
        <v>77</v>
      </c>
      <c r="DK68" s="9" t="s">
        <v>77</v>
      </c>
      <c r="DN68" s="9" t="s">
        <v>77</v>
      </c>
      <c r="DO68" s="9" t="s">
        <v>77</v>
      </c>
      <c r="DP68" s="9" t="s">
        <v>80</v>
      </c>
      <c r="DQ68" s="9" t="s">
        <v>438</v>
      </c>
      <c r="DR68" s="9" t="s">
        <v>77</v>
      </c>
      <c r="DS68" s="9" t="s">
        <v>78</v>
      </c>
      <c r="DT68" s="9" t="s">
        <v>349</v>
      </c>
      <c r="DU68" s="9" t="s">
        <v>78</v>
      </c>
      <c r="DV68" s="9" t="s">
        <v>77</v>
      </c>
      <c r="DZ68" s="9" t="s">
        <v>77</v>
      </c>
      <c r="EA68" s="9" t="s">
        <v>77</v>
      </c>
      <c r="EB68" s="9" t="s">
        <v>80</v>
      </c>
      <c r="EC68" s="9" t="s">
        <v>438</v>
      </c>
      <c r="ED68" s="9" t="s">
        <v>77</v>
      </c>
      <c r="EE68" s="9" t="s">
        <v>78</v>
      </c>
      <c r="EF68" s="9" t="s">
        <v>349</v>
      </c>
      <c r="EG68" s="9" t="s">
        <v>78</v>
      </c>
      <c r="EH68" s="9" t="s">
        <v>77</v>
      </c>
      <c r="EL68" s="9" t="s">
        <v>77</v>
      </c>
      <c r="EM68" s="9" t="s">
        <v>77</v>
      </c>
      <c r="EN68" s="9" t="s">
        <v>80</v>
      </c>
      <c r="EO68" s="9" t="s">
        <v>438</v>
      </c>
      <c r="EP68" s="9" t="s">
        <v>77</v>
      </c>
      <c r="EQ68" s="9" t="s">
        <v>78</v>
      </c>
      <c r="ER68" s="9" t="s">
        <v>349</v>
      </c>
      <c r="ES68" s="9" t="s">
        <v>78</v>
      </c>
      <c r="ET68" s="9" t="s">
        <v>77</v>
      </c>
      <c r="EX68" s="9" t="s">
        <v>77</v>
      </c>
      <c r="EY68" s="9" t="s">
        <v>77</v>
      </c>
      <c r="EZ68" s="9" t="s">
        <v>80</v>
      </c>
      <c r="FA68" s="9" t="s">
        <v>438</v>
      </c>
      <c r="FB68" s="9" t="s">
        <v>77</v>
      </c>
      <c r="FC68" s="9" t="s">
        <v>78</v>
      </c>
      <c r="FD68" s="9" t="s">
        <v>349</v>
      </c>
      <c r="FE68" s="9" t="s">
        <v>78</v>
      </c>
      <c r="FF68" s="9" t="s">
        <v>77</v>
      </c>
    </row>
    <row r="69" spans="50:162">
      <c r="AX69" s="9" t="s">
        <v>77</v>
      </c>
      <c r="AY69" s="9" t="s">
        <v>77</v>
      </c>
      <c r="AZ69" s="9" t="s">
        <v>80</v>
      </c>
      <c r="BA69" s="9" t="s">
        <v>438</v>
      </c>
      <c r="BB69" s="9" t="s">
        <v>79</v>
      </c>
      <c r="BC69" s="9" t="s">
        <v>78</v>
      </c>
      <c r="BD69" s="9" t="s">
        <v>349</v>
      </c>
      <c r="BE69" s="9" t="s">
        <v>78</v>
      </c>
      <c r="BF69" s="9" t="s">
        <v>77</v>
      </c>
      <c r="BI69" s="9" t="s">
        <v>77</v>
      </c>
      <c r="BJ69" s="9" t="s">
        <v>80</v>
      </c>
      <c r="BK69" s="9" t="s">
        <v>348</v>
      </c>
      <c r="BL69" s="9" t="s">
        <v>594</v>
      </c>
      <c r="BM69" s="9" t="s">
        <v>80</v>
      </c>
      <c r="BN69" s="9" t="s">
        <v>348</v>
      </c>
      <c r="BO69" s="9" t="s">
        <v>594</v>
      </c>
      <c r="BP69" s="9" t="s">
        <v>77</v>
      </c>
      <c r="BQ69" s="9" t="s">
        <v>77</v>
      </c>
      <c r="BR69" s="9" t="s">
        <v>77</v>
      </c>
      <c r="BS69" s="9" t="s">
        <v>77</v>
      </c>
      <c r="BT69" s="9" t="s">
        <v>77</v>
      </c>
      <c r="BU69" s="9" t="s">
        <v>77</v>
      </c>
      <c r="BV69" s="9" t="s">
        <v>78</v>
      </c>
      <c r="BW69" s="9" t="s">
        <v>78</v>
      </c>
      <c r="BX69" s="9" t="s">
        <v>78</v>
      </c>
      <c r="CB69" s="9" t="s">
        <v>77</v>
      </c>
      <c r="CC69" s="9" t="s">
        <v>80</v>
      </c>
      <c r="CD69" s="9" t="s">
        <v>77</v>
      </c>
      <c r="CE69" s="9" t="s">
        <v>77</v>
      </c>
      <c r="CF69" s="9" t="s">
        <v>77</v>
      </c>
      <c r="CG69" s="9" t="s">
        <v>80</v>
      </c>
      <c r="CH69" s="9" t="s">
        <v>348</v>
      </c>
      <c r="CI69" s="9" t="s">
        <v>595</v>
      </c>
      <c r="CJ69" s="9" t="s">
        <v>80</v>
      </c>
      <c r="CK69" s="9" t="s">
        <v>348</v>
      </c>
      <c r="CL69" s="9" t="s">
        <v>595</v>
      </c>
      <c r="CM69" s="9" t="s">
        <v>77</v>
      </c>
      <c r="CN69" s="9" t="s">
        <v>77</v>
      </c>
      <c r="CO69" s="9" t="s">
        <v>78</v>
      </c>
      <c r="CS69" s="9" t="s">
        <v>80</v>
      </c>
      <c r="CT69" s="9" t="s">
        <v>348</v>
      </c>
      <c r="CU69" s="9" t="s">
        <v>594</v>
      </c>
      <c r="CV69" s="9" t="s">
        <v>80</v>
      </c>
      <c r="CW69" s="9" t="s">
        <v>348</v>
      </c>
      <c r="CX69" s="9" t="s">
        <v>594</v>
      </c>
      <c r="CY69" s="9" t="s">
        <v>77</v>
      </c>
      <c r="CZ69" s="9" t="s">
        <v>77</v>
      </c>
      <c r="DA69" s="9" t="s">
        <v>78</v>
      </c>
      <c r="DE69" s="9" t="s">
        <v>77</v>
      </c>
      <c r="DF69" s="9" t="s">
        <v>78</v>
      </c>
      <c r="DG69" s="9" t="s">
        <v>78</v>
      </c>
      <c r="DH69" s="9" t="s">
        <v>78</v>
      </c>
      <c r="DI69" s="9" t="s">
        <v>596</v>
      </c>
      <c r="DJ69" s="9" t="s">
        <v>77</v>
      </c>
      <c r="DK69" s="9" t="s">
        <v>77</v>
      </c>
      <c r="DN69" s="9" t="s">
        <v>77</v>
      </c>
      <c r="DO69" s="9" t="s">
        <v>77</v>
      </c>
      <c r="DP69" s="9" t="s">
        <v>80</v>
      </c>
      <c r="DQ69" s="9" t="s">
        <v>438</v>
      </c>
      <c r="DR69" s="9" t="s">
        <v>77</v>
      </c>
      <c r="DS69" s="9" t="s">
        <v>78</v>
      </c>
      <c r="DT69" s="9" t="s">
        <v>349</v>
      </c>
      <c r="DU69" s="9" t="s">
        <v>78</v>
      </c>
      <c r="DV69" s="9" t="s">
        <v>77</v>
      </c>
      <c r="DZ69" s="9" t="s">
        <v>77</v>
      </c>
      <c r="EA69" s="9" t="s">
        <v>77</v>
      </c>
      <c r="EB69" s="9" t="s">
        <v>80</v>
      </c>
      <c r="EC69" s="9" t="s">
        <v>438</v>
      </c>
      <c r="ED69" s="9" t="s">
        <v>77</v>
      </c>
      <c r="EE69" s="9" t="s">
        <v>78</v>
      </c>
      <c r="EF69" s="9" t="s">
        <v>349</v>
      </c>
      <c r="EG69" s="9" t="s">
        <v>78</v>
      </c>
      <c r="EH69" s="9" t="s">
        <v>77</v>
      </c>
      <c r="EL69" s="9" t="s">
        <v>77</v>
      </c>
      <c r="EM69" s="9" t="s">
        <v>77</v>
      </c>
      <c r="EN69" s="9" t="s">
        <v>80</v>
      </c>
      <c r="EO69" s="9" t="s">
        <v>438</v>
      </c>
      <c r="EP69" s="9" t="s">
        <v>77</v>
      </c>
      <c r="EQ69" s="9" t="s">
        <v>78</v>
      </c>
      <c r="ER69" s="9" t="s">
        <v>349</v>
      </c>
      <c r="ES69" s="9" t="s">
        <v>78</v>
      </c>
      <c r="ET69" s="9" t="s">
        <v>77</v>
      </c>
      <c r="EX69" s="9" t="s">
        <v>77</v>
      </c>
      <c r="EY69" s="9" t="s">
        <v>77</v>
      </c>
      <c r="EZ69" s="9" t="s">
        <v>80</v>
      </c>
      <c r="FA69" s="9" t="s">
        <v>438</v>
      </c>
      <c r="FB69" s="9" t="s">
        <v>77</v>
      </c>
      <c r="FC69" s="9" t="s">
        <v>78</v>
      </c>
      <c r="FD69" s="9" t="s">
        <v>349</v>
      </c>
      <c r="FE69" s="9" t="s">
        <v>78</v>
      </c>
      <c r="FF69" s="9" t="s">
        <v>77</v>
      </c>
    </row>
    <row r="70" spans="50:162">
      <c r="AX70" s="9" t="s">
        <v>77</v>
      </c>
      <c r="AY70" s="9" t="s">
        <v>77</v>
      </c>
      <c r="AZ70" s="9" t="s">
        <v>80</v>
      </c>
      <c r="BA70" s="9" t="s">
        <v>438</v>
      </c>
      <c r="BB70" s="9" t="s">
        <v>79</v>
      </c>
      <c r="BC70" s="9" t="s">
        <v>78</v>
      </c>
      <c r="BD70" s="9" t="s">
        <v>349</v>
      </c>
      <c r="BE70" s="9" t="s">
        <v>78</v>
      </c>
      <c r="BF70" s="9" t="s">
        <v>77</v>
      </c>
      <c r="BI70" s="9" t="s">
        <v>77</v>
      </c>
      <c r="BJ70" s="9" t="s">
        <v>80</v>
      </c>
      <c r="BK70" s="9" t="s">
        <v>348</v>
      </c>
      <c r="BL70" s="9" t="s">
        <v>597</v>
      </c>
      <c r="BM70" s="9" t="s">
        <v>80</v>
      </c>
      <c r="BN70" s="9" t="s">
        <v>348</v>
      </c>
      <c r="BO70" s="9" t="s">
        <v>597</v>
      </c>
      <c r="BP70" s="9" t="s">
        <v>77</v>
      </c>
      <c r="BQ70" s="9" t="s">
        <v>77</v>
      </c>
      <c r="BR70" s="9" t="s">
        <v>77</v>
      </c>
      <c r="BS70" s="9" t="s">
        <v>77</v>
      </c>
      <c r="BT70" s="9" t="s">
        <v>77</v>
      </c>
      <c r="BU70" s="9" t="s">
        <v>77</v>
      </c>
      <c r="BV70" s="9" t="s">
        <v>78</v>
      </c>
      <c r="BW70" s="9" t="s">
        <v>78</v>
      </c>
      <c r="BX70" s="9" t="s">
        <v>78</v>
      </c>
      <c r="CB70" s="9" t="s">
        <v>77</v>
      </c>
      <c r="CC70" s="9" t="s">
        <v>80</v>
      </c>
      <c r="CD70" s="9" t="s">
        <v>77</v>
      </c>
      <c r="CE70" s="9" t="s">
        <v>77</v>
      </c>
      <c r="CF70" s="9" t="s">
        <v>77</v>
      </c>
      <c r="CG70" s="9" t="s">
        <v>80</v>
      </c>
      <c r="CH70" s="9" t="s">
        <v>348</v>
      </c>
      <c r="CI70" s="9" t="s">
        <v>597</v>
      </c>
      <c r="CJ70" s="9" t="s">
        <v>80</v>
      </c>
      <c r="CK70" s="9" t="s">
        <v>348</v>
      </c>
      <c r="CL70" s="9" t="s">
        <v>597</v>
      </c>
      <c r="CM70" s="9" t="s">
        <v>77</v>
      </c>
      <c r="CN70" s="9" t="s">
        <v>77</v>
      </c>
      <c r="CO70" s="9" t="s">
        <v>78</v>
      </c>
      <c r="CS70" s="9" t="s">
        <v>80</v>
      </c>
      <c r="CT70" s="9" t="s">
        <v>348</v>
      </c>
      <c r="CU70" s="9" t="s">
        <v>597</v>
      </c>
      <c r="CV70" s="9" t="s">
        <v>80</v>
      </c>
      <c r="CW70" s="9" t="s">
        <v>348</v>
      </c>
      <c r="CX70" s="9" t="s">
        <v>597</v>
      </c>
      <c r="CY70" s="9" t="s">
        <v>77</v>
      </c>
      <c r="CZ70" s="9" t="s">
        <v>77</v>
      </c>
      <c r="DA70" s="9" t="s">
        <v>78</v>
      </c>
      <c r="DE70" s="9" t="s">
        <v>77</v>
      </c>
      <c r="DF70" s="9" t="s">
        <v>78</v>
      </c>
      <c r="DG70" s="9" t="s">
        <v>78</v>
      </c>
      <c r="DH70" s="9" t="s">
        <v>78</v>
      </c>
      <c r="DI70" s="9" t="s">
        <v>598</v>
      </c>
      <c r="DJ70" s="9" t="s">
        <v>77</v>
      </c>
      <c r="DK70" s="9" t="s">
        <v>77</v>
      </c>
      <c r="DN70" s="9" t="s">
        <v>77</v>
      </c>
      <c r="DO70" s="9" t="s">
        <v>77</v>
      </c>
      <c r="DP70" s="9" t="s">
        <v>80</v>
      </c>
      <c r="DQ70" s="9" t="s">
        <v>438</v>
      </c>
      <c r="DR70" s="9" t="s">
        <v>77</v>
      </c>
      <c r="DS70" s="9" t="s">
        <v>78</v>
      </c>
      <c r="DT70" s="9" t="s">
        <v>349</v>
      </c>
      <c r="DU70" s="9" t="s">
        <v>78</v>
      </c>
      <c r="DV70" s="9" t="s">
        <v>77</v>
      </c>
      <c r="DZ70" s="9" t="s">
        <v>77</v>
      </c>
      <c r="EA70" s="9" t="s">
        <v>77</v>
      </c>
      <c r="EB70" s="9" t="s">
        <v>80</v>
      </c>
      <c r="EC70" s="9" t="s">
        <v>438</v>
      </c>
      <c r="ED70" s="9" t="s">
        <v>77</v>
      </c>
      <c r="EE70" s="9" t="s">
        <v>78</v>
      </c>
      <c r="EF70" s="9" t="s">
        <v>349</v>
      </c>
      <c r="EG70" s="9" t="s">
        <v>78</v>
      </c>
      <c r="EH70" s="9" t="s">
        <v>77</v>
      </c>
      <c r="EL70" s="9" t="s">
        <v>77</v>
      </c>
      <c r="EM70" s="9" t="s">
        <v>77</v>
      </c>
      <c r="EN70" s="9" t="s">
        <v>80</v>
      </c>
      <c r="EO70" s="9" t="s">
        <v>438</v>
      </c>
      <c r="EP70" s="9" t="s">
        <v>77</v>
      </c>
      <c r="EQ70" s="9" t="s">
        <v>78</v>
      </c>
      <c r="ER70" s="9" t="s">
        <v>349</v>
      </c>
      <c r="ES70" s="9" t="s">
        <v>78</v>
      </c>
      <c r="ET70" s="9" t="s">
        <v>77</v>
      </c>
      <c r="EX70" s="9" t="s">
        <v>77</v>
      </c>
      <c r="EY70" s="9" t="s">
        <v>77</v>
      </c>
      <c r="EZ70" s="9" t="s">
        <v>80</v>
      </c>
      <c r="FA70" s="9" t="s">
        <v>438</v>
      </c>
      <c r="FB70" s="9" t="s">
        <v>77</v>
      </c>
      <c r="FC70" s="9" t="s">
        <v>78</v>
      </c>
      <c r="FD70" s="9" t="s">
        <v>349</v>
      </c>
      <c r="FE70" s="9" t="s">
        <v>78</v>
      </c>
      <c r="FF70" s="9" t="s">
        <v>77</v>
      </c>
    </row>
    <row r="71" spans="50:162">
      <c r="AX71" s="9" t="s">
        <v>77</v>
      </c>
      <c r="AY71" s="9" t="s">
        <v>77</v>
      </c>
      <c r="AZ71" s="9" t="s">
        <v>80</v>
      </c>
      <c r="BA71" s="9" t="s">
        <v>438</v>
      </c>
      <c r="BB71" s="9" t="s">
        <v>79</v>
      </c>
      <c r="BC71" s="9" t="s">
        <v>78</v>
      </c>
      <c r="BD71" s="9" t="s">
        <v>349</v>
      </c>
      <c r="BE71" s="9" t="s">
        <v>78</v>
      </c>
      <c r="BF71" s="9" t="s">
        <v>77</v>
      </c>
      <c r="BI71" s="9" t="s">
        <v>77</v>
      </c>
      <c r="BJ71" s="9" t="s">
        <v>80</v>
      </c>
      <c r="BK71" s="9" t="s">
        <v>348</v>
      </c>
      <c r="BL71" s="9" t="s">
        <v>599</v>
      </c>
      <c r="BM71" s="9" t="s">
        <v>80</v>
      </c>
      <c r="BN71" s="9" t="s">
        <v>348</v>
      </c>
      <c r="BO71" s="9" t="s">
        <v>599</v>
      </c>
      <c r="BP71" s="9" t="s">
        <v>77</v>
      </c>
      <c r="BQ71" s="9" t="s">
        <v>77</v>
      </c>
      <c r="BR71" s="9" t="s">
        <v>77</v>
      </c>
      <c r="BS71" s="9" t="s">
        <v>77</v>
      </c>
      <c r="BT71" s="9" t="s">
        <v>77</v>
      </c>
      <c r="BU71" s="9" t="s">
        <v>77</v>
      </c>
      <c r="BV71" s="9" t="s">
        <v>78</v>
      </c>
      <c r="BW71" s="9" t="s">
        <v>78</v>
      </c>
      <c r="BX71" s="9" t="s">
        <v>78</v>
      </c>
      <c r="CB71" s="9" t="s">
        <v>77</v>
      </c>
      <c r="CC71" s="9" t="s">
        <v>80</v>
      </c>
      <c r="CD71" s="9" t="s">
        <v>77</v>
      </c>
      <c r="CE71" s="9" t="s">
        <v>77</v>
      </c>
      <c r="CF71" s="9" t="s">
        <v>77</v>
      </c>
      <c r="CG71" s="9" t="s">
        <v>80</v>
      </c>
      <c r="CH71" s="9" t="s">
        <v>348</v>
      </c>
      <c r="CI71" s="9" t="s">
        <v>600</v>
      </c>
      <c r="CJ71" s="9" t="s">
        <v>80</v>
      </c>
      <c r="CK71" s="9" t="s">
        <v>348</v>
      </c>
      <c r="CL71" s="9" t="s">
        <v>600</v>
      </c>
      <c r="CM71" s="9" t="s">
        <v>77</v>
      </c>
      <c r="CN71" s="9" t="s">
        <v>77</v>
      </c>
      <c r="CO71" s="9" t="s">
        <v>78</v>
      </c>
      <c r="CS71" s="9" t="s">
        <v>80</v>
      </c>
      <c r="CT71" s="9" t="s">
        <v>348</v>
      </c>
      <c r="CU71" s="9" t="s">
        <v>600</v>
      </c>
      <c r="CV71" s="9" t="s">
        <v>80</v>
      </c>
      <c r="CW71" s="9" t="s">
        <v>348</v>
      </c>
      <c r="CX71" s="9" t="s">
        <v>600</v>
      </c>
      <c r="CY71" s="9" t="s">
        <v>77</v>
      </c>
      <c r="CZ71" s="9" t="s">
        <v>77</v>
      </c>
      <c r="DA71" s="9" t="s">
        <v>78</v>
      </c>
      <c r="DE71" s="9" t="s">
        <v>77</v>
      </c>
      <c r="DF71" s="9" t="s">
        <v>78</v>
      </c>
      <c r="DG71" s="9" t="s">
        <v>78</v>
      </c>
      <c r="DH71" s="9" t="s">
        <v>78</v>
      </c>
      <c r="DI71" s="9" t="s">
        <v>599</v>
      </c>
      <c r="DJ71" s="9" t="s">
        <v>77</v>
      </c>
      <c r="DK71" s="9" t="s">
        <v>77</v>
      </c>
      <c r="DN71" s="9" t="s">
        <v>77</v>
      </c>
      <c r="DO71" s="9" t="s">
        <v>77</v>
      </c>
      <c r="DP71" s="9" t="s">
        <v>80</v>
      </c>
      <c r="DQ71" s="9" t="s">
        <v>438</v>
      </c>
      <c r="DR71" s="9" t="s">
        <v>77</v>
      </c>
      <c r="DS71" s="9" t="s">
        <v>78</v>
      </c>
      <c r="DT71" s="9" t="s">
        <v>349</v>
      </c>
      <c r="DU71" s="9" t="s">
        <v>78</v>
      </c>
      <c r="DV71" s="9" t="s">
        <v>77</v>
      </c>
      <c r="DZ71" s="9" t="s">
        <v>77</v>
      </c>
      <c r="EA71" s="9" t="s">
        <v>77</v>
      </c>
      <c r="EB71" s="9" t="s">
        <v>80</v>
      </c>
      <c r="EC71" s="9" t="s">
        <v>438</v>
      </c>
      <c r="ED71" s="9" t="s">
        <v>77</v>
      </c>
      <c r="EE71" s="9" t="s">
        <v>78</v>
      </c>
      <c r="EF71" s="9" t="s">
        <v>349</v>
      </c>
      <c r="EG71" s="9" t="s">
        <v>78</v>
      </c>
      <c r="EH71" s="9" t="s">
        <v>77</v>
      </c>
      <c r="EL71" s="9" t="s">
        <v>77</v>
      </c>
      <c r="EM71" s="9" t="s">
        <v>77</v>
      </c>
      <c r="EN71" s="9" t="s">
        <v>80</v>
      </c>
      <c r="EO71" s="9" t="s">
        <v>438</v>
      </c>
      <c r="EP71" s="9" t="s">
        <v>77</v>
      </c>
      <c r="EQ71" s="9" t="s">
        <v>78</v>
      </c>
      <c r="ER71" s="9" t="s">
        <v>349</v>
      </c>
      <c r="ES71" s="9" t="s">
        <v>78</v>
      </c>
      <c r="ET71" s="9" t="s">
        <v>77</v>
      </c>
      <c r="EX71" s="9" t="s">
        <v>77</v>
      </c>
      <c r="EY71" s="9" t="s">
        <v>77</v>
      </c>
      <c r="EZ71" s="9" t="s">
        <v>80</v>
      </c>
      <c r="FA71" s="9" t="s">
        <v>438</v>
      </c>
      <c r="FB71" s="9" t="s">
        <v>77</v>
      </c>
      <c r="FC71" s="9" t="s">
        <v>78</v>
      </c>
      <c r="FD71" s="9" t="s">
        <v>349</v>
      </c>
      <c r="FE71" s="9" t="s">
        <v>78</v>
      </c>
      <c r="FF71" s="9" t="s">
        <v>77</v>
      </c>
    </row>
    <row r="72" spans="50:162">
      <c r="AX72" s="9" t="s">
        <v>77</v>
      </c>
      <c r="AY72" s="9" t="s">
        <v>77</v>
      </c>
      <c r="AZ72" s="9" t="s">
        <v>80</v>
      </c>
      <c r="BA72" s="9" t="s">
        <v>438</v>
      </c>
      <c r="BB72" s="9" t="s">
        <v>79</v>
      </c>
      <c r="BC72" s="9" t="s">
        <v>78</v>
      </c>
      <c r="BD72" s="9" t="s">
        <v>349</v>
      </c>
      <c r="BE72" s="9" t="s">
        <v>78</v>
      </c>
      <c r="BF72" s="9" t="s">
        <v>77</v>
      </c>
      <c r="BI72" s="9" t="s">
        <v>77</v>
      </c>
      <c r="BJ72" s="9" t="s">
        <v>80</v>
      </c>
      <c r="BK72" s="9" t="s">
        <v>348</v>
      </c>
      <c r="BL72" s="9" t="s">
        <v>601</v>
      </c>
      <c r="BM72" s="9" t="s">
        <v>80</v>
      </c>
      <c r="BN72" s="9" t="s">
        <v>348</v>
      </c>
      <c r="BO72" s="9" t="s">
        <v>601</v>
      </c>
      <c r="BP72" s="9" t="s">
        <v>77</v>
      </c>
      <c r="BQ72" s="9" t="s">
        <v>77</v>
      </c>
      <c r="BR72" s="9" t="s">
        <v>77</v>
      </c>
      <c r="BS72" s="9" t="s">
        <v>77</v>
      </c>
      <c r="BT72" s="9" t="s">
        <v>77</v>
      </c>
      <c r="BU72" s="9" t="s">
        <v>77</v>
      </c>
      <c r="BV72" s="9" t="s">
        <v>78</v>
      </c>
      <c r="BW72" s="9" t="s">
        <v>78</v>
      </c>
      <c r="BX72" s="9" t="s">
        <v>78</v>
      </c>
      <c r="CB72" s="9" t="s">
        <v>77</v>
      </c>
      <c r="CC72" s="9" t="s">
        <v>80</v>
      </c>
      <c r="CD72" s="9" t="s">
        <v>77</v>
      </c>
      <c r="CE72" s="9" t="s">
        <v>77</v>
      </c>
      <c r="CF72" s="9" t="s">
        <v>77</v>
      </c>
      <c r="CG72" s="9" t="s">
        <v>80</v>
      </c>
      <c r="CH72" s="9" t="s">
        <v>348</v>
      </c>
      <c r="CI72" s="9" t="s">
        <v>602</v>
      </c>
      <c r="CJ72" s="9" t="s">
        <v>80</v>
      </c>
      <c r="CK72" s="9" t="s">
        <v>348</v>
      </c>
      <c r="CL72" s="9" t="s">
        <v>602</v>
      </c>
      <c r="CM72" s="9" t="s">
        <v>77</v>
      </c>
      <c r="CN72" s="9" t="s">
        <v>77</v>
      </c>
      <c r="CO72" s="9" t="s">
        <v>78</v>
      </c>
      <c r="CS72" s="9" t="s">
        <v>80</v>
      </c>
      <c r="CT72" s="9" t="s">
        <v>348</v>
      </c>
      <c r="CU72" s="9" t="s">
        <v>601</v>
      </c>
      <c r="CV72" s="9" t="s">
        <v>80</v>
      </c>
      <c r="CW72" s="9" t="s">
        <v>348</v>
      </c>
      <c r="CX72" s="9" t="s">
        <v>601</v>
      </c>
      <c r="CY72" s="9" t="s">
        <v>77</v>
      </c>
      <c r="CZ72" s="9" t="s">
        <v>77</v>
      </c>
      <c r="DA72" s="9" t="s">
        <v>78</v>
      </c>
      <c r="DE72" s="9" t="s">
        <v>77</v>
      </c>
      <c r="DF72" s="9" t="s">
        <v>78</v>
      </c>
      <c r="DG72" s="9" t="s">
        <v>78</v>
      </c>
      <c r="DH72" s="9" t="s">
        <v>78</v>
      </c>
      <c r="DI72" s="9" t="s">
        <v>601</v>
      </c>
      <c r="DJ72" s="9" t="s">
        <v>77</v>
      </c>
      <c r="DK72" s="9" t="s">
        <v>77</v>
      </c>
      <c r="DN72" s="9" t="s">
        <v>77</v>
      </c>
      <c r="DO72" s="9" t="s">
        <v>77</v>
      </c>
      <c r="DP72" s="9" t="s">
        <v>80</v>
      </c>
      <c r="DQ72" s="9" t="s">
        <v>438</v>
      </c>
      <c r="DR72" s="9" t="s">
        <v>77</v>
      </c>
      <c r="DS72" s="9" t="s">
        <v>78</v>
      </c>
      <c r="DT72" s="9" t="s">
        <v>349</v>
      </c>
      <c r="DU72" s="9" t="s">
        <v>78</v>
      </c>
      <c r="DV72" s="9" t="s">
        <v>77</v>
      </c>
      <c r="DZ72" s="9" t="s">
        <v>77</v>
      </c>
      <c r="EA72" s="9" t="s">
        <v>77</v>
      </c>
      <c r="EB72" s="9" t="s">
        <v>80</v>
      </c>
      <c r="EC72" s="9" t="s">
        <v>438</v>
      </c>
      <c r="ED72" s="9" t="s">
        <v>77</v>
      </c>
      <c r="EE72" s="9" t="s">
        <v>78</v>
      </c>
      <c r="EF72" s="9" t="s">
        <v>349</v>
      </c>
      <c r="EG72" s="9" t="s">
        <v>78</v>
      </c>
      <c r="EH72" s="9" t="s">
        <v>77</v>
      </c>
      <c r="EL72" s="9" t="s">
        <v>77</v>
      </c>
      <c r="EM72" s="9" t="s">
        <v>77</v>
      </c>
      <c r="EN72" s="9" t="s">
        <v>80</v>
      </c>
      <c r="EO72" s="9" t="s">
        <v>438</v>
      </c>
      <c r="EP72" s="9" t="s">
        <v>77</v>
      </c>
      <c r="EQ72" s="9" t="s">
        <v>78</v>
      </c>
      <c r="ER72" s="9" t="s">
        <v>349</v>
      </c>
      <c r="ES72" s="9" t="s">
        <v>78</v>
      </c>
      <c r="ET72" s="9" t="s">
        <v>77</v>
      </c>
      <c r="EX72" s="9" t="s">
        <v>77</v>
      </c>
      <c r="EY72" s="9" t="s">
        <v>77</v>
      </c>
      <c r="EZ72" s="9" t="s">
        <v>80</v>
      </c>
      <c r="FA72" s="9" t="s">
        <v>438</v>
      </c>
      <c r="FB72" s="9" t="s">
        <v>77</v>
      </c>
      <c r="FC72" s="9" t="s">
        <v>78</v>
      </c>
      <c r="FD72" s="9" t="s">
        <v>349</v>
      </c>
      <c r="FE72" s="9" t="s">
        <v>78</v>
      </c>
      <c r="FF72" s="9" t="s">
        <v>77</v>
      </c>
    </row>
    <row r="73" spans="50:162">
      <c r="AX73" s="9" t="s">
        <v>77</v>
      </c>
      <c r="AY73" s="9" t="s">
        <v>77</v>
      </c>
      <c r="AZ73" s="9" t="s">
        <v>80</v>
      </c>
      <c r="BA73" s="9" t="s">
        <v>438</v>
      </c>
      <c r="BB73" s="9" t="s">
        <v>79</v>
      </c>
      <c r="BC73" s="9" t="s">
        <v>78</v>
      </c>
      <c r="BD73" s="9" t="s">
        <v>349</v>
      </c>
      <c r="BE73" s="9" t="s">
        <v>78</v>
      </c>
      <c r="BF73" s="9" t="s">
        <v>77</v>
      </c>
      <c r="BI73" s="9" t="s">
        <v>77</v>
      </c>
      <c r="BJ73" s="9" t="s">
        <v>80</v>
      </c>
      <c r="BK73" s="9" t="s">
        <v>348</v>
      </c>
      <c r="BL73" s="9" t="s">
        <v>603</v>
      </c>
      <c r="BM73" s="9" t="s">
        <v>80</v>
      </c>
      <c r="BN73" s="9" t="s">
        <v>348</v>
      </c>
      <c r="BO73" s="9" t="s">
        <v>603</v>
      </c>
      <c r="BP73" s="9" t="s">
        <v>77</v>
      </c>
      <c r="BQ73" s="9" t="s">
        <v>77</v>
      </c>
      <c r="BR73" s="9" t="s">
        <v>77</v>
      </c>
      <c r="BS73" s="9" t="s">
        <v>77</v>
      </c>
      <c r="BT73" s="9" t="s">
        <v>77</v>
      </c>
      <c r="BU73" s="9" t="s">
        <v>77</v>
      </c>
      <c r="BV73" s="9" t="s">
        <v>78</v>
      </c>
      <c r="BW73" s="9" t="s">
        <v>78</v>
      </c>
      <c r="BX73" s="9" t="s">
        <v>78</v>
      </c>
      <c r="CB73" s="9" t="s">
        <v>77</v>
      </c>
      <c r="CC73" s="9" t="s">
        <v>80</v>
      </c>
      <c r="CD73" s="9" t="s">
        <v>77</v>
      </c>
      <c r="CE73" s="9" t="s">
        <v>77</v>
      </c>
      <c r="CF73" s="9" t="s">
        <v>77</v>
      </c>
      <c r="CG73" s="9" t="s">
        <v>80</v>
      </c>
      <c r="CH73" s="9" t="s">
        <v>348</v>
      </c>
      <c r="CI73" s="9" t="s">
        <v>604</v>
      </c>
      <c r="CJ73" s="9" t="s">
        <v>80</v>
      </c>
      <c r="CK73" s="9" t="s">
        <v>348</v>
      </c>
      <c r="CL73" s="9" t="s">
        <v>604</v>
      </c>
      <c r="CM73" s="9" t="s">
        <v>77</v>
      </c>
      <c r="CN73" s="9" t="s">
        <v>77</v>
      </c>
      <c r="CO73" s="9" t="s">
        <v>78</v>
      </c>
      <c r="CS73" s="9" t="s">
        <v>80</v>
      </c>
      <c r="CT73" s="9" t="s">
        <v>348</v>
      </c>
      <c r="CU73" s="9" t="s">
        <v>603</v>
      </c>
      <c r="CV73" s="9" t="s">
        <v>80</v>
      </c>
      <c r="CW73" s="9" t="s">
        <v>348</v>
      </c>
      <c r="CX73" s="9" t="s">
        <v>603</v>
      </c>
      <c r="CY73" s="9" t="s">
        <v>77</v>
      </c>
      <c r="CZ73" s="9" t="s">
        <v>77</v>
      </c>
      <c r="DA73" s="9" t="s">
        <v>78</v>
      </c>
      <c r="DE73" s="9" t="s">
        <v>77</v>
      </c>
      <c r="DF73" s="9" t="s">
        <v>78</v>
      </c>
      <c r="DG73" s="9" t="s">
        <v>78</v>
      </c>
      <c r="DH73" s="9" t="s">
        <v>78</v>
      </c>
      <c r="DI73" s="9" t="s">
        <v>603</v>
      </c>
      <c r="DJ73" s="9" t="s">
        <v>77</v>
      </c>
      <c r="DK73" s="9" t="s">
        <v>77</v>
      </c>
      <c r="DN73" s="9" t="s">
        <v>77</v>
      </c>
      <c r="DO73" s="9" t="s">
        <v>77</v>
      </c>
      <c r="DP73" s="9" t="s">
        <v>80</v>
      </c>
      <c r="DQ73" s="9" t="s">
        <v>438</v>
      </c>
      <c r="DR73" s="9" t="s">
        <v>77</v>
      </c>
      <c r="DS73" s="9" t="s">
        <v>78</v>
      </c>
      <c r="DT73" s="9" t="s">
        <v>349</v>
      </c>
      <c r="DU73" s="9" t="s">
        <v>78</v>
      </c>
      <c r="DV73" s="9" t="s">
        <v>77</v>
      </c>
      <c r="DZ73" s="9" t="s">
        <v>77</v>
      </c>
      <c r="EA73" s="9" t="s">
        <v>77</v>
      </c>
      <c r="EB73" s="9" t="s">
        <v>80</v>
      </c>
      <c r="EC73" s="9" t="s">
        <v>438</v>
      </c>
      <c r="ED73" s="9" t="s">
        <v>77</v>
      </c>
      <c r="EE73" s="9" t="s">
        <v>78</v>
      </c>
      <c r="EF73" s="9" t="s">
        <v>349</v>
      </c>
      <c r="EG73" s="9" t="s">
        <v>78</v>
      </c>
      <c r="EH73" s="9" t="s">
        <v>77</v>
      </c>
      <c r="EL73" s="9" t="s">
        <v>77</v>
      </c>
      <c r="EM73" s="9" t="s">
        <v>77</v>
      </c>
      <c r="EN73" s="9" t="s">
        <v>80</v>
      </c>
      <c r="EO73" s="9" t="s">
        <v>438</v>
      </c>
      <c r="EP73" s="9" t="s">
        <v>77</v>
      </c>
      <c r="EQ73" s="9" t="s">
        <v>78</v>
      </c>
      <c r="ER73" s="9" t="s">
        <v>349</v>
      </c>
      <c r="ES73" s="9" t="s">
        <v>78</v>
      </c>
      <c r="ET73" s="9" t="s">
        <v>77</v>
      </c>
      <c r="EX73" s="9" t="s">
        <v>77</v>
      </c>
      <c r="EY73" s="9" t="s">
        <v>77</v>
      </c>
      <c r="EZ73" s="9" t="s">
        <v>80</v>
      </c>
      <c r="FA73" s="9" t="s">
        <v>438</v>
      </c>
      <c r="FB73" s="9" t="s">
        <v>77</v>
      </c>
      <c r="FC73" s="9" t="s">
        <v>78</v>
      </c>
      <c r="FD73" s="9" t="s">
        <v>349</v>
      </c>
      <c r="FE73" s="9" t="s">
        <v>78</v>
      </c>
      <c r="FF73" s="9" t="s">
        <v>77</v>
      </c>
    </row>
    <row r="74" spans="50:162">
      <c r="AX74" s="9" t="s">
        <v>77</v>
      </c>
      <c r="AY74" s="9" t="s">
        <v>77</v>
      </c>
      <c r="AZ74" s="9" t="s">
        <v>80</v>
      </c>
      <c r="BA74" s="9" t="s">
        <v>438</v>
      </c>
      <c r="BB74" s="9" t="s">
        <v>79</v>
      </c>
      <c r="BC74" s="9" t="s">
        <v>78</v>
      </c>
      <c r="BD74" s="9" t="s">
        <v>349</v>
      </c>
      <c r="BE74" s="9" t="s">
        <v>78</v>
      </c>
      <c r="BF74" s="9" t="s">
        <v>77</v>
      </c>
      <c r="BI74" s="9" t="s">
        <v>77</v>
      </c>
      <c r="BJ74" s="9" t="s">
        <v>80</v>
      </c>
      <c r="BK74" s="9" t="s">
        <v>348</v>
      </c>
      <c r="BL74" s="9" t="s">
        <v>605</v>
      </c>
      <c r="BM74" s="9" t="s">
        <v>80</v>
      </c>
      <c r="BN74" s="9" t="s">
        <v>348</v>
      </c>
      <c r="BO74" s="9" t="s">
        <v>605</v>
      </c>
      <c r="BP74" s="9" t="s">
        <v>77</v>
      </c>
      <c r="BQ74" s="9" t="s">
        <v>77</v>
      </c>
      <c r="BR74" s="9" t="s">
        <v>77</v>
      </c>
      <c r="BS74" s="9" t="s">
        <v>77</v>
      </c>
      <c r="BT74" s="9" t="s">
        <v>77</v>
      </c>
      <c r="BU74" s="9" t="s">
        <v>77</v>
      </c>
      <c r="BV74" s="9" t="s">
        <v>78</v>
      </c>
      <c r="BW74" s="9" t="s">
        <v>78</v>
      </c>
      <c r="BX74" s="9" t="s">
        <v>78</v>
      </c>
      <c r="CB74" s="9" t="s">
        <v>77</v>
      </c>
      <c r="CC74" s="9" t="s">
        <v>80</v>
      </c>
      <c r="CD74" s="9" t="s">
        <v>77</v>
      </c>
      <c r="CE74" s="9" t="s">
        <v>77</v>
      </c>
      <c r="CF74" s="9" t="s">
        <v>77</v>
      </c>
      <c r="CG74" s="9" t="s">
        <v>80</v>
      </c>
      <c r="CH74" s="9" t="s">
        <v>348</v>
      </c>
      <c r="CI74" s="9" t="s">
        <v>606</v>
      </c>
      <c r="CJ74" s="9" t="s">
        <v>80</v>
      </c>
      <c r="CK74" s="9" t="s">
        <v>348</v>
      </c>
      <c r="CL74" s="9" t="s">
        <v>606</v>
      </c>
      <c r="CM74" s="9" t="s">
        <v>77</v>
      </c>
      <c r="CN74" s="9" t="s">
        <v>77</v>
      </c>
      <c r="CO74" s="9" t="s">
        <v>78</v>
      </c>
      <c r="CS74" s="9" t="s">
        <v>80</v>
      </c>
      <c r="CT74" s="9" t="s">
        <v>348</v>
      </c>
      <c r="CU74" s="9" t="s">
        <v>605</v>
      </c>
      <c r="CV74" s="9" t="s">
        <v>80</v>
      </c>
      <c r="CW74" s="9" t="s">
        <v>348</v>
      </c>
      <c r="CX74" s="9" t="s">
        <v>605</v>
      </c>
      <c r="CY74" s="9" t="s">
        <v>77</v>
      </c>
      <c r="CZ74" s="9" t="s">
        <v>77</v>
      </c>
      <c r="DA74" s="9" t="s">
        <v>78</v>
      </c>
      <c r="DE74" s="9" t="s">
        <v>77</v>
      </c>
      <c r="DF74" s="9" t="s">
        <v>78</v>
      </c>
      <c r="DG74" s="9" t="s">
        <v>78</v>
      </c>
      <c r="DH74" s="9" t="s">
        <v>78</v>
      </c>
      <c r="DI74" s="9" t="s">
        <v>607</v>
      </c>
      <c r="DJ74" s="9" t="s">
        <v>77</v>
      </c>
      <c r="DK74" s="9" t="s">
        <v>77</v>
      </c>
      <c r="DN74" s="9" t="s">
        <v>77</v>
      </c>
      <c r="DO74" s="9" t="s">
        <v>77</v>
      </c>
      <c r="DP74" s="9" t="s">
        <v>80</v>
      </c>
      <c r="DQ74" s="9" t="s">
        <v>438</v>
      </c>
      <c r="DR74" s="9" t="s">
        <v>77</v>
      </c>
      <c r="DS74" s="9" t="s">
        <v>78</v>
      </c>
      <c r="DT74" s="9" t="s">
        <v>349</v>
      </c>
      <c r="DU74" s="9" t="s">
        <v>78</v>
      </c>
      <c r="DV74" s="9" t="s">
        <v>77</v>
      </c>
      <c r="DZ74" s="9" t="s">
        <v>77</v>
      </c>
      <c r="EA74" s="9" t="s">
        <v>77</v>
      </c>
      <c r="EB74" s="9" t="s">
        <v>80</v>
      </c>
      <c r="EC74" s="9" t="s">
        <v>438</v>
      </c>
      <c r="ED74" s="9" t="s">
        <v>77</v>
      </c>
      <c r="EE74" s="9" t="s">
        <v>78</v>
      </c>
      <c r="EF74" s="9" t="s">
        <v>349</v>
      </c>
      <c r="EG74" s="9" t="s">
        <v>78</v>
      </c>
      <c r="EH74" s="9" t="s">
        <v>77</v>
      </c>
      <c r="EL74" s="9" t="s">
        <v>77</v>
      </c>
      <c r="EM74" s="9" t="s">
        <v>77</v>
      </c>
      <c r="EN74" s="9" t="s">
        <v>80</v>
      </c>
      <c r="EO74" s="9" t="s">
        <v>438</v>
      </c>
      <c r="EP74" s="9" t="s">
        <v>77</v>
      </c>
      <c r="EQ74" s="9" t="s">
        <v>78</v>
      </c>
      <c r="ER74" s="9" t="s">
        <v>349</v>
      </c>
      <c r="ES74" s="9" t="s">
        <v>78</v>
      </c>
      <c r="ET74" s="9" t="s">
        <v>77</v>
      </c>
      <c r="EX74" s="9" t="s">
        <v>77</v>
      </c>
      <c r="EY74" s="9" t="s">
        <v>77</v>
      </c>
      <c r="EZ74" s="9" t="s">
        <v>80</v>
      </c>
      <c r="FA74" s="9" t="s">
        <v>438</v>
      </c>
      <c r="FB74" s="9" t="s">
        <v>77</v>
      </c>
      <c r="FC74" s="9" t="s">
        <v>78</v>
      </c>
      <c r="FD74" s="9" t="s">
        <v>349</v>
      </c>
      <c r="FE74" s="9" t="s">
        <v>78</v>
      </c>
      <c r="FF74" s="9" t="s">
        <v>77</v>
      </c>
    </row>
    <row r="75" spans="50:162">
      <c r="AX75" s="9" t="s">
        <v>77</v>
      </c>
      <c r="AY75" s="9" t="s">
        <v>77</v>
      </c>
      <c r="AZ75" s="9" t="s">
        <v>80</v>
      </c>
      <c r="BA75" s="9" t="s">
        <v>438</v>
      </c>
      <c r="BB75" s="9" t="s">
        <v>79</v>
      </c>
      <c r="BC75" s="9" t="s">
        <v>78</v>
      </c>
      <c r="BD75" s="9" t="s">
        <v>349</v>
      </c>
      <c r="BE75" s="9" t="s">
        <v>78</v>
      </c>
      <c r="BF75" s="9" t="s">
        <v>77</v>
      </c>
      <c r="BI75" s="9" t="s">
        <v>77</v>
      </c>
      <c r="BJ75" s="9" t="s">
        <v>80</v>
      </c>
      <c r="BK75" s="9" t="s">
        <v>348</v>
      </c>
      <c r="BL75" s="9" t="s">
        <v>608</v>
      </c>
      <c r="BM75" s="9" t="s">
        <v>80</v>
      </c>
      <c r="BN75" s="9" t="s">
        <v>348</v>
      </c>
      <c r="BO75" s="9" t="s">
        <v>608</v>
      </c>
      <c r="BP75" s="9" t="s">
        <v>77</v>
      </c>
      <c r="BQ75" s="9" t="s">
        <v>77</v>
      </c>
      <c r="BR75" s="9" t="s">
        <v>77</v>
      </c>
      <c r="BS75" s="9" t="s">
        <v>77</v>
      </c>
      <c r="BT75" s="9" t="s">
        <v>77</v>
      </c>
      <c r="BU75" s="9" t="s">
        <v>77</v>
      </c>
      <c r="BV75" s="9" t="s">
        <v>78</v>
      </c>
      <c r="BW75" s="9" t="s">
        <v>78</v>
      </c>
      <c r="BX75" s="9" t="s">
        <v>78</v>
      </c>
      <c r="CB75" s="9" t="s">
        <v>77</v>
      </c>
      <c r="CC75" s="9" t="s">
        <v>80</v>
      </c>
      <c r="CD75" s="9" t="s">
        <v>77</v>
      </c>
      <c r="CE75" s="9" t="s">
        <v>77</v>
      </c>
      <c r="CF75" s="9" t="s">
        <v>77</v>
      </c>
      <c r="CG75" s="9" t="s">
        <v>80</v>
      </c>
      <c r="CH75" s="9" t="s">
        <v>348</v>
      </c>
      <c r="CI75" s="9" t="s">
        <v>609</v>
      </c>
      <c r="CJ75" s="9" t="s">
        <v>80</v>
      </c>
      <c r="CK75" s="9" t="s">
        <v>348</v>
      </c>
      <c r="CL75" s="9" t="s">
        <v>609</v>
      </c>
      <c r="CM75" s="9" t="s">
        <v>77</v>
      </c>
      <c r="CN75" s="9" t="s">
        <v>77</v>
      </c>
      <c r="CO75" s="9" t="s">
        <v>78</v>
      </c>
      <c r="CS75" s="9" t="s">
        <v>80</v>
      </c>
      <c r="CT75" s="9" t="s">
        <v>348</v>
      </c>
      <c r="CU75" s="9" t="s">
        <v>609</v>
      </c>
      <c r="CV75" s="9" t="s">
        <v>80</v>
      </c>
      <c r="CW75" s="9" t="s">
        <v>348</v>
      </c>
      <c r="CX75" s="9" t="s">
        <v>609</v>
      </c>
      <c r="CY75" s="9" t="s">
        <v>77</v>
      </c>
      <c r="CZ75" s="9" t="s">
        <v>77</v>
      </c>
      <c r="DA75" s="9" t="s">
        <v>78</v>
      </c>
      <c r="DE75" s="9" t="s">
        <v>77</v>
      </c>
      <c r="DF75" s="9" t="s">
        <v>78</v>
      </c>
      <c r="DG75" s="9" t="s">
        <v>78</v>
      </c>
      <c r="DH75" s="9" t="s">
        <v>78</v>
      </c>
      <c r="DI75" s="9" t="s">
        <v>608</v>
      </c>
      <c r="DJ75" s="9" t="s">
        <v>77</v>
      </c>
      <c r="DK75" s="9" t="s">
        <v>77</v>
      </c>
      <c r="DN75" s="9" t="s">
        <v>77</v>
      </c>
      <c r="DO75" s="9" t="s">
        <v>77</v>
      </c>
      <c r="DP75" s="9" t="s">
        <v>80</v>
      </c>
      <c r="DQ75" s="9" t="s">
        <v>438</v>
      </c>
      <c r="DR75" s="9" t="s">
        <v>77</v>
      </c>
      <c r="DS75" s="9" t="s">
        <v>78</v>
      </c>
      <c r="DT75" s="9" t="s">
        <v>349</v>
      </c>
      <c r="DU75" s="9" t="s">
        <v>78</v>
      </c>
      <c r="DV75" s="9" t="s">
        <v>77</v>
      </c>
      <c r="DZ75" s="9" t="s">
        <v>77</v>
      </c>
      <c r="EA75" s="9" t="s">
        <v>77</v>
      </c>
      <c r="EB75" s="9" t="s">
        <v>80</v>
      </c>
      <c r="EC75" s="9" t="s">
        <v>438</v>
      </c>
      <c r="ED75" s="9" t="s">
        <v>77</v>
      </c>
      <c r="EE75" s="9" t="s">
        <v>78</v>
      </c>
      <c r="EF75" s="9" t="s">
        <v>349</v>
      </c>
      <c r="EG75" s="9" t="s">
        <v>78</v>
      </c>
      <c r="EH75" s="9" t="s">
        <v>77</v>
      </c>
      <c r="EL75" s="9" t="s">
        <v>77</v>
      </c>
      <c r="EM75" s="9" t="s">
        <v>77</v>
      </c>
      <c r="EN75" s="9" t="s">
        <v>80</v>
      </c>
      <c r="EO75" s="9" t="s">
        <v>438</v>
      </c>
      <c r="EP75" s="9" t="s">
        <v>77</v>
      </c>
      <c r="EQ75" s="9" t="s">
        <v>78</v>
      </c>
      <c r="ER75" s="9" t="s">
        <v>349</v>
      </c>
      <c r="ES75" s="9" t="s">
        <v>78</v>
      </c>
      <c r="ET75" s="9" t="s">
        <v>77</v>
      </c>
      <c r="EX75" s="9" t="s">
        <v>77</v>
      </c>
      <c r="EY75" s="9" t="s">
        <v>77</v>
      </c>
      <c r="EZ75" s="9" t="s">
        <v>80</v>
      </c>
      <c r="FA75" s="9" t="s">
        <v>438</v>
      </c>
      <c r="FB75" s="9" t="s">
        <v>77</v>
      </c>
      <c r="FC75" s="9" t="s">
        <v>78</v>
      </c>
      <c r="FD75" s="9" t="s">
        <v>349</v>
      </c>
      <c r="FE75" s="9" t="s">
        <v>78</v>
      </c>
      <c r="FF75" s="9" t="s">
        <v>77</v>
      </c>
    </row>
    <row r="76" spans="50:162">
      <c r="AX76" s="9" t="s">
        <v>77</v>
      </c>
      <c r="AY76" s="9" t="s">
        <v>77</v>
      </c>
      <c r="AZ76" s="9" t="s">
        <v>80</v>
      </c>
      <c r="BA76" s="9" t="s">
        <v>438</v>
      </c>
      <c r="BB76" s="9" t="s">
        <v>79</v>
      </c>
      <c r="BC76" s="9" t="s">
        <v>78</v>
      </c>
      <c r="BD76" s="9" t="s">
        <v>349</v>
      </c>
      <c r="BE76" s="9" t="s">
        <v>78</v>
      </c>
      <c r="BF76" s="9" t="s">
        <v>77</v>
      </c>
      <c r="BI76" s="9" t="s">
        <v>77</v>
      </c>
      <c r="BJ76" s="9" t="s">
        <v>80</v>
      </c>
      <c r="BK76" s="9" t="s">
        <v>348</v>
      </c>
      <c r="BL76" s="9" t="s">
        <v>610</v>
      </c>
      <c r="BM76" s="9" t="s">
        <v>80</v>
      </c>
      <c r="BN76" s="9" t="s">
        <v>348</v>
      </c>
      <c r="BO76" s="9" t="s">
        <v>610</v>
      </c>
      <c r="BP76" s="9" t="s">
        <v>77</v>
      </c>
      <c r="BQ76" s="9" t="s">
        <v>77</v>
      </c>
      <c r="BR76" s="9" t="s">
        <v>77</v>
      </c>
      <c r="BS76" s="9" t="s">
        <v>77</v>
      </c>
      <c r="BT76" s="9" t="s">
        <v>77</v>
      </c>
      <c r="BU76" s="9" t="s">
        <v>77</v>
      </c>
      <c r="BV76" s="9" t="s">
        <v>78</v>
      </c>
      <c r="BW76" s="9" t="s">
        <v>78</v>
      </c>
      <c r="BX76" s="9" t="s">
        <v>78</v>
      </c>
      <c r="CB76" s="9" t="s">
        <v>77</v>
      </c>
      <c r="CC76" s="9" t="s">
        <v>80</v>
      </c>
      <c r="CD76" s="9" t="s">
        <v>77</v>
      </c>
      <c r="CE76" s="9" t="s">
        <v>77</v>
      </c>
      <c r="CF76" s="9" t="s">
        <v>77</v>
      </c>
      <c r="CG76" s="9" t="s">
        <v>80</v>
      </c>
      <c r="CH76" s="9" t="s">
        <v>348</v>
      </c>
      <c r="CI76" s="9" t="s">
        <v>610</v>
      </c>
      <c r="CJ76" s="9" t="s">
        <v>80</v>
      </c>
      <c r="CK76" s="9" t="s">
        <v>348</v>
      </c>
      <c r="CL76" s="9" t="s">
        <v>610</v>
      </c>
      <c r="CM76" s="9" t="s">
        <v>77</v>
      </c>
      <c r="CN76" s="9" t="s">
        <v>77</v>
      </c>
      <c r="CO76" s="9" t="s">
        <v>78</v>
      </c>
      <c r="CS76" s="9" t="s">
        <v>80</v>
      </c>
      <c r="CT76" s="9" t="s">
        <v>348</v>
      </c>
      <c r="CU76" s="9" t="s">
        <v>610</v>
      </c>
      <c r="CV76" s="9" t="s">
        <v>80</v>
      </c>
      <c r="CW76" s="9" t="s">
        <v>348</v>
      </c>
      <c r="CX76" s="9" t="s">
        <v>610</v>
      </c>
      <c r="CY76" s="9" t="s">
        <v>77</v>
      </c>
      <c r="CZ76" s="9" t="s">
        <v>77</v>
      </c>
      <c r="DA76" s="9" t="s">
        <v>78</v>
      </c>
      <c r="DE76" s="9" t="s">
        <v>77</v>
      </c>
      <c r="DF76" s="9" t="s">
        <v>78</v>
      </c>
      <c r="DG76" s="9" t="s">
        <v>78</v>
      </c>
      <c r="DH76" s="9" t="s">
        <v>78</v>
      </c>
      <c r="DI76" s="9" t="s">
        <v>611</v>
      </c>
      <c r="DJ76" s="9" t="s">
        <v>77</v>
      </c>
      <c r="DK76" s="9" t="s">
        <v>77</v>
      </c>
      <c r="DN76" s="9" t="s">
        <v>77</v>
      </c>
      <c r="DO76" s="9" t="s">
        <v>77</v>
      </c>
      <c r="DP76" s="9" t="s">
        <v>80</v>
      </c>
      <c r="DQ76" s="9" t="s">
        <v>438</v>
      </c>
      <c r="DR76" s="9" t="s">
        <v>77</v>
      </c>
      <c r="DS76" s="9" t="s">
        <v>78</v>
      </c>
      <c r="DT76" s="9" t="s">
        <v>349</v>
      </c>
      <c r="DU76" s="9" t="s">
        <v>78</v>
      </c>
      <c r="DV76" s="9" t="s">
        <v>77</v>
      </c>
      <c r="DZ76" s="9" t="s">
        <v>77</v>
      </c>
      <c r="EA76" s="9" t="s">
        <v>77</v>
      </c>
      <c r="EB76" s="9" t="s">
        <v>80</v>
      </c>
      <c r="EC76" s="9" t="s">
        <v>438</v>
      </c>
      <c r="ED76" s="9" t="s">
        <v>77</v>
      </c>
      <c r="EE76" s="9" t="s">
        <v>78</v>
      </c>
      <c r="EF76" s="9" t="s">
        <v>349</v>
      </c>
      <c r="EG76" s="9" t="s">
        <v>78</v>
      </c>
      <c r="EH76" s="9" t="s">
        <v>77</v>
      </c>
      <c r="EL76" s="9" t="s">
        <v>77</v>
      </c>
      <c r="EM76" s="9" t="s">
        <v>77</v>
      </c>
      <c r="EN76" s="9" t="s">
        <v>80</v>
      </c>
      <c r="EO76" s="9" t="s">
        <v>438</v>
      </c>
      <c r="EP76" s="9" t="s">
        <v>77</v>
      </c>
      <c r="EQ76" s="9" t="s">
        <v>78</v>
      </c>
      <c r="ER76" s="9" t="s">
        <v>349</v>
      </c>
      <c r="ES76" s="9" t="s">
        <v>78</v>
      </c>
      <c r="ET76" s="9" t="s">
        <v>77</v>
      </c>
      <c r="EX76" s="9" t="s">
        <v>77</v>
      </c>
      <c r="EY76" s="9" t="s">
        <v>77</v>
      </c>
      <c r="EZ76" s="9" t="s">
        <v>80</v>
      </c>
      <c r="FA76" s="9" t="s">
        <v>438</v>
      </c>
      <c r="FB76" s="9" t="s">
        <v>77</v>
      </c>
      <c r="FC76" s="9" t="s">
        <v>78</v>
      </c>
      <c r="FD76" s="9" t="s">
        <v>349</v>
      </c>
      <c r="FE76" s="9" t="s">
        <v>78</v>
      </c>
      <c r="FF76" s="9" t="s">
        <v>77</v>
      </c>
    </row>
    <row r="77" spans="50:162">
      <c r="AX77" s="9" t="s">
        <v>77</v>
      </c>
      <c r="AY77" s="9" t="s">
        <v>77</v>
      </c>
      <c r="AZ77" s="9" t="s">
        <v>80</v>
      </c>
      <c r="BA77" s="9" t="s">
        <v>438</v>
      </c>
      <c r="BB77" s="9" t="s">
        <v>79</v>
      </c>
      <c r="BC77" s="9" t="s">
        <v>78</v>
      </c>
      <c r="BD77" s="9" t="s">
        <v>349</v>
      </c>
      <c r="BE77" s="9" t="s">
        <v>78</v>
      </c>
      <c r="BF77" s="9" t="s">
        <v>77</v>
      </c>
      <c r="BI77" s="9" t="s">
        <v>77</v>
      </c>
      <c r="BJ77" s="9" t="s">
        <v>80</v>
      </c>
      <c r="BK77" s="9" t="s">
        <v>348</v>
      </c>
      <c r="BL77" s="9" t="s">
        <v>612</v>
      </c>
      <c r="BM77" s="9" t="s">
        <v>80</v>
      </c>
      <c r="BN77" s="9" t="s">
        <v>348</v>
      </c>
      <c r="BO77" s="9" t="s">
        <v>612</v>
      </c>
      <c r="BP77" s="9" t="s">
        <v>77</v>
      </c>
      <c r="BQ77" s="9" t="s">
        <v>77</v>
      </c>
      <c r="BR77" s="9" t="s">
        <v>77</v>
      </c>
      <c r="BS77" s="9" t="s">
        <v>77</v>
      </c>
      <c r="BT77" s="9" t="s">
        <v>77</v>
      </c>
      <c r="BU77" s="9" t="s">
        <v>77</v>
      </c>
      <c r="BV77" s="9" t="s">
        <v>78</v>
      </c>
      <c r="BW77" s="9" t="s">
        <v>78</v>
      </c>
      <c r="BX77" s="9" t="s">
        <v>78</v>
      </c>
      <c r="CB77" s="9" t="s">
        <v>77</v>
      </c>
      <c r="CC77" s="9" t="s">
        <v>80</v>
      </c>
      <c r="CD77" s="9" t="s">
        <v>77</v>
      </c>
      <c r="CE77" s="9" t="s">
        <v>77</v>
      </c>
      <c r="CF77" s="9" t="s">
        <v>77</v>
      </c>
      <c r="CG77" s="9" t="s">
        <v>80</v>
      </c>
      <c r="CH77" s="9" t="s">
        <v>348</v>
      </c>
      <c r="CI77" s="9" t="s">
        <v>613</v>
      </c>
      <c r="CJ77" s="9" t="s">
        <v>80</v>
      </c>
      <c r="CK77" s="9" t="s">
        <v>348</v>
      </c>
      <c r="CL77" s="9" t="s">
        <v>613</v>
      </c>
      <c r="CM77" s="9" t="s">
        <v>77</v>
      </c>
      <c r="CN77" s="9" t="s">
        <v>77</v>
      </c>
      <c r="CO77" s="9" t="s">
        <v>78</v>
      </c>
      <c r="CS77" s="9" t="s">
        <v>80</v>
      </c>
      <c r="CT77" s="9" t="s">
        <v>348</v>
      </c>
      <c r="CU77" s="9" t="s">
        <v>612</v>
      </c>
      <c r="CV77" s="9" t="s">
        <v>80</v>
      </c>
      <c r="CW77" s="9" t="s">
        <v>348</v>
      </c>
      <c r="CX77" s="9" t="s">
        <v>612</v>
      </c>
      <c r="CY77" s="9" t="s">
        <v>77</v>
      </c>
      <c r="CZ77" s="9" t="s">
        <v>77</v>
      </c>
      <c r="DA77" s="9" t="s">
        <v>78</v>
      </c>
      <c r="DE77" s="9" t="s">
        <v>77</v>
      </c>
      <c r="DF77" s="9" t="s">
        <v>78</v>
      </c>
      <c r="DG77" s="9" t="s">
        <v>78</v>
      </c>
      <c r="DH77" s="9" t="s">
        <v>78</v>
      </c>
      <c r="DI77" s="9" t="s">
        <v>612</v>
      </c>
      <c r="DJ77" s="9" t="s">
        <v>77</v>
      </c>
      <c r="DK77" s="9" t="s">
        <v>77</v>
      </c>
      <c r="DN77" s="9" t="s">
        <v>77</v>
      </c>
      <c r="DO77" s="9" t="s">
        <v>77</v>
      </c>
      <c r="DP77" s="9" t="s">
        <v>80</v>
      </c>
      <c r="DQ77" s="9" t="s">
        <v>438</v>
      </c>
      <c r="DR77" s="9" t="s">
        <v>77</v>
      </c>
      <c r="DS77" s="9" t="s">
        <v>78</v>
      </c>
      <c r="DT77" s="9" t="s">
        <v>349</v>
      </c>
      <c r="DU77" s="9" t="s">
        <v>78</v>
      </c>
      <c r="DV77" s="9" t="s">
        <v>77</v>
      </c>
      <c r="DZ77" s="9" t="s">
        <v>77</v>
      </c>
      <c r="EA77" s="9" t="s">
        <v>77</v>
      </c>
      <c r="EB77" s="9" t="s">
        <v>80</v>
      </c>
      <c r="EC77" s="9" t="s">
        <v>438</v>
      </c>
      <c r="ED77" s="9" t="s">
        <v>77</v>
      </c>
      <c r="EE77" s="9" t="s">
        <v>78</v>
      </c>
      <c r="EF77" s="9" t="s">
        <v>349</v>
      </c>
      <c r="EG77" s="9" t="s">
        <v>78</v>
      </c>
      <c r="EH77" s="9" t="s">
        <v>77</v>
      </c>
      <c r="EL77" s="9" t="s">
        <v>77</v>
      </c>
      <c r="EM77" s="9" t="s">
        <v>77</v>
      </c>
      <c r="EN77" s="9" t="s">
        <v>80</v>
      </c>
      <c r="EO77" s="9" t="s">
        <v>438</v>
      </c>
      <c r="EP77" s="9" t="s">
        <v>77</v>
      </c>
      <c r="EQ77" s="9" t="s">
        <v>78</v>
      </c>
      <c r="ER77" s="9" t="s">
        <v>349</v>
      </c>
      <c r="ES77" s="9" t="s">
        <v>78</v>
      </c>
      <c r="ET77" s="9" t="s">
        <v>77</v>
      </c>
      <c r="EX77" s="9" t="s">
        <v>77</v>
      </c>
      <c r="EY77" s="9" t="s">
        <v>77</v>
      </c>
      <c r="EZ77" s="9" t="s">
        <v>80</v>
      </c>
      <c r="FA77" s="9" t="s">
        <v>438</v>
      </c>
      <c r="FB77" s="9" t="s">
        <v>77</v>
      </c>
      <c r="FC77" s="9" t="s">
        <v>78</v>
      </c>
      <c r="FD77" s="9" t="s">
        <v>349</v>
      </c>
      <c r="FE77" s="9" t="s">
        <v>78</v>
      </c>
      <c r="FF77" s="9" t="s">
        <v>77</v>
      </c>
    </row>
    <row r="78" spans="50:162">
      <c r="AX78" s="9" t="s">
        <v>77</v>
      </c>
      <c r="AY78" s="9" t="s">
        <v>77</v>
      </c>
      <c r="AZ78" s="9" t="s">
        <v>80</v>
      </c>
      <c r="BA78" s="9" t="s">
        <v>438</v>
      </c>
      <c r="BB78" s="9" t="s">
        <v>79</v>
      </c>
      <c r="BC78" s="9" t="s">
        <v>78</v>
      </c>
      <c r="BD78" s="9" t="s">
        <v>349</v>
      </c>
      <c r="BE78" s="9" t="s">
        <v>78</v>
      </c>
      <c r="BF78" s="9" t="s">
        <v>77</v>
      </c>
      <c r="BI78" s="9" t="s">
        <v>77</v>
      </c>
      <c r="BJ78" s="9" t="s">
        <v>80</v>
      </c>
      <c r="BK78" s="9" t="s">
        <v>348</v>
      </c>
      <c r="BL78" s="9" t="s">
        <v>614</v>
      </c>
      <c r="BM78" s="9" t="s">
        <v>80</v>
      </c>
      <c r="BN78" s="9" t="s">
        <v>348</v>
      </c>
      <c r="BO78" s="9" t="s">
        <v>614</v>
      </c>
      <c r="BP78" s="9" t="s">
        <v>77</v>
      </c>
      <c r="BQ78" s="9" t="s">
        <v>77</v>
      </c>
      <c r="BR78" s="9" t="s">
        <v>77</v>
      </c>
      <c r="BS78" s="9" t="s">
        <v>77</v>
      </c>
      <c r="BT78" s="9" t="s">
        <v>77</v>
      </c>
      <c r="BU78" s="9" t="s">
        <v>77</v>
      </c>
      <c r="BV78" s="9" t="s">
        <v>78</v>
      </c>
      <c r="BW78" s="9" t="s">
        <v>78</v>
      </c>
      <c r="BX78" s="9" t="s">
        <v>78</v>
      </c>
      <c r="CB78" s="9" t="s">
        <v>77</v>
      </c>
      <c r="CC78" s="9" t="s">
        <v>80</v>
      </c>
      <c r="CD78" s="9" t="s">
        <v>77</v>
      </c>
      <c r="CE78" s="9" t="s">
        <v>77</v>
      </c>
      <c r="CF78" s="9" t="s">
        <v>77</v>
      </c>
      <c r="CG78" s="9" t="s">
        <v>80</v>
      </c>
      <c r="CH78" s="9" t="s">
        <v>348</v>
      </c>
      <c r="CI78" s="9" t="s">
        <v>614</v>
      </c>
      <c r="CJ78" s="9" t="s">
        <v>80</v>
      </c>
      <c r="CK78" s="9" t="s">
        <v>348</v>
      </c>
      <c r="CL78" s="9" t="s">
        <v>614</v>
      </c>
      <c r="CM78" s="9" t="s">
        <v>77</v>
      </c>
      <c r="CN78" s="9" t="s">
        <v>77</v>
      </c>
      <c r="CO78" s="9" t="s">
        <v>78</v>
      </c>
      <c r="CS78" s="9" t="s">
        <v>80</v>
      </c>
      <c r="CT78" s="9" t="s">
        <v>348</v>
      </c>
      <c r="CU78" s="9" t="s">
        <v>614</v>
      </c>
      <c r="CV78" s="9" t="s">
        <v>80</v>
      </c>
      <c r="CW78" s="9" t="s">
        <v>348</v>
      </c>
      <c r="CX78" s="9" t="s">
        <v>614</v>
      </c>
      <c r="CY78" s="9" t="s">
        <v>77</v>
      </c>
      <c r="CZ78" s="9" t="s">
        <v>77</v>
      </c>
      <c r="DA78" s="9" t="s">
        <v>78</v>
      </c>
      <c r="DE78" s="9" t="s">
        <v>77</v>
      </c>
      <c r="DF78" s="9" t="s">
        <v>78</v>
      </c>
      <c r="DG78" s="9" t="s">
        <v>78</v>
      </c>
      <c r="DH78" s="9" t="s">
        <v>78</v>
      </c>
      <c r="DI78" s="9" t="s">
        <v>615</v>
      </c>
      <c r="DJ78" s="9" t="s">
        <v>77</v>
      </c>
      <c r="DK78" s="9" t="s">
        <v>77</v>
      </c>
      <c r="DN78" s="9" t="s">
        <v>77</v>
      </c>
      <c r="DO78" s="9" t="s">
        <v>77</v>
      </c>
      <c r="DP78" s="9" t="s">
        <v>80</v>
      </c>
      <c r="DQ78" s="9" t="s">
        <v>438</v>
      </c>
      <c r="DR78" s="9" t="s">
        <v>77</v>
      </c>
      <c r="DS78" s="9" t="s">
        <v>78</v>
      </c>
      <c r="DT78" s="9" t="s">
        <v>349</v>
      </c>
      <c r="DU78" s="9" t="s">
        <v>78</v>
      </c>
      <c r="DV78" s="9" t="s">
        <v>77</v>
      </c>
      <c r="DZ78" s="9" t="s">
        <v>77</v>
      </c>
      <c r="EA78" s="9" t="s">
        <v>77</v>
      </c>
      <c r="EB78" s="9" t="s">
        <v>80</v>
      </c>
      <c r="EC78" s="9" t="s">
        <v>438</v>
      </c>
      <c r="ED78" s="9" t="s">
        <v>77</v>
      </c>
      <c r="EE78" s="9" t="s">
        <v>78</v>
      </c>
      <c r="EF78" s="9" t="s">
        <v>349</v>
      </c>
      <c r="EG78" s="9" t="s">
        <v>78</v>
      </c>
      <c r="EH78" s="9" t="s">
        <v>77</v>
      </c>
      <c r="EL78" s="9" t="s">
        <v>77</v>
      </c>
      <c r="EM78" s="9" t="s">
        <v>77</v>
      </c>
      <c r="EN78" s="9" t="s">
        <v>80</v>
      </c>
      <c r="EO78" s="9" t="s">
        <v>438</v>
      </c>
      <c r="EP78" s="9" t="s">
        <v>77</v>
      </c>
      <c r="EQ78" s="9" t="s">
        <v>78</v>
      </c>
      <c r="ER78" s="9" t="s">
        <v>349</v>
      </c>
      <c r="ES78" s="9" t="s">
        <v>78</v>
      </c>
      <c r="ET78" s="9" t="s">
        <v>77</v>
      </c>
      <c r="EX78" s="9" t="s">
        <v>77</v>
      </c>
      <c r="EY78" s="9" t="s">
        <v>77</v>
      </c>
      <c r="EZ78" s="9" t="s">
        <v>80</v>
      </c>
      <c r="FA78" s="9" t="s">
        <v>438</v>
      </c>
      <c r="FB78" s="9" t="s">
        <v>77</v>
      </c>
      <c r="FC78" s="9" t="s">
        <v>78</v>
      </c>
      <c r="FD78" s="9" t="s">
        <v>349</v>
      </c>
      <c r="FE78" s="9" t="s">
        <v>78</v>
      </c>
      <c r="FF78" s="9" t="s">
        <v>77</v>
      </c>
    </row>
    <row r="79" spans="50:162">
      <c r="AX79" s="9" t="s">
        <v>77</v>
      </c>
      <c r="AY79" s="9" t="s">
        <v>77</v>
      </c>
      <c r="AZ79" s="9" t="s">
        <v>80</v>
      </c>
      <c r="BA79" s="9" t="s">
        <v>438</v>
      </c>
      <c r="BB79" s="9" t="s">
        <v>79</v>
      </c>
      <c r="BC79" s="9" t="s">
        <v>78</v>
      </c>
      <c r="BD79" s="9" t="s">
        <v>349</v>
      </c>
      <c r="BE79" s="9" t="s">
        <v>78</v>
      </c>
      <c r="BF79" s="9" t="s">
        <v>77</v>
      </c>
      <c r="BI79" s="9" t="s">
        <v>77</v>
      </c>
      <c r="BJ79" s="9" t="s">
        <v>80</v>
      </c>
      <c r="BK79" s="9" t="s">
        <v>348</v>
      </c>
      <c r="BL79" s="9" t="s">
        <v>616</v>
      </c>
      <c r="BM79" s="9" t="s">
        <v>80</v>
      </c>
      <c r="BN79" s="9" t="s">
        <v>348</v>
      </c>
      <c r="BO79" s="9" t="s">
        <v>616</v>
      </c>
      <c r="BP79" s="9" t="s">
        <v>77</v>
      </c>
      <c r="BQ79" s="9" t="s">
        <v>77</v>
      </c>
      <c r="BR79" s="9" t="s">
        <v>77</v>
      </c>
      <c r="BS79" s="9" t="s">
        <v>77</v>
      </c>
      <c r="BT79" s="9" t="s">
        <v>77</v>
      </c>
      <c r="BU79" s="9" t="s">
        <v>77</v>
      </c>
      <c r="BV79" s="9" t="s">
        <v>78</v>
      </c>
      <c r="BW79" s="9" t="s">
        <v>78</v>
      </c>
      <c r="BX79" s="9" t="s">
        <v>78</v>
      </c>
      <c r="CB79" s="9" t="s">
        <v>77</v>
      </c>
      <c r="CC79" s="9" t="s">
        <v>80</v>
      </c>
      <c r="CD79" s="9" t="s">
        <v>77</v>
      </c>
      <c r="CE79" s="9" t="s">
        <v>77</v>
      </c>
      <c r="CF79" s="9" t="s">
        <v>77</v>
      </c>
      <c r="CG79" s="9" t="s">
        <v>80</v>
      </c>
      <c r="CH79" s="9" t="s">
        <v>348</v>
      </c>
      <c r="CI79" s="9" t="s">
        <v>617</v>
      </c>
      <c r="CJ79" s="9" t="s">
        <v>80</v>
      </c>
      <c r="CK79" s="9" t="s">
        <v>348</v>
      </c>
      <c r="CL79" s="9" t="s">
        <v>617</v>
      </c>
      <c r="CM79" s="9" t="s">
        <v>77</v>
      </c>
      <c r="CN79" s="9" t="s">
        <v>77</v>
      </c>
      <c r="CO79" s="9" t="s">
        <v>78</v>
      </c>
      <c r="CS79" s="9" t="s">
        <v>80</v>
      </c>
      <c r="CT79" s="9" t="s">
        <v>348</v>
      </c>
      <c r="CU79" s="9" t="s">
        <v>616</v>
      </c>
      <c r="CV79" s="9" t="s">
        <v>80</v>
      </c>
      <c r="CW79" s="9" t="s">
        <v>348</v>
      </c>
      <c r="CX79" s="9" t="s">
        <v>616</v>
      </c>
      <c r="CY79" s="9" t="s">
        <v>77</v>
      </c>
      <c r="CZ79" s="9" t="s">
        <v>77</v>
      </c>
      <c r="DA79" s="9" t="s">
        <v>78</v>
      </c>
      <c r="DE79" s="9" t="s">
        <v>77</v>
      </c>
      <c r="DF79" s="9" t="s">
        <v>78</v>
      </c>
      <c r="DG79" s="9" t="s">
        <v>78</v>
      </c>
      <c r="DH79" s="9" t="s">
        <v>78</v>
      </c>
      <c r="DI79" s="9" t="s">
        <v>616</v>
      </c>
      <c r="DJ79" s="9" t="s">
        <v>77</v>
      </c>
      <c r="DK79" s="9" t="s">
        <v>77</v>
      </c>
      <c r="DN79" s="9" t="s">
        <v>77</v>
      </c>
      <c r="DO79" s="9" t="s">
        <v>77</v>
      </c>
      <c r="DP79" s="9" t="s">
        <v>80</v>
      </c>
      <c r="DQ79" s="9" t="s">
        <v>438</v>
      </c>
      <c r="DR79" s="9" t="s">
        <v>77</v>
      </c>
      <c r="DS79" s="9" t="s">
        <v>78</v>
      </c>
      <c r="DT79" s="9" t="s">
        <v>349</v>
      </c>
      <c r="DU79" s="9" t="s">
        <v>78</v>
      </c>
      <c r="DV79" s="9" t="s">
        <v>77</v>
      </c>
      <c r="DZ79" s="9" t="s">
        <v>77</v>
      </c>
      <c r="EA79" s="9" t="s">
        <v>77</v>
      </c>
      <c r="EB79" s="9" t="s">
        <v>80</v>
      </c>
      <c r="EC79" s="9" t="s">
        <v>438</v>
      </c>
      <c r="ED79" s="9" t="s">
        <v>77</v>
      </c>
      <c r="EE79" s="9" t="s">
        <v>78</v>
      </c>
      <c r="EF79" s="9" t="s">
        <v>349</v>
      </c>
      <c r="EG79" s="9" t="s">
        <v>78</v>
      </c>
      <c r="EH79" s="9" t="s">
        <v>77</v>
      </c>
      <c r="EL79" s="9" t="s">
        <v>77</v>
      </c>
      <c r="EM79" s="9" t="s">
        <v>77</v>
      </c>
      <c r="EN79" s="9" t="s">
        <v>80</v>
      </c>
      <c r="EO79" s="9" t="s">
        <v>438</v>
      </c>
      <c r="EP79" s="9" t="s">
        <v>77</v>
      </c>
      <c r="EQ79" s="9" t="s">
        <v>78</v>
      </c>
      <c r="ER79" s="9" t="s">
        <v>349</v>
      </c>
      <c r="ES79" s="9" t="s">
        <v>78</v>
      </c>
      <c r="ET79" s="9" t="s">
        <v>77</v>
      </c>
      <c r="EX79" s="9" t="s">
        <v>77</v>
      </c>
      <c r="EY79" s="9" t="s">
        <v>77</v>
      </c>
      <c r="EZ79" s="9" t="s">
        <v>80</v>
      </c>
      <c r="FA79" s="9" t="s">
        <v>438</v>
      </c>
      <c r="FB79" s="9" t="s">
        <v>77</v>
      </c>
      <c r="FC79" s="9" t="s">
        <v>78</v>
      </c>
      <c r="FD79" s="9" t="s">
        <v>349</v>
      </c>
      <c r="FE79" s="9" t="s">
        <v>78</v>
      </c>
      <c r="FF79" s="9" t="s">
        <v>77</v>
      </c>
    </row>
    <row r="80" spans="50:162">
      <c r="AX80" s="9" t="s">
        <v>77</v>
      </c>
      <c r="AY80" s="9" t="s">
        <v>77</v>
      </c>
      <c r="AZ80" s="9" t="s">
        <v>80</v>
      </c>
      <c r="BA80" s="9" t="s">
        <v>438</v>
      </c>
      <c r="BB80" s="9" t="s">
        <v>79</v>
      </c>
      <c r="BC80" s="9" t="s">
        <v>78</v>
      </c>
      <c r="BD80" s="9" t="s">
        <v>349</v>
      </c>
      <c r="BE80" s="9" t="s">
        <v>78</v>
      </c>
      <c r="BF80" s="9" t="s">
        <v>77</v>
      </c>
      <c r="BI80" s="9" t="s">
        <v>77</v>
      </c>
      <c r="BJ80" s="9" t="s">
        <v>80</v>
      </c>
      <c r="BK80" s="9" t="s">
        <v>348</v>
      </c>
      <c r="BL80" s="9" t="s">
        <v>618</v>
      </c>
      <c r="BM80" s="9" t="s">
        <v>80</v>
      </c>
      <c r="BN80" s="9" t="s">
        <v>348</v>
      </c>
      <c r="BO80" s="9" t="s">
        <v>618</v>
      </c>
      <c r="BP80" s="9" t="s">
        <v>77</v>
      </c>
      <c r="BQ80" s="9" t="s">
        <v>77</v>
      </c>
      <c r="BR80" s="9" t="s">
        <v>77</v>
      </c>
      <c r="BS80" s="9" t="s">
        <v>77</v>
      </c>
      <c r="BT80" s="9" t="s">
        <v>77</v>
      </c>
      <c r="BU80" s="9" t="s">
        <v>77</v>
      </c>
      <c r="BV80" s="9" t="s">
        <v>78</v>
      </c>
      <c r="BW80" s="9" t="s">
        <v>78</v>
      </c>
      <c r="BX80" s="9" t="s">
        <v>78</v>
      </c>
      <c r="CB80" s="9" t="s">
        <v>77</v>
      </c>
      <c r="CC80" s="9" t="s">
        <v>80</v>
      </c>
      <c r="CD80" s="9" t="s">
        <v>77</v>
      </c>
      <c r="CE80" s="9" t="s">
        <v>77</v>
      </c>
      <c r="CF80" s="9" t="s">
        <v>77</v>
      </c>
      <c r="CG80" s="9" t="s">
        <v>80</v>
      </c>
      <c r="CH80" s="9" t="s">
        <v>348</v>
      </c>
      <c r="CI80" s="9" t="s">
        <v>619</v>
      </c>
      <c r="CJ80" s="9" t="s">
        <v>80</v>
      </c>
      <c r="CK80" s="9" t="s">
        <v>348</v>
      </c>
      <c r="CL80" s="9" t="s">
        <v>619</v>
      </c>
      <c r="CM80" s="9" t="s">
        <v>77</v>
      </c>
      <c r="CN80" s="9" t="s">
        <v>77</v>
      </c>
      <c r="CO80" s="9" t="s">
        <v>78</v>
      </c>
      <c r="CS80" s="9" t="s">
        <v>80</v>
      </c>
      <c r="CT80" s="9" t="s">
        <v>348</v>
      </c>
      <c r="CU80" s="9" t="s">
        <v>619</v>
      </c>
      <c r="CV80" s="9" t="s">
        <v>80</v>
      </c>
      <c r="CW80" s="9" t="s">
        <v>348</v>
      </c>
      <c r="CX80" s="9" t="s">
        <v>619</v>
      </c>
      <c r="CY80" s="9" t="s">
        <v>77</v>
      </c>
      <c r="CZ80" s="9" t="s">
        <v>77</v>
      </c>
      <c r="DA80" s="9" t="s">
        <v>78</v>
      </c>
      <c r="DE80" s="9" t="s">
        <v>77</v>
      </c>
      <c r="DF80" s="9" t="s">
        <v>78</v>
      </c>
      <c r="DG80" s="9" t="s">
        <v>78</v>
      </c>
      <c r="DH80" s="9" t="s">
        <v>78</v>
      </c>
      <c r="DI80" s="9" t="s">
        <v>618</v>
      </c>
      <c r="DJ80" s="9" t="s">
        <v>77</v>
      </c>
      <c r="DK80" s="9" t="s">
        <v>77</v>
      </c>
      <c r="DN80" s="9" t="s">
        <v>77</v>
      </c>
      <c r="DO80" s="9" t="s">
        <v>77</v>
      </c>
      <c r="DP80" s="9" t="s">
        <v>80</v>
      </c>
      <c r="DQ80" s="9" t="s">
        <v>438</v>
      </c>
      <c r="DR80" s="9" t="s">
        <v>77</v>
      </c>
      <c r="DS80" s="9" t="s">
        <v>78</v>
      </c>
      <c r="DT80" s="9" t="s">
        <v>349</v>
      </c>
      <c r="DU80" s="9" t="s">
        <v>78</v>
      </c>
      <c r="DV80" s="9" t="s">
        <v>77</v>
      </c>
      <c r="DZ80" s="9" t="s">
        <v>77</v>
      </c>
      <c r="EA80" s="9" t="s">
        <v>77</v>
      </c>
      <c r="EB80" s="9" t="s">
        <v>80</v>
      </c>
      <c r="EC80" s="9" t="s">
        <v>438</v>
      </c>
      <c r="ED80" s="9" t="s">
        <v>77</v>
      </c>
      <c r="EE80" s="9" t="s">
        <v>78</v>
      </c>
      <c r="EF80" s="9" t="s">
        <v>349</v>
      </c>
      <c r="EG80" s="9" t="s">
        <v>78</v>
      </c>
      <c r="EH80" s="9" t="s">
        <v>77</v>
      </c>
      <c r="EL80" s="9" t="s">
        <v>77</v>
      </c>
      <c r="EM80" s="9" t="s">
        <v>77</v>
      </c>
      <c r="EN80" s="9" t="s">
        <v>80</v>
      </c>
      <c r="EO80" s="9" t="s">
        <v>438</v>
      </c>
      <c r="EP80" s="9" t="s">
        <v>77</v>
      </c>
      <c r="EQ80" s="9" t="s">
        <v>78</v>
      </c>
      <c r="ER80" s="9" t="s">
        <v>349</v>
      </c>
      <c r="ES80" s="9" t="s">
        <v>78</v>
      </c>
      <c r="ET80" s="9" t="s">
        <v>77</v>
      </c>
      <c r="EX80" s="9" t="s">
        <v>77</v>
      </c>
      <c r="EY80" s="9" t="s">
        <v>77</v>
      </c>
      <c r="EZ80" s="9" t="s">
        <v>80</v>
      </c>
      <c r="FA80" s="9" t="s">
        <v>438</v>
      </c>
      <c r="FB80" s="9" t="s">
        <v>77</v>
      </c>
      <c r="FC80" s="9" t="s">
        <v>78</v>
      </c>
      <c r="FD80" s="9" t="s">
        <v>349</v>
      </c>
      <c r="FE80" s="9" t="s">
        <v>78</v>
      </c>
      <c r="FF80" s="9" t="s">
        <v>77</v>
      </c>
    </row>
    <row r="81" spans="50:162">
      <c r="AX81" s="9" t="s">
        <v>77</v>
      </c>
      <c r="AY81" s="9" t="s">
        <v>77</v>
      </c>
      <c r="AZ81" s="9" t="s">
        <v>80</v>
      </c>
      <c r="BA81" s="9" t="s">
        <v>438</v>
      </c>
      <c r="BB81" s="9" t="s">
        <v>79</v>
      </c>
      <c r="BC81" s="9" t="s">
        <v>78</v>
      </c>
      <c r="BD81" s="9" t="s">
        <v>349</v>
      </c>
      <c r="BE81" s="9" t="s">
        <v>78</v>
      </c>
      <c r="BF81" s="9" t="s">
        <v>77</v>
      </c>
      <c r="BI81" s="9" t="s">
        <v>77</v>
      </c>
      <c r="BJ81" s="9" t="s">
        <v>80</v>
      </c>
      <c r="BK81" s="9" t="s">
        <v>348</v>
      </c>
      <c r="BL81" s="9" t="s">
        <v>620</v>
      </c>
      <c r="BM81" s="9" t="s">
        <v>80</v>
      </c>
      <c r="BN81" s="9" t="s">
        <v>348</v>
      </c>
      <c r="BO81" s="9" t="s">
        <v>620</v>
      </c>
      <c r="BP81" s="9" t="s">
        <v>77</v>
      </c>
      <c r="BQ81" s="9" t="s">
        <v>77</v>
      </c>
      <c r="BR81" s="9" t="s">
        <v>77</v>
      </c>
      <c r="BS81" s="9" t="s">
        <v>77</v>
      </c>
      <c r="BT81" s="9" t="s">
        <v>77</v>
      </c>
      <c r="BU81" s="9" t="s">
        <v>77</v>
      </c>
      <c r="BV81" s="9" t="s">
        <v>78</v>
      </c>
      <c r="BW81" s="9" t="s">
        <v>78</v>
      </c>
      <c r="BX81" s="9" t="s">
        <v>78</v>
      </c>
      <c r="CB81" s="9" t="s">
        <v>77</v>
      </c>
      <c r="CC81" s="9" t="s">
        <v>80</v>
      </c>
      <c r="CD81" s="9" t="s">
        <v>77</v>
      </c>
      <c r="CE81" s="9" t="s">
        <v>77</v>
      </c>
      <c r="CF81" s="9" t="s">
        <v>77</v>
      </c>
      <c r="CG81" s="9" t="s">
        <v>80</v>
      </c>
      <c r="CH81" s="9" t="s">
        <v>348</v>
      </c>
      <c r="CI81" s="9" t="s">
        <v>621</v>
      </c>
      <c r="CJ81" s="9" t="s">
        <v>80</v>
      </c>
      <c r="CK81" s="9" t="s">
        <v>348</v>
      </c>
      <c r="CL81" s="9" t="s">
        <v>621</v>
      </c>
      <c r="CM81" s="9" t="s">
        <v>77</v>
      </c>
      <c r="CN81" s="9" t="s">
        <v>77</v>
      </c>
      <c r="CO81" s="9" t="s">
        <v>78</v>
      </c>
      <c r="CS81" s="9" t="s">
        <v>80</v>
      </c>
      <c r="CT81" s="9" t="s">
        <v>348</v>
      </c>
      <c r="CU81" s="9" t="s">
        <v>620</v>
      </c>
      <c r="CV81" s="9" t="s">
        <v>80</v>
      </c>
      <c r="CW81" s="9" t="s">
        <v>348</v>
      </c>
      <c r="CX81" s="9" t="s">
        <v>620</v>
      </c>
      <c r="CY81" s="9" t="s">
        <v>77</v>
      </c>
      <c r="CZ81" s="9" t="s">
        <v>77</v>
      </c>
      <c r="DA81" s="9" t="s">
        <v>78</v>
      </c>
      <c r="DE81" s="9" t="s">
        <v>77</v>
      </c>
      <c r="DF81" s="9" t="s">
        <v>78</v>
      </c>
      <c r="DG81" s="9" t="s">
        <v>78</v>
      </c>
      <c r="DH81" s="9" t="s">
        <v>78</v>
      </c>
      <c r="DI81" s="9" t="s">
        <v>620</v>
      </c>
      <c r="DJ81" s="9" t="s">
        <v>77</v>
      </c>
      <c r="DK81" s="9" t="s">
        <v>77</v>
      </c>
      <c r="DN81" s="9" t="s">
        <v>77</v>
      </c>
      <c r="DO81" s="9" t="s">
        <v>77</v>
      </c>
      <c r="DP81" s="9" t="s">
        <v>80</v>
      </c>
      <c r="DQ81" s="9" t="s">
        <v>438</v>
      </c>
      <c r="DR81" s="9" t="s">
        <v>77</v>
      </c>
      <c r="DS81" s="9" t="s">
        <v>78</v>
      </c>
      <c r="DT81" s="9" t="s">
        <v>349</v>
      </c>
      <c r="DU81" s="9" t="s">
        <v>78</v>
      </c>
      <c r="DV81" s="9" t="s">
        <v>77</v>
      </c>
      <c r="DZ81" s="9" t="s">
        <v>77</v>
      </c>
      <c r="EA81" s="9" t="s">
        <v>77</v>
      </c>
      <c r="EB81" s="9" t="s">
        <v>80</v>
      </c>
      <c r="EC81" s="9" t="s">
        <v>438</v>
      </c>
      <c r="ED81" s="9" t="s">
        <v>77</v>
      </c>
      <c r="EE81" s="9" t="s">
        <v>78</v>
      </c>
      <c r="EF81" s="9" t="s">
        <v>349</v>
      </c>
      <c r="EG81" s="9" t="s">
        <v>78</v>
      </c>
      <c r="EH81" s="9" t="s">
        <v>77</v>
      </c>
      <c r="EL81" s="9" t="s">
        <v>77</v>
      </c>
      <c r="EM81" s="9" t="s">
        <v>77</v>
      </c>
      <c r="EN81" s="9" t="s">
        <v>80</v>
      </c>
      <c r="EO81" s="9" t="s">
        <v>438</v>
      </c>
      <c r="EP81" s="9" t="s">
        <v>77</v>
      </c>
      <c r="EQ81" s="9" t="s">
        <v>78</v>
      </c>
      <c r="ER81" s="9" t="s">
        <v>349</v>
      </c>
      <c r="ES81" s="9" t="s">
        <v>78</v>
      </c>
      <c r="ET81" s="9" t="s">
        <v>77</v>
      </c>
      <c r="EX81" s="9" t="s">
        <v>77</v>
      </c>
      <c r="EY81" s="9" t="s">
        <v>77</v>
      </c>
      <c r="EZ81" s="9" t="s">
        <v>80</v>
      </c>
      <c r="FA81" s="9" t="s">
        <v>438</v>
      </c>
      <c r="FB81" s="9" t="s">
        <v>77</v>
      </c>
      <c r="FC81" s="9" t="s">
        <v>78</v>
      </c>
      <c r="FD81" s="9" t="s">
        <v>349</v>
      </c>
      <c r="FE81" s="9" t="s">
        <v>78</v>
      </c>
      <c r="FF81" s="9" t="s">
        <v>77</v>
      </c>
    </row>
    <row r="82" spans="50:162">
      <c r="AX82" s="9" t="s">
        <v>77</v>
      </c>
      <c r="AY82" s="9" t="s">
        <v>77</v>
      </c>
      <c r="AZ82" s="9" t="s">
        <v>80</v>
      </c>
      <c r="BA82" s="9" t="s">
        <v>438</v>
      </c>
      <c r="BB82" s="9" t="s">
        <v>79</v>
      </c>
      <c r="BC82" s="9" t="s">
        <v>78</v>
      </c>
      <c r="BD82" s="9" t="s">
        <v>349</v>
      </c>
      <c r="BE82" s="9" t="s">
        <v>78</v>
      </c>
      <c r="BF82" s="9" t="s">
        <v>77</v>
      </c>
      <c r="BI82" s="9" t="s">
        <v>77</v>
      </c>
      <c r="BJ82" s="9" t="s">
        <v>80</v>
      </c>
      <c r="BK82" s="9" t="s">
        <v>348</v>
      </c>
      <c r="BL82" s="9" t="s">
        <v>622</v>
      </c>
      <c r="BM82" s="9" t="s">
        <v>80</v>
      </c>
      <c r="BN82" s="9" t="s">
        <v>348</v>
      </c>
      <c r="BO82" s="9" t="s">
        <v>622</v>
      </c>
      <c r="BP82" s="9" t="s">
        <v>77</v>
      </c>
      <c r="BQ82" s="9" t="s">
        <v>77</v>
      </c>
      <c r="BR82" s="9" t="s">
        <v>77</v>
      </c>
      <c r="BS82" s="9" t="s">
        <v>77</v>
      </c>
      <c r="BT82" s="9" t="s">
        <v>77</v>
      </c>
      <c r="BU82" s="9" t="s">
        <v>77</v>
      </c>
      <c r="BV82" s="9" t="s">
        <v>78</v>
      </c>
      <c r="BW82" s="9" t="s">
        <v>78</v>
      </c>
      <c r="BX82" s="9" t="s">
        <v>78</v>
      </c>
      <c r="CB82" s="9" t="s">
        <v>77</v>
      </c>
      <c r="CC82" s="9" t="s">
        <v>80</v>
      </c>
      <c r="CD82" s="9" t="s">
        <v>77</v>
      </c>
      <c r="CE82" s="9" t="s">
        <v>77</v>
      </c>
      <c r="CF82" s="9" t="s">
        <v>77</v>
      </c>
      <c r="CG82" s="9" t="s">
        <v>80</v>
      </c>
      <c r="CH82" s="9" t="s">
        <v>348</v>
      </c>
      <c r="CI82" s="9" t="s">
        <v>623</v>
      </c>
      <c r="CJ82" s="9" t="s">
        <v>80</v>
      </c>
      <c r="CK82" s="9" t="s">
        <v>348</v>
      </c>
      <c r="CL82" s="9" t="s">
        <v>623</v>
      </c>
      <c r="CM82" s="9" t="s">
        <v>77</v>
      </c>
      <c r="CN82" s="9" t="s">
        <v>77</v>
      </c>
      <c r="CO82" s="9" t="s">
        <v>78</v>
      </c>
      <c r="CS82" s="9" t="s">
        <v>80</v>
      </c>
      <c r="CT82" s="9" t="s">
        <v>348</v>
      </c>
      <c r="CU82" s="9" t="s">
        <v>622</v>
      </c>
      <c r="CV82" s="9" t="s">
        <v>80</v>
      </c>
      <c r="CW82" s="9" t="s">
        <v>348</v>
      </c>
      <c r="CX82" s="9" t="s">
        <v>622</v>
      </c>
      <c r="CY82" s="9" t="s">
        <v>77</v>
      </c>
      <c r="CZ82" s="9" t="s">
        <v>77</v>
      </c>
      <c r="DA82" s="9" t="s">
        <v>78</v>
      </c>
      <c r="DE82" s="9" t="s">
        <v>77</v>
      </c>
      <c r="DF82" s="9" t="s">
        <v>78</v>
      </c>
      <c r="DG82" s="9" t="s">
        <v>78</v>
      </c>
      <c r="DH82" s="9" t="s">
        <v>78</v>
      </c>
      <c r="DI82" s="9" t="s">
        <v>622</v>
      </c>
      <c r="DJ82" s="9" t="s">
        <v>77</v>
      </c>
      <c r="DK82" s="9" t="s">
        <v>77</v>
      </c>
      <c r="DN82" s="9" t="s">
        <v>77</v>
      </c>
      <c r="DO82" s="9" t="s">
        <v>77</v>
      </c>
      <c r="DP82" s="9" t="s">
        <v>80</v>
      </c>
      <c r="DQ82" s="9" t="s">
        <v>438</v>
      </c>
      <c r="DR82" s="9" t="s">
        <v>77</v>
      </c>
      <c r="DS82" s="9" t="s">
        <v>78</v>
      </c>
      <c r="DT82" s="9" t="s">
        <v>349</v>
      </c>
      <c r="DU82" s="9" t="s">
        <v>78</v>
      </c>
      <c r="DV82" s="9" t="s">
        <v>77</v>
      </c>
      <c r="DZ82" s="9" t="s">
        <v>77</v>
      </c>
      <c r="EA82" s="9" t="s">
        <v>77</v>
      </c>
      <c r="EB82" s="9" t="s">
        <v>80</v>
      </c>
      <c r="EC82" s="9" t="s">
        <v>438</v>
      </c>
      <c r="ED82" s="9" t="s">
        <v>77</v>
      </c>
      <c r="EE82" s="9" t="s">
        <v>78</v>
      </c>
      <c r="EF82" s="9" t="s">
        <v>349</v>
      </c>
      <c r="EG82" s="9" t="s">
        <v>78</v>
      </c>
      <c r="EH82" s="9" t="s">
        <v>77</v>
      </c>
      <c r="EL82" s="9" t="s">
        <v>77</v>
      </c>
      <c r="EM82" s="9" t="s">
        <v>77</v>
      </c>
      <c r="EN82" s="9" t="s">
        <v>80</v>
      </c>
      <c r="EO82" s="9" t="s">
        <v>438</v>
      </c>
      <c r="EP82" s="9" t="s">
        <v>77</v>
      </c>
      <c r="EQ82" s="9" t="s">
        <v>78</v>
      </c>
      <c r="ER82" s="9" t="s">
        <v>349</v>
      </c>
      <c r="ES82" s="9" t="s">
        <v>78</v>
      </c>
      <c r="ET82" s="9" t="s">
        <v>77</v>
      </c>
      <c r="EX82" s="9" t="s">
        <v>77</v>
      </c>
      <c r="EY82" s="9" t="s">
        <v>77</v>
      </c>
      <c r="EZ82" s="9" t="s">
        <v>80</v>
      </c>
      <c r="FA82" s="9" t="s">
        <v>438</v>
      </c>
      <c r="FB82" s="9" t="s">
        <v>77</v>
      </c>
      <c r="FC82" s="9" t="s">
        <v>78</v>
      </c>
      <c r="FD82" s="9" t="s">
        <v>349</v>
      </c>
      <c r="FE82" s="9" t="s">
        <v>78</v>
      </c>
      <c r="FF82" s="9" t="s">
        <v>77</v>
      </c>
    </row>
    <row r="83" spans="50:162">
      <c r="AX83" s="9" t="s">
        <v>77</v>
      </c>
      <c r="AY83" s="9" t="s">
        <v>77</v>
      </c>
      <c r="AZ83" s="9" t="s">
        <v>80</v>
      </c>
      <c r="BA83" s="9" t="s">
        <v>438</v>
      </c>
      <c r="BB83" s="9" t="s">
        <v>79</v>
      </c>
      <c r="BC83" s="9" t="s">
        <v>78</v>
      </c>
      <c r="BD83" s="9" t="s">
        <v>349</v>
      </c>
      <c r="BE83" s="9" t="s">
        <v>78</v>
      </c>
      <c r="BF83" s="9" t="s">
        <v>77</v>
      </c>
      <c r="BI83" s="9" t="s">
        <v>77</v>
      </c>
      <c r="BJ83" s="9" t="s">
        <v>80</v>
      </c>
      <c r="BK83" s="9" t="s">
        <v>348</v>
      </c>
      <c r="BL83" s="9" t="s">
        <v>624</v>
      </c>
      <c r="BM83" s="9" t="s">
        <v>80</v>
      </c>
      <c r="BN83" s="9" t="s">
        <v>348</v>
      </c>
      <c r="BO83" s="9" t="s">
        <v>624</v>
      </c>
      <c r="BP83" s="9" t="s">
        <v>77</v>
      </c>
      <c r="BQ83" s="9" t="s">
        <v>77</v>
      </c>
      <c r="BR83" s="9" t="s">
        <v>77</v>
      </c>
      <c r="BS83" s="9" t="s">
        <v>77</v>
      </c>
      <c r="BT83" s="9" t="s">
        <v>77</v>
      </c>
      <c r="BU83" s="9" t="s">
        <v>77</v>
      </c>
      <c r="BV83" s="9" t="s">
        <v>78</v>
      </c>
      <c r="BW83" s="9" t="s">
        <v>78</v>
      </c>
      <c r="BX83" s="9" t="s">
        <v>78</v>
      </c>
      <c r="CB83" s="9" t="s">
        <v>77</v>
      </c>
      <c r="CC83" s="9" t="s">
        <v>80</v>
      </c>
      <c r="CD83" s="9" t="s">
        <v>77</v>
      </c>
      <c r="CE83" s="9" t="s">
        <v>77</v>
      </c>
      <c r="CF83" s="9" t="s">
        <v>77</v>
      </c>
      <c r="CG83" s="9" t="s">
        <v>80</v>
      </c>
      <c r="CH83" s="9" t="s">
        <v>348</v>
      </c>
      <c r="CI83" s="9" t="s">
        <v>625</v>
      </c>
      <c r="CJ83" s="9" t="s">
        <v>80</v>
      </c>
      <c r="CK83" s="9" t="s">
        <v>348</v>
      </c>
      <c r="CL83" s="9" t="s">
        <v>625</v>
      </c>
      <c r="CM83" s="9" t="s">
        <v>77</v>
      </c>
      <c r="CN83" s="9" t="s">
        <v>77</v>
      </c>
      <c r="CO83" s="9" t="s">
        <v>78</v>
      </c>
      <c r="CS83" s="9" t="s">
        <v>80</v>
      </c>
      <c r="CT83" s="9" t="s">
        <v>348</v>
      </c>
      <c r="CU83" s="9" t="s">
        <v>625</v>
      </c>
      <c r="CV83" s="9" t="s">
        <v>80</v>
      </c>
      <c r="CW83" s="9" t="s">
        <v>348</v>
      </c>
      <c r="CX83" s="9" t="s">
        <v>625</v>
      </c>
      <c r="CY83" s="9" t="s">
        <v>77</v>
      </c>
      <c r="CZ83" s="9" t="s">
        <v>77</v>
      </c>
      <c r="DA83" s="9" t="s">
        <v>78</v>
      </c>
      <c r="DE83" s="9" t="s">
        <v>77</v>
      </c>
      <c r="DF83" s="9" t="s">
        <v>78</v>
      </c>
      <c r="DG83" s="9" t="s">
        <v>78</v>
      </c>
      <c r="DH83" s="9" t="s">
        <v>78</v>
      </c>
      <c r="DI83" s="9" t="s">
        <v>624</v>
      </c>
      <c r="DJ83" s="9" t="s">
        <v>77</v>
      </c>
      <c r="DK83" s="9" t="s">
        <v>77</v>
      </c>
      <c r="DN83" s="9" t="s">
        <v>77</v>
      </c>
      <c r="DO83" s="9" t="s">
        <v>77</v>
      </c>
      <c r="DP83" s="9" t="s">
        <v>80</v>
      </c>
      <c r="DQ83" s="9" t="s">
        <v>438</v>
      </c>
      <c r="DR83" s="9" t="s">
        <v>77</v>
      </c>
      <c r="DS83" s="9" t="s">
        <v>78</v>
      </c>
      <c r="DT83" s="9" t="s">
        <v>349</v>
      </c>
      <c r="DU83" s="9" t="s">
        <v>78</v>
      </c>
      <c r="DV83" s="9" t="s">
        <v>77</v>
      </c>
      <c r="DZ83" s="9" t="s">
        <v>77</v>
      </c>
      <c r="EA83" s="9" t="s">
        <v>77</v>
      </c>
      <c r="EB83" s="9" t="s">
        <v>80</v>
      </c>
      <c r="EC83" s="9" t="s">
        <v>438</v>
      </c>
      <c r="ED83" s="9" t="s">
        <v>77</v>
      </c>
      <c r="EE83" s="9" t="s">
        <v>78</v>
      </c>
      <c r="EF83" s="9" t="s">
        <v>349</v>
      </c>
      <c r="EG83" s="9" t="s">
        <v>78</v>
      </c>
      <c r="EH83" s="9" t="s">
        <v>77</v>
      </c>
      <c r="EL83" s="9" t="s">
        <v>77</v>
      </c>
      <c r="EM83" s="9" t="s">
        <v>77</v>
      </c>
      <c r="EN83" s="9" t="s">
        <v>80</v>
      </c>
      <c r="EO83" s="9" t="s">
        <v>438</v>
      </c>
      <c r="EP83" s="9" t="s">
        <v>77</v>
      </c>
      <c r="EQ83" s="9" t="s">
        <v>78</v>
      </c>
      <c r="ER83" s="9" t="s">
        <v>349</v>
      </c>
      <c r="ES83" s="9" t="s">
        <v>78</v>
      </c>
      <c r="ET83" s="9" t="s">
        <v>77</v>
      </c>
      <c r="EX83" s="9" t="s">
        <v>77</v>
      </c>
      <c r="EY83" s="9" t="s">
        <v>77</v>
      </c>
      <c r="EZ83" s="9" t="s">
        <v>80</v>
      </c>
      <c r="FA83" s="9" t="s">
        <v>438</v>
      </c>
      <c r="FB83" s="9" t="s">
        <v>77</v>
      </c>
      <c r="FC83" s="9" t="s">
        <v>78</v>
      </c>
      <c r="FD83" s="9" t="s">
        <v>349</v>
      </c>
      <c r="FE83" s="9" t="s">
        <v>78</v>
      </c>
      <c r="FF83" s="9" t="s">
        <v>77</v>
      </c>
    </row>
    <row r="84" spans="50:162">
      <c r="AX84" s="9" t="s">
        <v>77</v>
      </c>
      <c r="AY84" s="9" t="s">
        <v>77</v>
      </c>
      <c r="AZ84" s="9" t="s">
        <v>80</v>
      </c>
      <c r="BA84" s="9" t="s">
        <v>438</v>
      </c>
      <c r="BB84" s="9" t="s">
        <v>79</v>
      </c>
      <c r="BC84" s="9" t="s">
        <v>78</v>
      </c>
      <c r="BD84" s="9" t="s">
        <v>349</v>
      </c>
      <c r="BE84" s="9" t="s">
        <v>78</v>
      </c>
      <c r="BF84" s="9" t="s">
        <v>77</v>
      </c>
      <c r="BI84" s="9" t="s">
        <v>77</v>
      </c>
      <c r="BJ84" s="9" t="s">
        <v>80</v>
      </c>
      <c r="BK84" s="9" t="s">
        <v>348</v>
      </c>
      <c r="BL84" s="9" t="s">
        <v>626</v>
      </c>
      <c r="BM84" s="9" t="s">
        <v>80</v>
      </c>
      <c r="BN84" s="9" t="s">
        <v>348</v>
      </c>
      <c r="BO84" s="9" t="s">
        <v>626</v>
      </c>
      <c r="BP84" s="9" t="s">
        <v>77</v>
      </c>
      <c r="BQ84" s="9" t="s">
        <v>77</v>
      </c>
      <c r="BR84" s="9" t="s">
        <v>77</v>
      </c>
      <c r="BS84" s="9" t="s">
        <v>77</v>
      </c>
      <c r="BT84" s="9" t="s">
        <v>77</v>
      </c>
      <c r="BU84" s="9" t="s">
        <v>77</v>
      </c>
      <c r="BV84" s="9" t="s">
        <v>78</v>
      </c>
      <c r="BW84" s="9" t="s">
        <v>78</v>
      </c>
      <c r="BX84" s="9" t="s">
        <v>78</v>
      </c>
      <c r="CB84" s="9" t="s">
        <v>77</v>
      </c>
      <c r="CC84" s="9" t="s">
        <v>80</v>
      </c>
      <c r="CD84" s="9" t="s">
        <v>77</v>
      </c>
      <c r="CE84" s="9" t="s">
        <v>77</v>
      </c>
      <c r="CF84" s="9" t="s">
        <v>77</v>
      </c>
      <c r="CG84" s="9" t="s">
        <v>80</v>
      </c>
      <c r="CH84" s="9" t="s">
        <v>348</v>
      </c>
      <c r="CI84" s="9" t="s">
        <v>626</v>
      </c>
      <c r="CJ84" s="9" t="s">
        <v>80</v>
      </c>
      <c r="CK84" s="9" t="s">
        <v>348</v>
      </c>
      <c r="CL84" s="9" t="s">
        <v>626</v>
      </c>
      <c r="CM84" s="9" t="s">
        <v>77</v>
      </c>
      <c r="CN84" s="9" t="s">
        <v>77</v>
      </c>
      <c r="CO84" s="9" t="s">
        <v>78</v>
      </c>
      <c r="CS84" s="9" t="s">
        <v>80</v>
      </c>
      <c r="CT84" s="9" t="s">
        <v>348</v>
      </c>
      <c r="CU84" s="9" t="s">
        <v>626</v>
      </c>
      <c r="CV84" s="9" t="s">
        <v>80</v>
      </c>
      <c r="CW84" s="9" t="s">
        <v>348</v>
      </c>
      <c r="CX84" s="9" t="s">
        <v>626</v>
      </c>
      <c r="CY84" s="9" t="s">
        <v>77</v>
      </c>
      <c r="CZ84" s="9" t="s">
        <v>77</v>
      </c>
      <c r="DA84" s="9" t="s">
        <v>78</v>
      </c>
      <c r="DE84" s="9" t="s">
        <v>77</v>
      </c>
      <c r="DF84" s="9" t="s">
        <v>78</v>
      </c>
      <c r="DG84" s="9" t="s">
        <v>78</v>
      </c>
      <c r="DH84" s="9" t="s">
        <v>78</v>
      </c>
      <c r="DI84" s="9" t="s">
        <v>627</v>
      </c>
      <c r="DJ84" s="9" t="s">
        <v>77</v>
      </c>
      <c r="DK84" s="9" t="s">
        <v>77</v>
      </c>
      <c r="DN84" s="9" t="s">
        <v>77</v>
      </c>
      <c r="DO84" s="9" t="s">
        <v>77</v>
      </c>
      <c r="DP84" s="9" t="s">
        <v>80</v>
      </c>
      <c r="DQ84" s="9" t="s">
        <v>438</v>
      </c>
      <c r="DR84" s="9" t="s">
        <v>77</v>
      </c>
      <c r="DS84" s="9" t="s">
        <v>78</v>
      </c>
      <c r="DT84" s="9" t="s">
        <v>349</v>
      </c>
      <c r="DU84" s="9" t="s">
        <v>78</v>
      </c>
      <c r="DV84" s="9" t="s">
        <v>77</v>
      </c>
      <c r="DZ84" s="9" t="s">
        <v>77</v>
      </c>
      <c r="EA84" s="9" t="s">
        <v>77</v>
      </c>
      <c r="EB84" s="9" t="s">
        <v>80</v>
      </c>
      <c r="EC84" s="9" t="s">
        <v>438</v>
      </c>
      <c r="ED84" s="9" t="s">
        <v>77</v>
      </c>
      <c r="EE84" s="9" t="s">
        <v>78</v>
      </c>
      <c r="EF84" s="9" t="s">
        <v>349</v>
      </c>
      <c r="EG84" s="9" t="s">
        <v>78</v>
      </c>
      <c r="EH84" s="9" t="s">
        <v>77</v>
      </c>
      <c r="EL84" s="9" t="s">
        <v>77</v>
      </c>
      <c r="EM84" s="9" t="s">
        <v>77</v>
      </c>
      <c r="EN84" s="9" t="s">
        <v>80</v>
      </c>
      <c r="EO84" s="9" t="s">
        <v>438</v>
      </c>
      <c r="EP84" s="9" t="s">
        <v>77</v>
      </c>
      <c r="EQ84" s="9" t="s">
        <v>78</v>
      </c>
      <c r="ER84" s="9" t="s">
        <v>349</v>
      </c>
      <c r="ES84" s="9" t="s">
        <v>78</v>
      </c>
      <c r="ET84" s="9" t="s">
        <v>77</v>
      </c>
      <c r="EX84" s="9" t="s">
        <v>77</v>
      </c>
      <c r="EY84" s="9" t="s">
        <v>77</v>
      </c>
      <c r="EZ84" s="9" t="s">
        <v>80</v>
      </c>
      <c r="FA84" s="9" t="s">
        <v>438</v>
      </c>
      <c r="FB84" s="9" t="s">
        <v>77</v>
      </c>
      <c r="FC84" s="9" t="s">
        <v>78</v>
      </c>
      <c r="FD84" s="9" t="s">
        <v>349</v>
      </c>
      <c r="FE84" s="9" t="s">
        <v>78</v>
      </c>
      <c r="FF84" s="9" t="s">
        <v>77</v>
      </c>
    </row>
    <row r="85" spans="50:162">
      <c r="AX85" s="9" t="s">
        <v>77</v>
      </c>
      <c r="AY85" s="9" t="s">
        <v>77</v>
      </c>
      <c r="AZ85" s="9" t="s">
        <v>80</v>
      </c>
      <c r="BA85" s="9" t="s">
        <v>438</v>
      </c>
      <c r="BB85" s="9" t="s">
        <v>79</v>
      </c>
      <c r="BC85" s="9" t="s">
        <v>78</v>
      </c>
      <c r="BD85" s="9" t="s">
        <v>349</v>
      </c>
      <c r="BE85" s="9" t="s">
        <v>78</v>
      </c>
      <c r="BF85" s="9" t="s">
        <v>77</v>
      </c>
      <c r="BI85" s="9" t="s">
        <v>77</v>
      </c>
      <c r="BJ85" s="9" t="s">
        <v>80</v>
      </c>
      <c r="BK85" s="9" t="s">
        <v>348</v>
      </c>
      <c r="BL85" s="9" t="s">
        <v>628</v>
      </c>
      <c r="BM85" s="9" t="s">
        <v>80</v>
      </c>
      <c r="BN85" s="9" t="s">
        <v>348</v>
      </c>
      <c r="BO85" s="9" t="s">
        <v>628</v>
      </c>
      <c r="BP85" s="9" t="s">
        <v>77</v>
      </c>
      <c r="BQ85" s="9" t="s">
        <v>77</v>
      </c>
      <c r="BR85" s="9" t="s">
        <v>77</v>
      </c>
      <c r="BS85" s="9" t="s">
        <v>77</v>
      </c>
      <c r="BT85" s="9" t="s">
        <v>77</v>
      </c>
      <c r="BU85" s="9" t="s">
        <v>77</v>
      </c>
      <c r="BV85" s="9" t="s">
        <v>78</v>
      </c>
      <c r="BW85" s="9" t="s">
        <v>78</v>
      </c>
      <c r="BX85" s="9" t="s">
        <v>78</v>
      </c>
      <c r="CB85" s="9" t="s">
        <v>77</v>
      </c>
      <c r="CC85" s="9" t="s">
        <v>80</v>
      </c>
      <c r="CD85" s="9" t="s">
        <v>77</v>
      </c>
      <c r="CE85" s="9" t="s">
        <v>77</v>
      </c>
      <c r="CF85" s="9" t="s">
        <v>77</v>
      </c>
      <c r="CG85" s="9" t="s">
        <v>80</v>
      </c>
      <c r="CH85" s="9" t="s">
        <v>348</v>
      </c>
      <c r="CI85" s="9" t="s">
        <v>628</v>
      </c>
      <c r="CJ85" s="9" t="s">
        <v>80</v>
      </c>
      <c r="CK85" s="9" t="s">
        <v>348</v>
      </c>
      <c r="CL85" s="9" t="s">
        <v>628</v>
      </c>
      <c r="CM85" s="9" t="s">
        <v>77</v>
      </c>
      <c r="CN85" s="9" t="s">
        <v>77</v>
      </c>
      <c r="CO85" s="9" t="s">
        <v>78</v>
      </c>
      <c r="CS85" s="9" t="s">
        <v>80</v>
      </c>
      <c r="CT85" s="9" t="s">
        <v>348</v>
      </c>
      <c r="CU85" s="9" t="s">
        <v>628</v>
      </c>
      <c r="CV85" s="9" t="s">
        <v>80</v>
      </c>
      <c r="CW85" s="9" t="s">
        <v>348</v>
      </c>
      <c r="CX85" s="9" t="s">
        <v>628</v>
      </c>
      <c r="CY85" s="9" t="s">
        <v>77</v>
      </c>
      <c r="CZ85" s="9" t="s">
        <v>77</v>
      </c>
      <c r="DA85" s="9" t="s">
        <v>78</v>
      </c>
      <c r="DE85" s="9" t="s">
        <v>77</v>
      </c>
      <c r="DF85" s="9" t="s">
        <v>78</v>
      </c>
      <c r="DG85" s="9" t="s">
        <v>78</v>
      </c>
      <c r="DH85" s="9" t="s">
        <v>78</v>
      </c>
      <c r="DI85" s="9" t="s">
        <v>629</v>
      </c>
      <c r="DJ85" s="9" t="s">
        <v>77</v>
      </c>
      <c r="DK85" s="9" t="s">
        <v>77</v>
      </c>
      <c r="DN85" s="9" t="s">
        <v>77</v>
      </c>
      <c r="DO85" s="9" t="s">
        <v>77</v>
      </c>
      <c r="DP85" s="9" t="s">
        <v>80</v>
      </c>
      <c r="DQ85" s="9" t="s">
        <v>438</v>
      </c>
      <c r="DR85" s="9" t="s">
        <v>77</v>
      </c>
      <c r="DS85" s="9" t="s">
        <v>78</v>
      </c>
      <c r="DT85" s="9" t="s">
        <v>349</v>
      </c>
      <c r="DU85" s="9" t="s">
        <v>78</v>
      </c>
      <c r="DV85" s="9" t="s">
        <v>77</v>
      </c>
      <c r="DZ85" s="9" t="s">
        <v>77</v>
      </c>
      <c r="EA85" s="9" t="s">
        <v>77</v>
      </c>
      <c r="EB85" s="9" t="s">
        <v>80</v>
      </c>
      <c r="EC85" s="9" t="s">
        <v>438</v>
      </c>
      <c r="ED85" s="9" t="s">
        <v>77</v>
      </c>
      <c r="EE85" s="9" t="s">
        <v>78</v>
      </c>
      <c r="EF85" s="9" t="s">
        <v>349</v>
      </c>
      <c r="EG85" s="9" t="s">
        <v>78</v>
      </c>
      <c r="EH85" s="9" t="s">
        <v>77</v>
      </c>
      <c r="EL85" s="9" t="s">
        <v>77</v>
      </c>
      <c r="EM85" s="9" t="s">
        <v>77</v>
      </c>
      <c r="EN85" s="9" t="s">
        <v>80</v>
      </c>
      <c r="EO85" s="9" t="s">
        <v>438</v>
      </c>
      <c r="EP85" s="9" t="s">
        <v>77</v>
      </c>
      <c r="EQ85" s="9" t="s">
        <v>78</v>
      </c>
      <c r="ER85" s="9" t="s">
        <v>349</v>
      </c>
      <c r="ES85" s="9" t="s">
        <v>78</v>
      </c>
      <c r="ET85" s="9" t="s">
        <v>77</v>
      </c>
      <c r="EX85" s="9" t="s">
        <v>77</v>
      </c>
      <c r="EY85" s="9" t="s">
        <v>77</v>
      </c>
      <c r="EZ85" s="9" t="s">
        <v>80</v>
      </c>
      <c r="FA85" s="9" t="s">
        <v>438</v>
      </c>
      <c r="FB85" s="9" t="s">
        <v>77</v>
      </c>
      <c r="FC85" s="9" t="s">
        <v>78</v>
      </c>
      <c r="FD85" s="9" t="s">
        <v>349</v>
      </c>
      <c r="FE85" s="9" t="s">
        <v>78</v>
      </c>
      <c r="FF85" s="9" t="s">
        <v>77</v>
      </c>
    </row>
    <row r="86" spans="50:162">
      <c r="AX86" s="9" t="s">
        <v>77</v>
      </c>
      <c r="AY86" s="9" t="s">
        <v>77</v>
      </c>
      <c r="AZ86" s="9" t="s">
        <v>80</v>
      </c>
      <c r="BA86" s="9" t="s">
        <v>438</v>
      </c>
      <c r="BB86" s="9" t="s">
        <v>79</v>
      </c>
      <c r="BC86" s="9" t="s">
        <v>78</v>
      </c>
      <c r="BD86" s="9" t="s">
        <v>349</v>
      </c>
      <c r="BE86" s="9" t="s">
        <v>78</v>
      </c>
      <c r="BF86" s="9" t="s">
        <v>77</v>
      </c>
      <c r="BI86" s="9" t="s">
        <v>77</v>
      </c>
      <c r="BJ86" s="9" t="s">
        <v>80</v>
      </c>
      <c r="BK86" s="9" t="s">
        <v>348</v>
      </c>
      <c r="BL86" s="9" t="s">
        <v>630</v>
      </c>
      <c r="BM86" s="9" t="s">
        <v>80</v>
      </c>
      <c r="BN86" s="9" t="s">
        <v>348</v>
      </c>
      <c r="BO86" s="9" t="s">
        <v>630</v>
      </c>
      <c r="BP86" s="9" t="s">
        <v>77</v>
      </c>
      <c r="BQ86" s="9" t="s">
        <v>77</v>
      </c>
      <c r="BR86" s="9" t="s">
        <v>77</v>
      </c>
      <c r="BS86" s="9" t="s">
        <v>77</v>
      </c>
      <c r="BT86" s="9" t="s">
        <v>77</v>
      </c>
      <c r="BU86" s="9" t="s">
        <v>77</v>
      </c>
      <c r="BV86" s="9" t="s">
        <v>78</v>
      </c>
      <c r="BW86" s="9" t="s">
        <v>78</v>
      </c>
      <c r="BX86" s="9" t="s">
        <v>78</v>
      </c>
      <c r="CB86" s="9" t="s">
        <v>77</v>
      </c>
      <c r="CC86" s="9" t="s">
        <v>80</v>
      </c>
      <c r="CD86" s="9" t="s">
        <v>77</v>
      </c>
      <c r="CE86" s="9" t="s">
        <v>77</v>
      </c>
      <c r="CF86" s="9" t="s">
        <v>77</v>
      </c>
      <c r="CG86" s="9" t="s">
        <v>80</v>
      </c>
      <c r="CH86" s="9" t="s">
        <v>348</v>
      </c>
      <c r="CI86" s="9" t="s">
        <v>631</v>
      </c>
      <c r="CJ86" s="9" t="s">
        <v>80</v>
      </c>
      <c r="CK86" s="9" t="s">
        <v>348</v>
      </c>
      <c r="CL86" s="9" t="s">
        <v>631</v>
      </c>
      <c r="CM86" s="9" t="s">
        <v>77</v>
      </c>
      <c r="CN86" s="9" t="s">
        <v>77</v>
      </c>
      <c r="CO86" s="9" t="s">
        <v>78</v>
      </c>
      <c r="CS86" s="9" t="s">
        <v>80</v>
      </c>
      <c r="CT86" s="9" t="s">
        <v>348</v>
      </c>
      <c r="CU86" s="9" t="s">
        <v>631</v>
      </c>
      <c r="CV86" s="9" t="s">
        <v>80</v>
      </c>
      <c r="CW86" s="9" t="s">
        <v>348</v>
      </c>
      <c r="CX86" s="9" t="s">
        <v>631</v>
      </c>
      <c r="CY86" s="9" t="s">
        <v>77</v>
      </c>
      <c r="CZ86" s="9" t="s">
        <v>77</v>
      </c>
      <c r="DA86" s="9" t="s">
        <v>78</v>
      </c>
      <c r="DE86" s="9" t="s">
        <v>77</v>
      </c>
      <c r="DF86" s="9" t="s">
        <v>78</v>
      </c>
      <c r="DG86" s="9" t="s">
        <v>78</v>
      </c>
      <c r="DH86" s="9" t="s">
        <v>78</v>
      </c>
      <c r="DI86" s="9" t="s">
        <v>630</v>
      </c>
      <c r="DJ86" s="9" t="s">
        <v>77</v>
      </c>
      <c r="DK86" s="9" t="s">
        <v>77</v>
      </c>
      <c r="DN86" s="9" t="s">
        <v>77</v>
      </c>
      <c r="DO86" s="9" t="s">
        <v>77</v>
      </c>
      <c r="DP86" s="9" t="s">
        <v>80</v>
      </c>
      <c r="DQ86" s="9" t="s">
        <v>438</v>
      </c>
      <c r="DR86" s="9" t="s">
        <v>77</v>
      </c>
      <c r="DS86" s="9" t="s">
        <v>78</v>
      </c>
      <c r="DT86" s="9" t="s">
        <v>349</v>
      </c>
      <c r="DU86" s="9" t="s">
        <v>78</v>
      </c>
      <c r="DV86" s="9" t="s">
        <v>77</v>
      </c>
      <c r="DZ86" s="9" t="s">
        <v>77</v>
      </c>
      <c r="EA86" s="9" t="s">
        <v>77</v>
      </c>
      <c r="EB86" s="9" t="s">
        <v>80</v>
      </c>
      <c r="EC86" s="9" t="s">
        <v>438</v>
      </c>
      <c r="ED86" s="9" t="s">
        <v>77</v>
      </c>
      <c r="EE86" s="9" t="s">
        <v>78</v>
      </c>
      <c r="EF86" s="9" t="s">
        <v>349</v>
      </c>
      <c r="EG86" s="9" t="s">
        <v>78</v>
      </c>
      <c r="EH86" s="9" t="s">
        <v>77</v>
      </c>
      <c r="EL86" s="9" t="s">
        <v>77</v>
      </c>
      <c r="EM86" s="9" t="s">
        <v>77</v>
      </c>
      <c r="EN86" s="9" t="s">
        <v>80</v>
      </c>
      <c r="EO86" s="9" t="s">
        <v>438</v>
      </c>
      <c r="EP86" s="9" t="s">
        <v>77</v>
      </c>
      <c r="EQ86" s="9" t="s">
        <v>78</v>
      </c>
      <c r="ER86" s="9" t="s">
        <v>349</v>
      </c>
      <c r="ES86" s="9" t="s">
        <v>78</v>
      </c>
      <c r="ET86" s="9" t="s">
        <v>77</v>
      </c>
      <c r="EX86" s="9" t="s">
        <v>77</v>
      </c>
      <c r="EY86" s="9" t="s">
        <v>77</v>
      </c>
      <c r="EZ86" s="9" t="s">
        <v>80</v>
      </c>
      <c r="FA86" s="9" t="s">
        <v>438</v>
      </c>
      <c r="FB86" s="9" t="s">
        <v>77</v>
      </c>
      <c r="FC86" s="9" t="s">
        <v>78</v>
      </c>
      <c r="FD86" s="9" t="s">
        <v>349</v>
      </c>
      <c r="FE86" s="9" t="s">
        <v>78</v>
      </c>
      <c r="FF86" s="9" t="s">
        <v>77</v>
      </c>
    </row>
    <row r="87" spans="50:162">
      <c r="AX87" s="9" t="s">
        <v>77</v>
      </c>
      <c r="AY87" s="9" t="s">
        <v>77</v>
      </c>
      <c r="AZ87" s="9" t="s">
        <v>80</v>
      </c>
      <c r="BA87" s="9" t="s">
        <v>438</v>
      </c>
      <c r="BB87" s="9" t="s">
        <v>79</v>
      </c>
      <c r="BC87" s="9" t="s">
        <v>78</v>
      </c>
      <c r="BD87" s="9" t="s">
        <v>349</v>
      </c>
      <c r="BE87" s="9" t="s">
        <v>78</v>
      </c>
      <c r="BF87" s="9" t="s">
        <v>77</v>
      </c>
      <c r="BI87" s="9" t="s">
        <v>77</v>
      </c>
      <c r="BJ87" s="9" t="s">
        <v>80</v>
      </c>
      <c r="BK87" s="9" t="s">
        <v>348</v>
      </c>
      <c r="BL87" s="9" t="s">
        <v>632</v>
      </c>
      <c r="BM87" s="9" t="s">
        <v>80</v>
      </c>
      <c r="BN87" s="9" t="s">
        <v>348</v>
      </c>
      <c r="BO87" s="9" t="s">
        <v>632</v>
      </c>
      <c r="BP87" s="9" t="s">
        <v>77</v>
      </c>
      <c r="BQ87" s="9" t="s">
        <v>77</v>
      </c>
      <c r="BR87" s="9" t="s">
        <v>77</v>
      </c>
      <c r="BS87" s="9" t="s">
        <v>77</v>
      </c>
      <c r="BT87" s="9" t="s">
        <v>77</v>
      </c>
      <c r="BU87" s="9" t="s">
        <v>77</v>
      </c>
      <c r="BV87" s="9" t="s">
        <v>78</v>
      </c>
      <c r="BW87" s="9" t="s">
        <v>78</v>
      </c>
      <c r="BX87" s="9" t="s">
        <v>78</v>
      </c>
      <c r="CB87" s="9" t="s">
        <v>77</v>
      </c>
      <c r="CC87" s="9" t="s">
        <v>80</v>
      </c>
      <c r="CD87" s="9" t="s">
        <v>77</v>
      </c>
      <c r="CE87" s="9" t="s">
        <v>77</v>
      </c>
      <c r="CF87" s="9" t="s">
        <v>77</v>
      </c>
      <c r="CG87" s="9" t="s">
        <v>80</v>
      </c>
      <c r="CH87" s="9" t="s">
        <v>348</v>
      </c>
      <c r="CI87" s="9" t="s">
        <v>632</v>
      </c>
      <c r="CJ87" s="9" t="s">
        <v>80</v>
      </c>
      <c r="CK87" s="9" t="s">
        <v>348</v>
      </c>
      <c r="CL87" s="9" t="s">
        <v>632</v>
      </c>
      <c r="CM87" s="9" t="s">
        <v>77</v>
      </c>
      <c r="CN87" s="9" t="s">
        <v>77</v>
      </c>
      <c r="CO87" s="9" t="s">
        <v>78</v>
      </c>
      <c r="CS87" s="9" t="s">
        <v>80</v>
      </c>
      <c r="CT87" s="9" t="s">
        <v>348</v>
      </c>
      <c r="CU87" s="9" t="s">
        <v>632</v>
      </c>
      <c r="CV87" s="9" t="s">
        <v>80</v>
      </c>
      <c r="CW87" s="9" t="s">
        <v>348</v>
      </c>
      <c r="CX87" s="9" t="s">
        <v>632</v>
      </c>
      <c r="CY87" s="9" t="s">
        <v>77</v>
      </c>
      <c r="CZ87" s="9" t="s">
        <v>77</v>
      </c>
      <c r="DA87" s="9" t="s">
        <v>78</v>
      </c>
      <c r="DE87" s="9" t="s">
        <v>77</v>
      </c>
      <c r="DF87" s="9" t="s">
        <v>78</v>
      </c>
      <c r="DG87" s="9" t="s">
        <v>78</v>
      </c>
      <c r="DH87" s="9" t="s">
        <v>78</v>
      </c>
      <c r="DI87" s="9" t="s">
        <v>633</v>
      </c>
      <c r="DJ87" s="9" t="s">
        <v>77</v>
      </c>
      <c r="DK87" s="9" t="s">
        <v>77</v>
      </c>
      <c r="DN87" s="9" t="s">
        <v>77</v>
      </c>
      <c r="DO87" s="9" t="s">
        <v>77</v>
      </c>
      <c r="DP87" s="9" t="s">
        <v>80</v>
      </c>
      <c r="DQ87" s="9" t="s">
        <v>438</v>
      </c>
      <c r="DR87" s="9" t="s">
        <v>77</v>
      </c>
      <c r="DS87" s="9" t="s">
        <v>78</v>
      </c>
      <c r="DT87" s="9" t="s">
        <v>349</v>
      </c>
      <c r="DU87" s="9" t="s">
        <v>78</v>
      </c>
      <c r="DV87" s="9" t="s">
        <v>77</v>
      </c>
      <c r="DZ87" s="9" t="s">
        <v>77</v>
      </c>
      <c r="EA87" s="9" t="s">
        <v>77</v>
      </c>
      <c r="EB87" s="9" t="s">
        <v>80</v>
      </c>
      <c r="EC87" s="9" t="s">
        <v>438</v>
      </c>
      <c r="ED87" s="9" t="s">
        <v>77</v>
      </c>
      <c r="EE87" s="9" t="s">
        <v>78</v>
      </c>
      <c r="EF87" s="9" t="s">
        <v>349</v>
      </c>
      <c r="EG87" s="9" t="s">
        <v>78</v>
      </c>
      <c r="EH87" s="9" t="s">
        <v>77</v>
      </c>
      <c r="EL87" s="9" t="s">
        <v>77</v>
      </c>
      <c r="EM87" s="9" t="s">
        <v>77</v>
      </c>
      <c r="EN87" s="9" t="s">
        <v>80</v>
      </c>
      <c r="EO87" s="9" t="s">
        <v>438</v>
      </c>
      <c r="EP87" s="9" t="s">
        <v>77</v>
      </c>
      <c r="EQ87" s="9" t="s">
        <v>78</v>
      </c>
      <c r="ER87" s="9" t="s">
        <v>349</v>
      </c>
      <c r="ES87" s="9" t="s">
        <v>78</v>
      </c>
      <c r="ET87" s="9" t="s">
        <v>77</v>
      </c>
      <c r="EX87" s="9" t="s">
        <v>77</v>
      </c>
      <c r="EY87" s="9" t="s">
        <v>77</v>
      </c>
      <c r="EZ87" s="9" t="s">
        <v>80</v>
      </c>
      <c r="FA87" s="9" t="s">
        <v>438</v>
      </c>
      <c r="FB87" s="9" t="s">
        <v>77</v>
      </c>
      <c r="FC87" s="9" t="s">
        <v>78</v>
      </c>
      <c r="FD87" s="9" t="s">
        <v>349</v>
      </c>
      <c r="FE87" s="9" t="s">
        <v>78</v>
      </c>
      <c r="FF87" s="9" t="s">
        <v>77</v>
      </c>
    </row>
    <row r="88" spans="50:162">
      <c r="AX88" s="9" t="s">
        <v>77</v>
      </c>
      <c r="AY88" s="9" t="s">
        <v>77</v>
      </c>
      <c r="AZ88" s="9" t="s">
        <v>80</v>
      </c>
      <c r="BA88" s="9" t="s">
        <v>438</v>
      </c>
      <c r="BB88" s="9" t="s">
        <v>79</v>
      </c>
      <c r="BC88" s="9" t="s">
        <v>78</v>
      </c>
      <c r="BD88" s="9" t="s">
        <v>349</v>
      </c>
      <c r="BE88" s="9" t="s">
        <v>78</v>
      </c>
      <c r="BF88" s="9" t="s">
        <v>77</v>
      </c>
      <c r="BI88" s="9" t="s">
        <v>77</v>
      </c>
      <c r="BJ88" s="9" t="s">
        <v>80</v>
      </c>
      <c r="BK88" s="9" t="s">
        <v>348</v>
      </c>
      <c r="BL88" s="9" t="s">
        <v>634</v>
      </c>
      <c r="BM88" s="9" t="s">
        <v>80</v>
      </c>
      <c r="BN88" s="9" t="s">
        <v>348</v>
      </c>
      <c r="BO88" s="9" t="s">
        <v>634</v>
      </c>
      <c r="BP88" s="9" t="s">
        <v>77</v>
      </c>
      <c r="BQ88" s="9" t="s">
        <v>77</v>
      </c>
      <c r="BR88" s="9" t="s">
        <v>77</v>
      </c>
      <c r="BS88" s="9" t="s">
        <v>77</v>
      </c>
      <c r="BT88" s="9" t="s">
        <v>77</v>
      </c>
      <c r="BU88" s="9" t="s">
        <v>77</v>
      </c>
      <c r="BV88" s="9" t="s">
        <v>78</v>
      </c>
      <c r="BW88" s="9" t="s">
        <v>78</v>
      </c>
      <c r="BX88" s="9" t="s">
        <v>78</v>
      </c>
      <c r="CB88" s="9" t="s">
        <v>77</v>
      </c>
      <c r="CC88" s="9" t="s">
        <v>80</v>
      </c>
      <c r="CD88" s="9" t="s">
        <v>77</v>
      </c>
      <c r="CE88" s="9" t="s">
        <v>77</v>
      </c>
      <c r="CF88" s="9" t="s">
        <v>77</v>
      </c>
      <c r="CG88" s="9" t="s">
        <v>80</v>
      </c>
      <c r="CH88" s="9" t="s">
        <v>348</v>
      </c>
      <c r="CI88" s="9" t="s">
        <v>635</v>
      </c>
      <c r="CJ88" s="9" t="s">
        <v>80</v>
      </c>
      <c r="CK88" s="9" t="s">
        <v>348</v>
      </c>
      <c r="CL88" s="9" t="s">
        <v>635</v>
      </c>
      <c r="CM88" s="9" t="s">
        <v>77</v>
      </c>
      <c r="CN88" s="9" t="s">
        <v>77</v>
      </c>
      <c r="CO88" s="9" t="s">
        <v>78</v>
      </c>
      <c r="CS88" s="9" t="s">
        <v>80</v>
      </c>
      <c r="CT88" s="9" t="s">
        <v>348</v>
      </c>
      <c r="CU88" s="9" t="s">
        <v>635</v>
      </c>
      <c r="CV88" s="9" t="s">
        <v>80</v>
      </c>
      <c r="CW88" s="9" t="s">
        <v>348</v>
      </c>
      <c r="CX88" s="9" t="s">
        <v>635</v>
      </c>
      <c r="CY88" s="9" t="s">
        <v>77</v>
      </c>
      <c r="CZ88" s="9" t="s">
        <v>77</v>
      </c>
      <c r="DA88" s="9" t="s">
        <v>78</v>
      </c>
      <c r="DE88" s="9" t="s">
        <v>77</v>
      </c>
      <c r="DF88" s="9" t="s">
        <v>78</v>
      </c>
      <c r="DG88" s="9" t="s">
        <v>78</v>
      </c>
      <c r="DH88" s="9" t="s">
        <v>78</v>
      </c>
      <c r="DI88" s="9" t="s">
        <v>634</v>
      </c>
      <c r="DJ88" s="9" t="s">
        <v>77</v>
      </c>
      <c r="DK88" s="9" t="s">
        <v>77</v>
      </c>
      <c r="DN88" s="9" t="s">
        <v>77</v>
      </c>
      <c r="DO88" s="9" t="s">
        <v>77</v>
      </c>
      <c r="DP88" s="9" t="s">
        <v>80</v>
      </c>
      <c r="DQ88" s="9" t="s">
        <v>438</v>
      </c>
      <c r="DR88" s="9" t="s">
        <v>77</v>
      </c>
      <c r="DS88" s="9" t="s">
        <v>78</v>
      </c>
      <c r="DT88" s="9" t="s">
        <v>349</v>
      </c>
      <c r="DU88" s="9" t="s">
        <v>78</v>
      </c>
      <c r="DV88" s="9" t="s">
        <v>77</v>
      </c>
      <c r="DZ88" s="9" t="s">
        <v>77</v>
      </c>
      <c r="EA88" s="9" t="s">
        <v>77</v>
      </c>
      <c r="EB88" s="9" t="s">
        <v>80</v>
      </c>
      <c r="EC88" s="9" t="s">
        <v>438</v>
      </c>
      <c r="ED88" s="9" t="s">
        <v>77</v>
      </c>
      <c r="EE88" s="9" t="s">
        <v>78</v>
      </c>
      <c r="EF88" s="9" t="s">
        <v>349</v>
      </c>
      <c r="EG88" s="9" t="s">
        <v>78</v>
      </c>
      <c r="EH88" s="9" t="s">
        <v>77</v>
      </c>
      <c r="EL88" s="9" t="s">
        <v>77</v>
      </c>
      <c r="EM88" s="9" t="s">
        <v>77</v>
      </c>
      <c r="EN88" s="9" t="s">
        <v>80</v>
      </c>
      <c r="EO88" s="9" t="s">
        <v>438</v>
      </c>
      <c r="EP88" s="9" t="s">
        <v>77</v>
      </c>
      <c r="EQ88" s="9" t="s">
        <v>78</v>
      </c>
      <c r="ER88" s="9" t="s">
        <v>349</v>
      </c>
      <c r="ES88" s="9" t="s">
        <v>78</v>
      </c>
      <c r="ET88" s="9" t="s">
        <v>77</v>
      </c>
      <c r="EX88" s="9" t="s">
        <v>77</v>
      </c>
      <c r="EY88" s="9" t="s">
        <v>77</v>
      </c>
      <c r="EZ88" s="9" t="s">
        <v>80</v>
      </c>
      <c r="FA88" s="9" t="s">
        <v>438</v>
      </c>
      <c r="FB88" s="9" t="s">
        <v>77</v>
      </c>
      <c r="FC88" s="9" t="s">
        <v>78</v>
      </c>
      <c r="FD88" s="9" t="s">
        <v>349</v>
      </c>
      <c r="FE88" s="9" t="s">
        <v>78</v>
      </c>
      <c r="FF88" s="9" t="s">
        <v>77</v>
      </c>
    </row>
    <row r="89" spans="50:162">
      <c r="AX89" s="9" t="s">
        <v>77</v>
      </c>
      <c r="AY89" s="9" t="s">
        <v>77</v>
      </c>
      <c r="AZ89" s="9" t="s">
        <v>80</v>
      </c>
      <c r="BA89" s="9" t="s">
        <v>438</v>
      </c>
      <c r="BB89" s="9" t="s">
        <v>79</v>
      </c>
      <c r="BC89" s="9" t="s">
        <v>78</v>
      </c>
      <c r="BD89" s="9" t="s">
        <v>349</v>
      </c>
      <c r="BE89" s="9" t="s">
        <v>78</v>
      </c>
      <c r="BF89" s="9" t="s">
        <v>77</v>
      </c>
      <c r="BI89" s="9" t="s">
        <v>77</v>
      </c>
      <c r="BJ89" s="9" t="s">
        <v>80</v>
      </c>
      <c r="BK89" s="9" t="s">
        <v>348</v>
      </c>
      <c r="BL89" s="9" t="s">
        <v>636</v>
      </c>
      <c r="BM89" s="9" t="s">
        <v>80</v>
      </c>
      <c r="BN89" s="9" t="s">
        <v>348</v>
      </c>
      <c r="BO89" s="9" t="s">
        <v>636</v>
      </c>
      <c r="BP89" s="9" t="s">
        <v>77</v>
      </c>
      <c r="BQ89" s="9" t="s">
        <v>77</v>
      </c>
      <c r="BR89" s="9" t="s">
        <v>77</v>
      </c>
      <c r="BS89" s="9" t="s">
        <v>77</v>
      </c>
      <c r="BT89" s="9" t="s">
        <v>77</v>
      </c>
      <c r="BU89" s="9" t="s">
        <v>77</v>
      </c>
      <c r="BV89" s="9" t="s">
        <v>78</v>
      </c>
      <c r="BW89" s="9" t="s">
        <v>78</v>
      </c>
      <c r="BX89" s="9" t="s">
        <v>78</v>
      </c>
      <c r="CB89" s="9" t="s">
        <v>77</v>
      </c>
      <c r="CC89" s="9" t="s">
        <v>80</v>
      </c>
      <c r="CD89" s="9" t="s">
        <v>77</v>
      </c>
      <c r="CE89" s="9" t="s">
        <v>77</v>
      </c>
      <c r="CF89" s="9" t="s">
        <v>77</v>
      </c>
      <c r="CG89" s="9" t="s">
        <v>80</v>
      </c>
      <c r="CH89" s="9" t="s">
        <v>348</v>
      </c>
      <c r="CI89" s="9" t="s">
        <v>637</v>
      </c>
      <c r="CJ89" s="9" t="s">
        <v>80</v>
      </c>
      <c r="CK89" s="9" t="s">
        <v>348</v>
      </c>
      <c r="CL89" s="9" t="s">
        <v>637</v>
      </c>
      <c r="CM89" s="9" t="s">
        <v>77</v>
      </c>
      <c r="CN89" s="9" t="s">
        <v>77</v>
      </c>
      <c r="CO89" s="9" t="s">
        <v>78</v>
      </c>
      <c r="CS89" s="9" t="s">
        <v>80</v>
      </c>
      <c r="CT89" s="9" t="s">
        <v>348</v>
      </c>
      <c r="CU89" s="9" t="s">
        <v>637</v>
      </c>
      <c r="CV89" s="9" t="s">
        <v>80</v>
      </c>
      <c r="CW89" s="9" t="s">
        <v>348</v>
      </c>
      <c r="CX89" s="9" t="s">
        <v>637</v>
      </c>
      <c r="CY89" s="9" t="s">
        <v>77</v>
      </c>
      <c r="CZ89" s="9" t="s">
        <v>77</v>
      </c>
      <c r="DA89" s="9" t="s">
        <v>78</v>
      </c>
      <c r="DE89" s="9" t="s">
        <v>77</v>
      </c>
      <c r="DF89" s="9" t="s">
        <v>78</v>
      </c>
      <c r="DG89" s="9" t="s">
        <v>78</v>
      </c>
      <c r="DH89" s="9" t="s">
        <v>78</v>
      </c>
      <c r="DI89" s="9" t="s">
        <v>636</v>
      </c>
      <c r="DJ89" s="9" t="s">
        <v>77</v>
      </c>
      <c r="DK89" s="9" t="s">
        <v>77</v>
      </c>
      <c r="DN89" s="9" t="s">
        <v>77</v>
      </c>
      <c r="DO89" s="9" t="s">
        <v>77</v>
      </c>
      <c r="DP89" s="9" t="s">
        <v>80</v>
      </c>
      <c r="DQ89" s="9" t="s">
        <v>438</v>
      </c>
      <c r="DR89" s="9" t="s">
        <v>77</v>
      </c>
      <c r="DS89" s="9" t="s">
        <v>78</v>
      </c>
      <c r="DT89" s="9" t="s">
        <v>349</v>
      </c>
      <c r="DU89" s="9" t="s">
        <v>78</v>
      </c>
      <c r="DV89" s="9" t="s">
        <v>77</v>
      </c>
      <c r="DZ89" s="9" t="s">
        <v>77</v>
      </c>
      <c r="EA89" s="9" t="s">
        <v>77</v>
      </c>
      <c r="EB89" s="9" t="s">
        <v>80</v>
      </c>
      <c r="EC89" s="9" t="s">
        <v>438</v>
      </c>
      <c r="ED89" s="9" t="s">
        <v>77</v>
      </c>
      <c r="EE89" s="9" t="s">
        <v>78</v>
      </c>
      <c r="EF89" s="9" t="s">
        <v>349</v>
      </c>
      <c r="EG89" s="9" t="s">
        <v>78</v>
      </c>
      <c r="EH89" s="9" t="s">
        <v>77</v>
      </c>
      <c r="EL89" s="9" t="s">
        <v>77</v>
      </c>
      <c r="EM89" s="9" t="s">
        <v>77</v>
      </c>
      <c r="EN89" s="9" t="s">
        <v>80</v>
      </c>
      <c r="EO89" s="9" t="s">
        <v>438</v>
      </c>
      <c r="EP89" s="9" t="s">
        <v>77</v>
      </c>
      <c r="EQ89" s="9" t="s">
        <v>78</v>
      </c>
      <c r="ER89" s="9" t="s">
        <v>349</v>
      </c>
      <c r="ES89" s="9" t="s">
        <v>78</v>
      </c>
      <c r="ET89" s="9" t="s">
        <v>77</v>
      </c>
      <c r="EX89" s="9" t="s">
        <v>77</v>
      </c>
      <c r="EY89" s="9" t="s">
        <v>77</v>
      </c>
      <c r="EZ89" s="9" t="s">
        <v>80</v>
      </c>
      <c r="FA89" s="9" t="s">
        <v>438</v>
      </c>
      <c r="FB89" s="9" t="s">
        <v>77</v>
      </c>
      <c r="FC89" s="9" t="s">
        <v>78</v>
      </c>
      <c r="FD89" s="9" t="s">
        <v>349</v>
      </c>
      <c r="FE89" s="9" t="s">
        <v>78</v>
      </c>
      <c r="FF89" s="9" t="s">
        <v>77</v>
      </c>
    </row>
    <row r="90" spans="50:162">
      <c r="AX90" s="9" t="s">
        <v>77</v>
      </c>
      <c r="AY90" s="9" t="s">
        <v>77</v>
      </c>
      <c r="AZ90" s="9" t="s">
        <v>80</v>
      </c>
      <c r="BA90" s="9" t="s">
        <v>438</v>
      </c>
      <c r="BB90" s="9" t="s">
        <v>79</v>
      </c>
      <c r="BC90" s="9" t="s">
        <v>78</v>
      </c>
      <c r="BD90" s="9" t="s">
        <v>349</v>
      </c>
      <c r="BE90" s="9" t="s">
        <v>78</v>
      </c>
      <c r="BF90" s="9" t="s">
        <v>77</v>
      </c>
      <c r="BI90" s="9" t="s">
        <v>77</v>
      </c>
      <c r="BJ90" s="9" t="s">
        <v>80</v>
      </c>
      <c r="BK90" s="9" t="s">
        <v>348</v>
      </c>
      <c r="BL90" s="9" t="s">
        <v>638</v>
      </c>
      <c r="BM90" s="9" t="s">
        <v>80</v>
      </c>
      <c r="BN90" s="9" t="s">
        <v>348</v>
      </c>
      <c r="BO90" s="9" t="s">
        <v>638</v>
      </c>
      <c r="BP90" s="9" t="s">
        <v>77</v>
      </c>
      <c r="BQ90" s="9" t="s">
        <v>77</v>
      </c>
      <c r="BR90" s="9" t="s">
        <v>77</v>
      </c>
      <c r="BS90" s="9" t="s">
        <v>77</v>
      </c>
      <c r="BT90" s="9" t="s">
        <v>77</v>
      </c>
      <c r="BU90" s="9" t="s">
        <v>77</v>
      </c>
      <c r="BV90" s="9" t="s">
        <v>78</v>
      </c>
      <c r="BW90" s="9" t="s">
        <v>78</v>
      </c>
      <c r="BX90" s="9" t="s">
        <v>78</v>
      </c>
      <c r="CB90" s="9" t="s">
        <v>77</v>
      </c>
      <c r="CC90" s="9" t="s">
        <v>80</v>
      </c>
      <c r="CD90" s="9" t="s">
        <v>77</v>
      </c>
      <c r="CE90" s="9" t="s">
        <v>77</v>
      </c>
      <c r="CF90" s="9" t="s">
        <v>77</v>
      </c>
      <c r="CG90" s="9" t="s">
        <v>80</v>
      </c>
      <c r="CH90" s="9" t="s">
        <v>348</v>
      </c>
      <c r="CI90" s="9" t="s">
        <v>639</v>
      </c>
      <c r="CJ90" s="9" t="s">
        <v>80</v>
      </c>
      <c r="CK90" s="9" t="s">
        <v>348</v>
      </c>
      <c r="CL90" s="9" t="s">
        <v>639</v>
      </c>
      <c r="CM90" s="9" t="s">
        <v>77</v>
      </c>
      <c r="CN90" s="9" t="s">
        <v>77</v>
      </c>
      <c r="CO90" s="9" t="s">
        <v>78</v>
      </c>
      <c r="CS90" s="9" t="s">
        <v>80</v>
      </c>
      <c r="CT90" s="9" t="s">
        <v>348</v>
      </c>
      <c r="CU90" s="9" t="s">
        <v>639</v>
      </c>
      <c r="CV90" s="9" t="s">
        <v>80</v>
      </c>
      <c r="CW90" s="9" t="s">
        <v>348</v>
      </c>
      <c r="CX90" s="9" t="s">
        <v>639</v>
      </c>
      <c r="CY90" s="9" t="s">
        <v>77</v>
      </c>
      <c r="CZ90" s="9" t="s">
        <v>77</v>
      </c>
      <c r="DA90" s="9" t="s">
        <v>78</v>
      </c>
      <c r="DE90" s="9" t="s">
        <v>77</v>
      </c>
      <c r="DF90" s="9" t="s">
        <v>78</v>
      </c>
      <c r="DG90" s="9" t="s">
        <v>78</v>
      </c>
      <c r="DH90" s="9" t="s">
        <v>78</v>
      </c>
      <c r="DI90" s="9" t="s">
        <v>638</v>
      </c>
      <c r="DJ90" s="9" t="s">
        <v>77</v>
      </c>
      <c r="DK90" s="9" t="s">
        <v>77</v>
      </c>
      <c r="DN90" s="9" t="s">
        <v>77</v>
      </c>
      <c r="DO90" s="9" t="s">
        <v>77</v>
      </c>
      <c r="DP90" s="9" t="s">
        <v>80</v>
      </c>
      <c r="DQ90" s="9" t="s">
        <v>438</v>
      </c>
      <c r="DR90" s="9" t="s">
        <v>77</v>
      </c>
      <c r="DS90" s="9" t="s">
        <v>78</v>
      </c>
      <c r="DT90" s="9" t="s">
        <v>349</v>
      </c>
      <c r="DU90" s="9" t="s">
        <v>78</v>
      </c>
      <c r="DV90" s="9" t="s">
        <v>77</v>
      </c>
      <c r="DZ90" s="9" t="s">
        <v>77</v>
      </c>
      <c r="EA90" s="9" t="s">
        <v>77</v>
      </c>
      <c r="EB90" s="9" t="s">
        <v>80</v>
      </c>
      <c r="EC90" s="9" t="s">
        <v>438</v>
      </c>
      <c r="ED90" s="9" t="s">
        <v>77</v>
      </c>
      <c r="EE90" s="9" t="s">
        <v>78</v>
      </c>
      <c r="EF90" s="9" t="s">
        <v>349</v>
      </c>
      <c r="EG90" s="9" t="s">
        <v>78</v>
      </c>
      <c r="EH90" s="9" t="s">
        <v>77</v>
      </c>
      <c r="EL90" s="9" t="s">
        <v>77</v>
      </c>
      <c r="EM90" s="9" t="s">
        <v>77</v>
      </c>
      <c r="EN90" s="9" t="s">
        <v>80</v>
      </c>
      <c r="EO90" s="9" t="s">
        <v>438</v>
      </c>
      <c r="EP90" s="9" t="s">
        <v>77</v>
      </c>
      <c r="EQ90" s="9" t="s">
        <v>78</v>
      </c>
      <c r="ER90" s="9" t="s">
        <v>349</v>
      </c>
      <c r="ES90" s="9" t="s">
        <v>78</v>
      </c>
      <c r="ET90" s="9" t="s">
        <v>77</v>
      </c>
      <c r="EX90" s="9" t="s">
        <v>77</v>
      </c>
      <c r="EY90" s="9" t="s">
        <v>77</v>
      </c>
      <c r="EZ90" s="9" t="s">
        <v>80</v>
      </c>
      <c r="FA90" s="9" t="s">
        <v>438</v>
      </c>
      <c r="FB90" s="9" t="s">
        <v>77</v>
      </c>
      <c r="FC90" s="9" t="s">
        <v>78</v>
      </c>
      <c r="FD90" s="9" t="s">
        <v>349</v>
      </c>
      <c r="FE90" s="9" t="s">
        <v>78</v>
      </c>
      <c r="FF90" s="9" t="s">
        <v>77</v>
      </c>
    </row>
    <row r="91" spans="50:162">
      <c r="AX91" s="9" t="s">
        <v>77</v>
      </c>
      <c r="AY91" s="9" t="s">
        <v>77</v>
      </c>
      <c r="AZ91" s="9" t="s">
        <v>80</v>
      </c>
      <c r="BA91" s="9" t="s">
        <v>438</v>
      </c>
      <c r="BB91" s="9" t="s">
        <v>79</v>
      </c>
      <c r="BC91" s="9" t="s">
        <v>78</v>
      </c>
      <c r="BD91" s="9" t="s">
        <v>349</v>
      </c>
      <c r="BE91" s="9" t="s">
        <v>78</v>
      </c>
      <c r="BF91" s="9" t="s">
        <v>77</v>
      </c>
      <c r="BI91" s="9" t="s">
        <v>77</v>
      </c>
      <c r="BJ91" s="9" t="s">
        <v>80</v>
      </c>
      <c r="BK91" s="9" t="s">
        <v>348</v>
      </c>
      <c r="BL91" s="9" t="s">
        <v>640</v>
      </c>
      <c r="BM91" s="9" t="s">
        <v>80</v>
      </c>
      <c r="BN91" s="9" t="s">
        <v>348</v>
      </c>
      <c r="BO91" s="9" t="s">
        <v>640</v>
      </c>
      <c r="BP91" s="9" t="s">
        <v>77</v>
      </c>
      <c r="BQ91" s="9" t="s">
        <v>77</v>
      </c>
      <c r="BR91" s="9" t="s">
        <v>77</v>
      </c>
      <c r="BS91" s="9" t="s">
        <v>77</v>
      </c>
      <c r="BT91" s="9" t="s">
        <v>77</v>
      </c>
      <c r="BU91" s="9" t="s">
        <v>77</v>
      </c>
      <c r="BV91" s="9" t="s">
        <v>78</v>
      </c>
      <c r="BW91" s="9" t="s">
        <v>78</v>
      </c>
      <c r="BX91" s="9" t="s">
        <v>78</v>
      </c>
      <c r="CB91" s="9" t="s">
        <v>77</v>
      </c>
      <c r="CC91" s="9" t="s">
        <v>80</v>
      </c>
      <c r="CD91" s="9" t="s">
        <v>77</v>
      </c>
      <c r="CE91" s="9" t="s">
        <v>77</v>
      </c>
      <c r="CF91" s="9" t="s">
        <v>77</v>
      </c>
      <c r="CG91" s="9" t="s">
        <v>80</v>
      </c>
      <c r="CH91" s="9" t="s">
        <v>348</v>
      </c>
      <c r="CI91" s="9" t="s">
        <v>640</v>
      </c>
      <c r="CJ91" s="9" t="s">
        <v>80</v>
      </c>
      <c r="CK91" s="9" t="s">
        <v>348</v>
      </c>
      <c r="CL91" s="9" t="s">
        <v>640</v>
      </c>
      <c r="CM91" s="9" t="s">
        <v>77</v>
      </c>
      <c r="CN91" s="9" t="s">
        <v>77</v>
      </c>
      <c r="CO91" s="9" t="s">
        <v>78</v>
      </c>
      <c r="CS91" s="9" t="s">
        <v>80</v>
      </c>
      <c r="CT91" s="9" t="s">
        <v>348</v>
      </c>
      <c r="CU91" s="9" t="s">
        <v>640</v>
      </c>
      <c r="CV91" s="9" t="s">
        <v>80</v>
      </c>
      <c r="CW91" s="9" t="s">
        <v>348</v>
      </c>
      <c r="CX91" s="9" t="s">
        <v>640</v>
      </c>
      <c r="CY91" s="9" t="s">
        <v>77</v>
      </c>
      <c r="CZ91" s="9" t="s">
        <v>77</v>
      </c>
      <c r="DA91" s="9" t="s">
        <v>78</v>
      </c>
      <c r="DE91" s="9" t="s">
        <v>77</v>
      </c>
      <c r="DF91" s="9" t="s">
        <v>78</v>
      </c>
      <c r="DG91" s="9" t="s">
        <v>78</v>
      </c>
      <c r="DH91" s="9" t="s">
        <v>78</v>
      </c>
      <c r="DI91" s="9" t="s">
        <v>641</v>
      </c>
      <c r="DJ91" s="9" t="s">
        <v>77</v>
      </c>
      <c r="DK91" s="9" t="s">
        <v>77</v>
      </c>
      <c r="DN91" s="9" t="s">
        <v>77</v>
      </c>
      <c r="DO91" s="9" t="s">
        <v>77</v>
      </c>
      <c r="DP91" s="9" t="s">
        <v>80</v>
      </c>
      <c r="DQ91" s="9" t="s">
        <v>438</v>
      </c>
      <c r="DR91" s="9" t="s">
        <v>77</v>
      </c>
      <c r="DS91" s="9" t="s">
        <v>78</v>
      </c>
      <c r="DT91" s="9" t="s">
        <v>349</v>
      </c>
      <c r="DU91" s="9" t="s">
        <v>78</v>
      </c>
      <c r="DV91" s="9" t="s">
        <v>77</v>
      </c>
      <c r="DZ91" s="9" t="s">
        <v>77</v>
      </c>
      <c r="EA91" s="9" t="s">
        <v>77</v>
      </c>
      <c r="EB91" s="9" t="s">
        <v>80</v>
      </c>
      <c r="EC91" s="9" t="s">
        <v>438</v>
      </c>
      <c r="ED91" s="9" t="s">
        <v>77</v>
      </c>
      <c r="EE91" s="9" t="s">
        <v>78</v>
      </c>
      <c r="EF91" s="9" t="s">
        <v>349</v>
      </c>
      <c r="EG91" s="9" t="s">
        <v>78</v>
      </c>
      <c r="EH91" s="9" t="s">
        <v>77</v>
      </c>
      <c r="EL91" s="9" t="s">
        <v>77</v>
      </c>
      <c r="EM91" s="9" t="s">
        <v>77</v>
      </c>
      <c r="EN91" s="9" t="s">
        <v>80</v>
      </c>
      <c r="EO91" s="9" t="s">
        <v>438</v>
      </c>
      <c r="EP91" s="9" t="s">
        <v>77</v>
      </c>
      <c r="EQ91" s="9" t="s">
        <v>78</v>
      </c>
      <c r="ER91" s="9" t="s">
        <v>349</v>
      </c>
      <c r="ES91" s="9" t="s">
        <v>78</v>
      </c>
      <c r="ET91" s="9" t="s">
        <v>77</v>
      </c>
      <c r="EX91" s="9" t="s">
        <v>77</v>
      </c>
      <c r="EY91" s="9" t="s">
        <v>77</v>
      </c>
      <c r="EZ91" s="9" t="s">
        <v>80</v>
      </c>
      <c r="FA91" s="9" t="s">
        <v>438</v>
      </c>
      <c r="FB91" s="9" t="s">
        <v>77</v>
      </c>
      <c r="FC91" s="9" t="s">
        <v>78</v>
      </c>
      <c r="FD91" s="9" t="s">
        <v>349</v>
      </c>
      <c r="FE91" s="9" t="s">
        <v>78</v>
      </c>
      <c r="FF91" s="9" t="s">
        <v>77</v>
      </c>
    </row>
    <row r="92" spans="50:162">
      <c r="AX92" s="9" t="s">
        <v>77</v>
      </c>
      <c r="AY92" s="9" t="s">
        <v>77</v>
      </c>
      <c r="AZ92" s="9" t="s">
        <v>80</v>
      </c>
      <c r="BA92" s="9" t="s">
        <v>438</v>
      </c>
      <c r="BB92" s="9" t="s">
        <v>79</v>
      </c>
      <c r="BC92" s="9" t="s">
        <v>78</v>
      </c>
      <c r="BD92" s="9" t="s">
        <v>349</v>
      </c>
      <c r="BE92" s="9" t="s">
        <v>78</v>
      </c>
      <c r="BF92" s="9" t="s">
        <v>77</v>
      </c>
      <c r="BI92" s="9" t="s">
        <v>77</v>
      </c>
      <c r="BJ92" s="9" t="s">
        <v>80</v>
      </c>
      <c r="BK92" s="9" t="s">
        <v>348</v>
      </c>
      <c r="BL92" s="9" t="s">
        <v>642</v>
      </c>
      <c r="BM92" s="9" t="s">
        <v>80</v>
      </c>
      <c r="BN92" s="9" t="s">
        <v>348</v>
      </c>
      <c r="BO92" s="9" t="s">
        <v>642</v>
      </c>
      <c r="BP92" s="9" t="s">
        <v>77</v>
      </c>
      <c r="BQ92" s="9" t="s">
        <v>77</v>
      </c>
      <c r="BR92" s="9" t="s">
        <v>77</v>
      </c>
      <c r="BS92" s="9" t="s">
        <v>77</v>
      </c>
      <c r="BT92" s="9" t="s">
        <v>77</v>
      </c>
      <c r="BU92" s="9" t="s">
        <v>77</v>
      </c>
      <c r="BV92" s="9" t="s">
        <v>78</v>
      </c>
      <c r="BW92" s="9" t="s">
        <v>78</v>
      </c>
      <c r="BX92" s="9" t="s">
        <v>78</v>
      </c>
      <c r="CB92" s="9" t="s">
        <v>77</v>
      </c>
      <c r="CC92" s="9" t="s">
        <v>80</v>
      </c>
      <c r="CD92" s="9" t="s">
        <v>77</v>
      </c>
      <c r="CE92" s="9" t="s">
        <v>77</v>
      </c>
      <c r="CF92" s="9" t="s">
        <v>77</v>
      </c>
      <c r="CG92" s="9" t="s">
        <v>80</v>
      </c>
      <c r="CH92" s="9" t="s">
        <v>348</v>
      </c>
      <c r="CI92" s="9" t="s">
        <v>643</v>
      </c>
      <c r="CJ92" s="9" t="s">
        <v>80</v>
      </c>
      <c r="CK92" s="9" t="s">
        <v>348</v>
      </c>
      <c r="CL92" s="9" t="s">
        <v>643</v>
      </c>
      <c r="CM92" s="9" t="s">
        <v>77</v>
      </c>
      <c r="CN92" s="9" t="s">
        <v>77</v>
      </c>
      <c r="CO92" s="9" t="s">
        <v>78</v>
      </c>
      <c r="CS92" s="9" t="s">
        <v>80</v>
      </c>
      <c r="CT92" s="9" t="s">
        <v>348</v>
      </c>
      <c r="CU92" s="9" t="s">
        <v>642</v>
      </c>
      <c r="CV92" s="9" t="s">
        <v>80</v>
      </c>
      <c r="CW92" s="9" t="s">
        <v>348</v>
      </c>
      <c r="CX92" s="9" t="s">
        <v>642</v>
      </c>
      <c r="CY92" s="9" t="s">
        <v>77</v>
      </c>
      <c r="CZ92" s="9" t="s">
        <v>77</v>
      </c>
      <c r="DA92" s="9" t="s">
        <v>78</v>
      </c>
      <c r="DE92" s="9" t="s">
        <v>77</v>
      </c>
      <c r="DF92" s="9" t="s">
        <v>78</v>
      </c>
      <c r="DG92" s="9" t="s">
        <v>78</v>
      </c>
      <c r="DH92" s="9" t="s">
        <v>78</v>
      </c>
      <c r="DI92" s="9" t="s">
        <v>644</v>
      </c>
      <c r="DJ92" s="9" t="s">
        <v>77</v>
      </c>
      <c r="DK92" s="9" t="s">
        <v>77</v>
      </c>
      <c r="DN92" s="9" t="s">
        <v>77</v>
      </c>
      <c r="DO92" s="9" t="s">
        <v>77</v>
      </c>
      <c r="DP92" s="9" t="s">
        <v>80</v>
      </c>
      <c r="DQ92" s="9" t="s">
        <v>438</v>
      </c>
      <c r="DR92" s="9" t="s">
        <v>77</v>
      </c>
      <c r="DS92" s="9" t="s">
        <v>78</v>
      </c>
      <c r="DT92" s="9" t="s">
        <v>349</v>
      </c>
      <c r="DU92" s="9" t="s">
        <v>78</v>
      </c>
      <c r="DV92" s="9" t="s">
        <v>77</v>
      </c>
      <c r="DZ92" s="9" t="s">
        <v>77</v>
      </c>
      <c r="EA92" s="9" t="s">
        <v>77</v>
      </c>
      <c r="EB92" s="9" t="s">
        <v>80</v>
      </c>
      <c r="EC92" s="9" t="s">
        <v>438</v>
      </c>
      <c r="ED92" s="9" t="s">
        <v>77</v>
      </c>
      <c r="EE92" s="9" t="s">
        <v>78</v>
      </c>
      <c r="EF92" s="9" t="s">
        <v>349</v>
      </c>
      <c r="EG92" s="9" t="s">
        <v>78</v>
      </c>
      <c r="EH92" s="9" t="s">
        <v>77</v>
      </c>
      <c r="EL92" s="9" t="s">
        <v>77</v>
      </c>
      <c r="EM92" s="9" t="s">
        <v>77</v>
      </c>
      <c r="EN92" s="9" t="s">
        <v>80</v>
      </c>
      <c r="EO92" s="9" t="s">
        <v>438</v>
      </c>
      <c r="EP92" s="9" t="s">
        <v>77</v>
      </c>
      <c r="EQ92" s="9" t="s">
        <v>78</v>
      </c>
      <c r="ER92" s="9" t="s">
        <v>349</v>
      </c>
      <c r="ES92" s="9" t="s">
        <v>78</v>
      </c>
      <c r="ET92" s="9" t="s">
        <v>77</v>
      </c>
      <c r="EX92" s="9" t="s">
        <v>77</v>
      </c>
      <c r="EY92" s="9" t="s">
        <v>77</v>
      </c>
      <c r="EZ92" s="9" t="s">
        <v>80</v>
      </c>
      <c r="FA92" s="9" t="s">
        <v>438</v>
      </c>
      <c r="FB92" s="9" t="s">
        <v>77</v>
      </c>
      <c r="FC92" s="9" t="s">
        <v>78</v>
      </c>
      <c r="FD92" s="9" t="s">
        <v>349</v>
      </c>
      <c r="FE92" s="9" t="s">
        <v>78</v>
      </c>
      <c r="FF92" s="9" t="s">
        <v>77</v>
      </c>
    </row>
    <row r="93" spans="50:162">
      <c r="AX93" s="9" t="s">
        <v>77</v>
      </c>
      <c r="AY93" s="9" t="s">
        <v>77</v>
      </c>
      <c r="AZ93" s="9" t="s">
        <v>80</v>
      </c>
      <c r="BA93" s="9" t="s">
        <v>438</v>
      </c>
      <c r="BB93" s="9" t="s">
        <v>79</v>
      </c>
      <c r="BC93" s="9" t="s">
        <v>78</v>
      </c>
      <c r="BD93" s="9" t="s">
        <v>349</v>
      </c>
      <c r="BE93" s="9" t="s">
        <v>78</v>
      </c>
      <c r="BF93" s="9" t="s">
        <v>77</v>
      </c>
      <c r="BI93" s="9" t="s">
        <v>77</v>
      </c>
      <c r="BJ93" s="9" t="s">
        <v>80</v>
      </c>
      <c r="BK93" s="9" t="s">
        <v>348</v>
      </c>
      <c r="BL93" s="9" t="s">
        <v>645</v>
      </c>
      <c r="BM93" s="9" t="s">
        <v>80</v>
      </c>
      <c r="BN93" s="9" t="s">
        <v>348</v>
      </c>
      <c r="BO93" s="9" t="s">
        <v>645</v>
      </c>
      <c r="BP93" s="9" t="s">
        <v>77</v>
      </c>
      <c r="BQ93" s="9" t="s">
        <v>77</v>
      </c>
      <c r="BR93" s="9" t="s">
        <v>77</v>
      </c>
      <c r="BS93" s="9" t="s">
        <v>77</v>
      </c>
      <c r="BT93" s="9" t="s">
        <v>77</v>
      </c>
      <c r="BU93" s="9" t="s">
        <v>77</v>
      </c>
      <c r="BV93" s="9" t="s">
        <v>78</v>
      </c>
      <c r="BW93" s="9" t="s">
        <v>78</v>
      </c>
      <c r="BX93" s="9" t="s">
        <v>78</v>
      </c>
      <c r="CB93" s="9" t="s">
        <v>77</v>
      </c>
      <c r="CC93" s="9" t="s">
        <v>80</v>
      </c>
      <c r="CD93" s="9" t="s">
        <v>77</v>
      </c>
      <c r="CE93" s="9" t="s">
        <v>77</v>
      </c>
      <c r="CF93" s="9" t="s">
        <v>77</v>
      </c>
      <c r="CG93" s="9" t="s">
        <v>80</v>
      </c>
      <c r="CH93" s="9" t="s">
        <v>348</v>
      </c>
      <c r="CI93" s="9" t="s">
        <v>646</v>
      </c>
      <c r="CJ93" s="9" t="s">
        <v>80</v>
      </c>
      <c r="CK93" s="9" t="s">
        <v>348</v>
      </c>
      <c r="CL93" s="9" t="s">
        <v>646</v>
      </c>
      <c r="CM93" s="9" t="s">
        <v>77</v>
      </c>
      <c r="CN93" s="9" t="s">
        <v>77</v>
      </c>
      <c r="CO93" s="9" t="s">
        <v>78</v>
      </c>
      <c r="CS93" s="9" t="s">
        <v>80</v>
      </c>
      <c r="CT93" s="9" t="s">
        <v>348</v>
      </c>
      <c r="CU93" s="9" t="s">
        <v>645</v>
      </c>
      <c r="CV93" s="9" t="s">
        <v>80</v>
      </c>
      <c r="CW93" s="9" t="s">
        <v>348</v>
      </c>
      <c r="CX93" s="9" t="s">
        <v>645</v>
      </c>
      <c r="CY93" s="9" t="s">
        <v>77</v>
      </c>
      <c r="CZ93" s="9" t="s">
        <v>77</v>
      </c>
      <c r="DA93" s="9" t="s">
        <v>78</v>
      </c>
      <c r="DE93" s="9" t="s">
        <v>77</v>
      </c>
      <c r="DF93" s="9" t="s">
        <v>78</v>
      </c>
      <c r="DG93" s="9" t="s">
        <v>78</v>
      </c>
      <c r="DH93" s="9" t="s">
        <v>78</v>
      </c>
      <c r="DI93" s="9" t="s">
        <v>647</v>
      </c>
      <c r="DJ93" s="9" t="s">
        <v>77</v>
      </c>
      <c r="DK93" s="9" t="s">
        <v>77</v>
      </c>
      <c r="DN93" s="9" t="s">
        <v>77</v>
      </c>
      <c r="DO93" s="9" t="s">
        <v>77</v>
      </c>
      <c r="DP93" s="9" t="s">
        <v>80</v>
      </c>
      <c r="DQ93" s="9" t="s">
        <v>438</v>
      </c>
      <c r="DR93" s="9" t="s">
        <v>77</v>
      </c>
      <c r="DS93" s="9" t="s">
        <v>78</v>
      </c>
      <c r="DT93" s="9" t="s">
        <v>349</v>
      </c>
      <c r="DU93" s="9" t="s">
        <v>78</v>
      </c>
      <c r="DV93" s="9" t="s">
        <v>77</v>
      </c>
      <c r="DZ93" s="9" t="s">
        <v>77</v>
      </c>
      <c r="EA93" s="9" t="s">
        <v>77</v>
      </c>
      <c r="EB93" s="9" t="s">
        <v>80</v>
      </c>
      <c r="EC93" s="9" t="s">
        <v>438</v>
      </c>
      <c r="ED93" s="9" t="s">
        <v>77</v>
      </c>
      <c r="EE93" s="9" t="s">
        <v>78</v>
      </c>
      <c r="EF93" s="9" t="s">
        <v>349</v>
      </c>
      <c r="EG93" s="9" t="s">
        <v>78</v>
      </c>
      <c r="EH93" s="9" t="s">
        <v>77</v>
      </c>
      <c r="EL93" s="9" t="s">
        <v>77</v>
      </c>
      <c r="EM93" s="9" t="s">
        <v>77</v>
      </c>
      <c r="EN93" s="9" t="s">
        <v>80</v>
      </c>
      <c r="EO93" s="9" t="s">
        <v>438</v>
      </c>
      <c r="EP93" s="9" t="s">
        <v>77</v>
      </c>
      <c r="EQ93" s="9" t="s">
        <v>78</v>
      </c>
      <c r="ER93" s="9" t="s">
        <v>349</v>
      </c>
      <c r="ES93" s="9" t="s">
        <v>78</v>
      </c>
      <c r="ET93" s="9" t="s">
        <v>77</v>
      </c>
      <c r="EX93" s="9" t="s">
        <v>77</v>
      </c>
      <c r="EY93" s="9" t="s">
        <v>77</v>
      </c>
      <c r="EZ93" s="9" t="s">
        <v>80</v>
      </c>
      <c r="FA93" s="9" t="s">
        <v>438</v>
      </c>
      <c r="FB93" s="9" t="s">
        <v>77</v>
      </c>
      <c r="FC93" s="9" t="s">
        <v>78</v>
      </c>
      <c r="FD93" s="9" t="s">
        <v>349</v>
      </c>
      <c r="FE93" s="9" t="s">
        <v>78</v>
      </c>
      <c r="FF93" s="9" t="s">
        <v>77</v>
      </c>
    </row>
    <row r="94" spans="50:162">
      <c r="AX94" s="9" t="s">
        <v>77</v>
      </c>
      <c r="AY94" s="9" t="s">
        <v>77</v>
      </c>
      <c r="AZ94" s="9" t="s">
        <v>80</v>
      </c>
      <c r="BA94" s="9" t="s">
        <v>438</v>
      </c>
      <c r="BB94" s="9" t="s">
        <v>79</v>
      </c>
      <c r="BC94" s="9" t="s">
        <v>78</v>
      </c>
      <c r="BD94" s="9" t="s">
        <v>349</v>
      </c>
      <c r="BE94" s="9" t="s">
        <v>78</v>
      </c>
      <c r="BF94" s="9" t="s">
        <v>77</v>
      </c>
      <c r="BI94" s="9" t="s">
        <v>77</v>
      </c>
      <c r="BJ94" s="9" t="s">
        <v>80</v>
      </c>
      <c r="BK94" s="9" t="s">
        <v>348</v>
      </c>
      <c r="BL94" s="9" t="s">
        <v>648</v>
      </c>
      <c r="BM94" s="9" t="s">
        <v>80</v>
      </c>
      <c r="BN94" s="9" t="s">
        <v>348</v>
      </c>
      <c r="BO94" s="9" t="s">
        <v>648</v>
      </c>
      <c r="BP94" s="9" t="s">
        <v>77</v>
      </c>
      <c r="BQ94" s="9" t="s">
        <v>77</v>
      </c>
      <c r="BR94" s="9" t="s">
        <v>77</v>
      </c>
      <c r="BS94" s="9" t="s">
        <v>77</v>
      </c>
      <c r="BT94" s="9" t="s">
        <v>77</v>
      </c>
      <c r="BU94" s="9" t="s">
        <v>77</v>
      </c>
      <c r="BV94" s="9" t="s">
        <v>78</v>
      </c>
      <c r="BW94" s="9" t="s">
        <v>78</v>
      </c>
      <c r="BX94" s="9" t="s">
        <v>78</v>
      </c>
      <c r="CB94" s="9" t="s">
        <v>77</v>
      </c>
      <c r="CC94" s="9" t="s">
        <v>80</v>
      </c>
      <c r="CD94" s="9" t="s">
        <v>77</v>
      </c>
      <c r="CE94" s="9" t="s">
        <v>77</v>
      </c>
      <c r="CF94" s="9" t="s">
        <v>77</v>
      </c>
      <c r="CG94" s="9" t="s">
        <v>80</v>
      </c>
      <c r="CH94" s="9" t="s">
        <v>348</v>
      </c>
      <c r="CI94" s="9" t="s">
        <v>649</v>
      </c>
      <c r="CJ94" s="9" t="s">
        <v>80</v>
      </c>
      <c r="CK94" s="9" t="s">
        <v>348</v>
      </c>
      <c r="CL94" s="9" t="s">
        <v>649</v>
      </c>
      <c r="CM94" s="9" t="s">
        <v>77</v>
      </c>
      <c r="CN94" s="9" t="s">
        <v>77</v>
      </c>
      <c r="CO94" s="9" t="s">
        <v>78</v>
      </c>
      <c r="CS94" s="9" t="s">
        <v>80</v>
      </c>
      <c r="CT94" s="9" t="s">
        <v>348</v>
      </c>
      <c r="CU94" s="9" t="s">
        <v>648</v>
      </c>
      <c r="CV94" s="9" t="s">
        <v>80</v>
      </c>
      <c r="CW94" s="9" t="s">
        <v>348</v>
      </c>
      <c r="CX94" s="9" t="s">
        <v>648</v>
      </c>
      <c r="CY94" s="9" t="s">
        <v>77</v>
      </c>
      <c r="CZ94" s="9" t="s">
        <v>77</v>
      </c>
      <c r="DA94" s="9" t="s">
        <v>78</v>
      </c>
      <c r="DE94" s="9" t="s">
        <v>77</v>
      </c>
      <c r="DF94" s="9" t="s">
        <v>78</v>
      </c>
      <c r="DG94" s="9" t="s">
        <v>78</v>
      </c>
      <c r="DH94" s="9" t="s">
        <v>78</v>
      </c>
      <c r="DI94" s="9" t="s">
        <v>650</v>
      </c>
      <c r="DJ94" s="9" t="s">
        <v>77</v>
      </c>
      <c r="DK94" s="9" t="s">
        <v>77</v>
      </c>
      <c r="DN94" s="9" t="s">
        <v>77</v>
      </c>
      <c r="DO94" s="9" t="s">
        <v>77</v>
      </c>
      <c r="DP94" s="9" t="s">
        <v>80</v>
      </c>
      <c r="DQ94" s="9" t="s">
        <v>438</v>
      </c>
      <c r="DR94" s="9" t="s">
        <v>77</v>
      </c>
      <c r="DS94" s="9" t="s">
        <v>78</v>
      </c>
      <c r="DT94" s="9" t="s">
        <v>349</v>
      </c>
      <c r="DU94" s="9" t="s">
        <v>78</v>
      </c>
      <c r="DV94" s="9" t="s">
        <v>77</v>
      </c>
      <c r="DZ94" s="9" t="s">
        <v>77</v>
      </c>
      <c r="EA94" s="9" t="s">
        <v>77</v>
      </c>
      <c r="EB94" s="9" t="s">
        <v>80</v>
      </c>
      <c r="EC94" s="9" t="s">
        <v>438</v>
      </c>
      <c r="ED94" s="9" t="s">
        <v>77</v>
      </c>
      <c r="EE94" s="9" t="s">
        <v>78</v>
      </c>
      <c r="EF94" s="9" t="s">
        <v>349</v>
      </c>
      <c r="EG94" s="9" t="s">
        <v>78</v>
      </c>
      <c r="EH94" s="9" t="s">
        <v>77</v>
      </c>
      <c r="EL94" s="9" t="s">
        <v>77</v>
      </c>
      <c r="EM94" s="9" t="s">
        <v>77</v>
      </c>
      <c r="EN94" s="9" t="s">
        <v>80</v>
      </c>
      <c r="EO94" s="9" t="s">
        <v>438</v>
      </c>
      <c r="EP94" s="9" t="s">
        <v>77</v>
      </c>
      <c r="EQ94" s="9" t="s">
        <v>78</v>
      </c>
      <c r="ER94" s="9" t="s">
        <v>349</v>
      </c>
      <c r="ES94" s="9" t="s">
        <v>78</v>
      </c>
      <c r="ET94" s="9" t="s">
        <v>77</v>
      </c>
      <c r="EX94" s="9" t="s">
        <v>77</v>
      </c>
      <c r="EY94" s="9" t="s">
        <v>77</v>
      </c>
      <c r="EZ94" s="9" t="s">
        <v>80</v>
      </c>
      <c r="FA94" s="9" t="s">
        <v>438</v>
      </c>
      <c r="FB94" s="9" t="s">
        <v>77</v>
      </c>
      <c r="FC94" s="9" t="s">
        <v>78</v>
      </c>
      <c r="FD94" s="9" t="s">
        <v>349</v>
      </c>
      <c r="FE94" s="9" t="s">
        <v>78</v>
      </c>
      <c r="FF94" s="9" t="s">
        <v>77</v>
      </c>
    </row>
    <row r="95" spans="50:162">
      <c r="AX95" s="9" t="s">
        <v>77</v>
      </c>
      <c r="AY95" s="9" t="s">
        <v>77</v>
      </c>
      <c r="AZ95" s="9" t="s">
        <v>80</v>
      </c>
      <c r="BA95" s="9" t="s">
        <v>438</v>
      </c>
      <c r="BB95" s="9" t="s">
        <v>79</v>
      </c>
      <c r="BC95" s="9" t="s">
        <v>78</v>
      </c>
      <c r="BD95" s="9" t="s">
        <v>349</v>
      </c>
      <c r="BE95" s="9" t="s">
        <v>78</v>
      </c>
      <c r="BF95" s="9" t="s">
        <v>77</v>
      </c>
      <c r="BI95" s="9" t="s">
        <v>77</v>
      </c>
      <c r="BJ95" s="9" t="s">
        <v>80</v>
      </c>
      <c r="BK95" s="9" t="s">
        <v>348</v>
      </c>
      <c r="BL95" s="9" t="s">
        <v>651</v>
      </c>
      <c r="BM95" s="9" t="s">
        <v>80</v>
      </c>
      <c r="BN95" s="9" t="s">
        <v>348</v>
      </c>
      <c r="BO95" s="9" t="s">
        <v>651</v>
      </c>
      <c r="BP95" s="9" t="s">
        <v>77</v>
      </c>
      <c r="BQ95" s="9" t="s">
        <v>77</v>
      </c>
      <c r="BR95" s="9" t="s">
        <v>77</v>
      </c>
      <c r="BS95" s="9" t="s">
        <v>77</v>
      </c>
      <c r="BT95" s="9" t="s">
        <v>77</v>
      </c>
      <c r="BU95" s="9" t="s">
        <v>77</v>
      </c>
      <c r="BV95" s="9" t="s">
        <v>78</v>
      </c>
      <c r="BW95" s="9" t="s">
        <v>78</v>
      </c>
      <c r="BX95" s="9" t="s">
        <v>78</v>
      </c>
      <c r="CB95" s="9" t="s">
        <v>77</v>
      </c>
      <c r="CC95" s="9" t="s">
        <v>80</v>
      </c>
      <c r="CD95" s="9" t="s">
        <v>77</v>
      </c>
      <c r="CE95" s="9" t="s">
        <v>77</v>
      </c>
      <c r="CF95" s="9" t="s">
        <v>77</v>
      </c>
      <c r="CG95" s="9" t="s">
        <v>80</v>
      </c>
      <c r="CH95" s="9" t="s">
        <v>348</v>
      </c>
      <c r="CI95" s="9" t="s">
        <v>652</v>
      </c>
      <c r="CJ95" s="9" t="s">
        <v>80</v>
      </c>
      <c r="CK95" s="9" t="s">
        <v>348</v>
      </c>
      <c r="CL95" s="9" t="s">
        <v>652</v>
      </c>
      <c r="CM95" s="9" t="s">
        <v>77</v>
      </c>
      <c r="CN95" s="9" t="s">
        <v>77</v>
      </c>
      <c r="CO95" s="9" t="s">
        <v>78</v>
      </c>
      <c r="CS95" s="9" t="s">
        <v>80</v>
      </c>
      <c r="CT95" s="9" t="s">
        <v>348</v>
      </c>
      <c r="CU95" s="9" t="s">
        <v>652</v>
      </c>
      <c r="CV95" s="9" t="s">
        <v>80</v>
      </c>
      <c r="CW95" s="9" t="s">
        <v>348</v>
      </c>
      <c r="CX95" s="9" t="s">
        <v>652</v>
      </c>
      <c r="CY95" s="9" t="s">
        <v>77</v>
      </c>
      <c r="CZ95" s="9" t="s">
        <v>77</v>
      </c>
      <c r="DA95" s="9" t="s">
        <v>78</v>
      </c>
      <c r="DE95" s="9" t="s">
        <v>77</v>
      </c>
      <c r="DF95" s="9" t="s">
        <v>78</v>
      </c>
      <c r="DG95" s="9" t="s">
        <v>78</v>
      </c>
      <c r="DH95" s="9" t="s">
        <v>78</v>
      </c>
      <c r="DI95" s="9" t="s">
        <v>651</v>
      </c>
      <c r="DJ95" s="9" t="s">
        <v>77</v>
      </c>
      <c r="DK95" s="9" t="s">
        <v>77</v>
      </c>
      <c r="DN95" s="9" t="s">
        <v>77</v>
      </c>
      <c r="DO95" s="9" t="s">
        <v>77</v>
      </c>
      <c r="DP95" s="9" t="s">
        <v>80</v>
      </c>
      <c r="DQ95" s="9" t="s">
        <v>438</v>
      </c>
      <c r="DR95" s="9" t="s">
        <v>77</v>
      </c>
      <c r="DS95" s="9" t="s">
        <v>78</v>
      </c>
      <c r="DT95" s="9" t="s">
        <v>349</v>
      </c>
      <c r="DU95" s="9" t="s">
        <v>78</v>
      </c>
      <c r="DV95" s="9" t="s">
        <v>77</v>
      </c>
      <c r="DZ95" s="9" t="s">
        <v>77</v>
      </c>
      <c r="EA95" s="9" t="s">
        <v>77</v>
      </c>
      <c r="EB95" s="9" t="s">
        <v>80</v>
      </c>
      <c r="EC95" s="9" t="s">
        <v>438</v>
      </c>
      <c r="ED95" s="9" t="s">
        <v>77</v>
      </c>
      <c r="EE95" s="9" t="s">
        <v>78</v>
      </c>
      <c r="EF95" s="9" t="s">
        <v>349</v>
      </c>
      <c r="EG95" s="9" t="s">
        <v>78</v>
      </c>
      <c r="EH95" s="9" t="s">
        <v>77</v>
      </c>
      <c r="EL95" s="9" t="s">
        <v>77</v>
      </c>
      <c r="EM95" s="9" t="s">
        <v>77</v>
      </c>
      <c r="EN95" s="9" t="s">
        <v>80</v>
      </c>
      <c r="EO95" s="9" t="s">
        <v>438</v>
      </c>
      <c r="EP95" s="9" t="s">
        <v>77</v>
      </c>
      <c r="EQ95" s="9" t="s">
        <v>78</v>
      </c>
      <c r="ER95" s="9" t="s">
        <v>349</v>
      </c>
      <c r="ES95" s="9" t="s">
        <v>78</v>
      </c>
      <c r="ET95" s="9" t="s">
        <v>77</v>
      </c>
      <c r="EX95" s="9" t="s">
        <v>77</v>
      </c>
      <c r="EY95" s="9" t="s">
        <v>77</v>
      </c>
      <c r="EZ95" s="9" t="s">
        <v>80</v>
      </c>
      <c r="FA95" s="9" t="s">
        <v>438</v>
      </c>
      <c r="FB95" s="9" t="s">
        <v>77</v>
      </c>
      <c r="FC95" s="9" t="s">
        <v>78</v>
      </c>
      <c r="FD95" s="9" t="s">
        <v>349</v>
      </c>
      <c r="FE95" s="9" t="s">
        <v>78</v>
      </c>
      <c r="FF95" s="9" t="s">
        <v>77</v>
      </c>
    </row>
    <row r="96" spans="50:162">
      <c r="AX96" s="9" t="s">
        <v>77</v>
      </c>
      <c r="AY96" s="9" t="s">
        <v>77</v>
      </c>
      <c r="AZ96" s="9" t="s">
        <v>80</v>
      </c>
      <c r="BA96" s="9" t="s">
        <v>438</v>
      </c>
      <c r="BB96" s="9" t="s">
        <v>79</v>
      </c>
      <c r="BC96" s="9" t="s">
        <v>78</v>
      </c>
      <c r="BD96" s="9" t="s">
        <v>349</v>
      </c>
      <c r="BE96" s="9" t="s">
        <v>78</v>
      </c>
      <c r="BF96" s="9" t="s">
        <v>77</v>
      </c>
      <c r="BI96" s="9" t="s">
        <v>77</v>
      </c>
      <c r="BJ96" s="9" t="s">
        <v>80</v>
      </c>
      <c r="BK96" s="9" t="s">
        <v>348</v>
      </c>
      <c r="BL96" s="9" t="s">
        <v>653</v>
      </c>
      <c r="BM96" s="9" t="s">
        <v>80</v>
      </c>
      <c r="BN96" s="9" t="s">
        <v>348</v>
      </c>
      <c r="BO96" s="9" t="s">
        <v>653</v>
      </c>
      <c r="BP96" s="9" t="s">
        <v>77</v>
      </c>
      <c r="BQ96" s="9" t="s">
        <v>77</v>
      </c>
      <c r="BR96" s="9" t="s">
        <v>77</v>
      </c>
      <c r="BS96" s="9" t="s">
        <v>77</v>
      </c>
      <c r="BT96" s="9" t="s">
        <v>77</v>
      </c>
      <c r="BU96" s="9" t="s">
        <v>77</v>
      </c>
      <c r="BV96" s="9" t="s">
        <v>78</v>
      </c>
      <c r="BW96" s="9" t="s">
        <v>78</v>
      </c>
      <c r="BX96" s="9" t="s">
        <v>78</v>
      </c>
      <c r="CB96" s="9" t="s">
        <v>77</v>
      </c>
      <c r="CC96" s="9" t="s">
        <v>80</v>
      </c>
      <c r="CD96" s="9" t="s">
        <v>77</v>
      </c>
      <c r="CE96" s="9" t="s">
        <v>77</v>
      </c>
      <c r="CF96" s="9" t="s">
        <v>77</v>
      </c>
      <c r="CG96" s="9" t="s">
        <v>80</v>
      </c>
      <c r="CH96" s="9" t="s">
        <v>348</v>
      </c>
      <c r="CI96" s="9" t="s">
        <v>654</v>
      </c>
      <c r="CJ96" s="9" t="s">
        <v>80</v>
      </c>
      <c r="CK96" s="9" t="s">
        <v>348</v>
      </c>
      <c r="CL96" s="9" t="s">
        <v>654</v>
      </c>
      <c r="CM96" s="9" t="s">
        <v>77</v>
      </c>
      <c r="CN96" s="9" t="s">
        <v>77</v>
      </c>
      <c r="CO96" s="9" t="s">
        <v>78</v>
      </c>
      <c r="CS96" s="9" t="s">
        <v>80</v>
      </c>
      <c r="CT96" s="9" t="s">
        <v>348</v>
      </c>
      <c r="CU96" s="9" t="s">
        <v>653</v>
      </c>
      <c r="CV96" s="9" t="s">
        <v>80</v>
      </c>
      <c r="CW96" s="9" t="s">
        <v>348</v>
      </c>
      <c r="CX96" s="9" t="s">
        <v>653</v>
      </c>
      <c r="CY96" s="9" t="s">
        <v>77</v>
      </c>
      <c r="CZ96" s="9" t="s">
        <v>77</v>
      </c>
      <c r="DA96" s="9" t="s">
        <v>78</v>
      </c>
      <c r="DE96" s="9" t="s">
        <v>77</v>
      </c>
      <c r="DF96" s="9" t="s">
        <v>78</v>
      </c>
      <c r="DG96" s="9" t="s">
        <v>78</v>
      </c>
      <c r="DH96" s="9" t="s">
        <v>78</v>
      </c>
      <c r="DI96" s="9" t="s">
        <v>653</v>
      </c>
      <c r="DJ96" s="9" t="s">
        <v>77</v>
      </c>
      <c r="DK96" s="9" t="s">
        <v>77</v>
      </c>
      <c r="DN96" s="9" t="s">
        <v>77</v>
      </c>
      <c r="DO96" s="9" t="s">
        <v>77</v>
      </c>
      <c r="DP96" s="9" t="s">
        <v>80</v>
      </c>
      <c r="DQ96" s="9" t="s">
        <v>438</v>
      </c>
      <c r="DR96" s="9" t="s">
        <v>77</v>
      </c>
      <c r="DS96" s="9" t="s">
        <v>78</v>
      </c>
      <c r="DT96" s="9" t="s">
        <v>349</v>
      </c>
      <c r="DU96" s="9" t="s">
        <v>78</v>
      </c>
      <c r="DV96" s="9" t="s">
        <v>77</v>
      </c>
      <c r="DZ96" s="9" t="s">
        <v>77</v>
      </c>
      <c r="EA96" s="9" t="s">
        <v>77</v>
      </c>
      <c r="EB96" s="9" t="s">
        <v>80</v>
      </c>
      <c r="EC96" s="9" t="s">
        <v>438</v>
      </c>
      <c r="ED96" s="9" t="s">
        <v>77</v>
      </c>
      <c r="EE96" s="9" t="s">
        <v>78</v>
      </c>
      <c r="EF96" s="9" t="s">
        <v>349</v>
      </c>
      <c r="EG96" s="9" t="s">
        <v>78</v>
      </c>
      <c r="EH96" s="9" t="s">
        <v>77</v>
      </c>
      <c r="EL96" s="9" t="s">
        <v>77</v>
      </c>
      <c r="EM96" s="9" t="s">
        <v>77</v>
      </c>
      <c r="EN96" s="9" t="s">
        <v>80</v>
      </c>
      <c r="EO96" s="9" t="s">
        <v>438</v>
      </c>
      <c r="EP96" s="9" t="s">
        <v>77</v>
      </c>
      <c r="EQ96" s="9" t="s">
        <v>78</v>
      </c>
      <c r="ER96" s="9" t="s">
        <v>349</v>
      </c>
      <c r="ES96" s="9" t="s">
        <v>78</v>
      </c>
      <c r="ET96" s="9" t="s">
        <v>77</v>
      </c>
      <c r="EX96" s="9" t="s">
        <v>77</v>
      </c>
      <c r="EY96" s="9" t="s">
        <v>77</v>
      </c>
      <c r="EZ96" s="9" t="s">
        <v>80</v>
      </c>
      <c r="FA96" s="9" t="s">
        <v>438</v>
      </c>
      <c r="FB96" s="9" t="s">
        <v>77</v>
      </c>
      <c r="FC96" s="9" t="s">
        <v>78</v>
      </c>
      <c r="FD96" s="9" t="s">
        <v>349</v>
      </c>
      <c r="FE96" s="9" t="s">
        <v>78</v>
      </c>
      <c r="FF96" s="9" t="s">
        <v>77</v>
      </c>
    </row>
    <row r="97" spans="50:162">
      <c r="AX97" s="9" t="s">
        <v>77</v>
      </c>
      <c r="AY97" s="9" t="s">
        <v>77</v>
      </c>
      <c r="AZ97" s="9" t="s">
        <v>80</v>
      </c>
      <c r="BA97" s="9" t="s">
        <v>438</v>
      </c>
      <c r="BB97" s="9" t="s">
        <v>79</v>
      </c>
      <c r="BC97" s="9" t="s">
        <v>78</v>
      </c>
      <c r="BD97" s="9" t="s">
        <v>349</v>
      </c>
      <c r="BE97" s="9" t="s">
        <v>78</v>
      </c>
      <c r="BF97" s="9" t="s">
        <v>77</v>
      </c>
      <c r="BI97" s="9" t="s">
        <v>77</v>
      </c>
      <c r="BJ97" s="9" t="s">
        <v>80</v>
      </c>
      <c r="BK97" s="9" t="s">
        <v>348</v>
      </c>
      <c r="BL97" s="9" t="s">
        <v>655</v>
      </c>
      <c r="BM97" s="9" t="s">
        <v>80</v>
      </c>
      <c r="BN97" s="9" t="s">
        <v>348</v>
      </c>
      <c r="BO97" s="9" t="s">
        <v>655</v>
      </c>
      <c r="BP97" s="9" t="s">
        <v>77</v>
      </c>
      <c r="BQ97" s="9" t="s">
        <v>77</v>
      </c>
      <c r="BR97" s="9" t="s">
        <v>77</v>
      </c>
      <c r="BS97" s="9" t="s">
        <v>77</v>
      </c>
      <c r="BT97" s="9" t="s">
        <v>77</v>
      </c>
      <c r="BU97" s="9" t="s">
        <v>77</v>
      </c>
      <c r="BV97" s="9" t="s">
        <v>78</v>
      </c>
      <c r="BW97" s="9" t="s">
        <v>78</v>
      </c>
      <c r="BX97" s="9" t="s">
        <v>78</v>
      </c>
      <c r="CB97" s="9" t="s">
        <v>77</v>
      </c>
      <c r="CC97" s="9" t="s">
        <v>80</v>
      </c>
      <c r="CD97" s="9" t="s">
        <v>77</v>
      </c>
      <c r="CE97" s="9" t="s">
        <v>77</v>
      </c>
      <c r="CF97" s="9" t="s">
        <v>77</v>
      </c>
      <c r="CG97" s="9" t="s">
        <v>80</v>
      </c>
      <c r="CH97" s="9" t="s">
        <v>348</v>
      </c>
      <c r="CI97" s="9" t="s">
        <v>656</v>
      </c>
      <c r="CJ97" s="9" t="s">
        <v>80</v>
      </c>
      <c r="CK97" s="9" t="s">
        <v>348</v>
      </c>
      <c r="CL97" s="9" t="s">
        <v>656</v>
      </c>
      <c r="CM97" s="9" t="s">
        <v>77</v>
      </c>
      <c r="CN97" s="9" t="s">
        <v>77</v>
      </c>
      <c r="CO97" s="9" t="s">
        <v>78</v>
      </c>
      <c r="CS97" s="9" t="s">
        <v>80</v>
      </c>
      <c r="CT97" s="9" t="s">
        <v>348</v>
      </c>
      <c r="CU97" s="9" t="s">
        <v>655</v>
      </c>
      <c r="CV97" s="9" t="s">
        <v>80</v>
      </c>
      <c r="CW97" s="9" t="s">
        <v>348</v>
      </c>
      <c r="CX97" s="9" t="s">
        <v>655</v>
      </c>
      <c r="CY97" s="9" t="s">
        <v>77</v>
      </c>
      <c r="CZ97" s="9" t="s">
        <v>77</v>
      </c>
      <c r="DA97" s="9" t="s">
        <v>78</v>
      </c>
      <c r="DE97" s="9" t="s">
        <v>77</v>
      </c>
      <c r="DF97" s="9" t="s">
        <v>78</v>
      </c>
      <c r="DG97" s="9" t="s">
        <v>78</v>
      </c>
      <c r="DH97" s="9" t="s">
        <v>78</v>
      </c>
      <c r="DI97" s="9" t="s">
        <v>655</v>
      </c>
      <c r="DJ97" s="9" t="s">
        <v>77</v>
      </c>
      <c r="DK97" s="9" t="s">
        <v>77</v>
      </c>
      <c r="DN97" s="9" t="s">
        <v>77</v>
      </c>
      <c r="DO97" s="9" t="s">
        <v>77</v>
      </c>
      <c r="DP97" s="9" t="s">
        <v>80</v>
      </c>
      <c r="DQ97" s="9" t="s">
        <v>438</v>
      </c>
      <c r="DR97" s="9" t="s">
        <v>77</v>
      </c>
      <c r="DS97" s="9" t="s">
        <v>78</v>
      </c>
      <c r="DT97" s="9" t="s">
        <v>349</v>
      </c>
      <c r="DU97" s="9" t="s">
        <v>78</v>
      </c>
      <c r="DV97" s="9" t="s">
        <v>77</v>
      </c>
      <c r="DZ97" s="9" t="s">
        <v>77</v>
      </c>
      <c r="EA97" s="9" t="s">
        <v>77</v>
      </c>
      <c r="EB97" s="9" t="s">
        <v>80</v>
      </c>
      <c r="EC97" s="9" t="s">
        <v>438</v>
      </c>
      <c r="ED97" s="9" t="s">
        <v>77</v>
      </c>
      <c r="EE97" s="9" t="s">
        <v>78</v>
      </c>
      <c r="EF97" s="9" t="s">
        <v>349</v>
      </c>
      <c r="EG97" s="9" t="s">
        <v>78</v>
      </c>
      <c r="EH97" s="9" t="s">
        <v>77</v>
      </c>
      <c r="EL97" s="9" t="s">
        <v>77</v>
      </c>
      <c r="EM97" s="9" t="s">
        <v>77</v>
      </c>
      <c r="EN97" s="9" t="s">
        <v>80</v>
      </c>
      <c r="EO97" s="9" t="s">
        <v>438</v>
      </c>
      <c r="EP97" s="9" t="s">
        <v>77</v>
      </c>
      <c r="EQ97" s="9" t="s">
        <v>78</v>
      </c>
      <c r="ER97" s="9" t="s">
        <v>349</v>
      </c>
      <c r="ES97" s="9" t="s">
        <v>78</v>
      </c>
      <c r="ET97" s="9" t="s">
        <v>77</v>
      </c>
      <c r="EX97" s="9" t="s">
        <v>77</v>
      </c>
      <c r="EY97" s="9" t="s">
        <v>77</v>
      </c>
      <c r="EZ97" s="9" t="s">
        <v>80</v>
      </c>
      <c r="FA97" s="9" t="s">
        <v>438</v>
      </c>
      <c r="FB97" s="9" t="s">
        <v>77</v>
      </c>
      <c r="FC97" s="9" t="s">
        <v>78</v>
      </c>
      <c r="FD97" s="9" t="s">
        <v>349</v>
      </c>
      <c r="FE97" s="9" t="s">
        <v>78</v>
      </c>
      <c r="FF97" s="9" t="s">
        <v>77</v>
      </c>
    </row>
    <row r="98" spans="50:162">
      <c r="AX98" s="9" t="s">
        <v>77</v>
      </c>
      <c r="AY98" s="9" t="s">
        <v>77</v>
      </c>
      <c r="AZ98" s="9" t="s">
        <v>80</v>
      </c>
      <c r="BA98" s="9" t="s">
        <v>438</v>
      </c>
      <c r="BB98" s="9" t="s">
        <v>79</v>
      </c>
      <c r="BC98" s="9" t="s">
        <v>78</v>
      </c>
      <c r="BD98" s="9" t="s">
        <v>349</v>
      </c>
      <c r="BE98" s="9" t="s">
        <v>78</v>
      </c>
      <c r="BF98" s="9" t="s">
        <v>77</v>
      </c>
      <c r="BI98" s="9" t="s">
        <v>77</v>
      </c>
      <c r="BJ98" s="9" t="s">
        <v>80</v>
      </c>
      <c r="BK98" s="9" t="s">
        <v>348</v>
      </c>
      <c r="BL98" s="9" t="s">
        <v>657</v>
      </c>
      <c r="BM98" s="9" t="s">
        <v>80</v>
      </c>
      <c r="BN98" s="9" t="s">
        <v>348</v>
      </c>
      <c r="BO98" s="9" t="s">
        <v>657</v>
      </c>
      <c r="BP98" s="9" t="s">
        <v>77</v>
      </c>
      <c r="BQ98" s="9" t="s">
        <v>77</v>
      </c>
      <c r="BR98" s="9" t="s">
        <v>77</v>
      </c>
      <c r="BS98" s="9" t="s">
        <v>77</v>
      </c>
      <c r="BT98" s="9" t="s">
        <v>77</v>
      </c>
      <c r="BU98" s="9" t="s">
        <v>77</v>
      </c>
      <c r="BV98" s="9" t="s">
        <v>78</v>
      </c>
      <c r="BW98" s="9" t="s">
        <v>78</v>
      </c>
      <c r="BX98" s="9" t="s">
        <v>78</v>
      </c>
      <c r="CB98" s="9" t="s">
        <v>77</v>
      </c>
      <c r="CC98" s="9" t="s">
        <v>80</v>
      </c>
      <c r="CD98" s="9" t="s">
        <v>77</v>
      </c>
      <c r="CE98" s="9" t="s">
        <v>77</v>
      </c>
      <c r="CF98" s="9" t="s">
        <v>77</v>
      </c>
      <c r="CG98" s="9" t="s">
        <v>80</v>
      </c>
      <c r="CH98" s="9" t="s">
        <v>348</v>
      </c>
      <c r="CI98" s="9" t="s">
        <v>658</v>
      </c>
      <c r="CJ98" s="9" t="s">
        <v>80</v>
      </c>
      <c r="CK98" s="9" t="s">
        <v>348</v>
      </c>
      <c r="CL98" s="9" t="s">
        <v>658</v>
      </c>
      <c r="CM98" s="9" t="s">
        <v>77</v>
      </c>
      <c r="CN98" s="9" t="s">
        <v>77</v>
      </c>
      <c r="CO98" s="9" t="s">
        <v>78</v>
      </c>
      <c r="CS98" s="9" t="s">
        <v>80</v>
      </c>
      <c r="CT98" s="9" t="s">
        <v>348</v>
      </c>
      <c r="CU98" s="9" t="s">
        <v>658</v>
      </c>
      <c r="CV98" s="9" t="s">
        <v>80</v>
      </c>
      <c r="CW98" s="9" t="s">
        <v>348</v>
      </c>
      <c r="CX98" s="9" t="s">
        <v>658</v>
      </c>
      <c r="CY98" s="9" t="s">
        <v>77</v>
      </c>
      <c r="CZ98" s="9" t="s">
        <v>77</v>
      </c>
      <c r="DA98" s="9" t="s">
        <v>78</v>
      </c>
      <c r="DE98" s="9" t="s">
        <v>77</v>
      </c>
      <c r="DF98" s="9" t="s">
        <v>78</v>
      </c>
      <c r="DG98" s="9" t="s">
        <v>78</v>
      </c>
      <c r="DH98" s="9" t="s">
        <v>78</v>
      </c>
      <c r="DI98" s="9" t="s">
        <v>657</v>
      </c>
      <c r="DJ98" s="9" t="s">
        <v>77</v>
      </c>
      <c r="DK98" s="9" t="s">
        <v>77</v>
      </c>
      <c r="DN98" s="9" t="s">
        <v>77</v>
      </c>
      <c r="DO98" s="9" t="s">
        <v>77</v>
      </c>
      <c r="DP98" s="9" t="s">
        <v>80</v>
      </c>
      <c r="DQ98" s="9" t="s">
        <v>438</v>
      </c>
      <c r="DR98" s="9" t="s">
        <v>77</v>
      </c>
      <c r="DS98" s="9" t="s">
        <v>78</v>
      </c>
      <c r="DT98" s="9" t="s">
        <v>349</v>
      </c>
      <c r="DU98" s="9" t="s">
        <v>78</v>
      </c>
      <c r="DV98" s="9" t="s">
        <v>77</v>
      </c>
      <c r="DZ98" s="9" t="s">
        <v>77</v>
      </c>
      <c r="EA98" s="9" t="s">
        <v>77</v>
      </c>
      <c r="EB98" s="9" t="s">
        <v>80</v>
      </c>
      <c r="EC98" s="9" t="s">
        <v>438</v>
      </c>
      <c r="ED98" s="9" t="s">
        <v>77</v>
      </c>
      <c r="EE98" s="9" t="s">
        <v>78</v>
      </c>
      <c r="EF98" s="9" t="s">
        <v>349</v>
      </c>
      <c r="EG98" s="9" t="s">
        <v>78</v>
      </c>
      <c r="EH98" s="9" t="s">
        <v>77</v>
      </c>
      <c r="EL98" s="9" t="s">
        <v>77</v>
      </c>
      <c r="EM98" s="9" t="s">
        <v>77</v>
      </c>
      <c r="EN98" s="9" t="s">
        <v>80</v>
      </c>
      <c r="EO98" s="9" t="s">
        <v>438</v>
      </c>
      <c r="EP98" s="9" t="s">
        <v>77</v>
      </c>
      <c r="EQ98" s="9" t="s">
        <v>78</v>
      </c>
      <c r="ER98" s="9" t="s">
        <v>349</v>
      </c>
      <c r="ES98" s="9" t="s">
        <v>78</v>
      </c>
      <c r="ET98" s="9" t="s">
        <v>77</v>
      </c>
      <c r="EX98" s="9" t="s">
        <v>77</v>
      </c>
      <c r="EY98" s="9" t="s">
        <v>77</v>
      </c>
      <c r="EZ98" s="9" t="s">
        <v>80</v>
      </c>
      <c r="FA98" s="9" t="s">
        <v>438</v>
      </c>
      <c r="FB98" s="9" t="s">
        <v>77</v>
      </c>
      <c r="FC98" s="9" t="s">
        <v>78</v>
      </c>
      <c r="FD98" s="9" t="s">
        <v>349</v>
      </c>
      <c r="FE98" s="9" t="s">
        <v>78</v>
      </c>
      <c r="FF98" s="9" t="s">
        <v>77</v>
      </c>
    </row>
    <row r="99" spans="50:162">
      <c r="AX99" s="9" t="s">
        <v>77</v>
      </c>
      <c r="AY99" s="9" t="s">
        <v>77</v>
      </c>
      <c r="AZ99" s="9" t="s">
        <v>80</v>
      </c>
      <c r="BA99" s="9" t="s">
        <v>438</v>
      </c>
      <c r="BB99" s="9" t="s">
        <v>79</v>
      </c>
      <c r="BC99" s="9" t="s">
        <v>78</v>
      </c>
      <c r="BD99" s="9" t="s">
        <v>349</v>
      </c>
      <c r="BE99" s="9" t="s">
        <v>78</v>
      </c>
      <c r="BF99" s="9" t="s">
        <v>77</v>
      </c>
      <c r="BI99" s="9" t="s">
        <v>77</v>
      </c>
      <c r="BJ99" s="9" t="s">
        <v>80</v>
      </c>
      <c r="BK99" s="9" t="s">
        <v>348</v>
      </c>
      <c r="BL99" s="9" t="s">
        <v>659</v>
      </c>
      <c r="BM99" s="9" t="s">
        <v>80</v>
      </c>
      <c r="BN99" s="9" t="s">
        <v>348</v>
      </c>
      <c r="BO99" s="9" t="s">
        <v>659</v>
      </c>
      <c r="BP99" s="9" t="s">
        <v>77</v>
      </c>
      <c r="BQ99" s="9" t="s">
        <v>77</v>
      </c>
      <c r="BR99" s="9" t="s">
        <v>77</v>
      </c>
      <c r="BS99" s="9" t="s">
        <v>77</v>
      </c>
      <c r="BT99" s="9" t="s">
        <v>77</v>
      </c>
      <c r="BU99" s="9" t="s">
        <v>77</v>
      </c>
      <c r="BV99" s="9" t="s">
        <v>78</v>
      </c>
      <c r="BW99" s="9" t="s">
        <v>78</v>
      </c>
      <c r="BX99" s="9" t="s">
        <v>78</v>
      </c>
      <c r="CB99" s="9" t="s">
        <v>77</v>
      </c>
      <c r="CC99" s="9" t="s">
        <v>80</v>
      </c>
      <c r="CD99" s="9" t="s">
        <v>77</v>
      </c>
      <c r="CE99" s="9" t="s">
        <v>77</v>
      </c>
      <c r="CF99" s="9" t="s">
        <v>77</v>
      </c>
      <c r="CG99" s="9" t="s">
        <v>80</v>
      </c>
      <c r="CH99" s="9" t="s">
        <v>348</v>
      </c>
      <c r="CI99" s="9" t="s">
        <v>660</v>
      </c>
      <c r="CJ99" s="9" t="s">
        <v>80</v>
      </c>
      <c r="CK99" s="9" t="s">
        <v>348</v>
      </c>
      <c r="CL99" s="9" t="s">
        <v>660</v>
      </c>
      <c r="CM99" s="9" t="s">
        <v>77</v>
      </c>
      <c r="CN99" s="9" t="s">
        <v>77</v>
      </c>
      <c r="CO99" s="9" t="s">
        <v>78</v>
      </c>
      <c r="CS99" s="9" t="s">
        <v>80</v>
      </c>
      <c r="CT99" s="9" t="s">
        <v>348</v>
      </c>
      <c r="CU99" s="9" t="s">
        <v>659</v>
      </c>
      <c r="CV99" s="9" t="s">
        <v>80</v>
      </c>
      <c r="CW99" s="9" t="s">
        <v>348</v>
      </c>
      <c r="CX99" s="9" t="s">
        <v>659</v>
      </c>
      <c r="CY99" s="9" t="s">
        <v>77</v>
      </c>
      <c r="CZ99" s="9" t="s">
        <v>77</v>
      </c>
      <c r="DA99" s="9" t="s">
        <v>78</v>
      </c>
      <c r="DE99" s="9" t="s">
        <v>77</v>
      </c>
      <c r="DF99" s="9" t="s">
        <v>78</v>
      </c>
      <c r="DG99" s="9" t="s">
        <v>78</v>
      </c>
      <c r="DH99" s="9" t="s">
        <v>78</v>
      </c>
      <c r="DI99" s="9" t="s">
        <v>659</v>
      </c>
      <c r="DJ99" s="9" t="s">
        <v>77</v>
      </c>
      <c r="DK99" s="9" t="s">
        <v>77</v>
      </c>
      <c r="DN99" s="9" t="s">
        <v>77</v>
      </c>
      <c r="DO99" s="9" t="s">
        <v>77</v>
      </c>
      <c r="DP99" s="9" t="s">
        <v>80</v>
      </c>
      <c r="DQ99" s="9" t="s">
        <v>438</v>
      </c>
      <c r="DR99" s="9" t="s">
        <v>77</v>
      </c>
      <c r="DS99" s="9" t="s">
        <v>78</v>
      </c>
      <c r="DT99" s="9" t="s">
        <v>349</v>
      </c>
      <c r="DU99" s="9" t="s">
        <v>78</v>
      </c>
      <c r="DV99" s="9" t="s">
        <v>77</v>
      </c>
      <c r="DZ99" s="9" t="s">
        <v>77</v>
      </c>
      <c r="EA99" s="9" t="s">
        <v>77</v>
      </c>
      <c r="EB99" s="9" t="s">
        <v>80</v>
      </c>
      <c r="EC99" s="9" t="s">
        <v>438</v>
      </c>
      <c r="ED99" s="9" t="s">
        <v>77</v>
      </c>
      <c r="EE99" s="9" t="s">
        <v>78</v>
      </c>
      <c r="EF99" s="9" t="s">
        <v>349</v>
      </c>
      <c r="EG99" s="9" t="s">
        <v>78</v>
      </c>
      <c r="EH99" s="9" t="s">
        <v>77</v>
      </c>
      <c r="EL99" s="9" t="s">
        <v>77</v>
      </c>
      <c r="EM99" s="9" t="s">
        <v>77</v>
      </c>
      <c r="EN99" s="9" t="s">
        <v>80</v>
      </c>
      <c r="EO99" s="9" t="s">
        <v>438</v>
      </c>
      <c r="EP99" s="9" t="s">
        <v>77</v>
      </c>
      <c r="EQ99" s="9" t="s">
        <v>78</v>
      </c>
      <c r="ER99" s="9" t="s">
        <v>349</v>
      </c>
      <c r="ES99" s="9" t="s">
        <v>78</v>
      </c>
      <c r="ET99" s="9" t="s">
        <v>77</v>
      </c>
      <c r="EX99" s="9" t="s">
        <v>77</v>
      </c>
      <c r="EY99" s="9" t="s">
        <v>77</v>
      </c>
      <c r="EZ99" s="9" t="s">
        <v>80</v>
      </c>
      <c r="FA99" s="9" t="s">
        <v>438</v>
      </c>
      <c r="FB99" s="9" t="s">
        <v>77</v>
      </c>
      <c r="FC99" s="9" t="s">
        <v>78</v>
      </c>
      <c r="FD99" s="9" t="s">
        <v>349</v>
      </c>
      <c r="FE99" s="9" t="s">
        <v>78</v>
      </c>
      <c r="FF99" s="9" t="s">
        <v>77</v>
      </c>
    </row>
    <row r="100" spans="50:162">
      <c r="AX100" s="9" t="s">
        <v>77</v>
      </c>
      <c r="AY100" s="9" t="s">
        <v>77</v>
      </c>
      <c r="AZ100" s="9" t="s">
        <v>80</v>
      </c>
      <c r="BA100" s="9" t="s">
        <v>438</v>
      </c>
      <c r="BB100" s="9" t="s">
        <v>79</v>
      </c>
      <c r="BC100" s="9" t="s">
        <v>78</v>
      </c>
      <c r="BD100" s="9" t="s">
        <v>349</v>
      </c>
      <c r="BE100" s="9" t="s">
        <v>78</v>
      </c>
      <c r="BF100" s="9" t="s">
        <v>77</v>
      </c>
      <c r="BI100" s="9" t="s">
        <v>77</v>
      </c>
      <c r="BJ100" s="9" t="s">
        <v>80</v>
      </c>
      <c r="BK100" s="9" t="s">
        <v>348</v>
      </c>
      <c r="BL100" s="9" t="s">
        <v>661</v>
      </c>
      <c r="BM100" s="9" t="s">
        <v>80</v>
      </c>
      <c r="BN100" s="9" t="s">
        <v>348</v>
      </c>
      <c r="BO100" s="9" t="s">
        <v>661</v>
      </c>
      <c r="BP100" s="9" t="s">
        <v>77</v>
      </c>
      <c r="BQ100" s="9" t="s">
        <v>77</v>
      </c>
      <c r="BR100" s="9" t="s">
        <v>77</v>
      </c>
      <c r="BS100" s="9" t="s">
        <v>77</v>
      </c>
      <c r="BT100" s="9" t="s">
        <v>77</v>
      </c>
      <c r="BU100" s="9" t="s">
        <v>77</v>
      </c>
      <c r="BV100" s="9" t="s">
        <v>78</v>
      </c>
      <c r="BW100" s="9" t="s">
        <v>78</v>
      </c>
      <c r="BX100" s="9" t="s">
        <v>78</v>
      </c>
      <c r="CB100" s="9" t="s">
        <v>77</v>
      </c>
      <c r="CC100" s="9" t="s">
        <v>80</v>
      </c>
      <c r="CD100" s="9" t="s">
        <v>77</v>
      </c>
      <c r="CE100" s="9" t="s">
        <v>77</v>
      </c>
      <c r="CF100" s="9" t="s">
        <v>77</v>
      </c>
      <c r="CG100" s="9" t="s">
        <v>80</v>
      </c>
      <c r="CH100" s="9" t="s">
        <v>348</v>
      </c>
      <c r="CI100" s="9" t="s">
        <v>662</v>
      </c>
      <c r="CJ100" s="9" t="s">
        <v>80</v>
      </c>
      <c r="CK100" s="9" t="s">
        <v>348</v>
      </c>
      <c r="CL100" s="9" t="s">
        <v>662</v>
      </c>
      <c r="CM100" s="9" t="s">
        <v>77</v>
      </c>
      <c r="CN100" s="9" t="s">
        <v>77</v>
      </c>
      <c r="CO100" s="9" t="s">
        <v>78</v>
      </c>
      <c r="CS100" s="9" t="s">
        <v>80</v>
      </c>
      <c r="CT100" s="9" t="s">
        <v>348</v>
      </c>
      <c r="CU100" s="9" t="s">
        <v>662</v>
      </c>
      <c r="CV100" s="9" t="s">
        <v>80</v>
      </c>
      <c r="CW100" s="9" t="s">
        <v>348</v>
      </c>
      <c r="CX100" s="9" t="s">
        <v>662</v>
      </c>
      <c r="CY100" s="9" t="s">
        <v>77</v>
      </c>
      <c r="CZ100" s="9" t="s">
        <v>77</v>
      </c>
      <c r="DA100" s="9" t="s">
        <v>78</v>
      </c>
      <c r="DE100" s="9" t="s">
        <v>77</v>
      </c>
      <c r="DF100" s="9" t="s">
        <v>78</v>
      </c>
      <c r="DG100" s="9" t="s">
        <v>78</v>
      </c>
      <c r="DH100" s="9" t="s">
        <v>78</v>
      </c>
      <c r="DI100" s="9" t="s">
        <v>661</v>
      </c>
      <c r="DJ100" s="9" t="s">
        <v>77</v>
      </c>
      <c r="DK100" s="9" t="s">
        <v>77</v>
      </c>
      <c r="DN100" s="9" t="s">
        <v>77</v>
      </c>
      <c r="DO100" s="9" t="s">
        <v>77</v>
      </c>
      <c r="DP100" s="9" t="s">
        <v>80</v>
      </c>
      <c r="DQ100" s="9" t="s">
        <v>438</v>
      </c>
      <c r="DR100" s="9" t="s">
        <v>77</v>
      </c>
      <c r="DS100" s="9" t="s">
        <v>78</v>
      </c>
      <c r="DT100" s="9" t="s">
        <v>349</v>
      </c>
      <c r="DU100" s="9" t="s">
        <v>78</v>
      </c>
      <c r="DV100" s="9" t="s">
        <v>77</v>
      </c>
      <c r="DZ100" s="9" t="s">
        <v>77</v>
      </c>
      <c r="EA100" s="9" t="s">
        <v>77</v>
      </c>
      <c r="EB100" s="9" t="s">
        <v>80</v>
      </c>
      <c r="EC100" s="9" t="s">
        <v>438</v>
      </c>
      <c r="ED100" s="9" t="s">
        <v>77</v>
      </c>
      <c r="EE100" s="9" t="s">
        <v>78</v>
      </c>
      <c r="EF100" s="9" t="s">
        <v>349</v>
      </c>
      <c r="EG100" s="9" t="s">
        <v>78</v>
      </c>
      <c r="EH100" s="9" t="s">
        <v>77</v>
      </c>
      <c r="EL100" s="9" t="s">
        <v>77</v>
      </c>
      <c r="EM100" s="9" t="s">
        <v>77</v>
      </c>
      <c r="EN100" s="9" t="s">
        <v>80</v>
      </c>
      <c r="EO100" s="9" t="s">
        <v>438</v>
      </c>
      <c r="EP100" s="9" t="s">
        <v>77</v>
      </c>
      <c r="EQ100" s="9" t="s">
        <v>78</v>
      </c>
      <c r="ER100" s="9" t="s">
        <v>349</v>
      </c>
      <c r="ES100" s="9" t="s">
        <v>78</v>
      </c>
      <c r="ET100" s="9" t="s">
        <v>77</v>
      </c>
      <c r="EX100" s="9" t="s">
        <v>77</v>
      </c>
      <c r="EY100" s="9" t="s">
        <v>77</v>
      </c>
      <c r="EZ100" s="9" t="s">
        <v>80</v>
      </c>
      <c r="FA100" s="9" t="s">
        <v>438</v>
      </c>
      <c r="FB100" s="9" t="s">
        <v>77</v>
      </c>
      <c r="FC100" s="9" t="s">
        <v>78</v>
      </c>
      <c r="FD100" s="9" t="s">
        <v>349</v>
      </c>
      <c r="FE100" s="9" t="s">
        <v>78</v>
      </c>
      <c r="FF100" s="9" t="s">
        <v>77</v>
      </c>
    </row>
    <row r="101" spans="50:162">
      <c r="AX101" s="9" t="s">
        <v>77</v>
      </c>
      <c r="AY101" s="9" t="s">
        <v>77</v>
      </c>
      <c r="AZ101" s="9" t="s">
        <v>80</v>
      </c>
      <c r="BA101" s="9" t="s">
        <v>438</v>
      </c>
      <c r="BB101" s="9" t="s">
        <v>79</v>
      </c>
      <c r="BC101" s="9" t="s">
        <v>78</v>
      </c>
      <c r="BD101" s="9" t="s">
        <v>349</v>
      </c>
      <c r="BE101" s="9" t="s">
        <v>78</v>
      </c>
      <c r="BF101" s="9" t="s">
        <v>77</v>
      </c>
      <c r="BI101" s="9" t="s">
        <v>77</v>
      </c>
      <c r="BJ101" s="9" t="s">
        <v>80</v>
      </c>
      <c r="BK101" s="9" t="s">
        <v>348</v>
      </c>
      <c r="BL101" s="9" t="s">
        <v>663</v>
      </c>
      <c r="BM101" s="9" t="s">
        <v>80</v>
      </c>
      <c r="BN101" s="9" t="s">
        <v>348</v>
      </c>
      <c r="BO101" s="9" t="s">
        <v>663</v>
      </c>
      <c r="BP101" s="9" t="s">
        <v>77</v>
      </c>
      <c r="BQ101" s="9" t="s">
        <v>77</v>
      </c>
      <c r="BR101" s="9" t="s">
        <v>77</v>
      </c>
      <c r="BS101" s="9" t="s">
        <v>77</v>
      </c>
      <c r="BT101" s="9" t="s">
        <v>77</v>
      </c>
      <c r="BU101" s="9" t="s">
        <v>77</v>
      </c>
      <c r="BV101" s="9" t="s">
        <v>78</v>
      </c>
      <c r="BW101" s="9" t="s">
        <v>78</v>
      </c>
      <c r="BX101" s="9" t="s">
        <v>78</v>
      </c>
      <c r="CB101" s="9" t="s">
        <v>77</v>
      </c>
      <c r="CC101" s="9" t="s">
        <v>80</v>
      </c>
      <c r="CD101" s="9" t="s">
        <v>77</v>
      </c>
      <c r="CE101" s="9" t="s">
        <v>77</v>
      </c>
      <c r="CF101" s="9" t="s">
        <v>77</v>
      </c>
      <c r="CG101" s="9" t="s">
        <v>80</v>
      </c>
      <c r="CH101" s="9" t="s">
        <v>348</v>
      </c>
      <c r="CI101" s="9" t="s">
        <v>663</v>
      </c>
      <c r="CJ101" s="9" t="s">
        <v>80</v>
      </c>
      <c r="CK101" s="9" t="s">
        <v>348</v>
      </c>
      <c r="CL101" s="9" t="s">
        <v>663</v>
      </c>
      <c r="CM101" s="9" t="s">
        <v>77</v>
      </c>
      <c r="CN101" s="9" t="s">
        <v>77</v>
      </c>
      <c r="CO101" s="9" t="s">
        <v>78</v>
      </c>
      <c r="CS101" s="9" t="s">
        <v>80</v>
      </c>
      <c r="CT101" s="9" t="s">
        <v>348</v>
      </c>
      <c r="CU101" s="9" t="s">
        <v>663</v>
      </c>
      <c r="CV101" s="9" t="s">
        <v>80</v>
      </c>
      <c r="CW101" s="9" t="s">
        <v>348</v>
      </c>
      <c r="CX101" s="9" t="s">
        <v>663</v>
      </c>
      <c r="CY101" s="9" t="s">
        <v>77</v>
      </c>
      <c r="CZ101" s="9" t="s">
        <v>77</v>
      </c>
      <c r="DA101" s="9" t="s">
        <v>78</v>
      </c>
      <c r="DE101" s="9" t="s">
        <v>77</v>
      </c>
      <c r="DF101" s="9" t="s">
        <v>78</v>
      </c>
      <c r="DG101" s="9" t="s">
        <v>78</v>
      </c>
      <c r="DH101" s="9" t="s">
        <v>78</v>
      </c>
      <c r="DI101" s="9" t="s">
        <v>664</v>
      </c>
      <c r="DJ101" s="9" t="s">
        <v>77</v>
      </c>
      <c r="DK101" s="9" t="s">
        <v>77</v>
      </c>
      <c r="DN101" s="9" t="s">
        <v>77</v>
      </c>
      <c r="DO101" s="9" t="s">
        <v>77</v>
      </c>
      <c r="DP101" s="9" t="s">
        <v>80</v>
      </c>
      <c r="DQ101" s="9" t="s">
        <v>438</v>
      </c>
      <c r="DR101" s="9" t="s">
        <v>77</v>
      </c>
      <c r="DS101" s="9" t="s">
        <v>78</v>
      </c>
      <c r="DT101" s="9" t="s">
        <v>349</v>
      </c>
      <c r="DU101" s="9" t="s">
        <v>78</v>
      </c>
      <c r="DV101" s="9" t="s">
        <v>77</v>
      </c>
      <c r="DZ101" s="9" t="s">
        <v>77</v>
      </c>
      <c r="EA101" s="9" t="s">
        <v>77</v>
      </c>
      <c r="EB101" s="9" t="s">
        <v>80</v>
      </c>
      <c r="EC101" s="9" t="s">
        <v>438</v>
      </c>
      <c r="ED101" s="9" t="s">
        <v>77</v>
      </c>
      <c r="EE101" s="9" t="s">
        <v>78</v>
      </c>
      <c r="EF101" s="9" t="s">
        <v>349</v>
      </c>
      <c r="EG101" s="9" t="s">
        <v>78</v>
      </c>
      <c r="EH101" s="9" t="s">
        <v>77</v>
      </c>
      <c r="EL101" s="9" t="s">
        <v>77</v>
      </c>
      <c r="EM101" s="9" t="s">
        <v>77</v>
      </c>
      <c r="EN101" s="9" t="s">
        <v>80</v>
      </c>
      <c r="EO101" s="9" t="s">
        <v>438</v>
      </c>
      <c r="EP101" s="9" t="s">
        <v>77</v>
      </c>
      <c r="EQ101" s="9" t="s">
        <v>78</v>
      </c>
      <c r="ER101" s="9" t="s">
        <v>349</v>
      </c>
      <c r="ES101" s="9" t="s">
        <v>78</v>
      </c>
      <c r="ET101" s="9" t="s">
        <v>77</v>
      </c>
      <c r="EX101" s="9" t="s">
        <v>77</v>
      </c>
      <c r="EY101" s="9" t="s">
        <v>77</v>
      </c>
      <c r="EZ101" s="9" t="s">
        <v>80</v>
      </c>
      <c r="FA101" s="9" t="s">
        <v>438</v>
      </c>
      <c r="FB101" s="9" t="s">
        <v>77</v>
      </c>
      <c r="FC101" s="9" t="s">
        <v>78</v>
      </c>
      <c r="FD101" s="9" t="s">
        <v>349</v>
      </c>
      <c r="FE101" s="9" t="s">
        <v>78</v>
      </c>
      <c r="FF101" s="9" t="s">
        <v>77</v>
      </c>
    </row>
    <row r="102" spans="50:162">
      <c r="AX102" s="9" t="s">
        <v>77</v>
      </c>
      <c r="AY102" s="9" t="s">
        <v>77</v>
      </c>
      <c r="AZ102" s="9" t="s">
        <v>80</v>
      </c>
      <c r="BA102" s="9" t="s">
        <v>438</v>
      </c>
      <c r="BB102" s="9" t="s">
        <v>79</v>
      </c>
      <c r="BC102" s="9" t="s">
        <v>78</v>
      </c>
      <c r="BD102" s="9" t="s">
        <v>349</v>
      </c>
      <c r="BE102" s="9" t="s">
        <v>78</v>
      </c>
      <c r="BF102" s="9" t="s">
        <v>77</v>
      </c>
      <c r="BI102" s="9" t="s">
        <v>77</v>
      </c>
      <c r="BJ102" s="9" t="s">
        <v>80</v>
      </c>
      <c r="BK102" s="9" t="s">
        <v>348</v>
      </c>
      <c r="BL102" s="9" t="s">
        <v>665</v>
      </c>
      <c r="BM102" s="9" t="s">
        <v>80</v>
      </c>
      <c r="BN102" s="9" t="s">
        <v>348</v>
      </c>
      <c r="BO102" s="9" t="s">
        <v>665</v>
      </c>
      <c r="BP102" s="9" t="s">
        <v>77</v>
      </c>
      <c r="BQ102" s="9" t="s">
        <v>77</v>
      </c>
      <c r="BR102" s="9" t="s">
        <v>77</v>
      </c>
      <c r="BS102" s="9" t="s">
        <v>77</v>
      </c>
      <c r="BT102" s="9" t="s">
        <v>77</v>
      </c>
      <c r="BU102" s="9" t="s">
        <v>77</v>
      </c>
      <c r="BV102" s="9" t="s">
        <v>78</v>
      </c>
      <c r="BW102" s="9" t="s">
        <v>78</v>
      </c>
      <c r="BX102" s="9" t="s">
        <v>78</v>
      </c>
      <c r="CB102" s="9" t="s">
        <v>77</v>
      </c>
      <c r="CC102" s="9" t="s">
        <v>80</v>
      </c>
      <c r="CD102" s="9" t="s">
        <v>77</v>
      </c>
      <c r="CE102" s="9" t="s">
        <v>77</v>
      </c>
      <c r="CF102" s="9" t="s">
        <v>77</v>
      </c>
      <c r="CG102" s="9" t="s">
        <v>80</v>
      </c>
      <c r="CH102" s="9" t="s">
        <v>348</v>
      </c>
      <c r="CI102" s="9" t="s">
        <v>665</v>
      </c>
      <c r="CJ102" s="9" t="s">
        <v>80</v>
      </c>
      <c r="CK102" s="9" t="s">
        <v>348</v>
      </c>
      <c r="CL102" s="9" t="s">
        <v>665</v>
      </c>
      <c r="CM102" s="9" t="s">
        <v>77</v>
      </c>
      <c r="CN102" s="9" t="s">
        <v>77</v>
      </c>
      <c r="CO102" s="9" t="s">
        <v>78</v>
      </c>
      <c r="CS102" s="9" t="s">
        <v>80</v>
      </c>
      <c r="CT102" s="9" t="s">
        <v>348</v>
      </c>
      <c r="CU102" s="9" t="s">
        <v>665</v>
      </c>
      <c r="CV102" s="9" t="s">
        <v>80</v>
      </c>
      <c r="CW102" s="9" t="s">
        <v>348</v>
      </c>
      <c r="CX102" s="9" t="s">
        <v>665</v>
      </c>
      <c r="CY102" s="9" t="s">
        <v>77</v>
      </c>
      <c r="CZ102" s="9" t="s">
        <v>77</v>
      </c>
      <c r="DA102" s="9" t="s">
        <v>78</v>
      </c>
      <c r="DE102" s="9" t="s">
        <v>77</v>
      </c>
      <c r="DF102" s="9" t="s">
        <v>78</v>
      </c>
      <c r="DG102" s="9" t="s">
        <v>78</v>
      </c>
      <c r="DH102" s="9" t="s">
        <v>78</v>
      </c>
      <c r="DI102" s="9" t="s">
        <v>666</v>
      </c>
      <c r="DJ102" s="9" t="s">
        <v>77</v>
      </c>
      <c r="DK102" s="9" t="s">
        <v>77</v>
      </c>
      <c r="DN102" s="9" t="s">
        <v>77</v>
      </c>
      <c r="DO102" s="9" t="s">
        <v>77</v>
      </c>
      <c r="DP102" s="9" t="s">
        <v>80</v>
      </c>
      <c r="DQ102" s="9" t="s">
        <v>438</v>
      </c>
      <c r="DR102" s="9" t="s">
        <v>77</v>
      </c>
      <c r="DS102" s="9" t="s">
        <v>78</v>
      </c>
      <c r="DT102" s="9" t="s">
        <v>349</v>
      </c>
      <c r="DU102" s="9" t="s">
        <v>78</v>
      </c>
      <c r="DV102" s="9" t="s">
        <v>77</v>
      </c>
      <c r="DZ102" s="9" t="s">
        <v>77</v>
      </c>
      <c r="EA102" s="9" t="s">
        <v>77</v>
      </c>
      <c r="EB102" s="9" t="s">
        <v>80</v>
      </c>
      <c r="EC102" s="9" t="s">
        <v>438</v>
      </c>
      <c r="ED102" s="9" t="s">
        <v>77</v>
      </c>
      <c r="EE102" s="9" t="s">
        <v>78</v>
      </c>
      <c r="EF102" s="9" t="s">
        <v>349</v>
      </c>
      <c r="EG102" s="9" t="s">
        <v>78</v>
      </c>
      <c r="EH102" s="9" t="s">
        <v>77</v>
      </c>
      <c r="EL102" s="9" t="s">
        <v>77</v>
      </c>
      <c r="EM102" s="9" t="s">
        <v>77</v>
      </c>
      <c r="EN102" s="9" t="s">
        <v>80</v>
      </c>
      <c r="EO102" s="9" t="s">
        <v>438</v>
      </c>
      <c r="EP102" s="9" t="s">
        <v>77</v>
      </c>
      <c r="EQ102" s="9" t="s">
        <v>78</v>
      </c>
      <c r="ER102" s="9" t="s">
        <v>349</v>
      </c>
      <c r="ES102" s="9" t="s">
        <v>78</v>
      </c>
      <c r="ET102" s="9" t="s">
        <v>77</v>
      </c>
      <c r="EX102" s="9" t="s">
        <v>77</v>
      </c>
      <c r="EY102" s="9" t="s">
        <v>77</v>
      </c>
      <c r="EZ102" s="9" t="s">
        <v>80</v>
      </c>
      <c r="FA102" s="9" t="s">
        <v>438</v>
      </c>
      <c r="FB102" s="9" t="s">
        <v>77</v>
      </c>
      <c r="FC102" s="9" t="s">
        <v>78</v>
      </c>
      <c r="FD102" s="9" t="s">
        <v>349</v>
      </c>
      <c r="FE102" s="9" t="s">
        <v>78</v>
      </c>
      <c r="FF102" s="9" t="s">
        <v>77</v>
      </c>
    </row>
    <row r="103" spans="50:162">
      <c r="AX103" s="9" t="s">
        <v>77</v>
      </c>
      <c r="AY103" s="9" t="s">
        <v>77</v>
      </c>
      <c r="AZ103" s="9" t="s">
        <v>80</v>
      </c>
      <c r="BA103" s="9" t="s">
        <v>438</v>
      </c>
      <c r="BB103" s="9" t="s">
        <v>79</v>
      </c>
      <c r="BC103" s="9" t="s">
        <v>78</v>
      </c>
      <c r="BD103" s="9" t="s">
        <v>349</v>
      </c>
      <c r="BE103" s="9" t="s">
        <v>78</v>
      </c>
      <c r="BF103" s="9" t="s">
        <v>77</v>
      </c>
      <c r="BI103" s="9" t="s">
        <v>77</v>
      </c>
      <c r="BJ103" s="9" t="s">
        <v>80</v>
      </c>
      <c r="BK103" s="9" t="s">
        <v>348</v>
      </c>
      <c r="BL103" s="9" t="s">
        <v>667</v>
      </c>
      <c r="BM103" s="9" t="s">
        <v>80</v>
      </c>
      <c r="BN103" s="9" t="s">
        <v>348</v>
      </c>
      <c r="BO103" s="9" t="s">
        <v>667</v>
      </c>
      <c r="BP103" s="9" t="s">
        <v>77</v>
      </c>
      <c r="BQ103" s="9" t="s">
        <v>77</v>
      </c>
      <c r="BR103" s="9" t="s">
        <v>77</v>
      </c>
      <c r="BS103" s="9" t="s">
        <v>77</v>
      </c>
      <c r="BT103" s="9" t="s">
        <v>77</v>
      </c>
      <c r="BU103" s="9" t="s">
        <v>77</v>
      </c>
      <c r="BV103" s="9" t="s">
        <v>78</v>
      </c>
      <c r="BW103" s="9" t="s">
        <v>78</v>
      </c>
      <c r="BX103" s="9" t="s">
        <v>78</v>
      </c>
      <c r="CB103" s="9" t="s">
        <v>77</v>
      </c>
      <c r="CC103" s="9" t="s">
        <v>80</v>
      </c>
      <c r="CD103" s="9" t="s">
        <v>77</v>
      </c>
      <c r="CE103" s="9" t="s">
        <v>77</v>
      </c>
      <c r="CF103" s="9" t="s">
        <v>77</v>
      </c>
      <c r="CG103" s="9" t="s">
        <v>80</v>
      </c>
      <c r="CH103" s="9" t="s">
        <v>348</v>
      </c>
      <c r="CI103" s="9" t="s">
        <v>668</v>
      </c>
      <c r="CJ103" s="9" t="s">
        <v>80</v>
      </c>
      <c r="CK103" s="9" t="s">
        <v>348</v>
      </c>
      <c r="CL103" s="9" t="s">
        <v>668</v>
      </c>
      <c r="CM103" s="9" t="s">
        <v>77</v>
      </c>
      <c r="CN103" s="9" t="s">
        <v>77</v>
      </c>
      <c r="CO103" s="9" t="s">
        <v>78</v>
      </c>
      <c r="CS103" s="9" t="s">
        <v>80</v>
      </c>
      <c r="CT103" s="9" t="s">
        <v>348</v>
      </c>
      <c r="CU103" s="9" t="s">
        <v>668</v>
      </c>
      <c r="CV103" s="9" t="s">
        <v>80</v>
      </c>
      <c r="CW103" s="9" t="s">
        <v>348</v>
      </c>
      <c r="CX103" s="9" t="s">
        <v>668</v>
      </c>
      <c r="CY103" s="9" t="s">
        <v>77</v>
      </c>
      <c r="CZ103" s="9" t="s">
        <v>77</v>
      </c>
      <c r="DA103" s="9" t="s">
        <v>78</v>
      </c>
      <c r="DE103" s="9" t="s">
        <v>77</v>
      </c>
      <c r="DF103" s="9" t="s">
        <v>78</v>
      </c>
      <c r="DG103" s="9" t="s">
        <v>78</v>
      </c>
      <c r="DH103" s="9" t="s">
        <v>78</v>
      </c>
      <c r="DI103" s="9" t="s">
        <v>667</v>
      </c>
      <c r="DJ103" s="9" t="s">
        <v>77</v>
      </c>
      <c r="DK103" s="9" t="s">
        <v>77</v>
      </c>
      <c r="DN103" s="9" t="s">
        <v>77</v>
      </c>
      <c r="DO103" s="9" t="s">
        <v>77</v>
      </c>
      <c r="DP103" s="9" t="s">
        <v>80</v>
      </c>
      <c r="DQ103" s="9" t="s">
        <v>438</v>
      </c>
      <c r="DR103" s="9" t="s">
        <v>77</v>
      </c>
      <c r="DS103" s="9" t="s">
        <v>78</v>
      </c>
      <c r="DT103" s="9" t="s">
        <v>349</v>
      </c>
      <c r="DU103" s="9" t="s">
        <v>78</v>
      </c>
      <c r="DV103" s="9" t="s">
        <v>77</v>
      </c>
      <c r="DZ103" s="9" t="s">
        <v>77</v>
      </c>
      <c r="EA103" s="9" t="s">
        <v>77</v>
      </c>
      <c r="EB103" s="9" t="s">
        <v>80</v>
      </c>
      <c r="EC103" s="9" t="s">
        <v>438</v>
      </c>
      <c r="ED103" s="9" t="s">
        <v>77</v>
      </c>
      <c r="EE103" s="9" t="s">
        <v>78</v>
      </c>
      <c r="EF103" s="9" t="s">
        <v>349</v>
      </c>
      <c r="EG103" s="9" t="s">
        <v>78</v>
      </c>
      <c r="EH103" s="9" t="s">
        <v>77</v>
      </c>
      <c r="EL103" s="9" t="s">
        <v>77</v>
      </c>
      <c r="EM103" s="9" t="s">
        <v>77</v>
      </c>
      <c r="EN103" s="9" t="s">
        <v>80</v>
      </c>
      <c r="EO103" s="9" t="s">
        <v>438</v>
      </c>
      <c r="EP103" s="9" t="s">
        <v>77</v>
      </c>
      <c r="EQ103" s="9" t="s">
        <v>78</v>
      </c>
      <c r="ER103" s="9" t="s">
        <v>349</v>
      </c>
      <c r="ES103" s="9" t="s">
        <v>78</v>
      </c>
      <c r="ET103" s="9" t="s">
        <v>77</v>
      </c>
      <c r="EX103" s="9" t="s">
        <v>77</v>
      </c>
      <c r="EY103" s="9" t="s">
        <v>77</v>
      </c>
      <c r="EZ103" s="9" t="s">
        <v>80</v>
      </c>
      <c r="FA103" s="9" t="s">
        <v>438</v>
      </c>
      <c r="FB103" s="9" t="s">
        <v>77</v>
      </c>
      <c r="FC103" s="9" t="s">
        <v>78</v>
      </c>
      <c r="FD103" s="9" t="s">
        <v>349</v>
      </c>
      <c r="FE103" s="9" t="s">
        <v>78</v>
      </c>
      <c r="FF103" s="9" t="s">
        <v>77</v>
      </c>
    </row>
    <row r="104" spans="50:162">
      <c r="AX104" s="9" t="s">
        <v>77</v>
      </c>
      <c r="AY104" s="9" t="s">
        <v>77</v>
      </c>
      <c r="AZ104" s="9" t="s">
        <v>80</v>
      </c>
      <c r="BA104" s="9" t="s">
        <v>438</v>
      </c>
      <c r="BB104" s="9" t="s">
        <v>79</v>
      </c>
      <c r="BC104" s="9" t="s">
        <v>78</v>
      </c>
      <c r="BD104" s="9" t="s">
        <v>349</v>
      </c>
      <c r="BE104" s="9" t="s">
        <v>78</v>
      </c>
      <c r="BF104" s="9" t="s">
        <v>77</v>
      </c>
      <c r="BI104" s="9" t="s">
        <v>77</v>
      </c>
      <c r="BJ104" s="9" t="s">
        <v>80</v>
      </c>
      <c r="BK104" s="9" t="s">
        <v>348</v>
      </c>
      <c r="BL104" s="9" t="s">
        <v>669</v>
      </c>
      <c r="BM104" s="9" t="s">
        <v>80</v>
      </c>
      <c r="BN104" s="9" t="s">
        <v>348</v>
      </c>
      <c r="BO104" s="9" t="s">
        <v>669</v>
      </c>
      <c r="BP104" s="9" t="s">
        <v>77</v>
      </c>
      <c r="BQ104" s="9" t="s">
        <v>77</v>
      </c>
      <c r="BR104" s="9" t="s">
        <v>77</v>
      </c>
      <c r="BS104" s="9" t="s">
        <v>77</v>
      </c>
      <c r="BT104" s="9" t="s">
        <v>77</v>
      </c>
      <c r="BU104" s="9" t="s">
        <v>77</v>
      </c>
      <c r="BV104" s="9" t="s">
        <v>78</v>
      </c>
      <c r="BW104" s="9" t="s">
        <v>78</v>
      </c>
      <c r="BX104" s="9" t="s">
        <v>78</v>
      </c>
      <c r="CB104" s="9" t="s">
        <v>77</v>
      </c>
      <c r="CC104" s="9" t="s">
        <v>80</v>
      </c>
      <c r="CD104" s="9" t="s">
        <v>77</v>
      </c>
      <c r="CE104" s="9" t="s">
        <v>77</v>
      </c>
      <c r="CF104" s="9" t="s">
        <v>77</v>
      </c>
      <c r="CG104" s="9" t="s">
        <v>80</v>
      </c>
      <c r="CH104" s="9" t="s">
        <v>348</v>
      </c>
      <c r="CI104" s="9" t="s">
        <v>670</v>
      </c>
      <c r="CJ104" s="9" t="s">
        <v>80</v>
      </c>
      <c r="CK104" s="9" t="s">
        <v>348</v>
      </c>
      <c r="CL104" s="9" t="s">
        <v>670</v>
      </c>
      <c r="CM104" s="9" t="s">
        <v>77</v>
      </c>
      <c r="CN104" s="9" t="s">
        <v>77</v>
      </c>
      <c r="CO104" s="9" t="s">
        <v>78</v>
      </c>
      <c r="CS104" s="9" t="s">
        <v>80</v>
      </c>
      <c r="CT104" s="9" t="s">
        <v>348</v>
      </c>
      <c r="CU104" s="9" t="s">
        <v>669</v>
      </c>
      <c r="CV104" s="9" t="s">
        <v>80</v>
      </c>
      <c r="CW104" s="9" t="s">
        <v>348</v>
      </c>
      <c r="CX104" s="9" t="s">
        <v>669</v>
      </c>
      <c r="CY104" s="9" t="s">
        <v>77</v>
      </c>
      <c r="CZ104" s="9" t="s">
        <v>77</v>
      </c>
      <c r="DA104" s="9" t="s">
        <v>78</v>
      </c>
      <c r="DE104" s="9" t="s">
        <v>77</v>
      </c>
      <c r="DF104" s="9" t="s">
        <v>78</v>
      </c>
      <c r="DG104" s="9" t="s">
        <v>78</v>
      </c>
      <c r="DH104" s="9" t="s">
        <v>78</v>
      </c>
      <c r="DI104" s="9" t="s">
        <v>671</v>
      </c>
      <c r="DJ104" s="9" t="s">
        <v>77</v>
      </c>
      <c r="DK104" s="9" t="s">
        <v>77</v>
      </c>
      <c r="DN104" s="9" t="s">
        <v>77</v>
      </c>
      <c r="DO104" s="9" t="s">
        <v>77</v>
      </c>
      <c r="DP104" s="9" t="s">
        <v>80</v>
      </c>
      <c r="DQ104" s="9" t="s">
        <v>438</v>
      </c>
      <c r="DR104" s="9" t="s">
        <v>77</v>
      </c>
      <c r="DS104" s="9" t="s">
        <v>78</v>
      </c>
      <c r="DT104" s="9" t="s">
        <v>349</v>
      </c>
      <c r="DU104" s="9" t="s">
        <v>78</v>
      </c>
      <c r="DV104" s="9" t="s">
        <v>77</v>
      </c>
      <c r="DZ104" s="9" t="s">
        <v>77</v>
      </c>
      <c r="EA104" s="9" t="s">
        <v>77</v>
      </c>
      <c r="EB104" s="9" t="s">
        <v>80</v>
      </c>
      <c r="EC104" s="9" t="s">
        <v>438</v>
      </c>
      <c r="ED104" s="9" t="s">
        <v>77</v>
      </c>
      <c r="EE104" s="9" t="s">
        <v>78</v>
      </c>
      <c r="EF104" s="9" t="s">
        <v>349</v>
      </c>
      <c r="EG104" s="9" t="s">
        <v>78</v>
      </c>
      <c r="EH104" s="9" t="s">
        <v>77</v>
      </c>
      <c r="EL104" s="9" t="s">
        <v>77</v>
      </c>
      <c r="EM104" s="9" t="s">
        <v>77</v>
      </c>
      <c r="EN104" s="9" t="s">
        <v>80</v>
      </c>
      <c r="EO104" s="9" t="s">
        <v>438</v>
      </c>
      <c r="EP104" s="9" t="s">
        <v>77</v>
      </c>
      <c r="EQ104" s="9" t="s">
        <v>78</v>
      </c>
      <c r="ER104" s="9" t="s">
        <v>349</v>
      </c>
      <c r="ES104" s="9" t="s">
        <v>78</v>
      </c>
      <c r="ET104" s="9" t="s">
        <v>77</v>
      </c>
      <c r="EX104" s="9" t="s">
        <v>77</v>
      </c>
      <c r="EY104" s="9" t="s">
        <v>77</v>
      </c>
      <c r="EZ104" s="9" t="s">
        <v>80</v>
      </c>
      <c r="FA104" s="9" t="s">
        <v>438</v>
      </c>
      <c r="FB104" s="9" t="s">
        <v>77</v>
      </c>
      <c r="FC104" s="9" t="s">
        <v>78</v>
      </c>
      <c r="FD104" s="9" t="s">
        <v>349</v>
      </c>
      <c r="FE104" s="9" t="s">
        <v>78</v>
      </c>
      <c r="FF104" s="9" t="s">
        <v>77</v>
      </c>
    </row>
    <row r="105" spans="50:162">
      <c r="AX105" s="9" t="s">
        <v>77</v>
      </c>
      <c r="AY105" s="9" t="s">
        <v>77</v>
      </c>
      <c r="AZ105" s="9" t="s">
        <v>80</v>
      </c>
      <c r="BA105" s="9" t="s">
        <v>438</v>
      </c>
      <c r="BB105" s="9" t="s">
        <v>79</v>
      </c>
      <c r="BC105" s="9" t="s">
        <v>78</v>
      </c>
      <c r="BD105" s="9" t="s">
        <v>349</v>
      </c>
      <c r="BE105" s="9" t="s">
        <v>78</v>
      </c>
      <c r="BF105" s="9" t="s">
        <v>77</v>
      </c>
      <c r="BI105" s="9" t="s">
        <v>77</v>
      </c>
      <c r="BJ105" s="9" t="s">
        <v>80</v>
      </c>
      <c r="BK105" s="9" t="s">
        <v>348</v>
      </c>
      <c r="BL105" s="9" t="s">
        <v>672</v>
      </c>
      <c r="BM105" s="9" t="s">
        <v>80</v>
      </c>
      <c r="BN105" s="9" t="s">
        <v>348</v>
      </c>
      <c r="BO105" s="9" t="s">
        <v>672</v>
      </c>
      <c r="BP105" s="9" t="s">
        <v>77</v>
      </c>
      <c r="BQ105" s="9" t="s">
        <v>77</v>
      </c>
      <c r="BR105" s="9" t="s">
        <v>77</v>
      </c>
      <c r="BS105" s="9" t="s">
        <v>77</v>
      </c>
      <c r="BT105" s="9" t="s">
        <v>77</v>
      </c>
      <c r="BU105" s="9" t="s">
        <v>77</v>
      </c>
      <c r="BV105" s="9" t="s">
        <v>78</v>
      </c>
      <c r="BW105" s="9" t="s">
        <v>78</v>
      </c>
      <c r="BX105" s="9" t="s">
        <v>78</v>
      </c>
      <c r="CB105" s="9" t="s">
        <v>77</v>
      </c>
      <c r="CC105" s="9" t="s">
        <v>80</v>
      </c>
      <c r="CD105" s="9" t="s">
        <v>77</v>
      </c>
      <c r="CE105" s="9" t="s">
        <v>77</v>
      </c>
      <c r="CF105" s="9" t="s">
        <v>77</v>
      </c>
      <c r="CG105" s="9" t="s">
        <v>80</v>
      </c>
      <c r="CH105" s="9" t="s">
        <v>348</v>
      </c>
      <c r="CI105" s="9" t="s">
        <v>673</v>
      </c>
      <c r="CJ105" s="9" t="s">
        <v>80</v>
      </c>
      <c r="CK105" s="9" t="s">
        <v>348</v>
      </c>
      <c r="CL105" s="9" t="s">
        <v>673</v>
      </c>
      <c r="CM105" s="9" t="s">
        <v>77</v>
      </c>
      <c r="CN105" s="9" t="s">
        <v>77</v>
      </c>
      <c r="CO105" s="9" t="s">
        <v>78</v>
      </c>
      <c r="CS105" s="9" t="s">
        <v>80</v>
      </c>
      <c r="CT105" s="9" t="s">
        <v>348</v>
      </c>
      <c r="CU105" s="9" t="s">
        <v>672</v>
      </c>
      <c r="CV105" s="9" t="s">
        <v>80</v>
      </c>
      <c r="CW105" s="9" t="s">
        <v>348</v>
      </c>
      <c r="CX105" s="9" t="s">
        <v>672</v>
      </c>
      <c r="CY105" s="9" t="s">
        <v>77</v>
      </c>
      <c r="CZ105" s="9" t="s">
        <v>77</v>
      </c>
      <c r="DA105" s="9" t="s">
        <v>78</v>
      </c>
      <c r="DE105" s="9" t="s">
        <v>77</v>
      </c>
      <c r="DF105" s="9" t="s">
        <v>78</v>
      </c>
      <c r="DG105" s="9" t="s">
        <v>78</v>
      </c>
      <c r="DH105" s="9" t="s">
        <v>78</v>
      </c>
      <c r="DI105" s="9" t="s">
        <v>672</v>
      </c>
      <c r="DJ105" s="9" t="s">
        <v>77</v>
      </c>
      <c r="DK105" s="9" t="s">
        <v>77</v>
      </c>
      <c r="DN105" s="9" t="s">
        <v>77</v>
      </c>
      <c r="DO105" s="9" t="s">
        <v>77</v>
      </c>
      <c r="DP105" s="9" t="s">
        <v>80</v>
      </c>
      <c r="DQ105" s="9" t="s">
        <v>438</v>
      </c>
      <c r="DR105" s="9" t="s">
        <v>77</v>
      </c>
      <c r="DS105" s="9" t="s">
        <v>78</v>
      </c>
      <c r="DT105" s="9" t="s">
        <v>349</v>
      </c>
      <c r="DU105" s="9" t="s">
        <v>78</v>
      </c>
      <c r="DV105" s="9" t="s">
        <v>77</v>
      </c>
      <c r="DZ105" s="9" t="s">
        <v>77</v>
      </c>
      <c r="EA105" s="9" t="s">
        <v>77</v>
      </c>
      <c r="EB105" s="9" t="s">
        <v>80</v>
      </c>
      <c r="EC105" s="9" t="s">
        <v>438</v>
      </c>
      <c r="ED105" s="9" t="s">
        <v>77</v>
      </c>
      <c r="EE105" s="9" t="s">
        <v>78</v>
      </c>
      <c r="EF105" s="9" t="s">
        <v>349</v>
      </c>
      <c r="EG105" s="9" t="s">
        <v>78</v>
      </c>
      <c r="EH105" s="9" t="s">
        <v>77</v>
      </c>
      <c r="EL105" s="9" t="s">
        <v>77</v>
      </c>
      <c r="EM105" s="9" t="s">
        <v>77</v>
      </c>
      <c r="EN105" s="9" t="s">
        <v>80</v>
      </c>
      <c r="EO105" s="9" t="s">
        <v>438</v>
      </c>
      <c r="EP105" s="9" t="s">
        <v>77</v>
      </c>
      <c r="EQ105" s="9" t="s">
        <v>78</v>
      </c>
      <c r="ER105" s="9" t="s">
        <v>349</v>
      </c>
      <c r="ES105" s="9" t="s">
        <v>78</v>
      </c>
      <c r="ET105" s="9" t="s">
        <v>77</v>
      </c>
      <c r="EX105" s="9" t="s">
        <v>77</v>
      </c>
      <c r="EY105" s="9" t="s">
        <v>77</v>
      </c>
      <c r="EZ105" s="9" t="s">
        <v>80</v>
      </c>
      <c r="FA105" s="9" t="s">
        <v>438</v>
      </c>
      <c r="FB105" s="9" t="s">
        <v>77</v>
      </c>
      <c r="FC105" s="9" t="s">
        <v>78</v>
      </c>
      <c r="FD105" s="9" t="s">
        <v>349</v>
      </c>
      <c r="FE105" s="9" t="s">
        <v>78</v>
      </c>
      <c r="FF105" s="9" t="s">
        <v>77</v>
      </c>
    </row>
    <row r="106" spans="50:162">
      <c r="AX106" s="9" t="s">
        <v>77</v>
      </c>
      <c r="AY106" s="9" t="s">
        <v>77</v>
      </c>
      <c r="AZ106" s="9" t="s">
        <v>80</v>
      </c>
      <c r="BA106" s="9" t="s">
        <v>438</v>
      </c>
      <c r="BB106" s="9" t="s">
        <v>79</v>
      </c>
      <c r="BC106" s="9" t="s">
        <v>78</v>
      </c>
      <c r="BD106" s="9" t="s">
        <v>349</v>
      </c>
      <c r="BE106" s="9" t="s">
        <v>78</v>
      </c>
      <c r="BF106" s="9" t="s">
        <v>77</v>
      </c>
      <c r="BI106" s="9" t="s">
        <v>77</v>
      </c>
      <c r="BJ106" s="9" t="s">
        <v>80</v>
      </c>
      <c r="BK106" s="9" t="s">
        <v>348</v>
      </c>
      <c r="BL106" s="9" t="s">
        <v>674</v>
      </c>
      <c r="BM106" s="9" t="s">
        <v>80</v>
      </c>
      <c r="BN106" s="9" t="s">
        <v>348</v>
      </c>
      <c r="BO106" s="9" t="s">
        <v>674</v>
      </c>
      <c r="BP106" s="9" t="s">
        <v>77</v>
      </c>
      <c r="BQ106" s="9" t="s">
        <v>77</v>
      </c>
      <c r="BR106" s="9" t="s">
        <v>77</v>
      </c>
      <c r="BS106" s="9" t="s">
        <v>77</v>
      </c>
      <c r="BT106" s="9" t="s">
        <v>77</v>
      </c>
      <c r="BU106" s="9" t="s">
        <v>77</v>
      </c>
      <c r="BV106" s="9" t="s">
        <v>78</v>
      </c>
      <c r="BW106" s="9" t="s">
        <v>78</v>
      </c>
      <c r="BX106" s="9" t="s">
        <v>78</v>
      </c>
      <c r="CB106" s="9" t="s">
        <v>77</v>
      </c>
      <c r="CC106" s="9" t="s">
        <v>80</v>
      </c>
      <c r="CD106" s="9" t="s">
        <v>77</v>
      </c>
      <c r="CE106" s="9" t="s">
        <v>77</v>
      </c>
      <c r="CF106" s="9" t="s">
        <v>77</v>
      </c>
      <c r="CG106" s="9" t="s">
        <v>80</v>
      </c>
      <c r="CH106" s="9" t="s">
        <v>348</v>
      </c>
      <c r="CI106" s="9" t="s">
        <v>675</v>
      </c>
      <c r="CJ106" s="9" t="s">
        <v>80</v>
      </c>
      <c r="CK106" s="9" t="s">
        <v>348</v>
      </c>
      <c r="CL106" s="9" t="s">
        <v>675</v>
      </c>
      <c r="CM106" s="9" t="s">
        <v>77</v>
      </c>
      <c r="CN106" s="9" t="s">
        <v>77</v>
      </c>
      <c r="CO106" s="9" t="s">
        <v>78</v>
      </c>
      <c r="CS106" s="9" t="s">
        <v>80</v>
      </c>
      <c r="CT106" s="9" t="s">
        <v>348</v>
      </c>
      <c r="CU106" s="9" t="s">
        <v>674</v>
      </c>
      <c r="CV106" s="9" t="s">
        <v>80</v>
      </c>
      <c r="CW106" s="9" t="s">
        <v>348</v>
      </c>
      <c r="CX106" s="9" t="s">
        <v>674</v>
      </c>
      <c r="CY106" s="9" t="s">
        <v>77</v>
      </c>
      <c r="CZ106" s="9" t="s">
        <v>77</v>
      </c>
      <c r="DA106" s="9" t="s">
        <v>78</v>
      </c>
      <c r="DE106" s="9" t="s">
        <v>77</v>
      </c>
      <c r="DF106" s="9" t="s">
        <v>78</v>
      </c>
      <c r="DG106" s="9" t="s">
        <v>78</v>
      </c>
      <c r="DH106" s="9" t="s">
        <v>78</v>
      </c>
      <c r="DI106" s="9" t="s">
        <v>676</v>
      </c>
      <c r="DJ106" s="9" t="s">
        <v>77</v>
      </c>
      <c r="DK106" s="9" t="s">
        <v>77</v>
      </c>
      <c r="DN106" s="9" t="s">
        <v>77</v>
      </c>
      <c r="DO106" s="9" t="s">
        <v>77</v>
      </c>
      <c r="DP106" s="9" t="s">
        <v>80</v>
      </c>
      <c r="DQ106" s="9" t="s">
        <v>438</v>
      </c>
      <c r="DR106" s="9" t="s">
        <v>77</v>
      </c>
      <c r="DS106" s="9" t="s">
        <v>78</v>
      </c>
      <c r="DT106" s="9" t="s">
        <v>349</v>
      </c>
      <c r="DU106" s="9" t="s">
        <v>78</v>
      </c>
      <c r="DV106" s="9" t="s">
        <v>77</v>
      </c>
      <c r="DZ106" s="9" t="s">
        <v>77</v>
      </c>
      <c r="EA106" s="9" t="s">
        <v>77</v>
      </c>
      <c r="EB106" s="9" t="s">
        <v>80</v>
      </c>
      <c r="EC106" s="9" t="s">
        <v>438</v>
      </c>
      <c r="ED106" s="9" t="s">
        <v>77</v>
      </c>
      <c r="EE106" s="9" t="s">
        <v>78</v>
      </c>
      <c r="EF106" s="9" t="s">
        <v>349</v>
      </c>
      <c r="EG106" s="9" t="s">
        <v>78</v>
      </c>
      <c r="EH106" s="9" t="s">
        <v>77</v>
      </c>
      <c r="EL106" s="9" t="s">
        <v>77</v>
      </c>
      <c r="EM106" s="9" t="s">
        <v>77</v>
      </c>
      <c r="EN106" s="9" t="s">
        <v>80</v>
      </c>
      <c r="EO106" s="9" t="s">
        <v>438</v>
      </c>
      <c r="EP106" s="9" t="s">
        <v>77</v>
      </c>
      <c r="EQ106" s="9" t="s">
        <v>78</v>
      </c>
      <c r="ER106" s="9" t="s">
        <v>349</v>
      </c>
      <c r="ES106" s="9" t="s">
        <v>78</v>
      </c>
      <c r="ET106" s="9" t="s">
        <v>77</v>
      </c>
      <c r="EX106" s="9" t="s">
        <v>77</v>
      </c>
      <c r="EY106" s="9" t="s">
        <v>77</v>
      </c>
      <c r="EZ106" s="9" t="s">
        <v>80</v>
      </c>
      <c r="FA106" s="9" t="s">
        <v>438</v>
      </c>
      <c r="FB106" s="9" t="s">
        <v>77</v>
      </c>
      <c r="FC106" s="9" t="s">
        <v>78</v>
      </c>
      <c r="FD106" s="9" t="s">
        <v>349</v>
      </c>
      <c r="FE106" s="9" t="s">
        <v>78</v>
      </c>
      <c r="FF106" s="9" t="s">
        <v>77</v>
      </c>
    </row>
    <row r="107" spans="50:162">
      <c r="AX107" s="9" t="s">
        <v>77</v>
      </c>
      <c r="AY107" s="9" t="s">
        <v>77</v>
      </c>
      <c r="AZ107" s="9" t="s">
        <v>80</v>
      </c>
      <c r="BA107" s="9" t="s">
        <v>438</v>
      </c>
      <c r="BB107" s="9" t="s">
        <v>79</v>
      </c>
      <c r="BC107" s="9" t="s">
        <v>78</v>
      </c>
      <c r="BD107" s="9" t="s">
        <v>349</v>
      </c>
      <c r="BE107" s="9" t="s">
        <v>78</v>
      </c>
      <c r="BF107" s="9" t="s">
        <v>77</v>
      </c>
      <c r="BI107" s="9" t="s">
        <v>77</v>
      </c>
      <c r="BJ107" s="9" t="s">
        <v>80</v>
      </c>
      <c r="BK107" s="9" t="s">
        <v>348</v>
      </c>
      <c r="BL107" s="9" t="s">
        <v>677</v>
      </c>
      <c r="BM107" s="9" t="s">
        <v>80</v>
      </c>
      <c r="BN107" s="9" t="s">
        <v>348</v>
      </c>
      <c r="BO107" s="9" t="s">
        <v>677</v>
      </c>
      <c r="BP107" s="9" t="s">
        <v>77</v>
      </c>
      <c r="BQ107" s="9" t="s">
        <v>77</v>
      </c>
      <c r="BR107" s="9" t="s">
        <v>77</v>
      </c>
      <c r="BS107" s="9" t="s">
        <v>77</v>
      </c>
      <c r="BT107" s="9" t="s">
        <v>77</v>
      </c>
      <c r="BU107" s="9" t="s">
        <v>77</v>
      </c>
      <c r="BV107" s="9" t="s">
        <v>78</v>
      </c>
      <c r="BW107" s="9" t="s">
        <v>78</v>
      </c>
      <c r="BX107" s="9" t="s">
        <v>78</v>
      </c>
      <c r="CB107" s="9" t="s">
        <v>77</v>
      </c>
      <c r="CC107" s="9" t="s">
        <v>80</v>
      </c>
      <c r="CD107" s="9" t="s">
        <v>77</v>
      </c>
      <c r="CE107" s="9" t="s">
        <v>77</v>
      </c>
      <c r="CF107" s="9" t="s">
        <v>77</v>
      </c>
      <c r="CG107" s="9" t="s">
        <v>80</v>
      </c>
      <c r="CH107" s="9" t="s">
        <v>348</v>
      </c>
      <c r="CI107" s="9" t="s">
        <v>678</v>
      </c>
      <c r="CJ107" s="9" t="s">
        <v>80</v>
      </c>
      <c r="CK107" s="9" t="s">
        <v>348</v>
      </c>
      <c r="CL107" s="9" t="s">
        <v>678</v>
      </c>
      <c r="CM107" s="9" t="s">
        <v>77</v>
      </c>
      <c r="CN107" s="9" t="s">
        <v>77</v>
      </c>
      <c r="CO107" s="9" t="s">
        <v>78</v>
      </c>
      <c r="CS107" s="9" t="s">
        <v>80</v>
      </c>
      <c r="CT107" s="9" t="s">
        <v>348</v>
      </c>
      <c r="CU107" s="9" t="s">
        <v>677</v>
      </c>
      <c r="CV107" s="9" t="s">
        <v>80</v>
      </c>
      <c r="CW107" s="9" t="s">
        <v>348</v>
      </c>
      <c r="CX107" s="9" t="s">
        <v>677</v>
      </c>
      <c r="CY107" s="9" t="s">
        <v>77</v>
      </c>
      <c r="CZ107" s="9" t="s">
        <v>77</v>
      </c>
      <c r="DA107" s="9" t="s">
        <v>78</v>
      </c>
      <c r="DE107" s="9" t="s">
        <v>77</v>
      </c>
      <c r="DF107" s="9" t="s">
        <v>78</v>
      </c>
      <c r="DG107" s="9" t="s">
        <v>78</v>
      </c>
      <c r="DH107" s="9" t="s">
        <v>78</v>
      </c>
      <c r="DI107" s="9" t="s">
        <v>677</v>
      </c>
      <c r="DJ107" s="9" t="s">
        <v>77</v>
      </c>
      <c r="DK107" s="9" t="s">
        <v>77</v>
      </c>
      <c r="DN107" s="9" t="s">
        <v>77</v>
      </c>
      <c r="DO107" s="9" t="s">
        <v>77</v>
      </c>
      <c r="DP107" s="9" t="s">
        <v>80</v>
      </c>
      <c r="DQ107" s="9" t="s">
        <v>438</v>
      </c>
      <c r="DR107" s="9" t="s">
        <v>77</v>
      </c>
      <c r="DS107" s="9" t="s">
        <v>78</v>
      </c>
      <c r="DT107" s="9" t="s">
        <v>349</v>
      </c>
      <c r="DU107" s="9" t="s">
        <v>78</v>
      </c>
      <c r="DV107" s="9" t="s">
        <v>77</v>
      </c>
      <c r="DZ107" s="9" t="s">
        <v>77</v>
      </c>
      <c r="EA107" s="9" t="s">
        <v>77</v>
      </c>
      <c r="EB107" s="9" t="s">
        <v>80</v>
      </c>
      <c r="EC107" s="9" t="s">
        <v>438</v>
      </c>
      <c r="ED107" s="9" t="s">
        <v>77</v>
      </c>
      <c r="EE107" s="9" t="s">
        <v>78</v>
      </c>
      <c r="EF107" s="9" t="s">
        <v>349</v>
      </c>
      <c r="EG107" s="9" t="s">
        <v>78</v>
      </c>
      <c r="EH107" s="9" t="s">
        <v>77</v>
      </c>
      <c r="EL107" s="9" t="s">
        <v>77</v>
      </c>
      <c r="EM107" s="9" t="s">
        <v>77</v>
      </c>
      <c r="EN107" s="9" t="s">
        <v>80</v>
      </c>
      <c r="EO107" s="9" t="s">
        <v>438</v>
      </c>
      <c r="EP107" s="9" t="s">
        <v>77</v>
      </c>
      <c r="EQ107" s="9" t="s">
        <v>78</v>
      </c>
      <c r="ER107" s="9" t="s">
        <v>349</v>
      </c>
      <c r="ES107" s="9" t="s">
        <v>78</v>
      </c>
      <c r="ET107" s="9" t="s">
        <v>77</v>
      </c>
      <c r="EX107" s="9" t="s">
        <v>77</v>
      </c>
      <c r="EY107" s="9" t="s">
        <v>77</v>
      </c>
      <c r="EZ107" s="9" t="s">
        <v>80</v>
      </c>
      <c r="FA107" s="9" t="s">
        <v>438</v>
      </c>
      <c r="FB107" s="9" t="s">
        <v>77</v>
      </c>
      <c r="FC107" s="9" t="s">
        <v>78</v>
      </c>
      <c r="FD107" s="9" t="s">
        <v>349</v>
      </c>
      <c r="FE107" s="9" t="s">
        <v>78</v>
      </c>
      <c r="FF107" s="9" t="s">
        <v>77</v>
      </c>
    </row>
    <row r="108" spans="50:162">
      <c r="AX108" s="9" t="s">
        <v>77</v>
      </c>
      <c r="AY108" s="9" t="s">
        <v>77</v>
      </c>
      <c r="AZ108" s="9" t="s">
        <v>80</v>
      </c>
      <c r="BA108" s="9" t="s">
        <v>438</v>
      </c>
      <c r="BB108" s="9" t="s">
        <v>79</v>
      </c>
      <c r="BC108" s="9" t="s">
        <v>78</v>
      </c>
      <c r="BD108" s="9" t="s">
        <v>349</v>
      </c>
      <c r="BE108" s="9" t="s">
        <v>78</v>
      </c>
      <c r="BF108" s="9" t="s">
        <v>77</v>
      </c>
      <c r="BI108" s="9" t="s">
        <v>77</v>
      </c>
      <c r="BJ108" s="9" t="s">
        <v>80</v>
      </c>
      <c r="BK108" s="9" t="s">
        <v>348</v>
      </c>
      <c r="BL108" s="9" t="s">
        <v>679</v>
      </c>
      <c r="BM108" s="9" t="s">
        <v>80</v>
      </c>
      <c r="BN108" s="9" t="s">
        <v>348</v>
      </c>
      <c r="BO108" s="9" t="s">
        <v>679</v>
      </c>
      <c r="BP108" s="9" t="s">
        <v>77</v>
      </c>
      <c r="BQ108" s="9" t="s">
        <v>77</v>
      </c>
      <c r="BR108" s="9" t="s">
        <v>77</v>
      </c>
      <c r="BS108" s="9" t="s">
        <v>77</v>
      </c>
      <c r="BT108" s="9" t="s">
        <v>77</v>
      </c>
      <c r="BU108" s="9" t="s">
        <v>77</v>
      </c>
      <c r="BV108" s="9" t="s">
        <v>78</v>
      </c>
      <c r="BW108" s="9" t="s">
        <v>78</v>
      </c>
      <c r="BX108" s="9" t="s">
        <v>78</v>
      </c>
      <c r="CB108" s="9" t="s">
        <v>77</v>
      </c>
      <c r="CC108" s="9" t="s">
        <v>80</v>
      </c>
      <c r="CD108" s="9" t="s">
        <v>77</v>
      </c>
      <c r="CE108" s="9" t="s">
        <v>77</v>
      </c>
      <c r="CF108" s="9" t="s">
        <v>77</v>
      </c>
      <c r="CG108" s="9" t="s">
        <v>80</v>
      </c>
      <c r="CH108" s="9" t="s">
        <v>348</v>
      </c>
      <c r="CI108" s="9" t="s">
        <v>680</v>
      </c>
      <c r="CJ108" s="9" t="s">
        <v>80</v>
      </c>
      <c r="CK108" s="9" t="s">
        <v>348</v>
      </c>
      <c r="CL108" s="9" t="s">
        <v>680</v>
      </c>
      <c r="CM108" s="9" t="s">
        <v>77</v>
      </c>
      <c r="CN108" s="9" t="s">
        <v>77</v>
      </c>
      <c r="CO108" s="9" t="s">
        <v>78</v>
      </c>
      <c r="CS108" s="9" t="s">
        <v>80</v>
      </c>
      <c r="CT108" s="9" t="s">
        <v>348</v>
      </c>
      <c r="CU108" s="9" t="s">
        <v>679</v>
      </c>
      <c r="CV108" s="9" t="s">
        <v>80</v>
      </c>
      <c r="CW108" s="9" t="s">
        <v>348</v>
      </c>
      <c r="CX108" s="9" t="s">
        <v>679</v>
      </c>
      <c r="CY108" s="9" t="s">
        <v>77</v>
      </c>
      <c r="CZ108" s="9" t="s">
        <v>77</v>
      </c>
      <c r="DA108" s="9" t="s">
        <v>78</v>
      </c>
      <c r="DE108" s="9" t="s">
        <v>77</v>
      </c>
      <c r="DF108" s="9" t="s">
        <v>78</v>
      </c>
      <c r="DG108" s="9" t="s">
        <v>78</v>
      </c>
      <c r="DH108" s="9" t="s">
        <v>78</v>
      </c>
      <c r="DI108" s="9" t="s">
        <v>679</v>
      </c>
      <c r="DJ108" s="9" t="s">
        <v>77</v>
      </c>
      <c r="DK108" s="9" t="s">
        <v>77</v>
      </c>
      <c r="DN108" s="9" t="s">
        <v>77</v>
      </c>
      <c r="DO108" s="9" t="s">
        <v>77</v>
      </c>
      <c r="DP108" s="9" t="s">
        <v>80</v>
      </c>
      <c r="DQ108" s="9" t="s">
        <v>438</v>
      </c>
      <c r="DR108" s="9" t="s">
        <v>77</v>
      </c>
      <c r="DS108" s="9" t="s">
        <v>78</v>
      </c>
      <c r="DT108" s="9" t="s">
        <v>349</v>
      </c>
      <c r="DU108" s="9" t="s">
        <v>78</v>
      </c>
      <c r="DV108" s="9" t="s">
        <v>77</v>
      </c>
      <c r="DZ108" s="9" t="s">
        <v>77</v>
      </c>
      <c r="EA108" s="9" t="s">
        <v>77</v>
      </c>
      <c r="EB108" s="9" t="s">
        <v>80</v>
      </c>
      <c r="EC108" s="9" t="s">
        <v>438</v>
      </c>
      <c r="ED108" s="9" t="s">
        <v>77</v>
      </c>
      <c r="EE108" s="9" t="s">
        <v>78</v>
      </c>
      <c r="EF108" s="9" t="s">
        <v>349</v>
      </c>
      <c r="EG108" s="9" t="s">
        <v>78</v>
      </c>
      <c r="EH108" s="9" t="s">
        <v>77</v>
      </c>
      <c r="EL108" s="9" t="s">
        <v>77</v>
      </c>
      <c r="EM108" s="9" t="s">
        <v>77</v>
      </c>
      <c r="EN108" s="9" t="s">
        <v>80</v>
      </c>
      <c r="EO108" s="9" t="s">
        <v>438</v>
      </c>
      <c r="EP108" s="9" t="s">
        <v>77</v>
      </c>
      <c r="EQ108" s="9" t="s">
        <v>78</v>
      </c>
      <c r="ER108" s="9" t="s">
        <v>349</v>
      </c>
      <c r="ES108" s="9" t="s">
        <v>78</v>
      </c>
      <c r="ET108" s="9" t="s">
        <v>77</v>
      </c>
      <c r="EX108" s="9" t="s">
        <v>77</v>
      </c>
      <c r="EY108" s="9" t="s">
        <v>77</v>
      </c>
      <c r="EZ108" s="9" t="s">
        <v>80</v>
      </c>
      <c r="FA108" s="9" t="s">
        <v>438</v>
      </c>
      <c r="FB108" s="9" t="s">
        <v>77</v>
      </c>
      <c r="FC108" s="9" t="s">
        <v>78</v>
      </c>
      <c r="FD108" s="9" t="s">
        <v>349</v>
      </c>
      <c r="FE108" s="9" t="s">
        <v>78</v>
      </c>
      <c r="FF108" s="9" t="s">
        <v>77</v>
      </c>
    </row>
    <row r="109" spans="50:162">
      <c r="AX109" s="9" t="s">
        <v>77</v>
      </c>
      <c r="AY109" s="9" t="s">
        <v>77</v>
      </c>
      <c r="AZ109" s="9" t="s">
        <v>80</v>
      </c>
      <c r="BA109" s="9" t="s">
        <v>438</v>
      </c>
      <c r="BB109" s="9" t="s">
        <v>79</v>
      </c>
      <c r="BC109" s="9" t="s">
        <v>78</v>
      </c>
      <c r="BD109" s="9" t="s">
        <v>349</v>
      </c>
      <c r="BE109" s="9" t="s">
        <v>78</v>
      </c>
      <c r="BF109" s="9" t="s">
        <v>77</v>
      </c>
      <c r="BI109" s="9" t="s">
        <v>77</v>
      </c>
      <c r="BJ109" s="9" t="s">
        <v>80</v>
      </c>
      <c r="BK109" s="9" t="s">
        <v>348</v>
      </c>
      <c r="BL109" s="9" t="s">
        <v>681</v>
      </c>
      <c r="BM109" s="9" t="s">
        <v>80</v>
      </c>
      <c r="BN109" s="9" t="s">
        <v>348</v>
      </c>
      <c r="BO109" s="9" t="s">
        <v>681</v>
      </c>
      <c r="BP109" s="9" t="s">
        <v>77</v>
      </c>
      <c r="BQ109" s="9" t="s">
        <v>77</v>
      </c>
      <c r="BR109" s="9" t="s">
        <v>77</v>
      </c>
      <c r="BS109" s="9" t="s">
        <v>77</v>
      </c>
      <c r="BT109" s="9" t="s">
        <v>77</v>
      </c>
      <c r="BU109" s="9" t="s">
        <v>77</v>
      </c>
      <c r="BV109" s="9" t="s">
        <v>78</v>
      </c>
      <c r="BW109" s="9" t="s">
        <v>78</v>
      </c>
      <c r="BX109" s="9" t="s">
        <v>78</v>
      </c>
      <c r="CB109" s="9" t="s">
        <v>77</v>
      </c>
      <c r="CC109" s="9" t="s">
        <v>80</v>
      </c>
      <c r="CD109" s="9" t="s">
        <v>77</v>
      </c>
      <c r="CE109" s="9" t="s">
        <v>77</v>
      </c>
      <c r="CF109" s="9" t="s">
        <v>77</v>
      </c>
      <c r="CG109" s="9" t="s">
        <v>80</v>
      </c>
      <c r="CH109" s="9" t="s">
        <v>348</v>
      </c>
      <c r="CI109" s="9" t="s">
        <v>682</v>
      </c>
      <c r="CJ109" s="9" t="s">
        <v>80</v>
      </c>
      <c r="CK109" s="9" t="s">
        <v>348</v>
      </c>
      <c r="CL109" s="9" t="s">
        <v>682</v>
      </c>
      <c r="CM109" s="9" t="s">
        <v>77</v>
      </c>
      <c r="CN109" s="9" t="s">
        <v>77</v>
      </c>
      <c r="CO109" s="9" t="s">
        <v>78</v>
      </c>
      <c r="CS109" s="9" t="s">
        <v>80</v>
      </c>
      <c r="CT109" s="9" t="s">
        <v>348</v>
      </c>
      <c r="CU109" s="9" t="s">
        <v>681</v>
      </c>
      <c r="CV109" s="9" t="s">
        <v>80</v>
      </c>
      <c r="CW109" s="9" t="s">
        <v>348</v>
      </c>
      <c r="CX109" s="9" t="s">
        <v>681</v>
      </c>
      <c r="CY109" s="9" t="s">
        <v>77</v>
      </c>
      <c r="CZ109" s="9" t="s">
        <v>77</v>
      </c>
      <c r="DA109" s="9" t="s">
        <v>78</v>
      </c>
      <c r="DE109" s="9" t="s">
        <v>77</v>
      </c>
      <c r="DF109" s="9" t="s">
        <v>78</v>
      </c>
      <c r="DG109" s="9" t="s">
        <v>78</v>
      </c>
      <c r="DH109" s="9" t="s">
        <v>78</v>
      </c>
      <c r="DI109" s="9" t="s">
        <v>681</v>
      </c>
      <c r="DJ109" s="9" t="s">
        <v>77</v>
      </c>
      <c r="DK109" s="9" t="s">
        <v>77</v>
      </c>
      <c r="DN109" s="9" t="s">
        <v>77</v>
      </c>
      <c r="DO109" s="9" t="s">
        <v>77</v>
      </c>
      <c r="DP109" s="9" t="s">
        <v>80</v>
      </c>
      <c r="DQ109" s="9" t="s">
        <v>438</v>
      </c>
      <c r="DR109" s="9" t="s">
        <v>77</v>
      </c>
      <c r="DS109" s="9" t="s">
        <v>78</v>
      </c>
      <c r="DT109" s="9" t="s">
        <v>349</v>
      </c>
      <c r="DU109" s="9" t="s">
        <v>78</v>
      </c>
      <c r="DV109" s="9" t="s">
        <v>77</v>
      </c>
      <c r="DZ109" s="9" t="s">
        <v>77</v>
      </c>
      <c r="EA109" s="9" t="s">
        <v>77</v>
      </c>
      <c r="EB109" s="9" t="s">
        <v>80</v>
      </c>
      <c r="EC109" s="9" t="s">
        <v>438</v>
      </c>
      <c r="ED109" s="9" t="s">
        <v>77</v>
      </c>
      <c r="EE109" s="9" t="s">
        <v>78</v>
      </c>
      <c r="EF109" s="9" t="s">
        <v>349</v>
      </c>
      <c r="EG109" s="9" t="s">
        <v>78</v>
      </c>
      <c r="EH109" s="9" t="s">
        <v>77</v>
      </c>
      <c r="EL109" s="9" t="s">
        <v>77</v>
      </c>
      <c r="EM109" s="9" t="s">
        <v>77</v>
      </c>
      <c r="EN109" s="9" t="s">
        <v>80</v>
      </c>
      <c r="EO109" s="9" t="s">
        <v>438</v>
      </c>
      <c r="EP109" s="9" t="s">
        <v>77</v>
      </c>
      <c r="EQ109" s="9" t="s">
        <v>78</v>
      </c>
      <c r="ER109" s="9" t="s">
        <v>349</v>
      </c>
      <c r="ES109" s="9" t="s">
        <v>78</v>
      </c>
      <c r="ET109" s="9" t="s">
        <v>77</v>
      </c>
      <c r="EX109" s="9" t="s">
        <v>77</v>
      </c>
      <c r="EY109" s="9" t="s">
        <v>77</v>
      </c>
      <c r="EZ109" s="9" t="s">
        <v>80</v>
      </c>
      <c r="FA109" s="9" t="s">
        <v>438</v>
      </c>
      <c r="FB109" s="9" t="s">
        <v>77</v>
      </c>
      <c r="FC109" s="9" t="s">
        <v>78</v>
      </c>
      <c r="FD109" s="9" t="s">
        <v>349</v>
      </c>
      <c r="FE109" s="9" t="s">
        <v>78</v>
      </c>
      <c r="FF109" s="9" t="s">
        <v>77</v>
      </c>
    </row>
    <row r="110" spans="50:162">
      <c r="AX110" s="9" t="s">
        <v>77</v>
      </c>
      <c r="AY110" s="9" t="s">
        <v>77</v>
      </c>
      <c r="AZ110" s="9" t="s">
        <v>80</v>
      </c>
      <c r="BA110" s="9" t="s">
        <v>438</v>
      </c>
      <c r="BB110" s="9" t="s">
        <v>79</v>
      </c>
      <c r="BC110" s="9" t="s">
        <v>78</v>
      </c>
      <c r="BD110" s="9" t="s">
        <v>349</v>
      </c>
      <c r="BE110" s="9" t="s">
        <v>78</v>
      </c>
      <c r="BF110" s="9" t="s">
        <v>77</v>
      </c>
      <c r="BI110" s="9" t="s">
        <v>77</v>
      </c>
      <c r="BJ110" s="9" t="s">
        <v>80</v>
      </c>
      <c r="BK110" s="9" t="s">
        <v>348</v>
      </c>
      <c r="BL110" s="9" t="s">
        <v>683</v>
      </c>
      <c r="BM110" s="9" t="s">
        <v>80</v>
      </c>
      <c r="BN110" s="9" t="s">
        <v>348</v>
      </c>
      <c r="BO110" s="9" t="s">
        <v>683</v>
      </c>
      <c r="BP110" s="9" t="s">
        <v>77</v>
      </c>
      <c r="BQ110" s="9" t="s">
        <v>77</v>
      </c>
      <c r="BR110" s="9" t="s">
        <v>77</v>
      </c>
      <c r="BS110" s="9" t="s">
        <v>77</v>
      </c>
      <c r="BT110" s="9" t="s">
        <v>77</v>
      </c>
      <c r="BU110" s="9" t="s">
        <v>77</v>
      </c>
      <c r="BV110" s="9" t="s">
        <v>78</v>
      </c>
      <c r="BW110" s="9" t="s">
        <v>78</v>
      </c>
      <c r="BX110" s="9" t="s">
        <v>78</v>
      </c>
      <c r="CB110" s="9" t="s">
        <v>77</v>
      </c>
      <c r="CC110" s="9" t="s">
        <v>80</v>
      </c>
      <c r="CD110" s="9" t="s">
        <v>77</v>
      </c>
      <c r="CE110" s="9" t="s">
        <v>77</v>
      </c>
      <c r="CF110" s="9" t="s">
        <v>77</v>
      </c>
      <c r="CG110" s="9" t="s">
        <v>80</v>
      </c>
      <c r="CH110" s="9" t="s">
        <v>348</v>
      </c>
      <c r="CI110" s="9" t="s">
        <v>684</v>
      </c>
      <c r="CJ110" s="9" t="s">
        <v>80</v>
      </c>
      <c r="CK110" s="9" t="s">
        <v>348</v>
      </c>
      <c r="CL110" s="9" t="s">
        <v>684</v>
      </c>
      <c r="CM110" s="9" t="s">
        <v>77</v>
      </c>
      <c r="CN110" s="9" t="s">
        <v>77</v>
      </c>
      <c r="CO110" s="9" t="s">
        <v>78</v>
      </c>
      <c r="CS110" s="9" t="s">
        <v>80</v>
      </c>
      <c r="CT110" s="9" t="s">
        <v>348</v>
      </c>
      <c r="CU110" s="9" t="s">
        <v>684</v>
      </c>
      <c r="CV110" s="9" t="s">
        <v>80</v>
      </c>
      <c r="CW110" s="9" t="s">
        <v>348</v>
      </c>
      <c r="CX110" s="9" t="s">
        <v>684</v>
      </c>
      <c r="CY110" s="9" t="s">
        <v>77</v>
      </c>
      <c r="CZ110" s="9" t="s">
        <v>77</v>
      </c>
      <c r="DA110" s="9" t="s">
        <v>78</v>
      </c>
      <c r="DE110" s="9" t="s">
        <v>77</v>
      </c>
      <c r="DF110" s="9" t="s">
        <v>78</v>
      </c>
      <c r="DG110" s="9" t="s">
        <v>78</v>
      </c>
      <c r="DH110" s="9" t="s">
        <v>78</v>
      </c>
      <c r="DI110" s="9" t="s">
        <v>683</v>
      </c>
      <c r="DJ110" s="9" t="s">
        <v>77</v>
      </c>
      <c r="DK110" s="9" t="s">
        <v>77</v>
      </c>
      <c r="DN110" s="9" t="s">
        <v>77</v>
      </c>
      <c r="DO110" s="9" t="s">
        <v>77</v>
      </c>
      <c r="DP110" s="9" t="s">
        <v>80</v>
      </c>
      <c r="DQ110" s="9" t="s">
        <v>438</v>
      </c>
      <c r="DR110" s="9" t="s">
        <v>77</v>
      </c>
      <c r="DS110" s="9" t="s">
        <v>78</v>
      </c>
      <c r="DT110" s="9" t="s">
        <v>349</v>
      </c>
      <c r="DU110" s="9" t="s">
        <v>78</v>
      </c>
      <c r="DV110" s="9" t="s">
        <v>77</v>
      </c>
      <c r="DZ110" s="9" t="s">
        <v>77</v>
      </c>
      <c r="EA110" s="9" t="s">
        <v>77</v>
      </c>
      <c r="EB110" s="9" t="s">
        <v>80</v>
      </c>
      <c r="EC110" s="9" t="s">
        <v>438</v>
      </c>
      <c r="ED110" s="9" t="s">
        <v>77</v>
      </c>
      <c r="EE110" s="9" t="s">
        <v>78</v>
      </c>
      <c r="EF110" s="9" t="s">
        <v>349</v>
      </c>
      <c r="EG110" s="9" t="s">
        <v>78</v>
      </c>
      <c r="EH110" s="9" t="s">
        <v>77</v>
      </c>
      <c r="EL110" s="9" t="s">
        <v>77</v>
      </c>
      <c r="EM110" s="9" t="s">
        <v>77</v>
      </c>
      <c r="EN110" s="9" t="s">
        <v>80</v>
      </c>
      <c r="EO110" s="9" t="s">
        <v>438</v>
      </c>
      <c r="EP110" s="9" t="s">
        <v>77</v>
      </c>
      <c r="EQ110" s="9" t="s">
        <v>78</v>
      </c>
      <c r="ER110" s="9" t="s">
        <v>349</v>
      </c>
      <c r="ES110" s="9" t="s">
        <v>78</v>
      </c>
      <c r="ET110" s="9" t="s">
        <v>77</v>
      </c>
      <c r="EX110" s="9" t="s">
        <v>77</v>
      </c>
      <c r="EY110" s="9" t="s">
        <v>77</v>
      </c>
      <c r="EZ110" s="9" t="s">
        <v>80</v>
      </c>
      <c r="FA110" s="9" t="s">
        <v>438</v>
      </c>
      <c r="FB110" s="9" t="s">
        <v>77</v>
      </c>
      <c r="FC110" s="9" t="s">
        <v>78</v>
      </c>
      <c r="FD110" s="9" t="s">
        <v>349</v>
      </c>
      <c r="FE110" s="9" t="s">
        <v>78</v>
      </c>
      <c r="FF110" s="9" t="s">
        <v>77</v>
      </c>
    </row>
    <row r="111" spans="50:162">
      <c r="AX111" s="9" t="s">
        <v>77</v>
      </c>
      <c r="AY111" s="9" t="s">
        <v>77</v>
      </c>
      <c r="AZ111" s="9" t="s">
        <v>80</v>
      </c>
      <c r="BA111" s="9" t="s">
        <v>438</v>
      </c>
      <c r="BB111" s="9" t="s">
        <v>79</v>
      </c>
      <c r="BC111" s="9" t="s">
        <v>78</v>
      </c>
      <c r="BD111" s="9" t="s">
        <v>349</v>
      </c>
      <c r="BE111" s="9" t="s">
        <v>78</v>
      </c>
      <c r="BF111" s="9" t="s">
        <v>77</v>
      </c>
      <c r="BI111" s="9" t="s">
        <v>77</v>
      </c>
      <c r="BJ111" s="9" t="s">
        <v>80</v>
      </c>
      <c r="BK111" s="9" t="s">
        <v>348</v>
      </c>
      <c r="BL111" s="9" t="s">
        <v>685</v>
      </c>
      <c r="BM111" s="9" t="s">
        <v>80</v>
      </c>
      <c r="BN111" s="9" t="s">
        <v>348</v>
      </c>
      <c r="BO111" s="9" t="s">
        <v>685</v>
      </c>
      <c r="BP111" s="9" t="s">
        <v>77</v>
      </c>
      <c r="BQ111" s="9" t="s">
        <v>77</v>
      </c>
      <c r="BR111" s="9" t="s">
        <v>77</v>
      </c>
      <c r="BS111" s="9" t="s">
        <v>77</v>
      </c>
      <c r="BT111" s="9" t="s">
        <v>77</v>
      </c>
      <c r="BU111" s="9" t="s">
        <v>77</v>
      </c>
      <c r="BV111" s="9" t="s">
        <v>78</v>
      </c>
      <c r="BW111" s="9" t="s">
        <v>78</v>
      </c>
      <c r="BX111" s="9" t="s">
        <v>78</v>
      </c>
      <c r="CB111" s="9" t="s">
        <v>77</v>
      </c>
      <c r="CC111" s="9" t="s">
        <v>80</v>
      </c>
      <c r="CD111" s="9" t="s">
        <v>77</v>
      </c>
      <c r="CE111" s="9" t="s">
        <v>77</v>
      </c>
      <c r="CF111" s="9" t="s">
        <v>77</v>
      </c>
      <c r="CG111" s="9" t="s">
        <v>80</v>
      </c>
      <c r="CH111" s="9" t="s">
        <v>348</v>
      </c>
      <c r="CI111" s="9" t="s">
        <v>686</v>
      </c>
      <c r="CJ111" s="9" t="s">
        <v>80</v>
      </c>
      <c r="CK111" s="9" t="s">
        <v>348</v>
      </c>
      <c r="CL111" s="9" t="s">
        <v>686</v>
      </c>
      <c r="CM111" s="9" t="s">
        <v>77</v>
      </c>
      <c r="CN111" s="9" t="s">
        <v>77</v>
      </c>
      <c r="CO111" s="9" t="s">
        <v>78</v>
      </c>
      <c r="CS111" s="9" t="s">
        <v>80</v>
      </c>
      <c r="CT111" s="9" t="s">
        <v>348</v>
      </c>
      <c r="CU111" s="9" t="s">
        <v>686</v>
      </c>
      <c r="CV111" s="9" t="s">
        <v>80</v>
      </c>
      <c r="CW111" s="9" t="s">
        <v>348</v>
      </c>
      <c r="CX111" s="9" t="s">
        <v>686</v>
      </c>
      <c r="CY111" s="9" t="s">
        <v>77</v>
      </c>
      <c r="CZ111" s="9" t="s">
        <v>77</v>
      </c>
      <c r="DA111" s="9" t="s">
        <v>78</v>
      </c>
      <c r="DE111" s="9" t="s">
        <v>77</v>
      </c>
      <c r="DF111" s="9" t="s">
        <v>78</v>
      </c>
      <c r="DG111" s="9" t="s">
        <v>78</v>
      </c>
      <c r="DH111" s="9" t="s">
        <v>78</v>
      </c>
      <c r="DI111" s="9" t="s">
        <v>685</v>
      </c>
      <c r="DJ111" s="9" t="s">
        <v>77</v>
      </c>
      <c r="DK111" s="9" t="s">
        <v>77</v>
      </c>
      <c r="DN111" s="9" t="s">
        <v>77</v>
      </c>
      <c r="DO111" s="9" t="s">
        <v>77</v>
      </c>
      <c r="DP111" s="9" t="s">
        <v>80</v>
      </c>
      <c r="DQ111" s="9" t="s">
        <v>438</v>
      </c>
      <c r="DR111" s="9" t="s">
        <v>77</v>
      </c>
      <c r="DS111" s="9" t="s">
        <v>78</v>
      </c>
      <c r="DT111" s="9" t="s">
        <v>349</v>
      </c>
      <c r="DU111" s="9" t="s">
        <v>78</v>
      </c>
      <c r="DV111" s="9" t="s">
        <v>77</v>
      </c>
      <c r="DZ111" s="9" t="s">
        <v>77</v>
      </c>
      <c r="EA111" s="9" t="s">
        <v>77</v>
      </c>
      <c r="EB111" s="9" t="s">
        <v>80</v>
      </c>
      <c r="EC111" s="9" t="s">
        <v>438</v>
      </c>
      <c r="ED111" s="9" t="s">
        <v>77</v>
      </c>
      <c r="EE111" s="9" t="s">
        <v>78</v>
      </c>
      <c r="EF111" s="9" t="s">
        <v>349</v>
      </c>
      <c r="EG111" s="9" t="s">
        <v>78</v>
      </c>
      <c r="EH111" s="9" t="s">
        <v>77</v>
      </c>
      <c r="EL111" s="9" t="s">
        <v>77</v>
      </c>
      <c r="EM111" s="9" t="s">
        <v>77</v>
      </c>
      <c r="EN111" s="9" t="s">
        <v>80</v>
      </c>
      <c r="EO111" s="9" t="s">
        <v>438</v>
      </c>
      <c r="EP111" s="9" t="s">
        <v>77</v>
      </c>
      <c r="EQ111" s="9" t="s">
        <v>78</v>
      </c>
      <c r="ER111" s="9" t="s">
        <v>349</v>
      </c>
      <c r="ES111" s="9" t="s">
        <v>78</v>
      </c>
      <c r="ET111" s="9" t="s">
        <v>77</v>
      </c>
      <c r="EX111" s="9" t="s">
        <v>77</v>
      </c>
      <c r="EY111" s="9" t="s">
        <v>77</v>
      </c>
      <c r="EZ111" s="9" t="s">
        <v>80</v>
      </c>
      <c r="FA111" s="9" t="s">
        <v>438</v>
      </c>
      <c r="FB111" s="9" t="s">
        <v>77</v>
      </c>
      <c r="FC111" s="9" t="s">
        <v>78</v>
      </c>
      <c r="FD111" s="9" t="s">
        <v>349</v>
      </c>
      <c r="FE111" s="9" t="s">
        <v>78</v>
      </c>
      <c r="FF111" s="9" t="s">
        <v>77</v>
      </c>
    </row>
    <row r="112" spans="50:162">
      <c r="AX112" s="9" t="s">
        <v>77</v>
      </c>
      <c r="AY112" s="9" t="s">
        <v>77</v>
      </c>
      <c r="AZ112" s="9" t="s">
        <v>80</v>
      </c>
      <c r="BA112" s="9" t="s">
        <v>438</v>
      </c>
      <c r="BB112" s="9" t="s">
        <v>79</v>
      </c>
      <c r="BC112" s="9" t="s">
        <v>78</v>
      </c>
      <c r="BD112" s="9" t="s">
        <v>349</v>
      </c>
      <c r="BE112" s="9" t="s">
        <v>78</v>
      </c>
      <c r="BF112" s="9" t="s">
        <v>77</v>
      </c>
      <c r="BI112" s="9" t="s">
        <v>77</v>
      </c>
      <c r="BJ112" s="9" t="s">
        <v>80</v>
      </c>
      <c r="BK112" s="9" t="s">
        <v>348</v>
      </c>
      <c r="BL112" s="9" t="s">
        <v>687</v>
      </c>
      <c r="BM112" s="9" t="s">
        <v>80</v>
      </c>
      <c r="BN112" s="9" t="s">
        <v>348</v>
      </c>
      <c r="BO112" s="9" t="s">
        <v>687</v>
      </c>
      <c r="BP112" s="9" t="s">
        <v>77</v>
      </c>
      <c r="BQ112" s="9" t="s">
        <v>77</v>
      </c>
      <c r="BR112" s="9" t="s">
        <v>77</v>
      </c>
      <c r="BS112" s="9" t="s">
        <v>77</v>
      </c>
      <c r="BT112" s="9" t="s">
        <v>77</v>
      </c>
      <c r="BU112" s="9" t="s">
        <v>77</v>
      </c>
      <c r="BV112" s="9" t="s">
        <v>78</v>
      </c>
      <c r="BW112" s="9" t="s">
        <v>78</v>
      </c>
      <c r="BX112" s="9" t="s">
        <v>78</v>
      </c>
      <c r="CB112" s="9" t="s">
        <v>77</v>
      </c>
      <c r="CC112" s="9" t="s">
        <v>80</v>
      </c>
      <c r="CD112" s="9" t="s">
        <v>77</v>
      </c>
      <c r="CE112" s="9" t="s">
        <v>77</v>
      </c>
      <c r="CF112" s="9" t="s">
        <v>77</v>
      </c>
      <c r="CG112" s="9" t="s">
        <v>80</v>
      </c>
      <c r="CH112" s="9" t="s">
        <v>348</v>
      </c>
      <c r="CI112" s="9" t="s">
        <v>688</v>
      </c>
      <c r="CJ112" s="9" t="s">
        <v>80</v>
      </c>
      <c r="CK112" s="9" t="s">
        <v>348</v>
      </c>
      <c r="CL112" s="9" t="s">
        <v>688</v>
      </c>
      <c r="CM112" s="9" t="s">
        <v>77</v>
      </c>
      <c r="CN112" s="9" t="s">
        <v>77</v>
      </c>
      <c r="CO112" s="9" t="s">
        <v>78</v>
      </c>
      <c r="CS112" s="9" t="s">
        <v>80</v>
      </c>
      <c r="CT112" s="9" t="s">
        <v>348</v>
      </c>
      <c r="CU112" s="9" t="s">
        <v>687</v>
      </c>
      <c r="CV112" s="9" t="s">
        <v>80</v>
      </c>
      <c r="CW112" s="9" t="s">
        <v>348</v>
      </c>
      <c r="CX112" s="9" t="s">
        <v>687</v>
      </c>
      <c r="CY112" s="9" t="s">
        <v>77</v>
      </c>
      <c r="CZ112" s="9" t="s">
        <v>77</v>
      </c>
      <c r="DA112" s="9" t="s">
        <v>78</v>
      </c>
      <c r="DE112" s="9" t="s">
        <v>77</v>
      </c>
      <c r="DF112" s="9" t="s">
        <v>78</v>
      </c>
      <c r="DG112" s="9" t="s">
        <v>78</v>
      </c>
      <c r="DH112" s="9" t="s">
        <v>78</v>
      </c>
      <c r="DI112" s="9" t="s">
        <v>687</v>
      </c>
      <c r="DJ112" s="9" t="s">
        <v>77</v>
      </c>
      <c r="DK112" s="9" t="s">
        <v>77</v>
      </c>
      <c r="DN112" s="9" t="s">
        <v>77</v>
      </c>
      <c r="DO112" s="9" t="s">
        <v>77</v>
      </c>
      <c r="DP112" s="9" t="s">
        <v>80</v>
      </c>
      <c r="DQ112" s="9" t="s">
        <v>438</v>
      </c>
      <c r="DR112" s="9" t="s">
        <v>77</v>
      </c>
      <c r="DS112" s="9" t="s">
        <v>78</v>
      </c>
      <c r="DT112" s="9" t="s">
        <v>349</v>
      </c>
      <c r="DU112" s="9" t="s">
        <v>78</v>
      </c>
      <c r="DV112" s="9" t="s">
        <v>77</v>
      </c>
      <c r="DZ112" s="9" t="s">
        <v>77</v>
      </c>
      <c r="EA112" s="9" t="s">
        <v>77</v>
      </c>
      <c r="EB112" s="9" t="s">
        <v>80</v>
      </c>
      <c r="EC112" s="9" t="s">
        <v>438</v>
      </c>
      <c r="ED112" s="9" t="s">
        <v>77</v>
      </c>
      <c r="EE112" s="9" t="s">
        <v>78</v>
      </c>
      <c r="EF112" s="9" t="s">
        <v>349</v>
      </c>
      <c r="EG112" s="9" t="s">
        <v>78</v>
      </c>
      <c r="EH112" s="9" t="s">
        <v>77</v>
      </c>
      <c r="EL112" s="9" t="s">
        <v>77</v>
      </c>
      <c r="EM112" s="9" t="s">
        <v>77</v>
      </c>
      <c r="EN112" s="9" t="s">
        <v>80</v>
      </c>
      <c r="EO112" s="9" t="s">
        <v>438</v>
      </c>
      <c r="EP112" s="9" t="s">
        <v>77</v>
      </c>
      <c r="EQ112" s="9" t="s">
        <v>78</v>
      </c>
      <c r="ER112" s="9" t="s">
        <v>349</v>
      </c>
      <c r="ES112" s="9" t="s">
        <v>78</v>
      </c>
      <c r="ET112" s="9" t="s">
        <v>77</v>
      </c>
      <c r="EX112" s="9" t="s">
        <v>77</v>
      </c>
      <c r="EY112" s="9" t="s">
        <v>77</v>
      </c>
      <c r="EZ112" s="9" t="s">
        <v>80</v>
      </c>
      <c r="FA112" s="9" t="s">
        <v>438</v>
      </c>
      <c r="FB112" s="9" t="s">
        <v>77</v>
      </c>
      <c r="FC112" s="9" t="s">
        <v>78</v>
      </c>
      <c r="FD112" s="9" t="s">
        <v>349</v>
      </c>
      <c r="FE112" s="9" t="s">
        <v>78</v>
      </c>
      <c r="FF112" s="9" t="s">
        <v>77</v>
      </c>
    </row>
    <row r="113" spans="50:162">
      <c r="AX113" s="9" t="s">
        <v>77</v>
      </c>
      <c r="AY113" s="9" t="s">
        <v>77</v>
      </c>
      <c r="AZ113" s="9" t="s">
        <v>80</v>
      </c>
      <c r="BA113" s="9" t="s">
        <v>438</v>
      </c>
      <c r="BB113" s="9" t="s">
        <v>79</v>
      </c>
      <c r="BC113" s="9" t="s">
        <v>78</v>
      </c>
      <c r="BD113" s="9" t="s">
        <v>349</v>
      </c>
      <c r="BE113" s="9" t="s">
        <v>78</v>
      </c>
      <c r="BF113" s="9" t="s">
        <v>77</v>
      </c>
      <c r="BI113" s="9" t="s">
        <v>77</v>
      </c>
      <c r="BJ113" s="9" t="s">
        <v>80</v>
      </c>
      <c r="BK113" s="9" t="s">
        <v>348</v>
      </c>
      <c r="BL113" s="9" t="s">
        <v>689</v>
      </c>
      <c r="BM113" s="9" t="s">
        <v>80</v>
      </c>
      <c r="BN113" s="9" t="s">
        <v>348</v>
      </c>
      <c r="BO113" s="9" t="s">
        <v>689</v>
      </c>
      <c r="BP113" s="9" t="s">
        <v>77</v>
      </c>
      <c r="BQ113" s="9" t="s">
        <v>77</v>
      </c>
      <c r="BR113" s="9" t="s">
        <v>77</v>
      </c>
      <c r="BS113" s="9" t="s">
        <v>77</v>
      </c>
      <c r="BT113" s="9" t="s">
        <v>77</v>
      </c>
      <c r="BU113" s="9" t="s">
        <v>77</v>
      </c>
      <c r="BV113" s="9" t="s">
        <v>78</v>
      </c>
      <c r="BW113" s="9" t="s">
        <v>78</v>
      </c>
      <c r="BX113" s="9" t="s">
        <v>78</v>
      </c>
      <c r="CB113" s="9" t="s">
        <v>77</v>
      </c>
      <c r="CC113" s="9" t="s">
        <v>80</v>
      </c>
      <c r="CD113" s="9" t="s">
        <v>77</v>
      </c>
      <c r="CE113" s="9" t="s">
        <v>77</v>
      </c>
      <c r="CF113" s="9" t="s">
        <v>77</v>
      </c>
      <c r="CG113" s="9" t="s">
        <v>80</v>
      </c>
      <c r="CH113" s="9" t="s">
        <v>348</v>
      </c>
      <c r="CI113" s="9" t="s">
        <v>690</v>
      </c>
      <c r="CJ113" s="9" t="s">
        <v>80</v>
      </c>
      <c r="CK113" s="9" t="s">
        <v>348</v>
      </c>
      <c r="CL113" s="9" t="s">
        <v>690</v>
      </c>
      <c r="CM113" s="9" t="s">
        <v>77</v>
      </c>
      <c r="CN113" s="9" t="s">
        <v>77</v>
      </c>
      <c r="CO113" s="9" t="s">
        <v>78</v>
      </c>
      <c r="CS113" s="9" t="s">
        <v>80</v>
      </c>
      <c r="CT113" s="9" t="s">
        <v>348</v>
      </c>
      <c r="CU113" s="9" t="s">
        <v>689</v>
      </c>
      <c r="CV113" s="9" t="s">
        <v>80</v>
      </c>
      <c r="CW113" s="9" t="s">
        <v>348</v>
      </c>
      <c r="CX113" s="9" t="s">
        <v>689</v>
      </c>
      <c r="CY113" s="9" t="s">
        <v>77</v>
      </c>
      <c r="CZ113" s="9" t="s">
        <v>77</v>
      </c>
      <c r="DA113" s="9" t="s">
        <v>78</v>
      </c>
      <c r="DE113" s="9" t="s">
        <v>77</v>
      </c>
      <c r="DF113" s="9" t="s">
        <v>78</v>
      </c>
      <c r="DG113" s="9" t="s">
        <v>78</v>
      </c>
      <c r="DH113" s="9" t="s">
        <v>78</v>
      </c>
      <c r="DI113" s="9" t="s">
        <v>689</v>
      </c>
      <c r="DJ113" s="9" t="s">
        <v>77</v>
      </c>
      <c r="DK113" s="9" t="s">
        <v>77</v>
      </c>
      <c r="DN113" s="9" t="s">
        <v>77</v>
      </c>
      <c r="DO113" s="9" t="s">
        <v>77</v>
      </c>
      <c r="DP113" s="9" t="s">
        <v>80</v>
      </c>
      <c r="DQ113" s="9" t="s">
        <v>438</v>
      </c>
      <c r="DR113" s="9" t="s">
        <v>77</v>
      </c>
      <c r="DS113" s="9" t="s">
        <v>78</v>
      </c>
      <c r="DT113" s="9" t="s">
        <v>349</v>
      </c>
      <c r="DU113" s="9" t="s">
        <v>78</v>
      </c>
      <c r="DV113" s="9" t="s">
        <v>77</v>
      </c>
      <c r="DZ113" s="9" t="s">
        <v>77</v>
      </c>
      <c r="EA113" s="9" t="s">
        <v>77</v>
      </c>
      <c r="EB113" s="9" t="s">
        <v>80</v>
      </c>
      <c r="EC113" s="9" t="s">
        <v>438</v>
      </c>
      <c r="ED113" s="9" t="s">
        <v>77</v>
      </c>
      <c r="EE113" s="9" t="s">
        <v>78</v>
      </c>
      <c r="EF113" s="9" t="s">
        <v>349</v>
      </c>
      <c r="EG113" s="9" t="s">
        <v>78</v>
      </c>
      <c r="EH113" s="9" t="s">
        <v>77</v>
      </c>
      <c r="EL113" s="9" t="s">
        <v>77</v>
      </c>
      <c r="EM113" s="9" t="s">
        <v>77</v>
      </c>
      <c r="EN113" s="9" t="s">
        <v>80</v>
      </c>
      <c r="EO113" s="9" t="s">
        <v>438</v>
      </c>
      <c r="EP113" s="9" t="s">
        <v>77</v>
      </c>
      <c r="EQ113" s="9" t="s">
        <v>78</v>
      </c>
      <c r="ER113" s="9" t="s">
        <v>349</v>
      </c>
      <c r="ES113" s="9" t="s">
        <v>78</v>
      </c>
      <c r="ET113" s="9" t="s">
        <v>77</v>
      </c>
      <c r="EX113" s="9" t="s">
        <v>77</v>
      </c>
      <c r="EY113" s="9" t="s">
        <v>77</v>
      </c>
      <c r="EZ113" s="9" t="s">
        <v>80</v>
      </c>
      <c r="FA113" s="9" t="s">
        <v>438</v>
      </c>
      <c r="FB113" s="9" t="s">
        <v>77</v>
      </c>
      <c r="FC113" s="9" t="s">
        <v>78</v>
      </c>
      <c r="FD113" s="9" t="s">
        <v>349</v>
      </c>
      <c r="FE113" s="9" t="s">
        <v>78</v>
      </c>
      <c r="FF113" s="9" t="s">
        <v>77</v>
      </c>
    </row>
    <row r="114" spans="50:162">
      <c r="AX114" s="9" t="s">
        <v>77</v>
      </c>
      <c r="AY114" s="9" t="s">
        <v>77</v>
      </c>
      <c r="AZ114" s="9" t="s">
        <v>80</v>
      </c>
      <c r="BA114" s="9" t="s">
        <v>438</v>
      </c>
      <c r="BB114" s="9" t="s">
        <v>79</v>
      </c>
      <c r="BC114" s="9" t="s">
        <v>78</v>
      </c>
      <c r="BD114" s="9" t="s">
        <v>349</v>
      </c>
      <c r="BE114" s="9" t="s">
        <v>78</v>
      </c>
      <c r="BF114" s="9" t="s">
        <v>77</v>
      </c>
      <c r="BI114" s="9" t="s">
        <v>77</v>
      </c>
      <c r="BJ114" s="9" t="s">
        <v>80</v>
      </c>
      <c r="BK114" s="9" t="s">
        <v>348</v>
      </c>
      <c r="BL114" s="9" t="s">
        <v>691</v>
      </c>
      <c r="BM114" s="9" t="s">
        <v>80</v>
      </c>
      <c r="BN114" s="9" t="s">
        <v>348</v>
      </c>
      <c r="BO114" s="9" t="s">
        <v>691</v>
      </c>
      <c r="BP114" s="9" t="s">
        <v>77</v>
      </c>
      <c r="BQ114" s="9" t="s">
        <v>77</v>
      </c>
      <c r="BR114" s="9" t="s">
        <v>77</v>
      </c>
      <c r="BS114" s="9" t="s">
        <v>77</v>
      </c>
      <c r="BT114" s="9" t="s">
        <v>77</v>
      </c>
      <c r="BU114" s="9" t="s">
        <v>77</v>
      </c>
      <c r="BV114" s="9" t="s">
        <v>78</v>
      </c>
      <c r="BW114" s="9" t="s">
        <v>78</v>
      </c>
      <c r="BX114" s="9" t="s">
        <v>78</v>
      </c>
      <c r="CB114" s="9" t="s">
        <v>77</v>
      </c>
      <c r="CC114" s="9" t="s">
        <v>80</v>
      </c>
      <c r="CD114" s="9" t="s">
        <v>77</v>
      </c>
      <c r="CE114" s="9" t="s">
        <v>77</v>
      </c>
      <c r="CF114" s="9" t="s">
        <v>77</v>
      </c>
      <c r="CG114" s="9" t="s">
        <v>80</v>
      </c>
      <c r="CH114" s="9" t="s">
        <v>348</v>
      </c>
      <c r="CI114" s="9" t="s">
        <v>692</v>
      </c>
      <c r="CJ114" s="9" t="s">
        <v>80</v>
      </c>
      <c r="CK114" s="9" t="s">
        <v>348</v>
      </c>
      <c r="CL114" s="9" t="s">
        <v>692</v>
      </c>
      <c r="CM114" s="9" t="s">
        <v>77</v>
      </c>
      <c r="CN114" s="9" t="s">
        <v>77</v>
      </c>
      <c r="CO114" s="9" t="s">
        <v>78</v>
      </c>
      <c r="CS114" s="9" t="s">
        <v>80</v>
      </c>
      <c r="CT114" s="9" t="s">
        <v>348</v>
      </c>
      <c r="CU114" s="9" t="s">
        <v>692</v>
      </c>
      <c r="CV114" s="9" t="s">
        <v>80</v>
      </c>
      <c r="CW114" s="9" t="s">
        <v>348</v>
      </c>
      <c r="CX114" s="9" t="s">
        <v>692</v>
      </c>
      <c r="CY114" s="9" t="s">
        <v>77</v>
      </c>
      <c r="CZ114" s="9" t="s">
        <v>77</v>
      </c>
      <c r="DA114" s="9" t="s">
        <v>78</v>
      </c>
      <c r="DE114" s="9" t="s">
        <v>77</v>
      </c>
      <c r="DF114" s="9" t="s">
        <v>78</v>
      </c>
      <c r="DG114" s="9" t="s">
        <v>78</v>
      </c>
      <c r="DH114" s="9" t="s">
        <v>78</v>
      </c>
      <c r="DI114" s="9" t="s">
        <v>691</v>
      </c>
      <c r="DJ114" s="9" t="s">
        <v>77</v>
      </c>
      <c r="DK114" s="9" t="s">
        <v>77</v>
      </c>
      <c r="DN114" s="9" t="s">
        <v>77</v>
      </c>
      <c r="DO114" s="9" t="s">
        <v>77</v>
      </c>
      <c r="DP114" s="9" t="s">
        <v>80</v>
      </c>
      <c r="DQ114" s="9" t="s">
        <v>438</v>
      </c>
      <c r="DR114" s="9" t="s">
        <v>77</v>
      </c>
      <c r="DS114" s="9" t="s">
        <v>78</v>
      </c>
      <c r="DT114" s="9" t="s">
        <v>349</v>
      </c>
      <c r="DU114" s="9" t="s">
        <v>78</v>
      </c>
      <c r="DV114" s="9" t="s">
        <v>77</v>
      </c>
      <c r="DZ114" s="9" t="s">
        <v>77</v>
      </c>
      <c r="EA114" s="9" t="s">
        <v>77</v>
      </c>
      <c r="EB114" s="9" t="s">
        <v>80</v>
      </c>
      <c r="EC114" s="9" t="s">
        <v>438</v>
      </c>
      <c r="ED114" s="9" t="s">
        <v>77</v>
      </c>
      <c r="EE114" s="9" t="s">
        <v>78</v>
      </c>
      <c r="EF114" s="9" t="s">
        <v>349</v>
      </c>
      <c r="EG114" s="9" t="s">
        <v>78</v>
      </c>
      <c r="EH114" s="9" t="s">
        <v>77</v>
      </c>
      <c r="EL114" s="9" t="s">
        <v>77</v>
      </c>
      <c r="EM114" s="9" t="s">
        <v>77</v>
      </c>
      <c r="EN114" s="9" t="s">
        <v>80</v>
      </c>
      <c r="EO114" s="9" t="s">
        <v>438</v>
      </c>
      <c r="EP114" s="9" t="s">
        <v>77</v>
      </c>
      <c r="EQ114" s="9" t="s">
        <v>78</v>
      </c>
      <c r="ER114" s="9" t="s">
        <v>349</v>
      </c>
      <c r="ES114" s="9" t="s">
        <v>78</v>
      </c>
      <c r="ET114" s="9" t="s">
        <v>77</v>
      </c>
      <c r="EX114" s="9" t="s">
        <v>77</v>
      </c>
      <c r="EY114" s="9" t="s">
        <v>77</v>
      </c>
      <c r="EZ114" s="9" t="s">
        <v>80</v>
      </c>
      <c r="FA114" s="9" t="s">
        <v>438</v>
      </c>
      <c r="FB114" s="9" t="s">
        <v>77</v>
      </c>
      <c r="FC114" s="9" t="s">
        <v>78</v>
      </c>
      <c r="FD114" s="9" t="s">
        <v>349</v>
      </c>
      <c r="FE114" s="9" t="s">
        <v>78</v>
      </c>
      <c r="FF114" s="9" t="s">
        <v>77</v>
      </c>
    </row>
    <row r="115" spans="50:162">
      <c r="AX115" s="9" t="s">
        <v>77</v>
      </c>
      <c r="AY115" s="9" t="s">
        <v>77</v>
      </c>
      <c r="AZ115" s="9" t="s">
        <v>80</v>
      </c>
      <c r="BA115" s="9" t="s">
        <v>438</v>
      </c>
      <c r="BB115" s="9" t="s">
        <v>79</v>
      </c>
      <c r="BC115" s="9" t="s">
        <v>78</v>
      </c>
      <c r="BD115" s="9" t="s">
        <v>349</v>
      </c>
      <c r="BE115" s="9" t="s">
        <v>78</v>
      </c>
      <c r="BF115" s="9" t="s">
        <v>77</v>
      </c>
      <c r="BI115" s="9" t="s">
        <v>77</v>
      </c>
      <c r="BJ115" s="9" t="s">
        <v>80</v>
      </c>
      <c r="BK115" s="9" t="s">
        <v>348</v>
      </c>
      <c r="BL115" s="9" t="s">
        <v>693</v>
      </c>
      <c r="BM115" s="9" t="s">
        <v>80</v>
      </c>
      <c r="BN115" s="9" t="s">
        <v>348</v>
      </c>
      <c r="BO115" s="9" t="s">
        <v>693</v>
      </c>
      <c r="BP115" s="9" t="s">
        <v>77</v>
      </c>
      <c r="BQ115" s="9" t="s">
        <v>77</v>
      </c>
      <c r="BR115" s="9" t="s">
        <v>77</v>
      </c>
      <c r="BS115" s="9" t="s">
        <v>77</v>
      </c>
      <c r="BT115" s="9" t="s">
        <v>77</v>
      </c>
      <c r="BU115" s="9" t="s">
        <v>77</v>
      </c>
      <c r="BV115" s="9" t="s">
        <v>78</v>
      </c>
      <c r="BW115" s="9" t="s">
        <v>78</v>
      </c>
      <c r="BX115" s="9" t="s">
        <v>78</v>
      </c>
      <c r="CB115" s="9" t="s">
        <v>77</v>
      </c>
      <c r="CC115" s="9" t="s">
        <v>80</v>
      </c>
      <c r="CD115" s="9" t="s">
        <v>77</v>
      </c>
      <c r="CE115" s="9" t="s">
        <v>77</v>
      </c>
      <c r="CF115" s="9" t="s">
        <v>77</v>
      </c>
      <c r="CG115" s="9" t="s">
        <v>80</v>
      </c>
      <c r="CH115" s="9" t="s">
        <v>348</v>
      </c>
      <c r="CI115" s="9" t="s">
        <v>694</v>
      </c>
      <c r="CJ115" s="9" t="s">
        <v>80</v>
      </c>
      <c r="CK115" s="9" t="s">
        <v>348</v>
      </c>
      <c r="CL115" s="9" t="s">
        <v>694</v>
      </c>
      <c r="CM115" s="9" t="s">
        <v>77</v>
      </c>
      <c r="CN115" s="9" t="s">
        <v>77</v>
      </c>
      <c r="CO115" s="9" t="s">
        <v>78</v>
      </c>
      <c r="CS115" s="9" t="s">
        <v>80</v>
      </c>
      <c r="CT115" s="9" t="s">
        <v>348</v>
      </c>
      <c r="CU115" s="9" t="s">
        <v>693</v>
      </c>
      <c r="CV115" s="9" t="s">
        <v>80</v>
      </c>
      <c r="CW115" s="9" t="s">
        <v>348</v>
      </c>
      <c r="CX115" s="9" t="s">
        <v>693</v>
      </c>
      <c r="CY115" s="9" t="s">
        <v>77</v>
      </c>
      <c r="CZ115" s="9" t="s">
        <v>77</v>
      </c>
      <c r="DA115" s="9" t="s">
        <v>78</v>
      </c>
      <c r="DE115" s="9" t="s">
        <v>77</v>
      </c>
      <c r="DF115" s="9" t="s">
        <v>78</v>
      </c>
      <c r="DG115" s="9" t="s">
        <v>78</v>
      </c>
      <c r="DH115" s="9" t="s">
        <v>78</v>
      </c>
      <c r="DI115" s="9" t="s">
        <v>695</v>
      </c>
      <c r="DJ115" s="9" t="s">
        <v>77</v>
      </c>
      <c r="DK115" s="9" t="s">
        <v>77</v>
      </c>
      <c r="DN115" s="9" t="s">
        <v>77</v>
      </c>
      <c r="DO115" s="9" t="s">
        <v>77</v>
      </c>
      <c r="DP115" s="9" t="s">
        <v>80</v>
      </c>
      <c r="DQ115" s="9" t="s">
        <v>438</v>
      </c>
      <c r="DR115" s="9" t="s">
        <v>77</v>
      </c>
      <c r="DS115" s="9" t="s">
        <v>78</v>
      </c>
      <c r="DT115" s="9" t="s">
        <v>349</v>
      </c>
      <c r="DU115" s="9" t="s">
        <v>78</v>
      </c>
      <c r="DV115" s="9" t="s">
        <v>77</v>
      </c>
      <c r="DZ115" s="9" t="s">
        <v>77</v>
      </c>
      <c r="EA115" s="9" t="s">
        <v>77</v>
      </c>
      <c r="EB115" s="9" t="s">
        <v>80</v>
      </c>
      <c r="EC115" s="9" t="s">
        <v>438</v>
      </c>
      <c r="ED115" s="9" t="s">
        <v>77</v>
      </c>
      <c r="EE115" s="9" t="s">
        <v>78</v>
      </c>
      <c r="EF115" s="9" t="s">
        <v>349</v>
      </c>
      <c r="EG115" s="9" t="s">
        <v>78</v>
      </c>
      <c r="EH115" s="9" t="s">
        <v>77</v>
      </c>
      <c r="EL115" s="9" t="s">
        <v>77</v>
      </c>
      <c r="EM115" s="9" t="s">
        <v>77</v>
      </c>
      <c r="EN115" s="9" t="s">
        <v>80</v>
      </c>
      <c r="EO115" s="9" t="s">
        <v>438</v>
      </c>
      <c r="EP115" s="9" t="s">
        <v>77</v>
      </c>
      <c r="EQ115" s="9" t="s">
        <v>78</v>
      </c>
      <c r="ER115" s="9" t="s">
        <v>349</v>
      </c>
      <c r="ES115" s="9" t="s">
        <v>78</v>
      </c>
      <c r="ET115" s="9" t="s">
        <v>77</v>
      </c>
      <c r="EX115" s="9" t="s">
        <v>77</v>
      </c>
      <c r="EY115" s="9" t="s">
        <v>77</v>
      </c>
      <c r="EZ115" s="9" t="s">
        <v>80</v>
      </c>
      <c r="FA115" s="9" t="s">
        <v>438</v>
      </c>
      <c r="FB115" s="9" t="s">
        <v>77</v>
      </c>
      <c r="FC115" s="9" t="s">
        <v>78</v>
      </c>
      <c r="FD115" s="9" t="s">
        <v>349</v>
      </c>
      <c r="FE115" s="9" t="s">
        <v>78</v>
      </c>
      <c r="FF115" s="9" t="s">
        <v>77</v>
      </c>
    </row>
    <row r="116" spans="50:162">
      <c r="AX116" s="9" t="s">
        <v>77</v>
      </c>
      <c r="AY116" s="9" t="s">
        <v>77</v>
      </c>
      <c r="AZ116" s="9" t="s">
        <v>80</v>
      </c>
      <c r="BA116" s="9" t="s">
        <v>438</v>
      </c>
      <c r="BB116" s="9" t="s">
        <v>79</v>
      </c>
      <c r="BC116" s="9" t="s">
        <v>78</v>
      </c>
      <c r="BD116" s="9" t="s">
        <v>349</v>
      </c>
      <c r="BE116" s="9" t="s">
        <v>78</v>
      </c>
      <c r="BF116" s="9" t="s">
        <v>77</v>
      </c>
      <c r="BI116" s="9" t="s">
        <v>77</v>
      </c>
      <c r="BJ116" s="9" t="s">
        <v>80</v>
      </c>
      <c r="BK116" s="9" t="s">
        <v>348</v>
      </c>
      <c r="BL116" s="9" t="s">
        <v>696</v>
      </c>
      <c r="BM116" s="9" t="s">
        <v>80</v>
      </c>
      <c r="BN116" s="9" t="s">
        <v>348</v>
      </c>
      <c r="BO116" s="9" t="s">
        <v>696</v>
      </c>
      <c r="BP116" s="9" t="s">
        <v>77</v>
      </c>
      <c r="BQ116" s="9" t="s">
        <v>77</v>
      </c>
      <c r="BR116" s="9" t="s">
        <v>77</v>
      </c>
      <c r="BS116" s="9" t="s">
        <v>77</v>
      </c>
      <c r="BT116" s="9" t="s">
        <v>77</v>
      </c>
      <c r="BU116" s="9" t="s">
        <v>77</v>
      </c>
      <c r="BV116" s="9" t="s">
        <v>78</v>
      </c>
      <c r="BW116" s="9" t="s">
        <v>78</v>
      </c>
      <c r="BX116" s="9" t="s">
        <v>78</v>
      </c>
      <c r="CB116" s="9" t="s">
        <v>77</v>
      </c>
      <c r="CC116" s="9" t="s">
        <v>80</v>
      </c>
      <c r="CD116" s="9" t="s">
        <v>77</v>
      </c>
      <c r="CE116" s="9" t="s">
        <v>77</v>
      </c>
      <c r="CF116" s="9" t="s">
        <v>77</v>
      </c>
      <c r="CG116" s="9" t="s">
        <v>80</v>
      </c>
      <c r="CH116" s="9" t="s">
        <v>348</v>
      </c>
      <c r="CI116" s="9" t="s">
        <v>697</v>
      </c>
      <c r="CJ116" s="9" t="s">
        <v>80</v>
      </c>
      <c r="CK116" s="9" t="s">
        <v>348</v>
      </c>
      <c r="CL116" s="9" t="s">
        <v>697</v>
      </c>
      <c r="CM116" s="9" t="s">
        <v>77</v>
      </c>
      <c r="CN116" s="9" t="s">
        <v>77</v>
      </c>
      <c r="CO116" s="9" t="s">
        <v>78</v>
      </c>
      <c r="CS116" s="9" t="s">
        <v>80</v>
      </c>
      <c r="CT116" s="9" t="s">
        <v>348</v>
      </c>
      <c r="CU116" s="9" t="s">
        <v>696</v>
      </c>
      <c r="CV116" s="9" t="s">
        <v>80</v>
      </c>
      <c r="CW116" s="9" t="s">
        <v>348</v>
      </c>
      <c r="CX116" s="9" t="s">
        <v>696</v>
      </c>
      <c r="CY116" s="9" t="s">
        <v>77</v>
      </c>
      <c r="CZ116" s="9" t="s">
        <v>77</v>
      </c>
      <c r="DA116" s="9" t="s">
        <v>78</v>
      </c>
      <c r="DE116" s="9" t="s">
        <v>77</v>
      </c>
      <c r="DF116" s="9" t="s">
        <v>78</v>
      </c>
      <c r="DG116" s="9" t="s">
        <v>78</v>
      </c>
      <c r="DH116" s="9" t="s">
        <v>78</v>
      </c>
      <c r="DI116" s="9" t="s">
        <v>698</v>
      </c>
      <c r="DJ116" s="9" t="s">
        <v>77</v>
      </c>
      <c r="DK116" s="9" t="s">
        <v>77</v>
      </c>
      <c r="DN116" s="9" t="s">
        <v>77</v>
      </c>
      <c r="DO116" s="9" t="s">
        <v>77</v>
      </c>
      <c r="DP116" s="9" t="s">
        <v>80</v>
      </c>
      <c r="DQ116" s="9" t="s">
        <v>438</v>
      </c>
      <c r="DR116" s="9" t="s">
        <v>77</v>
      </c>
      <c r="DS116" s="9" t="s">
        <v>78</v>
      </c>
      <c r="DT116" s="9" t="s">
        <v>349</v>
      </c>
      <c r="DU116" s="9" t="s">
        <v>78</v>
      </c>
      <c r="DV116" s="9" t="s">
        <v>77</v>
      </c>
      <c r="DZ116" s="9" t="s">
        <v>77</v>
      </c>
      <c r="EA116" s="9" t="s">
        <v>77</v>
      </c>
      <c r="EB116" s="9" t="s">
        <v>80</v>
      </c>
      <c r="EC116" s="9" t="s">
        <v>438</v>
      </c>
      <c r="ED116" s="9" t="s">
        <v>77</v>
      </c>
      <c r="EE116" s="9" t="s">
        <v>78</v>
      </c>
      <c r="EF116" s="9" t="s">
        <v>349</v>
      </c>
      <c r="EG116" s="9" t="s">
        <v>78</v>
      </c>
      <c r="EH116" s="9" t="s">
        <v>77</v>
      </c>
      <c r="EL116" s="9" t="s">
        <v>77</v>
      </c>
      <c r="EM116" s="9" t="s">
        <v>77</v>
      </c>
      <c r="EN116" s="9" t="s">
        <v>80</v>
      </c>
      <c r="EO116" s="9" t="s">
        <v>438</v>
      </c>
      <c r="EP116" s="9" t="s">
        <v>77</v>
      </c>
      <c r="EQ116" s="9" t="s">
        <v>78</v>
      </c>
      <c r="ER116" s="9" t="s">
        <v>349</v>
      </c>
      <c r="ES116" s="9" t="s">
        <v>78</v>
      </c>
      <c r="ET116" s="9" t="s">
        <v>77</v>
      </c>
      <c r="EX116" s="9" t="s">
        <v>77</v>
      </c>
      <c r="EY116" s="9" t="s">
        <v>77</v>
      </c>
      <c r="EZ116" s="9" t="s">
        <v>80</v>
      </c>
      <c r="FA116" s="9" t="s">
        <v>438</v>
      </c>
      <c r="FB116" s="9" t="s">
        <v>77</v>
      </c>
      <c r="FC116" s="9" t="s">
        <v>78</v>
      </c>
      <c r="FD116" s="9" t="s">
        <v>349</v>
      </c>
      <c r="FE116" s="9" t="s">
        <v>78</v>
      </c>
      <c r="FF116" s="9" t="s">
        <v>77</v>
      </c>
    </row>
    <row r="117" spans="50:162">
      <c r="AX117" s="9" t="s">
        <v>77</v>
      </c>
      <c r="AY117" s="9" t="s">
        <v>77</v>
      </c>
      <c r="AZ117" s="9" t="s">
        <v>80</v>
      </c>
      <c r="BA117" s="9" t="s">
        <v>438</v>
      </c>
      <c r="BB117" s="9" t="s">
        <v>79</v>
      </c>
      <c r="BC117" s="9" t="s">
        <v>78</v>
      </c>
      <c r="BD117" s="9" t="s">
        <v>349</v>
      </c>
      <c r="BE117" s="9" t="s">
        <v>78</v>
      </c>
      <c r="BF117" s="9" t="s">
        <v>77</v>
      </c>
      <c r="BI117" s="9" t="s">
        <v>77</v>
      </c>
      <c r="BJ117" s="9" t="s">
        <v>80</v>
      </c>
      <c r="BK117" s="9" t="s">
        <v>348</v>
      </c>
      <c r="BL117" s="9" t="s">
        <v>699</v>
      </c>
      <c r="BM117" s="9" t="s">
        <v>80</v>
      </c>
      <c r="BN117" s="9" t="s">
        <v>348</v>
      </c>
      <c r="BO117" s="9" t="s">
        <v>699</v>
      </c>
      <c r="BP117" s="9" t="s">
        <v>77</v>
      </c>
      <c r="BQ117" s="9" t="s">
        <v>77</v>
      </c>
      <c r="BR117" s="9" t="s">
        <v>77</v>
      </c>
      <c r="BS117" s="9" t="s">
        <v>77</v>
      </c>
      <c r="BT117" s="9" t="s">
        <v>77</v>
      </c>
      <c r="BU117" s="9" t="s">
        <v>77</v>
      </c>
      <c r="BV117" s="9" t="s">
        <v>78</v>
      </c>
      <c r="BW117" s="9" t="s">
        <v>78</v>
      </c>
      <c r="BX117" s="9" t="s">
        <v>78</v>
      </c>
      <c r="CB117" s="9" t="s">
        <v>77</v>
      </c>
      <c r="CC117" s="9" t="s">
        <v>80</v>
      </c>
      <c r="CD117" s="9" t="s">
        <v>77</v>
      </c>
      <c r="CE117" s="9" t="s">
        <v>77</v>
      </c>
      <c r="CF117" s="9" t="s">
        <v>77</v>
      </c>
      <c r="CG117" s="9" t="s">
        <v>80</v>
      </c>
      <c r="CH117" s="9" t="s">
        <v>348</v>
      </c>
      <c r="CI117" s="9" t="s">
        <v>699</v>
      </c>
      <c r="CJ117" s="9" t="s">
        <v>80</v>
      </c>
      <c r="CK117" s="9" t="s">
        <v>348</v>
      </c>
      <c r="CL117" s="9" t="s">
        <v>699</v>
      </c>
      <c r="CM117" s="9" t="s">
        <v>77</v>
      </c>
      <c r="CN117" s="9" t="s">
        <v>77</v>
      </c>
      <c r="CO117" s="9" t="s">
        <v>78</v>
      </c>
      <c r="CS117" s="9" t="s">
        <v>80</v>
      </c>
      <c r="CT117" s="9" t="s">
        <v>348</v>
      </c>
      <c r="CU117" s="9" t="s">
        <v>699</v>
      </c>
      <c r="CV117" s="9" t="s">
        <v>80</v>
      </c>
      <c r="CW117" s="9" t="s">
        <v>348</v>
      </c>
      <c r="CX117" s="9" t="s">
        <v>699</v>
      </c>
      <c r="CY117" s="9" t="s">
        <v>77</v>
      </c>
      <c r="CZ117" s="9" t="s">
        <v>77</v>
      </c>
      <c r="DA117" s="9" t="s">
        <v>78</v>
      </c>
      <c r="DE117" s="9" t="s">
        <v>77</v>
      </c>
      <c r="DF117" s="9" t="s">
        <v>78</v>
      </c>
      <c r="DG117" s="9" t="s">
        <v>78</v>
      </c>
      <c r="DH117" s="9" t="s">
        <v>78</v>
      </c>
      <c r="DI117" s="9" t="s">
        <v>700</v>
      </c>
      <c r="DJ117" s="9" t="s">
        <v>77</v>
      </c>
      <c r="DK117" s="9" t="s">
        <v>77</v>
      </c>
      <c r="DN117" s="9" t="s">
        <v>77</v>
      </c>
      <c r="DO117" s="9" t="s">
        <v>77</v>
      </c>
      <c r="DP117" s="9" t="s">
        <v>80</v>
      </c>
      <c r="DQ117" s="9" t="s">
        <v>438</v>
      </c>
      <c r="DR117" s="9" t="s">
        <v>77</v>
      </c>
      <c r="DS117" s="9" t="s">
        <v>78</v>
      </c>
      <c r="DT117" s="9" t="s">
        <v>349</v>
      </c>
      <c r="DU117" s="9" t="s">
        <v>78</v>
      </c>
      <c r="DV117" s="9" t="s">
        <v>77</v>
      </c>
      <c r="DZ117" s="9" t="s">
        <v>77</v>
      </c>
      <c r="EA117" s="9" t="s">
        <v>77</v>
      </c>
      <c r="EB117" s="9" t="s">
        <v>80</v>
      </c>
      <c r="EC117" s="9" t="s">
        <v>438</v>
      </c>
      <c r="ED117" s="9" t="s">
        <v>77</v>
      </c>
      <c r="EE117" s="9" t="s">
        <v>78</v>
      </c>
      <c r="EF117" s="9" t="s">
        <v>349</v>
      </c>
      <c r="EG117" s="9" t="s">
        <v>78</v>
      </c>
      <c r="EH117" s="9" t="s">
        <v>77</v>
      </c>
      <c r="EL117" s="9" t="s">
        <v>77</v>
      </c>
      <c r="EM117" s="9" t="s">
        <v>77</v>
      </c>
      <c r="EN117" s="9" t="s">
        <v>80</v>
      </c>
      <c r="EO117" s="9" t="s">
        <v>438</v>
      </c>
      <c r="EP117" s="9" t="s">
        <v>77</v>
      </c>
      <c r="EQ117" s="9" t="s">
        <v>78</v>
      </c>
      <c r="ER117" s="9" t="s">
        <v>349</v>
      </c>
      <c r="ES117" s="9" t="s">
        <v>78</v>
      </c>
      <c r="ET117" s="9" t="s">
        <v>77</v>
      </c>
      <c r="EX117" s="9" t="s">
        <v>77</v>
      </c>
      <c r="EY117" s="9" t="s">
        <v>77</v>
      </c>
      <c r="EZ117" s="9" t="s">
        <v>80</v>
      </c>
      <c r="FA117" s="9" t="s">
        <v>438</v>
      </c>
      <c r="FB117" s="9" t="s">
        <v>77</v>
      </c>
      <c r="FC117" s="9" t="s">
        <v>78</v>
      </c>
      <c r="FD117" s="9" t="s">
        <v>349</v>
      </c>
      <c r="FE117" s="9" t="s">
        <v>78</v>
      </c>
      <c r="FF117" s="9" t="s">
        <v>77</v>
      </c>
    </row>
    <row r="118" spans="50:162">
      <c r="AX118" s="9" t="s">
        <v>77</v>
      </c>
      <c r="AY118" s="9" t="s">
        <v>77</v>
      </c>
      <c r="AZ118" s="9" t="s">
        <v>80</v>
      </c>
      <c r="BA118" s="9" t="s">
        <v>438</v>
      </c>
      <c r="BB118" s="9" t="s">
        <v>79</v>
      </c>
      <c r="BC118" s="9" t="s">
        <v>78</v>
      </c>
      <c r="BD118" s="9" t="s">
        <v>349</v>
      </c>
      <c r="BE118" s="9" t="s">
        <v>78</v>
      </c>
      <c r="BF118" s="9" t="s">
        <v>77</v>
      </c>
      <c r="BI118" s="9" t="s">
        <v>77</v>
      </c>
      <c r="BJ118" s="9" t="s">
        <v>80</v>
      </c>
      <c r="BK118" s="9" t="s">
        <v>348</v>
      </c>
      <c r="BL118" s="9" t="s">
        <v>701</v>
      </c>
      <c r="BM118" s="9" t="s">
        <v>80</v>
      </c>
      <c r="BN118" s="9" t="s">
        <v>348</v>
      </c>
      <c r="BO118" s="9" t="s">
        <v>701</v>
      </c>
      <c r="BP118" s="9" t="s">
        <v>77</v>
      </c>
      <c r="BQ118" s="9" t="s">
        <v>77</v>
      </c>
      <c r="BR118" s="9" t="s">
        <v>77</v>
      </c>
      <c r="BS118" s="9" t="s">
        <v>77</v>
      </c>
      <c r="BT118" s="9" t="s">
        <v>77</v>
      </c>
      <c r="BU118" s="9" t="s">
        <v>77</v>
      </c>
      <c r="BV118" s="9" t="s">
        <v>78</v>
      </c>
      <c r="BW118" s="9" t="s">
        <v>78</v>
      </c>
      <c r="BX118" s="9" t="s">
        <v>78</v>
      </c>
      <c r="CB118" s="9" t="s">
        <v>77</v>
      </c>
      <c r="CC118" s="9" t="s">
        <v>80</v>
      </c>
      <c r="CD118" s="9" t="s">
        <v>77</v>
      </c>
      <c r="CE118" s="9" t="s">
        <v>77</v>
      </c>
      <c r="CF118" s="9" t="s">
        <v>77</v>
      </c>
      <c r="CG118" s="9" t="s">
        <v>80</v>
      </c>
      <c r="CH118" s="9" t="s">
        <v>348</v>
      </c>
      <c r="CI118" s="9" t="s">
        <v>702</v>
      </c>
      <c r="CJ118" s="9" t="s">
        <v>80</v>
      </c>
      <c r="CK118" s="9" t="s">
        <v>348</v>
      </c>
      <c r="CL118" s="9" t="s">
        <v>702</v>
      </c>
      <c r="CM118" s="9" t="s">
        <v>77</v>
      </c>
      <c r="CN118" s="9" t="s">
        <v>77</v>
      </c>
      <c r="CO118" s="9" t="s">
        <v>78</v>
      </c>
      <c r="CS118" s="9" t="s">
        <v>80</v>
      </c>
      <c r="CT118" s="9" t="s">
        <v>348</v>
      </c>
      <c r="CU118" s="9" t="s">
        <v>701</v>
      </c>
      <c r="CV118" s="9" t="s">
        <v>80</v>
      </c>
      <c r="CW118" s="9" t="s">
        <v>348</v>
      </c>
      <c r="CX118" s="9" t="s">
        <v>701</v>
      </c>
      <c r="CY118" s="9" t="s">
        <v>77</v>
      </c>
      <c r="CZ118" s="9" t="s">
        <v>77</v>
      </c>
      <c r="DA118" s="9" t="s">
        <v>78</v>
      </c>
      <c r="DE118" s="9" t="s">
        <v>77</v>
      </c>
      <c r="DF118" s="9" t="s">
        <v>78</v>
      </c>
      <c r="DG118" s="9" t="s">
        <v>78</v>
      </c>
      <c r="DH118" s="9" t="s">
        <v>78</v>
      </c>
      <c r="DI118" s="9" t="s">
        <v>701</v>
      </c>
      <c r="DJ118" s="9" t="s">
        <v>77</v>
      </c>
      <c r="DK118" s="9" t="s">
        <v>77</v>
      </c>
      <c r="DN118" s="9" t="s">
        <v>77</v>
      </c>
      <c r="DO118" s="9" t="s">
        <v>77</v>
      </c>
      <c r="DP118" s="9" t="s">
        <v>80</v>
      </c>
      <c r="DQ118" s="9" t="s">
        <v>438</v>
      </c>
      <c r="DR118" s="9" t="s">
        <v>77</v>
      </c>
      <c r="DS118" s="9" t="s">
        <v>78</v>
      </c>
      <c r="DT118" s="9" t="s">
        <v>349</v>
      </c>
      <c r="DU118" s="9" t="s">
        <v>78</v>
      </c>
      <c r="DV118" s="9" t="s">
        <v>77</v>
      </c>
      <c r="DZ118" s="9" t="s">
        <v>77</v>
      </c>
      <c r="EA118" s="9" t="s">
        <v>77</v>
      </c>
      <c r="EB118" s="9" t="s">
        <v>80</v>
      </c>
      <c r="EC118" s="9" t="s">
        <v>438</v>
      </c>
      <c r="ED118" s="9" t="s">
        <v>77</v>
      </c>
      <c r="EE118" s="9" t="s">
        <v>78</v>
      </c>
      <c r="EF118" s="9" t="s">
        <v>349</v>
      </c>
      <c r="EG118" s="9" t="s">
        <v>78</v>
      </c>
      <c r="EH118" s="9" t="s">
        <v>77</v>
      </c>
      <c r="EL118" s="9" t="s">
        <v>77</v>
      </c>
      <c r="EM118" s="9" t="s">
        <v>77</v>
      </c>
      <c r="EN118" s="9" t="s">
        <v>80</v>
      </c>
      <c r="EO118" s="9" t="s">
        <v>438</v>
      </c>
      <c r="EP118" s="9" t="s">
        <v>77</v>
      </c>
      <c r="EQ118" s="9" t="s">
        <v>78</v>
      </c>
      <c r="ER118" s="9" t="s">
        <v>349</v>
      </c>
      <c r="ES118" s="9" t="s">
        <v>78</v>
      </c>
      <c r="ET118" s="9" t="s">
        <v>77</v>
      </c>
      <c r="EX118" s="9" t="s">
        <v>77</v>
      </c>
      <c r="EY118" s="9" t="s">
        <v>77</v>
      </c>
      <c r="EZ118" s="9" t="s">
        <v>80</v>
      </c>
      <c r="FA118" s="9" t="s">
        <v>438</v>
      </c>
      <c r="FB118" s="9" t="s">
        <v>77</v>
      </c>
      <c r="FC118" s="9" t="s">
        <v>78</v>
      </c>
      <c r="FD118" s="9" t="s">
        <v>349</v>
      </c>
      <c r="FE118" s="9" t="s">
        <v>78</v>
      </c>
      <c r="FF118" s="9" t="s">
        <v>77</v>
      </c>
    </row>
    <row r="119" spans="50:162">
      <c r="AX119" s="9" t="s">
        <v>77</v>
      </c>
      <c r="AY119" s="9" t="s">
        <v>77</v>
      </c>
      <c r="AZ119" s="9" t="s">
        <v>80</v>
      </c>
      <c r="BA119" s="9" t="s">
        <v>438</v>
      </c>
      <c r="BB119" s="9" t="s">
        <v>79</v>
      </c>
      <c r="BC119" s="9" t="s">
        <v>78</v>
      </c>
      <c r="BD119" s="9" t="s">
        <v>349</v>
      </c>
      <c r="BE119" s="9" t="s">
        <v>78</v>
      </c>
      <c r="BF119" s="9" t="s">
        <v>77</v>
      </c>
      <c r="BI119" s="9" t="s">
        <v>77</v>
      </c>
      <c r="BJ119" s="9" t="s">
        <v>80</v>
      </c>
      <c r="BK119" s="9" t="s">
        <v>348</v>
      </c>
      <c r="BL119" s="9" t="s">
        <v>703</v>
      </c>
      <c r="BM119" s="9" t="s">
        <v>80</v>
      </c>
      <c r="BN119" s="9" t="s">
        <v>348</v>
      </c>
      <c r="BO119" s="9" t="s">
        <v>703</v>
      </c>
      <c r="BP119" s="9" t="s">
        <v>77</v>
      </c>
      <c r="BQ119" s="9" t="s">
        <v>77</v>
      </c>
      <c r="BR119" s="9" t="s">
        <v>77</v>
      </c>
      <c r="BS119" s="9" t="s">
        <v>77</v>
      </c>
      <c r="BT119" s="9" t="s">
        <v>77</v>
      </c>
      <c r="BU119" s="9" t="s">
        <v>77</v>
      </c>
      <c r="BV119" s="9" t="s">
        <v>78</v>
      </c>
      <c r="BW119" s="9" t="s">
        <v>78</v>
      </c>
      <c r="BX119" s="9" t="s">
        <v>78</v>
      </c>
      <c r="CB119" s="9" t="s">
        <v>77</v>
      </c>
      <c r="CC119" s="9" t="s">
        <v>80</v>
      </c>
      <c r="CD119" s="9" t="s">
        <v>77</v>
      </c>
      <c r="CE119" s="9" t="s">
        <v>77</v>
      </c>
      <c r="CF119" s="9" t="s">
        <v>77</v>
      </c>
      <c r="CG119" s="9" t="s">
        <v>80</v>
      </c>
      <c r="CH119" s="9" t="s">
        <v>348</v>
      </c>
      <c r="CI119" s="9" t="s">
        <v>704</v>
      </c>
      <c r="CJ119" s="9" t="s">
        <v>80</v>
      </c>
      <c r="CK119" s="9" t="s">
        <v>348</v>
      </c>
      <c r="CL119" s="9" t="s">
        <v>704</v>
      </c>
      <c r="CM119" s="9" t="s">
        <v>77</v>
      </c>
      <c r="CN119" s="9" t="s">
        <v>77</v>
      </c>
      <c r="CO119" s="9" t="s">
        <v>78</v>
      </c>
      <c r="CS119" s="9" t="s">
        <v>80</v>
      </c>
      <c r="CT119" s="9" t="s">
        <v>348</v>
      </c>
      <c r="CU119" s="9" t="s">
        <v>703</v>
      </c>
      <c r="CV119" s="9" t="s">
        <v>80</v>
      </c>
      <c r="CW119" s="9" t="s">
        <v>348</v>
      </c>
      <c r="CX119" s="9" t="s">
        <v>703</v>
      </c>
      <c r="CY119" s="9" t="s">
        <v>77</v>
      </c>
      <c r="CZ119" s="9" t="s">
        <v>77</v>
      </c>
      <c r="DA119" s="9" t="s">
        <v>78</v>
      </c>
      <c r="DE119" s="9" t="s">
        <v>77</v>
      </c>
      <c r="DF119" s="9" t="s">
        <v>78</v>
      </c>
      <c r="DG119" s="9" t="s">
        <v>78</v>
      </c>
      <c r="DH119" s="9" t="s">
        <v>78</v>
      </c>
      <c r="DI119" s="9" t="s">
        <v>703</v>
      </c>
      <c r="DJ119" s="9" t="s">
        <v>77</v>
      </c>
      <c r="DK119" s="9" t="s">
        <v>77</v>
      </c>
      <c r="DN119" s="9" t="s">
        <v>77</v>
      </c>
      <c r="DO119" s="9" t="s">
        <v>77</v>
      </c>
      <c r="DP119" s="9" t="s">
        <v>80</v>
      </c>
      <c r="DQ119" s="9" t="s">
        <v>438</v>
      </c>
      <c r="DR119" s="9" t="s">
        <v>77</v>
      </c>
      <c r="DS119" s="9" t="s">
        <v>78</v>
      </c>
      <c r="DT119" s="9" t="s">
        <v>349</v>
      </c>
      <c r="DU119" s="9" t="s">
        <v>78</v>
      </c>
      <c r="DV119" s="9" t="s">
        <v>77</v>
      </c>
      <c r="DZ119" s="9" t="s">
        <v>77</v>
      </c>
      <c r="EA119" s="9" t="s">
        <v>77</v>
      </c>
      <c r="EB119" s="9" t="s">
        <v>80</v>
      </c>
      <c r="EC119" s="9" t="s">
        <v>438</v>
      </c>
      <c r="ED119" s="9" t="s">
        <v>77</v>
      </c>
      <c r="EE119" s="9" t="s">
        <v>78</v>
      </c>
      <c r="EF119" s="9" t="s">
        <v>349</v>
      </c>
      <c r="EG119" s="9" t="s">
        <v>78</v>
      </c>
      <c r="EH119" s="9" t="s">
        <v>77</v>
      </c>
      <c r="EL119" s="9" t="s">
        <v>77</v>
      </c>
      <c r="EM119" s="9" t="s">
        <v>77</v>
      </c>
      <c r="EN119" s="9" t="s">
        <v>80</v>
      </c>
      <c r="EO119" s="9" t="s">
        <v>438</v>
      </c>
      <c r="EP119" s="9" t="s">
        <v>77</v>
      </c>
      <c r="EQ119" s="9" t="s">
        <v>78</v>
      </c>
      <c r="ER119" s="9" t="s">
        <v>349</v>
      </c>
      <c r="ES119" s="9" t="s">
        <v>78</v>
      </c>
      <c r="ET119" s="9" t="s">
        <v>77</v>
      </c>
      <c r="EX119" s="9" t="s">
        <v>77</v>
      </c>
      <c r="EY119" s="9" t="s">
        <v>77</v>
      </c>
      <c r="EZ119" s="9" t="s">
        <v>80</v>
      </c>
      <c r="FA119" s="9" t="s">
        <v>438</v>
      </c>
      <c r="FB119" s="9" t="s">
        <v>77</v>
      </c>
      <c r="FC119" s="9" t="s">
        <v>78</v>
      </c>
      <c r="FD119" s="9" t="s">
        <v>349</v>
      </c>
      <c r="FE119" s="9" t="s">
        <v>78</v>
      </c>
      <c r="FF119" s="9" t="s">
        <v>77</v>
      </c>
    </row>
    <row r="120" spans="50:162">
      <c r="AX120" s="9" t="s">
        <v>77</v>
      </c>
      <c r="AY120" s="9" t="s">
        <v>77</v>
      </c>
      <c r="AZ120" s="9" t="s">
        <v>80</v>
      </c>
      <c r="BA120" s="9" t="s">
        <v>438</v>
      </c>
      <c r="BB120" s="9" t="s">
        <v>79</v>
      </c>
      <c r="BC120" s="9" t="s">
        <v>78</v>
      </c>
      <c r="BD120" s="9" t="s">
        <v>349</v>
      </c>
      <c r="BE120" s="9" t="s">
        <v>78</v>
      </c>
      <c r="BF120" s="9" t="s">
        <v>77</v>
      </c>
      <c r="BI120" s="9" t="s">
        <v>77</v>
      </c>
      <c r="BJ120" s="9" t="s">
        <v>80</v>
      </c>
      <c r="BK120" s="9" t="s">
        <v>348</v>
      </c>
      <c r="BL120" s="9" t="s">
        <v>705</v>
      </c>
      <c r="BM120" s="9" t="s">
        <v>80</v>
      </c>
      <c r="BN120" s="9" t="s">
        <v>348</v>
      </c>
      <c r="BO120" s="9" t="s">
        <v>705</v>
      </c>
      <c r="BP120" s="9" t="s">
        <v>77</v>
      </c>
      <c r="BQ120" s="9" t="s">
        <v>77</v>
      </c>
      <c r="BR120" s="9" t="s">
        <v>77</v>
      </c>
      <c r="BS120" s="9" t="s">
        <v>77</v>
      </c>
      <c r="BT120" s="9" t="s">
        <v>77</v>
      </c>
      <c r="BU120" s="9" t="s">
        <v>77</v>
      </c>
      <c r="BV120" s="9" t="s">
        <v>78</v>
      </c>
      <c r="BW120" s="9" t="s">
        <v>78</v>
      </c>
      <c r="BX120" s="9" t="s">
        <v>78</v>
      </c>
      <c r="CB120" s="9" t="s">
        <v>77</v>
      </c>
      <c r="CC120" s="9" t="s">
        <v>80</v>
      </c>
      <c r="CD120" s="9" t="s">
        <v>77</v>
      </c>
      <c r="CE120" s="9" t="s">
        <v>77</v>
      </c>
      <c r="CF120" s="9" t="s">
        <v>77</v>
      </c>
      <c r="CG120" s="9" t="s">
        <v>80</v>
      </c>
      <c r="CH120" s="9" t="s">
        <v>348</v>
      </c>
      <c r="CI120" s="9" t="s">
        <v>706</v>
      </c>
      <c r="CJ120" s="9" t="s">
        <v>80</v>
      </c>
      <c r="CK120" s="9" t="s">
        <v>348</v>
      </c>
      <c r="CL120" s="9" t="s">
        <v>706</v>
      </c>
      <c r="CM120" s="9" t="s">
        <v>77</v>
      </c>
      <c r="CN120" s="9" t="s">
        <v>77</v>
      </c>
      <c r="CO120" s="9" t="s">
        <v>78</v>
      </c>
      <c r="CS120" s="9" t="s">
        <v>80</v>
      </c>
      <c r="CT120" s="9" t="s">
        <v>348</v>
      </c>
      <c r="CU120" s="9" t="s">
        <v>705</v>
      </c>
      <c r="CV120" s="9" t="s">
        <v>80</v>
      </c>
      <c r="CW120" s="9" t="s">
        <v>348</v>
      </c>
      <c r="CX120" s="9" t="s">
        <v>705</v>
      </c>
      <c r="CY120" s="9" t="s">
        <v>77</v>
      </c>
      <c r="CZ120" s="9" t="s">
        <v>77</v>
      </c>
      <c r="DA120" s="9" t="s">
        <v>78</v>
      </c>
      <c r="DE120" s="9" t="s">
        <v>77</v>
      </c>
      <c r="DF120" s="9" t="s">
        <v>78</v>
      </c>
      <c r="DG120" s="9" t="s">
        <v>78</v>
      </c>
      <c r="DH120" s="9" t="s">
        <v>78</v>
      </c>
      <c r="DI120" s="9" t="s">
        <v>705</v>
      </c>
      <c r="DJ120" s="9" t="s">
        <v>77</v>
      </c>
      <c r="DK120" s="9" t="s">
        <v>77</v>
      </c>
      <c r="DN120" s="9" t="s">
        <v>77</v>
      </c>
      <c r="DO120" s="9" t="s">
        <v>77</v>
      </c>
      <c r="DP120" s="9" t="s">
        <v>80</v>
      </c>
      <c r="DQ120" s="9" t="s">
        <v>438</v>
      </c>
      <c r="DR120" s="9" t="s">
        <v>77</v>
      </c>
      <c r="DS120" s="9" t="s">
        <v>78</v>
      </c>
      <c r="DT120" s="9" t="s">
        <v>349</v>
      </c>
      <c r="DU120" s="9" t="s">
        <v>78</v>
      </c>
      <c r="DV120" s="9" t="s">
        <v>77</v>
      </c>
      <c r="DZ120" s="9" t="s">
        <v>77</v>
      </c>
      <c r="EA120" s="9" t="s">
        <v>77</v>
      </c>
      <c r="EB120" s="9" t="s">
        <v>80</v>
      </c>
      <c r="EC120" s="9" t="s">
        <v>438</v>
      </c>
      <c r="ED120" s="9" t="s">
        <v>77</v>
      </c>
      <c r="EE120" s="9" t="s">
        <v>78</v>
      </c>
      <c r="EF120" s="9" t="s">
        <v>349</v>
      </c>
      <c r="EG120" s="9" t="s">
        <v>78</v>
      </c>
      <c r="EH120" s="9" t="s">
        <v>77</v>
      </c>
      <c r="EL120" s="9" t="s">
        <v>77</v>
      </c>
      <c r="EM120" s="9" t="s">
        <v>77</v>
      </c>
      <c r="EN120" s="9" t="s">
        <v>80</v>
      </c>
      <c r="EO120" s="9" t="s">
        <v>438</v>
      </c>
      <c r="EP120" s="9" t="s">
        <v>77</v>
      </c>
      <c r="EQ120" s="9" t="s">
        <v>78</v>
      </c>
      <c r="ER120" s="9" t="s">
        <v>349</v>
      </c>
      <c r="ES120" s="9" t="s">
        <v>78</v>
      </c>
      <c r="ET120" s="9" t="s">
        <v>77</v>
      </c>
      <c r="EX120" s="9" t="s">
        <v>77</v>
      </c>
      <c r="EY120" s="9" t="s">
        <v>77</v>
      </c>
      <c r="EZ120" s="9" t="s">
        <v>80</v>
      </c>
      <c r="FA120" s="9" t="s">
        <v>438</v>
      </c>
      <c r="FB120" s="9" t="s">
        <v>77</v>
      </c>
      <c r="FC120" s="9" t="s">
        <v>78</v>
      </c>
      <c r="FD120" s="9" t="s">
        <v>349</v>
      </c>
      <c r="FE120" s="9" t="s">
        <v>78</v>
      </c>
      <c r="FF120" s="9" t="s">
        <v>77</v>
      </c>
    </row>
    <row r="121" spans="50:162">
      <c r="AX121" s="9" t="s">
        <v>77</v>
      </c>
      <c r="AY121" s="9" t="s">
        <v>77</v>
      </c>
      <c r="AZ121" s="9" t="s">
        <v>80</v>
      </c>
      <c r="BA121" s="9" t="s">
        <v>438</v>
      </c>
      <c r="BB121" s="9" t="s">
        <v>79</v>
      </c>
      <c r="BC121" s="9" t="s">
        <v>78</v>
      </c>
      <c r="BD121" s="9" t="s">
        <v>349</v>
      </c>
      <c r="BE121" s="9" t="s">
        <v>78</v>
      </c>
      <c r="BF121" s="9" t="s">
        <v>77</v>
      </c>
      <c r="BI121" s="9" t="s">
        <v>77</v>
      </c>
      <c r="BJ121" s="9" t="s">
        <v>80</v>
      </c>
      <c r="BK121" s="9" t="s">
        <v>348</v>
      </c>
      <c r="BL121" s="9" t="s">
        <v>707</v>
      </c>
      <c r="BM121" s="9" t="s">
        <v>80</v>
      </c>
      <c r="BN121" s="9" t="s">
        <v>348</v>
      </c>
      <c r="BO121" s="9" t="s">
        <v>707</v>
      </c>
      <c r="BP121" s="9" t="s">
        <v>77</v>
      </c>
      <c r="BQ121" s="9" t="s">
        <v>77</v>
      </c>
      <c r="BR121" s="9" t="s">
        <v>77</v>
      </c>
      <c r="BS121" s="9" t="s">
        <v>77</v>
      </c>
      <c r="BT121" s="9" t="s">
        <v>77</v>
      </c>
      <c r="BU121" s="9" t="s">
        <v>77</v>
      </c>
      <c r="BV121" s="9" t="s">
        <v>78</v>
      </c>
      <c r="BW121" s="9" t="s">
        <v>78</v>
      </c>
      <c r="BX121" s="9" t="s">
        <v>78</v>
      </c>
      <c r="CB121" s="9" t="s">
        <v>77</v>
      </c>
      <c r="CC121" s="9" t="s">
        <v>80</v>
      </c>
      <c r="CD121" s="9" t="s">
        <v>77</v>
      </c>
      <c r="CE121" s="9" t="s">
        <v>77</v>
      </c>
      <c r="CF121" s="9" t="s">
        <v>77</v>
      </c>
      <c r="CG121" s="9" t="s">
        <v>80</v>
      </c>
      <c r="CH121" s="9" t="s">
        <v>348</v>
      </c>
      <c r="CI121" s="9" t="s">
        <v>707</v>
      </c>
      <c r="CJ121" s="9" t="s">
        <v>80</v>
      </c>
      <c r="CK121" s="9" t="s">
        <v>348</v>
      </c>
      <c r="CL121" s="9" t="s">
        <v>707</v>
      </c>
      <c r="CM121" s="9" t="s">
        <v>77</v>
      </c>
      <c r="CN121" s="9" t="s">
        <v>77</v>
      </c>
      <c r="CO121" s="9" t="s">
        <v>78</v>
      </c>
      <c r="CS121" s="9" t="s">
        <v>80</v>
      </c>
      <c r="CT121" s="9" t="s">
        <v>348</v>
      </c>
      <c r="CU121" s="9" t="s">
        <v>707</v>
      </c>
      <c r="CV121" s="9" t="s">
        <v>80</v>
      </c>
      <c r="CW121" s="9" t="s">
        <v>348</v>
      </c>
      <c r="CX121" s="9" t="s">
        <v>707</v>
      </c>
      <c r="CY121" s="9" t="s">
        <v>77</v>
      </c>
      <c r="CZ121" s="9" t="s">
        <v>77</v>
      </c>
      <c r="DA121" s="9" t="s">
        <v>78</v>
      </c>
      <c r="DE121" s="9" t="s">
        <v>77</v>
      </c>
      <c r="DF121" s="9" t="s">
        <v>78</v>
      </c>
      <c r="DG121" s="9" t="s">
        <v>78</v>
      </c>
      <c r="DH121" s="9" t="s">
        <v>78</v>
      </c>
      <c r="DI121" s="9" t="s">
        <v>708</v>
      </c>
      <c r="DJ121" s="9" t="s">
        <v>77</v>
      </c>
      <c r="DK121" s="9" t="s">
        <v>77</v>
      </c>
      <c r="DN121" s="9" t="s">
        <v>77</v>
      </c>
      <c r="DO121" s="9" t="s">
        <v>77</v>
      </c>
      <c r="DP121" s="9" t="s">
        <v>80</v>
      </c>
      <c r="DQ121" s="9" t="s">
        <v>438</v>
      </c>
      <c r="DR121" s="9" t="s">
        <v>77</v>
      </c>
      <c r="DS121" s="9" t="s">
        <v>78</v>
      </c>
      <c r="DT121" s="9" t="s">
        <v>349</v>
      </c>
      <c r="DU121" s="9" t="s">
        <v>78</v>
      </c>
      <c r="DV121" s="9" t="s">
        <v>77</v>
      </c>
      <c r="DZ121" s="9" t="s">
        <v>77</v>
      </c>
      <c r="EA121" s="9" t="s">
        <v>77</v>
      </c>
      <c r="EB121" s="9" t="s">
        <v>80</v>
      </c>
      <c r="EC121" s="9" t="s">
        <v>438</v>
      </c>
      <c r="ED121" s="9" t="s">
        <v>77</v>
      </c>
      <c r="EE121" s="9" t="s">
        <v>78</v>
      </c>
      <c r="EF121" s="9" t="s">
        <v>349</v>
      </c>
      <c r="EG121" s="9" t="s">
        <v>78</v>
      </c>
      <c r="EH121" s="9" t="s">
        <v>77</v>
      </c>
      <c r="EL121" s="9" t="s">
        <v>77</v>
      </c>
      <c r="EM121" s="9" t="s">
        <v>77</v>
      </c>
      <c r="EN121" s="9" t="s">
        <v>80</v>
      </c>
      <c r="EO121" s="9" t="s">
        <v>438</v>
      </c>
      <c r="EP121" s="9" t="s">
        <v>77</v>
      </c>
      <c r="EQ121" s="9" t="s">
        <v>78</v>
      </c>
      <c r="ER121" s="9" t="s">
        <v>349</v>
      </c>
      <c r="ES121" s="9" t="s">
        <v>78</v>
      </c>
      <c r="ET121" s="9" t="s">
        <v>77</v>
      </c>
      <c r="EX121" s="9" t="s">
        <v>77</v>
      </c>
      <c r="EY121" s="9" t="s">
        <v>77</v>
      </c>
      <c r="EZ121" s="9" t="s">
        <v>80</v>
      </c>
      <c r="FA121" s="9" t="s">
        <v>438</v>
      </c>
      <c r="FB121" s="9" t="s">
        <v>77</v>
      </c>
      <c r="FC121" s="9" t="s">
        <v>78</v>
      </c>
      <c r="FD121" s="9" t="s">
        <v>349</v>
      </c>
      <c r="FE121" s="9" t="s">
        <v>78</v>
      </c>
      <c r="FF121" s="9" t="s">
        <v>77</v>
      </c>
    </row>
    <row r="122" spans="50:162">
      <c r="AX122" s="9" t="s">
        <v>77</v>
      </c>
      <c r="AY122" s="9" t="s">
        <v>77</v>
      </c>
      <c r="AZ122" s="9" t="s">
        <v>80</v>
      </c>
      <c r="BA122" s="9" t="s">
        <v>438</v>
      </c>
      <c r="BB122" s="9" t="s">
        <v>79</v>
      </c>
      <c r="BC122" s="9" t="s">
        <v>78</v>
      </c>
      <c r="BD122" s="9" t="s">
        <v>349</v>
      </c>
      <c r="BE122" s="9" t="s">
        <v>78</v>
      </c>
      <c r="BF122" s="9" t="s">
        <v>77</v>
      </c>
      <c r="BI122" s="9" t="s">
        <v>77</v>
      </c>
      <c r="BJ122" s="9" t="s">
        <v>80</v>
      </c>
      <c r="BK122" s="9" t="s">
        <v>348</v>
      </c>
      <c r="BL122" s="9" t="s">
        <v>709</v>
      </c>
      <c r="BM122" s="9" t="s">
        <v>80</v>
      </c>
      <c r="BN122" s="9" t="s">
        <v>348</v>
      </c>
      <c r="BO122" s="9" t="s">
        <v>709</v>
      </c>
      <c r="BP122" s="9" t="s">
        <v>77</v>
      </c>
      <c r="BQ122" s="9" t="s">
        <v>77</v>
      </c>
      <c r="BR122" s="9" t="s">
        <v>77</v>
      </c>
      <c r="BS122" s="9" t="s">
        <v>77</v>
      </c>
      <c r="BT122" s="9" t="s">
        <v>77</v>
      </c>
      <c r="BU122" s="9" t="s">
        <v>77</v>
      </c>
      <c r="BV122" s="9" t="s">
        <v>78</v>
      </c>
      <c r="BW122" s="9" t="s">
        <v>78</v>
      </c>
      <c r="BX122" s="9" t="s">
        <v>78</v>
      </c>
      <c r="CB122" s="9" t="s">
        <v>77</v>
      </c>
      <c r="CC122" s="9" t="s">
        <v>80</v>
      </c>
      <c r="CD122" s="9" t="s">
        <v>77</v>
      </c>
      <c r="CE122" s="9" t="s">
        <v>77</v>
      </c>
      <c r="CF122" s="9" t="s">
        <v>77</v>
      </c>
      <c r="CG122" s="9" t="s">
        <v>80</v>
      </c>
      <c r="CH122" s="9" t="s">
        <v>348</v>
      </c>
      <c r="CI122" s="9" t="s">
        <v>709</v>
      </c>
      <c r="CJ122" s="9" t="s">
        <v>80</v>
      </c>
      <c r="CK122" s="9" t="s">
        <v>348</v>
      </c>
      <c r="CL122" s="9" t="s">
        <v>709</v>
      </c>
      <c r="CM122" s="9" t="s">
        <v>77</v>
      </c>
      <c r="CN122" s="9" t="s">
        <v>77</v>
      </c>
      <c r="CO122" s="9" t="s">
        <v>78</v>
      </c>
      <c r="CS122" s="9" t="s">
        <v>80</v>
      </c>
      <c r="CT122" s="9" t="s">
        <v>348</v>
      </c>
      <c r="CU122" s="9" t="s">
        <v>709</v>
      </c>
      <c r="CV122" s="9" t="s">
        <v>80</v>
      </c>
      <c r="CW122" s="9" t="s">
        <v>348</v>
      </c>
      <c r="CX122" s="9" t="s">
        <v>709</v>
      </c>
      <c r="CY122" s="9" t="s">
        <v>77</v>
      </c>
      <c r="CZ122" s="9" t="s">
        <v>77</v>
      </c>
      <c r="DA122" s="9" t="s">
        <v>78</v>
      </c>
      <c r="DE122" s="9" t="s">
        <v>77</v>
      </c>
      <c r="DF122" s="9" t="s">
        <v>78</v>
      </c>
      <c r="DG122" s="9" t="s">
        <v>78</v>
      </c>
      <c r="DH122" s="9" t="s">
        <v>78</v>
      </c>
      <c r="DI122" s="9" t="s">
        <v>710</v>
      </c>
      <c r="DJ122" s="9" t="s">
        <v>77</v>
      </c>
      <c r="DK122" s="9" t="s">
        <v>77</v>
      </c>
      <c r="DN122" s="9" t="s">
        <v>77</v>
      </c>
      <c r="DO122" s="9" t="s">
        <v>77</v>
      </c>
      <c r="DP122" s="9" t="s">
        <v>80</v>
      </c>
      <c r="DQ122" s="9" t="s">
        <v>438</v>
      </c>
      <c r="DR122" s="9" t="s">
        <v>77</v>
      </c>
      <c r="DS122" s="9" t="s">
        <v>78</v>
      </c>
      <c r="DT122" s="9" t="s">
        <v>349</v>
      </c>
      <c r="DU122" s="9" t="s">
        <v>78</v>
      </c>
      <c r="DV122" s="9" t="s">
        <v>77</v>
      </c>
      <c r="DZ122" s="9" t="s">
        <v>77</v>
      </c>
      <c r="EA122" s="9" t="s">
        <v>77</v>
      </c>
      <c r="EB122" s="9" t="s">
        <v>80</v>
      </c>
      <c r="EC122" s="9" t="s">
        <v>438</v>
      </c>
      <c r="ED122" s="9" t="s">
        <v>77</v>
      </c>
      <c r="EE122" s="9" t="s">
        <v>78</v>
      </c>
      <c r="EF122" s="9" t="s">
        <v>349</v>
      </c>
      <c r="EG122" s="9" t="s">
        <v>78</v>
      </c>
      <c r="EH122" s="9" t="s">
        <v>77</v>
      </c>
      <c r="EL122" s="9" t="s">
        <v>77</v>
      </c>
      <c r="EM122" s="9" t="s">
        <v>77</v>
      </c>
      <c r="EN122" s="9" t="s">
        <v>80</v>
      </c>
      <c r="EO122" s="9" t="s">
        <v>438</v>
      </c>
      <c r="EP122" s="9" t="s">
        <v>77</v>
      </c>
      <c r="EQ122" s="9" t="s">
        <v>78</v>
      </c>
      <c r="ER122" s="9" t="s">
        <v>349</v>
      </c>
      <c r="ES122" s="9" t="s">
        <v>78</v>
      </c>
      <c r="ET122" s="9" t="s">
        <v>77</v>
      </c>
      <c r="EX122" s="9" t="s">
        <v>77</v>
      </c>
      <c r="EY122" s="9" t="s">
        <v>77</v>
      </c>
      <c r="EZ122" s="9" t="s">
        <v>80</v>
      </c>
      <c r="FA122" s="9" t="s">
        <v>438</v>
      </c>
      <c r="FB122" s="9" t="s">
        <v>77</v>
      </c>
      <c r="FC122" s="9" t="s">
        <v>78</v>
      </c>
      <c r="FD122" s="9" t="s">
        <v>349</v>
      </c>
      <c r="FE122" s="9" t="s">
        <v>78</v>
      </c>
      <c r="FF122" s="9" t="s">
        <v>77</v>
      </c>
    </row>
    <row r="123" spans="50:162">
      <c r="AX123" s="9" t="s">
        <v>77</v>
      </c>
      <c r="AY123" s="9" t="s">
        <v>77</v>
      </c>
      <c r="AZ123" s="9" t="s">
        <v>80</v>
      </c>
      <c r="BA123" s="9" t="s">
        <v>438</v>
      </c>
      <c r="BB123" s="9" t="s">
        <v>79</v>
      </c>
      <c r="BC123" s="9" t="s">
        <v>78</v>
      </c>
      <c r="BD123" s="9" t="s">
        <v>349</v>
      </c>
      <c r="BE123" s="9" t="s">
        <v>78</v>
      </c>
      <c r="BF123" s="9" t="s">
        <v>77</v>
      </c>
      <c r="BI123" s="9" t="s">
        <v>77</v>
      </c>
      <c r="BJ123" s="9" t="s">
        <v>80</v>
      </c>
      <c r="BK123" s="9" t="s">
        <v>348</v>
      </c>
      <c r="BL123" s="9" t="s">
        <v>711</v>
      </c>
      <c r="BM123" s="9" t="s">
        <v>80</v>
      </c>
      <c r="BN123" s="9" t="s">
        <v>348</v>
      </c>
      <c r="BO123" s="9" t="s">
        <v>711</v>
      </c>
      <c r="BP123" s="9" t="s">
        <v>77</v>
      </c>
      <c r="BQ123" s="9" t="s">
        <v>77</v>
      </c>
      <c r="BR123" s="9" t="s">
        <v>77</v>
      </c>
      <c r="BS123" s="9" t="s">
        <v>77</v>
      </c>
      <c r="BT123" s="9" t="s">
        <v>77</v>
      </c>
      <c r="BU123" s="9" t="s">
        <v>77</v>
      </c>
      <c r="BV123" s="9" t="s">
        <v>78</v>
      </c>
      <c r="BW123" s="9" t="s">
        <v>78</v>
      </c>
      <c r="BX123" s="9" t="s">
        <v>78</v>
      </c>
      <c r="CB123" s="9" t="s">
        <v>77</v>
      </c>
      <c r="CC123" s="9" t="s">
        <v>80</v>
      </c>
      <c r="CD123" s="9" t="s">
        <v>77</v>
      </c>
      <c r="CE123" s="9" t="s">
        <v>77</v>
      </c>
      <c r="CF123" s="9" t="s">
        <v>77</v>
      </c>
      <c r="CG123" s="9" t="s">
        <v>80</v>
      </c>
      <c r="CH123" s="9" t="s">
        <v>348</v>
      </c>
      <c r="CI123" s="9" t="s">
        <v>711</v>
      </c>
      <c r="CJ123" s="9" t="s">
        <v>80</v>
      </c>
      <c r="CK123" s="9" t="s">
        <v>348</v>
      </c>
      <c r="CL123" s="9" t="s">
        <v>711</v>
      </c>
      <c r="CM123" s="9" t="s">
        <v>77</v>
      </c>
      <c r="CN123" s="9" t="s">
        <v>77</v>
      </c>
      <c r="CO123" s="9" t="s">
        <v>78</v>
      </c>
      <c r="CS123" s="9" t="s">
        <v>80</v>
      </c>
      <c r="CT123" s="9" t="s">
        <v>348</v>
      </c>
      <c r="CU123" s="9" t="s">
        <v>711</v>
      </c>
      <c r="CV123" s="9" t="s">
        <v>80</v>
      </c>
      <c r="CW123" s="9" t="s">
        <v>348</v>
      </c>
      <c r="CX123" s="9" t="s">
        <v>711</v>
      </c>
      <c r="CY123" s="9" t="s">
        <v>77</v>
      </c>
      <c r="CZ123" s="9" t="s">
        <v>77</v>
      </c>
      <c r="DA123" s="9" t="s">
        <v>78</v>
      </c>
      <c r="DE123" s="9" t="s">
        <v>77</v>
      </c>
      <c r="DF123" s="9" t="s">
        <v>78</v>
      </c>
      <c r="DG123" s="9" t="s">
        <v>78</v>
      </c>
      <c r="DH123" s="9" t="s">
        <v>78</v>
      </c>
      <c r="DI123" s="9" t="s">
        <v>712</v>
      </c>
      <c r="DJ123" s="9" t="s">
        <v>77</v>
      </c>
      <c r="DK123" s="9" t="s">
        <v>77</v>
      </c>
      <c r="DN123" s="9" t="s">
        <v>77</v>
      </c>
      <c r="DO123" s="9" t="s">
        <v>77</v>
      </c>
      <c r="DP123" s="9" t="s">
        <v>80</v>
      </c>
      <c r="DQ123" s="9" t="s">
        <v>438</v>
      </c>
      <c r="DR123" s="9" t="s">
        <v>77</v>
      </c>
      <c r="DS123" s="9" t="s">
        <v>78</v>
      </c>
      <c r="DT123" s="9" t="s">
        <v>349</v>
      </c>
      <c r="DU123" s="9" t="s">
        <v>78</v>
      </c>
      <c r="DV123" s="9" t="s">
        <v>77</v>
      </c>
      <c r="DZ123" s="9" t="s">
        <v>77</v>
      </c>
      <c r="EA123" s="9" t="s">
        <v>77</v>
      </c>
      <c r="EB123" s="9" t="s">
        <v>80</v>
      </c>
      <c r="EC123" s="9" t="s">
        <v>438</v>
      </c>
      <c r="ED123" s="9" t="s">
        <v>77</v>
      </c>
      <c r="EE123" s="9" t="s">
        <v>78</v>
      </c>
      <c r="EF123" s="9" t="s">
        <v>349</v>
      </c>
      <c r="EG123" s="9" t="s">
        <v>78</v>
      </c>
      <c r="EH123" s="9" t="s">
        <v>77</v>
      </c>
      <c r="EL123" s="9" t="s">
        <v>77</v>
      </c>
      <c r="EM123" s="9" t="s">
        <v>77</v>
      </c>
      <c r="EN123" s="9" t="s">
        <v>80</v>
      </c>
      <c r="EO123" s="9" t="s">
        <v>438</v>
      </c>
      <c r="EP123" s="9" t="s">
        <v>77</v>
      </c>
      <c r="EQ123" s="9" t="s">
        <v>78</v>
      </c>
      <c r="ER123" s="9" t="s">
        <v>349</v>
      </c>
      <c r="ES123" s="9" t="s">
        <v>78</v>
      </c>
      <c r="ET123" s="9" t="s">
        <v>77</v>
      </c>
      <c r="EX123" s="9" t="s">
        <v>77</v>
      </c>
      <c r="EY123" s="9" t="s">
        <v>77</v>
      </c>
      <c r="EZ123" s="9" t="s">
        <v>80</v>
      </c>
      <c r="FA123" s="9" t="s">
        <v>438</v>
      </c>
      <c r="FB123" s="9" t="s">
        <v>77</v>
      </c>
      <c r="FC123" s="9" t="s">
        <v>78</v>
      </c>
      <c r="FD123" s="9" t="s">
        <v>349</v>
      </c>
      <c r="FE123" s="9" t="s">
        <v>78</v>
      </c>
      <c r="FF123" s="9" t="s">
        <v>77</v>
      </c>
    </row>
    <row r="124" spans="50:162">
      <c r="BB124" s="9" t="s">
        <v>79</v>
      </c>
      <c r="BI124" s="9" t="s">
        <v>77</v>
      </c>
      <c r="CC124" s="9" t="s">
        <v>80</v>
      </c>
    </row>
    <row r="125" spans="50:162">
      <c r="AX125" s="9" t="s">
        <v>77</v>
      </c>
      <c r="AY125" s="9" t="s">
        <v>77</v>
      </c>
      <c r="AZ125" s="9" t="s">
        <v>80</v>
      </c>
      <c r="BA125" s="9" t="s">
        <v>438</v>
      </c>
      <c r="BB125" s="9" t="s">
        <v>79</v>
      </c>
      <c r="BC125" s="9" t="s">
        <v>78</v>
      </c>
      <c r="BD125" s="9" t="s">
        <v>349</v>
      </c>
      <c r="BE125" s="9" t="s">
        <v>78</v>
      </c>
      <c r="BF125" s="9" t="s">
        <v>77</v>
      </c>
      <c r="BI125" s="9" t="s">
        <v>77</v>
      </c>
      <c r="BJ125" s="9" t="s">
        <v>80</v>
      </c>
      <c r="BK125" s="9" t="s">
        <v>348</v>
      </c>
      <c r="BL125" s="9" t="s">
        <v>713</v>
      </c>
      <c r="BM125" s="9" t="s">
        <v>80</v>
      </c>
      <c r="BN125" s="9" t="s">
        <v>348</v>
      </c>
      <c r="BO125" s="9" t="s">
        <v>713</v>
      </c>
      <c r="BP125" s="9" t="s">
        <v>77</v>
      </c>
      <c r="BQ125" s="9" t="s">
        <v>77</v>
      </c>
      <c r="BR125" s="9" t="s">
        <v>77</v>
      </c>
      <c r="BS125" s="9" t="s">
        <v>77</v>
      </c>
      <c r="BT125" s="9" t="s">
        <v>77</v>
      </c>
      <c r="BU125" s="9" t="s">
        <v>77</v>
      </c>
      <c r="BV125" s="9" t="s">
        <v>78</v>
      </c>
      <c r="BW125" s="9" t="s">
        <v>78</v>
      </c>
      <c r="BX125" s="9" t="s">
        <v>78</v>
      </c>
      <c r="CB125" s="9" t="s">
        <v>77</v>
      </c>
      <c r="CC125" s="9" t="s">
        <v>80</v>
      </c>
      <c r="CD125" s="9" t="s">
        <v>77</v>
      </c>
      <c r="CE125" s="9" t="s">
        <v>77</v>
      </c>
      <c r="CF125" s="9" t="s">
        <v>77</v>
      </c>
      <c r="CG125" s="9" t="s">
        <v>80</v>
      </c>
      <c r="CH125" s="9" t="s">
        <v>348</v>
      </c>
      <c r="CI125" s="9" t="s">
        <v>714</v>
      </c>
      <c r="CJ125" s="9" t="s">
        <v>80</v>
      </c>
      <c r="CK125" s="9" t="s">
        <v>348</v>
      </c>
      <c r="CL125" s="9" t="s">
        <v>714</v>
      </c>
      <c r="CM125" s="9" t="s">
        <v>77</v>
      </c>
      <c r="CN125" s="9" t="s">
        <v>77</v>
      </c>
      <c r="CO125" s="9" t="s">
        <v>78</v>
      </c>
      <c r="CS125" s="9" t="s">
        <v>80</v>
      </c>
      <c r="CT125" s="9" t="s">
        <v>348</v>
      </c>
      <c r="CU125" s="9" t="s">
        <v>713</v>
      </c>
      <c r="CV125" s="9" t="s">
        <v>80</v>
      </c>
      <c r="CW125" s="9" t="s">
        <v>348</v>
      </c>
      <c r="CX125" s="9" t="s">
        <v>713</v>
      </c>
      <c r="CY125" s="9" t="s">
        <v>77</v>
      </c>
      <c r="CZ125" s="9" t="s">
        <v>77</v>
      </c>
      <c r="DA125" s="9" t="s">
        <v>78</v>
      </c>
      <c r="DE125" s="9" t="s">
        <v>77</v>
      </c>
      <c r="DF125" s="9" t="s">
        <v>78</v>
      </c>
      <c r="DG125" s="9" t="s">
        <v>78</v>
      </c>
      <c r="DH125" s="9" t="s">
        <v>78</v>
      </c>
      <c r="DI125" s="9" t="s">
        <v>713</v>
      </c>
      <c r="DJ125" s="9" t="s">
        <v>77</v>
      </c>
      <c r="DK125" s="9" t="s">
        <v>77</v>
      </c>
      <c r="DN125" s="9" t="s">
        <v>77</v>
      </c>
      <c r="DO125" s="9" t="s">
        <v>77</v>
      </c>
      <c r="DP125" s="9" t="s">
        <v>80</v>
      </c>
      <c r="DQ125" s="9" t="s">
        <v>438</v>
      </c>
      <c r="DR125" s="9" t="s">
        <v>77</v>
      </c>
      <c r="DS125" s="9" t="s">
        <v>78</v>
      </c>
      <c r="DT125" s="9" t="s">
        <v>349</v>
      </c>
      <c r="DU125" s="9" t="s">
        <v>78</v>
      </c>
      <c r="DV125" s="9" t="s">
        <v>77</v>
      </c>
      <c r="DZ125" s="9" t="s">
        <v>77</v>
      </c>
      <c r="EA125" s="9" t="s">
        <v>77</v>
      </c>
      <c r="EB125" s="9" t="s">
        <v>80</v>
      </c>
      <c r="EC125" s="9" t="s">
        <v>438</v>
      </c>
      <c r="ED125" s="9" t="s">
        <v>77</v>
      </c>
      <c r="EE125" s="9" t="s">
        <v>78</v>
      </c>
      <c r="EF125" s="9" t="s">
        <v>349</v>
      </c>
      <c r="EG125" s="9" t="s">
        <v>78</v>
      </c>
      <c r="EH125" s="9" t="s">
        <v>77</v>
      </c>
      <c r="EL125" s="9" t="s">
        <v>77</v>
      </c>
      <c r="EM125" s="9" t="s">
        <v>77</v>
      </c>
      <c r="EN125" s="9" t="s">
        <v>80</v>
      </c>
      <c r="EO125" s="9" t="s">
        <v>438</v>
      </c>
      <c r="EP125" s="9" t="s">
        <v>77</v>
      </c>
      <c r="EQ125" s="9" t="s">
        <v>78</v>
      </c>
      <c r="ER125" s="9" t="s">
        <v>349</v>
      </c>
      <c r="ES125" s="9" t="s">
        <v>78</v>
      </c>
      <c r="ET125" s="9" t="s">
        <v>77</v>
      </c>
      <c r="EX125" s="9" t="s">
        <v>77</v>
      </c>
      <c r="EY125" s="9" t="s">
        <v>77</v>
      </c>
      <c r="EZ125" s="9" t="s">
        <v>80</v>
      </c>
      <c r="FA125" s="9" t="s">
        <v>438</v>
      </c>
      <c r="FB125" s="9" t="s">
        <v>77</v>
      </c>
      <c r="FC125" s="9" t="s">
        <v>78</v>
      </c>
      <c r="FD125" s="9" t="s">
        <v>349</v>
      </c>
      <c r="FE125" s="9" t="s">
        <v>78</v>
      </c>
      <c r="FF125" s="9" t="s">
        <v>77</v>
      </c>
    </row>
    <row r="126" spans="50:162">
      <c r="AX126" s="9" t="s">
        <v>77</v>
      </c>
      <c r="AY126" s="9" t="s">
        <v>77</v>
      </c>
      <c r="AZ126" s="9" t="s">
        <v>80</v>
      </c>
      <c r="BA126" s="9" t="s">
        <v>438</v>
      </c>
      <c r="BB126" s="9" t="s">
        <v>79</v>
      </c>
      <c r="BC126" s="9" t="s">
        <v>78</v>
      </c>
      <c r="BD126" s="9" t="s">
        <v>349</v>
      </c>
      <c r="BE126" s="9" t="s">
        <v>78</v>
      </c>
      <c r="BF126" s="9" t="s">
        <v>77</v>
      </c>
      <c r="BI126" s="9" t="s">
        <v>77</v>
      </c>
      <c r="BJ126" s="9" t="s">
        <v>80</v>
      </c>
      <c r="BK126" s="9" t="s">
        <v>348</v>
      </c>
      <c r="BL126" s="9" t="s">
        <v>715</v>
      </c>
      <c r="BM126" s="9" t="s">
        <v>80</v>
      </c>
      <c r="BN126" s="9" t="s">
        <v>348</v>
      </c>
      <c r="BO126" s="9" t="s">
        <v>715</v>
      </c>
      <c r="BP126" s="9" t="s">
        <v>77</v>
      </c>
      <c r="BQ126" s="9" t="s">
        <v>77</v>
      </c>
      <c r="BR126" s="9" t="s">
        <v>77</v>
      </c>
      <c r="BS126" s="9" t="s">
        <v>77</v>
      </c>
      <c r="BT126" s="9" t="s">
        <v>77</v>
      </c>
      <c r="BU126" s="9" t="s">
        <v>77</v>
      </c>
      <c r="BV126" s="9" t="s">
        <v>78</v>
      </c>
      <c r="BW126" s="9" t="s">
        <v>78</v>
      </c>
      <c r="BX126" s="9" t="s">
        <v>78</v>
      </c>
      <c r="CB126" s="9" t="s">
        <v>77</v>
      </c>
      <c r="CC126" s="9" t="s">
        <v>80</v>
      </c>
      <c r="CD126" s="9" t="s">
        <v>77</v>
      </c>
      <c r="CE126" s="9" t="s">
        <v>77</v>
      </c>
      <c r="CF126" s="9" t="s">
        <v>77</v>
      </c>
      <c r="CG126" s="9" t="s">
        <v>80</v>
      </c>
      <c r="CH126" s="9" t="s">
        <v>348</v>
      </c>
      <c r="CI126" s="9" t="s">
        <v>716</v>
      </c>
      <c r="CJ126" s="9" t="s">
        <v>80</v>
      </c>
      <c r="CK126" s="9" t="s">
        <v>348</v>
      </c>
      <c r="CL126" s="9" t="s">
        <v>716</v>
      </c>
      <c r="CM126" s="9" t="s">
        <v>77</v>
      </c>
      <c r="CN126" s="9" t="s">
        <v>77</v>
      </c>
      <c r="CO126" s="9" t="s">
        <v>78</v>
      </c>
      <c r="CS126" s="9" t="s">
        <v>80</v>
      </c>
      <c r="CT126" s="9" t="s">
        <v>348</v>
      </c>
      <c r="CU126" s="9" t="s">
        <v>716</v>
      </c>
      <c r="CV126" s="9" t="s">
        <v>80</v>
      </c>
      <c r="CW126" s="9" t="s">
        <v>348</v>
      </c>
      <c r="CX126" s="9" t="s">
        <v>716</v>
      </c>
      <c r="CY126" s="9" t="s">
        <v>77</v>
      </c>
      <c r="CZ126" s="9" t="s">
        <v>77</v>
      </c>
      <c r="DA126" s="9" t="s">
        <v>78</v>
      </c>
      <c r="DE126" s="9" t="s">
        <v>77</v>
      </c>
      <c r="DF126" s="9" t="s">
        <v>78</v>
      </c>
      <c r="DG126" s="9" t="s">
        <v>78</v>
      </c>
      <c r="DH126" s="9" t="s">
        <v>78</v>
      </c>
      <c r="DI126" s="9" t="s">
        <v>715</v>
      </c>
      <c r="DJ126" s="9" t="s">
        <v>77</v>
      </c>
      <c r="DK126" s="9" t="s">
        <v>77</v>
      </c>
      <c r="DN126" s="9" t="s">
        <v>77</v>
      </c>
      <c r="DO126" s="9" t="s">
        <v>77</v>
      </c>
      <c r="DP126" s="9" t="s">
        <v>80</v>
      </c>
      <c r="DQ126" s="9" t="s">
        <v>438</v>
      </c>
      <c r="DR126" s="9" t="s">
        <v>77</v>
      </c>
      <c r="DS126" s="9" t="s">
        <v>78</v>
      </c>
      <c r="DT126" s="9" t="s">
        <v>349</v>
      </c>
      <c r="DU126" s="9" t="s">
        <v>78</v>
      </c>
      <c r="DV126" s="9" t="s">
        <v>77</v>
      </c>
      <c r="DZ126" s="9" t="s">
        <v>77</v>
      </c>
      <c r="EA126" s="9" t="s">
        <v>77</v>
      </c>
      <c r="EB126" s="9" t="s">
        <v>80</v>
      </c>
      <c r="EC126" s="9" t="s">
        <v>438</v>
      </c>
      <c r="ED126" s="9" t="s">
        <v>77</v>
      </c>
      <c r="EE126" s="9" t="s">
        <v>78</v>
      </c>
      <c r="EF126" s="9" t="s">
        <v>349</v>
      </c>
      <c r="EG126" s="9" t="s">
        <v>78</v>
      </c>
      <c r="EH126" s="9" t="s">
        <v>77</v>
      </c>
      <c r="EL126" s="9" t="s">
        <v>77</v>
      </c>
      <c r="EM126" s="9" t="s">
        <v>77</v>
      </c>
      <c r="EN126" s="9" t="s">
        <v>80</v>
      </c>
      <c r="EO126" s="9" t="s">
        <v>438</v>
      </c>
      <c r="EP126" s="9" t="s">
        <v>77</v>
      </c>
      <c r="EQ126" s="9" t="s">
        <v>78</v>
      </c>
      <c r="ER126" s="9" t="s">
        <v>349</v>
      </c>
      <c r="ES126" s="9" t="s">
        <v>78</v>
      </c>
      <c r="ET126" s="9" t="s">
        <v>77</v>
      </c>
      <c r="EX126" s="9" t="s">
        <v>77</v>
      </c>
      <c r="EY126" s="9" t="s">
        <v>77</v>
      </c>
      <c r="EZ126" s="9" t="s">
        <v>80</v>
      </c>
      <c r="FA126" s="9" t="s">
        <v>438</v>
      </c>
      <c r="FB126" s="9" t="s">
        <v>77</v>
      </c>
      <c r="FC126" s="9" t="s">
        <v>78</v>
      </c>
      <c r="FD126" s="9" t="s">
        <v>349</v>
      </c>
      <c r="FE126" s="9" t="s">
        <v>78</v>
      </c>
      <c r="FF126" s="9" t="s">
        <v>77</v>
      </c>
    </row>
    <row r="127" spans="50:162">
      <c r="AX127" s="9" t="s">
        <v>77</v>
      </c>
      <c r="AY127" s="9" t="s">
        <v>77</v>
      </c>
      <c r="AZ127" s="9" t="s">
        <v>80</v>
      </c>
      <c r="BA127" s="9" t="s">
        <v>438</v>
      </c>
      <c r="BB127" s="9" t="s">
        <v>79</v>
      </c>
      <c r="BC127" s="9" t="s">
        <v>78</v>
      </c>
      <c r="BD127" s="9" t="s">
        <v>349</v>
      </c>
      <c r="BE127" s="9" t="s">
        <v>78</v>
      </c>
      <c r="BF127" s="9" t="s">
        <v>77</v>
      </c>
      <c r="BI127" s="9" t="s">
        <v>77</v>
      </c>
      <c r="BJ127" s="9" t="s">
        <v>80</v>
      </c>
      <c r="BK127" s="9" t="s">
        <v>348</v>
      </c>
      <c r="BL127" s="9" t="s">
        <v>717</v>
      </c>
      <c r="BM127" s="9" t="s">
        <v>80</v>
      </c>
      <c r="BN127" s="9" t="s">
        <v>348</v>
      </c>
      <c r="BO127" s="9" t="s">
        <v>717</v>
      </c>
      <c r="BP127" s="9" t="s">
        <v>77</v>
      </c>
      <c r="BQ127" s="9" t="s">
        <v>77</v>
      </c>
      <c r="BR127" s="9" t="s">
        <v>77</v>
      </c>
      <c r="BS127" s="9" t="s">
        <v>77</v>
      </c>
      <c r="BT127" s="9" t="s">
        <v>77</v>
      </c>
      <c r="BU127" s="9" t="s">
        <v>77</v>
      </c>
      <c r="BV127" s="9" t="s">
        <v>78</v>
      </c>
      <c r="BW127" s="9" t="s">
        <v>78</v>
      </c>
      <c r="BX127" s="9" t="s">
        <v>78</v>
      </c>
      <c r="CB127" s="9" t="s">
        <v>77</v>
      </c>
      <c r="CC127" s="9" t="s">
        <v>80</v>
      </c>
      <c r="CD127" s="9" t="s">
        <v>77</v>
      </c>
      <c r="CE127" s="9" t="s">
        <v>77</v>
      </c>
      <c r="CF127" s="9" t="s">
        <v>77</v>
      </c>
      <c r="CG127" s="9" t="s">
        <v>80</v>
      </c>
      <c r="CH127" s="9" t="s">
        <v>348</v>
      </c>
      <c r="CI127" s="9" t="s">
        <v>718</v>
      </c>
      <c r="CJ127" s="9" t="s">
        <v>80</v>
      </c>
      <c r="CK127" s="9" t="s">
        <v>348</v>
      </c>
      <c r="CL127" s="9" t="s">
        <v>718</v>
      </c>
      <c r="CM127" s="9" t="s">
        <v>77</v>
      </c>
      <c r="CN127" s="9" t="s">
        <v>77</v>
      </c>
      <c r="CO127" s="9" t="s">
        <v>78</v>
      </c>
      <c r="CS127" s="9" t="s">
        <v>80</v>
      </c>
      <c r="CT127" s="9" t="s">
        <v>348</v>
      </c>
      <c r="CU127" s="9" t="s">
        <v>718</v>
      </c>
      <c r="CV127" s="9" t="s">
        <v>80</v>
      </c>
      <c r="CW127" s="9" t="s">
        <v>348</v>
      </c>
      <c r="CX127" s="9" t="s">
        <v>718</v>
      </c>
      <c r="CY127" s="9" t="s">
        <v>77</v>
      </c>
      <c r="CZ127" s="9" t="s">
        <v>77</v>
      </c>
      <c r="DA127" s="9" t="s">
        <v>78</v>
      </c>
      <c r="DE127" s="9" t="s">
        <v>77</v>
      </c>
      <c r="DF127" s="9" t="s">
        <v>78</v>
      </c>
      <c r="DG127" s="9" t="s">
        <v>78</v>
      </c>
      <c r="DH127" s="9" t="s">
        <v>78</v>
      </c>
      <c r="DI127" s="9" t="s">
        <v>717</v>
      </c>
      <c r="DJ127" s="9" t="s">
        <v>77</v>
      </c>
      <c r="DK127" s="9" t="s">
        <v>77</v>
      </c>
      <c r="DN127" s="9" t="s">
        <v>77</v>
      </c>
      <c r="DO127" s="9" t="s">
        <v>77</v>
      </c>
      <c r="DP127" s="9" t="s">
        <v>80</v>
      </c>
      <c r="DQ127" s="9" t="s">
        <v>438</v>
      </c>
      <c r="DR127" s="9" t="s">
        <v>77</v>
      </c>
      <c r="DS127" s="9" t="s">
        <v>78</v>
      </c>
      <c r="DT127" s="9" t="s">
        <v>349</v>
      </c>
      <c r="DU127" s="9" t="s">
        <v>78</v>
      </c>
      <c r="DV127" s="9" t="s">
        <v>77</v>
      </c>
      <c r="DZ127" s="9" t="s">
        <v>77</v>
      </c>
      <c r="EA127" s="9" t="s">
        <v>77</v>
      </c>
      <c r="EB127" s="9" t="s">
        <v>80</v>
      </c>
      <c r="EC127" s="9" t="s">
        <v>438</v>
      </c>
      <c r="ED127" s="9" t="s">
        <v>77</v>
      </c>
      <c r="EE127" s="9" t="s">
        <v>78</v>
      </c>
      <c r="EF127" s="9" t="s">
        <v>349</v>
      </c>
      <c r="EG127" s="9" t="s">
        <v>78</v>
      </c>
      <c r="EH127" s="9" t="s">
        <v>77</v>
      </c>
      <c r="EL127" s="9" t="s">
        <v>77</v>
      </c>
      <c r="EM127" s="9" t="s">
        <v>77</v>
      </c>
      <c r="EN127" s="9" t="s">
        <v>80</v>
      </c>
      <c r="EO127" s="9" t="s">
        <v>438</v>
      </c>
      <c r="EP127" s="9" t="s">
        <v>77</v>
      </c>
      <c r="EQ127" s="9" t="s">
        <v>78</v>
      </c>
      <c r="ER127" s="9" t="s">
        <v>349</v>
      </c>
      <c r="ES127" s="9" t="s">
        <v>78</v>
      </c>
      <c r="ET127" s="9" t="s">
        <v>77</v>
      </c>
      <c r="EX127" s="9" t="s">
        <v>77</v>
      </c>
      <c r="EY127" s="9" t="s">
        <v>77</v>
      </c>
      <c r="EZ127" s="9" t="s">
        <v>80</v>
      </c>
      <c r="FA127" s="9" t="s">
        <v>438</v>
      </c>
      <c r="FB127" s="9" t="s">
        <v>77</v>
      </c>
      <c r="FC127" s="9" t="s">
        <v>78</v>
      </c>
      <c r="FD127" s="9" t="s">
        <v>349</v>
      </c>
      <c r="FE127" s="9" t="s">
        <v>78</v>
      </c>
      <c r="FF127" s="9" t="s">
        <v>77</v>
      </c>
    </row>
    <row r="128" spans="50:162">
      <c r="AX128" s="9" t="s">
        <v>77</v>
      </c>
      <c r="AY128" s="9" t="s">
        <v>77</v>
      </c>
      <c r="AZ128" s="9" t="s">
        <v>80</v>
      </c>
      <c r="BA128" s="9" t="s">
        <v>438</v>
      </c>
      <c r="BB128" s="9" t="s">
        <v>79</v>
      </c>
      <c r="BC128" s="9" t="s">
        <v>78</v>
      </c>
      <c r="BD128" s="9" t="s">
        <v>349</v>
      </c>
      <c r="BE128" s="9" t="s">
        <v>78</v>
      </c>
      <c r="BF128" s="9" t="s">
        <v>77</v>
      </c>
      <c r="BI128" s="9" t="s">
        <v>77</v>
      </c>
      <c r="BJ128" s="9" t="s">
        <v>80</v>
      </c>
      <c r="BK128" s="9" t="s">
        <v>348</v>
      </c>
      <c r="BL128" s="9" t="s">
        <v>719</v>
      </c>
      <c r="BM128" s="9" t="s">
        <v>80</v>
      </c>
      <c r="BN128" s="9" t="s">
        <v>348</v>
      </c>
      <c r="BO128" s="9" t="s">
        <v>719</v>
      </c>
      <c r="BP128" s="9" t="s">
        <v>77</v>
      </c>
      <c r="BQ128" s="9" t="s">
        <v>77</v>
      </c>
      <c r="BR128" s="9" t="s">
        <v>77</v>
      </c>
      <c r="BS128" s="9" t="s">
        <v>77</v>
      </c>
      <c r="BT128" s="9" t="s">
        <v>77</v>
      </c>
      <c r="BU128" s="9" t="s">
        <v>77</v>
      </c>
      <c r="BV128" s="9" t="s">
        <v>78</v>
      </c>
      <c r="BW128" s="9" t="s">
        <v>78</v>
      </c>
      <c r="BX128" s="9" t="s">
        <v>78</v>
      </c>
      <c r="CB128" s="9" t="s">
        <v>77</v>
      </c>
      <c r="CC128" s="9" t="s">
        <v>80</v>
      </c>
      <c r="CD128" s="9" t="s">
        <v>77</v>
      </c>
      <c r="CE128" s="9" t="s">
        <v>77</v>
      </c>
      <c r="CF128" s="9" t="s">
        <v>77</v>
      </c>
      <c r="CG128" s="9" t="s">
        <v>80</v>
      </c>
      <c r="CH128" s="9" t="s">
        <v>348</v>
      </c>
      <c r="CI128" s="9" t="s">
        <v>720</v>
      </c>
      <c r="CJ128" s="9" t="s">
        <v>80</v>
      </c>
      <c r="CK128" s="9" t="s">
        <v>348</v>
      </c>
      <c r="CL128" s="9" t="s">
        <v>720</v>
      </c>
      <c r="CM128" s="9" t="s">
        <v>77</v>
      </c>
      <c r="CN128" s="9" t="s">
        <v>77</v>
      </c>
      <c r="CO128" s="9" t="s">
        <v>78</v>
      </c>
      <c r="CS128" s="9" t="s">
        <v>80</v>
      </c>
      <c r="CT128" s="9" t="s">
        <v>348</v>
      </c>
      <c r="CU128" s="9" t="s">
        <v>720</v>
      </c>
      <c r="CV128" s="9" t="s">
        <v>80</v>
      </c>
      <c r="CW128" s="9" t="s">
        <v>348</v>
      </c>
      <c r="CX128" s="9" t="s">
        <v>720</v>
      </c>
      <c r="CY128" s="9" t="s">
        <v>77</v>
      </c>
      <c r="CZ128" s="9" t="s">
        <v>77</v>
      </c>
      <c r="DA128" s="9" t="s">
        <v>78</v>
      </c>
      <c r="DE128" s="9" t="s">
        <v>77</v>
      </c>
      <c r="DF128" s="9" t="s">
        <v>78</v>
      </c>
      <c r="DG128" s="9" t="s">
        <v>78</v>
      </c>
      <c r="DH128" s="9" t="s">
        <v>78</v>
      </c>
      <c r="DI128" s="9" t="s">
        <v>719</v>
      </c>
      <c r="DJ128" s="9" t="s">
        <v>77</v>
      </c>
      <c r="DK128" s="9" t="s">
        <v>77</v>
      </c>
      <c r="DN128" s="9" t="s">
        <v>77</v>
      </c>
      <c r="DO128" s="9" t="s">
        <v>77</v>
      </c>
      <c r="DP128" s="9" t="s">
        <v>80</v>
      </c>
      <c r="DQ128" s="9" t="s">
        <v>438</v>
      </c>
      <c r="DR128" s="9" t="s">
        <v>77</v>
      </c>
      <c r="DS128" s="9" t="s">
        <v>78</v>
      </c>
      <c r="DT128" s="9" t="s">
        <v>349</v>
      </c>
      <c r="DU128" s="9" t="s">
        <v>78</v>
      </c>
      <c r="DV128" s="9" t="s">
        <v>77</v>
      </c>
      <c r="DZ128" s="9" t="s">
        <v>77</v>
      </c>
      <c r="EA128" s="9" t="s">
        <v>77</v>
      </c>
      <c r="EB128" s="9" t="s">
        <v>80</v>
      </c>
      <c r="EC128" s="9" t="s">
        <v>438</v>
      </c>
      <c r="ED128" s="9" t="s">
        <v>77</v>
      </c>
      <c r="EE128" s="9" t="s">
        <v>78</v>
      </c>
      <c r="EF128" s="9" t="s">
        <v>349</v>
      </c>
      <c r="EG128" s="9" t="s">
        <v>78</v>
      </c>
      <c r="EH128" s="9" t="s">
        <v>77</v>
      </c>
      <c r="EL128" s="9" t="s">
        <v>77</v>
      </c>
      <c r="EM128" s="9" t="s">
        <v>77</v>
      </c>
      <c r="EN128" s="9" t="s">
        <v>80</v>
      </c>
      <c r="EO128" s="9" t="s">
        <v>438</v>
      </c>
      <c r="EP128" s="9" t="s">
        <v>77</v>
      </c>
      <c r="EQ128" s="9" t="s">
        <v>78</v>
      </c>
      <c r="ER128" s="9" t="s">
        <v>349</v>
      </c>
      <c r="ES128" s="9" t="s">
        <v>78</v>
      </c>
      <c r="ET128" s="9" t="s">
        <v>77</v>
      </c>
      <c r="EX128" s="9" t="s">
        <v>77</v>
      </c>
      <c r="EY128" s="9" t="s">
        <v>77</v>
      </c>
      <c r="EZ128" s="9" t="s">
        <v>80</v>
      </c>
      <c r="FA128" s="9" t="s">
        <v>438</v>
      </c>
      <c r="FB128" s="9" t="s">
        <v>77</v>
      </c>
      <c r="FC128" s="9" t="s">
        <v>78</v>
      </c>
      <c r="FD128" s="9" t="s">
        <v>349</v>
      </c>
      <c r="FE128" s="9" t="s">
        <v>78</v>
      </c>
      <c r="FF128" s="9" t="s">
        <v>77</v>
      </c>
    </row>
    <row r="129" spans="50:162">
      <c r="AX129" s="9" t="s">
        <v>77</v>
      </c>
      <c r="AY129" s="9" t="s">
        <v>77</v>
      </c>
      <c r="AZ129" s="9" t="s">
        <v>80</v>
      </c>
      <c r="BA129" s="9" t="s">
        <v>438</v>
      </c>
      <c r="BB129" s="9" t="s">
        <v>79</v>
      </c>
      <c r="BC129" s="9" t="s">
        <v>78</v>
      </c>
      <c r="BD129" s="9" t="s">
        <v>349</v>
      </c>
      <c r="BE129" s="9" t="s">
        <v>78</v>
      </c>
      <c r="BF129" s="9" t="s">
        <v>77</v>
      </c>
      <c r="BI129" s="9" t="s">
        <v>77</v>
      </c>
      <c r="BJ129" s="9" t="s">
        <v>80</v>
      </c>
      <c r="BK129" s="9" t="s">
        <v>348</v>
      </c>
      <c r="BL129" s="9" t="s">
        <v>721</v>
      </c>
      <c r="BM129" s="9" t="s">
        <v>80</v>
      </c>
      <c r="BN129" s="9" t="s">
        <v>348</v>
      </c>
      <c r="BO129" s="9" t="s">
        <v>721</v>
      </c>
      <c r="BP129" s="9" t="s">
        <v>77</v>
      </c>
      <c r="BQ129" s="9" t="s">
        <v>77</v>
      </c>
      <c r="BR129" s="9" t="s">
        <v>77</v>
      </c>
      <c r="BS129" s="9" t="s">
        <v>77</v>
      </c>
      <c r="BT129" s="9" t="s">
        <v>77</v>
      </c>
      <c r="BU129" s="9" t="s">
        <v>77</v>
      </c>
      <c r="BV129" s="9" t="s">
        <v>78</v>
      </c>
      <c r="BW129" s="9" t="s">
        <v>78</v>
      </c>
      <c r="BX129" s="9" t="s">
        <v>78</v>
      </c>
      <c r="CB129" s="9" t="s">
        <v>77</v>
      </c>
      <c r="CC129" s="9" t="s">
        <v>80</v>
      </c>
      <c r="CD129" s="9" t="s">
        <v>77</v>
      </c>
      <c r="CE129" s="9" t="s">
        <v>77</v>
      </c>
      <c r="CF129" s="9" t="s">
        <v>77</v>
      </c>
      <c r="CG129" s="9" t="s">
        <v>80</v>
      </c>
      <c r="CH129" s="9" t="s">
        <v>348</v>
      </c>
      <c r="CI129" s="9" t="s">
        <v>722</v>
      </c>
      <c r="CJ129" s="9" t="s">
        <v>80</v>
      </c>
      <c r="CK129" s="9" t="s">
        <v>348</v>
      </c>
      <c r="CL129" s="9" t="s">
        <v>722</v>
      </c>
      <c r="CM129" s="9" t="s">
        <v>77</v>
      </c>
      <c r="CN129" s="9" t="s">
        <v>77</v>
      </c>
      <c r="CO129" s="9" t="s">
        <v>78</v>
      </c>
      <c r="CS129" s="9" t="s">
        <v>80</v>
      </c>
      <c r="CT129" s="9" t="s">
        <v>348</v>
      </c>
      <c r="CU129" s="9" t="s">
        <v>721</v>
      </c>
      <c r="CV129" s="9" t="s">
        <v>80</v>
      </c>
      <c r="CW129" s="9" t="s">
        <v>348</v>
      </c>
      <c r="CX129" s="9" t="s">
        <v>721</v>
      </c>
      <c r="CY129" s="9" t="s">
        <v>77</v>
      </c>
      <c r="CZ129" s="9" t="s">
        <v>77</v>
      </c>
      <c r="DA129" s="9" t="s">
        <v>78</v>
      </c>
      <c r="DE129" s="9" t="s">
        <v>77</v>
      </c>
      <c r="DF129" s="9" t="s">
        <v>78</v>
      </c>
      <c r="DG129" s="9" t="s">
        <v>78</v>
      </c>
      <c r="DH129" s="9" t="s">
        <v>78</v>
      </c>
      <c r="DI129" s="9" t="s">
        <v>721</v>
      </c>
      <c r="DJ129" s="9" t="s">
        <v>77</v>
      </c>
      <c r="DK129" s="9" t="s">
        <v>77</v>
      </c>
      <c r="DN129" s="9" t="s">
        <v>77</v>
      </c>
      <c r="DO129" s="9" t="s">
        <v>77</v>
      </c>
      <c r="DP129" s="9" t="s">
        <v>80</v>
      </c>
      <c r="DQ129" s="9" t="s">
        <v>438</v>
      </c>
      <c r="DR129" s="9" t="s">
        <v>77</v>
      </c>
      <c r="DS129" s="9" t="s">
        <v>78</v>
      </c>
      <c r="DT129" s="9" t="s">
        <v>349</v>
      </c>
      <c r="DU129" s="9" t="s">
        <v>78</v>
      </c>
      <c r="DV129" s="9" t="s">
        <v>77</v>
      </c>
      <c r="DZ129" s="9" t="s">
        <v>77</v>
      </c>
      <c r="EA129" s="9" t="s">
        <v>77</v>
      </c>
      <c r="EB129" s="9" t="s">
        <v>80</v>
      </c>
      <c r="EC129" s="9" t="s">
        <v>438</v>
      </c>
      <c r="ED129" s="9" t="s">
        <v>77</v>
      </c>
      <c r="EE129" s="9" t="s">
        <v>78</v>
      </c>
      <c r="EF129" s="9" t="s">
        <v>349</v>
      </c>
      <c r="EG129" s="9" t="s">
        <v>78</v>
      </c>
      <c r="EH129" s="9" t="s">
        <v>77</v>
      </c>
      <c r="EL129" s="9" t="s">
        <v>77</v>
      </c>
      <c r="EM129" s="9" t="s">
        <v>77</v>
      </c>
      <c r="EN129" s="9" t="s">
        <v>80</v>
      </c>
      <c r="EO129" s="9" t="s">
        <v>438</v>
      </c>
      <c r="EP129" s="9" t="s">
        <v>77</v>
      </c>
      <c r="EQ129" s="9" t="s">
        <v>78</v>
      </c>
      <c r="ER129" s="9" t="s">
        <v>349</v>
      </c>
      <c r="ES129" s="9" t="s">
        <v>78</v>
      </c>
      <c r="ET129" s="9" t="s">
        <v>77</v>
      </c>
      <c r="EX129" s="9" t="s">
        <v>77</v>
      </c>
      <c r="EY129" s="9" t="s">
        <v>77</v>
      </c>
      <c r="EZ129" s="9" t="s">
        <v>80</v>
      </c>
      <c r="FA129" s="9" t="s">
        <v>438</v>
      </c>
      <c r="FB129" s="9" t="s">
        <v>77</v>
      </c>
      <c r="FC129" s="9" t="s">
        <v>78</v>
      </c>
      <c r="FD129" s="9" t="s">
        <v>349</v>
      </c>
      <c r="FE129" s="9" t="s">
        <v>78</v>
      </c>
      <c r="FF129" s="9" t="s">
        <v>77</v>
      </c>
    </row>
    <row r="130" spans="50:162">
      <c r="AX130" s="9" t="s">
        <v>77</v>
      </c>
      <c r="AY130" s="9" t="s">
        <v>77</v>
      </c>
      <c r="AZ130" s="9" t="s">
        <v>80</v>
      </c>
      <c r="BA130" s="9" t="s">
        <v>438</v>
      </c>
      <c r="BB130" s="9" t="s">
        <v>79</v>
      </c>
      <c r="BC130" s="9" t="s">
        <v>78</v>
      </c>
      <c r="BD130" s="9" t="s">
        <v>349</v>
      </c>
      <c r="BE130" s="9" t="s">
        <v>78</v>
      </c>
      <c r="BF130" s="9" t="s">
        <v>77</v>
      </c>
      <c r="BI130" s="9" t="s">
        <v>77</v>
      </c>
      <c r="BJ130" s="9" t="s">
        <v>80</v>
      </c>
      <c r="BK130" s="9" t="s">
        <v>348</v>
      </c>
      <c r="BL130" s="9" t="s">
        <v>723</v>
      </c>
      <c r="BM130" s="9" t="s">
        <v>80</v>
      </c>
      <c r="BN130" s="9" t="s">
        <v>348</v>
      </c>
      <c r="BO130" s="9" t="s">
        <v>723</v>
      </c>
      <c r="BP130" s="9" t="s">
        <v>77</v>
      </c>
      <c r="BQ130" s="9" t="s">
        <v>77</v>
      </c>
      <c r="BR130" s="9" t="s">
        <v>77</v>
      </c>
      <c r="BS130" s="9" t="s">
        <v>77</v>
      </c>
      <c r="BT130" s="9" t="s">
        <v>77</v>
      </c>
      <c r="BU130" s="9" t="s">
        <v>77</v>
      </c>
      <c r="BV130" s="9" t="s">
        <v>78</v>
      </c>
      <c r="BW130" s="9" t="s">
        <v>78</v>
      </c>
      <c r="BX130" s="9" t="s">
        <v>78</v>
      </c>
      <c r="CB130" s="9" t="s">
        <v>77</v>
      </c>
      <c r="CC130" s="9" t="s">
        <v>80</v>
      </c>
      <c r="CD130" s="9" t="s">
        <v>77</v>
      </c>
      <c r="CE130" s="9" t="s">
        <v>77</v>
      </c>
      <c r="CF130" s="9" t="s">
        <v>77</v>
      </c>
      <c r="CG130" s="9" t="s">
        <v>80</v>
      </c>
      <c r="CH130" s="9" t="s">
        <v>348</v>
      </c>
      <c r="CI130" s="9" t="s">
        <v>723</v>
      </c>
      <c r="CJ130" s="9" t="s">
        <v>80</v>
      </c>
      <c r="CK130" s="9" t="s">
        <v>348</v>
      </c>
      <c r="CL130" s="9" t="s">
        <v>723</v>
      </c>
      <c r="CM130" s="9" t="s">
        <v>77</v>
      </c>
      <c r="CN130" s="9" t="s">
        <v>77</v>
      </c>
      <c r="CO130" s="9" t="s">
        <v>78</v>
      </c>
      <c r="CS130" s="9" t="s">
        <v>80</v>
      </c>
      <c r="CT130" s="9" t="s">
        <v>348</v>
      </c>
      <c r="CU130" s="9" t="s">
        <v>723</v>
      </c>
      <c r="CV130" s="9" t="s">
        <v>80</v>
      </c>
      <c r="CW130" s="9" t="s">
        <v>348</v>
      </c>
      <c r="CX130" s="9" t="s">
        <v>723</v>
      </c>
      <c r="CY130" s="9" t="s">
        <v>77</v>
      </c>
      <c r="CZ130" s="9" t="s">
        <v>77</v>
      </c>
      <c r="DA130" s="9" t="s">
        <v>78</v>
      </c>
      <c r="DE130" s="9" t="s">
        <v>77</v>
      </c>
      <c r="DF130" s="9" t="s">
        <v>78</v>
      </c>
      <c r="DG130" s="9" t="s">
        <v>78</v>
      </c>
      <c r="DH130" s="9" t="s">
        <v>78</v>
      </c>
      <c r="DI130" s="9" t="s">
        <v>723</v>
      </c>
      <c r="DJ130" s="9" t="s">
        <v>77</v>
      </c>
      <c r="DK130" s="9" t="s">
        <v>77</v>
      </c>
      <c r="DN130" s="9" t="s">
        <v>77</v>
      </c>
      <c r="DO130" s="9" t="s">
        <v>77</v>
      </c>
      <c r="DP130" s="9" t="s">
        <v>80</v>
      </c>
      <c r="DQ130" s="9" t="s">
        <v>438</v>
      </c>
      <c r="DR130" s="9" t="s">
        <v>77</v>
      </c>
      <c r="DS130" s="9" t="s">
        <v>78</v>
      </c>
      <c r="DT130" s="9" t="s">
        <v>349</v>
      </c>
      <c r="DU130" s="9" t="s">
        <v>78</v>
      </c>
      <c r="DV130" s="9" t="s">
        <v>77</v>
      </c>
      <c r="DZ130" s="9" t="s">
        <v>77</v>
      </c>
      <c r="EA130" s="9" t="s">
        <v>77</v>
      </c>
      <c r="EB130" s="9" t="s">
        <v>80</v>
      </c>
      <c r="EC130" s="9" t="s">
        <v>438</v>
      </c>
      <c r="ED130" s="9" t="s">
        <v>77</v>
      </c>
      <c r="EE130" s="9" t="s">
        <v>78</v>
      </c>
      <c r="EF130" s="9" t="s">
        <v>349</v>
      </c>
      <c r="EG130" s="9" t="s">
        <v>78</v>
      </c>
      <c r="EH130" s="9" t="s">
        <v>77</v>
      </c>
      <c r="EL130" s="9" t="s">
        <v>77</v>
      </c>
      <c r="EM130" s="9" t="s">
        <v>77</v>
      </c>
      <c r="EN130" s="9" t="s">
        <v>80</v>
      </c>
      <c r="EO130" s="9" t="s">
        <v>438</v>
      </c>
      <c r="EP130" s="9" t="s">
        <v>77</v>
      </c>
      <c r="EQ130" s="9" t="s">
        <v>78</v>
      </c>
      <c r="ER130" s="9" t="s">
        <v>349</v>
      </c>
      <c r="ES130" s="9" t="s">
        <v>78</v>
      </c>
      <c r="ET130" s="9" t="s">
        <v>77</v>
      </c>
      <c r="EX130" s="9" t="s">
        <v>77</v>
      </c>
      <c r="EY130" s="9" t="s">
        <v>77</v>
      </c>
      <c r="EZ130" s="9" t="s">
        <v>80</v>
      </c>
      <c r="FA130" s="9" t="s">
        <v>438</v>
      </c>
      <c r="FB130" s="9" t="s">
        <v>77</v>
      </c>
      <c r="FC130" s="9" t="s">
        <v>78</v>
      </c>
      <c r="FD130" s="9" t="s">
        <v>349</v>
      </c>
      <c r="FE130" s="9" t="s">
        <v>78</v>
      </c>
      <c r="FF130" s="9" t="s">
        <v>77</v>
      </c>
    </row>
    <row r="131" spans="50:162">
      <c r="AX131" s="9" t="s">
        <v>77</v>
      </c>
      <c r="AY131" s="9" t="s">
        <v>77</v>
      </c>
      <c r="AZ131" s="9" t="s">
        <v>80</v>
      </c>
      <c r="BA131" s="9" t="s">
        <v>438</v>
      </c>
      <c r="BB131" s="9" t="s">
        <v>79</v>
      </c>
      <c r="BC131" s="9" t="s">
        <v>78</v>
      </c>
      <c r="BD131" s="9" t="s">
        <v>349</v>
      </c>
      <c r="BE131" s="9" t="s">
        <v>78</v>
      </c>
      <c r="BF131" s="9" t="s">
        <v>77</v>
      </c>
      <c r="BI131" s="9" t="s">
        <v>77</v>
      </c>
      <c r="BJ131" s="9" t="s">
        <v>80</v>
      </c>
      <c r="BK131" s="9" t="s">
        <v>348</v>
      </c>
      <c r="BL131" s="9" t="s">
        <v>724</v>
      </c>
      <c r="BM131" s="9" t="s">
        <v>80</v>
      </c>
      <c r="BN131" s="9" t="s">
        <v>348</v>
      </c>
      <c r="BO131" s="9" t="s">
        <v>724</v>
      </c>
      <c r="BP131" s="9" t="s">
        <v>77</v>
      </c>
      <c r="BQ131" s="9" t="s">
        <v>77</v>
      </c>
      <c r="BR131" s="9" t="s">
        <v>77</v>
      </c>
      <c r="BS131" s="9" t="s">
        <v>77</v>
      </c>
      <c r="BT131" s="9" t="s">
        <v>77</v>
      </c>
      <c r="BU131" s="9" t="s">
        <v>77</v>
      </c>
      <c r="BV131" s="9" t="s">
        <v>78</v>
      </c>
      <c r="BW131" s="9" t="s">
        <v>78</v>
      </c>
      <c r="BX131" s="9" t="s">
        <v>78</v>
      </c>
      <c r="CB131" s="9" t="s">
        <v>77</v>
      </c>
      <c r="CC131" s="9" t="s">
        <v>80</v>
      </c>
      <c r="CD131" s="9" t="s">
        <v>77</v>
      </c>
      <c r="CE131" s="9" t="s">
        <v>77</v>
      </c>
      <c r="CF131" s="9" t="s">
        <v>77</v>
      </c>
      <c r="CG131" s="9" t="s">
        <v>80</v>
      </c>
      <c r="CH131" s="9" t="s">
        <v>348</v>
      </c>
      <c r="CI131" s="9" t="s">
        <v>724</v>
      </c>
      <c r="CJ131" s="9" t="s">
        <v>80</v>
      </c>
      <c r="CK131" s="9" t="s">
        <v>348</v>
      </c>
      <c r="CL131" s="9" t="s">
        <v>724</v>
      </c>
      <c r="CM131" s="9" t="s">
        <v>77</v>
      </c>
      <c r="CN131" s="9" t="s">
        <v>77</v>
      </c>
      <c r="CO131" s="9" t="s">
        <v>78</v>
      </c>
      <c r="CS131" s="9" t="s">
        <v>80</v>
      </c>
      <c r="CT131" s="9" t="s">
        <v>348</v>
      </c>
      <c r="CU131" s="9" t="s">
        <v>724</v>
      </c>
      <c r="CV131" s="9" t="s">
        <v>80</v>
      </c>
      <c r="CW131" s="9" t="s">
        <v>348</v>
      </c>
      <c r="CX131" s="9" t="s">
        <v>724</v>
      </c>
      <c r="CY131" s="9" t="s">
        <v>77</v>
      </c>
      <c r="CZ131" s="9" t="s">
        <v>77</v>
      </c>
      <c r="DA131" s="9" t="s">
        <v>78</v>
      </c>
      <c r="DE131" s="9" t="s">
        <v>77</v>
      </c>
      <c r="DF131" s="9" t="s">
        <v>78</v>
      </c>
      <c r="DG131" s="9" t="s">
        <v>78</v>
      </c>
      <c r="DH131" s="9" t="s">
        <v>78</v>
      </c>
      <c r="DI131" s="9" t="s">
        <v>725</v>
      </c>
      <c r="DJ131" s="9" t="s">
        <v>77</v>
      </c>
      <c r="DK131" s="9" t="s">
        <v>77</v>
      </c>
      <c r="DN131" s="9" t="s">
        <v>77</v>
      </c>
      <c r="DO131" s="9" t="s">
        <v>77</v>
      </c>
      <c r="DP131" s="9" t="s">
        <v>80</v>
      </c>
      <c r="DQ131" s="9" t="s">
        <v>438</v>
      </c>
      <c r="DR131" s="9" t="s">
        <v>77</v>
      </c>
      <c r="DS131" s="9" t="s">
        <v>78</v>
      </c>
      <c r="DT131" s="9" t="s">
        <v>349</v>
      </c>
      <c r="DU131" s="9" t="s">
        <v>78</v>
      </c>
      <c r="DV131" s="9" t="s">
        <v>77</v>
      </c>
      <c r="DZ131" s="9" t="s">
        <v>77</v>
      </c>
      <c r="EA131" s="9" t="s">
        <v>77</v>
      </c>
      <c r="EB131" s="9" t="s">
        <v>80</v>
      </c>
      <c r="EC131" s="9" t="s">
        <v>438</v>
      </c>
      <c r="ED131" s="9" t="s">
        <v>77</v>
      </c>
      <c r="EE131" s="9" t="s">
        <v>78</v>
      </c>
      <c r="EF131" s="9" t="s">
        <v>349</v>
      </c>
      <c r="EG131" s="9" t="s">
        <v>78</v>
      </c>
      <c r="EH131" s="9" t="s">
        <v>77</v>
      </c>
      <c r="EL131" s="9" t="s">
        <v>77</v>
      </c>
      <c r="EM131" s="9" t="s">
        <v>77</v>
      </c>
      <c r="EN131" s="9" t="s">
        <v>80</v>
      </c>
      <c r="EO131" s="9" t="s">
        <v>438</v>
      </c>
      <c r="EP131" s="9" t="s">
        <v>77</v>
      </c>
      <c r="EQ131" s="9" t="s">
        <v>78</v>
      </c>
      <c r="ER131" s="9" t="s">
        <v>349</v>
      </c>
      <c r="ES131" s="9" t="s">
        <v>78</v>
      </c>
      <c r="ET131" s="9" t="s">
        <v>77</v>
      </c>
      <c r="EX131" s="9" t="s">
        <v>77</v>
      </c>
      <c r="EY131" s="9" t="s">
        <v>77</v>
      </c>
      <c r="EZ131" s="9" t="s">
        <v>80</v>
      </c>
      <c r="FA131" s="9" t="s">
        <v>438</v>
      </c>
      <c r="FB131" s="9" t="s">
        <v>77</v>
      </c>
      <c r="FC131" s="9" t="s">
        <v>78</v>
      </c>
      <c r="FD131" s="9" t="s">
        <v>349</v>
      </c>
      <c r="FE131" s="9" t="s">
        <v>78</v>
      </c>
      <c r="FF131" s="9" t="s">
        <v>77</v>
      </c>
    </row>
    <row r="132" spans="50:162">
      <c r="AX132" s="9" t="s">
        <v>77</v>
      </c>
      <c r="AY132" s="9" t="s">
        <v>77</v>
      </c>
      <c r="AZ132" s="9" t="s">
        <v>80</v>
      </c>
      <c r="BA132" s="9" t="s">
        <v>438</v>
      </c>
      <c r="BB132" s="9" t="s">
        <v>79</v>
      </c>
      <c r="BC132" s="9" t="s">
        <v>78</v>
      </c>
      <c r="BD132" s="9" t="s">
        <v>349</v>
      </c>
      <c r="BE132" s="9" t="s">
        <v>78</v>
      </c>
      <c r="BF132" s="9" t="s">
        <v>77</v>
      </c>
      <c r="BI132" s="9" t="s">
        <v>77</v>
      </c>
      <c r="BJ132" s="9" t="s">
        <v>80</v>
      </c>
      <c r="BK132" s="9" t="s">
        <v>348</v>
      </c>
      <c r="BL132" s="9" t="s">
        <v>726</v>
      </c>
      <c r="BM132" s="9" t="s">
        <v>80</v>
      </c>
      <c r="BN132" s="9" t="s">
        <v>348</v>
      </c>
      <c r="BO132" s="9" t="s">
        <v>726</v>
      </c>
      <c r="BP132" s="9" t="s">
        <v>77</v>
      </c>
      <c r="BQ132" s="9" t="s">
        <v>77</v>
      </c>
      <c r="BR132" s="9" t="s">
        <v>77</v>
      </c>
      <c r="BS132" s="9" t="s">
        <v>77</v>
      </c>
      <c r="BT132" s="9" t="s">
        <v>77</v>
      </c>
      <c r="BU132" s="9" t="s">
        <v>77</v>
      </c>
      <c r="BV132" s="9" t="s">
        <v>78</v>
      </c>
      <c r="BW132" s="9" t="s">
        <v>78</v>
      </c>
      <c r="BX132" s="9" t="s">
        <v>78</v>
      </c>
      <c r="CB132" s="9" t="s">
        <v>77</v>
      </c>
      <c r="CC132" s="9" t="s">
        <v>80</v>
      </c>
      <c r="CD132" s="9" t="s">
        <v>77</v>
      </c>
      <c r="CE132" s="9" t="s">
        <v>77</v>
      </c>
      <c r="CF132" s="9" t="s">
        <v>77</v>
      </c>
      <c r="CG132" s="9" t="s">
        <v>80</v>
      </c>
      <c r="CH132" s="9" t="s">
        <v>348</v>
      </c>
      <c r="CI132" s="9" t="s">
        <v>726</v>
      </c>
      <c r="CJ132" s="9" t="s">
        <v>80</v>
      </c>
      <c r="CK132" s="9" t="s">
        <v>348</v>
      </c>
      <c r="CL132" s="9" t="s">
        <v>726</v>
      </c>
      <c r="CM132" s="9" t="s">
        <v>77</v>
      </c>
      <c r="CN132" s="9" t="s">
        <v>77</v>
      </c>
      <c r="CO132" s="9" t="s">
        <v>78</v>
      </c>
      <c r="CS132" s="9" t="s">
        <v>80</v>
      </c>
      <c r="CT132" s="9" t="s">
        <v>348</v>
      </c>
      <c r="CU132" s="9" t="s">
        <v>726</v>
      </c>
      <c r="CV132" s="9" t="s">
        <v>80</v>
      </c>
      <c r="CW132" s="9" t="s">
        <v>348</v>
      </c>
      <c r="CX132" s="9" t="s">
        <v>726</v>
      </c>
      <c r="CY132" s="9" t="s">
        <v>77</v>
      </c>
      <c r="CZ132" s="9" t="s">
        <v>77</v>
      </c>
      <c r="DA132" s="9" t="s">
        <v>78</v>
      </c>
      <c r="DE132" s="9" t="s">
        <v>77</v>
      </c>
      <c r="DF132" s="9" t="s">
        <v>78</v>
      </c>
      <c r="DG132" s="9" t="s">
        <v>78</v>
      </c>
      <c r="DH132" s="9" t="s">
        <v>78</v>
      </c>
      <c r="DI132" s="9" t="s">
        <v>726</v>
      </c>
      <c r="DJ132" s="9" t="s">
        <v>77</v>
      </c>
      <c r="DK132" s="9" t="s">
        <v>77</v>
      </c>
      <c r="DN132" s="9" t="s">
        <v>77</v>
      </c>
      <c r="DO132" s="9" t="s">
        <v>77</v>
      </c>
      <c r="DP132" s="9" t="s">
        <v>80</v>
      </c>
      <c r="DQ132" s="9" t="s">
        <v>438</v>
      </c>
      <c r="DR132" s="9" t="s">
        <v>77</v>
      </c>
      <c r="DS132" s="9" t="s">
        <v>78</v>
      </c>
      <c r="DT132" s="9" t="s">
        <v>349</v>
      </c>
      <c r="DU132" s="9" t="s">
        <v>78</v>
      </c>
      <c r="DV132" s="9" t="s">
        <v>77</v>
      </c>
      <c r="DZ132" s="9" t="s">
        <v>77</v>
      </c>
      <c r="EA132" s="9" t="s">
        <v>77</v>
      </c>
      <c r="EB132" s="9" t="s">
        <v>80</v>
      </c>
      <c r="EC132" s="9" t="s">
        <v>438</v>
      </c>
      <c r="ED132" s="9" t="s">
        <v>77</v>
      </c>
      <c r="EE132" s="9" t="s">
        <v>78</v>
      </c>
      <c r="EF132" s="9" t="s">
        <v>349</v>
      </c>
      <c r="EG132" s="9" t="s">
        <v>78</v>
      </c>
      <c r="EH132" s="9" t="s">
        <v>77</v>
      </c>
      <c r="EL132" s="9" t="s">
        <v>77</v>
      </c>
      <c r="EM132" s="9" t="s">
        <v>77</v>
      </c>
      <c r="EN132" s="9" t="s">
        <v>80</v>
      </c>
      <c r="EO132" s="9" t="s">
        <v>438</v>
      </c>
      <c r="EP132" s="9" t="s">
        <v>77</v>
      </c>
      <c r="EQ132" s="9" t="s">
        <v>78</v>
      </c>
      <c r="ER132" s="9" t="s">
        <v>349</v>
      </c>
      <c r="ES132" s="9" t="s">
        <v>78</v>
      </c>
      <c r="ET132" s="9" t="s">
        <v>77</v>
      </c>
      <c r="EX132" s="9" t="s">
        <v>77</v>
      </c>
      <c r="EY132" s="9" t="s">
        <v>77</v>
      </c>
      <c r="EZ132" s="9" t="s">
        <v>80</v>
      </c>
      <c r="FA132" s="9" t="s">
        <v>438</v>
      </c>
      <c r="FB132" s="9" t="s">
        <v>77</v>
      </c>
      <c r="FC132" s="9" t="s">
        <v>78</v>
      </c>
      <c r="FD132" s="9" t="s">
        <v>349</v>
      </c>
      <c r="FE132" s="9" t="s">
        <v>78</v>
      </c>
      <c r="FF132" s="9" t="s">
        <v>77</v>
      </c>
    </row>
    <row r="133" spans="50:162">
      <c r="AX133" s="9" t="s">
        <v>77</v>
      </c>
      <c r="AY133" s="9" t="s">
        <v>77</v>
      </c>
      <c r="AZ133" s="9" t="s">
        <v>80</v>
      </c>
      <c r="BA133" s="9" t="s">
        <v>438</v>
      </c>
      <c r="BB133" s="9" t="s">
        <v>79</v>
      </c>
      <c r="BC133" s="9" t="s">
        <v>78</v>
      </c>
      <c r="BD133" s="9" t="s">
        <v>349</v>
      </c>
      <c r="BE133" s="9" t="s">
        <v>78</v>
      </c>
      <c r="BF133" s="9" t="s">
        <v>77</v>
      </c>
      <c r="BI133" s="9" t="s">
        <v>77</v>
      </c>
      <c r="BJ133" s="9" t="s">
        <v>80</v>
      </c>
      <c r="BK133" s="9" t="s">
        <v>348</v>
      </c>
      <c r="BL133" s="9" t="s">
        <v>727</v>
      </c>
      <c r="BM133" s="9" t="s">
        <v>80</v>
      </c>
      <c r="BN133" s="9" t="s">
        <v>348</v>
      </c>
      <c r="BO133" s="9" t="s">
        <v>727</v>
      </c>
      <c r="BP133" s="9" t="s">
        <v>77</v>
      </c>
      <c r="BQ133" s="9" t="s">
        <v>77</v>
      </c>
      <c r="BR133" s="9" t="s">
        <v>77</v>
      </c>
      <c r="BS133" s="9" t="s">
        <v>77</v>
      </c>
      <c r="BT133" s="9" t="s">
        <v>77</v>
      </c>
      <c r="BU133" s="9" t="s">
        <v>77</v>
      </c>
      <c r="BV133" s="9" t="s">
        <v>78</v>
      </c>
      <c r="BW133" s="9" t="s">
        <v>78</v>
      </c>
      <c r="BX133" s="9" t="s">
        <v>78</v>
      </c>
      <c r="CB133" s="9" t="s">
        <v>77</v>
      </c>
      <c r="CC133" s="9" t="s">
        <v>80</v>
      </c>
      <c r="CD133" s="9" t="s">
        <v>77</v>
      </c>
      <c r="CE133" s="9" t="s">
        <v>77</v>
      </c>
      <c r="CF133" s="9" t="s">
        <v>77</v>
      </c>
      <c r="CG133" s="9" t="s">
        <v>80</v>
      </c>
      <c r="CH133" s="9" t="s">
        <v>348</v>
      </c>
      <c r="CI133" s="9" t="s">
        <v>728</v>
      </c>
      <c r="CJ133" s="9" t="s">
        <v>80</v>
      </c>
      <c r="CK133" s="9" t="s">
        <v>348</v>
      </c>
      <c r="CL133" s="9" t="s">
        <v>728</v>
      </c>
      <c r="CM133" s="9" t="s">
        <v>77</v>
      </c>
      <c r="CN133" s="9" t="s">
        <v>77</v>
      </c>
      <c r="CO133" s="9" t="s">
        <v>78</v>
      </c>
      <c r="CS133" s="9" t="s">
        <v>80</v>
      </c>
      <c r="CT133" s="9" t="s">
        <v>348</v>
      </c>
      <c r="CU133" s="9" t="s">
        <v>727</v>
      </c>
      <c r="CV133" s="9" t="s">
        <v>80</v>
      </c>
      <c r="CW133" s="9" t="s">
        <v>348</v>
      </c>
      <c r="CX133" s="9" t="s">
        <v>727</v>
      </c>
      <c r="CY133" s="9" t="s">
        <v>77</v>
      </c>
      <c r="CZ133" s="9" t="s">
        <v>77</v>
      </c>
      <c r="DA133" s="9" t="s">
        <v>78</v>
      </c>
      <c r="DE133" s="9" t="s">
        <v>77</v>
      </c>
      <c r="DF133" s="9" t="s">
        <v>78</v>
      </c>
      <c r="DG133" s="9" t="s">
        <v>78</v>
      </c>
      <c r="DH133" s="9" t="s">
        <v>78</v>
      </c>
      <c r="DI133" s="9" t="s">
        <v>727</v>
      </c>
      <c r="DJ133" s="9" t="s">
        <v>77</v>
      </c>
      <c r="DK133" s="9" t="s">
        <v>77</v>
      </c>
      <c r="DN133" s="9" t="s">
        <v>77</v>
      </c>
      <c r="DO133" s="9" t="s">
        <v>77</v>
      </c>
      <c r="DP133" s="9" t="s">
        <v>80</v>
      </c>
      <c r="DQ133" s="9" t="s">
        <v>438</v>
      </c>
      <c r="DR133" s="9" t="s">
        <v>77</v>
      </c>
      <c r="DS133" s="9" t="s">
        <v>78</v>
      </c>
      <c r="DT133" s="9" t="s">
        <v>349</v>
      </c>
      <c r="DU133" s="9" t="s">
        <v>78</v>
      </c>
      <c r="DV133" s="9" t="s">
        <v>77</v>
      </c>
      <c r="DZ133" s="9" t="s">
        <v>77</v>
      </c>
      <c r="EA133" s="9" t="s">
        <v>77</v>
      </c>
      <c r="EB133" s="9" t="s">
        <v>80</v>
      </c>
      <c r="EC133" s="9" t="s">
        <v>438</v>
      </c>
      <c r="ED133" s="9" t="s">
        <v>77</v>
      </c>
      <c r="EE133" s="9" t="s">
        <v>78</v>
      </c>
      <c r="EF133" s="9" t="s">
        <v>349</v>
      </c>
      <c r="EG133" s="9" t="s">
        <v>78</v>
      </c>
      <c r="EH133" s="9" t="s">
        <v>77</v>
      </c>
      <c r="EL133" s="9" t="s">
        <v>77</v>
      </c>
      <c r="EM133" s="9" t="s">
        <v>77</v>
      </c>
      <c r="EN133" s="9" t="s">
        <v>80</v>
      </c>
      <c r="EO133" s="9" t="s">
        <v>438</v>
      </c>
      <c r="EP133" s="9" t="s">
        <v>77</v>
      </c>
      <c r="EQ133" s="9" t="s">
        <v>78</v>
      </c>
      <c r="ER133" s="9" t="s">
        <v>349</v>
      </c>
      <c r="ES133" s="9" t="s">
        <v>78</v>
      </c>
      <c r="ET133" s="9" t="s">
        <v>77</v>
      </c>
      <c r="EX133" s="9" t="s">
        <v>77</v>
      </c>
      <c r="EY133" s="9" t="s">
        <v>77</v>
      </c>
      <c r="EZ133" s="9" t="s">
        <v>80</v>
      </c>
      <c r="FA133" s="9" t="s">
        <v>438</v>
      </c>
      <c r="FB133" s="9" t="s">
        <v>77</v>
      </c>
      <c r="FC133" s="9" t="s">
        <v>78</v>
      </c>
      <c r="FD133" s="9" t="s">
        <v>349</v>
      </c>
      <c r="FE133" s="9" t="s">
        <v>78</v>
      </c>
      <c r="FF133" s="9" t="s">
        <v>77</v>
      </c>
    </row>
    <row r="134" spans="50:162">
      <c r="AX134" s="9" t="s">
        <v>77</v>
      </c>
      <c r="AY134" s="9" t="s">
        <v>77</v>
      </c>
      <c r="AZ134" s="9" t="s">
        <v>80</v>
      </c>
      <c r="BA134" s="9" t="s">
        <v>438</v>
      </c>
      <c r="BB134" s="9" t="s">
        <v>79</v>
      </c>
      <c r="BC134" s="9" t="s">
        <v>78</v>
      </c>
      <c r="BD134" s="9" t="s">
        <v>349</v>
      </c>
      <c r="BE134" s="9" t="s">
        <v>78</v>
      </c>
      <c r="BF134" s="9" t="s">
        <v>77</v>
      </c>
      <c r="BI134" s="9" t="s">
        <v>77</v>
      </c>
      <c r="BJ134" s="9" t="s">
        <v>80</v>
      </c>
      <c r="BK134" s="9" t="s">
        <v>348</v>
      </c>
      <c r="BL134" s="9" t="s">
        <v>729</v>
      </c>
      <c r="BM134" s="9" t="s">
        <v>80</v>
      </c>
      <c r="BN134" s="9" t="s">
        <v>348</v>
      </c>
      <c r="BO134" s="9" t="s">
        <v>729</v>
      </c>
      <c r="BP134" s="9" t="s">
        <v>77</v>
      </c>
      <c r="BQ134" s="9" t="s">
        <v>77</v>
      </c>
      <c r="BR134" s="9" t="s">
        <v>77</v>
      </c>
      <c r="BS134" s="9" t="s">
        <v>77</v>
      </c>
      <c r="BT134" s="9" t="s">
        <v>77</v>
      </c>
      <c r="BU134" s="9" t="s">
        <v>77</v>
      </c>
      <c r="BV134" s="9" t="s">
        <v>78</v>
      </c>
      <c r="BW134" s="9" t="s">
        <v>78</v>
      </c>
      <c r="BX134" s="9" t="s">
        <v>78</v>
      </c>
      <c r="CB134" s="9" t="s">
        <v>77</v>
      </c>
      <c r="CC134" s="9" t="s">
        <v>80</v>
      </c>
      <c r="CD134" s="9" t="s">
        <v>77</v>
      </c>
      <c r="CE134" s="9" t="s">
        <v>77</v>
      </c>
      <c r="CF134" s="9" t="s">
        <v>77</v>
      </c>
      <c r="CG134" s="9" t="s">
        <v>80</v>
      </c>
      <c r="CH134" s="9" t="s">
        <v>348</v>
      </c>
      <c r="CI134" s="9" t="s">
        <v>730</v>
      </c>
      <c r="CJ134" s="9" t="s">
        <v>80</v>
      </c>
      <c r="CK134" s="9" t="s">
        <v>348</v>
      </c>
      <c r="CL134" s="9" t="s">
        <v>730</v>
      </c>
      <c r="CM134" s="9" t="s">
        <v>77</v>
      </c>
      <c r="CN134" s="9" t="s">
        <v>77</v>
      </c>
      <c r="CO134" s="9" t="s">
        <v>78</v>
      </c>
      <c r="CS134" s="9" t="s">
        <v>80</v>
      </c>
      <c r="CT134" s="9" t="s">
        <v>348</v>
      </c>
      <c r="CU134" s="9" t="s">
        <v>729</v>
      </c>
      <c r="CV134" s="9" t="s">
        <v>80</v>
      </c>
      <c r="CW134" s="9" t="s">
        <v>348</v>
      </c>
      <c r="CX134" s="9" t="s">
        <v>729</v>
      </c>
      <c r="CY134" s="9" t="s">
        <v>77</v>
      </c>
      <c r="CZ134" s="9" t="s">
        <v>77</v>
      </c>
      <c r="DA134" s="9" t="s">
        <v>78</v>
      </c>
      <c r="DE134" s="9" t="s">
        <v>77</v>
      </c>
      <c r="DF134" s="9" t="s">
        <v>78</v>
      </c>
      <c r="DG134" s="9" t="s">
        <v>78</v>
      </c>
      <c r="DH134" s="9" t="s">
        <v>78</v>
      </c>
      <c r="DI134" s="9" t="s">
        <v>729</v>
      </c>
      <c r="DJ134" s="9" t="s">
        <v>77</v>
      </c>
      <c r="DK134" s="9" t="s">
        <v>77</v>
      </c>
      <c r="DN134" s="9" t="s">
        <v>77</v>
      </c>
      <c r="DO134" s="9" t="s">
        <v>77</v>
      </c>
      <c r="DP134" s="9" t="s">
        <v>80</v>
      </c>
      <c r="DQ134" s="9" t="s">
        <v>438</v>
      </c>
      <c r="DR134" s="9" t="s">
        <v>77</v>
      </c>
      <c r="DS134" s="9" t="s">
        <v>78</v>
      </c>
      <c r="DT134" s="9" t="s">
        <v>349</v>
      </c>
      <c r="DU134" s="9" t="s">
        <v>78</v>
      </c>
      <c r="DV134" s="9" t="s">
        <v>77</v>
      </c>
      <c r="DZ134" s="9" t="s">
        <v>77</v>
      </c>
      <c r="EA134" s="9" t="s">
        <v>77</v>
      </c>
      <c r="EB134" s="9" t="s">
        <v>80</v>
      </c>
      <c r="EC134" s="9" t="s">
        <v>438</v>
      </c>
      <c r="ED134" s="9" t="s">
        <v>77</v>
      </c>
      <c r="EE134" s="9" t="s">
        <v>78</v>
      </c>
      <c r="EF134" s="9" t="s">
        <v>349</v>
      </c>
      <c r="EG134" s="9" t="s">
        <v>78</v>
      </c>
      <c r="EH134" s="9" t="s">
        <v>77</v>
      </c>
      <c r="EL134" s="9" t="s">
        <v>77</v>
      </c>
      <c r="EM134" s="9" t="s">
        <v>77</v>
      </c>
      <c r="EN134" s="9" t="s">
        <v>80</v>
      </c>
      <c r="EO134" s="9" t="s">
        <v>438</v>
      </c>
      <c r="EP134" s="9" t="s">
        <v>77</v>
      </c>
      <c r="EQ134" s="9" t="s">
        <v>78</v>
      </c>
      <c r="ER134" s="9" t="s">
        <v>349</v>
      </c>
      <c r="ES134" s="9" t="s">
        <v>78</v>
      </c>
      <c r="ET134" s="9" t="s">
        <v>77</v>
      </c>
      <c r="EX134" s="9" t="s">
        <v>77</v>
      </c>
      <c r="EY134" s="9" t="s">
        <v>77</v>
      </c>
      <c r="EZ134" s="9" t="s">
        <v>80</v>
      </c>
      <c r="FA134" s="9" t="s">
        <v>438</v>
      </c>
      <c r="FB134" s="9" t="s">
        <v>77</v>
      </c>
      <c r="FC134" s="9" t="s">
        <v>78</v>
      </c>
      <c r="FD134" s="9" t="s">
        <v>349</v>
      </c>
      <c r="FE134" s="9" t="s">
        <v>78</v>
      </c>
      <c r="FF134" s="9" t="s">
        <v>77</v>
      </c>
    </row>
    <row r="135" spans="50:162">
      <c r="AX135" s="9" t="s">
        <v>77</v>
      </c>
      <c r="AY135" s="9" t="s">
        <v>77</v>
      </c>
      <c r="AZ135" s="9" t="s">
        <v>80</v>
      </c>
      <c r="BA135" s="9" t="s">
        <v>438</v>
      </c>
      <c r="BB135" s="9" t="s">
        <v>79</v>
      </c>
      <c r="BC135" s="9" t="s">
        <v>78</v>
      </c>
      <c r="BD135" s="9" t="s">
        <v>349</v>
      </c>
      <c r="BE135" s="9" t="s">
        <v>78</v>
      </c>
      <c r="BF135" s="9" t="s">
        <v>77</v>
      </c>
      <c r="BI135" s="9" t="s">
        <v>77</v>
      </c>
      <c r="BJ135" s="9" t="s">
        <v>80</v>
      </c>
      <c r="BK135" s="9" t="s">
        <v>348</v>
      </c>
      <c r="BL135" s="9" t="s">
        <v>731</v>
      </c>
      <c r="BM135" s="9" t="s">
        <v>80</v>
      </c>
      <c r="BN135" s="9" t="s">
        <v>348</v>
      </c>
      <c r="BO135" s="9" t="s">
        <v>731</v>
      </c>
      <c r="BP135" s="9" t="s">
        <v>77</v>
      </c>
      <c r="BQ135" s="9" t="s">
        <v>77</v>
      </c>
      <c r="BR135" s="9" t="s">
        <v>77</v>
      </c>
      <c r="BS135" s="9" t="s">
        <v>77</v>
      </c>
      <c r="BT135" s="9" t="s">
        <v>77</v>
      </c>
      <c r="BU135" s="9" t="s">
        <v>77</v>
      </c>
      <c r="BV135" s="9" t="s">
        <v>78</v>
      </c>
      <c r="BW135" s="9" t="s">
        <v>78</v>
      </c>
      <c r="BX135" s="9" t="s">
        <v>78</v>
      </c>
      <c r="CB135" s="9" t="s">
        <v>77</v>
      </c>
      <c r="CC135" s="9" t="s">
        <v>80</v>
      </c>
      <c r="CD135" s="9" t="s">
        <v>77</v>
      </c>
      <c r="CE135" s="9" t="s">
        <v>77</v>
      </c>
      <c r="CF135" s="9" t="s">
        <v>77</v>
      </c>
      <c r="CG135" s="9" t="s">
        <v>80</v>
      </c>
      <c r="CH135" s="9" t="s">
        <v>348</v>
      </c>
      <c r="CI135" s="9" t="s">
        <v>732</v>
      </c>
      <c r="CJ135" s="9" t="s">
        <v>80</v>
      </c>
      <c r="CK135" s="9" t="s">
        <v>348</v>
      </c>
      <c r="CL135" s="9" t="s">
        <v>732</v>
      </c>
      <c r="CM135" s="9" t="s">
        <v>77</v>
      </c>
      <c r="CN135" s="9" t="s">
        <v>77</v>
      </c>
      <c r="CO135" s="9" t="s">
        <v>78</v>
      </c>
      <c r="CS135" s="9" t="s">
        <v>80</v>
      </c>
      <c r="CT135" s="9" t="s">
        <v>348</v>
      </c>
      <c r="CU135" s="9" t="s">
        <v>732</v>
      </c>
      <c r="CV135" s="9" t="s">
        <v>80</v>
      </c>
      <c r="CW135" s="9" t="s">
        <v>348</v>
      </c>
      <c r="CX135" s="9" t="s">
        <v>732</v>
      </c>
      <c r="CY135" s="9" t="s">
        <v>77</v>
      </c>
      <c r="CZ135" s="9" t="s">
        <v>77</v>
      </c>
      <c r="DA135" s="9" t="s">
        <v>78</v>
      </c>
      <c r="DE135" s="9" t="s">
        <v>77</v>
      </c>
      <c r="DF135" s="9" t="s">
        <v>78</v>
      </c>
      <c r="DG135" s="9" t="s">
        <v>78</v>
      </c>
      <c r="DH135" s="9" t="s">
        <v>78</v>
      </c>
      <c r="DI135" s="9" t="s">
        <v>731</v>
      </c>
      <c r="DJ135" s="9" t="s">
        <v>77</v>
      </c>
      <c r="DK135" s="9" t="s">
        <v>77</v>
      </c>
      <c r="DN135" s="9" t="s">
        <v>77</v>
      </c>
      <c r="DO135" s="9" t="s">
        <v>77</v>
      </c>
      <c r="DP135" s="9" t="s">
        <v>80</v>
      </c>
      <c r="DQ135" s="9" t="s">
        <v>438</v>
      </c>
      <c r="DR135" s="9" t="s">
        <v>77</v>
      </c>
      <c r="DS135" s="9" t="s">
        <v>78</v>
      </c>
      <c r="DT135" s="9" t="s">
        <v>349</v>
      </c>
      <c r="DU135" s="9" t="s">
        <v>78</v>
      </c>
      <c r="DV135" s="9" t="s">
        <v>77</v>
      </c>
      <c r="DZ135" s="9" t="s">
        <v>77</v>
      </c>
      <c r="EA135" s="9" t="s">
        <v>77</v>
      </c>
      <c r="EB135" s="9" t="s">
        <v>80</v>
      </c>
      <c r="EC135" s="9" t="s">
        <v>438</v>
      </c>
      <c r="ED135" s="9" t="s">
        <v>77</v>
      </c>
      <c r="EE135" s="9" t="s">
        <v>78</v>
      </c>
      <c r="EF135" s="9" t="s">
        <v>349</v>
      </c>
      <c r="EG135" s="9" t="s">
        <v>78</v>
      </c>
      <c r="EH135" s="9" t="s">
        <v>77</v>
      </c>
      <c r="EL135" s="9" t="s">
        <v>77</v>
      </c>
      <c r="EM135" s="9" t="s">
        <v>77</v>
      </c>
      <c r="EN135" s="9" t="s">
        <v>80</v>
      </c>
      <c r="EO135" s="9" t="s">
        <v>438</v>
      </c>
      <c r="EP135" s="9" t="s">
        <v>77</v>
      </c>
      <c r="EQ135" s="9" t="s">
        <v>78</v>
      </c>
      <c r="ER135" s="9" t="s">
        <v>349</v>
      </c>
      <c r="ES135" s="9" t="s">
        <v>78</v>
      </c>
      <c r="ET135" s="9" t="s">
        <v>77</v>
      </c>
      <c r="EX135" s="9" t="s">
        <v>77</v>
      </c>
      <c r="EY135" s="9" t="s">
        <v>77</v>
      </c>
      <c r="EZ135" s="9" t="s">
        <v>80</v>
      </c>
      <c r="FA135" s="9" t="s">
        <v>438</v>
      </c>
      <c r="FB135" s="9" t="s">
        <v>77</v>
      </c>
      <c r="FC135" s="9" t="s">
        <v>78</v>
      </c>
      <c r="FD135" s="9" t="s">
        <v>349</v>
      </c>
      <c r="FE135" s="9" t="s">
        <v>78</v>
      </c>
      <c r="FF135" s="9" t="s">
        <v>77</v>
      </c>
    </row>
    <row r="136" spans="50:162">
      <c r="AX136" s="9" t="s">
        <v>77</v>
      </c>
      <c r="AY136" s="9" t="s">
        <v>77</v>
      </c>
      <c r="AZ136" s="9" t="s">
        <v>80</v>
      </c>
      <c r="BA136" s="9" t="s">
        <v>438</v>
      </c>
      <c r="BB136" s="9" t="s">
        <v>79</v>
      </c>
      <c r="BC136" s="9" t="s">
        <v>78</v>
      </c>
      <c r="BD136" s="9" t="s">
        <v>349</v>
      </c>
      <c r="BE136" s="9" t="s">
        <v>78</v>
      </c>
      <c r="BF136" s="9" t="s">
        <v>77</v>
      </c>
      <c r="BI136" s="9" t="s">
        <v>77</v>
      </c>
      <c r="BJ136" s="9" t="s">
        <v>80</v>
      </c>
      <c r="BK136" s="9" t="s">
        <v>348</v>
      </c>
      <c r="BL136" s="9" t="s">
        <v>733</v>
      </c>
      <c r="BM136" s="9" t="s">
        <v>80</v>
      </c>
      <c r="BN136" s="9" t="s">
        <v>348</v>
      </c>
      <c r="BO136" s="9" t="s">
        <v>733</v>
      </c>
      <c r="BP136" s="9" t="s">
        <v>77</v>
      </c>
      <c r="BQ136" s="9" t="s">
        <v>77</v>
      </c>
      <c r="BR136" s="9" t="s">
        <v>77</v>
      </c>
      <c r="BS136" s="9" t="s">
        <v>77</v>
      </c>
      <c r="BT136" s="9" t="s">
        <v>77</v>
      </c>
      <c r="BU136" s="9" t="s">
        <v>77</v>
      </c>
      <c r="BV136" s="9" t="s">
        <v>78</v>
      </c>
      <c r="BW136" s="9" t="s">
        <v>78</v>
      </c>
      <c r="BX136" s="9" t="s">
        <v>78</v>
      </c>
      <c r="CB136" s="9" t="s">
        <v>77</v>
      </c>
      <c r="CC136" s="9" t="s">
        <v>80</v>
      </c>
      <c r="CD136" s="9" t="s">
        <v>77</v>
      </c>
      <c r="CE136" s="9" t="s">
        <v>77</v>
      </c>
      <c r="CF136" s="9" t="s">
        <v>77</v>
      </c>
      <c r="CG136" s="9" t="s">
        <v>80</v>
      </c>
      <c r="CH136" s="9" t="s">
        <v>348</v>
      </c>
      <c r="CI136" s="9" t="s">
        <v>734</v>
      </c>
      <c r="CJ136" s="9" t="s">
        <v>80</v>
      </c>
      <c r="CK136" s="9" t="s">
        <v>348</v>
      </c>
      <c r="CL136" s="9" t="s">
        <v>734</v>
      </c>
      <c r="CM136" s="9" t="s">
        <v>77</v>
      </c>
      <c r="CN136" s="9" t="s">
        <v>77</v>
      </c>
      <c r="CO136" s="9" t="s">
        <v>78</v>
      </c>
      <c r="CS136" s="9" t="s">
        <v>80</v>
      </c>
      <c r="CT136" s="9" t="s">
        <v>348</v>
      </c>
      <c r="CU136" s="9" t="s">
        <v>734</v>
      </c>
      <c r="CV136" s="9" t="s">
        <v>80</v>
      </c>
      <c r="CW136" s="9" t="s">
        <v>348</v>
      </c>
      <c r="CX136" s="9" t="s">
        <v>734</v>
      </c>
      <c r="CY136" s="9" t="s">
        <v>77</v>
      </c>
      <c r="CZ136" s="9" t="s">
        <v>77</v>
      </c>
      <c r="DA136" s="9" t="s">
        <v>78</v>
      </c>
      <c r="DE136" s="9" t="s">
        <v>77</v>
      </c>
      <c r="DF136" s="9" t="s">
        <v>78</v>
      </c>
      <c r="DG136" s="9" t="s">
        <v>78</v>
      </c>
      <c r="DH136" s="9" t="s">
        <v>78</v>
      </c>
      <c r="DI136" s="9" t="s">
        <v>733</v>
      </c>
      <c r="DJ136" s="9" t="s">
        <v>77</v>
      </c>
      <c r="DK136" s="9" t="s">
        <v>77</v>
      </c>
      <c r="DN136" s="9" t="s">
        <v>77</v>
      </c>
      <c r="DO136" s="9" t="s">
        <v>77</v>
      </c>
      <c r="DP136" s="9" t="s">
        <v>80</v>
      </c>
      <c r="DQ136" s="9" t="s">
        <v>438</v>
      </c>
      <c r="DR136" s="9" t="s">
        <v>77</v>
      </c>
      <c r="DS136" s="9" t="s">
        <v>78</v>
      </c>
      <c r="DT136" s="9" t="s">
        <v>349</v>
      </c>
      <c r="DU136" s="9" t="s">
        <v>78</v>
      </c>
      <c r="DV136" s="9" t="s">
        <v>77</v>
      </c>
      <c r="DZ136" s="9" t="s">
        <v>77</v>
      </c>
      <c r="EA136" s="9" t="s">
        <v>77</v>
      </c>
      <c r="EB136" s="9" t="s">
        <v>80</v>
      </c>
      <c r="EC136" s="9" t="s">
        <v>438</v>
      </c>
      <c r="ED136" s="9" t="s">
        <v>77</v>
      </c>
      <c r="EE136" s="9" t="s">
        <v>78</v>
      </c>
      <c r="EF136" s="9" t="s">
        <v>349</v>
      </c>
      <c r="EG136" s="9" t="s">
        <v>78</v>
      </c>
      <c r="EH136" s="9" t="s">
        <v>77</v>
      </c>
      <c r="EL136" s="9" t="s">
        <v>77</v>
      </c>
      <c r="EM136" s="9" t="s">
        <v>77</v>
      </c>
      <c r="EN136" s="9" t="s">
        <v>80</v>
      </c>
      <c r="EO136" s="9" t="s">
        <v>438</v>
      </c>
      <c r="EP136" s="9" t="s">
        <v>77</v>
      </c>
      <c r="EQ136" s="9" t="s">
        <v>78</v>
      </c>
      <c r="ER136" s="9" t="s">
        <v>349</v>
      </c>
      <c r="ES136" s="9" t="s">
        <v>78</v>
      </c>
      <c r="ET136" s="9" t="s">
        <v>77</v>
      </c>
      <c r="EX136" s="9" t="s">
        <v>77</v>
      </c>
      <c r="EY136" s="9" t="s">
        <v>77</v>
      </c>
      <c r="EZ136" s="9" t="s">
        <v>80</v>
      </c>
      <c r="FA136" s="9" t="s">
        <v>438</v>
      </c>
      <c r="FB136" s="9" t="s">
        <v>77</v>
      </c>
      <c r="FC136" s="9" t="s">
        <v>78</v>
      </c>
      <c r="FD136" s="9" t="s">
        <v>349</v>
      </c>
      <c r="FE136" s="9" t="s">
        <v>78</v>
      </c>
      <c r="FF136" s="9" t="s">
        <v>77</v>
      </c>
    </row>
    <row r="137" spans="50:162">
      <c r="AX137" s="9" t="s">
        <v>77</v>
      </c>
      <c r="AY137" s="9" t="s">
        <v>77</v>
      </c>
      <c r="AZ137" s="9" t="s">
        <v>80</v>
      </c>
      <c r="BA137" s="9" t="s">
        <v>438</v>
      </c>
      <c r="BB137" s="9" t="s">
        <v>79</v>
      </c>
      <c r="BC137" s="9" t="s">
        <v>78</v>
      </c>
      <c r="BD137" s="9" t="s">
        <v>349</v>
      </c>
      <c r="BE137" s="9" t="s">
        <v>78</v>
      </c>
      <c r="BF137" s="9" t="s">
        <v>77</v>
      </c>
      <c r="BI137" s="9" t="s">
        <v>77</v>
      </c>
      <c r="BJ137" s="9" t="s">
        <v>80</v>
      </c>
      <c r="BK137" s="9" t="s">
        <v>348</v>
      </c>
      <c r="BL137" s="9" t="s">
        <v>735</v>
      </c>
      <c r="BM137" s="9" t="s">
        <v>80</v>
      </c>
      <c r="BN137" s="9" t="s">
        <v>348</v>
      </c>
      <c r="BO137" s="9" t="s">
        <v>735</v>
      </c>
      <c r="BP137" s="9" t="s">
        <v>77</v>
      </c>
      <c r="BQ137" s="9" t="s">
        <v>77</v>
      </c>
      <c r="BR137" s="9" t="s">
        <v>77</v>
      </c>
      <c r="BS137" s="9" t="s">
        <v>77</v>
      </c>
      <c r="BT137" s="9" t="s">
        <v>77</v>
      </c>
      <c r="BU137" s="9" t="s">
        <v>77</v>
      </c>
      <c r="BV137" s="9" t="s">
        <v>78</v>
      </c>
      <c r="BW137" s="9" t="s">
        <v>78</v>
      </c>
      <c r="BX137" s="9" t="s">
        <v>78</v>
      </c>
      <c r="CB137" s="9" t="s">
        <v>77</v>
      </c>
      <c r="CC137" s="9" t="s">
        <v>80</v>
      </c>
      <c r="CD137" s="9" t="s">
        <v>77</v>
      </c>
      <c r="CE137" s="9" t="s">
        <v>77</v>
      </c>
      <c r="CF137" s="9" t="s">
        <v>77</v>
      </c>
      <c r="CG137" s="9" t="s">
        <v>80</v>
      </c>
      <c r="CH137" s="9" t="s">
        <v>348</v>
      </c>
      <c r="CI137" s="9" t="s">
        <v>736</v>
      </c>
      <c r="CJ137" s="9" t="s">
        <v>80</v>
      </c>
      <c r="CK137" s="9" t="s">
        <v>348</v>
      </c>
      <c r="CL137" s="9" t="s">
        <v>736</v>
      </c>
      <c r="CM137" s="9" t="s">
        <v>77</v>
      </c>
      <c r="CN137" s="9" t="s">
        <v>77</v>
      </c>
      <c r="CO137" s="9" t="s">
        <v>78</v>
      </c>
      <c r="CS137" s="9" t="s">
        <v>80</v>
      </c>
      <c r="CT137" s="9" t="s">
        <v>348</v>
      </c>
      <c r="CU137" s="9" t="s">
        <v>735</v>
      </c>
      <c r="CV137" s="9" t="s">
        <v>80</v>
      </c>
      <c r="CW137" s="9" t="s">
        <v>348</v>
      </c>
      <c r="CX137" s="9" t="s">
        <v>735</v>
      </c>
      <c r="CY137" s="9" t="s">
        <v>77</v>
      </c>
      <c r="CZ137" s="9" t="s">
        <v>77</v>
      </c>
      <c r="DA137" s="9" t="s">
        <v>78</v>
      </c>
      <c r="DE137" s="9" t="s">
        <v>77</v>
      </c>
      <c r="DF137" s="9" t="s">
        <v>78</v>
      </c>
      <c r="DG137" s="9" t="s">
        <v>78</v>
      </c>
      <c r="DH137" s="9" t="s">
        <v>78</v>
      </c>
      <c r="DI137" s="9" t="s">
        <v>735</v>
      </c>
      <c r="DJ137" s="9" t="s">
        <v>77</v>
      </c>
      <c r="DK137" s="9" t="s">
        <v>77</v>
      </c>
      <c r="DN137" s="9" t="s">
        <v>77</v>
      </c>
      <c r="DO137" s="9" t="s">
        <v>77</v>
      </c>
      <c r="DP137" s="9" t="s">
        <v>80</v>
      </c>
      <c r="DQ137" s="9" t="s">
        <v>438</v>
      </c>
      <c r="DR137" s="9" t="s">
        <v>77</v>
      </c>
      <c r="DS137" s="9" t="s">
        <v>78</v>
      </c>
      <c r="DT137" s="9" t="s">
        <v>349</v>
      </c>
      <c r="DU137" s="9" t="s">
        <v>78</v>
      </c>
      <c r="DV137" s="9" t="s">
        <v>77</v>
      </c>
      <c r="DZ137" s="9" t="s">
        <v>77</v>
      </c>
      <c r="EA137" s="9" t="s">
        <v>77</v>
      </c>
      <c r="EB137" s="9" t="s">
        <v>80</v>
      </c>
      <c r="EC137" s="9" t="s">
        <v>438</v>
      </c>
      <c r="ED137" s="9" t="s">
        <v>77</v>
      </c>
      <c r="EE137" s="9" t="s">
        <v>78</v>
      </c>
      <c r="EF137" s="9" t="s">
        <v>349</v>
      </c>
      <c r="EG137" s="9" t="s">
        <v>78</v>
      </c>
      <c r="EH137" s="9" t="s">
        <v>77</v>
      </c>
      <c r="EL137" s="9" t="s">
        <v>77</v>
      </c>
      <c r="EM137" s="9" t="s">
        <v>77</v>
      </c>
      <c r="EN137" s="9" t="s">
        <v>80</v>
      </c>
      <c r="EO137" s="9" t="s">
        <v>438</v>
      </c>
      <c r="EP137" s="9" t="s">
        <v>77</v>
      </c>
      <c r="EQ137" s="9" t="s">
        <v>78</v>
      </c>
      <c r="ER137" s="9" t="s">
        <v>349</v>
      </c>
      <c r="ES137" s="9" t="s">
        <v>78</v>
      </c>
      <c r="ET137" s="9" t="s">
        <v>77</v>
      </c>
      <c r="EX137" s="9" t="s">
        <v>77</v>
      </c>
      <c r="EY137" s="9" t="s">
        <v>77</v>
      </c>
      <c r="EZ137" s="9" t="s">
        <v>80</v>
      </c>
      <c r="FA137" s="9" t="s">
        <v>438</v>
      </c>
      <c r="FB137" s="9" t="s">
        <v>77</v>
      </c>
      <c r="FC137" s="9" t="s">
        <v>78</v>
      </c>
      <c r="FD137" s="9" t="s">
        <v>349</v>
      </c>
      <c r="FE137" s="9" t="s">
        <v>78</v>
      </c>
      <c r="FF137" s="9" t="s">
        <v>77</v>
      </c>
    </row>
    <row r="138" spans="50:162">
      <c r="AX138" s="9" t="s">
        <v>77</v>
      </c>
      <c r="AY138" s="9" t="s">
        <v>77</v>
      </c>
      <c r="AZ138" s="9" t="s">
        <v>80</v>
      </c>
      <c r="BA138" s="9" t="s">
        <v>438</v>
      </c>
      <c r="BB138" s="9" t="s">
        <v>79</v>
      </c>
      <c r="BC138" s="9" t="s">
        <v>78</v>
      </c>
      <c r="BD138" s="9" t="s">
        <v>349</v>
      </c>
      <c r="BE138" s="9" t="s">
        <v>78</v>
      </c>
      <c r="BF138" s="9" t="s">
        <v>77</v>
      </c>
      <c r="BI138" s="9" t="s">
        <v>77</v>
      </c>
      <c r="BJ138" s="9" t="s">
        <v>80</v>
      </c>
      <c r="BK138" s="9" t="s">
        <v>348</v>
      </c>
      <c r="BL138" s="9" t="s">
        <v>737</v>
      </c>
      <c r="BM138" s="9" t="s">
        <v>80</v>
      </c>
      <c r="BN138" s="9" t="s">
        <v>348</v>
      </c>
      <c r="BO138" s="9" t="s">
        <v>737</v>
      </c>
      <c r="BP138" s="9" t="s">
        <v>77</v>
      </c>
      <c r="BQ138" s="9" t="s">
        <v>77</v>
      </c>
      <c r="BR138" s="9" t="s">
        <v>77</v>
      </c>
      <c r="BS138" s="9" t="s">
        <v>77</v>
      </c>
      <c r="BT138" s="9" t="s">
        <v>77</v>
      </c>
      <c r="BU138" s="9" t="s">
        <v>77</v>
      </c>
      <c r="BV138" s="9" t="s">
        <v>78</v>
      </c>
      <c r="BW138" s="9" t="s">
        <v>78</v>
      </c>
      <c r="BX138" s="9" t="s">
        <v>78</v>
      </c>
      <c r="CB138" s="9" t="s">
        <v>77</v>
      </c>
      <c r="CC138" s="9" t="s">
        <v>80</v>
      </c>
      <c r="CD138" s="9" t="s">
        <v>77</v>
      </c>
      <c r="CE138" s="9" t="s">
        <v>77</v>
      </c>
      <c r="CF138" s="9" t="s">
        <v>77</v>
      </c>
      <c r="CG138" s="9" t="s">
        <v>80</v>
      </c>
      <c r="CH138" s="9" t="s">
        <v>348</v>
      </c>
      <c r="CI138" s="9" t="s">
        <v>738</v>
      </c>
      <c r="CJ138" s="9" t="s">
        <v>80</v>
      </c>
      <c r="CK138" s="9" t="s">
        <v>348</v>
      </c>
      <c r="CL138" s="9" t="s">
        <v>738</v>
      </c>
      <c r="CM138" s="9" t="s">
        <v>77</v>
      </c>
      <c r="CN138" s="9" t="s">
        <v>77</v>
      </c>
      <c r="CO138" s="9" t="s">
        <v>78</v>
      </c>
      <c r="CS138" s="9" t="s">
        <v>80</v>
      </c>
      <c r="CT138" s="9" t="s">
        <v>348</v>
      </c>
      <c r="CU138" s="9" t="s">
        <v>737</v>
      </c>
      <c r="CV138" s="9" t="s">
        <v>80</v>
      </c>
      <c r="CW138" s="9" t="s">
        <v>348</v>
      </c>
      <c r="CX138" s="9" t="s">
        <v>737</v>
      </c>
      <c r="CY138" s="9" t="s">
        <v>77</v>
      </c>
      <c r="CZ138" s="9" t="s">
        <v>77</v>
      </c>
      <c r="DA138" s="9" t="s">
        <v>78</v>
      </c>
      <c r="DE138" s="9" t="s">
        <v>77</v>
      </c>
      <c r="DF138" s="9" t="s">
        <v>78</v>
      </c>
      <c r="DG138" s="9" t="s">
        <v>78</v>
      </c>
      <c r="DH138" s="9" t="s">
        <v>78</v>
      </c>
      <c r="DI138" s="9" t="s">
        <v>739</v>
      </c>
      <c r="DJ138" s="9" t="s">
        <v>77</v>
      </c>
      <c r="DK138" s="9" t="s">
        <v>77</v>
      </c>
      <c r="DN138" s="9" t="s">
        <v>77</v>
      </c>
      <c r="DO138" s="9" t="s">
        <v>77</v>
      </c>
      <c r="DP138" s="9" t="s">
        <v>80</v>
      </c>
      <c r="DQ138" s="9" t="s">
        <v>438</v>
      </c>
      <c r="DR138" s="9" t="s">
        <v>77</v>
      </c>
      <c r="DS138" s="9" t="s">
        <v>78</v>
      </c>
      <c r="DT138" s="9" t="s">
        <v>349</v>
      </c>
      <c r="DU138" s="9" t="s">
        <v>78</v>
      </c>
      <c r="DV138" s="9" t="s">
        <v>77</v>
      </c>
      <c r="DZ138" s="9" t="s">
        <v>77</v>
      </c>
      <c r="EA138" s="9" t="s">
        <v>77</v>
      </c>
      <c r="EB138" s="9" t="s">
        <v>80</v>
      </c>
      <c r="EC138" s="9" t="s">
        <v>438</v>
      </c>
      <c r="ED138" s="9" t="s">
        <v>77</v>
      </c>
      <c r="EE138" s="9" t="s">
        <v>78</v>
      </c>
      <c r="EF138" s="9" t="s">
        <v>349</v>
      </c>
      <c r="EG138" s="9" t="s">
        <v>78</v>
      </c>
      <c r="EH138" s="9" t="s">
        <v>77</v>
      </c>
      <c r="EL138" s="9" t="s">
        <v>77</v>
      </c>
      <c r="EM138" s="9" t="s">
        <v>77</v>
      </c>
      <c r="EN138" s="9" t="s">
        <v>80</v>
      </c>
      <c r="EO138" s="9" t="s">
        <v>438</v>
      </c>
      <c r="EP138" s="9" t="s">
        <v>77</v>
      </c>
      <c r="EQ138" s="9" t="s">
        <v>78</v>
      </c>
      <c r="ER138" s="9" t="s">
        <v>349</v>
      </c>
      <c r="ES138" s="9" t="s">
        <v>78</v>
      </c>
      <c r="ET138" s="9" t="s">
        <v>77</v>
      </c>
      <c r="EX138" s="9" t="s">
        <v>77</v>
      </c>
      <c r="EY138" s="9" t="s">
        <v>77</v>
      </c>
      <c r="EZ138" s="9" t="s">
        <v>80</v>
      </c>
      <c r="FA138" s="9" t="s">
        <v>438</v>
      </c>
      <c r="FB138" s="9" t="s">
        <v>77</v>
      </c>
      <c r="FC138" s="9" t="s">
        <v>78</v>
      </c>
      <c r="FD138" s="9" t="s">
        <v>349</v>
      </c>
      <c r="FE138" s="9" t="s">
        <v>78</v>
      </c>
      <c r="FF138" s="9" t="s">
        <v>77</v>
      </c>
    </row>
    <row r="139" spans="50:162">
      <c r="AX139" s="9" t="s">
        <v>77</v>
      </c>
      <c r="AY139" s="9" t="s">
        <v>77</v>
      </c>
      <c r="AZ139" s="9" t="s">
        <v>80</v>
      </c>
      <c r="BA139" s="9" t="s">
        <v>438</v>
      </c>
      <c r="BB139" s="9" t="s">
        <v>79</v>
      </c>
      <c r="BC139" s="9" t="s">
        <v>78</v>
      </c>
      <c r="BD139" s="9" t="s">
        <v>349</v>
      </c>
      <c r="BE139" s="9" t="s">
        <v>78</v>
      </c>
      <c r="BF139" s="9" t="s">
        <v>77</v>
      </c>
      <c r="BI139" s="9" t="s">
        <v>77</v>
      </c>
      <c r="BJ139" s="9" t="s">
        <v>80</v>
      </c>
      <c r="BK139" s="9" t="s">
        <v>348</v>
      </c>
      <c r="BL139" s="9" t="s">
        <v>740</v>
      </c>
      <c r="BM139" s="9" t="s">
        <v>80</v>
      </c>
      <c r="BN139" s="9" t="s">
        <v>348</v>
      </c>
      <c r="BO139" s="9" t="s">
        <v>740</v>
      </c>
      <c r="BP139" s="9" t="s">
        <v>77</v>
      </c>
      <c r="BQ139" s="9" t="s">
        <v>77</v>
      </c>
      <c r="BR139" s="9" t="s">
        <v>77</v>
      </c>
      <c r="BS139" s="9" t="s">
        <v>77</v>
      </c>
      <c r="BT139" s="9" t="s">
        <v>77</v>
      </c>
      <c r="BU139" s="9" t="s">
        <v>77</v>
      </c>
      <c r="BV139" s="9" t="s">
        <v>78</v>
      </c>
      <c r="BW139" s="9" t="s">
        <v>78</v>
      </c>
      <c r="BX139" s="9" t="s">
        <v>78</v>
      </c>
      <c r="CB139" s="9" t="s">
        <v>77</v>
      </c>
      <c r="CC139" s="9" t="s">
        <v>80</v>
      </c>
      <c r="CD139" s="9" t="s">
        <v>77</v>
      </c>
      <c r="CE139" s="9" t="s">
        <v>77</v>
      </c>
      <c r="CF139" s="9" t="s">
        <v>77</v>
      </c>
      <c r="CG139" s="9" t="s">
        <v>80</v>
      </c>
      <c r="CH139" s="9" t="s">
        <v>348</v>
      </c>
      <c r="CI139" s="9" t="s">
        <v>741</v>
      </c>
      <c r="CJ139" s="9" t="s">
        <v>80</v>
      </c>
      <c r="CK139" s="9" t="s">
        <v>348</v>
      </c>
      <c r="CL139" s="9" t="s">
        <v>741</v>
      </c>
      <c r="CM139" s="9" t="s">
        <v>77</v>
      </c>
      <c r="CN139" s="9" t="s">
        <v>77</v>
      </c>
      <c r="CO139" s="9" t="s">
        <v>78</v>
      </c>
      <c r="CS139" s="9" t="s">
        <v>80</v>
      </c>
      <c r="CT139" s="9" t="s">
        <v>348</v>
      </c>
      <c r="CU139" s="9" t="s">
        <v>740</v>
      </c>
      <c r="CV139" s="9" t="s">
        <v>80</v>
      </c>
      <c r="CW139" s="9" t="s">
        <v>348</v>
      </c>
      <c r="CX139" s="9" t="s">
        <v>740</v>
      </c>
      <c r="CY139" s="9" t="s">
        <v>77</v>
      </c>
      <c r="CZ139" s="9" t="s">
        <v>77</v>
      </c>
      <c r="DA139" s="9" t="s">
        <v>78</v>
      </c>
      <c r="DE139" s="9" t="s">
        <v>77</v>
      </c>
      <c r="DF139" s="9" t="s">
        <v>78</v>
      </c>
      <c r="DG139" s="9" t="s">
        <v>78</v>
      </c>
      <c r="DH139" s="9" t="s">
        <v>78</v>
      </c>
      <c r="DI139" s="9" t="s">
        <v>742</v>
      </c>
      <c r="DJ139" s="9" t="s">
        <v>77</v>
      </c>
      <c r="DK139" s="9" t="s">
        <v>77</v>
      </c>
      <c r="DN139" s="9" t="s">
        <v>77</v>
      </c>
      <c r="DO139" s="9" t="s">
        <v>77</v>
      </c>
      <c r="DP139" s="9" t="s">
        <v>80</v>
      </c>
      <c r="DQ139" s="9" t="s">
        <v>438</v>
      </c>
      <c r="DR139" s="9" t="s">
        <v>77</v>
      </c>
      <c r="DS139" s="9" t="s">
        <v>78</v>
      </c>
      <c r="DT139" s="9" t="s">
        <v>349</v>
      </c>
      <c r="DU139" s="9" t="s">
        <v>78</v>
      </c>
      <c r="DV139" s="9" t="s">
        <v>77</v>
      </c>
      <c r="DZ139" s="9" t="s">
        <v>77</v>
      </c>
      <c r="EA139" s="9" t="s">
        <v>77</v>
      </c>
      <c r="EB139" s="9" t="s">
        <v>80</v>
      </c>
      <c r="EC139" s="9" t="s">
        <v>438</v>
      </c>
      <c r="ED139" s="9" t="s">
        <v>77</v>
      </c>
      <c r="EE139" s="9" t="s">
        <v>78</v>
      </c>
      <c r="EF139" s="9" t="s">
        <v>349</v>
      </c>
      <c r="EG139" s="9" t="s">
        <v>78</v>
      </c>
      <c r="EH139" s="9" t="s">
        <v>77</v>
      </c>
      <c r="EL139" s="9" t="s">
        <v>77</v>
      </c>
      <c r="EM139" s="9" t="s">
        <v>77</v>
      </c>
      <c r="EN139" s="9" t="s">
        <v>80</v>
      </c>
      <c r="EO139" s="9" t="s">
        <v>438</v>
      </c>
      <c r="EP139" s="9" t="s">
        <v>77</v>
      </c>
      <c r="EQ139" s="9" t="s">
        <v>78</v>
      </c>
      <c r="ER139" s="9" t="s">
        <v>349</v>
      </c>
      <c r="ES139" s="9" t="s">
        <v>78</v>
      </c>
      <c r="ET139" s="9" t="s">
        <v>77</v>
      </c>
      <c r="EX139" s="9" t="s">
        <v>77</v>
      </c>
      <c r="EY139" s="9" t="s">
        <v>77</v>
      </c>
      <c r="EZ139" s="9" t="s">
        <v>80</v>
      </c>
      <c r="FA139" s="9" t="s">
        <v>438</v>
      </c>
      <c r="FB139" s="9" t="s">
        <v>77</v>
      </c>
      <c r="FC139" s="9" t="s">
        <v>78</v>
      </c>
      <c r="FD139" s="9" t="s">
        <v>349</v>
      </c>
      <c r="FE139" s="9" t="s">
        <v>78</v>
      </c>
      <c r="FF139" s="9" t="s">
        <v>77</v>
      </c>
    </row>
    <row r="140" spans="50:162">
      <c r="AX140" s="9" t="s">
        <v>77</v>
      </c>
      <c r="AY140" s="9" t="s">
        <v>77</v>
      </c>
      <c r="AZ140" s="9" t="s">
        <v>80</v>
      </c>
      <c r="BA140" s="9" t="s">
        <v>438</v>
      </c>
      <c r="BB140" s="9" t="s">
        <v>79</v>
      </c>
      <c r="BC140" s="9" t="s">
        <v>78</v>
      </c>
      <c r="BD140" s="9" t="s">
        <v>349</v>
      </c>
      <c r="BE140" s="9" t="s">
        <v>78</v>
      </c>
      <c r="BF140" s="9" t="s">
        <v>77</v>
      </c>
      <c r="BI140" s="9" t="s">
        <v>77</v>
      </c>
      <c r="BJ140" s="9" t="s">
        <v>80</v>
      </c>
      <c r="BK140" s="9" t="s">
        <v>348</v>
      </c>
      <c r="BL140" s="9" t="s">
        <v>743</v>
      </c>
      <c r="BM140" s="9" t="s">
        <v>80</v>
      </c>
      <c r="BN140" s="9" t="s">
        <v>348</v>
      </c>
      <c r="BO140" s="9" t="s">
        <v>743</v>
      </c>
      <c r="BP140" s="9" t="s">
        <v>77</v>
      </c>
      <c r="BQ140" s="9" t="s">
        <v>77</v>
      </c>
      <c r="BR140" s="9" t="s">
        <v>77</v>
      </c>
      <c r="BS140" s="9" t="s">
        <v>77</v>
      </c>
      <c r="BT140" s="9" t="s">
        <v>77</v>
      </c>
      <c r="BU140" s="9" t="s">
        <v>77</v>
      </c>
      <c r="BV140" s="9" t="s">
        <v>78</v>
      </c>
      <c r="BW140" s="9" t="s">
        <v>78</v>
      </c>
      <c r="BX140" s="9" t="s">
        <v>78</v>
      </c>
      <c r="CB140" s="9" t="s">
        <v>77</v>
      </c>
      <c r="CC140" s="9" t="s">
        <v>80</v>
      </c>
      <c r="CD140" s="9" t="s">
        <v>77</v>
      </c>
      <c r="CE140" s="9" t="s">
        <v>77</v>
      </c>
      <c r="CF140" s="9" t="s">
        <v>77</v>
      </c>
      <c r="CG140" s="9" t="s">
        <v>80</v>
      </c>
      <c r="CH140" s="9" t="s">
        <v>348</v>
      </c>
      <c r="CI140" s="9" t="s">
        <v>743</v>
      </c>
      <c r="CJ140" s="9" t="s">
        <v>80</v>
      </c>
      <c r="CK140" s="9" t="s">
        <v>348</v>
      </c>
      <c r="CL140" s="9" t="s">
        <v>743</v>
      </c>
      <c r="CM140" s="9" t="s">
        <v>77</v>
      </c>
      <c r="CN140" s="9" t="s">
        <v>77</v>
      </c>
      <c r="CO140" s="9" t="s">
        <v>78</v>
      </c>
      <c r="CS140" s="9" t="s">
        <v>80</v>
      </c>
      <c r="CT140" s="9" t="s">
        <v>348</v>
      </c>
      <c r="CU140" s="9" t="s">
        <v>743</v>
      </c>
      <c r="CV140" s="9" t="s">
        <v>80</v>
      </c>
      <c r="CW140" s="9" t="s">
        <v>348</v>
      </c>
      <c r="CX140" s="9" t="s">
        <v>743</v>
      </c>
      <c r="CY140" s="9" t="s">
        <v>77</v>
      </c>
      <c r="CZ140" s="9" t="s">
        <v>77</v>
      </c>
      <c r="DA140" s="9" t="s">
        <v>78</v>
      </c>
      <c r="DE140" s="9" t="s">
        <v>77</v>
      </c>
      <c r="DF140" s="9" t="s">
        <v>78</v>
      </c>
      <c r="DG140" s="9" t="s">
        <v>78</v>
      </c>
      <c r="DH140" s="9" t="s">
        <v>78</v>
      </c>
      <c r="DI140" s="9" t="s">
        <v>744</v>
      </c>
      <c r="DJ140" s="9" t="s">
        <v>77</v>
      </c>
      <c r="DK140" s="9" t="s">
        <v>77</v>
      </c>
      <c r="DN140" s="9" t="s">
        <v>77</v>
      </c>
      <c r="DO140" s="9" t="s">
        <v>77</v>
      </c>
      <c r="DP140" s="9" t="s">
        <v>80</v>
      </c>
      <c r="DQ140" s="9" t="s">
        <v>438</v>
      </c>
      <c r="DR140" s="9" t="s">
        <v>77</v>
      </c>
      <c r="DS140" s="9" t="s">
        <v>78</v>
      </c>
      <c r="DT140" s="9" t="s">
        <v>349</v>
      </c>
      <c r="DU140" s="9" t="s">
        <v>78</v>
      </c>
      <c r="DV140" s="9" t="s">
        <v>77</v>
      </c>
      <c r="DZ140" s="9" t="s">
        <v>77</v>
      </c>
      <c r="EA140" s="9" t="s">
        <v>77</v>
      </c>
      <c r="EB140" s="9" t="s">
        <v>80</v>
      </c>
      <c r="EC140" s="9" t="s">
        <v>438</v>
      </c>
      <c r="ED140" s="9" t="s">
        <v>77</v>
      </c>
      <c r="EE140" s="9" t="s">
        <v>78</v>
      </c>
      <c r="EF140" s="9" t="s">
        <v>349</v>
      </c>
      <c r="EG140" s="9" t="s">
        <v>78</v>
      </c>
      <c r="EH140" s="9" t="s">
        <v>77</v>
      </c>
      <c r="EL140" s="9" t="s">
        <v>77</v>
      </c>
      <c r="EM140" s="9" t="s">
        <v>77</v>
      </c>
      <c r="EN140" s="9" t="s">
        <v>80</v>
      </c>
      <c r="EO140" s="9" t="s">
        <v>438</v>
      </c>
      <c r="EP140" s="9" t="s">
        <v>77</v>
      </c>
      <c r="EQ140" s="9" t="s">
        <v>78</v>
      </c>
      <c r="ER140" s="9" t="s">
        <v>349</v>
      </c>
      <c r="ES140" s="9" t="s">
        <v>78</v>
      </c>
      <c r="ET140" s="9" t="s">
        <v>77</v>
      </c>
      <c r="EX140" s="9" t="s">
        <v>77</v>
      </c>
      <c r="EY140" s="9" t="s">
        <v>77</v>
      </c>
      <c r="EZ140" s="9" t="s">
        <v>80</v>
      </c>
      <c r="FA140" s="9" t="s">
        <v>438</v>
      </c>
      <c r="FB140" s="9" t="s">
        <v>77</v>
      </c>
      <c r="FC140" s="9" t="s">
        <v>78</v>
      </c>
      <c r="FD140" s="9" t="s">
        <v>349</v>
      </c>
      <c r="FE140" s="9" t="s">
        <v>78</v>
      </c>
      <c r="FF140" s="9" t="s">
        <v>77</v>
      </c>
    </row>
    <row r="141" spans="50:162">
      <c r="AX141" s="9" t="s">
        <v>77</v>
      </c>
      <c r="AY141" s="9" t="s">
        <v>77</v>
      </c>
      <c r="AZ141" s="9" t="s">
        <v>80</v>
      </c>
      <c r="BA141" s="9" t="s">
        <v>438</v>
      </c>
      <c r="BB141" s="9" t="s">
        <v>79</v>
      </c>
      <c r="BC141" s="9" t="s">
        <v>78</v>
      </c>
      <c r="BD141" s="9" t="s">
        <v>349</v>
      </c>
      <c r="BE141" s="9" t="s">
        <v>78</v>
      </c>
      <c r="BF141" s="9" t="s">
        <v>77</v>
      </c>
      <c r="BI141" s="9" t="s">
        <v>77</v>
      </c>
      <c r="BJ141" s="9" t="s">
        <v>80</v>
      </c>
      <c r="BK141" s="9" t="s">
        <v>348</v>
      </c>
      <c r="BL141" s="9" t="s">
        <v>745</v>
      </c>
      <c r="BM141" s="9" t="s">
        <v>80</v>
      </c>
      <c r="BN141" s="9" t="s">
        <v>348</v>
      </c>
      <c r="BO141" s="9" t="s">
        <v>745</v>
      </c>
      <c r="BP141" s="9" t="s">
        <v>77</v>
      </c>
      <c r="BQ141" s="9" t="s">
        <v>77</v>
      </c>
      <c r="BR141" s="9" t="s">
        <v>77</v>
      </c>
      <c r="BS141" s="9" t="s">
        <v>77</v>
      </c>
      <c r="BT141" s="9" t="s">
        <v>77</v>
      </c>
      <c r="BU141" s="9" t="s">
        <v>77</v>
      </c>
      <c r="BV141" s="9" t="s">
        <v>78</v>
      </c>
      <c r="BW141" s="9" t="s">
        <v>78</v>
      </c>
      <c r="BX141" s="9" t="s">
        <v>78</v>
      </c>
      <c r="CB141" s="9" t="s">
        <v>77</v>
      </c>
      <c r="CC141" s="9" t="s">
        <v>80</v>
      </c>
      <c r="CD141" s="9" t="s">
        <v>77</v>
      </c>
      <c r="CE141" s="9" t="s">
        <v>77</v>
      </c>
      <c r="CF141" s="9" t="s">
        <v>77</v>
      </c>
      <c r="CG141" s="9" t="s">
        <v>80</v>
      </c>
      <c r="CH141" s="9" t="s">
        <v>348</v>
      </c>
      <c r="CI141" s="9" t="s">
        <v>745</v>
      </c>
      <c r="CJ141" s="9" t="s">
        <v>80</v>
      </c>
      <c r="CK141" s="9" t="s">
        <v>348</v>
      </c>
      <c r="CL141" s="9" t="s">
        <v>745</v>
      </c>
      <c r="CM141" s="9" t="s">
        <v>77</v>
      </c>
      <c r="CN141" s="9" t="s">
        <v>77</v>
      </c>
      <c r="CO141" s="9" t="s">
        <v>78</v>
      </c>
      <c r="CS141" s="9" t="s">
        <v>80</v>
      </c>
      <c r="CT141" s="9" t="s">
        <v>348</v>
      </c>
      <c r="CU141" s="9" t="s">
        <v>745</v>
      </c>
      <c r="CV141" s="9" t="s">
        <v>80</v>
      </c>
      <c r="CW141" s="9" t="s">
        <v>348</v>
      </c>
      <c r="CX141" s="9" t="s">
        <v>745</v>
      </c>
      <c r="CY141" s="9" t="s">
        <v>77</v>
      </c>
      <c r="CZ141" s="9" t="s">
        <v>77</v>
      </c>
      <c r="DA141" s="9" t="s">
        <v>78</v>
      </c>
      <c r="DE141" s="9" t="s">
        <v>77</v>
      </c>
      <c r="DF141" s="9" t="s">
        <v>78</v>
      </c>
      <c r="DG141" s="9" t="s">
        <v>78</v>
      </c>
      <c r="DH141" s="9" t="s">
        <v>78</v>
      </c>
      <c r="DI141" s="9" t="s">
        <v>746</v>
      </c>
      <c r="DJ141" s="9" t="s">
        <v>77</v>
      </c>
      <c r="DK141" s="9" t="s">
        <v>77</v>
      </c>
      <c r="DN141" s="9" t="s">
        <v>77</v>
      </c>
      <c r="DO141" s="9" t="s">
        <v>77</v>
      </c>
      <c r="DP141" s="9" t="s">
        <v>80</v>
      </c>
      <c r="DQ141" s="9" t="s">
        <v>438</v>
      </c>
      <c r="DR141" s="9" t="s">
        <v>77</v>
      </c>
      <c r="DS141" s="9" t="s">
        <v>78</v>
      </c>
      <c r="DT141" s="9" t="s">
        <v>349</v>
      </c>
      <c r="DU141" s="9" t="s">
        <v>78</v>
      </c>
      <c r="DV141" s="9" t="s">
        <v>77</v>
      </c>
      <c r="DZ141" s="9" t="s">
        <v>77</v>
      </c>
      <c r="EA141" s="9" t="s">
        <v>77</v>
      </c>
      <c r="EB141" s="9" t="s">
        <v>80</v>
      </c>
      <c r="EC141" s="9" t="s">
        <v>438</v>
      </c>
      <c r="ED141" s="9" t="s">
        <v>77</v>
      </c>
      <c r="EE141" s="9" t="s">
        <v>78</v>
      </c>
      <c r="EF141" s="9" t="s">
        <v>349</v>
      </c>
      <c r="EG141" s="9" t="s">
        <v>78</v>
      </c>
      <c r="EH141" s="9" t="s">
        <v>77</v>
      </c>
      <c r="EL141" s="9" t="s">
        <v>77</v>
      </c>
      <c r="EM141" s="9" t="s">
        <v>77</v>
      </c>
      <c r="EN141" s="9" t="s">
        <v>80</v>
      </c>
      <c r="EO141" s="9" t="s">
        <v>438</v>
      </c>
      <c r="EP141" s="9" t="s">
        <v>77</v>
      </c>
      <c r="EQ141" s="9" t="s">
        <v>78</v>
      </c>
      <c r="ER141" s="9" t="s">
        <v>349</v>
      </c>
      <c r="ES141" s="9" t="s">
        <v>78</v>
      </c>
      <c r="ET141" s="9" t="s">
        <v>77</v>
      </c>
      <c r="EX141" s="9" t="s">
        <v>77</v>
      </c>
      <c r="EY141" s="9" t="s">
        <v>77</v>
      </c>
      <c r="EZ141" s="9" t="s">
        <v>80</v>
      </c>
      <c r="FA141" s="9" t="s">
        <v>438</v>
      </c>
      <c r="FB141" s="9" t="s">
        <v>77</v>
      </c>
      <c r="FC141" s="9" t="s">
        <v>78</v>
      </c>
      <c r="FD141" s="9" t="s">
        <v>349</v>
      </c>
      <c r="FE141" s="9" t="s">
        <v>78</v>
      </c>
      <c r="FF141" s="9" t="s">
        <v>77</v>
      </c>
    </row>
    <row r="142" spans="50:162">
      <c r="AX142" s="9" t="s">
        <v>77</v>
      </c>
      <c r="AY142" s="9" t="s">
        <v>77</v>
      </c>
      <c r="AZ142" s="9" t="s">
        <v>80</v>
      </c>
      <c r="BA142" s="9" t="s">
        <v>438</v>
      </c>
      <c r="BB142" s="9" t="s">
        <v>79</v>
      </c>
      <c r="BC142" s="9" t="s">
        <v>78</v>
      </c>
      <c r="BD142" s="9" t="s">
        <v>349</v>
      </c>
      <c r="BE142" s="9" t="s">
        <v>78</v>
      </c>
      <c r="BF142" s="9" t="s">
        <v>77</v>
      </c>
      <c r="BI142" s="9" t="s">
        <v>77</v>
      </c>
      <c r="BJ142" s="9" t="s">
        <v>80</v>
      </c>
      <c r="BK142" s="9" t="s">
        <v>348</v>
      </c>
      <c r="BL142" s="9" t="s">
        <v>747</v>
      </c>
      <c r="BM142" s="9" t="s">
        <v>80</v>
      </c>
      <c r="BN142" s="9" t="s">
        <v>348</v>
      </c>
      <c r="BO142" s="9" t="s">
        <v>747</v>
      </c>
      <c r="BP142" s="9" t="s">
        <v>77</v>
      </c>
      <c r="BQ142" s="9" t="s">
        <v>77</v>
      </c>
      <c r="BR142" s="9" t="s">
        <v>77</v>
      </c>
      <c r="BS142" s="9" t="s">
        <v>77</v>
      </c>
      <c r="BT142" s="9" t="s">
        <v>77</v>
      </c>
      <c r="BU142" s="9" t="s">
        <v>77</v>
      </c>
      <c r="BV142" s="9" t="s">
        <v>78</v>
      </c>
      <c r="BW142" s="9" t="s">
        <v>78</v>
      </c>
      <c r="BX142" s="9" t="s">
        <v>78</v>
      </c>
      <c r="CB142" s="9" t="s">
        <v>77</v>
      </c>
      <c r="CC142" s="9" t="s">
        <v>80</v>
      </c>
      <c r="CD142" s="9" t="s">
        <v>77</v>
      </c>
      <c r="CE142" s="9" t="s">
        <v>77</v>
      </c>
      <c r="CF142" s="9" t="s">
        <v>77</v>
      </c>
      <c r="CG142" s="9" t="s">
        <v>80</v>
      </c>
      <c r="CH142" s="9" t="s">
        <v>348</v>
      </c>
      <c r="CI142" s="9" t="s">
        <v>748</v>
      </c>
      <c r="CJ142" s="9" t="s">
        <v>80</v>
      </c>
      <c r="CK142" s="9" t="s">
        <v>348</v>
      </c>
      <c r="CL142" s="9" t="s">
        <v>748</v>
      </c>
      <c r="CM142" s="9" t="s">
        <v>77</v>
      </c>
      <c r="CN142" s="9" t="s">
        <v>77</v>
      </c>
      <c r="CO142" s="9" t="s">
        <v>78</v>
      </c>
      <c r="CS142" s="9" t="s">
        <v>80</v>
      </c>
      <c r="CT142" s="9" t="s">
        <v>348</v>
      </c>
      <c r="CU142" s="9" t="s">
        <v>747</v>
      </c>
      <c r="CV142" s="9" t="s">
        <v>80</v>
      </c>
      <c r="CW142" s="9" t="s">
        <v>348</v>
      </c>
      <c r="CX142" s="9" t="s">
        <v>747</v>
      </c>
      <c r="CY142" s="9" t="s">
        <v>77</v>
      </c>
      <c r="CZ142" s="9" t="s">
        <v>77</v>
      </c>
      <c r="DA142" s="9" t="s">
        <v>78</v>
      </c>
      <c r="DE142" s="9" t="s">
        <v>77</v>
      </c>
      <c r="DF142" s="9" t="s">
        <v>78</v>
      </c>
      <c r="DG142" s="9" t="s">
        <v>78</v>
      </c>
      <c r="DH142" s="9" t="s">
        <v>78</v>
      </c>
      <c r="DI142" s="9" t="s">
        <v>749</v>
      </c>
      <c r="DJ142" s="9" t="s">
        <v>77</v>
      </c>
      <c r="DK142" s="9" t="s">
        <v>77</v>
      </c>
      <c r="DN142" s="9" t="s">
        <v>77</v>
      </c>
      <c r="DO142" s="9" t="s">
        <v>77</v>
      </c>
      <c r="DP142" s="9" t="s">
        <v>80</v>
      </c>
      <c r="DQ142" s="9" t="s">
        <v>438</v>
      </c>
      <c r="DR142" s="9" t="s">
        <v>77</v>
      </c>
      <c r="DS142" s="9" t="s">
        <v>78</v>
      </c>
      <c r="DT142" s="9" t="s">
        <v>349</v>
      </c>
      <c r="DU142" s="9" t="s">
        <v>78</v>
      </c>
      <c r="DV142" s="9" t="s">
        <v>77</v>
      </c>
      <c r="DZ142" s="9" t="s">
        <v>77</v>
      </c>
      <c r="EA142" s="9" t="s">
        <v>77</v>
      </c>
      <c r="EB142" s="9" t="s">
        <v>80</v>
      </c>
      <c r="EC142" s="9" t="s">
        <v>438</v>
      </c>
      <c r="ED142" s="9" t="s">
        <v>77</v>
      </c>
      <c r="EE142" s="9" t="s">
        <v>78</v>
      </c>
      <c r="EF142" s="9" t="s">
        <v>349</v>
      </c>
      <c r="EG142" s="9" t="s">
        <v>78</v>
      </c>
      <c r="EH142" s="9" t="s">
        <v>77</v>
      </c>
      <c r="EL142" s="9" t="s">
        <v>77</v>
      </c>
      <c r="EM142" s="9" t="s">
        <v>77</v>
      </c>
      <c r="EN142" s="9" t="s">
        <v>80</v>
      </c>
      <c r="EO142" s="9" t="s">
        <v>438</v>
      </c>
      <c r="EP142" s="9" t="s">
        <v>77</v>
      </c>
      <c r="EQ142" s="9" t="s">
        <v>78</v>
      </c>
      <c r="ER142" s="9" t="s">
        <v>349</v>
      </c>
      <c r="ES142" s="9" t="s">
        <v>78</v>
      </c>
      <c r="ET142" s="9" t="s">
        <v>77</v>
      </c>
      <c r="EX142" s="9" t="s">
        <v>77</v>
      </c>
      <c r="EY142" s="9" t="s">
        <v>77</v>
      </c>
      <c r="EZ142" s="9" t="s">
        <v>80</v>
      </c>
      <c r="FA142" s="9" t="s">
        <v>438</v>
      </c>
      <c r="FB142" s="9" t="s">
        <v>77</v>
      </c>
      <c r="FC142" s="9" t="s">
        <v>78</v>
      </c>
      <c r="FD142" s="9" t="s">
        <v>349</v>
      </c>
      <c r="FE142" s="9" t="s">
        <v>78</v>
      </c>
      <c r="FF142" s="9" t="s">
        <v>77</v>
      </c>
    </row>
    <row r="143" spans="50:162">
      <c r="AX143" s="9" t="s">
        <v>77</v>
      </c>
      <c r="AY143" s="9" t="s">
        <v>77</v>
      </c>
      <c r="AZ143" s="9" t="s">
        <v>80</v>
      </c>
      <c r="BA143" s="9" t="s">
        <v>438</v>
      </c>
      <c r="BB143" s="9" t="s">
        <v>79</v>
      </c>
      <c r="BC143" s="9" t="s">
        <v>78</v>
      </c>
      <c r="BD143" s="9" t="s">
        <v>349</v>
      </c>
      <c r="BE143" s="9" t="s">
        <v>78</v>
      </c>
      <c r="BF143" s="9" t="s">
        <v>77</v>
      </c>
      <c r="BI143" s="9" t="s">
        <v>77</v>
      </c>
      <c r="BJ143" s="9" t="s">
        <v>80</v>
      </c>
      <c r="BK143" s="9" t="s">
        <v>348</v>
      </c>
      <c r="BL143" s="9" t="s">
        <v>750</v>
      </c>
      <c r="BM143" s="9" t="s">
        <v>80</v>
      </c>
      <c r="BN143" s="9" t="s">
        <v>348</v>
      </c>
      <c r="BO143" s="9" t="s">
        <v>750</v>
      </c>
      <c r="BP143" s="9" t="s">
        <v>77</v>
      </c>
      <c r="BQ143" s="9" t="s">
        <v>77</v>
      </c>
      <c r="BR143" s="9" t="s">
        <v>77</v>
      </c>
      <c r="BS143" s="9" t="s">
        <v>77</v>
      </c>
      <c r="BT143" s="9" t="s">
        <v>77</v>
      </c>
      <c r="BU143" s="9" t="s">
        <v>77</v>
      </c>
      <c r="BV143" s="9" t="s">
        <v>78</v>
      </c>
      <c r="BW143" s="9" t="s">
        <v>78</v>
      </c>
      <c r="BX143" s="9" t="s">
        <v>78</v>
      </c>
      <c r="CB143" s="9" t="s">
        <v>77</v>
      </c>
      <c r="CC143" s="9" t="s">
        <v>80</v>
      </c>
      <c r="CD143" s="9" t="s">
        <v>77</v>
      </c>
      <c r="CE143" s="9" t="s">
        <v>77</v>
      </c>
      <c r="CF143" s="9" t="s">
        <v>77</v>
      </c>
      <c r="CG143" s="9" t="s">
        <v>80</v>
      </c>
      <c r="CH143" s="9" t="s">
        <v>348</v>
      </c>
      <c r="CI143" s="9" t="s">
        <v>751</v>
      </c>
      <c r="CJ143" s="9" t="s">
        <v>80</v>
      </c>
      <c r="CK143" s="9" t="s">
        <v>348</v>
      </c>
      <c r="CL143" s="9" t="s">
        <v>751</v>
      </c>
      <c r="CM143" s="9" t="s">
        <v>77</v>
      </c>
      <c r="CN143" s="9" t="s">
        <v>77</v>
      </c>
      <c r="CO143" s="9" t="s">
        <v>78</v>
      </c>
      <c r="CS143" s="9" t="s">
        <v>80</v>
      </c>
      <c r="CT143" s="9" t="s">
        <v>348</v>
      </c>
      <c r="CU143" s="9" t="s">
        <v>750</v>
      </c>
      <c r="CV143" s="9" t="s">
        <v>80</v>
      </c>
      <c r="CW143" s="9" t="s">
        <v>348</v>
      </c>
      <c r="CX143" s="9" t="s">
        <v>750</v>
      </c>
      <c r="CY143" s="9" t="s">
        <v>77</v>
      </c>
      <c r="CZ143" s="9" t="s">
        <v>77</v>
      </c>
      <c r="DA143" s="9" t="s">
        <v>78</v>
      </c>
      <c r="DE143" s="9" t="s">
        <v>77</v>
      </c>
      <c r="DF143" s="9" t="s">
        <v>78</v>
      </c>
      <c r="DG143" s="9" t="s">
        <v>78</v>
      </c>
      <c r="DH143" s="9" t="s">
        <v>78</v>
      </c>
      <c r="DI143" s="9" t="s">
        <v>750</v>
      </c>
      <c r="DJ143" s="9" t="s">
        <v>77</v>
      </c>
      <c r="DK143" s="9" t="s">
        <v>77</v>
      </c>
      <c r="DN143" s="9" t="s">
        <v>77</v>
      </c>
      <c r="DO143" s="9" t="s">
        <v>77</v>
      </c>
      <c r="DP143" s="9" t="s">
        <v>80</v>
      </c>
      <c r="DQ143" s="9" t="s">
        <v>438</v>
      </c>
      <c r="DR143" s="9" t="s">
        <v>77</v>
      </c>
      <c r="DS143" s="9" t="s">
        <v>78</v>
      </c>
      <c r="DT143" s="9" t="s">
        <v>349</v>
      </c>
      <c r="DU143" s="9" t="s">
        <v>78</v>
      </c>
      <c r="DV143" s="9" t="s">
        <v>77</v>
      </c>
      <c r="DZ143" s="9" t="s">
        <v>77</v>
      </c>
      <c r="EA143" s="9" t="s">
        <v>77</v>
      </c>
      <c r="EB143" s="9" t="s">
        <v>80</v>
      </c>
      <c r="EC143" s="9" t="s">
        <v>438</v>
      </c>
      <c r="ED143" s="9" t="s">
        <v>77</v>
      </c>
      <c r="EE143" s="9" t="s">
        <v>78</v>
      </c>
      <c r="EF143" s="9" t="s">
        <v>349</v>
      </c>
      <c r="EG143" s="9" t="s">
        <v>78</v>
      </c>
      <c r="EH143" s="9" t="s">
        <v>77</v>
      </c>
      <c r="EL143" s="9" t="s">
        <v>77</v>
      </c>
      <c r="EM143" s="9" t="s">
        <v>77</v>
      </c>
      <c r="EN143" s="9" t="s">
        <v>80</v>
      </c>
      <c r="EO143" s="9" t="s">
        <v>438</v>
      </c>
      <c r="EP143" s="9" t="s">
        <v>77</v>
      </c>
      <c r="EQ143" s="9" t="s">
        <v>78</v>
      </c>
      <c r="ER143" s="9" t="s">
        <v>349</v>
      </c>
      <c r="ES143" s="9" t="s">
        <v>78</v>
      </c>
      <c r="ET143" s="9" t="s">
        <v>77</v>
      </c>
      <c r="EX143" s="9" t="s">
        <v>77</v>
      </c>
      <c r="EY143" s="9" t="s">
        <v>77</v>
      </c>
      <c r="EZ143" s="9" t="s">
        <v>80</v>
      </c>
      <c r="FA143" s="9" t="s">
        <v>438</v>
      </c>
      <c r="FB143" s="9" t="s">
        <v>77</v>
      </c>
      <c r="FC143" s="9" t="s">
        <v>78</v>
      </c>
      <c r="FD143" s="9" t="s">
        <v>349</v>
      </c>
      <c r="FE143" s="9" t="s">
        <v>78</v>
      </c>
      <c r="FF143" s="9" t="s">
        <v>77</v>
      </c>
    </row>
    <row r="144" spans="50:162">
      <c r="AX144" s="9" t="s">
        <v>77</v>
      </c>
      <c r="AY144" s="9" t="s">
        <v>77</v>
      </c>
      <c r="AZ144" s="9" t="s">
        <v>80</v>
      </c>
      <c r="BA144" s="9" t="s">
        <v>438</v>
      </c>
      <c r="BB144" s="9" t="s">
        <v>79</v>
      </c>
      <c r="BC144" s="9" t="s">
        <v>78</v>
      </c>
      <c r="BD144" s="9" t="s">
        <v>349</v>
      </c>
      <c r="BE144" s="9" t="s">
        <v>78</v>
      </c>
      <c r="BF144" s="9" t="s">
        <v>77</v>
      </c>
      <c r="BI144" s="9" t="s">
        <v>77</v>
      </c>
      <c r="BJ144" s="9" t="s">
        <v>80</v>
      </c>
      <c r="BK144" s="9" t="s">
        <v>348</v>
      </c>
      <c r="BL144" s="9" t="s">
        <v>752</v>
      </c>
      <c r="BM144" s="9" t="s">
        <v>80</v>
      </c>
      <c r="BN144" s="9" t="s">
        <v>348</v>
      </c>
      <c r="BO144" s="9" t="s">
        <v>752</v>
      </c>
      <c r="BP144" s="9" t="s">
        <v>77</v>
      </c>
      <c r="BQ144" s="9" t="s">
        <v>77</v>
      </c>
      <c r="BR144" s="9" t="s">
        <v>77</v>
      </c>
      <c r="BS144" s="9" t="s">
        <v>77</v>
      </c>
      <c r="BT144" s="9" t="s">
        <v>77</v>
      </c>
      <c r="BU144" s="9" t="s">
        <v>77</v>
      </c>
      <c r="BV144" s="9" t="s">
        <v>78</v>
      </c>
      <c r="BW144" s="9" t="s">
        <v>78</v>
      </c>
      <c r="BX144" s="9" t="s">
        <v>78</v>
      </c>
      <c r="CB144" s="9" t="s">
        <v>77</v>
      </c>
      <c r="CC144" s="9" t="s">
        <v>80</v>
      </c>
      <c r="CD144" s="9" t="s">
        <v>77</v>
      </c>
      <c r="CE144" s="9" t="s">
        <v>77</v>
      </c>
      <c r="CF144" s="9" t="s">
        <v>77</v>
      </c>
      <c r="CG144" s="9" t="s">
        <v>80</v>
      </c>
      <c r="CH144" s="9" t="s">
        <v>348</v>
      </c>
      <c r="CI144" s="9" t="s">
        <v>753</v>
      </c>
      <c r="CJ144" s="9" t="s">
        <v>80</v>
      </c>
      <c r="CK144" s="9" t="s">
        <v>348</v>
      </c>
      <c r="CL144" s="9" t="s">
        <v>753</v>
      </c>
      <c r="CM144" s="9" t="s">
        <v>77</v>
      </c>
      <c r="CN144" s="9" t="s">
        <v>77</v>
      </c>
      <c r="CO144" s="9" t="s">
        <v>78</v>
      </c>
      <c r="CS144" s="9" t="s">
        <v>80</v>
      </c>
      <c r="CT144" s="9" t="s">
        <v>348</v>
      </c>
      <c r="CU144" s="9" t="s">
        <v>752</v>
      </c>
      <c r="CV144" s="9" t="s">
        <v>80</v>
      </c>
      <c r="CW144" s="9" t="s">
        <v>348</v>
      </c>
      <c r="CX144" s="9" t="s">
        <v>752</v>
      </c>
      <c r="CY144" s="9" t="s">
        <v>77</v>
      </c>
      <c r="CZ144" s="9" t="s">
        <v>77</v>
      </c>
      <c r="DA144" s="9" t="s">
        <v>78</v>
      </c>
      <c r="DE144" s="9" t="s">
        <v>77</v>
      </c>
      <c r="DF144" s="9" t="s">
        <v>78</v>
      </c>
      <c r="DG144" s="9" t="s">
        <v>78</v>
      </c>
      <c r="DH144" s="9" t="s">
        <v>78</v>
      </c>
      <c r="DI144" s="9" t="s">
        <v>754</v>
      </c>
      <c r="DJ144" s="9" t="s">
        <v>77</v>
      </c>
      <c r="DK144" s="9" t="s">
        <v>77</v>
      </c>
      <c r="DN144" s="9" t="s">
        <v>77</v>
      </c>
      <c r="DO144" s="9" t="s">
        <v>77</v>
      </c>
      <c r="DP144" s="9" t="s">
        <v>80</v>
      </c>
      <c r="DQ144" s="9" t="s">
        <v>438</v>
      </c>
      <c r="DR144" s="9" t="s">
        <v>77</v>
      </c>
      <c r="DS144" s="9" t="s">
        <v>78</v>
      </c>
      <c r="DT144" s="9" t="s">
        <v>349</v>
      </c>
      <c r="DU144" s="9" t="s">
        <v>78</v>
      </c>
      <c r="DV144" s="9" t="s">
        <v>77</v>
      </c>
      <c r="DZ144" s="9" t="s">
        <v>77</v>
      </c>
      <c r="EA144" s="9" t="s">
        <v>77</v>
      </c>
      <c r="EB144" s="9" t="s">
        <v>80</v>
      </c>
      <c r="EC144" s="9" t="s">
        <v>438</v>
      </c>
      <c r="ED144" s="9" t="s">
        <v>77</v>
      </c>
      <c r="EE144" s="9" t="s">
        <v>78</v>
      </c>
      <c r="EF144" s="9" t="s">
        <v>349</v>
      </c>
      <c r="EG144" s="9" t="s">
        <v>78</v>
      </c>
      <c r="EH144" s="9" t="s">
        <v>77</v>
      </c>
      <c r="EL144" s="9" t="s">
        <v>77</v>
      </c>
      <c r="EM144" s="9" t="s">
        <v>77</v>
      </c>
      <c r="EN144" s="9" t="s">
        <v>80</v>
      </c>
      <c r="EO144" s="9" t="s">
        <v>438</v>
      </c>
      <c r="EP144" s="9" t="s">
        <v>77</v>
      </c>
      <c r="EQ144" s="9" t="s">
        <v>78</v>
      </c>
      <c r="ER144" s="9" t="s">
        <v>349</v>
      </c>
      <c r="ES144" s="9" t="s">
        <v>78</v>
      </c>
      <c r="ET144" s="9" t="s">
        <v>77</v>
      </c>
      <c r="EX144" s="9" t="s">
        <v>77</v>
      </c>
      <c r="EY144" s="9" t="s">
        <v>77</v>
      </c>
      <c r="EZ144" s="9" t="s">
        <v>80</v>
      </c>
      <c r="FA144" s="9" t="s">
        <v>438</v>
      </c>
      <c r="FB144" s="9" t="s">
        <v>77</v>
      </c>
      <c r="FC144" s="9" t="s">
        <v>78</v>
      </c>
      <c r="FD144" s="9" t="s">
        <v>349</v>
      </c>
      <c r="FE144" s="9" t="s">
        <v>78</v>
      </c>
      <c r="FF144" s="9" t="s">
        <v>77</v>
      </c>
    </row>
    <row r="145" spans="50:162">
      <c r="AX145" s="9" t="s">
        <v>77</v>
      </c>
      <c r="AY145" s="9" t="s">
        <v>77</v>
      </c>
      <c r="AZ145" s="9" t="s">
        <v>80</v>
      </c>
      <c r="BA145" s="9" t="s">
        <v>438</v>
      </c>
      <c r="BB145" s="9" t="s">
        <v>79</v>
      </c>
      <c r="BC145" s="9" t="s">
        <v>78</v>
      </c>
      <c r="BD145" s="9" t="s">
        <v>349</v>
      </c>
      <c r="BE145" s="9" t="s">
        <v>78</v>
      </c>
      <c r="BF145" s="9" t="s">
        <v>77</v>
      </c>
      <c r="BI145" s="9" t="s">
        <v>77</v>
      </c>
      <c r="BJ145" s="9" t="s">
        <v>80</v>
      </c>
      <c r="BK145" s="9" t="s">
        <v>348</v>
      </c>
      <c r="BL145" s="9" t="s">
        <v>755</v>
      </c>
      <c r="BM145" s="9" t="s">
        <v>80</v>
      </c>
      <c r="BN145" s="9" t="s">
        <v>348</v>
      </c>
      <c r="BO145" s="9" t="s">
        <v>755</v>
      </c>
      <c r="BP145" s="9" t="s">
        <v>77</v>
      </c>
      <c r="BQ145" s="9" t="s">
        <v>77</v>
      </c>
      <c r="BR145" s="9" t="s">
        <v>77</v>
      </c>
      <c r="BS145" s="9" t="s">
        <v>77</v>
      </c>
      <c r="BT145" s="9" t="s">
        <v>77</v>
      </c>
      <c r="BU145" s="9" t="s">
        <v>77</v>
      </c>
      <c r="BV145" s="9" t="s">
        <v>78</v>
      </c>
      <c r="BW145" s="9" t="s">
        <v>78</v>
      </c>
      <c r="BX145" s="9" t="s">
        <v>78</v>
      </c>
      <c r="CB145" s="9" t="s">
        <v>77</v>
      </c>
      <c r="CC145" s="9" t="s">
        <v>80</v>
      </c>
      <c r="CD145" s="9" t="s">
        <v>77</v>
      </c>
      <c r="CE145" s="9" t="s">
        <v>77</v>
      </c>
      <c r="CF145" s="9" t="s">
        <v>77</v>
      </c>
      <c r="CG145" s="9" t="s">
        <v>80</v>
      </c>
      <c r="CH145" s="9" t="s">
        <v>348</v>
      </c>
      <c r="CI145" s="9" t="s">
        <v>756</v>
      </c>
      <c r="CJ145" s="9" t="s">
        <v>80</v>
      </c>
      <c r="CK145" s="9" t="s">
        <v>348</v>
      </c>
      <c r="CL145" s="9" t="s">
        <v>756</v>
      </c>
      <c r="CM145" s="9" t="s">
        <v>77</v>
      </c>
      <c r="CN145" s="9" t="s">
        <v>77</v>
      </c>
      <c r="CO145" s="9" t="s">
        <v>78</v>
      </c>
      <c r="CS145" s="9" t="s">
        <v>80</v>
      </c>
      <c r="CT145" s="9" t="s">
        <v>348</v>
      </c>
      <c r="CU145" s="9" t="s">
        <v>755</v>
      </c>
      <c r="CV145" s="9" t="s">
        <v>80</v>
      </c>
      <c r="CW145" s="9" t="s">
        <v>348</v>
      </c>
      <c r="CX145" s="9" t="s">
        <v>755</v>
      </c>
      <c r="CY145" s="9" t="s">
        <v>77</v>
      </c>
      <c r="CZ145" s="9" t="s">
        <v>77</v>
      </c>
      <c r="DA145" s="9" t="s">
        <v>78</v>
      </c>
      <c r="DE145" s="9" t="s">
        <v>77</v>
      </c>
      <c r="DF145" s="9" t="s">
        <v>78</v>
      </c>
      <c r="DG145" s="9" t="s">
        <v>78</v>
      </c>
      <c r="DH145" s="9" t="s">
        <v>78</v>
      </c>
      <c r="DI145" s="9" t="s">
        <v>755</v>
      </c>
      <c r="DJ145" s="9" t="s">
        <v>77</v>
      </c>
      <c r="DK145" s="9" t="s">
        <v>77</v>
      </c>
      <c r="DN145" s="9" t="s">
        <v>77</v>
      </c>
      <c r="DO145" s="9" t="s">
        <v>77</v>
      </c>
      <c r="DP145" s="9" t="s">
        <v>80</v>
      </c>
      <c r="DQ145" s="9" t="s">
        <v>438</v>
      </c>
      <c r="DR145" s="9" t="s">
        <v>77</v>
      </c>
      <c r="DS145" s="9" t="s">
        <v>78</v>
      </c>
      <c r="DT145" s="9" t="s">
        <v>349</v>
      </c>
      <c r="DU145" s="9" t="s">
        <v>78</v>
      </c>
      <c r="DV145" s="9" t="s">
        <v>77</v>
      </c>
      <c r="DZ145" s="9" t="s">
        <v>77</v>
      </c>
      <c r="EA145" s="9" t="s">
        <v>77</v>
      </c>
      <c r="EB145" s="9" t="s">
        <v>80</v>
      </c>
      <c r="EC145" s="9" t="s">
        <v>438</v>
      </c>
      <c r="ED145" s="9" t="s">
        <v>77</v>
      </c>
      <c r="EE145" s="9" t="s">
        <v>78</v>
      </c>
      <c r="EF145" s="9" t="s">
        <v>349</v>
      </c>
      <c r="EG145" s="9" t="s">
        <v>78</v>
      </c>
      <c r="EH145" s="9" t="s">
        <v>77</v>
      </c>
      <c r="EL145" s="9" t="s">
        <v>77</v>
      </c>
      <c r="EM145" s="9" t="s">
        <v>77</v>
      </c>
      <c r="EN145" s="9" t="s">
        <v>80</v>
      </c>
      <c r="EO145" s="9" t="s">
        <v>438</v>
      </c>
      <c r="EP145" s="9" t="s">
        <v>77</v>
      </c>
      <c r="EQ145" s="9" t="s">
        <v>78</v>
      </c>
      <c r="ER145" s="9" t="s">
        <v>349</v>
      </c>
      <c r="ES145" s="9" t="s">
        <v>78</v>
      </c>
      <c r="ET145" s="9" t="s">
        <v>77</v>
      </c>
      <c r="EX145" s="9" t="s">
        <v>77</v>
      </c>
      <c r="EY145" s="9" t="s">
        <v>77</v>
      </c>
      <c r="EZ145" s="9" t="s">
        <v>80</v>
      </c>
      <c r="FA145" s="9" t="s">
        <v>438</v>
      </c>
      <c r="FB145" s="9" t="s">
        <v>77</v>
      </c>
      <c r="FC145" s="9" t="s">
        <v>78</v>
      </c>
      <c r="FD145" s="9" t="s">
        <v>349</v>
      </c>
      <c r="FE145" s="9" t="s">
        <v>78</v>
      </c>
      <c r="FF145" s="9" t="s">
        <v>77</v>
      </c>
    </row>
    <row r="146" spans="50:162">
      <c r="AX146" s="9" t="s">
        <v>77</v>
      </c>
      <c r="AY146" s="9" t="s">
        <v>77</v>
      </c>
      <c r="AZ146" s="9" t="s">
        <v>80</v>
      </c>
      <c r="BA146" s="9" t="s">
        <v>438</v>
      </c>
      <c r="BB146" s="9" t="s">
        <v>79</v>
      </c>
      <c r="BC146" s="9" t="s">
        <v>78</v>
      </c>
      <c r="BD146" s="9" t="s">
        <v>349</v>
      </c>
      <c r="BE146" s="9" t="s">
        <v>78</v>
      </c>
      <c r="BF146" s="9" t="s">
        <v>77</v>
      </c>
      <c r="BI146" s="9" t="s">
        <v>77</v>
      </c>
      <c r="BJ146" s="9" t="s">
        <v>80</v>
      </c>
      <c r="BK146" s="9" t="s">
        <v>348</v>
      </c>
      <c r="BL146" s="9" t="s">
        <v>757</v>
      </c>
      <c r="BM146" s="9" t="s">
        <v>80</v>
      </c>
      <c r="BN146" s="9" t="s">
        <v>348</v>
      </c>
      <c r="BO146" s="9" t="s">
        <v>757</v>
      </c>
      <c r="BP146" s="9" t="s">
        <v>77</v>
      </c>
      <c r="BQ146" s="9" t="s">
        <v>77</v>
      </c>
      <c r="BR146" s="9" t="s">
        <v>77</v>
      </c>
      <c r="BS146" s="9" t="s">
        <v>77</v>
      </c>
      <c r="BT146" s="9" t="s">
        <v>77</v>
      </c>
      <c r="BU146" s="9" t="s">
        <v>77</v>
      </c>
      <c r="BV146" s="9" t="s">
        <v>78</v>
      </c>
      <c r="BW146" s="9" t="s">
        <v>78</v>
      </c>
      <c r="BX146" s="9" t="s">
        <v>78</v>
      </c>
      <c r="CB146" s="9" t="s">
        <v>77</v>
      </c>
      <c r="CC146" s="9" t="s">
        <v>80</v>
      </c>
      <c r="CD146" s="9" t="s">
        <v>77</v>
      </c>
      <c r="CE146" s="9" t="s">
        <v>77</v>
      </c>
      <c r="CF146" s="9" t="s">
        <v>77</v>
      </c>
      <c r="CG146" s="9" t="s">
        <v>80</v>
      </c>
      <c r="CH146" s="9" t="s">
        <v>348</v>
      </c>
      <c r="CI146" s="9" t="s">
        <v>758</v>
      </c>
      <c r="CJ146" s="9" t="s">
        <v>80</v>
      </c>
      <c r="CK146" s="9" t="s">
        <v>348</v>
      </c>
      <c r="CL146" s="9" t="s">
        <v>758</v>
      </c>
      <c r="CM146" s="9" t="s">
        <v>77</v>
      </c>
      <c r="CN146" s="9" t="s">
        <v>77</v>
      </c>
      <c r="CO146" s="9" t="s">
        <v>78</v>
      </c>
      <c r="CS146" s="9" t="s">
        <v>80</v>
      </c>
      <c r="CT146" s="9" t="s">
        <v>348</v>
      </c>
      <c r="CU146" s="9" t="s">
        <v>758</v>
      </c>
      <c r="CV146" s="9" t="s">
        <v>80</v>
      </c>
      <c r="CW146" s="9" t="s">
        <v>348</v>
      </c>
      <c r="CX146" s="9" t="s">
        <v>758</v>
      </c>
      <c r="CY146" s="9" t="s">
        <v>77</v>
      </c>
      <c r="CZ146" s="9" t="s">
        <v>77</v>
      </c>
      <c r="DA146" s="9" t="s">
        <v>78</v>
      </c>
      <c r="DE146" s="9" t="s">
        <v>77</v>
      </c>
      <c r="DF146" s="9" t="s">
        <v>78</v>
      </c>
      <c r="DG146" s="9" t="s">
        <v>78</v>
      </c>
      <c r="DH146" s="9" t="s">
        <v>78</v>
      </c>
      <c r="DI146" s="9" t="s">
        <v>757</v>
      </c>
      <c r="DJ146" s="9" t="s">
        <v>77</v>
      </c>
      <c r="DK146" s="9" t="s">
        <v>77</v>
      </c>
      <c r="DN146" s="9" t="s">
        <v>77</v>
      </c>
      <c r="DO146" s="9" t="s">
        <v>77</v>
      </c>
      <c r="DP146" s="9" t="s">
        <v>80</v>
      </c>
      <c r="DQ146" s="9" t="s">
        <v>438</v>
      </c>
      <c r="DR146" s="9" t="s">
        <v>77</v>
      </c>
      <c r="DS146" s="9" t="s">
        <v>78</v>
      </c>
      <c r="DT146" s="9" t="s">
        <v>349</v>
      </c>
      <c r="DU146" s="9" t="s">
        <v>78</v>
      </c>
      <c r="DV146" s="9" t="s">
        <v>77</v>
      </c>
      <c r="DZ146" s="9" t="s">
        <v>77</v>
      </c>
      <c r="EA146" s="9" t="s">
        <v>77</v>
      </c>
      <c r="EB146" s="9" t="s">
        <v>80</v>
      </c>
      <c r="EC146" s="9" t="s">
        <v>438</v>
      </c>
      <c r="ED146" s="9" t="s">
        <v>77</v>
      </c>
      <c r="EE146" s="9" t="s">
        <v>78</v>
      </c>
      <c r="EF146" s="9" t="s">
        <v>349</v>
      </c>
      <c r="EG146" s="9" t="s">
        <v>78</v>
      </c>
      <c r="EH146" s="9" t="s">
        <v>77</v>
      </c>
      <c r="EL146" s="9" t="s">
        <v>77</v>
      </c>
      <c r="EM146" s="9" t="s">
        <v>77</v>
      </c>
      <c r="EN146" s="9" t="s">
        <v>80</v>
      </c>
      <c r="EO146" s="9" t="s">
        <v>438</v>
      </c>
      <c r="EP146" s="9" t="s">
        <v>77</v>
      </c>
      <c r="EQ146" s="9" t="s">
        <v>78</v>
      </c>
      <c r="ER146" s="9" t="s">
        <v>349</v>
      </c>
      <c r="ES146" s="9" t="s">
        <v>78</v>
      </c>
      <c r="ET146" s="9" t="s">
        <v>77</v>
      </c>
      <c r="EX146" s="9" t="s">
        <v>77</v>
      </c>
      <c r="EY146" s="9" t="s">
        <v>77</v>
      </c>
      <c r="EZ146" s="9" t="s">
        <v>80</v>
      </c>
      <c r="FA146" s="9" t="s">
        <v>438</v>
      </c>
      <c r="FB146" s="9" t="s">
        <v>77</v>
      </c>
      <c r="FC146" s="9" t="s">
        <v>78</v>
      </c>
      <c r="FD146" s="9" t="s">
        <v>349</v>
      </c>
      <c r="FE146" s="9" t="s">
        <v>78</v>
      </c>
      <c r="FF146" s="9" t="s">
        <v>77</v>
      </c>
    </row>
    <row r="147" spans="50:162">
      <c r="BB147" s="9" t="s">
        <v>79</v>
      </c>
      <c r="BI147" s="9" t="s">
        <v>77</v>
      </c>
      <c r="CC147" s="9" t="s">
        <v>80</v>
      </c>
    </row>
    <row r="148" spans="50:162">
      <c r="AX148" s="9" t="s">
        <v>77</v>
      </c>
      <c r="AY148" s="9" t="s">
        <v>77</v>
      </c>
      <c r="AZ148" s="9" t="s">
        <v>80</v>
      </c>
      <c r="BA148" s="9" t="s">
        <v>438</v>
      </c>
      <c r="BB148" s="9" t="s">
        <v>79</v>
      </c>
      <c r="BC148" s="9" t="s">
        <v>78</v>
      </c>
      <c r="BD148" s="9" t="s">
        <v>349</v>
      </c>
      <c r="BE148" s="9" t="s">
        <v>78</v>
      </c>
      <c r="BF148" s="9" t="s">
        <v>77</v>
      </c>
      <c r="BI148" s="9" t="s">
        <v>77</v>
      </c>
      <c r="BJ148" s="9" t="s">
        <v>80</v>
      </c>
      <c r="BK148" s="9" t="s">
        <v>348</v>
      </c>
      <c r="BL148" s="9" t="s">
        <v>759</v>
      </c>
      <c r="BM148" s="9" t="s">
        <v>80</v>
      </c>
      <c r="BN148" s="9" t="s">
        <v>348</v>
      </c>
      <c r="BO148" s="9" t="s">
        <v>759</v>
      </c>
      <c r="BP148" s="9" t="s">
        <v>77</v>
      </c>
      <c r="BQ148" s="9" t="s">
        <v>77</v>
      </c>
      <c r="BR148" s="9" t="s">
        <v>77</v>
      </c>
      <c r="BS148" s="9" t="s">
        <v>77</v>
      </c>
      <c r="BT148" s="9" t="s">
        <v>77</v>
      </c>
      <c r="BU148" s="9" t="s">
        <v>77</v>
      </c>
      <c r="BV148" s="9" t="s">
        <v>78</v>
      </c>
      <c r="BW148" s="9" t="s">
        <v>78</v>
      </c>
      <c r="BX148" s="9" t="s">
        <v>78</v>
      </c>
      <c r="CB148" s="9" t="s">
        <v>77</v>
      </c>
      <c r="CC148" s="9" t="s">
        <v>80</v>
      </c>
      <c r="CD148" s="9" t="s">
        <v>77</v>
      </c>
      <c r="CE148" s="9" t="s">
        <v>77</v>
      </c>
      <c r="CF148" s="9" t="s">
        <v>77</v>
      </c>
      <c r="CG148" s="9" t="s">
        <v>80</v>
      </c>
      <c r="CH148" s="9" t="s">
        <v>348</v>
      </c>
      <c r="CI148" s="9" t="s">
        <v>759</v>
      </c>
      <c r="CJ148" s="9" t="s">
        <v>80</v>
      </c>
      <c r="CK148" s="9" t="s">
        <v>348</v>
      </c>
      <c r="CL148" s="9" t="s">
        <v>759</v>
      </c>
      <c r="CM148" s="9" t="s">
        <v>77</v>
      </c>
      <c r="CN148" s="9" t="s">
        <v>77</v>
      </c>
      <c r="CO148" s="9" t="s">
        <v>78</v>
      </c>
      <c r="CS148" s="9" t="s">
        <v>80</v>
      </c>
      <c r="CT148" s="9" t="s">
        <v>348</v>
      </c>
      <c r="CU148" s="9" t="s">
        <v>759</v>
      </c>
      <c r="CV148" s="9" t="s">
        <v>80</v>
      </c>
      <c r="CW148" s="9" t="s">
        <v>348</v>
      </c>
      <c r="CX148" s="9" t="s">
        <v>759</v>
      </c>
      <c r="CY148" s="9" t="s">
        <v>77</v>
      </c>
      <c r="CZ148" s="9" t="s">
        <v>77</v>
      </c>
      <c r="DA148" s="9" t="s">
        <v>78</v>
      </c>
      <c r="DE148" s="9" t="s">
        <v>77</v>
      </c>
      <c r="DF148" s="9" t="s">
        <v>78</v>
      </c>
      <c r="DG148" s="9" t="s">
        <v>78</v>
      </c>
      <c r="DH148" s="9" t="s">
        <v>78</v>
      </c>
      <c r="DI148" s="9" t="s">
        <v>760</v>
      </c>
      <c r="DJ148" s="9" t="s">
        <v>77</v>
      </c>
      <c r="DK148" s="9" t="s">
        <v>77</v>
      </c>
      <c r="DN148" s="9" t="s">
        <v>77</v>
      </c>
      <c r="DO148" s="9" t="s">
        <v>77</v>
      </c>
      <c r="DP148" s="9" t="s">
        <v>80</v>
      </c>
      <c r="DQ148" s="9" t="s">
        <v>438</v>
      </c>
      <c r="DR148" s="9" t="s">
        <v>77</v>
      </c>
      <c r="DS148" s="9" t="s">
        <v>78</v>
      </c>
      <c r="DT148" s="9" t="s">
        <v>349</v>
      </c>
      <c r="DU148" s="9" t="s">
        <v>78</v>
      </c>
      <c r="DV148" s="9" t="s">
        <v>77</v>
      </c>
      <c r="DZ148" s="9" t="s">
        <v>77</v>
      </c>
      <c r="EA148" s="9" t="s">
        <v>77</v>
      </c>
      <c r="EB148" s="9" t="s">
        <v>80</v>
      </c>
      <c r="EC148" s="9" t="s">
        <v>438</v>
      </c>
      <c r="ED148" s="9" t="s">
        <v>77</v>
      </c>
      <c r="EE148" s="9" t="s">
        <v>78</v>
      </c>
      <c r="EF148" s="9" t="s">
        <v>349</v>
      </c>
      <c r="EG148" s="9" t="s">
        <v>78</v>
      </c>
      <c r="EH148" s="9" t="s">
        <v>77</v>
      </c>
      <c r="EL148" s="9" t="s">
        <v>77</v>
      </c>
      <c r="EM148" s="9" t="s">
        <v>77</v>
      </c>
      <c r="EN148" s="9" t="s">
        <v>80</v>
      </c>
      <c r="EO148" s="9" t="s">
        <v>438</v>
      </c>
      <c r="EP148" s="9" t="s">
        <v>77</v>
      </c>
      <c r="EQ148" s="9" t="s">
        <v>78</v>
      </c>
      <c r="ER148" s="9" t="s">
        <v>349</v>
      </c>
      <c r="ES148" s="9" t="s">
        <v>78</v>
      </c>
      <c r="ET148" s="9" t="s">
        <v>77</v>
      </c>
      <c r="EX148" s="9" t="s">
        <v>77</v>
      </c>
      <c r="EY148" s="9" t="s">
        <v>77</v>
      </c>
      <c r="EZ148" s="9" t="s">
        <v>80</v>
      </c>
      <c r="FA148" s="9" t="s">
        <v>438</v>
      </c>
      <c r="FB148" s="9" t="s">
        <v>77</v>
      </c>
      <c r="FC148" s="9" t="s">
        <v>78</v>
      </c>
      <c r="FD148" s="9" t="s">
        <v>349</v>
      </c>
      <c r="FE148" s="9" t="s">
        <v>78</v>
      </c>
      <c r="FF148" s="9" t="s">
        <v>77</v>
      </c>
    </row>
    <row r="149" spans="50:162">
      <c r="AX149" s="9" t="s">
        <v>77</v>
      </c>
      <c r="AY149" s="9" t="s">
        <v>77</v>
      </c>
      <c r="AZ149" s="9" t="s">
        <v>80</v>
      </c>
      <c r="BA149" s="9" t="s">
        <v>438</v>
      </c>
      <c r="BB149" s="9" t="s">
        <v>79</v>
      </c>
      <c r="BC149" s="9" t="s">
        <v>78</v>
      </c>
      <c r="BD149" s="9" t="s">
        <v>349</v>
      </c>
      <c r="BE149" s="9" t="s">
        <v>78</v>
      </c>
      <c r="BF149" s="9" t="s">
        <v>77</v>
      </c>
      <c r="BI149" s="9" t="s">
        <v>77</v>
      </c>
      <c r="BJ149" s="9" t="s">
        <v>80</v>
      </c>
      <c r="BK149" s="9" t="s">
        <v>348</v>
      </c>
      <c r="BL149" s="9" t="s">
        <v>761</v>
      </c>
      <c r="BM149" s="9" t="s">
        <v>80</v>
      </c>
      <c r="BN149" s="9" t="s">
        <v>348</v>
      </c>
      <c r="BO149" s="9" t="s">
        <v>761</v>
      </c>
      <c r="BP149" s="9" t="s">
        <v>77</v>
      </c>
      <c r="BQ149" s="9" t="s">
        <v>77</v>
      </c>
      <c r="BR149" s="9" t="s">
        <v>77</v>
      </c>
      <c r="BS149" s="9" t="s">
        <v>77</v>
      </c>
      <c r="BT149" s="9" t="s">
        <v>77</v>
      </c>
      <c r="BU149" s="9" t="s">
        <v>77</v>
      </c>
      <c r="BV149" s="9" t="s">
        <v>78</v>
      </c>
      <c r="BW149" s="9" t="s">
        <v>78</v>
      </c>
      <c r="BX149" s="9" t="s">
        <v>78</v>
      </c>
      <c r="CB149" s="9" t="s">
        <v>77</v>
      </c>
      <c r="CC149" s="9" t="s">
        <v>80</v>
      </c>
      <c r="CD149" s="9" t="s">
        <v>77</v>
      </c>
      <c r="CE149" s="9" t="s">
        <v>77</v>
      </c>
      <c r="CF149" s="9" t="s">
        <v>77</v>
      </c>
      <c r="CG149" s="9" t="s">
        <v>80</v>
      </c>
      <c r="CH149" s="9" t="s">
        <v>348</v>
      </c>
      <c r="CI149" s="9" t="s">
        <v>762</v>
      </c>
      <c r="CJ149" s="9" t="s">
        <v>80</v>
      </c>
      <c r="CK149" s="9" t="s">
        <v>348</v>
      </c>
      <c r="CL149" s="9" t="s">
        <v>762</v>
      </c>
      <c r="CM149" s="9" t="s">
        <v>77</v>
      </c>
      <c r="CN149" s="9" t="s">
        <v>77</v>
      </c>
      <c r="CO149" s="9" t="s">
        <v>78</v>
      </c>
      <c r="CS149" s="9" t="s">
        <v>80</v>
      </c>
      <c r="CT149" s="9" t="s">
        <v>348</v>
      </c>
      <c r="CU149" s="9" t="s">
        <v>761</v>
      </c>
      <c r="CV149" s="9" t="s">
        <v>80</v>
      </c>
      <c r="CW149" s="9" t="s">
        <v>348</v>
      </c>
      <c r="CX149" s="9" t="s">
        <v>761</v>
      </c>
      <c r="CY149" s="9" t="s">
        <v>77</v>
      </c>
      <c r="CZ149" s="9" t="s">
        <v>77</v>
      </c>
      <c r="DA149" s="9" t="s">
        <v>78</v>
      </c>
      <c r="DE149" s="9" t="s">
        <v>77</v>
      </c>
      <c r="DF149" s="9" t="s">
        <v>78</v>
      </c>
      <c r="DG149" s="9" t="s">
        <v>78</v>
      </c>
      <c r="DH149" s="9" t="s">
        <v>78</v>
      </c>
      <c r="DI149" s="9" t="s">
        <v>761</v>
      </c>
      <c r="DJ149" s="9" t="s">
        <v>77</v>
      </c>
      <c r="DK149" s="9" t="s">
        <v>77</v>
      </c>
      <c r="DN149" s="9" t="s">
        <v>77</v>
      </c>
      <c r="DO149" s="9" t="s">
        <v>77</v>
      </c>
      <c r="DP149" s="9" t="s">
        <v>80</v>
      </c>
      <c r="DQ149" s="9" t="s">
        <v>438</v>
      </c>
      <c r="DR149" s="9" t="s">
        <v>77</v>
      </c>
      <c r="DS149" s="9" t="s">
        <v>78</v>
      </c>
      <c r="DT149" s="9" t="s">
        <v>349</v>
      </c>
      <c r="DU149" s="9" t="s">
        <v>78</v>
      </c>
      <c r="DV149" s="9" t="s">
        <v>77</v>
      </c>
      <c r="DZ149" s="9" t="s">
        <v>77</v>
      </c>
      <c r="EA149" s="9" t="s">
        <v>77</v>
      </c>
      <c r="EB149" s="9" t="s">
        <v>80</v>
      </c>
      <c r="EC149" s="9" t="s">
        <v>438</v>
      </c>
      <c r="ED149" s="9" t="s">
        <v>77</v>
      </c>
      <c r="EE149" s="9" t="s">
        <v>78</v>
      </c>
      <c r="EF149" s="9" t="s">
        <v>349</v>
      </c>
      <c r="EG149" s="9" t="s">
        <v>78</v>
      </c>
      <c r="EH149" s="9" t="s">
        <v>77</v>
      </c>
      <c r="EL149" s="9" t="s">
        <v>77</v>
      </c>
      <c r="EM149" s="9" t="s">
        <v>77</v>
      </c>
      <c r="EN149" s="9" t="s">
        <v>80</v>
      </c>
      <c r="EO149" s="9" t="s">
        <v>438</v>
      </c>
      <c r="EP149" s="9" t="s">
        <v>77</v>
      </c>
      <c r="EQ149" s="9" t="s">
        <v>78</v>
      </c>
      <c r="ER149" s="9" t="s">
        <v>349</v>
      </c>
      <c r="ES149" s="9" t="s">
        <v>78</v>
      </c>
      <c r="ET149" s="9" t="s">
        <v>77</v>
      </c>
      <c r="EX149" s="9" t="s">
        <v>77</v>
      </c>
      <c r="EY149" s="9" t="s">
        <v>77</v>
      </c>
      <c r="EZ149" s="9" t="s">
        <v>80</v>
      </c>
      <c r="FA149" s="9" t="s">
        <v>438</v>
      </c>
      <c r="FB149" s="9" t="s">
        <v>77</v>
      </c>
      <c r="FC149" s="9" t="s">
        <v>78</v>
      </c>
      <c r="FD149" s="9" t="s">
        <v>349</v>
      </c>
      <c r="FE149" s="9" t="s">
        <v>78</v>
      </c>
      <c r="FF149" s="9" t="s">
        <v>77</v>
      </c>
    </row>
    <row r="150" spans="50:162">
      <c r="AX150" s="9" t="s">
        <v>77</v>
      </c>
      <c r="AY150" s="9" t="s">
        <v>77</v>
      </c>
      <c r="AZ150" s="9" t="s">
        <v>80</v>
      </c>
      <c r="BA150" s="9" t="s">
        <v>438</v>
      </c>
      <c r="BB150" s="9" t="s">
        <v>79</v>
      </c>
      <c r="BC150" s="9" t="s">
        <v>78</v>
      </c>
      <c r="BD150" s="9" t="s">
        <v>349</v>
      </c>
      <c r="BE150" s="9" t="s">
        <v>78</v>
      </c>
      <c r="BF150" s="9" t="s">
        <v>77</v>
      </c>
      <c r="BI150" s="9" t="s">
        <v>77</v>
      </c>
      <c r="BJ150" s="9" t="s">
        <v>80</v>
      </c>
      <c r="BK150" s="9" t="s">
        <v>348</v>
      </c>
      <c r="BL150" s="9" t="s">
        <v>763</v>
      </c>
      <c r="BM150" s="9" t="s">
        <v>80</v>
      </c>
      <c r="BN150" s="9" t="s">
        <v>348</v>
      </c>
      <c r="BO150" s="9" t="s">
        <v>763</v>
      </c>
      <c r="BP150" s="9" t="s">
        <v>77</v>
      </c>
      <c r="BQ150" s="9" t="s">
        <v>77</v>
      </c>
      <c r="BR150" s="9" t="s">
        <v>77</v>
      </c>
      <c r="BS150" s="9" t="s">
        <v>77</v>
      </c>
      <c r="BT150" s="9" t="s">
        <v>77</v>
      </c>
      <c r="BU150" s="9" t="s">
        <v>77</v>
      </c>
      <c r="BV150" s="9" t="s">
        <v>78</v>
      </c>
      <c r="BW150" s="9" t="s">
        <v>78</v>
      </c>
      <c r="BX150" s="9" t="s">
        <v>78</v>
      </c>
      <c r="CB150" s="9" t="s">
        <v>77</v>
      </c>
      <c r="CC150" s="9" t="s">
        <v>80</v>
      </c>
      <c r="CD150" s="9" t="s">
        <v>77</v>
      </c>
      <c r="CE150" s="9" t="s">
        <v>77</v>
      </c>
      <c r="CF150" s="9" t="s">
        <v>77</v>
      </c>
      <c r="CG150" s="9" t="s">
        <v>80</v>
      </c>
      <c r="CH150" s="9" t="s">
        <v>348</v>
      </c>
      <c r="CI150" s="9" t="s">
        <v>763</v>
      </c>
      <c r="CJ150" s="9" t="s">
        <v>80</v>
      </c>
      <c r="CK150" s="9" t="s">
        <v>348</v>
      </c>
      <c r="CL150" s="9" t="s">
        <v>763</v>
      </c>
      <c r="CM150" s="9" t="s">
        <v>77</v>
      </c>
      <c r="CN150" s="9" t="s">
        <v>77</v>
      </c>
      <c r="CO150" s="9" t="s">
        <v>78</v>
      </c>
      <c r="CS150" s="9" t="s">
        <v>80</v>
      </c>
      <c r="CT150" s="9" t="s">
        <v>348</v>
      </c>
      <c r="CU150" s="9" t="s">
        <v>763</v>
      </c>
      <c r="CV150" s="9" t="s">
        <v>80</v>
      </c>
      <c r="CW150" s="9" t="s">
        <v>348</v>
      </c>
      <c r="CX150" s="9" t="s">
        <v>763</v>
      </c>
      <c r="CY150" s="9" t="s">
        <v>77</v>
      </c>
      <c r="CZ150" s="9" t="s">
        <v>77</v>
      </c>
      <c r="DA150" s="9" t="s">
        <v>78</v>
      </c>
      <c r="DE150" s="9" t="s">
        <v>77</v>
      </c>
      <c r="DF150" s="9" t="s">
        <v>78</v>
      </c>
      <c r="DG150" s="9" t="s">
        <v>78</v>
      </c>
      <c r="DH150" s="9" t="s">
        <v>78</v>
      </c>
      <c r="DI150" s="9" t="s">
        <v>764</v>
      </c>
      <c r="DJ150" s="9" t="s">
        <v>77</v>
      </c>
      <c r="DK150" s="9" t="s">
        <v>77</v>
      </c>
      <c r="DN150" s="9" t="s">
        <v>77</v>
      </c>
      <c r="DO150" s="9" t="s">
        <v>77</v>
      </c>
      <c r="DP150" s="9" t="s">
        <v>80</v>
      </c>
      <c r="DQ150" s="9" t="s">
        <v>438</v>
      </c>
      <c r="DR150" s="9" t="s">
        <v>77</v>
      </c>
      <c r="DS150" s="9" t="s">
        <v>78</v>
      </c>
      <c r="DT150" s="9" t="s">
        <v>349</v>
      </c>
      <c r="DU150" s="9" t="s">
        <v>78</v>
      </c>
      <c r="DV150" s="9" t="s">
        <v>77</v>
      </c>
      <c r="DZ150" s="9" t="s">
        <v>77</v>
      </c>
      <c r="EA150" s="9" t="s">
        <v>77</v>
      </c>
      <c r="EB150" s="9" t="s">
        <v>80</v>
      </c>
      <c r="EC150" s="9" t="s">
        <v>438</v>
      </c>
      <c r="ED150" s="9" t="s">
        <v>77</v>
      </c>
      <c r="EE150" s="9" t="s">
        <v>78</v>
      </c>
      <c r="EF150" s="9" t="s">
        <v>349</v>
      </c>
      <c r="EG150" s="9" t="s">
        <v>78</v>
      </c>
      <c r="EH150" s="9" t="s">
        <v>77</v>
      </c>
      <c r="EL150" s="9" t="s">
        <v>77</v>
      </c>
      <c r="EM150" s="9" t="s">
        <v>77</v>
      </c>
      <c r="EN150" s="9" t="s">
        <v>80</v>
      </c>
      <c r="EO150" s="9" t="s">
        <v>438</v>
      </c>
      <c r="EP150" s="9" t="s">
        <v>77</v>
      </c>
      <c r="EQ150" s="9" t="s">
        <v>78</v>
      </c>
      <c r="ER150" s="9" t="s">
        <v>349</v>
      </c>
      <c r="ES150" s="9" t="s">
        <v>78</v>
      </c>
      <c r="ET150" s="9" t="s">
        <v>77</v>
      </c>
      <c r="EX150" s="9" t="s">
        <v>77</v>
      </c>
      <c r="EY150" s="9" t="s">
        <v>77</v>
      </c>
      <c r="EZ150" s="9" t="s">
        <v>80</v>
      </c>
      <c r="FA150" s="9" t="s">
        <v>438</v>
      </c>
      <c r="FB150" s="9" t="s">
        <v>77</v>
      </c>
      <c r="FC150" s="9" t="s">
        <v>78</v>
      </c>
      <c r="FD150" s="9" t="s">
        <v>349</v>
      </c>
      <c r="FE150" s="9" t="s">
        <v>78</v>
      </c>
      <c r="FF150" s="9" t="s">
        <v>77</v>
      </c>
    </row>
    <row r="151" spans="50:162">
      <c r="AX151" s="9" t="s">
        <v>77</v>
      </c>
      <c r="AY151" s="9" t="s">
        <v>77</v>
      </c>
      <c r="AZ151" s="9" t="s">
        <v>80</v>
      </c>
      <c r="BA151" s="9" t="s">
        <v>438</v>
      </c>
      <c r="BB151" s="9" t="s">
        <v>79</v>
      </c>
      <c r="BC151" s="9" t="s">
        <v>78</v>
      </c>
      <c r="BD151" s="9" t="s">
        <v>349</v>
      </c>
      <c r="BE151" s="9" t="s">
        <v>78</v>
      </c>
      <c r="BF151" s="9" t="s">
        <v>77</v>
      </c>
      <c r="BI151" s="9" t="s">
        <v>77</v>
      </c>
      <c r="BJ151" s="9" t="s">
        <v>80</v>
      </c>
      <c r="BK151" s="9" t="s">
        <v>348</v>
      </c>
      <c r="BL151" s="9" t="s">
        <v>765</v>
      </c>
      <c r="BM151" s="9" t="s">
        <v>80</v>
      </c>
      <c r="BN151" s="9" t="s">
        <v>348</v>
      </c>
      <c r="BO151" s="9" t="s">
        <v>765</v>
      </c>
      <c r="BP151" s="9" t="s">
        <v>77</v>
      </c>
      <c r="BQ151" s="9" t="s">
        <v>77</v>
      </c>
      <c r="BR151" s="9" t="s">
        <v>77</v>
      </c>
      <c r="BS151" s="9" t="s">
        <v>77</v>
      </c>
      <c r="BT151" s="9" t="s">
        <v>77</v>
      </c>
      <c r="BU151" s="9" t="s">
        <v>77</v>
      </c>
      <c r="BV151" s="9" t="s">
        <v>78</v>
      </c>
      <c r="BW151" s="9" t="s">
        <v>78</v>
      </c>
      <c r="BX151" s="9" t="s">
        <v>78</v>
      </c>
      <c r="CB151" s="9" t="s">
        <v>77</v>
      </c>
      <c r="CC151" s="9" t="s">
        <v>80</v>
      </c>
      <c r="CD151" s="9" t="s">
        <v>77</v>
      </c>
      <c r="CE151" s="9" t="s">
        <v>77</v>
      </c>
      <c r="CF151" s="9" t="s">
        <v>77</v>
      </c>
      <c r="CG151" s="9" t="s">
        <v>80</v>
      </c>
      <c r="CH151" s="9" t="s">
        <v>348</v>
      </c>
      <c r="CI151" s="9" t="s">
        <v>766</v>
      </c>
      <c r="CJ151" s="9" t="s">
        <v>80</v>
      </c>
      <c r="CK151" s="9" t="s">
        <v>348</v>
      </c>
      <c r="CL151" s="9" t="s">
        <v>766</v>
      </c>
      <c r="CM151" s="9" t="s">
        <v>77</v>
      </c>
      <c r="CN151" s="9" t="s">
        <v>77</v>
      </c>
      <c r="CO151" s="9" t="s">
        <v>78</v>
      </c>
      <c r="CS151" s="9" t="s">
        <v>80</v>
      </c>
      <c r="CT151" s="9" t="s">
        <v>348</v>
      </c>
      <c r="CU151" s="9" t="s">
        <v>765</v>
      </c>
      <c r="CV151" s="9" t="s">
        <v>80</v>
      </c>
      <c r="CW151" s="9" t="s">
        <v>348</v>
      </c>
      <c r="CX151" s="9" t="s">
        <v>765</v>
      </c>
      <c r="CY151" s="9" t="s">
        <v>77</v>
      </c>
      <c r="CZ151" s="9" t="s">
        <v>77</v>
      </c>
      <c r="DA151" s="9" t="s">
        <v>78</v>
      </c>
      <c r="DE151" s="9" t="s">
        <v>77</v>
      </c>
      <c r="DF151" s="9" t="s">
        <v>78</v>
      </c>
      <c r="DG151" s="9" t="s">
        <v>78</v>
      </c>
      <c r="DH151" s="9" t="s">
        <v>78</v>
      </c>
      <c r="DI151" s="9" t="s">
        <v>765</v>
      </c>
      <c r="DJ151" s="9" t="s">
        <v>77</v>
      </c>
      <c r="DK151" s="9" t="s">
        <v>77</v>
      </c>
      <c r="DN151" s="9" t="s">
        <v>77</v>
      </c>
      <c r="DO151" s="9" t="s">
        <v>77</v>
      </c>
      <c r="DP151" s="9" t="s">
        <v>80</v>
      </c>
      <c r="DQ151" s="9" t="s">
        <v>438</v>
      </c>
      <c r="DR151" s="9" t="s">
        <v>77</v>
      </c>
      <c r="DS151" s="9" t="s">
        <v>78</v>
      </c>
      <c r="DT151" s="9" t="s">
        <v>349</v>
      </c>
      <c r="DU151" s="9" t="s">
        <v>78</v>
      </c>
      <c r="DV151" s="9" t="s">
        <v>77</v>
      </c>
      <c r="DZ151" s="9" t="s">
        <v>77</v>
      </c>
      <c r="EA151" s="9" t="s">
        <v>77</v>
      </c>
      <c r="EB151" s="9" t="s">
        <v>80</v>
      </c>
      <c r="EC151" s="9" t="s">
        <v>438</v>
      </c>
      <c r="ED151" s="9" t="s">
        <v>77</v>
      </c>
      <c r="EE151" s="9" t="s">
        <v>78</v>
      </c>
      <c r="EF151" s="9" t="s">
        <v>349</v>
      </c>
      <c r="EG151" s="9" t="s">
        <v>78</v>
      </c>
      <c r="EH151" s="9" t="s">
        <v>77</v>
      </c>
      <c r="EL151" s="9" t="s">
        <v>77</v>
      </c>
      <c r="EM151" s="9" t="s">
        <v>77</v>
      </c>
      <c r="EN151" s="9" t="s">
        <v>80</v>
      </c>
      <c r="EO151" s="9" t="s">
        <v>438</v>
      </c>
      <c r="EP151" s="9" t="s">
        <v>77</v>
      </c>
      <c r="EQ151" s="9" t="s">
        <v>78</v>
      </c>
      <c r="ER151" s="9" t="s">
        <v>349</v>
      </c>
      <c r="ES151" s="9" t="s">
        <v>78</v>
      </c>
      <c r="ET151" s="9" t="s">
        <v>77</v>
      </c>
      <c r="EX151" s="9" t="s">
        <v>77</v>
      </c>
      <c r="EY151" s="9" t="s">
        <v>77</v>
      </c>
      <c r="EZ151" s="9" t="s">
        <v>80</v>
      </c>
      <c r="FA151" s="9" t="s">
        <v>438</v>
      </c>
      <c r="FB151" s="9" t="s">
        <v>77</v>
      </c>
      <c r="FC151" s="9" t="s">
        <v>78</v>
      </c>
      <c r="FD151" s="9" t="s">
        <v>349</v>
      </c>
      <c r="FE151" s="9" t="s">
        <v>78</v>
      </c>
      <c r="FF151" s="9" t="s">
        <v>77</v>
      </c>
    </row>
    <row r="152" spans="50:162">
      <c r="AX152" s="9" t="s">
        <v>77</v>
      </c>
      <c r="AY152" s="9" t="s">
        <v>77</v>
      </c>
      <c r="AZ152" s="9" t="s">
        <v>80</v>
      </c>
      <c r="BA152" s="9" t="s">
        <v>438</v>
      </c>
      <c r="BB152" s="9" t="s">
        <v>79</v>
      </c>
      <c r="BC152" s="9" t="s">
        <v>78</v>
      </c>
      <c r="BD152" s="9" t="s">
        <v>349</v>
      </c>
      <c r="BE152" s="9" t="s">
        <v>78</v>
      </c>
      <c r="BF152" s="9" t="s">
        <v>77</v>
      </c>
      <c r="BI152" s="9" t="s">
        <v>77</v>
      </c>
      <c r="BJ152" s="9" t="s">
        <v>80</v>
      </c>
      <c r="BK152" s="9" t="s">
        <v>348</v>
      </c>
      <c r="BL152" s="9" t="s">
        <v>767</v>
      </c>
      <c r="BM152" s="9" t="s">
        <v>80</v>
      </c>
      <c r="BN152" s="9" t="s">
        <v>348</v>
      </c>
      <c r="BO152" s="9" t="s">
        <v>767</v>
      </c>
      <c r="BP152" s="9" t="s">
        <v>77</v>
      </c>
      <c r="BQ152" s="9" t="s">
        <v>77</v>
      </c>
      <c r="BR152" s="9" t="s">
        <v>77</v>
      </c>
      <c r="BS152" s="9" t="s">
        <v>77</v>
      </c>
      <c r="BT152" s="9" t="s">
        <v>77</v>
      </c>
      <c r="BU152" s="9" t="s">
        <v>77</v>
      </c>
      <c r="BV152" s="9" t="s">
        <v>78</v>
      </c>
      <c r="BW152" s="9" t="s">
        <v>78</v>
      </c>
      <c r="BX152" s="9" t="s">
        <v>78</v>
      </c>
      <c r="CB152" s="9" t="s">
        <v>77</v>
      </c>
      <c r="CC152" s="9" t="s">
        <v>80</v>
      </c>
      <c r="CD152" s="9" t="s">
        <v>77</v>
      </c>
      <c r="CE152" s="9" t="s">
        <v>77</v>
      </c>
      <c r="CF152" s="9" t="s">
        <v>77</v>
      </c>
      <c r="CG152" s="9" t="s">
        <v>80</v>
      </c>
      <c r="CH152" s="9" t="s">
        <v>348</v>
      </c>
      <c r="CI152" s="9" t="s">
        <v>768</v>
      </c>
      <c r="CJ152" s="9" t="s">
        <v>80</v>
      </c>
      <c r="CK152" s="9" t="s">
        <v>348</v>
      </c>
      <c r="CL152" s="9" t="s">
        <v>768</v>
      </c>
      <c r="CM152" s="9" t="s">
        <v>77</v>
      </c>
      <c r="CN152" s="9" t="s">
        <v>77</v>
      </c>
      <c r="CO152" s="9" t="s">
        <v>78</v>
      </c>
      <c r="CS152" s="9" t="s">
        <v>80</v>
      </c>
      <c r="CT152" s="9" t="s">
        <v>348</v>
      </c>
      <c r="CU152" s="9" t="s">
        <v>767</v>
      </c>
      <c r="CV152" s="9" t="s">
        <v>80</v>
      </c>
      <c r="CW152" s="9" t="s">
        <v>348</v>
      </c>
      <c r="CX152" s="9" t="s">
        <v>767</v>
      </c>
      <c r="CY152" s="9" t="s">
        <v>77</v>
      </c>
      <c r="CZ152" s="9" t="s">
        <v>77</v>
      </c>
      <c r="DA152" s="9" t="s">
        <v>78</v>
      </c>
      <c r="DE152" s="9" t="s">
        <v>77</v>
      </c>
      <c r="DF152" s="9" t="s">
        <v>78</v>
      </c>
      <c r="DG152" s="9" t="s">
        <v>78</v>
      </c>
      <c r="DH152" s="9" t="s">
        <v>78</v>
      </c>
      <c r="DI152" s="9" t="s">
        <v>769</v>
      </c>
      <c r="DJ152" s="9" t="s">
        <v>77</v>
      </c>
      <c r="DK152" s="9" t="s">
        <v>77</v>
      </c>
      <c r="DN152" s="9" t="s">
        <v>77</v>
      </c>
      <c r="DO152" s="9" t="s">
        <v>77</v>
      </c>
      <c r="DP152" s="9" t="s">
        <v>80</v>
      </c>
      <c r="DQ152" s="9" t="s">
        <v>438</v>
      </c>
      <c r="DR152" s="9" t="s">
        <v>77</v>
      </c>
      <c r="DS152" s="9" t="s">
        <v>78</v>
      </c>
      <c r="DT152" s="9" t="s">
        <v>349</v>
      </c>
      <c r="DU152" s="9" t="s">
        <v>78</v>
      </c>
      <c r="DV152" s="9" t="s">
        <v>77</v>
      </c>
      <c r="DZ152" s="9" t="s">
        <v>77</v>
      </c>
      <c r="EA152" s="9" t="s">
        <v>77</v>
      </c>
      <c r="EB152" s="9" t="s">
        <v>80</v>
      </c>
      <c r="EC152" s="9" t="s">
        <v>438</v>
      </c>
      <c r="ED152" s="9" t="s">
        <v>77</v>
      </c>
      <c r="EE152" s="9" t="s">
        <v>78</v>
      </c>
      <c r="EF152" s="9" t="s">
        <v>349</v>
      </c>
      <c r="EG152" s="9" t="s">
        <v>78</v>
      </c>
      <c r="EH152" s="9" t="s">
        <v>77</v>
      </c>
      <c r="EL152" s="9" t="s">
        <v>77</v>
      </c>
      <c r="EM152" s="9" t="s">
        <v>77</v>
      </c>
      <c r="EN152" s="9" t="s">
        <v>80</v>
      </c>
      <c r="EO152" s="9" t="s">
        <v>438</v>
      </c>
      <c r="EP152" s="9" t="s">
        <v>77</v>
      </c>
      <c r="EQ152" s="9" t="s">
        <v>78</v>
      </c>
      <c r="ER152" s="9" t="s">
        <v>349</v>
      </c>
      <c r="ES152" s="9" t="s">
        <v>78</v>
      </c>
      <c r="ET152" s="9" t="s">
        <v>77</v>
      </c>
      <c r="EX152" s="9" t="s">
        <v>77</v>
      </c>
      <c r="EY152" s="9" t="s">
        <v>77</v>
      </c>
      <c r="EZ152" s="9" t="s">
        <v>80</v>
      </c>
      <c r="FA152" s="9" t="s">
        <v>438</v>
      </c>
      <c r="FB152" s="9" t="s">
        <v>77</v>
      </c>
      <c r="FC152" s="9" t="s">
        <v>78</v>
      </c>
      <c r="FD152" s="9" t="s">
        <v>349</v>
      </c>
      <c r="FE152" s="9" t="s">
        <v>78</v>
      </c>
      <c r="FF152" s="9" t="s">
        <v>77</v>
      </c>
    </row>
    <row r="153" spans="50:162">
      <c r="AX153" s="9" t="s">
        <v>77</v>
      </c>
      <c r="AY153" s="9" t="s">
        <v>77</v>
      </c>
      <c r="AZ153" s="9" t="s">
        <v>80</v>
      </c>
      <c r="BA153" s="9" t="s">
        <v>438</v>
      </c>
      <c r="BB153" s="9" t="s">
        <v>79</v>
      </c>
      <c r="BC153" s="9" t="s">
        <v>78</v>
      </c>
      <c r="BD153" s="9" t="s">
        <v>349</v>
      </c>
      <c r="BE153" s="9" t="s">
        <v>78</v>
      </c>
      <c r="BF153" s="9" t="s">
        <v>77</v>
      </c>
      <c r="BI153" s="9" t="s">
        <v>77</v>
      </c>
      <c r="BJ153" s="9" t="s">
        <v>80</v>
      </c>
      <c r="BK153" s="9" t="s">
        <v>348</v>
      </c>
      <c r="BL153" s="9" t="s">
        <v>770</v>
      </c>
      <c r="BM153" s="9" t="s">
        <v>80</v>
      </c>
      <c r="BN153" s="9" t="s">
        <v>348</v>
      </c>
      <c r="BO153" s="9" t="s">
        <v>770</v>
      </c>
      <c r="BP153" s="9" t="s">
        <v>77</v>
      </c>
      <c r="BQ153" s="9" t="s">
        <v>77</v>
      </c>
      <c r="BR153" s="9" t="s">
        <v>77</v>
      </c>
      <c r="BS153" s="9" t="s">
        <v>77</v>
      </c>
      <c r="BT153" s="9" t="s">
        <v>77</v>
      </c>
      <c r="BU153" s="9" t="s">
        <v>77</v>
      </c>
      <c r="BV153" s="9" t="s">
        <v>78</v>
      </c>
      <c r="BW153" s="9" t="s">
        <v>78</v>
      </c>
      <c r="BX153" s="9" t="s">
        <v>78</v>
      </c>
      <c r="CB153" s="9" t="s">
        <v>77</v>
      </c>
      <c r="CC153" s="9" t="s">
        <v>80</v>
      </c>
      <c r="CD153" s="9" t="s">
        <v>77</v>
      </c>
      <c r="CE153" s="9" t="s">
        <v>77</v>
      </c>
      <c r="CF153" s="9" t="s">
        <v>77</v>
      </c>
      <c r="CG153" s="9" t="s">
        <v>80</v>
      </c>
      <c r="CH153" s="9" t="s">
        <v>348</v>
      </c>
      <c r="CI153" s="9" t="s">
        <v>771</v>
      </c>
      <c r="CJ153" s="9" t="s">
        <v>80</v>
      </c>
      <c r="CK153" s="9" t="s">
        <v>348</v>
      </c>
      <c r="CL153" s="9" t="s">
        <v>771</v>
      </c>
      <c r="CM153" s="9" t="s">
        <v>77</v>
      </c>
      <c r="CN153" s="9" t="s">
        <v>77</v>
      </c>
      <c r="CO153" s="9" t="s">
        <v>78</v>
      </c>
      <c r="CS153" s="9" t="s">
        <v>80</v>
      </c>
      <c r="CT153" s="9" t="s">
        <v>348</v>
      </c>
      <c r="CU153" s="9" t="s">
        <v>771</v>
      </c>
      <c r="CV153" s="9" t="s">
        <v>80</v>
      </c>
      <c r="CW153" s="9" t="s">
        <v>348</v>
      </c>
      <c r="CX153" s="9" t="s">
        <v>771</v>
      </c>
      <c r="CY153" s="9" t="s">
        <v>77</v>
      </c>
      <c r="CZ153" s="9" t="s">
        <v>77</v>
      </c>
      <c r="DA153" s="9" t="s">
        <v>78</v>
      </c>
      <c r="DE153" s="9" t="s">
        <v>77</v>
      </c>
      <c r="DF153" s="9" t="s">
        <v>78</v>
      </c>
      <c r="DG153" s="9" t="s">
        <v>78</v>
      </c>
      <c r="DH153" s="9" t="s">
        <v>78</v>
      </c>
      <c r="DI153" s="9" t="s">
        <v>770</v>
      </c>
      <c r="DJ153" s="9" t="s">
        <v>77</v>
      </c>
      <c r="DK153" s="9" t="s">
        <v>77</v>
      </c>
      <c r="DN153" s="9" t="s">
        <v>77</v>
      </c>
      <c r="DO153" s="9" t="s">
        <v>77</v>
      </c>
      <c r="DP153" s="9" t="s">
        <v>80</v>
      </c>
      <c r="DQ153" s="9" t="s">
        <v>438</v>
      </c>
      <c r="DR153" s="9" t="s">
        <v>77</v>
      </c>
      <c r="DS153" s="9" t="s">
        <v>78</v>
      </c>
      <c r="DT153" s="9" t="s">
        <v>349</v>
      </c>
      <c r="DU153" s="9" t="s">
        <v>78</v>
      </c>
      <c r="DV153" s="9" t="s">
        <v>77</v>
      </c>
      <c r="DZ153" s="9" t="s">
        <v>77</v>
      </c>
      <c r="EA153" s="9" t="s">
        <v>77</v>
      </c>
      <c r="EB153" s="9" t="s">
        <v>80</v>
      </c>
      <c r="EC153" s="9" t="s">
        <v>438</v>
      </c>
      <c r="ED153" s="9" t="s">
        <v>77</v>
      </c>
      <c r="EE153" s="9" t="s">
        <v>78</v>
      </c>
      <c r="EF153" s="9" t="s">
        <v>349</v>
      </c>
      <c r="EG153" s="9" t="s">
        <v>78</v>
      </c>
      <c r="EH153" s="9" t="s">
        <v>77</v>
      </c>
      <c r="EL153" s="9" t="s">
        <v>77</v>
      </c>
      <c r="EM153" s="9" t="s">
        <v>77</v>
      </c>
      <c r="EN153" s="9" t="s">
        <v>80</v>
      </c>
      <c r="EO153" s="9" t="s">
        <v>438</v>
      </c>
      <c r="EP153" s="9" t="s">
        <v>77</v>
      </c>
      <c r="EQ153" s="9" t="s">
        <v>78</v>
      </c>
      <c r="ER153" s="9" t="s">
        <v>349</v>
      </c>
      <c r="ES153" s="9" t="s">
        <v>78</v>
      </c>
      <c r="ET153" s="9" t="s">
        <v>77</v>
      </c>
      <c r="EX153" s="9" t="s">
        <v>77</v>
      </c>
      <c r="EY153" s="9" t="s">
        <v>77</v>
      </c>
      <c r="EZ153" s="9" t="s">
        <v>80</v>
      </c>
      <c r="FA153" s="9" t="s">
        <v>438</v>
      </c>
      <c r="FB153" s="9" t="s">
        <v>77</v>
      </c>
      <c r="FC153" s="9" t="s">
        <v>78</v>
      </c>
      <c r="FD153" s="9" t="s">
        <v>349</v>
      </c>
      <c r="FE153" s="9" t="s">
        <v>78</v>
      </c>
      <c r="FF153" s="9" t="s">
        <v>77</v>
      </c>
    </row>
    <row r="154" spans="50:162">
      <c r="AX154" s="9" t="s">
        <v>77</v>
      </c>
      <c r="AY154" s="9" t="s">
        <v>77</v>
      </c>
      <c r="AZ154" s="9" t="s">
        <v>80</v>
      </c>
      <c r="BA154" s="9" t="s">
        <v>438</v>
      </c>
      <c r="BB154" s="9" t="s">
        <v>79</v>
      </c>
      <c r="BC154" s="9" t="s">
        <v>78</v>
      </c>
      <c r="BD154" s="9" t="s">
        <v>349</v>
      </c>
      <c r="BE154" s="9" t="s">
        <v>78</v>
      </c>
      <c r="BF154" s="9" t="s">
        <v>77</v>
      </c>
      <c r="BI154" s="9" t="s">
        <v>77</v>
      </c>
      <c r="BJ154" s="9" t="s">
        <v>80</v>
      </c>
      <c r="BK154" s="9" t="s">
        <v>348</v>
      </c>
      <c r="BL154" s="9" t="s">
        <v>772</v>
      </c>
      <c r="BM154" s="9" t="s">
        <v>80</v>
      </c>
      <c r="BN154" s="9" t="s">
        <v>348</v>
      </c>
      <c r="BO154" s="9" t="s">
        <v>772</v>
      </c>
      <c r="BP154" s="9" t="s">
        <v>77</v>
      </c>
      <c r="BQ154" s="9" t="s">
        <v>77</v>
      </c>
      <c r="BR154" s="9" t="s">
        <v>77</v>
      </c>
      <c r="BS154" s="9" t="s">
        <v>77</v>
      </c>
      <c r="BT154" s="9" t="s">
        <v>77</v>
      </c>
      <c r="BU154" s="9" t="s">
        <v>77</v>
      </c>
      <c r="BV154" s="9" t="s">
        <v>78</v>
      </c>
      <c r="BW154" s="9" t="s">
        <v>78</v>
      </c>
      <c r="BX154" s="9" t="s">
        <v>78</v>
      </c>
      <c r="CB154" s="9" t="s">
        <v>77</v>
      </c>
      <c r="CC154" s="9" t="s">
        <v>80</v>
      </c>
      <c r="CD154" s="9" t="s">
        <v>77</v>
      </c>
      <c r="CE154" s="9" t="s">
        <v>77</v>
      </c>
      <c r="CF154" s="9" t="s">
        <v>77</v>
      </c>
      <c r="CG154" s="9" t="s">
        <v>80</v>
      </c>
      <c r="CH154" s="9" t="s">
        <v>348</v>
      </c>
      <c r="CI154" s="9" t="s">
        <v>773</v>
      </c>
      <c r="CJ154" s="9" t="s">
        <v>80</v>
      </c>
      <c r="CK154" s="9" t="s">
        <v>348</v>
      </c>
      <c r="CL154" s="9" t="s">
        <v>773</v>
      </c>
      <c r="CM154" s="9" t="s">
        <v>77</v>
      </c>
      <c r="CN154" s="9" t="s">
        <v>77</v>
      </c>
      <c r="CO154" s="9" t="s">
        <v>78</v>
      </c>
      <c r="CS154" s="9" t="s">
        <v>80</v>
      </c>
      <c r="CT154" s="9" t="s">
        <v>348</v>
      </c>
      <c r="CU154" s="9" t="s">
        <v>772</v>
      </c>
      <c r="CV154" s="9" t="s">
        <v>80</v>
      </c>
      <c r="CW154" s="9" t="s">
        <v>348</v>
      </c>
      <c r="CX154" s="9" t="s">
        <v>772</v>
      </c>
      <c r="CY154" s="9" t="s">
        <v>77</v>
      </c>
      <c r="CZ154" s="9" t="s">
        <v>77</v>
      </c>
      <c r="DA154" s="9" t="s">
        <v>78</v>
      </c>
      <c r="DE154" s="9" t="s">
        <v>77</v>
      </c>
      <c r="DF154" s="9" t="s">
        <v>78</v>
      </c>
      <c r="DG154" s="9" t="s">
        <v>78</v>
      </c>
      <c r="DH154" s="9" t="s">
        <v>78</v>
      </c>
      <c r="DI154" s="9" t="s">
        <v>772</v>
      </c>
      <c r="DJ154" s="9" t="s">
        <v>77</v>
      </c>
      <c r="DK154" s="9" t="s">
        <v>77</v>
      </c>
      <c r="DN154" s="9" t="s">
        <v>77</v>
      </c>
      <c r="DO154" s="9" t="s">
        <v>77</v>
      </c>
      <c r="DP154" s="9" t="s">
        <v>80</v>
      </c>
      <c r="DQ154" s="9" t="s">
        <v>438</v>
      </c>
      <c r="DR154" s="9" t="s">
        <v>77</v>
      </c>
      <c r="DS154" s="9" t="s">
        <v>78</v>
      </c>
      <c r="DT154" s="9" t="s">
        <v>349</v>
      </c>
      <c r="DU154" s="9" t="s">
        <v>78</v>
      </c>
      <c r="DV154" s="9" t="s">
        <v>77</v>
      </c>
      <c r="DZ154" s="9" t="s">
        <v>77</v>
      </c>
      <c r="EA154" s="9" t="s">
        <v>77</v>
      </c>
      <c r="EB154" s="9" t="s">
        <v>80</v>
      </c>
      <c r="EC154" s="9" t="s">
        <v>438</v>
      </c>
      <c r="ED154" s="9" t="s">
        <v>77</v>
      </c>
      <c r="EE154" s="9" t="s">
        <v>78</v>
      </c>
      <c r="EF154" s="9" t="s">
        <v>349</v>
      </c>
      <c r="EG154" s="9" t="s">
        <v>78</v>
      </c>
      <c r="EH154" s="9" t="s">
        <v>77</v>
      </c>
      <c r="EL154" s="9" t="s">
        <v>77</v>
      </c>
      <c r="EM154" s="9" t="s">
        <v>77</v>
      </c>
      <c r="EN154" s="9" t="s">
        <v>80</v>
      </c>
      <c r="EO154" s="9" t="s">
        <v>438</v>
      </c>
      <c r="EP154" s="9" t="s">
        <v>77</v>
      </c>
      <c r="EQ154" s="9" t="s">
        <v>78</v>
      </c>
      <c r="ER154" s="9" t="s">
        <v>349</v>
      </c>
      <c r="ES154" s="9" t="s">
        <v>78</v>
      </c>
      <c r="ET154" s="9" t="s">
        <v>77</v>
      </c>
      <c r="EX154" s="9" t="s">
        <v>77</v>
      </c>
      <c r="EY154" s="9" t="s">
        <v>77</v>
      </c>
      <c r="EZ154" s="9" t="s">
        <v>80</v>
      </c>
      <c r="FA154" s="9" t="s">
        <v>438</v>
      </c>
      <c r="FB154" s="9" t="s">
        <v>77</v>
      </c>
      <c r="FC154" s="9" t="s">
        <v>78</v>
      </c>
      <c r="FD154" s="9" t="s">
        <v>349</v>
      </c>
      <c r="FE154" s="9" t="s">
        <v>78</v>
      </c>
      <c r="FF154" s="9" t="s">
        <v>77</v>
      </c>
    </row>
    <row r="155" spans="50:162">
      <c r="AX155" s="9" t="s">
        <v>77</v>
      </c>
      <c r="AY155" s="9" t="s">
        <v>77</v>
      </c>
      <c r="AZ155" s="9" t="s">
        <v>80</v>
      </c>
      <c r="BA155" s="9" t="s">
        <v>438</v>
      </c>
      <c r="BB155" s="9" t="s">
        <v>79</v>
      </c>
      <c r="BC155" s="9" t="s">
        <v>78</v>
      </c>
      <c r="BD155" s="9" t="s">
        <v>349</v>
      </c>
      <c r="BE155" s="9" t="s">
        <v>78</v>
      </c>
      <c r="BF155" s="9" t="s">
        <v>77</v>
      </c>
      <c r="BI155" s="9" t="s">
        <v>77</v>
      </c>
      <c r="BJ155" s="9" t="s">
        <v>80</v>
      </c>
      <c r="BK155" s="9" t="s">
        <v>348</v>
      </c>
      <c r="BL155" s="9" t="s">
        <v>774</v>
      </c>
      <c r="BM155" s="9" t="s">
        <v>80</v>
      </c>
      <c r="BN155" s="9" t="s">
        <v>348</v>
      </c>
      <c r="BO155" s="9" t="s">
        <v>774</v>
      </c>
      <c r="BP155" s="9" t="s">
        <v>77</v>
      </c>
      <c r="BQ155" s="9" t="s">
        <v>77</v>
      </c>
      <c r="BR155" s="9" t="s">
        <v>77</v>
      </c>
      <c r="BS155" s="9" t="s">
        <v>77</v>
      </c>
      <c r="BT155" s="9" t="s">
        <v>77</v>
      </c>
      <c r="BU155" s="9" t="s">
        <v>77</v>
      </c>
      <c r="BV155" s="9" t="s">
        <v>78</v>
      </c>
      <c r="BW155" s="9" t="s">
        <v>78</v>
      </c>
      <c r="BX155" s="9" t="s">
        <v>78</v>
      </c>
      <c r="CB155" s="9" t="s">
        <v>77</v>
      </c>
      <c r="CC155" s="9" t="s">
        <v>80</v>
      </c>
      <c r="CD155" s="9" t="s">
        <v>77</v>
      </c>
      <c r="CE155" s="9" t="s">
        <v>77</v>
      </c>
      <c r="CF155" s="9" t="s">
        <v>77</v>
      </c>
      <c r="CG155" s="9" t="s">
        <v>80</v>
      </c>
      <c r="CH155" s="9" t="s">
        <v>348</v>
      </c>
      <c r="CI155" s="9" t="s">
        <v>774</v>
      </c>
      <c r="CJ155" s="9" t="s">
        <v>80</v>
      </c>
      <c r="CK155" s="9" t="s">
        <v>348</v>
      </c>
      <c r="CL155" s="9" t="s">
        <v>774</v>
      </c>
      <c r="CM155" s="9" t="s">
        <v>77</v>
      </c>
      <c r="CN155" s="9" t="s">
        <v>77</v>
      </c>
      <c r="CO155" s="9" t="s">
        <v>78</v>
      </c>
      <c r="CS155" s="9" t="s">
        <v>80</v>
      </c>
      <c r="CT155" s="9" t="s">
        <v>348</v>
      </c>
      <c r="CU155" s="9" t="s">
        <v>774</v>
      </c>
      <c r="CV155" s="9" t="s">
        <v>80</v>
      </c>
      <c r="CW155" s="9" t="s">
        <v>348</v>
      </c>
      <c r="CX155" s="9" t="s">
        <v>774</v>
      </c>
      <c r="CY155" s="9" t="s">
        <v>77</v>
      </c>
      <c r="CZ155" s="9" t="s">
        <v>77</v>
      </c>
      <c r="DA155" s="9" t="s">
        <v>78</v>
      </c>
      <c r="DE155" s="9" t="s">
        <v>77</v>
      </c>
      <c r="DF155" s="9" t="s">
        <v>78</v>
      </c>
      <c r="DG155" s="9" t="s">
        <v>78</v>
      </c>
      <c r="DH155" s="9" t="s">
        <v>78</v>
      </c>
      <c r="DI155" s="9" t="s">
        <v>775</v>
      </c>
      <c r="DJ155" s="9" t="s">
        <v>77</v>
      </c>
      <c r="DK155" s="9" t="s">
        <v>77</v>
      </c>
      <c r="DN155" s="9" t="s">
        <v>77</v>
      </c>
      <c r="DO155" s="9" t="s">
        <v>77</v>
      </c>
      <c r="DP155" s="9" t="s">
        <v>80</v>
      </c>
      <c r="DQ155" s="9" t="s">
        <v>438</v>
      </c>
      <c r="DR155" s="9" t="s">
        <v>77</v>
      </c>
      <c r="DS155" s="9" t="s">
        <v>78</v>
      </c>
      <c r="DT155" s="9" t="s">
        <v>349</v>
      </c>
      <c r="DU155" s="9" t="s">
        <v>78</v>
      </c>
      <c r="DV155" s="9" t="s">
        <v>77</v>
      </c>
      <c r="DZ155" s="9" t="s">
        <v>77</v>
      </c>
      <c r="EA155" s="9" t="s">
        <v>77</v>
      </c>
      <c r="EB155" s="9" t="s">
        <v>80</v>
      </c>
      <c r="EC155" s="9" t="s">
        <v>438</v>
      </c>
      <c r="ED155" s="9" t="s">
        <v>77</v>
      </c>
      <c r="EE155" s="9" t="s">
        <v>78</v>
      </c>
      <c r="EF155" s="9" t="s">
        <v>349</v>
      </c>
      <c r="EG155" s="9" t="s">
        <v>78</v>
      </c>
      <c r="EH155" s="9" t="s">
        <v>77</v>
      </c>
      <c r="EL155" s="9" t="s">
        <v>77</v>
      </c>
      <c r="EM155" s="9" t="s">
        <v>77</v>
      </c>
      <c r="EN155" s="9" t="s">
        <v>80</v>
      </c>
      <c r="EO155" s="9" t="s">
        <v>438</v>
      </c>
      <c r="EP155" s="9" t="s">
        <v>77</v>
      </c>
      <c r="EQ155" s="9" t="s">
        <v>78</v>
      </c>
      <c r="ER155" s="9" t="s">
        <v>349</v>
      </c>
      <c r="ES155" s="9" t="s">
        <v>78</v>
      </c>
      <c r="ET155" s="9" t="s">
        <v>77</v>
      </c>
      <c r="EX155" s="9" t="s">
        <v>77</v>
      </c>
      <c r="EY155" s="9" t="s">
        <v>77</v>
      </c>
      <c r="EZ155" s="9" t="s">
        <v>80</v>
      </c>
      <c r="FA155" s="9" t="s">
        <v>438</v>
      </c>
      <c r="FB155" s="9" t="s">
        <v>77</v>
      </c>
      <c r="FC155" s="9" t="s">
        <v>78</v>
      </c>
      <c r="FD155" s="9" t="s">
        <v>349</v>
      </c>
      <c r="FE155" s="9" t="s">
        <v>78</v>
      </c>
      <c r="FF155" s="9" t="s">
        <v>77</v>
      </c>
    </row>
    <row r="156" spans="50:162">
      <c r="AX156" s="9" t="s">
        <v>77</v>
      </c>
      <c r="AY156" s="9" t="s">
        <v>77</v>
      </c>
      <c r="AZ156" s="9" t="s">
        <v>80</v>
      </c>
      <c r="BA156" s="9" t="s">
        <v>438</v>
      </c>
      <c r="BB156" s="9" t="s">
        <v>79</v>
      </c>
      <c r="BC156" s="9" t="s">
        <v>78</v>
      </c>
      <c r="BD156" s="9" t="s">
        <v>349</v>
      </c>
      <c r="BE156" s="9" t="s">
        <v>78</v>
      </c>
      <c r="BF156" s="9" t="s">
        <v>77</v>
      </c>
      <c r="BI156" s="9" t="s">
        <v>77</v>
      </c>
      <c r="BJ156" s="9" t="s">
        <v>80</v>
      </c>
      <c r="BK156" s="9" t="s">
        <v>348</v>
      </c>
      <c r="BL156" s="9" t="s">
        <v>776</v>
      </c>
      <c r="BM156" s="9" t="s">
        <v>80</v>
      </c>
      <c r="BN156" s="9" t="s">
        <v>348</v>
      </c>
      <c r="BO156" s="9" t="s">
        <v>776</v>
      </c>
      <c r="BP156" s="9" t="s">
        <v>77</v>
      </c>
      <c r="BQ156" s="9" t="s">
        <v>77</v>
      </c>
      <c r="BR156" s="9" t="s">
        <v>77</v>
      </c>
      <c r="BS156" s="9" t="s">
        <v>77</v>
      </c>
      <c r="BT156" s="9" t="s">
        <v>77</v>
      </c>
      <c r="BU156" s="9" t="s">
        <v>77</v>
      </c>
      <c r="BV156" s="9" t="s">
        <v>78</v>
      </c>
      <c r="BW156" s="9" t="s">
        <v>78</v>
      </c>
      <c r="BX156" s="9" t="s">
        <v>78</v>
      </c>
      <c r="CB156" s="9" t="s">
        <v>77</v>
      </c>
      <c r="CC156" s="9" t="s">
        <v>80</v>
      </c>
      <c r="CD156" s="9" t="s">
        <v>77</v>
      </c>
      <c r="CE156" s="9" t="s">
        <v>77</v>
      </c>
      <c r="CF156" s="9" t="s">
        <v>77</v>
      </c>
      <c r="CG156" s="9" t="s">
        <v>80</v>
      </c>
      <c r="CH156" s="9" t="s">
        <v>348</v>
      </c>
      <c r="CI156" s="9" t="s">
        <v>777</v>
      </c>
      <c r="CJ156" s="9" t="s">
        <v>80</v>
      </c>
      <c r="CK156" s="9" t="s">
        <v>348</v>
      </c>
      <c r="CL156" s="9" t="s">
        <v>777</v>
      </c>
      <c r="CM156" s="9" t="s">
        <v>77</v>
      </c>
      <c r="CN156" s="9" t="s">
        <v>77</v>
      </c>
      <c r="CO156" s="9" t="s">
        <v>78</v>
      </c>
      <c r="CS156" s="9" t="s">
        <v>80</v>
      </c>
      <c r="CT156" s="9" t="s">
        <v>348</v>
      </c>
      <c r="CU156" s="9" t="s">
        <v>777</v>
      </c>
      <c r="CV156" s="9" t="s">
        <v>80</v>
      </c>
      <c r="CW156" s="9" t="s">
        <v>348</v>
      </c>
      <c r="CX156" s="9" t="s">
        <v>777</v>
      </c>
      <c r="CY156" s="9" t="s">
        <v>77</v>
      </c>
      <c r="CZ156" s="9" t="s">
        <v>77</v>
      </c>
      <c r="DA156" s="9" t="s">
        <v>78</v>
      </c>
      <c r="DE156" s="9" t="s">
        <v>77</v>
      </c>
      <c r="DF156" s="9" t="s">
        <v>78</v>
      </c>
      <c r="DG156" s="9" t="s">
        <v>78</v>
      </c>
      <c r="DH156" s="9" t="s">
        <v>78</v>
      </c>
      <c r="DI156" s="9" t="s">
        <v>776</v>
      </c>
      <c r="DJ156" s="9" t="s">
        <v>77</v>
      </c>
      <c r="DK156" s="9" t="s">
        <v>77</v>
      </c>
      <c r="DN156" s="9" t="s">
        <v>77</v>
      </c>
      <c r="DO156" s="9" t="s">
        <v>77</v>
      </c>
      <c r="DP156" s="9" t="s">
        <v>80</v>
      </c>
      <c r="DQ156" s="9" t="s">
        <v>438</v>
      </c>
      <c r="DR156" s="9" t="s">
        <v>77</v>
      </c>
      <c r="DS156" s="9" t="s">
        <v>78</v>
      </c>
      <c r="DT156" s="9" t="s">
        <v>349</v>
      </c>
      <c r="DU156" s="9" t="s">
        <v>78</v>
      </c>
      <c r="DV156" s="9" t="s">
        <v>77</v>
      </c>
      <c r="DZ156" s="9" t="s">
        <v>77</v>
      </c>
      <c r="EA156" s="9" t="s">
        <v>77</v>
      </c>
      <c r="EB156" s="9" t="s">
        <v>80</v>
      </c>
      <c r="EC156" s="9" t="s">
        <v>438</v>
      </c>
      <c r="ED156" s="9" t="s">
        <v>77</v>
      </c>
      <c r="EE156" s="9" t="s">
        <v>78</v>
      </c>
      <c r="EF156" s="9" t="s">
        <v>349</v>
      </c>
      <c r="EG156" s="9" t="s">
        <v>78</v>
      </c>
      <c r="EH156" s="9" t="s">
        <v>77</v>
      </c>
      <c r="EL156" s="9" t="s">
        <v>77</v>
      </c>
      <c r="EM156" s="9" t="s">
        <v>77</v>
      </c>
      <c r="EN156" s="9" t="s">
        <v>80</v>
      </c>
      <c r="EO156" s="9" t="s">
        <v>438</v>
      </c>
      <c r="EP156" s="9" t="s">
        <v>77</v>
      </c>
      <c r="EQ156" s="9" t="s">
        <v>78</v>
      </c>
      <c r="ER156" s="9" t="s">
        <v>349</v>
      </c>
      <c r="ES156" s="9" t="s">
        <v>78</v>
      </c>
      <c r="ET156" s="9" t="s">
        <v>77</v>
      </c>
      <c r="EX156" s="9" t="s">
        <v>77</v>
      </c>
      <c r="EY156" s="9" t="s">
        <v>77</v>
      </c>
      <c r="EZ156" s="9" t="s">
        <v>80</v>
      </c>
      <c r="FA156" s="9" t="s">
        <v>438</v>
      </c>
      <c r="FB156" s="9" t="s">
        <v>77</v>
      </c>
      <c r="FC156" s="9" t="s">
        <v>78</v>
      </c>
      <c r="FD156" s="9" t="s">
        <v>349</v>
      </c>
      <c r="FE156" s="9" t="s">
        <v>78</v>
      </c>
      <c r="FF156" s="9" t="s">
        <v>77</v>
      </c>
    </row>
    <row r="157" spans="50:162">
      <c r="AX157" s="9" t="s">
        <v>77</v>
      </c>
      <c r="AY157" s="9" t="s">
        <v>77</v>
      </c>
      <c r="AZ157" s="9" t="s">
        <v>80</v>
      </c>
      <c r="BA157" s="9" t="s">
        <v>438</v>
      </c>
      <c r="BB157" s="9" t="s">
        <v>79</v>
      </c>
      <c r="BC157" s="9" t="s">
        <v>78</v>
      </c>
      <c r="BD157" s="9" t="s">
        <v>349</v>
      </c>
      <c r="BE157" s="9" t="s">
        <v>78</v>
      </c>
      <c r="BF157" s="9" t="s">
        <v>77</v>
      </c>
      <c r="BI157" s="9" t="s">
        <v>77</v>
      </c>
      <c r="BJ157" s="9" t="s">
        <v>80</v>
      </c>
      <c r="BK157" s="9" t="s">
        <v>348</v>
      </c>
      <c r="BL157" s="9" t="s">
        <v>778</v>
      </c>
      <c r="BM157" s="9" t="s">
        <v>80</v>
      </c>
      <c r="BN157" s="9" t="s">
        <v>348</v>
      </c>
      <c r="BO157" s="9" t="s">
        <v>778</v>
      </c>
      <c r="BP157" s="9" t="s">
        <v>77</v>
      </c>
      <c r="BQ157" s="9" t="s">
        <v>77</v>
      </c>
      <c r="BR157" s="9" t="s">
        <v>77</v>
      </c>
      <c r="BS157" s="9" t="s">
        <v>77</v>
      </c>
      <c r="BT157" s="9" t="s">
        <v>77</v>
      </c>
      <c r="BU157" s="9" t="s">
        <v>77</v>
      </c>
      <c r="BV157" s="9" t="s">
        <v>78</v>
      </c>
      <c r="BW157" s="9" t="s">
        <v>78</v>
      </c>
      <c r="BX157" s="9" t="s">
        <v>78</v>
      </c>
      <c r="CB157" s="9" t="s">
        <v>77</v>
      </c>
      <c r="CC157" s="9" t="s">
        <v>80</v>
      </c>
      <c r="CD157" s="9" t="s">
        <v>77</v>
      </c>
      <c r="CE157" s="9" t="s">
        <v>77</v>
      </c>
      <c r="CF157" s="9" t="s">
        <v>77</v>
      </c>
      <c r="CG157" s="9" t="s">
        <v>80</v>
      </c>
      <c r="CH157" s="9" t="s">
        <v>348</v>
      </c>
      <c r="CI157" s="9" t="s">
        <v>779</v>
      </c>
      <c r="CJ157" s="9" t="s">
        <v>80</v>
      </c>
      <c r="CK157" s="9" t="s">
        <v>348</v>
      </c>
      <c r="CL157" s="9" t="s">
        <v>779</v>
      </c>
      <c r="CM157" s="9" t="s">
        <v>77</v>
      </c>
      <c r="CN157" s="9" t="s">
        <v>77</v>
      </c>
      <c r="CO157" s="9" t="s">
        <v>78</v>
      </c>
      <c r="CS157" s="9" t="s">
        <v>80</v>
      </c>
      <c r="CT157" s="9" t="s">
        <v>348</v>
      </c>
      <c r="CU157" s="9" t="s">
        <v>779</v>
      </c>
      <c r="CV157" s="9" t="s">
        <v>80</v>
      </c>
      <c r="CW157" s="9" t="s">
        <v>348</v>
      </c>
      <c r="CX157" s="9" t="s">
        <v>779</v>
      </c>
      <c r="CY157" s="9" t="s">
        <v>77</v>
      </c>
      <c r="CZ157" s="9" t="s">
        <v>77</v>
      </c>
      <c r="DA157" s="9" t="s">
        <v>78</v>
      </c>
      <c r="DE157" s="9" t="s">
        <v>77</v>
      </c>
      <c r="DF157" s="9" t="s">
        <v>78</v>
      </c>
      <c r="DG157" s="9" t="s">
        <v>78</v>
      </c>
      <c r="DH157" s="9" t="s">
        <v>78</v>
      </c>
      <c r="DI157" s="9" t="s">
        <v>778</v>
      </c>
      <c r="DJ157" s="9" t="s">
        <v>77</v>
      </c>
      <c r="DK157" s="9" t="s">
        <v>77</v>
      </c>
      <c r="DN157" s="9" t="s">
        <v>77</v>
      </c>
      <c r="DO157" s="9" t="s">
        <v>77</v>
      </c>
      <c r="DP157" s="9" t="s">
        <v>80</v>
      </c>
      <c r="DQ157" s="9" t="s">
        <v>438</v>
      </c>
      <c r="DR157" s="9" t="s">
        <v>77</v>
      </c>
      <c r="DS157" s="9" t="s">
        <v>78</v>
      </c>
      <c r="DT157" s="9" t="s">
        <v>349</v>
      </c>
      <c r="DU157" s="9" t="s">
        <v>78</v>
      </c>
      <c r="DV157" s="9" t="s">
        <v>77</v>
      </c>
      <c r="DZ157" s="9" t="s">
        <v>77</v>
      </c>
      <c r="EA157" s="9" t="s">
        <v>77</v>
      </c>
      <c r="EB157" s="9" t="s">
        <v>80</v>
      </c>
      <c r="EC157" s="9" t="s">
        <v>438</v>
      </c>
      <c r="ED157" s="9" t="s">
        <v>77</v>
      </c>
      <c r="EE157" s="9" t="s">
        <v>78</v>
      </c>
      <c r="EF157" s="9" t="s">
        <v>349</v>
      </c>
      <c r="EG157" s="9" t="s">
        <v>78</v>
      </c>
      <c r="EH157" s="9" t="s">
        <v>77</v>
      </c>
      <c r="EL157" s="9" t="s">
        <v>77</v>
      </c>
      <c r="EM157" s="9" t="s">
        <v>77</v>
      </c>
      <c r="EN157" s="9" t="s">
        <v>80</v>
      </c>
      <c r="EO157" s="9" t="s">
        <v>438</v>
      </c>
      <c r="EP157" s="9" t="s">
        <v>77</v>
      </c>
      <c r="EQ157" s="9" t="s">
        <v>78</v>
      </c>
      <c r="ER157" s="9" t="s">
        <v>349</v>
      </c>
      <c r="ES157" s="9" t="s">
        <v>78</v>
      </c>
      <c r="ET157" s="9" t="s">
        <v>77</v>
      </c>
      <c r="EX157" s="9" t="s">
        <v>77</v>
      </c>
      <c r="EY157" s="9" t="s">
        <v>77</v>
      </c>
      <c r="EZ157" s="9" t="s">
        <v>80</v>
      </c>
      <c r="FA157" s="9" t="s">
        <v>438</v>
      </c>
      <c r="FB157" s="9" t="s">
        <v>77</v>
      </c>
      <c r="FC157" s="9" t="s">
        <v>78</v>
      </c>
      <c r="FD157" s="9" t="s">
        <v>349</v>
      </c>
      <c r="FE157" s="9" t="s">
        <v>78</v>
      </c>
      <c r="FF157" s="9" t="s">
        <v>77</v>
      </c>
    </row>
    <row r="158" spans="50:162">
      <c r="AX158" s="9" t="s">
        <v>77</v>
      </c>
      <c r="AY158" s="9" t="s">
        <v>77</v>
      </c>
      <c r="AZ158" s="9" t="s">
        <v>80</v>
      </c>
      <c r="BA158" s="9" t="s">
        <v>438</v>
      </c>
      <c r="BB158" s="9" t="s">
        <v>79</v>
      </c>
      <c r="BC158" s="9" t="s">
        <v>78</v>
      </c>
      <c r="BD158" s="9" t="s">
        <v>349</v>
      </c>
      <c r="BE158" s="9" t="s">
        <v>78</v>
      </c>
      <c r="BF158" s="9" t="s">
        <v>77</v>
      </c>
      <c r="BI158" s="9" t="s">
        <v>77</v>
      </c>
      <c r="BJ158" s="9" t="s">
        <v>80</v>
      </c>
      <c r="BK158" s="9" t="s">
        <v>348</v>
      </c>
      <c r="BL158" s="9" t="s">
        <v>780</v>
      </c>
      <c r="BM158" s="9" t="s">
        <v>80</v>
      </c>
      <c r="BN158" s="9" t="s">
        <v>348</v>
      </c>
      <c r="BO158" s="9" t="s">
        <v>780</v>
      </c>
      <c r="BP158" s="9" t="s">
        <v>77</v>
      </c>
      <c r="BQ158" s="9" t="s">
        <v>77</v>
      </c>
      <c r="BR158" s="9" t="s">
        <v>77</v>
      </c>
      <c r="BS158" s="9" t="s">
        <v>77</v>
      </c>
      <c r="BT158" s="9" t="s">
        <v>77</v>
      </c>
      <c r="BU158" s="9" t="s">
        <v>77</v>
      </c>
      <c r="BV158" s="9" t="s">
        <v>78</v>
      </c>
      <c r="BW158" s="9" t="s">
        <v>78</v>
      </c>
      <c r="BX158" s="9" t="s">
        <v>78</v>
      </c>
      <c r="CB158" s="9" t="s">
        <v>77</v>
      </c>
      <c r="CC158" s="9" t="s">
        <v>80</v>
      </c>
      <c r="CD158" s="9" t="s">
        <v>77</v>
      </c>
      <c r="CE158" s="9" t="s">
        <v>77</v>
      </c>
      <c r="CF158" s="9" t="s">
        <v>77</v>
      </c>
      <c r="CG158" s="9" t="s">
        <v>80</v>
      </c>
      <c r="CH158" s="9" t="s">
        <v>348</v>
      </c>
      <c r="CI158" s="9" t="s">
        <v>781</v>
      </c>
      <c r="CJ158" s="9" t="s">
        <v>80</v>
      </c>
      <c r="CK158" s="9" t="s">
        <v>348</v>
      </c>
      <c r="CL158" s="9" t="s">
        <v>781</v>
      </c>
      <c r="CM158" s="9" t="s">
        <v>77</v>
      </c>
      <c r="CN158" s="9" t="s">
        <v>77</v>
      </c>
      <c r="CO158" s="9" t="s">
        <v>78</v>
      </c>
      <c r="CS158" s="9" t="s">
        <v>80</v>
      </c>
      <c r="CT158" s="9" t="s">
        <v>348</v>
      </c>
      <c r="CU158" s="9" t="s">
        <v>781</v>
      </c>
      <c r="CV158" s="9" t="s">
        <v>80</v>
      </c>
      <c r="CW158" s="9" t="s">
        <v>348</v>
      </c>
      <c r="CX158" s="9" t="s">
        <v>781</v>
      </c>
      <c r="CY158" s="9" t="s">
        <v>77</v>
      </c>
      <c r="CZ158" s="9" t="s">
        <v>77</v>
      </c>
      <c r="DA158" s="9" t="s">
        <v>78</v>
      </c>
      <c r="DE158" s="9" t="s">
        <v>77</v>
      </c>
      <c r="DF158" s="9" t="s">
        <v>78</v>
      </c>
      <c r="DG158" s="9" t="s">
        <v>78</v>
      </c>
      <c r="DH158" s="9" t="s">
        <v>78</v>
      </c>
      <c r="DI158" s="9" t="s">
        <v>780</v>
      </c>
      <c r="DJ158" s="9" t="s">
        <v>77</v>
      </c>
      <c r="DK158" s="9" t="s">
        <v>77</v>
      </c>
      <c r="DN158" s="9" t="s">
        <v>77</v>
      </c>
      <c r="DO158" s="9" t="s">
        <v>77</v>
      </c>
      <c r="DP158" s="9" t="s">
        <v>80</v>
      </c>
      <c r="DQ158" s="9" t="s">
        <v>438</v>
      </c>
      <c r="DR158" s="9" t="s">
        <v>77</v>
      </c>
      <c r="DS158" s="9" t="s">
        <v>78</v>
      </c>
      <c r="DT158" s="9" t="s">
        <v>349</v>
      </c>
      <c r="DU158" s="9" t="s">
        <v>78</v>
      </c>
      <c r="DV158" s="9" t="s">
        <v>77</v>
      </c>
      <c r="DZ158" s="9" t="s">
        <v>77</v>
      </c>
      <c r="EA158" s="9" t="s">
        <v>77</v>
      </c>
      <c r="EB158" s="9" t="s">
        <v>80</v>
      </c>
      <c r="EC158" s="9" t="s">
        <v>438</v>
      </c>
      <c r="ED158" s="9" t="s">
        <v>77</v>
      </c>
      <c r="EE158" s="9" t="s">
        <v>78</v>
      </c>
      <c r="EF158" s="9" t="s">
        <v>349</v>
      </c>
      <c r="EG158" s="9" t="s">
        <v>78</v>
      </c>
      <c r="EH158" s="9" t="s">
        <v>77</v>
      </c>
      <c r="EL158" s="9" t="s">
        <v>77</v>
      </c>
      <c r="EM158" s="9" t="s">
        <v>77</v>
      </c>
      <c r="EN158" s="9" t="s">
        <v>80</v>
      </c>
      <c r="EO158" s="9" t="s">
        <v>438</v>
      </c>
      <c r="EP158" s="9" t="s">
        <v>77</v>
      </c>
      <c r="EQ158" s="9" t="s">
        <v>78</v>
      </c>
      <c r="ER158" s="9" t="s">
        <v>349</v>
      </c>
      <c r="ES158" s="9" t="s">
        <v>78</v>
      </c>
      <c r="ET158" s="9" t="s">
        <v>77</v>
      </c>
      <c r="EX158" s="9" t="s">
        <v>77</v>
      </c>
      <c r="EY158" s="9" t="s">
        <v>77</v>
      </c>
      <c r="EZ158" s="9" t="s">
        <v>80</v>
      </c>
      <c r="FA158" s="9" t="s">
        <v>438</v>
      </c>
      <c r="FB158" s="9" t="s">
        <v>77</v>
      </c>
      <c r="FC158" s="9" t="s">
        <v>78</v>
      </c>
      <c r="FD158" s="9" t="s">
        <v>349</v>
      </c>
      <c r="FE158" s="9" t="s">
        <v>78</v>
      </c>
      <c r="FF158" s="9" t="s">
        <v>77</v>
      </c>
    </row>
    <row r="159" spans="50:162">
      <c r="AX159" s="9" t="s">
        <v>77</v>
      </c>
      <c r="AY159" s="9" t="s">
        <v>77</v>
      </c>
      <c r="AZ159" s="9" t="s">
        <v>80</v>
      </c>
      <c r="BA159" s="9" t="s">
        <v>438</v>
      </c>
      <c r="BB159" s="9" t="s">
        <v>79</v>
      </c>
      <c r="BC159" s="9" t="s">
        <v>78</v>
      </c>
      <c r="BD159" s="9" t="s">
        <v>349</v>
      </c>
      <c r="BE159" s="9" t="s">
        <v>78</v>
      </c>
      <c r="BF159" s="9" t="s">
        <v>77</v>
      </c>
      <c r="BI159" s="9" t="s">
        <v>77</v>
      </c>
      <c r="BJ159" s="9" t="s">
        <v>80</v>
      </c>
      <c r="BK159" s="9" t="s">
        <v>348</v>
      </c>
      <c r="BL159" s="9" t="s">
        <v>782</v>
      </c>
      <c r="BM159" s="9" t="s">
        <v>80</v>
      </c>
      <c r="BN159" s="9" t="s">
        <v>348</v>
      </c>
      <c r="BO159" s="9" t="s">
        <v>782</v>
      </c>
      <c r="BP159" s="9" t="s">
        <v>77</v>
      </c>
      <c r="BQ159" s="9" t="s">
        <v>77</v>
      </c>
      <c r="BR159" s="9" t="s">
        <v>77</v>
      </c>
      <c r="BS159" s="9" t="s">
        <v>77</v>
      </c>
      <c r="BT159" s="9" t="s">
        <v>77</v>
      </c>
      <c r="BU159" s="9" t="s">
        <v>77</v>
      </c>
      <c r="BV159" s="9" t="s">
        <v>78</v>
      </c>
      <c r="BW159" s="9" t="s">
        <v>78</v>
      </c>
      <c r="BX159" s="9" t="s">
        <v>78</v>
      </c>
      <c r="CB159" s="9" t="s">
        <v>77</v>
      </c>
      <c r="CC159" s="9" t="s">
        <v>80</v>
      </c>
      <c r="CD159" s="9" t="s">
        <v>77</v>
      </c>
      <c r="CE159" s="9" t="s">
        <v>77</v>
      </c>
      <c r="CF159" s="9" t="s">
        <v>77</v>
      </c>
      <c r="CG159" s="9" t="s">
        <v>80</v>
      </c>
      <c r="CH159" s="9" t="s">
        <v>348</v>
      </c>
      <c r="CI159" s="9" t="s">
        <v>783</v>
      </c>
      <c r="CJ159" s="9" t="s">
        <v>80</v>
      </c>
      <c r="CK159" s="9" t="s">
        <v>348</v>
      </c>
      <c r="CL159" s="9" t="s">
        <v>783</v>
      </c>
      <c r="CM159" s="9" t="s">
        <v>77</v>
      </c>
      <c r="CN159" s="9" t="s">
        <v>77</v>
      </c>
      <c r="CO159" s="9" t="s">
        <v>78</v>
      </c>
      <c r="CS159" s="9" t="s">
        <v>80</v>
      </c>
      <c r="CT159" s="9" t="s">
        <v>348</v>
      </c>
      <c r="CU159" s="9" t="s">
        <v>782</v>
      </c>
      <c r="CV159" s="9" t="s">
        <v>80</v>
      </c>
      <c r="CW159" s="9" t="s">
        <v>348</v>
      </c>
      <c r="CX159" s="9" t="s">
        <v>782</v>
      </c>
      <c r="CY159" s="9" t="s">
        <v>77</v>
      </c>
      <c r="CZ159" s="9" t="s">
        <v>77</v>
      </c>
      <c r="DA159" s="9" t="s">
        <v>78</v>
      </c>
      <c r="DE159" s="9" t="s">
        <v>77</v>
      </c>
      <c r="DF159" s="9" t="s">
        <v>78</v>
      </c>
      <c r="DG159" s="9" t="s">
        <v>78</v>
      </c>
      <c r="DH159" s="9" t="s">
        <v>78</v>
      </c>
      <c r="DI159" s="9" t="s">
        <v>782</v>
      </c>
      <c r="DJ159" s="9" t="s">
        <v>77</v>
      </c>
      <c r="DK159" s="9" t="s">
        <v>77</v>
      </c>
      <c r="DN159" s="9" t="s">
        <v>77</v>
      </c>
      <c r="DO159" s="9" t="s">
        <v>77</v>
      </c>
      <c r="DP159" s="9" t="s">
        <v>80</v>
      </c>
      <c r="DQ159" s="9" t="s">
        <v>438</v>
      </c>
      <c r="DR159" s="9" t="s">
        <v>77</v>
      </c>
      <c r="DS159" s="9" t="s">
        <v>78</v>
      </c>
      <c r="DT159" s="9" t="s">
        <v>349</v>
      </c>
      <c r="DU159" s="9" t="s">
        <v>78</v>
      </c>
      <c r="DV159" s="9" t="s">
        <v>77</v>
      </c>
      <c r="DZ159" s="9" t="s">
        <v>77</v>
      </c>
      <c r="EA159" s="9" t="s">
        <v>77</v>
      </c>
      <c r="EB159" s="9" t="s">
        <v>80</v>
      </c>
      <c r="EC159" s="9" t="s">
        <v>438</v>
      </c>
      <c r="ED159" s="9" t="s">
        <v>77</v>
      </c>
      <c r="EE159" s="9" t="s">
        <v>78</v>
      </c>
      <c r="EF159" s="9" t="s">
        <v>349</v>
      </c>
      <c r="EG159" s="9" t="s">
        <v>78</v>
      </c>
      <c r="EH159" s="9" t="s">
        <v>77</v>
      </c>
      <c r="EL159" s="9" t="s">
        <v>77</v>
      </c>
      <c r="EM159" s="9" t="s">
        <v>77</v>
      </c>
      <c r="EN159" s="9" t="s">
        <v>80</v>
      </c>
      <c r="EO159" s="9" t="s">
        <v>438</v>
      </c>
      <c r="EP159" s="9" t="s">
        <v>77</v>
      </c>
      <c r="EQ159" s="9" t="s">
        <v>78</v>
      </c>
      <c r="ER159" s="9" t="s">
        <v>349</v>
      </c>
      <c r="ES159" s="9" t="s">
        <v>78</v>
      </c>
      <c r="ET159" s="9" t="s">
        <v>77</v>
      </c>
      <c r="EX159" s="9" t="s">
        <v>77</v>
      </c>
      <c r="EY159" s="9" t="s">
        <v>77</v>
      </c>
      <c r="EZ159" s="9" t="s">
        <v>80</v>
      </c>
      <c r="FA159" s="9" t="s">
        <v>438</v>
      </c>
      <c r="FB159" s="9" t="s">
        <v>77</v>
      </c>
      <c r="FC159" s="9" t="s">
        <v>78</v>
      </c>
      <c r="FD159" s="9" t="s">
        <v>349</v>
      </c>
      <c r="FE159" s="9" t="s">
        <v>78</v>
      </c>
      <c r="FF159" s="9" t="s">
        <v>77</v>
      </c>
    </row>
    <row r="160" spans="50:162">
      <c r="AX160" s="9" t="s">
        <v>77</v>
      </c>
      <c r="AY160" s="9" t="s">
        <v>77</v>
      </c>
      <c r="AZ160" s="9" t="s">
        <v>80</v>
      </c>
      <c r="BA160" s="9" t="s">
        <v>438</v>
      </c>
      <c r="BB160" s="9" t="s">
        <v>79</v>
      </c>
      <c r="BC160" s="9" t="s">
        <v>78</v>
      </c>
      <c r="BD160" s="9" t="s">
        <v>349</v>
      </c>
      <c r="BE160" s="9" t="s">
        <v>78</v>
      </c>
      <c r="BF160" s="9" t="s">
        <v>77</v>
      </c>
      <c r="BI160" s="9" t="s">
        <v>77</v>
      </c>
      <c r="BJ160" s="9" t="s">
        <v>80</v>
      </c>
      <c r="BK160" s="9" t="s">
        <v>348</v>
      </c>
      <c r="BL160" s="9" t="s">
        <v>784</v>
      </c>
      <c r="BM160" s="9" t="s">
        <v>80</v>
      </c>
      <c r="BN160" s="9" t="s">
        <v>348</v>
      </c>
      <c r="BO160" s="9" t="s">
        <v>784</v>
      </c>
      <c r="BP160" s="9" t="s">
        <v>77</v>
      </c>
      <c r="BQ160" s="9" t="s">
        <v>77</v>
      </c>
      <c r="BR160" s="9" t="s">
        <v>77</v>
      </c>
      <c r="BS160" s="9" t="s">
        <v>77</v>
      </c>
      <c r="BT160" s="9" t="s">
        <v>77</v>
      </c>
      <c r="BU160" s="9" t="s">
        <v>77</v>
      </c>
      <c r="BV160" s="9" t="s">
        <v>78</v>
      </c>
      <c r="BW160" s="9" t="s">
        <v>78</v>
      </c>
      <c r="BX160" s="9" t="s">
        <v>78</v>
      </c>
      <c r="CB160" s="9" t="s">
        <v>77</v>
      </c>
      <c r="CC160" s="9" t="s">
        <v>80</v>
      </c>
      <c r="CD160" s="9" t="s">
        <v>77</v>
      </c>
      <c r="CE160" s="9" t="s">
        <v>77</v>
      </c>
      <c r="CF160" s="9" t="s">
        <v>77</v>
      </c>
      <c r="CG160" s="9" t="s">
        <v>80</v>
      </c>
      <c r="CH160" s="9" t="s">
        <v>348</v>
      </c>
      <c r="CI160" s="9" t="s">
        <v>785</v>
      </c>
      <c r="CJ160" s="9" t="s">
        <v>80</v>
      </c>
      <c r="CK160" s="9" t="s">
        <v>348</v>
      </c>
      <c r="CL160" s="9" t="s">
        <v>785</v>
      </c>
      <c r="CM160" s="9" t="s">
        <v>77</v>
      </c>
      <c r="CN160" s="9" t="s">
        <v>77</v>
      </c>
      <c r="CO160" s="9" t="s">
        <v>78</v>
      </c>
      <c r="CS160" s="9" t="s">
        <v>80</v>
      </c>
      <c r="CT160" s="9" t="s">
        <v>348</v>
      </c>
      <c r="CU160" s="9" t="s">
        <v>784</v>
      </c>
      <c r="CV160" s="9" t="s">
        <v>80</v>
      </c>
      <c r="CW160" s="9" t="s">
        <v>348</v>
      </c>
      <c r="CX160" s="9" t="s">
        <v>784</v>
      </c>
      <c r="CY160" s="9" t="s">
        <v>77</v>
      </c>
      <c r="CZ160" s="9" t="s">
        <v>77</v>
      </c>
      <c r="DA160" s="9" t="s">
        <v>78</v>
      </c>
      <c r="DE160" s="9" t="s">
        <v>77</v>
      </c>
      <c r="DF160" s="9" t="s">
        <v>78</v>
      </c>
      <c r="DG160" s="9" t="s">
        <v>78</v>
      </c>
      <c r="DH160" s="9" t="s">
        <v>78</v>
      </c>
      <c r="DI160" s="9" t="s">
        <v>786</v>
      </c>
      <c r="DJ160" s="9" t="s">
        <v>77</v>
      </c>
      <c r="DK160" s="9" t="s">
        <v>77</v>
      </c>
      <c r="DN160" s="9" t="s">
        <v>77</v>
      </c>
      <c r="DO160" s="9" t="s">
        <v>77</v>
      </c>
      <c r="DP160" s="9" t="s">
        <v>80</v>
      </c>
      <c r="DQ160" s="9" t="s">
        <v>438</v>
      </c>
      <c r="DR160" s="9" t="s">
        <v>77</v>
      </c>
      <c r="DS160" s="9" t="s">
        <v>78</v>
      </c>
      <c r="DT160" s="9" t="s">
        <v>349</v>
      </c>
      <c r="DU160" s="9" t="s">
        <v>78</v>
      </c>
      <c r="DV160" s="9" t="s">
        <v>77</v>
      </c>
      <c r="DZ160" s="9" t="s">
        <v>77</v>
      </c>
      <c r="EA160" s="9" t="s">
        <v>77</v>
      </c>
      <c r="EB160" s="9" t="s">
        <v>80</v>
      </c>
      <c r="EC160" s="9" t="s">
        <v>438</v>
      </c>
      <c r="ED160" s="9" t="s">
        <v>77</v>
      </c>
      <c r="EE160" s="9" t="s">
        <v>78</v>
      </c>
      <c r="EF160" s="9" t="s">
        <v>349</v>
      </c>
      <c r="EG160" s="9" t="s">
        <v>78</v>
      </c>
      <c r="EH160" s="9" t="s">
        <v>77</v>
      </c>
      <c r="EL160" s="9" t="s">
        <v>77</v>
      </c>
      <c r="EM160" s="9" t="s">
        <v>77</v>
      </c>
      <c r="EN160" s="9" t="s">
        <v>80</v>
      </c>
      <c r="EO160" s="9" t="s">
        <v>438</v>
      </c>
      <c r="EP160" s="9" t="s">
        <v>77</v>
      </c>
      <c r="EQ160" s="9" t="s">
        <v>78</v>
      </c>
      <c r="ER160" s="9" t="s">
        <v>349</v>
      </c>
      <c r="ES160" s="9" t="s">
        <v>78</v>
      </c>
      <c r="ET160" s="9" t="s">
        <v>77</v>
      </c>
      <c r="EX160" s="9" t="s">
        <v>77</v>
      </c>
      <c r="EY160" s="9" t="s">
        <v>77</v>
      </c>
      <c r="EZ160" s="9" t="s">
        <v>80</v>
      </c>
      <c r="FA160" s="9" t="s">
        <v>438</v>
      </c>
      <c r="FB160" s="9" t="s">
        <v>77</v>
      </c>
      <c r="FC160" s="9" t="s">
        <v>78</v>
      </c>
      <c r="FD160" s="9" t="s">
        <v>349</v>
      </c>
      <c r="FE160" s="9" t="s">
        <v>78</v>
      </c>
      <c r="FF160" s="9" t="s">
        <v>77</v>
      </c>
    </row>
    <row r="161" spans="50:162">
      <c r="AX161" s="9" t="s">
        <v>77</v>
      </c>
      <c r="AY161" s="9" t="s">
        <v>77</v>
      </c>
      <c r="AZ161" s="9" t="s">
        <v>80</v>
      </c>
      <c r="BA161" s="9" t="s">
        <v>438</v>
      </c>
      <c r="BB161" s="9" t="s">
        <v>79</v>
      </c>
      <c r="BC161" s="9" t="s">
        <v>78</v>
      </c>
      <c r="BD161" s="9" t="s">
        <v>349</v>
      </c>
      <c r="BE161" s="9" t="s">
        <v>78</v>
      </c>
      <c r="BF161" s="9" t="s">
        <v>77</v>
      </c>
      <c r="BI161" s="9" t="s">
        <v>77</v>
      </c>
      <c r="BJ161" s="9" t="s">
        <v>80</v>
      </c>
      <c r="BK161" s="9" t="s">
        <v>348</v>
      </c>
      <c r="BL161" s="9" t="s">
        <v>787</v>
      </c>
      <c r="BM161" s="9" t="s">
        <v>80</v>
      </c>
      <c r="BN161" s="9" t="s">
        <v>348</v>
      </c>
      <c r="BO161" s="9" t="s">
        <v>787</v>
      </c>
      <c r="BP161" s="9" t="s">
        <v>77</v>
      </c>
      <c r="BQ161" s="9" t="s">
        <v>77</v>
      </c>
      <c r="BR161" s="9" t="s">
        <v>77</v>
      </c>
      <c r="BS161" s="9" t="s">
        <v>77</v>
      </c>
      <c r="BT161" s="9" t="s">
        <v>77</v>
      </c>
      <c r="BU161" s="9" t="s">
        <v>77</v>
      </c>
      <c r="BV161" s="9" t="s">
        <v>78</v>
      </c>
      <c r="BW161" s="9" t="s">
        <v>78</v>
      </c>
      <c r="BX161" s="9" t="s">
        <v>78</v>
      </c>
      <c r="CB161" s="9" t="s">
        <v>77</v>
      </c>
      <c r="CC161" s="9" t="s">
        <v>80</v>
      </c>
      <c r="CD161" s="9" t="s">
        <v>77</v>
      </c>
      <c r="CE161" s="9" t="s">
        <v>77</v>
      </c>
      <c r="CF161" s="9" t="s">
        <v>77</v>
      </c>
      <c r="CG161" s="9" t="s">
        <v>80</v>
      </c>
      <c r="CH161" s="9" t="s">
        <v>348</v>
      </c>
      <c r="CI161" s="9" t="s">
        <v>787</v>
      </c>
      <c r="CJ161" s="9" t="s">
        <v>80</v>
      </c>
      <c r="CK161" s="9" t="s">
        <v>348</v>
      </c>
      <c r="CL161" s="9" t="s">
        <v>787</v>
      </c>
      <c r="CM161" s="9" t="s">
        <v>77</v>
      </c>
      <c r="CN161" s="9" t="s">
        <v>77</v>
      </c>
      <c r="CO161" s="9" t="s">
        <v>78</v>
      </c>
      <c r="CS161" s="9" t="s">
        <v>80</v>
      </c>
      <c r="CT161" s="9" t="s">
        <v>348</v>
      </c>
      <c r="CU161" s="9" t="s">
        <v>787</v>
      </c>
      <c r="CV161" s="9" t="s">
        <v>80</v>
      </c>
      <c r="CW161" s="9" t="s">
        <v>348</v>
      </c>
      <c r="CX161" s="9" t="s">
        <v>787</v>
      </c>
      <c r="CY161" s="9" t="s">
        <v>77</v>
      </c>
      <c r="CZ161" s="9" t="s">
        <v>77</v>
      </c>
      <c r="DA161" s="9" t="s">
        <v>78</v>
      </c>
      <c r="DE161" s="9" t="s">
        <v>77</v>
      </c>
      <c r="DF161" s="9" t="s">
        <v>78</v>
      </c>
      <c r="DG161" s="9" t="s">
        <v>78</v>
      </c>
      <c r="DH161" s="9" t="s">
        <v>78</v>
      </c>
      <c r="DI161" s="9" t="s">
        <v>788</v>
      </c>
      <c r="DJ161" s="9" t="s">
        <v>77</v>
      </c>
      <c r="DK161" s="9" t="s">
        <v>77</v>
      </c>
      <c r="DN161" s="9" t="s">
        <v>77</v>
      </c>
      <c r="DO161" s="9" t="s">
        <v>77</v>
      </c>
      <c r="DP161" s="9" t="s">
        <v>80</v>
      </c>
      <c r="DQ161" s="9" t="s">
        <v>438</v>
      </c>
      <c r="DR161" s="9" t="s">
        <v>77</v>
      </c>
      <c r="DS161" s="9" t="s">
        <v>78</v>
      </c>
      <c r="DT161" s="9" t="s">
        <v>349</v>
      </c>
      <c r="DU161" s="9" t="s">
        <v>78</v>
      </c>
      <c r="DV161" s="9" t="s">
        <v>77</v>
      </c>
      <c r="DZ161" s="9" t="s">
        <v>77</v>
      </c>
      <c r="EA161" s="9" t="s">
        <v>77</v>
      </c>
      <c r="EB161" s="9" t="s">
        <v>80</v>
      </c>
      <c r="EC161" s="9" t="s">
        <v>438</v>
      </c>
      <c r="ED161" s="9" t="s">
        <v>77</v>
      </c>
      <c r="EE161" s="9" t="s">
        <v>78</v>
      </c>
      <c r="EF161" s="9" t="s">
        <v>349</v>
      </c>
      <c r="EG161" s="9" t="s">
        <v>78</v>
      </c>
      <c r="EH161" s="9" t="s">
        <v>77</v>
      </c>
      <c r="EL161" s="9" t="s">
        <v>77</v>
      </c>
      <c r="EM161" s="9" t="s">
        <v>77</v>
      </c>
      <c r="EN161" s="9" t="s">
        <v>80</v>
      </c>
      <c r="EO161" s="9" t="s">
        <v>438</v>
      </c>
      <c r="EP161" s="9" t="s">
        <v>77</v>
      </c>
      <c r="EQ161" s="9" t="s">
        <v>78</v>
      </c>
      <c r="ER161" s="9" t="s">
        <v>349</v>
      </c>
      <c r="ES161" s="9" t="s">
        <v>78</v>
      </c>
      <c r="ET161" s="9" t="s">
        <v>77</v>
      </c>
      <c r="EX161" s="9" t="s">
        <v>77</v>
      </c>
      <c r="EY161" s="9" t="s">
        <v>77</v>
      </c>
      <c r="EZ161" s="9" t="s">
        <v>80</v>
      </c>
      <c r="FA161" s="9" t="s">
        <v>438</v>
      </c>
      <c r="FB161" s="9" t="s">
        <v>77</v>
      </c>
      <c r="FC161" s="9" t="s">
        <v>78</v>
      </c>
      <c r="FD161" s="9" t="s">
        <v>349</v>
      </c>
      <c r="FE161" s="9" t="s">
        <v>78</v>
      </c>
      <c r="FF161" s="9" t="s">
        <v>77</v>
      </c>
    </row>
    <row r="162" spans="50:162">
      <c r="AX162" s="9" t="s">
        <v>77</v>
      </c>
      <c r="AY162" s="9" t="s">
        <v>77</v>
      </c>
      <c r="AZ162" s="9" t="s">
        <v>80</v>
      </c>
      <c r="BA162" s="9" t="s">
        <v>438</v>
      </c>
      <c r="BB162" s="9" t="s">
        <v>79</v>
      </c>
      <c r="BC162" s="9" t="s">
        <v>78</v>
      </c>
      <c r="BD162" s="9" t="s">
        <v>349</v>
      </c>
      <c r="BE162" s="9" t="s">
        <v>78</v>
      </c>
      <c r="BF162" s="9" t="s">
        <v>77</v>
      </c>
      <c r="BI162" s="9" t="s">
        <v>77</v>
      </c>
      <c r="BJ162" s="9" t="s">
        <v>80</v>
      </c>
      <c r="BK162" s="9" t="s">
        <v>348</v>
      </c>
      <c r="BL162" s="9" t="s">
        <v>789</v>
      </c>
      <c r="BM162" s="9" t="s">
        <v>80</v>
      </c>
      <c r="BN162" s="9" t="s">
        <v>348</v>
      </c>
      <c r="BO162" s="9" t="s">
        <v>789</v>
      </c>
      <c r="BP162" s="9" t="s">
        <v>77</v>
      </c>
      <c r="BQ162" s="9" t="s">
        <v>77</v>
      </c>
      <c r="BR162" s="9" t="s">
        <v>77</v>
      </c>
      <c r="BS162" s="9" t="s">
        <v>77</v>
      </c>
      <c r="BT162" s="9" t="s">
        <v>77</v>
      </c>
      <c r="BU162" s="9" t="s">
        <v>77</v>
      </c>
      <c r="BV162" s="9" t="s">
        <v>78</v>
      </c>
      <c r="BW162" s="9" t="s">
        <v>78</v>
      </c>
      <c r="BX162" s="9" t="s">
        <v>78</v>
      </c>
      <c r="CB162" s="9" t="s">
        <v>77</v>
      </c>
      <c r="CC162" s="9" t="s">
        <v>80</v>
      </c>
      <c r="CD162" s="9" t="s">
        <v>77</v>
      </c>
      <c r="CE162" s="9" t="s">
        <v>77</v>
      </c>
      <c r="CF162" s="9" t="s">
        <v>77</v>
      </c>
      <c r="CG162" s="9" t="s">
        <v>80</v>
      </c>
      <c r="CH162" s="9" t="s">
        <v>348</v>
      </c>
      <c r="CI162" s="9" t="s">
        <v>790</v>
      </c>
      <c r="CJ162" s="9" t="s">
        <v>80</v>
      </c>
      <c r="CK162" s="9" t="s">
        <v>348</v>
      </c>
      <c r="CL162" s="9" t="s">
        <v>790</v>
      </c>
      <c r="CM162" s="9" t="s">
        <v>77</v>
      </c>
      <c r="CN162" s="9" t="s">
        <v>77</v>
      </c>
      <c r="CO162" s="9" t="s">
        <v>78</v>
      </c>
      <c r="CS162" s="9" t="s">
        <v>80</v>
      </c>
      <c r="CT162" s="9" t="s">
        <v>348</v>
      </c>
      <c r="CU162" s="9" t="s">
        <v>790</v>
      </c>
      <c r="CV162" s="9" t="s">
        <v>80</v>
      </c>
      <c r="CW162" s="9" t="s">
        <v>348</v>
      </c>
      <c r="CX162" s="9" t="s">
        <v>790</v>
      </c>
      <c r="CY162" s="9" t="s">
        <v>77</v>
      </c>
      <c r="CZ162" s="9" t="s">
        <v>77</v>
      </c>
      <c r="DA162" s="9" t="s">
        <v>78</v>
      </c>
      <c r="DE162" s="9" t="s">
        <v>77</v>
      </c>
      <c r="DF162" s="9" t="s">
        <v>78</v>
      </c>
      <c r="DG162" s="9" t="s">
        <v>78</v>
      </c>
      <c r="DH162" s="9" t="s">
        <v>78</v>
      </c>
      <c r="DI162" s="9" t="s">
        <v>789</v>
      </c>
      <c r="DJ162" s="9" t="s">
        <v>77</v>
      </c>
      <c r="DK162" s="9" t="s">
        <v>77</v>
      </c>
      <c r="DN162" s="9" t="s">
        <v>77</v>
      </c>
      <c r="DO162" s="9" t="s">
        <v>77</v>
      </c>
      <c r="DP162" s="9" t="s">
        <v>80</v>
      </c>
      <c r="DQ162" s="9" t="s">
        <v>438</v>
      </c>
      <c r="DR162" s="9" t="s">
        <v>77</v>
      </c>
      <c r="DS162" s="9" t="s">
        <v>78</v>
      </c>
      <c r="DT162" s="9" t="s">
        <v>349</v>
      </c>
      <c r="DU162" s="9" t="s">
        <v>78</v>
      </c>
      <c r="DV162" s="9" t="s">
        <v>77</v>
      </c>
      <c r="DZ162" s="9" t="s">
        <v>77</v>
      </c>
      <c r="EA162" s="9" t="s">
        <v>77</v>
      </c>
      <c r="EB162" s="9" t="s">
        <v>80</v>
      </c>
      <c r="EC162" s="9" t="s">
        <v>438</v>
      </c>
      <c r="ED162" s="9" t="s">
        <v>77</v>
      </c>
      <c r="EE162" s="9" t="s">
        <v>78</v>
      </c>
      <c r="EF162" s="9" t="s">
        <v>349</v>
      </c>
      <c r="EG162" s="9" t="s">
        <v>78</v>
      </c>
      <c r="EH162" s="9" t="s">
        <v>77</v>
      </c>
      <c r="EL162" s="9" t="s">
        <v>77</v>
      </c>
      <c r="EM162" s="9" t="s">
        <v>77</v>
      </c>
      <c r="EN162" s="9" t="s">
        <v>80</v>
      </c>
      <c r="EO162" s="9" t="s">
        <v>438</v>
      </c>
      <c r="EP162" s="9" t="s">
        <v>77</v>
      </c>
      <c r="EQ162" s="9" t="s">
        <v>78</v>
      </c>
      <c r="ER162" s="9" t="s">
        <v>349</v>
      </c>
      <c r="ES162" s="9" t="s">
        <v>78</v>
      </c>
      <c r="ET162" s="9" t="s">
        <v>77</v>
      </c>
      <c r="EX162" s="9" t="s">
        <v>77</v>
      </c>
      <c r="EY162" s="9" t="s">
        <v>77</v>
      </c>
      <c r="EZ162" s="9" t="s">
        <v>80</v>
      </c>
      <c r="FA162" s="9" t="s">
        <v>438</v>
      </c>
      <c r="FB162" s="9" t="s">
        <v>77</v>
      </c>
      <c r="FC162" s="9" t="s">
        <v>78</v>
      </c>
      <c r="FD162" s="9" t="s">
        <v>349</v>
      </c>
      <c r="FE162" s="9" t="s">
        <v>78</v>
      </c>
      <c r="FF162" s="9" t="s">
        <v>77</v>
      </c>
    </row>
    <row r="163" spans="50:162">
      <c r="AX163" s="9" t="s">
        <v>77</v>
      </c>
      <c r="AY163" s="9" t="s">
        <v>77</v>
      </c>
      <c r="AZ163" s="9" t="s">
        <v>80</v>
      </c>
      <c r="BA163" s="9" t="s">
        <v>438</v>
      </c>
      <c r="BB163" s="9" t="s">
        <v>79</v>
      </c>
      <c r="BC163" s="9" t="s">
        <v>78</v>
      </c>
      <c r="BD163" s="9" t="s">
        <v>349</v>
      </c>
      <c r="BE163" s="9" t="s">
        <v>78</v>
      </c>
      <c r="BF163" s="9" t="s">
        <v>77</v>
      </c>
      <c r="BI163" s="9" t="s">
        <v>77</v>
      </c>
      <c r="BJ163" s="9" t="s">
        <v>80</v>
      </c>
      <c r="BK163" s="9" t="s">
        <v>348</v>
      </c>
      <c r="BL163" s="9" t="s">
        <v>791</v>
      </c>
      <c r="BM163" s="9" t="s">
        <v>80</v>
      </c>
      <c r="BN163" s="9" t="s">
        <v>348</v>
      </c>
      <c r="BO163" s="9" t="s">
        <v>791</v>
      </c>
      <c r="BP163" s="9" t="s">
        <v>77</v>
      </c>
      <c r="BQ163" s="9" t="s">
        <v>77</v>
      </c>
      <c r="BR163" s="9" t="s">
        <v>77</v>
      </c>
      <c r="BS163" s="9" t="s">
        <v>77</v>
      </c>
      <c r="BT163" s="9" t="s">
        <v>77</v>
      </c>
      <c r="BU163" s="9" t="s">
        <v>77</v>
      </c>
      <c r="BV163" s="9" t="s">
        <v>78</v>
      </c>
      <c r="BW163" s="9" t="s">
        <v>78</v>
      </c>
      <c r="BX163" s="9" t="s">
        <v>78</v>
      </c>
      <c r="CB163" s="9" t="s">
        <v>77</v>
      </c>
      <c r="CC163" s="9" t="s">
        <v>80</v>
      </c>
      <c r="CD163" s="9" t="s">
        <v>77</v>
      </c>
      <c r="CE163" s="9" t="s">
        <v>77</v>
      </c>
      <c r="CF163" s="9" t="s">
        <v>77</v>
      </c>
      <c r="CG163" s="9" t="s">
        <v>80</v>
      </c>
      <c r="CH163" s="9" t="s">
        <v>348</v>
      </c>
      <c r="CI163" s="9" t="s">
        <v>792</v>
      </c>
      <c r="CJ163" s="9" t="s">
        <v>80</v>
      </c>
      <c r="CK163" s="9" t="s">
        <v>348</v>
      </c>
      <c r="CL163" s="9" t="s">
        <v>792</v>
      </c>
      <c r="CM163" s="9" t="s">
        <v>77</v>
      </c>
      <c r="CN163" s="9" t="s">
        <v>77</v>
      </c>
      <c r="CO163" s="9" t="s">
        <v>78</v>
      </c>
      <c r="CS163" s="9" t="s">
        <v>80</v>
      </c>
      <c r="CT163" s="9" t="s">
        <v>348</v>
      </c>
      <c r="CU163" s="9" t="s">
        <v>791</v>
      </c>
      <c r="CV163" s="9" t="s">
        <v>80</v>
      </c>
      <c r="CW163" s="9" t="s">
        <v>348</v>
      </c>
      <c r="CX163" s="9" t="s">
        <v>791</v>
      </c>
      <c r="CY163" s="9" t="s">
        <v>77</v>
      </c>
      <c r="CZ163" s="9" t="s">
        <v>77</v>
      </c>
      <c r="DA163" s="9" t="s">
        <v>78</v>
      </c>
      <c r="DE163" s="9" t="s">
        <v>77</v>
      </c>
      <c r="DF163" s="9" t="s">
        <v>78</v>
      </c>
      <c r="DG163" s="9" t="s">
        <v>78</v>
      </c>
      <c r="DH163" s="9" t="s">
        <v>78</v>
      </c>
      <c r="DI163" s="9" t="s">
        <v>791</v>
      </c>
      <c r="DJ163" s="9" t="s">
        <v>77</v>
      </c>
      <c r="DK163" s="9" t="s">
        <v>77</v>
      </c>
      <c r="DN163" s="9" t="s">
        <v>77</v>
      </c>
      <c r="DO163" s="9" t="s">
        <v>77</v>
      </c>
      <c r="DP163" s="9" t="s">
        <v>80</v>
      </c>
      <c r="DQ163" s="9" t="s">
        <v>438</v>
      </c>
      <c r="DR163" s="9" t="s">
        <v>77</v>
      </c>
      <c r="DS163" s="9" t="s">
        <v>78</v>
      </c>
      <c r="DT163" s="9" t="s">
        <v>349</v>
      </c>
      <c r="DU163" s="9" t="s">
        <v>78</v>
      </c>
      <c r="DV163" s="9" t="s">
        <v>77</v>
      </c>
      <c r="DZ163" s="9" t="s">
        <v>77</v>
      </c>
      <c r="EA163" s="9" t="s">
        <v>77</v>
      </c>
      <c r="EB163" s="9" t="s">
        <v>80</v>
      </c>
      <c r="EC163" s="9" t="s">
        <v>438</v>
      </c>
      <c r="ED163" s="9" t="s">
        <v>77</v>
      </c>
      <c r="EE163" s="9" t="s">
        <v>78</v>
      </c>
      <c r="EF163" s="9" t="s">
        <v>349</v>
      </c>
      <c r="EG163" s="9" t="s">
        <v>78</v>
      </c>
      <c r="EH163" s="9" t="s">
        <v>77</v>
      </c>
      <c r="EL163" s="9" t="s">
        <v>77</v>
      </c>
      <c r="EM163" s="9" t="s">
        <v>77</v>
      </c>
      <c r="EN163" s="9" t="s">
        <v>80</v>
      </c>
      <c r="EO163" s="9" t="s">
        <v>438</v>
      </c>
      <c r="EP163" s="9" t="s">
        <v>77</v>
      </c>
      <c r="EQ163" s="9" t="s">
        <v>78</v>
      </c>
      <c r="ER163" s="9" t="s">
        <v>349</v>
      </c>
      <c r="ES163" s="9" t="s">
        <v>78</v>
      </c>
      <c r="ET163" s="9" t="s">
        <v>77</v>
      </c>
      <c r="EX163" s="9" t="s">
        <v>77</v>
      </c>
      <c r="EY163" s="9" t="s">
        <v>77</v>
      </c>
      <c r="EZ163" s="9" t="s">
        <v>80</v>
      </c>
      <c r="FA163" s="9" t="s">
        <v>438</v>
      </c>
      <c r="FB163" s="9" t="s">
        <v>77</v>
      </c>
      <c r="FC163" s="9" t="s">
        <v>78</v>
      </c>
      <c r="FD163" s="9" t="s">
        <v>349</v>
      </c>
      <c r="FE163" s="9" t="s">
        <v>78</v>
      </c>
      <c r="FF163" s="9" t="s">
        <v>77</v>
      </c>
    </row>
    <row r="164" spans="50:162">
      <c r="AX164" s="9" t="s">
        <v>77</v>
      </c>
      <c r="AY164" s="9" t="s">
        <v>77</v>
      </c>
      <c r="AZ164" s="9" t="s">
        <v>80</v>
      </c>
      <c r="BA164" s="9" t="s">
        <v>438</v>
      </c>
      <c r="BB164" s="9" t="s">
        <v>79</v>
      </c>
      <c r="BC164" s="9" t="s">
        <v>78</v>
      </c>
      <c r="BD164" s="9" t="s">
        <v>349</v>
      </c>
      <c r="BE164" s="9" t="s">
        <v>78</v>
      </c>
      <c r="BF164" s="9" t="s">
        <v>77</v>
      </c>
      <c r="BI164" s="9" t="s">
        <v>77</v>
      </c>
      <c r="BJ164" s="9" t="s">
        <v>80</v>
      </c>
      <c r="BK164" s="9" t="s">
        <v>348</v>
      </c>
      <c r="BL164" s="9" t="s">
        <v>793</v>
      </c>
      <c r="BM164" s="9" t="s">
        <v>80</v>
      </c>
      <c r="BN164" s="9" t="s">
        <v>348</v>
      </c>
      <c r="BO164" s="9" t="s">
        <v>793</v>
      </c>
      <c r="BP164" s="9" t="s">
        <v>77</v>
      </c>
      <c r="BQ164" s="9" t="s">
        <v>77</v>
      </c>
      <c r="BR164" s="9" t="s">
        <v>77</v>
      </c>
      <c r="BS164" s="9" t="s">
        <v>77</v>
      </c>
      <c r="BT164" s="9" t="s">
        <v>77</v>
      </c>
      <c r="BU164" s="9" t="s">
        <v>77</v>
      </c>
      <c r="BV164" s="9" t="s">
        <v>78</v>
      </c>
      <c r="BW164" s="9" t="s">
        <v>78</v>
      </c>
      <c r="BX164" s="9" t="s">
        <v>78</v>
      </c>
      <c r="CB164" s="9" t="s">
        <v>77</v>
      </c>
      <c r="CC164" s="9" t="s">
        <v>80</v>
      </c>
      <c r="CD164" s="9" t="s">
        <v>77</v>
      </c>
      <c r="CE164" s="9" t="s">
        <v>77</v>
      </c>
      <c r="CF164" s="9" t="s">
        <v>77</v>
      </c>
      <c r="CG164" s="9" t="s">
        <v>80</v>
      </c>
      <c r="CH164" s="9" t="s">
        <v>348</v>
      </c>
      <c r="CI164" s="9" t="s">
        <v>793</v>
      </c>
      <c r="CJ164" s="9" t="s">
        <v>80</v>
      </c>
      <c r="CK164" s="9" t="s">
        <v>348</v>
      </c>
      <c r="CL164" s="9" t="s">
        <v>793</v>
      </c>
      <c r="CM164" s="9" t="s">
        <v>77</v>
      </c>
      <c r="CN164" s="9" t="s">
        <v>77</v>
      </c>
      <c r="CO164" s="9" t="s">
        <v>78</v>
      </c>
      <c r="CS164" s="9" t="s">
        <v>80</v>
      </c>
      <c r="CT164" s="9" t="s">
        <v>348</v>
      </c>
      <c r="CU164" s="9" t="s">
        <v>793</v>
      </c>
      <c r="CV164" s="9" t="s">
        <v>80</v>
      </c>
      <c r="CW164" s="9" t="s">
        <v>348</v>
      </c>
      <c r="CX164" s="9" t="s">
        <v>793</v>
      </c>
      <c r="CY164" s="9" t="s">
        <v>77</v>
      </c>
      <c r="CZ164" s="9" t="s">
        <v>77</v>
      </c>
      <c r="DA164" s="9" t="s">
        <v>78</v>
      </c>
      <c r="DE164" s="9" t="s">
        <v>77</v>
      </c>
      <c r="DF164" s="9" t="s">
        <v>78</v>
      </c>
      <c r="DG164" s="9" t="s">
        <v>78</v>
      </c>
      <c r="DH164" s="9" t="s">
        <v>78</v>
      </c>
      <c r="DI164" s="9" t="s">
        <v>794</v>
      </c>
      <c r="DJ164" s="9" t="s">
        <v>77</v>
      </c>
      <c r="DK164" s="9" t="s">
        <v>77</v>
      </c>
      <c r="DN164" s="9" t="s">
        <v>77</v>
      </c>
      <c r="DO164" s="9" t="s">
        <v>77</v>
      </c>
      <c r="DP164" s="9" t="s">
        <v>80</v>
      </c>
      <c r="DQ164" s="9" t="s">
        <v>438</v>
      </c>
      <c r="DR164" s="9" t="s">
        <v>77</v>
      </c>
      <c r="DS164" s="9" t="s">
        <v>78</v>
      </c>
      <c r="DT164" s="9" t="s">
        <v>349</v>
      </c>
      <c r="DU164" s="9" t="s">
        <v>78</v>
      </c>
      <c r="DV164" s="9" t="s">
        <v>77</v>
      </c>
      <c r="DZ164" s="9" t="s">
        <v>77</v>
      </c>
      <c r="EA164" s="9" t="s">
        <v>77</v>
      </c>
      <c r="EB164" s="9" t="s">
        <v>80</v>
      </c>
      <c r="EC164" s="9" t="s">
        <v>438</v>
      </c>
      <c r="ED164" s="9" t="s">
        <v>77</v>
      </c>
      <c r="EE164" s="9" t="s">
        <v>78</v>
      </c>
      <c r="EF164" s="9" t="s">
        <v>349</v>
      </c>
      <c r="EG164" s="9" t="s">
        <v>78</v>
      </c>
      <c r="EH164" s="9" t="s">
        <v>77</v>
      </c>
      <c r="EL164" s="9" t="s">
        <v>77</v>
      </c>
      <c r="EM164" s="9" t="s">
        <v>77</v>
      </c>
      <c r="EN164" s="9" t="s">
        <v>80</v>
      </c>
      <c r="EO164" s="9" t="s">
        <v>438</v>
      </c>
      <c r="EP164" s="9" t="s">
        <v>77</v>
      </c>
      <c r="EQ164" s="9" t="s">
        <v>78</v>
      </c>
      <c r="ER164" s="9" t="s">
        <v>349</v>
      </c>
      <c r="ES164" s="9" t="s">
        <v>78</v>
      </c>
      <c r="ET164" s="9" t="s">
        <v>77</v>
      </c>
      <c r="EX164" s="9" t="s">
        <v>77</v>
      </c>
      <c r="EY164" s="9" t="s">
        <v>77</v>
      </c>
      <c r="EZ164" s="9" t="s">
        <v>80</v>
      </c>
      <c r="FA164" s="9" t="s">
        <v>438</v>
      </c>
      <c r="FB164" s="9" t="s">
        <v>77</v>
      </c>
      <c r="FC164" s="9" t="s">
        <v>78</v>
      </c>
      <c r="FD164" s="9" t="s">
        <v>349</v>
      </c>
      <c r="FE164" s="9" t="s">
        <v>78</v>
      </c>
      <c r="FF164" s="9" t="s">
        <v>77</v>
      </c>
    </row>
    <row r="165" spans="50:162">
      <c r="AX165" s="9" t="s">
        <v>77</v>
      </c>
      <c r="AY165" s="9" t="s">
        <v>77</v>
      </c>
      <c r="AZ165" s="9" t="s">
        <v>80</v>
      </c>
      <c r="BA165" s="9" t="s">
        <v>438</v>
      </c>
      <c r="BB165" s="9" t="s">
        <v>79</v>
      </c>
      <c r="BC165" s="9" t="s">
        <v>78</v>
      </c>
      <c r="BD165" s="9" t="s">
        <v>349</v>
      </c>
      <c r="BE165" s="9" t="s">
        <v>78</v>
      </c>
      <c r="BF165" s="9" t="s">
        <v>77</v>
      </c>
      <c r="BI165" s="9" t="s">
        <v>77</v>
      </c>
      <c r="BJ165" s="9" t="s">
        <v>80</v>
      </c>
      <c r="BK165" s="9" t="s">
        <v>348</v>
      </c>
      <c r="BL165" s="9" t="s">
        <v>795</v>
      </c>
      <c r="BM165" s="9" t="s">
        <v>80</v>
      </c>
      <c r="BN165" s="9" t="s">
        <v>348</v>
      </c>
      <c r="BO165" s="9" t="s">
        <v>795</v>
      </c>
      <c r="BP165" s="9" t="s">
        <v>77</v>
      </c>
      <c r="BQ165" s="9" t="s">
        <v>77</v>
      </c>
      <c r="BR165" s="9" t="s">
        <v>77</v>
      </c>
      <c r="BS165" s="9" t="s">
        <v>77</v>
      </c>
      <c r="BT165" s="9" t="s">
        <v>77</v>
      </c>
      <c r="BU165" s="9" t="s">
        <v>77</v>
      </c>
      <c r="BV165" s="9" t="s">
        <v>78</v>
      </c>
      <c r="BW165" s="9" t="s">
        <v>78</v>
      </c>
      <c r="BX165" s="9" t="s">
        <v>78</v>
      </c>
      <c r="CB165" s="9" t="s">
        <v>77</v>
      </c>
      <c r="CC165" s="9" t="s">
        <v>80</v>
      </c>
      <c r="CD165" s="9" t="s">
        <v>77</v>
      </c>
      <c r="CE165" s="9" t="s">
        <v>77</v>
      </c>
      <c r="CF165" s="9" t="s">
        <v>77</v>
      </c>
      <c r="CG165" s="9" t="s">
        <v>80</v>
      </c>
      <c r="CH165" s="9" t="s">
        <v>348</v>
      </c>
      <c r="CI165" s="9" t="s">
        <v>795</v>
      </c>
      <c r="CJ165" s="9" t="s">
        <v>80</v>
      </c>
      <c r="CK165" s="9" t="s">
        <v>348</v>
      </c>
      <c r="CL165" s="9" t="s">
        <v>795</v>
      </c>
      <c r="CM165" s="9" t="s">
        <v>77</v>
      </c>
      <c r="CN165" s="9" t="s">
        <v>77</v>
      </c>
      <c r="CO165" s="9" t="s">
        <v>78</v>
      </c>
      <c r="CS165" s="9" t="s">
        <v>80</v>
      </c>
      <c r="CT165" s="9" t="s">
        <v>348</v>
      </c>
      <c r="CU165" s="9" t="s">
        <v>795</v>
      </c>
      <c r="CV165" s="9" t="s">
        <v>80</v>
      </c>
      <c r="CW165" s="9" t="s">
        <v>348</v>
      </c>
      <c r="CX165" s="9" t="s">
        <v>795</v>
      </c>
      <c r="CY165" s="9" t="s">
        <v>77</v>
      </c>
      <c r="CZ165" s="9" t="s">
        <v>77</v>
      </c>
      <c r="DA165" s="9" t="s">
        <v>78</v>
      </c>
      <c r="DE165" s="9" t="s">
        <v>77</v>
      </c>
      <c r="DF165" s="9" t="s">
        <v>78</v>
      </c>
      <c r="DG165" s="9" t="s">
        <v>78</v>
      </c>
      <c r="DH165" s="9" t="s">
        <v>78</v>
      </c>
      <c r="DI165" s="9" t="s">
        <v>796</v>
      </c>
      <c r="DJ165" s="9" t="s">
        <v>77</v>
      </c>
      <c r="DK165" s="9" t="s">
        <v>77</v>
      </c>
      <c r="DN165" s="9" t="s">
        <v>77</v>
      </c>
      <c r="DO165" s="9" t="s">
        <v>77</v>
      </c>
      <c r="DP165" s="9" t="s">
        <v>80</v>
      </c>
      <c r="DQ165" s="9" t="s">
        <v>438</v>
      </c>
      <c r="DR165" s="9" t="s">
        <v>77</v>
      </c>
      <c r="DS165" s="9" t="s">
        <v>78</v>
      </c>
      <c r="DT165" s="9" t="s">
        <v>349</v>
      </c>
      <c r="DU165" s="9" t="s">
        <v>78</v>
      </c>
      <c r="DV165" s="9" t="s">
        <v>77</v>
      </c>
      <c r="DZ165" s="9" t="s">
        <v>77</v>
      </c>
      <c r="EA165" s="9" t="s">
        <v>77</v>
      </c>
      <c r="EB165" s="9" t="s">
        <v>80</v>
      </c>
      <c r="EC165" s="9" t="s">
        <v>438</v>
      </c>
      <c r="ED165" s="9" t="s">
        <v>77</v>
      </c>
      <c r="EE165" s="9" t="s">
        <v>78</v>
      </c>
      <c r="EF165" s="9" t="s">
        <v>349</v>
      </c>
      <c r="EG165" s="9" t="s">
        <v>78</v>
      </c>
      <c r="EH165" s="9" t="s">
        <v>77</v>
      </c>
      <c r="EL165" s="9" t="s">
        <v>77</v>
      </c>
      <c r="EM165" s="9" t="s">
        <v>77</v>
      </c>
      <c r="EN165" s="9" t="s">
        <v>80</v>
      </c>
      <c r="EO165" s="9" t="s">
        <v>438</v>
      </c>
      <c r="EP165" s="9" t="s">
        <v>77</v>
      </c>
      <c r="EQ165" s="9" t="s">
        <v>78</v>
      </c>
      <c r="ER165" s="9" t="s">
        <v>349</v>
      </c>
      <c r="ES165" s="9" t="s">
        <v>78</v>
      </c>
      <c r="ET165" s="9" t="s">
        <v>77</v>
      </c>
      <c r="EX165" s="9" t="s">
        <v>77</v>
      </c>
      <c r="EY165" s="9" t="s">
        <v>77</v>
      </c>
      <c r="EZ165" s="9" t="s">
        <v>80</v>
      </c>
      <c r="FA165" s="9" t="s">
        <v>438</v>
      </c>
      <c r="FB165" s="9" t="s">
        <v>77</v>
      </c>
      <c r="FC165" s="9" t="s">
        <v>78</v>
      </c>
      <c r="FD165" s="9" t="s">
        <v>349</v>
      </c>
      <c r="FE165" s="9" t="s">
        <v>78</v>
      </c>
      <c r="FF165" s="9" t="s">
        <v>77</v>
      </c>
    </row>
    <row r="166" spans="50:162">
      <c r="AX166" s="9" t="s">
        <v>77</v>
      </c>
      <c r="AY166" s="9" t="s">
        <v>77</v>
      </c>
      <c r="AZ166" s="9" t="s">
        <v>80</v>
      </c>
      <c r="BA166" s="9" t="s">
        <v>438</v>
      </c>
      <c r="BB166" s="9" t="s">
        <v>79</v>
      </c>
      <c r="BC166" s="9" t="s">
        <v>78</v>
      </c>
      <c r="BD166" s="9" t="s">
        <v>349</v>
      </c>
      <c r="BE166" s="9" t="s">
        <v>78</v>
      </c>
      <c r="BF166" s="9" t="s">
        <v>77</v>
      </c>
      <c r="BI166" s="9" t="s">
        <v>77</v>
      </c>
      <c r="BJ166" s="9" t="s">
        <v>80</v>
      </c>
      <c r="BK166" s="9" t="s">
        <v>348</v>
      </c>
      <c r="BL166" s="9" t="s">
        <v>797</v>
      </c>
      <c r="BM166" s="9" t="s">
        <v>80</v>
      </c>
      <c r="BN166" s="9" t="s">
        <v>348</v>
      </c>
      <c r="BO166" s="9" t="s">
        <v>797</v>
      </c>
      <c r="BP166" s="9" t="s">
        <v>77</v>
      </c>
      <c r="BQ166" s="9" t="s">
        <v>77</v>
      </c>
      <c r="BR166" s="9" t="s">
        <v>77</v>
      </c>
      <c r="BS166" s="9" t="s">
        <v>77</v>
      </c>
      <c r="BT166" s="9" t="s">
        <v>77</v>
      </c>
      <c r="BU166" s="9" t="s">
        <v>77</v>
      </c>
      <c r="BV166" s="9" t="s">
        <v>78</v>
      </c>
      <c r="BW166" s="9" t="s">
        <v>78</v>
      </c>
      <c r="BX166" s="9" t="s">
        <v>78</v>
      </c>
      <c r="CB166" s="9" t="s">
        <v>77</v>
      </c>
      <c r="CC166" s="9" t="s">
        <v>80</v>
      </c>
      <c r="CD166" s="9" t="s">
        <v>77</v>
      </c>
      <c r="CE166" s="9" t="s">
        <v>77</v>
      </c>
      <c r="CF166" s="9" t="s">
        <v>77</v>
      </c>
      <c r="CG166" s="9" t="s">
        <v>80</v>
      </c>
      <c r="CH166" s="9" t="s">
        <v>348</v>
      </c>
      <c r="CI166" s="9" t="s">
        <v>798</v>
      </c>
      <c r="CJ166" s="9" t="s">
        <v>80</v>
      </c>
      <c r="CK166" s="9" t="s">
        <v>348</v>
      </c>
      <c r="CL166" s="9" t="s">
        <v>798</v>
      </c>
      <c r="CM166" s="9" t="s">
        <v>77</v>
      </c>
      <c r="CN166" s="9" t="s">
        <v>77</v>
      </c>
      <c r="CO166" s="9" t="s">
        <v>78</v>
      </c>
      <c r="CS166" s="9" t="s">
        <v>80</v>
      </c>
      <c r="CT166" s="9" t="s">
        <v>348</v>
      </c>
      <c r="CU166" s="9" t="s">
        <v>798</v>
      </c>
      <c r="CV166" s="9" t="s">
        <v>80</v>
      </c>
      <c r="CW166" s="9" t="s">
        <v>348</v>
      </c>
      <c r="CX166" s="9" t="s">
        <v>798</v>
      </c>
      <c r="CY166" s="9" t="s">
        <v>77</v>
      </c>
      <c r="CZ166" s="9" t="s">
        <v>77</v>
      </c>
      <c r="DA166" s="9" t="s">
        <v>78</v>
      </c>
      <c r="DE166" s="9" t="s">
        <v>77</v>
      </c>
      <c r="DF166" s="9" t="s">
        <v>78</v>
      </c>
      <c r="DG166" s="9" t="s">
        <v>78</v>
      </c>
      <c r="DH166" s="9" t="s">
        <v>78</v>
      </c>
      <c r="DI166" s="9" t="s">
        <v>797</v>
      </c>
      <c r="DJ166" s="9" t="s">
        <v>77</v>
      </c>
      <c r="DK166" s="9" t="s">
        <v>77</v>
      </c>
      <c r="DN166" s="9" t="s">
        <v>77</v>
      </c>
      <c r="DO166" s="9" t="s">
        <v>77</v>
      </c>
      <c r="DP166" s="9" t="s">
        <v>80</v>
      </c>
      <c r="DQ166" s="9" t="s">
        <v>438</v>
      </c>
      <c r="DR166" s="9" t="s">
        <v>77</v>
      </c>
      <c r="DS166" s="9" t="s">
        <v>78</v>
      </c>
      <c r="DT166" s="9" t="s">
        <v>349</v>
      </c>
      <c r="DU166" s="9" t="s">
        <v>78</v>
      </c>
      <c r="DV166" s="9" t="s">
        <v>77</v>
      </c>
      <c r="DZ166" s="9" t="s">
        <v>77</v>
      </c>
      <c r="EA166" s="9" t="s">
        <v>77</v>
      </c>
      <c r="EB166" s="9" t="s">
        <v>80</v>
      </c>
      <c r="EC166" s="9" t="s">
        <v>438</v>
      </c>
      <c r="ED166" s="9" t="s">
        <v>77</v>
      </c>
      <c r="EE166" s="9" t="s">
        <v>78</v>
      </c>
      <c r="EF166" s="9" t="s">
        <v>349</v>
      </c>
      <c r="EG166" s="9" t="s">
        <v>78</v>
      </c>
      <c r="EH166" s="9" t="s">
        <v>77</v>
      </c>
      <c r="EL166" s="9" t="s">
        <v>77</v>
      </c>
      <c r="EM166" s="9" t="s">
        <v>77</v>
      </c>
      <c r="EN166" s="9" t="s">
        <v>80</v>
      </c>
      <c r="EO166" s="9" t="s">
        <v>438</v>
      </c>
      <c r="EP166" s="9" t="s">
        <v>77</v>
      </c>
      <c r="EQ166" s="9" t="s">
        <v>78</v>
      </c>
      <c r="ER166" s="9" t="s">
        <v>349</v>
      </c>
      <c r="ES166" s="9" t="s">
        <v>78</v>
      </c>
      <c r="ET166" s="9" t="s">
        <v>77</v>
      </c>
      <c r="EX166" s="9" t="s">
        <v>77</v>
      </c>
      <c r="EY166" s="9" t="s">
        <v>77</v>
      </c>
      <c r="EZ166" s="9" t="s">
        <v>80</v>
      </c>
      <c r="FA166" s="9" t="s">
        <v>438</v>
      </c>
      <c r="FB166" s="9" t="s">
        <v>77</v>
      </c>
      <c r="FC166" s="9" t="s">
        <v>78</v>
      </c>
      <c r="FD166" s="9" t="s">
        <v>349</v>
      </c>
      <c r="FE166" s="9" t="s">
        <v>78</v>
      </c>
      <c r="FF166" s="9" t="s">
        <v>77</v>
      </c>
    </row>
    <row r="167" spans="50:162">
      <c r="AX167" s="9" t="s">
        <v>77</v>
      </c>
      <c r="AY167" s="9" t="s">
        <v>77</v>
      </c>
      <c r="AZ167" s="9" t="s">
        <v>80</v>
      </c>
      <c r="BA167" s="9" t="s">
        <v>438</v>
      </c>
      <c r="BB167" s="9" t="s">
        <v>79</v>
      </c>
      <c r="BC167" s="9" t="s">
        <v>78</v>
      </c>
      <c r="BD167" s="9" t="s">
        <v>349</v>
      </c>
      <c r="BE167" s="9" t="s">
        <v>78</v>
      </c>
      <c r="BF167" s="9" t="s">
        <v>77</v>
      </c>
      <c r="BI167" s="9" t="s">
        <v>77</v>
      </c>
      <c r="BJ167" s="9" t="s">
        <v>80</v>
      </c>
      <c r="BK167" s="9" t="s">
        <v>348</v>
      </c>
      <c r="BL167" s="9" t="s">
        <v>799</v>
      </c>
      <c r="BM167" s="9" t="s">
        <v>80</v>
      </c>
      <c r="BN167" s="9" t="s">
        <v>348</v>
      </c>
      <c r="BO167" s="9" t="s">
        <v>799</v>
      </c>
      <c r="BP167" s="9" t="s">
        <v>77</v>
      </c>
      <c r="BQ167" s="9" t="s">
        <v>77</v>
      </c>
      <c r="BR167" s="9" t="s">
        <v>77</v>
      </c>
      <c r="BS167" s="9" t="s">
        <v>77</v>
      </c>
      <c r="BT167" s="9" t="s">
        <v>77</v>
      </c>
      <c r="BU167" s="9" t="s">
        <v>77</v>
      </c>
      <c r="BV167" s="9" t="s">
        <v>78</v>
      </c>
      <c r="BW167" s="9" t="s">
        <v>78</v>
      </c>
      <c r="BX167" s="9" t="s">
        <v>78</v>
      </c>
      <c r="CB167" s="9" t="s">
        <v>77</v>
      </c>
      <c r="CC167" s="9" t="s">
        <v>80</v>
      </c>
      <c r="CD167" s="9" t="s">
        <v>77</v>
      </c>
      <c r="CE167" s="9" t="s">
        <v>77</v>
      </c>
      <c r="CF167" s="9" t="s">
        <v>77</v>
      </c>
      <c r="CG167" s="9" t="s">
        <v>80</v>
      </c>
      <c r="CH167" s="9" t="s">
        <v>348</v>
      </c>
      <c r="CI167" s="9" t="s">
        <v>799</v>
      </c>
      <c r="CJ167" s="9" t="s">
        <v>80</v>
      </c>
      <c r="CK167" s="9" t="s">
        <v>348</v>
      </c>
      <c r="CL167" s="9" t="s">
        <v>799</v>
      </c>
      <c r="CM167" s="9" t="s">
        <v>77</v>
      </c>
      <c r="CN167" s="9" t="s">
        <v>77</v>
      </c>
      <c r="CO167" s="9" t="s">
        <v>78</v>
      </c>
      <c r="CS167" s="9" t="s">
        <v>80</v>
      </c>
      <c r="CT167" s="9" t="s">
        <v>348</v>
      </c>
      <c r="CU167" s="9" t="s">
        <v>799</v>
      </c>
      <c r="CV167" s="9" t="s">
        <v>80</v>
      </c>
      <c r="CW167" s="9" t="s">
        <v>348</v>
      </c>
      <c r="CX167" s="9" t="s">
        <v>799</v>
      </c>
      <c r="CY167" s="9" t="s">
        <v>77</v>
      </c>
      <c r="CZ167" s="9" t="s">
        <v>77</v>
      </c>
      <c r="DA167" s="9" t="s">
        <v>78</v>
      </c>
      <c r="DE167" s="9" t="s">
        <v>77</v>
      </c>
      <c r="DF167" s="9" t="s">
        <v>78</v>
      </c>
      <c r="DG167" s="9" t="s">
        <v>78</v>
      </c>
      <c r="DH167" s="9" t="s">
        <v>78</v>
      </c>
      <c r="DI167" s="9" t="s">
        <v>800</v>
      </c>
      <c r="DJ167" s="9" t="s">
        <v>77</v>
      </c>
      <c r="DK167" s="9" t="s">
        <v>77</v>
      </c>
      <c r="DN167" s="9" t="s">
        <v>77</v>
      </c>
      <c r="DO167" s="9" t="s">
        <v>77</v>
      </c>
      <c r="DP167" s="9" t="s">
        <v>80</v>
      </c>
      <c r="DQ167" s="9" t="s">
        <v>438</v>
      </c>
      <c r="DR167" s="9" t="s">
        <v>77</v>
      </c>
      <c r="DS167" s="9" t="s">
        <v>78</v>
      </c>
      <c r="DT167" s="9" t="s">
        <v>349</v>
      </c>
      <c r="DU167" s="9" t="s">
        <v>78</v>
      </c>
      <c r="DV167" s="9" t="s">
        <v>77</v>
      </c>
      <c r="DZ167" s="9" t="s">
        <v>77</v>
      </c>
      <c r="EA167" s="9" t="s">
        <v>77</v>
      </c>
      <c r="EB167" s="9" t="s">
        <v>80</v>
      </c>
      <c r="EC167" s="9" t="s">
        <v>438</v>
      </c>
      <c r="ED167" s="9" t="s">
        <v>77</v>
      </c>
      <c r="EE167" s="9" t="s">
        <v>78</v>
      </c>
      <c r="EF167" s="9" t="s">
        <v>349</v>
      </c>
      <c r="EG167" s="9" t="s">
        <v>78</v>
      </c>
      <c r="EH167" s="9" t="s">
        <v>77</v>
      </c>
      <c r="EL167" s="9" t="s">
        <v>77</v>
      </c>
      <c r="EM167" s="9" t="s">
        <v>77</v>
      </c>
      <c r="EN167" s="9" t="s">
        <v>80</v>
      </c>
      <c r="EO167" s="9" t="s">
        <v>438</v>
      </c>
      <c r="EP167" s="9" t="s">
        <v>77</v>
      </c>
      <c r="EQ167" s="9" t="s">
        <v>78</v>
      </c>
      <c r="ER167" s="9" t="s">
        <v>349</v>
      </c>
      <c r="ES167" s="9" t="s">
        <v>78</v>
      </c>
      <c r="ET167" s="9" t="s">
        <v>77</v>
      </c>
      <c r="EX167" s="9" t="s">
        <v>77</v>
      </c>
      <c r="EY167" s="9" t="s">
        <v>77</v>
      </c>
      <c r="EZ167" s="9" t="s">
        <v>80</v>
      </c>
      <c r="FA167" s="9" t="s">
        <v>438</v>
      </c>
      <c r="FB167" s="9" t="s">
        <v>77</v>
      </c>
      <c r="FC167" s="9" t="s">
        <v>78</v>
      </c>
      <c r="FD167" s="9" t="s">
        <v>349</v>
      </c>
      <c r="FE167" s="9" t="s">
        <v>78</v>
      </c>
      <c r="FF167" s="9" t="s">
        <v>77</v>
      </c>
    </row>
    <row r="168" spans="50:162">
      <c r="AX168" s="9" t="s">
        <v>77</v>
      </c>
      <c r="AY168" s="9" t="s">
        <v>77</v>
      </c>
      <c r="AZ168" s="9" t="s">
        <v>80</v>
      </c>
      <c r="BA168" s="9" t="s">
        <v>438</v>
      </c>
      <c r="BB168" s="9" t="s">
        <v>79</v>
      </c>
      <c r="BC168" s="9" t="s">
        <v>78</v>
      </c>
      <c r="BD168" s="9" t="s">
        <v>349</v>
      </c>
      <c r="BE168" s="9" t="s">
        <v>78</v>
      </c>
      <c r="BF168" s="9" t="s">
        <v>77</v>
      </c>
      <c r="BI168" s="9" t="s">
        <v>77</v>
      </c>
      <c r="BJ168" s="9" t="s">
        <v>80</v>
      </c>
      <c r="BK168" s="9" t="s">
        <v>348</v>
      </c>
      <c r="BL168" s="9" t="s">
        <v>801</v>
      </c>
      <c r="BM168" s="9" t="s">
        <v>80</v>
      </c>
      <c r="BN168" s="9" t="s">
        <v>348</v>
      </c>
      <c r="BO168" s="9" t="s">
        <v>801</v>
      </c>
      <c r="BP168" s="9" t="s">
        <v>77</v>
      </c>
      <c r="BQ168" s="9" t="s">
        <v>77</v>
      </c>
      <c r="BR168" s="9" t="s">
        <v>77</v>
      </c>
      <c r="BS168" s="9" t="s">
        <v>77</v>
      </c>
      <c r="BT168" s="9" t="s">
        <v>77</v>
      </c>
      <c r="BU168" s="9" t="s">
        <v>77</v>
      </c>
      <c r="BV168" s="9" t="s">
        <v>78</v>
      </c>
      <c r="BW168" s="9" t="s">
        <v>78</v>
      </c>
      <c r="BX168" s="9" t="s">
        <v>78</v>
      </c>
      <c r="CB168" s="9" t="s">
        <v>77</v>
      </c>
      <c r="CC168" s="9" t="s">
        <v>80</v>
      </c>
      <c r="CD168" s="9" t="s">
        <v>77</v>
      </c>
      <c r="CE168" s="9" t="s">
        <v>77</v>
      </c>
      <c r="CF168" s="9" t="s">
        <v>77</v>
      </c>
      <c r="CG168" s="9" t="s">
        <v>80</v>
      </c>
      <c r="CH168" s="9" t="s">
        <v>348</v>
      </c>
      <c r="CI168" s="9" t="s">
        <v>801</v>
      </c>
      <c r="CJ168" s="9" t="s">
        <v>80</v>
      </c>
      <c r="CK168" s="9" t="s">
        <v>348</v>
      </c>
      <c r="CL168" s="9" t="s">
        <v>801</v>
      </c>
      <c r="CM168" s="9" t="s">
        <v>77</v>
      </c>
      <c r="CN168" s="9" t="s">
        <v>77</v>
      </c>
      <c r="CO168" s="9" t="s">
        <v>78</v>
      </c>
      <c r="CS168" s="9" t="s">
        <v>80</v>
      </c>
      <c r="CT168" s="9" t="s">
        <v>348</v>
      </c>
      <c r="CU168" s="9" t="s">
        <v>801</v>
      </c>
      <c r="CV168" s="9" t="s">
        <v>80</v>
      </c>
      <c r="CW168" s="9" t="s">
        <v>348</v>
      </c>
      <c r="CX168" s="9" t="s">
        <v>801</v>
      </c>
      <c r="CY168" s="9" t="s">
        <v>77</v>
      </c>
      <c r="CZ168" s="9" t="s">
        <v>77</v>
      </c>
      <c r="DA168" s="9" t="s">
        <v>78</v>
      </c>
      <c r="DE168" s="9" t="s">
        <v>77</v>
      </c>
      <c r="DF168" s="9" t="s">
        <v>78</v>
      </c>
      <c r="DG168" s="9" t="s">
        <v>78</v>
      </c>
      <c r="DH168" s="9" t="s">
        <v>78</v>
      </c>
      <c r="DI168" s="9" t="s">
        <v>802</v>
      </c>
      <c r="DJ168" s="9" t="s">
        <v>77</v>
      </c>
      <c r="DK168" s="9" t="s">
        <v>77</v>
      </c>
      <c r="DN168" s="9" t="s">
        <v>77</v>
      </c>
      <c r="DO168" s="9" t="s">
        <v>77</v>
      </c>
      <c r="DP168" s="9" t="s">
        <v>80</v>
      </c>
      <c r="DQ168" s="9" t="s">
        <v>438</v>
      </c>
      <c r="DR168" s="9" t="s">
        <v>77</v>
      </c>
      <c r="DS168" s="9" t="s">
        <v>78</v>
      </c>
      <c r="DT168" s="9" t="s">
        <v>349</v>
      </c>
      <c r="DU168" s="9" t="s">
        <v>78</v>
      </c>
      <c r="DV168" s="9" t="s">
        <v>77</v>
      </c>
      <c r="DZ168" s="9" t="s">
        <v>77</v>
      </c>
      <c r="EA168" s="9" t="s">
        <v>77</v>
      </c>
      <c r="EB168" s="9" t="s">
        <v>80</v>
      </c>
      <c r="EC168" s="9" t="s">
        <v>438</v>
      </c>
      <c r="ED168" s="9" t="s">
        <v>77</v>
      </c>
      <c r="EE168" s="9" t="s">
        <v>78</v>
      </c>
      <c r="EF168" s="9" t="s">
        <v>349</v>
      </c>
      <c r="EG168" s="9" t="s">
        <v>78</v>
      </c>
      <c r="EH168" s="9" t="s">
        <v>77</v>
      </c>
      <c r="EL168" s="9" t="s">
        <v>77</v>
      </c>
      <c r="EM168" s="9" t="s">
        <v>77</v>
      </c>
      <c r="EN168" s="9" t="s">
        <v>80</v>
      </c>
      <c r="EO168" s="9" t="s">
        <v>438</v>
      </c>
      <c r="EP168" s="9" t="s">
        <v>77</v>
      </c>
      <c r="EQ168" s="9" t="s">
        <v>78</v>
      </c>
      <c r="ER168" s="9" t="s">
        <v>349</v>
      </c>
      <c r="ES168" s="9" t="s">
        <v>78</v>
      </c>
      <c r="ET168" s="9" t="s">
        <v>77</v>
      </c>
      <c r="EX168" s="9" t="s">
        <v>77</v>
      </c>
      <c r="EY168" s="9" t="s">
        <v>77</v>
      </c>
      <c r="EZ168" s="9" t="s">
        <v>80</v>
      </c>
      <c r="FA168" s="9" t="s">
        <v>438</v>
      </c>
      <c r="FB168" s="9" t="s">
        <v>77</v>
      </c>
      <c r="FC168" s="9" t="s">
        <v>78</v>
      </c>
      <c r="FD168" s="9" t="s">
        <v>349</v>
      </c>
      <c r="FE168" s="9" t="s">
        <v>78</v>
      </c>
      <c r="FF168" s="9" t="s">
        <v>77</v>
      </c>
    </row>
    <row r="169" spans="50:162">
      <c r="AX169" s="9" t="s">
        <v>77</v>
      </c>
      <c r="AY169" s="9" t="s">
        <v>77</v>
      </c>
      <c r="AZ169" s="9" t="s">
        <v>80</v>
      </c>
      <c r="BA169" s="9" t="s">
        <v>438</v>
      </c>
      <c r="BB169" s="9" t="s">
        <v>79</v>
      </c>
      <c r="BC169" s="9" t="s">
        <v>78</v>
      </c>
      <c r="BD169" s="9" t="s">
        <v>349</v>
      </c>
      <c r="BE169" s="9" t="s">
        <v>78</v>
      </c>
      <c r="BF169" s="9" t="s">
        <v>77</v>
      </c>
      <c r="BI169" s="9" t="s">
        <v>77</v>
      </c>
      <c r="BJ169" s="9" t="s">
        <v>80</v>
      </c>
      <c r="BK169" s="9" t="s">
        <v>348</v>
      </c>
      <c r="BL169" s="9" t="s">
        <v>803</v>
      </c>
      <c r="BM169" s="9" t="s">
        <v>80</v>
      </c>
      <c r="BN169" s="9" t="s">
        <v>348</v>
      </c>
      <c r="BO169" s="9" t="s">
        <v>803</v>
      </c>
      <c r="BP169" s="9" t="s">
        <v>77</v>
      </c>
      <c r="BQ169" s="9" t="s">
        <v>77</v>
      </c>
      <c r="BR169" s="9" t="s">
        <v>77</v>
      </c>
      <c r="BS169" s="9" t="s">
        <v>77</v>
      </c>
      <c r="BT169" s="9" t="s">
        <v>77</v>
      </c>
      <c r="BU169" s="9" t="s">
        <v>77</v>
      </c>
      <c r="BV169" s="9" t="s">
        <v>78</v>
      </c>
      <c r="BW169" s="9" t="s">
        <v>78</v>
      </c>
      <c r="BX169" s="9" t="s">
        <v>78</v>
      </c>
      <c r="CB169" s="9" t="s">
        <v>77</v>
      </c>
      <c r="CC169" s="9" t="s">
        <v>80</v>
      </c>
      <c r="CD169" s="9" t="s">
        <v>77</v>
      </c>
      <c r="CE169" s="9" t="s">
        <v>77</v>
      </c>
      <c r="CF169" s="9" t="s">
        <v>77</v>
      </c>
      <c r="CG169" s="9" t="s">
        <v>80</v>
      </c>
      <c r="CH169" s="9" t="s">
        <v>348</v>
      </c>
      <c r="CI169" s="9" t="s">
        <v>804</v>
      </c>
      <c r="CJ169" s="9" t="s">
        <v>80</v>
      </c>
      <c r="CK169" s="9" t="s">
        <v>348</v>
      </c>
      <c r="CL169" s="9" t="s">
        <v>804</v>
      </c>
      <c r="CM169" s="9" t="s">
        <v>77</v>
      </c>
      <c r="CN169" s="9" t="s">
        <v>77</v>
      </c>
      <c r="CO169" s="9" t="s">
        <v>78</v>
      </c>
      <c r="CS169" s="9" t="s">
        <v>80</v>
      </c>
      <c r="CT169" s="9" t="s">
        <v>348</v>
      </c>
      <c r="CU169" s="9" t="s">
        <v>803</v>
      </c>
      <c r="CV169" s="9" t="s">
        <v>80</v>
      </c>
      <c r="CW169" s="9" t="s">
        <v>348</v>
      </c>
      <c r="CX169" s="9" t="s">
        <v>803</v>
      </c>
      <c r="CY169" s="9" t="s">
        <v>77</v>
      </c>
      <c r="CZ169" s="9" t="s">
        <v>77</v>
      </c>
      <c r="DA169" s="9" t="s">
        <v>78</v>
      </c>
      <c r="DE169" s="9" t="s">
        <v>77</v>
      </c>
      <c r="DF169" s="9" t="s">
        <v>78</v>
      </c>
      <c r="DG169" s="9" t="s">
        <v>78</v>
      </c>
      <c r="DH169" s="9" t="s">
        <v>78</v>
      </c>
      <c r="DI169" s="9" t="s">
        <v>805</v>
      </c>
      <c r="DJ169" s="9" t="s">
        <v>77</v>
      </c>
      <c r="DK169" s="9" t="s">
        <v>77</v>
      </c>
      <c r="DN169" s="9" t="s">
        <v>77</v>
      </c>
      <c r="DO169" s="9" t="s">
        <v>77</v>
      </c>
      <c r="DP169" s="9" t="s">
        <v>80</v>
      </c>
      <c r="DQ169" s="9" t="s">
        <v>438</v>
      </c>
      <c r="DR169" s="9" t="s">
        <v>77</v>
      </c>
      <c r="DS169" s="9" t="s">
        <v>78</v>
      </c>
      <c r="DT169" s="9" t="s">
        <v>349</v>
      </c>
      <c r="DU169" s="9" t="s">
        <v>78</v>
      </c>
      <c r="DV169" s="9" t="s">
        <v>77</v>
      </c>
      <c r="DZ169" s="9" t="s">
        <v>77</v>
      </c>
      <c r="EA169" s="9" t="s">
        <v>77</v>
      </c>
      <c r="EB169" s="9" t="s">
        <v>80</v>
      </c>
      <c r="EC169" s="9" t="s">
        <v>438</v>
      </c>
      <c r="ED169" s="9" t="s">
        <v>77</v>
      </c>
      <c r="EE169" s="9" t="s">
        <v>78</v>
      </c>
      <c r="EF169" s="9" t="s">
        <v>349</v>
      </c>
      <c r="EG169" s="9" t="s">
        <v>78</v>
      </c>
      <c r="EH169" s="9" t="s">
        <v>77</v>
      </c>
      <c r="EL169" s="9" t="s">
        <v>77</v>
      </c>
      <c r="EM169" s="9" t="s">
        <v>77</v>
      </c>
      <c r="EN169" s="9" t="s">
        <v>80</v>
      </c>
      <c r="EO169" s="9" t="s">
        <v>438</v>
      </c>
      <c r="EP169" s="9" t="s">
        <v>77</v>
      </c>
      <c r="EQ169" s="9" t="s">
        <v>78</v>
      </c>
      <c r="ER169" s="9" t="s">
        <v>349</v>
      </c>
      <c r="ES169" s="9" t="s">
        <v>78</v>
      </c>
      <c r="ET169" s="9" t="s">
        <v>77</v>
      </c>
      <c r="EX169" s="9" t="s">
        <v>77</v>
      </c>
      <c r="EY169" s="9" t="s">
        <v>77</v>
      </c>
      <c r="EZ169" s="9" t="s">
        <v>80</v>
      </c>
      <c r="FA169" s="9" t="s">
        <v>438</v>
      </c>
      <c r="FB169" s="9" t="s">
        <v>77</v>
      </c>
      <c r="FC169" s="9" t="s">
        <v>78</v>
      </c>
      <c r="FD169" s="9" t="s">
        <v>349</v>
      </c>
      <c r="FE169" s="9" t="s">
        <v>78</v>
      </c>
      <c r="FF169" s="9" t="s">
        <v>77</v>
      </c>
    </row>
    <row r="170" spans="50:162">
      <c r="AX170" s="9" t="s">
        <v>77</v>
      </c>
      <c r="AY170" s="9" t="s">
        <v>77</v>
      </c>
      <c r="AZ170" s="9" t="s">
        <v>80</v>
      </c>
      <c r="BA170" s="9" t="s">
        <v>438</v>
      </c>
      <c r="BB170" s="9" t="s">
        <v>79</v>
      </c>
      <c r="BC170" s="9" t="s">
        <v>78</v>
      </c>
      <c r="BD170" s="9" t="s">
        <v>349</v>
      </c>
      <c r="BE170" s="9" t="s">
        <v>78</v>
      </c>
      <c r="BF170" s="9" t="s">
        <v>77</v>
      </c>
      <c r="BI170" s="9" t="s">
        <v>77</v>
      </c>
      <c r="BJ170" s="9" t="s">
        <v>80</v>
      </c>
      <c r="BK170" s="9" t="s">
        <v>348</v>
      </c>
      <c r="BL170" s="9" t="s">
        <v>806</v>
      </c>
      <c r="BM170" s="9" t="s">
        <v>80</v>
      </c>
      <c r="BN170" s="9" t="s">
        <v>348</v>
      </c>
      <c r="BO170" s="9" t="s">
        <v>806</v>
      </c>
      <c r="BP170" s="9" t="s">
        <v>77</v>
      </c>
      <c r="BQ170" s="9" t="s">
        <v>77</v>
      </c>
      <c r="BR170" s="9" t="s">
        <v>77</v>
      </c>
      <c r="BS170" s="9" t="s">
        <v>77</v>
      </c>
      <c r="BT170" s="9" t="s">
        <v>77</v>
      </c>
      <c r="BU170" s="9" t="s">
        <v>77</v>
      </c>
      <c r="BV170" s="9" t="s">
        <v>78</v>
      </c>
      <c r="BW170" s="9" t="s">
        <v>78</v>
      </c>
      <c r="BX170" s="9" t="s">
        <v>78</v>
      </c>
      <c r="CB170" s="9" t="s">
        <v>77</v>
      </c>
      <c r="CC170" s="9" t="s">
        <v>80</v>
      </c>
      <c r="CD170" s="9" t="s">
        <v>77</v>
      </c>
      <c r="CE170" s="9" t="s">
        <v>77</v>
      </c>
      <c r="CF170" s="9" t="s">
        <v>77</v>
      </c>
      <c r="CG170" s="9" t="s">
        <v>80</v>
      </c>
      <c r="CH170" s="9" t="s">
        <v>348</v>
      </c>
      <c r="CI170" s="9" t="s">
        <v>806</v>
      </c>
      <c r="CJ170" s="9" t="s">
        <v>80</v>
      </c>
      <c r="CK170" s="9" t="s">
        <v>348</v>
      </c>
      <c r="CL170" s="9" t="s">
        <v>806</v>
      </c>
      <c r="CM170" s="9" t="s">
        <v>77</v>
      </c>
      <c r="CN170" s="9" t="s">
        <v>77</v>
      </c>
      <c r="CO170" s="9" t="s">
        <v>78</v>
      </c>
      <c r="CS170" s="9" t="s">
        <v>80</v>
      </c>
      <c r="CT170" s="9" t="s">
        <v>348</v>
      </c>
      <c r="CU170" s="9" t="s">
        <v>806</v>
      </c>
      <c r="CV170" s="9" t="s">
        <v>80</v>
      </c>
      <c r="CW170" s="9" t="s">
        <v>348</v>
      </c>
      <c r="CX170" s="9" t="s">
        <v>806</v>
      </c>
      <c r="CY170" s="9" t="s">
        <v>77</v>
      </c>
      <c r="CZ170" s="9" t="s">
        <v>77</v>
      </c>
      <c r="DA170" s="9" t="s">
        <v>78</v>
      </c>
      <c r="DE170" s="9" t="s">
        <v>77</v>
      </c>
      <c r="DF170" s="9" t="s">
        <v>78</v>
      </c>
      <c r="DG170" s="9" t="s">
        <v>78</v>
      </c>
      <c r="DH170" s="9" t="s">
        <v>78</v>
      </c>
      <c r="DI170" s="9" t="s">
        <v>807</v>
      </c>
      <c r="DJ170" s="9" t="s">
        <v>77</v>
      </c>
      <c r="DK170" s="9" t="s">
        <v>77</v>
      </c>
      <c r="DN170" s="9" t="s">
        <v>77</v>
      </c>
      <c r="DO170" s="9" t="s">
        <v>77</v>
      </c>
      <c r="DP170" s="9" t="s">
        <v>80</v>
      </c>
      <c r="DQ170" s="9" t="s">
        <v>438</v>
      </c>
      <c r="DR170" s="9" t="s">
        <v>77</v>
      </c>
      <c r="DS170" s="9" t="s">
        <v>78</v>
      </c>
      <c r="DT170" s="9" t="s">
        <v>349</v>
      </c>
      <c r="DU170" s="9" t="s">
        <v>78</v>
      </c>
      <c r="DV170" s="9" t="s">
        <v>77</v>
      </c>
      <c r="DZ170" s="9" t="s">
        <v>77</v>
      </c>
      <c r="EA170" s="9" t="s">
        <v>77</v>
      </c>
      <c r="EB170" s="9" t="s">
        <v>80</v>
      </c>
      <c r="EC170" s="9" t="s">
        <v>438</v>
      </c>
      <c r="ED170" s="9" t="s">
        <v>77</v>
      </c>
      <c r="EE170" s="9" t="s">
        <v>78</v>
      </c>
      <c r="EF170" s="9" t="s">
        <v>349</v>
      </c>
      <c r="EG170" s="9" t="s">
        <v>78</v>
      </c>
      <c r="EH170" s="9" t="s">
        <v>77</v>
      </c>
      <c r="EL170" s="9" t="s">
        <v>77</v>
      </c>
      <c r="EM170" s="9" t="s">
        <v>77</v>
      </c>
      <c r="EN170" s="9" t="s">
        <v>80</v>
      </c>
      <c r="EO170" s="9" t="s">
        <v>438</v>
      </c>
      <c r="EP170" s="9" t="s">
        <v>77</v>
      </c>
      <c r="EQ170" s="9" t="s">
        <v>78</v>
      </c>
      <c r="ER170" s="9" t="s">
        <v>349</v>
      </c>
      <c r="ES170" s="9" t="s">
        <v>78</v>
      </c>
      <c r="ET170" s="9" t="s">
        <v>77</v>
      </c>
      <c r="EX170" s="9" t="s">
        <v>77</v>
      </c>
      <c r="EY170" s="9" t="s">
        <v>77</v>
      </c>
      <c r="EZ170" s="9" t="s">
        <v>80</v>
      </c>
      <c r="FA170" s="9" t="s">
        <v>438</v>
      </c>
      <c r="FB170" s="9" t="s">
        <v>77</v>
      </c>
      <c r="FC170" s="9" t="s">
        <v>78</v>
      </c>
      <c r="FD170" s="9" t="s">
        <v>349</v>
      </c>
      <c r="FE170" s="9" t="s">
        <v>78</v>
      </c>
      <c r="FF170" s="9" t="s">
        <v>77</v>
      </c>
    </row>
    <row r="171" spans="50:162">
      <c r="AX171" s="9" t="s">
        <v>77</v>
      </c>
      <c r="AY171" s="9" t="s">
        <v>77</v>
      </c>
      <c r="AZ171" s="9" t="s">
        <v>80</v>
      </c>
      <c r="BA171" s="9" t="s">
        <v>438</v>
      </c>
      <c r="BB171" s="9" t="s">
        <v>79</v>
      </c>
      <c r="BC171" s="9" t="s">
        <v>78</v>
      </c>
      <c r="BD171" s="9" t="s">
        <v>349</v>
      </c>
      <c r="BE171" s="9" t="s">
        <v>78</v>
      </c>
      <c r="BF171" s="9" t="s">
        <v>77</v>
      </c>
      <c r="BI171" s="9" t="s">
        <v>77</v>
      </c>
      <c r="BJ171" s="9" t="s">
        <v>80</v>
      </c>
      <c r="BK171" s="9" t="s">
        <v>348</v>
      </c>
      <c r="BL171" s="9" t="s">
        <v>808</v>
      </c>
      <c r="BM171" s="9" t="s">
        <v>80</v>
      </c>
      <c r="BN171" s="9" t="s">
        <v>348</v>
      </c>
      <c r="BO171" s="9" t="s">
        <v>808</v>
      </c>
      <c r="BP171" s="9" t="s">
        <v>77</v>
      </c>
      <c r="BQ171" s="9" t="s">
        <v>77</v>
      </c>
      <c r="BR171" s="9" t="s">
        <v>77</v>
      </c>
      <c r="BS171" s="9" t="s">
        <v>77</v>
      </c>
      <c r="BT171" s="9" t="s">
        <v>77</v>
      </c>
      <c r="BU171" s="9" t="s">
        <v>77</v>
      </c>
      <c r="BV171" s="9" t="s">
        <v>78</v>
      </c>
      <c r="BW171" s="9" t="s">
        <v>78</v>
      </c>
      <c r="BX171" s="9" t="s">
        <v>78</v>
      </c>
      <c r="CB171" s="9" t="s">
        <v>77</v>
      </c>
      <c r="CC171" s="9" t="s">
        <v>80</v>
      </c>
      <c r="CD171" s="9" t="s">
        <v>77</v>
      </c>
      <c r="CE171" s="9" t="s">
        <v>77</v>
      </c>
      <c r="CF171" s="9" t="s">
        <v>77</v>
      </c>
      <c r="CG171" s="9" t="s">
        <v>80</v>
      </c>
      <c r="CH171" s="9" t="s">
        <v>348</v>
      </c>
      <c r="CI171" s="9" t="s">
        <v>808</v>
      </c>
      <c r="CJ171" s="9" t="s">
        <v>80</v>
      </c>
      <c r="CK171" s="9" t="s">
        <v>348</v>
      </c>
      <c r="CL171" s="9" t="s">
        <v>808</v>
      </c>
      <c r="CM171" s="9" t="s">
        <v>77</v>
      </c>
      <c r="CN171" s="9" t="s">
        <v>77</v>
      </c>
      <c r="CO171" s="9" t="s">
        <v>78</v>
      </c>
      <c r="CS171" s="9" t="s">
        <v>80</v>
      </c>
      <c r="CT171" s="9" t="s">
        <v>348</v>
      </c>
      <c r="CU171" s="9" t="s">
        <v>808</v>
      </c>
      <c r="CV171" s="9" t="s">
        <v>80</v>
      </c>
      <c r="CW171" s="9" t="s">
        <v>348</v>
      </c>
      <c r="CX171" s="9" t="s">
        <v>808</v>
      </c>
      <c r="CY171" s="9" t="s">
        <v>77</v>
      </c>
      <c r="CZ171" s="9" t="s">
        <v>77</v>
      </c>
      <c r="DA171" s="9" t="s">
        <v>78</v>
      </c>
      <c r="DE171" s="9" t="s">
        <v>77</v>
      </c>
      <c r="DF171" s="9" t="s">
        <v>78</v>
      </c>
      <c r="DG171" s="9" t="s">
        <v>78</v>
      </c>
      <c r="DH171" s="9" t="s">
        <v>78</v>
      </c>
      <c r="DI171" s="9" t="s">
        <v>809</v>
      </c>
      <c r="DJ171" s="9" t="s">
        <v>77</v>
      </c>
      <c r="DK171" s="9" t="s">
        <v>77</v>
      </c>
      <c r="DN171" s="9" t="s">
        <v>77</v>
      </c>
      <c r="DO171" s="9" t="s">
        <v>77</v>
      </c>
      <c r="DP171" s="9" t="s">
        <v>80</v>
      </c>
      <c r="DQ171" s="9" t="s">
        <v>438</v>
      </c>
      <c r="DR171" s="9" t="s">
        <v>77</v>
      </c>
      <c r="DS171" s="9" t="s">
        <v>78</v>
      </c>
      <c r="DT171" s="9" t="s">
        <v>349</v>
      </c>
      <c r="DU171" s="9" t="s">
        <v>78</v>
      </c>
      <c r="DV171" s="9" t="s">
        <v>77</v>
      </c>
      <c r="DZ171" s="9" t="s">
        <v>77</v>
      </c>
      <c r="EA171" s="9" t="s">
        <v>77</v>
      </c>
      <c r="EB171" s="9" t="s">
        <v>80</v>
      </c>
      <c r="EC171" s="9" t="s">
        <v>438</v>
      </c>
      <c r="ED171" s="9" t="s">
        <v>77</v>
      </c>
      <c r="EE171" s="9" t="s">
        <v>78</v>
      </c>
      <c r="EF171" s="9" t="s">
        <v>349</v>
      </c>
      <c r="EG171" s="9" t="s">
        <v>78</v>
      </c>
      <c r="EH171" s="9" t="s">
        <v>77</v>
      </c>
      <c r="EL171" s="9" t="s">
        <v>77</v>
      </c>
      <c r="EM171" s="9" t="s">
        <v>77</v>
      </c>
      <c r="EN171" s="9" t="s">
        <v>80</v>
      </c>
      <c r="EO171" s="9" t="s">
        <v>438</v>
      </c>
      <c r="EP171" s="9" t="s">
        <v>77</v>
      </c>
      <c r="EQ171" s="9" t="s">
        <v>78</v>
      </c>
      <c r="ER171" s="9" t="s">
        <v>349</v>
      </c>
      <c r="ES171" s="9" t="s">
        <v>78</v>
      </c>
      <c r="ET171" s="9" t="s">
        <v>77</v>
      </c>
      <c r="EX171" s="9" t="s">
        <v>77</v>
      </c>
      <c r="EY171" s="9" t="s">
        <v>77</v>
      </c>
      <c r="EZ171" s="9" t="s">
        <v>80</v>
      </c>
      <c r="FA171" s="9" t="s">
        <v>438</v>
      </c>
      <c r="FB171" s="9" t="s">
        <v>77</v>
      </c>
      <c r="FC171" s="9" t="s">
        <v>78</v>
      </c>
      <c r="FD171" s="9" t="s">
        <v>349</v>
      </c>
      <c r="FE171" s="9" t="s">
        <v>78</v>
      </c>
      <c r="FF171" s="9" t="s">
        <v>77</v>
      </c>
    </row>
    <row r="172" spans="50:162">
      <c r="AX172" s="9" t="s">
        <v>77</v>
      </c>
      <c r="AY172" s="9" t="s">
        <v>77</v>
      </c>
      <c r="AZ172" s="9" t="s">
        <v>80</v>
      </c>
      <c r="BA172" s="9" t="s">
        <v>438</v>
      </c>
      <c r="BB172" s="9" t="s">
        <v>79</v>
      </c>
      <c r="BC172" s="9" t="s">
        <v>78</v>
      </c>
      <c r="BD172" s="9" t="s">
        <v>349</v>
      </c>
      <c r="BE172" s="9" t="s">
        <v>78</v>
      </c>
      <c r="BF172" s="9" t="s">
        <v>77</v>
      </c>
      <c r="BI172" s="9" t="s">
        <v>77</v>
      </c>
      <c r="BJ172" s="9" t="s">
        <v>80</v>
      </c>
      <c r="BK172" s="9" t="s">
        <v>348</v>
      </c>
      <c r="BL172" s="9" t="s">
        <v>810</v>
      </c>
      <c r="BM172" s="9" t="s">
        <v>80</v>
      </c>
      <c r="BN172" s="9" t="s">
        <v>348</v>
      </c>
      <c r="BO172" s="9" t="s">
        <v>810</v>
      </c>
      <c r="BP172" s="9" t="s">
        <v>77</v>
      </c>
      <c r="BQ172" s="9" t="s">
        <v>77</v>
      </c>
      <c r="BR172" s="9" t="s">
        <v>77</v>
      </c>
      <c r="BS172" s="9" t="s">
        <v>77</v>
      </c>
      <c r="BT172" s="9" t="s">
        <v>77</v>
      </c>
      <c r="BU172" s="9" t="s">
        <v>77</v>
      </c>
      <c r="BV172" s="9" t="s">
        <v>78</v>
      </c>
      <c r="BW172" s="9" t="s">
        <v>78</v>
      </c>
      <c r="BX172" s="9" t="s">
        <v>78</v>
      </c>
      <c r="CB172" s="9" t="s">
        <v>77</v>
      </c>
      <c r="CC172" s="9" t="s">
        <v>80</v>
      </c>
      <c r="CD172" s="9" t="s">
        <v>77</v>
      </c>
      <c r="CE172" s="9" t="s">
        <v>77</v>
      </c>
      <c r="CF172" s="9" t="s">
        <v>77</v>
      </c>
      <c r="CG172" s="9" t="s">
        <v>80</v>
      </c>
      <c r="CH172" s="9" t="s">
        <v>348</v>
      </c>
      <c r="CI172" s="9" t="s">
        <v>810</v>
      </c>
      <c r="CJ172" s="9" t="s">
        <v>80</v>
      </c>
      <c r="CK172" s="9" t="s">
        <v>348</v>
      </c>
      <c r="CL172" s="9" t="s">
        <v>810</v>
      </c>
      <c r="CM172" s="9" t="s">
        <v>77</v>
      </c>
      <c r="CN172" s="9" t="s">
        <v>77</v>
      </c>
      <c r="CO172" s="9" t="s">
        <v>78</v>
      </c>
      <c r="CS172" s="9" t="s">
        <v>80</v>
      </c>
      <c r="CT172" s="9" t="s">
        <v>348</v>
      </c>
      <c r="CU172" s="9" t="s">
        <v>810</v>
      </c>
      <c r="CV172" s="9" t="s">
        <v>80</v>
      </c>
      <c r="CW172" s="9" t="s">
        <v>348</v>
      </c>
      <c r="CX172" s="9" t="s">
        <v>810</v>
      </c>
      <c r="CY172" s="9" t="s">
        <v>77</v>
      </c>
      <c r="CZ172" s="9" t="s">
        <v>77</v>
      </c>
      <c r="DA172" s="9" t="s">
        <v>78</v>
      </c>
      <c r="DE172" s="9" t="s">
        <v>77</v>
      </c>
      <c r="DF172" s="9" t="s">
        <v>78</v>
      </c>
      <c r="DG172" s="9" t="s">
        <v>78</v>
      </c>
      <c r="DH172" s="9" t="s">
        <v>78</v>
      </c>
      <c r="DI172" s="9" t="s">
        <v>811</v>
      </c>
      <c r="DJ172" s="9" t="s">
        <v>77</v>
      </c>
      <c r="DK172" s="9" t="s">
        <v>77</v>
      </c>
      <c r="DN172" s="9" t="s">
        <v>77</v>
      </c>
      <c r="DO172" s="9" t="s">
        <v>77</v>
      </c>
      <c r="DP172" s="9" t="s">
        <v>80</v>
      </c>
      <c r="DQ172" s="9" t="s">
        <v>438</v>
      </c>
      <c r="DR172" s="9" t="s">
        <v>77</v>
      </c>
      <c r="DS172" s="9" t="s">
        <v>78</v>
      </c>
      <c r="DT172" s="9" t="s">
        <v>349</v>
      </c>
      <c r="DU172" s="9" t="s">
        <v>78</v>
      </c>
      <c r="DV172" s="9" t="s">
        <v>77</v>
      </c>
      <c r="DZ172" s="9" t="s">
        <v>77</v>
      </c>
      <c r="EA172" s="9" t="s">
        <v>77</v>
      </c>
      <c r="EB172" s="9" t="s">
        <v>80</v>
      </c>
      <c r="EC172" s="9" t="s">
        <v>438</v>
      </c>
      <c r="ED172" s="9" t="s">
        <v>77</v>
      </c>
      <c r="EE172" s="9" t="s">
        <v>78</v>
      </c>
      <c r="EF172" s="9" t="s">
        <v>349</v>
      </c>
      <c r="EG172" s="9" t="s">
        <v>78</v>
      </c>
      <c r="EH172" s="9" t="s">
        <v>77</v>
      </c>
      <c r="EL172" s="9" t="s">
        <v>77</v>
      </c>
      <c r="EM172" s="9" t="s">
        <v>77</v>
      </c>
      <c r="EN172" s="9" t="s">
        <v>80</v>
      </c>
      <c r="EO172" s="9" t="s">
        <v>438</v>
      </c>
      <c r="EP172" s="9" t="s">
        <v>77</v>
      </c>
      <c r="EQ172" s="9" t="s">
        <v>78</v>
      </c>
      <c r="ER172" s="9" t="s">
        <v>349</v>
      </c>
      <c r="ES172" s="9" t="s">
        <v>78</v>
      </c>
      <c r="ET172" s="9" t="s">
        <v>77</v>
      </c>
      <c r="EX172" s="9" t="s">
        <v>77</v>
      </c>
      <c r="EY172" s="9" t="s">
        <v>77</v>
      </c>
      <c r="EZ172" s="9" t="s">
        <v>80</v>
      </c>
      <c r="FA172" s="9" t="s">
        <v>438</v>
      </c>
      <c r="FB172" s="9" t="s">
        <v>77</v>
      </c>
      <c r="FC172" s="9" t="s">
        <v>78</v>
      </c>
      <c r="FD172" s="9" t="s">
        <v>349</v>
      </c>
      <c r="FE172" s="9" t="s">
        <v>78</v>
      </c>
      <c r="FF172" s="9" t="s">
        <v>77</v>
      </c>
    </row>
    <row r="173" spans="50:162">
      <c r="AX173" s="9" t="s">
        <v>77</v>
      </c>
      <c r="AY173" s="9" t="s">
        <v>77</v>
      </c>
      <c r="AZ173" s="9" t="s">
        <v>80</v>
      </c>
      <c r="BA173" s="9" t="s">
        <v>438</v>
      </c>
      <c r="BB173" s="9" t="s">
        <v>79</v>
      </c>
      <c r="BC173" s="9" t="s">
        <v>78</v>
      </c>
      <c r="BD173" s="9" t="s">
        <v>349</v>
      </c>
      <c r="BE173" s="9" t="s">
        <v>78</v>
      </c>
      <c r="BF173" s="9" t="s">
        <v>77</v>
      </c>
      <c r="BI173" s="9" t="s">
        <v>77</v>
      </c>
      <c r="BJ173" s="9" t="s">
        <v>80</v>
      </c>
      <c r="BK173" s="9" t="s">
        <v>348</v>
      </c>
      <c r="BL173" s="9" t="s">
        <v>812</v>
      </c>
      <c r="BM173" s="9" t="s">
        <v>80</v>
      </c>
      <c r="BN173" s="9" t="s">
        <v>348</v>
      </c>
      <c r="BO173" s="9" t="s">
        <v>812</v>
      </c>
      <c r="BP173" s="9" t="s">
        <v>77</v>
      </c>
      <c r="BQ173" s="9" t="s">
        <v>77</v>
      </c>
      <c r="BR173" s="9" t="s">
        <v>77</v>
      </c>
      <c r="BS173" s="9" t="s">
        <v>77</v>
      </c>
      <c r="BT173" s="9" t="s">
        <v>77</v>
      </c>
      <c r="BU173" s="9" t="s">
        <v>77</v>
      </c>
      <c r="BV173" s="9" t="s">
        <v>78</v>
      </c>
      <c r="BW173" s="9" t="s">
        <v>78</v>
      </c>
      <c r="BX173" s="9" t="s">
        <v>78</v>
      </c>
      <c r="CB173" s="9" t="s">
        <v>77</v>
      </c>
      <c r="CC173" s="9" t="s">
        <v>80</v>
      </c>
      <c r="CD173" s="9" t="s">
        <v>77</v>
      </c>
      <c r="CE173" s="9" t="s">
        <v>77</v>
      </c>
      <c r="CF173" s="9" t="s">
        <v>77</v>
      </c>
      <c r="CG173" s="9" t="s">
        <v>80</v>
      </c>
      <c r="CH173" s="9" t="s">
        <v>348</v>
      </c>
      <c r="CI173" s="9" t="s">
        <v>812</v>
      </c>
      <c r="CJ173" s="9" t="s">
        <v>80</v>
      </c>
      <c r="CK173" s="9" t="s">
        <v>348</v>
      </c>
      <c r="CL173" s="9" t="s">
        <v>812</v>
      </c>
      <c r="CM173" s="9" t="s">
        <v>77</v>
      </c>
      <c r="CN173" s="9" t="s">
        <v>77</v>
      </c>
      <c r="CO173" s="9" t="s">
        <v>78</v>
      </c>
      <c r="CS173" s="9" t="s">
        <v>80</v>
      </c>
      <c r="CT173" s="9" t="s">
        <v>348</v>
      </c>
      <c r="CU173" s="9" t="s">
        <v>812</v>
      </c>
      <c r="CV173" s="9" t="s">
        <v>80</v>
      </c>
      <c r="CW173" s="9" t="s">
        <v>348</v>
      </c>
      <c r="CX173" s="9" t="s">
        <v>812</v>
      </c>
      <c r="CY173" s="9" t="s">
        <v>77</v>
      </c>
      <c r="CZ173" s="9" t="s">
        <v>77</v>
      </c>
      <c r="DA173" s="9" t="s">
        <v>78</v>
      </c>
      <c r="DE173" s="9" t="s">
        <v>77</v>
      </c>
      <c r="DF173" s="9" t="s">
        <v>78</v>
      </c>
      <c r="DG173" s="9" t="s">
        <v>78</v>
      </c>
      <c r="DH173" s="9" t="s">
        <v>78</v>
      </c>
      <c r="DI173" s="9" t="s">
        <v>813</v>
      </c>
      <c r="DJ173" s="9" t="s">
        <v>77</v>
      </c>
      <c r="DK173" s="9" t="s">
        <v>77</v>
      </c>
      <c r="DN173" s="9" t="s">
        <v>77</v>
      </c>
      <c r="DO173" s="9" t="s">
        <v>77</v>
      </c>
      <c r="DP173" s="9" t="s">
        <v>80</v>
      </c>
      <c r="DQ173" s="9" t="s">
        <v>438</v>
      </c>
      <c r="DR173" s="9" t="s">
        <v>77</v>
      </c>
      <c r="DS173" s="9" t="s">
        <v>78</v>
      </c>
      <c r="DT173" s="9" t="s">
        <v>349</v>
      </c>
      <c r="DU173" s="9" t="s">
        <v>78</v>
      </c>
      <c r="DV173" s="9" t="s">
        <v>77</v>
      </c>
      <c r="DZ173" s="9" t="s">
        <v>77</v>
      </c>
      <c r="EA173" s="9" t="s">
        <v>77</v>
      </c>
      <c r="EB173" s="9" t="s">
        <v>80</v>
      </c>
      <c r="EC173" s="9" t="s">
        <v>438</v>
      </c>
      <c r="ED173" s="9" t="s">
        <v>77</v>
      </c>
      <c r="EE173" s="9" t="s">
        <v>78</v>
      </c>
      <c r="EF173" s="9" t="s">
        <v>349</v>
      </c>
      <c r="EG173" s="9" t="s">
        <v>78</v>
      </c>
      <c r="EH173" s="9" t="s">
        <v>77</v>
      </c>
      <c r="EL173" s="9" t="s">
        <v>77</v>
      </c>
      <c r="EM173" s="9" t="s">
        <v>77</v>
      </c>
      <c r="EN173" s="9" t="s">
        <v>80</v>
      </c>
      <c r="EO173" s="9" t="s">
        <v>438</v>
      </c>
      <c r="EP173" s="9" t="s">
        <v>77</v>
      </c>
      <c r="EQ173" s="9" t="s">
        <v>78</v>
      </c>
      <c r="ER173" s="9" t="s">
        <v>349</v>
      </c>
      <c r="ES173" s="9" t="s">
        <v>78</v>
      </c>
      <c r="ET173" s="9" t="s">
        <v>77</v>
      </c>
      <c r="EX173" s="9" t="s">
        <v>77</v>
      </c>
      <c r="EY173" s="9" t="s">
        <v>77</v>
      </c>
      <c r="EZ173" s="9" t="s">
        <v>80</v>
      </c>
      <c r="FA173" s="9" t="s">
        <v>438</v>
      </c>
      <c r="FB173" s="9" t="s">
        <v>77</v>
      </c>
      <c r="FC173" s="9" t="s">
        <v>78</v>
      </c>
      <c r="FD173" s="9" t="s">
        <v>349</v>
      </c>
      <c r="FE173" s="9" t="s">
        <v>78</v>
      </c>
      <c r="FF173" s="9" t="s">
        <v>77</v>
      </c>
    </row>
    <row r="174" spans="50:162">
      <c r="AX174" s="9" t="s">
        <v>77</v>
      </c>
      <c r="AY174" s="9" t="s">
        <v>77</v>
      </c>
      <c r="AZ174" s="9" t="s">
        <v>80</v>
      </c>
      <c r="BA174" s="9" t="s">
        <v>438</v>
      </c>
      <c r="BB174" s="9" t="s">
        <v>79</v>
      </c>
      <c r="BC174" s="9" t="s">
        <v>78</v>
      </c>
      <c r="BD174" s="9" t="s">
        <v>349</v>
      </c>
      <c r="BE174" s="9" t="s">
        <v>78</v>
      </c>
      <c r="BF174" s="9" t="s">
        <v>77</v>
      </c>
      <c r="BI174" s="9" t="s">
        <v>77</v>
      </c>
      <c r="BJ174" s="9" t="s">
        <v>80</v>
      </c>
      <c r="BK174" s="9" t="s">
        <v>348</v>
      </c>
      <c r="BL174" s="9" t="s">
        <v>814</v>
      </c>
      <c r="BM174" s="9" t="s">
        <v>80</v>
      </c>
      <c r="BN174" s="9" t="s">
        <v>348</v>
      </c>
      <c r="BO174" s="9" t="s">
        <v>814</v>
      </c>
      <c r="BP174" s="9" t="s">
        <v>77</v>
      </c>
      <c r="BQ174" s="9" t="s">
        <v>77</v>
      </c>
      <c r="BR174" s="9" t="s">
        <v>77</v>
      </c>
      <c r="BS174" s="9" t="s">
        <v>77</v>
      </c>
      <c r="BT174" s="9" t="s">
        <v>77</v>
      </c>
      <c r="BU174" s="9" t="s">
        <v>77</v>
      </c>
      <c r="BV174" s="9" t="s">
        <v>78</v>
      </c>
      <c r="BW174" s="9" t="s">
        <v>78</v>
      </c>
      <c r="BX174" s="9" t="s">
        <v>78</v>
      </c>
      <c r="CB174" s="9" t="s">
        <v>77</v>
      </c>
      <c r="CC174" s="9" t="s">
        <v>80</v>
      </c>
      <c r="CD174" s="9" t="s">
        <v>77</v>
      </c>
      <c r="CE174" s="9" t="s">
        <v>77</v>
      </c>
      <c r="CF174" s="9" t="s">
        <v>77</v>
      </c>
      <c r="CG174" s="9" t="s">
        <v>80</v>
      </c>
      <c r="CH174" s="9" t="s">
        <v>348</v>
      </c>
      <c r="CI174" s="9" t="s">
        <v>815</v>
      </c>
      <c r="CJ174" s="9" t="s">
        <v>80</v>
      </c>
      <c r="CK174" s="9" t="s">
        <v>348</v>
      </c>
      <c r="CL174" s="9" t="s">
        <v>815</v>
      </c>
      <c r="CM174" s="9" t="s">
        <v>77</v>
      </c>
      <c r="CN174" s="9" t="s">
        <v>77</v>
      </c>
      <c r="CO174" s="9" t="s">
        <v>78</v>
      </c>
      <c r="CS174" s="9" t="s">
        <v>80</v>
      </c>
      <c r="CT174" s="9" t="s">
        <v>348</v>
      </c>
      <c r="CU174" s="9" t="s">
        <v>814</v>
      </c>
      <c r="CV174" s="9" t="s">
        <v>80</v>
      </c>
      <c r="CW174" s="9" t="s">
        <v>348</v>
      </c>
      <c r="CX174" s="9" t="s">
        <v>814</v>
      </c>
      <c r="CY174" s="9" t="s">
        <v>77</v>
      </c>
      <c r="CZ174" s="9" t="s">
        <v>77</v>
      </c>
      <c r="DA174" s="9" t="s">
        <v>78</v>
      </c>
      <c r="DE174" s="9" t="s">
        <v>77</v>
      </c>
      <c r="DF174" s="9" t="s">
        <v>78</v>
      </c>
      <c r="DG174" s="9" t="s">
        <v>78</v>
      </c>
      <c r="DH174" s="9" t="s">
        <v>78</v>
      </c>
      <c r="DI174" s="9" t="s">
        <v>816</v>
      </c>
      <c r="DJ174" s="9" t="s">
        <v>77</v>
      </c>
      <c r="DK174" s="9" t="s">
        <v>77</v>
      </c>
      <c r="DN174" s="9" t="s">
        <v>77</v>
      </c>
      <c r="DO174" s="9" t="s">
        <v>77</v>
      </c>
      <c r="DP174" s="9" t="s">
        <v>80</v>
      </c>
      <c r="DQ174" s="9" t="s">
        <v>438</v>
      </c>
      <c r="DR174" s="9" t="s">
        <v>77</v>
      </c>
      <c r="DS174" s="9" t="s">
        <v>78</v>
      </c>
      <c r="DT174" s="9" t="s">
        <v>349</v>
      </c>
      <c r="DU174" s="9" t="s">
        <v>78</v>
      </c>
      <c r="DV174" s="9" t="s">
        <v>77</v>
      </c>
      <c r="DZ174" s="9" t="s">
        <v>77</v>
      </c>
      <c r="EA174" s="9" t="s">
        <v>77</v>
      </c>
      <c r="EB174" s="9" t="s">
        <v>80</v>
      </c>
      <c r="EC174" s="9" t="s">
        <v>438</v>
      </c>
      <c r="ED174" s="9" t="s">
        <v>77</v>
      </c>
      <c r="EE174" s="9" t="s">
        <v>78</v>
      </c>
      <c r="EF174" s="9" t="s">
        <v>349</v>
      </c>
      <c r="EG174" s="9" t="s">
        <v>78</v>
      </c>
      <c r="EH174" s="9" t="s">
        <v>77</v>
      </c>
      <c r="EL174" s="9" t="s">
        <v>77</v>
      </c>
      <c r="EM174" s="9" t="s">
        <v>77</v>
      </c>
      <c r="EN174" s="9" t="s">
        <v>80</v>
      </c>
      <c r="EO174" s="9" t="s">
        <v>438</v>
      </c>
      <c r="EP174" s="9" t="s">
        <v>77</v>
      </c>
      <c r="EQ174" s="9" t="s">
        <v>78</v>
      </c>
      <c r="ER174" s="9" t="s">
        <v>349</v>
      </c>
      <c r="ES174" s="9" t="s">
        <v>78</v>
      </c>
      <c r="ET174" s="9" t="s">
        <v>77</v>
      </c>
      <c r="EX174" s="9" t="s">
        <v>77</v>
      </c>
      <c r="EY174" s="9" t="s">
        <v>77</v>
      </c>
      <c r="EZ174" s="9" t="s">
        <v>80</v>
      </c>
      <c r="FA174" s="9" t="s">
        <v>438</v>
      </c>
      <c r="FB174" s="9" t="s">
        <v>77</v>
      </c>
      <c r="FC174" s="9" t="s">
        <v>78</v>
      </c>
      <c r="FD174" s="9" t="s">
        <v>349</v>
      </c>
      <c r="FE174" s="9" t="s">
        <v>78</v>
      </c>
      <c r="FF174" s="9" t="s">
        <v>77</v>
      </c>
    </row>
    <row r="175" spans="50:162">
      <c r="AX175" s="9" t="s">
        <v>77</v>
      </c>
      <c r="AY175" s="9" t="s">
        <v>77</v>
      </c>
      <c r="AZ175" s="9" t="s">
        <v>80</v>
      </c>
      <c r="BA175" s="9" t="s">
        <v>438</v>
      </c>
      <c r="BB175" s="9" t="s">
        <v>79</v>
      </c>
      <c r="BC175" s="9" t="s">
        <v>78</v>
      </c>
      <c r="BD175" s="9" t="s">
        <v>349</v>
      </c>
      <c r="BE175" s="9" t="s">
        <v>78</v>
      </c>
      <c r="BF175" s="9" t="s">
        <v>77</v>
      </c>
      <c r="BI175" s="9" t="s">
        <v>77</v>
      </c>
      <c r="BJ175" s="9" t="s">
        <v>80</v>
      </c>
      <c r="BK175" s="9" t="s">
        <v>348</v>
      </c>
      <c r="BL175" s="9" t="s">
        <v>817</v>
      </c>
      <c r="BM175" s="9" t="s">
        <v>80</v>
      </c>
      <c r="BN175" s="9" t="s">
        <v>348</v>
      </c>
      <c r="BO175" s="9" t="s">
        <v>817</v>
      </c>
      <c r="BP175" s="9" t="s">
        <v>77</v>
      </c>
      <c r="BQ175" s="9" t="s">
        <v>77</v>
      </c>
      <c r="BR175" s="9" t="s">
        <v>77</v>
      </c>
      <c r="BS175" s="9" t="s">
        <v>77</v>
      </c>
      <c r="BT175" s="9" t="s">
        <v>77</v>
      </c>
      <c r="BU175" s="9" t="s">
        <v>77</v>
      </c>
      <c r="BV175" s="9" t="s">
        <v>78</v>
      </c>
      <c r="BW175" s="9" t="s">
        <v>78</v>
      </c>
      <c r="BX175" s="9" t="s">
        <v>78</v>
      </c>
      <c r="CB175" s="9" t="s">
        <v>77</v>
      </c>
      <c r="CC175" s="9" t="s">
        <v>80</v>
      </c>
      <c r="CD175" s="9" t="s">
        <v>77</v>
      </c>
      <c r="CE175" s="9" t="s">
        <v>77</v>
      </c>
      <c r="CF175" s="9" t="s">
        <v>77</v>
      </c>
      <c r="CG175" s="9" t="s">
        <v>80</v>
      </c>
      <c r="CH175" s="9" t="s">
        <v>348</v>
      </c>
      <c r="CI175" s="9" t="s">
        <v>818</v>
      </c>
      <c r="CJ175" s="9" t="s">
        <v>80</v>
      </c>
      <c r="CK175" s="9" t="s">
        <v>348</v>
      </c>
      <c r="CL175" s="9" t="s">
        <v>818</v>
      </c>
      <c r="CM175" s="9" t="s">
        <v>77</v>
      </c>
      <c r="CN175" s="9" t="s">
        <v>77</v>
      </c>
      <c r="CO175" s="9" t="s">
        <v>78</v>
      </c>
      <c r="CS175" s="9" t="s">
        <v>80</v>
      </c>
      <c r="CT175" s="9" t="s">
        <v>348</v>
      </c>
      <c r="CU175" s="9" t="s">
        <v>818</v>
      </c>
      <c r="CV175" s="9" t="s">
        <v>80</v>
      </c>
      <c r="CW175" s="9" t="s">
        <v>348</v>
      </c>
      <c r="CX175" s="9" t="s">
        <v>818</v>
      </c>
      <c r="CY175" s="9" t="s">
        <v>77</v>
      </c>
      <c r="CZ175" s="9" t="s">
        <v>77</v>
      </c>
      <c r="DA175" s="9" t="s">
        <v>78</v>
      </c>
      <c r="DE175" s="9" t="s">
        <v>77</v>
      </c>
      <c r="DF175" s="9" t="s">
        <v>78</v>
      </c>
      <c r="DG175" s="9" t="s">
        <v>78</v>
      </c>
      <c r="DH175" s="9" t="s">
        <v>78</v>
      </c>
      <c r="DI175" s="9" t="s">
        <v>817</v>
      </c>
      <c r="DJ175" s="9" t="s">
        <v>77</v>
      </c>
      <c r="DK175" s="9" t="s">
        <v>77</v>
      </c>
      <c r="DN175" s="9" t="s">
        <v>77</v>
      </c>
      <c r="DO175" s="9" t="s">
        <v>77</v>
      </c>
      <c r="DP175" s="9" t="s">
        <v>80</v>
      </c>
      <c r="DQ175" s="9" t="s">
        <v>438</v>
      </c>
      <c r="DR175" s="9" t="s">
        <v>77</v>
      </c>
      <c r="DS175" s="9" t="s">
        <v>78</v>
      </c>
      <c r="DT175" s="9" t="s">
        <v>349</v>
      </c>
      <c r="DU175" s="9" t="s">
        <v>78</v>
      </c>
      <c r="DV175" s="9" t="s">
        <v>77</v>
      </c>
      <c r="DZ175" s="9" t="s">
        <v>77</v>
      </c>
      <c r="EA175" s="9" t="s">
        <v>77</v>
      </c>
      <c r="EB175" s="9" t="s">
        <v>80</v>
      </c>
      <c r="EC175" s="9" t="s">
        <v>438</v>
      </c>
      <c r="ED175" s="9" t="s">
        <v>77</v>
      </c>
      <c r="EE175" s="9" t="s">
        <v>78</v>
      </c>
      <c r="EF175" s="9" t="s">
        <v>349</v>
      </c>
      <c r="EG175" s="9" t="s">
        <v>78</v>
      </c>
      <c r="EH175" s="9" t="s">
        <v>77</v>
      </c>
      <c r="EL175" s="9" t="s">
        <v>77</v>
      </c>
      <c r="EM175" s="9" t="s">
        <v>77</v>
      </c>
      <c r="EN175" s="9" t="s">
        <v>80</v>
      </c>
      <c r="EO175" s="9" t="s">
        <v>438</v>
      </c>
      <c r="EP175" s="9" t="s">
        <v>77</v>
      </c>
      <c r="EQ175" s="9" t="s">
        <v>78</v>
      </c>
      <c r="ER175" s="9" t="s">
        <v>349</v>
      </c>
      <c r="ES175" s="9" t="s">
        <v>78</v>
      </c>
      <c r="ET175" s="9" t="s">
        <v>77</v>
      </c>
      <c r="EX175" s="9" t="s">
        <v>77</v>
      </c>
      <c r="EY175" s="9" t="s">
        <v>77</v>
      </c>
      <c r="EZ175" s="9" t="s">
        <v>80</v>
      </c>
      <c r="FA175" s="9" t="s">
        <v>438</v>
      </c>
      <c r="FB175" s="9" t="s">
        <v>77</v>
      </c>
      <c r="FC175" s="9" t="s">
        <v>78</v>
      </c>
      <c r="FD175" s="9" t="s">
        <v>349</v>
      </c>
      <c r="FE175" s="9" t="s">
        <v>78</v>
      </c>
      <c r="FF175" s="9" t="s">
        <v>77</v>
      </c>
    </row>
    <row r="176" spans="50:162">
      <c r="AX176" s="9" t="s">
        <v>77</v>
      </c>
      <c r="AY176" s="9" t="s">
        <v>77</v>
      </c>
      <c r="AZ176" s="9" t="s">
        <v>80</v>
      </c>
      <c r="BA176" s="9" t="s">
        <v>438</v>
      </c>
      <c r="BB176" s="9" t="s">
        <v>79</v>
      </c>
      <c r="BC176" s="9" t="s">
        <v>78</v>
      </c>
      <c r="BD176" s="9" t="s">
        <v>349</v>
      </c>
      <c r="BE176" s="9" t="s">
        <v>78</v>
      </c>
      <c r="BF176" s="9" t="s">
        <v>77</v>
      </c>
      <c r="BI176" s="9" t="s">
        <v>77</v>
      </c>
      <c r="BJ176" s="9" t="s">
        <v>80</v>
      </c>
      <c r="BK176" s="9" t="s">
        <v>348</v>
      </c>
      <c r="BL176" s="9" t="s">
        <v>819</v>
      </c>
      <c r="BM176" s="9" t="s">
        <v>80</v>
      </c>
      <c r="BN176" s="9" t="s">
        <v>348</v>
      </c>
      <c r="BO176" s="9" t="s">
        <v>819</v>
      </c>
      <c r="BP176" s="9" t="s">
        <v>77</v>
      </c>
      <c r="BQ176" s="9" t="s">
        <v>77</v>
      </c>
      <c r="BR176" s="9" t="s">
        <v>77</v>
      </c>
      <c r="BS176" s="9" t="s">
        <v>77</v>
      </c>
      <c r="BT176" s="9" t="s">
        <v>77</v>
      </c>
      <c r="BU176" s="9" t="s">
        <v>77</v>
      </c>
      <c r="BV176" s="9" t="s">
        <v>78</v>
      </c>
      <c r="BW176" s="9" t="s">
        <v>78</v>
      </c>
      <c r="BX176" s="9" t="s">
        <v>78</v>
      </c>
      <c r="CB176" s="9" t="s">
        <v>77</v>
      </c>
      <c r="CC176" s="9" t="s">
        <v>80</v>
      </c>
      <c r="CD176" s="9" t="s">
        <v>77</v>
      </c>
      <c r="CE176" s="9" t="s">
        <v>77</v>
      </c>
      <c r="CF176" s="9" t="s">
        <v>77</v>
      </c>
      <c r="CG176" s="9" t="s">
        <v>80</v>
      </c>
      <c r="CH176" s="9" t="s">
        <v>348</v>
      </c>
      <c r="CI176" s="9" t="s">
        <v>820</v>
      </c>
      <c r="CJ176" s="9" t="s">
        <v>80</v>
      </c>
      <c r="CK176" s="9" t="s">
        <v>348</v>
      </c>
      <c r="CL176" s="9" t="s">
        <v>820</v>
      </c>
      <c r="CM176" s="9" t="s">
        <v>77</v>
      </c>
      <c r="CN176" s="9" t="s">
        <v>77</v>
      </c>
      <c r="CO176" s="9" t="s">
        <v>78</v>
      </c>
      <c r="CS176" s="9" t="s">
        <v>80</v>
      </c>
      <c r="CT176" s="9" t="s">
        <v>348</v>
      </c>
      <c r="CU176" s="9" t="s">
        <v>820</v>
      </c>
      <c r="CV176" s="9" t="s">
        <v>80</v>
      </c>
      <c r="CW176" s="9" t="s">
        <v>348</v>
      </c>
      <c r="CX176" s="9" t="s">
        <v>820</v>
      </c>
      <c r="CY176" s="9" t="s">
        <v>77</v>
      </c>
      <c r="CZ176" s="9" t="s">
        <v>77</v>
      </c>
      <c r="DA176" s="9" t="s">
        <v>78</v>
      </c>
      <c r="DE176" s="9" t="s">
        <v>77</v>
      </c>
      <c r="DF176" s="9" t="s">
        <v>78</v>
      </c>
      <c r="DG176" s="9" t="s">
        <v>78</v>
      </c>
      <c r="DH176" s="9" t="s">
        <v>78</v>
      </c>
      <c r="DI176" s="9" t="s">
        <v>819</v>
      </c>
      <c r="DJ176" s="9" t="s">
        <v>77</v>
      </c>
      <c r="DK176" s="9" t="s">
        <v>77</v>
      </c>
      <c r="DN176" s="9" t="s">
        <v>77</v>
      </c>
      <c r="DO176" s="9" t="s">
        <v>77</v>
      </c>
      <c r="DP176" s="9" t="s">
        <v>80</v>
      </c>
      <c r="DQ176" s="9" t="s">
        <v>438</v>
      </c>
      <c r="DR176" s="9" t="s">
        <v>77</v>
      </c>
      <c r="DS176" s="9" t="s">
        <v>78</v>
      </c>
      <c r="DT176" s="9" t="s">
        <v>349</v>
      </c>
      <c r="DU176" s="9" t="s">
        <v>78</v>
      </c>
      <c r="DV176" s="9" t="s">
        <v>77</v>
      </c>
      <c r="DZ176" s="9" t="s">
        <v>77</v>
      </c>
      <c r="EA176" s="9" t="s">
        <v>77</v>
      </c>
      <c r="EB176" s="9" t="s">
        <v>80</v>
      </c>
      <c r="EC176" s="9" t="s">
        <v>438</v>
      </c>
      <c r="ED176" s="9" t="s">
        <v>77</v>
      </c>
      <c r="EE176" s="9" t="s">
        <v>78</v>
      </c>
      <c r="EF176" s="9" t="s">
        <v>349</v>
      </c>
      <c r="EG176" s="9" t="s">
        <v>78</v>
      </c>
      <c r="EH176" s="9" t="s">
        <v>77</v>
      </c>
      <c r="EL176" s="9" t="s">
        <v>77</v>
      </c>
      <c r="EM176" s="9" t="s">
        <v>77</v>
      </c>
      <c r="EN176" s="9" t="s">
        <v>80</v>
      </c>
      <c r="EO176" s="9" t="s">
        <v>438</v>
      </c>
      <c r="EP176" s="9" t="s">
        <v>77</v>
      </c>
      <c r="EQ176" s="9" t="s">
        <v>78</v>
      </c>
      <c r="ER176" s="9" t="s">
        <v>349</v>
      </c>
      <c r="ES176" s="9" t="s">
        <v>78</v>
      </c>
      <c r="ET176" s="9" t="s">
        <v>77</v>
      </c>
      <c r="EX176" s="9" t="s">
        <v>77</v>
      </c>
      <c r="EY176" s="9" t="s">
        <v>77</v>
      </c>
      <c r="EZ176" s="9" t="s">
        <v>80</v>
      </c>
      <c r="FA176" s="9" t="s">
        <v>438</v>
      </c>
      <c r="FB176" s="9" t="s">
        <v>77</v>
      </c>
      <c r="FC176" s="9" t="s">
        <v>78</v>
      </c>
      <c r="FD176" s="9" t="s">
        <v>349</v>
      </c>
      <c r="FE176" s="9" t="s">
        <v>78</v>
      </c>
      <c r="FF176" s="9" t="s">
        <v>77</v>
      </c>
    </row>
    <row r="177" spans="50:162">
      <c r="AX177" s="9" t="s">
        <v>77</v>
      </c>
      <c r="AY177" s="9" t="s">
        <v>77</v>
      </c>
      <c r="AZ177" s="9" t="s">
        <v>80</v>
      </c>
      <c r="BA177" s="9" t="s">
        <v>438</v>
      </c>
      <c r="BB177" s="9" t="s">
        <v>79</v>
      </c>
      <c r="BC177" s="9" t="s">
        <v>78</v>
      </c>
      <c r="BD177" s="9" t="s">
        <v>349</v>
      </c>
      <c r="BE177" s="9" t="s">
        <v>78</v>
      </c>
      <c r="BF177" s="9" t="s">
        <v>77</v>
      </c>
      <c r="BI177" s="9" t="s">
        <v>77</v>
      </c>
      <c r="BJ177" s="9" t="s">
        <v>80</v>
      </c>
      <c r="BK177" s="9" t="s">
        <v>348</v>
      </c>
      <c r="BL177" s="9" t="s">
        <v>821</v>
      </c>
      <c r="BM177" s="9" t="s">
        <v>80</v>
      </c>
      <c r="BN177" s="9" t="s">
        <v>348</v>
      </c>
      <c r="BO177" s="9" t="s">
        <v>821</v>
      </c>
      <c r="BP177" s="9" t="s">
        <v>77</v>
      </c>
      <c r="BQ177" s="9" t="s">
        <v>77</v>
      </c>
      <c r="BR177" s="9" t="s">
        <v>77</v>
      </c>
      <c r="BS177" s="9" t="s">
        <v>77</v>
      </c>
      <c r="BT177" s="9" t="s">
        <v>77</v>
      </c>
      <c r="BU177" s="9" t="s">
        <v>77</v>
      </c>
      <c r="BV177" s="9" t="s">
        <v>78</v>
      </c>
      <c r="BW177" s="9" t="s">
        <v>78</v>
      </c>
      <c r="BX177" s="9" t="s">
        <v>78</v>
      </c>
      <c r="CB177" s="9" t="s">
        <v>77</v>
      </c>
      <c r="CC177" s="9" t="s">
        <v>80</v>
      </c>
      <c r="CD177" s="9" t="s">
        <v>77</v>
      </c>
      <c r="CE177" s="9" t="s">
        <v>77</v>
      </c>
      <c r="CF177" s="9" t="s">
        <v>77</v>
      </c>
      <c r="CG177" s="9" t="s">
        <v>80</v>
      </c>
      <c r="CH177" s="9" t="s">
        <v>348</v>
      </c>
      <c r="CI177" s="9" t="s">
        <v>821</v>
      </c>
      <c r="CJ177" s="9" t="s">
        <v>80</v>
      </c>
      <c r="CK177" s="9" t="s">
        <v>348</v>
      </c>
      <c r="CL177" s="9" t="s">
        <v>821</v>
      </c>
      <c r="CM177" s="9" t="s">
        <v>77</v>
      </c>
      <c r="CN177" s="9" t="s">
        <v>77</v>
      </c>
      <c r="CO177" s="9" t="s">
        <v>78</v>
      </c>
      <c r="CS177" s="9" t="s">
        <v>80</v>
      </c>
      <c r="CT177" s="9" t="s">
        <v>348</v>
      </c>
      <c r="CU177" s="9" t="s">
        <v>821</v>
      </c>
      <c r="CV177" s="9" t="s">
        <v>80</v>
      </c>
      <c r="CW177" s="9" t="s">
        <v>348</v>
      </c>
      <c r="CX177" s="9" t="s">
        <v>821</v>
      </c>
      <c r="CY177" s="9" t="s">
        <v>77</v>
      </c>
      <c r="CZ177" s="9" t="s">
        <v>77</v>
      </c>
      <c r="DA177" s="9" t="s">
        <v>78</v>
      </c>
      <c r="DE177" s="9" t="s">
        <v>77</v>
      </c>
      <c r="DF177" s="9" t="s">
        <v>78</v>
      </c>
      <c r="DG177" s="9" t="s">
        <v>78</v>
      </c>
      <c r="DH177" s="9" t="s">
        <v>78</v>
      </c>
      <c r="DI177" s="9" t="s">
        <v>822</v>
      </c>
      <c r="DJ177" s="9" t="s">
        <v>77</v>
      </c>
      <c r="DK177" s="9" t="s">
        <v>77</v>
      </c>
      <c r="DN177" s="9" t="s">
        <v>77</v>
      </c>
      <c r="DO177" s="9" t="s">
        <v>77</v>
      </c>
      <c r="DP177" s="9" t="s">
        <v>80</v>
      </c>
      <c r="DQ177" s="9" t="s">
        <v>438</v>
      </c>
      <c r="DR177" s="9" t="s">
        <v>77</v>
      </c>
      <c r="DS177" s="9" t="s">
        <v>78</v>
      </c>
      <c r="DT177" s="9" t="s">
        <v>349</v>
      </c>
      <c r="DU177" s="9" t="s">
        <v>78</v>
      </c>
      <c r="DV177" s="9" t="s">
        <v>77</v>
      </c>
      <c r="DZ177" s="9" t="s">
        <v>77</v>
      </c>
      <c r="EA177" s="9" t="s">
        <v>77</v>
      </c>
      <c r="EB177" s="9" t="s">
        <v>80</v>
      </c>
      <c r="EC177" s="9" t="s">
        <v>438</v>
      </c>
      <c r="ED177" s="9" t="s">
        <v>77</v>
      </c>
      <c r="EE177" s="9" t="s">
        <v>78</v>
      </c>
      <c r="EF177" s="9" t="s">
        <v>349</v>
      </c>
      <c r="EG177" s="9" t="s">
        <v>78</v>
      </c>
      <c r="EH177" s="9" t="s">
        <v>77</v>
      </c>
      <c r="EL177" s="9" t="s">
        <v>77</v>
      </c>
      <c r="EM177" s="9" t="s">
        <v>77</v>
      </c>
      <c r="EN177" s="9" t="s">
        <v>80</v>
      </c>
      <c r="EO177" s="9" t="s">
        <v>438</v>
      </c>
      <c r="EP177" s="9" t="s">
        <v>77</v>
      </c>
      <c r="EQ177" s="9" t="s">
        <v>78</v>
      </c>
      <c r="ER177" s="9" t="s">
        <v>349</v>
      </c>
      <c r="ES177" s="9" t="s">
        <v>78</v>
      </c>
      <c r="ET177" s="9" t="s">
        <v>77</v>
      </c>
      <c r="EX177" s="9" t="s">
        <v>77</v>
      </c>
      <c r="EY177" s="9" t="s">
        <v>77</v>
      </c>
      <c r="EZ177" s="9" t="s">
        <v>80</v>
      </c>
      <c r="FA177" s="9" t="s">
        <v>438</v>
      </c>
      <c r="FB177" s="9" t="s">
        <v>77</v>
      </c>
      <c r="FC177" s="9" t="s">
        <v>78</v>
      </c>
      <c r="FD177" s="9" t="s">
        <v>349</v>
      </c>
      <c r="FE177" s="9" t="s">
        <v>78</v>
      </c>
      <c r="FF177" s="9" t="s">
        <v>77</v>
      </c>
    </row>
    <row r="178" spans="50:162">
      <c r="AX178" s="9" t="s">
        <v>77</v>
      </c>
      <c r="AY178" s="9" t="s">
        <v>77</v>
      </c>
      <c r="AZ178" s="9" t="s">
        <v>80</v>
      </c>
      <c r="BA178" s="9" t="s">
        <v>438</v>
      </c>
      <c r="BB178" s="9" t="s">
        <v>79</v>
      </c>
      <c r="BC178" s="9" t="s">
        <v>78</v>
      </c>
      <c r="BD178" s="9" t="s">
        <v>349</v>
      </c>
      <c r="BE178" s="9" t="s">
        <v>78</v>
      </c>
      <c r="BF178" s="9" t="s">
        <v>77</v>
      </c>
      <c r="BI178" s="9" t="s">
        <v>77</v>
      </c>
      <c r="BJ178" s="9" t="s">
        <v>80</v>
      </c>
      <c r="BK178" s="9" t="s">
        <v>348</v>
      </c>
      <c r="BL178" s="9" t="s">
        <v>823</v>
      </c>
      <c r="BM178" s="9" t="s">
        <v>80</v>
      </c>
      <c r="BN178" s="9" t="s">
        <v>348</v>
      </c>
      <c r="BO178" s="9" t="s">
        <v>823</v>
      </c>
      <c r="BP178" s="9" t="s">
        <v>77</v>
      </c>
      <c r="BQ178" s="9" t="s">
        <v>77</v>
      </c>
      <c r="BR178" s="9" t="s">
        <v>77</v>
      </c>
      <c r="BS178" s="9" t="s">
        <v>77</v>
      </c>
      <c r="BT178" s="9" t="s">
        <v>77</v>
      </c>
      <c r="BU178" s="9" t="s">
        <v>77</v>
      </c>
      <c r="BV178" s="9" t="s">
        <v>78</v>
      </c>
      <c r="BW178" s="9" t="s">
        <v>78</v>
      </c>
      <c r="BX178" s="9" t="s">
        <v>78</v>
      </c>
      <c r="CB178" s="9" t="s">
        <v>77</v>
      </c>
      <c r="CC178" s="9" t="s">
        <v>80</v>
      </c>
      <c r="CD178" s="9" t="s">
        <v>77</v>
      </c>
      <c r="CE178" s="9" t="s">
        <v>77</v>
      </c>
      <c r="CF178" s="9" t="s">
        <v>77</v>
      </c>
      <c r="CG178" s="9" t="s">
        <v>80</v>
      </c>
      <c r="CH178" s="9" t="s">
        <v>348</v>
      </c>
      <c r="CI178" s="9" t="s">
        <v>824</v>
      </c>
      <c r="CJ178" s="9" t="s">
        <v>80</v>
      </c>
      <c r="CK178" s="9" t="s">
        <v>348</v>
      </c>
      <c r="CL178" s="9" t="s">
        <v>824</v>
      </c>
      <c r="CM178" s="9" t="s">
        <v>77</v>
      </c>
      <c r="CN178" s="9" t="s">
        <v>77</v>
      </c>
      <c r="CO178" s="9" t="s">
        <v>78</v>
      </c>
      <c r="CS178" s="9" t="s">
        <v>80</v>
      </c>
      <c r="CT178" s="9" t="s">
        <v>348</v>
      </c>
      <c r="CU178" s="9" t="s">
        <v>823</v>
      </c>
      <c r="CV178" s="9" t="s">
        <v>80</v>
      </c>
      <c r="CW178" s="9" t="s">
        <v>348</v>
      </c>
      <c r="CX178" s="9" t="s">
        <v>823</v>
      </c>
      <c r="CY178" s="9" t="s">
        <v>77</v>
      </c>
      <c r="CZ178" s="9" t="s">
        <v>77</v>
      </c>
      <c r="DA178" s="9" t="s">
        <v>78</v>
      </c>
      <c r="DE178" s="9" t="s">
        <v>77</v>
      </c>
      <c r="DF178" s="9" t="s">
        <v>78</v>
      </c>
      <c r="DG178" s="9" t="s">
        <v>78</v>
      </c>
      <c r="DH178" s="9" t="s">
        <v>78</v>
      </c>
      <c r="DI178" s="9" t="s">
        <v>823</v>
      </c>
      <c r="DJ178" s="9" t="s">
        <v>77</v>
      </c>
      <c r="DK178" s="9" t="s">
        <v>77</v>
      </c>
      <c r="DN178" s="9" t="s">
        <v>77</v>
      </c>
      <c r="DO178" s="9" t="s">
        <v>77</v>
      </c>
      <c r="DP178" s="9" t="s">
        <v>80</v>
      </c>
      <c r="DQ178" s="9" t="s">
        <v>438</v>
      </c>
      <c r="DR178" s="9" t="s">
        <v>77</v>
      </c>
      <c r="DS178" s="9" t="s">
        <v>78</v>
      </c>
      <c r="DT178" s="9" t="s">
        <v>349</v>
      </c>
      <c r="DU178" s="9" t="s">
        <v>78</v>
      </c>
      <c r="DV178" s="9" t="s">
        <v>77</v>
      </c>
      <c r="DZ178" s="9" t="s">
        <v>77</v>
      </c>
      <c r="EA178" s="9" t="s">
        <v>77</v>
      </c>
      <c r="EB178" s="9" t="s">
        <v>80</v>
      </c>
      <c r="EC178" s="9" t="s">
        <v>438</v>
      </c>
      <c r="ED178" s="9" t="s">
        <v>77</v>
      </c>
      <c r="EE178" s="9" t="s">
        <v>78</v>
      </c>
      <c r="EF178" s="9" t="s">
        <v>349</v>
      </c>
      <c r="EG178" s="9" t="s">
        <v>78</v>
      </c>
      <c r="EH178" s="9" t="s">
        <v>77</v>
      </c>
      <c r="EL178" s="9" t="s">
        <v>77</v>
      </c>
      <c r="EM178" s="9" t="s">
        <v>77</v>
      </c>
      <c r="EN178" s="9" t="s">
        <v>80</v>
      </c>
      <c r="EO178" s="9" t="s">
        <v>438</v>
      </c>
      <c r="EP178" s="9" t="s">
        <v>77</v>
      </c>
      <c r="EQ178" s="9" t="s">
        <v>78</v>
      </c>
      <c r="ER178" s="9" t="s">
        <v>349</v>
      </c>
      <c r="ES178" s="9" t="s">
        <v>78</v>
      </c>
      <c r="ET178" s="9" t="s">
        <v>77</v>
      </c>
      <c r="EX178" s="9" t="s">
        <v>77</v>
      </c>
      <c r="EY178" s="9" t="s">
        <v>77</v>
      </c>
      <c r="EZ178" s="9" t="s">
        <v>80</v>
      </c>
      <c r="FA178" s="9" t="s">
        <v>438</v>
      </c>
      <c r="FB178" s="9" t="s">
        <v>77</v>
      </c>
      <c r="FC178" s="9" t="s">
        <v>78</v>
      </c>
      <c r="FD178" s="9" t="s">
        <v>349</v>
      </c>
      <c r="FE178" s="9" t="s">
        <v>78</v>
      </c>
      <c r="FF178" s="9" t="s">
        <v>77</v>
      </c>
    </row>
    <row r="179" spans="50:162">
      <c r="AX179" s="9" t="s">
        <v>77</v>
      </c>
      <c r="AY179" s="9" t="s">
        <v>77</v>
      </c>
      <c r="AZ179" s="9" t="s">
        <v>80</v>
      </c>
      <c r="BA179" s="9" t="s">
        <v>438</v>
      </c>
      <c r="BB179" s="9" t="s">
        <v>79</v>
      </c>
      <c r="BC179" s="9" t="s">
        <v>78</v>
      </c>
      <c r="BD179" s="9" t="s">
        <v>349</v>
      </c>
      <c r="BE179" s="9" t="s">
        <v>78</v>
      </c>
      <c r="BF179" s="9" t="s">
        <v>77</v>
      </c>
      <c r="BI179" s="9" t="s">
        <v>77</v>
      </c>
      <c r="BJ179" s="9" t="s">
        <v>80</v>
      </c>
      <c r="BK179" s="9" t="s">
        <v>348</v>
      </c>
      <c r="BL179" s="9" t="s">
        <v>825</v>
      </c>
      <c r="BM179" s="9" t="s">
        <v>80</v>
      </c>
      <c r="BN179" s="9" t="s">
        <v>348</v>
      </c>
      <c r="BO179" s="9" t="s">
        <v>825</v>
      </c>
      <c r="BP179" s="9" t="s">
        <v>77</v>
      </c>
      <c r="BQ179" s="9" t="s">
        <v>77</v>
      </c>
      <c r="BR179" s="9" t="s">
        <v>77</v>
      </c>
      <c r="BS179" s="9" t="s">
        <v>77</v>
      </c>
      <c r="BT179" s="9" t="s">
        <v>77</v>
      </c>
      <c r="BU179" s="9" t="s">
        <v>77</v>
      </c>
      <c r="BV179" s="9" t="s">
        <v>78</v>
      </c>
      <c r="BW179" s="9" t="s">
        <v>78</v>
      </c>
      <c r="BX179" s="9" t="s">
        <v>78</v>
      </c>
      <c r="CB179" s="9" t="s">
        <v>77</v>
      </c>
      <c r="CC179" s="9" t="s">
        <v>80</v>
      </c>
      <c r="CD179" s="9" t="s">
        <v>77</v>
      </c>
      <c r="CE179" s="9" t="s">
        <v>77</v>
      </c>
      <c r="CF179" s="9" t="s">
        <v>77</v>
      </c>
      <c r="CG179" s="9" t="s">
        <v>80</v>
      </c>
      <c r="CH179" s="9" t="s">
        <v>348</v>
      </c>
      <c r="CI179" s="9" t="s">
        <v>825</v>
      </c>
      <c r="CJ179" s="9" t="s">
        <v>80</v>
      </c>
      <c r="CK179" s="9" t="s">
        <v>348</v>
      </c>
      <c r="CL179" s="9" t="s">
        <v>825</v>
      </c>
      <c r="CM179" s="9" t="s">
        <v>77</v>
      </c>
      <c r="CN179" s="9" t="s">
        <v>77</v>
      </c>
      <c r="CO179" s="9" t="s">
        <v>78</v>
      </c>
      <c r="CS179" s="9" t="s">
        <v>80</v>
      </c>
      <c r="CT179" s="9" t="s">
        <v>348</v>
      </c>
      <c r="CU179" s="9" t="s">
        <v>825</v>
      </c>
      <c r="CV179" s="9" t="s">
        <v>80</v>
      </c>
      <c r="CW179" s="9" t="s">
        <v>348</v>
      </c>
      <c r="CX179" s="9" t="s">
        <v>825</v>
      </c>
      <c r="CY179" s="9" t="s">
        <v>77</v>
      </c>
      <c r="CZ179" s="9" t="s">
        <v>77</v>
      </c>
      <c r="DA179" s="9" t="s">
        <v>78</v>
      </c>
      <c r="DE179" s="9" t="s">
        <v>77</v>
      </c>
      <c r="DF179" s="9" t="s">
        <v>78</v>
      </c>
      <c r="DG179" s="9" t="s">
        <v>78</v>
      </c>
      <c r="DH179" s="9" t="s">
        <v>78</v>
      </c>
      <c r="DI179" s="9" t="s">
        <v>826</v>
      </c>
      <c r="DJ179" s="9" t="s">
        <v>77</v>
      </c>
      <c r="DK179" s="9" t="s">
        <v>77</v>
      </c>
      <c r="DN179" s="9" t="s">
        <v>77</v>
      </c>
      <c r="DO179" s="9" t="s">
        <v>77</v>
      </c>
      <c r="DP179" s="9" t="s">
        <v>80</v>
      </c>
      <c r="DQ179" s="9" t="s">
        <v>438</v>
      </c>
      <c r="DR179" s="9" t="s">
        <v>77</v>
      </c>
      <c r="DS179" s="9" t="s">
        <v>78</v>
      </c>
      <c r="DT179" s="9" t="s">
        <v>349</v>
      </c>
      <c r="DU179" s="9" t="s">
        <v>78</v>
      </c>
      <c r="DV179" s="9" t="s">
        <v>77</v>
      </c>
      <c r="DZ179" s="9" t="s">
        <v>77</v>
      </c>
      <c r="EA179" s="9" t="s">
        <v>77</v>
      </c>
      <c r="EB179" s="9" t="s">
        <v>80</v>
      </c>
      <c r="EC179" s="9" t="s">
        <v>438</v>
      </c>
      <c r="ED179" s="9" t="s">
        <v>77</v>
      </c>
      <c r="EE179" s="9" t="s">
        <v>78</v>
      </c>
      <c r="EF179" s="9" t="s">
        <v>349</v>
      </c>
      <c r="EG179" s="9" t="s">
        <v>78</v>
      </c>
      <c r="EH179" s="9" t="s">
        <v>77</v>
      </c>
      <c r="EL179" s="9" t="s">
        <v>77</v>
      </c>
      <c r="EM179" s="9" t="s">
        <v>77</v>
      </c>
      <c r="EN179" s="9" t="s">
        <v>80</v>
      </c>
      <c r="EO179" s="9" t="s">
        <v>438</v>
      </c>
      <c r="EP179" s="9" t="s">
        <v>77</v>
      </c>
      <c r="EQ179" s="9" t="s">
        <v>78</v>
      </c>
      <c r="ER179" s="9" t="s">
        <v>349</v>
      </c>
      <c r="ES179" s="9" t="s">
        <v>78</v>
      </c>
      <c r="ET179" s="9" t="s">
        <v>77</v>
      </c>
      <c r="EX179" s="9" t="s">
        <v>77</v>
      </c>
      <c r="EY179" s="9" t="s">
        <v>77</v>
      </c>
      <c r="EZ179" s="9" t="s">
        <v>80</v>
      </c>
      <c r="FA179" s="9" t="s">
        <v>438</v>
      </c>
      <c r="FB179" s="9" t="s">
        <v>77</v>
      </c>
      <c r="FC179" s="9" t="s">
        <v>78</v>
      </c>
      <c r="FD179" s="9" t="s">
        <v>349</v>
      </c>
      <c r="FE179" s="9" t="s">
        <v>78</v>
      </c>
      <c r="FF179" s="9" t="s">
        <v>77</v>
      </c>
    </row>
    <row r="180" spans="50:162">
      <c r="AX180" s="9" t="s">
        <v>77</v>
      </c>
      <c r="AY180" s="9" t="s">
        <v>77</v>
      </c>
      <c r="AZ180" s="9" t="s">
        <v>80</v>
      </c>
      <c r="BA180" s="9" t="s">
        <v>438</v>
      </c>
      <c r="BB180" s="9" t="s">
        <v>79</v>
      </c>
      <c r="BC180" s="9" t="s">
        <v>78</v>
      </c>
      <c r="BD180" s="9" t="s">
        <v>349</v>
      </c>
      <c r="BE180" s="9" t="s">
        <v>78</v>
      </c>
      <c r="BF180" s="9" t="s">
        <v>77</v>
      </c>
      <c r="BI180" s="9" t="s">
        <v>77</v>
      </c>
      <c r="BJ180" s="9" t="s">
        <v>80</v>
      </c>
      <c r="BK180" s="9" t="s">
        <v>348</v>
      </c>
      <c r="BL180" s="9" t="s">
        <v>827</v>
      </c>
      <c r="BM180" s="9" t="s">
        <v>80</v>
      </c>
      <c r="BN180" s="9" t="s">
        <v>348</v>
      </c>
      <c r="BO180" s="9" t="s">
        <v>827</v>
      </c>
      <c r="BP180" s="9" t="s">
        <v>77</v>
      </c>
      <c r="BQ180" s="9" t="s">
        <v>77</v>
      </c>
      <c r="BR180" s="9" t="s">
        <v>77</v>
      </c>
      <c r="BS180" s="9" t="s">
        <v>77</v>
      </c>
      <c r="BT180" s="9" t="s">
        <v>77</v>
      </c>
      <c r="BU180" s="9" t="s">
        <v>77</v>
      </c>
      <c r="BV180" s="9" t="s">
        <v>78</v>
      </c>
      <c r="BW180" s="9" t="s">
        <v>78</v>
      </c>
      <c r="BX180" s="9" t="s">
        <v>78</v>
      </c>
      <c r="CB180" s="9" t="s">
        <v>77</v>
      </c>
      <c r="CC180" s="9" t="s">
        <v>80</v>
      </c>
      <c r="CD180" s="9" t="s">
        <v>77</v>
      </c>
      <c r="CE180" s="9" t="s">
        <v>77</v>
      </c>
      <c r="CF180" s="9" t="s">
        <v>77</v>
      </c>
      <c r="CG180" s="9" t="s">
        <v>80</v>
      </c>
      <c r="CH180" s="9" t="s">
        <v>348</v>
      </c>
      <c r="CI180" s="9" t="s">
        <v>828</v>
      </c>
      <c r="CJ180" s="9" t="s">
        <v>80</v>
      </c>
      <c r="CK180" s="9" t="s">
        <v>348</v>
      </c>
      <c r="CL180" s="9" t="s">
        <v>828</v>
      </c>
      <c r="CM180" s="9" t="s">
        <v>77</v>
      </c>
      <c r="CN180" s="9" t="s">
        <v>77</v>
      </c>
      <c r="CO180" s="9" t="s">
        <v>78</v>
      </c>
      <c r="CS180" s="9" t="s">
        <v>80</v>
      </c>
      <c r="CT180" s="9" t="s">
        <v>348</v>
      </c>
      <c r="CU180" s="9" t="s">
        <v>827</v>
      </c>
      <c r="CV180" s="9" t="s">
        <v>80</v>
      </c>
      <c r="CW180" s="9" t="s">
        <v>348</v>
      </c>
      <c r="CX180" s="9" t="s">
        <v>827</v>
      </c>
      <c r="CY180" s="9" t="s">
        <v>77</v>
      </c>
      <c r="CZ180" s="9" t="s">
        <v>77</v>
      </c>
      <c r="DA180" s="9" t="s">
        <v>78</v>
      </c>
      <c r="DE180" s="9" t="s">
        <v>77</v>
      </c>
      <c r="DF180" s="9" t="s">
        <v>78</v>
      </c>
      <c r="DG180" s="9" t="s">
        <v>78</v>
      </c>
      <c r="DH180" s="9" t="s">
        <v>78</v>
      </c>
      <c r="DI180" s="9" t="s">
        <v>827</v>
      </c>
      <c r="DJ180" s="9" t="s">
        <v>77</v>
      </c>
      <c r="DK180" s="9" t="s">
        <v>77</v>
      </c>
      <c r="DN180" s="9" t="s">
        <v>77</v>
      </c>
      <c r="DO180" s="9" t="s">
        <v>77</v>
      </c>
      <c r="DP180" s="9" t="s">
        <v>80</v>
      </c>
      <c r="DQ180" s="9" t="s">
        <v>438</v>
      </c>
      <c r="DR180" s="9" t="s">
        <v>77</v>
      </c>
      <c r="DS180" s="9" t="s">
        <v>78</v>
      </c>
      <c r="DT180" s="9" t="s">
        <v>349</v>
      </c>
      <c r="DU180" s="9" t="s">
        <v>78</v>
      </c>
      <c r="DV180" s="9" t="s">
        <v>77</v>
      </c>
      <c r="DZ180" s="9" t="s">
        <v>77</v>
      </c>
      <c r="EA180" s="9" t="s">
        <v>77</v>
      </c>
      <c r="EB180" s="9" t="s">
        <v>80</v>
      </c>
      <c r="EC180" s="9" t="s">
        <v>438</v>
      </c>
      <c r="ED180" s="9" t="s">
        <v>77</v>
      </c>
      <c r="EE180" s="9" t="s">
        <v>78</v>
      </c>
      <c r="EF180" s="9" t="s">
        <v>349</v>
      </c>
      <c r="EG180" s="9" t="s">
        <v>78</v>
      </c>
      <c r="EH180" s="9" t="s">
        <v>77</v>
      </c>
      <c r="EL180" s="9" t="s">
        <v>77</v>
      </c>
      <c r="EM180" s="9" t="s">
        <v>77</v>
      </c>
      <c r="EN180" s="9" t="s">
        <v>80</v>
      </c>
      <c r="EO180" s="9" t="s">
        <v>438</v>
      </c>
      <c r="EP180" s="9" t="s">
        <v>77</v>
      </c>
      <c r="EQ180" s="9" t="s">
        <v>78</v>
      </c>
      <c r="ER180" s="9" t="s">
        <v>349</v>
      </c>
      <c r="ES180" s="9" t="s">
        <v>78</v>
      </c>
      <c r="ET180" s="9" t="s">
        <v>77</v>
      </c>
      <c r="EX180" s="9" t="s">
        <v>77</v>
      </c>
      <c r="EY180" s="9" t="s">
        <v>77</v>
      </c>
      <c r="EZ180" s="9" t="s">
        <v>80</v>
      </c>
      <c r="FA180" s="9" t="s">
        <v>438</v>
      </c>
      <c r="FB180" s="9" t="s">
        <v>77</v>
      </c>
      <c r="FC180" s="9" t="s">
        <v>78</v>
      </c>
      <c r="FD180" s="9" t="s">
        <v>349</v>
      </c>
      <c r="FE180" s="9" t="s">
        <v>78</v>
      </c>
      <c r="FF180" s="9" t="s">
        <v>77</v>
      </c>
    </row>
    <row r="181" spans="50:162">
      <c r="AX181" s="9" t="s">
        <v>77</v>
      </c>
      <c r="AY181" s="9" t="s">
        <v>77</v>
      </c>
      <c r="AZ181" s="9" t="s">
        <v>80</v>
      </c>
      <c r="BA181" s="9" t="s">
        <v>438</v>
      </c>
      <c r="BB181" s="9" t="s">
        <v>79</v>
      </c>
      <c r="BC181" s="9" t="s">
        <v>78</v>
      </c>
      <c r="BD181" s="9" t="s">
        <v>349</v>
      </c>
      <c r="BE181" s="9" t="s">
        <v>78</v>
      </c>
      <c r="BF181" s="9" t="s">
        <v>77</v>
      </c>
      <c r="BI181" s="9" t="s">
        <v>77</v>
      </c>
      <c r="BJ181" s="9" t="s">
        <v>80</v>
      </c>
      <c r="BK181" s="9" t="s">
        <v>348</v>
      </c>
      <c r="BL181" s="9" t="s">
        <v>829</v>
      </c>
      <c r="BM181" s="9" t="s">
        <v>80</v>
      </c>
      <c r="BN181" s="9" t="s">
        <v>348</v>
      </c>
      <c r="BO181" s="9" t="s">
        <v>829</v>
      </c>
      <c r="BP181" s="9" t="s">
        <v>77</v>
      </c>
      <c r="BQ181" s="9" t="s">
        <v>77</v>
      </c>
      <c r="BR181" s="9" t="s">
        <v>77</v>
      </c>
      <c r="BS181" s="9" t="s">
        <v>77</v>
      </c>
      <c r="BT181" s="9" t="s">
        <v>77</v>
      </c>
      <c r="BU181" s="9" t="s">
        <v>77</v>
      </c>
      <c r="BV181" s="9" t="s">
        <v>78</v>
      </c>
      <c r="BW181" s="9" t="s">
        <v>78</v>
      </c>
      <c r="BX181" s="9" t="s">
        <v>78</v>
      </c>
      <c r="CB181" s="9" t="s">
        <v>77</v>
      </c>
      <c r="CC181" s="9" t="s">
        <v>80</v>
      </c>
      <c r="CD181" s="9" t="s">
        <v>77</v>
      </c>
      <c r="CE181" s="9" t="s">
        <v>77</v>
      </c>
      <c r="CF181" s="9" t="s">
        <v>77</v>
      </c>
      <c r="CG181" s="9" t="s">
        <v>80</v>
      </c>
      <c r="CH181" s="9" t="s">
        <v>348</v>
      </c>
      <c r="CI181" s="9" t="s">
        <v>829</v>
      </c>
      <c r="CJ181" s="9" t="s">
        <v>80</v>
      </c>
      <c r="CK181" s="9" t="s">
        <v>348</v>
      </c>
      <c r="CL181" s="9" t="s">
        <v>829</v>
      </c>
      <c r="CM181" s="9" t="s">
        <v>77</v>
      </c>
      <c r="CN181" s="9" t="s">
        <v>77</v>
      </c>
      <c r="CO181" s="9" t="s">
        <v>78</v>
      </c>
      <c r="CS181" s="9" t="s">
        <v>80</v>
      </c>
      <c r="CT181" s="9" t="s">
        <v>348</v>
      </c>
      <c r="CU181" s="9" t="s">
        <v>829</v>
      </c>
      <c r="CV181" s="9" t="s">
        <v>80</v>
      </c>
      <c r="CW181" s="9" t="s">
        <v>348</v>
      </c>
      <c r="CX181" s="9" t="s">
        <v>829</v>
      </c>
      <c r="CY181" s="9" t="s">
        <v>77</v>
      </c>
      <c r="CZ181" s="9" t="s">
        <v>77</v>
      </c>
      <c r="DA181" s="9" t="s">
        <v>78</v>
      </c>
      <c r="DE181" s="9" t="s">
        <v>77</v>
      </c>
      <c r="DF181" s="9" t="s">
        <v>78</v>
      </c>
      <c r="DG181" s="9" t="s">
        <v>78</v>
      </c>
      <c r="DH181" s="9" t="s">
        <v>78</v>
      </c>
      <c r="DI181" s="9" t="s">
        <v>830</v>
      </c>
      <c r="DJ181" s="9" t="s">
        <v>77</v>
      </c>
      <c r="DK181" s="9" t="s">
        <v>77</v>
      </c>
      <c r="DN181" s="9" t="s">
        <v>77</v>
      </c>
      <c r="DO181" s="9" t="s">
        <v>77</v>
      </c>
      <c r="DP181" s="9" t="s">
        <v>80</v>
      </c>
      <c r="DQ181" s="9" t="s">
        <v>438</v>
      </c>
      <c r="DR181" s="9" t="s">
        <v>77</v>
      </c>
      <c r="DS181" s="9" t="s">
        <v>78</v>
      </c>
      <c r="DT181" s="9" t="s">
        <v>349</v>
      </c>
      <c r="DU181" s="9" t="s">
        <v>78</v>
      </c>
      <c r="DV181" s="9" t="s">
        <v>77</v>
      </c>
      <c r="DZ181" s="9" t="s">
        <v>77</v>
      </c>
      <c r="EA181" s="9" t="s">
        <v>77</v>
      </c>
      <c r="EB181" s="9" t="s">
        <v>80</v>
      </c>
      <c r="EC181" s="9" t="s">
        <v>438</v>
      </c>
      <c r="ED181" s="9" t="s">
        <v>77</v>
      </c>
      <c r="EE181" s="9" t="s">
        <v>78</v>
      </c>
      <c r="EF181" s="9" t="s">
        <v>349</v>
      </c>
      <c r="EG181" s="9" t="s">
        <v>78</v>
      </c>
      <c r="EH181" s="9" t="s">
        <v>77</v>
      </c>
      <c r="EL181" s="9" t="s">
        <v>77</v>
      </c>
      <c r="EM181" s="9" t="s">
        <v>77</v>
      </c>
      <c r="EN181" s="9" t="s">
        <v>80</v>
      </c>
      <c r="EO181" s="9" t="s">
        <v>438</v>
      </c>
      <c r="EP181" s="9" t="s">
        <v>77</v>
      </c>
      <c r="EQ181" s="9" t="s">
        <v>78</v>
      </c>
      <c r="ER181" s="9" t="s">
        <v>349</v>
      </c>
      <c r="ES181" s="9" t="s">
        <v>78</v>
      </c>
      <c r="ET181" s="9" t="s">
        <v>77</v>
      </c>
      <c r="EX181" s="9" t="s">
        <v>77</v>
      </c>
      <c r="EY181" s="9" t="s">
        <v>77</v>
      </c>
      <c r="EZ181" s="9" t="s">
        <v>80</v>
      </c>
      <c r="FA181" s="9" t="s">
        <v>438</v>
      </c>
      <c r="FB181" s="9" t="s">
        <v>77</v>
      </c>
      <c r="FC181" s="9" t="s">
        <v>78</v>
      </c>
      <c r="FD181" s="9" t="s">
        <v>349</v>
      </c>
      <c r="FE181" s="9" t="s">
        <v>78</v>
      </c>
      <c r="FF181" s="9" t="s">
        <v>77</v>
      </c>
    </row>
    <row r="182" spans="50:162">
      <c r="AX182" s="9" t="s">
        <v>77</v>
      </c>
      <c r="AY182" s="9" t="s">
        <v>77</v>
      </c>
      <c r="AZ182" s="9" t="s">
        <v>80</v>
      </c>
      <c r="BA182" s="9" t="s">
        <v>438</v>
      </c>
      <c r="BB182" s="9" t="s">
        <v>79</v>
      </c>
      <c r="BC182" s="9" t="s">
        <v>78</v>
      </c>
      <c r="BD182" s="9" t="s">
        <v>349</v>
      </c>
      <c r="BE182" s="9" t="s">
        <v>78</v>
      </c>
      <c r="BF182" s="9" t="s">
        <v>77</v>
      </c>
      <c r="BI182" s="9" t="s">
        <v>77</v>
      </c>
      <c r="BJ182" s="9" t="s">
        <v>80</v>
      </c>
      <c r="BK182" s="9" t="s">
        <v>348</v>
      </c>
      <c r="BL182" s="9" t="s">
        <v>831</v>
      </c>
      <c r="BM182" s="9" t="s">
        <v>80</v>
      </c>
      <c r="BN182" s="9" t="s">
        <v>348</v>
      </c>
      <c r="BO182" s="9" t="s">
        <v>831</v>
      </c>
      <c r="BP182" s="9" t="s">
        <v>77</v>
      </c>
      <c r="BQ182" s="9" t="s">
        <v>77</v>
      </c>
      <c r="BR182" s="9" t="s">
        <v>77</v>
      </c>
      <c r="BS182" s="9" t="s">
        <v>77</v>
      </c>
      <c r="BT182" s="9" t="s">
        <v>77</v>
      </c>
      <c r="BU182" s="9" t="s">
        <v>77</v>
      </c>
      <c r="BV182" s="9" t="s">
        <v>78</v>
      </c>
      <c r="BW182" s="9" t="s">
        <v>78</v>
      </c>
      <c r="BX182" s="9" t="s">
        <v>78</v>
      </c>
      <c r="CB182" s="9" t="s">
        <v>77</v>
      </c>
      <c r="CC182" s="9" t="s">
        <v>80</v>
      </c>
      <c r="CD182" s="9" t="s">
        <v>77</v>
      </c>
      <c r="CE182" s="9" t="s">
        <v>77</v>
      </c>
      <c r="CF182" s="9" t="s">
        <v>77</v>
      </c>
      <c r="CG182" s="9" t="s">
        <v>80</v>
      </c>
      <c r="CH182" s="9" t="s">
        <v>348</v>
      </c>
      <c r="CI182" s="9" t="s">
        <v>831</v>
      </c>
      <c r="CJ182" s="9" t="s">
        <v>80</v>
      </c>
      <c r="CK182" s="9" t="s">
        <v>348</v>
      </c>
      <c r="CL182" s="9" t="s">
        <v>831</v>
      </c>
      <c r="CM182" s="9" t="s">
        <v>77</v>
      </c>
      <c r="CN182" s="9" t="s">
        <v>77</v>
      </c>
      <c r="CO182" s="9" t="s">
        <v>78</v>
      </c>
      <c r="CS182" s="9" t="s">
        <v>80</v>
      </c>
      <c r="CT182" s="9" t="s">
        <v>348</v>
      </c>
      <c r="CU182" s="9" t="s">
        <v>831</v>
      </c>
      <c r="CV182" s="9" t="s">
        <v>80</v>
      </c>
      <c r="CW182" s="9" t="s">
        <v>348</v>
      </c>
      <c r="CX182" s="9" t="s">
        <v>831</v>
      </c>
      <c r="CY182" s="9" t="s">
        <v>77</v>
      </c>
      <c r="CZ182" s="9" t="s">
        <v>77</v>
      </c>
      <c r="DA182" s="9" t="s">
        <v>78</v>
      </c>
      <c r="DE182" s="9" t="s">
        <v>77</v>
      </c>
      <c r="DF182" s="9" t="s">
        <v>78</v>
      </c>
      <c r="DG182" s="9" t="s">
        <v>78</v>
      </c>
      <c r="DH182" s="9" t="s">
        <v>78</v>
      </c>
      <c r="DI182" s="9" t="s">
        <v>832</v>
      </c>
      <c r="DJ182" s="9" t="s">
        <v>77</v>
      </c>
      <c r="DK182" s="9" t="s">
        <v>77</v>
      </c>
      <c r="DN182" s="9" t="s">
        <v>77</v>
      </c>
      <c r="DO182" s="9" t="s">
        <v>77</v>
      </c>
      <c r="DP182" s="9" t="s">
        <v>80</v>
      </c>
      <c r="DQ182" s="9" t="s">
        <v>438</v>
      </c>
      <c r="DR182" s="9" t="s">
        <v>77</v>
      </c>
      <c r="DS182" s="9" t="s">
        <v>78</v>
      </c>
      <c r="DT182" s="9" t="s">
        <v>349</v>
      </c>
      <c r="DU182" s="9" t="s">
        <v>78</v>
      </c>
      <c r="DV182" s="9" t="s">
        <v>77</v>
      </c>
      <c r="DZ182" s="9" t="s">
        <v>77</v>
      </c>
      <c r="EA182" s="9" t="s">
        <v>77</v>
      </c>
      <c r="EB182" s="9" t="s">
        <v>80</v>
      </c>
      <c r="EC182" s="9" t="s">
        <v>438</v>
      </c>
      <c r="ED182" s="9" t="s">
        <v>77</v>
      </c>
      <c r="EE182" s="9" t="s">
        <v>78</v>
      </c>
      <c r="EF182" s="9" t="s">
        <v>349</v>
      </c>
      <c r="EG182" s="9" t="s">
        <v>78</v>
      </c>
      <c r="EH182" s="9" t="s">
        <v>77</v>
      </c>
      <c r="EL182" s="9" t="s">
        <v>77</v>
      </c>
      <c r="EM182" s="9" t="s">
        <v>77</v>
      </c>
      <c r="EN182" s="9" t="s">
        <v>80</v>
      </c>
      <c r="EO182" s="9" t="s">
        <v>438</v>
      </c>
      <c r="EP182" s="9" t="s">
        <v>77</v>
      </c>
      <c r="EQ182" s="9" t="s">
        <v>78</v>
      </c>
      <c r="ER182" s="9" t="s">
        <v>349</v>
      </c>
      <c r="ES182" s="9" t="s">
        <v>78</v>
      </c>
      <c r="ET182" s="9" t="s">
        <v>77</v>
      </c>
      <c r="EX182" s="9" t="s">
        <v>77</v>
      </c>
      <c r="EY182" s="9" t="s">
        <v>77</v>
      </c>
      <c r="EZ182" s="9" t="s">
        <v>80</v>
      </c>
      <c r="FA182" s="9" t="s">
        <v>438</v>
      </c>
      <c r="FB182" s="9" t="s">
        <v>77</v>
      </c>
      <c r="FC182" s="9" t="s">
        <v>78</v>
      </c>
      <c r="FD182" s="9" t="s">
        <v>349</v>
      </c>
      <c r="FE182" s="9" t="s">
        <v>78</v>
      </c>
      <c r="FF182" s="9" t="s">
        <v>77</v>
      </c>
    </row>
    <row r="183" spans="50:162">
      <c r="AX183" s="9" t="s">
        <v>77</v>
      </c>
      <c r="AY183" s="9" t="s">
        <v>77</v>
      </c>
      <c r="AZ183" s="9" t="s">
        <v>80</v>
      </c>
      <c r="BA183" s="9" t="s">
        <v>438</v>
      </c>
      <c r="BB183" s="9" t="s">
        <v>79</v>
      </c>
      <c r="BC183" s="9" t="s">
        <v>78</v>
      </c>
      <c r="BD183" s="9" t="s">
        <v>349</v>
      </c>
      <c r="BE183" s="9" t="s">
        <v>78</v>
      </c>
      <c r="BF183" s="9" t="s">
        <v>77</v>
      </c>
      <c r="BI183" s="9" t="s">
        <v>77</v>
      </c>
      <c r="BJ183" s="9" t="s">
        <v>80</v>
      </c>
      <c r="BK183" s="9" t="s">
        <v>348</v>
      </c>
      <c r="BL183" s="9" t="s">
        <v>833</v>
      </c>
      <c r="BM183" s="9" t="s">
        <v>80</v>
      </c>
      <c r="BN183" s="9" t="s">
        <v>348</v>
      </c>
      <c r="BO183" s="9" t="s">
        <v>833</v>
      </c>
      <c r="BP183" s="9" t="s">
        <v>77</v>
      </c>
      <c r="BQ183" s="9" t="s">
        <v>77</v>
      </c>
      <c r="BR183" s="9" t="s">
        <v>77</v>
      </c>
      <c r="BS183" s="9" t="s">
        <v>77</v>
      </c>
      <c r="BT183" s="9" t="s">
        <v>77</v>
      </c>
      <c r="BU183" s="9" t="s">
        <v>77</v>
      </c>
      <c r="BV183" s="9" t="s">
        <v>78</v>
      </c>
      <c r="BW183" s="9" t="s">
        <v>78</v>
      </c>
      <c r="BX183" s="9" t="s">
        <v>78</v>
      </c>
      <c r="CB183" s="9" t="s">
        <v>77</v>
      </c>
      <c r="CC183" s="9" t="s">
        <v>80</v>
      </c>
      <c r="CD183" s="9" t="s">
        <v>77</v>
      </c>
      <c r="CE183" s="9" t="s">
        <v>77</v>
      </c>
      <c r="CF183" s="9" t="s">
        <v>77</v>
      </c>
      <c r="CG183" s="9" t="s">
        <v>80</v>
      </c>
      <c r="CH183" s="9" t="s">
        <v>348</v>
      </c>
      <c r="CI183" s="9" t="s">
        <v>834</v>
      </c>
      <c r="CJ183" s="9" t="s">
        <v>80</v>
      </c>
      <c r="CK183" s="9" t="s">
        <v>348</v>
      </c>
      <c r="CL183" s="9" t="s">
        <v>834</v>
      </c>
      <c r="CM183" s="9" t="s">
        <v>77</v>
      </c>
      <c r="CN183" s="9" t="s">
        <v>77</v>
      </c>
      <c r="CO183" s="9" t="s">
        <v>78</v>
      </c>
      <c r="CS183" s="9" t="s">
        <v>80</v>
      </c>
      <c r="CT183" s="9" t="s">
        <v>348</v>
      </c>
      <c r="CU183" s="9" t="s">
        <v>833</v>
      </c>
      <c r="CV183" s="9" t="s">
        <v>80</v>
      </c>
      <c r="CW183" s="9" t="s">
        <v>348</v>
      </c>
      <c r="CX183" s="9" t="s">
        <v>833</v>
      </c>
      <c r="CY183" s="9" t="s">
        <v>77</v>
      </c>
      <c r="CZ183" s="9" t="s">
        <v>77</v>
      </c>
      <c r="DA183" s="9" t="s">
        <v>78</v>
      </c>
      <c r="DE183" s="9" t="s">
        <v>77</v>
      </c>
      <c r="DF183" s="9" t="s">
        <v>78</v>
      </c>
      <c r="DG183" s="9" t="s">
        <v>78</v>
      </c>
      <c r="DH183" s="9" t="s">
        <v>78</v>
      </c>
      <c r="DI183" s="9" t="s">
        <v>833</v>
      </c>
      <c r="DJ183" s="9" t="s">
        <v>77</v>
      </c>
      <c r="DK183" s="9" t="s">
        <v>77</v>
      </c>
      <c r="DN183" s="9" t="s">
        <v>77</v>
      </c>
      <c r="DO183" s="9" t="s">
        <v>77</v>
      </c>
      <c r="DP183" s="9" t="s">
        <v>80</v>
      </c>
      <c r="DQ183" s="9" t="s">
        <v>438</v>
      </c>
      <c r="DR183" s="9" t="s">
        <v>77</v>
      </c>
      <c r="DS183" s="9" t="s">
        <v>78</v>
      </c>
      <c r="DT183" s="9" t="s">
        <v>349</v>
      </c>
      <c r="DU183" s="9" t="s">
        <v>78</v>
      </c>
      <c r="DV183" s="9" t="s">
        <v>77</v>
      </c>
      <c r="DZ183" s="9" t="s">
        <v>77</v>
      </c>
      <c r="EA183" s="9" t="s">
        <v>77</v>
      </c>
      <c r="EB183" s="9" t="s">
        <v>80</v>
      </c>
      <c r="EC183" s="9" t="s">
        <v>438</v>
      </c>
      <c r="ED183" s="9" t="s">
        <v>77</v>
      </c>
      <c r="EE183" s="9" t="s">
        <v>78</v>
      </c>
      <c r="EF183" s="9" t="s">
        <v>349</v>
      </c>
      <c r="EG183" s="9" t="s">
        <v>78</v>
      </c>
      <c r="EH183" s="9" t="s">
        <v>77</v>
      </c>
      <c r="EL183" s="9" t="s">
        <v>77</v>
      </c>
      <c r="EM183" s="9" t="s">
        <v>77</v>
      </c>
      <c r="EN183" s="9" t="s">
        <v>80</v>
      </c>
      <c r="EO183" s="9" t="s">
        <v>438</v>
      </c>
      <c r="EP183" s="9" t="s">
        <v>77</v>
      </c>
      <c r="EQ183" s="9" t="s">
        <v>78</v>
      </c>
      <c r="ER183" s="9" t="s">
        <v>349</v>
      </c>
      <c r="ES183" s="9" t="s">
        <v>78</v>
      </c>
      <c r="ET183" s="9" t="s">
        <v>77</v>
      </c>
      <c r="EX183" s="9" t="s">
        <v>77</v>
      </c>
      <c r="EY183" s="9" t="s">
        <v>77</v>
      </c>
      <c r="EZ183" s="9" t="s">
        <v>80</v>
      </c>
      <c r="FA183" s="9" t="s">
        <v>438</v>
      </c>
      <c r="FB183" s="9" t="s">
        <v>77</v>
      </c>
      <c r="FC183" s="9" t="s">
        <v>78</v>
      </c>
      <c r="FD183" s="9" t="s">
        <v>349</v>
      </c>
      <c r="FE183" s="9" t="s">
        <v>78</v>
      </c>
      <c r="FF183" s="9" t="s">
        <v>77</v>
      </c>
    </row>
    <row r="184" spans="50:162">
      <c r="AX184" s="9" t="s">
        <v>77</v>
      </c>
      <c r="AY184" s="9" t="s">
        <v>77</v>
      </c>
      <c r="AZ184" s="9" t="s">
        <v>80</v>
      </c>
      <c r="BA184" s="9" t="s">
        <v>438</v>
      </c>
      <c r="BB184" s="9" t="s">
        <v>79</v>
      </c>
      <c r="BC184" s="9" t="s">
        <v>78</v>
      </c>
      <c r="BD184" s="9" t="s">
        <v>349</v>
      </c>
      <c r="BE184" s="9" t="s">
        <v>78</v>
      </c>
      <c r="BF184" s="9" t="s">
        <v>77</v>
      </c>
      <c r="BI184" s="9" t="s">
        <v>77</v>
      </c>
      <c r="BJ184" s="9" t="s">
        <v>80</v>
      </c>
      <c r="BK184" s="9" t="s">
        <v>348</v>
      </c>
      <c r="BL184" s="9" t="s">
        <v>835</v>
      </c>
      <c r="BM184" s="9" t="s">
        <v>80</v>
      </c>
      <c r="BN184" s="9" t="s">
        <v>348</v>
      </c>
      <c r="BO184" s="9" t="s">
        <v>835</v>
      </c>
      <c r="BP184" s="9" t="s">
        <v>77</v>
      </c>
      <c r="BQ184" s="9" t="s">
        <v>77</v>
      </c>
      <c r="BR184" s="9" t="s">
        <v>77</v>
      </c>
      <c r="BS184" s="9" t="s">
        <v>77</v>
      </c>
      <c r="BT184" s="9" t="s">
        <v>77</v>
      </c>
      <c r="BU184" s="9" t="s">
        <v>77</v>
      </c>
      <c r="BV184" s="9" t="s">
        <v>78</v>
      </c>
      <c r="BW184" s="9" t="s">
        <v>78</v>
      </c>
      <c r="BX184" s="9" t="s">
        <v>78</v>
      </c>
      <c r="CB184" s="9" t="s">
        <v>77</v>
      </c>
      <c r="CC184" s="9" t="s">
        <v>80</v>
      </c>
      <c r="CD184" s="9" t="s">
        <v>77</v>
      </c>
      <c r="CE184" s="9" t="s">
        <v>77</v>
      </c>
      <c r="CF184" s="9" t="s">
        <v>77</v>
      </c>
      <c r="CG184" s="9" t="s">
        <v>80</v>
      </c>
      <c r="CH184" s="9" t="s">
        <v>348</v>
      </c>
      <c r="CI184" s="9" t="s">
        <v>836</v>
      </c>
      <c r="CJ184" s="9" t="s">
        <v>80</v>
      </c>
      <c r="CK184" s="9" t="s">
        <v>348</v>
      </c>
      <c r="CL184" s="9" t="s">
        <v>836</v>
      </c>
      <c r="CM184" s="9" t="s">
        <v>77</v>
      </c>
      <c r="CN184" s="9" t="s">
        <v>77</v>
      </c>
      <c r="CO184" s="9" t="s">
        <v>78</v>
      </c>
      <c r="CS184" s="9" t="s">
        <v>80</v>
      </c>
      <c r="CT184" s="9" t="s">
        <v>348</v>
      </c>
      <c r="CU184" s="9" t="s">
        <v>835</v>
      </c>
      <c r="CV184" s="9" t="s">
        <v>80</v>
      </c>
      <c r="CW184" s="9" t="s">
        <v>348</v>
      </c>
      <c r="CX184" s="9" t="s">
        <v>835</v>
      </c>
      <c r="CY184" s="9" t="s">
        <v>77</v>
      </c>
      <c r="CZ184" s="9" t="s">
        <v>77</v>
      </c>
      <c r="DA184" s="9" t="s">
        <v>78</v>
      </c>
      <c r="DE184" s="9" t="s">
        <v>77</v>
      </c>
      <c r="DF184" s="9" t="s">
        <v>78</v>
      </c>
      <c r="DG184" s="9" t="s">
        <v>78</v>
      </c>
      <c r="DH184" s="9" t="s">
        <v>78</v>
      </c>
      <c r="DI184" s="9" t="s">
        <v>835</v>
      </c>
      <c r="DJ184" s="9" t="s">
        <v>77</v>
      </c>
      <c r="DK184" s="9" t="s">
        <v>77</v>
      </c>
      <c r="DN184" s="9" t="s">
        <v>77</v>
      </c>
      <c r="DO184" s="9" t="s">
        <v>77</v>
      </c>
      <c r="DP184" s="9" t="s">
        <v>80</v>
      </c>
      <c r="DQ184" s="9" t="s">
        <v>438</v>
      </c>
      <c r="DR184" s="9" t="s">
        <v>77</v>
      </c>
      <c r="DS184" s="9" t="s">
        <v>78</v>
      </c>
      <c r="DT184" s="9" t="s">
        <v>349</v>
      </c>
      <c r="DU184" s="9" t="s">
        <v>78</v>
      </c>
      <c r="DV184" s="9" t="s">
        <v>77</v>
      </c>
      <c r="DZ184" s="9" t="s">
        <v>77</v>
      </c>
      <c r="EA184" s="9" t="s">
        <v>77</v>
      </c>
      <c r="EB184" s="9" t="s">
        <v>80</v>
      </c>
      <c r="EC184" s="9" t="s">
        <v>438</v>
      </c>
      <c r="ED184" s="9" t="s">
        <v>77</v>
      </c>
      <c r="EE184" s="9" t="s">
        <v>78</v>
      </c>
      <c r="EF184" s="9" t="s">
        <v>349</v>
      </c>
      <c r="EG184" s="9" t="s">
        <v>78</v>
      </c>
      <c r="EH184" s="9" t="s">
        <v>77</v>
      </c>
      <c r="EL184" s="9" t="s">
        <v>77</v>
      </c>
      <c r="EM184" s="9" t="s">
        <v>77</v>
      </c>
      <c r="EN184" s="9" t="s">
        <v>80</v>
      </c>
      <c r="EO184" s="9" t="s">
        <v>438</v>
      </c>
      <c r="EP184" s="9" t="s">
        <v>77</v>
      </c>
      <c r="EQ184" s="9" t="s">
        <v>78</v>
      </c>
      <c r="ER184" s="9" t="s">
        <v>349</v>
      </c>
      <c r="ES184" s="9" t="s">
        <v>78</v>
      </c>
      <c r="ET184" s="9" t="s">
        <v>77</v>
      </c>
      <c r="EX184" s="9" t="s">
        <v>77</v>
      </c>
      <c r="EY184" s="9" t="s">
        <v>77</v>
      </c>
      <c r="EZ184" s="9" t="s">
        <v>80</v>
      </c>
      <c r="FA184" s="9" t="s">
        <v>438</v>
      </c>
      <c r="FB184" s="9" t="s">
        <v>77</v>
      </c>
      <c r="FC184" s="9" t="s">
        <v>78</v>
      </c>
      <c r="FD184" s="9" t="s">
        <v>349</v>
      </c>
      <c r="FE184" s="9" t="s">
        <v>78</v>
      </c>
      <c r="FF184" s="9" t="s">
        <v>77</v>
      </c>
    </row>
    <row r="185" spans="50:162">
      <c r="AX185" s="9" t="s">
        <v>77</v>
      </c>
      <c r="AY185" s="9" t="s">
        <v>77</v>
      </c>
      <c r="AZ185" s="9" t="s">
        <v>80</v>
      </c>
      <c r="BA185" s="9" t="s">
        <v>438</v>
      </c>
      <c r="BB185" s="9" t="s">
        <v>79</v>
      </c>
      <c r="BC185" s="9" t="s">
        <v>78</v>
      </c>
      <c r="BD185" s="9" t="s">
        <v>349</v>
      </c>
      <c r="BE185" s="9" t="s">
        <v>78</v>
      </c>
      <c r="BF185" s="9" t="s">
        <v>77</v>
      </c>
      <c r="BI185" s="9" t="s">
        <v>77</v>
      </c>
      <c r="BJ185" s="9" t="s">
        <v>80</v>
      </c>
      <c r="BK185" s="9" t="s">
        <v>348</v>
      </c>
      <c r="BL185" s="9" t="s">
        <v>837</v>
      </c>
      <c r="BM185" s="9" t="s">
        <v>80</v>
      </c>
      <c r="BN185" s="9" t="s">
        <v>348</v>
      </c>
      <c r="BO185" s="9" t="s">
        <v>837</v>
      </c>
      <c r="BP185" s="9" t="s">
        <v>77</v>
      </c>
      <c r="BQ185" s="9" t="s">
        <v>77</v>
      </c>
      <c r="BR185" s="9" t="s">
        <v>77</v>
      </c>
      <c r="BS185" s="9" t="s">
        <v>77</v>
      </c>
      <c r="BT185" s="9" t="s">
        <v>77</v>
      </c>
      <c r="BU185" s="9" t="s">
        <v>77</v>
      </c>
      <c r="BV185" s="9" t="s">
        <v>78</v>
      </c>
      <c r="BW185" s="9" t="s">
        <v>78</v>
      </c>
      <c r="BX185" s="9" t="s">
        <v>78</v>
      </c>
      <c r="CB185" s="9" t="s">
        <v>77</v>
      </c>
      <c r="CC185" s="9" t="s">
        <v>80</v>
      </c>
      <c r="CD185" s="9" t="s">
        <v>77</v>
      </c>
      <c r="CE185" s="9" t="s">
        <v>77</v>
      </c>
      <c r="CF185" s="9" t="s">
        <v>77</v>
      </c>
      <c r="CG185" s="9" t="s">
        <v>80</v>
      </c>
      <c r="CH185" s="9" t="s">
        <v>348</v>
      </c>
      <c r="CI185" s="9" t="s">
        <v>838</v>
      </c>
      <c r="CJ185" s="9" t="s">
        <v>80</v>
      </c>
      <c r="CK185" s="9" t="s">
        <v>348</v>
      </c>
      <c r="CL185" s="9" t="s">
        <v>838</v>
      </c>
      <c r="CM185" s="9" t="s">
        <v>77</v>
      </c>
      <c r="CN185" s="9" t="s">
        <v>77</v>
      </c>
      <c r="CO185" s="9" t="s">
        <v>78</v>
      </c>
      <c r="CS185" s="9" t="s">
        <v>80</v>
      </c>
      <c r="CT185" s="9" t="s">
        <v>348</v>
      </c>
      <c r="CU185" s="9" t="s">
        <v>838</v>
      </c>
      <c r="CV185" s="9" t="s">
        <v>80</v>
      </c>
      <c r="CW185" s="9" t="s">
        <v>348</v>
      </c>
      <c r="CX185" s="9" t="s">
        <v>838</v>
      </c>
      <c r="CY185" s="9" t="s">
        <v>77</v>
      </c>
      <c r="CZ185" s="9" t="s">
        <v>77</v>
      </c>
      <c r="DA185" s="9" t="s">
        <v>78</v>
      </c>
      <c r="DE185" s="9" t="s">
        <v>77</v>
      </c>
      <c r="DF185" s="9" t="s">
        <v>78</v>
      </c>
      <c r="DG185" s="9" t="s">
        <v>78</v>
      </c>
      <c r="DH185" s="9" t="s">
        <v>78</v>
      </c>
      <c r="DI185" s="9" t="s">
        <v>837</v>
      </c>
      <c r="DJ185" s="9" t="s">
        <v>77</v>
      </c>
      <c r="DK185" s="9" t="s">
        <v>77</v>
      </c>
      <c r="DN185" s="9" t="s">
        <v>77</v>
      </c>
      <c r="DO185" s="9" t="s">
        <v>77</v>
      </c>
      <c r="DP185" s="9" t="s">
        <v>80</v>
      </c>
      <c r="DQ185" s="9" t="s">
        <v>438</v>
      </c>
      <c r="DR185" s="9" t="s">
        <v>77</v>
      </c>
      <c r="DS185" s="9" t="s">
        <v>78</v>
      </c>
      <c r="DT185" s="9" t="s">
        <v>349</v>
      </c>
      <c r="DU185" s="9" t="s">
        <v>78</v>
      </c>
      <c r="DV185" s="9" t="s">
        <v>77</v>
      </c>
      <c r="DZ185" s="9" t="s">
        <v>77</v>
      </c>
      <c r="EA185" s="9" t="s">
        <v>77</v>
      </c>
      <c r="EB185" s="9" t="s">
        <v>80</v>
      </c>
      <c r="EC185" s="9" t="s">
        <v>438</v>
      </c>
      <c r="ED185" s="9" t="s">
        <v>77</v>
      </c>
      <c r="EE185" s="9" t="s">
        <v>78</v>
      </c>
      <c r="EF185" s="9" t="s">
        <v>349</v>
      </c>
      <c r="EG185" s="9" t="s">
        <v>78</v>
      </c>
      <c r="EH185" s="9" t="s">
        <v>77</v>
      </c>
      <c r="EL185" s="9" t="s">
        <v>77</v>
      </c>
      <c r="EM185" s="9" t="s">
        <v>77</v>
      </c>
      <c r="EN185" s="9" t="s">
        <v>80</v>
      </c>
      <c r="EO185" s="9" t="s">
        <v>438</v>
      </c>
      <c r="EP185" s="9" t="s">
        <v>77</v>
      </c>
      <c r="EQ185" s="9" t="s">
        <v>78</v>
      </c>
      <c r="ER185" s="9" t="s">
        <v>349</v>
      </c>
      <c r="ES185" s="9" t="s">
        <v>78</v>
      </c>
      <c r="ET185" s="9" t="s">
        <v>77</v>
      </c>
      <c r="EX185" s="9" t="s">
        <v>77</v>
      </c>
      <c r="EY185" s="9" t="s">
        <v>77</v>
      </c>
      <c r="EZ185" s="9" t="s">
        <v>80</v>
      </c>
      <c r="FA185" s="9" t="s">
        <v>438</v>
      </c>
      <c r="FB185" s="9" t="s">
        <v>77</v>
      </c>
      <c r="FC185" s="9" t="s">
        <v>78</v>
      </c>
      <c r="FD185" s="9" t="s">
        <v>349</v>
      </c>
      <c r="FE185" s="9" t="s">
        <v>78</v>
      </c>
      <c r="FF185" s="9" t="s">
        <v>77</v>
      </c>
    </row>
    <row r="186" spans="50:162">
      <c r="AX186" s="9" t="s">
        <v>77</v>
      </c>
      <c r="AY186" s="9" t="s">
        <v>77</v>
      </c>
      <c r="AZ186" s="9" t="s">
        <v>80</v>
      </c>
      <c r="BA186" s="9" t="s">
        <v>438</v>
      </c>
      <c r="BB186" s="9" t="s">
        <v>79</v>
      </c>
      <c r="BC186" s="9" t="s">
        <v>78</v>
      </c>
      <c r="BD186" s="9" t="s">
        <v>349</v>
      </c>
      <c r="BE186" s="9" t="s">
        <v>78</v>
      </c>
      <c r="BF186" s="9" t="s">
        <v>77</v>
      </c>
      <c r="BI186" s="9" t="s">
        <v>77</v>
      </c>
      <c r="BJ186" s="9" t="s">
        <v>80</v>
      </c>
      <c r="BK186" s="9" t="s">
        <v>348</v>
      </c>
      <c r="BL186" s="9" t="s">
        <v>839</v>
      </c>
      <c r="BM186" s="9" t="s">
        <v>80</v>
      </c>
      <c r="BN186" s="9" t="s">
        <v>348</v>
      </c>
      <c r="BO186" s="9" t="s">
        <v>839</v>
      </c>
      <c r="BP186" s="9" t="s">
        <v>77</v>
      </c>
      <c r="BQ186" s="9" t="s">
        <v>77</v>
      </c>
      <c r="BR186" s="9" t="s">
        <v>77</v>
      </c>
      <c r="BS186" s="9" t="s">
        <v>77</v>
      </c>
      <c r="BT186" s="9" t="s">
        <v>77</v>
      </c>
      <c r="BU186" s="9" t="s">
        <v>77</v>
      </c>
      <c r="BV186" s="9" t="s">
        <v>78</v>
      </c>
      <c r="BW186" s="9" t="s">
        <v>78</v>
      </c>
      <c r="BX186" s="9" t="s">
        <v>78</v>
      </c>
      <c r="CB186" s="9" t="s">
        <v>77</v>
      </c>
      <c r="CC186" s="9" t="s">
        <v>80</v>
      </c>
      <c r="CD186" s="9" t="s">
        <v>77</v>
      </c>
      <c r="CE186" s="9" t="s">
        <v>77</v>
      </c>
      <c r="CF186" s="9" t="s">
        <v>77</v>
      </c>
      <c r="CG186" s="9" t="s">
        <v>80</v>
      </c>
      <c r="CH186" s="9" t="s">
        <v>348</v>
      </c>
      <c r="CI186" s="9" t="s">
        <v>840</v>
      </c>
      <c r="CJ186" s="9" t="s">
        <v>80</v>
      </c>
      <c r="CK186" s="9" t="s">
        <v>348</v>
      </c>
      <c r="CL186" s="9" t="s">
        <v>840</v>
      </c>
      <c r="CM186" s="9" t="s">
        <v>77</v>
      </c>
      <c r="CN186" s="9" t="s">
        <v>77</v>
      </c>
      <c r="CO186" s="9" t="s">
        <v>78</v>
      </c>
      <c r="CS186" s="9" t="s">
        <v>80</v>
      </c>
      <c r="CT186" s="9" t="s">
        <v>348</v>
      </c>
      <c r="CU186" s="9" t="s">
        <v>839</v>
      </c>
      <c r="CV186" s="9" t="s">
        <v>80</v>
      </c>
      <c r="CW186" s="9" t="s">
        <v>348</v>
      </c>
      <c r="CX186" s="9" t="s">
        <v>839</v>
      </c>
      <c r="CY186" s="9" t="s">
        <v>77</v>
      </c>
      <c r="CZ186" s="9" t="s">
        <v>77</v>
      </c>
      <c r="DA186" s="9" t="s">
        <v>78</v>
      </c>
      <c r="DE186" s="9" t="s">
        <v>77</v>
      </c>
      <c r="DF186" s="9" t="s">
        <v>78</v>
      </c>
      <c r="DG186" s="9" t="s">
        <v>78</v>
      </c>
      <c r="DH186" s="9" t="s">
        <v>78</v>
      </c>
      <c r="DI186" s="9" t="s">
        <v>839</v>
      </c>
      <c r="DJ186" s="9" t="s">
        <v>77</v>
      </c>
      <c r="DK186" s="9" t="s">
        <v>77</v>
      </c>
      <c r="DN186" s="9" t="s">
        <v>77</v>
      </c>
      <c r="DO186" s="9" t="s">
        <v>77</v>
      </c>
      <c r="DP186" s="9" t="s">
        <v>80</v>
      </c>
      <c r="DQ186" s="9" t="s">
        <v>438</v>
      </c>
      <c r="DR186" s="9" t="s">
        <v>77</v>
      </c>
      <c r="DS186" s="9" t="s">
        <v>78</v>
      </c>
      <c r="DT186" s="9" t="s">
        <v>349</v>
      </c>
      <c r="DU186" s="9" t="s">
        <v>78</v>
      </c>
      <c r="DV186" s="9" t="s">
        <v>77</v>
      </c>
      <c r="DZ186" s="9" t="s">
        <v>77</v>
      </c>
      <c r="EA186" s="9" t="s">
        <v>77</v>
      </c>
      <c r="EB186" s="9" t="s">
        <v>80</v>
      </c>
      <c r="EC186" s="9" t="s">
        <v>438</v>
      </c>
      <c r="ED186" s="9" t="s">
        <v>77</v>
      </c>
      <c r="EE186" s="9" t="s">
        <v>78</v>
      </c>
      <c r="EF186" s="9" t="s">
        <v>349</v>
      </c>
      <c r="EG186" s="9" t="s">
        <v>78</v>
      </c>
      <c r="EH186" s="9" t="s">
        <v>77</v>
      </c>
      <c r="EL186" s="9" t="s">
        <v>77</v>
      </c>
      <c r="EM186" s="9" t="s">
        <v>77</v>
      </c>
      <c r="EN186" s="9" t="s">
        <v>80</v>
      </c>
      <c r="EO186" s="9" t="s">
        <v>438</v>
      </c>
      <c r="EP186" s="9" t="s">
        <v>77</v>
      </c>
      <c r="EQ186" s="9" t="s">
        <v>78</v>
      </c>
      <c r="ER186" s="9" t="s">
        <v>349</v>
      </c>
      <c r="ES186" s="9" t="s">
        <v>78</v>
      </c>
      <c r="ET186" s="9" t="s">
        <v>77</v>
      </c>
      <c r="EX186" s="9" t="s">
        <v>77</v>
      </c>
      <c r="EY186" s="9" t="s">
        <v>77</v>
      </c>
      <c r="EZ186" s="9" t="s">
        <v>80</v>
      </c>
      <c r="FA186" s="9" t="s">
        <v>438</v>
      </c>
      <c r="FB186" s="9" t="s">
        <v>77</v>
      </c>
      <c r="FC186" s="9" t="s">
        <v>78</v>
      </c>
      <c r="FD186" s="9" t="s">
        <v>349</v>
      </c>
      <c r="FE186" s="9" t="s">
        <v>78</v>
      </c>
      <c r="FF186" s="9" t="s">
        <v>77</v>
      </c>
    </row>
    <row r="187" spans="50:162">
      <c r="AX187" s="9" t="s">
        <v>77</v>
      </c>
      <c r="AY187" s="9" t="s">
        <v>77</v>
      </c>
      <c r="AZ187" s="9" t="s">
        <v>80</v>
      </c>
      <c r="BA187" s="9" t="s">
        <v>438</v>
      </c>
      <c r="BB187" s="9" t="s">
        <v>79</v>
      </c>
      <c r="BC187" s="9" t="s">
        <v>78</v>
      </c>
      <c r="BD187" s="9" t="s">
        <v>349</v>
      </c>
      <c r="BE187" s="9" t="s">
        <v>78</v>
      </c>
      <c r="BF187" s="9" t="s">
        <v>77</v>
      </c>
      <c r="BI187" s="9" t="s">
        <v>77</v>
      </c>
      <c r="BJ187" s="9" t="s">
        <v>80</v>
      </c>
      <c r="BK187" s="9" t="s">
        <v>348</v>
      </c>
      <c r="BL187" s="9" t="s">
        <v>841</v>
      </c>
      <c r="BM187" s="9" t="s">
        <v>80</v>
      </c>
      <c r="BN187" s="9" t="s">
        <v>348</v>
      </c>
      <c r="BO187" s="9" t="s">
        <v>841</v>
      </c>
      <c r="BP187" s="9" t="s">
        <v>77</v>
      </c>
      <c r="BQ187" s="9" t="s">
        <v>77</v>
      </c>
      <c r="BR187" s="9" t="s">
        <v>77</v>
      </c>
      <c r="BS187" s="9" t="s">
        <v>77</v>
      </c>
      <c r="BT187" s="9" t="s">
        <v>77</v>
      </c>
      <c r="BU187" s="9" t="s">
        <v>77</v>
      </c>
      <c r="BV187" s="9" t="s">
        <v>78</v>
      </c>
      <c r="BW187" s="9" t="s">
        <v>78</v>
      </c>
      <c r="BX187" s="9" t="s">
        <v>78</v>
      </c>
      <c r="CB187" s="9" t="s">
        <v>77</v>
      </c>
      <c r="CC187" s="9" t="s">
        <v>80</v>
      </c>
      <c r="CD187" s="9" t="s">
        <v>77</v>
      </c>
      <c r="CE187" s="9" t="s">
        <v>77</v>
      </c>
      <c r="CF187" s="9" t="s">
        <v>77</v>
      </c>
      <c r="CG187" s="9" t="s">
        <v>80</v>
      </c>
      <c r="CH187" s="9" t="s">
        <v>348</v>
      </c>
      <c r="CI187" s="9" t="s">
        <v>841</v>
      </c>
      <c r="CJ187" s="9" t="s">
        <v>80</v>
      </c>
      <c r="CK187" s="9" t="s">
        <v>348</v>
      </c>
      <c r="CL187" s="9" t="s">
        <v>841</v>
      </c>
      <c r="CM187" s="9" t="s">
        <v>77</v>
      </c>
      <c r="CN187" s="9" t="s">
        <v>77</v>
      </c>
      <c r="CO187" s="9" t="s">
        <v>78</v>
      </c>
      <c r="CS187" s="9" t="s">
        <v>80</v>
      </c>
      <c r="CT187" s="9" t="s">
        <v>348</v>
      </c>
      <c r="CU187" s="9" t="s">
        <v>841</v>
      </c>
      <c r="CV187" s="9" t="s">
        <v>80</v>
      </c>
      <c r="CW187" s="9" t="s">
        <v>348</v>
      </c>
      <c r="CX187" s="9" t="s">
        <v>841</v>
      </c>
      <c r="CY187" s="9" t="s">
        <v>77</v>
      </c>
      <c r="CZ187" s="9" t="s">
        <v>77</v>
      </c>
      <c r="DA187" s="9" t="s">
        <v>78</v>
      </c>
      <c r="DE187" s="9" t="s">
        <v>77</v>
      </c>
      <c r="DF187" s="9" t="s">
        <v>78</v>
      </c>
      <c r="DG187" s="9" t="s">
        <v>78</v>
      </c>
      <c r="DH187" s="9" t="s">
        <v>78</v>
      </c>
      <c r="DI187" s="9" t="s">
        <v>842</v>
      </c>
      <c r="DJ187" s="9" t="s">
        <v>77</v>
      </c>
      <c r="DK187" s="9" t="s">
        <v>77</v>
      </c>
      <c r="DN187" s="9" t="s">
        <v>77</v>
      </c>
      <c r="DO187" s="9" t="s">
        <v>77</v>
      </c>
      <c r="DP187" s="9" t="s">
        <v>80</v>
      </c>
      <c r="DQ187" s="9" t="s">
        <v>438</v>
      </c>
      <c r="DR187" s="9" t="s">
        <v>77</v>
      </c>
      <c r="DS187" s="9" t="s">
        <v>78</v>
      </c>
      <c r="DT187" s="9" t="s">
        <v>349</v>
      </c>
      <c r="DU187" s="9" t="s">
        <v>78</v>
      </c>
      <c r="DV187" s="9" t="s">
        <v>77</v>
      </c>
      <c r="DZ187" s="9" t="s">
        <v>77</v>
      </c>
      <c r="EA187" s="9" t="s">
        <v>77</v>
      </c>
      <c r="EB187" s="9" t="s">
        <v>80</v>
      </c>
      <c r="EC187" s="9" t="s">
        <v>438</v>
      </c>
      <c r="ED187" s="9" t="s">
        <v>77</v>
      </c>
      <c r="EE187" s="9" t="s">
        <v>78</v>
      </c>
      <c r="EF187" s="9" t="s">
        <v>349</v>
      </c>
      <c r="EG187" s="9" t="s">
        <v>78</v>
      </c>
      <c r="EH187" s="9" t="s">
        <v>77</v>
      </c>
      <c r="EL187" s="9" t="s">
        <v>77</v>
      </c>
      <c r="EM187" s="9" t="s">
        <v>77</v>
      </c>
      <c r="EN187" s="9" t="s">
        <v>80</v>
      </c>
      <c r="EO187" s="9" t="s">
        <v>438</v>
      </c>
      <c r="EP187" s="9" t="s">
        <v>77</v>
      </c>
      <c r="EQ187" s="9" t="s">
        <v>78</v>
      </c>
      <c r="ER187" s="9" t="s">
        <v>349</v>
      </c>
      <c r="ES187" s="9" t="s">
        <v>78</v>
      </c>
      <c r="ET187" s="9" t="s">
        <v>77</v>
      </c>
      <c r="EX187" s="9" t="s">
        <v>77</v>
      </c>
      <c r="EY187" s="9" t="s">
        <v>77</v>
      </c>
      <c r="EZ187" s="9" t="s">
        <v>80</v>
      </c>
      <c r="FA187" s="9" t="s">
        <v>438</v>
      </c>
      <c r="FB187" s="9" t="s">
        <v>77</v>
      </c>
      <c r="FC187" s="9" t="s">
        <v>78</v>
      </c>
      <c r="FD187" s="9" t="s">
        <v>349</v>
      </c>
      <c r="FE187" s="9" t="s">
        <v>78</v>
      </c>
      <c r="FF187" s="9" t="s">
        <v>77</v>
      </c>
    </row>
    <row r="188" spans="50:162">
      <c r="AX188" s="9" t="s">
        <v>77</v>
      </c>
      <c r="AY188" s="9" t="s">
        <v>77</v>
      </c>
      <c r="AZ188" s="9" t="s">
        <v>80</v>
      </c>
      <c r="BA188" s="9" t="s">
        <v>438</v>
      </c>
      <c r="BB188" s="9" t="s">
        <v>79</v>
      </c>
      <c r="BC188" s="9" t="s">
        <v>78</v>
      </c>
      <c r="BD188" s="9" t="s">
        <v>349</v>
      </c>
      <c r="BE188" s="9" t="s">
        <v>78</v>
      </c>
      <c r="BF188" s="9" t="s">
        <v>77</v>
      </c>
      <c r="BI188" s="9" t="s">
        <v>77</v>
      </c>
      <c r="BJ188" s="9" t="s">
        <v>80</v>
      </c>
      <c r="BK188" s="9" t="s">
        <v>348</v>
      </c>
      <c r="BL188" s="9" t="s">
        <v>843</v>
      </c>
      <c r="BM188" s="9" t="s">
        <v>80</v>
      </c>
      <c r="BN188" s="9" t="s">
        <v>348</v>
      </c>
      <c r="BO188" s="9" t="s">
        <v>843</v>
      </c>
      <c r="BP188" s="9" t="s">
        <v>77</v>
      </c>
      <c r="BQ188" s="9" t="s">
        <v>77</v>
      </c>
      <c r="BR188" s="9" t="s">
        <v>77</v>
      </c>
      <c r="BS188" s="9" t="s">
        <v>77</v>
      </c>
      <c r="BT188" s="9" t="s">
        <v>77</v>
      </c>
      <c r="BU188" s="9" t="s">
        <v>77</v>
      </c>
      <c r="BV188" s="9" t="s">
        <v>78</v>
      </c>
      <c r="BW188" s="9" t="s">
        <v>78</v>
      </c>
      <c r="BX188" s="9" t="s">
        <v>78</v>
      </c>
      <c r="CB188" s="9" t="s">
        <v>77</v>
      </c>
      <c r="CC188" s="9" t="s">
        <v>80</v>
      </c>
      <c r="CD188" s="9" t="s">
        <v>77</v>
      </c>
      <c r="CE188" s="9" t="s">
        <v>77</v>
      </c>
      <c r="CF188" s="9" t="s">
        <v>77</v>
      </c>
      <c r="CG188" s="9" t="s">
        <v>80</v>
      </c>
      <c r="CH188" s="9" t="s">
        <v>348</v>
      </c>
      <c r="CI188" s="9" t="s">
        <v>844</v>
      </c>
      <c r="CJ188" s="9" t="s">
        <v>80</v>
      </c>
      <c r="CK188" s="9" t="s">
        <v>348</v>
      </c>
      <c r="CL188" s="9" t="s">
        <v>844</v>
      </c>
      <c r="CM188" s="9" t="s">
        <v>77</v>
      </c>
      <c r="CN188" s="9" t="s">
        <v>77</v>
      </c>
      <c r="CO188" s="9" t="s">
        <v>78</v>
      </c>
      <c r="CS188" s="9" t="s">
        <v>80</v>
      </c>
      <c r="CT188" s="9" t="s">
        <v>348</v>
      </c>
      <c r="CU188" s="9" t="s">
        <v>843</v>
      </c>
      <c r="CV188" s="9" t="s">
        <v>80</v>
      </c>
      <c r="CW188" s="9" t="s">
        <v>348</v>
      </c>
      <c r="CX188" s="9" t="s">
        <v>843</v>
      </c>
      <c r="CY188" s="9" t="s">
        <v>77</v>
      </c>
      <c r="CZ188" s="9" t="s">
        <v>77</v>
      </c>
      <c r="DA188" s="9" t="s">
        <v>78</v>
      </c>
      <c r="DE188" s="9" t="s">
        <v>77</v>
      </c>
      <c r="DF188" s="9" t="s">
        <v>78</v>
      </c>
      <c r="DG188" s="9" t="s">
        <v>78</v>
      </c>
      <c r="DH188" s="9" t="s">
        <v>78</v>
      </c>
      <c r="DI188" s="9" t="s">
        <v>843</v>
      </c>
      <c r="DJ188" s="9" t="s">
        <v>77</v>
      </c>
      <c r="DK188" s="9" t="s">
        <v>77</v>
      </c>
      <c r="DN188" s="9" t="s">
        <v>77</v>
      </c>
      <c r="DO188" s="9" t="s">
        <v>77</v>
      </c>
      <c r="DP188" s="9" t="s">
        <v>80</v>
      </c>
      <c r="DQ188" s="9" t="s">
        <v>438</v>
      </c>
      <c r="DR188" s="9" t="s">
        <v>77</v>
      </c>
      <c r="DS188" s="9" t="s">
        <v>78</v>
      </c>
      <c r="DT188" s="9" t="s">
        <v>349</v>
      </c>
      <c r="DU188" s="9" t="s">
        <v>78</v>
      </c>
      <c r="DV188" s="9" t="s">
        <v>77</v>
      </c>
      <c r="DZ188" s="9" t="s">
        <v>77</v>
      </c>
      <c r="EA188" s="9" t="s">
        <v>77</v>
      </c>
      <c r="EB188" s="9" t="s">
        <v>80</v>
      </c>
      <c r="EC188" s="9" t="s">
        <v>438</v>
      </c>
      <c r="ED188" s="9" t="s">
        <v>77</v>
      </c>
      <c r="EE188" s="9" t="s">
        <v>78</v>
      </c>
      <c r="EF188" s="9" t="s">
        <v>349</v>
      </c>
      <c r="EG188" s="9" t="s">
        <v>78</v>
      </c>
      <c r="EH188" s="9" t="s">
        <v>77</v>
      </c>
      <c r="EL188" s="9" t="s">
        <v>77</v>
      </c>
      <c r="EM188" s="9" t="s">
        <v>77</v>
      </c>
      <c r="EN188" s="9" t="s">
        <v>80</v>
      </c>
      <c r="EO188" s="9" t="s">
        <v>438</v>
      </c>
      <c r="EP188" s="9" t="s">
        <v>77</v>
      </c>
      <c r="EQ188" s="9" t="s">
        <v>78</v>
      </c>
      <c r="ER188" s="9" t="s">
        <v>349</v>
      </c>
      <c r="ES188" s="9" t="s">
        <v>78</v>
      </c>
      <c r="ET188" s="9" t="s">
        <v>77</v>
      </c>
      <c r="EX188" s="9" t="s">
        <v>77</v>
      </c>
      <c r="EY188" s="9" t="s">
        <v>77</v>
      </c>
      <c r="EZ188" s="9" t="s">
        <v>80</v>
      </c>
      <c r="FA188" s="9" t="s">
        <v>438</v>
      </c>
      <c r="FB188" s="9" t="s">
        <v>77</v>
      </c>
      <c r="FC188" s="9" t="s">
        <v>78</v>
      </c>
      <c r="FD188" s="9" t="s">
        <v>349</v>
      </c>
      <c r="FE188" s="9" t="s">
        <v>78</v>
      </c>
      <c r="FF188" s="9" t="s">
        <v>77</v>
      </c>
    </row>
    <row r="189" spans="50:162">
      <c r="AX189" s="9" t="s">
        <v>77</v>
      </c>
      <c r="AY189" s="9" t="s">
        <v>77</v>
      </c>
      <c r="AZ189" s="9" t="s">
        <v>80</v>
      </c>
      <c r="BA189" s="9" t="s">
        <v>438</v>
      </c>
      <c r="BB189" s="9" t="s">
        <v>79</v>
      </c>
      <c r="BC189" s="9" t="s">
        <v>78</v>
      </c>
      <c r="BD189" s="9" t="s">
        <v>349</v>
      </c>
      <c r="BE189" s="9" t="s">
        <v>78</v>
      </c>
      <c r="BF189" s="9" t="s">
        <v>77</v>
      </c>
      <c r="BI189" s="9" t="s">
        <v>77</v>
      </c>
      <c r="BJ189" s="9" t="s">
        <v>80</v>
      </c>
      <c r="BK189" s="9" t="s">
        <v>348</v>
      </c>
      <c r="BL189" s="9" t="s">
        <v>845</v>
      </c>
      <c r="BM189" s="9" t="s">
        <v>80</v>
      </c>
      <c r="BN189" s="9" t="s">
        <v>348</v>
      </c>
      <c r="BO189" s="9" t="s">
        <v>845</v>
      </c>
      <c r="BP189" s="9" t="s">
        <v>77</v>
      </c>
      <c r="BQ189" s="9" t="s">
        <v>77</v>
      </c>
      <c r="BR189" s="9" t="s">
        <v>77</v>
      </c>
      <c r="BS189" s="9" t="s">
        <v>77</v>
      </c>
      <c r="BT189" s="9" t="s">
        <v>77</v>
      </c>
      <c r="BU189" s="9" t="s">
        <v>77</v>
      </c>
      <c r="BV189" s="9" t="s">
        <v>78</v>
      </c>
      <c r="BW189" s="9" t="s">
        <v>78</v>
      </c>
      <c r="BX189" s="9" t="s">
        <v>78</v>
      </c>
      <c r="CB189" s="9" t="s">
        <v>77</v>
      </c>
      <c r="CC189" s="9" t="s">
        <v>80</v>
      </c>
      <c r="CD189" s="9" t="s">
        <v>77</v>
      </c>
      <c r="CE189" s="9" t="s">
        <v>77</v>
      </c>
      <c r="CF189" s="9" t="s">
        <v>77</v>
      </c>
      <c r="CG189" s="9" t="s">
        <v>80</v>
      </c>
      <c r="CH189" s="9" t="s">
        <v>348</v>
      </c>
      <c r="CI189" s="9" t="s">
        <v>845</v>
      </c>
      <c r="CJ189" s="9" t="s">
        <v>80</v>
      </c>
      <c r="CK189" s="9" t="s">
        <v>348</v>
      </c>
      <c r="CL189" s="9" t="s">
        <v>845</v>
      </c>
      <c r="CM189" s="9" t="s">
        <v>77</v>
      </c>
      <c r="CN189" s="9" t="s">
        <v>77</v>
      </c>
      <c r="CO189" s="9" t="s">
        <v>78</v>
      </c>
      <c r="CS189" s="9" t="s">
        <v>80</v>
      </c>
      <c r="CT189" s="9" t="s">
        <v>348</v>
      </c>
      <c r="CU189" s="9" t="s">
        <v>845</v>
      </c>
      <c r="CV189" s="9" t="s">
        <v>80</v>
      </c>
      <c r="CW189" s="9" t="s">
        <v>348</v>
      </c>
      <c r="CX189" s="9" t="s">
        <v>845</v>
      </c>
      <c r="CY189" s="9" t="s">
        <v>77</v>
      </c>
      <c r="CZ189" s="9" t="s">
        <v>77</v>
      </c>
      <c r="DA189" s="9" t="s">
        <v>78</v>
      </c>
      <c r="DE189" s="9" t="s">
        <v>77</v>
      </c>
      <c r="DF189" s="9" t="s">
        <v>78</v>
      </c>
      <c r="DG189" s="9" t="s">
        <v>78</v>
      </c>
      <c r="DH189" s="9" t="s">
        <v>78</v>
      </c>
      <c r="DI189" s="9" t="s">
        <v>846</v>
      </c>
      <c r="DJ189" s="9" t="s">
        <v>77</v>
      </c>
      <c r="DK189" s="9" t="s">
        <v>77</v>
      </c>
      <c r="DN189" s="9" t="s">
        <v>77</v>
      </c>
      <c r="DO189" s="9" t="s">
        <v>77</v>
      </c>
      <c r="DP189" s="9" t="s">
        <v>80</v>
      </c>
      <c r="DQ189" s="9" t="s">
        <v>438</v>
      </c>
      <c r="DR189" s="9" t="s">
        <v>77</v>
      </c>
      <c r="DS189" s="9" t="s">
        <v>78</v>
      </c>
      <c r="DT189" s="9" t="s">
        <v>349</v>
      </c>
      <c r="DU189" s="9" t="s">
        <v>78</v>
      </c>
      <c r="DV189" s="9" t="s">
        <v>77</v>
      </c>
      <c r="DZ189" s="9" t="s">
        <v>77</v>
      </c>
      <c r="EA189" s="9" t="s">
        <v>77</v>
      </c>
      <c r="EB189" s="9" t="s">
        <v>80</v>
      </c>
      <c r="EC189" s="9" t="s">
        <v>438</v>
      </c>
      <c r="ED189" s="9" t="s">
        <v>77</v>
      </c>
      <c r="EE189" s="9" t="s">
        <v>78</v>
      </c>
      <c r="EF189" s="9" t="s">
        <v>349</v>
      </c>
      <c r="EG189" s="9" t="s">
        <v>78</v>
      </c>
      <c r="EH189" s="9" t="s">
        <v>77</v>
      </c>
      <c r="EL189" s="9" t="s">
        <v>77</v>
      </c>
      <c r="EM189" s="9" t="s">
        <v>77</v>
      </c>
      <c r="EN189" s="9" t="s">
        <v>80</v>
      </c>
      <c r="EO189" s="9" t="s">
        <v>438</v>
      </c>
      <c r="EP189" s="9" t="s">
        <v>77</v>
      </c>
      <c r="EQ189" s="9" t="s">
        <v>78</v>
      </c>
      <c r="ER189" s="9" t="s">
        <v>349</v>
      </c>
      <c r="ES189" s="9" t="s">
        <v>78</v>
      </c>
      <c r="ET189" s="9" t="s">
        <v>77</v>
      </c>
      <c r="EX189" s="9" t="s">
        <v>77</v>
      </c>
      <c r="EY189" s="9" t="s">
        <v>77</v>
      </c>
      <c r="EZ189" s="9" t="s">
        <v>80</v>
      </c>
      <c r="FA189" s="9" t="s">
        <v>438</v>
      </c>
      <c r="FB189" s="9" t="s">
        <v>77</v>
      </c>
      <c r="FC189" s="9" t="s">
        <v>78</v>
      </c>
      <c r="FD189" s="9" t="s">
        <v>349</v>
      </c>
      <c r="FE189" s="9" t="s">
        <v>78</v>
      </c>
      <c r="FF189" s="9" t="s">
        <v>77</v>
      </c>
    </row>
    <row r="190" spans="50:162">
      <c r="AX190" s="9" t="s">
        <v>77</v>
      </c>
      <c r="AY190" s="9" t="s">
        <v>77</v>
      </c>
      <c r="AZ190" s="9" t="s">
        <v>80</v>
      </c>
      <c r="BA190" s="9" t="s">
        <v>438</v>
      </c>
      <c r="BB190" s="9" t="s">
        <v>79</v>
      </c>
      <c r="BC190" s="9" t="s">
        <v>78</v>
      </c>
      <c r="BD190" s="9" t="s">
        <v>349</v>
      </c>
      <c r="BE190" s="9" t="s">
        <v>78</v>
      </c>
      <c r="BF190" s="9" t="s">
        <v>77</v>
      </c>
      <c r="BI190" s="9" t="s">
        <v>77</v>
      </c>
      <c r="BJ190" s="9" t="s">
        <v>80</v>
      </c>
      <c r="BK190" s="9" t="s">
        <v>348</v>
      </c>
      <c r="BL190" s="9" t="s">
        <v>847</v>
      </c>
      <c r="BM190" s="9" t="s">
        <v>80</v>
      </c>
      <c r="BN190" s="9" t="s">
        <v>348</v>
      </c>
      <c r="BO190" s="9" t="s">
        <v>847</v>
      </c>
      <c r="BP190" s="9" t="s">
        <v>77</v>
      </c>
      <c r="BQ190" s="9" t="s">
        <v>77</v>
      </c>
      <c r="BR190" s="9" t="s">
        <v>77</v>
      </c>
      <c r="BS190" s="9" t="s">
        <v>77</v>
      </c>
      <c r="BT190" s="9" t="s">
        <v>77</v>
      </c>
      <c r="BU190" s="9" t="s">
        <v>77</v>
      </c>
      <c r="BV190" s="9" t="s">
        <v>78</v>
      </c>
      <c r="BW190" s="9" t="s">
        <v>78</v>
      </c>
      <c r="BX190" s="9" t="s">
        <v>78</v>
      </c>
      <c r="CB190" s="9" t="s">
        <v>77</v>
      </c>
      <c r="CC190" s="9" t="s">
        <v>80</v>
      </c>
      <c r="CD190" s="9" t="s">
        <v>77</v>
      </c>
      <c r="CE190" s="9" t="s">
        <v>77</v>
      </c>
      <c r="CF190" s="9" t="s">
        <v>77</v>
      </c>
      <c r="CG190" s="9" t="s">
        <v>80</v>
      </c>
      <c r="CH190" s="9" t="s">
        <v>348</v>
      </c>
      <c r="CI190" s="9" t="s">
        <v>848</v>
      </c>
      <c r="CJ190" s="9" t="s">
        <v>80</v>
      </c>
      <c r="CK190" s="9" t="s">
        <v>348</v>
      </c>
      <c r="CL190" s="9" t="s">
        <v>848</v>
      </c>
      <c r="CM190" s="9" t="s">
        <v>77</v>
      </c>
      <c r="CN190" s="9" t="s">
        <v>77</v>
      </c>
      <c r="CO190" s="9" t="s">
        <v>78</v>
      </c>
      <c r="CS190" s="9" t="s">
        <v>80</v>
      </c>
      <c r="CT190" s="9" t="s">
        <v>348</v>
      </c>
      <c r="CU190" s="9" t="s">
        <v>847</v>
      </c>
      <c r="CV190" s="9" t="s">
        <v>80</v>
      </c>
      <c r="CW190" s="9" t="s">
        <v>348</v>
      </c>
      <c r="CX190" s="9" t="s">
        <v>847</v>
      </c>
      <c r="CY190" s="9" t="s">
        <v>77</v>
      </c>
      <c r="CZ190" s="9" t="s">
        <v>77</v>
      </c>
      <c r="DA190" s="9" t="s">
        <v>78</v>
      </c>
      <c r="DE190" s="9" t="s">
        <v>77</v>
      </c>
      <c r="DF190" s="9" t="s">
        <v>78</v>
      </c>
      <c r="DG190" s="9" t="s">
        <v>78</v>
      </c>
      <c r="DH190" s="9" t="s">
        <v>78</v>
      </c>
      <c r="DI190" s="9" t="s">
        <v>847</v>
      </c>
      <c r="DJ190" s="9" t="s">
        <v>77</v>
      </c>
      <c r="DK190" s="9" t="s">
        <v>77</v>
      </c>
      <c r="DN190" s="9" t="s">
        <v>77</v>
      </c>
      <c r="DO190" s="9" t="s">
        <v>77</v>
      </c>
      <c r="DP190" s="9" t="s">
        <v>80</v>
      </c>
      <c r="DQ190" s="9" t="s">
        <v>438</v>
      </c>
      <c r="DR190" s="9" t="s">
        <v>77</v>
      </c>
      <c r="DS190" s="9" t="s">
        <v>78</v>
      </c>
      <c r="DT190" s="9" t="s">
        <v>349</v>
      </c>
      <c r="DU190" s="9" t="s">
        <v>78</v>
      </c>
      <c r="DV190" s="9" t="s">
        <v>77</v>
      </c>
      <c r="DZ190" s="9" t="s">
        <v>77</v>
      </c>
      <c r="EA190" s="9" t="s">
        <v>77</v>
      </c>
      <c r="EB190" s="9" t="s">
        <v>80</v>
      </c>
      <c r="EC190" s="9" t="s">
        <v>438</v>
      </c>
      <c r="ED190" s="9" t="s">
        <v>77</v>
      </c>
      <c r="EE190" s="9" t="s">
        <v>78</v>
      </c>
      <c r="EF190" s="9" t="s">
        <v>349</v>
      </c>
      <c r="EG190" s="9" t="s">
        <v>78</v>
      </c>
      <c r="EH190" s="9" t="s">
        <v>77</v>
      </c>
      <c r="EL190" s="9" t="s">
        <v>77</v>
      </c>
      <c r="EM190" s="9" t="s">
        <v>77</v>
      </c>
      <c r="EN190" s="9" t="s">
        <v>80</v>
      </c>
      <c r="EO190" s="9" t="s">
        <v>438</v>
      </c>
      <c r="EP190" s="9" t="s">
        <v>77</v>
      </c>
      <c r="EQ190" s="9" t="s">
        <v>78</v>
      </c>
      <c r="ER190" s="9" t="s">
        <v>349</v>
      </c>
      <c r="ES190" s="9" t="s">
        <v>78</v>
      </c>
      <c r="ET190" s="9" t="s">
        <v>77</v>
      </c>
      <c r="EX190" s="9" t="s">
        <v>77</v>
      </c>
      <c r="EY190" s="9" t="s">
        <v>77</v>
      </c>
      <c r="EZ190" s="9" t="s">
        <v>80</v>
      </c>
      <c r="FA190" s="9" t="s">
        <v>438</v>
      </c>
      <c r="FB190" s="9" t="s">
        <v>77</v>
      </c>
      <c r="FC190" s="9" t="s">
        <v>78</v>
      </c>
      <c r="FD190" s="9" t="s">
        <v>349</v>
      </c>
      <c r="FE190" s="9" t="s">
        <v>78</v>
      </c>
      <c r="FF190" s="9" t="s">
        <v>77</v>
      </c>
    </row>
    <row r="191" spans="50:162">
      <c r="AX191" s="9" t="s">
        <v>77</v>
      </c>
      <c r="AY191" s="9" t="s">
        <v>77</v>
      </c>
      <c r="AZ191" s="9" t="s">
        <v>80</v>
      </c>
      <c r="BA191" s="9" t="s">
        <v>438</v>
      </c>
      <c r="BB191" s="9" t="s">
        <v>79</v>
      </c>
      <c r="BC191" s="9" t="s">
        <v>78</v>
      </c>
      <c r="BD191" s="9" t="s">
        <v>349</v>
      </c>
      <c r="BE191" s="9" t="s">
        <v>78</v>
      </c>
      <c r="BF191" s="9" t="s">
        <v>77</v>
      </c>
      <c r="BI191" s="9" t="s">
        <v>77</v>
      </c>
      <c r="BJ191" s="9" t="s">
        <v>80</v>
      </c>
      <c r="BK191" s="9" t="s">
        <v>348</v>
      </c>
      <c r="BL191" s="9" t="s">
        <v>849</v>
      </c>
      <c r="BM191" s="9" t="s">
        <v>80</v>
      </c>
      <c r="BN191" s="9" t="s">
        <v>348</v>
      </c>
      <c r="BO191" s="9" t="s">
        <v>849</v>
      </c>
      <c r="BP191" s="9" t="s">
        <v>77</v>
      </c>
      <c r="BQ191" s="9" t="s">
        <v>77</v>
      </c>
      <c r="BR191" s="9" t="s">
        <v>77</v>
      </c>
      <c r="BS191" s="9" t="s">
        <v>77</v>
      </c>
      <c r="BT191" s="9" t="s">
        <v>77</v>
      </c>
      <c r="BU191" s="9" t="s">
        <v>77</v>
      </c>
      <c r="BV191" s="9" t="s">
        <v>78</v>
      </c>
      <c r="BW191" s="9" t="s">
        <v>78</v>
      </c>
      <c r="BX191" s="9" t="s">
        <v>78</v>
      </c>
      <c r="CB191" s="9" t="s">
        <v>77</v>
      </c>
      <c r="CC191" s="9" t="s">
        <v>80</v>
      </c>
      <c r="CD191" s="9" t="s">
        <v>77</v>
      </c>
      <c r="CE191" s="9" t="s">
        <v>77</v>
      </c>
      <c r="CF191" s="9" t="s">
        <v>77</v>
      </c>
      <c r="CG191" s="9" t="s">
        <v>80</v>
      </c>
      <c r="CH191" s="9" t="s">
        <v>348</v>
      </c>
      <c r="CI191" s="9" t="s">
        <v>850</v>
      </c>
      <c r="CJ191" s="9" t="s">
        <v>80</v>
      </c>
      <c r="CK191" s="9" t="s">
        <v>348</v>
      </c>
      <c r="CL191" s="9" t="s">
        <v>850</v>
      </c>
      <c r="CM191" s="9" t="s">
        <v>77</v>
      </c>
      <c r="CN191" s="9" t="s">
        <v>77</v>
      </c>
      <c r="CO191" s="9" t="s">
        <v>78</v>
      </c>
      <c r="CS191" s="9" t="s">
        <v>80</v>
      </c>
      <c r="CT191" s="9" t="s">
        <v>348</v>
      </c>
      <c r="CU191" s="9" t="s">
        <v>849</v>
      </c>
      <c r="CV191" s="9" t="s">
        <v>80</v>
      </c>
      <c r="CW191" s="9" t="s">
        <v>348</v>
      </c>
      <c r="CX191" s="9" t="s">
        <v>849</v>
      </c>
      <c r="CY191" s="9" t="s">
        <v>77</v>
      </c>
      <c r="CZ191" s="9" t="s">
        <v>77</v>
      </c>
      <c r="DA191" s="9" t="s">
        <v>78</v>
      </c>
      <c r="DE191" s="9" t="s">
        <v>77</v>
      </c>
      <c r="DF191" s="9" t="s">
        <v>78</v>
      </c>
      <c r="DG191" s="9" t="s">
        <v>78</v>
      </c>
      <c r="DH191" s="9" t="s">
        <v>78</v>
      </c>
      <c r="DI191" s="9" t="s">
        <v>849</v>
      </c>
      <c r="DJ191" s="9" t="s">
        <v>77</v>
      </c>
      <c r="DK191" s="9" t="s">
        <v>77</v>
      </c>
      <c r="DN191" s="9" t="s">
        <v>77</v>
      </c>
      <c r="DO191" s="9" t="s">
        <v>77</v>
      </c>
      <c r="DP191" s="9" t="s">
        <v>80</v>
      </c>
      <c r="DQ191" s="9" t="s">
        <v>438</v>
      </c>
      <c r="DR191" s="9" t="s">
        <v>77</v>
      </c>
      <c r="DS191" s="9" t="s">
        <v>78</v>
      </c>
      <c r="DT191" s="9" t="s">
        <v>349</v>
      </c>
      <c r="DU191" s="9" t="s">
        <v>78</v>
      </c>
      <c r="DV191" s="9" t="s">
        <v>77</v>
      </c>
      <c r="DZ191" s="9" t="s">
        <v>77</v>
      </c>
      <c r="EA191" s="9" t="s">
        <v>77</v>
      </c>
      <c r="EB191" s="9" t="s">
        <v>80</v>
      </c>
      <c r="EC191" s="9" t="s">
        <v>438</v>
      </c>
      <c r="ED191" s="9" t="s">
        <v>77</v>
      </c>
      <c r="EE191" s="9" t="s">
        <v>78</v>
      </c>
      <c r="EF191" s="9" t="s">
        <v>349</v>
      </c>
      <c r="EG191" s="9" t="s">
        <v>78</v>
      </c>
      <c r="EH191" s="9" t="s">
        <v>77</v>
      </c>
      <c r="EL191" s="9" t="s">
        <v>77</v>
      </c>
      <c r="EM191" s="9" t="s">
        <v>77</v>
      </c>
      <c r="EN191" s="9" t="s">
        <v>80</v>
      </c>
      <c r="EO191" s="9" t="s">
        <v>438</v>
      </c>
      <c r="EP191" s="9" t="s">
        <v>77</v>
      </c>
      <c r="EQ191" s="9" t="s">
        <v>78</v>
      </c>
      <c r="ER191" s="9" t="s">
        <v>349</v>
      </c>
      <c r="ES191" s="9" t="s">
        <v>78</v>
      </c>
      <c r="ET191" s="9" t="s">
        <v>77</v>
      </c>
      <c r="EX191" s="9" t="s">
        <v>77</v>
      </c>
      <c r="EY191" s="9" t="s">
        <v>77</v>
      </c>
      <c r="EZ191" s="9" t="s">
        <v>80</v>
      </c>
      <c r="FA191" s="9" t="s">
        <v>438</v>
      </c>
      <c r="FB191" s="9" t="s">
        <v>77</v>
      </c>
      <c r="FC191" s="9" t="s">
        <v>78</v>
      </c>
      <c r="FD191" s="9" t="s">
        <v>349</v>
      </c>
      <c r="FE191" s="9" t="s">
        <v>78</v>
      </c>
      <c r="FF191" s="9" t="s">
        <v>77</v>
      </c>
    </row>
    <row r="192" spans="50:162">
      <c r="AX192" s="9" t="s">
        <v>77</v>
      </c>
      <c r="AY192" s="9" t="s">
        <v>77</v>
      </c>
      <c r="AZ192" s="9" t="s">
        <v>80</v>
      </c>
      <c r="BA192" s="9" t="s">
        <v>438</v>
      </c>
      <c r="BB192" s="9" t="s">
        <v>79</v>
      </c>
      <c r="BC192" s="9" t="s">
        <v>78</v>
      </c>
      <c r="BD192" s="9" t="s">
        <v>349</v>
      </c>
      <c r="BE192" s="9" t="s">
        <v>78</v>
      </c>
      <c r="BF192" s="9" t="s">
        <v>77</v>
      </c>
      <c r="BI192" s="9" t="s">
        <v>77</v>
      </c>
      <c r="BJ192" s="9" t="s">
        <v>80</v>
      </c>
      <c r="BK192" s="9" t="s">
        <v>348</v>
      </c>
      <c r="BL192" s="9" t="s">
        <v>851</v>
      </c>
      <c r="BM192" s="9" t="s">
        <v>80</v>
      </c>
      <c r="BN192" s="9" t="s">
        <v>348</v>
      </c>
      <c r="BO192" s="9" t="s">
        <v>851</v>
      </c>
      <c r="BP192" s="9" t="s">
        <v>77</v>
      </c>
      <c r="BQ192" s="9" t="s">
        <v>77</v>
      </c>
      <c r="BR192" s="9" t="s">
        <v>77</v>
      </c>
      <c r="BS192" s="9" t="s">
        <v>77</v>
      </c>
      <c r="BT192" s="9" t="s">
        <v>77</v>
      </c>
      <c r="BU192" s="9" t="s">
        <v>77</v>
      </c>
      <c r="BV192" s="9" t="s">
        <v>78</v>
      </c>
      <c r="BW192" s="9" t="s">
        <v>78</v>
      </c>
      <c r="BX192" s="9" t="s">
        <v>78</v>
      </c>
      <c r="CB192" s="9" t="s">
        <v>77</v>
      </c>
      <c r="CC192" s="9" t="s">
        <v>80</v>
      </c>
      <c r="CD192" s="9" t="s">
        <v>77</v>
      </c>
      <c r="CE192" s="9" t="s">
        <v>77</v>
      </c>
      <c r="CF192" s="9" t="s">
        <v>77</v>
      </c>
      <c r="CG192" s="9" t="s">
        <v>80</v>
      </c>
      <c r="CH192" s="9" t="s">
        <v>348</v>
      </c>
      <c r="CI192" s="9" t="s">
        <v>852</v>
      </c>
      <c r="CJ192" s="9" t="s">
        <v>80</v>
      </c>
      <c r="CK192" s="9" t="s">
        <v>348</v>
      </c>
      <c r="CL192" s="9" t="s">
        <v>852</v>
      </c>
      <c r="CM192" s="9" t="s">
        <v>77</v>
      </c>
      <c r="CN192" s="9" t="s">
        <v>77</v>
      </c>
      <c r="CO192" s="9" t="s">
        <v>78</v>
      </c>
      <c r="CS192" s="9" t="s">
        <v>80</v>
      </c>
      <c r="CT192" s="9" t="s">
        <v>348</v>
      </c>
      <c r="CU192" s="9" t="s">
        <v>852</v>
      </c>
      <c r="CV192" s="9" t="s">
        <v>80</v>
      </c>
      <c r="CW192" s="9" t="s">
        <v>348</v>
      </c>
      <c r="CX192" s="9" t="s">
        <v>852</v>
      </c>
      <c r="CY192" s="9" t="s">
        <v>77</v>
      </c>
      <c r="CZ192" s="9" t="s">
        <v>77</v>
      </c>
      <c r="DA192" s="9" t="s">
        <v>78</v>
      </c>
      <c r="DE192" s="9" t="s">
        <v>77</v>
      </c>
      <c r="DF192" s="9" t="s">
        <v>78</v>
      </c>
      <c r="DG192" s="9" t="s">
        <v>78</v>
      </c>
      <c r="DH192" s="9" t="s">
        <v>78</v>
      </c>
      <c r="DI192" s="9" t="s">
        <v>851</v>
      </c>
      <c r="DJ192" s="9" t="s">
        <v>77</v>
      </c>
      <c r="DK192" s="9" t="s">
        <v>77</v>
      </c>
      <c r="DN192" s="9" t="s">
        <v>77</v>
      </c>
      <c r="DO192" s="9" t="s">
        <v>77</v>
      </c>
      <c r="DP192" s="9" t="s">
        <v>80</v>
      </c>
      <c r="DQ192" s="9" t="s">
        <v>438</v>
      </c>
      <c r="DR192" s="9" t="s">
        <v>77</v>
      </c>
      <c r="DS192" s="9" t="s">
        <v>78</v>
      </c>
      <c r="DT192" s="9" t="s">
        <v>349</v>
      </c>
      <c r="DU192" s="9" t="s">
        <v>78</v>
      </c>
      <c r="DV192" s="9" t="s">
        <v>77</v>
      </c>
      <c r="DZ192" s="9" t="s">
        <v>77</v>
      </c>
      <c r="EA192" s="9" t="s">
        <v>77</v>
      </c>
      <c r="EB192" s="9" t="s">
        <v>80</v>
      </c>
      <c r="EC192" s="9" t="s">
        <v>438</v>
      </c>
      <c r="ED192" s="9" t="s">
        <v>77</v>
      </c>
      <c r="EE192" s="9" t="s">
        <v>78</v>
      </c>
      <c r="EF192" s="9" t="s">
        <v>349</v>
      </c>
      <c r="EG192" s="9" t="s">
        <v>78</v>
      </c>
      <c r="EH192" s="9" t="s">
        <v>77</v>
      </c>
      <c r="EL192" s="9" t="s">
        <v>77</v>
      </c>
      <c r="EM192" s="9" t="s">
        <v>77</v>
      </c>
      <c r="EN192" s="9" t="s">
        <v>80</v>
      </c>
      <c r="EO192" s="9" t="s">
        <v>438</v>
      </c>
      <c r="EP192" s="9" t="s">
        <v>77</v>
      </c>
      <c r="EQ192" s="9" t="s">
        <v>78</v>
      </c>
      <c r="ER192" s="9" t="s">
        <v>349</v>
      </c>
      <c r="ES192" s="9" t="s">
        <v>78</v>
      </c>
      <c r="ET192" s="9" t="s">
        <v>77</v>
      </c>
      <c r="EX192" s="9" t="s">
        <v>77</v>
      </c>
      <c r="EY192" s="9" t="s">
        <v>77</v>
      </c>
      <c r="EZ192" s="9" t="s">
        <v>80</v>
      </c>
      <c r="FA192" s="9" t="s">
        <v>438</v>
      </c>
      <c r="FB192" s="9" t="s">
        <v>77</v>
      </c>
      <c r="FC192" s="9" t="s">
        <v>78</v>
      </c>
      <c r="FD192" s="9" t="s">
        <v>349</v>
      </c>
      <c r="FE192" s="9" t="s">
        <v>78</v>
      </c>
      <c r="FF192" s="9" t="s">
        <v>77</v>
      </c>
    </row>
    <row r="193" spans="50:162">
      <c r="AX193" s="9" t="s">
        <v>77</v>
      </c>
      <c r="AY193" s="9" t="s">
        <v>77</v>
      </c>
      <c r="AZ193" s="9" t="s">
        <v>80</v>
      </c>
      <c r="BA193" s="9" t="s">
        <v>438</v>
      </c>
      <c r="BB193" s="9" t="s">
        <v>79</v>
      </c>
      <c r="BC193" s="9" t="s">
        <v>78</v>
      </c>
      <c r="BD193" s="9" t="s">
        <v>349</v>
      </c>
      <c r="BE193" s="9" t="s">
        <v>78</v>
      </c>
      <c r="BF193" s="9" t="s">
        <v>77</v>
      </c>
      <c r="BI193" s="9" t="s">
        <v>77</v>
      </c>
      <c r="BJ193" s="9" t="s">
        <v>80</v>
      </c>
      <c r="BK193" s="9" t="s">
        <v>348</v>
      </c>
      <c r="BL193" s="9" t="s">
        <v>853</v>
      </c>
      <c r="BM193" s="9" t="s">
        <v>80</v>
      </c>
      <c r="BN193" s="9" t="s">
        <v>348</v>
      </c>
      <c r="BO193" s="9" t="s">
        <v>853</v>
      </c>
      <c r="BP193" s="9" t="s">
        <v>77</v>
      </c>
      <c r="BQ193" s="9" t="s">
        <v>77</v>
      </c>
      <c r="BR193" s="9" t="s">
        <v>77</v>
      </c>
      <c r="BS193" s="9" t="s">
        <v>77</v>
      </c>
      <c r="BT193" s="9" t="s">
        <v>77</v>
      </c>
      <c r="BU193" s="9" t="s">
        <v>77</v>
      </c>
      <c r="BV193" s="9" t="s">
        <v>78</v>
      </c>
      <c r="BW193" s="9" t="s">
        <v>78</v>
      </c>
      <c r="BX193" s="9" t="s">
        <v>78</v>
      </c>
      <c r="CB193" s="9" t="s">
        <v>77</v>
      </c>
      <c r="CC193" s="9" t="s">
        <v>80</v>
      </c>
      <c r="CD193" s="9" t="s">
        <v>77</v>
      </c>
      <c r="CE193" s="9" t="s">
        <v>77</v>
      </c>
      <c r="CF193" s="9" t="s">
        <v>77</v>
      </c>
      <c r="CG193" s="9" t="s">
        <v>80</v>
      </c>
      <c r="CH193" s="9" t="s">
        <v>348</v>
      </c>
      <c r="CI193" s="9" t="s">
        <v>853</v>
      </c>
      <c r="CJ193" s="9" t="s">
        <v>80</v>
      </c>
      <c r="CK193" s="9" t="s">
        <v>348</v>
      </c>
      <c r="CL193" s="9" t="s">
        <v>853</v>
      </c>
      <c r="CM193" s="9" t="s">
        <v>77</v>
      </c>
      <c r="CN193" s="9" t="s">
        <v>77</v>
      </c>
      <c r="CO193" s="9" t="s">
        <v>78</v>
      </c>
      <c r="CS193" s="9" t="s">
        <v>80</v>
      </c>
      <c r="CT193" s="9" t="s">
        <v>348</v>
      </c>
      <c r="CU193" s="9" t="s">
        <v>853</v>
      </c>
      <c r="CV193" s="9" t="s">
        <v>80</v>
      </c>
      <c r="CW193" s="9" t="s">
        <v>348</v>
      </c>
      <c r="CX193" s="9" t="s">
        <v>853</v>
      </c>
      <c r="CY193" s="9" t="s">
        <v>77</v>
      </c>
      <c r="CZ193" s="9" t="s">
        <v>77</v>
      </c>
      <c r="DA193" s="9" t="s">
        <v>78</v>
      </c>
      <c r="DE193" s="9" t="s">
        <v>77</v>
      </c>
      <c r="DF193" s="9" t="s">
        <v>78</v>
      </c>
      <c r="DG193" s="9" t="s">
        <v>78</v>
      </c>
      <c r="DH193" s="9" t="s">
        <v>78</v>
      </c>
      <c r="DI193" s="9" t="s">
        <v>854</v>
      </c>
      <c r="DJ193" s="9" t="s">
        <v>77</v>
      </c>
      <c r="DK193" s="9" t="s">
        <v>77</v>
      </c>
      <c r="DN193" s="9" t="s">
        <v>77</v>
      </c>
      <c r="DO193" s="9" t="s">
        <v>77</v>
      </c>
      <c r="DP193" s="9" t="s">
        <v>80</v>
      </c>
      <c r="DQ193" s="9" t="s">
        <v>438</v>
      </c>
      <c r="DR193" s="9" t="s">
        <v>77</v>
      </c>
      <c r="DS193" s="9" t="s">
        <v>78</v>
      </c>
      <c r="DT193" s="9" t="s">
        <v>349</v>
      </c>
      <c r="DU193" s="9" t="s">
        <v>78</v>
      </c>
      <c r="DV193" s="9" t="s">
        <v>77</v>
      </c>
      <c r="DZ193" s="9" t="s">
        <v>77</v>
      </c>
      <c r="EA193" s="9" t="s">
        <v>77</v>
      </c>
      <c r="EB193" s="9" t="s">
        <v>80</v>
      </c>
      <c r="EC193" s="9" t="s">
        <v>438</v>
      </c>
      <c r="ED193" s="9" t="s">
        <v>77</v>
      </c>
      <c r="EE193" s="9" t="s">
        <v>78</v>
      </c>
      <c r="EF193" s="9" t="s">
        <v>349</v>
      </c>
      <c r="EG193" s="9" t="s">
        <v>78</v>
      </c>
      <c r="EH193" s="9" t="s">
        <v>77</v>
      </c>
      <c r="EL193" s="9" t="s">
        <v>77</v>
      </c>
      <c r="EM193" s="9" t="s">
        <v>77</v>
      </c>
      <c r="EN193" s="9" t="s">
        <v>80</v>
      </c>
      <c r="EO193" s="9" t="s">
        <v>438</v>
      </c>
      <c r="EP193" s="9" t="s">
        <v>77</v>
      </c>
      <c r="EQ193" s="9" t="s">
        <v>78</v>
      </c>
      <c r="ER193" s="9" t="s">
        <v>349</v>
      </c>
      <c r="ES193" s="9" t="s">
        <v>78</v>
      </c>
      <c r="ET193" s="9" t="s">
        <v>77</v>
      </c>
      <c r="EX193" s="9" t="s">
        <v>77</v>
      </c>
      <c r="EY193" s="9" t="s">
        <v>77</v>
      </c>
      <c r="EZ193" s="9" t="s">
        <v>80</v>
      </c>
      <c r="FA193" s="9" t="s">
        <v>438</v>
      </c>
      <c r="FB193" s="9" t="s">
        <v>77</v>
      </c>
      <c r="FC193" s="9" t="s">
        <v>78</v>
      </c>
      <c r="FD193" s="9" t="s">
        <v>349</v>
      </c>
      <c r="FE193" s="9" t="s">
        <v>78</v>
      </c>
      <c r="FF193" s="9" t="s">
        <v>77</v>
      </c>
    </row>
    <row r="194" spans="50:162">
      <c r="AX194" s="9" t="s">
        <v>77</v>
      </c>
      <c r="AY194" s="9" t="s">
        <v>77</v>
      </c>
      <c r="AZ194" s="9" t="s">
        <v>80</v>
      </c>
      <c r="BA194" s="9" t="s">
        <v>438</v>
      </c>
      <c r="BB194" s="9" t="s">
        <v>79</v>
      </c>
      <c r="BC194" s="9" t="s">
        <v>78</v>
      </c>
      <c r="BD194" s="9" t="s">
        <v>349</v>
      </c>
      <c r="BE194" s="9" t="s">
        <v>78</v>
      </c>
      <c r="BF194" s="9" t="s">
        <v>77</v>
      </c>
      <c r="BI194" s="9" t="s">
        <v>77</v>
      </c>
      <c r="BJ194" s="9" t="s">
        <v>80</v>
      </c>
      <c r="BK194" s="9" t="s">
        <v>348</v>
      </c>
      <c r="BL194" s="9" t="s">
        <v>855</v>
      </c>
      <c r="BM194" s="9" t="s">
        <v>80</v>
      </c>
      <c r="BN194" s="9" t="s">
        <v>348</v>
      </c>
      <c r="BO194" s="9" t="s">
        <v>855</v>
      </c>
      <c r="BP194" s="9" t="s">
        <v>77</v>
      </c>
      <c r="BQ194" s="9" t="s">
        <v>77</v>
      </c>
      <c r="BR194" s="9" t="s">
        <v>77</v>
      </c>
      <c r="BS194" s="9" t="s">
        <v>77</v>
      </c>
      <c r="BT194" s="9" t="s">
        <v>77</v>
      </c>
      <c r="BU194" s="9" t="s">
        <v>77</v>
      </c>
      <c r="BV194" s="9" t="s">
        <v>78</v>
      </c>
      <c r="BW194" s="9" t="s">
        <v>78</v>
      </c>
      <c r="BX194" s="9" t="s">
        <v>78</v>
      </c>
      <c r="CB194" s="9" t="s">
        <v>77</v>
      </c>
      <c r="CC194" s="9" t="s">
        <v>80</v>
      </c>
      <c r="CD194" s="9" t="s">
        <v>77</v>
      </c>
      <c r="CE194" s="9" t="s">
        <v>77</v>
      </c>
      <c r="CF194" s="9" t="s">
        <v>77</v>
      </c>
      <c r="CG194" s="9" t="s">
        <v>80</v>
      </c>
      <c r="CH194" s="9" t="s">
        <v>348</v>
      </c>
      <c r="CI194" s="9" t="s">
        <v>856</v>
      </c>
      <c r="CJ194" s="9" t="s">
        <v>80</v>
      </c>
      <c r="CK194" s="9" t="s">
        <v>348</v>
      </c>
      <c r="CL194" s="9" t="s">
        <v>856</v>
      </c>
      <c r="CM194" s="9" t="s">
        <v>77</v>
      </c>
      <c r="CN194" s="9" t="s">
        <v>77</v>
      </c>
      <c r="CO194" s="9" t="s">
        <v>78</v>
      </c>
      <c r="CS194" s="9" t="s">
        <v>80</v>
      </c>
      <c r="CT194" s="9" t="s">
        <v>348</v>
      </c>
      <c r="CU194" s="9" t="s">
        <v>855</v>
      </c>
      <c r="CV194" s="9" t="s">
        <v>80</v>
      </c>
      <c r="CW194" s="9" t="s">
        <v>348</v>
      </c>
      <c r="CX194" s="9" t="s">
        <v>855</v>
      </c>
      <c r="CY194" s="9" t="s">
        <v>77</v>
      </c>
      <c r="CZ194" s="9" t="s">
        <v>77</v>
      </c>
      <c r="DA194" s="9" t="s">
        <v>78</v>
      </c>
      <c r="DE194" s="9" t="s">
        <v>77</v>
      </c>
      <c r="DF194" s="9" t="s">
        <v>78</v>
      </c>
      <c r="DG194" s="9" t="s">
        <v>78</v>
      </c>
      <c r="DH194" s="9" t="s">
        <v>78</v>
      </c>
      <c r="DI194" s="9" t="s">
        <v>857</v>
      </c>
      <c r="DJ194" s="9" t="s">
        <v>77</v>
      </c>
      <c r="DK194" s="9" t="s">
        <v>77</v>
      </c>
      <c r="DN194" s="9" t="s">
        <v>77</v>
      </c>
      <c r="DO194" s="9" t="s">
        <v>77</v>
      </c>
      <c r="DP194" s="9" t="s">
        <v>80</v>
      </c>
      <c r="DQ194" s="9" t="s">
        <v>438</v>
      </c>
      <c r="DR194" s="9" t="s">
        <v>77</v>
      </c>
      <c r="DS194" s="9" t="s">
        <v>78</v>
      </c>
      <c r="DT194" s="9" t="s">
        <v>349</v>
      </c>
      <c r="DU194" s="9" t="s">
        <v>78</v>
      </c>
      <c r="DV194" s="9" t="s">
        <v>77</v>
      </c>
      <c r="DZ194" s="9" t="s">
        <v>77</v>
      </c>
      <c r="EA194" s="9" t="s">
        <v>77</v>
      </c>
      <c r="EB194" s="9" t="s">
        <v>80</v>
      </c>
      <c r="EC194" s="9" t="s">
        <v>438</v>
      </c>
      <c r="ED194" s="9" t="s">
        <v>77</v>
      </c>
      <c r="EE194" s="9" t="s">
        <v>78</v>
      </c>
      <c r="EF194" s="9" t="s">
        <v>349</v>
      </c>
      <c r="EG194" s="9" t="s">
        <v>78</v>
      </c>
      <c r="EH194" s="9" t="s">
        <v>77</v>
      </c>
      <c r="EL194" s="9" t="s">
        <v>77</v>
      </c>
      <c r="EM194" s="9" t="s">
        <v>77</v>
      </c>
      <c r="EN194" s="9" t="s">
        <v>80</v>
      </c>
      <c r="EO194" s="9" t="s">
        <v>438</v>
      </c>
      <c r="EP194" s="9" t="s">
        <v>77</v>
      </c>
      <c r="EQ194" s="9" t="s">
        <v>78</v>
      </c>
      <c r="ER194" s="9" t="s">
        <v>349</v>
      </c>
      <c r="ES194" s="9" t="s">
        <v>78</v>
      </c>
      <c r="ET194" s="9" t="s">
        <v>77</v>
      </c>
      <c r="EX194" s="9" t="s">
        <v>77</v>
      </c>
      <c r="EY194" s="9" t="s">
        <v>77</v>
      </c>
      <c r="EZ194" s="9" t="s">
        <v>80</v>
      </c>
      <c r="FA194" s="9" t="s">
        <v>438</v>
      </c>
      <c r="FB194" s="9" t="s">
        <v>77</v>
      </c>
      <c r="FC194" s="9" t="s">
        <v>78</v>
      </c>
      <c r="FD194" s="9" t="s">
        <v>349</v>
      </c>
      <c r="FE194" s="9" t="s">
        <v>78</v>
      </c>
      <c r="FF194" s="9" t="s">
        <v>77</v>
      </c>
    </row>
    <row r="195" spans="50:162">
      <c r="AX195" s="9" t="s">
        <v>77</v>
      </c>
      <c r="AY195" s="9" t="s">
        <v>77</v>
      </c>
      <c r="AZ195" s="9" t="s">
        <v>80</v>
      </c>
      <c r="BA195" s="9" t="s">
        <v>438</v>
      </c>
      <c r="BB195" s="9" t="s">
        <v>79</v>
      </c>
      <c r="BC195" s="9" t="s">
        <v>78</v>
      </c>
      <c r="BD195" s="9" t="s">
        <v>349</v>
      </c>
      <c r="BE195" s="9" t="s">
        <v>78</v>
      </c>
      <c r="BF195" s="9" t="s">
        <v>77</v>
      </c>
      <c r="BI195" s="9" t="s">
        <v>77</v>
      </c>
      <c r="BJ195" s="9" t="s">
        <v>80</v>
      </c>
      <c r="BK195" s="9" t="s">
        <v>348</v>
      </c>
      <c r="BL195" s="9" t="s">
        <v>858</v>
      </c>
      <c r="BM195" s="9" t="s">
        <v>80</v>
      </c>
      <c r="BN195" s="9" t="s">
        <v>348</v>
      </c>
      <c r="BO195" s="9" t="s">
        <v>858</v>
      </c>
      <c r="BP195" s="9" t="s">
        <v>77</v>
      </c>
      <c r="BQ195" s="9" t="s">
        <v>77</v>
      </c>
      <c r="BR195" s="9" t="s">
        <v>77</v>
      </c>
      <c r="BS195" s="9" t="s">
        <v>77</v>
      </c>
      <c r="BT195" s="9" t="s">
        <v>77</v>
      </c>
      <c r="BU195" s="9" t="s">
        <v>77</v>
      </c>
      <c r="BV195" s="9" t="s">
        <v>78</v>
      </c>
      <c r="BW195" s="9" t="s">
        <v>78</v>
      </c>
      <c r="BX195" s="9" t="s">
        <v>78</v>
      </c>
      <c r="CB195" s="9" t="s">
        <v>77</v>
      </c>
      <c r="CC195" s="9" t="s">
        <v>80</v>
      </c>
      <c r="CD195" s="9" t="s">
        <v>77</v>
      </c>
      <c r="CE195" s="9" t="s">
        <v>77</v>
      </c>
      <c r="CF195" s="9" t="s">
        <v>77</v>
      </c>
      <c r="CG195" s="9" t="s">
        <v>80</v>
      </c>
      <c r="CH195" s="9" t="s">
        <v>348</v>
      </c>
      <c r="CI195" s="9" t="s">
        <v>859</v>
      </c>
      <c r="CJ195" s="9" t="s">
        <v>80</v>
      </c>
      <c r="CK195" s="9" t="s">
        <v>348</v>
      </c>
      <c r="CL195" s="9" t="s">
        <v>859</v>
      </c>
      <c r="CM195" s="9" t="s">
        <v>77</v>
      </c>
      <c r="CN195" s="9" t="s">
        <v>77</v>
      </c>
      <c r="CO195" s="9" t="s">
        <v>78</v>
      </c>
      <c r="CS195" s="9" t="s">
        <v>80</v>
      </c>
      <c r="CT195" s="9" t="s">
        <v>348</v>
      </c>
      <c r="CU195" s="9" t="s">
        <v>859</v>
      </c>
      <c r="CV195" s="9" t="s">
        <v>80</v>
      </c>
      <c r="CW195" s="9" t="s">
        <v>348</v>
      </c>
      <c r="CX195" s="9" t="s">
        <v>859</v>
      </c>
      <c r="CY195" s="9" t="s">
        <v>77</v>
      </c>
      <c r="CZ195" s="9" t="s">
        <v>77</v>
      </c>
      <c r="DA195" s="9" t="s">
        <v>78</v>
      </c>
      <c r="DE195" s="9" t="s">
        <v>77</v>
      </c>
      <c r="DF195" s="9" t="s">
        <v>78</v>
      </c>
      <c r="DG195" s="9" t="s">
        <v>78</v>
      </c>
      <c r="DH195" s="9" t="s">
        <v>78</v>
      </c>
      <c r="DI195" s="9" t="s">
        <v>858</v>
      </c>
      <c r="DJ195" s="9" t="s">
        <v>77</v>
      </c>
      <c r="DK195" s="9" t="s">
        <v>77</v>
      </c>
      <c r="DN195" s="9" t="s">
        <v>77</v>
      </c>
      <c r="DO195" s="9" t="s">
        <v>77</v>
      </c>
      <c r="DP195" s="9" t="s">
        <v>80</v>
      </c>
      <c r="DQ195" s="9" t="s">
        <v>438</v>
      </c>
      <c r="DR195" s="9" t="s">
        <v>77</v>
      </c>
      <c r="DS195" s="9" t="s">
        <v>78</v>
      </c>
      <c r="DT195" s="9" t="s">
        <v>349</v>
      </c>
      <c r="DU195" s="9" t="s">
        <v>78</v>
      </c>
      <c r="DV195" s="9" t="s">
        <v>77</v>
      </c>
      <c r="DZ195" s="9" t="s">
        <v>77</v>
      </c>
      <c r="EA195" s="9" t="s">
        <v>77</v>
      </c>
      <c r="EB195" s="9" t="s">
        <v>80</v>
      </c>
      <c r="EC195" s="9" t="s">
        <v>438</v>
      </c>
      <c r="ED195" s="9" t="s">
        <v>77</v>
      </c>
      <c r="EE195" s="9" t="s">
        <v>78</v>
      </c>
      <c r="EF195" s="9" t="s">
        <v>349</v>
      </c>
      <c r="EG195" s="9" t="s">
        <v>78</v>
      </c>
      <c r="EH195" s="9" t="s">
        <v>77</v>
      </c>
      <c r="EL195" s="9" t="s">
        <v>77</v>
      </c>
      <c r="EM195" s="9" t="s">
        <v>77</v>
      </c>
      <c r="EN195" s="9" t="s">
        <v>80</v>
      </c>
      <c r="EO195" s="9" t="s">
        <v>438</v>
      </c>
      <c r="EP195" s="9" t="s">
        <v>77</v>
      </c>
      <c r="EQ195" s="9" t="s">
        <v>78</v>
      </c>
      <c r="ER195" s="9" t="s">
        <v>349</v>
      </c>
      <c r="ES195" s="9" t="s">
        <v>78</v>
      </c>
      <c r="ET195" s="9" t="s">
        <v>77</v>
      </c>
      <c r="EX195" s="9" t="s">
        <v>77</v>
      </c>
      <c r="EY195" s="9" t="s">
        <v>77</v>
      </c>
      <c r="EZ195" s="9" t="s">
        <v>80</v>
      </c>
      <c r="FA195" s="9" t="s">
        <v>438</v>
      </c>
      <c r="FB195" s="9" t="s">
        <v>77</v>
      </c>
      <c r="FC195" s="9" t="s">
        <v>78</v>
      </c>
      <c r="FD195" s="9" t="s">
        <v>349</v>
      </c>
      <c r="FE195" s="9" t="s">
        <v>78</v>
      </c>
      <c r="FF195" s="9" t="s">
        <v>77</v>
      </c>
    </row>
    <row r="196" spans="50:162">
      <c r="AX196" s="9" t="s">
        <v>77</v>
      </c>
      <c r="AY196" s="9" t="s">
        <v>77</v>
      </c>
      <c r="AZ196" s="9" t="s">
        <v>80</v>
      </c>
      <c r="BA196" s="9" t="s">
        <v>438</v>
      </c>
      <c r="BB196" s="9" t="s">
        <v>79</v>
      </c>
      <c r="BC196" s="9" t="s">
        <v>78</v>
      </c>
      <c r="BD196" s="9" t="s">
        <v>349</v>
      </c>
      <c r="BE196" s="9" t="s">
        <v>78</v>
      </c>
      <c r="BF196" s="9" t="s">
        <v>77</v>
      </c>
      <c r="BI196" s="9" t="s">
        <v>77</v>
      </c>
      <c r="BJ196" s="9" t="s">
        <v>80</v>
      </c>
      <c r="BK196" s="9" t="s">
        <v>348</v>
      </c>
      <c r="BL196" s="9" t="s">
        <v>860</v>
      </c>
      <c r="BM196" s="9" t="s">
        <v>80</v>
      </c>
      <c r="BN196" s="9" t="s">
        <v>348</v>
      </c>
      <c r="BO196" s="9" t="s">
        <v>860</v>
      </c>
      <c r="BP196" s="9" t="s">
        <v>77</v>
      </c>
      <c r="BQ196" s="9" t="s">
        <v>77</v>
      </c>
      <c r="BR196" s="9" t="s">
        <v>77</v>
      </c>
      <c r="BS196" s="9" t="s">
        <v>77</v>
      </c>
      <c r="BT196" s="9" t="s">
        <v>77</v>
      </c>
      <c r="BU196" s="9" t="s">
        <v>77</v>
      </c>
      <c r="BV196" s="9" t="s">
        <v>78</v>
      </c>
      <c r="BW196" s="9" t="s">
        <v>78</v>
      </c>
      <c r="BX196" s="9" t="s">
        <v>78</v>
      </c>
      <c r="CB196" s="9" t="s">
        <v>77</v>
      </c>
      <c r="CC196" s="9" t="s">
        <v>80</v>
      </c>
      <c r="CD196" s="9" t="s">
        <v>77</v>
      </c>
      <c r="CE196" s="9" t="s">
        <v>77</v>
      </c>
      <c r="CF196" s="9" t="s">
        <v>77</v>
      </c>
      <c r="CG196" s="9" t="s">
        <v>80</v>
      </c>
      <c r="CH196" s="9" t="s">
        <v>348</v>
      </c>
      <c r="CI196" s="9" t="s">
        <v>861</v>
      </c>
      <c r="CJ196" s="9" t="s">
        <v>80</v>
      </c>
      <c r="CK196" s="9" t="s">
        <v>348</v>
      </c>
      <c r="CL196" s="9" t="s">
        <v>861</v>
      </c>
      <c r="CM196" s="9" t="s">
        <v>77</v>
      </c>
      <c r="CN196" s="9" t="s">
        <v>77</v>
      </c>
      <c r="CO196" s="9" t="s">
        <v>78</v>
      </c>
      <c r="CS196" s="9" t="s">
        <v>80</v>
      </c>
      <c r="CT196" s="9" t="s">
        <v>348</v>
      </c>
      <c r="CU196" s="9" t="s">
        <v>860</v>
      </c>
      <c r="CV196" s="9" t="s">
        <v>80</v>
      </c>
      <c r="CW196" s="9" t="s">
        <v>348</v>
      </c>
      <c r="CX196" s="9" t="s">
        <v>860</v>
      </c>
      <c r="CY196" s="9" t="s">
        <v>77</v>
      </c>
      <c r="CZ196" s="9" t="s">
        <v>77</v>
      </c>
      <c r="DA196" s="9" t="s">
        <v>78</v>
      </c>
      <c r="DE196" s="9" t="s">
        <v>77</v>
      </c>
      <c r="DF196" s="9" t="s">
        <v>78</v>
      </c>
      <c r="DG196" s="9" t="s">
        <v>78</v>
      </c>
      <c r="DH196" s="9" t="s">
        <v>78</v>
      </c>
      <c r="DI196" s="9" t="s">
        <v>860</v>
      </c>
      <c r="DJ196" s="9" t="s">
        <v>77</v>
      </c>
      <c r="DK196" s="9" t="s">
        <v>77</v>
      </c>
      <c r="DN196" s="9" t="s">
        <v>77</v>
      </c>
      <c r="DO196" s="9" t="s">
        <v>77</v>
      </c>
      <c r="DP196" s="9" t="s">
        <v>80</v>
      </c>
      <c r="DQ196" s="9" t="s">
        <v>438</v>
      </c>
      <c r="DR196" s="9" t="s">
        <v>77</v>
      </c>
      <c r="DS196" s="9" t="s">
        <v>78</v>
      </c>
      <c r="DT196" s="9" t="s">
        <v>349</v>
      </c>
      <c r="DU196" s="9" t="s">
        <v>78</v>
      </c>
      <c r="DV196" s="9" t="s">
        <v>77</v>
      </c>
      <c r="DZ196" s="9" t="s">
        <v>77</v>
      </c>
      <c r="EA196" s="9" t="s">
        <v>77</v>
      </c>
      <c r="EB196" s="9" t="s">
        <v>80</v>
      </c>
      <c r="EC196" s="9" t="s">
        <v>438</v>
      </c>
      <c r="ED196" s="9" t="s">
        <v>77</v>
      </c>
      <c r="EE196" s="9" t="s">
        <v>78</v>
      </c>
      <c r="EF196" s="9" t="s">
        <v>349</v>
      </c>
      <c r="EG196" s="9" t="s">
        <v>78</v>
      </c>
      <c r="EH196" s="9" t="s">
        <v>77</v>
      </c>
      <c r="EL196" s="9" t="s">
        <v>77</v>
      </c>
      <c r="EM196" s="9" t="s">
        <v>77</v>
      </c>
      <c r="EN196" s="9" t="s">
        <v>80</v>
      </c>
      <c r="EO196" s="9" t="s">
        <v>438</v>
      </c>
      <c r="EP196" s="9" t="s">
        <v>77</v>
      </c>
      <c r="EQ196" s="9" t="s">
        <v>78</v>
      </c>
      <c r="ER196" s="9" t="s">
        <v>349</v>
      </c>
      <c r="ES196" s="9" t="s">
        <v>78</v>
      </c>
      <c r="ET196" s="9" t="s">
        <v>77</v>
      </c>
      <c r="EX196" s="9" t="s">
        <v>77</v>
      </c>
      <c r="EY196" s="9" t="s">
        <v>77</v>
      </c>
      <c r="EZ196" s="9" t="s">
        <v>80</v>
      </c>
      <c r="FA196" s="9" t="s">
        <v>438</v>
      </c>
      <c r="FB196" s="9" t="s">
        <v>77</v>
      </c>
      <c r="FC196" s="9" t="s">
        <v>78</v>
      </c>
      <c r="FD196" s="9" t="s">
        <v>349</v>
      </c>
      <c r="FE196" s="9" t="s">
        <v>78</v>
      </c>
      <c r="FF196" s="9" t="s">
        <v>77</v>
      </c>
    </row>
    <row r="197" spans="50:162">
      <c r="AX197" s="9" t="s">
        <v>77</v>
      </c>
      <c r="AY197" s="9" t="s">
        <v>77</v>
      </c>
      <c r="AZ197" s="9" t="s">
        <v>80</v>
      </c>
      <c r="BA197" s="9" t="s">
        <v>438</v>
      </c>
      <c r="BB197" s="9" t="s">
        <v>79</v>
      </c>
      <c r="BC197" s="9" t="s">
        <v>78</v>
      </c>
      <c r="BD197" s="9" t="s">
        <v>349</v>
      </c>
      <c r="BE197" s="9" t="s">
        <v>78</v>
      </c>
      <c r="BF197" s="9" t="s">
        <v>77</v>
      </c>
      <c r="BI197" s="9" t="s">
        <v>77</v>
      </c>
      <c r="BJ197" s="9" t="s">
        <v>80</v>
      </c>
      <c r="BK197" s="9" t="s">
        <v>348</v>
      </c>
      <c r="BL197" s="9" t="s">
        <v>862</v>
      </c>
      <c r="BM197" s="9" t="s">
        <v>80</v>
      </c>
      <c r="BN197" s="9" t="s">
        <v>348</v>
      </c>
      <c r="BO197" s="9" t="s">
        <v>862</v>
      </c>
      <c r="BP197" s="9" t="s">
        <v>77</v>
      </c>
      <c r="BQ197" s="9" t="s">
        <v>77</v>
      </c>
      <c r="BR197" s="9" t="s">
        <v>77</v>
      </c>
      <c r="BS197" s="9" t="s">
        <v>77</v>
      </c>
      <c r="BT197" s="9" t="s">
        <v>77</v>
      </c>
      <c r="BU197" s="9" t="s">
        <v>77</v>
      </c>
      <c r="BV197" s="9" t="s">
        <v>78</v>
      </c>
      <c r="BW197" s="9" t="s">
        <v>78</v>
      </c>
      <c r="BX197" s="9" t="s">
        <v>78</v>
      </c>
      <c r="CB197" s="9" t="s">
        <v>77</v>
      </c>
      <c r="CC197" s="9" t="s">
        <v>80</v>
      </c>
      <c r="CD197" s="9" t="s">
        <v>77</v>
      </c>
      <c r="CE197" s="9" t="s">
        <v>77</v>
      </c>
      <c r="CF197" s="9" t="s">
        <v>77</v>
      </c>
      <c r="CG197" s="9" t="s">
        <v>80</v>
      </c>
      <c r="CH197" s="9" t="s">
        <v>348</v>
      </c>
      <c r="CI197" s="9" t="s">
        <v>863</v>
      </c>
      <c r="CJ197" s="9" t="s">
        <v>80</v>
      </c>
      <c r="CK197" s="9" t="s">
        <v>348</v>
      </c>
      <c r="CL197" s="9" t="s">
        <v>863</v>
      </c>
      <c r="CM197" s="9" t="s">
        <v>77</v>
      </c>
      <c r="CN197" s="9" t="s">
        <v>77</v>
      </c>
      <c r="CO197" s="9" t="s">
        <v>78</v>
      </c>
      <c r="CS197" s="9" t="s">
        <v>80</v>
      </c>
      <c r="CT197" s="9" t="s">
        <v>348</v>
      </c>
      <c r="CU197" s="9" t="s">
        <v>863</v>
      </c>
      <c r="CV197" s="9" t="s">
        <v>80</v>
      </c>
      <c r="CW197" s="9" t="s">
        <v>348</v>
      </c>
      <c r="CX197" s="9" t="s">
        <v>863</v>
      </c>
      <c r="CY197" s="9" t="s">
        <v>77</v>
      </c>
      <c r="CZ197" s="9" t="s">
        <v>77</v>
      </c>
      <c r="DA197" s="9" t="s">
        <v>78</v>
      </c>
      <c r="DE197" s="9" t="s">
        <v>77</v>
      </c>
      <c r="DF197" s="9" t="s">
        <v>78</v>
      </c>
      <c r="DG197" s="9" t="s">
        <v>78</v>
      </c>
      <c r="DH197" s="9" t="s">
        <v>78</v>
      </c>
      <c r="DI197" s="9" t="s">
        <v>862</v>
      </c>
      <c r="DJ197" s="9" t="s">
        <v>77</v>
      </c>
      <c r="DK197" s="9" t="s">
        <v>77</v>
      </c>
      <c r="DN197" s="9" t="s">
        <v>77</v>
      </c>
      <c r="DO197" s="9" t="s">
        <v>77</v>
      </c>
      <c r="DP197" s="9" t="s">
        <v>80</v>
      </c>
      <c r="DQ197" s="9" t="s">
        <v>438</v>
      </c>
      <c r="DR197" s="9" t="s">
        <v>77</v>
      </c>
      <c r="DS197" s="9" t="s">
        <v>78</v>
      </c>
      <c r="DT197" s="9" t="s">
        <v>349</v>
      </c>
      <c r="DU197" s="9" t="s">
        <v>78</v>
      </c>
      <c r="DV197" s="9" t="s">
        <v>77</v>
      </c>
      <c r="DZ197" s="9" t="s">
        <v>77</v>
      </c>
      <c r="EA197" s="9" t="s">
        <v>77</v>
      </c>
      <c r="EB197" s="9" t="s">
        <v>80</v>
      </c>
      <c r="EC197" s="9" t="s">
        <v>438</v>
      </c>
      <c r="ED197" s="9" t="s">
        <v>77</v>
      </c>
      <c r="EE197" s="9" t="s">
        <v>78</v>
      </c>
      <c r="EF197" s="9" t="s">
        <v>349</v>
      </c>
      <c r="EG197" s="9" t="s">
        <v>78</v>
      </c>
      <c r="EH197" s="9" t="s">
        <v>77</v>
      </c>
      <c r="EL197" s="9" t="s">
        <v>77</v>
      </c>
      <c r="EM197" s="9" t="s">
        <v>77</v>
      </c>
      <c r="EN197" s="9" t="s">
        <v>80</v>
      </c>
      <c r="EO197" s="9" t="s">
        <v>438</v>
      </c>
      <c r="EP197" s="9" t="s">
        <v>77</v>
      </c>
      <c r="EQ197" s="9" t="s">
        <v>78</v>
      </c>
      <c r="ER197" s="9" t="s">
        <v>349</v>
      </c>
      <c r="ES197" s="9" t="s">
        <v>78</v>
      </c>
      <c r="ET197" s="9" t="s">
        <v>77</v>
      </c>
      <c r="EX197" s="9" t="s">
        <v>77</v>
      </c>
      <c r="EY197" s="9" t="s">
        <v>77</v>
      </c>
      <c r="EZ197" s="9" t="s">
        <v>80</v>
      </c>
      <c r="FA197" s="9" t="s">
        <v>438</v>
      </c>
      <c r="FB197" s="9" t="s">
        <v>77</v>
      </c>
      <c r="FC197" s="9" t="s">
        <v>78</v>
      </c>
      <c r="FD197" s="9" t="s">
        <v>349</v>
      </c>
      <c r="FE197" s="9" t="s">
        <v>78</v>
      </c>
      <c r="FF197" s="9" t="s">
        <v>77</v>
      </c>
    </row>
    <row r="198" spans="50:162">
      <c r="AX198" s="9" t="s">
        <v>77</v>
      </c>
      <c r="AY198" s="9" t="s">
        <v>77</v>
      </c>
      <c r="AZ198" s="9" t="s">
        <v>80</v>
      </c>
      <c r="BA198" s="9" t="s">
        <v>438</v>
      </c>
      <c r="BB198" s="9" t="s">
        <v>79</v>
      </c>
      <c r="BC198" s="9" t="s">
        <v>78</v>
      </c>
      <c r="BD198" s="9" t="s">
        <v>349</v>
      </c>
      <c r="BE198" s="9" t="s">
        <v>78</v>
      </c>
      <c r="BF198" s="9" t="s">
        <v>77</v>
      </c>
      <c r="BI198" s="9" t="s">
        <v>77</v>
      </c>
      <c r="BJ198" s="9" t="s">
        <v>80</v>
      </c>
      <c r="BK198" s="9" t="s">
        <v>348</v>
      </c>
      <c r="BL198" s="9" t="s">
        <v>864</v>
      </c>
      <c r="BM198" s="9" t="s">
        <v>80</v>
      </c>
      <c r="BN198" s="9" t="s">
        <v>348</v>
      </c>
      <c r="BO198" s="9" t="s">
        <v>864</v>
      </c>
      <c r="BP198" s="9" t="s">
        <v>77</v>
      </c>
      <c r="BQ198" s="9" t="s">
        <v>77</v>
      </c>
      <c r="BR198" s="9" t="s">
        <v>77</v>
      </c>
      <c r="BS198" s="9" t="s">
        <v>77</v>
      </c>
      <c r="BT198" s="9" t="s">
        <v>77</v>
      </c>
      <c r="BU198" s="9" t="s">
        <v>77</v>
      </c>
      <c r="BV198" s="9" t="s">
        <v>78</v>
      </c>
      <c r="BW198" s="9" t="s">
        <v>78</v>
      </c>
      <c r="BX198" s="9" t="s">
        <v>78</v>
      </c>
      <c r="CB198" s="9" t="s">
        <v>77</v>
      </c>
      <c r="CC198" s="9" t="s">
        <v>80</v>
      </c>
      <c r="CD198" s="9" t="s">
        <v>77</v>
      </c>
      <c r="CE198" s="9" t="s">
        <v>77</v>
      </c>
      <c r="CF198" s="9" t="s">
        <v>77</v>
      </c>
      <c r="CG198" s="9" t="s">
        <v>80</v>
      </c>
      <c r="CH198" s="9" t="s">
        <v>348</v>
      </c>
      <c r="CI198" s="9" t="s">
        <v>865</v>
      </c>
      <c r="CJ198" s="9" t="s">
        <v>80</v>
      </c>
      <c r="CK198" s="9" t="s">
        <v>348</v>
      </c>
      <c r="CL198" s="9" t="s">
        <v>865</v>
      </c>
      <c r="CM198" s="9" t="s">
        <v>77</v>
      </c>
      <c r="CN198" s="9" t="s">
        <v>77</v>
      </c>
      <c r="CO198" s="9" t="s">
        <v>78</v>
      </c>
      <c r="CS198" s="9" t="s">
        <v>80</v>
      </c>
      <c r="CT198" s="9" t="s">
        <v>348</v>
      </c>
      <c r="CU198" s="9" t="s">
        <v>864</v>
      </c>
      <c r="CV198" s="9" t="s">
        <v>80</v>
      </c>
      <c r="CW198" s="9" t="s">
        <v>348</v>
      </c>
      <c r="CX198" s="9" t="s">
        <v>864</v>
      </c>
      <c r="CY198" s="9" t="s">
        <v>77</v>
      </c>
      <c r="CZ198" s="9" t="s">
        <v>77</v>
      </c>
      <c r="DA198" s="9" t="s">
        <v>78</v>
      </c>
      <c r="DE198" s="9" t="s">
        <v>77</v>
      </c>
      <c r="DF198" s="9" t="s">
        <v>78</v>
      </c>
      <c r="DG198" s="9" t="s">
        <v>78</v>
      </c>
      <c r="DH198" s="9" t="s">
        <v>78</v>
      </c>
      <c r="DI198" s="9" t="s">
        <v>864</v>
      </c>
      <c r="DJ198" s="9" t="s">
        <v>77</v>
      </c>
      <c r="DK198" s="9" t="s">
        <v>77</v>
      </c>
      <c r="DN198" s="9" t="s">
        <v>77</v>
      </c>
      <c r="DO198" s="9" t="s">
        <v>77</v>
      </c>
      <c r="DP198" s="9" t="s">
        <v>80</v>
      </c>
      <c r="DQ198" s="9" t="s">
        <v>438</v>
      </c>
      <c r="DR198" s="9" t="s">
        <v>77</v>
      </c>
      <c r="DS198" s="9" t="s">
        <v>78</v>
      </c>
      <c r="DT198" s="9" t="s">
        <v>349</v>
      </c>
      <c r="DU198" s="9" t="s">
        <v>78</v>
      </c>
      <c r="DV198" s="9" t="s">
        <v>77</v>
      </c>
      <c r="DZ198" s="9" t="s">
        <v>77</v>
      </c>
      <c r="EA198" s="9" t="s">
        <v>77</v>
      </c>
      <c r="EB198" s="9" t="s">
        <v>80</v>
      </c>
      <c r="EC198" s="9" t="s">
        <v>438</v>
      </c>
      <c r="ED198" s="9" t="s">
        <v>77</v>
      </c>
      <c r="EE198" s="9" t="s">
        <v>78</v>
      </c>
      <c r="EF198" s="9" t="s">
        <v>349</v>
      </c>
      <c r="EG198" s="9" t="s">
        <v>78</v>
      </c>
      <c r="EH198" s="9" t="s">
        <v>77</v>
      </c>
      <c r="EL198" s="9" t="s">
        <v>77</v>
      </c>
      <c r="EM198" s="9" t="s">
        <v>77</v>
      </c>
      <c r="EN198" s="9" t="s">
        <v>80</v>
      </c>
      <c r="EO198" s="9" t="s">
        <v>438</v>
      </c>
      <c r="EP198" s="9" t="s">
        <v>77</v>
      </c>
      <c r="EQ198" s="9" t="s">
        <v>78</v>
      </c>
      <c r="ER198" s="9" t="s">
        <v>349</v>
      </c>
      <c r="ES198" s="9" t="s">
        <v>78</v>
      </c>
      <c r="ET198" s="9" t="s">
        <v>77</v>
      </c>
      <c r="EX198" s="9" t="s">
        <v>77</v>
      </c>
      <c r="EY198" s="9" t="s">
        <v>77</v>
      </c>
      <c r="EZ198" s="9" t="s">
        <v>80</v>
      </c>
      <c r="FA198" s="9" t="s">
        <v>438</v>
      </c>
      <c r="FB198" s="9" t="s">
        <v>77</v>
      </c>
      <c r="FC198" s="9" t="s">
        <v>78</v>
      </c>
      <c r="FD198" s="9" t="s">
        <v>349</v>
      </c>
      <c r="FE198" s="9" t="s">
        <v>78</v>
      </c>
      <c r="FF198" s="9" t="s">
        <v>77</v>
      </c>
    </row>
    <row r="199" spans="50:162">
      <c r="AX199" s="9" t="s">
        <v>77</v>
      </c>
      <c r="AY199" s="9" t="s">
        <v>77</v>
      </c>
      <c r="AZ199" s="9" t="s">
        <v>80</v>
      </c>
      <c r="BA199" s="9" t="s">
        <v>438</v>
      </c>
      <c r="BB199" s="9" t="s">
        <v>79</v>
      </c>
      <c r="BC199" s="9" t="s">
        <v>78</v>
      </c>
      <c r="BD199" s="9" t="s">
        <v>349</v>
      </c>
      <c r="BE199" s="9" t="s">
        <v>78</v>
      </c>
      <c r="BF199" s="9" t="s">
        <v>77</v>
      </c>
      <c r="BI199" s="9" t="s">
        <v>77</v>
      </c>
      <c r="BJ199" s="9" t="s">
        <v>80</v>
      </c>
      <c r="BK199" s="9" t="s">
        <v>348</v>
      </c>
      <c r="BL199" s="9" t="s">
        <v>866</v>
      </c>
      <c r="BM199" s="9" t="s">
        <v>80</v>
      </c>
      <c r="BN199" s="9" t="s">
        <v>348</v>
      </c>
      <c r="BO199" s="9" t="s">
        <v>866</v>
      </c>
      <c r="BP199" s="9" t="s">
        <v>77</v>
      </c>
      <c r="BQ199" s="9" t="s">
        <v>77</v>
      </c>
      <c r="BR199" s="9" t="s">
        <v>77</v>
      </c>
      <c r="BS199" s="9" t="s">
        <v>77</v>
      </c>
      <c r="BT199" s="9" t="s">
        <v>77</v>
      </c>
      <c r="BU199" s="9" t="s">
        <v>77</v>
      </c>
      <c r="BV199" s="9" t="s">
        <v>78</v>
      </c>
      <c r="BW199" s="9" t="s">
        <v>78</v>
      </c>
      <c r="BX199" s="9" t="s">
        <v>78</v>
      </c>
      <c r="CB199" s="9" t="s">
        <v>77</v>
      </c>
      <c r="CC199" s="9" t="s">
        <v>80</v>
      </c>
      <c r="CD199" s="9" t="s">
        <v>77</v>
      </c>
      <c r="CE199" s="9" t="s">
        <v>77</v>
      </c>
      <c r="CF199" s="9" t="s">
        <v>77</v>
      </c>
      <c r="CG199" s="9" t="s">
        <v>80</v>
      </c>
      <c r="CH199" s="9" t="s">
        <v>348</v>
      </c>
      <c r="CI199" s="9" t="s">
        <v>867</v>
      </c>
      <c r="CJ199" s="9" t="s">
        <v>80</v>
      </c>
      <c r="CK199" s="9" t="s">
        <v>348</v>
      </c>
      <c r="CL199" s="9" t="s">
        <v>867</v>
      </c>
      <c r="CM199" s="9" t="s">
        <v>77</v>
      </c>
      <c r="CN199" s="9" t="s">
        <v>77</v>
      </c>
      <c r="CO199" s="9" t="s">
        <v>78</v>
      </c>
      <c r="CS199" s="9" t="s">
        <v>80</v>
      </c>
      <c r="CT199" s="9" t="s">
        <v>348</v>
      </c>
      <c r="CU199" s="9" t="s">
        <v>866</v>
      </c>
      <c r="CV199" s="9" t="s">
        <v>80</v>
      </c>
      <c r="CW199" s="9" t="s">
        <v>348</v>
      </c>
      <c r="CX199" s="9" t="s">
        <v>866</v>
      </c>
      <c r="CY199" s="9" t="s">
        <v>77</v>
      </c>
      <c r="CZ199" s="9" t="s">
        <v>77</v>
      </c>
      <c r="DA199" s="9" t="s">
        <v>78</v>
      </c>
      <c r="DE199" s="9" t="s">
        <v>77</v>
      </c>
      <c r="DF199" s="9" t="s">
        <v>78</v>
      </c>
      <c r="DG199" s="9" t="s">
        <v>78</v>
      </c>
      <c r="DH199" s="9" t="s">
        <v>78</v>
      </c>
      <c r="DI199" s="9" t="s">
        <v>868</v>
      </c>
      <c r="DJ199" s="9" t="s">
        <v>77</v>
      </c>
      <c r="DK199" s="9" t="s">
        <v>77</v>
      </c>
      <c r="DN199" s="9" t="s">
        <v>77</v>
      </c>
      <c r="DO199" s="9" t="s">
        <v>77</v>
      </c>
      <c r="DP199" s="9" t="s">
        <v>80</v>
      </c>
      <c r="DQ199" s="9" t="s">
        <v>438</v>
      </c>
      <c r="DR199" s="9" t="s">
        <v>77</v>
      </c>
      <c r="DS199" s="9" t="s">
        <v>78</v>
      </c>
      <c r="DT199" s="9" t="s">
        <v>349</v>
      </c>
      <c r="DU199" s="9" t="s">
        <v>78</v>
      </c>
      <c r="DV199" s="9" t="s">
        <v>77</v>
      </c>
      <c r="DZ199" s="9" t="s">
        <v>77</v>
      </c>
      <c r="EA199" s="9" t="s">
        <v>77</v>
      </c>
      <c r="EB199" s="9" t="s">
        <v>80</v>
      </c>
      <c r="EC199" s="9" t="s">
        <v>438</v>
      </c>
      <c r="ED199" s="9" t="s">
        <v>77</v>
      </c>
      <c r="EE199" s="9" t="s">
        <v>78</v>
      </c>
      <c r="EF199" s="9" t="s">
        <v>349</v>
      </c>
      <c r="EG199" s="9" t="s">
        <v>78</v>
      </c>
      <c r="EH199" s="9" t="s">
        <v>77</v>
      </c>
      <c r="EL199" s="9" t="s">
        <v>77</v>
      </c>
      <c r="EM199" s="9" t="s">
        <v>77</v>
      </c>
      <c r="EN199" s="9" t="s">
        <v>80</v>
      </c>
      <c r="EO199" s="9" t="s">
        <v>438</v>
      </c>
      <c r="EP199" s="9" t="s">
        <v>77</v>
      </c>
      <c r="EQ199" s="9" t="s">
        <v>78</v>
      </c>
      <c r="ER199" s="9" t="s">
        <v>349</v>
      </c>
      <c r="ES199" s="9" t="s">
        <v>78</v>
      </c>
      <c r="ET199" s="9" t="s">
        <v>77</v>
      </c>
      <c r="EX199" s="9" t="s">
        <v>77</v>
      </c>
      <c r="EY199" s="9" t="s">
        <v>77</v>
      </c>
      <c r="EZ199" s="9" t="s">
        <v>80</v>
      </c>
      <c r="FA199" s="9" t="s">
        <v>438</v>
      </c>
      <c r="FB199" s="9" t="s">
        <v>77</v>
      </c>
      <c r="FC199" s="9" t="s">
        <v>78</v>
      </c>
      <c r="FD199" s="9" t="s">
        <v>349</v>
      </c>
      <c r="FE199" s="9" t="s">
        <v>78</v>
      </c>
      <c r="FF199" s="9" t="s">
        <v>77</v>
      </c>
    </row>
    <row r="200" spans="50:162">
      <c r="AX200" s="9" t="s">
        <v>77</v>
      </c>
      <c r="AY200" s="9" t="s">
        <v>77</v>
      </c>
      <c r="AZ200" s="9" t="s">
        <v>80</v>
      </c>
      <c r="BA200" s="9" t="s">
        <v>438</v>
      </c>
      <c r="BB200" s="9" t="s">
        <v>79</v>
      </c>
      <c r="BC200" s="9" t="s">
        <v>78</v>
      </c>
      <c r="BD200" s="9" t="s">
        <v>349</v>
      </c>
      <c r="BE200" s="9" t="s">
        <v>78</v>
      </c>
      <c r="BF200" s="9" t="s">
        <v>77</v>
      </c>
      <c r="BI200" s="9" t="s">
        <v>77</v>
      </c>
      <c r="BJ200" s="9" t="s">
        <v>80</v>
      </c>
      <c r="BK200" s="9" t="s">
        <v>348</v>
      </c>
      <c r="BL200" s="9" t="s">
        <v>869</v>
      </c>
      <c r="BM200" s="9" t="s">
        <v>80</v>
      </c>
      <c r="BN200" s="9" t="s">
        <v>348</v>
      </c>
      <c r="BO200" s="9" t="s">
        <v>869</v>
      </c>
      <c r="BP200" s="9" t="s">
        <v>77</v>
      </c>
      <c r="BQ200" s="9" t="s">
        <v>77</v>
      </c>
      <c r="BR200" s="9" t="s">
        <v>77</v>
      </c>
      <c r="BS200" s="9" t="s">
        <v>77</v>
      </c>
      <c r="BT200" s="9" t="s">
        <v>77</v>
      </c>
      <c r="BU200" s="9" t="s">
        <v>77</v>
      </c>
      <c r="BV200" s="9" t="s">
        <v>78</v>
      </c>
      <c r="BW200" s="9" t="s">
        <v>78</v>
      </c>
      <c r="BX200" s="9" t="s">
        <v>78</v>
      </c>
      <c r="CB200" s="9" t="s">
        <v>77</v>
      </c>
      <c r="CC200" s="9" t="s">
        <v>80</v>
      </c>
      <c r="CD200" s="9" t="s">
        <v>77</v>
      </c>
      <c r="CE200" s="9" t="s">
        <v>77</v>
      </c>
      <c r="CF200" s="9" t="s">
        <v>77</v>
      </c>
      <c r="CG200" s="9" t="s">
        <v>80</v>
      </c>
      <c r="CH200" s="9" t="s">
        <v>348</v>
      </c>
      <c r="CI200" s="9" t="s">
        <v>870</v>
      </c>
      <c r="CJ200" s="9" t="s">
        <v>80</v>
      </c>
      <c r="CK200" s="9" t="s">
        <v>348</v>
      </c>
      <c r="CL200" s="9" t="s">
        <v>870</v>
      </c>
      <c r="CM200" s="9" t="s">
        <v>77</v>
      </c>
      <c r="CN200" s="9" t="s">
        <v>77</v>
      </c>
      <c r="CO200" s="9" t="s">
        <v>78</v>
      </c>
      <c r="CS200" s="9" t="s">
        <v>80</v>
      </c>
      <c r="CT200" s="9" t="s">
        <v>348</v>
      </c>
      <c r="CU200" s="9" t="s">
        <v>869</v>
      </c>
      <c r="CV200" s="9" t="s">
        <v>80</v>
      </c>
      <c r="CW200" s="9" t="s">
        <v>348</v>
      </c>
      <c r="CX200" s="9" t="s">
        <v>869</v>
      </c>
      <c r="CY200" s="9" t="s">
        <v>77</v>
      </c>
      <c r="CZ200" s="9" t="s">
        <v>77</v>
      </c>
      <c r="DA200" s="9" t="s">
        <v>78</v>
      </c>
      <c r="DE200" s="9" t="s">
        <v>77</v>
      </c>
      <c r="DF200" s="9" t="s">
        <v>78</v>
      </c>
      <c r="DG200" s="9" t="s">
        <v>78</v>
      </c>
      <c r="DH200" s="9" t="s">
        <v>78</v>
      </c>
      <c r="DI200" s="9" t="s">
        <v>869</v>
      </c>
      <c r="DJ200" s="9" t="s">
        <v>77</v>
      </c>
      <c r="DK200" s="9" t="s">
        <v>77</v>
      </c>
      <c r="DN200" s="9" t="s">
        <v>77</v>
      </c>
      <c r="DO200" s="9" t="s">
        <v>77</v>
      </c>
      <c r="DP200" s="9" t="s">
        <v>80</v>
      </c>
      <c r="DQ200" s="9" t="s">
        <v>438</v>
      </c>
      <c r="DR200" s="9" t="s">
        <v>77</v>
      </c>
      <c r="DS200" s="9" t="s">
        <v>78</v>
      </c>
      <c r="DT200" s="9" t="s">
        <v>349</v>
      </c>
      <c r="DU200" s="9" t="s">
        <v>78</v>
      </c>
      <c r="DV200" s="9" t="s">
        <v>77</v>
      </c>
      <c r="DZ200" s="9" t="s">
        <v>77</v>
      </c>
      <c r="EA200" s="9" t="s">
        <v>77</v>
      </c>
      <c r="EB200" s="9" t="s">
        <v>80</v>
      </c>
      <c r="EC200" s="9" t="s">
        <v>438</v>
      </c>
      <c r="ED200" s="9" t="s">
        <v>77</v>
      </c>
      <c r="EE200" s="9" t="s">
        <v>78</v>
      </c>
      <c r="EF200" s="9" t="s">
        <v>349</v>
      </c>
      <c r="EG200" s="9" t="s">
        <v>78</v>
      </c>
      <c r="EH200" s="9" t="s">
        <v>77</v>
      </c>
      <c r="EL200" s="9" t="s">
        <v>77</v>
      </c>
      <c r="EM200" s="9" t="s">
        <v>77</v>
      </c>
      <c r="EN200" s="9" t="s">
        <v>80</v>
      </c>
      <c r="EO200" s="9" t="s">
        <v>438</v>
      </c>
      <c r="EP200" s="9" t="s">
        <v>77</v>
      </c>
      <c r="EQ200" s="9" t="s">
        <v>78</v>
      </c>
      <c r="ER200" s="9" t="s">
        <v>349</v>
      </c>
      <c r="ES200" s="9" t="s">
        <v>78</v>
      </c>
      <c r="ET200" s="9" t="s">
        <v>77</v>
      </c>
      <c r="EX200" s="9" t="s">
        <v>77</v>
      </c>
      <c r="EY200" s="9" t="s">
        <v>77</v>
      </c>
      <c r="EZ200" s="9" t="s">
        <v>80</v>
      </c>
      <c r="FA200" s="9" t="s">
        <v>438</v>
      </c>
      <c r="FB200" s="9" t="s">
        <v>77</v>
      </c>
      <c r="FC200" s="9" t="s">
        <v>78</v>
      </c>
      <c r="FD200" s="9" t="s">
        <v>349</v>
      </c>
      <c r="FE200" s="9" t="s">
        <v>78</v>
      </c>
      <c r="FF200" s="9" t="s">
        <v>77</v>
      </c>
    </row>
    <row r="201" spans="50:162">
      <c r="AX201" s="9" t="s">
        <v>77</v>
      </c>
      <c r="AY201" s="9" t="s">
        <v>77</v>
      </c>
      <c r="AZ201" s="9" t="s">
        <v>80</v>
      </c>
      <c r="BA201" s="9" t="s">
        <v>438</v>
      </c>
      <c r="BB201" s="9" t="s">
        <v>79</v>
      </c>
      <c r="BC201" s="9" t="s">
        <v>78</v>
      </c>
      <c r="BD201" s="9" t="s">
        <v>349</v>
      </c>
      <c r="BE201" s="9" t="s">
        <v>78</v>
      </c>
      <c r="BF201" s="9" t="s">
        <v>77</v>
      </c>
      <c r="BI201" s="9" t="s">
        <v>77</v>
      </c>
      <c r="BJ201" s="9" t="s">
        <v>80</v>
      </c>
      <c r="BK201" s="9" t="s">
        <v>348</v>
      </c>
      <c r="BL201" s="9" t="s">
        <v>871</v>
      </c>
      <c r="BM201" s="9" t="s">
        <v>80</v>
      </c>
      <c r="BN201" s="9" t="s">
        <v>348</v>
      </c>
      <c r="BO201" s="9" t="s">
        <v>871</v>
      </c>
      <c r="BP201" s="9" t="s">
        <v>77</v>
      </c>
      <c r="BQ201" s="9" t="s">
        <v>77</v>
      </c>
      <c r="BR201" s="9" t="s">
        <v>77</v>
      </c>
      <c r="BS201" s="9" t="s">
        <v>77</v>
      </c>
      <c r="BT201" s="9" t="s">
        <v>77</v>
      </c>
      <c r="BU201" s="9" t="s">
        <v>77</v>
      </c>
      <c r="BV201" s="9" t="s">
        <v>78</v>
      </c>
      <c r="BW201" s="9" t="s">
        <v>78</v>
      </c>
      <c r="BX201" s="9" t="s">
        <v>78</v>
      </c>
      <c r="CB201" s="9" t="s">
        <v>77</v>
      </c>
      <c r="CC201" s="9" t="s">
        <v>80</v>
      </c>
      <c r="CD201" s="9" t="s">
        <v>77</v>
      </c>
      <c r="CE201" s="9" t="s">
        <v>77</v>
      </c>
      <c r="CF201" s="9" t="s">
        <v>77</v>
      </c>
      <c r="CG201" s="9" t="s">
        <v>80</v>
      </c>
      <c r="CH201" s="9" t="s">
        <v>348</v>
      </c>
      <c r="CI201" s="9" t="s">
        <v>871</v>
      </c>
      <c r="CJ201" s="9" t="s">
        <v>80</v>
      </c>
      <c r="CK201" s="9" t="s">
        <v>348</v>
      </c>
      <c r="CL201" s="9" t="s">
        <v>871</v>
      </c>
      <c r="CM201" s="9" t="s">
        <v>77</v>
      </c>
      <c r="CN201" s="9" t="s">
        <v>77</v>
      </c>
      <c r="CO201" s="9" t="s">
        <v>78</v>
      </c>
      <c r="CS201" s="9" t="s">
        <v>80</v>
      </c>
      <c r="CT201" s="9" t="s">
        <v>348</v>
      </c>
      <c r="CU201" s="9" t="s">
        <v>871</v>
      </c>
      <c r="CV201" s="9" t="s">
        <v>80</v>
      </c>
      <c r="CW201" s="9" t="s">
        <v>348</v>
      </c>
      <c r="CX201" s="9" t="s">
        <v>871</v>
      </c>
      <c r="CY201" s="9" t="s">
        <v>77</v>
      </c>
      <c r="CZ201" s="9" t="s">
        <v>77</v>
      </c>
      <c r="DA201" s="9" t="s">
        <v>78</v>
      </c>
      <c r="DE201" s="9" t="s">
        <v>77</v>
      </c>
      <c r="DF201" s="9" t="s">
        <v>78</v>
      </c>
      <c r="DG201" s="9" t="s">
        <v>78</v>
      </c>
      <c r="DH201" s="9" t="s">
        <v>78</v>
      </c>
      <c r="DI201" s="9" t="s">
        <v>872</v>
      </c>
      <c r="DJ201" s="9" t="s">
        <v>77</v>
      </c>
      <c r="DK201" s="9" t="s">
        <v>77</v>
      </c>
      <c r="DN201" s="9" t="s">
        <v>77</v>
      </c>
      <c r="DO201" s="9" t="s">
        <v>77</v>
      </c>
      <c r="DP201" s="9" t="s">
        <v>80</v>
      </c>
      <c r="DQ201" s="9" t="s">
        <v>438</v>
      </c>
      <c r="DR201" s="9" t="s">
        <v>77</v>
      </c>
      <c r="DS201" s="9" t="s">
        <v>78</v>
      </c>
      <c r="DT201" s="9" t="s">
        <v>349</v>
      </c>
      <c r="DU201" s="9" t="s">
        <v>78</v>
      </c>
      <c r="DV201" s="9" t="s">
        <v>77</v>
      </c>
      <c r="DZ201" s="9" t="s">
        <v>77</v>
      </c>
      <c r="EA201" s="9" t="s">
        <v>77</v>
      </c>
      <c r="EB201" s="9" t="s">
        <v>80</v>
      </c>
      <c r="EC201" s="9" t="s">
        <v>438</v>
      </c>
      <c r="ED201" s="9" t="s">
        <v>77</v>
      </c>
      <c r="EE201" s="9" t="s">
        <v>78</v>
      </c>
      <c r="EF201" s="9" t="s">
        <v>349</v>
      </c>
      <c r="EG201" s="9" t="s">
        <v>78</v>
      </c>
      <c r="EH201" s="9" t="s">
        <v>77</v>
      </c>
      <c r="EL201" s="9" t="s">
        <v>77</v>
      </c>
      <c r="EM201" s="9" t="s">
        <v>77</v>
      </c>
      <c r="EN201" s="9" t="s">
        <v>80</v>
      </c>
      <c r="EO201" s="9" t="s">
        <v>438</v>
      </c>
      <c r="EP201" s="9" t="s">
        <v>77</v>
      </c>
      <c r="EQ201" s="9" t="s">
        <v>78</v>
      </c>
      <c r="ER201" s="9" t="s">
        <v>349</v>
      </c>
      <c r="ES201" s="9" t="s">
        <v>78</v>
      </c>
      <c r="ET201" s="9" t="s">
        <v>77</v>
      </c>
      <c r="EX201" s="9" t="s">
        <v>77</v>
      </c>
      <c r="EY201" s="9" t="s">
        <v>77</v>
      </c>
      <c r="EZ201" s="9" t="s">
        <v>80</v>
      </c>
      <c r="FA201" s="9" t="s">
        <v>438</v>
      </c>
      <c r="FB201" s="9" t="s">
        <v>77</v>
      </c>
      <c r="FC201" s="9" t="s">
        <v>78</v>
      </c>
      <c r="FD201" s="9" t="s">
        <v>349</v>
      </c>
      <c r="FE201" s="9" t="s">
        <v>78</v>
      </c>
      <c r="FF201" s="9" t="s">
        <v>77</v>
      </c>
    </row>
    <row r="202" spans="50:162">
      <c r="AX202" s="9" t="s">
        <v>77</v>
      </c>
      <c r="AY202" s="9" t="s">
        <v>77</v>
      </c>
      <c r="AZ202" s="9" t="s">
        <v>80</v>
      </c>
      <c r="BA202" s="9" t="s">
        <v>438</v>
      </c>
      <c r="BB202" s="9" t="s">
        <v>79</v>
      </c>
      <c r="BC202" s="9" t="s">
        <v>78</v>
      </c>
      <c r="BD202" s="9" t="s">
        <v>349</v>
      </c>
      <c r="BE202" s="9" t="s">
        <v>78</v>
      </c>
      <c r="BF202" s="9" t="s">
        <v>77</v>
      </c>
      <c r="BI202" s="9" t="s">
        <v>77</v>
      </c>
      <c r="BJ202" s="9" t="s">
        <v>80</v>
      </c>
      <c r="BK202" s="9" t="s">
        <v>348</v>
      </c>
      <c r="BL202" s="9" t="s">
        <v>873</v>
      </c>
      <c r="BM202" s="9" t="s">
        <v>80</v>
      </c>
      <c r="BN202" s="9" t="s">
        <v>348</v>
      </c>
      <c r="BO202" s="9" t="s">
        <v>873</v>
      </c>
      <c r="BP202" s="9" t="s">
        <v>77</v>
      </c>
      <c r="BQ202" s="9" t="s">
        <v>77</v>
      </c>
      <c r="BR202" s="9" t="s">
        <v>77</v>
      </c>
      <c r="BS202" s="9" t="s">
        <v>77</v>
      </c>
      <c r="BT202" s="9" t="s">
        <v>77</v>
      </c>
      <c r="BU202" s="9" t="s">
        <v>77</v>
      </c>
      <c r="BV202" s="9" t="s">
        <v>78</v>
      </c>
      <c r="BW202" s="9" t="s">
        <v>78</v>
      </c>
      <c r="BX202" s="9" t="s">
        <v>78</v>
      </c>
      <c r="CB202" s="9" t="s">
        <v>77</v>
      </c>
      <c r="CC202" s="9" t="s">
        <v>80</v>
      </c>
      <c r="CD202" s="9" t="s">
        <v>77</v>
      </c>
      <c r="CE202" s="9" t="s">
        <v>77</v>
      </c>
      <c r="CF202" s="9" t="s">
        <v>77</v>
      </c>
      <c r="CG202" s="9" t="s">
        <v>80</v>
      </c>
      <c r="CH202" s="9" t="s">
        <v>348</v>
      </c>
      <c r="CI202" s="9" t="s">
        <v>874</v>
      </c>
      <c r="CJ202" s="9" t="s">
        <v>80</v>
      </c>
      <c r="CK202" s="9" t="s">
        <v>348</v>
      </c>
      <c r="CL202" s="9" t="s">
        <v>874</v>
      </c>
      <c r="CM202" s="9" t="s">
        <v>77</v>
      </c>
      <c r="CN202" s="9" t="s">
        <v>77</v>
      </c>
      <c r="CO202" s="9" t="s">
        <v>78</v>
      </c>
      <c r="CS202" s="9" t="s">
        <v>80</v>
      </c>
      <c r="CT202" s="9" t="s">
        <v>348</v>
      </c>
      <c r="CU202" s="9" t="s">
        <v>874</v>
      </c>
      <c r="CV202" s="9" t="s">
        <v>80</v>
      </c>
      <c r="CW202" s="9" t="s">
        <v>348</v>
      </c>
      <c r="CX202" s="9" t="s">
        <v>874</v>
      </c>
      <c r="CY202" s="9" t="s">
        <v>77</v>
      </c>
      <c r="CZ202" s="9" t="s">
        <v>77</v>
      </c>
      <c r="DA202" s="9" t="s">
        <v>78</v>
      </c>
      <c r="DE202" s="9" t="s">
        <v>77</v>
      </c>
      <c r="DF202" s="9" t="s">
        <v>78</v>
      </c>
      <c r="DG202" s="9" t="s">
        <v>78</v>
      </c>
      <c r="DH202" s="9" t="s">
        <v>78</v>
      </c>
      <c r="DI202" s="9" t="s">
        <v>873</v>
      </c>
      <c r="DJ202" s="9" t="s">
        <v>77</v>
      </c>
      <c r="DK202" s="9" t="s">
        <v>77</v>
      </c>
      <c r="DN202" s="9" t="s">
        <v>77</v>
      </c>
      <c r="DO202" s="9" t="s">
        <v>77</v>
      </c>
      <c r="DP202" s="9" t="s">
        <v>80</v>
      </c>
      <c r="DQ202" s="9" t="s">
        <v>438</v>
      </c>
      <c r="DR202" s="9" t="s">
        <v>77</v>
      </c>
      <c r="DS202" s="9" t="s">
        <v>78</v>
      </c>
      <c r="DT202" s="9" t="s">
        <v>349</v>
      </c>
      <c r="DU202" s="9" t="s">
        <v>78</v>
      </c>
      <c r="DV202" s="9" t="s">
        <v>77</v>
      </c>
      <c r="DZ202" s="9" t="s">
        <v>77</v>
      </c>
      <c r="EA202" s="9" t="s">
        <v>77</v>
      </c>
      <c r="EB202" s="9" t="s">
        <v>80</v>
      </c>
      <c r="EC202" s="9" t="s">
        <v>438</v>
      </c>
      <c r="ED202" s="9" t="s">
        <v>77</v>
      </c>
      <c r="EE202" s="9" t="s">
        <v>78</v>
      </c>
      <c r="EF202" s="9" t="s">
        <v>349</v>
      </c>
      <c r="EG202" s="9" t="s">
        <v>78</v>
      </c>
      <c r="EH202" s="9" t="s">
        <v>77</v>
      </c>
      <c r="EL202" s="9" t="s">
        <v>77</v>
      </c>
      <c r="EM202" s="9" t="s">
        <v>77</v>
      </c>
      <c r="EN202" s="9" t="s">
        <v>80</v>
      </c>
      <c r="EO202" s="9" t="s">
        <v>438</v>
      </c>
      <c r="EP202" s="9" t="s">
        <v>77</v>
      </c>
      <c r="EQ202" s="9" t="s">
        <v>78</v>
      </c>
      <c r="ER202" s="9" t="s">
        <v>349</v>
      </c>
      <c r="ES202" s="9" t="s">
        <v>78</v>
      </c>
      <c r="ET202" s="9" t="s">
        <v>77</v>
      </c>
      <c r="EX202" s="9" t="s">
        <v>77</v>
      </c>
      <c r="EY202" s="9" t="s">
        <v>77</v>
      </c>
      <c r="EZ202" s="9" t="s">
        <v>80</v>
      </c>
      <c r="FA202" s="9" t="s">
        <v>438</v>
      </c>
      <c r="FB202" s="9" t="s">
        <v>77</v>
      </c>
      <c r="FC202" s="9" t="s">
        <v>78</v>
      </c>
      <c r="FD202" s="9" t="s">
        <v>349</v>
      </c>
      <c r="FE202" s="9" t="s">
        <v>78</v>
      </c>
      <c r="FF202" s="9" t="s">
        <v>77</v>
      </c>
    </row>
    <row r="203" spans="50:162">
      <c r="AX203" s="9" t="s">
        <v>77</v>
      </c>
      <c r="AY203" s="9" t="s">
        <v>77</v>
      </c>
      <c r="AZ203" s="9" t="s">
        <v>80</v>
      </c>
      <c r="BA203" s="9" t="s">
        <v>438</v>
      </c>
      <c r="BB203" s="9" t="s">
        <v>79</v>
      </c>
      <c r="BC203" s="9" t="s">
        <v>78</v>
      </c>
      <c r="BD203" s="9" t="s">
        <v>349</v>
      </c>
      <c r="BE203" s="9" t="s">
        <v>78</v>
      </c>
      <c r="BF203" s="9" t="s">
        <v>77</v>
      </c>
      <c r="BI203" s="9" t="s">
        <v>77</v>
      </c>
      <c r="BJ203" s="9" t="s">
        <v>80</v>
      </c>
      <c r="BK203" s="9" t="s">
        <v>348</v>
      </c>
      <c r="BL203" s="9" t="s">
        <v>875</v>
      </c>
      <c r="BM203" s="9" t="s">
        <v>80</v>
      </c>
      <c r="BN203" s="9" t="s">
        <v>348</v>
      </c>
      <c r="BO203" s="9" t="s">
        <v>875</v>
      </c>
      <c r="BP203" s="9" t="s">
        <v>77</v>
      </c>
      <c r="BQ203" s="9" t="s">
        <v>77</v>
      </c>
      <c r="BR203" s="9" t="s">
        <v>77</v>
      </c>
      <c r="BS203" s="9" t="s">
        <v>77</v>
      </c>
      <c r="BT203" s="9" t="s">
        <v>77</v>
      </c>
      <c r="BU203" s="9" t="s">
        <v>77</v>
      </c>
      <c r="BV203" s="9" t="s">
        <v>78</v>
      </c>
      <c r="BW203" s="9" t="s">
        <v>78</v>
      </c>
      <c r="BX203" s="9" t="s">
        <v>78</v>
      </c>
      <c r="CB203" s="9" t="s">
        <v>77</v>
      </c>
      <c r="CC203" s="9" t="s">
        <v>80</v>
      </c>
      <c r="CD203" s="9" t="s">
        <v>77</v>
      </c>
      <c r="CE203" s="9" t="s">
        <v>77</v>
      </c>
      <c r="CF203" s="9" t="s">
        <v>77</v>
      </c>
      <c r="CG203" s="9" t="s">
        <v>80</v>
      </c>
      <c r="CH203" s="9" t="s">
        <v>348</v>
      </c>
      <c r="CI203" s="9" t="s">
        <v>876</v>
      </c>
      <c r="CJ203" s="9" t="s">
        <v>80</v>
      </c>
      <c r="CK203" s="9" t="s">
        <v>348</v>
      </c>
      <c r="CL203" s="9" t="s">
        <v>876</v>
      </c>
      <c r="CM203" s="9" t="s">
        <v>77</v>
      </c>
      <c r="CN203" s="9" t="s">
        <v>77</v>
      </c>
      <c r="CO203" s="9" t="s">
        <v>78</v>
      </c>
      <c r="CS203" s="9" t="s">
        <v>80</v>
      </c>
      <c r="CT203" s="9" t="s">
        <v>348</v>
      </c>
      <c r="CU203" s="9" t="s">
        <v>875</v>
      </c>
      <c r="CV203" s="9" t="s">
        <v>80</v>
      </c>
      <c r="CW203" s="9" t="s">
        <v>348</v>
      </c>
      <c r="CX203" s="9" t="s">
        <v>875</v>
      </c>
      <c r="CY203" s="9" t="s">
        <v>77</v>
      </c>
      <c r="CZ203" s="9" t="s">
        <v>77</v>
      </c>
      <c r="DA203" s="9" t="s">
        <v>78</v>
      </c>
      <c r="DE203" s="9" t="s">
        <v>77</v>
      </c>
      <c r="DF203" s="9" t="s">
        <v>78</v>
      </c>
      <c r="DG203" s="9" t="s">
        <v>78</v>
      </c>
      <c r="DH203" s="9" t="s">
        <v>78</v>
      </c>
      <c r="DI203" s="9" t="s">
        <v>875</v>
      </c>
      <c r="DJ203" s="9" t="s">
        <v>77</v>
      </c>
      <c r="DK203" s="9" t="s">
        <v>77</v>
      </c>
      <c r="DN203" s="9" t="s">
        <v>77</v>
      </c>
      <c r="DO203" s="9" t="s">
        <v>77</v>
      </c>
      <c r="DP203" s="9" t="s">
        <v>80</v>
      </c>
      <c r="DQ203" s="9" t="s">
        <v>438</v>
      </c>
      <c r="DR203" s="9" t="s">
        <v>77</v>
      </c>
      <c r="DS203" s="9" t="s">
        <v>78</v>
      </c>
      <c r="DT203" s="9" t="s">
        <v>349</v>
      </c>
      <c r="DU203" s="9" t="s">
        <v>78</v>
      </c>
      <c r="DV203" s="9" t="s">
        <v>77</v>
      </c>
      <c r="DZ203" s="9" t="s">
        <v>77</v>
      </c>
      <c r="EA203" s="9" t="s">
        <v>77</v>
      </c>
      <c r="EB203" s="9" t="s">
        <v>80</v>
      </c>
      <c r="EC203" s="9" t="s">
        <v>438</v>
      </c>
      <c r="ED203" s="9" t="s">
        <v>77</v>
      </c>
      <c r="EE203" s="9" t="s">
        <v>78</v>
      </c>
      <c r="EF203" s="9" t="s">
        <v>349</v>
      </c>
      <c r="EG203" s="9" t="s">
        <v>78</v>
      </c>
      <c r="EH203" s="9" t="s">
        <v>77</v>
      </c>
      <c r="EL203" s="9" t="s">
        <v>77</v>
      </c>
      <c r="EM203" s="9" t="s">
        <v>77</v>
      </c>
      <c r="EN203" s="9" t="s">
        <v>80</v>
      </c>
      <c r="EO203" s="9" t="s">
        <v>438</v>
      </c>
      <c r="EP203" s="9" t="s">
        <v>77</v>
      </c>
      <c r="EQ203" s="9" t="s">
        <v>78</v>
      </c>
      <c r="ER203" s="9" t="s">
        <v>349</v>
      </c>
      <c r="ES203" s="9" t="s">
        <v>78</v>
      </c>
      <c r="ET203" s="9" t="s">
        <v>77</v>
      </c>
      <c r="EX203" s="9" t="s">
        <v>77</v>
      </c>
      <c r="EY203" s="9" t="s">
        <v>77</v>
      </c>
      <c r="EZ203" s="9" t="s">
        <v>80</v>
      </c>
      <c r="FA203" s="9" t="s">
        <v>438</v>
      </c>
      <c r="FB203" s="9" t="s">
        <v>77</v>
      </c>
      <c r="FC203" s="9" t="s">
        <v>78</v>
      </c>
      <c r="FD203" s="9" t="s">
        <v>349</v>
      </c>
      <c r="FE203" s="9" t="s">
        <v>78</v>
      </c>
      <c r="FF203" s="9" t="s">
        <v>77</v>
      </c>
    </row>
    <row r="204" spans="50:162">
      <c r="AX204" s="9" t="s">
        <v>77</v>
      </c>
      <c r="AY204" s="9" t="s">
        <v>77</v>
      </c>
      <c r="AZ204" s="9" t="s">
        <v>80</v>
      </c>
      <c r="BA204" s="9" t="s">
        <v>438</v>
      </c>
      <c r="BB204" s="9" t="s">
        <v>79</v>
      </c>
      <c r="BC204" s="9" t="s">
        <v>78</v>
      </c>
      <c r="BD204" s="9" t="s">
        <v>349</v>
      </c>
      <c r="BE204" s="9" t="s">
        <v>78</v>
      </c>
      <c r="BF204" s="9" t="s">
        <v>77</v>
      </c>
      <c r="BI204" s="9" t="s">
        <v>77</v>
      </c>
      <c r="BJ204" s="9" t="s">
        <v>80</v>
      </c>
      <c r="BK204" s="9" t="s">
        <v>348</v>
      </c>
      <c r="BL204" s="9" t="s">
        <v>877</v>
      </c>
      <c r="BM204" s="9" t="s">
        <v>80</v>
      </c>
      <c r="BN204" s="9" t="s">
        <v>348</v>
      </c>
      <c r="BO204" s="9" t="s">
        <v>877</v>
      </c>
      <c r="BP204" s="9" t="s">
        <v>77</v>
      </c>
      <c r="BQ204" s="9" t="s">
        <v>77</v>
      </c>
      <c r="BR204" s="9" t="s">
        <v>77</v>
      </c>
      <c r="BS204" s="9" t="s">
        <v>77</v>
      </c>
      <c r="BT204" s="9" t="s">
        <v>77</v>
      </c>
      <c r="BU204" s="9" t="s">
        <v>77</v>
      </c>
      <c r="BV204" s="9" t="s">
        <v>78</v>
      </c>
      <c r="BW204" s="9" t="s">
        <v>78</v>
      </c>
      <c r="BX204" s="9" t="s">
        <v>78</v>
      </c>
      <c r="CB204" s="9" t="s">
        <v>77</v>
      </c>
      <c r="CC204" s="9" t="s">
        <v>80</v>
      </c>
      <c r="CD204" s="9" t="s">
        <v>77</v>
      </c>
      <c r="CE204" s="9" t="s">
        <v>77</v>
      </c>
      <c r="CF204" s="9" t="s">
        <v>77</v>
      </c>
      <c r="CG204" s="9" t="s">
        <v>80</v>
      </c>
      <c r="CH204" s="9" t="s">
        <v>348</v>
      </c>
      <c r="CI204" s="9" t="s">
        <v>878</v>
      </c>
      <c r="CJ204" s="9" t="s">
        <v>80</v>
      </c>
      <c r="CK204" s="9" t="s">
        <v>348</v>
      </c>
      <c r="CL204" s="9" t="s">
        <v>878</v>
      </c>
      <c r="CM204" s="9" t="s">
        <v>77</v>
      </c>
      <c r="CN204" s="9" t="s">
        <v>77</v>
      </c>
      <c r="CO204" s="9" t="s">
        <v>78</v>
      </c>
      <c r="CS204" s="9" t="s">
        <v>80</v>
      </c>
      <c r="CT204" s="9" t="s">
        <v>348</v>
      </c>
      <c r="CU204" s="9" t="s">
        <v>877</v>
      </c>
      <c r="CV204" s="9" t="s">
        <v>80</v>
      </c>
      <c r="CW204" s="9" t="s">
        <v>348</v>
      </c>
      <c r="CX204" s="9" t="s">
        <v>877</v>
      </c>
      <c r="CY204" s="9" t="s">
        <v>77</v>
      </c>
      <c r="CZ204" s="9" t="s">
        <v>77</v>
      </c>
      <c r="DA204" s="9" t="s">
        <v>78</v>
      </c>
      <c r="DE204" s="9" t="s">
        <v>77</v>
      </c>
      <c r="DF204" s="9" t="s">
        <v>78</v>
      </c>
      <c r="DG204" s="9" t="s">
        <v>78</v>
      </c>
      <c r="DH204" s="9" t="s">
        <v>78</v>
      </c>
      <c r="DI204" s="9" t="s">
        <v>879</v>
      </c>
      <c r="DJ204" s="9" t="s">
        <v>77</v>
      </c>
      <c r="DK204" s="9" t="s">
        <v>77</v>
      </c>
      <c r="DN204" s="9" t="s">
        <v>77</v>
      </c>
      <c r="DO204" s="9" t="s">
        <v>77</v>
      </c>
      <c r="DP204" s="9" t="s">
        <v>80</v>
      </c>
      <c r="DQ204" s="9" t="s">
        <v>438</v>
      </c>
      <c r="DR204" s="9" t="s">
        <v>77</v>
      </c>
      <c r="DS204" s="9" t="s">
        <v>78</v>
      </c>
      <c r="DT204" s="9" t="s">
        <v>349</v>
      </c>
      <c r="DU204" s="9" t="s">
        <v>78</v>
      </c>
      <c r="DV204" s="9" t="s">
        <v>77</v>
      </c>
      <c r="DZ204" s="9" t="s">
        <v>77</v>
      </c>
      <c r="EA204" s="9" t="s">
        <v>77</v>
      </c>
      <c r="EB204" s="9" t="s">
        <v>80</v>
      </c>
      <c r="EC204" s="9" t="s">
        <v>438</v>
      </c>
      <c r="ED204" s="9" t="s">
        <v>77</v>
      </c>
      <c r="EE204" s="9" t="s">
        <v>78</v>
      </c>
      <c r="EF204" s="9" t="s">
        <v>349</v>
      </c>
      <c r="EG204" s="9" t="s">
        <v>78</v>
      </c>
      <c r="EH204" s="9" t="s">
        <v>77</v>
      </c>
      <c r="EL204" s="9" t="s">
        <v>77</v>
      </c>
      <c r="EM204" s="9" t="s">
        <v>77</v>
      </c>
      <c r="EN204" s="9" t="s">
        <v>80</v>
      </c>
      <c r="EO204" s="9" t="s">
        <v>438</v>
      </c>
      <c r="EP204" s="9" t="s">
        <v>77</v>
      </c>
      <c r="EQ204" s="9" t="s">
        <v>78</v>
      </c>
      <c r="ER204" s="9" t="s">
        <v>349</v>
      </c>
      <c r="ES204" s="9" t="s">
        <v>78</v>
      </c>
      <c r="ET204" s="9" t="s">
        <v>77</v>
      </c>
      <c r="EX204" s="9" t="s">
        <v>77</v>
      </c>
      <c r="EY204" s="9" t="s">
        <v>77</v>
      </c>
      <c r="EZ204" s="9" t="s">
        <v>80</v>
      </c>
      <c r="FA204" s="9" t="s">
        <v>438</v>
      </c>
      <c r="FB204" s="9" t="s">
        <v>77</v>
      </c>
      <c r="FC204" s="9" t="s">
        <v>78</v>
      </c>
      <c r="FD204" s="9" t="s">
        <v>349</v>
      </c>
      <c r="FE204" s="9" t="s">
        <v>78</v>
      </c>
      <c r="FF204" s="9" t="s">
        <v>77</v>
      </c>
    </row>
    <row r="205" spans="50:162">
      <c r="AX205" s="9" t="s">
        <v>77</v>
      </c>
      <c r="AY205" s="9" t="s">
        <v>77</v>
      </c>
      <c r="AZ205" s="9" t="s">
        <v>80</v>
      </c>
      <c r="BA205" s="9" t="s">
        <v>438</v>
      </c>
      <c r="BB205" s="9" t="s">
        <v>80</v>
      </c>
      <c r="BC205" s="9" t="s">
        <v>78</v>
      </c>
      <c r="BD205" s="9" t="s">
        <v>349</v>
      </c>
      <c r="BE205" s="9" t="s">
        <v>78</v>
      </c>
      <c r="BF205" s="9" t="s">
        <v>77</v>
      </c>
      <c r="BI205" s="9" t="s">
        <v>77</v>
      </c>
      <c r="BJ205" s="9" t="s">
        <v>80</v>
      </c>
      <c r="BK205" s="9" t="s">
        <v>348</v>
      </c>
      <c r="BL205" s="9" t="s">
        <v>880</v>
      </c>
      <c r="BM205" s="9" t="s">
        <v>80</v>
      </c>
      <c r="BN205" s="9" t="s">
        <v>348</v>
      </c>
      <c r="BO205" s="9" t="s">
        <v>880</v>
      </c>
      <c r="BP205" s="9" t="s">
        <v>77</v>
      </c>
      <c r="BQ205" s="9" t="s">
        <v>77</v>
      </c>
      <c r="BR205" s="9" t="s">
        <v>77</v>
      </c>
      <c r="BS205" s="9" t="s">
        <v>77</v>
      </c>
      <c r="BT205" s="9" t="s">
        <v>77</v>
      </c>
      <c r="BU205" s="9" t="s">
        <v>77</v>
      </c>
      <c r="BV205" s="9" t="s">
        <v>78</v>
      </c>
      <c r="BW205" s="9" t="s">
        <v>78</v>
      </c>
      <c r="BX205" s="9" t="s">
        <v>78</v>
      </c>
      <c r="CB205" s="9" t="s">
        <v>77</v>
      </c>
      <c r="CC205" s="9" t="s">
        <v>80</v>
      </c>
      <c r="CD205" s="9" t="s">
        <v>77</v>
      </c>
      <c r="CE205" s="9" t="s">
        <v>77</v>
      </c>
      <c r="CF205" s="9" t="s">
        <v>77</v>
      </c>
      <c r="CG205" s="9" t="s">
        <v>80</v>
      </c>
      <c r="CH205" s="9" t="s">
        <v>348</v>
      </c>
      <c r="CI205" s="9" t="s">
        <v>881</v>
      </c>
      <c r="CJ205" s="9" t="s">
        <v>80</v>
      </c>
      <c r="CK205" s="9" t="s">
        <v>348</v>
      </c>
      <c r="CL205" s="9" t="s">
        <v>881</v>
      </c>
      <c r="CM205" s="9" t="s">
        <v>77</v>
      </c>
      <c r="CN205" s="9" t="s">
        <v>77</v>
      </c>
      <c r="CO205" s="9" t="s">
        <v>78</v>
      </c>
      <c r="CS205" s="9" t="s">
        <v>80</v>
      </c>
      <c r="CT205" s="9" t="s">
        <v>348</v>
      </c>
      <c r="CU205" s="9" t="s">
        <v>880</v>
      </c>
      <c r="CV205" s="9" t="s">
        <v>80</v>
      </c>
      <c r="CW205" s="9" t="s">
        <v>348</v>
      </c>
      <c r="CX205" s="9" t="s">
        <v>880</v>
      </c>
      <c r="CY205" s="9" t="s">
        <v>77</v>
      </c>
      <c r="CZ205" s="9" t="s">
        <v>77</v>
      </c>
      <c r="DA205" s="9" t="s">
        <v>78</v>
      </c>
      <c r="DE205" s="9" t="s">
        <v>77</v>
      </c>
      <c r="DF205" s="9" t="s">
        <v>78</v>
      </c>
      <c r="DG205" s="9" t="s">
        <v>78</v>
      </c>
      <c r="DH205" s="9" t="s">
        <v>78</v>
      </c>
      <c r="DI205" s="9" t="s">
        <v>880</v>
      </c>
      <c r="DJ205" s="9" t="s">
        <v>77</v>
      </c>
      <c r="DK205" s="9" t="s">
        <v>77</v>
      </c>
      <c r="DN205" s="9" t="s">
        <v>77</v>
      </c>
      <c r="DO205" s="9" t="s">
        <v>77</v>
      </c>
      <c r="DP205" s="9" t="s">
        <v>80</v>
      </c>
      <c r="DQ205" s="9" t="s">
        <v>438</v>
      </c>
      <c r="DR205" s="9" t="s">
        <v>77</v>
      </c>
      <c r="DS205" s="9" t="s">
        <v>78</v>
      </c>
      <c r="DT205" s="9" t="s">
        <v>349</v>
      </c>
      <c r="DU205" s="9" t="s">
        <v>78</v>
      </c>
      <c r="DV205" s="9" t="s">
        <v>77</v>
      </c>
      <c r="DZ205" s="9" t="s">
        <v>77</v>
      </c>
      <c r="EA205" s="9" t="s">
        <v>77</v>
      </c>
      <c r="EB205" s="9" t="s">
        <v>80</v>
      </c>
      <c r="EC205" s="9" t="s">
        <v>438</v>
      </c>
      <c r="ED205" s="9" t="s">
        <v>77</v>
      </c>
      <c r="EE205" s="9" t="s">
        <v>78</v>
      </c>
      <c r="EF205" s="9" t="s">
        <v>349</v>
      </c>
      <c r="EG205" s="9" t="s">
        <v>78</v>
      </c>
      <c r="EH205" s="9" t="s">
        <v>77</v>
      </c>
      <c r="EL205" s="9" t="s">
        <v>77</v>
      </c>
      <c r="EM205" s="9" t="s">
        <v>77</v>
      </c>
      <c r="EN205" s="9" t="s">
        <v>80</v>
      </c>
      <c r="EO205" s="9" t="s">
        <v>438</v>
      </c>
      <c r="EP205" s="9" t="s">
        <v>77</v>
      </c>
      <c r="EQ205" s="9" t="s">
        <v>78</v>
      </c>
      <c r="ER205" s="9" t="s">
        <v>349</v>
      </c>
      <c r="ES205" s="9" t="s">
        <v>78</v>
      </c>
      <c r="ET205" s="9" t="s">
        <v>77</v>
      </c>
      <c r="EX205" s="9" t="s">
        <v>77</v>
      </c>
      <c r="EY205" s="9" t="s">
        <v>77</v>
      </c>
      <c r="EZ205" s="9" t="s">
        <v>80</v>
      </c>
      <c r="FA205" s="9" t="s">
        <v>438</v>
      </c>
      <c r="FB205" s="9" t="s">
        <v>77</v>
      </c>
      <c r="FC205" s="9" t="s">
        <v>78</v>
      </c>
      <c r="FD205" s="9" t="s">
        <v>349</v>
      </c>
      <c r="FE205" s="9" t="s">
        <v>78</v>
      </c>
      <c r="FF205" s="9" t="s">
        <v>77</v>
      </c>
    </row>
    <row r="206" spans="50:162">
      <c r="AX206" s="9" t="s">
        <v>77</v>
      </c>
      <c r="AY206" s="9" t="s">
        <v>77</v>
      </c>
      <c r="AZ206" s="9" t="s">
        <v>80</v>
      </c>
      <c r="BA206" s="9" t="s">
        <v>438</v>
      </c>
      <c r="BB206" s="9" t="s">
        <v>79</v>
      </c>
      <c r="BC206" s="9" t="s">
        <v>78</v>
      </c>
      <c r="BD206" s="9" t="s">
        <v>349</v>
      </c>
      <c r="BE206" s="9" t="s">
        <v>78</v>
      </c>
      <c r="BF206" s="9" t="s">
        <v>77</v>
      </c>
      <c r="BI206" s="9" t="s">
        <v>77</v>
      </c>
      <c r="BJ206" s="9" t="s">
        <v>80</v>
      </c>
      <c r="BK206" s="9" t="s">
        <v>348</v>
      </c>
      <c r="BL206" s="9" t="s">
        <v>882</v>
      </c>
      <c r="BM206" s="9" t="s">
        <v>80</v>
      </c>
      <c r="BN206" s="9" t="s">
        <v>348</v>
      </c>
      <c r="BO206" s="9" t="s">
        <v>882</v>
      </c>
      <c r="BP206" s="9" t="s">
        <v>77</v>
      </c>
      <c r="BQ206" s="9" t="s">
        <v>77</v>
      </c>
      <c r="BR206" s="9" t="s">
        <v>77</v>
      </c>
      <c r="BS206" s="9" t="s">
        <v>77</v>
      </c>
      <c r="BT206" s="9" t="s">
        <v>77</v>
      </c>
      <c r="BU206" s="9" t="s">
        <v>77</v>
      </c>
      <c r="BV206" s="9" t="s">
        <v>78</v>
      </c>
      <c r="BW206" s="9" t="s">
        <v>78</v>
      </c>
      <c r="BX206" s="9" t="s">
        <v>78</v>
      </c>
      <c r="CB206" s="9" t="s">
        <v>77</v>
      </c>
      <c r="CC206" s="9" t="s">
        <v>80</v>
      </c>
      <c r="CD206" s="9" t="s">
        <v>77</v>
      </c>
      <c r="CE206" s="9" t="s">
        <v>77</v>
      </c>
      <c r="CF206" s="9" t="s">
        <v>77</v>
      </c>
      <c r="CG206" s="9" t="s">
        <v>80</v>
      </c>
      <c r="CH206" s="9" t="s">
        <v>348</v>
      </c>
      <c r="CI206" s="9" t="s">
        <v>883</v>
      </c>
      <c r="CJ206" s="9" t="s">
        <v>80</v>
      </c>
      <c r="CK206" s="9" t="s">
        <v>348</v>
      </c>
      <c r="CL206" s="9" t="s">
        <v>883</v>
      </c>
      <c r="CM206" s="9" t="s">
        <v>77</v>
      </c>
      <c r="CN206" s="9" t="s">
        <v>77</v>
      </c>
      <c r="CO206" s="9" t="s">
        <v>78</v>
      </c>
      <c r="CS206" s="9" t="s">
        <v>80</v>
      </c>
      <c r="CT206" s="9" t="s">
        <v>348</v>
      </c>
      <c r="CU206" s="9" t="s">
        <v>882</v>
      </c>
      <c r="CV206" s="9" t="s">
        <v>80</v>
      </c>
      <c r="CW206" s="9" t="s">
        <v>348</v>
      </c>
      <c r="CX206" s="9" t="s">
        <v>882</v>
      </c>
      <c r="CY206" s="9" t="s">
        <v>77</v>
      </c>
      <c r="CZ206" s="9" t="s">
        <v>77</v>
      </c>
      <c r="DA206" s="9" t="s">
        <v>78</v>
      </c>
      <c r="DE206" s="9" t="s">
        <v>77</v>
      </c>
      <c r="DF206" s="9" t="s">
        <v>78</v>
      </c>
      <c r="DG206" s="9" t="s">
        <v>78</v>
      </c>
      <c r="DH206" s="9" t="s">
        <v>78</v>
      </c>
      <c r="DI206" s="9" t="s">
        <v>882</v>
      </c>
      <c r="DJ206" s="9" t="s">
        <v>77</v>
      </c>
      <c r="DK206" s="9" t="s">
        <v>77</v>
      </c>
      <c r="DN206" s="9" t="s">
        <v>77</v>
      </c>
      <c r="DO206" s="9" t="s">
        <v>77</v>
      </c>
      <c r="DP206" s="9" t="s">
        <v>80</v>
      </c>
      <c r="DQ206" s="9" t="s">
        <v>438</v>
      </c>
      <c r="DR206" s="9" t="s">
        <v>77</v>
      </c>
      <c r="DS206" s="9" t="s">
        <v>78</v>
      </c>
      <c r="DT206" s="9" t="s">
        <v>349</v>
      </c>
      <c r="DU206" s="9" t="s">
        <v>78</v>
      </c>
      <c r="DV206" s="9" t="s">
        <v>77</v>
      </c>
      <c r="DZ206" s="9" t="s">
        <v>77</v>
      </c>
      <c r="EA206" s="9" t="s">
        <v>77</v>
      </c>
      <c r="EB206" s="9" t="s">
        <v>80</v>
      </c>
      <c r="EC206" s="9" t="s">
        <v>438</v>
      </c>
      <c r="ED206" s="9" t="s">
        <v>77</v>
      </c>
      <c r="EE206" s="9" t="s">
        <v>78</v>
      </c>
      <c r="EF206" s="9" t="s">
        <v>349</v>
      </c>
      <c r="EG206" s="9" t="s">
        <v>78</v>
      </c>
      <c r="EH206" s="9" t="s">
        <v>77</v>
      </c>
      <c r="EL206" s="9" t="s">
        <v>77</v>
      </c>
      <c r="EM206" s="9" t="s">
        <v>77</v>
      </c>
      <c r="EN206" s="9" t="s">
        <v>80</v>
      </c>
      <c r="EO206" s="9" t="s">
        <v>438</v>
      </c>
      <c r="EP206" s="9" t="s">
        <v>77</v>
      </c>
      <c r="EQ206" s="9" t="s">
        <v>78</v>
      </c>
      <c r="ER206" s="9" t="s">
        <v>349</v>
      </c>
      <c r="ES206" s="9" t="s">
        <v>78</v>
      </c>
      <c r="ET206" s="9" t="s">
        <v>77</v>
      </c>
      <c r="EX206" s="9" t="s">
        <v>77</v>
      </c>
      <c r="EY206" s="9" t="s">
        <v>77</v>
      </c>
      <c r="EZ206" s="9" t="s">
        <v>80</v>
      </c>
      <c r="FA206" s="9" t="s">
        <v>438</v>
      </c>
      <c r="FB206" s="9" t="s">
        <v>77</v>
      </c>
      <c r="FC206" s="9" t="s">
        <v>78</v>
      </c>
      <c r="FD206" s="9" t="s">
        <v>349</v>
      </c>
      <c r="FE206" s="9" t="s">
        <v>78</v>
      </c>
      <c r="FF206" s="9" t="s">
        <v>77</v>
      </c>
    </row>
    <row r="207" spans="50:162">
      <c r="AX207" s="9" t="s">
        <v>77</v>
      </c>
      <c r="AY207" s="9" t="s">
        <v>77</v>
      </c>
      <c r="AZ207" s="9" t="s">
        <v>80</v>
      </c>
      <c r="BA207" s="9" t="s">
        <v>438</v>
      </c>
      <c r="BB207" s="9" t="s">
        <v>79</v>
      </c>
      <c r="BC207" s="9" t="s">
        <v>78</v>
      </c>
      <c r="BD207" s="9" t="s">
        <v>349</v>
      </c>
      <c r="BE207" s="9" t="s">
        <v>78</v>
      </c>
      <c r="BF207" s="9" t="s">
        <v>77</v>
      </c>
      <c r="BI207" s="9" t="s">
        <v>77</v>
      </c>
      <c r="BJ207" s="9" t="s">
        <v>80</v>
      </c>
      <c r="BK207" s="9" t="s">
        <v>348</v>
      </c>
      <c r="BL207" s="9" t="s">
        <v>884</v>
      </c>
      <c r="BM207" s="9" t="s">
        <v>80</v>
      </c>
      <c r="BN207" s="9" t="s">
        <v>348</v>
      </c>
      <c r="BO207" s="9" t="s">
        <v>884</v>
      </c>
      <c r="BP207" s="9" t="s">
        <v>77</v>
      </c>
      <c r="BQ207" s="9" t="s">
        <v>77</v>
      </c>
      <c r="BR207" s="9" t="s">
        <v>77</v>
      </c>
      <c r="BS207" s="9" t="s">
        <v>77</v>
      </c>
      <c r="BT207" s="9" t="s">
        <v>77</v>
      </c>
      <c r="BU207" s="9" t="s">
        <v>77</v>
      </c>
      <c r="BV207" s="9" t="s">
        <v>78</v>
      </c>
      <c r="BW207" s="9" t="s">
        <v>78</v>
      </c>
      <c r="BX207" s="9" t="s">
        <v>78</v>
      </c>
      <c r="CB207" s="9" t="s">
        <v>77</v>
      </c>
      <c r="CC207" s="9" t="s">
        <v>80</v>
      </c>
      <c r="CD207" s="9" t="s">
        <v>77</v>
      </c>
      <c r="CE207" s="9" t="s">
        <v>77</v>
      </c>
      <c r="CF207" s="9" t="s">
        <v>77</v>
      </c>
      <c r="CG207" s="9" t="s">
        <v>80</v>
      </c>
      <c r="CH207" s="9" t="s">
        <v>348</v>
      </c>
      <c r="CI207" s="9" t="s">
        <v>885</v>
      </c>
      <c r="CJ207" s="9" t="s">
        <v>80</v>
      </c>
      <c r="CK207" s="9" t="s">
        <v>348</v>
      </c>
      <c r="CL207" s="9" t="s">
        <v>885</v>
      </c>
      <c r="CM207" s="9" t="s">
        <v>77</v>
      </c>
      <c r="CN207" s="9" t="s">
        <v>77</v>
      </c>
      <c r="CO207" s="9" t="s">
        <v>78</v>
      </c>
      <c r="CS207" s="9" t="s">
        <v>80</v>
      </c>
      <c r="CT207" s="9" t="s">
        <v>348</v>
      </c>
      <c r="CU207" s="9" t="s">
        <v>884</v>
      </c>
      <c r="CV207" s="9" t="s">
        <v>80</v>
      </c>
      <c r="CW207" s="9" t="s">
        <v>348</v>
      </c>
      <c r="CX207" s="9" t="s">
        <v>884</v>
      </c>
      <c r="CY207" s="9" t="s">
        <v>77</v>
      </c>
      <c r="CZ207" s="9" t="s">
        <v>77</v>
      </c>
      <c r="DA207" s="9" t="s">
        <v>78</v>
      </c>
      <c r="DE207" s="9" t="s">
        <v>77</v>
      </c>
      <c r="DF207" s="9" t="s">
        <v>78</v>
      </c>
      <c r="DG207" s="9" t="s">
        <v>78</v>
      </c>
      <c r="DH207" s="9" t="s">
        <v>78</v>
      </c>
      <c r="DI207" s="9" t="s">
        <v>884</v>
      </c>
      <c r="DJ207" s="9" t="s">
        <v>77</v>
      </c>
      <c r="DK207" s="9" t="s">
        <v>77</v>
      </c>
      <c r="DN207" s="9" t="s">
        <v>77</v>
      </c>
      <c r="DO207" s="9" t="s">
        <v>77</v>
      </c>
      <c r="DP207" s="9" t="s">
        <v>80</v>
      </c>
      <c r="DQ207" s="9" t="s">
        <v>438</v>
      </c>
      <c r="DR207" s="9" t="s">
        <v>77</v>
      </c>
      <c r="DS207" s="9" t="s">
        <v>78</v>
      </c>
      <c r="DT207" s="9" t="s">
        <v>349</v>
      </c>
      <c r="DU207" s="9" t="s">
        <v>78</v>
      </c>
      <c r="DV207" s="9" t="s">
        <v>77</v>
      </c>
      <c r="DZ207" s="9" t="s">
        <v>77</v>
      </c>
      <c r="EA207" s="9" t="s">
        <v>77</v>
      </c>
      <c r="EB207" s="9" t="s">
        <v>80</v>
      </c>
      <c r="EC207" s="9" t="s">
        <v>438</v>
      </c>
      <c r="ED207" s="9" t="s">
        <v>77</v>
      </c>
      <c r="EE207" s="9" t="s">
        <v>78</v>
      </c>
      <c r="EF207" s="9" t="s">
        <v>349</v>
      </c>
      <c r="EG207" s="9" t="s">
        <v>78</v>
      </c>
      <c r="EH207" s="9" t="s">
        <v>77</v>
      </c>
      <c r="EL207" s="9" t="s">
        <v>77</v>
      </c>
      <c r="EM207" s="9" t="s">
        <v>77</v>
      </c>
      <c r="EN207" s="9" t="s">
        <v>80</v>
      </c>
      <c r="EO207" s="9" t="s">
        <v>438</v>
      </c>
      <c r="EP207" s="9" t="s">
        <v>77</v>
      </c>
      <c r="EQ207" s="9" t="s">
        <v>78</v>
      </c>
      <c r="ER207" s="9" t="s">
        <v>349</v>
      </c>
      <c r="ES207" s="9" t="s">
        <v>78</v>
      </c>
      <c r="ET207" s="9" t="s">
        <v>77</v>
      </c>
      <c r="EX207" s="9" t="s">
        <v>77</v>
      </c>
      <c r="EY207" s="9" t="s">
        <v>77</v>
      </c>
      <c r="EZ207" s="9" t="s">
        <v>80</v>
      </c>
      <c r="FA207" s="9" t="s">
        <v>438</v>
      </c>
      <c r="FB207" s="9" t="s">
        <v>77</v>
      </c>
      <c r="FC207" s="9" t="s">
        <v>78</v>
      </c>
      <c r="FD207" s="9" t="s">
        <v>349</v>
      </c>
      <c r="FE207" s="9" t="s">
        <v>78</v>
      </c>
      <c r="FF207" s="9" t="s">
        <v>77</v>
      </c>
    </row>
    <row r="208" spans="50:162">
      <c r="AX208" s="9" t="s">
        <v>77</v>
      </c>
      <c r="AY208" s="9" t="s">
        <v>77</v>
      </c>
      <c r="AZ208" s="9" t="s">
        <v>80</v>
      </c>
      <c r="BA208" s="9" t="s">
        <v>438</v>
      </c>
      <c r="BB208" s="9" t="s">
        <v>79</v>
      </c>
      <c r="BC208" s="9" t="s">
        <v>78</v>
      </c>
      <c r="BD208" s="9" t="s">
        <v>349</v>
      </c>
      <c r="BE208" s="9" t="s">
        <v>78</v>
      </c>
      <c r="BF208" s="9" t="s">
        <v>77</v>
      </c>
      <c r="BI208" s="9" t="s">
        <v>77</v>
      </c>
      <c r="BJ208" s="9" t="s">
        <v>80</v>
      </c>
      <c r="BK208" s="9" t="s">
        <v>348</v>
      </c>
      <c r="BL208" s="9" t="s">
        <v>886</v>
      </c>
      <c r="BM208" s="9" t="s">
        <v>80</v>
      </c>
      <c r="BN208" s="9" t="s">
        <v>348</v>
      </c>
      <c r="BO208" s="9" t="s">
        <v>886</v>
      </c>
      <c r="BP208" s="9" t="s">
        <v>77</v>
      </c>
      <c r="BQ208" s="9" t="s">
        <v>77</v>
      </c>
      <c r="BR208" s="9" t="s">
        <v>77</v>
      </c>
      <c r="BS208" s="9" t="s">
        <v>77</v>
      </c>
      <c r="BT208" s="9" t="s">
        <v>77</v>
      </c>
      <c r="BU208" s="9" t="s">
        <v>77</v>
      </c>
      <c r="BV208" s="9" t="s">
        <v>78</v>
      </c>
      <c r="BW208" s="9" t="s">
        <v>78</v>
      </c>
      <c r="BX208" s="9" t="s">
        <v>78</v>
      </c>
      <c r="CB208" s="9" t="s">
        <v>77</v>
      </c>
      <c r="CC208" s="9" t="s">
        <v>80</v>
      </c>
      <c r="CD208" s="9" t="s">
        <v>77</v>
      </c>
      <c r="CE208" s="9" t="s">
        <v>77</v>
      </c>
      <c r="CF208" s="9" t="s">
        <v>77</v>
      </c>
      <c r="CG208" s="9" t="s">
        <v>80</v>
      </c>
      <c r="CH208" s="9" t="s">
        <v>348</v>
      </c>
      <c r="CI208" s="9" t="s">
        <v>887</v>
      </c>
      <c r="CJ208" s="9" t="s">
        <v>80</v>
      </c>
      <c r="CK208" s="9" t="s">
        <v>348</v>
      </c>
      <c r="CL208" s="9" t="s">
        <v>887</v>
      </c>
      <c r="CM208" s="9" t="s">
        <v>77</v>
      </c>
      <c r="CN208" s="9" t="s">
        <v>77</v>
      </c>
      <c r="CO208" s="9" t="s">
        <v>78</v>
      </c>
      <c r="CS208" s="9" t="s">
        <v>80</v>
      </c>
      <c r="CT208" s="9" t="s">
        <v>348</v>
      </c>
      <c r="CU208" s="9" t="s">
        <v>886</v>
      </c>
      <c r="CV208" s="9" t="s">
        <v>80</v>
      </c>
      <c r="CW208" s="9" t="s">
        <v>348</v>
      </c>
      <c r="CX208" s="9" t="s">
        <v>886</v>
      </c>
      <c r="CY208" s="9" t="s">
        <v>77</v>
      </c>
      <c r="CZ208" s="9" t="s">
        <v>77</v>
      </c>
      <c r="DA208" s="9" t="s">
        <v>78</v>
      </c>
      <c r="DE208" s="9" t="s">
        <v>77</v>
      </c>
      <c r="DF208" s="9" t="s">
        <v>78</v>
      </c>
      <c r="DG208" s="9" t="s">
        <v>78</v>
      </c>
      <c r="DH208" s="9" t="s">
        <v>78</v>
      </c>
      <c r="DI208" s="9" t="s">
        <v>888</v>
      </c>
      <c r="DJ208" s="9" t="s">
        <v>77</v>
      </c>
      <c r="DK208" s="9" t="s">
        <v>77</v>
      </c>
      <c r="DN208" s="9" t="s">
        <v>77</v>
      </c>
      <c r="DO208" s="9" t="s">
        <v>77</v>
      </c>
      <c r="DP208" s="9" t="s">
        <v>80</v>
      </c>
      <c r="DQ208" s="9" t="s">
        <v>438</v>
      </c>
      <c r="DR208" s="9" t="s">
        <v>77</v>
      </c>
      <c r="DS208" s="9" t="s">
        <v>78</v>
      </c>
      <c r="DT208" s="9" t="s">
        <v>349</v>
      </c>
      <c r="DU208" s="9" t="s">
        <v>78</v>
      </c>
      <c r="DV208" s="9" t="s">
        <v>77</v>
      </c>
      <c r="DZ208" s="9" t="s">
        <v>77</v>
      </c>
      <c r="EA208" s="9" t="s">
        <v>77</v>
      </c>
      <c r="EB208" s="9" t="s">
        <v>80</v>
      </c>
      <c r="EC208" s="9" t="s">
        <v>438</v>
      </c>
      <c r="ED208" s="9" t="s">
        <v>77</v>
      </c>
      <c r="EE208" s="9" t="s">
        <v>78</v>
      </c>
      <c r="EF208" s="9" t="s">
        <v>349</v>
      </c>
      <c r="EG208" s="9" t="s">
        <v>78</v>
      </c>
      <c r="EH208" s="9" t="s">
        <v>77</v>
      </c>
      <c r="EL208" s="9" t="s">
        <v>77</v>
      </c>
      <c r="EM208" s="9" t="s">
        <v>77</v>
      </c>
      <c r="EN208" s="9" t="s">
        <v>80</v>
      </c>
      <c r="EO208" s="9" t="s">
        <v>438</v>
      </c>
      <c r="EP208" s="9" t="s">
        <v>77</v>
      </c>
      <c r="EQ208" s="9" t="s">
        <v>78</v>
      </c>
      <c r="ER208" s="9" t="s">
        <v>349</v>
      </c>
      <c r="ES208" s="9" t="s">
        <v>78</v>
      </c>
      <c r="ET208" s="9" t="s">
        <v>77</v>
      </c>
      <c r="EX208" s="9" t="s">
        <v>77</v>
      </c>
      <c r="EY208" s="9" t="s">
        <v>77</v>
      </c>
      <c r="EZ208" s="9" t="s">
        <v>80</v>
      </c>
      <c r="FA208" s="9" t="s">
        <v>438</v>
      </c>
      <c r="FB208" s="9" t="s">
        <v>77</v>
      </c>
      <c r="FC208" s="9" t="s">
        <v>78</v>
      </c>
      <c r="FD208" s="9" t="s">
        <v>349</v>
      </c>
      <c r="FE208" s="9" t="s">
        <v>78</v>
      </c>
      <c r="FF208" s="9" t="s">
        <v>77</v>
      </c>
    </row>
    <row r="209" spans="50:162">
      <c r="AX209" s="9" t="s">
        <v>77</v>
      </c>
      <c r="AY209" s="9" t="s">
        <v>77</v>
      </c>
      <c r="AZ209" s="9" t="s">
        <v>80</v>
      </c>
      <c r="BA209" s="9" t="s">
        <v>438</v>
      </c>
      <c r="BB209" s="9" t="s">
        <v>79</v>
      </c>
      <c r="BC209" s="9" t="s">
        <v>78</v>
      </c>
      <c r="BD209" s="9" t="s">
        <v>349</v>
      </c>
      <c r="BE209" s="9" t="s">
        <v>78</v>
      </c>
      <c r="BF209" s="9" t="s">
        <v>77</v>
      </c>
      <c r="BI209" s="9" t="s">
        <v>77</v>
      </c>
      <c r="BJ209" s="9" t="s">
        <v>80</v>
      </c>
      <c r="BK209" s="9" t="s">
        <v>348</v>
      </c>
      <c r="BL209" s="9" t="s">
        <v>889</v>
      </c>
      <c r="BM209" s="9" t="s">
        <v>80</v>
      </c>
      <c r="BN209" s="9" t="s">
        <v>348</v>
      </c>
      <c r="BO209" s="9" t="s">
        <v>889</v>
      </c>
      <c r="BP209" s="9" t="s">
        <v>77</v>
      </c>
      <c r="BQ209" s="9" t="s">
        <v>77</v>
      </c>
      <c r="BR209" s="9" t="s">
        <v>77</v>
      </c>
      <c r="BS209" s="9" t="s">
        <v>77</v>
      </c>
      <c r="BT209" s="9" t="s">
        <v>77</v>
      </c>
      <c r="BU209" s="9" t="s">
        <v>77</v>
      </c>
      <c r="BV209" s="9" t="s">
        <v>78</v>
      </c>
      <c r="BW209" s="9" t="s">
        <v>78</v>
      </c>
      <c r="BX209" s="9" t="s">
        <v>78</v>
      </c>
      <c r="CB209" s="9" t="s">
        <v>77</v>
      </c>
      <c r="CC209" s="9" t="s">
        <v>80</v>
      </c>
      <c r="CD209" s="9" t="s">
        <v>77</v>
      </c>
      <c r="CE209" s="9" t="s">
        <v>77</v>
      </c>
      <c r="CF209" s="9" t="s">
        <v>77</v>
      </c>
      <c r="CG209" s="9" t="s">
        <v>80</v>
      </c>
      <c r="CH209" s="9" t="s">
        <v>348</v>
      </c>
      <c r="CI209" s="9" t="s">
        <v>890</v>
      </c>
      <c r="CJ209" s="9" t="s">
        <v>80</v>
      </c>
      <c r="CK209" s="9" t="s">
        <v>348</v>
      </c>
      <c r="CL209" s="9" t="s">
        <v>890</v>
      </c>
      <c r="CM209" s="9" t="s">
        <v>77</v>
      </c>
      <c r="CN209" s="9" t="s">
        <v>77</v>
      </c>
      <c r="CO209" s="9" t="s">
        <v>78</v>
      </c>
      <c r="CS209" s="9" t="s">
        <v>80</v>
      </c>
      <c r="CT209" s="9" t="s">
        <v>348</v>
      </c>
      <c r="CU209" s="9" t="s">
        <v>891</v>
      </c>
      <c r="CV209" s="9" t="s">
        <v>80</v>
      </c>
      <c r="CW209" s="9" t="s">
        <v>348</v>
      </c>
      <c r="CX209" s="9" t="s">
        <v>891</v>
      </c>
      <c r="CY209" s="9" t="s">
        <v>77</v>
      </c>
      <c r="CZ209" s="9" t="s">
        <v>77</v>
      </c>
      <c r="DA209" s="9" t="s">
        <v>78</v>
      </c>
      <c r="DE209" s="9" t="s">
        <v>77</v>
      </c>
      <c r="DF209" s="9" t="s">
        <v>78</v>
      </c>
      <c r="DG209" s="9" t="s">
        <v>78</v>
      </c>
      <c r="DH209" s="9" t="s">
        <v>78</v>
      </c>
      <c r="DI209" s="9" t="s">
        <v>892</v>
      </c>
      <c r="DJ209" s="9" t="s">
        <v>77</v>
      </c>
      <c r="DK209" s="9" t="s">
        <v>77</v>
      </c>
      <c r="DN209" s="9" t="s">
        <v>77</v>
      </c>
      <c r="DO209" s="9" t="s">
        <v>77</v>
      </c>
      <c r="DP209" s="9" t="s">
        <v>80</v>
      </c>
      <c r="DQ209" s="9" t="s">
        <v>438</v>
      </c>
      <c r="DR209" s="9" t="s">
        <v>77</v>
      </c>
      <c r="DS209" s="9" t="s">
        <v>78</v>
      </c>
      <c r="DT209" s="9" t="s">
        <v>349</v>
      </c>
      <c r="DU209" s="9" t="s">
        <v>78</v>
      </c>
      <c r="DV209" s="9" t="s">
        <v>77</v>
      </c>
      <c r="DZ209" s="9" t="s">
        <v>77</v>
      </c>
      <c r="EA209" s="9" t="s">
        <v>77</v>
      </c>
      <c r="EB209" s="9" t="s">
        <v>80</v>
      </c>
      <c r="EC209" s="9" t="s">
        <v>438</v>
      </c>
      <c r="ED209" s="9" t="s">
        <v>77</v>
      </c>
      <c r="EE209" s="9" t="s">
        <v>78</v>
      </c>
      <c r="EF209" s="9" t="s">
        <v>349</v>
      </c>
      <c r="EG209" s="9" t="s">
        <v>78</v>
      </c>
      <c r="EH209" s="9" t="s">
        <v>77</v>
      </c>
      <c r="EL209" s="9" t="s">
        <v>77</v>
      </c>
      <c r="EM209" s="9" t="s">
        <v>77</v>
      </c>
      <c r="EN209" s="9" t="s">
        <v>80</v>
      </c>
      <c r="EO209" s="9" t="s">
        <v>438</v>
      </c>
      <c r="EP209" s="9" t="s">
        <v>77</v>
      </c>
      <c r="EQ209" s="9" t="s">
        <v>78</v>
      </c>
      <c r="ER209" s="9" t="s">
        <v>349</v>
      </c>
      <c r="ES209" s="9" t="s">
        <v>78</v>
      </c>
      <c r="ET209" s="9" t="s">
        <v>77</v>
      </c>
      <c r="EX209" s="9" t="s">
        <v>77</v>
      </c>
      <c r="EY209" s="9" t="s">
        <v>77</v>
      </c>
      <c r="EZ209" s="9" t="s">
        <v>80</v>
      </c>
      <c r="FA209" s="9" t="s">
        <v>438</v>
      </c>
      <c r="FB209" s="9" t="s">
        <v>77</v>
      </c>
      <c r="FC209" s="9" t="s">
        <v>78</v>
      </c>
      <c r="FD209" s="9" t="s">
        <v>349</v>
      </c>
      <c r="FE209" s="9" t="s">
        <v>78</v>
      </c>
      <c r="FF209" s="9" t="s">
        <v>77</v>
      </c>
    </row>
    <row r="210" spans="50:162">
      <c r="AX210" s="9" t="s">
        <v>77</v>
      </c>
      <c r="AY210" s="9" t="s">
        <v>77</v>
      </c>
      <c r="AZ210" s="9" t="s">
        <v>80</v>
      </c>
      <c r="BA210" s="9" t="s">
        <v>438</v>
      </c>
      <c r="BB210" s="9" t="s">
        <v>79</v>
      </c>
      <c r="BC210" s="9" t="s">
        <v>78</v>
      </c>
      <c r="BD210" s="9" t="s">
        <v>349</v>
      </c>
      <c r="BE210" s="9" t="s">
        <v>78</v>
      </c>
      <c r="BF210" s="9" t="s">
        <v>77</v>
      </c>
      <c r="BI210" s="9" t="s">
        <v>77</v>
      </c>
      <c r="BJ210" s="9" t="s">
        <v>80</v>
      </c>
      <c r="BK210" s="9" t="s">
        <v>348</v>
      </c>
      <c r="BL210" s="9" t="s">
        <v>893</v>
      </c>
      <c r="BM210" s="9" t="s">
        <v>80</v>
      </c>
      <c r="BN210" s="9" t="s">
        <v>348</v>
      </c>
      <c r="BO210" s="9" t="s">
        <v>893</v>
      </c>
      <c r="BP210" s="9" t="s">
        <v>77</v>
      </c>
      <c r="BQ210" s="9" t="s">
        <v>77</v>
      </c>
      <c r="BR210" s="9" t="s">
        <v>77</v>
      </c>
      <c r="BS210" s="9" t="s">
        <v>77</v>
      </c>
      <c r="BT210" s="9" t="s">
        <v>77</v>
      </c>
      <c r="BU210" s="9" t="s">
        <v>77</v>
      </c>
      <c r="BV210" s="9" t="s">
        <v>78</v>
      </c>
      <c r="BW210" s="9" t="s">
        <v>78</v>
      </c>
      <c r="BX210" s="9" t="s">
        <v>78</v>
      </c>
      <c r="CB210" s="9" t="s">
        <v>77</v>
      </c>
      <c r="CC210" s="9" t="s">
        <v>80</v>
      </c>
      <c r="CD210" s="9" t="s">
        <v>77</v>
      </c>
      <c r="CE210" s="9" t="s">
        <v>77</v>
      </c>
      <c r="CF210" s="9" t="s">
        <v>77</v>
      </c>
      <c r="CG210" s="9" t="s">
        <v>80</v>
      </c>
      <c r="CH210" s="9" t="s">
        <v>348</v>
      </c>
      <c r="CI210" s="9" t="s">
        <v>894</v>
      </c>
      <c r="CJ210" s="9" t="s">
        <v>80</v>
      </c>
      <c r="CK210" s="9" t="s">
        <v>348</v>
      </c>
      <c r="CL210" s="9" t="s">
        <v>894</v>
      </c>
      <c r="CM210" s="9" t="s">
        <v>77</v>
      </c>
      <c r="CN210" s="9" t="s">
        <v>77</v>
      </c>
      <c r="CO210" s="9" t="s">
        <v>78</v>
      </c>
      <c r="CS210" s="9" t="s">
        <v>80</v>
      </c>
      <c r="CT210" s="9" t="s">
        <v>348</v>
      </c>
      <c r="CU210" s="9" t="s">
        <v>894</v>
      </c>
      <c r="CV210" s="9" t="s">
        <v>80</v>
      </c>
      <c r="CW210" s="9" t="s">
        <v>348</v>
      </c>
      <c r="CX210" s="9" t="s">
        <v>894</v>
      </c>
      <c r="CY210" s="9" t="s">
        <v>77</v>
      </c>
      <c r="CZ210" s="9" t="s">
        <v>77</v>
      </c>
      <c r="DA210" s="9" t="s">
        <v>78</v>
      </c>
      <c r="DE210" s="9" t="s">
        <v>77</v>
      </c>
      <c r="DF210" s="9" t="s">
        <v>78</v>
      </c>
      <c r="DG210" s="9" t="s">
        <v>78</v>
      </c>
      <c r="DH210" s="9" t="s">
        <v>78</v>
      </c>
      <c r="DI210" s="9" t="s">
        <v>893</v>
      </c>
      <c r="DJ210" s="9" t="s">
        <v>77</v>
      </c>
      <c r="DK210" s="9" t="s">
        <v>77</v>
      </c>
      <c r="DN210" s="9" t="s">
        <v>77</v>
      </c>
      <c r="DO210" s="9" t="s">
        <v>77</v>
      </c>
      <c r="DP210" s="9" t="s">
        <v>80</v>
      </c>
      <c r="DQ210" s="9" t="s">
        <v>438</v>
      </c>
      <c r="DR210" s="9" t="s">
        <v>77</v>
      </c>
      <c r="DS210" s="9" t="s">
        <v>78</v>
      </c>
      <c r="DT210" s="9" t="s">
        <v>349</v>
      </c>
      <c r="DU210" s="9" t="s">
        <v>78</v>
      </c>
      <c r="DV210" s="9" t="s">
        <v>77</v>
      </c>
      <c r="DZ210" s="9" t="s">
        <v>77</v>
      </c>
      <c r="EA210" s="9" t="s">
        <v>77</v>
      </c>
      <c r="EB210" s="9" t="s">
        <v>80</v>
      </c>
      <c r="EC210" s="9" t="s">
        <v>438</v>
      </c>
      <c r="ED210" s="9" t="s">
        <v>77</v>
      </c>
      <c r="EE210" s="9" t="s">
        <v>78</v>
      </c>
      <c r="EF210" s="9" t="s">
        <v>349</v>
      </c>
      <c r="EG210" s="9" t="s">
        <v>78</v>
      </c>
      <c r="EH210" s="9" t="s">
        <v>77</v>
      </c>
      <c r="EL210" s="9" t="s">
        <v>77</v>
      </c>
      <c r="EM210" s="9" t="s">
        <v>77</v>
      </c>
      <c r="EN210" s="9" t="s">
        <v>80</v>
      </c>
      <c r="EO210" s="9" t="s">
        <v>438</v>
      </c>
      <c r="EP210" s="9" t="s">
        <v>77</v>
      </c>
      <c r="EQ210" s="9" t="s">
        <v>78</v>
      </c>
      <c r="ER210" s="9" t="s">
        <v>349</v>
      </c>
      <c r="ES210" s="9" t="s">
        <v>78</v>
      </c>
      <c r="ET210" s="9" t="s">
        <v>77</v>
      </c>
      <c r="EX210" s="9" t="s">
        <v>77</v>
      </c>
      <c r="EY210" s="9" t="s">
        <v>77</v>
      </c>
      <c r="EZ210" s="9" t="s">
        <v>80</v>
      </c>
      <c r="FA210" s="9" t="s">
        <v>438</v>
      </c>
      <c r="FB210" s="9" t="s">
        <v>77</v>
      </c>
      <c r="FC210" s="9" t="s">
        <v>78</v>
      </c>
      <c r="FD210" s="9" t="s">
        <v>349</v>
      </c>
      <c r="FE210" s="9" t="s">
        <v>78</v>
      </c>
      <c r="FF210" s="9" t="s">
        <v>77</v>
      </c>
    </row>
    <row r="211" spans="50:162">
      <c r="AX211" s="9" t="s">
        <v>77</v>
      </c>
      <c r="AY211" s="9" t="s">
        <v>77</v>
      </c>
      <c r="AZ211" s="9" t="s">
        <v>80</v>
      </c>
      <c r="BA211" s="9" t="s">
        <v>438</v>
      </c>
      <c r="BB211" s="9" t="s">
        <v>79</v>
      </c>
      <c r="BC211" s="9" t="s">
        <v>78</v>
      </c>
      <c r="BD211" s="9" t="s">
        <v>349</v>
      </c>
      <c r="BE211" s="9" t="s">
        <v>78</v>
      </c>
      <c r="BF211" s="9" t="s">
        <v>77</v>
      </c>
      <c r="BI211" s="9" t="s">
        <v>77</v>
      </c>
      <c r="BJ211" s="9" t="s">
        <v>80</v>
      </c>
      <c r="BK211" s="9" t="s">
        <v>348</v>
      </c>
      <c r="BL211" s="9" t="s">
        <v>895</v>
      </c>
      <c r="BM211" s="9" t="s">
        <v>80</v>
      </c>
      <c r="BN211" s="9" t="s">
        <v>348</v>
      </c>
      <c r="BO211" s="9" t="s">
        <v>895</v>
      </c>
      <c r="BP211" s="9" t="s">
        <v>77</v>
      </c>
      <c r="BQ211" s="9" t="s">
        <v>77</v>
      </c>
      <c r="BR211" s="9" t="s">
        <v>77</v>
      </c>
      <c r="BS211" s="9" t="s">
        <v>77</v>
      </c>
      <c r="BT211" s="9" t="s">
        <v>77</v>
      </c>
      <c r="BU211" s="9" t="s">
        <v>77</v>
      </c>
      <c r="BV211" s="9" t="s">
        <v>78</v>
      </c>
      <c r="BW211" s="9" t="s">
        <v>78</v>
      </c>
      <c r="BX211" s="9" t="s">
        <v>78</v>
      </c>
      <c r="CB211" s="9" t="s">
        <v>77</v>
      </c>
      <c r="CC211" s="9" t="s">
        <v>80</v>
      </c>
      <c r="CD211" s="9" t="s">
        <v>77</v>
      </c>
      <c r="CE211" s="9" t="s">
        <v>77</v>
      </c>
      <c r="CF211" s="9" t="s">
        <v>77</v>
      </c>
      <c r="CG211" s="9" t="s">
        <v>80</v>
      </c>
      <c r="CH211" s="9" t="s">
        <v>348</v>
      </c>
      <c r="CI211" s="9" t="s">
        <v>895</v>
      </c>
      <c r="CJ211" s="9" t="s">
        <v>80</v>
      </c>
      <c r="CK211" s="9" t="s">
        <v>348</v>
      </c>
      <c r="CL211" s="9" t="s">
        <v>895</v>
      </c>
      <c r="CM211" s="9" t="s">
        <v>77</v>
      </c>
      <c r="CN211" s="9" t="s">
        <v>77</v>
      </c>
      <c r="CO211" s="9" t="s">
        <v>78</v>
      </c>
      <c r="CS211" s="9" t="s">
        <v>80</v>
      </c>
      <c r="CT211" s="9" t="s">
        <v>348</v>
      </c>
      <c r="CU211" s="9" t="s">
        <v>895</v>
      </c>
      <c r="CV211" s="9" t="s">
        <v>80</v>
      </c>
      <c r="CW211" s="9" t="s">
        <v>348</v>
      </c>
      <c r="CX211" s="9" t="s">
        <v>895</v>
      </c>
      <c r="CY211" s="9" t="s">
        <v>77</v>
      </c>
      <c r="CZ211" s="9" t="s">
        <v>77</v>
      </c>
      <c r="DA211" s="9" t="s">
        <v>78</v>
      </c>
      <c r="DE211" s="9" t="s">
        <v>77</v>
      </c>
      <c r="DF211" s="9" t="s">
        <v>78</v>
      </c>
      <c r="DG211" s="9" t="s">
        <v>78</v>
      </c>
      <c r="DH211" s="9" t="s">
        <v>78</v>
      </c>
      <c r="DI211" s="9" t="s">
        <v>896</v>
      </c>
      <c r="DJ211" s="9" t="s">
        <v>77</v>
      </c>
      <c r="DK211" s="9" t="s">
        <v>77</v>
      </c>
      <c r="DN211" s="9" t="s">
        <v>77</v>
      </c>
      <c r="DO211" s="9" t="s">
        <v>77</v>
      </c>
      <c r="DP211" s="9" t="s">
        <v>80</v>
      </c>
      <c r="DQ211" s="9" t="s">
        <v>438</v>
      </c>
      <c r="DR211" s="9" t="s">
        <v>77</v>
      </c>
      <c r="DS211" s="9" t="s">
        <v>78</v>
      </c>
      <c r="DT211" s="9" t="s">
        <v>349</v>
      </c>
      <c r="DU211" s="9" t="s">
        <v>78</v>
      </c>
      <c r="DV211" s="9" t="s">
        <v>77</v>
      </c>
      <c r="DZ211" s="9" t="s">
        <v>77</v>
      </c>
      <c r="EA211" s="9" t="s">
        <v>77</v>
      </c>
      <c r="EB211" s="9" t="s">
        <v>80</v>
      </c>
      <c r="EC211" s="9" t="s">
        <v>438</v>
      </c>
      <c r="ED211" s="9" t="s">
        <v>77</v>
      </c>
      <c r="EE211" s="9" t="s">
        <v>78</v>
      </c>
      <c r="EF211" s="9" t="s">
        <v>349</v>
      </c>
      <c r="EG211" s="9" t="s">
        <v>78</v>
      </c>
      <c r="EH211" s="9" t="s">
        <v>77</v>
      </c>
      <c r="EL211" s="9" t="s">
        <v>77</v>
      </c>
      <c r="EM211" s="9" t="s">
        <v>77</v>
      </c>
      <c r="EN211" s="9" t="s">
        <v>80</v>
      </c>
      <c r="EO211" s="9" t="s">
        <v>438</v>
      </c>
      <c r="EP211" s="9" t="s">
        <v>77</v>
      </c>
      <c r="EQ211" s="9" t="s">
        <v>78</v>
      </c>
      <c r="ER211" s="9" t="s">
        <v>349</v>
      </c>
      <c r="ES211" s="9" t="s">
        <v>78</v>
      </c>
      <c r="ET211" s="9" t="s">
        <v>77</v>
      </c>
      <c r="EX211" s="9" t="s">
        <v>77</v>
      </c>
      <c r="EY211" s="9" t="s">
        <v>77</v>
      </c>
      <c r="EZ211" s="9" t="s">
        <v>80</v>
      </c>
      <c r="FA211" s="9" t="s">
        <v>438</v>
      </c>
      <c r="FB211" s="9" t="s">
        <v>77</v>
      </c>
      <c r="FC211" s="9" t="s">
        <v>78</v>
      </c>
      <c r="FD211" s="9" t="s">
        <v>349</v>
      </c>
      <c r="FE211" s="9" t="s">
        <v>78</v>
      </c>
      <c r="FF211" s="9" t="s">
        <v>77</v>
      </c>
    </row>
    <row r="212" spans="50:162">
      <c r="AX212" s="9" t="s">
        <v>77</v>
      </c>
      <c r="AY212" s="9" t="s">
        <v>77</v>
      </c>
      <c r="AZ212" s="9" t="s">
        <v>80</v>
      </c>
      <c r="BA212" s="9" t="s">
        <v>438</v>
      </c>
      <c r="BB212" s="9" t="s">
        <v>79</v>
      </c>
      <c r="BC212" s="9" t="s">
        <v>78</v>
      </c>
      <c r="BD212" s="9" t="s">
        <v>349</v>
      </c>
      <c r="BE212" s="9" t="s">
        <v>78</v>
      </c>
      <c r="BF212" s="9" t="s">
        <v>77</v>
      </c>
      <c r="BI212" s="9" t="s">
        <v>77</v>
      </c>
      <c r="BJ212" s="9" t="s">
        <v>80</v>
      </c>
      <c r="BK212" s="9" t="s">
        <v>348</v>
      </c>
      <c r="BL212" s="9" t="s">
        <v>897</v>
      </c>
      <c r="BM212" s="9" t="s">
        <v>80</v>
      </c>
      <c r="BN212" s="9" t="s">
        <v>348</v>
      </c>
      <c r="BO212" s="9" t="s">
        <v>897</v>
      </c>
      <c r="BP212" s="9" t="s">
        <v>77</v>
      </c>
      <c r="BQ212" s="9" t="s">
        <v>77</v>
      </c>
      <c r="BR212" s="9" t="s">
        <v>77</v>
      </c>
      <c r="BS212" s="9" t="s">
        <v>77</v>
      </c>
      <c r="BT212" s="9" t="s">
        <v>77</v>
      </c>
      <c r="BU212" s="9" t="s">
        <v>77</v>
      </c>
      <c r="BV212" s="9" t="s">
        <v>78</v>
      </c>
      <c r="BW212" s="9" t="s">
        <v>78</v>
      </c>
      <c r="BX212" s="9" t="s">
        <v>78</v>
      </c>
      <c r="CB212" s="9" t="s">
        <v>77</v>
      </c>
      <c r="CC212" s="9" t="s">
        <v>80</v>
      </c>
      <c r="CD212" s="9" t="s">
        <v>77</v>
      </c>
      <c r="CE212" s="9" t="s">
        <v>77</v>
      </c>
      <c r="CF212" s="9" t="s">
        <v>77</v>
      </c>
      <c r="CG212" s="9" t="s">
        <v>80</v>
      </c>
      <c r="CH212" s="9" t="s">
        <v>348</v>
      </c>
      <c r="CI212" s="9" t="s">
        <v>898</v>
      </c>
      <c r="CJ212" s="9" t="s">
        <v>80</v>
      </c>
      <c r="CK212" s="9" t="s">
        <v>348</v>
      </c>
      <c r="CL212" s="9" t="s">
        <v>898</v>
      </c>
      <c r="CM212" s="9" t="s">
        <v>77</v>
      </c>
      <c r="CN212" s="9" t="s">
        <v>77</v>
      </c>
      <c r="CO212" s="9" t="s">
        <v>78</v>
      </c>
      <c r="CS212" s="9" t="s">
        <v>80</v>
      </c>
      <c r="CT212" s="9" t="s">
        <v>348</v>
      </c>
      <c r="CU212" s="9" t="s">
        <v>897</v>
      </c>
      <c r="CV212" s="9" t="s">
        <v>80</v>
      </c>
      <c r="CW212" s="9" t="s">
        <v>348</v>
      </c>
      <c r="CX212" s="9" t="s">
        <v>897</v>
      </c>
      <c r="CY212" s="9" t="s">
        <v>77</v>
      </c>
      <c r="CZ212" s="9" t="s">
        <v>77</v>
      </c>
      <c r="DA212" s="9" t="s">
        <v>78</v>
      </c>
      <c r="DE212" s="9" t="s">
        <v>77</v>
      </c>
      <c r="DF212" s="9" t="s">
        <v>78</v>
      </c>
      <c r="DG212" s="9" t="s">
        <v>78</v>
      </c>
      <c r="DH212" s="9" t="s">
        <v>78</v>
      </c>
      <c r="DI212" s="9" t="s">
        <v>897</v>
      </c>
      <c r="DJ212" s="9" t="s">
        <v>77</v>
      </c>
      <c r="DK212" s="9" t="s">
        <v>77</v>
      </c>
      <c r="DN212" s="9" t="s">
        <v>77</v>
      </c>
      <c r="DO212" s="9" t="s">
        <v>77</v>
      </c>
      <c r="DP212" s="9" t="s">
        <v>80</v>
      </c>
      <c r="DQ212" s="9" t="s">
        <v>438</v>
      </c>
      <c r="DR212" s="9" t="s">
        <v>77</v>
      </c>
      <c r="DS212" s="9" t="s">
        <v>78</v>
      </c>
      <c r="DT212" s="9" t="s">
        <v>349</v>
      </c>
      <c r="DU212" s="9" t="s">
        <v>78</v>
      </c>
      <c r="DV212" s="9" t="s">
        <v>77</v>
      </c>
      <c r="DZ212" s="9" t="s">
        <v>77</v>
      </c>
      <c r="EA212" s="9" t="s">
        <v>77</v>
      </c>
      <c r="EB212" s="9" t="s">
        <v>80</v>
      </c>
      <c r="EC212" s="9" t="s">
        <v>438</v>
      </c>
      <c r="ED212" s="9" t="s">
        <v>77</v>
      </c>
      <c r="EE212" s="9" t="s">
        <v>78</v>
      </c>
      <c r="EF212" s="9" t="s">
        <v>349</v>
      </c>
      <c r="EG212" s="9" t="s">
        <v>78</v>
      </c>
      <c r="EH212" s="9" t="s">
        <v>77</v>
      </c>
      <c r="EL212" s="9" t="s">
        <v>77</v>
      </c>
      <c r="EM212" s="9" t="s">
        <v>77</v>
      </c>
      <c r="EN212" s="9" t="s">
        <v>80</v>
      </c>
      <c r="EO212" s="9" t="s">
        <v>438</v>
      </c>
      <c r="EP212" s="9" t="s">
        <v>77</v>
      </c>
      <c r="EQ212" s="9" t="s">
        <v>78</v>
      </c>
      <c r="ER212" s="9" t="s">
        <v>349</v>
      </c>
      <c r="ES212" s="9" t="s">
        <v>78</v>
      </c>
      <c r="ET212" s="9" t="s">
        <v>77</v>
      </c>
      <c r="EX212" s="9" t="s">
        <v>77</v>
      </c>
      <c r="EY212" s="9" t="s">
        <v>77</v>
      </c>
      <c r="EZ212" s="9" t="s">
        <v>80</v>
      </c>
      <c r="FA212" s="9" t="s">
        <v>438</v>
      </c>
      <c r="FB212" s="9" t="s">
        <v>77</v>
      </c>
      <c r="FC212" s="9" t="s">
        <v>78</v>
      </c>
      <c r="FD212" s="9" t="s">
        <v>349</v>
      </c>
      <c r="FE212" s="9" t="s">
        <v>78</v>
      </c>
      <c r="FF212" s="9" t="s">
        <v>77</v>
      </c>
    </row>
    <row r="213" spans="50:162">
      <c r="AX213" s="9" t="s">
        <v>77</v>
      </c>
      <c r="AY213" s="9" t="s">
        <v>77</v>
      </c>
      <c r="AZ213" s="9" t="s">
        <v>80</v>
      </c>
      <c r="BA213" s="9" t="s">
        <v>438</v>
      </c>
      <c r="BB213" s="9" t="s">
        <v>79</v>
      </c>
      <c r="BC213" s="9" t="s">
        <v>78</v>
      </c>
      <c r="BD213" s="9" t="s">
        <v>349</v>
      </c>
      <c r="BE213" s="9" t="s">
        <v>78</v>
      </c>
      <c r="BF213" s="9" t="s">
        <v>77</v>
      </c>
      <c r="BI213" s="9" t="s">
        <v>77</v>
      </c>
      <c r="BJ213" s="9" t="s">
        <v>80</v>
      </c>
      <c r="BK213" s="9" t="s">
        <v>348</v>
      </c>
      <c r="BL213" s="9" t="s">
        <v>899</v>
      </c>
      <c r="BM213" s="9" t="s">
        <v>80</v>
      </c>
      <c r="BN213" s="9" t="s">
        <v>348</v>
      </c>
      <c r="BO213" s="9" t="s">
        <v>899</v>
      </c>
      <c r="BP213" s="9" t="s">
        <v>77</v>
      </c>
      <c r="BQ213" s="9" t="s">
        <v>77</v>
      </c>
      <c r="BR213" s="9" t="s">
        <v>77</v>
      </c>
      <c r="BS213" s="9" t="s">
        <v>77</v>
      </c>
      <c r="BT213" s="9" t="s">
        <v>77</v>
      </c>
      <c r="BU213" s="9" t="s">
        <v>77</v>
      </c>
      <c r="BV213" s="9" t="s">
        <v>78</v>
      </c>
      <c r="BW213" s="9" t="s">
        <v>78</v>
      </c>
      <c r="BX213" s="9" t="s">
        <v>78</v>
      </c>
      <c r="CB213" s="9" t="s">
        <v>77</v>
      </c>
      <c r="CC213" s="9" t="s">
        <v>80</v>
      </c>
      <c r="CD213" s="9" t="s">
        <v>77</v>
      </c>
      <c r="CE213" s="9" t="s">
        <v>77</v>
      </c>
      <c r="CF213" s="9" t="s">
        <v>77</v>
      </c>
      <c r="CG213" s="9" t="s">
        <v>80</v>
      </c>
      <c r="CH213" s="9" t="s">
        <v>348</v>
      </c>
      <c r="CI213" s="9" t="s">
        <v>900</v>
      </c>
      <c r="CJ213" s="9" t="s">
        <v>80</v>
      </c>
      <c r="CK213" s="9" t="s">
        <v>348</v>
      </c>
      <c r="CL213" s="9" t="s">
        <v>900</v>
      </c>
      <c r="CM213" s="9" t="s">
        <v>77</v>
      </c>
      <c r="CN213" s="9" t="s">
        <v>77</v>
      </c>
      <c r="CO213" s="9" t="s">
        <v>78</v>
      </c>
      <c r="CS213" s="9" t="s">
        <v>80</v>
      </c>
      <c r="CT213" s="9" t="s">
        <v>348</v>
      </c>
      <c r="CU213" s="9" t="s">
        <v>899</v>
      </c>
      <c r="CV213" s="9" t="s">
        <v>80</v>
      </c>
      <c r="CW213" s="9" t="s">
        <v>348</v>
      </c>
      <c r="CX213" s="9" t="s">
        <v>899</v>
      </c>
      <c r="CY213" s="9" t="s">
        <v>77</v>
      </c>
      <c r="CZ213" s="9" t="s">
        <v>77</v>
      </c>
      <c r="DA213" s="9" t="s">
        <v>78</v>
      </c>
      <c r="DE213" s="9" t="s">
        <v>77</v>
      </c>
      <c r="DF213" s="9" t="s">
        <v>78</v>
      </c>
      <c r="DG213" s="9" t="s">
        <v>78</v>
      </c>
      <c r="DH213" s="9" t="s">
        <v>78</v>
      </c>
      <c r="DI213" s="9" t="s">
        <v>899</v>
      </c>
      <c r="DJ213" s="9" t="s">
        <v>77</v>
      </c>
      <c r="DK213" s="9" t="s">
        <v>77</v>
      </c>
      <c r="DN213" s="9" t="s">
        <v>77</v>
      </c>
      <c r="DO213" s="9" t="s">
        <v>77</v>
      </c>
      <c r="DP213" s="9" t="s">
        <v>80</v>
      </c>
      <c r="DQ213" s="9" t="s">
        <v>438</v>
      </c>
      <c r="DR213" s="9" t="s">
        <v>77</v>
      </c>
      <c r="DS213" s="9" t="s">
        <v>78</v>
      </c>
      <c r="DT213" s="9" t="s">
        <v>349</v>
      </c>
      <c r="DU213" s="9" t="s">
        <v>78</v>
      </c>
      <c r="DV213" s="9" t="s">
        <v>77</v>
      </c>
      <c r="DZ213" s="9" t="s">
        <v>77</v>
      </c>
      <c r="EA213" s="9" t="s">
        <v>77</v>
      </c>
      <c r="EB213" s="9" t="s">
        <v>80</v>
      </c>
      <c r="EC213" s="9" t="s">
        <v>438</v>
      </c>
      <c r="ED213" s="9" t="s">
        <v>77</v>
      </c>
      <c r="EE213" s="9" t="s">
        <v>78</v>
      </c>
      <c r="EF213" s="9" t="s">
        <v>349</v>
      </c>
      <c r="EG213" s="9" t="s">
        <v>78</v>
      </c>
      <c r="EH213" s="9" t="s">
        <v>77</v>
      </c>
      <c r="EL213" s="9" t="s">
        <v>77</v>
      </c>
      <c r="EM213" s="9" t="s">
        <v>77</v>
      </c>
      <c r="EN213" s="9" t="s">
        <v>80</v>
      </c>
      <c r="EO213" s="9" t="s">
        <v>438</v>
      </c>
      <c r="EP213" s="9" t="s">
        <v>77</v>
      </c>
      <c r="EQ213" s="9" t="s">
        <v>78</v>
      </c>
      <c r="ER213" s="9" t="s">
        <v>349</v>
      </c>
      <c r="ES213" s="9" t="s">
        <v>78</v>
      </c>
      <c r="ET213" s="9" t="s">
        <v>77</v>
      </c>
      <c r="EX213" s="9" t="s">
        <v>77</v>
      </c>
      <c r="EY213" s="9" t="s">
        <v>77</v>
      </c>
      <c r="EZ213" s="9" t="s">
        <v>80</v>
      </c>
      <c r="FA213" s="9" t="s">
        <v>438</v>
      </c>
      <c r="FB213" s="9" t="s">
        <v>77</v>
      </c>
      <c r="FC213" s="9" t="s">
        <v>78</v>
      </c>
      <c r="FD213" s="9" t="s">
        <v>349</v>
      </c>
      <c r="FE213" s="9" t="s">
        <v>78</v>
      </c>
      <c r="FF213" s="9" t="s">
        <v>77</v>
      </c>
    </row>
    <row r="214" spans="50:162">
      <c r="AX214" s="9" t="s">
        <v>77</v>
      </c>
      <c r="AY214" s="9" t="s">
        <v>77</v>
      </c>
      <c r="AZ214" s="9" t="s">
        <v>80</v>
      </c>
      <c r="BA214" s="9" t="s">
        <v>438</v>
      </c>
      <c r="BB214" s="9" t="s">
        <v>79</v>
      </c>
      <c r="BC214" s="9" t="s">
        <v>78</v>
      </c>
      <c r="BD214" s="9" t="s">
        <v>349</v>
      </c>
      <c r="BE214" s="9" t="s">
        <v>78</v>
      </c>
      <c r="BF214" s="9" t="s">
        <v>77</v>
      </c>
      <c r="BI214" s="9" t="s">
        <v>77</v>
      </c>
      <c r="BJ214" s="9" t="s">
        <v>80</v>
      </c>
      <c r="BK214" s="9" t="s">
        <v>348</v>
      </c>
      <c r="BL214" s="9" t="s">
        <v>901</v>
      </c>
      <c r="BM214" s="9" t="s">
        <v>80</v>
      </c>
      <c r="BN214" s="9" t="s">
        <v>348</v>
      </c>
      <c r="BO214" s="9" t="s">
        <v>901</v>
      </c>
      <c r="BP214" s="9" t="s">
        <v>77</v>
      </c>
      <c r="BQ214" s="9" t="s">
        <v>77</v>
      </c>
      <c r="BR214" s="9" t="s">
        <v>77</v>
      </c>
      <c r="BS214" s="9" t="s">
        <v>77</v>
      </c>
      <c r="BT214" s="9" t="s">
        <v>77</v>
      </c>
      <c r="BU214" s="9" t="s">
        <v>77</v>
      </c>
      <c r="BV214" s="9" t="s">
        <v>78</v>
      </c>
      <c r="BW214" s="9" t="s">
        <v>78</v>
      </c>
      <c r="BX214" s="9" t="s">
        <v>78</v>
      </c>
      <c r="CB214" s="9" t="s">
        <v>77</v>
      </c>
      <c r="CC214" s="9" t="s">
        <v>80</v>
      </c>
      <c r="CD214" s="9" t="s">
        <v>77</v>
      </c>
      <c r="CE214" s="9" t="s">
        <v>77</v>
      </c>
      <c r="CF214" s="9" t="s">
        <v>77</v>
      </c>
      <c r="CG214" s="9" t="s">
        <v>80</v>
      </c>
      <c r="CH214" s="9" t="s">
        <v>348</v>
      </c>
      <c r="CI214" s="9" t="s">
        <v>901</v>
      </c>
      <c r="CJ214" s="9" t="s">
        <v>80</v>
      </c>
      <c r="CK214" s="9" t="s">
        <v>348</v>
      </c>
      <c r="CL214" s="9" t="s">
        <v>901</v>
      </c>
      <c r="CM214" s="9" t="s">
        <v>77</v>
      </c>
      <c r="CN214" s="9" t="s">
        <v>77</v>
      </c>
      <c r="CO214" s="9" t="s">
        <v>78</v>
      </c>
      <c r="CS214" s="9" t="s">
        <v>80</v>
      </c>
      <c r="CT214" s="9" t="s">
        <v>348</v>
      </c>
      <c r="CU214" s="9" t="s">
        <v>901</v>
      </c>
      <c r="CV214" s="9" t="s">
        <v>80</v>
      </c>
      <c r="CW214" s="9" t="s">
        <v>348</v>
      </c>
      <c r="CX214" s="9" t="s">
        <v>901</v>
      </c>
      <c r="CY214" s="9" t="s">
        <v>77</v>
      </c>
      <c r="CZ214" s="9" t="s">
        <v>77</v>
      </c>
      <c r="DA214" s="9" t="s">
        <v>78</v>
      </c>
      <c r="DE214" s="9" t="s">
        <v>77</v>
      </c>
      <c r="DF214" s="9" t="s">
        <v>78</v>
      </c>
      <c r="DG214" s="9" t="s">
        <v>78</v>
      </c>
      <c r="DH214" s="9" t="s">
        <v>78</v>
      </c>
      <c r="DI214" s="9" t="s">
        <v>902</v>
      </c>
      <c r="DJ214" s="9" t="s">
        <v>77</v>
      </c>
      <c r="DK214" s="9" t="s">
        <v>77</v>
      </c>
      <c r="DN214" s="9" t="s">
        <v>77</v>
      </c>
      <c r="DO214" s="9" t="s">
        <v>77</v>
      </c>
      <c r="DP214" s="9" t="s">
        <v>80</v>
      </c>
      <c r="DQ214" s="9" t="s">
        <v>438</v>
      </c>
      <c r="DR214" s="9" t="s">
        <v>77</v>
      </c>
      <c r="DS214" s="9" t="s">
        <v>78</v>
      </c>
      <c r="DT214" s="9" t="s">
        <v>349</v>
      </c>
      <c r="DU214" s="9" t="s">
        <v>78</v>
      </c>
      <c r="DV214" s="9" t="s">
        <v>77</v>
      </c>
      <c r="DZ214" s="9" t="s">
        <v>77</v>
      </c>
      <c r="EA214" s="9" t="s">
        <v>77</v>
      </c>
      <c r="EB214" s="9" t="s">
        <v>80</v>
      </c>
      <c r="EC214" s="9" t="s">
        <v>438</v>
      </c>
      <c r="ED214" s="9" t="s">
        <v>77</v>
      </c>
      <c r="EE214" s="9" t="s">
        <v>78</v>
      </c>
      <c r="EF214" s="9" t="s">
        <v>349</v>
      </c>
      <c r="EG214" s="9" t="s">
        <v>78</v>
      </c>
      <c r="EH214" s="9" t="s">
        <v>77</v>
      </c>
      <c r="EL214" s="9" t="s">
        <v>77</v>
      </c>
      <c r="EM214" s="9" t="s">
        <v>77</v>
      </c>
      <c r="EN214" s="9" t="s">
        <v>80</v>
      </c>
      <c r="EO214" s="9" t="s">
        <v>438</v>
      </c>
      <c r="EP214" s="9" t="s">
        <v>77</v>
      </c>
      <c r="EQ214" s="9" t="s">
        <v>78</v>
      </c>
      <c r="ER214" s="9" t="s">
        <v>349</v>
      </c>
      <c r="ES214" s="9" t="s">
        <v>78</v>
      </c>
      <c r="ET214" s="9" t="s">
        <v>77</v>
      </c>
      <c r="EX214" s="9" t="s">
        <v>77</v>
      </c>
      <c r="EY214" s="9" t="s">
        <v>77</v>
      </c>
      <c r="EZ214" s="9" t="s">
        <v>80</v>
      </c>
      <c r="FA214" s="9" t="s">
        <v>438</v>
      </c>
      <c r="FB214" s="9" t="s">
        <v>77</v>
      </c>
      <c r="FC214" s="9" t="s">
        <v>78</v>
      </c>
      <c r="FD214" s="9" t="s">
        <v>349</v>
      </c>
      <c r="FE214" s="9" t="s">
        <v>78</v>
      </c>
      <c r="FF214" s="9" t="s">
        <v>77</v>
      </c>
    </row>
    <row r="215" spans="50:162">
      <c r="AX215" s="9" t="s">
        <v>77</v>
      </c>
      <c r="AY215" s="9" t="s">
        <v>77</v>
      </c>
      <c r="AZ215" s="9" t="s">
        <v>80</v>
      </c>
      <c r="BA215" s="9" t="s">
        <v>438</v>
      </c>
      <c r="BB215" s="9" t="s">
        <v>79</v>
      </c>
      <c r="BC215" s="9" t="s">
        <v>78</v>
      </c>
      <c r="BD215" s="9" t="s">
        <v>349</v>
      </c>
      <c r="BE215" s="9" t="s">
        <v>78</v>
      </c>
      <c r="BF215" s="9" t="s">
        <v>77</v>
      </c>
      <c r="BI215" s="9" t="s">
        <v>77</v>
      </c>
      <c r="BJ215" s="9" t="s">
        <v>80</v>
      </c>
      <c r="BK215" s="9" t="s">
        <v>348</v>
      </c>
      <c r="BL215" s="9" t="s">
        <v>903</v>
      </c>
      <c r="BM215" s="9" t="s">
        <v>80</v>
      </c>
      <c r="BN215" s="9" t="s">
        <v>348</v>
      </c>
      <c r="BO215" s="9" t="s">
        <v>903</v>
      </c>
      <c r="BP215" s="9" t="s">
        <v>77</v>
      </c>
      <c r="BQ215" s="9" t="s">
        <v>77</v>
      </c>
      <c r="BR215" s="9" t="s">
        <v>77</v>
      </c>
      <c r="BS215" s="9" t="s">
        <v>77</v>
      </c>
      <c r="BT215" s="9" t="s">
        <v>77</v>
      </c>
      <c r="BU215" s="9" t="s">
        <v>77</v>
      </c>
      <c r="BV215" s="9" t="s">
        <v>78</v>
      </c>
      <c r="BW215" s="9" t="s">
        <v>78</v>
      </c>
      <c r="BX215" s="9" t="s">
        <v>78</v>
      </c>
      <c r="CB215" s="9" t="s">
        <v>77</v>
      </c>
      <c r="CC215" s="9" t="s">
        <v>80</v>
      </c>
      <c r="CD215" s="9" t="s">
        <v>77</v>
      </c>
      <c r="CE215" s="9" t="s">
        <v>77</v>
      </c>
      <c r="CF215" s="9" t="s">
        <v>77</v>
      </c>
      <c r="CG215" s="9" t="s">
        <v>80</v>
      </c>
      <c r="CH215" s="9" t="s">
        <v>348</v>
      </c>
      <c r="CI215" s="9" t="s">
        <v>903</v>
      </c>
      <c r="CJ215" s="9" t="s">
        <v>80</v>
      </c>
      <c r="CK215" s="9" t="s">
        <v>348</v>
      </c>
      <c r="CL215" s="9" t="s">
        <v>903</v>
      </c>
      <c r="CM215" s="9" t="s">
        <v>77</v>
      </c>
      <c r="CN215" s="9" t="s">
        <v>77</v>
      </c>
      <c r="CO215" s="9" t="s">
        <v>78</v>
      </c>
      <c r="CS215" s="9" t="s">
        <v>80</v>
      </c>
      <c r="CT215" s="9" t="s">
        <v>348</v>
      </c>
      <c r="CU215" s="9" t="s">
        <v>903</v>
      </c>
      <c r="CV215" s="9" t="s">
        <v>80</v>
      </c>
      <c r="CW215" s="9" t="s">
        <v>348</v>
      </c>
      <c r="CX215" s="9" t="s">
        <v>903</v>
      </c>
      <c r="CY215" s="9" t="s">
        <v>77</v>
      </c>
      <c r="CZ215" s="9" t="s">
        <v>77</v>
      </c>
      <c r="DA215" s="9" t="s">
        <v>78</v>
      </c>
      <c r="DE215" s="9" t="s">
        <v>77</v>
      </c>
      <c r="DF215" s="9" t="s">
        <v>78</v>
      </c>
      <c r="DG215" s="9" t="s">
        <v>78</v>
      </c>
      <c r="DH215" s="9" t="s">
        <v>78</v>
      </c>
      <c r="DI215" s="9" t="s">
        <v>904</v>
      </c>
      <c r="DJ215" s="9" t="s">
        <v>77</v>
      </c>
      <c r="DK215" s="9" t="s">
        <v>77</v>
      </c>
      <c r="DN215" s="9" t="s">
        <v>77</v>
      </c>
      <c r="DO215" s="9" t="s">
        <v>77</v>
      </c>
      <c r="DP215" s="9" t="s">
        <v>80</v>
      </c>
      <c r="DQ215" s="9" t="s">
        <v>438</v>
      </c>
      <c r="DR215" s="9" t="s">
        <v>77</v>
      </c>
      <c r="DS215" s="9" t="s">
        <v>78</v>
      </c>
      <c r="DT215" s="9" t="s">
        <v>349</v>
      </c>
      <c r="DU215" s="9" t="s">
        <v>78</v>
      </c>
      <c r="DV215" s="9" t="s">
        <v>77</v>
      </c>
      <c r="DZ215" s="9" t="s">
        <v>77</v>
      </c>
      <c r="EA215" s="9" t="s">
        <v>77</v>
      </c>
      <c r="EB215" s="9" t="s">
        <v>80</v>
      </c>
      <c r="EC215" s="9" t="s">
        <v>438</v>
      </c>
      <c r="ED215" s="9" t="s">
        <v>77</v>
      </c>
      <c r="EE215" s="9" t="s">
        <v>78</v>
      </c>
      <c r="EF215" s="9" t="s">
        <v>349</v>
      </c>
      <c r="EG215" s="9" t="s">
        <v>78</v>
      </c>
      <c r="EH215" s="9" t="s">
        <v>77</v>
      </c>
      <c r="EL215" s="9" t="s">
        <v>77</v>
      </c>
      <c r="EM215" s="9" t="s">
        <v>77</v>
      </c>
      <c r="EN215" s="9" t="s">
        <v>80</v>
      </c>
      <c r="EO215" s="9" t="s">
        <v>438</v>
      </c>
      <c r="EP215" s="9" t="s">
        <v>77</v>
      </c>
      <c r="EQ215" s="9" t="s">
        <v>78</v>
      </c>
      <c r="ER215" s="9" t="s">
        <v>349</v>
      </c>
      <c r="ES215" s="9" t="s">
        <v>78</v>
      </c>
      <c r="ET215" s="9" t="s">
        <v>77</v>
      </c>
      <c r="EX215" s="9" t="s">
        <v>77</v>
      </c>
      <c r="EY215" s="9" t="s">
        <v>77</v>
      </c>
      <c r="EZ215" s="9" t="s">
        <v>80</v>
      </c>
      <c r="FA215" s="9" t="s">
        <v>438</v>
      </c>
      <c r="FB215" s="9" t="s">
        <v>77</v>
      </c>
      <c r="FC215" s="9" t="s">
        <v>78</v>
      </c>
      <c r="FD215" s="9" t="s">
        <v>349</v>
      </c>
      <c r="FE215" s="9" t="s">
        <v>78</v>
      </c>
      <c r="FF215" s="9" t="s">
        <v>77</v>
      </c>
    </row>
    <row r="216" spans="50:162">
      <c r="AX216" s="9" t="s">
        <v>77</v>
      </c>
      <c r="AY216" s="9" t="s">
        <v>77</v>
      </c>
      <c r="AZ216" s="9" t="s">
        <v>80</v>
      </c>
      <c r="BA216" s="9" t="s">
        <v>438</v>
      </c>
      <c r="BB216" s="9" t="s">
        <v>79</v>
      </c>
      <c r="BC216" s="9" t="s">
        <v>78</v>
      </c>
      <c r="BD216" s="9" t="s">
        <v>349</v>
      </c>
      <c r="BE216" s="9" t="s">
        <v>78</v>
      </c>
      <c r="BF216" s="9" t="s">
        <v>77</v>
      </c>
      <c r="BI216" s="9" t="s">
        <v>77</v>
      </c>
      <c r="BJ216" s="9" t="s">
        <v>80</v>
      </c>
      <c r="BK216" s="9" t="s">
        <v>348</v>
      </c>
      <c r="BL216" s="9" t="s">
        <v>905</v>
      </c>
      <c r="BM216" s="9" t="s">
        <v>80</v>
      </c>
      <c r="BN216" s="9" t="s">
        <v>348</v>
      </c>
      <c r="BO216" s="9" t="s">
        <v>905</v>
      </c>
      <c r="BP216" s="9" t="s">
        <v>77</v>
      </c>
      <c r="BQ216" s="9" t="s">
        <v>77</v>
      </c>
      <c r="BR216" s="9" t="s">
        <v>77</v>
      </c>
      <c r="BS216" s="9" t="s">
        <v>77</v>
      </c>
      <c r="BT216" s="9" t="s">
        <v>77</v>
      </c>
      <c r="BU216" s="9" t="s">
        <v>77</v>
      </c>
      <c r="BV216" s="9" t="s">
        <v>78</v>
      </c>
      <c r="BW216" s="9" t="s">
        <v>78</v>
      </c>
      <c r="BX216" s="9" t="s">
        <v>78</v>
      </c>
      <c r="CB216" s="9" t="s">
        <v>77</v>
      </c>
      <c r="CC216" s="9" t="s">
        <v>80</v>
      </c>
      <c r="CD216" s="9" t="s">
        <v>77</v>
      </c>
      <c r="CE216" s="9" t="s">
        <v>77</v>
      </c>
      <c r="CF216" s="9" t="s">
        <v>77</v>
      </c>
      <c r="CG216" s="9" t="s">
        <v>80</v>
      </c>
      <c r="CH216" s="9" t="s">
        <v>348</v>
      </c>
      <c r="CI216" s="9" t="s">
        <v>906</v>
      </c>
      <c r="CJ216" s="9" t="s">
        <v>80</v>
      </c>
      <c r="CK216" s="9" t="s">
        <v>348</v>
      </c>
      <c r="CL216" s="9" t="s">
        <v>906</v>
      </c>
      <c r="CM216" s="9" t="s">
        <v>77</v>
      </c>
      <c r="CN216" s="9" t="s">
        <v>77</v>
      </c>
      <c r="CO216" s="9" t="s">
        <v>78</v>
      </c>
      <c r="CS216" s="9" t="s">
        <v>80</v>
      </c>
      <c r="CT216" s="9" t="s">
        <v>348</v>
      </c>
      <c r="CU216" s="9" t="s">
        <v>905</v>
      </c>
      <c r="CV216" s="9" t="s">
        <v>80</v>
      </c>
      <c r="CW216" s="9" t="s">
        <v>348</v>
      </c>
      <c r="CX216" s="9" t="s">
        <v>905</v>
      </c>
      <c r="CY216" s="9" t="s">
        <v>77</v>
      </c>
      <c r="CZ216" s="9" t="s">
        <v>77</v>
      </c>
      <c r="DA216" s="9" t="s">
        <v>78</v>
      </c>
      <c r="DE216" s="9" t="s">
        <v>77</v>
      </c>
      <c r="DF216" s="9" t="s">
        <v>78</v>
      </c>
      <c r="DG216" s="9" t="s">
        <v>78</v>
      </c>
      <c r="DH216" s="9" t="s">
        <v>78</v>
      </c>
      <c r="DI216" s="9" t="s">
        <v>905</v>
      </c>
      <c r="DJ216" s="9" t="s">
        <v>77</v>
      </c>
      <c r="DK216" s="9" t="s">
        <v>77</v>
      </c>
      <c r="DN216" s="9" t="s">
        <v>77</v>
      </c>
      <c r="DO216" s="9" t="s">
        <v>77</v>
      </c>
      <c r="DP216" s="9" t="s">
        <v>80</v>
      </c>
      <c r="DQ216" s="9" t="s">
        <v>438</v>
      </c>
      <c r="DR216" s="9" t="s">
        <v>77</v>
      </c>
      <c r="DS216" s="9" t="s">
        <v>78</v>
      </c>
      <c r="DT216" s="9" t="s">
        <v>349</v>
      </c>
      <c r="DU216" s="9" t="s">
        <v>78</v>
      </c>
      <c r="DV216" s="9" t="s">
        <v>77</v>
      </c>
      <c r="DZ216" s="9" t="s">
        <v>77</v>
      </c>
      <c r="EA216" s="9" t="s">
        <v>77</v>
      </c>
      <c r="EB216" s="9" t="s">
        <v>80</v>
      </c>
      <c r="EC216" s="9" t="s">
        <v>438</v>
      </c>
      <c r="ED216" s="9" t="s">
        <v>77</v>
      </c>
      <c r="EE216" s="9" t="s">
        <v>78</v>
      </c>
      <c r="EF216" s="9" t="s">
        <v>349</v>
      </c>
      <c r="EG216" s="9" t="s">
        <v>78</v>
      </c>
      <c r="EH216" s="9" t="s">
        <v>77</v>
      </c>
      <c r="EL216" s="9" t="s">
        <v>77</v>
      </c>
      <c r="EM216" s="9" t="s">
        <v>77</v>
      </c>
      <c r="EN216" s="9" t="s">
        <v>80</v>
      </c>
      <c r="EO216" s="9" t="s">
        <v>438</v>
      </c>
      <c r="EP216" s="9" t="s">
        <v>77</v>
      </c>
      <c r="EQ216" s="9" t="s">
        <v>78</v>
      </c>
      <c r="ER216" s="9" t="s">
        <v>349</v>
      </c>
      <c r="ES216" s="9" t="s">
        <v>78</v>
      </c>
      <c r="ET216" s="9" t="s">
        <v>77</v>
      </c>
      <c r="EX216" s="9" t="s">
        <v>77</v>
      </c>
      <c r="EY216" s="9" t="s">
        <v>77</v>
      </c>
      <c r="EZ216" s="9" t="s">
        <v>80</v>
      </c>
      <c r="FA216" s="9" t="s">
        <v>438</v>
      </c>
      <c r="FB216" s="9" t="s">
        <v>77</v>
      </c>
      <c r="FC216" s="9" t="s">
        <v>78</v>
      </c>
      <c r="FD216" s="9" t="s">
        <v>349</v>
      </c>
      <c r="FE216" s="9" t="s">
        <v>78</v>
      </c>
      <c r="FF216" s="9" t="s">
        <v>77</v>
      </c>
    </row>
    <row r="217" spans="50:162">
      <c r="AX217" s="9" t="s">
        <v>77</v>
      </c>
      <c r="AY217" s="9" t="s">
        <v>77</v>
      </c>
      <c r="AZ217" s="9" t="s">
        <v>80</v>
      </c>
      <c r="BA217" s="9" t="s">
        <v>438</v>
      </c>
      <c r="BB217" s="9" t="s">
        <v>79</v>
      </c>
      <c r="BC217" s="9" t="s">
        <v>78</v>
      </c>
      <c r="BD217" s="9" t="s">
        <v>349</v>
      </c>
      <c r="BE217" s="9" t="s">
        <v>78</v>
      </c>
      <c r="BF217" s="9" t="s">
        <v>77</v>
      </c>
      <c r="BI217" s="9" t="s">
        <v>77</v>
      </c>
      <c r="BJ217" s="9" t="s">
        <v>80</v>
      </c>
      <c r="BK217" s="9" t="s">
        <v>348</v>
      </c>
      <c r="BL217" s="9" t="s">
        <v>907</v>
      </c>
      <c r="BM217" s="9" t="s">
        <v>80</v>
      </c>
      <c r="BN217" s="9" t="s">
        <v>348</v>
      </c>
      <c r="BO217" s="9" t="s">
        <v>907</v>
      </c>
      <c r="BP217" s="9" t="s">
        <v>77</v>
      </c>
      <c r="BQ217" s="9" t="s">
        <v>77</v>
      </c>
      <c r="BR217" s="9" t="s">
        <v>77</v>
      </c>
      <c r="BS217" s="9" t="s">
        <v>77</v>
      </c>
      <c r="BT217" s="9" t="s">
        <v>77</v>
      </c>
      <c r="BU217" s="9" t="s">
        <v>77</v>
      </c>
      <c r="BV217" s="9" t="s">
        <v>78</v>
      </c>
      <c r="BW217" s="9" t="s">
        <v>78</v>
      </c>
      <c r="BX217" s="9" t="s">
        <v>78</v>
      </c>
      <c r="CB217" s="9" t="s">
        <v>77</v>
      </c>
      <c r="CC217" s="9" t="s">
        <v>80</v>
      </c>
      <c r="CD217" s="9" t="s">
        <v>77</v>
      </c>
      <c r="CE217" s="9" t="s">
        <v>77</v>
      </c>
      <c r="CF217" s="9" t="s">
        <v>77</v>
      </c>
      <c r="CG217" s="9" t="s">
        <v>80</v>
      </c>
      <c r="CH217" s="9" t="s">
        <v>348</v>
      </c>
      <c r="CI217" s="9" t="s">
        <v>908</v>
      </c>
      <c r="CJ217" s="9" t="s">
        <v>80</v>
      </c>
      <c r="CK217" s="9" t="s">
        <v>348</v>
      </c>
      <c r="CL217" s="9" t="s">
        <v>908</v>
      </c>
      <c r="CM217" s="9" t="s">
        <v>77</v>
      </c>
      <c r="CN217" s="9" t="s">
        <v>77</v>
      </c>
      <c r="CO217" s="9" t="s">
        <v>78</v>
      </c>
      <c r="CS217" s="9" t="s">
        <v>80</v>
      </c>
      <c r="CT217" s="9" t="s">
        <v>348</v>
      </c>
      <c r="CU217" s="9" t="s">
        <v>907</v>
      </c>
      <c r="CV217" s="9" t="s">
        <v>80</v>
      </c>
      <c r="CW217" s="9" t="s">
        <v>348</v>
      </c>
      <c r="CX217" s="9" t="s">
        <v>907</v>
      </c>
      <c r="CY217" s="9" t="s">
        <v>77</v>
      </c>
      <c r="CZ217" s="9" t="s">
        <v>77</v>
      </c>
      <c r="DA217" s="9" t="s">
        <v>78</v>
      </c>
      <c r="DE217" s="9" t="s">
        <v>77</v>
      </c>
      <c r="DF217" s="9" t="s">
        <v>78</v>
      </c>
      <c r="DG217" s="9" t="s">
        <v>78</v>
      </c>
      <c r="DH217" s="9" t="s">
        <v>78</v>
      </c>
      <c r="DI217" s="9" t="s">
        <v>907</v>
      </c>
      <c r="DJ217" s="9" t="s">
        <v>77</v>
      </c>
      <c r="DK217" s="9" t="s">
        <v>77</v>
      </c>
      <c r="DN217" s="9" t="s">
        <v>77</v>
      </c>
      <c r="DO217" s="9" t="s">
        <v>77</v>
      </c>
      <c r="DP217" s="9" t="s">
        <v>80</v>
      </c>
      <c r="DQ217" s="9" t="s">
        <v>438</v>
      </c>
      <c r="DR217" s="9" t="s">
        <v>77</v>
      </c>
      <c r="DS217" s="9" t="s">
        <v>78</v>
      </c>
      <c r="DT217" s="9" t="s">
        <v>349</v>
      </c>
      <c r="DU217" s="9" t="s">
        <v>78</v>
      </c>
      <c r="DV217" s="9" t="s">
        <v>77</v>
      </c>
      <c r="DZ217" s="9" t="s">
        <v>77</v>
      </c>
      <c r="EA217" s="9" t="s">
        <v>77</v>
      </c>
      <c r="EB217" s="9" t="s">
        <v>80</v>
      </c>
      <c r="EC217" s="9" t="s">
        <v>438</v>
      </c>
      <c r="ED217" s="9" t="s">
        <v>77</v>
      </c>
      <c r="EE217" s="9" t="s">
        <v>78</v>
      </c>
      <c r="EF217" s="9" t="s">
        <v>349</v>
      </c>
      <c r="EG217" s="9" t="s">
        <v>78</v>
      </c>
      <c r="EH217" s="9" t="s">
        <v>77</v>
      </c>
      <c r="EL217" s="9" t="s">
        <v>77</v>
      </c>
      <c r="EM217" s="9" t="s">
        <v>77</v>
      </c>
      <c r="EN217" s="9" t="s">
        <v>80</v>
      </c>
      <c r="EO217" s="9" t="s">
        <v>438</v>
      </c>
      <c r="EP217" s="9" t="s">
        <v>77</v>
      </c>
      <c r="EQ217" s="9" t="s">
        <v>78</v>
      </c>
      <c r="ER217" s="9" t="s">
        <v>349</v>
      </c>
      <c r="ES217" s="9" t="s">
        <v>78</v>
      </c>
      <c r="ET217" s="9" t="s">
        <v>77</v>
      </c>
      <c r="EX217" s="9" t="s">
        <v>77</v>
      </c>
      <c r="EY217" s="9" t="s">
        <v>77</v>
      </c>
      <c r="EZ217" s="9" t="s">
        <v>80</v>
      </c>
      <c r="FA217" s="9" t="s">
        <v>438</v>
      </c>
      <c r="FB217" s="9" t="s">
        <v>77</v>
      </c>
      <c r="FC217" s="9" t="s">
        <v>78</v>
      </c>
      <c r="FD217" s="9" t="s">
        <v>349</v>
      </c>
      <c r="FE217" s="9" t="s">
        <v>78</v>
      </c>
      <c r="FF217" s="9" t="s">
        <v>77</v>
      </c>
    </row>
    <row r="218" spans="50:162">
      <c r="AX218" s="9" t="s">
        <v>77</v>
      </c>
      <c r="AY218" s="9" t="s">
        <v>77</v>
      </c>
      <c r="AZ218" s="9" t="s">
        <v>80</v>
      </c>
      <c r="BA218" s="9" t="s">
        <v>438</v>
      </c>
      <c r="BB218" s="9" t="s">
        <v>79</v>
      </c>
      <c r="BC218" s="9" t="s">
        <v>78</v>
      </c>
      <c r="BD218" s="9" t="s">
        <v>349</v>
      </c>
      <c r="BE218" s="9" t="s">
        <v>78</v>
      </c>
      <c r="BF218" s="9" t="s">
        <v>77</v>
      </c>
      <c r="BI218" s="9" t="s">
        <v>77</v>
      </c>
      <c r="BJ218" s="9" t="s">
        <v>80</v>
      </c>
      <c r="BK218" s="9" t="s">
        <v>348</v>
      </c>
      <c r="BL218" s="9" t="s">
        <v>909</v>
      </c>
      <c r="BM218" s="9" t="s">
        <v>80</v>
      </c>
      <c r="BN218" s="9" t="s">
        <v>348</v>
      </c>
      <c r="BO218" s="9" t="s">
        <v>909</v>
      </c>
      <c r="BP218" s="9" t="s">
        <v>77</v>
      </c>
      <c r="BQ218" s="9" t="s">
        <v>77</v>
      </c>
      <c r="BR218" s="9" t="s">
        <v>77</v>
      </c>
      <c r="BS218" s="9" t="s">
        <v>77</v>
      </c>
      <c r="BT218" s="9" t="s">
        <v>77</v>
      </c>
      <c r="BU218" s="9" t="s">
        <v>77</v>
      </c>
      <c r="BV218" s="9" t="s">
        <v>78</v>
      </c>
      <c r="BW218" s="9" t="s">
        <v>78</v>
      </c>
      <c r="BX218" s="9" t="s">
        <v>78</v>
      </c>
      <c r="CB218" s="9" t="s">
        <v>77</v>
      </c>
      <c r="CC218" s="9" t="s">
        <v>80</v>
      </c>
      <c r="CD218" s="9" t="s">
        <v>77</v>
      </c>
      <c r="CE218" s="9" t="s">
        <v>77</v>
      </c>
      <c r="CF218" s="9" t="s">
        <v>77</v>
      </c>
      <c r="CG218" s="9" t="s">
        <v>80</v>
      </c>
      <c r="CH218" s="9" t="s">
        <v>348</v>
      </c>
      <c r="CI218" s="9" t="s">
        <v>910</v>
      </c>
      <c r="CJ218" s="9" t="s">
        <v>80</v>
      </c>
      <c r="CK218" s="9" t="s">
        <v>348</v>
      </c>
      <c r="CL218" s="9" t="s">
        <v>910</v>
      </c>
      <c r="CM218" s="9" t="s">
        <v>77</v>
      </c>
      <c r="CN218" s="9" t="s">
        <v>77</v>
      </c>
      <c r="CO218" s="9" t="s">
        <v>78</v>
      </c>
      <c r="CS218" s="9" t="s">
        <v>80</v>
      </c>
      <c r="CT218" s="9" t="s">
        <v>348</v>
      </c>
      <c r="CU218" s="9" t="s">
        <v>910</v>
      </c>
      <c r="CV218" s="9" t="s">
        <v>80</v>
      </c>
      <c r="CW218" s="9" t="s">
        <v>348</v>
      </c>
      <c r="CX218" s="9" t="s">
        <v>910</v>
      </c>
      <c r="CY218" s="9" t="s">
        <v>77</v>
      </c>
      <c r="CZ218" s="9" t="s">
        <v>77</v>
      </c>
      <c r="DA218" s="9" t="s">
        <v>78</v>
      </c>
      <c r="DE218" s="9" t="s">
        <v>77</v>
      </c>
      <c r="DF218" s="9" t="s">
        <v>78</v>
      </c>
      <c r="DG218" s="9" t="s">
        <v>78</v>
      </c>
      <c r="DH218" s="9" t="s">
        <v>78</v>
      </c>
      <c r="DI218" s="9" t="s">
        <v>909</v>
      </c>
      <c r="DJ218" s="9" t="s">
        <v>77</v>
      </c>
      <c r="DK218" s="9" t="s">
        <v>77</v>
      </c>
      <c r="DN218" s="9" t="s">
        <v>77</v>
      </c>
      <c r="DO218" s="9" t="s">
        <v>77</v>
      </c>
      <c r="DP218" s="9" t="s">
        <v>80</v>
      </c>
      <c r="DQ218" s="9" t="s">
        <v>438</v>
      </c>
      <c r="DR218" s="9" t="s">
        <v>77</v>
      </c>
      <c r="DS218" s="9" t="s">
        <v>78</v>
      </c>
      <c r="DT218" s="9" t="s">
        <v>349</v>
      </c>
      <c r="DU218" s="9" t="s">
        <v>78</v>
      </c>
      <c r="DV218" s="9" t="s">
        <v>77</v>
      </c>
      <c r="DZ218" s="9" t="s">
        <v>77</v>
      </c>
      <c r="EA218" s="9" t="s">
        <v>77</v>
      </c>
      <c r="EB218" s="9" t="s">
        <v>80</v>
      </c>
      <c r="EC218" s="9" t="s">
        <v>438</v>
      </c>
      <c r="ED218" s="9" t="s">
        <v>77</v>
      </c>
      <c r="EE218" s="9" t="s">
        <v>78</v>
      </c>
      <c r="EF218" s="9" t="s">
        <v>349</v>
      </c>
      <c r="EG218" s="9" t="s">
        <v>78</v>
      </c>
      <c r="EH218" s="9" t="s">
        <v>77</v>
      </c>
      <c r="EL218" s="9" t="s">
        <v>77</v>
      </c>
      <c r="EM218" s="9" t="s">
        <v>77</v>
      </c>
      <c r="EN218" s="9" t="s">
        <v>80</v>
      </c>
      <c r="EO218" s="9" t="s">
        <v>438</v>
      </c>
      <c r="EP218" s="9" t="s">
        <v>77</v>
      </c>
      <c r="EQ218" s="9" t="s">
        <v>78</v>
      </c>
      <c r="ER218" s="9" t="s">
        <v>349</v>
      </c>
      <c r="ES218" s="9" t="s">
        <v>78</v>
      </c>
      <c r="ET218" s="9" t="s">
        <v>77</v>
      </c>
      <c r="EX218" s="9" t="s">
        <v>77</v>
      </c>
      <c r="EY218" s="9" t="s">
        <v>77</v>
      </c>
      <c r="EZ218" s="9" t="s">
        <v>80</v>
      </c>
      <c r="FA218" s="9" t="s">
        <v>438</v>
      </c>
      <c r="FB218" s="9" t="s">
        <v>77</v>
      </c>
      <c r="FC218" s="9" t="s">
        <v>78</v>
      </c>
      <c r="FD218" s="9" t="s">
        <v>349</v>
      </c>
      <c r="FE218" s="9" t="s">
        <v>78</v>
      </c>
      <c r="FF218" s="9" t="s">
        <v>77</v>
      </c>
    </row>
    <row r="219" spans="50:162">
      <c r="AX219" s="9" t="s">
        <v>77</v>
      </c>
      <c r="AY219" s="9" t="s">
        <v>77</v>
      </c>
      <c r="AZ219" s="9" t="s">
        <v>80</v>
      </c>
      <c r="BA219" s="9" t="s">
        <v>438</v>
      </c>
      <c r="BB219" s="9" t="s">
        <v>79</v>
      </c>
      <c r="BC219" s="9" t="s">
        <v>78</v>
      </c>
      <c r="BD219" s="9" t="s">
        <v>349</v>
      </c>
      <c r="BE219" s="9" t="s">
        <v>78</v>
      </c>
      <c r="BF219" s="9" t="s">
        <v>77</v>
      </c>
      <c r="BI219" s="9" t="s">
        <v>77</v>
      </c>
      <c r="BJ219" s="9" t="s">
        <v>80</v>
      </c>
      <c r="BK219" s="9" t="s">
        <v>348</v>
      </c>
      <c r="BL219" s="9" t="s">
        <v>911</v>
      </c>
      <c r="BM219" s="9" t="s">
        <v>80</v>
      </c>
      <c r="BN219" s="9" t="s">
        <v>348</v>
      </c>
      <c r="BO219" s="9" t="s">
        <v>911</v>
      </c>
      <c r="BP219" s="9" t="s">
        <v>77</v>
      </c>
      <c r="BQ219" s="9" t="s">
        <v>77</v>
      </c>
      <c r="BR219" s="9" t="s">
        <v>77</v>
      </c>
      <c r="BS219" s="9" t="s">
        <v>77</v>
      </c>
      <c r="BT219" s="9" t="s">
        <v>77</v>
      </c>
      <c r="BU219" s="9" t="s">
        <v>77</v>
      </c>
      <c r="BV219" s="9" t="s">
        <v>78</v>
      </c>
      <c r="BW219" s="9" t="s">
        <v>78</v>
      </c>
      <c r="BX219" s="9" t="s">
        <v>78</v>
      </c>
      <c r="CB219" s="9" t="s">
        <v>77</v>
      </c>
      <c r="CC219" s="9" t="s">
        <v>80</v>
      </c>
      <c r="CD219" s="9" t="s">
        <v>77</v>
      </c>
      <c r="CE219" s="9" t="s">
        <v>77</v>
      </c>
      <c r="CF219" s="9" t="s">
        <v>77</v>
      </c>
      <c r="CG219" s="9" t="s">
        <v>80</v>
      </c>
      <c r="CH219" s="9" t="s">
        <v>348</v>
      </c>
      <c r="CI219" s="9" t="s">
        <v>912</v>
      </c>
      <c r="CJ219" s="9" t="s">
        <v>80</v>
      </c>
      <c r="CK219" s="9" t="s">
        <v>348</v>
      </c>
      <c r="CL219" s="9" t="s">
        <v>912</v>
      </c>
      <c r="CM219" s="9" t="s">
        <v>77</v>
      </c>
      <c r="CN219" s="9" t="s">
        <v>77</v>
      </c>
      <c r="CO219" s="9" t="s">
        <v>78</v>
      </c>
      <c r="CS219" s="9" t="s">
        <v>80</v>
      </c>
      <c r="CT219" s="9" t="s">
        <v>348</v>
      </c>
      <c r="CU219" s="9" t="s">
        <v>911</v>
      </c>
      <c r="CV219" s="9" t="s">
        <v>80</v>
      </c>
      <c r="CW219" s="9" t="s">
        <v>348</v>
      </c>
      <c r="CX219" s="9" t="s">
        <v>911</v>
      </c>
      <c r="CY219" s="9" t="s">
        <v>77</v>
      </c>
      <c r="CZ219" s="9" t="s">
        <v>77</v>
      </c>
      <c r="DA219" s="9" t="s">
        <v>78</v>
      </c>
      <c r="DE219" s="9" t="s">
        <v>77</v>
      </c>
      <c r="DF219" s="9" t="s">
        <v>78</v>
      </c>
      <c r="DG219" s="9" t="s">
        <v>78</v>
      </c>
      <c r="DH219" s="9" t="s">
        <v>78</v>
      </c>
      <c r="DI219" s="9" t="s">
        <v>913</v>
      </c>
      <c r="DJ219" s="9" t="s">
        <v>77</v>
      </c>
      <c r="DK219" s="9" t="s">
        <v>77</v>
      </c>
      <c r="DN219" s="9" t="s">
        <v>77</v>
      </c>
      <c r="DO219" s="9" t="s">
        <v>77</v>
      </c>
      <c r="DP219" s="9" t="s">
        <v>80</v>
      </c>
      <c r="DQ219" s="9" t="s">
        <v>438</v>
      </c>
      <c r="DR219" s="9" t="s">
        <v>77</v>
      </c>
      <c r="DS219" s="9" t="s">
        <v>78</v>
      </c>
      <c r="DT219" s="9" t="s">
        <v>349</v>
      </c>
      <c r="DU219" s="9" t="s">
        <v>78</v>
      </c>
      <c r="DV219" s="9" t="s">
        <v>77</v>
      </c>
      <c r="DZ219" s="9" t="s">
        <v>77</v>
      </c>
      <c r="EA219" s="9" t="s">
        <v>77</v>
      </c>
      <c r="EB219" s="9" t="s">
        <v>80</v>
      </c>
      <c r="EC219" s="9" t="s">
        <v>438</v>
      </c>
      <c r="ED219" s="9" t="s">
        <v>77</v>
      </c>
      <c r="EE219" s="9" t="s">
        <v>78</v>
      </c>
      <c r="EF219" s="9" t="s">
        <v>349</v>
      </c>
      <c r="EG219" s="9" t="s">
        <v>78</v>
      </c>
      <c r="EH219" s="9" t="s">
        <v>77</v>
      </c>
      <c r="EL219" s="9" t="s">
        <v>77</v>
      </c>
      <c r="EM219" s="9" t="s">
        <v>77</v>
      </c>
      <c r="EN219" s="9" t="s">
        <v>80</v>
      </c>
      <c r="EO219" s="9" t="s">
        <v>438</v>
      </c>
      <c r="EP219" s="9" t="s">
        <v>77</v>
      </c>
      <c r="EQ219" s="9" t="s">
        <v>78</v>
      </c>
      <c r="ER219" s="9" t="s">
        <v>349</v>
      </c>
      <c r="ES219" s="9" t="s">
        <v>78</v>
      </c>
      <c r="ET219" s="9" t="s">
        <v>77</v>
      </c>
      <c r="EX219" s="9" t="s">
        <v>77</v>
      </c>
      <c r="EY219" s="9" t="s">
        <v>77</v>
      </c>
      <c r="EZ219" s="9" t="s">
        <v>80</v>
      </c>
      <c r="FA219" s="9" t="s">
        <v>438</v>
      </c>
      <c r="FB219" s="9" t="s">
        <v>77</v>
      </c>
      <c r="FC219" s="9" t="s">
        <v>78</v>
      </c>
      <c r="FD219" s="9" t="s">
        <v>349</v>
      </c>
      <c r="FE219" s="9" t="s">
        <v>78</v>
      </c>
      <c r="FF219" s="9" t="s">
        <v>77</v>
      </c>
    </row>
    <row r="220" spans="50:162">
      <c r="AX220" s="9" t="s">
        <v>77</v>
      </c>
      <c r="AY220" s="9" t="s">
        <v>77</v>
      </c>
      <c r="AZ220" s="9" t="s">
        <v>80</v>
      </c>
      <c r="BA220" s="9" t="s">
        <v>438</v>
      </c>
      <c r="BB220" s="9" t="s">
        <v>79</v>
      </c>
      <c r="BC220" s="9" t="s">
        <v>78</v>
      </c>
      <c r="BD220" s="9" t="s">
        <v>349</v>
      </c>
      <c r="BE220" s="9" t="s">
        <v>78</v>
      </c>
      <c r="BF220" s="9" t="s">
        <v>77</v>
      </c>
      <c r="BI220" s="9" t="s">
        <v>77</v>
      </c>
      <c r="BJ220" s="9" t="s">
        <v>80</v>
      </c>
      <c r="BK220" s="9" t="s">
        <v>348</v>
      </c>
      <c r="BL220" s="9" t="s">
        <v>914</v>
      </c>
      <c r="BM220" s="9" t="s">
        <v>80</v>
      </c>
      <c r="BN220" s="9" t="s">
        <v>348</v>
      </c>
      <c r="BO220" s="9" t="s">
        <v>914</v>
      </c>
      <c r="BP220" s="9" t="s">
        <v>77</v>
      </c>
      <c r="BQ220" s="9" t="s">
        <v>77</v>
      </c>
      <c r="BR220" s="9" t="s">
        <v>77</v>
      </c>
      <c r="BS220" s="9" t="s">
        <v>77</v>
      </c>
      <c r="BT220" s="9" t="s">
        <v>77</v>
      </c>
      <c r="BU220" s="9" t="s">
        <v>77</v>
      </c>
      <c r="BV220" s="9" t="s">
        <v>78</v>
      </c>
      <c r="BW220" s="9" t="s">
        <v>78</v>
      </c>
      <c r="BX220" s="9" t="s">
        <v>78</v>
      </c>
      <c r="CB220" s="9" t="s">
        <v>77</v>
      </c>
      <c r="CC220" s="9" t="s">
        <v>80</v>
      </c>
      <c r="CD220" s="9" t="s">
        <v>77</v>
      </c>
      <c r="CE220" s="9" t="s">
        <v>77</v>
      </c>
      <c r="CF220" s="9" t="s">
        <v>77</v>
      </c>
      <c r="CG220" s="9" t="s">
        <v>80</v>
      </c>
      <c r="CH220" s="9" t="s">
        <v>348</v>
      </c>
      <c r="CI220" s="9" t="s">
        <v>915</v>
      </c>
      <c r="CJ220" s="9" t="s">
        <v>80</v>
      </c>
      <c r="CK220" s="9" t="s">
        <v>348</v>
      </c>
      <c r="CL220" s="9" t="s">
        <v>915</v>
      </c>
      <c r="CM220" s="9" t="s">
        <v>77</v>
      </c>
      <c r="CN220" s="9" t="s">
        <v>77</v>
      </c>
      <c r="CO220" s="9" t="s">
        <v>78</v>
      </c>
      <c r="CS220" s="9" t="s">
        <v>80</v>
      </c>
      <c r="CT220" s="9" t="s">
        <v>348</v>
      </c>
      <c r="CU220" s="9" t="s">
        <v>914</v>
      </c>
      <c r="CV220" s="9" t="s">
        <v>80</v>
      </c>
      <c r="CW220" s="9" t="s">
        <v>348</v>
      </c>
      <c r="CX220" s="9" t="s">
        <v>914</v>
      </c>
      <c r="CY220" s="9" t="s">
        <v>77</v>
      </c>
      <c r="CZ220" s="9" t="s">
        <v>77</v>
      </c>
      <c r="DA220" s="9" t="s">
        <v>78</v>
      </c>
      <c r="DE220" s="9" t="s">
        <v>77</v>
      </c>
      <c r="DF220" s="9" t="s">
        <v>78</v>
      </c>
      <c r="DG220" s="9" t="s">
        <v>78</v>
      </c>
      <c r="DH220" s="9" t="s">
        <v>78</v>
      </c>
      <c r="DI220" s="9" t="s">
        <v>914</v>
      </c>
      <c r="DJ220" s="9" t="s">
        <v>77</v>
      </c>
      <c r="DK220" s="9" t="s">
        <v>77</v>
      </c>
      <c r="DN220" s="9" t="s">
        <v>77</v>
      </c>
      <c r="DO220" s="9" t="s">
        <v>77</v>
      </c>
      <c r="DP220" s="9" t="s">
        <v>80</v>
      </c>
      <c r="DQ220" s="9" t="s">
        <v>438</v>
      </c>
      <c r="DR220" s="9" t="s">
        <v>77</v>
      </c>
      <c r="DS220" s="9" t="s">
        <v>78</v>
      </c>
      <c r="DT220" s="9" t="s">
        <v>349</v>
      </c>
      <c r="DU220" s="9" t="s">
        <v>78</v>
      </c>
      <c r="DV220" s="9" t="s">
        <v>77</v>
      </c>
      <c r="DZ220" s="9" t="s">
        <v>77</v>
      </c>
      <c r="EA220" s="9" t="s">
        <v>77</v>
      </c>
      <c r="EB220" s="9" t="s">
        <v>80</v>
      </c>
      <c r="EC220" s="9" t="s">
        <v>438</v>
      </c>
      <c r="ED220" s="9" t="s">
        <v>77</v>
      </c>
      <c r="EE220" s="9" t="s">
        <v>78</v>
      </c>
      <c r="EF220" s="9" t="s">
        <v>349</v>
      </c>
      <c r="EG220" s="9" t="s">
        <v>78</v>
      </c>
      <c r="EH220" s="9" t="s">
        <v>77</v>
      </c>
      <c r="EL220" s="9" t="s">
        <v>77</v>
      </c>
      <c r="EM220" s="9" t="s">
        <v>77</v>
      </c>
      <c r="EN220" s="9" t="s">
        <v>80</v>
      </c>
      <c r="EO220" s="9" t="s">
        <v>438</v>
      </c>
      <c r="EP220" s="9" t="s">
        <v>77</v>
      </c>
      <c r="EQ220" s="9" t="s">
        <v>78</v>
      </c>
      <c r="ER220" s="9" t="s">
        <v>349</v>
      </c>
      <c r="ES220" s="9" t="s">
        <v>78</v>
      </c>
      <c r="ET220" s="9" t="s">
        <v>77</v>
      </c>
      <c r="EX220" s="9" t="s">
        <v>77</v>
      </c>
      <c r="EY220" s="9" t="s">
        <v>77</v>
      </c>
      <c r="EZ220" s="9" t="s">
        <v>80</v>
      </c>
      <c r="FA220" s="9" t="s">
        <v>438</v>
      </c>
      <c r="FB220" s="9" t="s">
        <v>77</v>
      </c>
      <c r="FC220" s="9" t="s">
        <v>78</v>
      </c>
      <c r="FD220" s="9" t="s">
        <v>349</v>
      </c>
      <c r="FE220" s="9" t="s">
        <v>78</v>
      </c>
      <c r="FF220" s="9" t="s">
        <v>77</v>
      </c>
    </row>
    <row r="221" spans="50:162">
      <c r="AX221" s="9" t="s">
        <v>77</v>
      </c>
      <c r="AY221" s="9" t="s">
        <v>77</v>
      </c>
      <c r="AZ221" s="9" t="s">
        <v>80</v>
      </c>
      <c r="BA221" s="9" t="s">
        <v>438</v>
      </c>
      <c r="BB221" s="9" t="s">
        <v>79</v>
      </c>
      <c r="BC221" s="9" t="s">
        <v>78</v>
      </c>
      <c r="BD221" s="9" t="s">
        <v>349</v>
      </c>
      <c r="BE221" s="9" t="s">
        <v>78</v>
      </c>
      <c r="BF221" s="9" t="s">
        <v>77</v>
      </c>
      <c r="BI221" s="9" t="s">
        <v>77</v>
      </c>
      <c r="BJ221" s="9" t="s">
        <v>80</v>
      </c>
      <c r="BK221" s="9" t="s">
        <v>348</v>
      </c>
      <c r="BL221" s="9" t="s">
        <v>916</v>
      </c>
      <c r="BM221" s="9" t="s">
        <v>80</v>
      </c>
      <c r="BN221" s="9" t="s">
        <v>348</v>
      </c>
      <c r="BO221" s="9" t="s">
        <v>916</v>
      </c>
      <c r="BP221" s="9" t="s">
        <v>77</v>
      </c>
      <c r="BQ221" s="9" t="s">
        <v>77</v>
      </c>
      <c r="BR221" s="9" t="s">
        <v>77</v>
      </c>
      <c r="BS221" s="9" t="s">
        <v>77</v>
      </c>
      <c r="BT221" s="9" t="s">
        <v>77</v>
      </c>
      <c r="BU221" s="9" t="s">
        <v>77</v>
      </c>
      <c r="BV221" s="9" t="s">
        <v>78</v>
      </c>
      <c r="BW221" s="9" t="s">
        <v>78</v>
      </c>
      <c r="BX221" s="9" t="s">
        <v>78</v>
      </c>
      <c r="CB221" s="9" t="s">
        <v>77</v>
      </c>
      <c r="CC221" s="9" t="s">
        <v>80</v>
      </c>
      <c r="CD221" s="9" t="s">
        <v>77</v>
      </c>
      <c r="CE221" s="9" t="s">
        <v>77</v>
      </c>
      <c r="CF221" s="9" t="s">
        <v>77</v>
      </c>
      <c r="CG221" s="9" t="s">
        <v>80</v>
      </c>
      <c r="CH221" s="9" t="s">
        <v>348</v>
      </c>
      <c r="CI221" s="9" t="s">
        <v>917</v>
      </c>
      <c r="CJ221" s="9" t="s">
        <v>80</v>
      </c>
      <c r="CK221" s="9" t="s">
        <v>348</v>
      </c>
      <c r="CL221" s="9" t="s">
        <v>917</v>
      </c>
      <c r="CM221" s="9" t="s">
        <v>77</v>
      </c>
      <c r="CN221" s="9" t="s">
        <v>77</v>
      </c>
      <c r="CO221" s="9" t="s">
        <v>78</v>
      </c>
      <c r="CS221" s="9" t="s">
        <v>80</v>
      </c>
      <c r="CT221" s="9" t="s">
        <v>348</v>
      </c>
      <c r="CU221" s="9" t="s">
        <v>916</v>
      </c>
      <c r="CV221" s="9" t="s">
        <v>80</v>
      </c>
      <c r="CW221" s="9" t="s">
        <v>348</v>
      </c>
      <c r="CX221" s="9" t="s">
        <v>916</v>
      </c>
      <c r="CY221" s="9" t="s">
        <v>77</v>
      </c>
      <c r="CZ221" s="9" t="s">
        <v>77</v>
      </c>
      <c r="DA221" s="9" t="s">
        <v>78</v>
      </c>
      <c r="DE221" s="9" t="s">
        <v>77</v>
      </c>
      <c r="DF221" s="9" t="s">
        <v>78</v>
      </c>
      <c r="DG221" s="9" t="s">
        <v>78</v>
      </c>
      <c r="DH221" s="9" t="s">
        <v>78</v>
      </c>
      <c r="DI221" s="9" t="s">
        <v>916</v>
      </c>
      <c r="DJ221" s="9" t="s">
        <v>77</v>
      </c>
      <c r="DK221" s="9" t="s">
        <v>77</v>
      </c>
      <c r="DN221" s="9" t="s">
        <v>77</v>
      </c>
      <c r="DO221" s="9" t="s">
        <v>77</v>
      </c>
      <c r="DP221" s="9" t="s">
        <v>80</v>
      </c>
      <c r="DQ221" s="9" t="s">
        <v>438</v>
      </c>
      <c r="DR221" s="9" t="s">
        <v>77</v>
      </c>
      <c r="DS221" s="9" t="s">
        <v>78</v>
      </c>
      <c r="DT221" s="9" t="s">
        <v>349</v>
      </c>
      <c r="DU221" s="9" t="s">
        <v>78</v>
      </c>
      <c r="DV221" s="9" t="s">
        <v>77</v>
      </c>
      <c r="DZ221" s="9" t="s">
        <v>77</v>
      </c>
      <c r="EA221" s="9" t="s">
        <v>77</v>
      </c>
      <c r="EB221" s="9" t="s">
        <v>80</v>
      </c>
      <c r="EC221" s="9" t="s">
        <v>438</v>
      </c>
      <c r="ED221" s="9" t="s">
        <v>77</v>
      </c>
      <c r="EE221" s="9" t="s">
        <v>78</v>
      </c>
      <c r="EF221" s="9" t="s">
        <v>349</v>
      </c>
      <c r="EG221" s="9" t="s">
        <v>78</v>
      </c>
      <c r="EH221" s="9" t="s">
        <v>77</v>
      </c>
      <c r="EL221" s="9" t="s">
        <v>77</v>
      </c>
      <c r="EM221" s="9" t="s">
        <v>77</v>
      </c>
      <c r="EN221" s="9" t="s">
        <v>80</v>
      </c>
      <c r="EO221" s="9" t="s">
        <v>438</v>
      </c>
      <c r="EP221" s="9" t="s">
        <v>77</v>
      </c>
      <c r="EQ221" s="9" t="s">
        <v>78</v>
      </c>
      <c r="ER221" s="9" t="s">
        <v>349</v>
      </c>
      <c r="ES221" s="9" t="s">
        <v>78</v>
      </c>
      <c r="ET221" s="9" t="s">
        <v>77</v>
      </c>
      <c r="EX221" s="9" t="s">
        <v>77</v>
      </c>
      <c r="EY221" s="9" t="s">
        <v>77</v>
      </c>
      <c r="EZ221" s="9" t="s">
        <v>80</v>
      </c>
      <c r="FA221" s="9" t="s">
        <v>438</v>
      </c>
      <c r="FB221" s="9" t="s">
        <v>77</v>
      </c>
      <c r="FC221" s="9" t="s">
        <v>78</v>
      </c>
      <c r="FD221" s="9" t="s">
        <v>349</v>
      </c>
      <c r="FE221" s="9" t="s">
        <v>78</v>
      </c>
      <c r="FF221" s="9" t="s">
        <v>77</v>
      </c>
    </row>
    <row r="222" spans="50:162">
      <c r="AX222" s="9" t="s">
        <v>77</v>
      </c>
      <c r="AY222" s="9" t="s">
        <v>77</v>
      </c>
      <c r="AZ222" s="9" t="s">
        <v>80</v>
      </c>
      <c r="BA222" s="9" t="s">
        <v>438</v>
      </c>
      <c r="BB222" s="9" t="s">
        <v>79</v>
      </c>
      <c r="BC222" s="9" t="s">
        <v>78</v>
      </c>
      <c r="BD222" s="9" t="s">
        <v>349</v>
      </c>
      <c r="BE222" s="9" t="s">
        <v>78</v>
      </c>
      <c r="BF222" s="9" t="s">
        <v>77</v>
      </c>
      <c r="BI222" s="9" t="s">
        <v>77</v>
      </c>
      <c r="BJ222" s="9" t="s">
        <v>80</v>
      </c>
      <c r="BK222" s="9" t="s">
        <v>348</v>
      </c>
      <c r="BL222" s="9" t="s">
        <v>918</v>
      </c>
      <c r="BM222" s="9" t="s">
        <v>80</v>
      </c>
      <c r="BN222" s="9" t="s">
        <v>348</v>
      </c>
      <c r="BO222" s="9" t="s">
        <v>918</v>
      </c>
      <c r="BP222" s="9" t="s">
        <v>77</v>
      </c>
      <c r="BQ222" s="9" t="s">
        <v>77</v>
      </c>
      <c r="BR222" s="9" t="s">
        <v>77</v>
      </c>
      <c r="BS222" s="9" t="s">
        <v>77</v>
      </c>
      <c r="BT222" s="9" t="s">
        <v>77</v>
      </c>
      <c r="BU222" s="9" t="s">
        <v>77</v>
      </c>
      <c r="BV222" s="9" t="s">
        <v>78</v>
      </c>
      <c r="BW222" s="9" t="s">
        <v>78</v>
      </c>
      <c r="BX222" s="9" t="s">
        <v>78</v>
      </c>
      <c r="CB222" s="9" t="s">
        <v>77</v>
      </c>
      <c r="CC222" s="9" t="s">
        <v>80</v>
      </c>
      <c r="CD222" s="9" t="s">
        <v>77</v>
      </c>
      <c r="CE222" s="9" t="s">
        <v>77</v>
      </c>
      <c r="CF222" s="9" t="s">
        <v>77</v>
      </c>
      <c r="CG222" s="9" t="s">
        <v>80</v>
      </c>
      <c r="CH222" s="9" t="s">
        <v>348</v>
      </c>
      <c r="CI222" s="9" t="s">
        <v>919</v>
      </c>
      <c r="CJ222" s="9" t="s">
        <v>80</v>
      </c>
      <c r="CK222" s="9" t="s">
        <v>348</v>
      </c>
      <c r="CL222" s="9" t="s">
        <v>919</v>
      </c>
      <c r="CM222" s="9" t="s">
        <v>77</v>
      </c>
      <c r="CN222" s="9" t="s">
        <v>77</v>
      </c>
      <c r="CO222" s="9" t="s">
        <v>78</v>
      </c>
      <c r="CS222" s="9" t="s">
        <v>80</v>
      </c>
      <c r="CT222" s="9" t="s">
        <v>348</v>
      </c>
      <c r="CU222" s="9" t="s">
        <v>918</v>
      </c>
      <c r="CV222" s="9" t="s">
        <v>80</v>
      </c>
      <c r="CW222" s="9" t="s">
        <v>348</v>
      </c>
      <c r="CX222" s="9" t="s">
        <v>918</v>
      </c>
      <c r="CY222" s="9" t="s">
        <v>77</v>
      </c>
      <c r="CZ222" s="9" t="s">
        <v>77</v>
      </c>
      <c r="DA222" s="9" t="s">
        <v>78</v>
      </c>
      <c r="DE222" s="9" t="s">
        <v>77</v>
      </c>
      <c r="DF222" s="9" t="s">
        <v>78</v>
      </c>
      <c r="DG222" s="9" t="s">
        <v>78</v>
      </c>
      <c r="DH222" s="9" t="s">
        <v>78</v>
      </c>
      <c r="DI222" s="9" t="s">
        <v>918</v>
      </c>
      <c r="DJ222" s="9" t="s">
        <v>77</v>
      </c>
      <c r="DK222" s="9" t="s">
        <v>77</v>
      </c>
      <c r="DN222" s="9" t="s">
        <v>77</v>
      </c>
      <c r="DO222" s="9" t="s">
        <v>77</v>
      </c>
      <c r="DP222" s="9" t="s">
        <v>80</v>
      </c>
      <c r="DQ222" s="9" t="s">
        <v>438</v>
      </c>
      <c r="DR222" s="9" t="s">
        <v>77</v>
      </c>
      <c r="DS222" s="9" t="s">
        <v>78</v>
      </c>
      <c r="DT222" s="9" t="s">
        <v>349</v>
      </c>
      <c r="DU222" s="9" t="s">
        <v>78</v>
      </c>
      <c r="DV222" s="9" t="s">
        <v>77</v>
      </c>
      <c r="DZ222" s="9" t="s">
        <v>77</v>
      </c>
      <c r="EA222" s="9" t="s">
        <v>77</v>
      </c>
      <c r="EB222" s="9" t="s">
        <v>80</v>
      </c>
      <c r="EC222" s="9" t="s">
        <v>438</v>
      </c>
      <c r="ED222" s="9" t="s">
        <v>77</v>
      </c>
      <c r="EE222" s="9" t="s">
        <v>78</v>
      </c>
      <c r="EF222" s="9" t="s">
        <v>349</v>
      </c>
      <c r="EG222" s="9" t="s">
        <v>78</v>
      </c>
      <c r="EH222" s="9" t="s">
        <v>77</v>
      </c>
      <c r="EL222" s="9" t="s">
        <v>77</v>
      </c>
      <c r="EM222" s="9" t="s">
        <v>77</v>
      </c>
      <c r="EN222" s="9" t="s">
        <v>80</v>
      </c>
      <c r="EO222" s="9" t="s">
        <v>438</v>
      </c>
      <c r="EP222" s="9" t="s">
        <v>77</v>
      </c>
      <c r="EQ222" s="9" t="s">
        <v>78</v>
      </c>
      <c r="ER222" s="9" t="s">
        <v>349</v>
      </c>
      <c r="ES222" s="9" t="s">
        <v>78</v>
      </c>
      <c r="ET222" s="9" t="s">
        <v>77</v>
      </c>
      <c r="EX222" s="9" t="s">
        <v>77</v>
      </c>
      <c r="EY222" s="9" t="s">
        <v>77</v>
      </c>
      <c r="EZ222" s="9" t="s">
        <v>80</v>
      </c>
      <c r="FA222" s="9" t="s">
        <v>438</v>
      </c>
      <c r="FB222" s="9" t="s">
        <v>77</v>
      </c>
      <c r="FC222" s="9" t="s">
        <v>78</v>
      </c>
      <c r="FD222" s="9" t="s">
        <v>349</v>
      </c>
      <c r="FE222" s="9" t="s">
        <v>78</v>
      </c>
      <c r="FF222" s="9" t="s">
        <v>77</v>
      </c>
    </row>
    <row r="223" spans="50:162">
      <c r="AX223" s="9" t="s">
        <v>77</v>
      </c>
      <c r="AY223" s="9" t="s">
        <v>77</v>
      </c>
      <c r="AZ223" s="9" t="s">
        <v>80</v>
      </c>
      <c r="BA223" s="9" t="s">
        <v>438</v>
      </c>
      <c r="BB223" s="9" t="s">
        <v>79</v>
      </c>
      <c r="BC223" s="9" t="s">
        <v>78</v>
      </c>
      <c r="BD223" s="9" t="s">
        <v>349</v>
      </c>
      <c r="BE223" s="9" t="s">
        <v>78</v>
      </c>
      <c r="BF223" s="9" t="s">
        <v>77</v>
      </c>
      <c r="BI223" s="9" t="s">
        <v>77</v>
      </c>
      <c r="BJ223" s="9" t="s">
        <v>80</v>
      </c>
      <c r="BK223" s="9" t="s">
        <v>348</v>
      </c>
      <c r="BL223" s="9" t="s">
        <v>920</v>
      </c>
      <c r="BM223" s="9" t="s">
        <v>80</v>
      </c>
      <c r="BN223" s="9" t="s">
        <v>348</v>
      </c>
      <c r="BO223" s="9" t="s">
        <v>920</v>
      </c>
      <c r="BP223" s="9" t="s">
        <v>77</v>
      </c>
      <c r="BQ223" s="9" t="s">
        <v>77</v>
      </c>
      <c r="BR223" s="9" t="s">
        <v>77</v>
      </c>
      <c r="BS223" s="9" t="s">
        <v>77</v>
      </c>
      <c r="BT223" s="9" t="s">
        <v>77</v>
      </c>
      <c r="BU223" s="9" t="s">
        <v>77</v>
      </c>
      <c r="BV223" s="9" t="s">
        <v>78</v>
      </c>
      <c r="BW223" s="9" t="s">
        <v>78</v>
      </c>
      <c r="BX223" s="9" t="s">
        <v>78</v>
      </c>
      <c r="CB223" s="9" t="s">
        <v>77</v>
      </c>
      <c r="CC223" s="9" t="s">
        <v>80</v>
      </c>
      <c r="CD223" s="9" t="s">
        <v>77</v>
      </c>
      <c r="CE223" s="9" t="s">
        <v>77</v>
      </c>
      <c r="CF223" s="9" t="s">
        <v>77</v>
      </c>
      <c r="CG223" s="9" t="s">
        <v>80</v>
      </c>
      <c r="CH223" s="9" t="s">
        <v>348</v>
      </c>
      <c r="CI223" s="9" t="s">
        <v>920</v>
      </c>
      <c r="CJ223" s="9" t="s">
        <v>80</v>
      </c>
      <c r="CK223" s="9" t="s">
        <v>348</v>
      </c>
      <c r="CL223" s="9" t="s">
        <v>920</v>
      </c>
      <c r="CM223" s="9" t="s">
        <v>77</v>
      </c>
      <c r="CN223" s="9" t="s">
        <v>77</v>
      </c>
      <c r="CO223" s="9" t="s">
        <v>78</v>
      </c>
      <c r="CS223" s="9" t="s">
        <v>80</v>
      </c>
      <c r="CT223" s="9" t="s">
        <v>348</v>
      </c>
      <c r="CU223" s="9" t="s">
        <v>920</v>
      </c>
      <c r="CV223" s="9" t="s">
        <v>80</v>
      </c>
      <c r="CW223" s="9" t="s">
        <v>348</v>
      </c>
      <c r="CX223" s="9" t="s">
        <v>920</v>
      </c>
      <c r="CY223" s="9" t="s">
        <v>77</v>
      </c>
      <c r="CZ223" s="9" t="s">
        <v>77</v>
      </c>
      <c r="DA223" s="9" t="s">
        <v>78</v>
      </c>
      <c r="DE223" s="9" t="s">
        <v>77</v>
      </c>
      <c r="DF223" s="9" t="s">
        <v>78</v>
      </c>
      <c r="DG223" s="9" t="s">
        <v>78</v>
      </c>
      <c r="DH223" s="9" t="s">
        <v>78</v>
      </c>
      <c r="DI223" s="9" t="s">
        <v>921</v>
      </c>
      <c r="DJ223" s="9" t="s">
        <v>77</v>
      </c>
      <c r="DK223" s="9" t="s">
        <v>77</v>
      </c>
      <c r="DN223" s="9" t="s">
        <v>77</v>
      </c>
      <c r="DO223" s="9" t="s">
        <v>77</v>
      </c>
      <c r="DP223" s="9" t="s">
        <v>80</v>
      </c>
      <c r="DQ223" s="9" t="s">
        <v>438</v>
      </c>
      <c r="DR223" s="9" t="s">
        <v>77</v>
      </c>
      <c r="DS223" s="9" t="s">
        <v>78</v>
      </c>
      <c r="DT223" s="9" t="s">
        <v>349</v>
      </c>
      <c r="DU223" s="9" t="s">
        <v>78</v>
      </c>
      <c r="DV223" s="9" t="s">
        <v>77</v>
      </c>
      <c r="DZ223" s="9" t="s">
        <v>77</v>
      </c>
      <c r="EA223" s="9" t="s">
        <v>77</v>
      </c>
      <c r="EB223" s="9" t="s">
        <v>80</v>
      </c>
      <c r="EC223" s="9" t="s">
        <v>438</v>
      </c>
      <c r="ED223" s="9" t="s">
        <v>77</v>
      </c>
      <c r="EE223" s="9" t="s">
        <v>78</v>
      </c>
      <c r="EF223" s="9" t="s">
        <v>349</v>
      </c>
      <c r="EG223" s="9" t="s">
        <v>78</v>
      </c>
      <c r="EH223" s="9" t="s">
        <v>77</v>
      </c>
      <c r="EL223" s="9" t="s">
        <v>77</v>
      </c>
      <c r="EM223" s="9" t="s">
        <v>77</v>
      </c>
      <c r="EN223" s="9" t="s">
        <v>80</v>
      </c>
      <c r="EO223" s="9" t="s">
        <v>438</v>
      </c>
      <c r="EP223" s="9" t="s">
        <v>77</v>
      </c>
      <c r="EQ223" s="9" t="s">
        <v>78</v>
      </c>
      <c r="ER223" s="9" t="s">
        <v>349</v>
      </c>
      <c r="ES223" s="9" t="s">
        <v>78</v>
      </c>
      <c r="ET223" s="9" t="s">
        <v>77</v>
      </c>
      <c r="EX223" s="9" t="s">
        <v>77</v>
      </c>
      <c r="EY223" s="9" t="s">
        <v>77</v>
      </c>
      <c r="EZ223" s="9" t="s">
        <v>80</v>
      </c>
      <c r="FA223" s="9" t="s">
        <v>438</v>
      </c>
      <c r="FB223" s="9" t="s">
        <v>77</v>
      </c>
      <c r="FC223" s="9" t="s">
        <v>78</v>
      </c>
      <c r="FD223" s="9" t="s">
        <v>349</v>
      </c>
      <c r="FE223" s="9" t="s">
        <v>78</v>
      </c>
      <c r="FF223" s="9" t="s">
        <v>77</v>
      </c>
    </row>
    <row r="224" spans="50:162">
      <c r="AX224" s="9" t="s">
        <v>77</v>
      </c>
      <c r="AY224" s="9" t="s">
        <v>77</v>
      </c>
      <c r="AZ224" s="9" t="s">
        <v>80</v>
      </c>
      <c r="BA224" s="9" t="s">
        <v>438</v>
      </c>
      <c r="BB224" s="9" t="s">
        <v>79</v>
      </c>
      <c r="BC224" s="9" t="s">
        <v>78</v>
      </c>
      <c r="BD224" s="9" t="s">
        <v>349</v>
      </c>
      <c r="BE224" s="9" t="s">
        <v>78</v>
      </c>
      <c r="BF224" s="9" t="s">
        <v>77</v>
      </c>
      <c r="BI224" s="9" t="s">
        <v>77</v>
      </c>
      <c r="BJ224" s="9" t="s">
        <v>80</v>
      </c>
      <c r="BK224" s="9" t="s">
        <v>348</v>
      </c>
      <c r="BL224" s="9" t="s">
        <v>922</v>
      </c>
      <c r="BM224" s="9" t="s">
        <v>80</v>
      </c>
      <c r="BN224" s="9" t="s">
        <v>348</v>
      </c>
      <c r="BO224" s="9" t="s">
        <v>922</v>
      </c>
      <c r="BP224" s="9" t="s">
        <v>77</v>
      </c>
      <c r="BQ224" s="9" t="s">
        <v>77</v>
      </c>
      <c r="BR224" s="9" t="s">
        <v>77</v>
      </c>
      <c r="BS224" s="9" t="s">
        <v>77</v>
      </c>
      <c r="BT224" s="9" t="s">
        <v>77</v>
      </c>
      <c r="BU224" s="9" t="s">
        <v>77</v>
      </c>
      <c r="BV224" s="9" t="s">
        <v>78</v>
      </c>
      <c r="BW224" s="9" t="s">
        <v>78</v>
      </c>
      <c r="BX224" s="9" t="s">
        <v>78</v>
      </c>
      <c r="CB224" s="9" t="s">
        <v>77</v>
      </c>
      <c r="CC224" s="9" t="s">
        <v>80</v>
      </c>
      <c r="CD224" s="9" t="s">
        <v>77</v>
      </c>
      <c r="CE224" s="9" t="s">
        <v>77</v>
      </c>
      <c r="CF224" s="9" t="s">
        <v>77</v>
      </c>
      <c r="CG224" s="9" t="s">
        <v>80</v>
      </c>
      <c r="CH224" s="9" t="s">
        <v>348</v>
      </c>
      <c r="CI224" s="9" t="s">
        <v>923</v>
      </c>
      <c r="CJ224" s="9" t="s">
        <v>80</v>
      </c>
      <c r="CK224" s="9" t="s">
        <v>348</v>
      </c>
      <c r="CL224" s="9" t="s">
        <v>923</v>
      </c>
      <c r="CM224" s="9" t="s">
        <v>77</v>
      </c>
      <c r="CN224" s="9" t="s">
        <v>77</v>
      </c>
      <c r="CO224" s="9" t="s">
        <v>78</v>
      </c>
      <c r="CS224" s="9" t="s">
        <v>80</v>
      </c>
      <c r="CT224" s="9" t="s">
        <v>348</v>
      </c>
      <c r="CU224" s="9" t="s">
        <v>923</v>
      </c>
      <c r="CV224" s="9" t="s">
        <v>80</v>
      </c>
      <c r="CW224" s="9" t="s">
        <v>348</v>
      </c>
      <c r="CX224" s="9" t="s">
        <v>923</v>
      </c>
      <c r="CY224" s="9" t="s">
        <v>77</v>
      </c>
      <c r="CZ224" s="9" t="s">
        <v>77</v>
      </c>
      <c r="DA224" s="9" t="s">
        <v>78</v>
      </c>
      <c r="DE224" s="9" t="s">
        <v>77</v>
      </c>
      <c r="DF224" s="9" t="s">
        <v>78</v>
      </c>
      <c r="DG224" s="9" t="s">
        <v>78</v>
      </c>
      <c r="DH224" s="9" t="s">
        <v>78</v>
      </c>
      <c r="DI224" s="9" t="s">
        <v>922</v>
      </c>
      <c r="DJ224" s="9" t="s">
        <v>77</v>
      </c>
      <c r="DK224" s="9" t="s">
        <v>77</v>
      </c>
      <c r="DN224" s="9" t="s">
        <v>77</v>
      </c>
      <c r="DO224" s="9" t="s">
        <v>77</v>
      </c>
      <c r="DP224" s="9" t="s">
        <v>80</v>
      </c>
      <c r="DQ224" s="9" t="s">
        <v>438</v>
      </c>
      <c r="DR224" s="9" t="s">
        <v>77</v>
      </c>
      <c r="DS224" s="9" t="s">
        <v>78</v>
      </c>
      <c r="DT224" s="9" t="s">
        <v>349</v>
      </c>
      <c r="DU224" s="9" t="s">
        <v>78</v>
      </c>
      <c r="DV224" s="9" t="s">
        <v>77</v>
      </c>
      <c r="DZ224" s="9" t="s">
        <v>77</v>
      </c>
      <c r="EA224" s="9" t="s">
        <v>77</v>
      </c>
      <c r="EB224" s="9" t="s">
        <v>80</v>
      </c>
      <c r="EC224" s="9" t="s">
        <v>438</v>
      </c>
      <c r="ED224" s="9" t="s">
        <v>77</v>
      </c>
      <c r="EE224" s="9" t="s">
        <v>78</v>
      </c>
      <c r="EF224" s="9" t="s">
        <v>349</v>
      </c>
      <c r="EG224" s="9" t="s">
        <v>78</v>
      </c>
      <c r="EH224" s="9" t="s">
        <v>77</v>
      </c>
      <c r="EL224" s="9" t="s">
        <v>77</v>
      </c>
      <c r="EM224" s="9" t="s">
        <v>77</v>
      </c>
      <c r="EN224" s="9" t="s">
        <v>80</v>
      </c>
      <c r="EO224" s="9" t="s">
        <v>438</v>
      </c>
      <c r="EP224" s="9" t="s">
        <v>77</v>
      </c>
      <c r="EQ224" s="9" t="s">
        <v>78</v>
      </c>
      <c r="ER224" s="9" t="s">
        <v>349</v>
      </c>
      <c r="ES224" s="9" t="s">
        <v>78</v>
      </c>
      <c r="ET224" s="9" t="s">
        <v>77</v>
      </c>
      <c r="EX224" s="9" t="s">
        <v>77</v>
      </c>
      <c r="EY224" s="9" t="s">
        <v>77</v>
      </c>
      <c r="EZ224" s="9" t="s">
        <v>80</v>
      </c>
      <c r="FA224" s="9" t="s">
        <v>438</v>
      </c>
      <c r="FB224" s="9" t="s">
        <v>77</v>
      </c>
      <c r="FC224" s="9" t="s">
        <v>78</v>
      </c>
      <c r="FD224" s="9" t="s">
        <v>349</v>
      </c>
      <c r="FE224" s="9" t="s">
        <v>78</v>
      </c>
      <c r="FF224" s="9" t="s">
        <v>77</v>
      </c>
    </row>
    <row r="225" spans="50:162">
      <c r="AX225" s="9" t="s">
        <v>77</v>
      </c>
      <c r="AY225" s="9" t="s">
        <v>77</v>
      </c>
      <c r="AZ225" s="9" t="s">
        <v>80</v>
      </c>
      <c r="BA225" s="9" t="s">
        <v>438</v>
      </c>
      <c r="BB225" s="9" t="s">
        <v>79</v>
      </c>
      <c r="BC225" s="9" t="s">
        <v>78</v>
      </c>
      <c r="BD225" s="9" t="s">
        <v>349</v>
      </c>
      <c r="BE225" s="9" t="s">
        <v>78</v>
      </c>
      <c r="BF225" s="9" t="s">
        <v>77</v>
      </c>
      <c r="BI225" s="9" t="s">
        <v>77</v>
      </c>
      <c r="BJ225" s="9" t="s">
        <v>80</v>
      </c>
      <c r="BK225" s="9" t="s">
        <v>348</v>
      </c>
      <c r="BL225" s="9" t="s">
        <v>924</v>
      </c>
      <c r="BM225" s="9" t="s">
        <v>80</v>
      </c>
      <c r="BN225" s="9" t="s">
        <v>348</v>
      </c>
      <c r="BO225" s="9" t="s">
        <v>924</v>
      </c>
      <c r="BP225" s="9" t="s">
        <v>77</v>
      </c>
      <c r="BQ225" s="9" t="s">
        <v>77</v>
      </c>
      <c r="BR225" s="9" t="s">
        <v>77</v>
      </c>
      <c r="BS225" s="9" t="s">
        <v>77</v>
      </c>
      <c r="BT225" s="9" t="s">
        <v>77</v>
      </c>
      <c r="BU225" s="9" t="s">
        <v>77</v>
      </c>
      <c r="BV225" s="9" t="s">
        <v>78</v>
      </c>
      <c r="BW225" s="9" t="s">
        <v>78</v>
      </c>
      <c r="BX225" s="9" t="s">
        <v>78</v>
      </c>
      <c r="CB225" s="9" t="s">
        <v>77</v>
      </c>
      <c r="CC225" s="9" t="s">
        <v>80</v>
      </c>
      <c r="CD225" s="9" t="s">
        <v>77</v>
      </c>
      <c r="CE225" s="9" t="s">
        <v>77</v>
      </c>
      <c r="CF225" s="9" t="s">
        <v>77</v>
      </c>
      <c r="CG225" s="9" t="s">
        <v>80</v>
      </c>
      <c r="CH225" s="9" t="s">
        <v>348</v>
      </c>
      <c r="CI225" s="9" t="s">
        <v>925</v>
      </c>
      <c r="CJ225" s="9" t="s">
        <v>80</v>
      </c>
      <c r="CK225" s="9" t="s">
        <v>348</v>
      </c>
      <c r="CL225" s="9" t="s">
        <v>925</v>
      </c>
      <c r="CM225" s="9" t="s">
        <v>77</v>
      </c>
      <c r="CN225" s="9" t="s">
        <v>77</v>
      </c>
      <c r="CO225" s="9" t="s">
        <v>78</v>
      </c>
      <c r="CS225" s="9" t="s">
        <v>80</v>
      </c>
      <c r="CT225" s="9" t="s">
        <v>348</v>
      </c>
      <c r="CU225" s="9" t="s">
        <v>925</v>
      </c>
      <c r="CV225" s="9" t="s">
        <v>80</v>
      </c>
      <c r="CW225" s="9" t="s">
        <v>348</v>
      </c>
      <c r="CX225" s="9" t="s">
        <v>925</v>
      </c>
      <c r="CY225" s="9" t="s">
        <v>77</v>
      </c>
      <c r="CZ225" s="9" t="s">
        <v>77</v>
      </c>
      <c r="DA225" s="9" t="s">
        <v>78</v>
      </c>
      <c r="DE225" s="9" t="s">
        <v>77</v>
      </c>
      <c r="DF225" s="9" t="s">
        <v>78</v>
      </c>
      <c r="DG225" s="9" t="s">
        <v>78</v>
      </c>
      <c r="DH225" s="9" t="s">
        <v>78</v>
      </c>
      <c r="DI225" s="9" t="s">
        <v>924</v>
      </c>
      <c r="DJ225" s="9" t="s">
        <v>77</v>
      </c>
      <c r="DK225" s="9" t="s">
        <v>77</v>
      </c>
      <c r="DN225" s="9" t="s">
        <v>77</v>
      </c>
      <c r="DO225" s="9" t="s">
        <v>77</v>
      </c>
      <c r="DP225" s="9" t="s">
        <v>80</v>
      </c>
      <c r="DQ225" s="9" t="s">
        <v>438</v>
      </c>
      <c r="DR225" s="9" t="s">
        <v>77</v>
      </c>
      <c r="DS225" s="9" t="s">
        <v>78</v>
      </c>
      <c r="DT225" s="9" t="s">
        <v>349</v>
      </c>
      <c r="DU225" s="9" t="s">
        <v>78</v>
      </c>
      <c r="DV225" s="9" t="s">
        <v>77</v>
      </c>
      <c r="DZ225" s="9" t="s">
        <v>77</v>
      </c>
      <c r="EA225" s="9" t="s">
        <v>77</v>
      </c>
      <c r="EB225" s="9" t="s">
        <v>80</v>
      </c>
      <c r="EC225" s="9" t="s">
        <v>438</v>
      </c>
      <c r="ED225" s="9" t="s">
        <v>77</v>
      </c>
      <c r="EE225" s="9" t="s">
        <v>78</v>
      </c>
      <c r="EF225" s="9" t="s">
        <v>349</v>
      </c>
      <c r="EG225" s="9" t="s">
        <v>78</v>
      </c>
      <c r="EH225" s="9" t="s">
        <v>77</v>
      </c>
      <c r="EL225" s="9" t="s">
        <v>77</v>
      </c>
      <c r="EM225" s="9" t="s">
        <v>77</v>
      </c>
      <c r="EN225" s="9" t="s">
        <v>80</v>
      </c>
      <c r="EO225" s="9" t="s">
        <v>438</v>
      </c>
      <c r="EP225" s="9" t="s">
        <v>77</v>
      </c>
      <c r="EQ225" s="9" t="s">
        <v>78</v>
      </c>
      <c r="ER225" s="9" t="s">
        <v>349</v>
      </c>
      <c r="ES225" s="9" t="s">
        <v>78</v>
      </c>
      <c r="ET225" s="9" t="s">
        <v>77</v>
      </c>
      <c r="EX225" s="9" t="s">
        <v>77</v>
      </c>
      <c r="EY225" s="9" t="s">
        <v>77</v>
      </c>
      <c r="EZ225" s="9" t="s">
        <v>80</v>
      </c>
      <c r="FA225" s="9" t="s">
        <v>438</v>
      </c>
      <c r="FB225" s="9" t="s">
        <v>77</v>
      </c>
      <c r="FC225" s="9" t="s">
        <v>78</v>
      </c>
      <c r="FD225" s="9" t="s">
        <v>349</v>
      </c>
      <c r="FE225" s="9" t="s">
        <v>78</v>
      </c>
      <c r="FF225" s="9" t="s">
        <v>77</v>
      </c>
    </row>
    <row r="226" spans="50:162">
      <c r="AX226" s="9" t="s">
        <v>77</v>
      </c>
      <c r="AY226" s="9" t="s">
        <v>77</v>
      </c>
      <c r="AZ226" s="9" t="s">
        <v>80</v>
      </c>
      <c r="BA226" s="9" t="s">
        <v>438</v>
      </c>
      <c r="BB226" s="9" t="s">
        <v>79</v>
      </c>
      <c r="BC226" s="9" t="s">
        <v>78</v>
      </c>
      <c r="BD226" s="9" t="s">
        <v>349</v>
      </c>
      <c r="BE226" s="9" t="s">
        <v>78</v>
      </c>
      <c r="BF226" s="9" t="s">
        <v>77</v>
      </c>
      <c r="BI226" s="9" t="s">
        <v>77</v>
      </c>
      <c r="BJ226" s="9" t="s">
        <v>80</v>
      </c>
      <c r="BK226" s="9" t="s">
        <v>348</v>
      </c>
      <c r="BL226" s="9" t="s">
        <v>926</v>
      </c>
      <c r="BM226" s="9" t="s">
        <v>80</v>
      </c>
      <c r="BN226" s="9" t="s">
        <v>348</v>
      </c>
      <c r="BO226" s="9" t="s">
        <v>926</v>
      </c>
      <c r="BP226" s="9" t="s">
        <v>77</v>
      </c>
      <c r="BQ226" s="9" t="s">
        <v>77</v>
      </c>
      <c r="BR226" s="9" t="s">
        <v>77</v>
      </c>
      <c r="BS226" s="9" t="s">
        <v>77</v>
      </c>
      <c r="BT226" s="9" t="s">
        <v>77</v>
      </c>
      <c r="BU226" s="9" t="s">
        <v>77</v>
      </c>
      <c r="BV226" s="9" t="s">
        <v>78</v>
      </c>
      <c r="BW226" s="9" t="s">
        <v>78</v>
      </c>
      <c r="BX226" s="9" t="s">
        <v>78</v>
      </c>
      <c r="CB226" s="9" t="s">
        <v>77</v>
      </c>
      <c r="CC226" s="9" t="s">
        <v>80</v>
      </c>
      <c r="CD226" s="9" t="s">
        <v>77</v>
      </c>
      <c r="CE226" s="9" t="s">
        <v>77</v>
      </c>
      <c r="CF226" s="9" t="s">
        <v>77</v>
      </c>
      <c r="CG226" s="9" t="s">
        <v>80</v>
      </c>
      <c r="CH226" s="9" t="s">
        <v>348</v>
      </c>
      <c r="CI226" s="9" t="s">
        <v>926</v>
      </c>
      <c r="CJ226" s="9" t="s">
        <v>80</v>
      </c>
      <c r="CK226" s="9" t="s">
        <v>348</v>
      </c>
      <c r="CL226" s="9" t="s">
        <v>926</v>
      </c>
      <c r="CM226" s="9" t="s">
        <v>77</v>
      </c>
      <c r="CN226" s="9" t="s">
        <v>77</v>
      </c>
      <c r="CO226" s="9" t="s">
        <v>78</v>
      </c>
      <c r="CS226" s="9" t="s">
        <v>80</v>
      </c>
      <c r="CT226" s="9" t="s">
        <v>348</v>
      </c>
      <c r="CU226" s="9" t="s">
        <v>926</v>
      </c>
      <c r="CV226" s="9" t="s">
        <v>80</v>
      </c>
      <c r="CW226" s="9" t="s">
        <v>348</v>
      </c>
      <c r="CX226" s="9" t="s">
        <v>926</v>
      </c>
      <c r="CY226" s="9" t="s">
        <v>77</v>
      </c>
      <c r="CZ226" s="9" t="s">
        <v>77</v>
      </c>
      <c r="DA226" s="9" t="s">
        <v>78</v>
      </c>
      <c r="DE226" s="9" t="s">
        <v>77</v>
      </c>
      <c r="DF226" s="9" t="s">
        <v>78</v>
      </c>
      <c r="DG226" s="9" t="s">
        <v>78</v>
      </c>
      <c r="DH226" s="9" t="s">
        <v>78</v>
      </c>
      <c r="DI226" s="9" t="s">
        <v>927</v>
      </c>
      <c r="DJ226" s="9" t="s">
        <v>77</v>
      </c>
      <c r="DK226" s="9" t="s">
        <v>77</v>
      </c>
      <c r="DN226" s="9" t="s">
        <v>77</v>
      </c>
      <c r="DO226" s="9" t="s">
        <v>77</v>
      </c>
      <c r="DP226" s="9" t="s">
        <v>80</v>
      </c>
      <c r="DQ226" s="9" t="s">
        <v>438</v>
      </c>
      <c r="DR226" s="9" t="s">
        <v>77</v>
      </c>
      <c r="DS226" s="9" t="s">
        <v>78</v>
      </c>
      <c r="DT226" s="9" t="s">
        <v>349</v>
      </c>
      <c r="DU226" s="9" t="s">
        <v>78</v>
      </c>
      <c r="DV226" s="9" t="s">
        <v>77</v>
      </c>
      <c r="DZ226" s="9" t="s">
        <v>77</v>
      </c>
      <c r="EA226" s="9" t="s">
        <v>77</v>
      </c>
      <c r="EB226" s="9" t="s">
        <v>80</v>
      </c>
      <c r="EC226" s="9" t="s">
        <v>438</v>
      </c>
      <c r="ED226" s="9" t="s">
        <v>77</v>
      </c>
      <c r="EE226" s="9" t="s">
        <v>78</v>
      </c>
      <c r="EF226" s="9" t="s">
        <v>349</v>
      </c>
      <c r="EG226" s="9" t="s">
        <v>78</v>
      </c>
      <c r="EH226" s="9" t="s">
        <v>77</v>
      </c>
      <c r="EL226" s="9" t="s">
        <v>77</v>
      </c>
      <c r="EM226" s="9" t="s">
        <v>77</v>
      </c>
      <c r="EN226" s="9" t="s">
        <v>80</v>
      </c>
      <c r="EO226" s="9" t="s">
        <v>438</v>
      </c>
      <c r="EP226" s="9" t="s">
        <v>77</v>
      </c>
      <c r="EQ226" s="9" t="s">
        <v>78</v>
      </c>
      <c r="ER226" s="9" t="s">
        <v>349</v>
      </c>
      <c r="ES226" s="9" t="s">
        <v>78</v>
      </c>
      <c r="ET226" s="9" t="s">
        <v>77</v>
      </c>
      <c r="EX226" s="9" t="s">
        <v>77</v>
      </c>
      <c r="EY226" s="9" t="s">
        <v>77</v>
      </c>
      <c r="EZ226" s="9" t="s">
        <v>80</v>
      </c>
      <c r="FA226" s="9" t="s">
        <v>438</v>
      </c>
      <c r="FB226" s="9" t="s">
        <v>77</v>
      </c>
      <c r="FC226" s="9" t="s">
        <v>78</v>
      </c>
      <c r="FD226" s="9" t="s">
        <v>349</v>
      </c>
      <c r="FE226" s="9" t="s">
        <v>78</v>
      </c>
      <c r="FF226" s="9" t="s">
        <v>77</v>
      </c>
    </row>
  </sheetData>
  <phoneticPr fontId="2"/>
  <dataValidations count="1">
    <dataValidation imeMode="off" allowBlank="1" showInputMessage="1" showErrorMessage="1" sqref="B1"/>
  </dataValidations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3"/>
  <sheetViews>
    <sheetView workbookViewId="0">
      <selection activeCell="A3" sqref="A3"/>
    </sheetView>
  </sheetViews>
  <sheetFormatPr defaultRowHeight="13.5"/>
  <cols>
    <col min="1" max="1" width="9" style="9"/>
    <col min="2" max="2" width="21.625" style="9" customWidth="1"/>
    <col min="3" max="16384" width="9" style="9"/>
  </cols>
  <sheetData>
    <row r="1" spans="1:22" ht="27" customHeight="1">
      <c r="A1" s="33" t="s">
        <v>928</v>
      </c>
      <c r="B1" s="41">
        <v>0</v>
      </c>
      <c r="D1" s="33" t="s">
        <v>935</v>
      </c>
      <c r="E1" s="204" t="str">
        <f>ADDRESS(ROW(UNRD0040_IF_SHIIRE_SAKI_MASTER_START),COLUMN(UNRD0040_IF_SHIIRE_SAKI_MASTER_START))&amp;":"&amp;
ADDRESS(ROW(UNRD0040_IF_SHIIRE_SAKI_MASTER_START)+UNRD0040_IF_SHIIRE_SAKI_MASTER_KENSU,COLUMN(UNRD0040_IF_SHIIRE_SAKI_MASTER_START)+21)</f>
        <v>$A$3:$V$3</v>
      </c>
      <c r="F1" s="204"/>
      <c r="G1" s="204"/>
    </row>
    <row r="2" spans="1:22" ht="21" customHeight="1">
      <c r="A2" s="5" t="s">
        <v>83</v>
      </c>
      <c r="B2" s="5" t="s">
        <v>85</v>
      </c>
      <c r="C2" s="5" t="s">
        <v>87</v>
      </c>
      <c r="D2" s="5" t="s">
        <v>89</v>
      </c>
      <c r="E2" s="5" t="s">
        <v>90</v>
      </c>
      <c r="F2" s="5" t="s">
        <v>357</v>
      </c>
      <c r="G2" s="5" t="s">
        <v>92</v>
      </c>
      <c r="H2" s="5" t="s">
        <v>93</v>
      </c>
      <c r="I2" s="5" t="s">
        <v>94</v>
      </c>
      <c r="J2" s="5" t="s">
        <v>99</v>
      </c>
      <c r="K2" s="5" t="s">
        <v>100</v>
      </c>
      <c r="L2" s="5" t="s">
        <v>102</v>
      </c>
      <c r="M2" s="5" t="s">
        <v>114</v>
      </c>
      <c r="N2" s="5" t="s">
        <v>358</v>
      </c>
      <c r="O2" s="5" t="s">
        <v>117</v>
      </c>
      <c r="P2" s="5" t="s">
        <v>120</v>
      </c>
      <c r="Q2" s="5" t="s">
        <v>122</v>
      </c>
      <c r="R2" s="5" t="s">
        <v>359</v>
      </c>
      <c r="S2" s="5" t="s">
        <v>360</v>
      </c>
      <c r="T2" s="5" t="s">
        <v>141</v>
      </c>
      <c r="U2" s="5" t="s">
        <v>43</v>
      </c>
      <c r="V2" s="5" t="s">
        <v>395</v>
      </c>
    </row>
    <row r="3" spans="1:22">
      <c r="A3" s="6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</sheetData>
  <mergeCells count="1">
    <mergeCell ref="E1:G1"/>
  </mergeCells>
  <phoneticPr fontId="2"/>
  <dataValidations count="1">
    <dataValidation imeMode="off" allowBlank="1" showInputMessage="1" showErrorMessage="1" sqref="A2"/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6:G33"/>
  <sheetViews>
    <sheetView workbookViewId="0">
      <selection activeCell="F4" sqref="F4"/>
    </sheetView>
  </sheetViews>
  <sheetFormatPr defaultRowHeight="13.5"/>
  <cols>
    <col min="1" max="1" width="18.875" customWidth="1"/>
    <col min="2" max="2" width="4.375" customWidth="1"/>
    <col min="3" max="3" width="4" customWidth="1"/>
    <col min="4" max="4" width="4.75" customWidth="1"/>
    <col min="5" max="5" width="23.375" customWidth="1"/>
    <col min="6" max="6" width="96.375" customWidth="1"/>
    <col min="7" max="7" width="26.875" customWidth="1"/>
  </cols>
  <sheetData>
    <row r="6" spans="2:7" ht="16.5">
      <c r="B6" s="198" t="s">
        <v>366</v>
      </c>
      <c r="C6" s="199"/>
      <c r="D6" s="199"/>
      <c r="E6" s="200"/>
      <c r="F6" s="10"/>
      <c r="G6" s="11" t="s">
        <v>367</v>
      </c>
    </row>
    <row r="7" spans="2:7" ht="30.75" customHeight="1">
      <c r="B7" s="194" t="s">
        <v>368</v>
      </c>
      <c r="C7" s="195"/>
      <c r="D7" s="195"/>
      <c r="E7" s="196"/>
      <c r="F7" s="12" t="str">
        <f>F8 &amp; F9 &amp; F11</f>
        <v>SELECT M_AITESAKI.AITE_CD
       ,M_AITESAKI.AITE_MEI
       ,CASE 
        WHEN M_AITESAKI.TANTO_MEI IS NULL Or M_AITESAKI.TANTO_MEI =''
            THEN M_AITESAKI.KEISHO
          ELSE ''
        END AS KEISHO
       ,M_AITESAKI.YUBIN_NO
       ,M_AITESAKI.ADDRESS_1
       ,M_AITESAKI.ADDRESS_2
       ,M_AITESAKI.TEL
       ,M_AITESAKI.FAX
       ,M_AITESAKI.MAIL
       ,M_AITESAKI.TANTO_MEI
       ,M_AITESAKI.BUSHO_MEI
       ,CASE 
        WHEN M_AITESAKI.TANTO_MEI IS NULL Or M_AITESAKI.TANTO_MEI =''
            THEN ''
          ELSE M_AITESAKI.KEISHO
        END AS TANTOSHA_KEISHO
        ,NULL
        ,NULL
        ,M_AITESAKI.SHIHARAIHOHO_KBN
        ,M_AITESAKI.SHIIRE_HASU_KBN
        ,NULL
        ,NULL
        ,M_AITESAKI.SHIIRE_TESURYO_KBN
        ,M_AITESAKI.BIKO
        ,NULL
        ,NULL
   FROM M_AITESAKI
 WHERE 1=1
 AND M_AITESAKI.SHIRE_FLG = 'True' AND (1!=1
   OR CONVERT(DATETIME, SUBSTRING(M_AITESAKI.DBS_UPDATE_DATE,3,19) , 120) &gt; M_AITESAKI.LINK_DATETIME
   OR M_AITESAKI.LINK_DATETIME IS NULL OR M_AITESAKI.LINK_DATETIME = '' )</v>
      </c>
      <c r="G7" s="13" t="s">
        <v>390</v>
      </c>
    </row>
    <row r="8" spans="2:7" ht="36.75" customHeight="1">
      <c r="B8" s="14"/>
      <c r="C8" s="197" t="s">
        <v>369</v>
      </c>
      <c r="D8" s="197"/>
      <c r="E8" s="197"/>
      <c r="F8" s="16" t="s">
        <v>1819</v>
      </c>
      <c r="G8" s="15"/>
    </row>
    <row r="9" spans="2:7" ht="24.75" customHeight="1">
      <c r="B9" s="14"/>
      <c r="C9" s="197" t="s">
        <v>370</v>
      </c>
      <c r="D9" s="197"/>
      <c r="E9" s="197"/>
      <c r="F9" s="20" t="s">
        <v>373</v>
      </c>
      <c r="G9" s="15"/>
    </row>
    <row r="10" spans="2:7" ht="16.5">
      <c r="B10" s="194" t="s">
        <v>371</v>
      </c>
      <c r="C10" s="195"/>
      <c r="D10" s="195"/>
      <c r="E10" s="196"/>
      <c r="F10" s="12"/>
      <c r="G10" s="13"/>
    </row>
    <row r="11" spans="2:7" ht="29.25" customHeight="1">
      <c r="B11" s="14"/>
      <c r="C11" s="197" t="s">
        <v>426</v>
      </c>
      <c r="D11" s="197"/>
      <c r="E11" s="197"/>
      <c r="F11" s="16" t="str">
        <f>" WHERE 1=1
" &amp;F12&amp;F13</f>
        <v xml:space="preserve"> WHERE 1=1
 AND M_AITESAKI.SHIRE_FLG = 'True' AND (1!=1
   OR CONVERT(DATETIME, SUBSTRING(M_AITESAKI.DBS_UPDATE_DATE,3,19) , 120) &gt; M_AITESAKI.LINK_DATETIME
   OR M_AITESAKI.LINK_DATETIME IS NULL OR M_AITESAKI.LINK_DATETIME = '' )</v>
      </c>
      <c r="G11" s="15"/>
    </row>
    <row r="12" spans="2:7" ht="27.75" customHeight="1">
      <c r="B12" s="14"/>
      <c r="C12" s="17"/>
      <c r="D12" s="206" t="s">
        <v>392</v>
      </c>
      <c r="E12" s="193"/>
      <c r="F12" s="16" t="s">
        <v>391</v>
      </c>
      <c r="G12" s="15"/>
    </row>
    <row r="13" spans="2:7" ht="27.75" customHeight="1">
      <c r="B13" s="14"/>
      <c r="C13" s="17"/>
      <c r="D13" s="25" t="s">
        <v>403</v>
      </c>
      <c r="E13" s="26"/>
      <c r="F13" s="16" t="str">
        <f xml:space="preserve"> " AND (1!=1" &amp;F14 &amp;F15 &amp;
" )"</f>
        <v xml:space="preserve"> AND (1!=1
   OR CONVERT(DATETIME, SUBSTRING(M_AITESAKI.DBS_UPDATE_DATE,3,19) , 120) &gt; M_AITESAKI.LINK_DATETIME
   OR M_AITESAKI.LINK_DATETIME IS NULL OR M_AITESAKI.LINK_DATETIME = '' )</v>
      </c>
      <c r="G13" s="15"/>
    </row>
    <row r="14" spans="2:7" ht="27.75" customHeight="1">
      <c r="B14" s="14"/>
      <c r="C14" s="17"/>
      <c r="D14" s="27"/>
      <c r="E14" s="29" t="s">
        <v>430</v>
      </c>
      <c r="F14" s="16" t="s">
        <v>427</v>
      </c>
      <c r="G14" s="15"/>
    </row>
    <row r="15" spans="2:7" ht="27.75" customHeight="1">
      <c r="B15" s="18"/>
      <c r="C15" s="19"/>
      <c r="D15" s="28"/>
      <c r="E15" s="30" t="s">
        <v>431</v>
      </c>
      <c r="F15" s="16" t="s">
        <v>428</v>
      </c>
      <c r="G15" s="15"/>
    </row>
    <row r="20" spans="2:7" ht="16.5">
      <c r="B20" s="198" t="s">
        <v>413</v>
      </c>
      <c r="C20" s="199"/>
      <c r="D20" s="199"/>
      <c r="E20" s="200"/>
      <c r="F20" s="10"/>
      <c r="G20" s="11" t="s">
        <v>367</v>
      </c>
    </row>
    <row r="21" spans="2:7" ht="49.5" customHeight="1">
      <c r="B21" s="194" t="s">
        <v>429</v>
      </c>
      <c r="C21" s="195"/>
      <c r="D21" s="195"/>
      <c r="E21" s="196"/>
      <c r="F21" s="12" t="str">
        <f ca="1">F22 &amp;F23 &amp; F24</f>
        <v>UPDATE M_AITESAKI 
      SET        M_AITESAKI.LINK_DATETIME = '2017/07/10 10:48:29' 
    WHERE (1=1)    AND M_AITESAKI.SHIRE_FLG = 'True'
 AND (1!=1
   OR CONVERT(DATETIME, SUBSTRING(M_AITESAKI.DBS_UPDATE_DATE,3,19) , 120) &gt; M_AITESAKI.LINK_DATETIME
   OR M_AITESAKI.LINK_DATETIME IS NULL OR M_AITESAKI.LINK_DATETIME = '' )</v>
      </c>
      <c r="G21" s="13" t="s">
        <v>432</v>
      </c>
    </row>
    <row r="22" spans="2:7" ht="28.5" customHeight="1">
      <c r="B22" s="14"/>
      <c r="C22" s="197" t="s">
        <v>414</v>
      </c>
      <c r="D22" s="197"/>
      <c r="E22" s="197"/>
      <c r="F22" s="16" t="s">
        <v>434</v>
      </c>
      <c r="G22" s="15"/>
    </row>
    <row r="23" spans="2:7" ht="28.5" customHeight="1">
      <c r="B23" s="14"/>
      <c r="C23" s="206" t="s">
        <v>415</v>
      </c>
      <c r="D23" s="192"/>
      <c r="E23" s="193"/>
      <c r="F23" s="16" t="str">
        <f ca="1">"       M_AITESAKI.LINK_DATETIME = '" &amp; TEXT(NOW(),"YYYY/MM/DD　ｈｈ：ｍｍ：ｓｓ")&amp;"'"</f>
        <v xml:space="preserve">       M_AITESAKI.LINK_DATETIME = '2017/07/10 10:48:29'</v>
      </c>
      <c r="G23" s="15"/>
    </row>
    <row r="24" spans="2:7" ht="29.25" customHeight="1">
      <c r="B24" s="14"/>
      <c r="C24" s="197" t="s">
        <v>372</v>
      </c>
      <c r="D24" s="197"/>
      <c r="E24" s="197"/>
      <c r="F24" s="16" t="str">
        <f>" 
    WHERE (1=1)" &amp;F25 &amp;F26 &amp;F29</f>
        <v xml:space="preserve"> 
    WHERE (1=1)    AND M_AITESAKI.SHIRE_FLG = 'True'
 AND (1!=1
   OR CONVERT(DATETIME, SUBSTRING(M_AITESAKI.DBS_UPDATE_DATE,3,19) , 120) &gt; M_AITESAKI.LINK_DATETIME
   OR M_AITESAKI.LINK_DATETIME IS NULL OR M_AITESAKI.LINK_DATETIME = '' )</v>
      </c>
      <c r="G24" s="15"/>
    </row>
    <row r="25" spans="2:7" ht="29.25" customHeight="1">
      <c r="B25" s="14"/>
      <c r="C25" s="17"/>
      <c r="D25" s="191" t="s">
        <v>317</v>
      </c>
      <c r="E25" s="193"/>
      <c r="F25" s="31" t="s">
        <v>929</v>
      </c>
      <c r="G25" s="15"/>
    </row>
    <row r="26" spans="2:7" ht="27.75" customHeight="1">
      <c r="B26" s="14"/>
      <c r="C26" s="17"/>
      <c r="D26" s="25" t="s">
        <v>403</v>
      </c>
      <c r="E26" s="26"/>
      <c r="F26" s="16" t="str">
        <f xml:space="preserve"> " AND (1!=1" &amp;F27 &amp;F28 &amp;
" )"</f>
        <v xml:space="preserve"> AND (1!=1
   OR CONVERT(DATETIME, SUBSTRING(M_AITESAKI.DBS_UPDATE_DATE,3,19) , 120) &gt; M_AITESAKI.LINK_DATETIME
   OR M_AITESAKI.LINK_DATETIME IS NULL OR M_AITESAKI.LINK_DATETIME = '' )</v>
      </c>
      <c r="G26" s="15"/>
    </row>
    <row r="27" spans="2:7" ht="27.75" customHeight="1">
      <c r="B27" s="14"/>
      <c r="C27" s="17"/>
      <c r="D27" s="27"/>
      <c r="E27" s="29" t="s">
        <v>430</v>
      </c>
      <c r="F27" s="16" t="s">
        <v>427</v>
      </c>
      <c r="G27" s="15"/>
    </row>
    <row r="28" spans="2:7" ht="27.75" customHeight="1">
      <c r="B28" s="14"/>
      <c r="C28" s="17"/>
      <c r="D28" s="28"/>
      <c r="E28" s="30" t="s">
        <v>431</v>
      </c>
      <c r="F28" s="16" t="s">
        <v>428</v>
      </c>
      <c r="G28" s="15"/>
    </row>
    <row r="29" spans="2:7" ht="29.25" customHeight="1">
      <c r="B29" s="14"/>
      <c r="C29" s="19"/>
      <c r="D29" s="191" t="s">
        <v>435</v>
      </c>
      <c r="E29" s="193"/>
      <c r="F29" s="31" t="str">
        <f>IF(G29," 
    AND M_AITESAKI.AITE_CD NOT IN " &amp; UNRD_COMMON_SHIIRE_ERROR_CODE_LIST,"")</f>
        <v/>
      </c>
      <c r="G29" s="15" t="b">
        <f>NOT(ISBLANK(UNRD_COMMON_SHIIRE_ERROR_CODE_LIST))</f>
        <v>0</v>
      </c>
    </row>
    <row r="30" spans="2:7" ht="49.5" customHeight="1">
      <c r="B30" s="194" t="s">
        <v>424</v>
      </c>
      <c r="C30" s="195"/>
      <c r="D30" s="195"/>
      <c r="E30" s="196"/>
      <c r="F30" s="12" t="str">
        <f ca="1">F31 &amp;F32 &amp;F33</f>
        <v>UPDATE M_CONTROL 
      SET   SHIIRE_MASTER_LINK_DATE_TIME = '2017/07/10 10:48:29'
  WHERE M_CONTROL.CTRL_KEY = 1</v>
      </c>
      <c r="G30" s="13" t="s">
        <v>433</v>
      </c>
    </row>
    <row r="31" spans="2:7" ht="28.5" customHeight="1">
      <c r="B31" s="14"/>
      <c r="C31" s="197" t="s">
        <v>414</v>
      </c>
      <c r="D31" s="197"/>
      <c r="E31" s="197"/>
      <c r="F31" s="16" t="s">
        <v>419</v>
      </c>
      <c r="G31" s="15"/>
    </row>
    <row r="32" spans="2:7" ht="28.5" customHeight="1">
      <c r="B32" s="14"/>
      <c r="C32" s="206" t="s">
        <v>415</v>
      </c>
      <c r="D32" s="192"/>
      <c r="E32" s="193"/>
      <c r="F32" s="16" t="str">
        <f ca="1" xml:space="preserve"> "  SHIIRE_MASTER_LINK_DATE_TIME = '" &amp; TEXT(NOW(),"YYYY/MM/DD　ｈｈ：ｍｍ：ｓｓ")&amp;"'"</f>
        <v xml:space="preserve">  SHIIRE_MASTER_LINK_DATE_TIME = '2017/07/10 10:48:29'</v>
      </c>
      <c r="G32" s="15"/>
    </row>
    <row r="33" spans="2:7" ht="29.25" customHeight="1">
      <c r="B33" s="18"/>
      <c r="C33" s="207" t="s">
        <v>372</v>
      </c>
      <c r="D33" s="207"/>
      <c r="E33" s="207"/>
      <c r="F33" s="16" t="s">
        <v>420</v>
      </c>
      <c r="G33" s="15"/>
    </row>
  </sheetData>
  <mergeCells count="18">
    <mergeCell ref="D12:E12"/>
    <mergeCell ref="B6:E6"/>
    <mergeCell ref="B7:E7"/>
    <mergeCell ref="C8:E8"/>
    <mergeCell ref="C9:E9"/>
    <mergeCell ref="B10:E10"/>
    <mergeCell ref="C11:E11"/>
    <mergeCell ref="C33:E33"/>
    <mergeCell ref="B20:E20"/>
    <mergeCell ref="B21:E21"/>
    <mergeCell ref="C22:E22"/>
    <mergeCell ref="C23:E23"/>
    <mergeCell ref="C24:E24"/>
    <mergeCell ref="D25:E25"/>
    <mergeCell ref="D29:E29"/>
    <mergeCell ref="B30:E30"/>
    <mergeCell ref="C31:E31"/>
    <mergeCell ref="C32:E32"/>
  </mergeCells>
  <phoneticPr fontId="2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8" tint="0.79998168889431442"/>
  </sheetPr>
  <dimension ref="A1:BV2"/>
  <sheetViews>
    <sheetView zoomScale="90" zoomScaleNormal="90" workbookViewId="0"/>
  </sheetViews>
  <sheetFormatPr defaultRowHeight="17.100000000000001" customHeight="1"/>
  <cols>
    <col min="1" max="1" width="26.875" style="2" customWidth="1"/>
    <col min="2" max="2" width="21.375" style="2" customWidth="1"/>
    <col min="3" max="4" width="12.25" style="2" bestFit="1" customWidth="1"/>
    <col min="5" max="7" width="13.125" style="2" bestFit="1" customWidth="1"/>
    <col min="8" max="8" width="20.75" style="2" bestFit="1" customWidth="1"/>
    <col min="9" max="9" width="13.125" style="2" bestFit="1" customWidth="1"/>
    <col min="10" max="10" width="4.875" style="2" bestFit="1" customWidth="1"/>
    <col min="11" max="11" width="6.875" style="2" bestFit="1" customWidth="1"/>
    <col min="12" max="12" width="13.125" style="2" bestFit="1" customWidth="1"/>
    <col min="13" max="13" width="5.75" style="2" bestFit="1" customWidth="1"/>
    <col min="14" max="14" width="4.875" style="2" bestFit="1" customWidth="1"/>
    <col min="15" max="15" width="9.625" style="2" bestFit="1" customWidth="1"/>
    <col min="16" max="16" width="11.75" style="2" bestFit="1" customWidth="1"/>
    <col min="17" max="17" width="12.875" style="2" bestFit="1" customWidth="1"/>
    <col min="18" max="23" width="6.875" style="2" bestFit="1" customWidth="1"/>
    <col min="24" max="25" width="10.375" style="2" bestFit="1" customWidth="1"/>
    <col min="26" max="26" width="12.625" style="2" bestFit="1" customWidth="1"/>
    <col min="27" max="27" width="12.125" style="2" bestFit="1" customWidth="1"/>
    <col min="28" max="28" width="9.625" style="2" bestFit="1" customWidth="1"/>
    <col min="29" max="29" width="11" style="2" bestFit="1" customWidth="1"/>
    <col min="30" max="30" width="8.875" style="2" bestFit="1" customWidth="1"/>
    <col min="31" max="31" width="12.75" style="2" bestFit="1" customWidth="1"/>
    <col min="32" max="32" width="9.875" style="2" bestFit="1" customWidth="1"/>
    <col min="33" max="33" width="9.75" style="2" bestFit="1" customWidth="1"/>
    <col min="34" max="36" width="14.75" style="2" bestFit="1" customWidth="1"/>
    <col min="37" max="37" width="11.875" style="2" bestFit="1" customWidth="1"/>
    <col min="38" max="40" width="11" style="2" bestFit="1" customWidth="1"/>
    <col min="41" max="41" width="14" style="2" bestFit="1" customWidth="1"/>
    <col min="42" max="42" width="24.125" style="2" bestFit="1" customWidth="1"/>
    <col min="43" max="43" width="9.625" style="2" bestFit="1" customWidth="1"/>
    <col min="44" max="44" width="12.625" style="2" bestFit="1" customWidth="1"/>
    <col min="45" max="45" width="24.125" style="2" bestFit="1" customWidth="1"/>
    <col min="46" max="46" width="16.25" style="2" bestFit="1" customWidth="1"/>
    <col min="47" max="47" width="23.25" style="2" customWidth="1"/>
    <col min="48" max="48" width="16.25" style="2" bestFit="1" customWidth="1"/>
    <col min="49" max="51" width="13.75" style="2" bestFit="1" customWidth="1"/>
    <col min="52" max="54" width="18.375" style="2" bestFit="1" customWidth="1"/>
    <col min="55" max="57" width="16.5" style="2" bestFit="1" customWidth="1"/>
    <col min="58" max="58" width="16.25" style="2" bestFit="1" customWidth="1"/>
    <col min="59" max="59" width="19.25" style="2" bestFit="1" customWidth="1"/>
    <col min="60" max="60" width="24.125" style="2" bestFit="1" customWidth="1"/>
    <col min="61" max="61" width="14.875" style="2" bestFit="1" customWidth="1"/>
    <col min="62" max="62" width="17.875" style="2" bestFit="1" customWidth="1"/>
    <col min="63" max="63" width="24.125" style="2" bestFit="1" customWidth="1"/>
    <col min="64" max="64" width="15.5" style="2" bestFit="1" customWidth="1"/>
    <col min="65" max="65" width="13" style="2" bestFit="1" customWidth="1"/>
    <col min="66" max="66" width="17.625" style="2" bestFit="1" customWidth="1"/>
    <col min="67" max="16384" width="9" style="2"/>
  </cols>
  <sheetData>
    <row r="1" spans="1:74" ht="27" customHeight="1">
      <c r="A1" s="7" t="s">
        <v>3</v>
      </c>
      <c r="B1" s="7" t="s">
        <v>4</v>
      </c>
      <c r="C1" s="7" t="s">
        <v>5</v>
      </c>
      <c r="D1" s="7" t="s">
        <v>6</v>
      </c>
      <c r="E1" s="7" t="s">
        <v>7</v>
      </c>
      <c r="F1" s="7" t="s">
        <v>8</v>
      </c>
      <c r="G1" s="7" t="s">
        <v>9</v>
      </c>
      <c r="H1" s="7" t="s">
        <v>10</v>
      </c>
      <c r="I1" s="7" t="s">
        <v>11</v>
      </c>
      <c r="J1" s="7" t="s">
        <v>12</v>
      </c>
      <c r="K1" s="7" t="s">
        <v>13</v>
      </c>
      <c r="L1" s="7" t="s">
        <v>14</v>
      </c>
      <c r="M1" s="7" t="s">
        <v>15</v>
      </c>
      <c r="N1" s="7" t="s">
        <v>16</v>
      </c>
      <c r="O1" s="7" t="s">
        <v>17</v>
      </c>
      <c r="P1" s="7" t="s">
        <v>18</v>
      </c>
      <c r="Q1" s="7" t="s">
        <v>19</v>
      </c>
      <c r="R1" s="7" t="s">
        <v>20</v>
      </c>
      <c r="S1" s="7" t="s">
        <v>21</v>
      </c>
      <c r="T1" s="7" t="s">
        <v>22</v>
      </c>
      <c r="U1" s="7" t="s">
        <v>23</v>
      </c>
      <c r="V1" s="7" t="s">
        <v>24</v>
      </c>
      <c r="W1" s="7" t="s">
        <v>25</v>
      </c>
      <c r="X1" s="7" t="s">
        <v>26</v>
      </c>
      <c r="Y1" s="7" t="s">
        <v>27</v>
      </c>
      <c r="Z1" s="7" t="s">
        <v>28</v>
      </c>
      <c r="AA1" s="7" t="s">
        <v>29</v>
      </c>
      <c r="AB1" s="7" t="s">
        <v>30</v>
      </c>
      <c r="AC1" s="7" t="s">
        <v>31</v>
      </c>
      <c r="AD1" s="7" t="s">
        <v>32</v>
      </c>
      <c r="AE1" s="7" t="s">
        <v>33</v>
      </c>
      <c r="AF1" s="7" t="s">
        <v>34</v>
      </c>
      <c r="AG1" s="7" t="s">
        <v>35</v>
      </c>
      <c r="AH1" s="7" t="s">
        <v>36</v>
      </c>
      <c r="AI1" s="7" t="s">
        <v>37</v>
      </c>
      <c r="AJ1" s="7" t="s">
        <v>38</v>
      </c>
      <c r="AK1" s="7" t="s">
        <v>39</v>
      </c>
      <c r="AL1" s="7" t="s">
        <v>40</v>
      </c>
      <c r="AM1" s="7" t="s">
        <v>41</v>
      </c>
      <c r="AN1" s="7" t="s">
        <v>42</v>
      </c>
      <c r="AO1" s="7" t="s">
        <v>43</v>
      </c>
      <c r="AP1" s="7" t="s">
        <v>44</v>
      </c>
      <c r="AQ1" s="7" t="s">
        <v>45</v>
      </c>
      <c r="AR1" s="7" t="s">
        <v>46</v>
      </c>
      <c r="AS1" s="7" t="s">
        <v>47</v>
      </c>
      <c r="AT1" s="7" t="s">
        <v>48</v>
      </c>
      <c r="AU1" s="7" t="s">
        <v>49</v>
      </c>
      <c r="AV1" s="7" t="s">
        <v>50</v>
      </c>
      <c r="AW1" s="7" t="s">
        <v>51</v>
      </c>
      <c r="AX1" s="7" t="s">
        <v>52</v>
      </c>
      <c r="AY1" s="7" t="s">
        <v>53</v>
      </c>
      <c r="AZ1" s="7" t="s">
        <v>54</v>
      </c>
      <c r="BA1" s="7" t="s">
        <v>55</v>
      </c>
      <c r="BB1" s="7" t="s">
        <v>56</v>
      </c>
      <c r="BC1" s="7" t="s">
        <v>57</v>
      </c>
      <c r="BD1" s="7" t="s">
        <v>58</v>
      </c>
      <c r="BE1" s="7" t="s">
        <v>59</v>
      </c>
      <c r="BF1" s="7" t="s">
        <v>60</v>
      </c>
      <c r="BG1" s="7" t="s">
        <v>61</v>
      </c>
      <c r="BH1" s="7" t="s">
        <v>62</v>
      </c>
      <c r="BI1" s="7" t="s">
        <v>63</v>
      </c>
      <c r="BJ1" s="7" t="s">
        <v>64</v>
      </c>
      <c r="BK1" s="7" t="s">
        <v>65</v>
      </c>
      <c r="BL1" s="7" t="s">
        <v>66</v>
      </c>
      <c r="BM1" s="7" t="s">
        <v>67</v>
      </c>
      <c r="BN1" s="7" t="s">
        <v>68</v>
      </c>
      <c r="BO1" s="7" t="s">
        <v>69</v>
      </c>
      <c r="BP1" s="7" t="s">
        <v>70</v>
      </c>
      <c r="BQ1" s="7" t="s">
        <v>71</v>
      </c>
      <c r="BR1" s="7" t="s">
        <v>72</v>
      </c>
      <c r="BS1" s="7" t="s">
        <v>73</v>
      </c>
      <c r="BT1" s="7" t="s">
        <v>74</v>
      </c>
      <c r="BU1" s="7" t="s">
        <v>75</v>
      </c>
      <c r="BV1" s="7" t="s">
        <v>76</v>
      </c>
    </row>
    <row r="2" spans="1:74" ht="17.100000000000001" customHeight="1">
      <c r="A2" s="6"/>
      <c r="BV2" s="1"/>
    </row>
  </sheetData>
  <phoneticPr fontId="2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Y3"/>
  <sheetViews>
    <sheetView workbookViewId="0">
      <selection activeCell="D2" sqref="D2"/>
    </sheetView>
  </sheetViews>
  <sheetFormatPr defaultRowHeight="13.5"/>
  <cols>
    <col min="1" max="1" width="9" style="9"/>
    <col min="2" max="2" width="18" style="9" customWidth="1"/>
    <col min="3" max="16384" width="9" style="9"/>
  </cols>
  <sheetData>
    <row r="1" spans="1:25" ht="27" customHeight="1">
      <c r="A1" s="33" t="s">
        <v>928</v>
      </c>
      <c r="B1" s="34" t="s">
        <v>1807</v>
      </c>
      <c r="D1" s="33" t="s">
        <v>934</v>
      </c>
      <c r="E1" s="204" t="str">
        <f>ADDRESS(ROW(UNRD0050_IF_SHOHIN_MASTER_START),COLUMN(UNRD0050_IF_SHOHIN_MASTER_START))&amp;":"&amp;
ADDRESS(ROW(UNRD0050_IF_SHOHIN_MASTER_START)+UNRD0050_IF_SHOHIN_MASTER_KENSU,COLUMN(UNRD0050_IF_SHOHIN_MASTER_START)+24)</f>
        <v>$A$3:$Y$3</v>
      </c>
      <c r="F1" s="204"/>
      <c r="G1" s="204"/>
    </row>
    <row r="2" spans="1:25" ht="26.25" customHeight="1">
      <c r="A2" s="5" t="s">
        <v>4</v>
      </c>
      <c r="B2" s="5" t="s">
        <v>5</v>
      </c>
      <c r="C2" s="5" t="s">
        <v>9</v>
      </c>
      <c r="D2" s="5" t="s">
        <v>10</v>
      </c>
      <c r="E2" s="5" t="s">
        <v>11</v>
      </c>
      <c r="F2" s="5" t="s">
        <v>12</v>
      </c>
      <c r="G2" s="5" t="s">
        <v>13</v>
      </c>
      <c r="H2" s="5" t="s">
        <v>14</v>
      </c>
      <c r="I2" s="5" t="s">
        <v>15</v>
      </c>
      <c r="J2" s="5" t="s">
        <v>16</v>
      </c>
      <c r="K2" s="5" t="s">
        <v>20</v>
      </c>
      <c r="L2" s="5" t="s">
        <v>21</v>
      </c>
      <c r="M2" s="5" t="s">
        <v>22</v>
      </c>
      <c r="N2" s="5" t="s">
        <v>23</v>
      </c>
      <c r="O2" s="5" t="s">
        <v>28</v>
      </c>
      <c r="P2" s="5" t="s">
        <v>30</v>
      </c>
      <c r="Q2" s="5" t="s">
        <v>31</v>
      </c>
      <c r="R2" s="5" t="s">
        <v>32</v>
      </c>
      <c r="S2" s="5" t="s">
        <v>33</v>
      </c>
      <c r="T2" s="5" t="s">
        <v>34</v>
      </c>
      <c r="U2" s="5" t="s">
        <v>35</v>
      </c>
      <c r="V2" s="5" t="s">
        <v>36</v>
      </c>
      <c r="W2" s="5" t="s">
        <v>37</v>
      </c>
      <c r="X2" s="5" t="s">
        <v>43</v>
      </c>
      <c r="Y2" s="5" t="s">
        <v>76</v>
      </c>
    </row>
    <row r="3" spans="1:25">
      <c r="A3" s="6"/>
      <c r="B3" s="2"/>
      <c r="C3" s="2"/>
      <c r="D3" s="2"/>
      <c r="E3" s="2"/>
      <c r="F3" s="2"/>
      <c r="G3" s="2"/>
      <c r="H3" s="2"/>
      <c r="I3" s="2"/>
      <c r="J3" s="2"/>
      <c r="K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</row>
  </sheetData>
  <mergeCells count="1">
    <mergeCell ref="E1:G1"/>
  </mergeCells>
  <phoneticPr fontId="2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6:H30"/>
  <sheetViews>
    <sheetView zoomScale="70" zoomScaleNormal="70" workbookViewId="0">
      <selection activeCell="A8" sqref="A8"/>
    </sheetView>
  </sheetViews>
  <sheetFormatPr defaultRowHeight="13.5"/>
  <cols>
    <col min="1" max="1" width="18.875" customWidth="1"/>
    <col min="2" max="2" width="4.375" customWidth="1"/>
    <col min="3" max="3" width="4" customWidth="1"/>
    <col min="4" max="4" width="4.75" customWidth="1"/>
    <col min="5" max="5" width="23.375" customWidth="1"/>
    <col min="6" max="6" width="96.375" customWidth="1"/>
    <col min="7" max="7" width="26.875" customWidth="1"/>
    <col min="8" max="8" width="61.125" customWidth="1"/>
  </cols>
  <sheetData>
    <row r="6" spans="2:8" ht="16.5">
      <c r="B6" s="198" t="s">
        <v>366</v>
      </c>
      <c r="C6" s="199"/>
      <c r="D6" s="199"/>
      <c r="E6" s="200"/>
      <c r="F6" s="10"/>
      <c r="G6" s="11" t="s">
        <v>367</v>
      </c>
    </row>
    <row r="7" spans="2:8" ht="30.75" customHeight="1">
      <c r="B7" s="194" t="s">
        <v>368</v>
      </c>
      <c r="C7" s="195"/>
      <c r="D7" s="195"/>
      <c r="E7" s="196"/>
      <c r="F7" s="12" t="str">
        <f>F8 &amp; F9 &amp; F11</f>
        <v>SELECT M_SHOHIN.SHOHIN_CD
       ,M_SHOHIN.SHOHIN_MEI
       ,M_SHOHIN.SHOHIN_BUNRUI
       ,NULL
       ,NULL
       ,NULL
       ,NULL
       ,CASE 
        WHEN M_SHOHIN.IRISU IS NULL Or M_SHOHIN.IRISU = 0
            THEN M_SHOHIN.BARA_TANI
          ELSE M_SHOHIN.IRISU_TANI
        END AS TANI
       ,M_SHOHIN.IRISU
       ,M_SHOHIN.HIMBAN
       ,M_SHOHIN.SHIIRE_CD
       ,M_SHOHIN.HYOJUN_KAKAKU
       ,M_SHOHIN.GENKA
       ,M_SHOHIN.BAIKA
       ,M_SHOHIN.SHIIRE_TANKA
       ,CASE 
        WHEN (M_SHOHIN.BUNSEKI_FLG = 'True' Or M_SHOHIN.SHOHIN_FLG = 'True') And M_SHOHIN.KOBAIHIN_FLG = 'True'
            THEN 0
        WHEN (M_SHOHIN.BUNSEKI_FLG = 'True' Or M_SHOHIN.SHOHIN_FLG = 'True') And M_SHOHIN.KOBAIHIN_FLG = 'False'
            THEN 0
        WHEN (M_SHOHIN.BUNSEKI_FLG = 'False' And M_SHOHIN.SHOHIN_FLG = 'False') And M_SHOHIN.KOBAIHIN_FLG = 'True'
            THEN 0
        END AS SYSTEM_KUBUN
       ,CASE 
        WHEN M_SHOHIN.SHOKEIHI_FLG = 'True'
            THEN 2
          ELSE 0
        END AS MASTER_KUBUN
       ,NULL
       ,NULL
       ,NULL
       ,NULL
       ,2
       ,2
       ,CASE 
        WHEN M_SHOHIN.MISHIYO_FLG = 'True'
            THEN 1
          ELSE 0
        END AS MISHIYO_FLG
       ,M_SHOHIN.BIKO
   FROM M_SHOHIN
 WHERE 1=1
     AND(1!=1  
      OR CONVERT(DATETIME, SUBSTRING(M_SHOHIN.DBS_UPDATE_DATE,3,19) , 120)  &gt; M_SHOHIN.LINK_DATETIME 
      OR M_SHOHIN.LINK_DATETIME IS NULL OR M_SHOHIN.LINK_DATETIME  = ''
)</v>
      </c>
      <c r="G7" s="13" t="s">
        <v>425</v>
      </c>
    </row>
    <row r="8" spans="2:8" ht="30.75" customHeight="1">
      <c r="B8" s="14"/>
      <c r="C8" s="197" t="s">
        <v>369</v>
      </c>
      <c r="D8" s="197"/>
      <c r="E8" s="197"/>
      <c r="F8" s="16" t="s">
        <v>1864</v>
      </c>
      <c r="G8" s="15"/>
      <c r="H8" s="190" t="s">
        <v>1865</v>
      </c>
    </row>
    <row r="9" spans="2:8" ht="32.25" customHeight="1">
      <c r="B9" s="14"/>
      <c r="C9" s="197" t="s">
        <v>370</v>
      </c>
      <c r="D9" s="197"/>
      <c r="E9" s="197"/>
      <c r="F9" s="20" t="s">
        <v>394</v>
      </c>
      <c r="G9" s="15"/>
    </row>
    <row r="10" spans="2:8" ht="16.5">
      <c r="B10" s="194" t="s">
        <v>371</v>
      </c>
      <c r="C10" s="195"/>
      <c r="D10" s="195"/>
      <c r="E10" s="196"/>
      <c r="F10" s="12"/>
      <c r="G10" s="13"/>
    </row>
    <row r="11" spans="2:8" ht="29.25" customHeight="1">
      <c r="B11" s="14"/>
      <c r="C11" s="197" t="s">
        <v>372</v>
      </c>
      <c r="D11" s="197"/>
      <c r="E11" s="197"/>
      <c r="F11" s="16" t="str">
        <f>" WHERE 1=1
    "  &amp;F12</f>
        <v xml:space="preserve"> WHERE 1=1
     AND(1!=1  
      OR CONVERT(DATETIME, SUBSTRING(M_SHOHIN.DBS_UPDATE_DATE,3,19) , 120)  &gt; M_SHOHIN.LINK_DATETIME 
      OR M_SHOHIN.LINK_DATETIME IS NULL OR M_SHOHIN.LINK_DATETIME  = ''
)</v>
      </c>
      <c r="G11" s="15"/>
    </row>
    <row r="12" spans="2:8" ht="29.25" customHeight="1">
      <c r="B12" s="14"/>
      <c r="C12" s="17"/>
      <c r="D12" s="206" t="s">
        <v>404</v>
      </c>
      <c r="E12" s="193"/>
      <c r="F12" s="16" t="str">
        <f xml:space="preserve"> " AND(1!=1 "&amp;F13 &amp;F14 &amp;"
)"</f>
        <v xml:space="preserve"> AND(1!=1  
      OR CONVERT(DATETIME, SUBSTRING(M_SHOHIN.DBS_UPDATE_DATE,3,19) , 120)  &gt; M_SHOHIN.LINK_DATETIME 
      OR M_SHOHIN.LINK_DATETIME IS NULL OR M_SHOHIN.LINK_DATETIME  = ''
)</v>
      </c>
      <c r="G12" s="15"/>
    </row>
    <row r="13" spans="2:8" ht="27.75" customHeight="1">
      <c r="B13" s="14"/>
      <c r="C13" s="17"/>
      <c r="D13" s="17"/>
      <c r="E13" s="37" t="s">
        <v>930</v>
      </c>
      <c r="F13" s="16" t="s">
        <v>418</v>
      </c>
      <c r="G13" s="15"/>
    </row>
    <row r="14" spans="2:8" ht="27.75" customHeight="1">
      <c r="B14" s="18"/>
      <c r="C14" s="19"/>
      <c r="D14" s="19"/>
      <c r="E14" s="37" t="s">
        <v>931</v>
      </c>
      <c r="F14" s="16" t="s">
        <v>417</v>
      </c>
      <c r="G14" s="15"/>
    </row>
    <row r="18" spans="2:7" ht="16.5">
      <c r="B18" s="198" t="s">
        <v>413</v>
      </c>
      <c r="C18" s="199"/>
      <c r="D18" s="199"/>
      <c r="E18" s="200"/>
      <c r="F18" s="10"/>
      <c r="G18" s="11" t="s">
        <v>367</v>
      </c>
    </row>
    <row r="19" spans="2:7" ht="49.5" customHeight="1">
      <c r="B19" s="194" t="s">
        <v>423</v>
      </c>
      <c r="C19" s="195"/>
      <c r="D19" s="195"/>
      <c r="E19" s="196"/>
      <c r="F19" s="12" t="str">
        <f ca="1">F20 &amp;F21 &amp; F22</f>
        <v>UPDATE M_SHOHIN 
      SET        M_SHOHIN.LINK_DATETIME = '2017/07/10 10:48:29' WHERE (1=1)
     AND(1!=1  
      OR CONVERT(DATETIME, SUBSTRING(M_SHOHIN.DBS_UPDATE_DATE,3,19) , 120)  &gt; M_SHOHIN.LINK_DATETIME 
      OR M_SHOHIN.LINK_DATETIME IS NULL OR M_SHOHIN.LINK_DATETIME  = ''
)</v>
      </c>
      <c r="G19" s="13" t="s">
        <v>422</v>
      </c>
    </row>
    <row r="20" spans="2:7" ht="28.5" customHeight="1">
      <c r="B20" s="14"/>
      <c r="C20" s="197" t="s">
        <v>414</v>
      </c>
      <c r="D20" s="197"/>
      <c r="E20" s="197"/>
      <c r="F20" s="16" t="s">
        <v>416</v>
      </c>
      <c r="G20" s="15"/>
    </row>
    <row r="21" spans="2:7" ht="28.5" customHeight="1">
      <c r="B21" s="14"/>
      <c r="C21" s="206" t="s">
        <v>415</v>
      </c>
      <c r="D21" s="192"/>
      <c r="E21" s="193"/>
      <c r="F21" s="16" t="str">
        <f ca="1">"       M_SHOHIN.LINK_DATETIME = '" &amp; TEXT(NOW(),"YYYY/MM/DD　ｈｈ：ｍｍ：ｓｓ")&amp;"'"</f>
        <v xml:space="preserve">       M_SHOHIN.LINK_DATETIME = '2017/07/10 10:48:29'</v>
      </c>
      <c r="G21" s="15"/>
    </row>
    <row r="22" spans="2:7" ht="29.25" customHeight="1">
      <c r="B22" s="14"/>
      <c r="C22" s="197" t="s">
        <v>372</v>
      </c>
      <c r="D22" s="207"/>
      <c r="E22" s="207"/>
      <c r="F22" s="16" t="str">
        <f>" WHERE (1=1)
    " &amp;F23 &amp;F26</f>
        <v xml:space="preserve"> WHERE (1=1)
     AND(1!=1  
      OR CONVERT(DATETIME, SUBSTRING(M_SHOHIN.DBS_UPDATE_DATE,3,19) , 120)  &gt; M_SHOHIN.LINK_DATETIME 
      OR M_SHOHIN.LINK_DATETIME IS NULL OR M_SHOHIN.LINK_DATETIME  = ''
)</v>
      </c>
      <c r="G22" s="15"/>
    </row>
    <row r="23" spans="2:7" ht="29.25" customHeight="1">
      <c r="B23" s="38"/>
      <c r="C23" s="40"/>
      <c r="D23" s="206" t="s">
        <v>403</v>
      </c>
      <c r="E23" s="193"/>
      <c r="F23" s="16" t="str">
        <f xml:space="preserve"> " AND(1!=1 "&amp;F24 &amp;F25 &amp;"
)"</f>
        <v xml:space="preserve"> AND(1!=1  
      OR CONVERT(DATETIME, SUBSTRING(M_SHOHIN.DBS_UPDATE_DATE,3,19) , 120)  &gt; M_SHOHIN.LINK_DATETIME 
      OR M_SHOHIN.LINK_DATETIME IS NULL OR M_SHOHIN.LINK_DATETIME  = ''
)</v>
      </c>
      <c r="G23" s="15"/>
    </row>
    <row r="24" spans="2:7" ht="27.75" customHeight="1">
      <c r="B24" s="38"/>
      <c r="C24" s="40"/>
      <c r="D24" s="17"/>
      <c r="E24" s="37" t="s">
        <v>930</v>
      </c>
      <c r="F24" s="16" t="s">
        <v>418</v>
      </c>
      <c r="G24" s="15"/>
    </row>
    <row r="25" spans="2:7" ht="27.75" customHeight="1">
      <c r="B25" s="14"/>
      <c r="C25" s="40"/>
      <c r="D25" s="17"/>
      <c r="E25" s="37" t="s">
        <v>931</v>
      </c>
      <c r="F25" s="16" t="s">
        <v>417</v>
      </c>
      <c r="G25" s="15"/>
    </row>
    <row r="26" spans="2:7" ht="29.25" customHeight="1">
      <c r="B26" s="18"/>
      <c r="C26" s="39"/>
      <c r="D26" s="36" t="s">
        <v>932</v>
      </c>
      <c r="E26" s="20"/>
      <c r="F26" s="16" t="str">
        <f>IF(G26," 
    AND M_SHOHIN.SHOHIN_CD NOT IN " &amp; UNRD_COMMON_SHOHIN_ERROR_CODE_LIST,"")</f>
        <v/>
      </c>
      <c r="G26" s="15" t="b">
        <f>NOT(ISBLANK(UNRD_COMMON_SHOHIN_ERROR_CODE_LIST))</f>
        <v>0</v>
      </c>
    </row>
    <row r="27" spans="2:7" ht="49.5" customHeight="1">
      <c r="B27" s="194" t="s">
        <v>424</v>
      </c>
      <c r="C27" s="195"/>
      <c r="D27" s="195"/>
      <c r="E27" s="196"/>
      <c r="F27" s="12" t="str">
        <f ca="1">F28 &amp;F29 &amp;F30</f>
        <v>UPDATE M_CONTROL 
      SET   SHOHIN_MASTER_LINK_DATE_TIME = '2017/07/10 10:48:29'
  WHERE M_CONTROL.CTRL_KEY = 1</v>
      </c>
      <c r="G27" s="13" t="s">
        <v>421</v>
      </c>
    </row>
    <row r="28" spans="2:7" ht="28.5" customHeight="1">
      <c r="B28" s="14"/>
      <c r="C28" s="197" t="s">
        <v>414</v>
      </c>
      <c r="D28" s="197"/>
      <c r="E28" s="197"/>
      <c r="F28" s="16" t="s">
        <v>419</v>
      </c>
      <c r="G28" s="15"/>
    </row>
    <row r="29" spans="2:7" ht="28.5" customHeight="1">
      <c r="B29" s="14"/>
      <c r="C29" s="206" t="s">
        <v>415</v>
      </c>
      <c r="D29" s="192"/>
      <c r="E29" s="193"/>
      <c r="F29" s="16" t="str">
        <f ca="1" xml:space="preserve"> "  SHOHIN_MASTER_LINK_DATE_TIME = '" &amp; TEXT(NOW(),"YYYY/MM/DD　ｈｈ：ｍｍ：ｓｓ")&amp;"'"</f>
        <v xml:space="preserve">  SHOHIN_MASTER_LINK_DATE_TIME = '2017/07/10 10:48:29'</v>
      </c>
      <c r="G29" s="15"/>
    </row>
    <row r="30" spans="2:7" ht="29.25" customHeight="1">
      <c r="B30" s="18"/>
      <c r="C30" s="207" t="s">
        <v>372</v>
      </c>
      <c r="D30" s="207"/>
      <c r="E30" s="207"/>
      <c r="F30" s="16" t="s">
        <v>420</v>
      </c>
      <c r="G30" s="15"/>
    </row>
  </sheetData>
  <mergeCells count="17">
    <mergeCell ref="B27:E27"/>
    <mergeCell ref="C28:E28"/>
    <mergeCell ref="C29:E29"/>
    <mergeCell ref="C30:E30"/>
    <mergeCell ref="B18:E18"/>
    <mergeCell ref="B19:E19"/>
    <mergeCell ref="C20:E20"/>
    <mergeCell ref="C22:E22"/>
    <mergeCell ref="C21:E21"/>
    <mergeCell ref="D23:E23"/>
    <mergeCell ref="D12:E12"/>
    <mergeCell ref="B6:E6"/>
    <mergeCell ref="B7:E7"/>
    <mergeCell ref="C8:E8"/>
    <mergeCell ref="C9:E9"/>
    <mergeCell ref="B10:E10"/>
    <mergeCell ref="C11:E11"/>
  </mergeCells>
  <phoneticPr fontId="2"/>
  <pageMargins left="0.7" right="0.7" top="0.75" bottom="0.75" header="0.3" footer="0.3"/>
  <pageSetup paperSize="9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8" tint="0.79998168889431442"/>
  </sheetPr>
  <dimension ref="A1:D26"/>
  <sheetViews>
    <sheetView zoomScale="90" zoomScaleNormal="90" workbookViewId="0">
      <selection activeCell="G17" sqref="G17"/>
    </sheetView>
  </sheetViews>
  <sheetFormatPr defaultRowHeight="13.5"/>
  <cols>
    <col min="1" max="1" width="21.375" style="9" customWidth="1"/>
    <col min="2" max="2" width="19.125" style="9" customWidth="1"/>
    <col min="3" max="3" width="36.75" style="9" customWidth="1"/>
    <col min="4" max="4" width="22.25" style="9" customWidth="1"/>
    <col min="5" max="16384" width="9" style="9"/>
  </cols>
  <sheetData>
    <row r="1" spans="1:4" ht="29.25" customHeight="1">
      <c r="A1" s="5" t="s">
        <v>362</v>
      </c>
      <c r="B1" s="5" t="s">
        <v>363</v>
      </c>
      <c r="C1" s="5" t="s">
        <v>364</v>
      </c>
      <c r="D1" s="5" t="s">
        <v>354</v>
      </c>
    </row>
    <row r="2" spans="1:4">
      <c r="A2" s="6"/>
      <c r="B2" s="2"/>
      <c r="C2" s="2"/>
      <c r="D2" s="2"/>
    </row>
    <row r="3" spans="1:4">
      <c r="A3" s="2"/>
      <c r="B3" s="2"/>
      <c r="C3" s="2"/>
    </row>
    <row r="4" spans="1:4">
      <c r="A4" s="2"/>
      <c r="B4" s="2"/>
      <c r="C4" s="2"/>
    </row>
    <row r="5" spans="1:4">
      <c r="A5" s="2"/>
      <c r="B5" s="2"/>
      <c r="C5" s="2"/>
    </row>
    <row r="6" spans="1:4">
      <c r="A6" s="2"/>
      <c r="B6" s="2"/>
      <c r="C6" s="2"/>
    </row>
    <row r="7" spans="1:4">
      <c r="A7" s="2"/>
      <c r="B7" s="2"/>
      <c r="C7" s="2"/>
    </row>
    <row r="8" spans="1:4">
      <c r="A8" s="2"/>
      <c r="B8" s="2"/>
      <c r="C8" s="2"/>
    </row>
    <row r="9" spans="1:4">
      <c r="A9" s="2"/>
      <c r="B9" s="2"/>
      <c r="C9" s="2"/>
    </row>
    <row r="10" spans="1:4">
      <c r="A10" s="2"/>
      <c r="B10" s="2"/>
      <c r="C10" s="2"/>
    </row>
    <row r="11" spans="1:4">
      <c r="A11" s="2"/>
      <c r="B11" s="2"/>
      <c r="C11" s="2"/>
    </row>
    <row r="12" spans="1:4">
      <c r="A12" s="2"/>
      <c r="B12" s="2"/>
      <c r="C12" s="2"/>
    </row>
    <row r="13" spans="1:4">
      <c r="A13" s="2"/>
      <c r="B13" s="2"/>
      <c r="C13" s="2"/>
    </row>
    <row r="14" spans="1:4">
      <c r="A14" s="2"/>
      <c r="B14" s="2"/>
      <c r="C14" s="2"/>
    </row>
    <row r="15" spans="1:4">
      <c r="A15" s="2"/>
      <c r="B15" s="2"/>
      <c r="C15" s="2"/>
    </row>
    <row r="16" spans="1:4">
      <c r="A16" s="2"/>
      <c r="B16" s="2"/>
      <c r="C16" s="2"/>
    </row>
    <row r="17" spans="1:3">
      <c r="A17" s="2"/>
      <c r="B17" s="2"/>
      <c r="C17" s="2"/>
    </row>
    <row r="18" spans="1:3">
      <c r="A18" s="2"/>
      <c r="B18" s="2"/>
      <c r="C18" s="2"/>
    </row>
    <row r="19" spans="1:3">
      <c r="A19" s="2"/>
      <c r="B19" s="2"/>
      <c r="C19" s="2"/>
    </row>
    <row r="20" spans="1:3">
      <c r="A20" s="2"/>
      <c r="B20" s="2"/>
      <c r="C20" s="2"/>
    </row>
    <row r="21" spans="1:3">
      <c r="A21" s="2"/>
      <c r="B21" s="2"/>
      <c r="C21" s="2"/>
    </row>
    <row r="22" spans="1:3">
      <c r="A22" s="2"/>
      <c r="B22" s="2"/>
      <c r="C22" s="2"/>
    </row>
    <row r="23" spans="1:3">
      <c r="A23" s="2"/>
      <c r="B23" s="2"/>
      <c r="C23" s="2"/>
    </row>
    <row r="24" spans="1:3">
      <c r="A24" s="2"/>
      <c r="B24" s="2"/>
      <c r="C24" s="2"/>
    </row>
    <row r="25" spans="1:3">
      <c r="A25" s="2"/>
      <c r="B25" s="2"/>
      <c r="C25" s="2"/>
    </row>
    <row r="26" spans="1:3">
      <c r="A26" s="2"/>
      <c r="B26" s="2"/>
      <c r="C26" s="2"/>
    </row>
  </sheetData>
  <phoneticPr fontId="2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H22"/>
  <sheetViews>
    <sheetView workbookViewId="0">
      <selection activeCell="C17" sqref="C17"/>
    </sheetView>
  </sheetViews>
  <sheetFormatPr defaultRowHeight="13.5"/>
  <cols>
    <col min="1" max="1" width="21.375" style="9" customWidth="1"/>
    <col min="2" max="2" width="19.125" style="9" customWidth="1"/>
    <col min="3" max="3" width="25.5" style="9" customWidth="1"/>
    <col min="4" max="4" width="9.25" style="9" customWidth="1"/>
    <col min="5" max="5" width="13.375" style="9" customWidth="1"/>
    <col min="6" max="16384" width="9" style="9"/>
  </cols>
  <sheetData>
    <row r="1" spans="1:8" ht="27" customHeight="1">
      <c r="A1" s="33" t="s">
        <v>928</v>
      </c>
      <c r="B1" s="34" t="s">
        <v>1807</v>
      </c>
      <c r="E1" s="33" t="s">
        <v>933</v>
      </c>
      <c r="F1" s="204" t="str">
        <f>ADDRESS(ROW(UNRD0051_IF_SHOHIN_KUBUN_MASTER_START),COLUMN(UNRD0051_IF_SHOHIN_KUBUN_MASTER_START))&amp;":"&amp;
ADDRESS(ROW(UNRD0051_IF_SHOHIN_KUBUN_MASTER_START)+UNRD0051_IF_SHOHIN_KUBUN_MASTER_KENSU,COLUMN(UNRD0051_IF_SHOHIN_KUBUN_MASTER_START)+2)</f>
        <v>$A$3:$C$3</v>
      </c>
      <c r="G1" s="204"/>
      <c r="H1" s="204"/>
    </row>
    <row r="2" spans="1:8" ht="24" customHeight="1">
      <c r="A2" s="5" t="s">
        <v>362</v>
      </c>
      <c r="B2" s="5" t="s">
        <v>363</v>
      </c>
      <c r="C2" s="5" t="s">
        <v>364</v>
      </c>
      <c r="D2" s="2"/>
      <c r="E2" s="33" t="s">
        <v>1768</v>
      </c>
      <c r="F2" s="205">
        <v>42611.680555555555</v>
      </c>
      <c r="G2" s="205"/>
      <c r="H2" s="205"/>
    </row>
    <row r="3" spans="1:8">
      <c r="A3" s="6"/>
      <c r="B3" s="2"/>
      <c r="C3" s="2"/>
      <c r="D3" s="2"/>
    </row>
    <row r="4" spans="1:8">
      <c r="A4" s="2"/>
      <c r="B4" s="2"/>
      <c r="C4" s="2"/>
      <c r="D4" s="2"/>
    </row>
    <row r="5" spans="1:8">
      <c r="A5" s="2"/>
      <c r="B5" s="2"/>
      <c r="C5" s="2"/>
      <c r="D5" s="2"/>
    </row>
    <row r="6" spans="1:8">
      <c r="A6" s="2"/>
      <c r="B6" s="2"/>
      <c r="C6" s="2"/>
      <c r="D6" s="2"/>
    </row>
    <row r="7" spans="1:8">
      <c r="A7" s="2"/>
      <c r="B7" s="2"/>
      <c r="C7" s="2"/>
      <c r="D7" s="2"/>
    </row>
    <row r="8" spans="1:8">
      <c r="A8" s="2"/>
      <c r="B8" s="2"/>
      <c r="C8" s="2"/>
      <c r="D8" s="2"/>
    </row>
    <row r="9" spans="1:8">
      <c r="A9" s="2"/>
      <c r="B9" s="2"/>
      <c r="C9" s="2"/>
      <c r="D9" s="2"/>
    </row>
    <row r="10" spans="1:8">
      <c r="A10" s="2"/>
      <c r="B10" s="2"/>
      <c r="C10" s="2"/>
      <c r="D10" s="2"/>
    </row>
    <row r="11" spans="1:8">
      <c r="A11" s="2"/>
      <c r="B11" s="2"/>
      <c r="C11" s="2"/>
      <c r="D11" s="2"/>
    </row>
    <row r="12" spans="1:8">
      <c r="A12" s="2"/>
      <c r="B12" s="2"/>
      <c r="C12" s="2"/>
      <c r="D12" s="2"/>
    </row>
    <row r="13" spans="1:8">
      <c r="A13" s="2"/>
      <c r="B13" s="2"/>
      <c r="C13" s="2"/>
      <c r="D13" s="2"/>
    </row>
    <row r="14" spans="1:8">
      <c r="A14" s="2"/>
      <c r="B14" s="2"/>
      <c r="C14" s="2"/>
      <c r="D14" s="2"/>
    </row>
    <row r="15" spans="1:8">
      <c r="A15" s="2"/>
      <c r="B15" s="2"/>
      <c r="C15" s="2"/>
      <c r="D15" s="2"/>
    </row>
    <row r="16" spans="1:8">
      <c r="A16" s="2"/>
      <c r="B16" s="2"/>
      <c r="C16" s="2"/>
      <c r="D16" s="2"/>
    </row>
    <row r="17" spans="1:4">
      <c r="A17" s="2"/>
      <c r="B17" s="2"/>
      <c r="C17" s="2"/>
      <c r="D17" s="2"/>
    </row>
    <row r="18" spans="1:4">
      <c r="A18" s="2"/>
      <c r="B18" s="2"/>
      <c r="C18" s="2"/>
      <c r="D18" s="2"/>
    </row>
    <row r="19" spans="1:4">
      <c r="A19" s="2"/>
      <c r="B19" s="2"/>
      <c r="C19" s="2"/>
      <c r="D19" s="2"/>
    </row>
    <row r="20" spans="1:4">
      <c r="A20" s="2"/>
      <c r="B20" s="2"/>
      <c r="C20" s="2"/>
      <c r="D20" s="2"/>
    </row>
    <row r="21" spans="1:4">
      <c r="A21" s="2"/>
      <c r="B21" s="2"/>
      <c r="C21" s="2"/>
      <c r="D21" s="2"/>
    </row>
    <row r="22" spans="1:4">
      <c r="A22" s="2"/>
      <c r="B22" s="2"/>
      <c r="C22" s="2"/>
      <c r="D22" s="2"/>
    </row>
  </sheetData>
  <mergeCells count="2">
    <mergeCell ref="F1:H1"/>
    <mergeCell ref="F2:H2"/>
  </mergeCells>
  <phoneticPr fontId="2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B6:H25"/>
  <sheetViews>
    <sheetView workbookViewId="0">
      <selection activeCell="F8" sqref="F8"/>
    </sheetView>
  </sheetViews>
  <sheetFormatPr defaultRowHeight="13.5"/>
  <cols>
    <col min="1" max="1" width="18.875" customWidth="1"/>
    <col min="2" max="2" width="4.375" customWidth="1"/>
    <col min="3" max="3" width="4" customWidth="1"/>
    <col min="4" max="4" width="4.75" customWidth="1"/>
    <col min="5" max="5" width="23.375" customWidth="1"/>
    <col min="6" max="6" width="96.375" customWidth="1"/>
    <col min="7" max="7" width="9.75" customWidth="1"/>
    <col min="8" max="8" width="26.875" customWidth="1"/>
  </cols>
  <sheetData>
    <row r="6" spans="2:8" ht="16.5">
      <c r="B6" s="198" t="s">
        <v>366</v>
      </c>
      <c r="C6" s="199"/>
      <c r="D6" s="199"/>
      <c r="E6" s="200"/>
      <c r="F6" s="10"/>
      <c r="G6" s="10"/>
      <c r="H6" s="11" t="s">
        <v>367</v>
      </c>
    </row>
    <row r="7" spans="2:8" ht="30.75" customHeight="1">
      <c r="B7" s="194" t="s">
        <v>368</v>
      </c>
      <c r="C7" s="195"/>
      <c r="D7" s="195"/>
      <c r="E7" s="196"/>
      <c r="F7" s="12" t="str">
        <f>F8 &amp; F9 &amp; F10 &amp; F12</f>
        <v>SELECT 21
    ,M_MEISHO_B.MEISHO_CD
    ,M_MEISHO_B.DATA_1
  FROM M_MEISHO_B
  GROUP BY MEISHO_CD,DATA_1,MEISHO_KBN HAVING (1=1)
 AND M_MEISHO_B.MEISHO_KBN = 'K025'  
  AND MAX(CONVERT(DATETIME, SUBSTRING(M_MEISHO_B.DBS_UPDATE_DATE,3,19) , 120)) &gt; '2016/08/29 16:20:00'</v>
      </c>
      <c r="G7" s="12"/>
      <c r="H7" s="13" t="s">
        <v>386</v>
      </c>
    </row>
    <row r="8" spans="2:8" ht="36.75" customHeight="1">
      <c r="B8" s="14"/>
      <c r="C8" s="197" t="s">
        <v>369</v>
      </c>
      <c r="D8" s="197"/>
      <c r="E8" s="197"/>
      <c r="F8" s="16" t="s">
        <v>387</v>
      </c>
      <c r="G8" s="16"/>
      <c r="H8" s="15"/>
    </row>
    <row r="9" spans="2:8" ht="32.25" customHeight="1">
      <c r="B9" s="14"/>
      <c r="C9" s="197" t="s">
        <v>370</v>
      </c>
      <c r="D9" s="197"/>
      <c r="E9" s="197"/>
      <c r="F9" s="16" t="s">
        <v>385</v>
      </c>
      <c r="G9" s="16"/>
      <c r="H9" s="15"/>
    </row>
    <row r="10" spans="2:8" ht="25.5" customHeight="1">
      <c r="B10" s="14"/>
      <c r="C10" s="191" t="s">
        <v>1794</v>
      </c>
      <c r="D10" s="192"/>
      <c r="E10" s="193"/>
      <c r="F10" s="16" t="s">
        <v>1798</v>
      </c>
      <c r="G10" s="16"/>
      <c r="H10" s="15"/>
    </row>
    <row r="11" spans="2:8" ht="16.5">
      <c r="B11" s="194" t="s">
        <v>371</v>
      </c>
      <c r="C11" s="195"/>
      <c r="D11" s="195"/>
      <c r="E11" s="196"/>
      <c r="F11" s="12"/>
      <c r="G11" s="12"/>
      <c r="H11" s="13"/>
    </row>
    <row r="12" spans="2:8" ht="29.25" customHeight="1">
      <c r="B12" s="14"/>
      <c r="C12" s="197" t="s">
        <v>372</v>
      </c>
      <c r="D12" s="197"/>
      <c r="E12" s="197"/>
      <c r="F12" s="16" t="str">
        <f>" HAVING (1=1)
" &amp;F13&amp;F14</f>
        <v xml:space="preserve"> HAVING (1=1)
 AND M_MEISHO_B.MEISHO_KBN = 'K025'  
  AND MAX(CONVERT(DATETIME, SUBSTRING(M_MEISHO_B.DBS_UPDATE_DATE,3,19) , 120)) &gt; '2016/08/29 16:20:00'</v>
      </c>
      <c r="G12" s="16"/>
      <c r="H12" s="15"/>
    </row>
    <row r="13" spans="2:8" ht="27.75" customHeight="1">
      <c r="B13" s="14"/>
      <c r="C13" s="17"/>
      <c r="D13" s="206" t="s">
        <v>378</v>
      </c>
      <c r="E13" s="193"/>
      <c r="F13" s="16" t="s">
        <v>389</v>
      </c>
      <c r="G13" s="16"/>
      <c r="H13" s="15"/>
    </row>
    <row r="14" spans="2:8" ht="27.75" customHeight="1">
      <c r="B14" s="18"/>
      <c r="C14" s="19"/>
      <c r="D14" s="191" t="s">
        <v>404</v>
      </c>
      <c r="E14" s="193"/>
      <c r="F14" s="16" t="str">
        <f>IF(G14,"
  AND MAX(CONVERT(DATETIME, SUBSTRING(M_MEISHO_B.DBS_UPDATE_DATE,3,19) , 120)) &gt; '"&amp;TEXT(UNRD0051_IF_BUMON_MASTER_RENDO_DATETIME,"YYYY/MM/DD hh:mm:ss") &amp; "'","")</f>
        <v xml:space="preserve">
  AND MAX(CONVERT(DATETIME, SUBSTRING(M_MEISHO_B.DBS_UPDATE_DATE,3,19) , 120)) &gt; '2016/08/29 16:20:00'</v>
      </c>
      <c r="G14" s="16" t="b">
        <f>NOT(ISBLANK(UNRD0051_IF_BUMON_MASTER_RENDO_DATETIME))</f>
        <v>1</v>
      </c>
      <c r="H14" s="15"/>
    </row>
    <row r="15" spans="2:8" ht="49.5">
      <c r="B15" s="194" t="s">
        <v>1764</v>
      </c>
      <c r="C15" s="195"/>
      <c r="D15" s="195"/>
      <c r="E15" s="196"/>
      <c r="F15" s="12" t="str">
        <f>F16 &amp; F17 &amp; F19</f>
        <v>SELECT 
     LINK_DATE_TIME
  FROM M_LINK_DATETIME WHERE LINK_CD = 4</v>
      </c>
      <c r="G15" s="12"/>
      <c r="H15" s="13" t="s">
        <v>1782</v>
      </c>
    </row>
    <row r="16" spans="2:8" ht="49.5">
      <c r="B16" s="14"/>
      <c r="C16" s="197" t="s">
        <v>369</v>
      </c>
      <c r="D16" s="197"/>
      <c r="E16" s="197"/>
      <c r="F16" s="161" t="s">
        <v>1765</v>
      </c>
      <c r="G16" s="161"/>
      <c r="H16" s="15"/>
    </row>
    <row r="17" spans="2:8" ht="16.5">
      <c r="B17" s="14"/>
      <c r="C17" s="197" t="s">
        <v>370</v>
      </c>
      <c r="D17" s="197"/>
      <c r="E17" s="197"/>
      <c r="F17" s="16" t="s">
        <v>1769</v>
      </c>
      <c r="G17" s="16"/>
      <c r="H17" s="15"/>
    </row>
    <row r="18" spans="2:8" ht="16.5">
      <c r="B18" s="194" t="s">
        <v>371</v>
      </c>
      <c r="C18" s="195"/>
      <c r="D18" s="195"/>
      <c r="E18" s="196"/>
      <c r="F18" s="12"/>
      <c r="G18" s="12"/>
      <c r="H18" s="13"/>
    </row>
    <row r="19" spans="2:8" ht="16.5">
      <c r="B19" s="18"/>
      <c r="C19" s="207" t="s">
        <v>372</v>
      </c>
      <c r="D19" s="207"/>
      <c r="E19" s="207"/>
      <c r="F19" s="16" t="s">
        <v>1784</v>
      </c>
      <c r="G19" s="16"/>
      <c r="H19" s="15"/>
    </row>
    <row r="21" spans="2:8" ht="16.5">
      <c r="B21" s="198" t="s">
        <v>413</v>
      </c>
      <c r="C21" s="199"/>
      <c r="D21" s="199"/>
      <c r="E21" s="200"/>
      <c r="F21" s="10"/>
      <c r="G21" s="10"/>
      <c r="H21" s="11" t="s">
        <v>367</v>
      </c>
    </row>
    <row r="22" spans="2:8" ht="49.5">
      <c r="B22" s="194" t="s">
        <v>1770</v>
      </c>
      <c r="C22" s="195"/>
      <c r="D22" s="195"/>
      <c r="E22" s="196"/>
      <c r="F22" s="12" t="str">
        <f ca="1">F23 &amp;F24 &amp; F25</f>
        <v>UPDATE M_LINK_DATETIME
      SET     M_LINK_DATETIME.LINK_DATE_TIME = '2017/07/10 10:48:29'
 WHERE M_LINK_DATETIME.LINK_CD = 4</v>
      </c>
      <c r="G22" s="12"/>
      <c r="H22" s="13" t="s">
        <v>1783</v>
      </c>
    </row>
    <row r="23" spans="2:8" ht="33">
      <c r="B23" s="14"/>
      <c r="C23" s="197" t="s">
        <v>414</v>
      </c>
      <c r="D23" s="197"/>
      <c r="E23" s="197"/>
      <c r="F23" s="16" t="s">
        <v>1771</v>
      </c>
      <c r="G23" s="16"/>
      <c r="H23" s="15"/>
    </row>
    <row r="24" spans="2:8" ht="16.5">
      <c r="B24" s="14"/>
      <c r="C24" s="206" t="s">
        <v>415</v>
      </c>
      <c r="D24" s="192"/>
      <c r="E24" s="193"/>
      <c r="F24" s="16" t="str">
        <f ca="1">"    M_LINK_DATETIME.LINK_DATE_TIME = '" &amp; TEXT(NOW(),"YYYY/MM/DD　ｈｈ：ｍｍ：ｓｓ")&amp;"'"</f>
        <v xml:space="preserve">    M_LINK_DATETIME.LINK_DATE_TIME = '2017/07/10 10:48:29'</v>
      </c>
      <c r="G24" s="16"/>
      <c r="H24" s="15"/>
    </row>
    <row r="25" spans="2:8" ht="33">
      <c r="B25" s="14"/>
      <c r="C25" s="207" t="s">
        <v>372</v>
      </c>
      <c r="D25" s="207"/>
      <c r="E25" s="207"/>
      <c r="F25" s="16" t="s">
        <v>1785</v>
      </c>
      <c r="G25" s="16"/>
      <c r="H25" s="15"/>
    </row>
  </sheetData>
  <mergeCells count="19">
    <mergeCell ref="B21:E21"/>
    <mergeCell ref="B22:E22"/>
    <mergeCell ref="C23:E23"/>
    <mergeCell ref="C24:E24"/>
    <mergeCell ref="C25:E25"/>
    <mergeCell ref="B15:E15"/>
    <mergeCell ref="C16:E16"/>
    <mergeCell ref="C17:E17"/>
    <mergeCell ref="B18:E18"/>
    <mergeCell ref="C19:E19"/>
    <mergeCell ref="D13:E13"/>
    <mergeCell ref="D14:E14"/>
    <mergeCell ref="B6:E6"/>
    <mergeCell ref="B7:E7"/>
    <mergeCell ref="C8:E8"/>
    <mergeCell ref="C9:E9"/>
    <mergeCell ref="B11:E11"/>
    <mergeCell ref="C12:E12"/>
    <mergeCell ref="C10:E10"/>
  </mergeCells>
  <phoneticPr fontId="2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8" tint="0.79998168889431442"/>
  </sheetPr>
  <dimension ref="A1:P2"/>
  <sheetViews>
    <sheetView workbookViewId="0">
      <selection activeCell="F11" sqref="F11"/>
    </sheetView>
  </sheetViews>
  <sheetFormatPr defaultRowHeight="13.5"/>
  <cols>
    <col min="1" max="1" width="18.125" style="9" customWidth="1"/>
    <col min="2" max="2" width="27.75" style="9" customWidth="1"/>
    <col min="3" max="3" width="11.5" style="9" customWidth="1"/>
    <col min="4" max="4" width="23.875" style="9" customWidth="1"/>
    <col min="5" max="5" width="15.375" style="9" customWidth="1"/>
    <col min="6" max="6" width="13.375" style="9" customWidth="1"/>
    <col min="7" max="7" width="14.375" style="9" customWidth="1"/>
    <col min="8" max="8" width="15.375" style="9" customWidth="1"/>
    <col min="9" max="9" width="14.5" style="9" customWidth="1"/>
    <col min="10" max="10" width="13.375" style="9" customWidth="1"/>
    <col min="11" max="11" width="13.875" style="9" customWidth="1"/>
    <col min="12" max="12" width="13.125" style="9" customWidth="1"/>
    <col min="13" max="13" width="12.75" style="9" customWidth="1"/>
    <col min="14" max="14" width="12.625" style="9" customWidth="1"/>
    <col min="15" max="15" width="13.25" style="9" customWidth="1"/>
    <col min="16" max="16" width="13" style="9" customWidth="1"/>
    <col min="17" max="16384" width="9" style="9"/>
  </cols>
  <sheetData>
    <row r="1" spans="1:16" ht="30.75" customHeight="1">
      <c r="A1" s="5" t="s">
        <v>952</v>
      </c>
      <c r="B1" s="5" t="s">
        <v>937</v>
      </c>
      <c r="C1" s="5" t="s">
        <v>938</v>
      </c>
      <c r="D1" s="5" t="s">
        <v>939</v>
      </c>
      <c r="E1" s="5" t="s">
        <v>940</v>
      </c>
      <c r="F1" s="5" t="s">
        <v>941</v>
      </c>
      <c r="G1" s="5" t="s">
        <v>942</v>
      </c>
      <c r="H1" s="5" t="s">
        <v>943</v>
      </c>
      <c r="I1" s="5" t="s">
        <v>944</v>
      </c>
      <c r="J1" s="5" t="s">
        <v>945</v>
      </c>
      <c r="K1" s="5" t="s">
        <v>946</v>
      </c>
      <c r="L1" s="5" t="s">
        <v>947</v>
      </c>
      <c r="M1" s="5" t="s">
        <v>948</v>
      </c>
      <c r="N1" s="5" t="s">
        <v>949</v>
      </c>
      <c r="O1" s="5" t="s">
        <v>950</v>
      </c>
      <c r="P1" s="5" t="s">
        <v>951</v>
      </c>
    </row>
    <row r="2" spans="1:16">
      <c r="A2" s="8"/>
    </row>
  </sheetData>
  <phoneticPr fontId="2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73"/>
  <sheetViews>
    <sheetView workbookViewId="0">
      <selection activeCell="B11" sqref="B11"/>
    </sheetView>
  </sheetViews>
  <sheetFormatPr defaultRowHeight="13.5"/>
  <cols>
    <col min="1" max="1" width="22.375" customWidth="1"/>
    <col min="2" max="2" width="27.25" customWidth="1"/>
    <col min="4" max="4" width="13" customWidth="1"/>
  </cols>
  <sheetData>
    <row r="1" spans="1:12" ht="22.5" customHeight="1">
      <c r="A1" s="33" t="s">
        <v>928</v>
      </c>
      <c r="B1" s="34" t="s">
        <v>1807</v>
      </c>
      <c r="C1" s="9"/>
      <c r="D1" s="33" t="s">
        <v>933</v>
      </c>
      <c r="E1" s="204" t="str">
        <f>ADDRESS(ROW(UNRD0060_IF_PROJECT_MASTER_START),COLUMN(UNRD0060_IF_PROJECT_MASTER_START))&amp;":"&amp;
ADDRESS(ROW(UNRD0060_IF_PROJECT_MASTER_START)+UNRD0060_IF_PROJECT_MASTER_KENSU,COLUMN(UNRD0060_IF_PROJECT_MASTER_START)+1)</f>
        <v>$A$3:$B$3</v>
      </c>
      <c r="F1" s="204"/>
      <c r="G1" s="204"/>
    </row>
    <row r="2" spans="1:12" ht="27.75" customHeight="1">
      <c r="A2" s="5" t="s">
        <v>953</v>
      </c>
      <c r="B2" s="5" t="s">
        <v>937</v>
      </c>
      <c r="D2" s="33" t="s">
        <v>1768</v>
      </c>
      <c r="E2" s="205">
        <v>42611.680555555555</v>
      </c>
      <c r="F2" s="205"/>
      <c r="G2" s="205"/>
    </row>
    <row r="3" spans="1:12">
      <c r="A3" s="44"/>
      <c r="B3" s="166"/>
      <c r="K3" s="166"/>
      <c r="L3" s="166"/>
    </row>
    <row r="4" spans="1:12">
      <c r="A4" s="166"/>
      <c r="B4" s="166"/>
      <c r="K4" s="166"/>
      <c r="L4" s="166"/>
    </row>
    <row r="5" spans="1:12">
      <c r="A5" s="166"/>
      <c r="B5" s="166"/>
      <c r="K5" s="166"/>
      <c r="L5" s="166"/>
    </row>
    <row r="6" spans="1:12">
      <c r="A6" s="166"/>
      <c r="B6" s="166"/>
      <c r="K6" s="166"/>
      <c r="L6" s="166"/>
    </row>
    <row r="7" spans="1:12">
      <c r="K7" s="166"/>
      <c r="L7" s="166"/>
    </row>
    <row r="8" spans="1:12">
      <c r="K8" s="166"/>
      <c r="L8" s="166"/>
    </row>
    <row r="9" spans="1:12">
      <c r="A9" s="167"/>
      <c r="B9" s="167"/>
      <c r="K9" s="166"/>
      <c r="L9" s="166"/>
    </row>
    <row r="10" spans="1:12">
      <c r="A10" s="167"/>
      <c r="B10" s="167"/>
      <c r="K10" s="166"/>
      <c r="L10" s="166"/>
    </row>
    <row r="11" spans="1:12">
      <c r="A11" s="167"/>
      <c r="B11" s="167"/>
      <c r="K11" s="166"/>
      <c r="L11" s="166"/>
    </row>
    <row r="12" spans="1:12">
      <c r="A12" s="167"/>
      <c r="B12" s="167"/>
      <c r="K12" s="166"/>
      <c r="L12" s="166"/>
    </row>
    <row r="13" spans="1:12">
      <c r="K13" s="166"/>
      <c r="L13" s="166"/>
    </row>
    <row r="14" spans="1:12">
      <c r="K14" s="166"/>
      <c r="L14" s="166"/>
    </row>
    <row r="15" spans="1:12">
      <c r="K15" s="166"/>
      <c r="L15" s="166"/>
    </row>
    <row r="16" spans="1:12">
      <c r="K16" s="166"/>
      <c r="L16" s="166"/>
    </row>
    <row r="17" spans="11:12">
      <c r="K17" s="166"/>
      <c r="L17" s="166"/>
    </row>
    <row r="18" spans="11:12">
      <c r="K18" s="166"/>
      <c r="L18" s="166"/>
    </row>
    <row r="19" spans="11:12">
      <c r="K19" s="166"/>
      <c r="L19" s="166"/>
    </row>
    <row r="20" spans="11:12">
      <c r="K20" s="166"/>
      <c r="L20" s="166"/>
    </row>
    <row r="21" spans="11:12">
      <c r="K21" s="166"/>
      <c r="L21" s="166"/>
    </row>
    <row r="22" spans="11:12">
      <c r="K22" s="166"/>
      <c r="L22" s="166"/>
    </row>
    <row r="23" spans="11:12">
      <c r="K23" s="166"/>
      <c r="L23" s="166"/>
    </row>
    <row r="24" spans="11:12">
      <c r="K24" s="166"/>
      <c r="L24" s="166"/>
    </row>
    <row r="25" spans="11:12">
      <c r="K25" s="166"/>
      <c r="L25" s="166"/>
    </row>
    <row r="26" spans="11:12">
      <c r="K26" s="166"/>
      <c r="L26" s="166"/>
    </row>
    <row r="27" spans="11:12">
      <c r="K27" s="166"/>
      <c r="L27" s="166"/>
    </row>
    <row r="28" spans="11:12">
      <c r="K28" s="166"/>
      <c r="L28" s="166"/>
    </row>
    <row r="29" spans="11:12">
      <c r="K29" s="166"/>
      <c r="L29" s="166"/>
    </row>
    <row r="30" spans="11:12">
      <c r="K30" s="166"/>
      <c r="L30" s="166"/>
    </row>
    <row r="31" spans="11:12">
      <c r="K31" s="166"/>
      <c r="L31" s="166"/>
    </row>
    <row r="32" spans="11:12">
      <c r="K32" s="166"/>
      <c r="L32" s="166"/>
    </row>
    <row r="33" spans="11:12">
      <c r="K33" s="166"/>
      <c r="L33" s="166"/>
    </row>
    <row r="34" spans="11:12">
      <c r="K34" s="166"/>
      <c r="L34" s="166"/>
    </row>
    <row r="35" spans="11:12">
      <c r="K35" s="166"/>
      <c r="L35" s="166"/>
    </row>
    <row r="36" spans="11:12">
      <c r="K36" s="166"/>
      <c r="L36" s="166"/>
    </row>
    <row r="37" spans="11:12">
      <c r="K37" s="166"/>
      <c r="L37" s="166"/>
    </row>
    <row r="38" spans="11:12">
      <c r="K38" s="166"/>
      <c r="L38" s="166"/>
    </row>
    <row r="39" spans="11:12">
      <c r="K39" s="166"/>
      <c r="L39" s="166"/>
    </row>
    <row r="40" spans="11:12">
      <c r="K40" s="166"/>
      <c r="L40" s="166"/>
    </row>
    <row r="41" spans="11:12">
      <c r="K41" s="166"/>
      <c r="L41" s="166"/>
    </row>
    <row r="42" spans="11:12">
      <c r="K42" s="166"/>
      <c r="L42" s="166"/>
    </row>
    <row r="43" spans="11:12">
      <c r="K43" s="166"/>
      <c r="L43" s="166"/>
    </row>
    <row r="44" spans="11:12">
      <c r="K44" s="166"/>
      <c r="L44" s="166"/>
    </row>
    <row r="45" spans="11:12">
      <c r="K45" s="166"/>
      <c r="L45" s="166"/>
    </row>
    <row r="46" spans="11:12">
      <c r="K46" s="166"/>
      <c r="L46" s="166"/>
    </row>
    <row r="47" spans="11:12">
      <c r="K47" s="166"/>
      <c r="L47" s="166"/>
    </row>
    <row r="48" spans="11:12">
      <c r="K48" s="166"/>
      <c r="L48" s="166"/>
    </row>
    <row r="49" spans="11:12">
      <c r="K49" s="166"/>
      <c r="L49" s="166"/>
    </row>
    <row r="50" spans="11:12">
      <c r="K50" s="166"/>
      <c r="L50" s="166"/>
    </row>
    <row r="51" spans="11:12">
      <c r="K51" s="166"/>
      <c r="L51" s="166"/>
    </row>
    <row r="52" spans="11:12">
      <c r="K52" s="166"/>
      <c r="L52" s="166"/>
    </row>
    <row r="53" spans="11:12">
      <c r="K53" s="166"/>
      <c r="L53" s="166"/>
    </row>
    <row r="54" spans="11:12">
      <c r="K54" s="166"/>
      <c r="L54" s="166"/>
    </row>
    <row r="55" spans="11:12">
      <c r="K55" s="166"/>
      <c r="L55" s="166"/>
    </row>
    <row r="56" spans="11:12">
      <c r="K56" s="166"/>
      <c r="L56" s="166"/>
    </row>
    <row r="57" spans="11:12">
      <c r="K57" s="166"/>
      <c r="L57" s="166"/>
    </row>
    <row r="58" spans="11:12">
      <c r="K58" s="166"/>
      <c r="L58" s="166"/>
    </row>
    <row r="59" spans="11:12">
      <c r="K59" s="166"/>
      <c r="L59" s="166"/>
    </row>
    <row r="60" spans="11:12">
      <c r="K60" s="166"/>
      <c r="L60" s="166"/>
    </row>
    <row r="61" spans="11:12">
      <c r="K61" s="166"/>
      <c r="L61" s="166"/>
    </row>
    <row r="62" spans="11:12">
      <c r="K62" s="166"/>
      <c r="L62" s="166"/>
    </row>
    <row r="63" spans="11:12">
      <c r="K63" s="166"/>
      <c r="L63" s="166"/>
    </row>
    <row r="64" spans="11:12">
      <c r="K64" s="166"/>
      <c r="L64" s="166"/>
    </row>
    <row r="65" spans="11:12">
      <c r="K65" s="166"/>
      <c r="L65" s="166"/>
    </row>
    <row r="66" spans="11:12">
      <c r="K66" s="166"/>
      <c r="L66" s="166"/>
    </row>
    <row r="67" spans="11:12">
      <c r="K67" s="166"/>
      <c r="L67" s="166"/>
    </row>
    <row r="68" spans="11:12">
      <c r="K68" s="166"/>
      <c r="L68" s="166"/>
    </row>
    <row r="69" spans="11:12">
      <c r="K69" s="166"/>
      <c r="L69" s="166"/>
    </row>
    <row r="70" spans="11:12">
      <c r="K70" s="166"/>
      <c r="L70" s="166"/>
    </row>
    <row r="71" spans="11:12">
      <c r="K71" s="166"/>
      <c r="L71" s="166"/>
    </row>
    <row r="72" spans="11:12">
      <c r="K72" s="166"/>
      <c r="L72" s="166"/>
    </row>
    <row r="73" spans="11:12">
      <c r="K73" s="166"/>
      <c r="L73" s="166"/>
    </row>
  </sheetData>
  <mergeCells count="2">
    <mergeCell ref="E1:G1"/>
    <mergeCell ref="E2:G2"/>
  </mergeCells>
  <phoneticPr fontId="2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B6:H27"/>
  <sheetViews>
    <sheetView zoomScale="85" zoomScaleNormal="85" workbookViewId="0">
      <selection activeCell="F13" sqref="F13"/>
    </sheetView>
  </sheetViews>
  <sheetFormatPr defaultRowHeight="13.5"/>
  <cols>
    <col min="1" max="1" width="18.875" customWidth="1"/>
    <col min="2" max="2" width="4.375" customWidth="1"/>
    <col min="3" max="3" width="4" customWidth="1"/>
    <col min="4" max="4" width="4.75" customWidth="1"/>
    <col min="5" max="5" width="23.375" customWidth="1"/>
    <col min="6" max="6" width="96.375" customWidth="1"/>
    <col min="7" max="7" width="8.875" customWidth="1"/>
    <col min="8" max="8" width="26.875" customWidth="1"/>
  </cols>
  <sheetData>
    <row r="6" spans="2:8" ht="16.5">
      <c r="B6" s="198" t="s">
        <v>366</v>
      </c>
      <c r="C6" s="199"/>
      <c r="D6" s="199"/>
      <c r="E6" s="200"/>
      <c r="F6" s="10"/>
      <c r="G6" s="10"/>
      <c r="H6" s="11" t="s">
        <v>367</v>
      </c>
    </row>
    <row r="7" spans="2:8" ht="30.75" customHeight="1">
      <c r="B7" s="194" t="s">
        <v>368</v>
      </c>
      <c r="C7" s="195"/>
      <c r="D7" s="195"/>
      <c r="E7" s="196"/>
      <c r="F7" s="12" t="str">
        <f>F8 &amp; F9 &amp; F10 &amp; F12</f>
        <v>SELECT
    M_MEISHO_B.MEISHO_CD
    ,M_MEISHO_B.DATA_1
  FROM M_MEISHO_B
GROUP BY MEISHO_CD,DATA_1,MEISHO_KBN HAVING (1=1)
  AND (1!= 1 OR M_MEISHO_B.MEISHO_KBN = 'K033'   OR M_MEISHO_B.MEISHO_KBN = 'K036'  )
  AND MAX(CONVERT(DATETIME, SUBSTRING(M_MEISHO_B.DBS_UPDATE_DATE,3,19) , 120)) &gt; '2016/08/29 16:20:00'</v>
      </c>
      <c r="G7" s="12"/>
      <c r="H7" s="13" t="s">
        <v>1788</v>
      </c>
    </row>
    <row r="8" spans="2:8" ht="36.75" customHeight="1">
      <c r="B8" s="14"/>
      <c r="C8" s="197" t="s">
        <v>369</v>
      </c>
      <c r="D8" s="197"/>
      <c r="E8" s="197"/>
      <c r="F8" s="16" t="s">
        <v>1799</v>
      </c>
      <c r="G8" s="16"/>
      <c r="H8" s="15"/>
    </row>
    <row r="9" spans="2:8" ht="32.25" customHeight="1">
      <c r="B9" s="14"/>
      <c r="C9" s="197" t="s">
        <v>370</v>
      </c>
      <c r="D9" s="197"/>
      <c r="E9" s="197"/>
      <c r="F9" s="20" t="s">
        <v>388</v>
      </c>
      <c r="G9" s="20"/>
      <c r="H9" s="15"/>
    </row>
    <row r="10" spans="2:8" ht="27" customHeight="1">
      <c r="B10" s="14"/>
      <c r="C10" s="191" t="s">
        <v>1794</v>
      </c>
      <c r="D10" s="192"/>
      <c r="E10" s="193"/>
      <c r="F10" s="20" t="s">
        <v>1800</v>
      </c>
      <c r="G10" s="20"/>
      <c r="H10" s="15"/>
    </row>
    <row r="11" spans="2:8" ht="16.5">
      <c r="B11" s="194" t="s">
        <v>371</v>
      </c>
      <c r="C11" s="195"/>
      <c r="D11" s="195"/>
      <c r="E11" s="196"/>
      <c r="F11" s="12"/>
      <c r="G11" s="12"/>
      <c r="H11" s="13"/>
    </row>
    <row r="12" spans="2:8" ht="29.25" customHeight="1">
      <c r="B12" s="14"/>
      <c r="C12" s="197" t="s">
        <v>372</v>
      </c>
      <c r="D12" s="197"/>
      <c r="E12" s="197"/>
      <c r="F12" s="16" t="str">
        <f>" HAVING (1=1)
" &amp;F13&amp;F16</f>
        <v xml:space="preserve"> HAVING (1=1)
  AND (1!= 1 OR M_MEISHO_B.MEISHO_KBN = 'K033'   OR M_MEISHO_B.MEISHO_KBN = 'K036'  )
  AND MAX(CONVERT(DATETIME, SUBSTRING(M_MEISHO_B.DBS_UPDATE_DATE,3,19) , 120)) &gt; '2016/08/29 16:20:00'</v>
      </c>
      <c r="G12" s="16"/>
      <c r="H12" s="15"/>
    </row>
    <row r="13" spans="2:8" ht="27.75" customHeight="1">
      <c r="B13" s="14"/>
      <c r="C13" s="17"/>
      <c r="D13" s="206" t="s">
        <v>378</v>
      </c>
      <c r="E13" s="210"/>
      <c r="F13" s="16" t="str">
        <f>"  AND (1!= 1"
   &amp;F14&amp;F15
&amp; ")"</f>
        <v xml:space="preserve">  AND (1!= 1 OR M_MEISHO_B.MEISHO_KBN = 'K033'   OR M_MEISHO_B.MEISHO_KBN = 'K036'  )</v>
      </c>
      <c r="G13" s="16"/>
      <c r="H13" s="15"/>
    </row>
    <row r="14" spans="2:8" ht="27.75" customHeight="1">
      <c r="B14" s="14"/>
      <c r="C14" s="17"/>
      <c r="D14" s="17"/>
      <c r="E14" s="162" t="s">
        <v>1762</v>
      </c>
      <c r="F14" s="16" t="s">
        <v>1760</v>
      </c>
      <c r="G14" s="16"/>
      <c r="H14" s="15"/>
    </row>
    <row r="15" spans="2:8" ht="27.75" customHeight="1">
      <c r="B15" s="14"/>
      <c r="C15" s="17"/>
      <c r="D15" s="19"/>
      <c r="E15" s="162" t="s">
        <v>1763</v>
      </c>
      <c r="F15" s="16" t="s">
        <v>1761</v>
      </c>
      <c r="G15" s="16"/>
      <c r="H15" s="15"/>
    </row>
    <row r="16" spans="2:8" ht="27.75" customHeight="1">
      <c r="B16" s="18"/>
      <c r="C16" s="19"/>
      <c r="D16" s="191" t="s">
        <v>403</v>
      </c>
      <c r="E16" s="193"/>
      <c r="F16" s="16" t="str">
        <f>IF(G16,"
  AND MAX(CONVERT(DATETIME, SUBSTRING(M_MEISHO_B.DBS_UPDATE_DATE,3,19) , 120)) &gt; '"&amp;TEXT(UNRD0060_IF_BUMON_MASTER_RENDO_DATETIME,"YYYY/MM/DD hh:mm:ss") &amp; "'","")</f>
        <v xml:space="preserve">
  AND MAX(CONVERT(DATETIME, SUBSTRING(M_MEISHO_B.DBS_UPDATE_DATE,3,19) , 120)) &gt; '2016/08/29 16:20:00'</v>
      </c>
      <c r="G16" s="16" t="b">
        <f>NOT(ISBLANK(UNRD0060_IF_BUMON_MASTER_RENDO_DATETIME))</f>
        <v>1</v>
      </c>
      <c r="H16" s="15"/>
    </row>
    <row r="17" spans="2:8" ht="49.5">
      <c r="B17" s="194" t="s">
        <v>1764</v>
      </c>
      <c r="C17" s="195"/>
      <c r="D17" s="195"/>
      <c r="E17" s="196"/>
      <c r="F17" s="12" t="str">
        <f>F18 &amp; F19 &amp; F21</f>
        <v>SELECT 
     LINK_DATE_TIME
  FROM M_LINK_DATETIME WHERE LINK_CD = 5</v>
      </c>
      <c r="G17" s="12"/>
      <c r="H17" s="13" t="s">
        <v>1789</v>
      </c>
    </row>
    <row r="18" spans="2:8" ht="49.5">
      <c r="B18" s="14"/>
      <c r="C18" s="197" t="s">
        <v>369</v>
      </c>
      <c r="D18" s="197"/>
      <c r="E18" s="197"/>
      <c r="F18" s="161" t="s">
        <v>1765</v>
      </c>
      <c r="G18" s="161"/>
      <c r="H18" s="15"/>
    </row>
    <row r="19" spans="2:8" ht="16.5">
      <c r="B19" s="14"/>
      <c r="C19" s="197" t="s">
        <v>370</v>
      </c>
      <c r="D19" s="197"/>
      <c r="E19" s="197"/>
      <c r="F19" s="16" t="s">
        <v>1769</v>
      </c>
      <c r="G19" s="16"/>
      <c r="H19" s="15"/>
    </row>
    <row r="20" spans="2:8" ht="16.5">
      <c r="B20" s="194" t="s">
        <v>371</v>
      </c>
      <c r="C20" s="195"/>
      <c r="D20" s="195"/>
      <c r="E20" s="196"/>
      <c r="F20" s="12"/>
      <c r="G20" s="12"/>
      <c r="H20" s="13"/>
    </row>
    <row r="21" spans="2:8" ht="16.5">
      <c r="B21" s="18"/>
      <c r="C21" s="207" t="s">
        <v>372</v>
      </c>
      <c r="D21" s="207"/>
      <c r="E21" s="207"/>
      <c r="F21" s="16" t="s">
        <v>1786</v>
      </c>
      <c r="G21" s="16"/>
      <c r="H21" s="15"/>
    </row>
    <row r="23" spans="2:8" ht="16.5">
      <c r="B23" s="198" t="s">
        <v>413</v>
      </c>
      <c r="C23" s="199"/>
      <c r="D23" s="199"/>
      <c r="E23" s="200"/>
      <c r="F23" s="10"/>
      <c r="G23" s="10"/>
      <c r="H23" s="11" t="s">
        <v>367</v>
      </c>
    </row>
    <row r="24" spans="2:8" ht="49.5">
      <c r="B24" s="194" t="s">
        <v>1770</v>
      </c>
      <c r="C24" s="195"/>
      <c r="D24" s="195"/>
      <c r="E24" s="196"/>
      <c r="F24" s="12" t="str">
        <f ca="1">F25 &amp;F26 &amp; F27</f>
        <v>UPDATE M_LINK_DATETIME
      SET     M_LINK_DATETIME.LINK_DATE_TIME = '2017/07/10 10:48:29'
 WHERE M_LINK_DATETIME.LINK_CD = 5</v>
      </c>
      <c r="G24" s="12"/>
      <c r="H24" s="13" t="s">
        <v>1790</v>
      </c>
    </row>
    <row r="25" spans="2:8" ht="33">
      <c r="B25" s="14"/>
      <c r="C25" s="197" t="s">
        <v>414</v>
      </c>
      <c r="D25" s="197"/>
      <c r="E25" s="197"/>
      <c r="F25" s="16" t="s">
        <v>1771</v>
      </c>
      <c r="G25" s="16"/>
      <c r="H25" s="15"/>
    </row>
    <row r="26" spans="2:8" ht="16.5">
      <c r="B26" s="14"/>
      <c r="C26" s="206" t="s">
        <v>415</v>
      </c>
      <c r="D26" s="192"/>
      <c r="E26" s="193"/>
      <c r="F26" s="16" t="str">
        <f ca="1">"    M_LINK_DATETIME.LINK_DATE_TIME = '" &amp; TEXT(NOW(),"YYYY/MM/DD　ｈｈ：ｍｍ：ｓｓ")&amp;"'"</f>
        <v xml:space="preserve">    M_LINK_DATETIME.LINK_DATE_TIME = '2017/07/10 10:48:29'</v>
      </c>
      <c r="G26" s="16"/>
      <c r="H26" s="15"/>
    </row>
    <row r="27" spans="2:8" ht="33">
      <c r="B27" s="14"/>
      <c r="C27" s="207" t="s">
        <v>372</v>
      </c>
      <c r="D27" s="207"/>
      <c r="E27" s="207"/>
      <c r="F27" s="16" t="s">
        <v>1787</v>
      </c>
      <c r="G27" s="16"/>
      <c r="H27" s="15"/>
    </row>
  </sheetData>
  <mergeCells count="19">
    <mergeCell ref="B23:E23"/>
    <mergeCell ref="B24:E24"/>
    <mergeCell ref="C25:E25"/>
    <mergeCell ref="C26:E26"/>
    <mergeCell ref="C27:E27"/>
    <mergeCell ref="B17:E17"/>
    <mergeCell ref="C18:E18"/>
    <mergeCell ref="C19:E19"/>
    <mergeCell ref="B20:E20"/>
    <mergeCell ref="C21:E21"/>
    <mergeCell ref="D13:E13"/>
    <mergeCell ref="D16:E16"/>
    <mergeCell ref="B6:E6"/>
    <mergeCell ref="B7:E7"/>
    <mergeCell ref="C8:E8"/>
    <mergeCell ref="C9:E9"/>
    <mergeCell ref="B11:E11"/>
    <mergeCell ref="C12:E12"/>
    <mergeCell ref="C10:E10"/>
  </mergeCells>
  <phoneticPr fontId="2"/>
  <pageMargins left="0.7" right="0.7" top="0.75" bottom="0.75" header="0.3" footer="0.3"/>
  <pageSetup paperSize="9"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>
    <tabColor rgb="FFFFC000"/>
  </sheetPr>
  <dimension ref="A1:AK45"/>
  <sheetViews>
    <sheetView showGridLines="0" showRowColHeaders="0" topLeftCell="G1" zoomScaleNormal="100" workbookViewId="0">
      <selection activeCell="I6" sqref="I6:L6"/>
    </sheetView>
  </sheetViews>
  <sheetFormatPr defaultRowHeight="16.5"/>
  <cols>
    <col min="1" max="1" width="4.25" hidden="1" customWidth="1"/>
    <col min="2" max="2" width="9.25" hidden="1" customWidth="1"/>
    <col min="3" max="3" width="26.625" hidden="1" customWidth="1"/>
    <col min="4" max="4" width="38.375" hidden="1" customWidth="1"/>
    <col min="5" max="5" width="12.25" hidden="1" customWidth="1"/>
    <col min="6" max="6" width="8.875" hidden="1" customWidth="1"/>
    <col min="7" max="7" width="3.25" style="47" customWidth="1"/>
    <col min="8" max="8" width="10.625" style="47" customWidth="1"/>
    <col min="9" max="27" width="3.25" style="47" customWidth="1"/>
    <col min="28" max="51" width="3.375" style="47" customWidth="1"/>
    <col min="52" max="16384" width="9" style="47"/>
  </cols>
  <sheetData>
    <row r="1" spans="1:37" s="45" customFormat="1" ht="19.5">
      <c r="A1"/>
      <c r="B1"/>
      <c r="C1"/>
      <c r="D1"/>
      <c r="E1"/>
      <c r="F1"/>
      <c r="G1" s="45" t="s">
        <v>969</v>
      </c>
    </row>
    <row r="2" spans="1:37" ht="18.75">
      <c r="C2" s="46" t="s">
        <v>970</v>
      </c>
      <c r="D2" s="46" t="s">
        <v>971</v>
      </c>
      <c r="E2" s="46"/>
    </row>
    <row r="3" spans="1:37" ht="18.75">
      <c r="C3" s="46" t="s">
        <v>972</v>
      </c>
      <c r="D3" s="46" t="s">
        <v>973</v>
      </c>
      <c r="E3" s="46" t="str">
        <f>ADDRESS(ROW(A1),COLUMN(A1))&amp;":"&amp;ADDRESS(ROW(F1),COLUMN(F1))</f>
        <v>$A$1:$F$1</v>
      </c>
      <c r="H3" s="48" t="s">
        <v>974</v>
      </c>
      <c r="I3" s="49"/>
      <c r="J3" s="231" t="s">
        <v>975</v>
      </c>
      <c r="K3" s="231"/>
      <c r="L3" s="231"/>
      <c r="M3" s="50"/>
      <c r="N3" s="231" t="s">
        <v>976</v>
      </c>
      <c r="O3" s="231"/>
      <c r="P3" s="231"/>
      <c r="Q3" s="50"/>
      <c r="R3" s="232"/>
      <c r="S3" s="232"/>
      <c r="T3" s="232"/>
      <c r="U3" s="50"/>
      <c r="V3" s="231"/>
      <c r="W3" s="231"/>
      <c r="X3" s="231"/>
      <c r="Y3" s="50"/>
      <c r="Z3" s="231"/>
      <c r="AA3" s="231"/>
      <c r="AB3" s="233"/>
    </row>
    <row r="4" spans="1:37">
      <c r="H4" s="48" t="s">
        <v>977</v>
      </c>
      <c r="I4" s="49"/>
      <c r="J4" s="231" t="s">
        <v>978</v>
      </c>
      <c r="K4" s="231"/>
      <c r="L4" s="231"/>
      <c r="M4" s="50"/>
      <c r="N4" s="231" t="s">
        <v>979</v>
      </c>
      <c r="O4" s="231"/>
      <c r="P4" s="231"/>
      <c r="Q4" s="50"/>
      <c r="R4" s="232" t="s">
        <v>980</v>
      </c>
      <c r="S4" s="232"/>
      <c r="T4" s="232"/>
      <c r="U4" s="50"/>
      <c r="V4" s="231" t="s">
        <v>1833</v>
      </c>
      <c r="W4" s="231"/>
      <c r="X4" s="231"/>
      <c r="Y4" s="50"/>
      <c r="Z4" s="231" t="s">
        <v>982</v>
      </c>
      <c r="AA4" s="231"/>
      <c r="AB4" s="233"/>
    </row>
    <row r="5" spans="1:37" ht="18.75">
      <c r="C5" s="51" t="s">
        <v>983</v>
      </c>
      <c r="E5" s="52" t="s">
        <v>984</v>
      </c>
    </row>
    <row r="6" spans="1:37" ht="18.75">
      <c r="B6" s="53" t="s">
        <v>985</v>
      </c>
      <c r="C6" s="53" t="s">
        <v>986</v>
      </c>
      <c r="D6" s="53" t="s">
        <v>987</v>
      </c>
      <c r="E6" s="54" t="s">
        <v>988</v>
      </c>
      <c r="H6" s="48" t="s">
        <v>989</v>
      </c>
      <c r="I6" s="219"/>
      <c r="J6" s="220"/>
      <c r="K6" s="220"/>
      <c r="L6" s="221"/>
      <c r="M6" s="55" t="s">
        <v>990</v>
      </c>
      <c r="N6" s="219"/>
      <c r="O6" s="220"/>
      <c r="P6" s="220"/>
      <c r="Q6" s="221"/>
      <c r="V6" s="48" t="s">
        <v>991</v>
      </c>
      <c r="W6" s="222"/>
      <c r="X6" s="223"/>
      <c r="Y6" s="223"/>
      <c r="Z6" s="224"/>
      <c r="AA6" s="225" t="str">
        <f>IF(UNKB0220_H_SHIIRESAKI_CD="","",UNKB0220_H_SHIIRESAKI_MEI)</f>
        <v/>
      </c>
      <c r="AB6" s="226"/>
      <c r="AC6" s="226"/>
      <c r="AD6" s="226"/>
      <c r="AE6" s="226"/>
      <c r="AF6" s="226"/>
      <c r="AG6" s="226"/>
      <c r="AH6" s="226"/>
      <c r="AI6" s="226"/>
      <c r="AJ6" s="226"/>
      <c r="AK6" s="227"/>
    </row>
    <row r="7" spans="1:37" ht="18.75">
      <c r="B7" s="216" t="s">
        <v>992</v>
      </c>
      <c r="C7" s="56" t="s">
        <v>975</v>
      </c>
      <c r="D7" s="57" t="s">
        <v>993</v>
      </c>
      <c r="E7" s="58" t="b">
        <v>1</v>
      </c>
      <c r="H7" s="48" t="s">
        <v>1868</v>
      </c>
      <c r="I7" s="254"/>
      <c r="J7" s="254"/>
      <c r="K7" s="254"/>
      <c r="L7" s="254"/>
      <c r="M7" s="55" t="s">
        <v>990</v>
      </c>
      <c r="N7" s="254"/>
      <c r="O7" s="254"/>
      <c r="P7" s="254"/>
      <c r="Q7" s="254"/>
    </row>
    <row r="8" spans="1:37" ht="18.75">
      <c r="B8" s="217"/>
      <c r="C8" s="56" t="s">
        <v>994</v>
      </c>
      <c r="D8" s="57" t="s">
        <v>995</v>
      </c>
      <c r="E8" s="58" t="b">
        <v>1</v>
      </c>
      <c r="H8" s="48" t="s">
        <v>1869</v>
      </c>
      <c r="I8" s="254"/>
      <c r="J8" s="254"/>
      <c r="K8" s="254"/>
      <c r="L8" s="254"/>
      <c r="M8" s="55" t="s">
        <v>990</v>
      </c>
      <c r="N8" s="254"/>
      <c r="O8" s="254"/>
      <c r="P8" s="254"/>
      <c r="Q8" s="254"/>
      <c r="V8" s="48" t="s">
        <v>996</v>
      </c>
      <c r="W8" s="228"/>
      <c r="X8" s="229"/>
      <c r="Y8" s="229"/>
      <c r="Z8" s="230"/>
    </row>
    <row r="9" spans="1:37" ht="18.75">
      <c r="B9" s="218"/>
      <c r="C9" s="169" t="s">
        <v>1716</v>
      </c>
      <c r="D9" s="170" t="s">
        <v>1717</v>
      </c>
      <c r="E9" s="171" t="b">
        <v>0</v>
      </c>
    </row>
    <row r="10" spans="1:37" ht="18.75">
      <c r="B10" s="213" t="s">
        <v>997</v>
      </c>
      <c r="C10" s="56" t="s">
        <v>998</v>
      </c>
      <c r="D10" s="57" t="s">
        <v>999</v>
      </c>
      <c r="E10" s="58" t="b">
        <v>1</v>
      </c>
      <c r="H10" s="48" t="s">
        <v>1001</v>
      </c>
      <c r="I10" s="211"/>
      <c r="J10" s="211"/>
      <c r="K10" s="211"/>
      <c r="L10" s="211"/>
      <c r="M10" s="59" t="str">
        <f>IF(UNKB0220_H_FREEWD_KBN=1,"AND",IF(UNKB0220_H_FREEWD_KBN=2,"OR","NAND"))</f>
        <v>AND</v>
      </c>
      <c r="N10" s="211"/>
      <c r="O10" s="211"/>
      <c r="P10" s="211"/>
      <c r="Q10" s="211"/>
      <c r="R10" s="59" t="str">
        <f>UNKB0220_H_FREEWD_KBN_DISP</f>
        <v>AND</v>
      </c>
      <c r="S10" s="211"/>
      <c r="T10" s="211"/>
      <c r="U10" s="211"/>
      <c r="V10" s="211"/>
    </row>
    <row r="11" spans="1:37" ht="18.75">
      <c r="B11" s="214"/>
      <c r="C11" s="56" t="s">
        <v>979</v>
      </c>
      <c r="D11" s="57" t="s">
        <v>1000</v>
      </c>
      <c r="E11" s="58" t="b">
        <v>1</v>
      </c>
    </row>
    <row r="12" spans="1:37" ht="18.75">
      <c r="B12" s="214"/>
      <c r="C12" s="56" t="s">
        <v>1002</v>
      </c>
      <c r="D12" s="57" t="s">
        <v>1003</v>
      </c>
      <c r="E12" s="58" t="b">
        <v>1</v>
      </c>
    </row>
    <row r="13" spans="1:37" ht="18.75">
      <c r="B13" s="214"/>
      <c r="C13" s="56" t="s">
        <v>1834</v>
      </c>
      <c r="D13" s="57" t="s">
        <v>1004</v>
      </c>
      <c r="E13" s="58" t="b">
        <v>1</v>
      </c>
    </row>
    <row r="14" spans="1:37" ht="18.75">
      <c r="B14" s="215"/>
      <c r="C14" s="56" t="s">
        <v>982</v>
      </c>
      <c r="D14" s="57" t="s">
        <v>1005</v>
      </c>
      <c r="E14" s="58" t="b">
        <v>1</v>
      </c>
    </row>
    <row r="15" spans="1:37" ht="18.75">
      <c r="B15" s="60" t="s">
        <v>1006</v>
      </c>
      <c r="C15" s="61" t="s">
        <v>1007</v>
      </c>
      <c r="D15" s="62" t="s">
        <v>1008</v>
      </c>
      <c r="E15" s="63"/>
    </row>
    <row r="16" spans="1:37" ht="18.75">
      <c r="B16" s="60" t="s">
        <v>1009</v>
      </c>
      <c r="C16" s="61" t="s">
        <v>1010</v>
      </c>
      <c r="D16" s="62" t="s">
        <v>1011</v>
      </c>
      <c r="E16" s="63"/>
    </row>
    <row r="17" spans="2:5" ht="19.5" thickBot="1">
      <c r="B17" s="60" t="s">
        <v>1006</v>
      </c>
      <c r="C17" s="61" t="s">
        <v>1012</v>
      </c>
      <c r="D17" s="62" t="s">
        <v>1013</v>
      </c>
      <c r="E17" s="64">
        <v>1</v>
      </c>
    </row>
    <row r="20" spans="2:5">
      <c r="C20" s="212" t="s">
        <v>1014</v>
      </c>
      <c r="D20" s="212"/>
    </row>
    <row r="21" spans="2:5">
      <c r="C21" s="65" t="s">
        <v>1015</v>
      </c>
      <c r="D21" s="65" t="s">
        <v>1016</v>
      </c>
      <c r="E21" s="65" t="s">
        <v>1017</v>
      </c>
    </row>
    <row r="22" spans="2:5" ht="18.75">
      <c r="C22" s="56" t="s">
        <v>975</v>
      </c>
      <c r="D22" s="56" t="s">
        <v>1018</v>
      </c>
      <c r="E22" s="60" t="b">
        <v>1</v>
      </c>
    </row>
    <row r="23" spans="2:5" ht="18.75">
      <c r="C23" s="56" t="s">
        <v>994</v>
      </c>
      <c r="D23" s="56" t="s">
        <v>1019</v>
      </c>
      <c r="E23" s="60" t="b">
        <v>1</v>
      </c>
    </row>
    <row r="24" spans="2:5" ht="18.75">
      <c r="C24" s="169" t="s">
        <v>1716</v>
      </c>
      <c r="D24" s="169" t="s">
        <v>1718</v>
      </c>
      <c r="E24" s="172" t="b">
        <v>0</v>
      </c>
    </row>
    <row r="25" spans="2:5" ht="18.75">
      <c r="C25" s="56" t="s">
        <v>998</v>
      </c>
      <c r="D25" s="56" t="s">
        <v>1020</v>
      </c>
      <c r="E25" s="60" t="b">
        <v>1</v>
      </c>
    </row>
    <row r="26" spans="2:5" ht="18.75">
      <c r="C26" s="56" t="s">
        <v>979</v>
      </c>
      <c r="D26" s="56" t="s">
        <v>1021</v>
      </c>
      <c r="E26" s="60" t="b">
        <v>1</v>
      </c>
    </row>
    <row r="27" spans="2:5" ht="18.75">
      <c r="C27" s="56" t="s">
        <v>1002</v>
      </c>
      <c r="D27" s="56" t="s">
        <v>1022</v>
      </c>
      <c r="E27" s="60" t="b">
        <v>1</v>
      </c>
    </row>
    <row r="28" spans="2:5" ht="18.75">
      <c r="C28" s="56" t="s">
        <v>981</v>
      </c>
      <c r="D28" s="56" t="s">
        <v>1023</v>
      </c>
      <c r="E28" s="60" t="b">
        <v>1</v>
      </c>
    </row>
    <row r="29" spans="2:5" ht="18.75">
      <c r="C29" s="56" t="s">
        <v>982</v>
      </c>
      <c r="D29" s="56" t="s">
        <v>1024</v>
      </c>
      <c r="E29" s="60" t="b">
        <v>1</v>
      </c>
    </row>
    <row r="30" spans="2:5" ht="18.75">
      <c r="C30" s="61" t="s">
        <v>1025</v>
      </c>
      <c r="D30" s="61" t="s">
        <v>1026</v>
      </c>
      <c r="E30" s="60" t="s">
        <v>1027</v>
      </c>
    </row>
    <row r="31" spans="2:5" ht="18.75">
      <c r="C31" s="61" t="s">
        <v>1028</v>
      </c>
      <c r="D31" s="61" t="s">
        <v>1029</v>
      </c>
      <c r="E31" s="60" t="s">
        <v>1027</v>
      </c>
    </row>
    <row r="32" spans="2:5" ht="18.75">
      <c r="C32" s="61" t="s">
        <v>1030</v>
      </c>
      <c r="D32" s="61" t="s">
        <v>1031</v>
      </c>
      <c r="E32" s="66" t="s">
        <v>1032</v>
      </c>
    </row>
    <row r="33" spans="3:5" ht="18.75">
      <c r="C33" s="61" t="s">
        <v>1033</v>
      </c>
      <c r="D33" s="61" t="s">
        <v>1034</v>
      </c>
      <c r="E33" s="66" t="s">
        <v>1035</v>
      </c>
    </row>
    <row r="34" spans="3:5" ht="18.75">
      <c r="C34" s="61" t="s">
        <v>1036</v>
      </c>
      <c r="D34" s="61" t="s">
        <v>1037</v>
      </c>
      <c r="E34" s="66" t="s">
        <v>1035</v>
      </c>
    </row>
    <row r="35" spans="3:5" ht="18.75">
      <c r="C35" s="61" t="s">
        <v>1038</v>
      </c>
      <c r="D35" s="61" t="s">
        <v>1039</v>
      </c>
      <c r="E35" s="66" t="s">
        <v>1035</v>
      </c>
    </row>
    <row r="36" spans="3:5" ht="18.75">
      <c r="C36" s="61" t="s">
        <v>1040</v>
      </c>
      <c r="D36" s="61" t="s">
        <v>1041</v>
      </c>
      <c r="E36" s="60"/>
    </row>
    <row r="37" spans="3:5" ht="18.75">
      <c r="C37" s="61" t="s">
        <v>1007</v>
      </c>
      <c r="D37" s="61" t="s">
        <v>1042</v>
      </c>
      <c r="E37" s="60"/>
    </row>
    <row r="38" spans="3:5" ht="18.75">
      <c r="C38" s="46" t="s">
        <v>1043</v>
      </c>
      <c r="D38" s="46" t="s">
        <v>1044</v>
      </c>
      <c r="E38" s="60"/>
    </row>
    <row r="39" spans="3:5" ht="18.75">
      <c r="C39" s="46" t="s">
        <v>1045</v>
      </c>
      <c r="D39" s="46" t="s">
        <v>1046</v>
      </c>
      <c r="E39" s="60"/>
    </row>
    <row r="40" spans="3:5" ht="18.75">
      <c r="C40" s="46" t="s">
        <v>1047</v>
      </c>
      <c r="D40" s="46" t="s">
        <v>1048</v>
      </c>
      <c r="E40" s="60"/>
    </row>
    <row r="41" spans="3:5" ht="18.75">
      <c r="C41" s="46" t="s">
        <v>1049</v>
      </c>
      <c r="D41" s="46" t="s">
        <v>1050</v>
      </c>
      <c r="E41" s="60"/>
    </row>
    <row r="42" spans="3:5" ht="18.75">
      <c r="C42" s="46" t="s">
        <v>1051</v>
      </c>
      <c r="D42" s="46" t="s">
        <v>1052</v>
      </c>
      <c r="E42" s="60"/>
    </row>
    <row r="43" spans="3:5" ht="18.75">
      <c r="C43" s="61" t="s">
        <v>1012</v>
      </c>
      <c r="D43" s="61" t="s">
        <v>1053</v>
      </c>
      <c r="E43" s="60">
        <v>1</v>
      </c>
    </row>
    <row r="45" spans="3:5">
      <c r="C45" s="67"/>
      <c r="D45" s="67"/>
      <c r="E45" s="67"/>
    </row>
  </sheetData>
  <sheetProtection sheet="1" objects="1" scenarios="1" selectLockedCells="1"/>
  <mergeCells count="25">
    <mergeCell ref="J4:L4"/>
    <mergeCell ref="N4:P4"/>
    <mergeCell ref="R4:T4"/>
    <mergeCell ref="V4:X4"/>
    <mergeCell ref="Z4:AB4"/>
    <mergeCell ref="J3:L3"/>
    <mergeCell ref="N3:P3"/>
    <mergeCell ref="R3:T3"/>
    <mergeCell ref="V3:X3"/>
    <mergeCell ref="Z3:AB3"/>
    <mergeCell ref="B7:B9"/>
    <mergeCell ref="I6:L6"/>
    <mergeCell ref="N6:Q6"/>
    <mergeCell ref="W6:Z6"/>
    <mergeCell ref="AA6:AK6"/>
    <mergeCell ref="I7:L7"/>
    <mergeCell ref="N7:Q7"/>
    <mergeCell ref="I8:L8"/>
    <mergeCell ref="N8:Q8"/>
    <mergeCell ref="W8:Z8"/>
    <mergeCell ref="I10:L10"/>
    <mergeCell ref="N10:Q10"/>
    <mergeCell ref="S10:V10"/>
    <mergeCell ref="C20:D20"/>
    <mergeCell ref="B10:B14"/>
  </mergeCells>
  <phoneticPr fontId="2"/>
  <dataValidations count="3">
    <dataValidation type="custom" allowBlank="1" showInputMessage="1" showErrorMessage="1" sqref="W8:Z8">
      <formula1>AND(LEN(W8)=LENB(W8),LEN(W8)=20)</formula1>
    </dataValidation>
    <dataValidation type="custom" allowBlank="1" showInputMessage="1" showErrorMessage="1" sqref="W6:Z6 I6:L6 N6:Q6">
      <formula1>AND(LEN(I6)=LENB(I6),LEN(I6)=10)</formula1>
    </dataValidation>
    <dataValidation type="date" allowBlank="1" showInputMessage="1" showErrorMessage="1" sqref="I7:L7 N7:Q7 N8:Q8 I8:L8">
      <formula1>36526</formula1>
      <formula2>73415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3</xdr:col>
                    <xdr:colOff>676275</xdr:colOff>
                    <xdr:row>18</xdr:row>
                    <xdr:rowOff>47625</xdr:rowOff>
                  </from>
                  <to>
                    <xdr:col>3</xdr:col>
                    <xdr:colOff>1619250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8</xdr:col>
                    <xdr:colOff>76200</xdr:colOff>
                    <xdr:row>2</xdr:row>
                    <xdr:rowOff>19050</xdr:rowOff>
                  </from>
                  <to>
                    <xdr:col>11</xdr:col>
                    <xdr:colOff>180975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12</xdr:col>
                    <xdr:colOff>76200</xdr:colOff>
                    <xdr:row>2</xdr:row>
                    <xdr:rowOff>19050</xdr:rowOff>
                  </from>
                  <to>
                    <xdr:col>15</xdr:col>
                    <xdr:colOff>180975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8</xdr:col>
                    <xdr:colOff>76200</xdr:colOff>
                    <xdr:row>3</xdr:row>
                    <xdr:rowOff>9525</xdr:rowOff>
                  </from>
                  <to>
                    <xdr:col>10</xdr:col>
                    <xdr:colOff>152400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12</xdr:col>
                    <xdr:colOff>76200</xdr:colOff>
                    <xdr:row>3</xdr:row>
                    <xdr:rowOff>9525</xdr:rowOff>
                  </from>
                  <to>
                    <xdr:col>15</xdr:col>
                    <xdr:colOff>47625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16</xdr:col>
                    <xdr:colOff>76200</xdr:colOff>
                    <xdr:row>3</xdr:row>
                    <xdr:rowOff>9525</xdr:rowOff>
                  </from>
                  <to>
                    <xdr:col>19</xdr:col>
                    <xdr:colOff>228600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20</xdr:col>
                    <xdr:colOff>76200</xdr:colOff>
                    <xdr:row>3</xdr:row>
                    <xdr:rowOff>9525</xdr:rowOff>
                  </from>
                  <to>
                    <xdr:col>22</xdr:col>
                    <xdr:colOff>57150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24</xdr:col>
                    <xdr:colOff>76200</xdr:colOff>
                    <xdr:row>3</xdr:row>
                    <xdr:rowOff>9525</xdr:rowOff>
                  </from>
                  <to>
                    <xdr:col>27</xdr:col>
                    <xdr:colOff>57150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Option Button 9">
              <controlPr defaultSize="0" autoFill="0" autoLine="0" autoPict="0">
                <anchor moveWithCells="1">
                  <from>
                    <xdr:col>22</xdr:col>
                    <xdr:colOff>228600</xdr:colOff>
                    <xdr:row>8</xdr:row>
                    <xdr:rowOff>228600</xdr:rowOff>
                  </from>
                  <to>
                    <xdr:col>25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Option Button 10">
              <controlPr defaultSize="0" autoFill="0" autoLine="0" autoPict="0">
                <anchor moveWithCells="1">
                  <from>
                    <xdr:col>25</xdr:col>
                    <xdr:colOff>28575</xdr:colOff>
                    <xdr:row>9</xdr:row>
                    <xdr:rowOff>0</xdr:rowOff>
                  </from>
                  <to>
                    <xdr:col>26</xdr:col>
                    <xdr:colOff>200025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Option Button 11">
              <controlPr defaultSize="0" autoFill="0" autoLine="0" autoPict="0">
                <anchor moveWithCells="1">
                  <from>
                    <xdr:col>26</xdr:col>
                    <xdr:colOff>228600</xdr:colOff>
                    <xdr:row>9</xdr:row>
                    <xdr:rowOff>0</xdr:rowOff>
                  </from>
                  <to>
                    <xdr:col>29</xdr:col>
                    <xdr:colOff>95250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C000"/>
  </sheetPr>
  <dimension ref="A1:AB37"/>
  <sheetViews>
    <sheetView showGridLines="0" showRowColHeaders="0" topLeftCell="F15" zoomScaleNormal="100" workbookViewId="0">
      <selection sqref="A1:E1 H1:L1 X1:AB1"/>
    </sheetView>
  </sheetViews>
  <sheetFormatPr defaultRowHeight="18.75" customHeight="1"/>
  <cols>
    <col min="1" max="1" width="9" style="67" hidden="1" customWidth="1"/>
    <col min="2" max="2" width="13.25" style="67" hidden="1" customWidth="1"/>
    <col min="3" max="3" width="30.625" style="67" hidden="1" customWidth="1"/>
    <col min="4" max="4" width="13.375" style="67" hidden="1" customWidth="1"/>
    <col min="5" max="5" width="9" style="67" hidden="1" customWidth="1"/>
    <col min="6" max="6" width="3.375" style="47" customWidth="1"/>
    <col min="7" max="7" width="3.75" style="47" customWidth="1"/>
    <col min="8" max="12" width="4.75" style="47" hidden="1" customWidth="1"/>
    <col min="13" max="13" width="12.125" style="47" customWidth="1"/>
    <col min="14" max="14" width="11.75" style="47" customWidth="1"/>
    <col min="15" max="15" width="12.125" style="47" customWidth="1"/>
    <col min="16" max="16" width="37.5" style="47" customWidth="1"/>
    <col min="17" max="18" width="11.125" style="47" bestFit="1" customWidth="1"/>
    <col min="19" max="19" width="11.375" style="47" bestFit="1" customWidth="1"/>
    <col min="20" max="20" width="12.75" style="47" bestFit="1" customWidth="1"/>
    <col min="21" max="21" width="6.375" style="47" bestFit="1" customWidth="1"/>
    <col min="22" max="22" width="12.75" style="47" bestFit="1" customWidth="1"/>
    <col min="23" max="23" width="11.875" style="47" bestFit="1" customWidth="1"/>
    <col min="24" max="24" width="3.75" style="47" hidden="1" customWidth="1"/>
    <col min="25" max="28" width="9" style="47" hidden="1" customWidth="1"/>
    <col min="29" max="16384" width="9" style="47"/>
  </cols>
  <sheetData>
    <row r="1" spans="2:28" ht="1.5" hidden="1" customHeight="1"/>
    <row r="2" spans="2:28" ht="1.5" hidden="1" customHeight="1"/>
    <row r="3" spans="2:28" ht="1.5" hidden="1" customHeight="1"/>
    <row r="4" spans="2:28" ht="1.5" hidden="1" customHeight="1"/>
    <row r="5" spans="2:28" ht="1.5" hidden="1" customHeight="1"/>
    <row r="6" spans="2:28" ht="1.5" hidden="1" customHeight="1"/>
    <row r="7" spans="2:28" ht="1.5" hidden="1" customHeight="1"/>
    <row r="8" spans="2:28" ht="1.5" hidden="1" customHeight="1"/>
    <row r="9" spans="2:28" ht="1.5" hidden="1" customHeight="1"/>
    <row r="10" spans="2:28" ht="1.5" hidden="1" customHeight="1"/>
    <row r="11" spans="2:28" ht="1.5" hidden="1" customHeight="1"/>
    <row r="12" spans="2:28" ht="1.5" hidden="1" customHeight="1"/>
    <row r="13" spans="2:28" ht="1.5" hidden="1" customHeight="1"/>
    <row r="14" spans="2:28" ht="1.5" hidden="1" customHeight="1"/>
    <row r="15" spans="2:28" ht="18.75" customHeight="1">
      <c r="F15" s="47" t="str">
        <f>"("&amp;UNKB0220_B_PAGE_NO&amp;"/"&amp;UNKB0220_B_ALL_PAGE_SU&amp;")"</f>
        <v>(1/1)</v>
      </c>
      <c r="G15" s="68"/>
    </row>
    <row r="16" spans="2:28" ht="18.75" customHeight="1">
      <c r="B16" s="46" t="s">
        <v>970</v>
      </c>
      <c r="C16" s="46" t="s">
        <v>1054</v>
      </c>
      <c r="D16" s="46" t="str">
        <f>ROW(A1)&amp;":"&amp;ROW(A14)</f>
        <v>1:14</v>
      </c>
      <c r="F16" s="175"/>
      <c r="G16" s="80" t="s">
        <v>1055</v>
      </c>
      <c r="H16" s="69" t="s">
        <v>936</v>
      </c>
      <c r="I16" s="69" t="s">
        <v>1056</v>
      </c>
      <c r="J16" s="69" t="s">
        <v>1057</v>
      </c>
      <c r="K16" s="69" t="s">
        <v>1058</v>
      </c>
      <c r="L16" s="69" t="s">
        <v>1059</v>
      </c>
      <c r="M16" s="80" t="s">
        <v>992</v>
      </c>
      <c r="N16" s="80" t="s">
        <v>997</v>
      </c>
      <c r="O16" s="80" t="s">
        <v>1040</v>
      </c>
      <c r="P16" s="80" t="s">
        <v>1007</v>
      </c>
      <c r="Q16" s="80" t="s">
        <v>1060</v>
      </c>
      <c r="R16" s="80" t="s">
        <v>1061</v>
      </c>
      <c r="S16" s="80" t="s">
        <v>1062</v>
      </c>
      <c r="T16" s="80" t="s">
        <v>1063</v>
      </c>
      <c r="U16" s="80" t="s">
        <v>1064</v>
      </c>
      <c r="V16" s="80" t="s">
        <v>1065</v>
      </c>
      <c r="W16" s="80" t="s">
        <v>1066</v>
      </c>
      <c r="X16" s="174" t="s">
        <v>1067</v>
      </c>
      <c r="Y16" s="174" t="s">
        <v>1068</v>
      </c>
      <c r="Z16" s="174" t="s">
        <v>997</v>
      </c>
      <c r="AA16" s="174" t="s">
        <v>1010</v>
      </c>
      <c r="AB16" s="174" t="s">
        <v>1069</v>
      </c>
    </row>
    <row r="17" spans="2:4" ht="18.75" customHeight="1">
      <c r="B17" s="46" t="s">
        <v>972</v>
      </c>
      <c r="C17" s="46" t="s">
        <v>1070</v>
      </c>
      <c r="D17" s="46" t="str">
        <f>ADDRESS(ROW(A1),COLUMN(A1))&amp;":"&amp;ADDRESS(ROW(E1),COLUMN(E1))&amp;","&amp;ADDRESS(ROW(H1),COLUMN(H1))&amp;":"&amp;ADDRESS(ROW(L1),COLUMN(L1))&amp;","&amp;ADDRESS(ROW(X1),COLUMN(X1))&amp;":"&amp;ADDRESS(ROW(AB1),COLUMN(AB1))</f>
        <v>$A$1:$E$1,$H$1:$L$1,$X$1:$AB$1</v>
      </c>
    </row>
    <row r="18" spans="2:4" ht="18.75" customHeight="1">
      <c r="B18" s="46" t="s">
        <v>1071</v>
      </c>
      <c r="C18" s="46" t="s">
        <v>1072</v>
      </c>
      <c r="D18" s="46" t="str">
        <f>ADDRESS(ROW(UNKB0220_B_SHIIRE_DATE)+1,COLUMN(UNKB0220_B_SHIIRE_DATE)-1)</f>
        <v>$P$17</v>
      </c>
    </row>
    <row r="20" spans="2:4" ht="18.75" customHeight="1">
      <c r="B20" s="46" t="s">
        <v>1073</v>
      </c>
      <c r="C20" s="46" t="s">
        <v>1329</v>
      </c>
      <c r="D20" s="46"/>
    </row>
    <row r="21" spans="2:4" ht="18.75" customHeight="1">
      <c r="B21" s="46" t="s">
        <v>1074</v>
      </c>
      <c r="C21" s="46" t="s">
        <v>1328</v>
      </c>
      <c r="D21" s="46">
        <v>1</v>
      </c>
    </row>
    <row r="22" spans="2:4" ht="18.75" customHeight="1">
      <c r="B22" s="46" t="s">
        <v>1075</v>
      </c>
      <c r="C22" s="46" t="s">
        <v>1076</v>
      </c>
      <c r="D22" s="46">
        <f>IF(OR(UNKB0220_B_ALL_KENSU=0,UNKB0220_B_HYOJI_GYO_SU=0),1,ROUNDUP(UNKB0220_B_ALL_KENSU/UNKB0220_B_HYOJI_GYO_SU,0))</f>
        <v>1</v>
      </c>
    </row>
    <row r="23" spans="2:4" ht="18.75" customHeight="1">
      <c r="B23" s="46" t="s">
        <v>1077</v>
      </c>
      <c r="C23" s="46" t="s">
        <v>1078</v>
      </c>
      <c r="D23" s="46">
        <v>10</v>
      </c>
    </row>
    <row r="24" spans="2:4" ht="18.75" customHeight="1">
      <c r="B24" s="46" t="s">
        <v>1079</v>
      </c>
      <c r="C24" s="46" t="s">
        <v>1080</v>
      </c>
      <c r="D24" s="46">
        <v>2</v>
      </c>
    </row>
    <row r="25" spans="2:4" ht="18.75" customHeight="1">
      <c r="B25" s="70"/>
      <c r="C25" s="71"/>
      <c r="D25" s="70"/>
    </row>
    <row r="26" spans="2:4" ht="18.75" customHeight="1">
      <c r="B26" s="46" t="s">
        <v>1081</v>
      </c>
      <c r="C26" s="46" t="s">
        <v>1082</v>
      </c>
      <c r="D26" s="46" t="str">
        <f>ADDRESS(ROW(UNKB0220_B_SENTAKU)+1,COLUMN(UNKB0220_B_SENTAKU)+1)</f>
        <v>$H$17</v>
      </c>
    </row>
    <row r="27" spans="2:4" ht="18.75" customHeight="1">
      <c r="B27" s="46" t="s">
        <v>1083</v>
      </c>
      <c r="C27" s="46" t="s">
        <v>1084</v>
      </c>
      <c r="D27" s="46" t="str">
        <f>ADDRESS(ROW(UNKB0220_B_SENTAKU)+1+UNKB0220_B_HYOJI_KENSU-1,COLUMN(UNKB0220_B_SENTAKU)+COLUMNS(UNKB0220_IF_LIST_COPY_MOTO)-1)</f>
        <v>$AB$26</v>
      </c>
    </row>
    <row r="28" spans="2:4" ht="18.75" customHeight="1">
      <c r="B28" s="46" t="s">
        <v>1085</v>
      </c>
      <c r="C28" s="46" t="s">
        <v>1086</v>
      </c>
      <c r="D28" s="46" t="b">
        <f>IF(UNKB0220_B_HYOJI_KENSU&lt;&gt;0,TRUE,FALSE)</f>
        <v>1</v>
      </c>
    </row>
    <row r="29" spans="2:4" ht="18.75" customHeight="1">
      <c r="B29" s="46" t="s">
        <v>1087</v>
      </c>
      <c r="C29" s="46" t="s">
        <v>1088</v>
      </c>
      <c r="D29" s="46" t="str">
        <f>IF(UNKB0220_B_HYOJI_KENSU=0,"",ADDRESS(ROW(UNKB0220_B_SENTAKU)+1,COLUMN(UNKB0220_B_SENTAKU))&amp;":"&amp;
ADDRESS(ROW(UNKB0220_B_SENTAKU)+1+UNKB0220_B_HYOJI_KENSU-1,COLUMN(UNKB0220_B_SENTAKU)+COLUMNS(UNKB0220_IF_LIST_COPY_MOTO)-1))</f>
        <v>$G$17:$AB$26</v>
      </c>
    </row>
    <row r="30" spans="2:4" ht="18.75" customHeight="1">
      <c r="B30" s="46" t="s">
        <v>1089</v>
      </c>
      <c r="C30" s="46" t="s">
        <v>1090</v>
      </c>
      <c r="D30" s="46" t="str">
        <f>IF(UNKB0220_B_HYOJI_KENSU=0,"",ADDRESS(ROW(UNKB0220_B_SENTAKU)+1,COLUMN(UNKB0220_B_SENTAKU))&amp;":"&amp;ADDRESS(ROW(UNKB0220_B_SENTAKU)+1+UNKB0220_B_HYOJI_KENSU-1,COLUMN(UNKB0220_B_SENTAKU)))</f>
        <v>$G$17:$G$26</v>
      </c>
    </row>
    <row r="31" spans="2:4" ht="18.75" customHeight="1">
      <c r="B31" s="46" t="s">
        <v>1091</v>
      </c>
      <c r="C31" s="46" t="s">
        <v>1092</v>
      </c>
      <c r="D31" s="46" t="str">
        <f>ADDRESS(ROW(UNKB0220_B_SENTAKU)+1,COLUMN(UNKB0220_B_SENTAKU))&amp;":"&amp;
ADDRESS(ROW(UNKB0220_B_SENTAKU)+1+UNKB0220_B_HYOJI_GYO_SU-1,COLUMN(UNKB0220_B_SENTAKU)+COLUMNS(UNKB0220_IF_LIST_COPY_MOTO)-1)</f>
        <v>$G$17:$AB$18</v>
      </c>
    </row>
    <row r="32" spans="2:4" ht="18.75" customHeight="1">
      <c r="B32" s="46" t="s">
        <v>1093</v>
      </c>
      <c r="C32" s="46" t="s">
        <v>1094</v>
      </c>
      <c r="D32" s="46" t="str">
        <f>ADDRESS(ROW(UNKB0220_B_SENTAKU)+1,COLUMN(UNKB0220_B_SENTAKU)+1)</f>
        <v>$H$17</v>
      </c>
    </row>
    <row r="33" spans="2:4" ht="18.75" customHeight="1">
      <c r="B33" s="70"/>
      <c r="C33" s="71"/>
      <c r="D33" s="70"/>
    </row>
    <row r="34" spans="2:4" ht="18.75" customHeight="1">
      <c r="B34" s="46" t="s">
        <v>1095</v>
      </c>
      <c r="C34" s="46" t="s">
        <v>1096</v>
      </c>
      <c r="D34" s="46">
        <f>UNKB0220_B_PAGE_NO+1</f>
        <v>2</v>
      </c>
    </row>
    <row r="35" spans="2:4" ht="18.75" customHeight="1">
      <c r="B35" s="46" t="s">
        <v>1097</v>
      </c>
      <c r="C35" s="46" t="s">
        <v>1098</v>
      </c>
      <c r="D35" s="46">
        <f>UNKB0220_B_PAGE_NO-1</f>
        <v>0</v>
      </c>
    </row>
    <row r="36" spans="2:4" ht="18.75" customHeight="1">
      <c r="B36" s="46" t="s">
        <v>1099</v>
      </c>
      <c r="C36" s="46" t="s">
        <v>1100</v>
      </c>
      <c r="D36" s="46">
        <f>IF(1&lt;UNKB0220_B_PAGE_NO,1,2)</f>
        <v>2</v>
      </c>
    </row>
    <row r="37" spans="2:4" ht="18.75" customHeight="1">
      <c r="B37" s="46" t="s">
        <v>1101</v>
      </c>
      <c r="C37" s="46" t="s">
        <v>1102</v>
      </c>
      <c r="D37" s="46">
        <f>IF(UNKB0220_B_PAGE_NO&lt;UNKB0220_B_ALL_PAGE_SU,1,2)</f>
        <v>2</v>
      </c>
    </row>
  </sheetData>
  <sheetProtection sheet="1" objects="1" scenarios="1" selectLockedCells="1"/>
  <phoneticPr fontId="2"/>
  <conditionalFormatting sqref="N1:N13">
    <cfRule type="containsText" dxfId="20" priority="8" operator="containsText" text="準備納期外">
      <formula>NOT(ISERROR(SEARCH("準備納期外",N1)))</formula>
    </cfRule>
  </conditionalFormatting>
  <conditionalFormatting sqref="N14">
    <cfRule type="containsText" dxfId="19" priority="7" operator="containsText" text="準備納期外">
      <formula>NOT(ISERROR(SEARCH("準備納期外",N14)))</formula>
    </cfRule>
  </conditionalFormatting>
  <pageMargins left="0.7" right="0.7" top="0.75" bottom="0.75" header="0.3" footer="0.3"/>
  <pageSetup paperSize="9" orientation="portrait" verticalDpi="203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2:CA25"/>
  <sheetViews>
    <sheetView workbookViewId="0">
      <selection activeCell="AE4" sqref="AE4:AH4"/>
    </sheetView>
  </sheetViews>
  <sheetFormatPr defaultRowHeight="13.5"/>
  <cols>
    <col min="1" max="1" width="13.375" customWidth="1"/>
    <col min="2" max="2" width="11.375" customWidth="1"/>
    <col min="3" max="3" width="20.375" customWidth="1"/>
    <col min="4" max="4" width="3.75" customWidth="1"/>
    <col min="6" max="6" width="9.125" customWidth="1"/>
    <col min="8" max="8" width="7.625" customWidth="1"/>
    <col min="27" max="27" width="13.625" customWidth="1"/>
    <col min="28" max="28" width="14.25" customWidth="1"/>
    <col min="31" max="31" width="3" customWidth="1"/>
    <col min="32" max="32" width="2.625" customWidth="1"/>
    <col min="33" max="33" width="1.875" customWidth="1"/>
    <col min="34" max="34" width="2.125" customWidth="1"/>
    <col min="35" max="36" width="1.875" customWidth="1"/>
    <col min="37" max="37" width="1.625" customWidth="1"/>
    <col min="38" max="40" width="2.125" customWidth="1"/>
    <col min="41" max="41" width="1.75" customWidth="1"/>
    <col min="42" max="43" width="1.875" customWidth="1"/>
    <col min="44" max="45" width="2.25" customWidth="1"/>
    <col min="46" max="46" width="2.5" customWidth="1"/>
    <col min="47" max="49" width="2.375" customWidth="1"/>
    <col min="50" max="50" width="1.625" customWidth="1"/>
    <col min="51" max="52" width="1.875" customWidth="1"/>
    <col min="53" max="53" width="2.125" customWidth="1"/>
    <col min="54" max="54" width="2.375" customWidth="1"/>
    <col min="55" max="55" width="1.5" customWidth="1"/>
    <col min="56" max="57" width="2" customWidth="1"/>
    <col min="58" max="58" width="2.125" customWidth="1"/>
    <col min="59" max="59" width="2.375" customWidth="1"/>
    <col min="65" max="65" width="11.375" customWidth="1"/>
    <col min="66" max="66" width="18.125" customWidth="1"/>
    <col min="67" max="67" width="11.25" customWidth="1"/>
    <col min="68" max="68" width="17" customWidth="1"/>
    <col min="69" max="69" width="14.125" customWidth="1"/>
    <col min="70" max="70" width="13.5" customWidth="1"/>
    <col min="71" max="71" width="18.25" customWidth="1"/>
    <col min="75" max="78" width="11" customWidth="1"/>
    <col min="79" max="79" width="10.5" customWidth="1"/>
  </cols>
  <sheetData>
    <row r="2" spans="1:79">
      <c r="A2" s="72" t="s">
        <v>1103</v>
      </c>
      <c r="U2" s="52"/>
      <c r="V2" s="52"/>
      <c r="W2" s="52"/>
      <c r="X2" s="52"/>
      <c r="Y2" s="52"/>
      <c r="Z2" s="52"/>
      <c r="AA2" s="52"/>
      <c r="AB2" s="52"/>
      <c r="AC2" s="52"/>
      <c r="AD2" s="73" t="s">
        <v>1104</v>
      </c>
      <c r="AE2" s="52" t="s">
        <v>1105</v>
      </c>
    </row>
    <row r="3" spans="1:79" ht="16.5">
      <c r="D3" s="74" t="s">
        <v>1055</v>
      </c>
      <c r="E3" s="69" t="s">
        <v>936</v>
      </c>
      <c r="F3" s="69" t="s">
        <v>1056</v>
      </c>
      <c r="G3" s="69" t="s">
        <v>1057</v>
      </c>
      <c r="H3" s="69" t="s">
        <v>1058</v>
      </c>
      <c r="I3" s="69" t="s">
        <v>1059</v>
      </c>
      <c r="J3" s="75" t="s">
        <v>1106</v>
      </c>
      <c r="K3" s="74" t="s">
        <v>997</v>
      </c>
      <c r="L3" s="74" t="s">
        <v>1040</v>
      </c>
      <c r="M3" s="74" t="s">
        <v>1007</v>
      </c>
      <c r="N3" s="74" t="s">
        <v>1060</v>
      </c>
      <c r="O3" s="74" t="s">
        <v>1061</v>
      </c>
      <c r="P3" s="74" t="s">
        <v>1062</v>
      </c>
      <c r="Q3" s="74" t="s">
        <v>1063</v>
      </c>
      <c r="R3" s="74" t="s">
        <v>1064</v>
      </c>
      <c r="S3" s="74" t="s">
        <v>1065</v>
      </c>
      <c r="T3" s="74" t="s">
        <v>1066</v>
      </c>
      <c r="U3" s="69" t="s">
        <v>1067</v>
      </c>
      <c r="V3" s="69" t="s">
        <v>1068</v>
      </c>
      <c r="W3" s="69" t="s">
        <v>997</v>
      </c>
      <c r="X3" s="69" t="s">
        <v>1010</v>
      </c>
      <c r="Y3" s="69" t="s">
        <v>1069</v>
      </c>
      <c r="AA3" s="72" t="s">
        <v>1107</v>
      </c>
      <c r="AE3" s="219"/>
      <c r="AF3" s="220"/>
      <c r="AG3" s="220"/>
      <c r="AH3" s="221"/>
      <c r="AI3" s="55" t="s">
        <v>990</v>
      </c>
      <c r="AJ3" s="219"/>
      <c r="AK3" s="220"/>
      <c r="AL3" s="220"/>
      <c r="AM3" s="221"/>
      <c r="AN3" s="47"/>
      <c r="AO3" s="47"/>
      <c r="AP3" s="47"/>
      <c r="AQ3" s="47"/>
      <c r="AR3" s="48" t="s">
        <v>991</v>
      </c>
      <c r="AS3" s="222"/>
      <c r="AT3" s="223"/>
      <c r="AU3" s="223"/>
      <c r="AV3" s="224"/>
      <c r="AW3" s="225" t="str">
        <f>IF(UNKB0220_H_SHIIRESAKI_CD="","",UNKB0220_H_SHIIRESAKI_MEI)</f>
        <v/>
      </c>
      <c r="AX3" s="226"/>
      <c r="AY3" s="226"/>
      <c r="AZ3" s="226"/>
      <c r="BA3" s="226"/>
      <c r="BB3" s="226"/>
      <c r="BC3" s="226"/>
      <c r="BD3" s="226"/>
      <c r="BE3" s="226"/>
      <c r="BF3" s="226"/>
      <c r="BG3" s="227"/>
      <c r="BJ3" t="s">
        <v>1108</v>
      </c>
      <c r="BK3" t="s">
        <v>1109</v>
      </c>
      <c r="BM3" s="76"/>
      <c r="BN3" s="76"/>
      <c r="BO3" s="76"/>
      <c r="BP3" s="76"/>
      <c r="BQ3" s="77"/>
      <c r="BR3" s="77"/>
      <c r="BS3" s="76"/>
      <c r="BT3" s="78"/>
      <c r="BU3" s="78"/>
      <c r="BV3" s="78"/>
      <c r="BW3" s="76"/>
      <c r="BX3" s="76"/>
      <c r="BY3" s="76"/>
      <c r="BZ3" s="76"/>
      <c r="CA3" s="76"/>
    </row>
    <row r="4" spans="1:79" ht="16.5">
      <c r="B4" t="s">
        <v>1110</v>
      </c>
      <c r="C4" s="52" t="s">
        <v>1111</v>
      </c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AB4" s="52" t="s">
        <v>1112</v>
      </c>
      <c r="AE4" s="254"/>
      <c r="AF4" s="254"/>
      <c r="AG4" s="254"/>
      <c r="AH4" s="254"/>
      <c r="AI4" s="55" t="s">
        <v>990</v>
      </c>
      <c r="AJ4" s="254"/>
      <c r="AK4" s="254"/>
      <c r="AL4" s="254"/>
      <c r="AM4" s="254"/>
      <c r="AN4" s="47"/>
      <c r="AO4" s="47"/>
      <c r="AP4" s="47"/>
      <c r="AQ4" s="47"/>
      <c r="AR4" s="47"/>
      <c r="AS4" s="47"/>
      <c r="AT4" s="47"/>
      <c r="AU4" s="47"/>
      <c r="AV4" s="47"/>
      <c r="AW4" s="47"/>
      <c r="AX4" s="47"/>
      <c r="AY4" s="47"/>
      <c r="AZ4" s="47"/>
      <c r="BA4" s="47"/>
      <c r="BB4" s="47"/>
      <c r="BC4" s="47"/>
      <c r="BD4" s="47"/>
      <c r="BE4" s="47"/>
      <c r="BF4" s="47"/>
      <c r="BG4" s="47"/>
      <c r="BM4" s="80" t="s">
        <v>1113</v>
      </c>
      <c r="BN4" s="80" t="s">
        <v>1114</v>
      </c>
      <c r="BO4" s="80" t="s">
        <v>1115</v>
      </c>
      <c r="BP4" s="80" t="s">
        <v>1116</v>
      </c>
      <c r="BQ4" s="80" t="s">
        <v>1117</v>
      </c>
      <c r="BR4" s="80" t="s">
        <v>1118</v>
      </c>
      <c r="BS4" s="80" t="s">
        <v>1119</v>
      </c>
      <c r="BT4" s="80" t="s">
        <v>1063</v>
      </c>
      <c r="BU4" s="80" t="s">
        <v>1064</v>
      </c>
      <c r="BV4" s="80" t="s">
        <v>1120</v>
      </c>
      <c r="BW4" s="80" t="s">
        <v>1121</v>
      </c>
      <c r="BX4" s="80" t="s">
        <v>1122</v>
      </c>
      <c r="BY4" s="80" t="s">
        <v>1123</v>
      </c>
      <c r="BZ4" s="80" t="s">
        <v>1124</v>
      </c>
      <c r="CA4" s="80" t="s">
        <v>1125</v>
      </c>
    </row>
    <row r="5" spans="1:79" ht="16.5">
      <c r="B5" t="s">
        <v>1126</v>
      </c>
      <c r="C5" s="52" t="s">
        <v>1127</v>
      </c>
      <c r="D5" s="81"/>
      <c r="E5" s="82"/>
      <c r="F5" s="83"/>
      <c r="G5" s="81"/>
      <c r="H5" s="81"/>
      <c r="I5" s="82"/>
      <c r="J5" s="81"/>
      <c r="K5" s="83"/>
      <c r="L5" s="83"/>
      <c r="M5" s="84"/>
      <c r="N5" s="85"/>
      <c r="O5" s="85"/>
      <c r="P5" s="83"/>
      <c r="Q5" s="173"/>
      <c r="R5" s="173"/>
      <c r="S5" s="173"/>
      <c r="T5" s="83"/>
      <c r="U5" s="83"/>
      <c r="V5" s="83"/>
      <c r="W5" s="83"/>
      <c r="X5" s="83"/>
      <c r="Y5" s="83"/>
      <c r="AA5" s="86" t="s">
        <v>975</v>
      </c>
      <c r="AB5" s="87" t="b">
        <v>1</v>
      </c>
      <c r="AE5" s="254"/>
      <c r="AF5" s="254"/>
      <c r="AG5" s="254"/>
      <c r="AH5" s="254"/>
      <c r="AI5" s="55" t="s">
        <v>990</v>
      </c>
      <c r="AJ5" s="254"/>
      <c r="AK5" s="254"/>
      <c r="AL5" s="254"/>
      <c r="AM5" s="254"/>
      <c r="AN5" s="47"/>
      <c r="AO5" s="47"/>
      <c r="AP5" s="47"/>
      <c r="AQ5" s="47"/>
      <c r="AR5" s="48" t="s">
        <v>996</v>
      </c>
      <c r="AS5" s="228"/>
      <c r="AT5" s="229"/>
      <c r="AU5" s="229"/>
      <c r="AV5" s="230"/>
      <c r="AW5" s="47"/>
      <c r="AX5" s="47"/>
      <c r="AY5" s="47"/>
      <c r="AZ5" s="47"/>
      <c r="BA5" s="47"/>
      <c r="BB5" s="47"/>
      <c r="BC5" s="47"/>
      <c r="BD5" s="47"/>
      <c r="BE5" s="47"/>
      <c r="BF5" s="47"/>
      <c r="BG5" s="47"/>
      <c r="BM5" s="44"/>
    </row>
    <row r="6" spans="1:79" ht="18.75" customHeight="1">
      <c r="B6" t="s">
        <v>1128</v>
      </c>
      <c r="C6" s="52" t="s">
        <v>1129</v>
      </c>
      <c r="D6" s="88"/>
      <c r="E6" s="89"/>
      <c r="F6" s="89"/>
      <c r="G6" s="90"/>
      <c r="H6" s="90"/>
      <c r="I6" s="91"/>
      <c r="J6" s="91"/>
      <c r="K6" s="91"/>
      <c r="L6" s="91"/>
      <c r="M6" s="91"/>
      <c r="N6" s="91"/>
      <c r="O6" s="91"/>
      <c r="P6" s="91"/>
      <c r="Q6" s="91"/>
      <c r="R6" s="91"/>
      <c r="S6" s="91"/>
      <c r="T6" s="91"/>
      <c r="U6" s="92"/>
      <c r="V6" s="91"/>
      <c r="W6" s="91"/>
      <c r="X6" s="91"/>
      <c r="Y6" s="91"/>
      <c r="AA6" s="86" t="s">
        <v>1130</v>
      </c>
      <c r="AB6" s="93" t="b">
        <v>1</v>
      </c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I6" t="s">
        <v>1131</v>
      </c>
      <c r="BJ6" s="52" t="s">
        <v>1132</v>
      </c>
      <c r="BK6" s="44">
        <v>1</v>
      </c>
    </row>
    <row r="7" spans="1:79" ht="16.5">
      <c r="AA7" s="86" t="s">
        <v>1720</v>
      </c>
      <c r="AB7" s="93" t="b">
        <v>0</v>
      </c>
      <c r="AE7" s="211"/>
      <c r="AF7" s="211"/>
      <c r="AG7" s="211"/>
      <c r="AH7" s="211"/>
      <c r="AI7" s="59" t="str">
        <f>IF(UNKB0220_H_FREEWD_KBN=1,"AND",IF(UNKB0220_H_FREEWD_KBN=2,"OR","NAND"))</f>
        <v>AND</v>
      </c>
      <c r="AJ7" s="211"/>
      <c r="AK7" s="211"/>
      <c r="AL7" s="211"/>
      <c r="AM7" s="211"/>
      <c r="AN7" s="59" t="str">
        <f>UNKB0220_H_FREEWD_KBN_DISP</f>
        <v>AND</v>
      </c>
      <c r="AO7" s="211"/>
      <c r="AP7" s="211"/>
      <c r="AQ7" s="211"/>
      <c r="AR7" s="211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I7" t="s">
        <v>1133</v>
      </c>
      <c r="BJ7" t="s">
        <v>1134</v>
      </c>
      <c r="BK7" s="44" t="str">
        <f>IF(UNKB0220_IF_PRINT_COUNT=0,"",
"UNKB0220_IF!"&amp;ADDRESS(ROW(UNKB0220_IF_PRINT_START),COLUMN(UNKB0220_IF_PRINT_START))&amp;":" &amp; ADDRESS(ROW(UNKB0220_IF_PRINT_START)+UNKB0220_IF_PRINT_COUNT-1,COLUMN(UNKB0220_IF_PRINT_START)+COLUMNS(UNKB0220_IF_PRINT_SHOSHIKI_COPY_MOTO)-1))</f>
        <v>UNKB0220_IF!$BM$5:$CA$5</v>
      </c>
    </row>
    <row r="8" spans="1:79" ht="16.5">
      <c r="A8" s="73" t="s">
        <v>1135</v>
      </c>
      <c r="B8" s="52"/>
      <c r="C8" s="52"/>
      <c r="D8" s="52"/>
      <c r="E8" s="52"/>
      <c r="F8" s="52"/>
      <c r="G8" s="52"/>
      <c r="H8" s="52"/>
      <c r="AA8" s="86" t="s">
        <v>998</v>
      </c>
      <c r="AB8" s="93" t="b">
        <v>1</v>
      </c>
      <c r="BI8" t="s">
        <v>1136</v>
      </c>
      <c r="BJ8" t="s">
        <v>1137</v>
      </c>
      <c r="BK8" s="44" t="b">
        <f>IF(UNKB0220_IF_PRINT_COUNT=0,FALSE,TRUE)</f>
        <v>1</v>
      </c>
    </row>
    <row r="9" spans="1:79" ht="16.5">
      <c r="A9" s="52"/>
      <c r="B9" s="52" t="s">
        <v>1138</v>
      </c>
      <c r="C9" s="52" t="s">
        <v>1139</v>
      </c>
      <c r="D9" s="94"/>
      <c r="E9" s="52" t="s">
        <v>1140</v>
      </c>
      <c r="F9" s="52" t="s">
        <v>1141</v>
      </c>
      <c r="G9" s="52"/>
      <c r="H9" s="52"/>
      <c r="AA9" s="86" t="s">
        <v>979</v>
      </c>
      <c r="AB9" s="93" t="b">
        <v>1</v>
      </c>
    </row>
    <row r="10" spans="1:79" ht="16.5">
      <c r="A10" s="52"/>
      <c r="B10" s="52"/>
      <c r="C10" s="52"/>
      <c r="D10" s="52"/>
      <c r="E10" s="52"/>
      <c r="F10" s="52"/>
      <c r="G10" s="52"/>
      <c r="H10" s="52"/>
      <c r="AA10" s="86" t="s">
        <v>1002</v>
      </c>
      <c r="AB10" s="93" t="b">
        <v>1</v>
      </c>
      <c r="BI10" t="s">
        <v>1142</v>
      </c>
      <c r="BJ10" s="52" t="s">
        <v>1143</v>
      </c>
      <c r="BK10" s="44" t="str">
        <f ca="1">"仕入連動_"&amp;TEXT(NOW(),"YYYYMMDD_hhmmss")</f>
        <v>仕入連動_20170710 104829</v>
      </c>
    </row>
    <row r="11" spans="1:79" ht="16.5">
      <c r="A11" s="52"/>
      <c r="B11" s="52"/>
      <c r="C11" s="52"/>
      <c r="D11" s="52"/>
      <c r="E11" s="52"/>
      <c r="F11" s="52"/>
      <c r="G11" s="52"/>
      <c r="H11" s="52"/>
      <c r="AA11" s="86" t="s">
        <v>1834</v>
      </c>
      <c r="AB11" s="93" t="b">
        <v>1</v>
      </c>
    </row>
    <row r="12" spans="1:79" ht="16.5">
      <c r="A12" s="95" t="s">
        <v>1144</v>
      </c>
      <c r="B12" s="52"/>
      <c r="C12" s="52"/>
      <c r="D12" s="52"/>
      <c r="E12" s="52"/>
      <c r="F12" s="52"/>
      <c r="G12" s="52"/>
      <c r="H12" s="52"/>
      <c r="AA12" s="86" t="s">
        <v>982</v>
      </c>
      <c r="AB12" s="93" t="b">
        <v>1</v>
      </c>
    </row>
    <row r="13" spans="1:79" ht="16.5">
      <c r="A13" s="52" t="s">
        <v>936</v>
      </c>
      <c r="B13" s="52" t="s">
        <v>1145</v>
      </c>
      <c r="C13" s="94">
        <v>1</v>
      </c>
      <c r="E13" s="52"/>
      <c r="F13" s="52"/>
      <c r="G13" s="52"/>
      <c r="H13" s="52"/>
      <c r="AA13" s="86" t="s">
        <v>1007</v>
      </c>
      <c r="AB13" s="93"/>
    </row>
    <row r="14" spans="1:79" ht="16.5">
      <c r="A14" s="52" t="s">
        <v>1146</v>
      </c>
      <c r="B14" s="52" t="s">
        <v>1147</v>
      </c>
      <c r="C14" s="181">
        <v>0</v>
      </c>
      <c r="E14" s="52"/>
      <c r="F14" s="52"/>
      <c r="G14" s="52"/>
      <c r="H14" s="52"/>
      <c r="AA14" s="86" t="s">
        <v>1010</v>
      </c>
      <c r="AB14" s="93"/>
    </row>
    <row r="15" spans="1:79" ht="16.5">
      <c r="A15" s="52" t="s">
        <v>1148</v>
      </c>
      <c r="B15" s="52" t="s">
        <v>1149</v>
      </c>
      <c r="C15" s="181">
        <v>0</v>
      </c>
      <c r="E15" s="52"/>
      <c r="F15" s="52"/>
      <c r="G15" s="52"/>
      <c r="H15" s="52"/>
      <c r="AA15" s="86" t="s">
        <v>1012</v>
      </c>
      <c r="AB15" s="96">
        <v>1</v>
      </c>
    </row>
    <row r="16" spans="1:79" ht="16.5">
      <c r="A16" s="52"/>
      <c r="B16" s="52"/>
      <c r="C16" s="52"/>
      <c r="D16" s="52"/>
      <c r="E16" s="52"/>
      <c r="F16" s="52"/>
      <c r="G16" s="52"/>
      <c r="H16" s="52"/>
      <c r="AA16" s="86"/>
    </row>
    <row r="17" spans="1:27" ht="16.5">
      <c r="A17" s="72" t="s">
        <v>1150</v>
      </c>
      <c r="B17" s="52"/>
      <c r="C17" s="97"/>
      <c r="F17" s="52"/>
      <c r="G17" s="52"/>
      <c r="H17" s="52"/>
      <c r="AA17" s="86"/>
    </row>
    <row r="18" spans="1:27" ht="16.5">
      <c r="B18" t="s">
        <v>1151</v>
      </c>
      <c r="C18" s="52" t="s">
        <v>1152</v>
      </c>
      <c r="D18" s="98"/>
      <c r="F18" s="52"/>
      <c r="G18" s="52"/>
      <c r="H18" s="52"/>
      <c r="AA18" s="86"/>
    </row>
    <row r="19" spans="1:27" ht="16.5">
      <c r="B19" t="s">
        <v>1153</v>
      </c>
      <c r="C19" s="52" t="s">
        <v>1154</v>
      </c>
      <c r="D19" s="98"/>
      <c r="F19" s="52"/>
      <c r="G19" s="52"/>
      <c r="H19" s="52"/>
      <c r="AA19" s="86"/>
    </row>
    <row r="20" spans="1:27" ht="16.5">
      <c r="B20" t="s">
        <v>1155</v>
      </c>
      <c r="C20" s="52" t="s">
        <v>1156</v>
      </c>
      <c r="D20" s="98"/>
      <c r="F20" s="52"/>
      <c r="G20" s="52"/>
      <c r="H20" s="52"/>
      <c r="AA20" s="86"/>
    </row>
    <row r="21" spans="1:27" ht="16.5">
      <c r="C21" s="52"/>
      <c r="F21" s="52"/>
      <c r="G21" s="52"/>
      <c r="H21" s="52"/>
      <c r="AA21" s="99"/>
    </row>
    <row r="22" spans="1:27">
      <c r="B22" t="s">
        <v>1157</v>
      </c>
      <c r="C22" s="52" t="s">
        <v>1158</v>
      </c>
      <c r="D22" s="98"/>
      <c r="F22" s="52"/>
      <c r="G22" s="52"/>
      <c r="H22" s="52"/>
    </row>
    <row r="23" spans="1:27">
      <c r="F23" s="52"/>
      <c r="G23" s="52"/>
      <c r="H23" s="52"/>
    </row>
    <row r="24" spans="1:27">
      <c r="A24" s="72"/>
      <c r="F24" s="52"/>
      <c r="G24" s="52"/>
      <c r="H24" s="52"/>
    </row>
    <row r="25" spans="1:27">
      <c r="C25" s="52"/>
    </row>
  </sheetData>
  <mergeCells count="12">
    <mergeCell ref="AE3:AH3"/>
    <mergeCell ref="AJ3:AM3"/>
    <mergeCell ref="AS3:AV3"/>
    <mergeCell ref="AW3:BG3"/>
    <mergeCell ref="AE4:AH4"/>
    <mergeCell ref="AJ4:AM4"/>
    <mergeCell ref="AE5:AH5"/>
    <mergeCell ref="AJ5:AM5"/>
    <mergeCell ref="AS5:AV5"/>
    <mergeCell ref="AE7:AH7"/>
    <mergeCell ref="AJ7:AM7"/>
    <mergeCell ref="AO7:AR7"/>
  </mergeCells>
  <phoneticPr fontId="2"/>
  <conditionalFormatting sqref="BT3">
    <cfRule type="expression" dxfId="18" priority="6">
      <formula>INDIRECT(ADDRESS(ROW(),COLUMN()))=TRUNC(INDIRECT(ADDRESS(ROW(),COLUMN())))</formula>
    </cfRule>
  </conditionalFormatting>
  <conditionalFormatting sqref="BU3">
    <cfRule type="expression" dxfId="17" priority="5">
      <formula>INDIRECT(ADDRESS(ROW(),COLUMN()))=TRUNC(INDIRECT(ADDRESS(ROW(),COLUMN())))</formula>
    </cfRule>
  </conditionalFormatting>
  <conditionalFormatting sqref="BV3">
    <cfRule type="expression" dxfId="16" priority="4">
      <formula>INDIRECT(ADDRESS(ROW(),COLUMN()))=TRUNC(INDIRECT(ADDRESS(ROW(),COLUMN())))</formula>
    </cfRule>
  </conditionalFormatting>
  <conditionalFormatting sqref="Q5">
    <cfRule type="expression" dxfId="15" priority="3">
      <formula>INDIRECT(ADDRESS(ROW(),COLUMN()))=TRUNC(INDIRECT(ADDRESS(ROW(),COLUMN())))</formula>
    </cfRule>
  </conditionalFormatting>
  <conditionalFormatting sqref="R5">
    <cfRule type="expression" dxfId="14" priority="2">
      <formula>INDIRECT(ADDRESS(ROW(),COLUMN()))=TRUNC(INDIRECT(ADDRESS(ROW(),COLUMN())))</formula>
    </cfRule>
  </conditionalFormatting>
  <conditionalFormatting sqref="S5">
    <cfRule type="expression" dxfId="13" priority="1">
      <formula>INDIRECT(ADDRESS(ROW(),COLUMN()))=TRUNC(INDIRECT(ADDRESS(ROW(),COLUMN())))</formula>
    </cfRule>
  </conditionalFormatting>
  <dataValidations count="3">
    <dataValidation type="custom" allowBlank="1" showInputMessage="1" showErrorMessage="1" sqref="AS3:AV3 AE3:AH3 AJ3:AM3">
      <formula1>AND(LEN(AE3)=LENB(AE3),LEN(AE3)=10)</formula1>
    </dataValidation>
    <dataValidation type="custom" allowBlank="1" showInputMessage="1" showErrorMessage="1" sqref="AS5:AV5">
      <formula1>AND(LEN(AS5)=LENB(AS5),LEN(AS5)=20)</formula1>
    </dataValidation>
    <dataValidation type="date" allowBlank="1" showInputMessage="1" showErrorMessage="1" sqref="AE4:AH4 AJ4:AM4 AJ5:AM5 AE5:AH5">
      <formula1>36526</formula1>
      <formula2>73415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 macro="[0]!UNKB0220_CLICK_CHECKBOX">
                <anchor moveWithCells="1">
                  <from>
                    <xdr:col>3</xdr:col>
                    <xdr:colOff>38100</xdr:colOff>
                    <xdr:row>5</xdr:row>
                    <xdr:rowOff>28575</xdr:rowOff>
                  </from>
                  <to>
                    <xdr:col>3</xdr:col>
                    <xdr:colOff>238125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DE12"/>
  <sheetViews>
    <sheetView workbookViewId="0">
      <selection activeCell="R37" sqref="R37"/>
    </sheetView>
  </sheetViews>
  <sheetFormatPr defaultRowHeight="13.5"/>
  <cols>
    <col min="1" max="1" width="13.625" style="9" customWidth="1"/>
    <col min="2" max="2" width="16.375" style="9" customWidth="1"/>
    <col min="3" max="3" width="2" style="9" customWidth="1"/>
    <col min="4" max="4" width="19.375" style="9" customWidth="1"/>
    <col min="5" max="35" width="9" style="9"/>
    <col min="36" max="36" width="13.5" style="9" customWidth="1"/>
    <col min="37" max="37" width="14.75" style="9" customWidth="1"/>
    <col min="38" max="38" width="2.375" style="9" customWidth="1"/>
    <col min="39" max="39" width="12.125" style="9" customWidth="1"/>
    <col min="40" max="91" width="9" style="9"/>
    <col min="92" max="92" width="3.375" style="9" customWidth="1"/>
    <col min="93" max="93" width="13.875" style="9" customWidth="1"/>
    <col min="94" max="94" width="11.625" style="9" bestFit="1" customWidth="1"/>
    <col min="95" max="96" width="11.625" style="9" customWidth="1"/>
    <col min="97" max="99" width="9" style="9"/>
    <col min="100" max="100" width="11.625" style="9" bestFit="1" customWidth="1"/>
    <col min="101" max="107" width="9" style="9"/>
    <col min="108" max="108" width="23.375" style="9" customWidth="1"/>
    <col min="109" max="16384" width="9" style="9"/>
  </cols>
  <sheetData>
    <row r="1" spans="1:109" s="101" customFormat="1" ht="24" customHeight="1">
      <c r="A1" s="100" t="s">
        <v>1159</v>
      </c>
      <c r="B1" s="9"/>
      <c r="C1" s="9"/>
      <c r="G1" s="103"/>
      <c r="Q1" s="103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</row>
    <row r="2" spans="1:109" s="104" customFormat="1">
      <c r="A2" s="9"/>
      <c r="B2" s="100" t="s">
        <v>1160</v>
      </c>
      <c r="C2" s="100"/>
      <c r="AK2" s="100" t="s">
        <v>1161</v>
      </c>
      <c r="AL2" s="100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</row>
    <row r="3" spans="1:109" s="104" customFormat="1">
      <c r="AO3" s="104">
        <v>1</v>
      </c>
      <c r="AP3" s="104">
        <v>2</v>
      </c>
      <c r="AQ3" s="104">
        <v>3</v>
      </c>
      <c r="AR3" s="104">
        <v>4</v>
      </c>
      <c r="AS3" s="104">
        <v>5</v>
      </c>
      <c r="AT3" s="104">
        <v>6</v>
      </c>
      <c r="AU3" s="104">
        <v>7</v>
      </c>
      <c r="AV3" s="104">
        <v>8</v>
      </c>
      <c r="AW3" s="104">
        <v>9</v>
      </c>
      <c r="AX3" s="104">
        <v>10</v>
      </c>
      <c r="AY3" s="104">
        <v>11</v>
      </c>
      <c r="AZ3" s="104">
        <v>12</v>
      </c>
      <c r="BA3" s="104">
        <v>13</v>
      </c>
      <c r="BB3" s="104">
        <v>14</v>
      </c>
      <c r="BC3" s="104">
        <v>15</v>
      </c>
      <c r="BD3" s="104">
        <v>16</v>
      </c>
      <c r="BE3" s="104">
        <v>17</v>
      </c>
      <c r="BF3" s="104">
        <v>18</v>
      </c>
      <c r="BG3" s="104">
        <v>19</v>
      </c>
      <c r="BH3" s="104">
        <v>20</v>
      </c>
      <c r="BI3" s="104">
        <v>21</v>
      </c>
      <c r="BJ3" s="104">
        <v>22</v>
      </c>
      <c r="BK3" s="104">
        <v>23</v>
      </c>
      <c r="BL3" s="104">
        <v>24</v>
      </c>
      <c r="BM3" s="104">
        <v>25</v>
      </c>
      <c r="BN3" s="104">
        <v>26</v>
      </c>
      <c r="BO3" s="104">
        <v>27</v>
      </c>
      <c r="BP3" s="104">
        <v>28</v>
      </c>
      <c r="BQ3" s="104">
        <v>29</v>
      </c>
      <c r="BR3" s="104">
        <v>30</v>
      </c>
      <c r="BS3" s="104">
        <v>31</v>
      </c>
      <c r="BT3" s="104">
        <v>32</v>
      </c>
      <c r="BU3" s="104">
        <v>33</v>
      </c>
      <c r="BV3" s="104">
        <v>34</v>
      </c>
      <c r="BW3" s="104">
        <v>35</v>
      </c>
      <c r="BX3" s="104">
        <v>36</v>
      </c>
      <c r="BY3" s="104">
        <v>37</v>
      </c>
      <c r="BZ3" s="104">
        <v>38</v>
      </c>
      <c r="CA3" s="104">
        <v>39</v>
      </c>
      <c r="CB3" s="104">
        <v>40</v>
      </c>
      <c r="CC3" s="104">
        <v>41</v>
      </c>
      <c r="CD3" s="104">
        <v>42</v>
      </c>
      <c r="CE3" s="104">
        <v>43</v>
      </c>
      <c r="CF3" s="104">
        <v>44</v>
      </c>
      <c r="CG3" s="104">
        <v>45</v>
      </c>
      <c r="CH3" s="104">
        <v>46</v>
      </c>
      <c r="CI3" s="104">
        <v>47</v>
      </c>
      <c r="CK3" s="9"/>
      <c r="CL3" s="9"/>
      <c r="CM3" s="105" t="s">
        <v>1162</v>
      </c>
      <c r="CO3" s="33"/>
      <c r="CP3" s="106"/>
      <c r="CQ3" s="33"/>
      <c r="CR3" s="33"/>
      <c r="CS3" s="33"/>
      <c r="CT3" s="33"/>
      <c r="CU3" s="33"/>
      <c r="CV3" s="106"/>
      <c r="CW3" s="33"/>
      <c r="CX3" s="33"/>
      <c r="CY3" s="33"/>
      <c r="CZ3" s="33"/>
      <c r="DA3" s="33"/>
      <c r="DB3" s="33"/>
      <c r="DC3" s="33"/>
      <c r="DD3" s="107"/>
      <c r="DE3" s="33"/>
    </row>
    <row r="4" spans="1:109" s="104" customFormat="1">
      <c r="A4" s="108" t="s">
        <v>1163</v>
      </c>
      <c r="B4" s="109"/>
      <c r="C4" s="100"/>
      <c r="D4" s="110" t="s">
        <v>1164</v>
      </c>
      <c r="E4" s="110" t="s">
        <v>1165</v>
      </c>
      <c r="F4" s="110" t="s">
        <v>1166</v>
      </c>
      <c r="G4" s="110" t="s">
        <v>1167</v>
      </c>
      <c r="H4" s="110" t="s">
        <v>1168</v>
      </c>
      <c r="I4" s="110" t="s">
        <v>1169</v>
      </c>
      <c r="J4" s="110" t="s">
        <v>1170</v>
      </c>
      <c r="K4" s="110" t="s">
        <v>1171</v>
      </c>
      <c r="L4" s="110" t="s">
        <v>1172</v>
      </c>
      <c r="M4" s="110" t="s">
        <v>1173</v>
      </c>
      <c r="N4" s="110" t="s">
        <v>1174</v>
      </c>
      <c r="O4" s="110" t="s">
        <v>1175</v>
      </c>
      <c r="P4" s="110" t="s">
        <v>1176</v>
      </c>
      <c r="Q4" s="110" t="s">
        <v>1177</v>
      </c>
      <c r="R4" s="110" t="s">
        <v>1178</v>
      </c>
      <c r="S4" s="110" t="s">
        <v>1179</v>
      </c>
      <c r="T4" s="110" t="s">
        <v>1180</v>
      </c>
      <c r="U4" s="110" t="s">
        <v>1181</v>
      </c>
      <c r="V4" s="110" t="s">
        <v>1182</v>
      </c>
      <c r="W4" s="110" t="s">
        <v>1183</v>
      </c>
      <c r="X4" s="110" t="s">
        <v>1184</v>
      </c>
      <c r="Y4" s="110" t="s">
        <v>1185</v>
      </c>
      <c r="Z4" s="110" t="s">
        <v>1186</v>
      </c>
      <c r="AA4" s="110" t="s">
        <v>1187</v>
      </c>
      <c r="AB4" s="110" t="s">
        <v>1188</v>
      </c>
      <c r="AC4" s="110" t="s">
        <v>1189</v>
      </c>
      <c r="AD4" s="110" t="s">
        <v>1190</v>
      </c>
      <c r="AE4" s="110" t="s">
        <v>1191</v>
      </c>
      <c r="AF4" s="110" t="s">
        <v>1192</v>
      </c>
      <c r="AG4" s="110" t="s">
        <v>1193</v>
      </c>
      <c r="AH4" s="111"/>
      <c r="AI4" s="111"/>
      <c r="AJ4" s="108" t="s">
        <v>1194</v>
      </c>
      <c r="AK4" s="109"/>
      <c r="AL4" s="100"/>
      <c r="AM4" s="110" t="s">
        <v>1164</v>
      </c>
      <c r="AN4" s="110" t="s">
        <v>1195</v>
      </c>
      <c r="AO4" s="110" t="s">
        <v>1196</v>
      </c>
      <c r="AP4" s="110" t="s">
        <v>1197</v>
      </c>
      <c r="AQ4" s="110" t="s">
        <v>1198</v>
      </c>
      <c r="AR4" s="110" t="s">
        <v>1199</v>
      </c>
      <c r="AS4" s="110" t="s">
        <v>1200</v>
      </c>
      <c r="AT4" s="110" t="s">
        <v>1201</v>
      </c>
      <c r="AU4" s="110" t="s">
        <v>1202</v>
      </c>
      <c r="AV4" s="110" t="s">
        <v>1203</v>
      </c>
      <c r="AW4" s="110" t="s">
        <v>1204</v>
      </c>
      <c r="AX4" s="110" t="s">
        <v>1205</v>
      </c>
      <c r="AY4" s="110" t="s">
        <v>1206</v>
      </c>
      <c r="AZ4" s="110" t="s">
        <v>1207</v>
      </c>
      <c r="BA4" s="110" t="s">
        <v>1208</v>
      </c>
      <c r="BB4" s="110" t="s">
        <v>1209</v>
      </c>
      <c r="BC4" s="110" t="s">
        <v>1210</v>
      </c>
      <c r="BD4" s="110" t="s">
        <v>1211</v>
      </c>
      <c r="BE4" s="110" t="s">
        <v>1212</v>
      </c>
      <c r="BF4" s="110" t="s">
        <v>1213</v>
      </c>
      <c r="BG4" s="110" t="s">
        <v>1214</v>
      </c>
      <c r="BH4" s="110" t="s">
        <v>1215</v>
      </c>
      <c r="BI4" s="110" t="s">
        <v>1216</v>
      </c>
      <c r="BJ4" s="110" t="s">
        <v>1217</v>
      </c>
      <c r="BK4" s="110" t="s">
        <v>1218</v>
      </c>
      <c r="BL4" s="110" t="s">
        <v>1219</v>
      </c>
      <c r="BM4" s="110" t="s">
        <v>1220</v>
      </c>
      <c r="BN4" s="110" t="s">
        <v>1221</v>
      </c>
      <c r="BO4" s="110" t="s">
        <v>1222</v>
      </c>
      <c r="BP4" s="110" t="s">
        <v>1223</v>
      </c>
      <c r="BQ4" s="110" t="s">
        <v>1224</v>
      </c>
      <c r="BR4" s="110" t="s">
        <v>1225</v>
      </c>
      <c r="BS4" s="110" t="s">
        <v>1226</v>
      </c>
      <c r="BT4" s="110" t="s">
        <v>1227</v>
      </c>
      <c r="BU4" s="110" t="s">
        <v>1228</v>
      </c>
      <c r="BV4" s="110" t="s">
        <v>1183</v>
      </c>
      <c r="BW4" s="110" t="s">
        <v>1229</v>
      </c>
      <c r="BX4" s="110" t="s">
        <v>1230</v>
      </c>
      <c r="BY4" s="110" t="s">
        <v>1231</v>
      </c>
      <c r="BZ4" s="110" t="s">
        <v>1232</v>
      </c>
      <c r="CA4" s="110" t="s">
        <v>1233</v>
      </c>
      <c r="CB4" s="110" t="s">
        <v>1188</v>
      </c>
      <c r="CC4" s="110" t="s">
        <v>1234</v>
      </c>
      <c r="CD4" s="110" t="s">
        <v>1235</v>
      </c>
      <c r="CE4" s="110" t="s">
        <v>1191</v>
      </c>
      <c r="CF4" s="110" t="s">
        <v>1236</v>
      </c>
      <c r="CG4" s="110" t="s">
        <v>1237</v>
      </c>
      <c r="CH4" s="110" t="s">
        <v>1238</v>
      </c>
      <c r="CI4" s="110" t="s">
        <v>1239</v>
      </c>
      <c r="CK4" s="9"/>
      <c r="CL4" s="9"/>
      <c r="CM4" s="9"/>
      <c r="CN4" s="9"/>
      <c r="CO4" s="112" t="s">
        <v>1240</v>
      </c>
      <c r="CP4" s="113" t="s">
        <v>1241</v>
      </c>
      <c r="CQ4" s="113" t="s">
        <v>1758</v>
      </c>
      <c r="CR4" s="113" t="s">
        <v>1755</v>
      </c>
      <c r="CS4" s="113" t="s">
        <v>1242</v>
      </c>
      <c r="CT4" s="113" t="s">
        <v>1756</v>
      </c>
      <c r="CU4" s="113" t="s">
        <v>1243</v>
      </c>
      <c r="CV4" s="113" t="s">
        <v>1244</v>
      </c>
      <c r="CW4" s="112" t="s">
        <v>1245</v>
      </c>
      <c r="CX4" s="113" t="s">
        <v>1246</v>
      </c>
      <c r="CY4" s="113" t="s">
        <v>1216</v>
      </c>
      <c r="CZ4" s="113" t="s">
        <v>1247</v>
      </c>
      <c r="DA4" s="113" t="s">
        <v>1248</v>
      </c>
      <c r="DB4" s="113" t="s">
        <v>1249</v>
      </c>
      <c r="DC4" s="112" t="s">
        <v>1250</v>
      </c>
      <c r="DD4" s="112" t="s">
        <v>1251</v>
      </c>
      <c r="DE4" s="113" t="s">
        <v>1252</v>
      </c>
    </row>
    <row r="5" spans="1:109" s="104" customFormat="1">
      <c r="A5" s="108" t="s">
        <v>933</v>
      </c>
      <c r="B5" s="109" t="str">
        <f>ADDRESS(ROW(UNKB0220_RENDO_IF_H_START),COLUMN(UNKB0220_RENDO_IF_H_START))&amp;":"&amp;
ADDRESS(ROW(UNKB0220_RENDO_IF_H_START)+UNKB0220_RENDO_IF_H_KENSU,COLUMN(UNKB0220_RENDO_IF_H_START)+29)</f>
        <v>$D$5:$AG$5</v>
      </c>
      <c r="D5" s="114" t="s">
        <v>1253</v>
      </c>
      <c r="E5" s="102">
        <v>3</v>
      </c>
      <c r="F5" s="102">
        <v>0</v>
      </c>
      <c r="G5" s="102">
        <v>0</v>
      </c>
      <c r="H5" s="102" t="s">
        <v>1254</v>
      </c>
      <c r="I5" s="102" t="s">
        <v>1255</v>
      </c>
      <c r="J5" s="115"/>
      <c r="K5" s="102" t="s">
        <v>1256</v>
      </c>
      <c r="L5" s="108"/>
      <c r="M5" s="108"/>
      <c r="N5" s="108"/>
      <c r="O5" s="108"/>
      <c r="P5" s="108" t="s">
        <v>1257</v>
      </c>
      <c r="Q5" s="108"/>
      <c r="R5" s="108"/>
      <c r="S5" s="108"/>
      <c r="T5" s="108" t="s">
        <v>1253</v>
      </c>
      <c r="U5" s="108"/>
      <c r="V5" s="108"/>
      <c r="W5" s="108"/>
      <c r="X5" s="108"/>
      <c r="Y5" s="108"/>
      <c r="Z5" s="108"/>
      <c r="AA5" s="108"/>
      <c r="AB5" s="108"/>
      <c r="AC5" s="108"/>
      <c r="AD5" s="108"/>
      <c r="AE5" s="108"/>
      <c r="AF5" s="108"/>
      <c r="AG5" s="108"/>
      <c r="AH5" s="111"/>
      <c r="AI5" s="111"/>
      <c r="AJ5" s="108" t="s">
        <v>933</v>
      </c>
      <c r="AK5" s="109" t="str">
        <f>ADDRESS(ROW(UNKB0220_RENDO_IF_B_START),COLUMN(UNKB0220_RENDO_IF_B_START))&amp;":"&amp;
ADDRESS(ROW(UNKB0220_RENDO_IF_B_START)+UNKB0220_RENDO_IF_B_KENSU,COLUMN(UNKB0220_RENDO_IF_B_START)+48)</f>
        <v>$AM$5:$CI$5</v>
      </c>
      <c r="AM5" s="116" t="s">
        <v>1253</v>
      </c>
      <c r="AN5" s="101" t="s">
        <v>1258</v>
      </c>
      <c r="AO5" s="101">
        <v>0</v>
      </c>
      <c r="AP5" s="101"/>
      <c r="AQ5" s="101">
        <v>0</v>
      </c>
      <c r="AR5" s="117">
        <v>2</v>
      </c>
      <c r="AS5" s="117">
        <v>2</v>
      </c>
      <c r="AT5" s="117" t="s">
        <v>1259</v>
      </c>
      <c r="AU5" s="117"/>
      <c r="AV5" s="117"/>
      <c r="AW5" s="117"/>
      <c r="AX5" s="117"/>
      <c r="AY5" s="117"/>
      <c r="AZ5" s="117">
        <v>0</v>
      </c>
      <c r="BA5" s="117"/>
      <c r="BB5" s="117"/>
      <c r="BC5" s="117">
        <v>1</v>
      </c>
      <c r="BD5" s="9"/>
      <c r="BE5" s="117">
        <v>2560</v>
      </c>
      <c r="BF5" s="117"/>
      <c r="BG5" s="117"/>
      <c r="BH5" s="117"/>
      <c r="BI5" s="117"/>
      <c r="BJ5" s="117"/>
      <c r="BK5" s="117"/>
      <c r="BL5" s="117"/>
      <c r="BM5" s="117"/>
      <c r="BN5" s="117"/>
      <c r="BO5" s="117"/>
      <c r="BP5" s="117"/>
      <c r="BQ5" s="117"/>
      <c r="BR5" s="117"/>
      <c r="BS5" s="117"/>
      <c r="BT5" s="117"/>
      <c r="BU5" s="117"/>
      <c r="BV5" s="117"/>
      <c r="BW5" s="117"/>
      <c r="BX5" s="117"/>
      <c r="BY5" s="117"/>
      <c r="BZ5" s="117"/>
      <c r="CA5" s="117"/>
      <c r="CB5" s="117"/>
      <c r="CC5" s="117"/>
      <c r="CD5" s="117"/>
      <c r="CE5" s="117"/>
      <c r="CF5" s="117"/>
      <c r="CG5" s="117"/>
      <c r="CH5" s="104">
        <v>2</v>
      </c>
      <c r="CK5" s="9"/>
      <c r="CL5" s="9"/>
      <c r="CM5" s="9"/>
      <c r="CN5" s="9"/>
      <c r="CO5" s="8" t="s">
        <v>1253</v>
      </c>
      <c r="CP5" s="118">
        <v>42544</v>
      </c>
      <c r="CQ5" s="118"/>
      <c r="CR5" s="118"/>
      <c r="CS5" s="9">
        <v>1</v>
      </c>
      <c r="CT5" s="9"/>
      <c r="CU5" s="9">
        <v>1</v>
      </c>
      <c r="CV5" s="118">
        <v>42607</v>
      </c>
      <c r="CW5" s="9">
        <v>3</v>
      </c>
      <c r="CX5" s="9" t="s">
        <v>393</v>
      </c>
      <c r="CY5" s="9">
        <v>0.08</v>
      </c>
      <c r="CZ5" s="9">
        <v>34070</v>
      </c>
      <c r="DA5" s="9">
        <v>2725</v>
      </c>
      <c r="DB5" s="9">
        <v>36795</v>
      </c>
      <c r="DC5" s="9" t="s">
        <v>1701</v>
      </c>
      <c r="DD5" s="119">
        <v>42602.684016203704</v>
      </c>
      <c r="DE5" s="9" t="b">
        <v>0</v>
      </c>
    </row>
    <row r="6" spans="1:109">
      <c r="CK6" s="9" t="s">
        <v>1131</v>
      </c>
      <c r="CL6" s="105" t="s">
        <v>1260</v>
      </c>
      <c r="CM6" s="151">
        <v>0</v>
      </c>
      <c r="CP6" s="118"/>
      <c r="CQ6" s="118"/>
      <c r="CR6" s="118"/>
      <c r="CV6" s="118"/>
      <c r="DD6" s="119"/>
    </row>
    <row r="7" spans="1:109" ht="15.75" customHeight="1">
      <c r="CK7" s="9" t="s">
        <v>1133</v>
      </c>
      <c r="CL7" s="105" t="s">
        <v>1261</v>
      </c>
      <c r="CM7" s="120" t="str">
        <f>IF(UNKB0220_RENDO_IF_SHIIRE_H_COUNT=0,"",
"UNKB0220_RENDO_IF!"&amp;ADDRESS(ROW(UNKB0220_RENDO_IF_SHIIRE_H_START),COLUMN(UNKB0220_RENDO_IF_SHIIRE_H_START))&amp;":" &amp; ADDRESS(ROW(UNKB0220_RENDO_IF_SHIIRE_H_START)+UNKB0220_RENDO_IF_SHIIRE_H_COUNT-1,COLUMN(UNKB0220_RENDO_IF_SHIIRE_H_START)+COLUMNS(UNKB0220_RENDO_IF_SHIIRE_H_SHOSHIKI_COPY_MOTO)-1))</f>
        <v/>
      </c>
      <c r="CP7" s="118"/>
      <c r="CQ7" s="118"/>
      <c r="CR7" s="118"/>
      <c r="CV7" s="118"/>
      <c r="DD7" s="119"/>
    </row>
    <row r="8" spans="1:109">
      <c r="CK8" s="9" t="s">
        <v>1262</v>
      </c>
      <c r="CL8" s="105" t="s">
        <v>1713</v>
      </c>
      <c r="CM8" s="121" t="b">
        <v>0</v>
      </c>
      <c r="CP8" s="118"/>
      <c r="CQ8" s="118"/>
      <c r="CR8" s="118"/>
      <c r="CV8" s="118"/>
      <c r="DD8" s="119"/>
    </row>
    <row r="9" spans="1:109">
      <c r="CP9" s="118"/>
      <c r="CQ9" s="118"/>
      <c r="CR9" s="118"/>
      <c r="CV9" s="118"/>
      <c r="DD9" s="119"/>
    </row>
    <row r="10" spans="1:109">
      <c r="CP10" s="118"/>
      <c r="CQ10" s="118"/>
      <c r="CR10" s="118"/>
      <c r="CV10" s="118"/>
      <c r="DD10" s="119"/>
    </row>
    <row r="11" spans="1:109">
      <c r="CP11" s="118"/>
      <c r="CQ11" s="118"/>
      <c r="CR11" s="118"/>
      <c r="CV11" s="118"/>
      <c r="DD11" s="119"/>
    </row>
    <row r="12" spans="1:109">
      <c r="CP12" s="118"/>
      <c r="CQ12" s="118"/>
      <c r="CR12" s="118"/>
      <c r="CV12" s="118"/>
      <c r="DD12" s="119"/>
    </row>
  </sheetData>
  <phoneticPr fontId="2"/>
  <dataValidations count="2">
    <dataValidation type="list" allowBlank="1" showInputMessage="1" showErrorMessage="1" sqref="G5">
      <formula1>",0.掛買,1.現金,2.カード,3.その他,5.内製,6.契約"</formula1>
    </dataValidation>
    <dataValidation type="list" allowBlank="1" showInputMessage="1" showErrorMessage="1" sqref="F5">
      <formula1>",0.仕入,1.仕入以外"</formula1>
    </dataValidation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B5:H90"/>
  <sheetViews>
    <sheetView topLeftCell="A49" zoomScaleNormal="100" workbookViewId="0">
      <selection activeCell="B73" sqref="B73:E73"/>
    </sheetView>
  </sheetViews>
  <sheetFormatPr defaultRowHeight="13.5"/>
  <cols>
    <col min="2" max="2" width="3.5" customWidth="1"/>
    <col min="3" max="3" width="3.125" customWidth="1"/>
    <col min="4" max="4" width="3.25" customWidth="1"/>
    <col min="5" max="5" width="25.125" bestFit="1" customWidth="1"/>
    <col min="6" max="6" width="82.625" bestFit="1" customWidth="1"/>
    <col min="7" max="7" width="7.5" bestFit="1" customWidth="1"/>
    <col min="8" max="8" width="40.375" bestFit="1" customWidth="1"/>
  </cols>
  <sheetData>
    <row r="5" spans="2:8" ht="16.5">
      <c r="B5" s="198" t="s">
        <v>366</v>
      </c>
      <c r="C5" s="199"/>
      <c r="D5" s="199"/>
      <c r="E5" s="200"/>
      <c r="F5" s="10"/>
      <c r="G5" s="10"/>
      <c r="H5" s="11" t="s">
        <v>367</v>
      </c>
    </row>
    <row r="6" spans="2:8" ht="30.75" customHeight="1">
      <c r="B6" s="194" t="s">
        <v>368</v>
      </c>
      <c r="C6" s="195"/>
      <c r="D6" s="195"/>
      <c r="E6" s="196"/>
      <c r="F6" s="12" t="str">
        <f>F7 &amp; F8 &amp; F16</f>
        <v>SELECT *
 FROM V_SHIIRE_RENDO_LIST
 WHERE 1=1
 AND (1!=1  
 OR V_SHIIRE_RENDO_LIST.SHIIRE_STS  = ''1'' 
 OR V_SHIIRE_RENDO_LIST.SHIIRE_STS  = ''2'') AND (1!=1  
 OR V_SHIIRE_RENDO_LIST.KOBAI_KBN  = ''1'' 
 OR V_SHIIRE_RENDO_LIST.KOBAI_KBN  = ''2'' 
 OR V_SHIIRE_RENDO_LIST.KOBAI_KBN = ''3'' 
 OR V_SHIIRE_RENDO_LIST.KOBAI_KBN  = ''4'' 
 OR V_SHIIRE_RENDO_LIST.KOBAI_KBN  = ''5'')
 AND V_SHIIRE_RENDO_LIST.SHIIRE_NO &gt;=  ''SYY-MM9999''
 AND V_SHIIRE_RENDO_LIST.SHIIRE_NO &lt;=  ''SYY-MM9999'' 
 AND V_SHIIRE_RENDO_LIST.SHIIRE_DATE &gt;= ''YYYY/MM/DD   ''
 AND V_SHIIRE_RENDO_LIST.SHIIRE_DATE &lt;=  ''YYYY/MM/DD   '' 
 AND V_SHIIRE_RENDO_LIST.SHIHARAI_DATE  &gt;= ''YYYY/MM/DD   ''
 AND V_SHIIRE_RENDO_LIST.SHIHARAI_DATE  &lt;=  ''YYYY/MM/DD   ''</v>
      </c>
      <c r="G6" s="12"/>
      <c r="H6" s="13" t="s">
        <v>1263</v>
      </c>
    </row>
    <row r="7" spans="2:8" ht="17.25" customHeight="1">
      <c r="B7" s="14"/>
      <c r="C7" s="197" t="s">
        <v>1264</v>
      </c>
      <c r="D7" s="197"/>
      <c r="E7" s="197"/>
      <c r="F7" s="20" t="s">
        <v>1265</v>
      </c>
      <c r="G7" s="122"/>
      <c r="H7" s="15"/>
    </row>
    <row r="8" spans="2:8" ht="18" customHeight="1">
      <c r="B8" s="14"/>
      <c r="C8" s="197" t="s">
        <v>1266</v>
      </c>
      <c r="D8" s="197"/>
      <c r="E8" s="197"/>
      <c r="F8" s="20" t="s">
        <v>1267</v>
      </c>
      <c r="G8" s="122"/>
      <c r="H8" s="15"/>
    </row>
    <row r="9" spans="2:8" ht="15" customHeight="1">
      <c r="B9" s="194" t="s">
        <v>1268</v>
      </c>
      <c r="C9" s="195"/>
      <c r="D9" s="195"/>
      <c r="E9" s="196"/>
      <c r="F9" s="12" t="str">
        <f>F10&amp;F11&amp;F16</f>
        <v>SELECT V_SHIIRE_RENDO_LIST.SHIIRE_STS_MEI            -- 仕入ステータス名
      ,V_SHIIRE_RENDO_LIST.KOBAI_KBN_MEI             -- 購買区分名
      ,V_SHIIRE_RENDO_LIST.SHIIRE_CD                 -- 仕入先CD
      ,V_SHIIRE_RENDO_LIST.SHIIRE_MEI                -- 仕入先名
      ,V_SHIIRE_RENDO_LIST.SHIIRE_DATE               -- 仕入日
      ,V_SHIIRE_RENDO_LIST.SHIHARAI_DATE             -- 支払予定日
      ,V_SHIIRE_RENDO_LIST.SHIIRE_NYURYOKUSHA_MEI    -- 仕入入力者名
      ,V_SHIIRE_RENDO_LIST.NUKI_TOTAL                -- 税抜合計
      ,V_SHIIRE_RENDO_LIST.TAX                       -- 消費税
      ,V_SHIIRE_RENDO_LIST.KOMI_TOTAL                -- 税込合計
      ,V_SHIIRE_RENDO_LIST.SHIIRE_NO                 -- 仕入No.
      ,V_SHIIRE_RENDO_LIST.SHIIRE_STS                -- 仕入ステータス
      ,V_SHIIRE_RENDO_LIST.KOBAI_KBN                 -- 購買区分
      ,V_SHIIRE_RENDO_LIST.SHIIRE_NYURYOKUSHA_CD     -- 仕入入力者CD
      ,V_SHIIRE_RENDO_LIST.RENDO_SUMI_FLG            -- 連動済フラグ
  FROM V_SHIIRE_RENDO_LIST
   WHERE 1=1
 AND (1!=1  
 OR V_SHIIRE_RENDO_LIST.SHIIRE_STS  = ''1'' 
 OR V_SHIIRE_RENDO_LIST.SHIIRE_STS  = ''2'') AND (1!=1  
 OR V_SHIIRE_RENDO_LIST.KOBAI_KBN  = ''1'' 
 OR V_SHIIRE_RENDO_LIST.KOBAI_KBN  = ''2'' 
 OR V_SHIIRE_RENDO_LIST.KOBAI_KBN = ''3'' 
 OR V_SHIIRE_RENDO_LIST.KOBAI_KBN  = ''4'' 
 OR V_SHIIRE_RENDO_LIST.KOBAI_KBN  = ''5'')
 AND V_SHIIRE_RENDO_LIST.SHIIRE_NO &gt;=  ''SYY-MM9999''
 AND V_SHIIRE_RENDO_LIST.SHIIRE_NO &lt;=  ''SYY-MM9999'' 
 AND V_SHIIRE_RENDO_LIST.SHIIRE_DATE &gt;= ''YYYY/MM/DD   ''
 AND V_SHIIRE_RENDO_LIST.SHIIRE_DATE &lt;=  ''YYYY/MM/DD   '' 
 AND V_SHIIRE_RENDO_LIST.SHIHARAI_DATE  &gt;= ''YYYY/MM/DD   ''
 AND V_SHIIRE_RENDO_LIST.SHIHARAI_DATE  &lt;=  ''YYYY/MM/DD   ''</v>
      </c>
      <c r="G9" s="12"/>
      <c r="H9" s="13" t="s">
        <v>1269</v>
      </c>
    </row>
    <row r="10" spans="2:8" ht="30.75" customHeight="1">
      <c r="B10" s="14"/>
      <c r="C10" s="197" t="s">
        <v>1270</v>
      </c>
      <c r="D10" s="197"/>
      <c r="E10" s="197"/>
      <c r="F10" s="16" t="s">
        <v>1271</v>
      </c>
      <c r="G10" s="122"/>
      <c r="H10" s="15"/>
    </row>
    <row r="11" spans="2:8" ht="20.25" customHeight="1">
      <c r="B11" s="14"/>
      <c r="C11" s="197" t="s">
        <v>1272</v>
      </c>
      <c r="D11" s="197"/>
      <c r="E11" s="197"/>
      <c r="F11" s="20" t="s">
        <v>1273</v>
      </c>
      <c r="G11" s="122"/>
      <c r="H11" s="15"/>
    </row>
    <row r="12" spans="2:8" ht="15.75" customHeight="1">
      <c r="B12" s="194" t="s">
        <v>1274</v>
      </c>
      <c r="C12" s="195"/>
      <c r="D12" s="195"/>
      <c r="E12" s="196"/>
      <c r="F12" s="12" t="str">
        <f>F13 &amp; F14 &amp; F16</f>
        <v>SELECT COUNT(*) AS CNT
 FROM V_SHIIRE_RENDO_LIST
 WHERE 1=1
 AND (1!=1  
 OR V_SHIIRE_RENDO_LIST.SHIIRE_STS  = ''1'' 
 OR V_SHIIRE_RENDO_LIST.SHIIRE_STS  = ''2'') AND (1!=1  
 OR V_SHIIRE_RENDO_LIST.KOBAI_KBN  = ''1'' 
 OR V_SHIIRE_RENDO_LIST.KOBAI_KBN  = ''2'' 
 OR V_SHIIRE_RENDO_LIST.KOBAI_KBN = ''3'' 
 OR V_SHIIRE_RENDO_LIST.KOBAI_KBN  = ''4'' 
 OR V_SHIIRE_RENDO_LIST.KOBAI_KBN  = ''5'')
 AND V_SHIIRE_RENDO_LIST.SHIIRE_NO &gt;=  ''SYY-MM9999''
 AND V_SHIIRE_RENDO_LIST.SHIIRE_NO &lt;=  ''SYY-MM9999'' 
 AND V_SHIIRE_RENDO_LIST.SHIIRE_DATE &gt;= ''YYYY/MM/DD   ''
 AND V_SHIIRE_RENDO_LIST.SHIIRE_DATE &lt;=  ''YYYY/MM/DD   '' 
 AND V_SHIIRE_RENDO_LIST.SHIHARAI_DATE  &gt;= ''YYYY/MM/DD   ''
 AND V_SHIIRE_RENDO_LIST.SHIHARAI_DATE  &lt;=  ''YYYY/MM/DD   ''</v>
      </c>
      <c r="G12" s="12"/>
      <c r="H12" s="13" t="s">
        <v>1275</v>
      </c>
    </row>
    <row r="13" spans="2:8" ht="17.25" customHeight="1">
      <c r="B13" s="14"/>
      <c r="C13" s="197" t="s">
        <v>1276</v>
      </c>
      <c r="D13" s="197"/>
      <c r="E13" s="197"/>
      <c r="F13" s="20" t="s">
        <v>1277</v>
      </c>
      <c r="G13" s="122"/>
      <c r="H13" s="15"/>
    </row>
    <row r="14" spans="2:8" ht="33">
      <c r="B14" s="14"/>
      <c r="C14" s="197" t="s">
        <v>370</v>
      </c>
      <c r="D14" s="197"/>
      <c r="E14" s="197"/>
      <c r="F14" s="16" t="s">
        <v>1278</v>
      </c>
      <c r="G14" s="122"/>
      <c r="H14" s="15"/>
    </row>
    <row r="15" spans="2:8" ht="16.5">
      <c r="B15" s="194" t="s">
        <v>371</v>
      </c>
      <c r="C15" s="195"/>
      <c r="D15" s="195"/>
      <c r="E15" s="196"/>
      <c r="F15" s="12"/>
      <c r="G15" s="12"/>
      <c r="H15" s="13"/>
    </row>
    <row r="16" spans="2:8" ht="29.25" customHeight="1">
      <c r="B16" s="14"/>
      <c r="C16" s="197" t="s">
        <v>1279</v>
      </c>
      <c r="D16" s="197"/>
      <c r="E16" s="197"/>
      <c r="F16" s="16" t="str">
        <f>" WHERE 1=1
" &amp;F17 &amp; F21 &amp; F27 &amp; F28 &amp; F29 &amp; F30 &amp; F31 &amp;F32 &amp; F33 &amp; F34 &amp; F35</f>
        <v xml:space="preserve"> WHERE 1=1
 AND (1!=1  
 OR V_SHIIRE_RENDO_LIST.SHIIRE_STS  = ''1'' 
 OR V_SHIIRE_RENDO_LIST.SHIIRE_STS  = ''2'') AND (1!=1  
 OR V_SHIIRE_RENDO_LIST.KOBAI_KBN  = ''1'' 
 OR V_SHIIRE_RENDO_LIST.KOBAI_KBN  = ''2'' 
 OR V_SHIIRE_RENDO_LIST.KOBAI_KBN = ''3'' 
 OR V_SHIIRE_RENDO_LIST.KOBAI_KBN  = ''4'' 
 OR V_SHIIRE_RENDO_LIST.KOBAI_KBN  = ''5'')
 AND V_SHIIRE_RENDO_LIST.SHIIRE_NO &gt;=  ''SYY-MM9999''
 AND V_SHIIRE_RENDO_LIST.SHIIRE_NO &lt;=  ''SYY-MM9999'' 
 AND V_SHIIRE_RENDO_LIST.SHIIRE_DATE &gt;= ''YYYY/MM/DD   ''
 AND V_SHIIRE_RENDO_LIST.SHIIRE_DATE &lt;=  ''YYYY/MM/DD   '' 
 AND V_SHIIRE_RENDO_LIST.SHIHARAI_DATE  &gt;= ''YYYY/MM/DD   ''
 AND V_SHIIRE_RENDO_LIST.SHIHARAI_DATE  &lt;=  ''YYYY/MM/DD   ''</v>
      </c>
      <c r="G16" s="122"/>
      <c r="H16" s="15"/>
    </row>
    <row r="17" spans="2:8" ht="27.75" customHeight="1">
      <c r="B17" s="14"/>
      <c r="C17" s="17"/>
      <c r="D17" s="206" t="s">
        <v>1280</v>
      </c>
      <c r="E17" s="193"/>
      <c r="F17" s="16" t="str">
        <f xml:space="preserve"> " AND (1!=1 "&amp; F18 &amp; F19 &amp; F20 &amp;")"</f>
        <v xml:space="preserve"> AND (1!=1  
 OR V_SHIIRE_RENDO_LIST.SHIIRE_STS  = ''1'' 
 OR V_SHIIRE_RENDO_LIST.SHIIRE_STS  = ''2'')</v>
      </c>
      <c r="G17" s="122"/>
      <c r="H17" s="15"/>
    </row>
    <row r="18" spans="2:8" ht="16.5">
      <c r="B18" s="14"/>
      <c r="C18" s="123"/>
      <c r="D18" s="123"/>
      <c r="E18" s="124" t="s">
        <v>975</v>
      </c>
      <c r="F18" s="125" t="str">
        <f>IF(G18," 
 OR V_SHIIRE_RENDO_LIST.SHIIRE_STS  = ''1''","")</f>
        <v xml:space="preserve"> 
 OR V_SHIIRE_RENDO_LIST.SHIIRE_STS  = ''1''</v>
      </c>
      <c r="G18" s="125" t="b">
        <f>UNKB0220_H_MITOTSUGO_STS_S</f>
        <v>1</v>
      </c>
      <c r="H18" s="126"/>
    </row>
    <row r="19" spans="2:8" ht="16.5">
      <c r="B19" s="14"/>
      <c r="C19" s="123"/>
      <c r="D19" s="123"/>
      <c r="E19" s="124" t="s">
        <v>1130</v>
      </c>
      <c r="F19" s="125" t="str">
        <f>IF(G19," 
 OR V_SHIIRE_RENDO_LIST.SHIIRE_STS  = ''2''","")</f>
        <v xml:space="preserve"> 
 OR V_SHIIRE_RENDO_LIST.SHIIRE_STS  = ''2''</v>
      </c>
      <c r="G19" s="125" t="b">
        <f>UNKB0220_H_TOTSUGOSUMI_STS_S</f>
        <v>1</v>
      </c>
      <c r="H19" s="126"/>
    </row>
    <row r="20" spans="2:8" ht="16.5">
      <c r="B20" s="14"/>
      <c r="C20" s="123"/>
      <c r="D20" s="182"/>
      <c r="E20" s="124" t="s">
        <v>1719</v>
      </c>
      <c r="F20" s="125" t="str">
        <f>IF(G20," 
 OR V_SHIIRE_RENDO_LIST.SHIIRE_STS  = ''3''","")</f>
        <v/>
      </c>
      <c r="G20" s="125" t="b">
        <f>UNKB0220_H_SHIIRERENDOZUMI_STS_S</f>
        <v>0</v>
      </c>
      <c r="H20" s="126"/>
    </row>
    <row r="21" spans="2:8" ht="29.25" customHeight="1">
      <c r="B21" s="14"/>
      <c r="C21" s="123"/>
      <c r="D21" s="206" t="s">
        <v>1281</v>
      </c>
      <c r="E21" s="193"/>
      <c r="F21" s="16" t="str">
        <f>" AND (1!=1 " &amp;F22 &amp; F23 &amp; F24 &amp; F25 &amp; F26 &amp;")"</f>
        <v xml:space="preserve"> AND (1!=1  
 OR V_SHIIRE_RENDO_LIST.KOBAI_KBN  = ''1'' 
 OR V_SHIIRE_RENDO_LIST.KOBAI_KBN  = ''2'' 
 OR V_SHIIRE_RENDO_LIST.KOBAI_KBN = ''3'' 
 OR V_SHIIRE_RENDO_LIST.KOBAI_KBN  = ''4'' 
 OR V_SHIIRE_RENDO_LIST.KOBAI_KBN  = ''5'')</v>
      </c>
      <c r="G21" s="122"/>
      <c r="H21" s="15"/>
    </row>
    <row r="22" spans="2:8" ht="16.5">
      <c r="B22" s="14"/>
      <c r="C22" s="123"/>
      <c r="D22" s="128"/>
      <c r="E22" s="124" t="s">
        <v>998</v>
      </c>
      <c r="F22" s="125" t="str">
        <f>IF(G22," 
 OR V_SHIIRE_RENDO_LIST.KOBAI_KBN  = ''1''","")</f>
        <v xml:space="preserve"> 
 OR V_SHIIRE_RENDO_LIST.KOBAI_KBN  = ''1''</v>
      </c>
      <c r="G22" s="125" t="b">
        <f>UNKB0220_H_KOBAIHIN_KBN_S</f>
        <v>1</v>
      </c>
      <c r="H22" s="126"/>
    </row>
    <row r="23" spans="2:8" ht="16.5">
      <c r="B23" s="14"/>
      <c r="C23" s="123"/>
      <c r="D23" s="128"/>
      <c r="E23" s="124" t="s">
        <v>979</v>
      </c>
      <c r="F23" s="125" t="str">
        <f>IF(G23," 
 OR V_SHIIRE_RENDO_LIST.KOBAI_KBN  = ''2''","")</f>
        <v xml:space="preserve"> 
 OR V_SHIIRE_RENDO_LIST.KOBAI_KBN  = ''2''</v>
      </c>
      <c r="G23" s="125" t="b">
        <f>UNKB0220_H_GAICHU_KBN_S</f>
        <v>1</v>
      </c>
      <c r="H23" s="126"/>
    </row>
    <row r="24" spans="2:8" ht="16.5">
      <c r="B24" s="14"/>
      <c r="C24" s="123"/>
      <c r="D24" s="128"/>
      <c r="E24" s="124" t="s">
        <v>1002</v>
      </c>
      <c r="F24" s="125" t="str">
        <f>IF(G24," 
 OR V_SHIIRE_RENDO_LIST.KOBAI_KBN = ''3''","")</f>
        <v xml:space="preserve"> 
 OR V_SHIIRE_RENDO_LIST.KOBAI_KBN = ''3''</v>
      </c>
      <c r="G24" s="125" t="b">
        <f>UNKB0220_H_SHUZEN_KBN_S</f>
        <v>1</v>
      </c>
      <c r="H24" s="126"/>
    </row>
    <row r="25" spans="2:8" ht="16.5">
      <c r="B25" s="14"/>
      <c r="C25" s="123"/>
      <c r="D25" s="128"/>
      <c r="E25" s="124" t="s">
        <v>981</v>
      </c>
      <c r="F25" s="125" t="str">
        <f>IF(G25," 
 OR V_SHIIRE_RENDO_LIST.KOBAI_KBN  = ''4''","")</f>
        <v xml:space="preserve"> 
 OR V_SHIIRE_RENDO_LIST.KOBAI_KBN  = ''4''</v>
      </c>
      <c r="G25" s="125" t="b">
        <f>UNKB0220_H_TOSHI_KBN_S</f>
        <v>1</v>
      </c>
      <c r="H25" s="126"/>
    </row>
    <row r="26" spans="2:8" ht="16.5">
      <c r="B26" s="14"/>
      <c r="C26" s="123"/>
      <c r="D26" s="39"/>
      <c r="E26" s="124" t="s">
        <v>982</v>
      </c>
      <c r="F26" s="125" t="str">
        <f>IF(G26," 
 OR V_SHIIRE_RENDO_LIST.KOBAI_KBN  = ''5''","")</f>
        <v xml:space="preserve"> 
 OR V_SHIIRE_RENDO_LIST.KOBAI_KBN  = ''5''</v>
      </c>
      <c r="G26" s="125" t="b">
        <f>UNKB0220_H_HANBAI_KBN_S</f>
        <v>1</v>
      </c>
      <c r="H26" s="126"/>
    </row>
    <row r="27" spans="2:8" ht="16.5">
      <c r="B27" s="14"/>
      <c r="C27" s="123"/>
      <c r="D27" s="207" t="s">
        <v>1282</v>
      </c>
      <c r="E27" s="207" t="s">
        <v>1283</v>
      </c>
      <c r="F27" s="127" t="str">
        <f>IF(G27,"
 AND V_SHIIRE_RENDO_LIST.SHIIRE_NO &gt;=  ''"&amp; UNKB0220_H_SHIIRE_NO_START_S &amp;"''","")</f>
        <v xml:space="preserve">
 AND V_SHIIRE_RENDO_LIST.SHIIRE_NO &gt;=  ''SYY-MM9999''</v>
      </c>
      <c r="G27" s="122" t="b">
        <f>NOT(ISBLANK(UNKB0220_H_SHIIRE_NO_START_S))</f>
        <v>1</v>
      </c>
      <c r="H27" s="15"/>
    </row>
    <row r="28" spans="2:8" ht="16.5">
      <c r="B28" s="14"/>
      <c r="C28" s="123"/>
      <c r="D28" s="207" t="s">
        <v>1284</v>
      </c>
      <c r="E28" s="207" t="s">
        <v>1285</v>
      </c>
      <c r="F28" s="127" t="str">
        <f>IF(G28,"
 AND V_SHIIRE_RENDO_LIST.SHIIRE_NO &lt;=  ''"&amp; UNKB0220_H_SHIIRE_NO_END_S &amp;"''","")</f>
        <v xml:space="preserve">
 AND V_SHIIRE_RENDO_LIST.SHIIRE_NO &lt;=  ''SYY-MM9999''</v>
      </c>
      <c r="G28" s="122" t="b">
        <f>NOT(ISBLANK(UNKB0220_H_SHIIRE_NO_END_S))</f>
        <v>1</v>
      </c>
      <c r="H28" s="15"/>
    </row>
    <row r="29" spans="2:8" ht="16.5">
      <c r="B29" s="14"/>
      <c r="C29" s="123"/>
      <c r="D29" s="207" t="s">
        <v>1030</v>
      </c>
      <c r="E29" s="207" t="s">
        <v>1286</v>
      </c>
      <c r="F29" s="127" t="str">
        <f>IF(G29," 
 AND V_SHIIRE_RENDO_LIST.SHIIRE_DATE &gt;= ''"&amp;TEXT(UNKB0220_H_SHIIRE_DATE_START_S,"YYYY/MM/DD")&amp;"''","")</f>
        <v xml:space="preserve"> 
 AND V_SHIIRE_RENDO_LIST.SHIIRE_DATE &gt;= ''YYYY/MM/DD   ''</v>
      </c>
      <c r="G29" s="122" t="b">
        <f>NOT(ISBLANK(UNKB0220_H_SHIIRE_DATE_START_S))</f>
        <v>1</v>
      </c>
      <c r="H29" s="15"/>
    </row>
    <row r="30" spans="2:8" ht="16.5">
      <c r="B30" s="14"/>
      <c r="C30" s="123"/>
      <c r="D30" s="207" t="s">
        <v>1287</v>
      </c>
      <c r="E30" s="207" t="s">
        <v>1288</v>
      </c>
      <c r="F30" s="127" t="str">
        <f>IF(G30,"
 AND V_SHIIRE_RENDO_LIST.SHIIRE_DATE &lt;=  ''"&amp;TEXT(UNKB0220_H_SHIIRE_DATE_END_S,"YYYY/MM/DD")&amp;"''","")</f>
        <v xml:space="preserve">
 AND V_SHIIRE_RENDO_LIST.SHIIRE_DATE &lt;=  ''YYYY/MM/DD   ''</v>
      </c>
      <c r="G30" s="122" t="b">
        <f>NOT(ISBLANK(UNKB0220_H_SHIIRE_DATE_END_S))</f>
        <v>1</v>
      </c>
      <c r="H30" s="15"/>
    </row>
    <row r="31" spans="2:8" ht="16.5">
      <c r="B31" s="14"/>
      <c r="C31" s="123"/>
      <c r="D31" s="207" t="s">
        <v>1289</v>
      </c>
      <c r="E31" s="207" t="s">
        <v>1290</v>
      </c>
      <c r="F31" s="127" t="str">
        <f>IF(G31," 
 AND V_SHIIRE_RENDO_LIST.SHIHARAI_DATE  &gt;= ''"&amp;TEXT(UNKB0220_H_YOTEI_DATE_START_S,"YYYY/MM/DD")&amp;"''","")</f>
        <v xml:space="preserve"> 
 AND V_SHIIRE_RENDO_LIST.SHIHARAI_DATE  &gt;= ''YYYY/MM/DD   ''</v>
      </c>
      <c r="G31" s="122" t="b">
        <f>NOT(ISBLANK(UNKB0220_H_YOTEI_DATE_START_S))</f>
        <v>1</v>
      </c>
      <c r="H31" s="15"/>
    </row>
    <row r="32" spans="2:8" ht="16.5">
      <c r="B32" s="14"/>
      <c r="C32" s="123"/>
      <c r="D32" s="207" t="s">
        <v>1291</v>
      </c>
      <c r="E32" s="207" t="s">
        <v>1292</v>
      </c>
      <c r="F32" s="127" t="str">
        <f>IF(G32,"
 AND V_SHIIRE_RENDO_LIST.SHIHARAI_DATE  &lt;=  ''"&amp;TEXT(UNKB0220_H_YOTEI_DATE_END_S,"YYYY/MM/DD")&amp;"''","")</f>
        <v xml:space="preserve">
 AND V_SHIIRE_RENDO_LIST.SHIHARAI_DATE  &lt;=  ''YYYY/MM/DD   ''</v>
      </c>
      <c r="G32" s="122" t="b">
        <f>NOT(ISBLANK(UNKB0220_H_YOTEI_DATE_END_S))</f>
        <v>1</v>
      </c>
      <c r="H32" s="15"/>
    </row>
    <row r="33" spans="2:8" ht="16.5">
      <c r="B33" s="14"/>
      <c r="C33" s="123"/>
      <c r="D33" s="207" t="s">
        <v>1293</v>
      </c>
      <c r="E33" s="207" t="s">
        <v>1007</v>
      </c>
      <c r="F33" s="127" t="str">
        <f>IF(G33,"
 AND V_SHIIRE_RENDO_LIST.SHIIRE_CD = " &amp; "''" &amp; UNKB0220_H_SHIIRESAKI_CD_S &amp; "''","")</f>
        <v/>
      </c>
      <c r="G33" s="122" t="b">
        <f>NOT(ISBLANK(UNKB0220_H_SHIIRESAKI_CD_S))</f>
        <v>0</v>
      </c>
      <c r="H33" s="15"/>
    </row>
    <row r="34" spans="2:8" ht="16.5">
      <c r="B34" s="14"/>
      <c r="C34" s="123"/>
      <c r="D34" s="207" t="s">
        <v>1294</v>
      </c>
      <c r="E34" s="207" t="s">
        <v>1295</v>
      </c>
      <c r="F34" s="127" t="str">
        <f>IF(G34,"
 AND V_SHIIRE_RENDO_LIST.SHIIRE_NYURYOKUSHA_CD = " &amp; "''" &amp; UNKB0220_H_NYURYOKUSHA_CD_S &amp; "''","")</f>
        <v/>
      </c>
      <c r="G34" s="122" t="b">
        <f>NOT(ISBLANK(UNKB0220_H_NYURYOKUSHA_CD_S))</f>
        <v>0</v>
      </c>
      <c r="H34" s="15"/>
    </row>
    <row r="35" spans="2:8" ht="16.5">
      <c r="B35" s="14"/>
      <c r="C35" s="123"/>
      <c r="D35" s="206" t="s">
        <v>1296</v>
      </c>
      <c r="E35" s="193"/>
      <c r="F35" s="122" t="str">
        <f>IF(G35," AND "&amp; IF(UNKB0220_H_FREEWD_KBN_S=3,"NOT","") &amp;"("&amp; IF(G36,F36,"") &amp; IF(G37,F37,"") &amp;IF(G38,F38,"") &amp;" )","")</f>
        <v/>
      </c>
      <c r="G35" s="122" t="b">
        <f>OR(G36,G37,G38)</f>
        <v>0</v>
      </c>
      <c r="H35" s="15"/>
    </row>
    <row r="36" spans="2:8" ht="16.5">
      <c r="B36" s="14"/>
      <c r="C36" s="123"/>
      <c r="D36" s="128"/>
      <c r="E36" s="124" t="s">
        <v>1297</v>
      </c>
      <c r="F36" s="126" t="str">
        <f>IF(G36,"
 V_SHIIRE_RENDO_LIST.FREEWD LIKE ''%"&amp; UNKB0220_H_FREEWD_1_S &amp; "%''","")</f>
        <v/>
      </c>
      <c r="G36" s="125" t="b">
        <f>NOT(ISBLANK(UNKB0220_H_FREEWD_1_S))</f>
        <v>0</v>
      </c>
      <c r="H36" s="126"/>
    </row>
    <row r="37" spans="2:8" ht="16.5">
      <c r="B37" s="14"/>
      <c r="C37" s="123"/>
      <c r="D37" s="128"/>
      <c r="E37" s="124" t="s">
        <v>1049</v>
      </c>
      <c r="F37" s="126" t="str">
        <f>IF(G37,"
 "&amp;IF(G36, F39, "") &amp;" V_SHIIRE_RENDO_LIST.FREEWD LIKE ''%"&amp; UNKB0220_H_FREEWD_2_S &amp; "%''","")</f>
        <v/>
      </c>
      <c r="G37" s="125" t="b">
        <f>NOT(ISBLANK(UNKB0220_H_FREEWD_2_S))</f>
        <v>0</v>
      </c>
      <c r="H37" s="126"/>
    </row>
    <row r="38" spans="2:8" ht="16.5">
      <c r="B38" s="14"/>
      <c r="C38" s="123"/>
      <c r="D38" s="128"/>
      <c r="E38" s="124" t="s">
        <v>1051</v>
      </c>
      <c r="F38" s="126" t="str">
        <f>IF(G38,"
 "&amp;IF(OR(G36,G37),F39,"") &amp; " V_SHIIRE_RENDO_LIST.FREEWD LIKE ''%"&amp; UNKB0220_H_FREEWD_3_S &amp; "%''","")</f>
        <v/>
      </c>
      <c r="G38" s="125" t="b">
        <f>NOT(ISBLANK(UNKB0220_H_FREEWD_3_S))</f>
        <v>0</v>
      </c>
      <c r="H38" s="126"/>
    </row>
    <row r="39" spans="2:8" ht="16.5">
      <c r="B39" s="18"/>
      <c r="C39" s="39"/>
      <c r="D39" s="39"/>
      <c r="E39" s="124" t="s">
        <v>1012</v>
      </c>
      <c r="F39" s="126" t="str">
        <f>IF(UNKB0220_H_FREEWD_KBN_S=1, "AND",IF(UNKB0220_H_FREEWD_KBN_S=2,"OR","AND"))</f>
        <v>AND</v>
      </c>
      <c r="G39" s="125"/>
      <c r="H39" s="126"/>
    </row>
    <row r="42" spans="2:8" s="167" customFormat="1" ht="16.5">
      <c r="B42" s="198" t="s">
        <v>1822</v>
      </c>
      <c r="C42" s="199"/>
      <c r="D42" s="199"/>
      <c r="E42" s="200"/>
      <c r="F42" s="10"/>
      <c r="G42" s="10"/>
      <c r="H42" s="11" t="s">
        <v>367</v>
      </c>
    </row>
    <row r="43" spans="2:8" s="167" customFormat="1" ht="15.75" customHeight="1">
      <c r="B43" s="194" t="s">
        <v>1823</v>
      </c>
      <c r="C43" s="195"/>
      <c r="D43" s="195"/>
      <c r="E43" s="196"/>
      <c r="F43" s="12" t="str">
        <f>F44</f>
        <v>EXEC SP_LOAD_SHIIRE_RENDO '1' ,'0' ,0 ,'SELECT *
 FROM V_SHIIRE_RENDO_LIST
 WHERE 1=1
 AND (1!=1  
 OR V_SHIIRE_RENDO_LIST.SHIIRE_STS  = ''1'' 
 OR V_SHIIRE_RENDO_LIST.SHIIRE_STS  = ''2'') AND (1!=1  
 OR V_SHIIRE_RENDO_LIST.KOBAI_KBN  = ''1'' 
 OR V_SHIIRE_RENDO_LIST.KOBAI_KBN  = ''2'' 
 OR V_SHIIRE_RENDO_LIST.KOBAI_KBN = ''3'' 
 OR V_SHIIRE_RENDO_LIST.KOBAI_KBN  = ''4'' 
 OR V_SHIIRE_RENDO_LIST.KOBAI_KBN  = ''5'')
 AND V_SHIIRE_RENDO_LIST.SHIIRE_NO &gt;=  ''SYY-MM9999''
 AND V_SHIIRE_RENDO_LIST.SHIIRE_NO &lt;=  ''SYY-MM9999'' 
 AND V_SHIIRE_RENDO_LIST.SHIIRE_DATE &gt;= ''YYYY/MM/DD   ''
 AND V_SHIIRE_RENDO_LIST.SHIIRE_DATE &lt;=  ''YYYY/MM/DD   '' 
 AND V_SHIIRE_RENDO_LIST.SHIHARAI_DATE  &gt;= ''YYYY/MM/DD   ''
 AND V_SHIIRE_RENDO_LIST.SHIHARAI_DATE  &lt;=  ''YYYY/MM/DD   '''</v>
      </c>
      <c r="G43" s="12"/>
      <c r="H43" s="13" t="s">
        <v>1827</v>
      </c>
    </row>
    <row r="44" spans="2:8" s="167" customFormat="1" ht="16.5" customHeight="1">
      <c r="B44" s="14"/>
      <c r="C44" s="197" t="s">
        <v>1824</v>
      </c>
      <c r="D44" s="197"/>
      <c r="E44" s="197"/>
      <c r="F44" s="16" t="str">
        <f>"EXEC SP_LOAD_SHIIRE_RENDO '"&amp;UNKB0220_IF_W_USER_ID&amp;"' ,'"&amp;UNKB0220_IF_W_SERIAL&amp;"' ,0 ,'"&amp;UNKB0220_SQL_SHIIRE_RENDO_LIST&amp;"'"</f>
        <v>EXEC SP_LOAD_SHIIRE_RENDO '1' ,'0' ,0 ,'SELECT *
 FROM V_SHIIRE_RENDO_LIST
 WHERE 1=1
 AND (1!=1  
 OR V_SHIIRE_RENDO_LIST.SHIIRE_STS  = ''1'' 
 OR V_SHIIRE_RENDO_LIST.SHIIRE_STS  = ''2'') AND (1!=1  
 OR V_SHIIRE_RENDO_LIST.KOBAI_KBN  = ''1'' 
 OR V_SHIIRE_RENDO_LIST.KOBAI_KBN  = ''2'' 
 OR V_SHIIRE_RENDO_LIST.KOBAI_KBN = ''3'' 
 OR V_SHIIRE_RENDO_LIST.KOBAI_KBN  = ''4'' 
 OR V_SHIIRE_RENDO_LIST.KOBAI_KBN  = ''5'')
 AND V_SHIIRE_RENDO_LIST.SHIIRE_NO &gt;=  ''SYY-MM9999''
 AND V_SHIIRE_RENDO_LIST.SHIIRE_NO &lt;=  ''SYY-MM9999'' 
 AND V_SHIIRE_RENDO_LIST.SHIIRE_DATE &gt;= ''YYYY/MM/DD   ''
 AND V_SHIIRE_RENDO_LIST.SHIIRE_DATE &lt;=  ''YYYY/MM/DD   '' 
 AND V_SHIIRE_RENDO_LIST.SHIHARAI_DATE  &gt;= ''YYYY/MM/DD   ''
 AND V_SHIIRE_RENDO_LIST.SHIHARAI_DATE  &lt;=  ''YYYY/MM/DD   '''</v>
      </c>
      <c r="G44" s="122"/>
      <c r="H44" s="15"/>
    </row>
    <row r="45" spans="2:8" s="167" customFormat="1" ht="15.75" customHeight="1">
      <c r="B45" s="194" t="s">
        <v>1825</v>
      </c>
      <c r="C45" s="195"/>
      <c r="D45" s="195"/>
      <c r="E45" s="196"/>
      <c r="F45" s="12" t="str">
        <f>F46</f>
        <v>EXEC SP_LOAD_SHIIRE_RENDO '1' , '0' ,1 ,' '</v>
      </c>
      <c r="G45" s="12"/>
      <c r="H45" s="13" t="s">
        <v>1826</v>
      </c>
    </row>
    <row r="46" spans="2:8" s="167" customFormat="1" ht="16.5" customHeight="1">
      <c r="B46" s="18"/>
      <c r="C46" s="207" t="s">
        <v>1824</v>
      </c>
      <c r="D46" s="207"/>
      <c r="E46" s="207"/>
      <c r="F46" s="20" t="str">
        <f>"EXEC SP_LOAD_SHIIRE_RENDO '"&amp;UNKB0220_IF_W_USER_ID&amp;"' , '"&amp;UNKB0220_IF_W_SERIAL&amp;"' ,1 ,' '"</f>
        <v>EXEC SP_LOAD_SHIIRE_RENDO '1' , '0' ,1 ,' '</v>
      </c>
      <c r="G46" s="122"/>
      <c r="H46" s="15"/>
    </row>
    <row r="47" spans="2:8" s="167" customFormat="1"/>
    <row r="48" spans="2:8" s="167" customFormat="1"/>
    <row r="49" spans="2:8" ht="16.5">
      <c r="B49" s="198" t="s">
        <v>1298</v>
      </c>
      <c r="C49" s="199"/>
      <c r="D49" s="199"/>
      <c r="E49" s="200"/>
      <c r="F49" s="10"/>
      <c r="G49" s="10"/>
      <c r="H49" s="11" t="s">
        <v>367</v>
      </c>
    </row>
    <row r="50" spans="2:8" ht="15.75" customHeight="1">
      <c r="B50" s="194" t="s">
        <v>1299</v>
      </c>
      <c r="C50" s="195"/>
      <c r="D50" s="195"/>
      <c r="E50" s="196"/>
      <c r="F50" s="12" t="str">
        <f>F51 &amp; F52 &amp; F53 &amp; UNKB0220_SQL_SORT &amp; F55</f>
        <v>SELECT *
FROM W_SHIIRE_RENDO_LIST
 WHERE (1=1)
 AND W_SHIIRE_RENDO_LIST.W_USER_ID = '1'
 AND W_SHIIRE_RENDO_LIST.W_SERIAL = '0'
ORDER BY SHIIRE_NO ASC OFFSET 0*2 ROWS
 FETCH NEXT 2 ROWS ONLY</v>
      </c>
      <c r="G50" s="12"/>
      <c r="H50" s="13" t="s">
        <v>1300</v>
      </c>
    </row>
    <row r="51" spans="2:8" ht="16.5" customHeight="1">
      <c r="B51" s="14"/>
      <c r="C51" s="197" t="s">
        <v>1301</v>
      </c>
      <c r="D51" s="197"/>
      <c r="E51" s="197"/>
      <c r="F51" s="20" t="s">
        <v>1302</v>
      </c>
      <c r="G51" s="122"/>
      <c r="H51" s="15"/>
    </row>
    <row r="52" spans="2:8" ht="18.75" customHeight="1">
      <c r="B52" s="14"/>
      <c r="C52" s="191" t="s">
        <v>1303</v>
      </c>
      <c r="D52" s="192"/>
      <c r="E52" s="193"/>
      <c r="F52" s="20" t="s">
        <v>1304</v>
      </c>
      <c r="G52" s="122"/>
      <c r="H52" s="15"/>
    </row>
    <row r="53" spans="2:8" ht="15.75" customHeight="1">
      <c r="B53" s="14"/>
      <c r="C53" s="197" t="s">
        <v>1279</v>
      </c>
      <c r="D53" s="197"/>
      <c r="E53" s="197"/>
      <c r="F53" s="16" t="str">
        <f>" WHERE (1=1)
 AND W_SHIIRE_RENDO_LIST.W_USER_ID = '"&amp;UNKB0220_IF_W_USER_ID&amp;"'
 AND W_SHIIRE_RENDO_LIST.W_SERIAL = '"&amp;UNKB0220_IF_W_SERIAL&amp;"'
"</f>
        <v xml:space="preserve"> WHERE (1=1)
 AND W_SHIIRE_RENDO_LIST.W_USER_ID = '1'
 AND W_SHIIRE_RENDO_LIST.W_SERIAL = '0'
</v>
      </c>
      <c r="G53" s="122"/>
      <c r="H53" s="129"/>
    </row>
    <row r="54" spans="2:8" ht="15.75" customHeight="1">
      <c r="B54" s="14"/>
      <c r="C54" s="197" t="s">
        <v>1305</v>
      </c>
      <c r="D54" s="197"/>
      <c r="E54" s="197"/>
      <c r="F54" s="16" t="s">
        <v>1306</v>
      </c>
      <c r="G54" s="122"/>
      <c r="H54" s="15" t="s">
        <v>1307</v>
      </c>
    </row>
    <row r="55" spans="2:8" ht="16.5" customHeight="1">
      <c r="B55" s="130"/>
      <c r="C55" s="207" t="s">
        <v>1308</v>
      </c>
      <c r="D55" s="207"/>
      <c r="E55" s="207"/>
      <c r="F55" s="16" t="str">
        <f xml:space="preserve"> " OFFSET "&amp;(UNKB0220_B_PAGE_NO-1)&amp;"*"&amp;UNKB0220_B_HYOJI_GYO_SU&amp;" ROWS
 FETCH NEXT "&amp;UNKB0220_B_HYOJI_GYO_SU&amp;" ROWS ONLY"</f>
        <v xml:space="preserve"> OFFSET 0*2 ROWS
 FETCH NEXT 2 ROWS ONLY</v>
      </c>
      <c r="G55" s="122"/>
      <c r="H55" s="15"/>
    </row>
    <row r="58" spans="2:8" ht="16.5">
      <c r="B58" s="237" t="s">
        <v>1309</v>
      </c>
      <c r="C58" s="238"/>
      <c r="D58" s="238"/>
      <c r="E58" s="239"/>
      <c r="F58" s="10"/>
      <c r="G58" s="10"/>
      <c r="H58" s="11" t="s">
        <v>367</v>
      </c>
    </row>
    <row r="59" spans="2:8" ht="15.75" customHeight="1">
      <c r="B59" s="194" t="s">
        <v>1310</v>
      </c>
      <c r="C59" s="195"/>
      <c r="D59" s="195"/>
      <c r="E59" s="196"/>
      <c r="F59" s="12" t="str">
        <f>F60 &amp; F61 &amp; F68</f>
        <v>SELECT T_SHIIRE_H.*
FROM W_SHIIRE_RENDO_LIST
  LEFT JOIN T_SHIIRE_H
   ON W_SHIIRE_RENDO_LIST.SHIIRE_NO = T_SHIIRE_H.SHIIRE_NO
 WHERE (1=1)
      AND W_SHIIRE_RENDO_LIST.W_USER_ID = '1' 
      AND W_SHIIRE_RENDO_LIST.W_SERIAL = '0'
      AND W_SHIIRE_RENDO_LIST.SELECT_FLG = 'True'</v>
      </c>
      <c r="G59" s="12"/>
      <c r="H59" s="13" t="s">
        <v>1311</v>
      </c>
    </row>
    <row r="60" spans="2:8" ht="16.5" customHeight="1">
      <c r="B60" s="14"/>
      <c r="C60" s="191" t="s">
        <v>1301</v>
      </c>
      <c r="D60" s="192"/>
      <c r="E60" s="193"/>
      <c r="F60" s="20" t="s">
        <v>1312</v>
      </c>
      <c r="G60" s="122"/>
      <c r="H60" s="15"/>
    </row>
    <row r="61" spans="2:8" ht="29.25" customHeight="1">
      <c r="B61" s="14"/>
      <c r="C61" s="191" t="s">
        <v>1303</v>
      </c>
      <c r="D61" s="192"/>
      <c r="E61" s="193"/>
      <c r="F61" s="16" t="s">
        <v>1313</v>
      </c>
      <c r="G61" s="122"/>
      <c r="H61" s="15"/>
    </row>
    <row r="62" spans="2:8" ht="15.75" customHeight="1">
      <c r="B62" s="194" t="s">
        <v>1314</v>
      </c>
      <c r="C62" s="195"/>
      <c r="D62" s="195"/>
      <c r="E62" s="196"/>
      <c r="F62" s="12" t="str">
        <f>F63 &amp; F64 &amp; F68</f>
        <v>SELECT 
    W_SHIIRE_RENDO_LIST.SHIIRE_NO        --仕入Ｎo.
    ,4                           --エンティティバージョン
    ,T_SHIIRE_H.SHIIRE_KAMOKU    --仕入科目
    ,T_SHIIRE_H.DENKU            --伝区
    ,REPLACE(CONVERT(VARCHAR, W_SHIIRE_RENDO_LIST.SHIIRE_DATE, 111), '/','')    --仕入日
    ,REPLACE(CONVERT(VARCHAR, W_SHIIRE_RENDO_LIST.SHIIRE_DATE, 111), '/','')    --精算日
    ,''                    --伝票No
    ,W_SHIIRE_RENDO_LIST.SHIIRE_CD            --仕入先コード
    ,''        --注文No
    ,''        --先方担当者ID
    ,''        --先方担当者名 ?
    ,T_SHIIRE_H.KANJO_KAMOKU                  --部門コード
    ,W_SHIIRE_RENDO_LIST.SHIIRE_NYURYOKUSHA_CD--担当者コード
    ,''        --摘要コード
    ,''        --摘要名
    ,T_SHIIRE_H.KANJO_KAMOKU                  --プロジェクトコード
    ,W_SHIIRE_RENDO_LIST.SHIIRE_NO            --伝票No2
    ,''        --フセンコメント
    ,''        --更新Date
    ,''        --予備1
    ,''        --予備2
    ,''        --予備3
    ,''        --予備数値1
    ,''        --予備数値2
    ,''        --予備金額1
    ,''        --予備金額2
    ,''        --予備金額3
    ,''        --予備文字列1
    ,''        --予備文字列2
    ,''        --予備文字列3
FROM W_SHIIRE_RENDO_LIST
  LEFT JOIN T_SHIIRE_H
   ON W_SHIIRE_RENDO_LIST.SHIIRE_NO= T_SHIIRE_H.SHIIRE_NO
 WHERE (1=1)
      AND W_SHIIRE_RENDO_LIST.W_USER_ID = '1' 
      AND W_SHIIRE_RENDO_LIST.W_SERIAL = '0'
      AND W_SHIIRE_RENDO_LIST.SELECT_FLG = 'True'</v>
      </c>
      <c r="G62" s="12"/>
      <c r="H62" s="13" t="s">
        <v>1315</v>
      </c>
    </row>
    <row r="63" spans="2:8" ht="16.5" customHeight="1">
      <c r="B63" s="14"/>
      <c r="C63" s="191" t="s">
        <v>369</v>
      </c>
      <c r="D63" s="192"/>
      <c r="E63" s="193"/>
      <c r="F63" s="16" t="s">
        <v>1816</v>
      </c>
      <c r="G63" s="122"/>
      <c r="H63" s="15"/>
    </row>
    <row r="64" spans="2:8" ht="31.5" customHeight="1">
      <c r="B64" s="14"/>
      <c r="C64" s="191" t="s">
        <v>1303</v>
      </c>
      <c r="D64" s="192"/>
      <c r="E64" s="193"/>
      <c r="F64" s="16" t="s">
        <v>1316</v>
      </c>
      <c r="G64" s="122"/>
      <c r="H64" s="15"/>
    </row>
    <row r="65" spans="2:8" ht="15.75" customHeight="1">
      <c r="B65" s="194" t="s">
        <v>1317</v>
      </c>
      <c r="C65" s="195"/>
      <c r="D65" s="195"/>
      <c r="E65" s="196"/>
      <c r="F65" s="12" t="str">
        <f>F66 &amp; F67 &amp; F68</f>
        <v>SELECT 
    W_SHIIRE_RENDO_LIST.SHIIRE_NO           --仕入Ｎo.
    ,T_SHIIRE_B.KOBAIHIN_CD                 --商品コード
    ,''                                     --マスター区分
    ,2                                      --税区分
    ,0                                      --税込区分
    ,CASE WHEN LEN(CONVERT(INT,T_SHIIRE_B.TANKA)) &gt; 6
          THEN 0
          ELSE 2
     END                                    --単価小数桁
    ,2                                      --数量小数桁
    ,T_SHIIRE_B.KOBAIHIN_MEI                --商品名
    ,''                                     --商品名2
    ,(SELECT
        M_SHOHIN.HIMBAN
      FROM M_SHOHIN
     WHERE M_SHOHIN.SHOHIN_CD = T_SHIIRE_B.KOBAIHIN_CD) --規格・型番   
    ,''                                     --色
    ,''                                     --サイズ
    ,''                                     --倉庫コード
    ,CASE WHEN T_SHIIRE_B.TANKA &lt; 0   then 2
         else  0 
        end           --区
    ,T_SHIIRE_B.IRISU                       --入数
    ,''                                     --箱数
    ,T_SHIIRE_B.SURYO                       --数量
    ,T_SHIIRE_B.IRISU_TANI                  --単位
    ,T_SHIIRE_B.TANKA                       --単価
    ,T_SHIIRE_B.TOTAL                       --金額
    ,T_SHIIRE_B.BIKO                        --備考
    ,''                                     --標準仕入単価
    ,T_SHIIRE_H.TAX_RATE * 100              --税率
    ,T_SHIIRE_H.TAX                         --外税額
    ,''                                     --内税額
    ,''                                     --計算式コード
    ,''                                     --商品項目1
    ,''                                     --商品項目2
    ,''                                     --商品項目3
    ,''                                     --仕入項目1
    ,''                                     --仕入項目2
    ,''                                     --仕入項目3
    ,''                                     --入荷指示
    ,''                                     --発注ヘッダーID
    ,''                                     --発注明細SEQ
    ,''                                     --予備1
    ,''                                     --予備2
    ,''                                     --予備3
    ,''                                     --予備数値1
    ,''                                     --予備数値2
    ,''                                     --予備数値3
    ,''                                     --予備金額1
    ,''                                     --予備金額2
    ,''                                     --予備金額3
    ,''                                     --予備文字列1
    ,''                                     --予備文字列2
    ,''                                     --予備文字列3
    ,2                                      --入数小数桁
    ,''                                     --箱数小数桁
FROM W_SHIIRE_RENDO_LIST
  LEFT JOIN T_SHIIRE_H
   ON W_SHIIRE_RENDO_LIST.SHIIRE_NO = T_SHIIRE_H.SHIIRE_NO
  LEFT JOIN T_SHIIRE_B
   ON W_SHIIRE_RENDO_LIST.SHIIRE_NO = T_SHIIRE_B.SHIIRE_NO
 WHERE (1=1)
      AND W_SHIIRE_RENDO_LIST.W_USER_ID = '1' 
      AND W_SHIIRE_RENDO_LIST.W_SERIAL = '0'
      AND W_SHIIRE_RENDO_LIST.SELECT_FLG = 'True'</v>
      </c>
      <c r="G65" s="12"/>
      <c r="H65" s="13" t="s">
        <v>1318</v>
      </c>
    </row>
    <row r="66" spans="2:8" ht="16.5" customHeight="1">
      <c r="B66" s="14"/>
      <c r="C66" s="191" t="s">
        <v>1301</v>
      </c>
      <c r="D66" s="192"/>
      <c r="E66" s="193"/>
      <c r="F66" s="16" t="s">
        <v>1836</v>
      </c>
      <c r="G66" s="122"/>
      <c r="H66" s="15"/>
    </row>
    <row r="67" spans="2:8" ht="32.25" customHeight="1">
      <c r="B67" s="14"/>
      <c r="C67" s="191" t="s">
        <v>1303</v>
      </c>
      <c r="D67" s="192"/>
      <c r="E67" s="193"/>
      <c r="F67" s="16" t="s">
        <v>1759</v>
      </c>
      <c r="G67" s="122"/>
      <c r="H67" s="15"/>
    </row>
    <row r="68" spans="2:8" ht="15.75" customHeight="1">
      <c r="B68" s="14"/>
      <c r="C68" s="206" t="s">
        <v>1279</v>
      </c>
      <c r="D68" s="192"/>
      <c r="E68" s="193"/>
      <c r="F68" s="16" t="str">
        <f>" WHERE (1=1)" &amp; F69 &amp; F70 &amp; F71</f>
        <v xml:space="preserve"> WHERE (1=1)
      AND W_SHIIRE_RENDO_LIST.W_USER_ID = '1' 
      AND W_SHIIRE_RENDO_LIST.W_SERIAL = '0'
      AND W_SHIIRE_RENDO_LIST.SELECT_FLG = 'True'</v>
      </c>
      <c r="G68" s="122"/>
      <c r="H68" s="129"/>
    </row>
    <row r="69" spans="2:8" ht="15.75" customHeight="1">
      <c r="B69" s="14"/>
      <c r="C69" s="131"/>
      <c r="D69" s="191" t="s">
        <v>1319</v>
      </c>
      <c r="E69" s="193"/>
      <c r="F69" s="20" t="str">
        <f xml:space="preserve"> "
      AND W_SHIIRE_RENDO_LIST.W_USER_ID = '"&amp;UNKB0220_IF_W_USER_ID&amp;"'"</f>
        <v xml:space="preserve">
      AND W_SHIIRE_RENDO_LIST.W_USER_ID = '1'</v>
      </c>
      <c r="G69" s="122"/>
      <c r="H69" s="129"/>
    </row>
    <row r="70" spans="2:8" ht="15.75" customHeight="1">
      <c r="B70" s="14"/>
      <c r="C70" s="132"/>
      <c r="D70" s="191" t="s">
        <v>1320</v>
      </c>
      <c r="E70" s="193"/>
      <c r="F70" s="20" t="str">
        <f>" 
      AND W_SHIIRE_RENDO_LIST.W_SERIAL = '"&amp;UNKB0220_IF_W_SERIAL&amp;"'"</f>
        <v xml:space="preserve"> 
      AND W_SHIIRE_RENDO_LIST.W_SERIAL = '0'</v>
      </c>
      <c r="G70" s="122"/>
      <c r="H70" s="129"/>
    </row>
    <row r="71" spans="2:8" ht="15.75" customHeight="1">
      <c r="B71" s="14"/>
      <c r="C71" s="132"/>
      <c r="D71" s="191" t="s">
        <v>1059</v>
      </c>
      <c r="E71" s="193"/>
      <c r="F71" s="20" t="str">
        <f>"
      AND W_SHIIRE_RENDO_LIST.SELECT_FLG = 'True'"</f>
        <v xml:space="preserve">
      AND W_SHIIRE_RENDO_LIST.SELECT_FLG = 'True'</v>
      </c>
      <c r="G71" s="122"/>
      <c r="H71" s="129"/>
    </row>
    <row r="73" spans="2:8" ht="16.5">
      <c r="B73" s="194" t="s">
        <v>1321</v>
      </c>
      <c r="C73" s="195"/>
      <c r="D73" s="195"/>
      <c r="E73" s="196"/>
      <c r="F73" s="12"/>
      <c r="G73" s="12"/>
      <c r="H73" s="13"/>
    </row>
    <row r="74" spans="2:8" ht="78" customHeight="1">
      <c r="B74" s="18"/>
      <c r="C74" s="234" t="s">
        <v>1322</v>
      </c>
      <c r="D74" s="235"/>
      <c r="E74" s="236"/>
      <c r="F74" s="16" t="s">
        <v>1323</v>
      </c>
      <c r="G74" s="122"/>
      <c r="H74" s="15" t="s">
        <v>1324</v>
      </c>
    </row>
    <row r="77" spans="2:8" ht="18.75">
      <c r="B77" s="194" t="s">
        <v>1325</v>
      </c>
      <c r="C77" s="195"/>
      <c r="D77" s="195"/>
      <c r="E77" s="196"/>
      <c r="F77" s="133"/>
      <c r="G77" s="133"/>
      <c r="H77" s="13" t="s">
        <v>367</v>
      </c>
    </row>
    <row r="78" spans="2:8" ht="66">
      <c r="B78" s="134"/>
      <c r="C78" s="234" t="s">
        <v>1322</v>
      </c>
      <c r="D78" s="235"/>
      <c r="E78" s="236"/>
      <c r="F78" s="135" t="s">
        <v>1820</v>
      </c>
      <c r="G78" s="136"/>
      <c r="H78" s="137" t="s">
        <v>1326</v>
      </c>
    </row>
    <row r="90" ht="18.75" customHeight="1"/>
  </sheetData>
  <mergeCells count="53">
    <mergeCell ref="B45:E45"/>
    <mergeCell ref="C46:E46"/>
    <mergeCell ref="C10:E10"/>
    <mergeCell ref="B5:E5"/>
    <mergeCell ref="B6:E6"/>
    <mergeCell ref="C7:E7"/>
    <mergeCell ref="C8:E8"/>
    <mergeCell ref="B9:E9"/>
    <mergeCell ref="D28:E28"/>
    <mergeCell ref="C11:E11"/>
    <mergeCell ref="B12:E12"/>
    <mergeCell ref="C13:E13"/>
    <mergeCell ref="C14:E14"/>
    <mergeCell ref="B15:E15"/>
    <mergeCell ref="C16:E16"/>
    <mergeCell ref="D17:E17"/>
    <mergeCell ref="D21:E21"/>
    <mergeCell ref="D27:E27"/>
    <mergeCell ref="C52:E52"/>
    <mergeCell ref="D29:E29"/>
    <mergeCell ref="D30:E30"/>
    <mergeCell ref="D31:E31"/>
    <mergeCell ref="D32:E32"/>
    <mergeCell ref="D33:E33"/>
    <mergeCell ref="D34:E34"/>
    <mergeCell ref="D35:E35"/>
    <mergeCell ref="B49:E49"/>
    <mergeCell ref="B50:E50"/>
    <mergeCell ref="C51:E51"/>
    <mergeCell ref="B42:E42"/>
    <mergeCell ref="B43:E43"/>
    <mergeCell ref="C44:E44"/>
    <mergeCell ref="C66:E66"/>
    <mergeCell ref="C53:E53"/>
    <mergeCell ref="C54:E54"/>
    <mergeCell ref="C55:E55"/>
    <mergeCell ref="B58:E58"/>
    <mergeCell ref="B59:E59"/>
    <mergeCell ref="C60:E60"/>
    <mergeCell ref="C61:E61"/>
    <mergeCell ref="B62:E62"/>
    <mergeCell ref="C63:E63"/>
    <mergeCell ref="C64:E64"/>
    <mergeCell ref="B65:E65"/>
    <mergeCell ref="C74:E74"/>
    <mergeCell ref="B77:E77"/>
    <mergeCell ref="C78:E78"/>
    <mergeCell ref="C67:E67"/>
    <mergeCell ref="C68:E68"/>
    <mergeCell ref="D69:E69"/>
    <mergeCell ref="D70:E70"/>
    <mergeCell ref="D71:E71"/>
    <mergeCell ref="B73:E73"/>
  </mergeCells>
  <phoneticPr fontId="2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tabColor rgb="FFFFC000"/>
  </sheetPr>
  <dimension ref="A1:AL56"/>
  <sheetViews>
    <sheetView showGridLines="0" showRowColHeaders="0" topLeftCell="G1" zoomScaleNormal="100" workbookViewId="0">
      <selection activeCell="K6" sqref="K6:N6"/>
    </sheetView>
  </sheetViews>
  <sheetFormatPr defaultRowHeight="16.5"/>
  <cols>
    <col min="1" max="1" width="4.25" hidden="1" customWidth="1"/>
    <col min="2" max="2" width="9.25" hidden="1" customWidth="1"/>
    <col min="3" max="3" width="26.625" hidden="1" customWidth="1"/>
    <col min="4" max="4" width="38.375" hidden="1" customWidth="1"/>
    <col min="5" max="5" width="12.25" hidden="1" customWidth="1"/>
    <col min="6" max="6" width="8.875" hidden="1" customWidth="1"/>
    <col min="7" max="29" width="3.25" style="47" customWidth="1"/>
    <col min="30" max="53" width="3.375" style="47" customWidth="1"/>
    <col min="54" max="16384" width="9" style="47"/>
  </cols>
  <sheetData>
    <row r="1" spans="1:38" s="45" customFormat="1" ht="19.5">
      <c r="A1"/>
      <c r="B1"/>
      <c r="C1"/>
      <c r="D1"/>
      <c r="E1"/>
      <c r="F1"/>
      <c r="G1" s="45" t="s">
        <v>1339</v>
      </c>
    </row>
    <row r="2" spans="1:38" ht="18.75">
      <c r="C2" s="46" t="s">
        <v>970</v>
      </c>
      <c r="D2" s="46" t="s">
        <v>1340</v>
      </c>
      <c r="E2" s="46"/>
    </row>
    <row r="3" spans="1:38" ht="18.75">
      <c r="C3" s="46" t="s">
        <v>972</v>
      </c>
      <c r="D3" s="46" t="s">
        <v>1341</v>
      </c>
      <c r="E3" s="46" t="str">
        <f>ADDRESS(ROW(A1),COLUMN(A1))&amp;":"&amp;ADDRESS(ROW(F1),COLUMN(F1))</f>
        <v>$A$1:$F$1</v>
      </c>
      <c r="J3" s="48" t="s">
        <v>1342</v>
      </c>
      <c r="K3" s="49"/>
      <c r="L3" s="231" t="s">
        <v>1343</v>
      </c>
      <c r="M3" s="231"/>
      <c r="N3" s="231"/>
      <c r="O3" s="50"/>
      <c r="P3" s="231" t="s">
        <v>1344</v>
      </c>
      <c r="Q3" s="231"/>
      <c r="R3" s="231"/>
      <c r="S3" s="50"/>
      <c r="T3" s="232" t="s">
        <v>1345</v>
      </c>
      <c r="U3" s="232"/>
      <c r="V3" s="232"/>
      <c r="W3" s="50"/>
      <c r="X3" s="231"/>
      <c r="Y3" s="231"/>
      <c r="Z3" s="231"/>
      <c r="AA3" s="50"/>
      <c r="AB3" s="231"/>
      <c r="AC3" s="231"/>
      <c r="AD3" s="233"/>
    </row>
    <row r="4" spans="1:38">
      <c r="J4" s="48" t="s">
        <v>1346</v>
      </c>
      <c r="K4" s="49"/>
      <c r="L4" s="176" t="s">
        <v>1347</v>
      </c>
      <c r="M4" s="176"/>
      <c r="N4" s="176"/>
      <c r="O4" s="50"/>
      <c r="P4" s="176" t="s">
        <v>1348</v>
      </c>
      <c r="Q4" s="176"/>
      <c r="R4" s="176"/>
      <c r="S4" s="50"/>
      <c r="T4" s="176" t="s">
        <v>1349</v>
      </c>
      <c r="U4" s="177"/>
      <c r="V4" s="177"/>
      <c r="W4" s="50"/>
      <c r="X4" s="179" t="s">
        <v>1350</v>
      </c>
      <c r="Y4" s="180"/>
      <c r="Z4" s="180"/>
      <c r="AA4" s="50"/>
      <c r="AB4" s="179" t="s">
        <v>1830</v>
      </c>
      <c r="AC4" s="180"/>
      <c r="AD4" s="178"/>
    </row>
    <row r="5" spans="1:38" ht="18.75">
      <c r="C5" s="51" t="s">
        <v>983</v>
      </c>
      <c r="E5" s="52" t="s">
        <v>1351</v>
      </c>
    </row>
    <row r="6" spans="1:38" ht="19.5" thickBot="1">
      <c r="B6" s="53" t="s">
        <v>1352</v>
      </c>
      <c r="C6" s="53" t="s">
        <v>986</v>
      </c>
      <c r="D6" s="53" t="s">
        <v>1353</v>
      </c>
      <c r="E6" s="54" t="s">
        <v>988</v>
      </c>
      <c r="J6" s="48" t="s">
        <v>1866</v>
      </c>
      <c r="K6" s="253"/>
      <c r="L6" s="253"/>
      <c r="M6" s="253"/>
      <c r="N6" s="253"/>
      <c r="O6" s="55" t="s">
        <v>1354</v>
      </c>
      <c r="P6" s="253"/>
      <c r="Q6" s="253"/>
      <c r="R6" s="253"/>
      <c r="S6" s="253"/>
      <c r="W6" s="48" t="s">
        <v>1355</v>
      </c>
      <c r="X6" s="222"/>
      <c r="Y6" s="223"/>
      <c r="Z6" s="223"/>
      <c r="AA6" s="224"/>
      <c r="AB6" s="225" t="str">
        <f>IF(UNNH0090_H_SEIKYUSAKI_CD="","",UNNH0090_H_SEIKYUSAKI_MEI)</f>
        <v/>
      </c>
      <c r="AC6" s="249"/>
      <c r="AD6" s="249"/>
      <c r="AE6" s="249"/>
      <c r="AF6" s="249"/>
      <c r="AG6" s="249"/>
      <c r="AH6" s="249"/>
      <c r="AI6" s="249"/>
      <c r="AJ6" s="249"/>
      <c r="AK6" s="249"/>
      <c r="AL6" s="250"/>
    </row>
    <row r="7" spans="1:38" ht="18.75">
      <c r="B7" s="213" t="s">
        <v>1356</v>
      </c>
      <c r="C7" s="56" t="s">
        <v>1357</v>
      </c>
      <c r="D7" s="57" t="s">
        <v>1358</v>
      </c>
      <c r="E7" s="139" t="b">
        <v>1</v>
      </c>
      <c r="J7" s="48" t="s">
        <v>1359</v>
      </c>
      <c r="K7" s="240"/>
      <c r="L7" s="241"/>
      <c r="M7" s="241"/>
      <c r="N7" s="242"/>
      <c r="O7" s="55" t="s">
        <v>1360</v>
      </c>
      <c r="P7" s="240"/>
      <c r="Q7" s="241"/>
      <c r="R7" s="241"/>
      <c r="S7" s="242"/>
      <c r="W7" s="48" t="s">
        <v>1361</v>
      </c>
      <c r="X7" s="243"/>
      <c r="Y7" s="244"/>
      <c r="Z7" s="244"/>
      <c r="AA7" s="244"/>
      <c r="AB7" s="244"/>
      <c r="AC7" s="244"/>
      <c r="AD7" s="244"/>
      <c r="AE7" s="244"/>
      <c r="AF7" s="244"/>
      <c r="AG7" s="244"/>
      <c r="AH7" s="244"/>
      <c r="AI7" s="244"/>
      <c r="AJ7" s="244"/>
      <c r="AK7" s="244"/>
      <c r="AL7" s="245"/>
    </row>
    <row r="8" spans="1:38" ht="18.75">
      <c r="B8" s="214"/>
      <c r="C8" s="56" t="s">
        <v>1362</v>
      </c>
      <c r="D8" s="57" t="s">
        <v>1363</v>
      </c>
      <c r="E8" s="58" t="b">
        <v>1</v>
      </c>
      <c r="J8" s="48" t="s">
        <v>1364</v>
      </c>
      <c r="K8" s="240"/>
      <c r="L8" s="241"/>
      <c r="M8" s="241"/>
      <c r="N8" s="242"/>
      <c r="O8" s="55" t="s">
        <v>1365</v>
      </c>
      <c r="P8" s="240"/>
      <c r="Q8" s="241"/>
      <c r="R8" s="241"/>
      <c r="S8" s="242"/>
      <c r="W8" s="48" t="s">
        <v>1851</v>
      </c>
      <c r="X8" s="246"/>
      <c r="Y8" s="247"/>
      <c r="Z8" s="247"/>
      <c r="AA8" s="248"/>
    </row>
    <row r="9" spans="1:38" ht="18.75">
      <c r="B9" s="215"/>
      <c r="C9" s="56" t="s">
        <v>1366</v>
      </c>
      <c r="D9" s="57" t="s">
        <v>1367</v>
      </c>
      <c r="E9" s="58" t="b">
        <v>1</v>
      </c>
      <c r="J9" s="48" t="s">
        <v>1867</v>
      </c>
      <c r="K9" s="253"/>
      <c r="L9" s="253"/>
      <c r="M9" s="253"/>
      <c r="N9" s="253"/>
      <c r="O9" s="55" t="s">
        <v>990</v>
      </c>
      <c r="P9" s="253"/>
      <c r="Q9" s="253"/>
      <c r="R9" s="253"/>
      <c r="S9" s="253"/>
      <c r="W9" s="48" t="s">
        <v>1372</v>
      </c>
      <c r="X9" s="228"/>
      <c r="Y9" s="229"/>
      <c r="Z9" s="229"/>
      <c r="AA9" s="230"/>
    </row>
    <row r="10" spans="1:38" ht="18.75">
      <c r="B10" s="216" t="s">
        <v>1369</v>
      </c>
      <c r="C10" s="56" t="s">
        <v>1370</v>
      </c>
      <c r="D10" s="57" t="s">
        <v>1371</v>
      </c>
      <c r="E10" s="58" t="b">
        <v>1</v>
      </c>
    </row>
    <row r="11" spans="1:38" ht="18.75">
      <c r="B11" s="217"/>
      <c r="C11" s="56" t="s">
        <v>1373</v>
      </c>
      <c r="D11" s="57" t="s">
        <v>1374</v>
      </c>
      <c r="E11" s="58" t="b">
        <v>1</v>
      </c>
    </row>
    <row r="12" spans="1:38" ht="18.75">
      <c r="B12" s="217"/>
      <c r="C12" s="56" t="s">
        <v>1375</v>
      </c>
      <c r="D12" s="57" t="s">
        <v>1376</v>
      </c>
      <c r="E12" s="58" t="b">
        <v>1</v>
      </c>
      <c r="J12" s="48" t="s">
        <v>1377</v>
      </c>
      <c r="K12" s="211"/>
      <c r="L12" s="211"/>
      <c r="M12" s="211"/>
      <c r="N12" s="211"/>
      <c r="O12" s="59" t="str">
        <f>IF(UNNH0090_H_FREEWD_KBN=1,"AND",IF(UNNH0090_H_FREEWD_KBN=2,"OR","NAND"))</f>
        <v>AND</v>
      </c>
      <c r="P12" s="211"/>
      <c r="Q12" s="211"/>
      <c r="R12" s="211"/>
      <c r="S12" s="211"/>
      <c r="T12" s="59" t="str">
        <f>UNNH0090_H_FREEWD_KBN_DISP</f>
        <v>AND</v>
      </c>
      <c r="U12" s="211"/>
      <c r="V12" s="211"/>
      <c r="W12" s="211"/>
      <c r="X12" s="211"/>
    </row>
    <row r="13" spans="1:38" ht="18.75">
      <c r="B13" s="217"/>
      <c r="C13" s="56" t="s">
        <v>1378</v>
      </c>
      <c r="D13" s="57" t="s">
        <v>1379</v>
      </c>
      <c r="E13" s="58" t="b">
        <v>1</v>
      </c>
    </row>
    <row r="14" spans="1:38" ht="18.75">
      <c r="B14" s="218"/>
      <c r="C14" s="56" t="s">
        <v>1380</v>
      </c>
      <c r="D14" s="57" t="s">
        <v>1381</v>
      </c>
      <c r="E14" s="58" t="b">
        <v>1</v>
      </c>
    </row>
    <row r="15" spans="1:38" ht="18.75">
      <c r="B15" s="60" t="s">
        <v>1382</v>
      </c>
      <c r="C15" s="56" t="s">
        <v>1383</v>
      </c>
      <c r="D15" s="57" t="s">
        <v>1384</v>
      </c>
      <c r="E15" s="58"/>
    </row>
    <row r="16" spans="1:38" ht="18.75">
      <c r="B16" s="60" t="s">
        <v>1382</v>
      </c>
      <c r="C16" s="61" t="s">
        <v>1385</v>
      </c>
      <c r="D16" s="62" t="s">
        <v>1386</v>
      </c>
      <c r="E16" s="63"/>
    </row>
    <row r="17" spans="1:6" ht="18.75">
      <c r="B17" s="140" t="s">
        <v>1382</v>
      </c>
      <c r="C17" s="141" t="s">
        <v>1387</v>
      </c>
      <c r="D17" s="142" t="s">
        <v>1388</v>
      </c>
      <c r="E17" s="143"/>
    </row>
    <row r="18" spans="1:6" ht="19.5" thickBot="1">
      <c r="B18" s="60" t="s">
        <v>1382</v>
      </c>
      <c r="C18" s="61" t="s">
        <v>1012</v>
      </c>
      <c r="D18" s="62" t="s">
        <v>1389</v>
      </c>
      <c r="E18" s="64">
        <v>1</v>
      </c>
    </row>
    <row r="19" spans="1:6" ht="18.75">
      <c r="B19" s="60" t="s">
        <v>1382</v>
      </c>
      <c r="C19" s="61" t="s">
        <v>1853</v>
      </c>
      <c r="D19" s="61" t="s">
        <v>1852</v>
      </c>
      <c r="E19" s="188" t="str">
        <f ca="1">IF(UNNH0090_H_SHIMEBI="","",VLOOKUP(UNNH0090_H_SHIMEBI,OFFSET(UNNH0090_IF_LIST_SHIMEBI_START,0,0,UNNH0090_IF_LIST_SHIMEBI_KENSU,2),2,0))</f>
        <v/>
      </c>
    </row>
    <row r="20" spans="1:6">
      <c r="A20" s="189"/>
      <c r="B20" s="189"/>
      <c r="C20" s="189"/>
      <c r="D20" s="189"/>
      <c r="E20" s="189"/>
      <c r="F20" s="189"/>
    </row>
    <row r="21" spans="1:6">
      <c r="A21" s="189"/>
      <c r="B21" s="189"/>
      <c r="C21" s="189"/>
      <c r="D21" s="189"/>
      <c r="E21" s="189"/>
      <c r="F21" s="189"/>
    </row>
    <row r="23" spans="1:6">
      <c r="C23" s="212" t="s">
        <v>1014</v>
      </c>
      <c r="D23" s="212"/>
    </row>
    <row r="24" spans="1:6">
      <c r="C24" s="65" t="s">
        <v>1015</v>
      </c>
      <c r="D24" s="65" t="s">
        <v>1016</v>
      </c>
      <c r="E24" s="65" t="s">
        <v>1017</v>
      </c>
    </row>
    <row r="25" spans="1:6" ht="18.75">
      <c r="C25" s="56" t="s">
        <v>1357</v>
      </c>
      <c r="D25" s="56" t="s">
        <v>1390</v>
      </c>
      <c r="E25" s="60" t="b">
        <v>1</v>
      </c>
    </row>
    <row r="26" spans="1:6" ht="18.75">
      <c r="C26" s="56" t="s">
        <v>1362</v>
      </c>
      <c r="D26" s="56" t="s">
        <v>1391</v>
      </c>
      <c r="E26" s="60" t="b">
        <v>1</v>
      </c>
    </row>
    <row r="27" spans="1:6" ht="18.75">
      <c r="C27" s="56" t="s">
        <v>1366</v>
      </c>
      <c r="D27" s="56" t="s">
        <v>1392</v>
      </c>
      <c r="E27" s="60" t="b">
        <v>1</v>
      </c>
    </row>
    <row r="28" spans="1:6" ht="18.75">
      <c r="C28" s="56" t="s">
        <v>1370</v>
      </c>
      <c r="D28" s="56" t="s">
        <v>1393</v>
      </c>
      <c r="E28" s="60" t="b">
        <v>1</v>
      </c>
    </row>
    <row r="29" spans="1:6" ht="18.75">
      <c r="C29" s="56" t="s">
        <v>1373</v>
      </c>
      <c r="D29" s="56" t="s">
        <v>1394</v>
      </c>
      <c r="E29" s="60" t="b">
        <v>1</v>
      </c>
    </row>
    <row r="30" spans="1:6" ht="18.75">
      <c r="C30" s="56" t="s">
        <v>1375</v>
      </c>
      <c r="D30" s="56" t="s">
        <v>1395</v>
      </c>
      <c r="E30" s="60" t="b">
        <v>1</v>
      </c>
    </row>
    <row r="31" spans="1:6" ht="18.75">
      <c r="C31" s="56" t="s">
        <v>1378</v>
      </c>
      <c r="D31" s="56" t="s">
        <v>1396</v>
      </c>
      <c r="E31" s="60" t="b">
        <v>1</v>
      </c>
    </row>
    <row r="32" spans="1:6" ht="18.75">
      <c r="C32" s="56" t="s">
        <v>1397</v>
      </c>
      <c r="D32" s="56" t="s">
        <v>1398</v>
      </c>
      <c r="E32" s="60" t="b">
        <v>1</v>
      </c>
    </row>
    <row r="33" spans="1:6" ht="18.75">
      <c r="C33" s="61" t="s">
        <v>1399</v>
      </c>
      <c r="D33" s="56" t="s">
        <v>1400</v>
      </c>
      <c r="E33" s="60"/>
    </row>
    <row r="34" spans="1:6" ht="18.75">
      <c r="C34" s="61" t="s">
        <v>1401</v>
      </c>
      <c r="D34" s="56" t="s">
        <v>1402</v>
      </c>
      <c r="E34" s="60"/>
    </row>
    <row r="35" spans="1:6" ht="18.75">
      <c r="C35" s="61" t="s">
        <v>1403</v>
      </c>
      <c r="D35" s="61" t="s">
        <v>1404</v>
      </c>
      <c r="E35" s="60"/>
    </row>
    <row r="36" spans="1:6" ht="18.75">
      <c r="C36" s="61" t="s">
        <v>1405</v>
      </c>
      <c r="D36" s="61" t="s">
        <v>1406</v>
      </c>
      <c r="E36" s="60"/>
    </row>
    <row r="37" spans="1:6" ht="18.75">
      <c r="C37" s="61" t="s">
        <v>1407</v>
      </c>
      <c r="D37" s="61" t="s">
        <v>1408</v>
      </c>
      <c r="E37" s="60"/>
    </row>
    <row r="38" spans="1:6" ht="18.75">
      <c r="C38" s="61" t="s">
        <v>1409</v>
      </c>
      <c r="D38" s="61" t="s">
        <v>1410</v>
      </c>
      <c r="E38" s="60"/>
    </row>
    <row r="39" spans="1:6" ht="18.75">
      <c r="C39" s="186" t="s">
        <v>1411</v>
      </c>
      <c r="D39" s="186" t="s">
        <v>1412</v>
      </c>
      <c r="E39" s="172"/>
    </row>
    <row r="40" spans="1:6" ht="18.75">
      <c r="C40" s="186" t="s">
        <v>1413</v>
      </c>
      <c r="D40" s="186" t="s">
        <v>1414</v>
      </c>
      <c r="E40" s="172"/>
    </row>
    <row r="41" spans="1:6" ht="18.75">
      <c r="C41" s="61" t="s">
        <v>1415</v>
      </c>
      <c r="D41" s="61" t="s">
        <v>1416</v>
      </c>
      <c r="E41" s="60"/>
    </row>
    <row r="42" spans="1:6" ht="18.75">
      <c r="C42" s="61" t="s">
        <v>1417</v>
      </c>
      <c r="D42" s="61" t="s">
        <v>1418</v>
      </c>
      <c r="E42" s="60"/>
    </row>
    <row r="43" spans="1:6" ht="18.75">
      <c r="C43" s="61" t="s">
        <v>1419</v>
      </c>
      <c r="D43" s="61" t="s">
        <v>1420</v>
      </c>
      <c r="E43" s="60"/>
    </row>
    <row r="44" spans="1:6" ht="18.75">
      <c r="C44" s="61" t="s">
        <v>1421</v>
      </c>
      <c r="D44" s="61" t="s">
        <v>1422</v>
      </c>
      <c r="E44" s="60"/>
    </row>
    <row r="45" spans="1:6" ht="18.75">
      <c r="C45" s="61" t="s">
        <v>1423</v>
      </c>
      <c r="D45" s="61" t="s">
        <v>1424</v>
      </c>
      <c r="E45" s="60"/>
    </row>
    <row r="46" spans="1:6" ht="18.75">
      <c r="C46" s="61" t="s">
        <v>1425</v>
      </c>
      <c r="D46" s="61" t="s">
        <v>1426</v>
      </c>
      <c r="E46" s="60"/>
    </row>
    <row r="47" spans="1:6" ht="18.75">
      <c r="C47" s="61" t="s">
        <v>1427</v>
      </c>
      <c r="D47" s="61" t="s">
        <v>1428</v>
      </c>
      <c r="E47" s="60"/>
    </row>
    <row r="48" spans="1:6" ht="18.75">
      <c r="A48" s="189"/>
      <c r="B48" s="189"/>
      <c r="C48" s="61" t="s">
        <v>1853</v>
      </c>
      <c r="D48" s="61" t="s">
        <v>1854</v>
      </c>
      <c r="E48" s="60"/>
      <c r="F48" s="189"/>
    </row>
    <row r="49" spans="3:5" ht="18.75">
      <c r="C49" s="46" t="s">
        <v>1429</v>
      </c>
      <c r="D49" s="46" t="s">
        <v>1430</v>
      </c>
      <c r="E49" s="60"/>
    </row>
    <row r="50" spans="3:5" ht="18.75">
      <c r="C50" s="46" t="s">
        <v>1049</v>
      </c>
      <c r="D50" s="46" t="s">
        <v>1431</v>
      </c>
      <c r="E50" s="60"/>
    </row>
    <row r="51" spans="3:5" ht="18.75">
      <c r="C51" s="46" t="s">
        <v>1051</v>
      </c>
      <c r="D51" s="46" t="s">
        <v>1432</v>
      </c>
      <c r="E51" s="60"/>
    </row>
    <row r="52" spans="3:5" ht="18.75">
      <c r="C52" s="61" t="s">
        <v>1012</v>
      </c>
      <c r="D52" s="61" t="s">
        <v>1433</v>
      </c>
      <c r="E52" s="60">
        <v>1</v>
      </c>
    </row>
    <row r="54" spans="3:5">
      <c r="C54" s="67"/>
      <c r="D54" s="67"/>
      <c r="E54" s="67"/>
    </row>
    <row r="55" spans="3:5">
      <c r="C55" s="183" t="s">
        <v>1368</v>
      </c>
      <c r="D55" s="184"/>
    </row>
    <row r="56" spans="3:5">
      <c r="C56" s="185"/>
      <c r="D56" s="184"/>
    </row>
  </sheetData>
  <sheetProtection sheet="1" objects="1" scenarios="1" selectLockedCells="1"/>
  <mergeCells count="24">
    <mergeCell ref="L3:N3"/>
    <mergeCell ref="P3:R3"/>
    <mergeCell ref="T3:V3"/>
    <mergeCell ref="X3:Z3"/>
    <mergeCell ref="AB6:AL6"/>
    <mergeCell ref="AB3:AD3"/>
    <mergeCell ref="X9:AA9"/>
    <mergeCell ref="K12:N12"/>
    <mergeCell ref="P12:S12"/>
    <mergeCell ref="U12:X12"/>
    <mergeCell ref="K6:N6"/>
    <mergeCell ref="P6:S6"/>
    <mergeCell ref="X6:AA6"/>
    <mergeCell ref="K7:N7"/>
    <mergeCell ref="P7:S7"/>
    <mergeCell ref="X7:AL7"/>
    <mergeCell ref="K8:N8"/>
    <mergeCell ref="P8:S8"/>
    <mergeCell ref="X8:AA8"/>
    <mergeCell ref="C23:D23"/>
    <mergeCell ref="B10:B14"/>
    <mergeCell ref="K9:N9"/>
    <mergeCell ref="P9:S9"/>
    <mergeCell ref="B7:B9"/>
  </mergeCells>
  <phoneticPr fontId="2"/>
  <dataValidations count="5">
    <dataValidation type="custom" allowBlank="1" showInputMessage="1" showErrorMessage="1" sqref="X7:AL7">
      <formula1>LEN(X7)&lt;=50</formula1>
    </dataValidation>
    <dataValidation type="custom" allowBlank="1" showInputMessage="1" showErrorMessage="1" sqref="X9:AA9">
      <formula1>AND(LEN(X9)=LENB(X9),LEN(X9)=20)</formula1>
    </dataValidation>
    <dataValidation type="custom" allowBlank="1" showInputMessage="1" showErrorMessage="1" sqref="P7:S8 K7:N8 X6:AA6">
      <formula1>AND(LEN(K6)=LENB(K6),LEN(K6)=10)</formula1>
    </dataValidation>
    <dataValidation type="list" allowBlank="1" showInputMessage="1" showErrorMessage="1" sqref="X8:AA8">
      <formula1>UNNH0090_IF_LIST_SHIMEBI</formula1>
    </dataValidation>
    <dataValidation type="date" allowBlank="1" showInputMessage="1" showErrorMessage="1" sqref="K6:N6 P6:S6 P9:S9 K9:N9">
      <formula1>36526</formula1>
      <formula2>73415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>
                <anchor moveWithCells="1" sizeWithCells="1">
                  <from>
                    <xdr:col>3</xdr:col>
                    <xdr:colOff>676275</xdr:colOff>
                    <xdr:row>21</xdr:row>
                    <xdr:rowOff>47625</xdr:rowOff>
                  </from>
                  <to>
                    <xdr:col>3</xdr:col>
                    <xdr:colOff>1619250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10</xdr:col>
                    <xdr:colOff>66675</xdr:colOff>
                    <xdr:row>2</xdr:row>
                    <xdr:rowOff>19050</xdr:rowOff>
                  </from>
                  <to>
                    <xdr:col>13</xdr:col>
                    <xdr:colOff>190500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14</xdr:col>
                    <xdr:colOff>66675</xdr:colOff>
                    <xdr:row>2</xdr:row>
                    <xdr:rowOff>28575</xdr:rowOff>
                  </from>
                  <to>
                    <xdr:col>17</xdr:col>
                    <xdr:colOff>190500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18</xdr:col>
                    <xdr:colOff>66675</xdr:colOff>
                    <xdr:row>2</xdr:row>
                    <xdr:rowOff>28575</xdr:rowOff>
                  </from>
                  <to>
                    <xdr:col>21</xdr:col>
                    <xdr:colOff>190500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10</xdr:col>
                    <xdr:colOff>66675</xdr:colOff>
                    <xdr:row>3</xdr:row>
                    <xdr:rowOff>9525</xdr:rowOff>
                  </from>
                  <to>
                    <xdr:col>13</xdr:col>
                    <xdr:colOff>66675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14</xdr:col>
                    <xdr:colOff>66675</xdr:colOff>
                    <xdr:row>3</xdr:row>
                    <xdr:rowOff>9525</xdr:rowOff>
                  </from>
                  <to>
                    <xdr:col>17</xdr:col>
                    <xdr:colOff>57150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Check Box 7">
              <controlPr defaultSize="0" autoFill="0" autoLine="0" autoPict="0">
                <anchor moveWithCells="1">
                  <from>
                    <xdr:col>18</xdr:col>
                    <xdr:colOff>66675</xdr:colOff>
                    <xdr:row>3</xdr:row>
                    <xdr:rowOff>9525</xdr:rowOff>
                  </from>
                  <to>
                    <xdr:col>20</xdr:col>
                    <xdr:colOff>180975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Check Box 8">
              <controlPr defaultSize="0" autoFill="0" autoLine="0" autoPict="0">
                <anchor moveWithCells="1">
                  <from>
                    <xdr:col>22</xdr:col>
                    <xdr:colOff>66675</xdr:colOff>
                    <xdr:row>3</xdr:row>
                    <xdr:rowOff>9525</xdr:rowOff>
                  </from>
                  <to>
                    <xdr:col>24</xdr:col>
                    <xdr:colOff>171450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2" name="Option Button 10">
              <controlPr defaultSize="0" autoFill="0" autoLine="0" autoPict="0">
                <anchor moveWithCells="1">
                  <from>
                    <xdr:col>24</xdr:col>
                    <xdr:colOff>228600</xdr:colOff>
                    <xdr:row>11</xdr:row>
                    <xdr:rowOff>9525</xdr:rowOff>
                  </from>
                  <to>
                    <xdr:col>27</xdr:col>
                    <xdr:colOff>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3" name="Option Button 11">
              <controlPr defaultSize="0" autoFill="0" autoLine="0" autoPict="0">
                <anchor moveWithCells="1">
                  <from>
                    <xdr:col>27</xdr:col>
                    <xdr:colOff>28575</xdr:colOff>
                    <xdr:row>11</xdr:row>
                    <xdr:rowOff>19050</xdr:rowOff>
                  </from>
                  <to>
                    <xdr:col>28</xdr:col>
                    <xdr:colOff>200025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4" name="Option Button 12">
              <controlPr defaultSize="0" autoFill="0" autoLine="0" autoPict="0">
                <anchor moveWithCells="1">
                  <from>
                    <xdr:col>28</xdr:col>
                    <xdr:colOff>228600</xdr:colOff>
                    <xdr:row>11</xdr:row>
                    <xdr:rowOff>19050</xdr:rowOff>
                  </from>
                  <to>
                    <xdr:col>31</xdr:col>
                    <xdr:colOff>95250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5" name="Check Box 13">
              <controlPr defaultSize="0" autoFill="0" autoLine="0" autoPict="0">
                <anchor moveWithCells="1">
                  <from>
                    <xdr:col>26</xdr:col>
                    <xdr:colOff>66675</xdr:colOff>
                    <xdr:row>3</xdr:row>
                    <xdr:rowOff>9525</xdr:rowOff>
                  </from>
                  <to>
                    <xdr:col>28</xdr:col>
                    <xdr:colOff>171450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C000"/>
  </sheetPr>
  <dimension ref="A1:AI37"/>
  <sheetViews>
    <sheetView showGridLines="0" showRowColHeaders="0" topLeftCell="F15" zoomScaleNormal="100" workbookViewId="0">
      <selection sqref="A1:E1 H1:L1 T1 AE1:AI1"/>
    </sheetView>
  </sheetViews>
  <sheetFormatPr defaultRowHeight="18.75" customHeight="1"/>
  <cols>
    <col min="1" max="1" width="9" style="67" hidden="1" customWidth="1"/>
    <col min="2" max="2" width="13.25" style="67" hidden="1" customWidth="1"/>
    <col min="3" max="3" width="30.625" style="67" hidden="1" customWidth="1"/>
    <col min="4" max="4" width="13.375" style="67" hidden="1" customWidth="1"/>
    <col min="5" max="5" width="9" style="67" hidden="1" customWidth="1"/>
    <col min="6" max="6" width="3.375" style="47" customWidth="1"/>
    <col min="7" max="7" width="3.75" style="47" customWidth="1"/>
    <col min="8" max="12" width="3.75" style="47" hidden="1" customWidth="1"/>
    <col min="13" max="13" width="11" style="47" customWidth="1"/>
    <col min="14" max="14" width="9.625" style="47" bestFit="1" customWidth="1"/>
    <col min="15" max="15" width="9.625" style="47" customWidth="1"/>
    <col min="16" max="16" width="18.125" style="47" customWidth="1"/>
    <col min="17" max="17" width="18" style="47" customWidth="1"/>
    <col min="18" max="18" width="9.375" style="47" customWidth="1"/>
    <col min="19" max="19" width="12.5" style="47" bestFit="1" customWidth="1"/>
    <col min="20" max="20" width="12.5" style="47" hidden="1" customWidth="1"/>
    <col min="21" max="21" width="12.5" style="47" bestFit="1" customWidth="1"/>
    <col min="22" max="22" width="12.375" style="47" customWidth="1"/>
    <col min="23" max="23" width="11" style="47" customWidth="1"/>
    <col min="24" max="24" width="6.375" style="47" bestFit="1" customWidth="1"/>
    <col min="25" max="25" width="11" style="47" customWidth="1"/>
    <col min="26" max="27" width="10.875" style="47" customWidth="1"/>
    <col min="28" max="28" width="6.375" style="47" customWidth="1"/>
    <col min="29" max="29" width="12.25" style="47" customWidth="1"/>
    <col min="30" max="30" width="11.75" style="47" customWidth="1"/>
    <col min="31" max="31" width="8.125" style="47" hidden="1" customWidth="1"/>
    <col min="32" max="32" width="9" style="47" hidden="1" customWidth="1"/>
    <col min="33" max="33" width="9.375" style="47" hidden="1" customWidth="1"/>
    <col min="34" max="34" width="8" style="47" hidden="1" customWidth="1"/>
    <col min="35" max="35" width="9" style="47" hidden="1" customWidth="1"/>
    <col min="36" max="16384" width="9" style="47"/>
  </cols>
  <sheetData>
    <row r="1" spans="2:35" ht="1.5" hidden="1" customHeight="1"/>
    <row r="2" spans="2:35" ht="1.5" hidden="1" customHeight="1"/>
    <row r="3" spans="2:35" ht="1.5" hidden="1" customHeight="1"/>
    <row r="4" spans="2:35" ht="1.5" hidden="1" customHeight="1"/>
    <row r="5" spans="2:35" ht="1.5" hidden="1" customHeight="1"/>
    <row r="6" spans="2:35" ht="1.5" hidden="1" customHeight="1"/>
    <row r="7" spans="2:35" ht="1.5" hidden="1" customHeight="1"/>
    <row r="8" spans="2:35" ht="1.5" hidden="1" customHeight="1"/>
    <row r="9" spans="2:35" ht="1.5" hidden="1" customHeight="1"/>
    <row r="10" spans="2:35" ht="1.5" hidden="1" customHeight="1"/>
    <row r="11" spans="2:35" ht="1.5" hidden="1" customHeight="1"/>
    <row r="12" spans="2:35" ht="1.5" hidden="1" customHeight="1"/>
    <row r="13" spans="2:35" ht="1.5" hidden="1" customHeight="1"/>
    <row r="14" spans="2:35" ht="1.5" hidden="1" customHeight="1"/>
    <row r="15" spans="2:35" ht="18.75" customHeight="1">
      <c r="F15" s="47" t="str">
        <f>"("&amp;UNNH0090_B_PAGE_NO&amp;"/"&amp;UNNH0090_B_ALL_PAGE_SU&amp;")"</f>
        <v>(1/1)</v>
      </c>
      <c r="G15" s="68"/>
    </row>
    <row r="16" spans="2:35" ht="18.75" customHeight="1">
      <c r="B16" s="46" t="s">
        <v>970</v>
      </c>
      <c r="C16" s="46" t="s">
        <v>1434</v>
      </c>
      <c r="D16" s="46" t="str">
        <f>ROW(A1)&amp;":"&amp;ROW(A14)</f>
        <v>1:14</v>
      </c>
      <c r="F16" s="175"/>
      <c r="G16" s="80" t="s">
        <v>1055</v>
      </c>
      <c r="H16" s="174" t="s">
        <v>1435</v>
      </c>
      <c r="I16" s="174" t="s">
        <v>1436</v>
      </c>
      <c r="J16" s="174" t="s">
        <v>1057</v>
      </c>
      <c r="K16" s="174" t="s">
        <v>1058</v>
      </c>
      <c r="L16" s="174" t="s">
        <v>1059</v>
      </c>
      <c r="M16" s="80" t="s">
        <v>1437</v>
      </c>
      <c r="N16" s="80" t="s">
        <v>1369</v>
      </c>
      <c r="O16" s="80" t="s">
        <v>1419</v>
      </c>
      <c r="P16" s="80" t="s">
        <v>1421</v>
      </c>
      <c r="Q16" s="80" t="s">
        <v>1438</v>
      </c>
      <c r="R16" s="80" t="s">
        <v>1839</v>
      </c>
      <c r="S16" s="80" t="s">
        <v>1439</v>
      </c>
      <c r="T16" s="174" t="s">
        <v>1440</v>
      </c>
      <c r="U16" s="80" t="s">
        <v>1441</v>
      </c>
      <c r="V16" s="80" t="s">
        <v>1442</v>
      </c>
      <c r="W16" s="80" t="s">
        <v>1063</v>
      </c>
      <c r="X16" s="80" t="s">
        <v>1064</v>
      </c>
      <c r="Y16" s="80" t="s">
        <v>1065</v>
      </c>
      <c r="Z16" s="80" t="s">
        <v>1443</v>
      </c>
      <c r="AA16" s="80" t="s">
        <v>1444</v>
      </c>
      <c r="AB16" s="80" t="s">
        <v>1445</v>
      </c>
      <c r="AC16" s="80" t="s">
        <v>1288</v>
      </c>
      <c r="AD16" s="80" t="s">
        <v>1446</v>
      </c>
      <c r="AE16" s="174" t="s">
        <v>1369</v>
      </c>
      <c r="AF16" s="174" t="s">
        <v>1425</v>
      </c>
      <c r="AG16" s="174" t="s">
        <v>1447</v>
      </c>
      <c r="AH16" s="174" t="s">
        <v>1840</v>
      </c>
      <c r="AI16" s="174" t="s">
        <v>1069</v>
      </c>
    </row>
    <row r="17" spans="2:4" ht="18.75" customHeight="1">
      <c r="B17" s="46" t="s">
        <v>972</v>
      </c>
      <c r="C17" s="46" t="s">
        <v>1448</v>
      </c>
      <c r="D17" s="46" t="str">
        <f>ADDRESS(ROW(A1),COLUMN(A1))&amp;":"&amp;ADDRESS(ROW(E1),COLUMN(E1))&amp;","&amp;ADDRESS(ROW(H1),COLUMN(H1))&amp;":"&amp;ADDRESS(ROW(L1),COLUMN(L1))&amp;","&amp;ADDRESS(ROW(T1),COLUMN(T1))&amp;","&amp;ADDRESS(ROW(AE1),COLUMN(AE1))&amp;"："&amp;ADDRESS(ROW(AI1),COLUMN(AI1))</f>
        <v>$A$1:$E$1,$H$1:$L$1,$T$1,$AE$1：$AI$1</v>
      </c>
    </row>
    <row r="18" spans="2:4" ht="18.75" customHeight="1">
      <c r="B18" s="46" t="s">
        <v>1071</v>
      </c>
      <c r="C18" s="46" t="s">
        <v>1449</v>
      </c>
      <c r="D18" s="46" t="s">
        <v>1671</v>
      </c>
    </row>
    <row r="20" spans="2:4" ht="18.75" customHeight="1">
      <c r="B20" s="46" t="s">
        <v>1073</v>
      </c>
      <c r="C20" s="46" t="s">
        <v>1672</v>
      </c>
      <c r="D20" s="46"/>
    </row>
    <row r="21" spans="2:4" ht="18.75" customHeight="1">
      <c r="B21" s="46" t="s">
        <v>1074</v>
      </c>
      <c r="C21" s="46" t="s">
        <v>1673</v>
      </c>
      <c r="D21" s="46">
        <v>1</v>
      </c>
    </row>
    <row r="22" spans="2:4" ht="18.75" customHeight="1">
      <c r="B22" s="46" t="s">
        <v>1075</v>
      </c>
      <c r="C22" s="46" t="s">
        <v>1674</v>
      </c>
      <c r="D22" s="46">
        <f>IF(OR(UNNH0090_B_ALL_KENSU=0,UNNH0090_B_HYOJI_GYO_SU=0),1,ROUNDUP(UNNH0090_B_ALL_KENSU/UNNH0090_B_HYOJI_GYO_SU,0))</f>
        <v>1</v>
      </c>
    </row>
    <row r="23" spans="2:4" ht="18.75" customHeight="1">
      <c r="B23" s="46" t="s">
        <v>1077</v>
      </c>
      <c r="C23" s="46" t="s">
        <v>1675</v>
      </c>
      <c r="D23" s="46">
        <v>10</v>
      </c>
    </row>
    <row r="24" spans="2:4" ht="18.75" customHeight="1">
      <c r="B24" s="46" t="s">
        <v>1079</v>
      </c>
      <c r="C24" s="46" t="s">
        <v>1676</v>
      </c>
      <c r="D24" s="46">
        <v>2</v>
      </c>
    </row>
    <row r="25" spans="2:4" ht="18.75" customHeight="1">
      <c r="B25" s="70"/>
      <c r="C25" s="71"/>
      <c r="D25" s="70"/>
    </row>
    <row r="26" spans="2:4" ht="18.75" customHeight="1">
      <c r="B26" s="46" t="s">
        <v>1081</v>
      </c>
      <c r="C26" s="46" t="s">
        <v>1450</v>
      </c>
      <c r="D26" s="46" t="str">
        <f>ADDRESS(ROW(UNNH0090_B_SENTAKU)+1,COLUMN(UNNH0090_B_SENTAKU)+1)</f>
        <v>$H$17</v>
      </c>
    </row>
    <row r="27" spans="2:4" ht="18.75" customHeight="1">
      <c r="B27" s="46" t="s">
        <v>1083</v>
      </c>
      <c r="C27" s="46" t="s">
        <v>1451</v>
      </c>
      <c r="D27" s="46" t="str">
        <f>ADDRESS(ROW(UNNH0090_B_SENTAKU)+1+UNNH0090_B_HYOJI_KENSU-1,COLUMN(UNNH0090_B_SENTAKU)+COLUMNS(UNNH0090_IF_LIST_COPY_MOTO)-1)</f>
        <v>$AI$26</v>
      </c>
    </row>
    <row r="28" spans="2:4" ht="18.75" customHeight="1">
      <c r="B28" s="46" t="s">
        <v>1452</v>
      </c>
      <c r="C28" s="46" t="s">
        <v>1453</v>
      </c>
      <c r="D28" s="46" t="b">
        <f>IF(UNNH0090_B_HYOJI_KENSU&lt;&gt;0,TRUE,FALSE)</f>
        <v>1</v>
      </c>
    </row>
    <row r="29" spans="2:4" ht="18.75" customHeight="1">
      <c r="B29" s="46" t="s">
        <v>1087</v>
      </c>
      <c r="C29" s="46" t="s">
        <v>1454</v>
      </c>
      <c r="D29" s="46" t="str">
        <f>IF(UNNH0090_B_HYOJI_KENSU=0,"",ADDRESS(ROW(UNNH0090_B_SENTAKU)+1,COLUMN(UNNH0090_B_SENTAKU))&amp;":"&amp;
ADDRESS(ROW(UNNH0090_B_SENTAKU)+1+UNNH0090_B_HYOJI_KENSU-1,COLUMN(UNNH0090_B_SENTAKU)+COLUMNS(UNNH0090_IF_LIST_COPY_MOTO)-1))</f>
        <v>$G$17:$AI$26</v>
      </c>
    </row>
    <row r="30" spans="2:4" ht="18.75" customHeight="1">
      <c r="B30" s="46" t="s">
        <v>1455</v>
      </c>
      <c r="C30" s="46" t="s">
        <v>1456</v>
      </c>
      <c r="D30" s="46" t="str">
        <f>IF(UNNH0090_B_HYOJI_KENSU=0,"",ADDRESS(ROW(UNNH0090_B_SENTAKU)+1,COLUMN(UNNH0090_B_SENTAKU))&amp;":"&amp;ADDRESS(ROW(UNNH0090_B_SENTAKU)+1+UNNH0090_B_HYOJI_KENSU-1,COLUMN(UNNH0090_B_SENTAKU)))</f>
        <v>$G$17:$G$26</v>
      </c>
    </row>
    <row r="31" spans="2:4" ht="18.75" customHeight="1">
      <c r="B31" s="46" t="s">
        <v>1091</v>
      </c>
      <c r="C31" s="46" t="s">
        <v>1457</v>
      </c>
      <c r="D31" s="46" t="str">
        <f>ADDRESS(ROW(UNNH0090_B_SENTAKU)+1,COLUMN(UNNH0090_B_SENTAKU))&amp;":"&amp;
ADDRESS(ROW(UNNH0090_B_SENTAKU)+1+UNNH0090_B_HYOJI_GYO_SU-1,COLUMN(UNNH0090_B_SENTAKU)+COLUMNS(UNNH0090_IF_LIST_COPY_MOTO)-1)</f>
        <v>$G$17:$AI$18</v>
      </c>
    </row>
    <row r="32" spans="2:4" ht="18.75" customHeight="1">
      <c r="B32" s="46" t="s">
        <v>1093</v>
      </c>
      <c r="C32" s="46" t="s">
        <v>1458</v>
      </c>
      <c r="D32" s="46" t="str">
        <f>ADDRESS(ROW(UNNH0090_B_SENTAKU)+1,COLUMN(UNNH0090_B_SENTAKU)+1)</f>
        <v>$H$17</v>
      </c>
    </row>
    <row r="33" spans="2:4" ht="18.75" customHeight="1">
      <c r="B33" s="70"/>
      <c r="C33" s="71"/>
      <c r="D33" s="70"/>
    </row>
    <row r="34" spans="2:4" ht="18.75" customHeight="1">
      <c r="B34" s="46" t="s">
        <v>1095</v>
      </c>
      <c r="C34" s="46" t="s">
        <v>1459</v>
      </c>
      <c r="D34" s="46">
        <f>UNNH0090_B_PAGE_NO+1</f>
        <v>2</v>
      </c>
    </row>
    <row r="35" spans="2:4" ht="18.75" customHeight="1">
      <c r="B35" s="46" t="s">
        <v>1097</v>
      </c>
      <c r="C35" s="46" t="s">
        <v>1460</v>
      </c>
      <c r="D35" s="46">
        <f>UNNH0090_B_PAGE_NO-1</f>
        <v>0</v>
      </c>
    </row>
    <row r="36" spans="2:4" ht="18.75" customHeight="1">
      <c r="B36" s="46" t="s">
        <v>1099</v>
      </c>
      <c r="C36" s="46" t="s">
        <v>1461</v>
      </c>
      <c r="D36" s="46">
        <f>IF(1&lt;UNNH0090_B_PAGE_NO,1,2)</f>
        <v>2</v>
      </c>
    </row>
    <row r="37" spans="2:4" ht="18.75" customHeight="1">
      <c r="B37" s="46" t="s">
        <v>1101</v>
      </c>
      <c r="C37" s="46" t="s">
        <v>1462</v>
      </c>
      <c r="D37" s="46">
        <f>IF(UNNH0090_B_PAGE_NO&lt;UNNH0090_B_ALL_PAGE_SU,1,2)</f>
        <v>2</v>
      </c>
    </row>
  </sheetData>
  <sheetProtection sheet="1" objects="1" scenarios="1" selectLockedCells="1"/>
  <phoneticPr fontId="2"/>
  <conditionalFormatting sqref="T1:T14">
    <cfRule type="containsText" dxfId="12" priority="8" operator="containsText" text="準備納期外">
      <formula>NOT(ISERROR(SEARCH("準備納期外",T1)))</formula>
    </cfRule>
  </conditionalFormatting>
  <conditionalFormatting sqref="N1:N14">
    <cfRule type="containsText" dxfId="11" priority="7" operator="containsText" text="準備納期外">
      <formula>NOT(ISERROR(SEARCH("準備納期外",N1)))</formula>
    </cfRule>
  </conditionalFormatting>
  <conditionalFormatting sqref="S2:S15">
    <cfRule type="containsText" dxfId="10" priority="6" operator="containsText" text="準備納期外">
      <formula>NOT(ISERROR(SEARCH("準備納期外",S2)))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CT25"/>
  <sheetViews>
    <sheetView topLeftCell="R1" zoomScaleNormal="100" workbookViewId="0">
      <selection activeCell="AL6" sqref="AL6:AO6"/>
    </sheetView>
  </sheetViews>
  <sheetFormatPr defaultRowHeight="13.5"/>
  <cols>
    <col min="1" max="1" width="13.375" customWidth="1"/>
    <col min="2" max="2" width="11.375" customWidth="1"/>
    <col min="3" max="3" width="20.375" customWidth="1"/>
    <col min="4" max="4" width="3.75" customWidth="1"/>
    <col min="6" max="6" width="9.125" customWidth="1"/>
    <col min="8" max="8" width="7.625" customWidth="1"/>
    <col min="15" max="15" width="9" style="167"/>
    <col min="31" max="31" width="9" style="167"/>
    <col min="34" max="34" width="13.625" customWidth="1"/>
    <col min="35" max="35" width="14.25" customWidth="1"/>
    <col min="38" max="38" width="3" customWidth="1"/>
    <col min="39" max="39" width="2.625" customWidth="1"/>
    <col min="40" max="40" width="1.875" customWidth="1"/>
    <col min="41" max="41" width="2.125" customWidth="1"/>
    <col min="42" max="43" width="1.875" customWidth="1"/>
    <col min="44" max="44" width="1.625" customWidth="1"/>
    <col min="45" max="47" width="2.125" customWidth="1"/>
    <col min="48" max="48" width="1.75" customWidth="1"/>
    <col min="49" max="50" width="1.875" customWidth="1"/>
    <col min="51" max="52" width="2.25" customWidth="1"/>
    <col min="53" max="53" width="2.5" customWidth="1"/>
    <col min="54" max="56" width="2.375" customWidth="1"/>
    <col min="57" max="57" width="1.625" customWidth="1"/>
    <col min="58" max="59" width="1.875" customWidth="1"/>
    <col min="60" max="60" width="2.125" customWidth="1"/>
    <col min="61" max="61" width="2.375" customWidth="1"/>
    <col min="62" max="62" width="1.5" customWidth="1"/>
    <col min="63" max="64" width="2" customWidth="1"/>
    <col min="65" max="65" width="2.125" customWidth="1"/>
    <col min="66" max="66" width="2.125" style="167" customWidth="1"/>
    <col min="67" max="67" width="7.625" style="167" customWidth="1"/>
    <col min="68" max="69" width="12.75" style="167" customWidth="1"/>
    <col min="70" max="72" width="7.625" style="167" customWidth="1"/>
    <col min="78" max="78" width="11.375" customWidth="1"/>
    <col min="79" max="79" width="18.125" customWidth="1"/>
    <col min="80" max="80" width="11.25" customWidth="1"/>
    <col min="81" max="81" width="17" customWidth="1"/>
    <col min="82" max="82" width="18.125" customWidth="1"/>
    <col min="83" max="83" width="9.5" style="189" customWidth="1"/>
    <col min="84" max="84" width="11.75" customWidth="1"/>
    <col min="85" max="85" width="14.125" customWidth="1"/>
    <col min="86" max="86" width="13.5" customWidth="1"/>
    <col min="87" max="87" width="18.25" customWidth="1"/>
    <col min="95" max="95" width="11" customWidth="1"/>
    <col min="96" max="96" width="11.875" customWidth="1"/>
    <col min="97" max="97" width="10.5" customWidth="1"/>
    <col min="98" max="98" width="11" customWidth="1"/>
  </cols>
  <sheetData>
    <row r="1" spans="1:98" ht="33.75" customHeight="1"/>
    <row r="2" spans="1:98">
      <c r="A2" s="72" t="s">
        <v>1103</v>
      </c>
      <c r="X2" s="52"/>
      <c r="Y2" s="52"/>
      <c r="Z2" s="52"/>
      <c r="AA2" s="52"/>
      <c r="AB2" s="52"/>
      <c r="AC2" s="52"/>
      <c r="AD2" s="52"/>
      <c r="AE2" s="52"/>
      <c r="AF2" s="52"/>
      <c r="AG2" s="52"/>
      <c r="AH2" s="52"/>
      <c r="AI2" s="52"/>
      <c r="AJ2" s="52"/>
      <c r="AK2" s="73" t="s">
        <v>1104</v>
      </c>
      <c r="AL2" s="52" t="s">
        <v>1463</v>
      </c>
      <c r="BO2" s="72" t="s">
        <v>1841</v>
      </c>
    </row>
    <row r="3" spans="1:98" ht="16.5">
      <c r="D3" s="74" t="s">
        <v>1055</v>
      </c>
      <c r="E3" s="69" t="s">
        <v>936</v>
      </c>
      <c r="F3" s="69" t="s">
        <v>1056</v>
      </c>
      <c r="G3" s="69" t="s">
        <v>1057</v>
      </c>
      <c r="H3" s="69" t="s">
        <v>1058</v>
      </c>
      <c r="I3" s="69" t="s">
        <v>1059</v>
      </c>
      <c r="J3" s="75" t="s">
        <v>1106</v>
      </c>
      <c r="K3" s="74" t="s">
        <v>1369</v>
      </c>
      <c r="L3" s="74" t="s">
        <v>1419</v>
      </c>
      <c r="M3" s="74" t="s">
        <v>1421</v>
      </c>
      <c r="N3" s="74" t="s">
        <v>1438</v>
      </c>
      <c r="O3" s="74" t="s">
        <v>1837</v>
      </c>
      <c r="P3" s="74" t="s">
        <v>1439</v>
      </c>
      <c r="Q3" s="74" t="s">
        <v>1440</v>
      </c>
      <c r="R3" s="74" t="s">
        <v>1441</v>
      </c>
      <c r="S3" s="74" t="s">
        <v>1464</v>
      </c>
      <c r="T3" s="74" t="s">
        <v>1063</v>
      </c>
      <c r="U3" s="74" t="s">
        <v>1064</v>
      </c>
      <c r="V3" s="74" t="s">
        <v>1065</v>
      </c>
      <c r="W3" s="74" t="s">
        <v>1443</v>
      </c>
      <c r="X3" s="74" t="s">
        <v>1444</v>
      </c>
      <c r="Y3" s="74" t="s">
        <v>1445</v>
      </c>
      <c r="Z3" s="74" t="s">
        <v>1288</v>
      </c>
      <c r="AA3" s="74" t="s">
        <v>1446</v>
      </c>
      <c r="AB3" s="69" t="s">
        <v>1369</v>
      </c>
      <c r="AC3" s="69" t="s">
        <v>1425</v>
      </c>
      <c r="AD3" s="69" t="s">
        <v>1447</v>
      </c>
      <c r="AE3" s="69" t="s">
        <v>1838</v>
      </c>
      <c r="AF3" s="69" t="s">
        <v>1069</v>
      </c>
      <c r="AH3" s="72" t="s">
        <v>1107</v>
      </c>
      <c r="AL3" s="253"/>
      <c r="AM3" s="253"/>
      <c r="AN3" s="253"/>
      <c r="AO3" s="253"/>
      <c r="AP3" s="55" t="s">
        <v>1354</v>
      </c>
      <c r="AQ3" s="253"/>
      <c r="AR3" s="253"/>
      <c r="AS3" s="253"/>
      <c r="AT3" s="253"/>
      <c r="AU3" s="47"/>
      <c r="AV3" s="47"/>
      <c r="AW3" s="47"/>
      <c r="AX3" s="48" t="s">
        <v>1355</v>
      </c>
      <c r="AY3" s="222"/>
      <c r="AZ3" s="223"/>
      <c r="BA3" s="223"/>
      <c r="BB3" s="224"/>
      <c r="BC3" s="225" t="str">
        <f>IF(UNNH0090_H_SEIKYUSAKI_CD="","",UNNH0090_H_SEIKYUSAKI_MEI)</f>
        <v/>
      </c>
      <c r="BD3" s="249"/>
      <c r="BE3" s="249"/>
      <c r="BF3" s="249"/>
      <c r="BG3" s="249"/>
      <c r="BH3" s="249"/>
      <c r="BI3" s="249"/>
      <c r="BJ3" s="249"/>
      <c r="BK3" s="249"/>
      <c r="BL3" s="249"/>
      <c r="BM3" s="250"/>
      <c r="BP3" s="43" t="s">
        <v>1842</v>
      </c>
      <c r="BQ3" s="43" t="s">
        <v>1369</v>
      </c>
      <c r="BU3" s="72" t="s">
        <v>1465</v>
      </c>
      <c r="BW3" t="s">
        <v>1108</v>
      </c>
      <c r="BX3" t="s">
        <v>1466</v>
      </c>
      <c r="BZ3" s="76"/>
      <c r="CA3" s="76"/>
      <c r="CB3" s="76"/>
      <c r="CC3" s="76"/>
      <c r="CD3" s="76"/>
      <c r="CE3" s="76"/>
      <c r="CF3" s="77"/>
      <c r="CG3" s="77"/>
      <c r="CH3" s="77"/>
      <c r="CI3" s="76"/>
      <c r="CJ3" s="78"/>
      <c r="CK3" s="78"/>
      <c r="CL3" s="78"/>
      <c r="CM3" s="78"/>
      <c r="CN3" s="78"/>
      <c r="CO3" s="144"/>
      <c r="CP3" s="76"/>
      <c r="CQ3" s="76"/>
      <c r="CR3" s="76"/>
      <c r="CS3" s="76"/>
      <c r="CT3" s="76"/>
    </row>
    <row r="4" spans="1:98" ht="16.5">
      <c r="B4" t="s">
        <v>1110</v>
      </c>
      <c r="C4" s="52" t="s">
        <v>1467</v>
      </c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I4" s="52" t="s">
        <v>1468</v>
      </c>
      <c r="AL4" s="240"/>
      <c r="AM4" s="241"/>
      <c r="AN4" s="241"/>
      <c r="AO4" s="242"/>
      <c r="AP4" s="55" t="s">
        <v>1354</v>
      </c>
      <c r="AQ4" s="240"/>
      <c r="AR4" s="241"/>
      <c r="AS4" s="241"/>
      <c r="AT4" s="242"/>
      <c r="AU4" s="47"/>
      <c r="AV4" s="47"/>
      <c r="AW4" s="47"/>
      <c r="AX4" s="48" t="s">
        <v>1361</v>
      </c>
      <c r="AY4" s="243"/>
      <c r="AZ4" s="244"/>
      <c r="BA4" s="244"/>
      <c r="BB4" s="244"/>
      <c r="BC4" s="244"/>
      <c r="BD4" s="244"/>
      <c r="BE4" s="244"/>
      <c r="BF4" s="244"/>
      <c r="BG4" s="244"/>
      <c r="BH4" s="244"/>
      <c r="BI4" s="244"/>
      <c r="BJ4" s="244"/>
      <c r="BK4" s="244"/>
      <c r="BL4" s="244"/>
      <c r="BM4" s="245"/>
      <c r="BP4" s="43" t="s">
        <v>1843</v>
      </c>
      <c r="BQ4" s="187">
        <v>5</v>
      </c>
      <c r="BZ4" s="80" t="s">
        <v>1469</v>
      </c>
      <c r="CA4" s="80" t="s">
        <v>1470</v>
      </c>
      <c r="CB4" s="80" t="s">
        <v>1419</v>
      </c>
      <c r="CC4" s="80" t="s">
        <v>1471</v>
      </c>
      <c r="CD4" s="80" t="s">
        <v>1472</v>
      </c>
      <c r="CE4" s="80" t="s">
        <v>1837</v>
      </c>
      <c r="CF4" s="80" t="s">
        <v>1473</v>
      </c>
      <c r="CG4" s="80" t="s">
        <v>1474</v>
      </c>
      <c r="CH4" s="80" t="s">
        <v>1475</v>
      </c>
      <c r="CI4" s="80" t="s">
        <v>1476</v>
      </c>
      <c r="CJ4" s="80" t="s">
        <v>1063</v>
      </c>
      <c r="CK4" s="80" t="s">
        <v>1064</v>
      </c>
      <c r="CL4" s="80" t="s">
        <v>1477</v>
      </c>
      <c r="CM4" s="80" t="s">
        <v>1478</v>
      </c>
      <c r="CN4" s="80" t="s">
        <v>1479</v>
      </c>
      <c r="CO4" s="80" t="s">
        <v>1480</v>
      </c>
      <c r="CP4" s="80" t="s">
        <v>1481</v>
      </c>
      <c r="CQ4" s="80" t="s">
        <v>1482</v>
      </c>
      <c r="CR4" s="80" t="s">
        <v>1483</v>
      </c>
      <c r="CS4" s="80" t="s">
        <v>1484</v>
      </c>
      <c r="CT4" s="80" t="s">
        <v>1447</v>
      </c>
    </row>
    <row r="5" spans="1:98" ht="16.5">
      <c r="B5" t="s">
        <v>1126</v>
      </c>
      <c r="C5" s="52" t="s">
        <v>1485</v>
      </c>
      <c r="D5" s="81"/>
      <c r="E5" s="82"/>
      <c r="F5" s="83"/>
      <c r="G5" s="81"/>
      <c r="H5" s="81"/>
      <c r="I5" s="82"/>
      <c r="J5" s="81"/>
      <c r="K5" s="83"/>
      <c r="L5" s="83"/>
      <c r="M5" s="84"/>
      <c r="N5" s="84"/>
      <c r="O5" s="83"/>
      <c r="P5" s="85"/>
      <c r="Q5" s="85"/>
      <c r="R5" s="85"/>
      <c r="S5" s="83"/>
      <c r="T5" s="173"/>
      <c r="U5" s="173"/>
      <c r="V5" s="173"/>
      <c r="W5" s="173"/>
      <c r="X5" s="173"/>
      <c r="Y5" s="145"/>
      <c r="Z5" s="83"/>
      <c r="AA5" s="83"/>
      <c r="AB5" s="83"/>
      <c r="AC5" s="83"/>
      <c r="AD5" s="83"/>
      <c r="AE5" s="83"/>
      <c r="AF5" s="83"/>
      <c r="AH5" s="86" t="s">
        <v>1357</v>
      </c>
      <c r="AI5" s="87" t="b">
        <v>1</v>
      </c>
      <c r="AL5" s="240"/>
      <c r="AM5" s="241"/>
      <c r="AN5" s="241"/>
      <c r="AO5" s="242"/>
      <c r="AP5" s="55" t="s">
        <v>1365</v>
      </c>
      <c r="AQ5" s="240"/>
      <c r="AR5" s="241"/>
      <c r="AS5" s="241"/>
      <c r="AT5" s="242"/>
      <c r="AU5" s="47"/>
      <c r="AV5" s="47"/>
      <c r="AW5" s="47"/>
      <c r="AX5" s="48" t="s">
        <v>1851</v>
      </c>
      <c r="AY5" s="246"/>
      <c r="AZ5" s="247"/>
      <c r="BA5" s="247"/>
      <c r="BB5" s="248"/>
      <c r="BC5" s="47"/>
      <c r="BD5" s="47"/>
      <c r="BE5" s="47"/>
      <c r="BF5" s="47"/>
      <c r="BG5" s="47"/>
      <c r="BH5" s="47"/>
      <c r="BI5" s="47"/>
      <c r="BJ5" s="47"/>
      <c r="BK5" s="47"/>
      <c r="BL5" s="47"/>
      <c r="BM5" s="47"/>
      <c r="BP5" s="43" t="s">
        <v>1846</v>
      </c>
      <c r="BQ5" s="43" t="s">
        <v>1847</v>
      </c>
      <c r="BZ5" s="44"/>
    </row>
    <row r="6" spans="1:98" ht="18.75" customHeight="1">
      <c r="B6" t="s">
        <v>1486</v>
      </c>
      <c r="C6" s="52" t="s">
        <v>1487</v>
      </c>
      <c r="D6" s="88"/>
      <c r="E6" s="89"/>
      <c r="F6" s="89"/>
      <c r="G6" s="90"/>
      <c r="H6" s="90"/>
      <c r="I6" s="91"/>
      <c r="J6" s="91"/>
      <c r="K6" s="91"/>
      <c r="L6" s="91"/>
      <c r="M6" s="91"/>
      <c r="N6" s="91"/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2"/>
      <c r="AA6" s="91"/>
      <c r="AB6" s="92"/>
      <c r="AC6" s="91"/>
      <c r="AD6" s="91"/>
      <c r="AE6" s="91"/>
      <c r="AF6" s="91"/>
      <c r="AH6" s="86" t="s">
        <v>1362</v>
      </c>
      <c r="AI6" s="93" t="b">
        <v>1</v>
      </c>
      <c r="AL6" s="253"/>
      <c r="AM6" s="253"/>
      <c r="AN6" s="253"/>
      <c r="AO6" s="253"/>
      <c r="AP6" s="55" t="s">
        <v>990</v>
      </c>
      <c r="AQ6" s="253"/>
      <c r="AR6" s="253"/>
      <c r="AS6" s="253"/>
      <c r="AT6" s="253"/>
      <c r="AU6" s="47"/>
      <c r="AV6" s="47"/>
      <c r="AW6" s="47"/>
      <c r="AX6" s="48" t="s">
        <v>1372</v>
      </c>
      <c r="AY6" s="228"/>
      <c r="AZ6" s="229"/>
      <c r="BA6" s="229"/>
      <c r="BB6" s="230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P6" s="43" t="s">
        <v>1844</v>
      </c>
      <c r="BQ6" s="43" t="s">
        <v>1845</v>
      </c>
      <c r="BV6" t="s">
        <v>1131</v>
      </c>
      <c r="BW6" s="52" t="s">
        <v>1488</v>
      </c>
      <c r="BX6" s="44">
        <v>1</v>
      </c>
    </row>
    <row r="7" spans="1:98" ht="16.5">
      <c r="AH7" s="67" t="s">
        <v>1366</v>
      </c>
      <c r="AI7" s="93" t="b">
        <v>1</v>
      </c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P7" s="44" t="s">
        <v>1855</v>
      </c>
      <c r="BQ7" s="189">
        <v>0</v>
      </c>
      <c r="BV7" t="s">
        <v>1133</v>
      </c>
      <c r="BW7" t="s">
        <v>1677</v>
      </c>
      <c r="BX7" s="44" t="str">
        <f>IF(UNNH0090_IF_PRINT_COUNT=0,"",
"UNNH0090_IF!"&amp;ADDRESS(ROW(UNNH0090_IF_PRINT_START),COLUMN(UNNH0090_IF_PRINT_START))&amp;":" &amp; ADDRESS(ROW(UNNH0090_IF_PRINT_START)+UNNH0090_IF_PRINT_COUNT-1,COLUMN(UNNH0090_IF_PRINT_START)+COLUMNS(UNNH0090_IF_PRINT_SHOSHIKI_COPY_MOTO)-1))</f>
        <v>UNNH0090_IF!$BZ$5:$CT$5</v>
      </c>
    </row>
    <row r="8" spans="1:98" ht="16.5">
      <c r="A8" s="73" t="s">
        <v>1135</v>
      </c>
      <c r="B8" s="52"/>
      <c r="C8" s="52"/>
      <c r="D8" s="52"/>
      <c r="E8" s="52"/>
      <c r="F8" s="52"/>
      <c r="G8" s="52"/>
      <c r="H8" s="52"/>
      <c r="AH8" s="86" t="s">
        <v>1370</v>
      </c>
      <c r="AI8" s="93" t="b">
        <v>1</v>
      </c>
      <c r="AL8" s="47"/>
      <c r="AM8" s="47"/>
      <c r="AN8" s="47"/>
      <c r="AO8" s="47"/>
      <c r="AP8" s="47"/>
      <c r="AQ8" s="47"/>
      <c r="AR8" s="47"/>
      <c r="AS8" s="47"/>
      <c r="AT8" s="47"/>
      <c r="AU8" s="47"/>
      <c r="AV8" s="47"/>
      <c r="AW8" s="47"/>
      <c r="AX8" s="47"/>
      <c r="AY8" s="47"/>
      <c r="AZ8" s="47"/>
      <c r="BA8" s="47"/>
      <c r="BB8" s="47"/>
      <c r="BC8" s="47"/>
      <c r="BD8" s="47"/>
      <c r="BE8" s="47"/>
      <c r="BF8" s="47"/>
      <c r="BG8" s="47"/>
      <c r="BH8" s="47"/>
      <c r="BI8" s="47"/>
      <c r="BJ8" s="47"/>
      <c r="BK8" s="47"/>
      <c r="BL8" s="47"/>
      <c r="BM8" s="47"/>
      <c r="BP8" s="189" t="s">
        <v>1856</v>
      </c>
      <c r="BQ8" s="189">
        <v>5</v>
      </c>
      <c r="BV8" t="s">
        <v>1136</v>
      </c>
      <c r="BW8" t="s">
        <v>1489</v>
      </c>
      <c r="BX8" s="44" t="b">
        <f>IF(UNNH0090_IF_PRINT_COUNT=0,FALSE,TRUE)</f>
        <v>1</v>
      </c>
    </row>
    <row r="9" spans="1:98" ht="16.5">
      <c r="A9" s="52"/>
      <c r="B9" s="52" t="s">
        <v>1138</v>
      </c>
      <c r="C9" s="52" t="s">
        <v>1490</v>
      </c>
      <c r="D9" s="94"/>
      <c r="E9" s="52" t="s">
        <v>1140</v>
      </c>
      <c r="F9" s="52" t="s">
        <v>1141</v>
      </c>
      <c r="G9" s="52"/>
      <c r="H9" s="52"/>
      <c r="AH9" s="86" t="s">
        <v>1373</v>
      </c>
      <c r="AI9" s="93" t="b">
        <v>1</v>
      </c>
      <c r="AL9" s="211"/>
      <c r="AM9" s="211"/>
      <c r="AN9" s="211"/>
      <c r="AO9" s="211"/>
      <c r="AP9" s="59" t="s">
        <v>1670</v>
      </c>
      <c r="AQ9" s="211"/>
      <c r="AR9" s="211"/>
      <c r="AS9" s="211"/>
      <c r="AT9" s="211"/>
      <c r="AU9" s="59" t="s">
        <v>1670</v>
      </c>
      <c r="AV9" s="211"/>
      <c r="AW9" s="211"/>
      <c r="AX9" s="211"/>
      <c r="AY9" s="211"/>
      <c r="AZ9" s="47"/>
      <c r="BA9" s="47"/>
      <c r="BB9" s="47"/>
      <c r="BC9" s="47"/>
      <c r="BD9" s="47"/>
      <c r="BE9" s="47"/>
      <c r="BF9" s="47"/>
      <c r="BG9" s="47"/>
      <c r="BH9" s="47"/>
      <c r="BI9" s="47"/>
      <c r="BJ9" s="47"/>
      <c r="BK9" s="47"/>
      <c r="BL9" s="47"/>
      <c r="BM9" s="47"/>
      <c r="BP9" s="189" t="s">
        <v>1857</v>
      </c>
      <c r="BQ9" s="189">
        <v>10</v>
      </c>
    </row>
    <row r="10" spans="1:98" ht="16.5">
      <c r="A10" s="52"/>
      <c r="B10" s="52"/>
      <c r="C10" s="52"/>
      <c r="D10" s="52"/>
      <c r="E10" s="52"/>
      <c r="F10" s="52"/>
      <c r="G10" s="52"/>
      <c r="H10" s="52"/>
      <c r="AH10" s="86" t="s">
        <v>1375</v>
      </c>
      <c r="AI10" s="93" t="b">
        <v>1</v>
      </c>
      <c r="BP10" s="189" t="s">
        <v>1858</v>
      </c>
      <c r="BQ10" s="189">
        <v>15</v>
      </c>
      <c r="BV10" t="s">
        <v>1142</v>
      </c>
      <c r="BW10" s="52" t="s">
        <v>1491</v>
      </c>
      <c r="BX10" s="44" t="str">
        <f ca="1">"売上連動_"&amp;TEXT(NOW(),"YYYYMMDD_hhmmss")</f>
        <v>売上連動_20170710 104829</v>
      </c>
    </row>
    <row r="11" spans="1:98" ht="16.5">
      <c r="A11" s="52"/>
      <c r="B11" s="52"/>
      <c r="C11" s="52"/>
      <c r="D11" s="52"/>
      <c r="E11" s="52"/>
      <c r="F11" s="52"/>
      <c r="G11" s="52"/>
      <c r="H11" s="52"/>
      <c r="AH11" s="86" t="s">
        <v>1378</v>
      </c>
      <c r="AI11" s="93" t="b">
        <v>1</v>
      </c>
      <c r="BP11" s="189" t="s">
        <v>1859</v>
      </c>
      <c r="BQ11" s="189">
        <v>20</v>
      </c>
    </row>
    <row r="12" spans="1:98" ht="16.5">
      <c r="A12" s="95" t="s">
        <v>1144</v>
      </c>
      <c r="B12" s="52"/>
      <c r="C12" s="52"/>
      <c r="D12" s="52"/>
      <c r="E12" s="52"/>
      <c r="F12" s="52"/>
      <c r="G12" s="52"/>
      <c r="H12" s="52"/>
      <c r="AH12" s="86" t="s">
        <v>1397</v>
      </c>
      <c r="AI12" s="93" t="b">
        <v>1</v>
      </c>
      <c r="BP12" s="189" t="s">
        <v>1860</v>
      </c>
      <c r="BQ12" s="189">
        <v>25</v>
      </c>
    </row>
    <row r="13" spans="1:98" ht="16.5">
      <c r="A13" s="52" t="s">
        <v>936</v>
      </c>
      <c r="B13" s="52" t="s">
        <v>1492</v>
      </c>
      <c r="C13" s="94">
        <v>1</v>
      </c>
      <c r="E13" s="52"/>
      <c r="F13" s="52"/>
      <c r="G13" s="52"/>
      <c r="H13" s="52"/>
      <c r="AH13" s="86" t="s">
        <v>1383</v>
      </c>
      <c r="AI13" s="93"/>
      <c r="BP13" s="189" t="s">
        <v>1861</v>
      </c>
      <c r="BQ13" s="189">
        <v>31</v>
      </c>
    </row>
    <row r="14" spans="1:98" ht="16.5">
      <c r="A14" s="52" t="s">
        <v>1146</v>
      </c>
      <c r="B14" s="52" t="s">
        <v>1493</v>
      </c>
      <c r="C14" s="181">
        <v>0</v>
      </c>
      <c r="E14" s="52"/>
      <c r="F14" s="52"/>
      <c r="G14" s="52"/>
      <c r="H14" s="52"/>
      <c r="AH14" s="86" t="s">
        <v>1385</v>
      </c>
      <c r="AI14" s="93"/>
    </row>
    <row r="15" spans="1:98" ht="16.5">
      <c r="A15" s="52" t="s">
        <v>1148</v>
      </c>
      <c r="B15" s="52" t="s">
        <v>1494</v>
      </c>
      <c r="C15" s="181">
        <v>0</v>
      </c>
      <c r="E15" s="52"/>
      <c r="F15" s="52"/>
      <c r="G15" s="52"/>
      <c r="H15" s="52"/>
      <c r="AH15" s="86" t="s">
        <v>1495</v>
      </c>
      <c r="AI15" s="93"/>
    </row>
    <row r="16" spans="1:98" ht="16.5">
      <c r="A16" s="52"/>
      <c r="B16" s="52"/>
      <c r="C16" s="52"/>
      <c r="D16" s="52"/>
      <c r="E16" s="52"/>
      <c r="F16" s="52"/>
      <c r="G16" s="52"/>
      <c r="H16" s="52"/>
      <c r="AH16" s="86" t="s">
        <v>1012</v>
      </c>
      <c r="AI16" s="96">
        <v>1</v>
      </c>
    </row>
    <row r="17" spans="1:34" ht="16.5">
      <c r="A17" s="72" t="s">
        <v>1150</v>
      </c>
      <c r="B17" s="52"/>
      <c r="C17" s="97"/>
      <c r="F17" s="52"/>
      <c r="G17" s="52"/>
      <c r="H17" s="52"/>
      <c r="AH17" s="86"/>
    </row>
    <row r="18" spans="1:34" ht="16.5">
      <c r="B18" t="s">
        <v>1151</v>
      </c>
      <c r="C18" s="52" t="s">
        <v>1496</v>
      </c>
      <c r="D18" s="98"/>
      <c r="F18" s="52"/>
      <c r="G18" s="52"/>
      <c r="H18" s="52"/>
      <c r="AH18" s="86"/>
    </row>
    <row r="19" spans="1:34" ht="16.5">
      <c r="B19" t="s">
        <v>1153</v>
      </c>
      <c r="C19" s="52" t="s">
        <v>1497</v>
      </c>
      <c r="D19" s="98"/>
      <c r="F19" s="52"/>
      <c r="G19" s="52"/>
      <c r="H19" s="52"/>
      <c r="AH19" s="86"/>
    </row>
    <row r="20" spans="1:34" ht="16.5">
      <c r="B20" t="s">
        <v>1155</v>
      </c>
      <c r="C20" s="52" t="s">
        <v>1498</v>
      </c>
      <c r="D20" s="98"/>
      <c r="F20" s="52"/>
      <c r="G20" s="52"/>
      <c r="H20" s="52"/>
      <c r="AH20" s="86"/>
    </row>
    <row r="21" spans="1:34" ht="16.5">
      <c r="C21" s="52"/>
      <c r="F21" s="52"/>
      <c r="G21" s="52"/>
      <c r="H21" s="52"/>
      <c r="AH21" s="99"/>
    </row>
    <row r="22" spans="1:34">
      <c r="B22" t="s">
        <v>1157</v>
      </c>
      <c r="C22" s="52" t="s">
        <v>1499</v>
      </c>
      <c r="D22" s="98"/>
      <c r="F22" s="52"/>
      <c r="G22" s="52"/>
      <c r="H22" s="52"/>
    </row>
    <row r="23" spans="1:34">
      <c r="F23" s="52"/>
      <c r="G23" s="52"/>
      <c r="H23" s="52"/>
    </row>
    <row r="24" spans="1:34">
      <c r="A24" s="72"/>
      <c r="F24" s="52"/>
      <c r="G24" s="52"/>
      <c r="H24" s="52"/>
    </row>
    <row r="25" spans="1:34">
      <c r="C25" s="52"/>
    </row>
  </sheetData>
  <mergeCells count="16">
    <mergeCell ref="AL3:AO3"/>
    <mergeCell ref="AQ3:AT3"/>
    <mergeCell ref="AY3:BB3"/>
    <mergeCell ref="BC3:BM3"/>
    <mergeCell ref="AL4:AO4"/>
    <mergeCell ref="AQ4:AT4"/>
    <mergeCell ref="AY4:BM4"/>
    <mergeCell ref="AL9:AO9"/>
    <mergeCell ref="AQ9:AT9"/>
    <mergeCell ref="AV9:AY9"/>
    <mergeCell ref="AL5:AO5"/>
    <mergeCell ref="AQ5:AT5"/>
    <mergeCell ref="AL6:AO6"/>
    <mergeCell ref="AQ6:AT6"/>
    <mergeCell ref="AY6:BB6"/>
    <mergeCell ref="AY5:BB5"/>
  </mergeCells>
  <phoneticPr fontId="2"/>
  <conditionalFormatting sqref="CJ3">
    <cfRule type="expression" dxfId="9" priority="10">
      <formula>INDIRECT(ADDRESS(ROW(),COLUMN()))=TRUNC(INDIRECT(ADDRESS(ROW(),COLUMN())))</formula>
    </cfRule>
  </conditionalFormatting>
  <conditionalFormatting sqref="CK3">
    <cfRule type="expression" dxfId="8" priority="9">
      <formula>INDIRECT(ADDRESS(ROW(),COLUMN()))=TRUNC(INDIRECT(ADDRESS(ROW(),COLUMN())))</formula>
    </cfRule>
  </conditionalFormatting>
  <conditionalFormatting sqref="CL3">
    <cfRule type="expression" dxfId="7" priority="8">
      <formula>INDIRECT(ADDRESS(ROW(),COLUMN()))=TRUNC(INDIRECT(ADDRESS(ROW(),COLUMN())))</formula>
    </cfRule>
  </conditionalFormatting>
  <conditionalFormatting sqref="CM3">
    <cfRule type="expression" dxfId="6" priority="7">
      <formula>INDIRECT(ADDRESS(ROW(),COLUMN()))=TRUNC(INDIRECT(ADDRESS(ROW(),COLUMN())))</formula>
    </cfRule>
  </conditionalFormatting>
  <conditionalFormatting sqref="CN3">
    <cfRule type="expression" dxfId="5" priority="6">
      <formula>INDIRECT(ADDRESS(ROW(),COLUMN()))=TRUNC(INDIRECT(ADDRESS(ROW(),COLUMN())))</formula>
    </cfRule>
  </conditionalFormatting>
  <conditionalFormatting sqref="T5">
    <cfRule type="expression" dxfId="4" priority="5">
      <formula>INDIRECT(ADDRESS(ROW(),COLUMN()))=TRUNC(INDIRECT(ADDRESS(ROW(),COLUMN())))</formula>
    </cfRule>
  </conditionalFormatting>
  <conditionalFormatting sqref="U5">
    <cfRule type="expression" dxfId="3" priority="4">
      <formula>INDIRECT(ADDRESS(ROW(),COLUMN()))=TRUNC(INDIRECT(ADDRESS(ROW(),COLUMN())))</formula>
    </cfRule>
  </conditionalFormatting>
  <conditionalFormatting sqref="V5">
    <cfRule type="expression" dxfId="2" priority="3">
      <formula>INDIRECT(ADDRESS(ROW(),COLUMN()))=TRUNC(INDIRECT(ADDRESS(ROW(),COLUMN())))</formula>
    </cfRule>
  </conditionalFormatting>
  <conditionalFormatting sqref="W5">
    <cfRule type="expression" dxfId="1" priority="2">
      <formula>INDIRECT(ADDRESS(ROW(),COLUMN()))=TRUNC(INDIRECT(ADDRESS(ROW(),COLUMN())))</formula>
    </cfRule>
  </conditionalFormatting>
  <conditionalFormatting sqref="X5">
    <cfRule type="expression" dxfId="0" priority="1">
      <formula>INDIRECT(ADDRESS(ROW(),COLUMN()))=TRUNC(INDIRECT(ADDRESS(ROW(),COLUMN())))</formula>
    </cfRule>
  </conditionalFormatting>
  <dataValidations count="5">
    <dataValidation type="custom" allowBlank="1" showInputMessage="1" showErrorMessage="1" sqref="AY4:BM4">
      <formula1>LEN(AY4)&lt;=50</formula1>
    </dataValidation>
    <dataValidation type="custom" allowBlank="1" showInputMessage="1" showErrorMessage="1" sqref="AQ4:AT5 AL4:AO5 AY3:BB3">
      <formula1>AND(LEN(AL3)=LENB(AL3),LEN(AL3)=10)</formula1>
    </dataValidation>
    <dataValidation type="custom" allowBlank="1" showInputMessage="1" showErrorMessage="1" sqref="AY6:BB6">
      <formula1>AND(LEN(AY6)=LENB(AY6),LEN(AY6)=20)</formula1>
    </dataValidation>
    <dataValidation type="list" allowBlank="1" showInputMessage="1" showErrorMessage="1" sqref="AY5:BB5">
      <formula1>UNNH0090_IF_LIST_SHIMEBI</formula1>
    </dataValidation>
    <dataValidation type="date" allowBlank="1" showInputMessage="1" showErrorMessage="1" sqref="AL3:AO3 AQ3:AT3 AQ6:AT6 AL6:AO6">
      <formula1>36526</formula1>
      <formula2>73415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 macro="[0]!UNNH0090_CLICK_CHECKBOX">
                <anchor moveWithCells="1">
                  <from>
                    <xdr:col>3</xdr:col>
                    <xdr:colOff>38100</xdr:colOff>
                    <xdr:row>5</xdr:row>
                    <xdr:rowOff>28575</xdr:rowOff>
                  </from>
                  <to>
                    <xdr:col>3</xdr:col>
                    <xdr:colOff>247650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EY9"/>
  <sheetViews>
    <sheetView workbookViewId="0">
      <selection activeCell="A12" sqref="A12"/>
    </sheetView>
  </sheetViews>
  <sheetFormatPr defaultRowHeight="13.5"/>
  <cols>
    <col min="1" max="1" width="12.875" style="9" customWidth="1"/>
    <col min="2" max="2" width="10.875" style="9" customWidth="1"/>
    <col min="3" max="3" width="2.5" style="9" customWidth="1"/>
    <col min="4" max="4" width="25.875" style="9" customWidth="1"/>
    <col min="5" max="5" width="9.25" style="9" customWidth="1"/>
    <col min="6" max="6" width="9" style="9"/>
    <col min="7" max="8" width="9.5" style="9" bestFit="1" customWidth="1"/>
    <col min="9" max="9" width="9" style="9"/>
    <col min="10" max="10" width="8.75" style="9" customWidth="1"/>
    <col min="11" max="46" width="9" style="9"/>
    <col min="47" max="47" width="7.625" style="9" customWidth="1"/>
    <col min="48" max="48" width="6.5" style="9" customWidth="1"/>
    <col min="49" max="49" width="9" style="9"/>
    <col min="50" max="50" width="13.25" style="9" customWidth="1"/>
    <col min="51" max="51" width="2.5" style="9" customWidth="1"/>
    <col min="52" max="52" width="13.875" style="9" customWidth="1"/>
    <col min="53" max="114" width="9" style="9"/>
    <col min="115" max="115" width="13.875" style="9" customWidth="1"/>
    <col min="116" max="119" width="9" style="9"/>
    <col min="120" max="120" width="11.625" style="9" bestFit="1" customWidth="1"/>
    <col min="121" max="123" width="9" style="9"/>
    <col min="124" max="124" width="19.875" style="9" bestFit="1" customWidth="1"/>
    <col min="125" max="153" width="9" style="9"/>
    <col min="154" max="154" width="20.75" style="9" customWidth="1"/>
    <col min="155" max="16384" width="9" style="9"/>
  </cols>
  <sheetData>
    <row r="1" spans="1:155" ht="32.25" customHeight="1">
      <c r="A1" s="100" t="s">
        <v>1159</v>
      </c>
    </row>
    <row r="2" spans="1:155" ht="21" customHeight="1">
      <c r="B2" s="100" t="s">
        <v>1160</v>
      </c>
      <c r="C2" s="100"/>
    </row>
    <row r="3" spans="1:155">
      <c r="AX3" s="100" t="s">
        <v>1500</v>
      </c>
      <c r="AY3" s="100"/>
    </row>
    <row r="4" spans="1:155">
      <c r="DJ4" s="9" t="s">
        <v>1712</v>
      </c>
      <c r="DK4" s="33"/>
      <c r="DL4" s="33"/>
      <c r="DM4" s="33"/>
      <c r="DN4" s="33"/>
      <c r="DO4" s="33"/>
      <c r="DP4" s="106"/>
      <c r="DQ4" s="33"/>
      <c r="DR4" s="33"/>
      <c r="DS4" s="33"/>
      <c r="DT4" s="107"/>
      <c r="DU4" s="33"/>
      <c r="DV4" s="33"/>
      <c r="DW4" s="33"/>
      <c r="DX4" s="33"/>
      <c r="DY4" s="106"/>
      <c r="DZ4" s="33"/>
      <c r="EA4" s="33"/>
      <c r="EB4" s="33"/>
      <c r="EC4" s="106"/>
      <c r="ED4" s="33"/>
      <c r="EE4" s="33"/>
      <c r="EF4" s="33"/>
      <c r="EG4" s="33"/>
      <c r="EH4" s="33"/>
      <c r="EI4" s="33"/>
      <c r="EJ4" s="33"/>
      <c r="EK4" s="33"/>
      <c r="EL4" s="33"/>
      <c r="EM4" s="33"/>
      <c r="EN4" s="33"/>
      <c r="EO4" s="33"/>
      <c r="EP4" s="33"/>
      <c r="EQ4" s="33"/>
      <c r="ER4" s="33"/>
      <c r="ES4" s="33"/>
      <c r="ET4" s="33"/>
      <c r="EU4" s="33"/>
      <c r="EV4" s="33"/>
      <c r="EW4" s="33"/>
      <c r="EX4" s="107"/>
      <c r="EY4" s="33"/>
    </row>
    <row r="5" spans="1:155">
      <c r="A5" s="146" t="s">
        <v>1501</v>
      </c>
      <c r="B5" s="147"/>
      <c r="D5" s="110" t="s">
        <v>1502</v>
      </c>
      <c r="E5" s="110" t="s">
        <v>1503</v>
      </c>
      <c r="F5" s="110" t="s">
        <v>1504</v>
      </c>
      <c r="G5" s="148" t="s">
        <v>1505</v>
      </c>
      <c r="H5" s="148" t="s">
        <v>1506</v>
      </c>
      <c r="I5" s="110" t="s">
        <v>1507</v>
      </c>
      <c r="J5" s="148" t="s">
        <v>1508</v>
      </c>
      <c r="K5" s="110" t="s">
        <v>1509</v>
      </c>
      <c r="L5" s="110" t="s">
        <v>1510</v>
      </c>
      <c r="M5" s="110" t="s">
        <v>1511</v>
      </c>
      <c r="N5" s="110" t="s">
        <v>1512</v>
      </c>
      <c r="O5" s="110" t="s">
        <v>1513</v>
      </c>
      <c r="P5" s="110" t="s">
        <v>1514</v>
      </c>
      <c r="Q5" s="110" t="s">
        <v>1515</v>
      </c>
      <c r="R5" s="110" t="s">
        <v>1516</v>
      </c>
      <c r="S5" s="110" t="s">
        <v>1517</v>
      </c>
      <c r="T5" s="110" t="s">
        <v>1518</v>
      </c>
      <c r="U5" s="110" t="s">
        <v>1519</v>
      </c>
      <c r="V5" s="110" t="s">
        <v>1520</v>
      </c>
      <c r="W5" s="110" t="s">
        <v>1521</v>
      </c>
      <c r="X5" s="110" t="s">
        <v>1522</v>
      </c>
      <c r="Y5" s="110" t="s">
        <v>1174</v>
      </c>
      <c r="Z5" s="110" t="s">
        <v>1175</v>
      </c>
      <c r="AA5" s="110" t="s">
        <v>1176</v>
      </c>
      <c r="AB5" s="110" t="s">
        <v>1523</v>
      </c>
      <c r="AC5" s="110" t="s">
        <v>1524</v>
      </c>
      <c r="AD5" s="110" t="s">
        <v>1179</v>
      </c>
      <c r="AE5" s="110" t="s">
        <v>1525</v>
      </c>
      <c r="AF5" s="110" t="s">
        <v>1526</v>
      </c>
      <c r="AG5" s="110" t="s">
        <v>1527</v>
      </c>
      <c r="AH5" s="110" t="s">
        <v>1180</v>
      </c>
      <c r="AI5" s="110" t="s">
        <v>1528</v>
      </c>
      <c r="AJ5" s="110" t="s">
        <v>1529</v>
      </c>
      <c r="AK5" s="110" t="s">
        <v>1229</v>
      </c>
      <c r="AL5" s="110" t="s">
        <v>1530</v>
      </c>
      <c r="AM5" s="110" t="s">
        <v>1231</v>
      </c>
      <c r="AN5" s="110" t="s">
        <v>1531</v>
      </c>
      <c r="AO5" s="110" t="s">
        <v>1532</v>
      </c>
      <c r="AP5" s="110" t="s">
        <v>1234</v>
      </c>
      <c r="AQ5" s="110" t="s">
        <v>1533</v>
      </c>
      <c r="AR5" s="110" t="s">
        <v>1191</v>
      </c>
      <c r="AS5" s="110" t="s">
        <v>1192</v>
      </c>
      <c r="AT5" s="110" t="s">
        <v>1534</v>
      </c>
      <c r="AW5" s="146" t="s">
        <v>1535</v>
      </c>
      <c r="AX5" s="149"/>
      <c r="AZ5" s="110" t="s">
        <v>1502</v>
      </c>
      <c r="BA5" s="110" t="s">
        <v>1536</v>
      </c>
      <c r="BB5" s="110" t="s">
        <v>1537</v>
      </c>
      <c r="BC5" s="110" t="s">
        <v>1538</v>
      </c>
      <c r="BD5" s="110" t="s">
        <v>1539</v>
      </c>
      <c r="BE5" s="110" t="s">
        <v>1540</v>
      </c>
      <c r="BF5" s="110" t="s">
        <v>1541</v>
      </c>
      <c r="BG5" s="110" t="s">
        <v>1542</v>
      </c>
      <c r="BH5" s="110" t="s">
        <v>1543</v>
      </c>
      <c r="BI5" s="110" t="s">
        <v>1544</v>
      </c>
      <c r="BJ5" s="110" t="s">
        <v>1545</v>
      </c>
      <c r="BK5" s="110" t="s">
        <v>1546</v>
      </c>
      <c r="BL5" s="110" t="s">
        <v>1547</v>
      </c>
      <c r="BM5" s="110" t="s">
        <v>1548</v>
      </c>
      <c r="BN5" s="110" t="s">
        <v>1549</v>
      </c>
      <c r="BO5" s="110" t="s">
        <v>1550</v>
      </c>
      <c r="BP5" s="110" t="s">
        <v>1551</v>
      </c>
      <c r="BQ5" s="110" t="s">
        <v>1211</v>
      </c>
      <c r="BR5" s="110" t="s">
        <v>1552</v>
      </c>
      <c r="BS5" s="110" t="s">
        <v>1553</v>
      </c>
      <c r="BT5" s="110" t="s">
        <v>1554</v>
      </c>
      <c r="BU5" s="110" t="s">
        <v>1555</v>
      </c>
      <c r="BV5" s="110" t="s">
        <v>1556</v>
      </c>
      <c r="BW5" s="110" t="s">
        <v>1557</v>
      </c>
      <c r="BX5" s="110" t="s">
        <v>1558</v>
      </c>
      <c r="BY5" s="110" t="s">
        <v>1559</v>
      </c>
      <c r="BZ5" s="110" t="s">
        <v>1560</v>
      </c>
      <c r="CA5" s="110" t="s">
        <v>1561</v>
      </c>
      <c r="CB5" s="110" t="s">
        <v>1562</v>
      </c>
      <c r="CC5" s="110" t="s">
        <v>1216</v>
      </c>
      <c r="CD5" s="110" t="s">
        <v>1563</v>
      </c>
      <c r="CE5" s="110" t="s">
        <v>1564</v>
      </c>
      <c r="CF5" s="110" t="s">
        <v>1565</v>
      </c>
      <c r="CG5" s="110" t="s">
        <v>1220</v>
      </c>
      <c r="CH5" s="110" t="s">
        <v>1221</v>
      </c>
      <c r="CI5" s="110" t="s">
        <v>1566</v>
      </c>
      <c r="CJ5" s="110" t="s">
        <v>1567</v>
      </c>
      <c r="CK5" s="110" t="s">
        <v>1568</v>
      </c>
      <c r="CL5" s="110" t="s">
        <v>1569</v>
      </c>
      <c r="CM5" s="110" t="s">
        <v>1570</v>
      </c>
      <c r="CN5" s="110" t="s">
        <v>1571</v>
      </c>
      <c r="CO5" s="110" t="s">
        <v>1572</v>
      </c>
      <c r="CP5" s="110" t="s">
        <v>1183</v>
      </c>
      <c r="CQ5" s="110" t="s">
        <v>1229</v>
      </c>
      <c r="CR5" s="110" t="s">
        <v>1573</v>
      </c>
      <c r="CS5" s="110" t="s">
        <v>1574</v>
      </c>
      <c r="CT5" s="110" t="s">
        <v>1575</v>
      </c>
      <c r="CU5" s="110" t="s">
        <v>1576</v>
      </c>
      <c r="CV5" s="110" t="s">
        <v>1532</v>
      </c>
      <c r="CW5" s="110" t="s">
        <v>1577</v>
      </c>
      <c r="CX5" s="110" t="s">
        <v>1578</v>
      </c>
      <c r="CY5" s="110" t="s">
        <v>1579</v>
      </c>
      <c r="CZ5" s="110" t="s">
        <v>1192</v>
      </c>
      <c r="DA5" s="110" t="s">
        <v>1534</v>
      </c>
      <c r="DB5" s="110" t="s">
        <v>1580</v>
      </c>
      <c r="DC5" s="110" t="s">
        <v>1581</v>
      </c>
      <c r="DD5" s="110" t="s">
        <v>1582</v>
      </c>
      <c r="DE5" s="110" t="s">
        <v>1583</v>
      </c>
      <c r="DK5" s="112" t="s">
        <v>1502</v>
      </c>
      <c r="DL5" s="113" t="s">
        <v>1584</v>
      </c>
      <c r="DM5" s="112" t="s">
        <v>1585</v>
      </c>
      <c r="DN5" s="113" t="s">
        <v>1755</v>
      </c>
      <c r="DO5" s="113" t="s">
        <v>1756</v>
      </c>
      <c r="DP5" s="113" t="s">
        <v>1505</v>
      </c>
      <c r="DQ5" s="113" t="s">
        <v>1586</v>
      </c>
      <c r="DR5" s="113" t="s">
        <v>1587</v>
      </c>
      <c r="DS5" s="113" t="s">
        <v>1832</v>
      </c>
      <c r="DT5" s="113" t="s">
        <v>1588</v>
      </c>
      <c r="DU5" s="113" t="s">
        <v>1589</v>
      </c>
      <c r="DV5" s="113" t="s">
        <v>1590</v>
      </c>
      <c r="DW5" s="113" t="s">
        <v>1591</v>
      </c>
      <c r="DX5" s="113" t="s">
        <v>1592</v>
      </c>
      <c r="DY5" s="113" t="s">
        <v>1593</v>
      </c>
      <c r="DZ5" s="112" t="s">
        <v>1594</v>
      </c>
      <c r="EA5" s="113" t="s">
        <v>1595</v>
      </c>
      <c r="EB5" s="113" t="s">
        <v>1596</v>
      </c>
      <c r="EC5" s="113" t="s">
        <v>1597</v>
      </c>
      <c r="ED5" s="113" t="s">
        <v>1598</v>
      </c>
      <c r="EE5" s="113" t="s">
        <v>1599</v>
      </c>
      <c r="EF5" s="113" t="s">
        <v>1600</v>
      </c>
      <c r="EG5" s="113" t="s">
        <v>1601</v>
      </c>
      <c r="EH5" s="113" t="s">
        <v>1602</v>
      </c>
      <c r="EI5" s="113" t="s">
        <v>1603</v>
      </c>
      <c r="EJ5" s="113" t="s">
        <v>1604</v>
      </c>
      <c r="EK5" s="113" t="s">
        <v>1605</v>
      </c>
      <c r="EL5" s="113" t="s">
        <v>1606</v>
      </c>
      <c r="EM5" s="113" t="s">
        <v>1607</v>
      </c>
      <c r="EN5" s="113" t="s">
        <v>1608</v>
      </c>
      <c r="EO5" s="113" t="s">
        <v>1609</v>
      </c>
      <c r="EP5" s="113" t="s">
        <v>1610</v>
      </c>
      <c r="EQ5" s="113" t="s">
        <v>1247</v>
      </c>
      <c r="ER5" s="113" t="s">
        <v>1611</v>
      </c>
      <c r="ES5" s="113" t="s">
        <v>1612</v>
      </c>
      <c r="ET5" s="113" t="s">
        <v>1613</v>
      </c>
      <c r="EU5" s="113" t="s">
        <v>1614</v>
      </c>
      <c r="EV5" s="113" t="s">
        <v>1615</v>
      </c>
      <c r="EW5" s="112" t="s">
        <v>1616</v>
      </c>
      <c r="EX5" s="112" t="s">
        <v>1617</v>
      </c>
      <c r="EY5" s="113" t="s">
        <v>1252</v>
      </c>
    </row>
    <row r="6" spans="1:155">
      <c r="A6" s="33" t="s">
        <v>933</v>
      </c>
      <c r="B6" s="147" t="str">
        <f>ADDRESS(ROW(UNNH0090_RENDO_IF_H_START),COLUMN(UNNH0090_RENDO_IF_H_START))&amp;":"&amp;
ADDRESS(ROW(UNNH0090_RENDO_IF_H_START)+UNNH0090_RENDO_IF_H_KENSU,COLUMN(UNNH0090_RENDO_IF_H_START)+42)</f>
        <v>$D$6:$AT$6</v>
      </c>
      <c r="D6" s="8" t="s">
        <v>1618</v>
      </c>
      <c r="E6" s="9">
        <v>4</v>
      </c>
      <c r="F6" s="9">
        <v>0</v>
      </c>
      <c r="G6" s="9">
        <v>20160513</v>
      </c>
      <c r="H6" s="9">
        <v>20160513</v>
      </c>
      <c r="I6" s="9" t="s">
        <v>1714</v>
      </c>
      <c r="J6" s="9" t="s">
        <v>1619</v>
      </c>
      <c r="Y6" s="9" t="s">
        <v>1620</v>
      </c>
      <c r="AA6" s="9" t="s">
        <v>1621</v>
      </c>
      <c r="AC6" s="9" t="s">
        <v>1622</v>
      </c>
      <c r="AW6" s="150" t="s">
        <v>933</v>
      </c>
      <c r="AX6" s="149" t="str">
        <f>ADDRESS(ROW(UNNH0090_RENDO_IF_B_START),COLUMN(UNNH0090_RENDO_IF_B_START))&amp;":"&amp;
ADDRESS(ROW(UNNH0090_RENDO_IF_B_START)+UNNH0090_RENDO_IF_B_KENSU,COLUMN(UNNH0090_RENDO_IF_B_START)+57)</f>
        <v>$AZ$6:$DE$6</v>
      </c>
      <c r="AZ6" s="8" t="s">
        <v>1618</v>
      </c>
      <c r="BA6" s="9" t="s">
        <v>1623</v>
      </c>
      <c r="BG6" s="9" t="s">
        <v>1624</v>
      </c>
      <c r="BU6" s="9" t="s">
        <v>1625</v>
      </c>
      <c r="DK6" s="8" t="s">
        <v>1626</v>
      </c>
      <c r="DL6" s="9">
        <v>1</v>
      </c>
      <c r="DM6" s="9">
        <v>2</v>
      </c>
      <c r="DP6" s="118">
        <v>42507</v>
      </c>
      <c r="DQ6" s="9">
        <v>20</v>
      </c>
      <c r="DR6" s="9">
        <v>166</v>
      </c>
      <c r="DT6" s="119">
        <v>42507.795960648145</v>
      </c>
      <c r="DU6" s="9">
        <v>2</v>
      </c>
      <c r="DV6" s="9" t="s">
        <v>1627</v>
      </c>
      <c r="DY6" s="9">
        <v>42497</v>
      </c>
      <c r="DZ6" s="9">
        <v>3</v>
      </c>
      <c r="EA6" s="9" t="b">
        <v>0</v>
      </c>
      <c r="EB6" s="9" t="s">
        <v>963</v>
      </c>
      <c r="EC6" s="9">
        <v>42592</v>
      </c>
      <c r="ED6" s="9" t="s">
        <v>954</v>
      </c>
      <c r="EE6" s="9" t="s">
        <v>1628</v>
      </c>
      <c r="EF6" s="9" t="s">
        <v>964</v>
      </c>
      <c r="EG6" s="9" t="s">
        <v>81</v>
      </c>
      <c r="EH6" s="9" t="s">
        <v>965</v>
      </c>
      <c r="EI6" s="9" t="s">
        <v>966</v>
      </c>
      <c r="EK6" s="9" t="s">
        <v>967</v>
      </c>
      <c r="EL6" s="9" t="s">
        <v>968</v>
      </c>
      <c r="EO6" s="9" t="b">
        <v>0</v>
      </c>
      <c r="EP6" s="9">
        <v>0</v>
      </c>
      <c r="EQ6" s="9">
        <v>5500</v>
      </c>
      <c r="ER6" s="9">
        <v>0</v>
      </c>
      <c r="ES6" s="9">
        <v>5500</v>
      </c>
      <c r="ET6" s="9">
        <v>4374</v>
      </c>
      <c r="EU6" s="9">
        <v>1126</v>
      </c>
      <c r="EV6" s="9">
        <v>0.20399999999999999</v>
      </c>
      <c r="EW6" s="9" t="s">
        <v>1715</v>
      </c>
      <c r="EX6" s="119">
        <v>42604.432314814818</v>
      </c>
      <c r="EY6" s="9" t="b">
        <v>0</v>
      </c>
    </row>
    <row r="7" spans="1:155">
      <c r="AZ7" s="9" t="s">
        <v>1618</v>
      </c>
      <c r="BA7" s="9" t="s">
        <v>1629</v>
      </c>
      <c r="BG7" s="9" t="s">
        <v>76</v>
      </c>
      <c r="DG7" s="9" t="s">
        <v>1131</v>
      </c>
      <c r="DH7" s="105" t="s">
        <v>1630</v>
      </c>
      <c r="DI7" s="151">
        <v>1</v>
      </c>
      <c r="DP7" s="118"/>
      <c r="DT7" s="119"/>
      <c r="EX7" s="119"/>
    </row>
    <row r="8" spans="1:155" ht="15.75" customHeight="1">
      <c r="B8" s="105"/>
      <c r="C8" s="105"/>
      <c r="DG8" s="9" t="s">
        <v>1133</v>
      </c>
      <c r="DH8" s="105" t="s">
        <v>1631</v>
      </c>
      <c r="DI8" s="120" t="str">
        <f>IF(UNNH0090_RENDO_URIAGE_H_COUNT=0,"",
"UNNH0090_RENDO_IF!"&amp;ADDRESS(ROW(UNNH0090_RENDO_IF_URIAGE_H_START),COLUMN(UNNH0090_RENDO_IF_URIAGE_H_START))&amp;":" &amp; ADDRESS(ROW(UNNH0090_RENDO_IF_URIAGE_H_START)+UNNH0090_RENDO_URIAGE_H_COUNT-1,COLUMN(UNNH0090_RENDO_IF_URIAGE_H_START)+COLUMNS(UNNH0090_RENDO_IF_URIAGE_H_SHOSHIKI_COPY_MOTO)-1))</f>
        <v>UNNH0090_RENDO_IF!$DK$6:$EY$6</v>
      </c>
    </row>
    <row r="9" spans="1:155">
      <c r="DG9" s="9" t="s">
        <v>1262</v>
      </c>
      <c r="DH9" s="105" t="s">
        <v>1711</v>
      </c>
      <c r="DI9" s="152" t="b">
        <v>0</v>
      </c>
    </row>
  </sheetData>
  <phoneticPr fontId="2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I93"/>
  <sheetViews>
    <sheetView topLeftCell="A40" zoomScale="85" zoomScaleNormal="85" workbookViewId="0">
      <selection activeCell="F56" sqref="F56"/>
    </sheetView>
  </sheetViews>
  <sheetFormatPr defaultRowHeight="13.5"/>
  <cols>
    <col min="2" max="2" width="3.5" customWidth="1"/>
    <col min="3" max="3" width="3.125" customWidth="1"/>
    <col min="4" max="4" width="3.25" customWidth="1"/>
    <col min="5" max="5" width="25.125" bestFit="1" customWidth="1"/>
    <col min="6" max="6" width="82.625" bestFit="1" customWidth="1"/>
    <col min="7" max="7" width="7.5" bestFit="1" customWidth="1"/>
    <col min="8" max="8" width="40.375" bestFit="1" customWidth="1"/>
  </cols>
  <sheetData>
    <row r="5" spans="2:8" ht="16.5">
      <c r="B5" s="198" t="s">
        <v>366</v>
      </c>
      <c r="C5" s="199"/>
      <c r="D5" s="199"/>
      <c r="E5" s="200"/>
      <c r="F5" s="10"/>
      <c r="G5" s="10"/>
      <c r="H5" s="11" t="s">
        <v>367</v>
      </c>
    </row>
    <row r="6" spans="2:8" ht="30.75" customHeight="1">
      <c r="B6" s="194" t="s">
        <v>368</v>
      </c>
      <c r="C6" s="195"/>
      <c r="D6" s="195"/>
      <c r="E6" s="196"/>
      <c r="F6" s="12" t="str">
        <f>F7 &amp; F8 &amp; F16</f>
        <v>SELECT *
 FROM V_URIAGE_RENDO_LIST
 WHERE 1=1
 AND (1!=1  
 OR V_URIAGE_RENDO_LIST.URIAGE_STS = ''1'' 
 OR V_URIAGE_RENDO_LIST.URIAGE_STS = ''2'' 
 OR V_URIAGE_RENDO_LIST.URIAGE_STS = ''3'') AND (1!=1  
 OR V_URIAGE_RENDO_LIST.DEMPYO_KBN = ''1'' 
 OR V_URIAGE_RENDO_LIST.DEMPYO_KBN = ''2'' 
 OR V_URIAGE_RENDO_LIST.DEMPYO_KBN = ''3'' 
 OR V_URIAGE_RENDO_LIST.DEMPYO_KBN = ''4'' 
 OR V_URIAGE_RENDO_LIST.DEMPYO_KBN = ''5'')</v>
      </c>
      <c r="G6" s="12"/>
      <c r="H6" s="13" t="s">
        <v>1632</v>
      </c>
    </row>
    <row r="7" spans="2:8" ht="17.25" customHeight="1">
      <c r="B7" s="14"/>
      <c r="C7" s="197" t="s">
        <v>1301</v>
      </c>
      <c r="D7" s="197"/>
      <c r="E7" s="197"/>
      <c r="F7" s="20" t="s">
        <v>1633</v>
      </c>
      <c r="G7" s="122"/>
      <c r="H7" s="15"/>
    </row>
    <row r="8" spans="2:8" ht="18" customHeight="1">
      <c r="B8" s="14"/>
      <c r="C8" s="197" t="s">
        <v>1266</v>
      </c>
      <c r="D8" s="197"/>
      <c r="E8" s="197"/>
      <c r="F8" s="20" t="s">
        <v>1634</v>
      </c>
      <c r="G8" s="122"/>
      <c r="H8" s="15"/>
    </row>
    <row r="9" spans="2:8" ht="15" customHeight="1">
      <c r="B9" s="194" t="s">
        <v>1268</v>
      </c>
      <c r="C9" s="195"/>
      <c r="D9" s="195"/>
      <c r="E9" s="196"/>
      <c r="F9" s="12" t="str">
        <f>F10&amp;F11&amp;F16</f>
        <v>SELECT V_URIAGE_RENDO_LIST.URIAGE_STS_MEI            -- 売上ステータス名
      ,V_URIAGE_RENDO_LIST.DEMPYO_KBN_MEI            -- 伝票区分名
      ,V_URIAGE_RENDO_LIST.SEIKYU_CD                 -- 請求先CD
      ,V_URIAGE_RENDO_LIST.SEIKYU_MEI                -- 請求先名
      ,V_URIAGE_RENDO_LIST.DEMPYO_SOFU_MEI           -- 伝票送付先名
      ,V_URIAGE_RENDO_LIST.SEIKYUHOHO                -- 請求締日
      ,V_URIAGE_RENDO_LIST.URIAGE_DATE               -- 売上日
      ,V_URIAGE_RENDO_LIST.NOHIN_DATE                -- 納品日
      ,V_URIAGE_RENDO_LIST.KAISHU_DATE               -- 回収予定日
      ,V_URIAGE_RENDO_LIST.URI_NYU_MEI               -- 売上入力者名
      ,V_URIAGE_RENDO_LIST.NUKI_TOTAL                -- 税抜合計
      ,V_URIAGE_RENDO_LIST.TAX                       -- 消費税
      ,V_URIAGE_RENDO_LIST.KOMI_TOTAL                -- 税込合計
      ,V_URIAGE_RENDO_LIST.GENKA_TOTAL               -- 原価合計
      ,V_URIAGE_RENDO_LIST.ARARIEKI                  -- 粗利益
      ,V_URIAGE_RENDO_LIST.ARARIRITSU                -- 粗利率
      ,V_URIAGE_RENDO_LIST.JURI_NO                   -- 対象受理No.
      ,V_URIAGE_RENDO_LIST.URIAGE_NO                 -- 売上No.
      ,V_URIAGE_RENDO_LIST.DEMPYO_KBN                -- 伝票区分
      ,V_URIAGE_RENDO_LIST.URIAGE_NYURYOKUSHA_CD     -- 売上入力者CD
      ,V_URIAGE_RENDO_LIST.URIAGE_STS                -- 売上ステータス
  FROM V_URIAGE_RENDO_LIST
   WHERE 1=1
 AND (1!=1  
 OR V_URIAGE_RENDO_LIST.URIAGE_STS = ''1'' 
 OR V_URIAGE_RENDO_LIST.URIAGE_STS = ''2'' 
 OR V_URIAGE_RENDO_LIST.URIAGE_STS = ''3'') AND (1!=1  
 OR V_URIAGE_RENDO_LIST.DEMPYO_KBN = ''1'' 
 OR V_URIAGE_RENDO_LIST.DEMPYO_KBN = ''2'' 
 OR V_URIAGE_RENDO_LIST.DEMPYO_KBN = ''3'' 
 OR V_URIAGE_RENDO_LIST.DEMPYO_KBN = ''4'' 
 OR V_URIAGE_RENDO_LIST.DEMPYO_KBN = ''5'')</v>
      </c>
      <c r="G9" s="12"/>
      <c r="H9" s="13" t="s">
        <v>1635</v>
      </c>
    </row>
    <row r="10" spans="2:8" ht="30.75" customHeight="1">
      <c r="B10" s="14"/>
      <c r="C10" s="197" t="s">
        <v>1301</v>
      </c>
      <c r="D10" s="197"/>
      <c r="E10" s="197"/>
      <c r="F10" s="16" t="s">
        <v>1862</v>
      </c>
      <c r="G10" s="122"/>
      <c r="H10" s="15"/>
    </row>
    <row r="11" spans="2:8" ht="20.25" customHeight="1">
      <c r="B11" s="14"/>
      <c r="C11" s="197" t="s">
        <v>1303</v>
      </c>
      <c r="D11" s="197"/>
      <c r="E11" s="197"/>
      <c r="F11" s="20" t="s">
        <v>1636</v>
      </c>
      <c r="G11" s="122"/>
      <c r="H11" s="15"/>
    </row>
    <row r="12" spans="2:8" ht="15.75" customHeight="1">
      <c r="B12" s="194" t="s">
        <v>1637</v>
      </c>
      <c r="C12" s="195"/>
      <c r="D12" s="195"/>
      <c r="E12" s="196"/>
      <c r="F12" s="12" t="str">
        <f>F13 &amp; F14 &amp; F16</f>
        <v>SELECT COUNT(*) AS CNT
 FROM V_URIAGE_RENDO_LIST
 WHERE 1=1
 AND (1!=1  
 OR V_URIAGE_RENDO_LIST.URIAGE_STS = ''1'' 
 OR V_URIAGE_RENDO_LIST.URIAGE_STS = ''2'' 
 OR V_URIAGE_RENDO_LIST.URIAGE_STS = ''3'') AND (1!=1  
 OR V_URIAGE_RENDO_LIST.DEMPYO_KBN = ''1'' 
 OR V_URIAGE_RENDO_LIST.DEMPYO_KBN = ''2'' 
 OR V_URIAGE_RENDO_LIST.DEMPYO_KBN = ''3'' 
 OR V_URIAGE_RENDO_LIST.DEMPYO_KBN = ''4'' 
 OR V_URIAGE_RENDO_LIST.DEMPYO_KBN = ''5'')</v>
      </c>
      <c r="G12" s="12"/>
      <c r="H12" s="13" t="s">
        <v>1638</v>
      </c>
    </row>
    <row r="13" spans="2:8" ht="17.25" customHeight="1">
      <c r="B13" s="14"/>
      <c r="C13" s="197" t="s">
        <v>1301</v>
      </c>
      <c r="D13" s="197"/>
      <c r="E13" s="197"/>
      <c r="F13" s="20" t="s">
        <v>1639</v>
      </c>
      <c r="G13" s="122"/>
      <c r="H13" s="15"/>
    </row>
    <row r="14" spans="2:8" ht="33">
      <c r="B14" s="14"/>
      <c r="C14" s="197" t="s">
        <v>370</v>
      </c>
      <c r="D14" s="197"/>
      <c r="E14" s="197"/>
      <c r="F14" s="16" t="s">
        <v>1634</v>
      </c>
      <c r="G14" s="122"/>
      <c r="H14" s="15"/>
    </row>
    <row r="15" spans="2:8" ht="16.5">
      <c r="B15" s="194" t="s">
        <v>371</v>
      </c>
      <c r="C15" s="195"/>
      <c r="D15" s="195"/>
      <c r="E15" s="196"/>
      <c r="F15" s="12"/>
      <c r="G15" s="12"/>
      <c r="H15" s="13"/>
    </row>
    <row r="16" spans="2:8" ht="29.25" customHeight="1">
      <c r="B16" s="14"/>
      <c r="C16" s="197" t="s">
        <v>1640</v>
      </c>
      <c r="D16" s="197"/>
      <c r="E16" s="197"/>
      <c r="F16" s="16" t="str">
        <f>" WHERE 1=1
" &amp;F17 &amp; F21 &amp; F27 &amp; F28 &amp; F29 &amp; F30 &amp; F31 &amp; F32 &amp; F33 &amp; F34 &amp; F35 &amp;F36 &amp; F37 &amp; F38 &amp; F39 &amp; F40 &amp; F41</f>
        <v xml:space="preserve"> WHERE 1=1
 AND (1!=1  
 OR V_URIAGE_RENDO_LIST.URIAGE_STS = ''1'' 
 OR V_URIAGE_RENDO_LIST.URIAGE_STS = ''2'' 
 OR V_URIAGE_RENDO_LIST.URIAGE_STS = ''3'') AND (1!=1  
 OR V_URIAGE_RENDO_LIST.DEMPYO_KBN = ''1'' 
 OR V_URIAGE_RENDO_LIST.DEMPYO_KBN = ''2'' 
 OR V_URIAGE_RENDO_LIST.DEMPYO_KBN = ''3'' 
 OR V_URIAGE_RENDO_LIST.DEMPYO_KBN = ''4'' 
 OR V_URIAGE_RENDO_LIST.DEMPYO_KBN = ''5'')</v>
      </c>
      <c r="G16" s="122"/>
      <c r="H16" s="15"/>
    </row>
    <row r="17" spans="2:8" ht="27.75" customHeight="1">
      <c r="B17" s="14"/>
      <c r="C17" s="17"/>
      <c r="D17" s="206" t="s">
        <v>1437</v>
      </c>
      <c r="E17" s="193"/>
      <c r="F17" s="16" t="str">
        <f xml:space="preserve"> " AND (1!=1 "&amp; F18 &amp; F19 &amp; F20 &amp;")"</f>
        <v xml:space="preserve"> AND (1!=1  
 OR V_URIAGE_RENDO_LIST.URIAGE_STS = ''1'' 
 OR V_URIAGE_RENDO_LIST.URIAGE_STS = ''2'' 
 OR V_URIAGE_RENDO_LIST.URIAGE_STS = ''3'')</v>
      </c>
      <c r="G17" s="122"/>
      <c r="H17" s="15"/>
    </row>
    <row r="18" spans="2:8" ht="16.5">
      <c r="B18" s="14"/>
      <c r="C18" s="123"/>
      <c r="D18" s="251"/>
      <c r="E18" s="124" t="s">
        <v>1357</v>
      </c>
      <c r="F18" s="125" t="str">
        <f>IF(G18," 
 OR V_URIAGE_RENDO_LIST.URIAGE_STS = ''1''","")</f>
        <v xml:space="preserve"> 
 OR V_URIAGE_RENDO_LIST.URIAGE_STS = ''1''</v>
      </c>
      <c r="G18" s="125" t="b">
        <f>UNNH0090_H_MIHAKKO_STS_S</f>
        <v>1</v>
      </c>
      <c r="H18" s="126"/>
    </row>
    <row r="19" spans="2:8" ht="16.5">
      <c r="B19" s="14"/>
      <c r="C19" s="123"/>
      <c r="D19" s="252"/>
      <c r="E19" s="124" t="s">
        <v>1362</v>
      </c>
      <c r="F19" s="125" t="str">
        <f>IF(G19," 
 OR V_URIAGE_RENDO_LIST.URIAGE_STS = ''2''","")</f>
        <v xml:space="preserve"> 
 OR V_URIAGE_RENDO_LIST.URIAGE_STS = ''2''</v>
      </c>
      <c r="G19" s="125" t="b">
        <f>UNNH0090_H_HAKKOSUMI_STS</f>
        <v>1</v>
      </c>
      <c r="H19" s="126"/>
    </row>
    <row r="20" spans="2:8" ht="16.5">
      <c r="B20" s="14"/>
      <c r="C20" s="123"/>
      <c r="D20" s="252"/>
      <c r="E20" s="124" t="s">
        <v>1366</v>
      </c>
      <c r="F20" s="125" t="str">
        <f>IF(G20," 
 OR V_URIAGE_RENDO_LIST.URIAGE_STS = ''3''","")</f>
        <v xml:space="preserve"> 
 OR V_URIAGE_RENDO_LIST.URIAGE_STS = ''3''</v>
      </c>
      <c r="G20" s="125" t="b">
        <f>UNNH0090_H_SAIHAKKOSUMI_STS_S</f>
        <v>1</v>
      </c>
      <c r="H20" s="126"/>
    </row>
    <row r="21" spans="2:8" ht="29.25" customHeight="1">
      <c r="B21" s="14"/>
      <c r="C21" s="123"/>
      <c r="D21" s="206" t="s">
        <v>1483</v>
      </c>
      <c r="E21" s="193"/>
      <c r="F21" s="16" t="str">
        <f>" AND (1!=1 " &amp;F22 &amp; F23 &amp; F24 &amp; F25 &amp; F26 &amp;")"</f>
        <v xml:space="preserve"> AND (1!=1  
 OR V_URIAGE_RENDO_LIST.DEMPYO_KBN = ''1'' 
 OR V_URIAGE_RENDO_LIST.DEMPYO_KBN = ''2'' 
 OR V_URIAGE_RENDO_LIST.DEMPYO_KBN = ''3'' 
 OR V_URIAGE_RENDO_LIST.DEMPYO_KBN = ''4'' 
 OR V_URIAGE_RENDO_LIST.DEMPYO_KBN = ''5'')</v>
      </c>
      <c r="G21" s="122"/>
      <c r="H21" s="15"/>
    </row>
    <row r="22" spans="2:8" ht="16.5">
      <c r="B22" s="14"/>
      <c r="C22" s="123"/>
      <c r="D22" s="252"/>
      <c r="E22" s="124" t="s">
        <v>1370</v>
      </c>
      <c r="F22" s="125" t="str">
        <f>IF(G22," 
 OR V_URIAGE_RENDO_LIST.DEMPYO_KBN = ''1''","")</f>
        <v xml:space="preserve"> 
 OR V_URIAGE_RENDO_LIST.DEMPYO_KBN = ''1''</v>
      </c>
      <c r="G22" s="125" t="b">
        <f>UNNH0090_H_TSUJO_KBN_S</f>
        <v>1</v>
      </c>
      <c r="H22" s="126"/>
    </row>
    <row r="23" spans="2:8" ht="16.5">
      <c r="B23" s="14"/>
      <c r="C23" s="123"/>
      <c r="D23" s="252"/>
      <c r="E23" s="124" t="s">
        <v>1373</v>
      </c>
      <c r="F23" s="125" t="str">
        <f>IF(G23," 
 OR V_URIAGE_RENDO_LIST.DEMPYO_KBN = ''2''","")</f>
        <v xml:space="preserve"> 
 OR V_URIAGE_RENDO_LIST.DEMPYO_KBN = ''2''</v>
      </c>
      <c r="G23" s="125" t="b">
        <f>UNNH0090_H_TEISEI_KBN_S</f>
        <v>1</v>
      </c>
      <c r="H23" s="126"/>
    </row>
    <row r="24" spans="2:8" ht="16.5">
      <c r="B24" s="14"/>
      <c r="C24" s="123"/>
      <c r="D24" s="252"/>
      <c r="E24" s="124" t="s">
        <v>1375</v>
      </c>
      <c r="F24" s="125" t="str">
        <f>IF(G24," 
 OR V_URIAGE_RENDO_LIST.DEMPYO_KBN = ''3''","")</f>
        <v xml:space="preserve"> 
 OR V_URIAGE_RENDO_LIST.DEMPYO_KBN = ''3''</v>
      </c>
      <c r="G24" s="125" t="b">
        <f>UNNH0090_H_AKA_KBN_S</f>
        <v>1</v>
      </c>
      <c r="H24" s="126"/>
    </row>
    <row r="25" spans="2:8" ht="16.5">
      <c r="B25" s="14"/>
      <c r="C25" s="123"/>
      <c r="D25" s="252"/>
      <c r="E25" s="124" t="s">
        <v>1378</v>
      </c>
      <c r="F25" s="125" t="str">
        <f>IF(G25," 
 OR V_URIAGE_RENDO_LIST.DEMPYO_KBN = ''4''","")</f>
        <v xml:space="preserve"> 
 OR V_URIAGE_RENDO_LIST.DEMPYO_KBN = ''4''</v>
      </c>
      <c r="G25" s="125" t="b">
        <f>UNNH0090_H_KURO_KBN_S</f>
        <v>1</v>
      </c>
      <c r="H25" s="126"/>
    </row>
    <row r="26" spans="2:8" ht="16.5">
      <c r="B26" s="14"/>
      <c r="C26" s="123"/>
      <c r="D26" s="252"/>
      <c r="E26" s="124" t="s">
        <v>1397</v>
      </c>
      <c r="F26" s="125" t="str">
        <f>IF(G26," 
 OR V_URIAGE_RENDO_LIST.DEMPYO_KBN = ''5''","")</f>
        <v xml:space="preserve"> 
 OR V_URIAGE_RENDO_LIST.DEMPYO_KBN = ''5''</v>
      </c>
      <c r="G26" s="125" t="b">
        <f>UNNH0090_H_KETSUGO_KBN_S</f>
        <v>1</v>
      </c>
      <c r="H26" s="126"/>
    </row>
    <row r="27" spans="2:8" ht="16.5">
      <c r="B27" s="14"/>
      <c r="C27" s="123"/>
      <c r="D27" s="207" t="s">
        <v>1641</v>
      </c>
      <c r="E27" s="207"/>
      <c r="F27" s="127" t="str">
        <f>IF(G27," 
 AND V_URIAGE_RENDO_LIST.URIAGE_DATE &gt;= ''"&amp;TEXT(UNNH0090_H_URIAGE_DATE_START_S,"YYYY/MM/DD")&amp;"''","")</f>
        <v/>
      </c>
      <c r="G27" s="122" t="b">
        <f>NOT(ISBLANK(UNNH0090_H_URIAGE_DATE_START_S))</f>
        <v>0</v>
      </c>
      <c r="H27" s="15"/>
    </row>
    <row r="28" spans="2:8" ht="16.5">
      <c r="B28" s="14"/>
      <c r="C28" s="123"/>
      <c r="D28" s="207" t="s">
        <v>1642</v>
      </c>
      <c r="E28" s="207"/>
      <c r="F28" s="127" t="str">
        <f>IF(G28,"
 AND V_URIAGE_RENDO_LIST.URIAGE_DATE &lt;=  ''"&amp;TEXT(UNNH0090_H_URIAGE_DATE_END_S,"YYYY/MM/DD")&amp;"''","")</f>
        <v/>
      </c>
      <c r="G28" s="122" t="b">
        <f>NOT(ISBLANK(UNNH0090_H_URIAGE_DATE_END_S))</f>
        <v>0</v>
      </c>
      <c r="H28" s="15"/>
    </row>
    <row r="29" spans="2:8" ht="16.5">
      <c r="B29" s="14"/>
      <c r="C29" s="123"/>
      <c r="D29" s="207" t="s">
        <v>1643</v>
      </c>
      <c r="E29" s="207" t="s">
        <v>1283</v>
      </c>
      <c r="F29" s="127" t="str">
        <f>IF(G29,"
 AND V_URIAGE_RENDO_LIST.URIAGE_NO &gt;=  ''"&amp; UNNH0090_H_URIAGE_NO_START_S &amp;"''","")</f>
        <v/>
      </c>
      <c r="G29" s="122" t="b">
        <f>NOT(ISBLANK(UNNH0090_H_URIAGE_NO_START_S))</f>
        <v>0</v>
      </c>
      <c r="H29" s="15"/>
    </row>
    <row r="30" spans="2:8" ht="16.5">
      <c r="B30" s="14"/>
      <c r="C30" s="123"/>
      <c r="D30" s="207" t="s">
        <v>1644</v>
      </c>
      <c r="E30" s="207" t="s">
        <v>1285</v>
      </c>
      <c r="F30" s="127" t="str">
        <f>IF(G30,"
 AND V_URIAGE_RENDO_LIST.URIAGE_NO &lt;=  ''"&amp; UNNH0090_H_URIAGE_NO_END_S &amp;"''","")</f>
        <v/>
      </c>
      <c r="G30" s="122" t="b">
        <f>NOT(ISBLANK(UNNH0090_H_URIAGE_NO_END_S))</f>
        <v>0</v>
      </c>
      <c r="H30" s="15"/>
    </row>
    <row r="31" spans="2:8" ht="16.5">
      <c r="B31" s="14"/>
      <c r="C31" s="123"/>
      <c r="D31" s="207" t="s">
        <v>1407</v>
      </c>
      <c r="E31" s="207" t="s">
        <v>1645</v>
      </c>
      <c r="F31" s="127" t="str">
        <f>IF(G31,"
 AND V_URIAGE_RENDO_LIST.JURI_NO &gt;=  ''"&amp; UNNH0090_H_JURI_NO_START_S &amp;"''","")</f>
        <v/>
      </c>
      <c r="G31" s="122" t="b">
        <f>NOT(ISBLANK(UNNH0090_H_JURI_NO_START_S))</f>
        <v>0</v>
      </c>
      <c r="H31" s="15"/>
    </row>
    <row r="32" spans="2:8" ht="16.5">
      <c r="B32" s="14"/>
      <c r="C32" s="123"/>
      <c r="D32" s="207" t="s">
        <v>1409</v>
      </c>
      <c r="E32" s="207" t="s">
        <v>1646</v>
      </c>
      <c r="F32" s="127" t="str">
        <f>IF(G32,"
 AND V_URIAGE_RENDO_LIST.JURI_NO &lt;=  ''"&amp; UNNH0090_H_JURI_NO_END_S &amp;"''","")</f>
        <v/>
      </c>
      <c r="G32" s="122" t="b">
        <f>NOT(ISBLANK(UNNH0090_H_JURI_NO_END_S))</f>
        <v>0</v>
      </c>
      <c r="H32" s="15"/>
    </row>
    <row r="33" spans="1:9" ht="16.5">
      <c r="B33" s="14"/>
      <c r="C33" s="123"/>
      <c r="D33" s="207" t="s">
        <v>1647</v>
      </c>
      <c r="E33" s="207" t="s">
        <v>1286</v>
      </c>
      <c r="F33" s="127" t="str">
        <f>IF(G33," 
 AND V_URIAGE_RENDO_LIST.NOHIN_DATE&gt;= ''"&amp;TEXT(UNNH0090_H_NOHIN_DATE_START_S,"YYYY/MM/DD")&amp;"''","")</f>
        <v/>
      </c>
      <c r="G33" s="122" t="b">
        <f>NOT(ISBLANK(UNNH0090_H_NOHIN_DATE_START_S))</f>
        <v>0</v>
      </c>
      <c r="H33" s="15"/>
    </row>
    <row r="34" spans="1:9" ht="16.5">
      <c r="B34" s="14"/>
      <c r="C34" s="123"/>
      <c r="D34" s="207" t="s">
        <v>1648</v>
      </c>
      <c r="E34" s="207" t="s">
        <v>1288</v>
      </c>
      <c r="F34" s="127" t="str">
        <f>IF(G34,"
 AND V_URIAGE_RENDO_LIST.NOHIN_DATE &lt;=  ''"&amp;TEXT(UNNH0090_H_NOHIN_DATE_END_S,"YYYY/MM/DD")&amp;"''","")</f>
        <v/>
      </c>
      <c r="G34" s="122" t="b">
        <f>NOT(ISBLANK(UNNH0090_H_NOHIN_DATE_END_S))</f>
        <v>0</v>
      </c>
      <c r="H34" s="15"/>
    </row>
    <row r="35" spans="1:9" ht="16.5">
      <c r="B35" s="14"/>
      <c r="C35" s="123"/>
      <c r="D35" s="207" t="s">
        <v>1649</v>
      </c>
      <c r="E35" s="207" t="s">
        <v>1290</v>
      </c>
      <c r="F35" s="127" t="str">
        <f>IF(G35," 
 AND V_URIAGE_RENDO_LIST.KAISHU_DATE  &gt;= ''"&amp;TEXT(UNNH0090_H_KAISHU_DATE_START_S,"YYYY/MM/DD")&amp;"''","")</f>
        <v/>
      </c>
      <c r="G35" s="122" t="b">
        <f>NOT(ISBLANK(UNNH0090_H_KAISHU_DATE_START_S))</f>
        <v>0</v>
      </c>
      <c r="H35" s="15"/>
    </row>
    <row r="36" spans="1:9" ht="16.5">
      <c r="B36" s="14"/>
      <c r="C36" s="123"/>
      <c r="D36" s="207" t="s">
        <v>1650</v>
      </c>
      <c r="E36" s="207" t="s">
        <v>1292</v>
      </c>
      <c r="F36" s="127" t="str">
        <f>IF(G36,"
 AND V_URIAGE_RENDO_LIST.KAISHU_DATE  &lt;=  ''"&amp;TEXT(UNNH0090_H_KAISHU_DATE_END_S,"YYYY/MM/DD")&amp;"''","")</f>
        <v/>
      </c>
      <c r="G36" s="122" t="b">
        <f>NOT(ISBLANK(UNNH0090_H_KAISHU_DATE_END_S))</f>
        <v>0</v>
      </c>
      <c r="H36" s="15"/>
    </row>
    <row r="37" spans="1:9" ht="16.5">
      <c r="B37" s="14"/>
      <c r="C37" s="123"/>
      <c r="D37" s="207" t="s">
        <v>1651</v>
      </c>
      <c r="E37" s="207" t="s">
        <v>1007</v>
      </c>
      <c r="F37" s="127" t="str">
        <f>IF(G37,"
 AND V_URIAGE_RENDO_LIST.SEIKYU_CD= " &amp; "''" &amp; UNNH0090_H_SEIKYUSAKI_CD_S &amp; "''","")</f>
        <v/>
      </c>
      <c r="G37" s="122" t="b">
        <f>NOT(ISBLANK(UNNH0090_H_SEIKYUSAKI_CD_S))</f>
        <v>0</v>
      </c>
      <c r="H37" s="15"/>
    </row>
    <row r="38" spans="1:9" ht="16.5">
      <c r="B38" s="14"/>
      <c r="C38" s="123"/>
      <c r="D38" s="191" t="s">
        <v>1472</v>
      </c>
      <c r="E38" s="193"/>
      <c r="F38" s="127" t="str">
        <f>IF(G38,"
 AND V_URIAGE_RENDO_LIST.DEMPYO_SOFU_MEI LIKE " &amp; "''%" &amp; UNNH0090_H_DEMPYO_MEI_S &amp; "%''","")</f>
        <v/>
      </c>
      <c r="G38" s="122" t="b">
        <f>NOT(ISBLANK(UNNH0090_H_DEMPYO_MEI_S))</f>
        <v>0</v>
      </c>
      <c r="H38" s="15"/>
    </row>
    <row r="39" spans="1:9" ht="16.5">
      <c r="B39" s="14"/>
      <c r="C39" s="123"/>
      <c r="D39" s="207" t="s">
        <v>1484</v>
      </c>
      <c r="E39" s="207" t="s">
        <v>1295</v>
      </c>
      <c r="F39" s="127" t="str">
        <f>IF(G39,"
 AND V_URIAGE_RENDO_LIST.URIAGE_NYURYOKUSHA_CD= " &amp; "''" &amp; UNNH0090_H_NYURYOKUSHA_CD_S &amp; "''","")</f>
        <v/>
      </c>
      <c r="G39" s="122" t="b">
        <f>NOT(ISBLANK(UNNH0090_H_NYURYOKUSHA_CD_S))</f>
        <v>0</v>
      </c>
      <c r="H39" s="15"/>
    </row>
    <row r="40" spans="1:9" ht="16.5">
      <c r="A40" s="189"/>
      <c r="B40" s="14"/>
      <c r="C40" s="123"/>
      <c r="D40" s="207" t="s">
        <v>1840</v>
      </c>
      <c r="E40" s="207" t="s">
        <v>1295</v>
      </c>
      <c r="F40" s="127" t="str">
        <f>IF(G40,"
 AND V_URIAGE_RENDO_LIST.SEIKYUHOHO_KBN= " &amp; "''" &amp; UNNH0090_H_SHIMEBI_KBN_S &amp; "''","")</f>
        <v/>
      </c>
      <c r="G40" s="122" t="b">
        <f>NOT(ISBLANK(UNNH0090_H_SHIMEBI_KBN_S))</f>
        <v>0</v>
      </c>
      <c r="H40" s="15"/>
      <c r="I40" s="189"/>
    </row>
    <row r="41" spans="1:9" ht="16.5">
      <c r="B41" s="14"/>
      <c r="C41" s="123"/>
      <c r="D41" s="206" t="s">
        <v>1652</v>
      </c>
      <c r="E41" s="193"/>
      <c r="F41" s="122" t="str">
        <f>IF(G41," AND "&amp; IF(UNNH0090_H_FREEWD_KBN_S=3,"NOT","") &amp;"("&amp; IF(G42,F42,"") &amp; IF(G43,F43,"") &amp;IF(G44,F44,"") &amp;" )","")</f>
        <v/>
      </c>
      <c r="G41" s="122" t="b">
        <f>OR(G42,G43,G44)</f>
        <v>0</v>
      </c>
      <c r="H41" s="15"/>
    </row>
    <row r="42" spans="1:9" ht="16.5">
      <c r="B42" s="14"/>
      <c r="C42" s="123"/>
      <c r="D42" s="251"/>
      <c r="E42" s="124" t="s">
        <v>1297</v>
      </c>
      <c r="F42" s="126" t="str">
        <f>IF(G42,"
 V_URIAGE_RENDO_LIST.FREEWD LIKE ''%"&amp; UNNH0090_H_FREEWD_1_S &amp; "%''","")</f>
        <v/>
      </c>
      <c r="G42" s="125" t="b">
        <f>NOT(ISBLANK(UNNH0090_H_FREEWD_1_S))</f>
        <v>0</v>
      </c>
      <c r="H42" s="126"/>
    </row>
    <row r="43" spans="1:9" ht="16.5">
      <c r="B43" s="14"/>
      <c r="C43" s="123"/>
      <c r="D43" s="252"/>
      <c r="E43" s="124" t="s">
        <v>1049</v>
      </c>
      <c r="F43" s="126" t="str">
        <f>IF(G43,"
 "&amp;IF(G42, F45, "") &amp;" V_URIAGE_RENDO_LIST.FREEWD LIKE ''%"&amp; UNNH0090_H_FREEWD_2_S &amp; "%''","")</f>
        <v/>
      </c>
      <c r="G43" s="125" t="b">
        <f>NOT(ISBLANK(UNNH0090_H_FREEWD_2_S))</f>
        <v>0</v>
      </c>
      <c r="H43" s="126"/>
    </row>
    <row r="44" spans="1:9" ht="16.5">
      <c r="B44" s="14"/>
      <c r="C44" s="123"/>
      <c r="D44" s="252"/>
      <c r="E44" s="124" t="s">
        <v>1051</v>
      </c>
      <c r="F44" s="126" t="str">
        <f>IF(G44,"
 "&amp;IF(OR(G42,G43),F45,"") &amp; " V_URIAGE_RENDO_LIST.FREEWD LIKE ''%"&amp; UNNH0090_H_FREEWD_3_S &amp; "%''","")</f>
        <v/>
      </c>
      <c r="G44" s="125" t="b">
        <f>NOT(ISBLANK(UNNH0090_H_FREEWD_3_S))</f>
        <v>0</v>
      </c>
      <c r="H44" s="126"/>
    </row>
    <row r="45" spans="1:9" ht="16.5">
      <c r="B45" s="14"/>
      <c r="C45" s="128"/>
      <c r="D45" s="252"/>
      <c r="E45" s="124" t="s">
        <v>1012</v>
      </c>
      <c r="F45" s="126" t="str">
        <f>IF(UNNH0090_H_FREEWD_KBN_S=1, "AND",IF(UNNH0090_H_FREEWD_KBN_S=2,"OR","AND"))</f>
        <v>AND</v>
      </c>
      <c r="G45" s="125"/>
      <c r="H45" s="126"/>
    </row>
    <row r="46" spans="1:9" s="167" customFormat="1">
      <c r="A46"/>
      <c r="B46"/>
      <c r="C46"/>
      <c r="D46"/>
      <c r="E46"/>
      <c r="F46"/>
      <c r="G46"/>
      <c r="H46"/>
      <c r="I46"/>
    </row>
    <row r="47" spans="1:9" s="167" customFormat="1" ht="15.75" customHeight="1">
      <c r="B47" s="198" t="s">
        <v>1822</v>
      </c>
      <c r="C47" s="199"/>
      <c r="D47" s="199"/>
      <c r="E47" s="200"/>
      <c r="F47" s="10"/>
      <c r="G47" s="10"/>
      <c r="H47" s="11" t="s">
        <v>367</v>
      </c>
    </row>
    <row r="48" spans="1:9" s="167" customFormat="1" ht="16.5" customHeight="1">
      <c r="B48" s="194" t="s">
        <v>1823</v>
      </c>
      <c r="C48" s="195"/>
      <c r="D48" s="195"/>
      <c r="E48" s="196"/>
      <c r="F48" s="12" t="str">
        <f>F49</f>
        <v>EXEC SP_LOAD_URIAGE_RENDO '1' ,'0' ,0 ,'SELECT *
 FROM V_URIAGE_RENDO_LIST
 WHERE 1=1
 AND (1!=1  
 OR V_URIAGE_RENDO_LIST.URIAGE_STS = ''1'' 
 OR V_URIAGE_RENDO_LIST.URIAGE_STS = ''2'' 
 OR V_URIAGE_RENDO_LIST.URIAGE_STS = ''3'') AND (1!=1  
 OR V_URIAGE_RENDO_LIST.DEMPYO_KBN = ''1'' 
 OR V_URIAGE_RENDO_LIST.DEMPYO_KBN = ''2'' 
 OR V_URIAGE_RENDO_LIST.DEMPYO_KBN = ''3'' 
 OR V_URIAGE_RENDO_LIST.DEMPYO_KBN = ''4'' 
 OR V_URIAGE_RENDO_LIST.DEMPYO_KBN = ''5'')'</v>
      </c>
      <c r="G48" s="12"/>
      <c r="H48" s="13" t="s">
        <v>1828</v>
      </c>
    </row>
    <row r="49" spans="1:9" s="167" customFormat="1" ht="15.75" customHeight="1">
      <c r="B49" s="14"/>
      <c r="C49" s="197" t="s">
        <v>1824</v>
      </c>
      <c r="D49" s="197"/>
      <c r="E49" s="197"/>
      <c r="F49" s="16" t="str">
        <f>"EXEC SP_LOAD_URIAGE_RENDO '"&amp;UNNH0090_IF_W_USER_ID&amp;"' ,'"&amp;UNNH0090_IF_W_SERIAL&amp;"' ,0 ,'"&amp;UNNH0090_SQL_URIAGE_RENDO_LIST&amp;"'"</f>
        <v>EXEC SP_LOAD_URIAGE_RENDO '1' ,'0' ,0 ,'SELECT *
 FROM V_URIAGE_RENDO_LIST
 WHERE 1=1
 AND (1!=1  
 OR V_URIAGE_RENDO_LIST.URIAGE_STS = ''1'' 
 OR V_URIAGE_RENDO_LIST.URIAGE_STS = ''2'' 
 OR V_URIAGE_RENDO_LIST.URIAGE_STS = ''3'') AND (1!=1  
 OR V_URIAGE_RENDO_LIST.DEMPYO_KBN = ''1'' 
 OR V_URIAGE_RENDO_LIST.DEMPYO_KBN = ''2'' 
 OR V_URIAGE_RENDO_LIST.DEMPYO_KBN = ''3'' 
 OR V_URIAGE_RENDO_LIST.DEMPYO_KBN = ''4'' 
 OR V_URIAGE_RENDO_LIST.DEMPYO_KBN = ''5'')'</v>
      </c>
      <c r="G49" s="122"/>
      <c r="H49" s="15"/>
    </row>
    <row r="50" spans="1:9" s="167" customFormat="1" ht="16.5" customHeight="1">
      <c r="B50" s="194" t="s">
        <v>1825</v>
      </c>
      <c r="C50" s="195"/>
      <c r="D50" s="195"/>
      <c r="E50" s="196"/>
      <c r="F50" s="12" t="str">
        <f>F51</f>
        <v>EXEC SP_LOAD_URIAGE_RENDO '1' ,'0' ,1,' '</v>
      </c>
      <c r="G50" s="12"/>
      <c r="H50" s="13" t="s">
        <v>1829</v>
      </c>
    </row>
    <row r="51" spans="1:9" ht="16.5">
      <c r="A51" s="167"/>
      <c r="B51" s="18"/>
      <c r="C51" s="207" t="s">
        <v>1824</v>
      </c>
      <c r="D51" s="207"/>
      <c r="E51" s="207"/>
      <c r="F51" s="16" t="str">
        <f>"EXEC SP_LOAD_URIAGE_RENDO '"&amp;UNNH0090_IF_W_USER_ID&amp;"' ,'"&amp;UNNH0090_IF_W_SERIAL&amp;"' ,1,' '"</f>
        <v>EXEC SP_LOAD_URIAGE_RENDO '1' ,'0' ,1,' '</v>
      </c>
      <c r="G51" s="122"/>
      <c r="H51" s="15"/>
      <c r="I51" s="167"/>
    </row>
    <row r="53" spans="1:9" ht="15.75" customHeight="1">
      <c r="B53" s="198" t="s">
        <v>1298</v>
      </c>
      <c r="C53" s="199"/>
      <c r="D53" s="199"/>
      <c r="E53" s="200"/>
      <c r="F53" s="10"/>
      <c r="G53" s="10"/>
      <c r="H53" s="11" t="s">
        <v>367</v>
      </c>
    </row>
    <row r="54" spans="1:9" ht="16.5" customHeight="1">
      <c r="B54" s="194" t="s">
        <v>1299</v>
      </c>
      <c r="C54" s="195"/>
      <c r="D54" s="195"/>
      <c r="E54" s="196"/>
      <c r="F54" s="12" t="str">
        <f>F55 &amp; F56 &amp; F57 &amp; UNNH0090_SQL_SORT &amp; F59</f>
        <v>SELECT *
FROM W_URIAGE_RENDO
 WHERE (1=1)
 AND W_URIAGE_RENDO.W_USER_ID = '1'
 AND W_URIAGE_RENDO.W_SERIAL = '0'
ORDER BY URIAGE_NO ASC OFFSET 0*2 ROWS
 FETCH NEXT 2 ROWS ONLY</v>
      </c>
      <c r="G54" s="12"/>
      <c r="H54" s="13" t="s">
        <v>1653</v>
      </c>
    </row>
    <row r="55" spans="1:9" ht="18.75" customHeight="1">
      <c r="B55" s="14"/>
      <c r="C55" s="197" t="s">
        <v>369</v>
      </c>
      <c r="D55" s="197"/>
      <c r="E55" s="197"/>
      <c r="F55" s="20" t="s">
        <v>1654</v>
      </c>
      <c r="G55" s="122"/>
      <c r="H55" s="15"/>
    </row>
    <row r="56" spans="1:9" ht="15.75" customHeight="1">
      <c r="B56" s="14"/>
      <c r="C56" s="191" t="s">
        <v>370</v>
      </c>
      <c r="D56" s="192"/>
      <c r="E56" s="193"/>
      <c r="F56" s="20" t="s">
        <v>1655</v>
      </c>
      <c r="G56" s="122"/>
      <c r="H56" s="15"/>
    </row>
    <row r="57" spans="1:9" ht="15.75" customHeight="1">
      <c r="B57" s="14"/>
      <c r="C57" s="191" t="s">
        <v>1279</v>
      </c>
      <c r="D57" s="192"/>
      <c r="E57" s="193"/>
      <c r="F57" s="16" t="str">
        <f>" WHERE (1=1)
 AND W_URIAGE_RENDO.W_USER_ID = '"&amp;UNNH0090_IF_W_USER_ID&amp;"'
 AND W_URIAGE_RENDO.W_SERIAL = '"&amp;UNNH0090_IF_W_SERIAL&amp;"'
"</f>
        <v xml:space="preserve"> WHERE (1=1)
 AND W_URIAGE_RENDO.W_USER_ID = '1'
 AND W_URIAGE_RENDO.W_SERIAL = '0'
</v>
      </c>
      <c r="G57" s="122"/>
      <c r="H57" s="129"/>
    </row>
    <row r="58" spans="1:9" ht="16.5" customHeight="1">
      <c r="B58" s="14"/>
      <c r="C58" s="197" t="s">
        <v>1322</v>
      </c>
      <c r="D58" s="197"/>
      <c r="E58" s="197"/>
      <c r="F58" s="16" t="s">
        <v>1656</v>
      </c>
      <c r="G58" s="122"/>
      <c r="H58" s="15" t="s">
        <v>1657</v>
      </c>
    </row>
    <row r="59" spans="1:9" ht="33">
      <c r="B59" s="130"/>
      <c r="C59" s="207" t="s">
        <v>1658</v>
      </c>
      <c r="D59" s="207"/>
      <c r="E59" s="207"/>
      <c r="F59" s="16" t="str">
        <f xml:space="preserve"> " OFFSET "&amp;(UNNH0090_B_PAGE_NO-1)&amp;"*"&amp;UNNH0090_B_HYOJI_GYO_SU&amp;" ROWS
 FETCH NEXT "&amp;UNNH0090_B_HYOJI_GYO_SU&amp;" ROWS ONLY"</f>
        <v xml:space="preserve"> OFFSET 0*2 ROWS
 FETCH NEXT 2 ROWS ONLY</v>
      </c>
      <c r="G59" s="122"/>
      <c r="H59" s="15"/>
    </row>
    <row r="61" spans="1:9" ht="15.75" customHeight="1">
      <c r="B61" s="237" t="s">
        <v>1659</v>
      </c>
      <c r="C61" s="238"/>
      <c r="D61" s="238"/>
      <c r="E61" s="239"/>
      <c r="F61" s="10"/>
      <c r="G61" s="10"/>
      <c r="H61" s="11" t="s">
        <v>367</v>
      </c>
    </row>
    <row r="62" spans="1:9" ht="16.5" customHeight="1">
      <c r="B62" s="194" t="s">
        <v>1660</v>
      </c>
      <c r="C62" s="195"/>
      <c r="D62" s="195"/>
      <c r="E62" s="196"/>
      <c r="F62" s="12" t="str">
        <f>F63 &amp; F64 &amp; F71</f>
        <v>SELECT T_URIAGE_H.*
FROM W_URIAGE_RENDO
  LEFT JOIN T_URIAGE_H
   ON W_URIAGE_RENDO.URIAGE_NO = T_URIAGE_H.URIAGE_NO
 WHERE (1=1)
      AND W_URIAGE_RENDO.W_USER_ID = '1' 
      AND W_URIAGE_RENDO.W_SERIAL = '0'
      AND W_URIAGE_RENDO.SELECT_FLG = 'True'</v>
      </c>
      <c r="G62" s="12"/>
      <c r="H62" s="13" t="s">
        <v>1661</v>
      </c>
    </row>
    <row r="63" spans="1:9" ht="29.25" customHeight="1">
      <c r="B63" s="14"/>
      <c r="C63" s="191" t="s">
        <v>1301</v>
      </c>
      <c r="D63" s="192"/>
      <c r="E63" s="193"/>
      <c r="F63" s="20" t="s">
        <v>1662</v>
      </c>
      <c r="G63" s="122"/>
      <c r="H63" s="15"/>
    </row>
    <row r="64" spans="1:9" ht="15.75" customHeight="1">
      <c r="B64" s="14"/>
      <c r="C64" s="191" t="s">
        <v>1303</v>
      </c>
      <c r="D64" s="192"/>
      <c r="E64" s="193"/>
      <c r="F64" s="16" t="s">
        <v>1663</v>
      </c>
      <c r="G64" s="122"/>
      <c r="H64" s="15"/>
    </row>
    <row r="65" spans="2:8" ht="16.5" customHeight="1">
      <c r="B65" s="194" t="s">
        <v>1314</v>
      </c>
      <c r="C65" s="195"/>
      <c r="D65" s="195"/>
      <c r="E65" s="196"/>
      <c r="F65" s="12" t="str">
        <f>F66 &amp; F67 &amp; F71</f>
        <v>SELECT
      W_URIAGE_RENDO.URIAGE_NO      --売上No.
      ,4                            --エンティティバージョン
      ,T_URIAGE_H.DENKU             --伝区
      ,REPLACE(CONVERT(VARCHAR, W_URIAGE_RENDO.URIAGE_DATE, 111), '/','')   --売上日
      ,REPLACE(CONVERT(VARCHAR, W_URIAGE_RENDO.URIAGE_DATE, 111), '/','')   --請求日
      ,''           --伝票No
      ,W_URIAGE_RENDO.SEIKYU_CD       --得意先コード
      ,''      --得意先 名1
      ,''      --得意先 名2
      ,''      --得意先 住所1
      ,''      --得意先 住所2
      ,''      --得意先 郵便番号
      ,''      --得意先 TEL
      ,''      --得意先 FAX
      ,''      --得意先 敬称(相手先)
      ,''      --得意先 メールアドレス(相手先)
      ,''      --得意先 法人番号
      ,''      --連動区分
      ,''      --見積No or 受注No
      ,''      --相手先ID(スポット用)
      ,''      --先方担当者ID
      ,T_URIAGE_H.SOFU_TANTO                    --先方担当者名
      ,T_URIAGE_H.KANJO_KAMOKU                  --部門コード
      ,T_URIAGE_H.EIGYO_TANTO_CD                --担当者コード
      ,''                                       --摘要コード
      ,case DATALENGTH(CAST (TEKIYO AS VARCHAR(100)))
         when LEN(TEKIYO)   then case when LEN(TEKIYO) &lt;= 30 then TEKIYO else SUBSTRING(TEKIYO, 1, 30) end
         when 2*LEN(TEKIYO) then case when LEN(TEKIYO) &lt;= 15 then TEKIYO else SUBSTRING(TEKIYO, 1, 15) end
       else case when LEN(TEKIYO) &lt;= 15 then TEKIYO else SUBSTRING(TEKIYO, 1, 15) end
       end     --摘要名
      ,T_URIAGE_H.KANJO_KAMOKU                --プロジェクトコード
      ,''      --分類コード
      ,''      --伝票区分
      ,''      --直送先コード
      ,W_URIAGE_RENDO.URIAGE_NO               --伝票No2
      ,0       --フセンコメント
      ,''      --予備1
      ,''      --予備2
      ,''      --予備3
      ,''      --予備数値1
      ,''     --予備数値2
      ,''      --予備金額1
      ,''      --予備金額2
      ,''      --予備金額3
      ,''      --予備文字列1
      ,''      --予備文字列2
      ,''      --予備文字列3
FROM W_URIAGE_RENDO
  LEFT JOIN T_URIAGE_H
   ON W_URIAGE_RENDO.URIAGE_NO = T_URIAGE_H.URIAGE_NO
 WHERE (1=1)
      AND W_URIAGE_RENDO.W_USER_ID = '1' 
      AND W_URIAGE_RENDO.W_SERIAL = '0'
      AND W_URIAGE_RENDO.SELECT_FLG = 'True'</v>
      </c>
      <c r="G65" s="12"/>
      <c r="H65" s="13" t="s">
        <v>1664</v>
      </c>
    </row>
    <row r="66" spans="2:8" ht="31.5" customHeight="1">
      <c r="B66" s="14"/>
      <c r="C66" s="191" t="s">
        <v>1301</v>
      </c>
      <c r="D66" s="192"/>
      <c r="E66" s="193"/>
      <c r="F66" s="16" t="s">
        <v>1831</v>
      </c>
      <c r="G66" s="122"/>
      <c r="H66" s="15"/>
    </row>
    <row r="67" spans="2:8" ht="15.75" customHeight="1">
      <c r="B67" s="14"/>
      <c r="C67" s="191" t="s">
        <v>1303</v>
      </c>
      <c r="D67" s="192"/>
      <c r="E67" s="193"/>
      <c r="F67" s="16" t="s">
        <v>1663</v>
      </c>
      <c r="G67" s="122"/>
      <c r="H67" s="15"/>
    </row>
    <row r="68" spans="2:8" ht="16.5" customHeight="1">
      <c r="B68" s="194" t="s">
        <v>1317</v>
      </c>
      <c r="C68" s="195"/>
      <c r="D68" s="195"/>
      <c r="E68" s="196"/>
      <c r="F68" s="12" t="str">
        <f>F69 &amp; F70 &amp; F71</f>
        <v>SELECT
        W_URIAGE_RENDO.URIAGE_NO       --売上No.
        ,T_URIAGE_B.SHOHIN_CD          --商品コード
        ,''                            --マスター区分
        ,2                             --税区分
        ,0                             --税込区分
        ,CASE WHEN LEN(CONVERT(INT,T_URIAGE_B.HAMBAI_TANKA)) &gt; 6
              THEN 0
              ELSE 2
         END                           --単価小数桁
        ,2                             --数量小数桁
        ,T_URIAGE_B.SHOHIN_MEI         --商品名
        ,''                            --商品名2
        ,(SELECT
            M_SHOHIN.HIMBAN
          FROM M_SHOHIN
         WHERE M_SHOHIN.SHOHIN_CD = T_URIAGE_B.SHOHIN_CD)--規格・型番                          
        ,''                            --色
        ,''                            --サイズ
        ,''                            --倉庫
        ,CASE WHEN T_URIAGE_B.HAMBAI_TANKA &lt; 0   then 2
          else  0 
        end                            --区
        ,''                            --入数 
        ,''                            --箱数
        ,T_URIAGE_B.URIAGE_SURYO       --数量
        ,T_URIAGE_B.URIAGE_SURYO_TANI  --単位
        ,T_URIAGE_B.HAMBAI_TANKA       --単価
        ,T_URIAGE_B.GENTANKA           --原単価
        ,''                            --売単価
        ,T_URIAGE_B.HAMBAI_KINGAKU     --金額
        ,T_URIAGE_B.GENKA_KINGAKU      --原価金額
        ,''                            --売価金額
        ,T_URIAGE_B.ARARIEKI           --粗利益
        ,T_URIAGE_B.TEKIYO             --備考
        ,''                            --入荷マーク
        ,T_URIAGE_B.TEIKA              --標準価格
        ,T_URIAGE_B.TEIKA              --標準価格(入力)
        ,T_URIAGE_H.TAX_RATE * 100     --税率 
        ,T_URIAGE_H.TAX                --外税額 
        ,''     --内税額 
        ,''     --計算式コード
        ,''     --商品項目1
        ,''     --商品項目2
        ,''     --商品項目3
        ,''     --売上項目1
        ,''     --売上項目2
        ,''     --売上項目3
        ,''     --出荷指示
        ,''     --受注ヘッダーID
        ,''     --受注明細SEQ
        ,''     --予備1
        ,''     --予備2
        ,''     --予備3
        ,''     --予備数値1
        ,''     --予備数値2
        ,''     --予備数値3
        ,''     --予備金額1
        ,''     --予備金額2
        ,''     --予備金額3
        ,''     --予備文字列1
        ,''     --予備文字列2
        ,''     --予備文字列3
        ,''     --入金済フラグ
        ,''     --入数小数桁
        ,''     --箱数小数桁
        ,''     --数量端数
FROM W_URIAGE_RENDO
  LEFT JOIN T_URIAGE_H
   ON W_URIAGE_RENDO.URIAGE_NO = T_URIAGE_H.URIAGE_NO
  LEFT JOIN T_URIAGE_B
   ON W_URIAGE_RENDO.URIAGE_NO = T_URIAGE_B.URIAGE_NO
 WHERE (1=1)
      AND W_URIAGE_RENDO.W_USER_ID = '1' 
      AND W_URIAGE_RENDO.W_SERIAL = '0'
      AND W_URIAGE_RENDO.SELECT_FLG = 'True'</v>
      </c>
      <c r="G68" s="12"/>
      <c r="H68" s="13" t="s">
        <v>1665</v>
      </c>
    </row>
    <row r="69" spans="2:8" ht="32.25" customHeight="1">
      <c r="B69" s="14"/>
      <c r="C69" s="191" t="s">
        <v>1301</v>
      </c>
      <c r="D69" s="192"/>
      <c r="E69" s="193"/>
      <c r="F69" s="16" t="s">
        <v>1835</v>
      </c>
      <c r="G69" s="122"/>
      <c r="H69" s="15"/>
    </row>
    <row r="70" spans="2:8" ht="15.75" customHeight="1">
      <c r="B70" s="14"/>
      <c r="C70" s="191" t="s">
        <v>1303</v>
      </c>
      <c r="D70" s="192"/>
      <c r="E70" s="193"/>
      <c r="F70" s="16" t="s">
        <v>1757</v>
      </c>
      <c r="G70" s="122"/>
      <c r="H70" s="15"/>
    </row>
    <row r="71" spans="2:8" ht="15.75" customHeight="1">
      <c r="B71" s="14"/>
      <c r="C71" s="206" t="s">
        <v>1279</v>
      </c>
      <c r="D71" s="192"/>
      <c r="E71" s="193"/>
      <c r="F71" s="16" t="str">
        <f>" WHERE (1=1)"&amp; F72 &amp; F73 &amp; F74</f>
        <v xml:space="preserve"> WHERE (1=1)
      AND W_URIAGE_RENDO.W_USER_ID = '1' 
      AND W_URIAGE_RENDO.W_SERIAL = '0'
      AND W_URIAGE_RENDO.SELECT_FLG = 'True'</v>
      </c>
      <c r="G71" s="122"/>
      <c r="H71" s="129"/>
    </row>
    <row r="72" spans="2:8" ht="15.75" customHeight="1">
      <c r="B72" s="14"/>
      <c r="C72" s="132"/>
      <c r="D72" s="191" t="s">
        <v>1435</v>
      </c>
      <c r="E72" s="193"/>
      <c r="F72" s="20" t="str">
        <f xml:space="preserve"> "
      AND W_URIAGE_RENDO.W_USER_ID = '"&amp;UNNH0090_IF_W_USER_ID&amp;"'"</f>
        <v xml:space="preserve">
      AND W_URIAGE_RENDO.W_USER_ID = '1'</v>
      </c>
      <c r="G72" s="122"/>
      <c r="H72" s="129"/>
    </row>
    <row r="73" spans="2:8" ht="15.75" customHeight="1">
      <c r="B73" s="14"/>
      <c r="C73" s="132"/>
      <c r="D73" s="191" t="s">
        <v>1666</v>
      </c>
      <c r="E73" s="193"/>
      <c r="F73" s="20" t="str">
        <f>" 
      AND W_URIAGE_RENDO.W_SERIAL = '"&amp;UNNH0090_IF_W_SERIAL&amp;"'"</f>
        <v xml:space="preserve"> 
      AND W_URIAGE_RENDO.W_SERIAL = '0'</v>
      </c>
      <c r="G73" s="122"/>
      <c r="H73" s="129"/>
    </row>
    <row r="74" spans="2:8" ht="16.5">
      <c r="B74" s="14"/>
      <c r="C74" s="132"/>
      <c r="D74" s="191" t="s">
        <v>1059</v>
      </c>
      <c r="E74" s="193"/>
      <c r="F74" s="20" t="str">
        <f>"
      AND W_URIAGE_RENDO.SELECT_FLG = 'True'"</f>
        <v xml:space="preserve">
      AND W_URIAGE_RENDO.SELECT_FLG = 'True'</v>
      </c>
      <c r="G74" s="122"/>
      <c r="H74" s="129"/>
    </row>
    <row r="77" spans="2:8" ht="16.5">
      <c r="B77" s="194" t="s">
        <v>1321</v>
      </c>
      <c r="C77" s="195"/>
      <c r="D77" s="195"/>
      <c r="E77" s="196"/>
      <c r="F77" s="12"/>
      <c r="G77" s="12"/>
      <c r="H77" s="13"/>
    </row>
    <row r="78" spans="2:8" ht="30" customHeight="1">
      <c r="B78" s="18"/>
      <c r="C78" s="234" t="s">
        <v>1305</v>
      </c>
      <c r="D78" s="235"/>
      <c r="E78" s="236"/>
      <c r="F78" s="16" t="s">
        <v>1667</v>
      </c>
      <c r="G78" s="122"/>
      <c r="H78" s="15" t="s">
        <v>1668</v>
      </c>
    </row>
    <row r="81" spans="2:8" ht="18.75">
      <c r="B81" s="194" t="s">
        <v>1325</v>
      </c>
      <c r="C81" s="195"/>
      <c r="D81" s="195"/>
      <c r="E81" s="196"/>
      <c r="F81" s="133"/>
      <c r="G81" s="133"/>
      <c r="H81" s="13" t="s">
        <v>367</v>
      </c>
    </row>
    <row r="82" spans="2:8" ht="36.75" customHeight="1">
      <c r="B82" s="134"/>
      <c r="C82" s="234" t="s">
        <v>1305</v>
      </c>
      <c r="D82" s="235"/>
      <c r="E82" s="236"/>
      <c r="F82" s="135" t="s">
        <v>1821</v>
      </c>
      <c r="G82" s="136"/>
      <c r="H82" s="137" t="s">
        <v>1669</v>
      </c>
    </row>
    <row r="84" spans="2:8" ht="16.5" customHeight="1">
      <c r="B84" s="194" t="s">
        <v>1850</v>
      </c>
      <c r="C84" s="195"/>
      <c r="D84" s="195"/>
      <c r="E84" s="196"/>
      <c r="F84" s="12"/>
      <c r="G84" s="12"/>
      <c r="H84" s="13"/>
    </row>
    <row r="85" spans="2:8" ht="18.75" customHeight="1">
      <c r="B85" s="18"/>
      <c r="C85" s="234" t="s">
        <v>1837</v>
      </c>
      <c r="D85" s="235"/>
      <c r="E85" s="236"/>
      <c r="F85" s="161" t="s">
        <v>1849</v>
      </c>
      <c r="G85" s="122"/>
      <c r="H85" s="15" t="s">
        <v>1848</v>
      </c>
    </row>
    <row r="93" spans="2:8" ht="18.75" customHeight="1"/>
  </sheetData>
  <mergeCells count="64">
    <mergeCell ref="D17:E17"/>
    <mergeCell ref="D18:D20"/>
    <mergeCell ref="C16:E16"/>
    <mergeCell ref="B5:E5"/>
    <mergeCell ref="B6:E6"/>
    <mergeCell ref="C7:E7"/>
    <mergeCell ref="C8:E8"/>
    <mergeCell ref="B9:E9"/>
    <mergeCell ref="C10:E10"/>
    <mergeCell ref="C11:E11"/>
    <mergeCell ref="B12:E12"/>
    <mergeCell ref="C13:E13"/>
    <mergeCell ref="C14:E14"/>
    <mergeCell ref="B15:E15"/>
    <mergeCell ref="C56:E56"/>
    <mergeCell ref="D21:E21"/>
    <mergeCell ref="D22:D26"/>
    <mergeCell ref="D27:E27"/>
    <mergeCell ref="D28:E28"/>
    <mergeCell ref="D29:E29"/>
    <mergeCell ref="C51:E51"/>
    <mergeCell ref="D34:E34"/>
    <mergeCell ref="C69:E69"/>
    <mergeCell ref="D30:E30"/>
    <mergeCell ref="D31:E31"/>
    <mergeCell ref="D32:E32"/>
    <mergeCell ref="D33:E33"/>
    <mergeCell ref="C57:E57"/>
    <mergeCell ref="D35:E35"/>
    <mergeCell ref="D36:E36"/>
    <mergeCell ref="D37:E37"/>
    <mergeCell ref="D38:E38"/>
    <mergeCell ref="D39:E39"/>
    <mergeCell ref="D41:E41"/>
    <mergeCell ref="D42:D45"/>
    <mergeCell ref="B53:E53"/>
    <mergeCell ref="B54:E54"/>
    <mergeCell ref="C55:E55"/>
    <mergeCell ref="C64:E64"/>
    <mergeCell ref="B65:E65"/>
    <mergeCell ref="C66:E66"/>
    <mergeCell ref="C67:E67"/>
    <mergeCell ref="B68:E68"/>
    <mergeCell ref="C58:E58"/>
    <mergeCell ref="C59:E59"/>
    <mergeCell ref="B61:E61"/>
    <mergeCell ref="B62:E62"/>
    <mergeCell ref="C63:E63"/>
    <mergeCell ref="B84:E84"/>
    <mergeCell ref="C85:E85"/>
    <mergeCell ref="D40:E40"/>
    <mergeCell ref="B81:E81"/>
    <mergeCell ref="C82:E82"/>
    <mergeCell ref="C71:E71"/>
    <mergeCell ref="D72:E72"/>
    <mergeCell ref="D73:E73"/>
    <mergeCell ref="D74:E74"/>
    <mergeCell ref="B77:E77"/>
    <mergeCell ref="C78:E78"/>
    <mergeCell ref="B47:E47"/>
    <mergeCell ref="B48:E48"/>
    <mergeCell ref="C49:E49"/>
    <mergeCell ref="B50:E50"/>
    <mergeCell ref="C70:E70"/>
  </mergeCells>
  <phoneticPr fontId="2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00B0F0"/>
  </sheetPr>
  <dimension ref="A2:D19"/>
  <sheetViews>
    <sheetView zoomScale="70" zoomScaleNormal="70" workbookViewId="0">
      <selection activeCell="H15" sqref="H15"/>
    </sheetView>
  </sheetViews>
  <sheetFormatPr defaultRowHeight="13.5"/>
  <cols>
    <col min="2" max="2" width="31.25" customWidth="1"/>
    <col min="3" max="3" width="44.375" customWidth="1"/>
    <col min="4" max="4" width="82.125" customWidth="1"/>
  </cols>
  <sheetData>
    <row r="2" spans="1:4" ht="30.75" customHeight="1">
      <c r="B2" s="21" t="s">
        <v>1330</v>
      </c>
      <c r="C2" s="22" t="s">
        <v>1702</v>
      </c>
      <c r="D2" s="23" t="s">
        <v>1331</v>
      </c>
    </row>
    <row r="3" spans="1:4" ht="24.75" customHeight="1"/>
    <row r="4" spans="1:4" ht="31.5" customHeight="1">
      <c r="B4" s="21" t="s">
        <v>403</v>
      </c>
      <c r="C4" s="22" t="s">
        <v>399</v>
      </c>
      <c r="D4" s="23" t="s">
        <v>396</v>
      </c>
    </row>
    <row r="7" spans="1:4">
      <c r="A7" s="72" t="s">
        <v>1332</v>
      </c>
      <c r="B7" s="138"/>
    </row>
    <row r="8" spans="1:4">
      <c r="A8" s="72"/>
      <c r="B8" s="138"/>
    </row>
    <row r="9" spans="1:4" ht="37.5" customHeight="1">
      <c r="A9" s="72"/>
      <c r="B9" s="21" t="s">
        <v>1333</v>
      </c>
      <c r="C9" s="22" t="s">
        <v>1703</v>
      </c>
      <c r="D9" s="23" t="s">
        <v>1334</v>
      </c>
    </row>
    <row r="10" spans="1:4" ht="14.25" customHeight="1">
      <c r="A10" s="72"/>
      <c r="B10" s="21"/>
      <c r="C10" s="22"/>
    </row>
    <row r="11" spans="1:4" ht="39" customHeight="1">
      <c r="B11" s="22" t="s">
        <v>1335</v>
      </c>
      <c r="C11" s="22" t="s">
        <v>1704</v>
      </c>
      <c r="D11" s="23" t="s">
        <v>1336</v>
      </c>
    </row>
    <row r="13" spans="1:4" ht="33.75" customHeight="1">
      <c r="B13" t="s">
        <v>1337</v>
      </c>
      <c r="C13" s="22" t="s">
        <v>1705</v>
      </c>
      <c r="D13" s="23" t="s">
        <v>1338</v>
      </c>
    </row>
    <row r="15" spans="1:4" ht="41.25" customHeight="1">
      <c r="B15" s="22" t="s">
        <v>1708</v>
      </c>
      <c r="C15" s="22" t="s">
        <v>1710</v>
      </c>
      <c r="D15" s="23" t="s">
        <v>1709</v>
      </c>
    </row>
    <row r="16" spans="1:4">
      <c r="B16" s="22"/>
      <c r="C16" s="22"/>
    </row>
    <row r="17" spans="2:4" ht="38.25" customHeight="1">
      <c r="B17" t="s">
        <v>1327</v>
      </c>
      <c r="C17" s="22" t="s">
        <v>1706</v>
      </c>
      <c r="D17" s="23" t="s">
        <v>1707</v>
      </c>
    </row>
    <row r="19" spans="2:4" ht="38.25" customHeight="1">
      <c r="B19" t="s">
        <v>1721</v>
      </c>
      <c r="C19" s="22" t="s">
        <v>1723</v>
      </c>
      <c r="D19" s="23" t="s">
        <v>1722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TestLock">
                <anchor moveWithCells="1">
                  <from>
                    <xdr:col>4</xdr:col>
                    <xdr:colOff>476250</xdr:colOff>
                    <xdr:row>3</xdr:row>
                    <xdr:rowOff>390525</xdr:rowOff>
                  </from>
                  <to>
                    <xdr:col>6</xdr:col>
                    <xdr:colOff>38100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TestUnlock">
                <anchor moveWithCells="1">
                  <from>
                    <xdr:col>6</xdr:col>
                    <xdr:colOff>123825</xdr:colOff>
                    <xdr:row>3</xdr:row>
                    <xdr:rowOff>390525</xdr:rowOff>
                  </from>
                  <to>
                    <xdr:col>7</xdr:col>
                    <xdr:colOff>371475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F0"/>
  </sheetPr>
  <dimension ref="A1:F34"/>
  <sheetViews>
    <sheetView workbookViewId="0">
      <selection activeCell="C19" sqref="C19"/>
    </sheetView>
  </sheetViews>
  <sheetFormatPr defaultRowHeight="13.5"/>
  <cols>
    <col min="1" max="1" width="12.25" customWidth="1"/>
    <col min="2" max="2" width="30.125" customWidth="1"/>
    <col min="3" max="3" width="31.25" customWidth="1"/>
    <col min="4" max="4" width="79.375" bestFit="1" customWidth="1"/>
  </cols>
  <sheetData>
    <row r="1" spans="1:4">
      <c r="A1" s="72" t="s">
        <v>1689</v>
      </c>
    </row>
    <row r="2" spans="1:4" ht="21.75" customHeight="1">
      <c r="B2" s="163" t="s">
        <v>400</v>
      </c>
      <c r="C2" s="164" t="s">
        <v>397</v>
      </c>
      <c r="D2" s="165"/>
    </row>
    <row r="4" spans="1:4" ht="21.75" customHeight="1">
      <c r="B4" s="163" t="s">
        <v>401</v>
      </c>
      <c r="C4" s="164" t="s">
        <v>398</v>
      </c>
      <c r="D4" s="165"/>
    </row>
    <row r="6" spans="1:4" ht="21.75" customHeight="1">
      <c r="B6" s="163" t="s">
        <v>402</v>
      </c>
      <c r="C6" s="164" t="s">
        <v>407</v>
      </c>
      <c r="D6" s="165"/>
    </row>
    <row r="7" spans="1:4">
      <c r="A7" s="72" t="s">
        <v>1687</v>
      </c>
    </row>
    <row r="8" spans="1:4" ht="21.75" customHeight="1">
      <c r="B8" s="21" t="s">
        <v>410</v>
      </c>
      <c r="C8" s="22" t="s">
        <v>406</v>
      </c>
      <c r="D8" s="32"/>
    </row>
    <row r="10" spans="1:4" ht="21.75" customHeight="1">
      <c r="B10" s="21" t="s">
        <v>411</v>
      </c>
      <c r="C10" s="22" t="s">
        <v>408</v>
      </c>
      <c r="D10" s="32"/>
    </row>
    <row r="12" spans="1:4" ht="20.25" customHeight="1">
      <c r="B12" s="21" t="s">
        <v>412</v>
      </c>
      <c r="C12" s="22" t="s">
        <v>409</v>
      </c>
      <c r="D12" s="153"/>
    </row>
    <row r="13" spans="1:4">
      <c r="A13" s="72" t="s">
        <v>1688</v>
      </c>
    </row>
    <row r="14" spans="1:4">
      <c r="B14" t="s">
        <v>1681</v>
      </c>
      <c r="C14" t="s">
        <v>1690</v>
      </c>
      <c r="D14" s="154" t="b">
        <v>0</v>
      </c>
    </row>
    <row r="16" spans="1:4">
      <c r="B16" t="s">
        <v>1678</v>
      </c>
      <c r="C16" t="s">
        <v>1698</v>
      </c>
      <c r="D16" s="154" t="b">
        <v>1</v>
      </c>
    </row>
    <row r="18" spans="1:6">
      <c r="B18" t="s">
        <v>1679</v>
      </c>
      <c r="C18" t="s">
        <v>1691</v>
      </c>
      <c r="D18" s="154" t="b">
        <v>0</v>
      </c>
    </row>
    <row r="20" spans="1:6">
      <c r="B20" t="s">
        <v>1680</v>
      </c>
      <c r="C20" t="s">
        <v>1692</v>
      </c>
      <c r="D20" s="154" t="b">
        <v>1</v>
      </c>
    </row>
    <row r="22" spans="1:6">
      <c r="B22" t="s">
        <v>1682</v>
      </c>
      <c r="C22" t="s">
        <v>1693</v>
      </c>
      <c r="D22" s="154" t="b">
        <v>1</v>
      </c>
    </row>
    <row r="24" spans="1:6">
      <c r="B24" t="s">
        <v>1683</v>
      </c>
      <c r="C24" t="s">
        <v>1694</v>
      </c>
      <c r="D24" s="154" t="b">
        <v>1</v>
      </c>
    </row>
    <row r="26" spans="1:6">
      <c r="B26" t="s">
        <v>1792</v>
      </c>
      <c r="C26" t="s">
        <v>1695</v>
      </c>
      <c r="D26" s="154" t="b">
        <v>0</v>
      </c>
    </row>
    <row r="28" spans="1:6">
      <c r="B28" t="s">
        <v>1793</v>
      </c>
      <c r="C28" t="s">
        <v>1791</v>
      </c>
      <c r="D28" s="154" t="b">
        <v>1</v>
      </c>
    </row>
    <row r="29" spans="1:6">
      <c r="A29" s="72" t="s">
        <v>1688</v>
      </c>
    </row>
    <row r="30" spans="1:6">
      <c r="B30" t="s">
        <v>1684</v>
      </c>
      <c r="C30" t="s">
        <v>1699</v>
      </c>
      <c r="D30" s="154">
        <f>IF(AND(UNRD_COMMON_SHOHIN_KUBUN_PART_STS,UNRD_COMMON_SHOHIN_PART_STS),0,1)</f>
        <v>1</v>
      </c>
      <c r="F30" t="s">
        <v>1700</v>
      </c>
    </row>
    <row r="32" spans="1:6">
      <c r="B32" t="s">
        <v>1685</v>
      </c>
      <c r="C32" t="s">
        <v>1696</v>
      </c>
      <c r="D32" s="154">
        <f>IF(AND(UNRD_COMMON_BUMON_PART_STS,UNRD_COMMON_TANTOSHA_PART_STS,UNRD_COMMON_TOKUI_SAKI_KUBUN_PART_STS,UNRD_COMMON_TOKUI_SAKI_PART_STS),0,1)</f>
        <v>1</v>
      </c>
      <c r="F32" t="s">
        <v>1700</v>
      </c>
    </row>
    <row r="34" spans="2:6">
      <c r="B34" t="s">
        <v>1686</v>
      </c>
      <c r="C34" t="s">
        <v>1697</v>
      </c>
      <c r="D34" s="154">
        <f>IF(AND(UNRD_COMMON_BUMON_PART_STS,UNRD_COMMON_TANTOSHA_PART_STS,UNRD_COMMON_SHIIRE_SAKI_PART_STS),0,1)</f>
        <v>1</v>
      </c>
      <c r="F34" t="s">
        <v>1700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workbookViewId="0">
      <selection activeCell="N22" sqref="N22"/>
    </sheetView>
  </sheetViews>
  <sheetFormatPr defaultRowHeight="13.5"/>
  <sheetData/>
  <phoneticPr fontId="2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workbookViewId="0">
      <selection activeCell="K16" sqref="K16"/>
    </sheetView>
  </sheetViews>
  <sheetFormatPr defaultRowHeight="13.5"/>
  <sheetData/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41</vt:i4>
      </vt:variant>
      <vt:variant>
        <vt:lpstr>名前付き一覧</vt:lpstr>
      </vt:variant>
      <vt:variant>
        <vt:i4>380</vt:i4>
      </vt:variant>
    </vt:vector>
  </HeadingPairs>
  <TitlesOfParts>
    <vt:vector size="421" baseType="lpstr">
      <vt:lpstr>UNMM0140</vt:lpstr>
      <vt:lpstr>UNMM0140_SQL</vt:lpstr>
      <vt:lpstr>UNRD0000</vt:lpstr>
      <vt:lpstr>UNRD0010</vt:lpstr>
      <vt:lpstr>UNRD0010_IF</vt:lpstr>
      <vt:lpstr>UNRD0010_SQL</vt:lpstr>
      <vt:lpstr>UNRD0020</vt:lpstr>
      <vt:lpstr>UNRD0020_IF</vt:lpstr>
      <vt:lpstr>UNRD0020_SQL</vt:lpstr>
      <vt:lpstr>UNRD0030</vt:lpstr>
      <vt:lpstr>UNRD0030_IF</vt:lpstr>
      <vt:lpstr>UNRD0030_SQL</vt:lpstr>
      <vt:lpstr>UNRD0031</vt:lpstr>
      <vt:lpstr>UNRD0031_IF</vt:lpstr>
      <vt:lpstr>UNRD0031_SQL</vt:lpstr>
      <vt:lpstr>UNRD0040</vt:lpstr>
      <vt:lpstr>UNRD0040_IF</vt:lpstr>
      <vt:lpstr>UNRD0040_SQL</vt:lpstr>
      <vt:lpstr>UNRD0050</vt:lpstr>
      <vt:lpstr>UNRD0050_IF</vt:lpstr>
      <vt:lpstr>UNRD0050_SQL</vt:lpstr>
      <vt:lpstr>UNRD0051</vt:lpstr>
      <vt:lpstr>UNRD0051_IF</vt:lpstr>
      <vt:lpstr>UNRD0051_SQL</vt:lpstr>
      <vt:lpstr>UNRD0060</vt:lpstr>
      <vt:lpstr>UNRD0060_IF</vt:lpstr>
      <vt:lpstr>UNRD0060_SQL</vt:lpstr>
      <vt:lpstr>UNKB0220_H</vt:lpstr>
      <vt:lpstr>UNKB0220_B</vt:lpstr>
      <vt:lpstr>UNKB0220_IF</vt:lpstr>
      <vt:lpstr>UNKB0220_RENDO_IF</vt:lpstr>
      <vt:lpstr>UNKB0220_SQL</vt:lpstr>
      <vt:lpstr>UNNH0090_H</vt:lpstr>
      <vt:lpstr>UNNH0090_B</vt:lpstr>
      <vt:lpstr>UNNH0090_IF</vt:lpstr>
      <vt:lpstr>UNNH0090_RENDO_IF</vt:lpstr>
      <vt:lpstr>UNNH0090_SQL</vt:lpstr>
      <vt:lpstr>UNRD_COMMON_SQL</vt:lpstr>
      <vt:lpstr>UNRD_COMMON</vt:lpstr>
      <vt:lpstr>Excel_Save_H</vt:lpstr>
      <vt:lpstr>Excel_Save_B</vt:lpstr>
      <vt:lpstr>UNKB0220_H!Print_Area</vt:lpstr>
      <vt:lpstr>UNNH0090_H!Print_Area</vt:lpstr>
      <vt:lpstr>UNKB0220_B_ALL_KENSU</vt:lpstr>
      <vt:lpstr>UNKB0220_B_ALL_PAGE_SU</vt:lpstr>
      <vt:lpstr>UNKB0220_B_BACK_PAGE</vt:lpstr>
      <vt:lpstr>UNKB0220_B_BACK_PAGE_NO</vt:lpstr>
      <vt:lpstr>UNKB0220_B_HIDE_COLUMN</vt:lpstr>
      <vt:lpstr>UNKB0220_B_HIDE_ROW</vt:lpstr>
      <vt:lpstr>UNKB0220_B_HYOJI_GYO_SU</vt:lpstr>
      <vt:lpstr>UNKB0220_B_HYOJI_KENSU</vt:lpstr>
      <vt:lpstr>UNKB0220_B_KOBAI_KBN</vt:lpstr>
      <vt:lpstr>UNKB0220_B_LIST_CLEAR</vt:lpstr>
      <vt:lpstr>UNKB0220_B_LIST_COPY_FLG</vt:lpstr>
      <vt:lpstr>UNKB0220_B_LIST_COPY_SAKI</vt:lpstr>
      <vt:lpstr>UNKB0220_B_LIST_END</vt:lpstr>
      <vt:lpstr>UNKB0220_B_LIST_START</vt:lpstr>
      <vt:lpstr>UNKB0220_B_NEXT_PAGE</vt:lpstr>
      <vt:lpstr>UNKB0220_B_NEXT_PAGE_NO</vt:lpstr>
      <vt:lpstr>UNKB0220_B_NYURYOKUSHA_MEI</vt:lpstr>
      <vt:lpstr>UNKB0220_B_PAGE_NO</vt:lpstr>
      <vt:lpstr>UNKB0220_B_SAVE_START</vt:lpstr>
      <vt:lpstr>UNKB0220_B_SCROLL_LOCK</vt:lpstr>
      <vt:lpstr>UNKB0220_B_SELECT_FLG_COPY_SAKI</vt:lpstr>
      <vt:lpstr>UNKB0220_B_SENTAKU</vt:lpstr>
      <vt:lpstr>UNKB0220_B_SHIIRE_DATE</vt:lpstr>
      <vt:lpstr>UNKB0220_B_SHIIRE_NO</vt:lpstr>
      <vt:lpstr>UNKB0220_B_SHIIRESAKI_CD</vt:lpstr>
      <vt:lpstr>UNKB0220_B_SHIIRESAKI_MEI</vt:lpstr>
      <vt:lpstr>UNKB0220_B_STS</vt:lpstr>
      <vt:lpstr>UNKB0220_B_YOTEI_DATE</vt:lpstr>
      <vt:lpstr>UNKB0220_B_ZEINUKI_GOKEI</vt:lpstr>
      <vt:lpstr>UNKB0220_H_COPY_CELL_SAKI</vt:lpstr>
      <vt:lpstr>UNKB0220_H_FREEWD_1</vt:lpstr>
      <vt:lpstr>UNKB0220_H_FREEWD_1_S</vt:lpstr>
      <vt:lpstr>UNKB0220_H_FREEWD_2</vt:lpstr>
      <vt:lpstr>UNKB0220_H_FREEWD_2_S</vt:lpstr>
      <vt:lpstr>UNKB0220_H_FREEWD_3</vt:lpstr>
      <vt:lpstr>UNKB0220_H_FREEWD_3_S</vt:lpstr>
      <vt:lpstr>UNKB0220_H_FREEWD_KBN</vt:lpstr>
      <vt:lpstr>UNKB0220_H_FREEWD_KBN_DISP</vt:lpstr>
      <vt:lpstr>UNKB0220_H_FREEWD_KBN_S</vt:lpstr>
      <vt:lpstr>UNKB0220_H_GAICHU_KBN</vt:lpstr>
      <vt:lpstr>UNKB0220_H_GAICHU_KBN_S</vt:lpstr>
      <vt:lpstr>UNKB0220_H_HANBAI_KBN</vt:lpstr>
      <vt:lpstr>UNKB0220_H_HANBAI_KBN_S</vt:lpstr>
      <vt:lpstr>UNKB0220_H_HIDE_COLUMN</vt:lpstr>
      <vt:lpstr>UNKB0220_H_HIDE_ROW</vt:lpstr>
      <vt:lpstr>UNKB0220_H_INIT_HEADER_FLG_COPY_SAKI</vt:lpstr>
      <vt:lpstr>UNKB0220_H_KOBAIHIN_KBN</vt:lpstr>
      <vt:lpstr>UNKB0220_H_KOBAIHIN_KBN_S</vt:lpstr>
      <vt:lpstr>UNKB0220_H_MITOTSUGO_STS</vt:lpstr>
      <vt:lpstr>UNKB0220_H_MITOTSUGO_STS_S</vt:lpstr>
      <vt:lpstr>UNKB0220_H_NYURYOKUSHA_CD</vt:lpstr>
      <vt:lpstr>UNKB0220_H_NYURYOKUSHA_CD_S</vt:lpstr>
      <vt:lpstr>UNKB0220_H_NYURYOKUSHA_MEI</vt:lpstr>
      <vt:lpstr>UNKB0220_H_NYURYOKUSHA_MEI_S</vt:lpstr>
      <vt:lpstr>UNKB0220_H_SHIIRE_DATE_END</vt:lpstr>
      <vt:lpstr>UNKB0220_H_SHIIRE_DATE_END_S</vt:lpstr>
      <vt:lpstr>UNKB0220_H_SHIIRE_DATE_START</vt:lpstr>
      <vt:lpstr>UNKB0220_H_SHIIRE_DATE_START_S</vt:lpstr>
      <vt:lpstr>UNKB0220_H_SHIIRE_NO_END</vt:lpstr>
      <vt:lpstr>UNKB0220_H_SHIIRE_NO_END_S</vt:lpstr>
      <vt:lpstr>UNKB0220_H_SHIIRE_NO_START</vt:lpstr>
      <vt:lpstr>UNKB0220_H_SHIIRE_NO_START_S</vt:lpstr>
      <vt:lpstr>UNKB0220_H_SHIIRERENDOZUMI_STS</vt:lpstr>
      <vt:lpstr>UNKB0220_H_SHIIRERENDOZUMI_STS_S</vt:lpstr>
      <vt:lpstr>UNKB0220_H_SHIIRESAKI_CD</vt:lpstr>
      <vt:lpstr>UNKB0220_H_SHIIRESAKI_CD_S</vt:lpstr>
      <vt:lpstr>UNKB0220_H_SHIIRESAKI_MEI</vt:lpstr>
      <vt:lpstr>UNKB0220_H_SHIIRESAKI_MEI_S</vt:lpstr>
      <vt:lpstr>UNKB0220_H_SHUZEN_KBN</vt:lpstr>
      <vt:lpstr>UNKB0220_H_SHUZEN_KBN_S</vt:lpstr>
      <vt:lpstr>UNKB0220_H_TOSHI_KBN</vt:lpstr>
      <vt:lpstr>UNKB0220_H_TOSHI_KBN_S</vt:lpstr>
      <vt:lpstr>UNKB0220_H_TOTSUGOSUMI_STS</vt:lpstr>
      <vt:lpstr>UNKB0220_H_TOTSUGOSUMI_STS_S</vt:lpstr>
      <vt:lpstr>UNKB0220_H_YOTEI_DATE_END</vt:lpstr>
      <vt:lpstr>UNKB0220_H_YOTEI_DATE_END_S</vt:lpstr>
      <vt:lpstr>UNKB0220_H_YOTEI_DATE_START</vt:lpstr>
      <vt:lpstr>UNKB0220_H_YOTEI_DATE_START_S</vt:lpstr>
      <vt:lpstr>UNKB0220_IF_ACTIVE_CELL_NAME</vt:lpstr>
      <vt:lpstr>UNKB0220_IF_ACTIVE_COLUMN</vt:lpstr>
      <vt:lpstr>UNKB0220_IF_ACTIVE_ROW</vt:lpstr>
      <vt:lpstr>UNKB0220_IF_ACTIVE_SHEET</vt:lpstr>
      <vt:lpstr>UNKB0220_IF_B_FLG_COPY_MOTO</vt:lpstr>
      <vt:lpstr>UNKB0220_IF_DATA_SEARCH_FLG</vt:lpstr>
      <vt:lpstr>UNKB0220_IF_EXCEL_FILE_NAME</vt:lpstr>
      <vt:lpstr>UNKB0220_IF_INIT_HEADER_COPY_MOTO</vt:lpstr>
      <vt:lpstr>UNKB0220_IF_INIT_HEADER_FLG_COPY_MOTO</vt:lpstr>
      <vt:lpstr>UNKB0220_IF_LIST_COPY_MOTO</vt:lpstr>
      <vt:lpstr>UNKB0220_IF_LIST_DEFAULT</vt:lpstr>
      <vt:lpstr>UNKB0220_IF_PRINT_COUNT</vt:lpstr>
      <vt:lpstr>UNKB0220_IF_PRINT_SHOSHIKI_COPY_FLAG</vt:lpstr>
      <vt:lpstr>UNKB0220_IF_PRINT_SHOSHIKI_COPY_MOTO</vt:lpstr>
      <vt:lpstr>UNKB0220_IF_PRINT_SHOSHIKI_COPY_SAKI</vt:lpstr>
      <vt:lpstr>UNKB0220_IF_PRINT_START</vt:lpstr>
      <vt:lpstr>UNKB0220_IF_W_SERIAL</vt:lpstr>
      <vt:lpstr>UNKB0220_IF_W_SERIAL_CREATE</vt:lpstr>
      <vt:lpstr>UNKB0220_IF_W_USER_ID</vt:lpstr>
      <vt:lpstr>UNKB0220_RENDO_IF_B_CLEAR</vt:lpstr>
      <vt:lpstr>UNKB0220_RENDO_IF_B_KENSU</vt:lpstr>
      <vt:lpstr>UNKB0220_RENDO_IF_B_START</vt:lpstr>
      <vt:lpstr>UNKB0220_RENDO_IF_H_CLEAR</vt:lpstr>
      <vt:lpstr>UNKB0220_RENDO_IF_H_KENSU</vt:lpstr>
      <vt:lpstr>UNKB0220_RENDO_IF_H_START</vt:lpstr>
      <vt:lpstr>UNKB0220_RENDO_IF_SHIIRE_H_COUNT</vt:lpstr>
      <vt:lpstr>UNKB0220_RENDO_IF_SHIIRE_H_RENDO_FLG</vt:lpstr>
      <vt:lpstr>UNKB0220_RENDO_IF_SHIIRE_H_SHOSHIKI_COPY_MOTO</vt:lpstr>
      <vt:lpstr>UNKB0220_RENDO_IF_SHIIRE_H_SHOSHIKI_COPY_SAKI</vt:lpstr>
      <vt:lpstr>UNKB0220_RENDO_IF_SHIIRE_H_START</vt:lpstr>
      <vt:lpstr>UNKB0220_RENDO_IF_SHIIRE_NO</vt:lpstr>
      <vt:lpstr>UNKB0220_RENDO_IF_SHIIRE_STS</vt:lpstr>
      <vt:lpstr>UNKB0220_RENDO_IF_SHOKAN_LINK_DATETIME</vt:lpstr>
      <vt:lpstr>UNKB0220_RENDO_IF_SHOKAN_NO</vt:lpstr>
      <vt:lpstr>UNKB0220_SQL_DEFAULT_SORT</vt:lpstr>
      <vt:lpstr>UNKB0220_SQL_EXCEL_LIST</vt:lpstr>
      <vt:lpstr>UNKB0220_SQL_SHIIRE_H_LIST</vt:lpstr>
      <vt:lpstr>UNKB0220_SQL_SHIIRE_RENDO_B_LIST</vt:lpstr>
      <vt:lpstr>UNKB0220_SQL_SHIIRE_RENDO_H_LIST</vt:lpstr>
      <vt:lpstr>UNKB0220_SQL_SHIIRE_RENDO_LIST</vt:lpstr>
      <vt:lpstr>UNKB0220_SQL_SHIIRE_RENDO_LIST_CNT</vt:lpstr>
      <vt:lpstr>UNKB0220_SQL_SORT</vt:lpstr>
      <vt:lpstr>UNKB0220_SQL_SORT_BY</vt:lpstr>
      <vt:lpstr>UNKB0220_SQL_SP_CLEAR</vt:lpstr>
      <vt:lpstr>UNKB0220_SQL_SP_LOAD</vt:lpstr>
      <vt:lpstr>UNKB0220_SQL_W_SHIIRE_RENDO_LIST</vt:lpstr>
      <vt:lpstr>UNMM0140_HIDE_COLUMN</vt:lpstr>
      <vt:lpstr>UNMM0140_HIDE_ROW</vt:lpstr>
      <vt:lpstr>UNMM0140_SEIKYU_RENDO_COUNT</vt:lpstr>
      <vt:lpstr>UNMM0140_SEIKYU_RENDO_DATETIME</vt:lpstr>
      <vt:lpstr>UNMM0140_SHIIRE_RENDO_COUNT</vt:lpstr>
      <vt:lpstr>UNMM0140_SHIIRE_RENDO_DATETIME</vt:lpstr>
      <vt:lpstr>UNMM0140_SHOHIN_RENDO_COUNT</vt:lpstr>
      <vt:lpstr>UNMM0140_SHOHIN_RENDO_DATETIME</vt:lpstr>
      <vt:lpstr>UNMM0140_SQL_GET_SEIKYU_COUNT</vt:lpstr>
      <vt:lpstr>UNMM0140_SQL_GET_SEIKYU_LINK_DATETIME</vt:lpstr>
      <vt:lpstr>UNMM0140_SQL_GET_SHIIRE_COUNT</vt:lpstr>
      <vt:lpstr>UNMM0140_SQL_GET_SHIIRE_LINK_DATETIME</vt:lpstr>
      <vt:lpstr>UNMM0140_SQL_GET_SHOHIN_COUNT</vt:lpstr>
      <vt:lpstr>UNMM0140_SQL_GET_SHOHIN_LINK_DATETIME</vt:lpstr>
      <vt:lpstr>UNNH0090_B_ALL_KENSU</vt:lpstr>
      <vt:lpstr>UNNH0090_B_ALL_PAGE_SU</vt:lpstr>
      <vt:lpstr>UNNH0090_B_ARARIEKI</vt:lpstr>
      <vt:lpstr>UNNH0090_B_ARARIRITSU</vt:lpstr>
      <vt:lpstr>UNNH0090_B_BACK_PAGE</vt:lpstr>
      <vt:lpstr>UNNH0090_B_BACK_PAGE_NO</vt:lpstr>
      <vt:lpstr>UNNH0090_B_DEMPYO_KBN</vt:lpstr>
      <vt:lpstr>UNNH0090_B_GENKA_GOKEI</vt:lpstr>
      <vt:lpstr>UNNH0090_B_HIDE_COLUMN</vt:lpstr>
      <vt:lpstr>UNNH0090_B_HIDE_ROW</vt:lpstr>
      <vt:lpstr>UNNH0090_B_HYOJI_GYO_SU</vt:lpstr>
      <vt:lpstr>UNNH0090_B_HYOJI_KENSU</vt:lpstr>
      <vt:lpstr>UNNH0090_B_JURI_NO</vt:lpstr>
      <vt:lpstr>UNNH0090_B_KAISHU_DATE</vt:lpstr>
      <vt:lpstr>UNNH0090_B_LIST_CLEAR</vt:lpstr>
      <vt:lpstr>UNNH0090_B_LIST_COPY_FLG</vt:lpstr>
      <vt:lpstr>UNNH0090_B_LIST_COPY_SAKI</vt:lpstr>
      <vt:lpstr>UNNH0090_B_LIST_END</vt:lpstr>
      <vt:lpstr>UNNH0090_B_LIST_START</vt:lpstr>
      <vt:lpstr>UNNH0090_B_NEXT_PAGE</vt:lpstr>
      <vt:lpstr>UNNH0090_B_NEXT_PAGE_NO</vt:lpstr>
      <vt:lpstr>UNNH0090_B_NOHIN_DATE</vt:lpstr>
      <vt:lpstr>UNNH0090_B_NYURYOKUSHA_MEI</vt:lpstr>
      <vt:lpstr>UNNH0090_B_PAGE_NO</vt:lpstr>
      <vt:lpstr>UNNH0090_B_SAVE_START</vt:lpstr>
      <vt:lpstr>UNNH0090_B_SCROLL_LOCK</vt:lpstr>
      <vt:lpstr>UNNH0090_B_SEIKYUSAKI_CD</vt:lpstr>
      <vt:lpstr>UNNH0090_B_SEIKYUSAKI_MEI</vt:lpstr>
      <vt:lpstr>UNNH0090_B_SELECT_FLG_COPY_SAKI</vt:lpstr>
      <vt:lpstr>UNNH0090_B_SENTAKU</vt:lpstr>
      <vt:lpstr>UNNH0090_B_STS</vt:lpstr>
      <vt:lpstr>UNNH0090_B_URIAGE_DATE</vt:lpstr>
      <vt:lpstr>UNNH0090_B_URIAGE_NO</vt:lpstr>
      <vt:lpstr>UNNH0090_B_ZEI</vt:lpstr>
      <vt:lpstr>UNNH0090_B_ZEIKOMI_GOKEI</vt:lpstr>
      <vt:lpstr>UNNH0090_B_ZEINUKI_GOKEI</vt:lpstr>
      <vt:lpstr>UNNH0090_H_AKA_KBN</vt:lpstr>
      <vt:lpstr>UNNH0090_H_AKA_KBN_S</vt:lpstr>
      <vt:lpstr>UNNH0090_H_COPY_CELL_SAKI</vt:lpstr>
      <vt:lpstr>UNNH0090_H_DEMPYO_MEI</vt:lpstr>
      <vt:lpstr>UNNH0090_H_DEMPYO_MEI_S</vt:lpstr>
      <vt:lpstr>UNNH0090_H_FREEWD_1</vt:lpstr>
      <vt:lpstr>UNNH0090_H_FREEWD_1_S</vt:lpstr>
      <vt:lpstr>UNNH0090_H_FREEWD_2</vt:lpstr>
      <vt:lpstr>UNNH0090_H_FREEWD_2_S</vt:lpstr>
      <vt:lpstr>UNNH0090_H_FREEWD_3</vt:lpstr>
      <vt:lpstr>UNNH0090_H_FREEWD_3_S</vt:lpstr>
      <vt:lpstr>UNNH0090_H_FREEWD_KBN</vt:lpstr>
      <vt:lpstr>UNNH0090_H_FREEWD_KBN_DISP</vt:lpstr>
      <vt:lpstr>UNNH0090_H_FREEWD_KBN_S</vt:lpstr>
      <vt:lpstr>UNNH0090_H_HAKKOSUMI_STS</vt:lpstr>
      <vt:lpstr>UNNH0090_H_HAKKOSUMI_STS_S</vt:lpstr>
      <vt:lpstr>UNNH0090_H_HIDE_COLUMN</vt:lpstr>
      <vt:lpstr>UNNH0090_H_HIDE_ROW</vt:lpstr>
      <vt:lpstr>UNNH0090_H_INIT_HEADER_FLG_COPY_SAKI</vt:lpstr>
      <vt:lpstr>UNNH0090_H_JURI_NO_END</vt:lpstr>
      <vt:lpstr>UNNH0090_H_JURI_NO_END_S</vt:lpstr>
      <vt:lpstr>UNNH0090_H_JURI_NO_START</vt:lpstr>
      <vt:lpstr>UNNH0090_H_JURI_NO_START_S</vt:lpstr>
      <vt:lpstr>UNNH0090_H_KAISHU_DATE_END</vt:lpstr>
      <vt:lpstr>UNNH0090_H_KAISHU_DATE_END_S</vt:lpstr>
      <vt:lpstr>UNNH0090_H_KAISHU_DATE_START</vt:lpstr>
      <vt:lpstr>UNNH0090_H_KAISHU_DATE_START_S</vt:lpstr>
      <vt:lpstr>UNNH0090_H_KETSUGO_KBN</vt:lpstr>
      <vt:lpstr>UNNH0090_H_KETSUGO_KBN_S</vt:lpstr>
      <vt:lpstr>UNNH0090_H_KURO_KBN</vt:lpstr>
      <vt:lpstr>UNNH0090_H_KURO_KBN_S</vt:lpstr>
      <vt:lpstr>UNNH0090_H_MIHAKKO_STS</vt:lpstr>
      <vt:lpstr>UNNH0090_H_MIHAKKO_STS_S</vt:lpstr>
      <vt:lpstr>UNNH0090_H_NOHIN_DATE_END</vt:lpstr>
      <vt:lpstr>UNNH0090_H_NOHIN_DATE_END_S</vt:lpstr>
      <vt:lpstr>UNNH0090_H_NOHIN_DATE_START</vt:lpstr>
      <vt:lpstr>UNNH0090_H_NOHIN_DATE_START_S</vt:lpstr>
      <vt:lpstr>UNNH0090_H_NYURYOKUSHA_CD</vt:lpstr>
      <vt:lpstr>UNNH0090_H_NYURYOKUSHA_CD_S</vt:lpstr>
      <vt:lpstr>UNNH0090_H_NYURYOKUSHA_MEI</vt:lpstr>
      <vt:lpstr>UNNH0090_H_NYURYOKUSHA_MEI_S</vt:lpstr>
      <vt:lpstr>UNNH0090_H_SAIHAKKOSUMI_STS</vt:lpstr>
      <vt:lpstr>UNNH0090_H_SAIHAKKOSUMI_STS_S</vt:lpstr>
      <vt:lpstr>UNNH0090_H_SEIKYUSAKI_CD</vt:lpstr>
      <vt:lpstr>UNNH0090_H_SEIKYUSAKI_CD_S</vt:lpstr>
      <vt:lpstr>UNNH0090_H_SEIKYUSAKI_MEI</vt:lpstr>
      <vt:lpstr>UNNH0090_H_SEIKYUSAKI_MEI_S</vt:lpstr>
      <vt:lpstr>UNNH0090_H_SHIMEBI</vt:lpstr>
      <vt:lpstr>UNNH0090_H_SHIMEBI_KBN</vt:lpstr>
      <vt:lpstr>UNNH0090_H_SHIMEBI_KBN_S</vt:lpstr>
      <vt:lpstr>UNNH0090_H_TEISEI_KBN</vt:lpstr>
      <vt:lpstr>UNNH0090_H_TEISEI_KBN_S</vt:lpstr>
      <vt:lpstr>UNNH0090_H_TSUJO_KBN</vt:lpstr>
      <vt:lpstr>UNNH0090_H_TSUJO_KBN_S</vt:lpstr>
      <vt:lpstr>UNNH0090_H_URIAGE_DATE_END</vt:lpstr>
      <vt:lpstr>UNNH0090_H_URIAGE_DATE_END_S</vt:lpstr>
      <vt:lpstr>UNNH0090_H_URIAGE_DATE_START</vt:lpstr>
      <vt:lpstr>UNNH0090_H_URIAGE_DATE_START_S</vt:lpstr>
      <vt:lpstr>UNNH0090_H_URIAGE_NO_END</vt:lpstr>
      <vt:lpstr>UNNH0090_H_URIAGE_NO_END_S</vt:lpstr>
      <vt:lpstr>UNNH0090_H_URIAGE_NO_START</vt:lpstr>
      <vt:lpstr>UNNH0090_H_URIAGE_NO_START_S</vt:lpstr>
      <vt:lpstr>UNNH0090_IF_ACTIVE_CELL_NAME</vt:lpstr>
      <vt:lpstr>UNNH0090_IF_ACTIVE_COLUMN</vt:lpstr>
      <vt:lpstr>UNNH0090_IF_ACTIVE_ROW</vt:lpstr>
      <vt:lpstr>UNNH0090_IF_ACTIVE_SHEET</vt:lpstr>
      <vt:lpstr>UNNH0090_IF_B_FLG_COPY_MOTO</vt:lpstr>
      <vt:lpstr>UNNH0090_IF_DATA_SEARCH_FLG</vt:lpstr>
      <vt:lpstr>UNNH0090_IF_EXCEL_FILE_NAME</vt:lpstr>
      <vt:lpstr>UNNH0090_IF_INIT_HEADER_COPY_MOTO</vt:lpstr>
      <vt:lpstr>UNNH0090_IF_INIT_HEADER_FLG_COPY_MOTO</vt:lpstr>
      <vt:lpstr>UNNH0090_IF_LIST_COPY_MOTO</vt:lpstr>
      <vt:lpstr>UNNH0090_IF_LIST_DEFAULT</vt:lpstr>
      <vt:lpstr>UNNH0090_IF_LIST_SHIMEBI_KENSU</vt:lpstr>
      <vt:lpstr>UNNH0090_IF_LIST_SHIMEBI_START</vt:lpstr>
      <vt:lpstr>UNNH0090_IF_PRINT_COUNT</vt:lpstr>
      <vt:lpstr>UNNH0090_IF_PRINT_SHOSHIKI_COPY_FLAG</vt:lpstr>
      <vt:lpstr>UNNH0090_IF_PRINT_SHOSHIKI_COPY_MOTO</vt:lpstr>
      <vt:lpstr>UNNH0090_IF_PRINT_SHOSHIKI_COPY_SAKI</vt:lpstr>
      <vt:lpstr>UNNH0090_IF_PRINT_START</vt:lpstr>
      <vt:lpstr>UNNH0090_IF_W_SERIAL</vt:lpstr>
      <vt:lpstr>UNNH0090_IF_W_SERIAL_CREATE</vt:lpstr>
      <vt:lpstr>UNNH0090_IF_W_USER_ID</vt:lpstr>
      <vt:lpstr>UNNH0090_RENDO_IF_B_CLEAR</vt:lpstr>
      <vt:lpstr>UNNH0090_RENDO_IF_B_KENSU</vt:lpstr>
      <vt:lpstr>UNNH0090_RENDO_IF_B_START</vt:lpstr>
      <vt:lpstr>UNNH0090_RENDO_IF_H_CLEAR</vt:lpstr>
      <vt:lpstr>UNNH0090_RENDO_IF_H_KENSU</vt:lpstr>
      <vt:lpstr>UNNH0090_RENDO_IF_H_START</vt:lpstr>
      <vt:lpstr>UNNH0090_RENDO_IF_URIAGE_H_RENDO_FLG</vt:lpstr>
      <vt:lpstr>UNNH0090_RENDO_IF_URIAGE_H_RENDO_KBN</vt:lpstr>
      <vt:lpstr>UNNH0090_RENDO_IF_URIAGE_H_RENDO_STS</vt:lpstr>
      <vt:lpstr>UNNH0090_RENDO_IF_URIAGE_H_SHOKON_LIST_DATE_TIME</vt:lpstr>
      <vt:lpstr>UNNH0090_RENDO_IF_URIAGE_H_SHOKON_NO</vt:lpstr>
      <vt:lpstr>UNNH0090_RENDO_IF_URIAGE_H_SHOSHIKI_COPY_MOTO</vt:lpstr>
      <vt:lpstr>UNNH0090_RENDO_IF_URIAGE_H_SHOSHIKI_COPY_SAKI</vt:lpstr>
      <vt:lpstr>UNNH0090_RENDO_IF_URIAGE_H_START</vt:lpstr>
      <vt:lpstr>UNNH0090_RENDO_IF_URIAGE_H_URIAGE_NO</vt:lpstr>
      <vt:lpstr>UNNH0090_RENDO_URIAGE_H_COUNT</vt:lpstr>
      <vt:lpstr>UNNH0090_SQL_DEFAULT_SORT</vt:lpstr>
      <vt:lpstr>UNNH0090_SQL_EXCEL_LIST</vt:lpstr>
      <vt:lpstr>UNNH0090_SQL_LIST_SHIMEBI</vt:lpstr>
      <vt:lpstr>UNNH0090_SQL_SORT</vt:lpstr>
      <vt:lpstr>UNNH0090_SQL_SORT_BY</vt:lpstr>
      <vt:lpstr>UNNH0090_SQL_SP_CLEAR</vt:lpstr>
      <vt:lpstr>UNNH0090_SQL_SP_LOAD</vt:lpstr>
      <vt:lpstr>UNNH0090_SQL_URIAGE_H_LIST</vt:lpstr>
      <vt:lpstr>UNNH0090_SQL_URIAGE_RENDO_B_LIST</vt:lpstr>
      <vt:lpstr>UNNH0090_SQL_URIAGE_RENDO_H_LIST</vt:lpstr>
      <vt:lpstr>UNNH0090_SQL_URIAGE_RENDO_LIST</vt:lpstr>
      <vt:lpstr>UNNH0090_SQL_URIAGE_RENDO_LIST_CNT</vt:lpstr>
      <vt:lpstr>UNNH0090_SQL_W_URIAGE_RENDO_LIST</vt:lpstr>
      <vt:lpstr>UNRD_COMMON_BUMON_PART_STS</vt:lpstr>
      <vt:lpstr>UNRD_COMMON_PROJECT_PART_STS</vt:lpstr>
      <vt:lpstr>UNRD_COMMON_SEIKYU_ERROR_CODE_LIST</vt:lpstr>
      <vt:lpstr>UNRD_COMMON_SEIKYU_LAST_DATE_TIME</vt:lpstr>
      <vt:lpstr>UNRD_COMMON_SHIIRE_ERROR_CODE_LIST</vt:lpstr>
      <vt:lpstr>UNRD_COMMON_SHIIRE_LAST_DATE_TIME</vt:lpstr>
      <vt:lpstr>UNRD_COMMON_SHIIRE_SAKI_ALL_STS</vt:lpstr>
      <vt:lpstr>UNRD_COMMON_SHIIRE_SAKI_PART_STS</vt:lpstr>
      <vt:lpstr>UNRD_COMMON_SHOHIN_ALL_STS</vt:lpstr>
      <vt:lpstr>UNRD_COMMON_SHOHIN_ERROR_CODE_LIST</vt:lpstr>
      <vt:lpstr>UNRD_COMMON_SHOHIN_KUBUN_PART_STS</vt:lpstr>
      <vt:lpstr>UNRD_COMMON_SHOHIN_LAST_DATE_TIME</vt:lpstr>
      <vt:lpstr>UNRD_COMMON_SHOHIN_PART_STS</vt:lpstr>
      <vt:lpstr>UNRD_COMMON_SQL_JURI_NO_SEARCH</vt:lpstr>
      <vt:lpstr>UNRD_COMMON_SQL_LAST_DATE_TIME</vt:lpstr>
      <vt:lpstr>UNRD_COMMON_SQL_SEIKYUSAKI_SEARCH</vt:lpstr>
      <vt:lpstr>UNRD_COMMON_SQL_SELECT_CTRL_HYOJI_GYO_SU</vt:lpstr>
      <vt:lpstr>UNRD_COMMON_SQL_SHAIN_SEARCH</vt:lpstr>
      <vt:lpstr>UNRD_COMMON_SQL_SHIIRE_NO_SEARCH</vt:lpstr>
      <vt:lpstr>UNRD_COMMON_SQL_SHIIRESAKI_SEARCH</vt:lpstr>
      <vt:lpstr>UNRD_COMMON_SQL_URIAGE_SERCH</vt:lpstr>
      <vt:lpstr>UNRD_COMMON_TANTOSHA_PART_STS</vt:lpstr>
      <vt:lpstr>UNRD_COMMON_TOKUI_ALL_SAKI</vt:lpstr>
      <vt:lpstr>UNRD_COMMON_TOKUI_SAKI_KUBUN_PART_STS</vt:lpstr>
      <vt:lpstr>UNRD_COMMON_TOKUI_SAKI_PART_STS</vt:lpstr>
      <vt:lpstr>UNRD0000_RENDO_MASTER_AREA_ID</vt:lpstr>
      <vt:lpstr>UNRD0000_RENDO_MASTER_DBS_USER_ID</vt:lpstr>
      <vt:lpstr>UNRD0000_RENDO_MASTER_PASSWORD</vt:lpstr>
      <vt:lpstr>UNRD0000_RENDO_MASTER_USER_ID</vt:lpstr>
      <vt:lpstr>UNRD0010_BUMON_MASTER_START</vt:lpstr>
      <vt:lpstr>UNRD0010_IF_BUMON_MASTER_CLEAR</vt:lpstr>
      <vt:lpstr>UNRD0010_IF_BUMON_MASTER_KENSU</vt:lpstr>
      <vt:lpstr>UNRD0010_IF_BUMON_MASTER_RENDO_DATETIME</vt:lpstr>
      <vt:lpstr>UNRD0010_IF_BUMON_MASTER_START</vt:lpstr>
      <vt:lpstr>UNRD0010_SQL_BUMON_RENDO_DATETIME</vt:lpstr>
      <vt:lpstr>UNRD0010_SQL_BUMON_RENDO_LIST</vt:lpstr>
      <vt:lpstr>UNRD0010_SQL_UPDATE_MASTER_LINK_DATETIME</vt:lpstr>
      <vt:lpstr>UNRD0020_IF_TANTOSHA_MASTER_CLEAR</vt:lpstr>
      <vt:lpstr>UNRD0020_IF_TANTOSHA_MASTER_KENSU</vt:lpstr>
      <vt:lpstr>UNRD0020_IF_TANTOSHA_MASTER_RENDO_DATETIME</vt:lpstr>
      <vt:lpstr>UNRD0020_IF_TANTOSHA_MASTER_START</vt:lpstr>
      <vt:lpstr>UNRD0020_SQL_SHAIN_RENDO_DATETIME</vt:lpstr>
      <vt:lpstr>UNRD0020_SQL_SHAIN_RENDO_LIST</vt:lpstr>
      <vt:lpstr>UNRD0020_SQL_UPDATE_MASTER_LINK_DATETIME</vt:lpstr>
      <vt:lpstr>UNRD0020_TANTOSHA_MASTER_START</vt:lpstr>
      <vt:lpstr>UNRD0030_IF_TOKUI_SAKI_MASTER_CLEAR</vt:lpstr>
      <vt:lpstr>UNRD0030_IF_TOKUI_SAKI_MASTER_KENSU</vt:lpstr>
      <vt:lpstr>UNRD0030_IF_TOKUI_SAKI_MASTER_START</vt:lpstr>
      <vt:lpstr>UNRD0030_SQL_TOKUI_SAKI_RENDO_LIST</vt:lpstr>
      <vt:lpstr>UNRD0030_SQL_UPDATE_CONTROL_LINK_DATETIME</vt:lpstr>
      <vt:lpstr>UNRD0030_SQL_UPDATE_MASTER_LINK_DATETIME</vt:lpstr>
      <vt:lpstr>UNRD0030_TOKUI_SAKI_MASTER_START</vt:lpstr>
      <vt:lpstr>UNRD0031_IF_TOKUI_SAKI_KUBUN_MASTER_CLEAR</vt:lpstr>
      <vt:lpstr>UNRD0031_IF_TOKUI_SAKI_KUBUN_MASTER_KENSU</vt:lpstr>
      <vt:lpstr>UNRD0031_IF_TOKUI_SAKI_KUBUN_MASTER_RENDO_DATETIME</vt:lpstr>
      <vt:lpstr>UNRD0031_IF_TOKUI_SAKI_KUBUN_MASTER_START</vt:lpstr>
      <vt:lpstr>UNRD0031_SQL_TOKUI_SAKI_KUBUN_RENDO_DATETIME</vt:lpstr>
      <vt:lpstr>UNRD0031_SQL_TOKUI_SAKI_KUBUN_RENDO_LIST</vt:lpstr>
      <vt:lpstr>UNRD0031_SQL_UPDATE_MASTER_LINK_DATETIME</vt:lpstr>
      <vt:lpstr>UNRD0031_TOKUI_SAKI_KUBUN_MASTER_START</vt:lpstr>
      <vt:lpstr>UNRD0040_IF_SHIIRE_SAKI_MASTER_CLEAR</vt:lpstr>
      <vt:lpstr>UNRD0040_IF_SHIIRE_SAKI_MASTER_KENSU</vt:lpstr>
      <vt:lpstr>UNRD0040_IF_SHIIRE_SAKI_MASTER_START</vt:lpstr>
      <vt:lpstr>UNRD0040_SHIIRE_SAKI_MASTER_START</vt:lpstr>
      <vt:lpstr>UNRD0040_SQL_SHIIRE_SAKI_RENDO_LIST</vt:lpstr>
      <vt:lpstr>UNRD0040_SQL_UPDATE_CONTROL_LINK_DATETIME</vt:lpstr>
      <vt:lpstr>UNRD0040_SQL_UPDATE_MASTER_LINK_DATETIME</vt:lpstr>
      <vt:lpstr>UNRD0050_IF_SHOHIN_MASTER_CLEAR</vt:lpstr>
      <vt:lpstr>UNRD0050_IF_SHOHIN_MASTER_KENSU</vt:lpstr>
      <vt:lpstr>UNRD0050_IF_SHOHIN_MASTER_START</vt:lpstr>
      <vt:lpstr>UNRD0050_SHOHIN_MASTER_MASTER_KUBUN</vt:lpstr>
      <vt:lpstr>UNRD0050_SHOHIN_MASTER_START</vt:lpstr>
      <vt:lpstr>UNRD0050_SHOHIN_MASTER_SYSTEM_KUBUN</vt:lpstr>
      <vt:lpstr>UNRD0050_SQL_SHOHIN_RENDO_LIST</vt:lpstr>
      <vt:lpstr>UNRD0050_SQL_UPDATE_CONTROL_LINK_DATETIME</vt:lpstr>
      <vt:lpstr>UNRD0050_SQL_UPDATE_MASTER_LINK_DATETIME</vt:lpstr>
      <vt:lpstr>UNRD0051_IF_BUMON_MASTER_RENDO_DATETIME</vt:lpstr>
      <vt:lpstr>UNRD0051_IF_SHOHIN_KUBUN_MASTER_CLEAR</vt:lpstr>
      <vt:lpstr>UNRD0051_IF_SHOHIN_KUBUN_MASTER_KENSU</vt:lpstr>
      <vt:lpstr>UNRD0051_IF_SHOHIN_KUBUN_MASTER_START</vt:lpstr>
      <vt:lpstr>UNRD0051_SHOHIN_KUBUN_MASTER_START</vt:lpstr>
      <vt:lpstr>UNRD0051_SQL_SHOHIN_KUBUN_RENDO_DATETIME</vt:lpstr>
      <vt:lpstr>UNRD0051_SQL_SHOHIN_KUBUN_RENDO_LIST</vt:lpstr>
      <vt:lpstr>UNRD0051_SQL_UPDATE_MASTER_LINK_DATETIME</vt:lpstr>
      <vt:lpstr>UNRD0060_IF_BUMON_MASTER_RENDO_DATETIME</vt:lpstr>
      <vt:lpstr>UNRD0060_IF_PROJECT_MASTER_CLEAR</vt:lpstr>
      <vt:lpstr>UNRD0060_IF_PROJECT_MASTER_KENSU</vt:lpstr>
      <vt:lpstr>UNRD0060_IF_PROJECT_MASTER_START</vt:lpstr>
      <vt:lpstr>UNRD0060_PROJECT_MASTER_START</vt:lpstr>
      <vt:lpstr>UNRD0060_SQL_PROJECT_RENDO_DATETIME</vt:lpstr>
      <vt:lpstr>UNRD0060_SQL_PROJECT_RENDO_LIST</vt:lpstr>
      <vt:lpstr>UNRD0060_SQL_UPDATE_MASTER_LINK_DATETIME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システム開発者 2</dc:creator>
  <cp:lastModifiedBy>システム開発者 2</cp:lastModifiedBy>
  <dcterms:created xsi:type="dcterms:W3CDTF">2016-07-26T04:05:05Z</dcterms:created>
  <dcterms:modified xsi:type="dcterms:W3CDTF">2017-07-10T01:50:05Z</dcterms:modified>
</cp:coreProperties>
</file>