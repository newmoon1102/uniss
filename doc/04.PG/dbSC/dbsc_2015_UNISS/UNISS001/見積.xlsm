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bsc_2015_UNISS\UNISS001\"/>
    </mc:Choice>
  </mc:AlternateContent>
  <bookViews>
    <workbookView xWindow="0" yWindow="0" windowWidth="10140" windowHeight="11385" tabRatio="932" activeTab="2"/>
  </bookViews>
  <sheets>
    <sheet name="UNMT0010_H" sheetId="81" r:id="rId1"/>
    <sheet name="UNMT0010_B" sheetId="82" r:id="rId2"/>
    <sheet name="UNMT0010_IF" sheetId="145" r:id="rId3"/>
    <sheet name="UNMT0010_SQL" sheetId="146" r:id="rId4"/>
    <sheet name="見積検索_ボタン" sheetId="76" state="hidden" r:id="rId5"/>
    <sheet name="UNMT0020_H" sheetId="134" r:id="rId6"/>
    <sheet name="UNMT0020_B" sheetId="135" r:id="rId7"/>
    <sheet name="UNMT0020_IF" sheetId="136" r:id="rId8"/>
    <sheet name="UNMT0020_SQL" sheetId="137" r:id="rId9"/>
    <sheet name="UNMT0020_REPORT" sheetId="142" r:id="rId10"/>
    <sheet name="UNMT0040" sheetId="148" r:id="rId11"/>
    <sheet name="UNMT0040_IF" sheetId="150" r:id="rId12"/>
    <sheet name="UNMT0040_SQL" sheetId="151" r:id="rId13"/>
    <sheet name="UNMT_COMMON_SQL" sheetId="147" r:id="rId14"/>
    <sheet name="UNMT_COMMON" sheetId="152" r:id="rId15"/>
    <sheet name="Excel_Save_H" sheetId="143" r:id="rId16"/>
    <sheet name="Excel_Save_B" sheetId="144" r:id="rId17"/>
  </sheets>
  <functionGroups builtInGroupCount="18"/>
  <definedNames>
    <definedName name="LIST_MITSUMORI_BUNRUI_HOHO" localSheetId="10">OFFSET(LIST_MITSUMORI_BUNRUI_TENKAIICHI,,,IF(LIST_MITSUMORI_BUNRUI_HOHO_KENSU=0,1,LIST_MITSUMORI_BUNRUI_HOHO_KENSU),1)</definedName>
    <definedName name="LIST_MITSUMORI_BUNRUI_HOHO">OFFSET(LIST_MITSUMORI_BUNRUI_TENKAIICHI,,,IF(LIST_MITSUMORI_BUNRUI_HOHO_KENSU=0,1,LIST_MITSUMORI_BUNRUI_HOHO_KENSU),1)</definedName>
    <definedName name="LIST_SHUBETSU">UNMT0010_IF!$B$22:$B$23</definedName>
    <definedName name="LIST_SHUBETSU_SEARCH_AREA">UNMT0010_IF!$B$22:$C$23</definedName>
    <definedName name="_xlnm.Print_Area" localSheetId="0">UNMT0010_H!$F$1:$AS$8</definedName>
    <definedName name="_xlnm.Print_Area" localSheetId="2">OFFSET(UNMT0010_IF_PRINT_MITSU_NO,,0,1+UNMT0010_IF_PRINT_KENSAKU_KENSU,COLUMNS(UNMT0010_IF_PRINT_COPY_MOTO))</definedName>
    <definedName name="_xlnm.Print_Area" localSheetId="6">OFFSET(UNMT0020_B_GYO,0,0,1+UNMT0020_B_GYO_COUNT,COLUMNS(UNMT0020_IF_COPY_B_MEISAI_SHINKI))</definedName>
    <definedName name="_xlnm.Print_Area" localSheetId="5">UNMT0020_H!$H$1:$V$15</definedName>
    <definedName name="_xlnm.Print_Area" localSheetId="9">UNMT0020_REPORT!$A$1:$O$141</definedName>
    <definedName name="_xlnm.Print_Titles" localSheetId="9">UNMT0020_REPORT!$1:$21</definedName>
    <definedName name="UNJC1030_IF_SAVE_CHECK_ERROR_KOMOKU">UNMT0020_IF!$BR$30</definedName>
    <definedName name="UNJC1030_IF_SAVE_CHECK_RESULT">UNMT0020_IF!$BQ$30</definedName>
    <definedName name="UNJC1030_IF_SAVE_CHECK_START">UNMT0020_IF!$DG$6</definedName>
    <definedName name="UNJC1030_IF_SAVE_JOGAI_GYO">UNMT0020_IF!$BV$5</definedName>
    <definedName name="UNMM_COMMON_SQL_SELECT_CTRL_HYOJI_GYO_SU">UNMT_COMMON_SQL!$D$2</definedName>
    <definedName name="UNMT_COMMON_ACTIVE_SHEET_NAME">UNMT_COMMON!$D$4</definedName>
    <definedName name="UNMT_COMMON_CHANGE_CHECK">UNMT_COMMON!$D$2</definedName>
    <definedName name="UNMT_COMMON_SQL_MITSU_NO_SEARCH">UNMT_COMMON_SQL!$D$14</definedName>
    <definedName name="UNMT_COMMON_SQL_SEIKYU_SEARCH">UNMT_COMMON_SQL!$D$7</definedName>
    <definedName name="UNMT_COMMON_SQL_SHAIN_SEARCH">UNMT_COMMON_SQL!$D$5</definedName>
    <definedName name="UNMT_COMMON_SQL_SHIIRE_SEARCH">UNMT_COMMON_SQL!$D$9</definedName>
    <definedName name="UNMT_COMMON_SQL_SHOHIN_SEARCH">UNMT_COMMON_SQL!$D$8</definedName>
    <definedName name="UNMT_COMMON_SQL_TORIHIKI_BUNRUI_SEARCH">UNMT_COMMON_SQL!$D$6</definedName>
    <definedName name="UNMT_COMMON_SQL_TORIHIKI_JOKEN_SEARCH">UNMT_COMMON_SQL!$D$12</definedName>
    <definedName name="UNMT_COMMON_SQL_UKEWATASHI_BASHO_SEARCH">UNMT_COMMON_SQL!$D$11</definedName>
    <definedName name="UNMT_COMMON_SQL_UKEWATASHI_DATE_SEARCH">UNMT_COMMON_SQL!$D$10</definedName>
    <definedName name="UNMT_COMMON_SQL_YUKOKIGEN_SEARCH">UNMT_COMMON_SQL!$D$13</definedName>
    <definedName name="UNMT0010_B_ALL_PAGE_SU">UNMT0010_B!$D$18</definedName>
    <definedName name="UNMT0010_B_ARARIEKI">UNMT0010_B!$R$12</definedName>
    <definedName name="UNMT0010_B_ARARIRITSU">UNMT0010_B!$S$12</definedName>
    <definedName name="UNMT0010_B_COPY_SAKI">UNMT0010_B!$D$22</definedName>
    <definedName name="UNMT0010_B_CTRL_HYOJI_GYO_SU">UNMT0010_B!$D$13</definedName>
    <definedName name="UNMT0010_B_DEL_FLG">UNMT0010_B!$V$12</definedName>
    <definedName name="UNMT0010_B_EIGYO_UESR">UNMT0010_B!$O$12</definedName>
    <definedName name="UNMT0010_B_EXIST_NEXT_PAGE">UNMT0010_B!$D$28</definedName>
    <definedName name="UNMT0010_B_EXIST_PREV_PAGE">UNMT0010_B!$D$29</definedName>
    <definedName name="UNMT0010_B_FORMAT_COPY_FLG">UNMT0010_B!$D$25</definedName>
    <definedName name="UNMT0010_B_HIDE_COLUMN">UNMT0010_B!$D$40</definedName>
    <definedName name="UNMT0010_B_HIDE_ROW">UNMT0010_B!$D$39</definedName>
    <definedName name="UNMT0010_B_HYOJI_KENSU">UNMT0010_B!$D$19</definedName>
    <definedName name="UNMT0010_B_KENMEI">UNMT0010_B!$N$12</definedName>
    <definedName name="UNMT0010_B_KENSAKU_KENSU">UNMT0010_B!$D$16</definedName>
    <definedName name="UNMT0010_B_LIST_CLEAR">UNMT0010_B!$D$23</definedName>
    <definedName name="UNMT0010_B_LIST_START">UNMT0010_B!$D$21</definedName>
    <definedName name="UNMT0010_B_MITSU_DATE">UNMT0010_B!$W$12</definedName>
    <definedName name="UNMT0010_B_MITSUMORI_DATE">UNMT0010_B!$K$12</definedName>
    <definedName name="UNMT0010_B_MITUSMORI_NO">UNMT0010_B!$J$12</definedName>
    <definedName name="UNMT0010_B_MODE_KBN">UNMT0010_B!$AB$12</definedName>
    <definedName name="UNMT0010_B_NEXT_PAGE_NO">UNMT0010_B!$D$31</definedName>
    <definedName name="UNMT0010_B_NYURYOKUSHA_MEI">UNMT0010_B!$P$12</definedName>
    <definedName name="UNMT0010_B_PAGE_NO">UNMT0010_B!$D$17</definedName>
    <definedName name="UNMT0010_B_PREV_PAGE_NO">UNMT0010_B!$D$32</definedName>
    <definedName name="UNMT0010_B_SCROLL_LOCK">UNMT0010_B!$D$42</definedName>
    <definedName name="UNMT0010_B_SEIKYUSAKI_CD">UNMT0010_B!$L$12</definedName>
    <definedName name="UNMT0010_B_SEIKYUSAKI_MEI">UNMT0010_B!$M$12</definedName>
    <definedName name="UNMT0010_B_SELECT_GYO_NO">UNMT0010_B!$D$35</definedName>
    <definedName name="UNMT0010_B_SELECT_MITUSMORI_NO">UNMT0010_B!$D$36</definedName>
    <definedName name="UNMT0010_B_SENTAKU">UNMT0010_B!$G$12</definedName>
    <definedName name="UNMT0010_B_SHOKEIHI_FLG">UNMT0010_B!$U$12</definedName>
    <definedName name="UNMT0010_B_SHUBETSU">UNMT0010_B!$T$12</definedName>
    <definedName name="UNMT0010_B_STS">UNMT0010_B!$H$12</definedName>
    <definedName name="UNMT0010_B_TORIHIKIBUNRUI">UNMT0010_B!$I$12</definedName>
    <definedName name="UNMT0010_B_VIEW_CURRENT_PAGE">UNMT0010_B!$F$11</definedName>
    <definedName name="UNMT0010_B_ZENUKI_TOTAL">UNMT0010_B!$Q$12</definedName>
    <definedName name="UNMT0010_H_DEL_HYOJI_FLG">UNMT0010_H!$D$9</definedName>
    <definedName name="UNMT0010_H_EIGYO_TANTO_CD">UNMT0010_H!$D$18</definedName>
    <definedName name="UNMT0010_H_EIGYO_TANTOSHA_MEI">UNMT0010_H!$AO$4</definedName>
    <definedName name="UNMT0010_H_FORM_ORIGIN">UNMT0010_H!$F$1</definedName>
    <definedName name="UNMT0010_H_FREEWD_1">UNMT0010_H!$J$7</definedName>
    <definedName name="UNMT0010_H_FREEWD_2">UNMT0010_H!$O$7</definedName>
    <definedName name="UNMT0010_H_FREEWD_3">UNMT0010_H!$T$7</definedName>
    <definedName name="UNMT0010_H_FREEWD_KBN">UNMT0010_H!$D$11</definedName>
    <definedName name="UNMT0010_H_HIDE_COLUMN">UNMT0010_H!$D$23</definedName>
    <definedName name="UNMT0010_H_HIDE_ROW">UNMT0010_H!$D$22</definedName>
    <definedName name="UNMT0010_H_INIT_HEADER_COPY_SAKI">UNMT0010_H!$J$3:$AR$7</definedName>
    <definedName name="UNMT0010_H_INIT_HEADER_FLG_COPY_SAKI">UNMT0010_H!$D$4:$D$11</definedName>
    <definedName name="UNMT0010_H_JUCHUSUMI_STS">UNMT0010_H!$D$8</definedName>
    <definedName name="UNMT0010_H_MIKOMI_STS">UNMT0010_H!$D$7</definedName>
    <definedName name="UNMT0010_H_MITSUMORI_DATE_END">UNMT0010_H!$AI$3</definedName>
    <definedName name="UNMT0010_H_MITSUMORI_DATE_START">UNMT0010_H!$AD$3</definedName>
    <definedName name="UNMT0010_H_MITSUMORI_END">UNMT0010_H!$O$5</definedName>
    <definedName name="UNMT0010_H_MITSUMORI_NO_END_NUM">UNMT0010_H!$D$27</definedName>
    <definedName name="UNMT0010_H_MITSUMORI_NO_MAX">UNMT0010_H!$D$29</definedName>
    <definedName name="UNMT0010_H_MITSUMORI_NO_MIN">UNMT0010_H!$D$28</definedName>
    <definedName name="UNMT0010_H_MITSUMORI_NO_START_NUM">UNMT0010_H!$D$26</definedName>
    <definedName name="UNMT0010_H_MITSUMORI_START">UNMT0010_H!$J$5</definedName>
    <definedName name="UNMT0010_H_NO_SHOHIN_CD_HYOJI_FLG">UNMT0010_H!$D$10</definedName>
    <definedName name="UNMT0010_H_NYURYOKUSHA_CD">UNMT0010_H!$D$17</definedName>
    <definedName name="UNMT0010_H_NYURYOKUSHA_MEI">UNMT0010_H!$AD$4</definedName>
    <definedName name="UNMT0010_H_SANKO_STS">UNMT0010_H!$D$4</definedName>
    <definedName name="UNMT0010_H_SEIKYUSAKI_CD">UNMT0010_H!$J$6</definedName>
    <definedName name="UNMT0010_H_SEIKYUSAKI_MEI">UNMT0010_H!$D$13</definedName>
    <definedName name="UNMT0010_H_SHIKAKARI_STS">UNMT0010_H!$D$6</definedName>
    <definedName name="UNMT0010_H_SHIROJI_STS">UNMT0010_H!$D$5</definedName>
    <definedName name="UNMT0010_H_SHOHIN_CD">UNMT0010_H!$AD$5</definedName>
    <definedName name="UNMT0010_H_SHOHIN_MEI">UNMT0010_H!$D$14</definedName>
    <definedName name="UNMT0010_H_SHUBETSU">UNMT0010_H!$AO$6</definedName>
    <definedName name="UNMT0010_H_SHUBETSU_NUM">UNMT0010_H!$D$19</definedName>
    <definedName name="UNMT0010_H_TORIHIKI_BUNRUI_CD">UNMT0010_H!$D$16</definedName>
    <definedName name="UNMT0010_H_TORIHIKIBUNRUI">UNMT0010_H!$J$4</definedName>
    <definedName name="UNMT0010_IF_ACTIVE_CELL_NAME">UNMT0010_IF!$D$16</definedName>
    <definedName name="UNMT0010_IF_ACTIVE_COLUMN">UNMT0010_IF!$D$14</definedName>
    <definedName name="UNMT0010_IF_ACTIVE_ROW">UNMT0010_IF!$D$13</definedName>
    <definedName name="UNMT0010_IF_ACTIVE_SHEET">UNMT0010_IF!$D$12</definedName>
    <definedName name="UNMT0010_IF_B_LIST_COPY_MOTO">UNMT0010_IF!$D$5:$Z$5</definedName>
    <definedName name="UNMT0010_IF_B_LIST_DEFAULT">UNMT0010_IF!$D$4:$Z$4</definedName>
    <definedName name="UNMT0010_IF_DATA_SEARCH_FLG">UNMT0010_IF!$D$8</definedName>
    <definedName name="UNMT0010_IF_EXCEL_FILE_NAME">UNMT0010_IF!$BR$6</definedName>
    <definedName name="UNMT0010_IF_INIT_HEADER_COPY_MOTO">UNMT0010_IF!$AE$4:$BM$8</definedName>
    <definedName name="UNMT0010_IF_INIT_HEADER_FLG_COPY_MOTO">UNMT0010_IF!$AD$12:$AD$19</definedName>
    <definedName name="UNMT0010_IF_PRINT_COPY_MOTO">UNMT0010_IF!$BT$2:$DT$2</definedName>
    <definedName name="UNMT0010_IF_PRINT_COPY_SAKI">UNMT0010_IF!$BR$5</definedName>
    <definedName name="UNMT0010_IF_PRINT_KENSAKU_KENSU">UNMT0010_IF!$BR$3</definedName>
    <definedName name="UNMT0010_IF_PRINT_LIST_START">UNMT0010_IF!$BR$4</definedName>
    <definedName name="UNMT0010_IF_PRINT_MITSU_NO">UNMT0010_IF!$BT$4</definedName>
    <definedName name="UNMT0010_SQL_DEL_HYOJI_FLG">UNMT0010_SQL!$F$21</definedName>
    <definedName name="UNMT0010_SQL_EIGYO_TANTO_CD">UNMT0010_SQL!$F$18</definedName>
    <definedName name="UNMT0010_SQL_FREEWD_1">UNMT0010_SQL!$F$12</definedName>
    <definedName name="UNMT0010_SQL_FREEWD_2">UNMT0010_SQL!$F$13</definedName>
    <definedName name="UNMT0010_SQL_FREEWD_3">UNMT0010_SQL!$F$14</definedName>
    <definedName name="UNMT0010_SQL_FREEWD_KBN">UNMT0010_SQL!$F$23</definedName>
    <definedName name="UNMT0010_SQL_FREEWORD1">UNMT0010_SQL!$F$47</definedName>
    <definedName name="UNMT0010_SQL_FREEWORD2">UNMT0010_SQL!$F$48</definedName>
    <definedName name="UNMT0010_SQL_FREEWORD3">UNMT0010_SQL!$F$49</definedName>
    <definedName name="UNMT0010_SQL_INIT_SORT">UNMT0010_SQL!$D$54</definedName>
    <definedName name="UNMT0010_SQL_JOKEN_COPY_MOTO">UNMT0010_SQL!$G$3:$G$23</definedName>
    <definedName name="UNMT0010_SQL_JOKEN_COPY_SAKI">UNMT0010_SQL!$F$3:$F$23</definedName>
    <definedName name="UNMT0010_SQL_JUCHUSUMI_STS">UNMT0010_SQL!$F$7</definedName>
    <definedName name="UNMT0010_SQL_MIKOMI_STS">UNMT0010_SQL!$F$6</definedName>
    <definedName name="UNMT0010_SQL_MITSUMORI_DATE_END">UNMT0010_SQL!$F$16</definedName>
    <definedName name="UNMT0010_SQL_MITSUMORI_DATE_START">UNMT0010_SQL!$F$15</definedName>
    <definedName name="UNMT0010_SQL_MITSUMORI_END">UNMT0010_SQL!$F$10</definedName>
    <definedName name="UNMT0010_SQL_MITSUMORI_START">UNMT0010_SQL!$F$9</definedName>
    <definedName name="UNMT0010_SQL_NO_SHOHIN_CD_HYOJI_FLG">UNMT0010_SQL!$F$22</definedName>
    <definedName name="UNMT0010_SQL_NYURYOKUSHA_CD">UNMT0010_SQL!$F$17</definedName>
    <definedName name="UNMT0010_SQL_PRINT_MITSUMORI_LIST">UNMT0010_SQL!$D$28</definedName>
    <definedName name="UNMT0010_SQL_RESULT_SORT">UNMT0010_SQL!$D$55</definedName>
    <definedName name="UNMT0010_SQL_SANKO_STS">UNMT0010_SQL!$F$3</definedName>
    <definedName name="UNMT0010_SQL_SEIKYUSAKI_CD">UNMT0010_SQL!$F$11</definedName>
    <definedName name="UNMT0010_SQL_SELECT_MITSUMORI_LIST">UNMT0010_SQL!$D$26</definedName>
    <definedName name="UNMT0010_SQL_SELECT_MITSUMORI_LIST_CNT">UNMT0010_SQL!$D$27</definedName>
    <definedName name="UNMT0010_SQL_SHIKAKARI_STS">UNMT0010_SQL!$F$5</definedName>
    <definedName name="UNMT0010_SQL_SHIROJI_STS">UNMT0010_SQL!$F$4</definedName>
    <definedName name="UNMT0010_SQL_SHOHIN_CD">UNMT0010_SQL!$F$20</definedName>
    <definedName name="UNMT0010_SQL_SHUBETSU_NUM">UNMT0010_SQL!$F$19</definedName>
    <definedName name="UNMT0010_SQL_SORT">UNMT0010_SQL!$E$52</definedName>
    <definedName name="UNMT0010_SQL_TORIHIKI_BUNRUI_CD">UNMT0010_SQL!$F$8</definedName>
    <definedName name="UNMT0020_B_AITE_SHOHIN_MEI_BUF">UNMT0020_B!$D$12</definedName>
    <definedName name="UNMT0020_B_ARARIEKI">UNMT0020_B!$Y$17</definedName>
    <definedName name="UNMT0020_B_ARARIRITSU">UNMT0020_B!$X$17</definedName>
    <definedName name="UNMT0020_B_BAIKA_TENKAI">UNMT0020_B!$D$16</definedName>
    <definedName name="UNMT0020_B_COMMENT_GYO_SU">UNMT0020_B!$D$36</definedName>
    <definedName name="UNMT0020_B_COPY_COMMENT_SHOSHIKI">UNMT0020_B!$D$46</definedName>
    <definedName name="UNMT0020_B_COPY_GYO_SUSHIKI">UNMT0020_B!$D$61</definedName>
    <definedName name="UNMT0020_B_COPY_MEISAI_ARARI_SUSHIKI">UNMT0020_B!$D$44</definedName>
    <definedName name="UNMT0020_B_COPY_MEISAI_KINGAKU_SUSHIKI">UNMT0020_B!$D$43</definedName>
    <definedName name="UNMT0020_B_COPY_MEISAI_SHOSHIKI">UNMT0020_B!$D$42</definedName>
    <definedName name="UNMT0020_B_COPY_NEBIKI_DIR_SHOSHIKI">UNMT0020_B!$D$51</definedName>
    <definedName name="UNMT0020_B_COPY_NEBIKI_DIR_SUSHIKI">UNMT0020_B!$D$52</definedName>
    <definedName name="UNMT0020_B_COPY_NEBIKI_PER_SHOSHIKI">UNMT0020_B!$D$48</definedName>
    <definedName name="UNMT0020_B_COPY_NEBIKI_PER_SUSHIKI">UNMT0020_B!$D$49</definedName>
    <definedName name="UNMT0020_B_COPY_NEBIKI_TAN_SHOSHIKI">UNMT0020_B!$D$54</definedName>
    <definedName name="UNMT0020_B_COPY_NEBIKI_TAN_SUSHIKI">UNMT0020_B!$D$55</definedName>
    <definedName name="UNMT0020_B_COPY_SHOKEI_SHOSHIKI">UNMT0020_B!$D$57</definedName>
    <definedName name="UNMT0020_B_GENKA">UNMT0020_B!$W$17</definedName>
    <definedName name="UNMT0020_B_GENKA_TENKAI">UNMT0020_B!$D$15</definedName>
    <definedName name="UNMT0020_B_GENTANKA">UNMT0020_B!$V$17</definedName>
    <definedName name="UNMT0020_B_GYO">UNMT0020_B!$L$17</definedName>
    <definedName name="UNMT0020_B_GYO_COUNT">UNMT0020_B!$D$6</definedName>
    <definedName name="UNMT0020_B_GYO_DECREMENT">UNMT0020_B!$D$8</definedName>
    <definedName name="UNMT0020_B_GYO_INCREMENT">UNMT0020_B!$D$7</definedName>
    <definedName name="UNMT0020_B_HIDE_COLUMN">UNMT0020_B!$H$5</definedName>
    <definedName name="UNMT0020_B_HIDE_ROW">UNMT0020_B!$H$4</definedName>
    <definedName name="UNMT0020_B_HYOJI_SHOHIN_MEI">UNMT0020_B!$D$13</definedName>
    <definedName name="UNMT0020_B_IRISU_TANI_TENKAI">UNMT0020_B!$D$18</definedName>
    <definedName name="UNMT0020_B_KINGAKU">UNMT0020_B!$S$17</definedName>
    <definedName name="UNMT0020_B_LIST_CLEAR_AREA">UNMT0020_B!$D$22</definedName>
    <definedName name="UNMT0020_B_LIST_DELETE_AREA">UNMT0020_B!$D$31</definedName>
    <definedName name="UNMT0020_B_LIST_INSERT_AREA">UNMT0020_B!$D$30</definedName>
    <definedName name="UNMT0020_B_LIST_INSERT_COPY_AREA">UNMT0020_B!$D$29</definedName>
    <definedName name="UNMT0020_B_LIST_INSERT_SELECT_CELL">UNMT0020_B!$D$32</definedName>
    <definedName name="UNMT0020_B_LIST_INSERT_TYPE">UNMT0020_B!$D$27</definedName>
    <definedName name="UNMT0020_B_LIST_START">UNMT0020_B!$D$4</definedName>
    <definedName name="UNMT0020_B_MEISAI_GYO_SU">UNMT0020_B!$D$35</definedName>
    <definedName name="UNMT0020_B_MITSU_NO">UNMT0020_B!$AB$17</definedName>
    <definedName name="UNMT0020_B_MULTI_SELECT_COPY_SAKI">UNMT0020_B!$D$63</definedName>
    <definedName name="UNMT0020_B_NEBIKI_DIR_GYO_SU">UNMT0020_B!$D$38</definedName>
    <definedName name="UNMT0020_B_NEBIKI_PER_GYO_SU">UNMT0020_B!$D$37</definedName>
    <definedName name="UNMT0020_B_NEBIKI_RITSU">UNMT0020_B!$AC$17</definedName>
    <definedName name="UNMT0020_B_NEBIKI_TAN_GYO_SU">UNMT0020_B!$D$39</definedName>
    <definedName name="UNMT0020_B_NEBIKI_TYPE">UNMT0020_B!$D$28</definedName>
    <definedName name="UNMT0020_B_ROW_KBN">UNMT0020_B!$M$17</definedName>
    <definedName name="UNMT0020_B_SCROLL_LOCK">UNMT0020_B!$H$7</definedName>
    <definedName name="UNMT0020_B_SHIIRESAKI_CD">UNMT0020_B!$Z$17</definedName>
    <definedName name="UNMT0020_B_SHIIRESAKI_CD_TENKAI">UNMT0020_B!$D$19</definedName>
    <definedName name="UNMT0020_B_SHIIRESAKI_MEI">UNMT0020_B!$AA$17</definedName>
    <definedName name="UNMT0020_B_SHIIRESAKI_MEI_TENKAI">UNMT0020_B!$D$20</definedName>
    <definedName name="UNMT0020_B_SHOHIN_CD">UNMT0020_B!$N$17</definedName>
    <definedName name="UNMT0020_B_SHOHIN_CD_AREA">UNMT0020_B!$D$23</definedName>
    <definedName name="UNMT0020_B_SHOHIN_CD_BLANK_CHECK">UNMT0020_B!$D$24</definedName>
    <definedName name="UNMT0020_B_SHOHIN_CD_TENKAI">UNMT0020_B!$D$10</definedName>
    <definedName name="UNMT0020_B_SHOHIN_MEI">UNMT0020_B!$O$17</definedName>
    <definedName name="UNMT0020_B_SHOHIN_MEI_BUF">UNMT0020_B!$D$11</definedName>
    <definedName name="UNMT0020_B_SHOHIN_MEI_TENKAI">UNMT0020_B!$D$14</definedName>
    <definedName name="UNMT0020_B_SHOKEI_GYO_SU">UNMT0020_B!$D$40</definedName>
    <definedName name="UNMT0020_B_SORT_AREA">UNMT0020_B!$D$59</definedName>
    <definedName name="UNMT0020_B_SUBTOTAL_AREA">UNMT0020_B!$AD$17</definedName>
    <definedName name="UNMT0020_B_SURYO">UNMT0020_B!$P$17</definedName>
    <definedName name="UNMT0020_B_TANI">UNMT0020_B!$Q$17</definedName>
    <definedName name="UNMT0020_B_TANKA">UNMT0020_B!$R$17</definedName>
    <definedName name="UNMT0020_B_TEIKA">UNMT0020_B!$U$17</definedName>
    <definedName name="UNMT0020_B_TEIKA_TENKAI">UNMT0020_B!$D$17</definedName>
    <definedName name="UNMT0020_B_TEKIYO">UNMT0020_B!$T$17</definedName>
    <definedName name="UNMT0020_H_ARARIEKI">UNMT0020_H!$Q$17</definedName>
    <definedName name="UNMT0020_H_DAIHYO_MEI_FLG">UNMT0020_H!$D$12</definedName>
    <definedName name="UNMT0020_H_DEL_FLG">UNMT0020_H!$D$20</definedName>
    <definedName name="UNMT0020_H_EIGYO_TANTO_CD">UNMT0020_H!$D$9</definedName>
    <definedName name="UNMT0020_H_EIGYO_TANTO_MEI">UNMT0020_H!$R$8</definedName>
    <definedName name="UNMT0020_H_FLG_COPY_SAKI">UNMT0020_H!$D$10:$D$16</definedName>
    <definedName name="UNMT0020_H_GENKA_TOTAL">UNMT0020_H!$O$17</definedName>
    <definedName name="UNMT0020_H_HIDE_COLUMN">UNMT0020_H!$D$25</definedName>
    <definedName name="UNMT0020_H_HIDE_ROW">UNMT0020_H!$D$24</definedName>
    <definedName name="UNMT0020_H_KAISHA_MARK_FLG">UNMT0020_H!$D$13</definedName>
    <definedName name="UNMT0020_H_KENMEI">UNMT0020_H!$R$6</definedName>
    <definedName name="UNMT0020_H_KESHO">UNMT0020_H!$N$8</definedName>
    <definedName name="UNMT0020_H_KOMI_TOTAL">UNMT0020_H!$M$17</definedName>
    <definedName name="UNMT0020_H_KOYOMI_KBN">UNMT0020_H!$D$10</definedName>
    <definedName name="UNMT0020_H_MEMO">UNMT0020_H!$J$10</definedName>
    <definedName name="UNMT0020_H_MITSUMORI_DATE">UNMT0020_H!$J$3</definedName>
    <definedName name="UNMT0020_H_MITSUMORI_NO">UNMT0020_H!$J$4</definedName>
    <definedName name="UNMT0020_H_MODE_COPY_SAKI">UNMT0020_H!$I$3:$U$17</definedName>
    <definedName name="UNMT0020_H_MODE_KBN">UNMT0020_H!$D$5</definedName>
    <definedName name="UNMT0020_H_NUKI_TOTAL">UNMT0020_H!$K$17</definedName>
    <definedName name="UNMT0020_H_NYURYOKUSHA_CD">UNMT0020_H!$D$7</definedName>
    <definedName name="UNMT0020_H_NYURYOKUSHA_MEI">UNMT0020_H!$M$4</definedName>
    <definedName name="UNMT0020_H_PROTECT_AREA">UNMT0020_H!$D$10:$D$15</definedName>
    <definedName name="UNMT0020_H_RIEKI_RATE">UNMT0020_H!$R$17</definedName>
    <definedName name="UNMT0020_H_SANSHO_MITSUMORI_NO">UNMT0020_H!$R$4</definedName>
    <definedName name="UNMT0020_H_SEIKYUSAKI_CD">UNMT0020_H!$J$6</definedName>
    <definedName name="UNMT0020_H_SEIKYUSAKI_HASU">UNMT0020_H!$D$16</definedName>
    <definedName name="UNMT0020_H_SEIKYUSAKI_MEI">UNMT0020_H!$J$7</definedName>
    <definedName name="UNMT0020_H_SEMPOTANTOSHA_MEI">UNMT0020_H!$J$8</definedName>
    <definedName name="UNMT0020_H_SHONIN_RAN_FLG">UNMT0020_H!$D$14</definedName>
    <definedName name="UNMT0020_H_STS">UNMT0020_H!$M$3</definedName>
    <definedName name="UNMT0020_H_STS_CD">UNMT0020_H!$D$6</definedName>
    <definedName name="UNMT0020_H_TANTO_MARK_FLG">UNMT0020_H!$D$11</definedName>
    <definedName name="UNMT0020_H_TAX">UNMT0020_H!$L$17</definedName>
    <definedName name="UNMT0020_H_TAX_RATE">UNMT0020_H!$D$19</definedName>
    <definedName name="UNMT0020_H_TORIHIKI_BUNRUI_CD">UNMT0020_H!$D$8</definedName>
    <definedName name="UNMT0020_H_TORIHIKI_JOKEN">UNMT0020_H!$R$13</definedName>
    <definedName name="UNMT0020_H_TORIHIKIBUNRUI">UNMT0020_H!$R$3</definedName>
    <definedName name="UNMT0020_H_UKEWATASHI_BASHO">UNMT0020_H!$J$14</definedName>
    <definedName name="UNMT0020_H_UKEWATASHI_DATE">UNMT0020_H!$J$13</definedName>
    <definedName name="UNMT0020_H_YUKOKIGEN">UNMT0020_H!$R$14</definedName>
    <definedName name="UNMT0020_H_ZEIKOMI_PRINT_FLG">UNMT0020_H!$D$15</definedName>
    <definedName name="UNMT0020_IF_ACTIVE_CELL_NAME">UNMT0020_IF!$H$16</definedName>
    <definedName name="UNMT0020_IF_ACTIVE_COLUMN">UNMT0020_IF!$H$15</definedName>
    <definedName name="UNMT0020_IF_ACTIVE_ROW">UNMT0020_IF!$H$14</definedName>
    <definedName name="UNMT0020_IF_ACTIVE_SHEET">UNMT0020_IF!$H$13</definedName>
    <definedName name="UNMT0020_IF_BUTTON_04_HYOJI">UNMT0020_IF!$H$35</definedName>
    <definedName name="UNMT0020_IF_BUTTON_05_HYOJI">UNMT0020_IF!$H$36</definedName>
    <definedName name="UNMT0020_IF_BUTTON_06_FONTCOLOR">UNMT0020_IF!$H$31</definedName>
    <definedName name="UNMT0020_IF_BUTTON_06_HYOJI">UNMT0020_IF!$H$37</definedName>
    <definedName name="UNMT0020_IF_BUTTON_06_NAME">UNMT0020_IF!$H$25</definedName>
    <definedName name="UNMT0020_IF_BUTTON_07_HYOJI">UNMT0020_IF!$H$38</definedName>
    <definedName name="UNMT0020_IF_BUTTON_08_HYOJI">UNMT0020_IF!$H$39</definedName>
    <definedName name="UNMT0020_IF_BUTTON_08_NAME">UNMT0020_IF!$H$28</definedName>
    <definedName name="UNMT0020_IF_BUTTON_09_HYOJI">UNMT0020_IF!$H$40</definedName>
    <definedName name="UNMT0020_IF_BUTTON_10_FONTCOLOR">UNMT0020_IF!$H$32</definedName>
    <definedName name="UNMT0020_IF_BUTTON_10_HYOJI">UNMT0020_IF!$H$41</definedName>
    <definedName name="UNMT0020_IF_BUTTON_10_NAME">UNMT0020_IF!$H$26</definedName>
    <definedName name="UNMT0020_IF_BUTTON_11_HYOJI">UNMT0020_IF!$H$42</definedName>
    <definedName name="UNMT0020_IF_BUTTON_12_HYOJI">UNMT0020_IF!$H$43</definedName>
    <definedName name="UNMT0020_IF_BUTTON_13_HYOJI">UNMT0020_IF!$H$44</definedName>
    <definedName name="UNMT0020_IF_BUTTON_14_HYOJI">UNMT0020_IF!$H$45</definedName>
    <definedName name="UNMT0020_IF_BUTTON_15_ERROR">UNMT0020_IF!$H$54</definedName>
    <definedName name="UNMT0020_IF_BUTTON_15_HYOJI">UNMT0020_IF!$H$46</definedName>
    <definedName name="UNMT0020_IF_BUTTON_16_HYOJI">UNMT0020_IF!$H$47</definedName>
    <definedName name="UNMT0020_IF_BUTTON_17_HYOJI">UNMT0020_IF!$H$48</definedName>
    <definedName name="UNMT0020_IF_BUTTON_18_HYOJI">UNMT0020_IF!$H$49</definedName>
    <definedName name="UNMT0020_IF_BUTTON_19_HYOJI">UNMT0020_IF!$H$50</definedName>
    <definedName name="UNMT0020_IF_BUTTON_20_HYOJI">UNMT0020_IF!$H$51</definedName>
    <definedName name="UNMT0020_IF_COPY_B_COMMENT_SANSHO">UNMT0020_IF!$DJ$42:$EB$42</definedName>
    <definedName name="UNMT0020_IF_COPY_B_COMMENT_SHINKI">UNMT0020_IF!$DJ$8:$EB$8</definedName>
    <definedName name="UNMT0020_IF_COPY_B_COMMENT_SHUSEI">UNMT0020_IF!$DJ$25:$EB$25</definedName>
    <definedName name="UNMT0020_IF_COPY_B_GYO_SUSHIKI">UNMT0020_IF!$DJ$5</definedName>
    <definedName name="UNMT0020_IF_COPY_B_LIST_CLEAR">UNMT0020_IF!$DJ$56:$EB$56</definedName>
    <definedName name="UNMT0020_IF_COPY_B_MEISAI_ARARI_SUSHIKI">UNMT0020_IF!$DU$5:$DW$5</definedName>
    <definedName name="UNMT0020_IF_COPY_B_MEISAI_KINGAKU_SUSHIKI">UNMT0020_IF!$DQ$5</definedName>
    <definedName name="UNMT0020_IF_COPY_B_MEISAI_SANSHO">UNMT0020_IF!$DJ$39:$EB$39</definedName>
    <definedName name="UNMT0020_IF_COPY_B_MEISAI_SHINKI">UNMT0020_IF!$DJ$5:$EB$5</definedName>
    <definedName name="UNMT0020_IF_COPY_B_MEISAI_SHUSEI">UNMT0020_IF!$DJ$22:$EB$22</definedName>
    <definedName name="UNMT0020_IF_COPY_B_MEISAI_TAN_SUSHIKI">UNMT0020_IF!$DQ$15</definedName>
    <definedName name="UNMT0020_IF_COPY_B_NEBIKI_DIR_SANSHO">UNMT0020_IF!$DJ$47:$EB$47</definedName>
    <definedName name="UNMT0020_IF_COPY_B_NEBIKI_DIR_SHINKI">UNMT0020_IF!$DJ$13:$EB$13</definedName>
    <definedName name="UNMT0020_IF_COPY_B_NEBIKI_DIR_SHUSEI">UNMT0020_IF!$DJ$30:$EB$30</definedName>
    <definedName name="UNMT0020_IF_COPY_B_NEBIKI_DIR_SUSHIKI">UNMT0020_IF!$DN$13:$DP$13</definedName>
    <definedName name="UNMT0020_IF_COPY_B_NEBIKI_PER_SANSHO">UNMT0020_IF!$DJ$45:$EB$45</definedName>
    <definedName name="UNMT0020_IF_COPY_B_NEBIKI_PER_SHINKI">UNMT0020_IF!$DJ$11:$EB$11</definedName>
    <definedName name="UNMT0020_IF_COPY_B_NEBIKI_PER_SHUSEI">UNMT0020_IF!$DJ$28:$EB$28</definedName>
    <definedName name="UNMT0020_IF_COPY_B_NEBIKI_PER_SUSHIKI">UNMT0020_IF!$DO$11:$DQ$11</definedName>
    <definedName name="UNMT0020_IF_COPY_B_NEBIKI_TAN_SANSHO">UNMT0020_IF!$DJ$49:$EB$49</definedName>
    <definedName name="UNMT0020_IF_COPY_B_NEBIKI_TAN_SHINKI">UNMT0020_IF!$DJ$15:$EB$15</definedName>
    <definedName name="UNMT0020_IF_COPY_B_NEBIKI_TAN_SHUSEI">UNMT0020_IF!$DJ$32:$EB$32</definedName>
    <definedName name="UNMT0020_IF_COPY_B_SUBTOTAL_SANSHO">UNMT0020_IF!$DJ$52:$EB$52</definedName>
    <definedName name="UNMT0020_IF_COPY_B_SUBTOTAL_SHINKI">UNMT0020_IF!$DJ$18:$EB$18</definedName>
    <definedName name="UNMT0020_IF_COPY_B_SUBTOTAL_SHOSHIKI_SANSHO">UNMT0020_IF!$DK$52:$EB$52</definedName>
    <definedName name="UNMT0020_IF_COPY_B_SUBTOTAL_SHOSHIKI_SHINKI">UNMT0020_IF!$DK$18:$EB$18</definedName>
    <definedName name="UNMT0020_IF_COPY_B_SUBTOTAL_SHOSHIKI_SHUSEI">UNMT0020_IF!$DK$35:$EB$35</definedName>
    <definedName name="UNMT0020_IF_COPY_B_SUBTOTAL_SHUSEI">UNMT0020_IF!$DJ$35:$EB$35</definedName>
    <definedName name="UNMT0020_IF_COPY_H_FLG_COPY_MOTO">UNMT0020_IF!$DA$3:$DA$9</definedName>
    <definedName name="UNMT0020_IF_COPY_H_NORMAL_SANSHO">UNMT0020_IF!$CS$45:$DE$59</definedName>
    <definedName name="UNMT0020_IF_COPY_H_NORMAL_SHINKI">UNMT0020_IF!$CS$11:$DE$25</definedName>
    <definedName name="UNMT0020_IF_COPY_H_NORMAL_SHUSEI">UNMT0020_IF!$CS$28:$DE$42</definedName>
    <definedName name="UNMT0020_IF_COPY_H_SANSHO">UNMT0020_IF!$CU$5</definedName>
    <definedName name="UNMT0020_IF_COPY_H_SHINKI">UNMT0020_IF!$CU$3</definedName>
    <definedName name="UNMT0020_IF_COPY_H_SHUSEI">UNMT0020_IF!$CU$4</definedName>
    <definedName name="UNMT0020_IF_COPY_H_TANKA_SANSHO">UNMT0020_IF!$CS$96:$DE$110</definedName>
    <definedName name="UNMT0020_IF_COPY_H_TANKA_SHINKI">UNMT0020_IF!$CS$62:$DE$76</definedName>
    <definedName name="UNMT0020_IF_COPY_H_TANKA_SHUSEI">UNMT0020_IF!$CS$79:$DE$93</definedName>
    <definedName name="UNMT0020_IF_DAIHYO_MEI">UNMT0020_IF!$H$65</definedName>
    <definedName name="UNMT0020_IF_DATA_SEARCH_FLG">UNMT0020_IF!$H$8</definedName>
    <definedName name="UNMT0020_IF_EXCEL_FILE_NAME">UNMT0020_IF!$H$57</definedName>
    <definedName name="UNMT0020_IF_INPUT_ERROR_MESSAGE">UNMT0020_IF!$AC$28</definedName>
    <definedName name="UNMT0020_IF_KAISHA_MARK">UNMT0020_IF!$A$1</definedName>
    <definedName name="UNMT0020_IF_KAISHA_MARK_PATH">UNMT0020_IF!$H$63</definedName>
    <definedName name="UNMT0020_IF_KAISHA_MARK_PATH_CHECK">UNMT0020_IF!$H$66</definedName>
    <definedName name="UNMT0020_IF_LIST_KEISHO" comment="見積敬称ドロップボックス">OFFSET(UNMT0020_IF_LIST_KEISHO_START,,,IF(UNMT0020_IF_LIST_KEISHO_KENSU=0,1,UNMT0020_IF_LIST_KEISHO_KENSU),1)</definedName>
    <definedName name="UNMT0020_IF_LIST_KEISHO_KENSU">UNMT0020_IF!$R$4</definedName>
    <definedName name="UNMT0020_IF_LIST_KEISHO_START">UNMT0020_IF!$Q$7</definedName>
    <definedName name="UNMT0020_IF_LIST_STS" comment="見積ステータス用ドロップリスト範囲">OFFSET(UNMT0020_IF_LIST_STS_START,,,IF(UNMT0020_IF_LIST_STS_KENSU=0,1,UNMT0020_IF_LIST_STS_KENSU),1)</definedName>
    <definedName name="UNMT0020_IF_LIST_STS_KENSU">UNMT0020_IF!$O$4</definedName>
    <definedName name="UNMT0020_IF_LIST_STS_START">UNMT0020_IF!$N$7</definedName>
    <definedName name="UNMT0020_IF_MITSU_MODE">UNMT0020_IF!$H$20</definedName>
    <definedName name="UNMT0020_IF_MITSU_MODE_CHANGE_CHECK">UNMT0020_IF!$H$21</definedName>
    <definedName name="UNMT0020_IF_MITSU_NO">UNMT0020_IF!$H$3</definedName>
    <definedName name="UNMT0020_IF_MITSU_RIREKI">UNMT0020_IF!$H$22</definedName>
    <definedName name="UNMT0020_IF_MODE">UNMT0020_IF!$H$19</definedName>
    <definedName name="UNMT0020_IF_MULTI_SELECT_CHECK">UNMT0020_IF!$EX$5</definedName>
    <definedName name="UNMT0020_IF_MULTI_SELECT_COPY_MOTO">UNMT0020_IF!$EX$13</definedName>
    <definedName name="UNMT0020_IF_MULTI_SELECT_FLG">UNMT0020_IF!$H$5</definedName>
    <definedName name="UNMT0020_IF_MULTI_SELECT_GENKA_SUSHIKI_COPY_SAKI">UNMT0020_IF!$EX$11</definedName>
    <definedName name="UNMT0020_IF_MULTI_SELECT_GYO_INCREMENT">UNMT0020_IF!$EX$6</definedName>
    <definedName name="UNMT0020_IF_MULTI_SELECT_GYO_SUSHIKI_COPY_SAKI">UNMT0020_IF!$EX$9</definedName>
    <definedName name="UNMT0020_IF_MULTI_SELECT_KENSU">UNMT0020_IF!$EX$2</definedName>
    <definedName name="UNMT0020_IF_MULTI_SELECT_KINGAKU_SUSHIKI_COPY_SAKI">UNMT0020_IF!$EX$10</definedName>
    <definedName name="UNMT0020_IF_MULTI_SELECT_LIST_ARARI_AREA">UNMT0020_IF!$FM$4:$FO$4</definedName>
    <definedName name="UNMT0020_IF_MULTI_SELECT_LIST_GYO">UNMT0020_IF!$FB$4</definedName>
    <definedName name="UNMT0020_IF_MULTI_SELECT_LIST_KINGAKU">UNMT0020_IF!$FI$4</definedName>
    <definedName name="UNMT0020_IF_MULTI_SELECT_SHOSHIKI_COPY_SAKI">UNMT0020_IF!$EX$8</definedName>
    <definedName name="UNMT0020_IF_MULTI_SELECT_TENKAI_KENSU">UNMT0020_IF!$EX$4</definedName>
    <definedName name="UNMT0020_IF_MULTI_SELECT_TENKAI_START">UNMT0020_IF!$FB$5</definedName>
    <definedName name="UNMT0020_IF_PDF_FILE_NAME">UNMT0020_IF!$H$60</definedName>
    <definedName name="UNMT0020_IF_REPORT_BODY_COPY_MOTO">UNMT0020_IF!$EG$4:$ES$33</definedName>
    <definedName name="UNMT0020_IF_RIREKI_NO">UNMT0020_IF!$H$4</definedName>
    <definedName name="UNMT0020_IF_SANSHO_FLG">UNMT0020_IF!$H$9</definedName>
    <definedName name="UNMT0020_IF_SAVE_CHECK_ERROR_KOMOKU">UNMT0020_IF!$AC$31</definedName>
    <definedName name="UNMT0020_IF_SAVE_CHECK_RESULT">UNMT0020_IF!$AB$31</definedName>
    <definedName name="UNMT0020_IF_SAVE_CHECK_START">UNMT0020_IF!$BX$6</definedName>
    <definedName name="UNMT0020_IF_SAVE_COPY_MOTO">UNMT0020_IF!$AG$2:$CK$2</definedName>
    <definedName name="UNMT0020_IF_SAVE_COPY_SAKI">UNMT0020_IF!$Y$9</definedName>
    <definedName name="UNMT0020_IF_SAVE_COPY_START">UNMT0020_IF!$AG$6</definedName>
    <definedName name="UNMT0020_IF_SAVE_ERROR_CHECK">UNMT0020_IF!$Y$18</definedName>
    <definedName name="UNMT0020_IF_SAVE_ERROR_MESSAGE">UNMT0020_IF!$Y$19</definedName>
    <definedName name="UNMT0020_IF_SAVE_INPUT_CHECK">UNMT0020_IF!$AC$27</definedName>
    <definedName name="UNMT0020_IF_SAVE_INPUT_CHECK_COLUMN">UNMT0020_IF!$AG$5</definedName>
    <definedName name="UNMT0020_IF_SAVE_JOGAI_GYO">UNMT0020_IF!$AJ$5</definedName>
    <definedName name="UNMT0020_IF_SAVE_RESULT_CD">UNMT0020_IF!$Y$16</definedName>
    <definedName name="UNMT0020_IF_SAVE_RESULT_MESSAGE">UNMT0020_IF!$Y$17</definedName>
    <definedName name="UNMT0020_IF_SAVE_RESULT_MITSU_NO">UNMT0020_IF!$Y$15</definedName>
    <definedName name="UNMT0020_IF_SAVE_START">UNMT0020_IF!$AK$6</definedName>
    <definedName name="UNMT0020_IF_SAVE_W_MODE">UNMT0020_IF!$Y$6</definedName>
    <definedName name="UNMT0020_IF_SAVE_W_SERIAL">UNMT0020_IF!$Y$5</definedName>
    <definedName name="UNMT0020_IF_SAVE_W_USER_ID">UNMT0020_IF!$Y$4</definedName>
    <definedName name="UNMT0020_IF_SHEET_COMMENT_COPY_MOTO">UNMT0020_IF!$EG$39:$ES$39</definedName>
    <definedName name="UNMT0020_IF_SHEET_MEISAI_COPY_MOTO">UNMT0020_IF!$EG$37:$ES$37</definedName>
    <definedName name="UNMT0020_IF_SHEET_NEBIKI_COPY_MOTO">UNMT0020_IF!$EG$41:$ES$41</definedName>
    <definedName name="UNMT0020_IF_SHEET_SHOKEI_COPY_MOTO">UNMT0020_IF!$EG$43:$ES$43</definedName>
    <definedName name="UNMT0020_IF_SHEET_YOHAKU_COPY_MOTO">UNMT0020_IF!$EG$45:$ES$45</definedName>
    <definedName name="UNMT0020_IF_TANTO_MARK">UNMT0020_IF!$B$1</definedName>
    <definedName name="UNMT0020_IF_TANTO_MARK_PATH">UNMT0020_IF!$H$64</definedName>
    <definedName name="UNMT0020_IF_TANTO_MARK_PATH_CHECK">UNMT0020_IF!$H$67</definedName>
    <definedName name="UNMT0020_REPORT_CLEAR_AREA">UNMT0020_REPORT!$U$5</definedName>
    <definedName name="UNMT0020_REPORT_DAIHYO_MEI">UNMT0020_REPORT!$U$10</definedName>
    <definedName name="UNMT0020_REPORT_DAIHYO_MEI_TITLE">UNMT0020_REPORT!$U$8</definedName>
    <definedName name="UNMT0020_REPORT_KINGAKU">UNMT0020_REPORT!$K$21</definedName>
    <definedName name="UNMT0020_REPORT_PAGE_SU">UNMT0020_REPORT!$U$3</definedName>
    <definedName name="UNMT0020_REPORT_PRINT_AREA">UNMT0020_REPORT!$U$2</definedName>
    <definedName name="UNMT0020_REPORT_PRINT_END">UNMT0020_REPORT!$O$1</definedName>
    <definedName name="UNMT0020_REPORT_PRINT_START">UNMT0020_REPORT!$A$1</definedName>
    <definedName name="UNMT0020_REPORT_SHOHIN_MEI">UNMT0020_REPORT!$B$21</definedName>
    <definedName name="UNMT0020_REPORT_SURYO">UNMT0020_REPORT!$H$21</definedName>
    <definedName name="UNMT0020_REPORT_TANI">UNMT0020_REPORT!$I$21</definedName>
    <definedName name="UNMT0020_REPORT_TANKA">UNMT0020_REPORT!$J$21</definedName>
    <definedName name="UNMT0020_REPORT_TEKIYO">UNMT0020_REPORT!$L$21</definedName>
    <definedName name="UNMT0020_REPORT_TENKAI_FLG">UNMT0020_REPORT!$U$14</definedName>
    <definedName name="UNMT0020_SQL_MULTI_SELECT">UNMT0020_SQL!$D$71</definedName>
    <definedName name="UNMT0020_SQL_NYURYOKUSHA">UNMT0020_SQL!$D$69</definedName>
    <definedName name="UNMT0020_SQL_SEIKYU_SEARCH">UNMT0020_SQL!$D$66</definedName>
    <definedName name="UNMT0020_SQL_SELECT_DAIHYO_MEI">UNMT0020_SQL!$D$54</definedName>
    <definedName name="UNMT0020_SQL_SELECT_KAISHA_MARK_PATH">UNMT0020_SQL!$D$52</definedName>
    <definedName name="UNMT0020_SQL_SELECT_KEISHO">UNMT0020_SQL!$D$49</definedName>
    <definedName name="UNMT0020_SQL_SELECT_MITSU_B">UNMT0020_SQL!$D$13</definedName>
    <definedName name="UNMT0020_SQL_SELECT_MITSU_B_R">UNMT0020_SQL!$D$32</definedName>
    <definedName name="UNMT0020_SQL_SELECT_MITSU_H">UNMT0020_SQL!$D$4</definedName>
    <definedName name="UNMT0020_SQL_SELECT_MITSU_H_R">UNMT0020_SQL!$D$23</definedName>
    <definedName name="UNMT0020_SQL_SELECT_MITSU_STS">UNMT0020_SQL!$D$47</definedName>
    <definedName name="UNMT0020_SQL_SELECT_NEBIKI_POPUP">UNMT0020_SQL!$D$43</definedName>
    <definedName name="UNMT0020_SQL_SELECT_TANTO_MARK_PATH">UNMT0020_SQL!$D$53</definedName>
    <definedName name="UNMT0020_SQL_SELECT_TAX_RATE">UNMT0020_SQL!$D$45</definedName>
    <definedName name="UNMT0020_SQL_SHAIN_SEARCH">UNMT0020_SQL!$D$64</definedName>
    <definedName name="UNMT0020_SQL_SHIIRE_SEARCH">UNMT0020_SQL!$D$68</definedName>
    <definedName name="UNMT0020_SQL_SHOHIN_SEARCH">UNMT0020_SQL!$D$67</definedName>
    <definedName name="UNMT0020_SQL_TORIHIKI_BUNRUI_SEARCH">UNMT0020_SQL!$D$65</definedName>
    <definedName name="UNMT0040_ALL_PAGE_SU">UNMT0040!$D$8</definedName>
    <definedName name="UNMT0040_ARARIEKI">UNMT0040!$N$7</definedName>
    <definedName name="UNMT0040_ARARIRITSU">UNMT0040!$O$7</definedName>
    <definedName name="UNMT0040_COPY_SAKI">UNMT0040!$D$12</definedName>
    <definedName name="UNMT0040_CTRL_HYOJI_GYO_SU">UNMT0040!$D$3</definedName>
    <definedName name="UNMT0040_EIGYO_TANTOSHA_MEI">UNMT0040!$I$6</definedName>
    <definedName name="UNMT0040_EXIST_NEXT_PAGE">UNMT0040!$D$18</definedName>
    <definedName name="UNMT0040_EXIST_PREV_PAGE">UNMT0040!$D$19</definedName>
    <definedName name="UNMT0040_FORM_ORIGIN">UNMT0040!$F$1</definedName>
    <definedName name="UNMT0040_FORMAT_COPY_FLG">UNMT0040!$D$15</definedName>
    <definedName name="UNMT0040_HIDE_COLUMN">UNMT0040!$D$31</definedName>
    <definedName name="UNMT0040_HIDE_ROW">UNMT0040!$D$30</definedName>
    <definedName name="UNMT0040_HYOJI_KENSU">UNMT0040!$D$9</definedName>
    <definedName name="UNMT0040_IF_DATA_SEARCH_FLG">UNMT0040_IF!$D$9</definedName>
    <definedName name="UNMT0040_IF_LIST_COPY_MOTO">UNMT0040_IF!$D$6:$Q$6</definedName>
    <definedName name="UNMT0040_IF_LIST_DEFAULT">UNMT0040_IF!$D$5:$Q$5</definedName>
    <definedName name="UNMT0040_IF_MITSU_NO">UNMT0040_IF!$D$20</definedName>
    <definedName name="UNMT0040_IF_PREV_GAMEN">UNMT0040_IF!$D$23</definedName>
    <definedName name="UNMT0040_KENMEI">UNMT0040!$K$7</definedName>
    <definedName name="UNMT0040_KENSAKU_KENSU">UNMT0040!$D$6</definedName>
    <definedName name="UNMT0040_LIST_CLEAR">UNMT0040!$D$13</definedName>
    <definedName name="UNMT0040_LIST_START">UNMT0040!$D$11</definedName>
    <definedName name="UNMT0040_MITSUMORI_NO">UNMT0040!$I$3</definedName>
    <definedName name="UNMT0040_MOD_DATE_TIME">UNMT0040!$H$7</definedName>
    <definedName name="UNMT0040_NEXT_PAGE_NO">UNMT0040!$D$21</definedName>
    <definedName name="UNMT0040_NYURYOKUSHA_MEI">UNMT0040!$L$7</definedName>
    <definedName name="UNMT0040_PAGE_NO">UNMT0040!$D$7</definedName>
    <definedName name="UNMT0040_PREV_PAGE_NO">UNMT0040!$D$22</definedName>
    <definedName name="UNMT0040_SEARCH_MITSUMORI_NO">UNMT0040!$U$7</definedName>
    <definedName name="UNMT0040_SEARCH_RIREKI_NO">UNMT0040!$V$7</definedName>
    <definedName name="UNMT0040_SEIKYUSAKI_MEI">UNMT0040!$I$5</definedName>
    <definedName name="UNMT0040_SELECT_GYO_NO">UNMT0040!$D$25</definedName>
    <definedName name="UNMT0040_SELECT_MITUSMORI_NO">UNMT0040!$D$26</definedName>
    <definedName name="UNMT0040_SELECT_RIREKI_NO">UNMT0040!$D$27</definedName>
    <definedName name="UNMT0040_SENTAKU">UNMT0040!$G$7</definedName>
    <definedName name="UNMT0040_SHORI_KBN">UNMT0040!$I$7</definedName>
    <definedName name="UNMT0040_SHUBETSU">UNMT0040!$T$7</definedName>
    <definedName name="UNMT0040_SQL_INIT_SORT">UNMT0040_SQL!$D$11</definedName>
    <definedName name="UNMT0040_SQL_RESULT_SORT">UNMT0040_SQL!$D$12</definedName>
    <definedName name="UNMT0040_SQL_SELECT_MITSU_R_H">UNMT0040_SQL!$D$5</definedName>
    <definedName name="UNMT0040_SQL_SELECT_MITSU_R_LIST">UNMT0040_SQL!$D$3</definedName>
    <definedName name="UNMT0040_SQL_SELECT_MITSU_R_LIST_CNT">UNMT0040_SQL!$D$4</definedName>
    <definedName name="UNMT0040_SQL_SORT">UNMT0040_SQL!$E$9</definedName>
    <definedName name="UNMT0040_TORIHIKI_BUNRUI">UNMT0040!$I$4</definedName>
    <definedName name="UNMT0040_TORIHIKI_JOKEN">UNMT0040!$R$7</definedName>
    <definedName name="UNMT0040_UKEWATASHI_BASHO">UNMT0040!$Q$7</definedName>
    <definedName name="UNMT0040_UKEWATASHI_DATE">UNMT0040!$P$7</definedName>
    <definedName name="UNMT0040_VIEW_CURRENT_PAGE">UNMT0040!$F$6</definedName>
    <definedName name="UNMT0040_YUKOKIGEN">UNMT0040!$S$7</definedName>
    <definedName name="UNMT0040_ZENUKI_TOTAL">UNMT0040!$M$7</definedName>
    <definedName name="必須チェック設定" localSheetId="7">UNMT0020_IF!$AA$5</definedName>
  </definedNames>
  <calcPr calcId="152511"/>
</workbook>
</file>

<file path=xl/calcChain.xml><?xml version="1.0" encoding="utf-8"?>
<calcChain xmlns="http://schemas.openxmlformats.org/spreadsheetml/2006/main">
  <c r="BC2" i="136" l="1"/>
  <c r="BA2" i="136"/>
  <c r="U3" i="142" l="1"/>
  <c r="DQ5" i="136" l="1"/>
  <c r="DU5" i="136"/>
  <c r="B2" i="142" l="1"/>
  <c r="H25" i="136" l="1"/>
  <c r="BY2" i="136" l="1"/>
  <c r="BV2" i="136" l="1"/>
  <c r="EG43" i="136" l="1"/>
  <c r="EG41" i="136"/>
  <c r="D10" i="142" l="1"/>
  <c r="D8" i="142"/>
  <c r="D40" i="82" l="1"/>
  <c r="AB19" i="136" l="1"/>
  <c r="AC28" i="136" l="1"/>
  <c r="AC27" i="136" l="1"/>
  <c r="AB7" i="136"/>
  <c r="AB16" i="136" l="1"/>
  <c r="AB14" i="136"/>
  <c r="AB20" i="136"/>
  <c r="H60" i="136" l="1"/>
  <c r="EX5" i="136" l="1"/>
  <c r="EX4" i="136"/>
  <c r="EX6" i="136" l="1"/>
  <c r="EX13" i="136"/>
  <c r="EX11" i="136"/>
  <c r="EX10" i="136"/>
  <c r="EX9" i="136"/>
  <c r="EX8" i="136"/>
  <c r="CY110" i="136"/>
  <c r="CU110" i="136"/>
  <c r="CT110" i="136"/>
  <c r="CY93" i="136"/>
  <c r="CU93" i="136"/>
  <c r="CT93" i="136"/>
  <c r="CY76" i="136"/>
  <c r="CU76" i="136"/>
  <c r="CT76" i="136"/>
  <c r="CY59" i="136"/>
  <c r="CU59" i="136"/>
  <c r="CT59" i="136"/>
  <c r="CY42" i="136"/>
  <c r="CU42" i="136"/>
  <c r="CT42" i="136"/>
  <c r="CY25" i="136"/>
  <c r="CU25" i="136"/>
  <c r="CT25" i="136"/>
  <c r="H67" i="136" l="1"/>
  <c r="H66" i="136"/>
  <c r="D53" i="137"/>
  <c r="C6" i="142" l="1"/>
  <c r="C5" i="142"/>
  <c r="H57" i="136" l="1"/>
  <c r="D23" i="135"/>
  <c r="D24" i="135"/>
  <c r="H47" i="136" l="1"/>
  <c r="H48" i="136"/>
  <c r="D69" i="137"/>
  <c r="CW63" i="136" l="1"/>
  <c r="CW12" i="136"/>
  <c r="E51" i="146" l="1"/>
  <c r="Y9" i="136" l="1"/>
  <c r="CT62" i="136" l="1"/>
  <c r="D8" i="135" l="1"/>
  <c r="D7" i="135"/>
  <c r="CT11" i="136"/>
  <c r="J3" i="134"/>
  <c r="D45" i="137" s="1"/>
  <c r="O17" i="134" l="1"/>
  <c r="H54" i="136" l="1"/>
  <c r="H39" i="136" l="1"/>
  <c r="S7" i="81" l="1"/>
  <c r="N7" i="81"/>
  <c r="N6" i="81"/>
  <c r="AH5" i="81"/>
  <c r="E10" i="151" l="1"/>
  <c r="J17" i="134" l="1"/>
  <c r="K17" i="134"/>
  <c r="CV110" i="136" l="1"/>
  <c r="CV25" i="136"/>
  <c r="CV93" i="136"/>
  <c r="CV59" i="136"/>
  <c r="CV76" i="136"/>
  <c r="CV42" i="136"/>
  <c r="L17" i="134"/>
  <c r="M17" i="134" s="1"/>
  <c r="DA110" i="136"/>
  <c r="DA93" i="136"/>
  <c r="DA76" i="136"/>
  <c r="DA59" i="136"/>
  <c r="DA42" i="136"/>
  <c r="DA25" i="136"/>
  <c r="I19" i="142"/>
  <c r="Q17" i="134"/>
  <c r="DB110" i="136" s="1"/>
  <c r="CW110" i="136" l="1"/>
  <c r="CW76" i="136"/>
  <c r="CW93" i="136"/>
  <c r="DB76" i="136"/>
  <c r="DB93" i="136"/>
  <c r="CW59" i="136"/>
  <c r="DB42" i="136"/>
  <c r="DB59" i="136"/>
  <c r="CW42" i="136"/>
  <c r="R17" i="134"/>
  <c r="DB25" i="136"/>
  <c r="CW25" i="136"/>
  <c r="AQ2" i="136"/>
  <c r="DQ49" i="136" l="1"/>
  <c r="DQ32" i="136"/>
  <c r="DQ45" i="136"/>
  <c r="D17" i="135" l="1"/>
  <c r="EB35" i="136"/>
  <c r="EB52" i="136"/>
  <c r="DQ28" i="136"/>
  <c r="CH2" i="136" l="1"/>
  <c r="CG2" i="136"/>
  <c r="CE2" i="136"/>
  <c r="CD2" i="136"/>
  <c r="CB2" i="136"/>
  <c r="CA2" i="136"/>
  <c r="EO41" i="136"/>
  <c r="DQ52" i="136"/>
  <c r="DQ35" i="136"/>
  <c r="H4" i="135" l="1"/>
  <c r="DU39" i="136"/>
  <c r="DW39" i="136" s="1"/>
  <c r="DQ39" i="136"/>
  <c r="DU22" i="136"/>
  <c r="DW22" i="136" s="1"/>
  <c r="DQ22" i="136"/>
  <c r="DV22" i="136" l="1"/>
  <c r="DV39" i="136"/>
  <c r="D25" i="134"/>
  <c r="G22" i="146" l="1"/>
  <c r="D13" i="135" l="1"/>
  <c r="D10" i="135" l="1"/>
  <c r="D20" i="135"/>
  <c r="D19" i="135"/>
  <c r="D18" i="135"/>
  <c r="D16" i="135"/>
  <c r="D2" i="152" l="1"/>
  <c r="EB18" i="136"/>
  <c r="D31" i="148" l="1"/>
  <c r="U10" i="142" l="1"/>
  <c r="U8" i="142"/>
  <c r="D40" i="135" l="1"/>
  <c r="BR6" i="145" l="1"/>
  <c r="BR4" i="145" l="1"/>
  <c r="BR5" i="145"/>
  <c r="D2" i="137" l="1"/>
  <c r="D1" i="137"/>
  <c r="D27" i="148"/>
  <c r="D26" i="148"/>
  <c r="D37" i="137" l="1"/>
  <c r="D18" i="137"/>
  <c r="D34" i="137"/>
  <c r="D32" i="137" s="1"/>
  <c r="D8" i="137"/>
  <c r="D27" i="137"/>
  <c r="D15" i="137"/>
  <c r="D13" i="137" s="1"/>
  <c r="D25" i="137"/>
  <c r="D23" i="137" s="1"/>
  <c r="E37" i="146"/>
  <c r="E50" i="146" l="1"/>
  <c r="F49" i="146"/>
  <c r="F48" i="146"/>
  <c r="F47" i="146"/>
  <c r="F45" i="146"/>
  <c r="F44" i="146"/>
  <c r="F43" i="146"/>
  <c r="F42" i="146"/>
  <c r="F41" i="146"/>
  <c r="E39" i="146"/>
  <c r="E38" i="146"/>
  <c r="E36" i="146"/>
  <c r="E35" i="146"/>
  <c r="E34" i="146"/>
  <c r="E33" i="146"/>
  <c r="I46" i="146"/>
  <c r="G21" i="146"/>
  <c r="G19" i="146"/>
  <c r="G18" i="146"/>
  <c r="G17" i="146"/>
  <c r="G11" i="146"/>
  <c r="G8" i="146"/>
  <c r="G14" i="146"/>
  <c r="G16" i="146"/>
  <c r="G15" i="146"/>
  <c r="E32" i="146"/>
  <c r="D28" i="146" s="1"/>
  <c r="G23" i="146"/>
  <c r="G20" i="146"/>
  <c r="G13" i="146"/>
  <c r="G12" i="146"/>
  <c r="G7" i="146"/>
  <c r="G6" i="146"/>
  <c r="G5" i="146"/>
  <c r="G4" i="146"/>
  <c r="G3" i="146"/>
  <c r="E46" i="146" l="1"/>
  <c r="D15" i="148" l="1"/>
  <c r="D12" i="148" l="1"/>
  <c r="D36" i="82"/>
  <c r="D5" i="151" l="1"/>
  <c r="C1" i="151"/>
  <c r="E8" i="151" s="1"/>
  <c r="D3" i="151" s="1"/>
  <c r="D4" i="151" l="1"/>
  <c r="D22" i="148"/>
  <c r="D21" i="148"/>
  <c r="D19" i="148"/>
  <c r="D11" i="148"/>
  <c r="D8" i="148"/>
  <c r="F6" i="148" s="1"/>
  <c r="E53" i="146"/>
  <c r="D13" i="148"/>
  <c r="D18" i="148" l="1"/>
  <c r="BC6" i="145"/>
  <c r="AI7" i="145"/>
  <c r="D26" i="81"/>
  <c r="D27" i="81" l="1"/>
  <c r="D29" i="81" s="1"/>
  <c r="G10" i="146" s="1"/>
  <c r="D19" i="81"/>
  <c r="D28" i="81" l="1"/>
  <c r="G9" i="146" s="1"/>
  <c r="E40" i="146" l="1"/>
  <c r="D25" i="82"/>
  <c r="D32" i="82"/>
  <c r="D31" i="82"/>
  <c r="D29" i="82"/>
  <c r="D27" i="146" l="1"/>
  <c r="D26" i="146"/>
  <c r="AN8" i="145"/>
  <c r="AI8" i="145"/>
  <c r="H5" i="135" l="1"/>
  <c r="D39" i="82"/>
  <c r="D23" i="81"/>
  <c r="D15" i="135" l="1"/>
  <c r="D14" i="135"/>
  <c r="D21" i="82"/>
  <c r="D18" i="82"/>
  <c r="D22" i="82"/>
  <c r="D23" i="82"/>
  <c r="D42" i="82"/>
  <c r="D28" i="82" l="1"/>
  <c r="F11" i="82"/>
  <c r="H26" i="136" l="1"/>
  <c r="CF2" i="136" l="1"/>
  <c r="H21" i="136" l="1"/>
  <c r="D29" i="135"/>
  <c r="K1" i="134" l="1"/>
  <c r="H1" i="134"/>
  <c r="EG37" i="136" l="1"/>
  <c r="EM37" i="136"/>
  <c r="EN37" i="136"/>
  <c r="EO37" i="136"/>
  <c r="EP37" i="136"/>
  <c r="EQ37" i="136"/>
  <c r="EG39" i="136"/>
  <c r="EM41" i="136"/>
  <c r="EN41" i="136"/>
  <c r="EP41" i="136"/>
  <c r="EQ41" i="136"/>
  <c r="EP43" i="136"/>
  <c r="EQ43" i="136"/>
  <c r="U5" i="142" l="1"/>
  <c r="U2" i="142"/>
  <c r="D18" i="142"/>
  <c r="D16" i="142"/>
  <c r="D14" i="142"/>
  <c r="D12" i="142"/>
  <c r="M3" i="142"/>
  <c r="D6" i="137"/>
  <c r="D4" i="137" s="1"/>
  <c r="H51" i="136"/>
  <c r="H50" i="136"/>
  <c r="H49" i="136"/>
  <c r="H46" i="136"/>
  <c r="H44" i="136"/>
  <c r="H43" i="136"/>
  <c r="H42" i="136"/>
  <c r="H41" i="136"/>
  <c r="H40" i="136"/>
  <c r="H38" i="136"/>
  <c r="H37" i="136"/>
  <c r="H36" i="136"/>
  <c r="H35" i="136"/>
  <c r="H32" i="136"/>
  <c r="H31" i="136"/>
  <c r="Y19" i="136"/>
  <c r="Y18" i="136"/>
  <c r="DQ15" i="136"/>
  <c r="H20" i="136"/>
  <c r="AL2" i="136"/>
  <c r="CI2" i="136"/>
  <c r="CC2" i="136"/>
  <c r="BZ2" i="136"/>
  <c r="BX2" i="136"/>
  <c r="BW2" i="136"/>
  <c r="AJ2" i="136"/>
  <c r="BU2" i="136"/>
  <c r="BM2" i="136"/>
  <c r="BL2" i="136"/>
  <c r="BK2" i="136"/>
  <c r="BJ2" i="136"/>
  <c r="BI2" i="136"/>
  <c r="BH2" i="136"/>
  <c r="BG2" i="136"/>
  <c r="BF2" i="136"/>
  <c r="BE2" i="136"/>
  <c r="BD2" i="136"/>
  <c r="BB2" i="136"/>
  <c r="AZ2" i="136"/>
  <c r="AY2" i="136"/>
  <c r="AX2" i="136"/>
  <c r="AW2" i="136"/>
  <c r="AV2" i="136"/>
  <c r="AU2" i="136"/>
  <c r="AT2" i="136"/>
  <c r="AS2" i="136"/>
  <c r="AP2" i="136"/>
  <c r="AO2" i="136"/>
  <c r="AN2" i="136"/>
  <c r="AM2" i="136"/>
  <c r="AK2" i="136"/>
  <c r="D39" i="135"/>
  <c r="D54" i="135" s="1"/>
  <c r="D38" i="135"/>
  <c r="D37" i="135"/>
  <c r="D52" i="135" s="1"/>
  <c r="D36" i="135"/>
  <c r="D46" i="135" s="1"/>
  <c r="D35" i="135"/>
  <c r="D4" i="135"/>
  <c r="D6" i="134"/>
  <c r="AR2" i="136" s="1"/>
  <c r="D3" i="134"/>
  <c r="D57" i="135"/>
  <c r="D61" i="135"/>
  <c r="D59" i="135"/>
  <c r="DJ52" i="136"/>
  <c r="DQ11" i="136"/>
  <c r="DJ30" i="136"/>
  <c r="DJ28" i="136"/>
  <c r="DJ32" i="136"/>
  <c r="DJ45" i="136"/>
  <c r="DJ15" i="136"/>
  <c r="D63" i="135"/>
  <c r="DQ18" i="136"/>
  <c r="DJ5" i="136"/>
  <c r="DJ47" i="136"/>
  <c r="DJ39" i="136"/>
  <c r="DJ49" i="136"/>
  <c r="DJ11" i="136"/>
  <c r="DJ22" i="136"/>
  <c r="AI2" i="136" l="1"/>
  <c r="AH2" i="136"/>
  <c r="DW5" i="136"/>
  <c r="DV5" i="136" s="1"/>
  <c r="BQ2" i="136"/>
  <c r="CU3" i="136"/>
  <c r="H45" i="136"/>
  <c r="CU4" i="136"/>
  <c r="H28" i="136"/>
  <c r="CU5" i="136"/>
  <c r="D48" i="135"/>
  <c r="D49" i="135"/>
  <c r="D51" i="135"/>
  <c r="D55" i="135"/>
  <c r="D44" i="135"/>
  <c r="D43" i="135"/>
  <c r="D42" i="135"/>
  <c r="D30" i="135"/>
  <c r="DJ25" i="136"/>
  <c r="D22" i="135"/>
  <c r="D31" i="135"/>
  <c r="DJ42" i="136"/>
  <c r="DJ35" i="136"/>
  <c r="DJ18" i="136"/>
  <c r="H7" i="135"/>
  <c r="DJ13" i="136"/>
  <c r="DJ8" i="136"/>
  <c r="BN2" i="136" l="1"/>
  <c r="AG2" i="136"/>
  <c r="BR2" i="136"/>
  <c r="D32" i="135"/>
  <c r="BP2" i="136" l="1"/>
  <c r="BO2" i="136"/>
  <c r="BS2" i="136"/>
</calcChain>
</file>

<file path=xl/sharedStrings.xml><?xml version="1.0" encoding="utf-8"?>
<sst xmlns="http://schemas.openxmlformats.org/spreadsheetml/2006/main" count="1650" uniqueCount="1038">
  <si>
    <t>選択</t>
    <rPh sb="0" eb="2">
      <t>センタク</t>
    </rPh>
    <phoneticPr fontId="2"/>
  </si>
  <si>
    <t>●ボタン領域</t>
  </si>
  <si>
    <t>閉じる</t>
  </si>
  <si>
    <t>コード検索</t>
  </si>
  <si>
    <t>検索実行</t>
  </si>
  <si>
    <t>キャンセル</t>
  </si>
  <si>
    <t>詳細画面へ</t>
  </si>
  <si>
    <t>前ページ</t>
  </si>
  <si>
    <t>次ページ</t>
  </si>
  <si>
    <t>並び替え</t>
  </si>
  <si>
    <t>見積新規作成</t>
  </si>
  <si>
    <t>Excel出力</t>
  </si>
  <si>
    <t>見積検索</t>
    <rPh sb="0" eb="2">
      <t>ミツモリ</t>
    </rPh>
    <rPh sb="2" eb="4">
      <t>ケンサク</t>
    </rPh>
    <phoneticPr fontId="2"/>
  </si>
  <si>
    <t>参考</t>
    <rPh sb="0" eb="2">
      <t>サンコウ</t>
    </rPh>
    <phoneticPr fontId="2"/>
  </si>
  <si>
    <t>白地</t>
    <rPh sb="0" eb="2">
      <t>シラジ</t>
    </rPh>
    <phoneticPr fontId="2"/>
  </si>
  <si>
    <t>仕掛</t>
    <rPh sb="0" eb="2">
      <t>シカカリ</t>
    </rPh>
    <phoneticPr fontId="2"/>
  </si>
  <si>
    <t>見込</t>
    <rPh sb="0" eb="2">
      <t>ミコ</t>
    </rPh>
    <phoneticPr fontId="2"/>
  </si>
  <si>
    <t>受注済</t>
    <rPh sb="0" eb="2">
      <t>ジュチュウ</t>
    </rPh>
    <rPh sb="2" eb="3">
      <t>ズ</t>
    </rPh>
    <phoneticPr fontId="2"/>
  </si>
  <si>
    <t>～</t>
    <phoneticPr fontId="2"/>
  </si>
  <si>
    <t>見積No.：</t>
    <rPh sb="0" eb="2">
      <t>ミツモリ</t>
    </rPh>
    <phoneticPr fontId="2"/>
  </si>
  <si>
    <t>フリーワード：</t>
    <phoneticPr fontId="2"/>
  </si>
  <si>
    <t>ステータス</t>
    <phoneticPr fontId="2"/>
  </si>
  <si>
    <t>取引分類</t>
    <rPh sb="0" eb="2">
      <t>トリヒキ</t>
    </rPh>
    <rPh sb="2" eb="4">
      <t>ブンルイ</t>
    </rPh>
    <phoneticPr fontId="2"/>
  </si>
  <si>
    <t>見積No.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</si>
  <si>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</si>
  <si>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請求先CD</t>
    <rPh sb="0" eb="2">
      <t>セイキュウ</t>
    </rPh>
    <rPh sb="2" eb="3">
      <t>サキ</t>
    </rPh>
    <phoneticPr fontId="2"/>
  </si>
  <si>
    <t>請求先名</t>
    <rPh sb="0" eb="2">
      <t>セイキュウ</t>
    </rPh>
    <rPh sb="2" eb="3">
      <t>サキ</t>
    </rPh>
    <rPh sb="3" eb="4">
      <t>メイ</t>
    </rPh>
    <phoneticPr fontId="2"/>
  </si>
  <si>
    <t>件名</t>
    <rPh sb="0" eb="2">
      <t>ケンメイ</t>
    </rPh>
    <phoneticPr fontId="2"/>
  </si>
  <si>
    <t>税抜合計</t>
    <rPh sb="0" eb="2">
      <t>ゼイヌキ</t>
    </rPh>
    <rPh sb="2" eb="4">
      <t>ゴウケイ</t>
    </rPh>
    <phoneticPr fontId="2"/>
  </si>
  <si>
    <t>粗利益</t>
    <rPh sb="0" eb="3">
      <t>アラリエキ</t>
    </rPh>
    <phoneticPr fontId="2"/>
  </si>
  <si>
    <t>粗利率％</t>
    <rPh sb="0" eb="2">
      <t>アラリ</t>
    </rPh>
    <rPh sb="2" eb="3">
      <t>リツ</t>
    </rPh>
    <phoneticPr fontId="2"/>
  </si>
  <si>
    <t>種別</t>
    <rPh sb="0" eb="2">
      <t>シュベツ</t>
    </rPh>
    <phoneticPr fontId="2"/>
  </si>
  <si>
    <t>＞</t>
    <phoneticPr fontId="2"/>
  </si>
  <si>
    <t>単価</t>
    <rPh sb="0" eb="2">
      <t>タンカ</t>
    </rPh>
    <phoneticPr fontId="2"/>
  </si>
  <si>
    <t>削除</t>
    <rPh sb="0" eb="2">
      <t>サクジョ</t>
    </rPh>
    <phoneticPr fontId="2"/>
  </si>
  <si>
    <t>新規登録</t>
    <rPh sb="0" eb="2">
      <t>シンキ</t>
    </rPh>
    <rPh sb="2" eb="4">
      <t>トウロク</t>
    </rPh>
    <phoneticPr fontId="2"/>
  </si>
  <si>
    <t>西暦和暦表示：</t>
    <rPh sb="0" eb="2">
      <t>セイレキ</t>
    </rPh>
    <rPh sb="2" eb="4">
      <t>ワレキ</t>
    </rPh>
    <rPh sb="4" eb="6">
      <t>ヒョウジ</t>
    </rPh>
    <phoneticPr fontId="2"/>
  </si>
  <si>
    <t>参照元見積No.：</t>
    <rPh sb="0" eb="2">
      <t>サンショウ</t>
    </rPh>
    <rPh sb="2" eb="3">
      <t>モト</t>
    </rPh>
    <rPh sb="3" eb="5">
      <t>ミツモリ</t>
    </rPh>
    <phoneticPr fontId="2"/>
  </si>
  <si>
    <t>件名：</t>
    <rPh sb="0" eb="2">
      <t>ケンメイ</t>
    </rPh>
    <phoneticPr fontId="2"/>
  </si>
  <si>
    <t>請求先名：</t>
    <rPh sb="0" eb="2">
      <t>セイキュウ</t>
    </rPh>
    <rPh sb="2" eb="3">
      <t>サキ</t>
    </rPh>
    <rPh sb="3" eb="4">
      <t>メイ</t>
    </rPh>
    <phoneticPr fontId="2"/>
  </si>
  <si>
    <t>担当者印：</t>
    <rPh sb="0" eb="3">
      <t>タントウシャ</t>
    </rPh>
    <rPh sb="3" eb="4">
      <t>イン</t>
    </rPh>
    <phoneticPr fontId="2"/>
  </si>
  <si>
    <t>代表者名：</t>
    <rPh sb="0" eb="3">
      <t>ダイヒョウシャ</t>
    </rPh>
    <rPh sb="3" eb="4">
      <t>メイ</t>
    </rPh>
    <phoneticPr fontId="2"/>
  </si>
  <si>
    <t>会社角印：</t>
    <rPh sb="0" eb="2">
      <t>カイシャ</t>
    </rPh>
    <rPh sb="2" eb="4">
      <t>カクイン</t>
    </rPh>
    <phoneticPr fontId="2"/>
  </si>
  <si>
    <t>承認印欄：</t>
    <rPh sb="0" eb="3">
      <t>ショウニンイン</t>
    </rPh>
    <rPh sb="3" eb="4">
      <t>ラン</t>
    </rPh>
    <phoneticPr fontId="2"/>
  </si>
  <si>
    <t>消費税</t>
    <rPh sb="0" eb="3">
      <t>ショウヒゼイ</t>
    </rPh>
    <phoneticPr fontId="2"/>
  </si>
  <si>
    <t>税込合計</t>
    <rPh sb="0" eb="2">
      <t>ゼイコミ</t>
    </rPh>
    <rPh sb="2" eb="4">
      <t>ゴウケイ</t>
    </rPh>
    <phoneticPr fontId="2"/>
  </si>
  <si>
    <t>原価合計</t>
    <rPh sb="0" eb="2">
      <t>ゲンカ</t>
    </rPh>
    <rPh sb="2" eb="4">
      <t>ゴウケイ</t>
    </rPh>
    <phoneticPr fontId="2"/>
  </si>
  <si>
    <t>利益率％</t>
    <rPh sb="0" eb="2">
      <t>リエキ</t>
    </rPh>
    <rPh sb="2" eb="3">
      <t>リツ</t>
    </rPh>
    <phoneticPr fontId="2"/>
  </si>
  <si>
    <t>税込印刷：</t>
    <rPh sb="0" eb="1">
      <t>ゼイ</t>
    </rPh>
    <rPh sb="1" eb="2">
      <t>コミ</t>
    </rPh>
    <rPh sb="2" eb="4">
      <t>インサツ</t>
    </rPh>
    <phoneticPr fontId="2"/>
  </si>
  <si>
    <t>行</t>
    <rPh sb="0" eb="1">
      <t>ギョウ</t>
    </rPh>
    <phoneticPr fontId="2"/>
  </si>
  <si>
    <t>商品名</t>
    <rPh sb="0" eb="3">
      <t>ショウヒンメイ</t>
    </rPh>
    <phoneticPr fontId="2"/>
  </si>
  <si>
    <t>単位</t>
    <rPh sb="0" eb="2">
      <t>タンイ</t>
    </rPh>
    <phoneticPr fontId="2"/>
  </si>
  <si>
    <t>金額</t>
    <rPh sb="0" eb="2">
      <t>キンガク</t>
    </rPh>
    <phoneticPr fontId="2"/>
  </si>
  <si>
    <t>摘要</t>
    <rPh sb="0" eb="2">
      <t>テキヨウ</t>
    </rPh>
    <phoneticPr fontId="2"/>
  </si>
  <si>
    <t>原単価</t>
    <rPh sb="0" eb="1">
      <t>ゲン</t>
    </rPh>
    <rPh sb="1" eb="3">
      <t>タンカ</t>
    </rPh>
    <phoneticPr fontId="2"/>
  </si>
  <si>
    <t>原価</t>
    <rPh sb="0" eb="2">
      <t>ゲンカ</t>
    </rPh>
    <phoneticPr fontId="2"/>
  </si>
  <si>
    <t>粗利率</t>
    <rPh sb="0" eb="3">
      <t>アラリリツ</t>
    </rPh>
    <phoneticPr fontId="2"/>
  </si>
  <si>
    <t>定価</t>
    <rPh sb="0" eb="2">
      <t>テイカ</t>
    </rPh>
    <phoneticPr fontId="2"/>
  </si>
  <si>
    <t>仕入先CD</t>
    <rPh sb="0" eb="2">
      <t>シイレ</t>
    </rPh>
    <rPh sb="2" eb="3">
      <t>サキ</t>
    </rPh>
    <phoneticPr fontId="2"/>
  </si>
  <si>
    <t>仕入先名</t>
    <rPh sb="0" eb="2">
      <t>シイレ</t>
    </rPh>
    <rPh sb="2" eb="3">
      <t>サキ</t>
    </rPh>
    <rPh sb="3" eb="4">
      <t>メイ</t>
    </rPh>
    <phoneticPr fontId="2"/>
  </si>
  <si>
    <t>comment</t>
    <phoneticPr fontId="2"/>
  </si>
  <si>
    <t>%ﾚｽ</t>
    <phoneticPr fontId="2"/>
  </si>
  <si>
    <t>subtotal</t>
    <phoneticPr fontId="2"/>
  </si>
  <si>
    <t>小計</t>
    <rPh sb="0" eb="2">
      <t>ショウケイ</t>
    </rPh>
    <phoneticPr fontId="2"/>
  </si>
  <si>
    <t>取引条件</t>
    <rPh sb="0" eb="2">
      <t>トリヒキ</t>
    </rPh>
    <rPh sb="2" eb="4">
      <t>ジョウケン</t>
    </rPh>
    <phoneticPr fontId="2"/>
  </si>
  <si>
    <t>商品CD</t>
    <rPh sb="0" eb="2">
      <t>ショウヒン</t>
    </rPh>
    <phoneticPr fontId="2"/>
  </si>
  <si>
    <t>有効期限</t>
    <rPh sb="0" eb="2">
      <t>ユウコウ</t>
    </rPh>
    <rPh sb="2" eb="4">
      <t>キゲン</t>
    </rPh>
    <phoneticPr fontId="2"/>
  </si>
  <si>
    <t>種別▼</t>
    <rPh sb="0" eb="2">
      <t>シュベツ</t>
    </rPh>
    <phoneticPr fontId="2"/>
  </si>
  <si>
    <t>商品▼</t>
    <rPh sb="0" eb="2">
      <t>ショウヒン</t>
    </rPh>
    <phoneticPr fontId="2"/>
  </si>
  <si>
    <t>取引分類▼</t>
    <rPh sb="0" eb="2">
      <t>トリヒキ</t>
    </rPh>
    <rPh sb="2" eb="4">
      <t>ブンルイ</t>
    </rPh>
    <phoneticPr fontId="2"/>
  </si>
  <si>
    <t>ステータス：</t>
    <phoneticPr fontId="2"/>
  </si>
  <si>
    <t>請求先▼</t>
    <rPh sb="0" eb="2">
      <t>セイキュウ</t>
    </rPh>
    <rPh sb="2" eb="3">
      <t>サキ</t>
    </rPh>
    <phoneticPr fontId="2"/>
  </si>
  <si>
    <t>ステータス▼</t>
    <phoneticPr fontId="2"/>
  </si>
  <si>
    <t>請求先CD▼</t>
    <rPh sb="0" eb="2">
      <t>セイキュウ</t>
    </rPh>
    <rPh sb="2" eb="3">
      <t>サキ</t>
    </rPh>
    <phoneticPr fontId="2"/>
  </si>
  <si>
    <t>受渡期日▽</t>
    <rPh sb="0" eb="2">
      <t>ウケワタシ</t>
    </rPh>
    <rPh sb="2" eb="4">
      <t>キジツ</t>
    </rPh>
    <phoneticPr fontId="2"/>
  </si>
  <si>
    <t>受渡場所▽</t>
    <rPh sb="0" eb="2">
      <t>ウケワタシ</t>
    </rPh>
    <rPh sb="2" eb="4">
      <t>バショ</t>
    </rPh>
    <phoneticPr fontId="2"/>
  </si>
  <si>
    <t>取引条件▽</t>
    <rPh sb="0" eb="2">
      <t>トリヒキ</t>
    </rPh>
    <rPh sb="2" eb="4">
      <t>ジョウケン</t>
    </rPh>
    <phoneticPr fontId="2"/>
  </si>
  <si>
    <t>有効期限▽</t>
    <rPh sb="0" eb="2">
      <t>ユウコウ</t>
    </rPh>
    <rPh sb="2" eb="4">
      <t>キゲン</t>
    </rPh>
    <phoneticPr fontId="2"/>
  </si>
  <si>
    <t>税率％</t>
    <rPh sb="0" eb="2">
      <t>ゼイリツ</t>
    </rPh>
    <phoneticPr fontId="2"/>
  </si>
  <si>
    <t>受渡場所</t>
    <rPh sb="0" eb="2">
      <t>ウケワタシ</t>
    </rPh>
    <rPh sb="2" eb="4">
      <t>バショ</t>
    </rPh>
    <phoneticPr fontId="2"/>
  </si>
  <si>
    <t>受渡期日</t>
    <rPh sb="0" eb="2">
      <t>ウケワタシ</t>
    </rPh>
    <rPh sb="2" eb="4">
      <t>キジツ</t>
    </rPh>
    <phoneticPr fontId="2"/>
  </si>
  <si>
    <t>数量</t>
    <rPh sb="0" eb="2">
      <t>スウリョウ</t>
    </rPh>
    <phoneticPr fontId="2"/>
  </si>
  <si>
    <t>受渡期日</t>
    <phoneticPr fontId="2"/>
  </si>
  <si>
    <t>受渡場所</t>
    <phoneticPr fontId="2"/>
  </si>
  <si>
    <t>取引条件</t>
    <phoneticPr fontId="2"/>
  </si>
  <si>
    <t>有効期限</t>
    <phoneticPr fontId="2"/>
  </si>
  <si>
    <t>見積№：</t>
    <rPh sb="0" eb="2">
      <t>ミツモリ</t>
    </rPh>
    <phoneticPr fontId="2"/>
  </si>
  <si>
    <t>取引分類：</t>
    <rPh sb="0" eb="2">
      <t>トリヒキ</t>
    </rPh>
    <rPh sb="2" eb="4">
      <t>ブンルイ</t>
    </rPh>
    <phoneticPr fontId="2"/>
  </si>
  <si>
    <t>削除済も表示</t>
    <rPh sb="0" eb="2">
      <t>サクジョ</t>
    </rPh>
    <rPh sb="2" eb="3">
      <t>ス</t>
    </rPh>
    <rPh sb="4" eb="6">
      <t>ヒョウジ</t>
    </rPh>
    <phoneticPr fontId="2"/>
  </si>
  <si>
    <t>訂正履歴表示</t>
    <rPh sb="0" eb="2">
      <t>テイセイ</t>
    </rPh>
    <rPh sb="2" eb="4">
      <t>リレキ</t>
    </rPh>
    <rPh sb="4" eb="6">
      <t>ヒョウジ</t>
    </rPh>
    <phoneticPr fontId="2"/>
  </si>
  <si>
    <t>見積訂正履歴一覧</t>
    <rPh sb="0" eb="2">
      <t>ミツモリ</t>
    </rPh>
    <rPh sb="2" eb="4">
      <t>テイセイ</t>
    </rPh>
    <rPh sb="4" eb="6">
      <t>リレキ</t>
    </rPh>
    <rPh sb="6" eb="8">
      <t>イチラン</t>
    </rPh>
    <phoneticPr fontId="2"/>
  </si>
  <si>
    <t>更新日時</t>
    <rPh sb="0" eb="2">
      <t>コウシン</t>
    </rPh>
    <rPh sb="2" eb="4">
      <t>ニチジ</t>
    </rPh>
    <phoneticPr fontId="2"/>
  </si>
  <si>
    <t>処理区分</t>
    <rPh sb="0" eb="2">
      <t>ショリ</t>
    </rPh>
    <rPh sb="2" eb="4">
      <t>クブン</t>
    </rPh>
    <phoneticPr fontId="2"/>
  </si>
  <si>
    <t>営業担当者名▼</t>
    <rPh sb="0" eb="2">
      <t>エイギョウ</t>
    </rPh>
    <rPh sb="2" eb="5">
      <t>タントウシャ</t>
    </rPh>
    <rPh sb="5" eb="6">
      <t>メイ</t>
    </rPh>
    <phoneticPr fontId="2"/>
  </si>
  <si>
    <t>営業担当者名</t>
    <rPh sb="0" eb="2">
      <t>エイギョウ</t>
    </rPh>
    <rPh sb="2" eb="5">
      <t>タントウシャ</t>
    </rPh>
    <rPh sb="5" eb="6">
      <t>メイ</t>
    </rPh>
    <phoneticPr fontId="2"/>
  </si>
  <si>
    <t>先方担当者名：</t>
    <rPh sb="0" eb="2">
      <t>センポウ</t>
    </rPh>
    <rPh sb="2" eb="5">
      <t>タントウシャ</t>
    </rPh>
    <rPh sb="5" eb="6">
      <t>メイ</t>
    </rPh>
    <phoneticPr fontId="2"/>
  </si>
  <si>
    <t>営業担当者名：</t>
    <rPh sb="0" eb="2">
      <t>エイギョウ</t>
    </rPh>
    <rPh sb="2" eb="5">
      <t>タントウシャ</t>
    </rPh>
    <rPh sb="5" eb="6">
      <t>メイ</t>
    </rPh>
    <phoneticPr fontId="2"/>
  </si>
  <si>
    <t>入力者名▼</t>
    <rPh sb="3" eb="4">
      <t>メイ</t>
    </rPh>
    <phoneticPr fontId="2"/>
  </si>
  <si>
    <t>入力者名</t>
    <rPh sb="3" eb="4">
      <t>メイ</t>
    </rPh>
    <phoneticPr fontId="2"/>
  </si>
  <si>
    <t>見積日▼</t>
    <rPh sb="0" eb="2">
      <t>ミツモリ</t>
    </rPh>
    <rPh sb="2" eb="3">
      <t>ビ</t>
    </rPh>
    <phoneticPr fontId="2"/>
  </si>
  <si>
    <t>モード書式コピー先</t>
    <rPh sb="3" eb="5">
      <t>ショシキ</t>
    </rPh>
    <rPh sb="8" eb="9">
      <t>サキ</t>
    </rPh>
    <phoneticPr fontId="2"/>
  </si>
  <si>
    <t>ステータスCD</t>
    <phoneticPr fontId="2"/>
  </si>
  <si>
    <t>取引分類CD</t>
    <rPh sb="0" eb="2">
      <t>トリヒキ</t>
    </rPh>
    <rPh sb="2" eb="4">
      <t>ブンルイ</t>
    </rPh>
    <phoneticPr fontId="2"/>
  </si>
  <si>
    <t>入力者CD</t>
    <rPh sb="0" eb="2">
      <t>ニュウリョク</t>
    </rPh>
    <rPh sb="2" eb="3">
      <t>シャ</t>
    </rPh>
    <phoneticPr fontId="2"/>
  </si>
  <si>
    <t>営業担当者CD</t>
    <rPh sb="0" eb="2">
      <t>エイギョウ</t>
    </rPh>
    <rPh sb="2" eb="5">
      <t>タントウシャ</t>
    </rPh>
    <phoneticPr fontId="2"/>
  </si>
  <si>
    <t>モード</t>
    <phoneticPr fontId="2"/>
  </si>
  <si>
    <t>西暦和暦区分</t>
    <rPh sb="0" eb="2">
      <t>セイレキ</t>
    </rPh>
    <rPh sb="2" eb="4">
      <t>ワレキ</t>
    </rPh>
    <rPh sb="4" eb="6">
      <t>クブン</t>
    </rPh>
    <phoneticPr fontId="2"/>
  </si>
  <si>
    <t>担当者印フラグ</t>
    <rPh sb="0" eb="3">
      <t>タントウシャ</t>
    </rPh>
    <rPh sb="3" eb="4">
      <t>イン</t>
    </rPh>
    <phoneticPr fontId="2"/>
  </si>
  <si>
    <t>会社各印フラグ</t>
    <rPh sb="0" eb="2">
      <t>カイシャ</t>
    </rPh>
    <rPh sb="2" eb="4">
      <t>カクイン</t>
    </rPh>
    <phoneticPr fontId="2"/>
  </si>
  <si>
    <t>承認印欄フラグ</t>
    <rPh sb="0" eb="3">
      <t>ショウニンイン</t>
    </rPh>
    <rPh sb="3" eb="4">
      <t>ラン</t>
    </rPh>
    <phoneticPr fontId="2"/>
  </si>
  <si>
    <t>税込印刷フラグ</t>
    <rPh sb="0" eb="2">
      <t>ゼイコ</t>
    </rPh>
    <rPh sb="2" eb="4">
      <t>インサツ</t>
    </rPh>
    <phoneticPr fontId="2"/>
  </si>
  <si>
    <t>削除フラグ</t>
    <rPh sb="0" eb="2">
      <t>サクジョ</t>
    </rPh>
    <phoneticPr fontId="2"/>
  </si>
  <si>
    <t>【ヘッダコピー元書式】</t>
    <rPh sb="7" eb="8">
      <t>モト</t>
    </rPh>
    <rPh sb="8" eb="10">
      <t>ショシキ</t>
    </rPh>
    <phoneticPr fontId="2"/>
  </si>
  <si>
    <t>【新規】</t>
    <rPh sb="1" eb="3">
      <t>シンキ</t>
    </rPh>
    <phoneticPr fontId="2"/>
  </si>
  <si>
    <t>UNMT0020_H_MODE_COPY_SAKI</t>
  </si>
  <si>
    <t>UNMT0020_H_MODE_KBN</t>
  </si>
  <si>
    <t>UNMT0020_H_STS_CD</t>
  </si>
  <si>
    <t>UNMT0020_H_NYURYOKUSHA_CD</t>
  </si>
  <si>
    <t>UNMT0020_H_TORIHIKI_BUNRUI_CD</t>
  </si>
  <si>
    <t>UNMT0020_H_EIGYO_TANTO_CD</t>
  </si>
  <si>
    <t>UNMT0020_H_DAIHYO_MEI_FLG</t>
  </si>
  <si>
    <t>UNMT0020_H_KAISHA_MARK_FLG</t>
  </si>
  <si>
    <t>UNMT0020_H_SHONIN_RAN_FLG</t>
  </si>
  <si>
    <t>UNMT0020_H_ZEIKOMI_PRINT_FLG</t>
  </si>
  <si>
    <t>UNMT0020_H_DEL_FLG</t>
  </si>
  <si>
    <t>【処理用判定】</t>
    <rPh sb="1" eb="3">
      <t>ショリ</t>
    </rPh>
    <rPh sb="3" eb="4">
      <t>ヨウ</t>
    </rPh>
    <rPh sb="4" eb="6">
      <t>ハンテイ</t>
    </rPh>
    <phoneticPr fontId="2"/>
  </si>
  <si>
    <t>データ照会中フラグ</t>
    <rPh sb="3" eb="5">
      <t>ショウカイ</t>
    </rPh>
    <rPh sb="5" eb="6">
      <t>チュウ</t>
    </rPh>
    <phoneticPr fontId="2"/>
  </si>
  <si>
    <t>【フォーカス判定】</t>
    <rPh sb="6" eb="8">
      <t>ハンテイ</t>
    </rPh>
    <phoneticPr fontId="2"/>
  </si>
  <si>
    <t>選択シート名</t>
    <rPh sb="0" eb="2">
      <t>センタク</t>
    </rPh>
    <rPh sb="5" eb="6">
      <t>メイ</t>
    </rPh>
    <phoneticPr fontId="2"/>
  </si>
  <si>
    <t>選択行番号</t>
    <rPh sb="0" eb="2">
      <t>センタク</t>
    </rPh>
    <rPh sb="2" eb="3">
      <t>ギョウ</t>
    </rPh>
    <rPh sb="3" eb="5">
      <t>バンゴウ</t>
    </rPh>
    <phoneticPr fontId="2"/>
  </si>
  <si>
    <t>選択列番号</t>
    <rPh sb="0" eb="2">
      <t>センタク</t>
    </rPh>
    <rPh sb="2" eb="3">
      <t>レツ</t>
    </rPh>
    <rPh sb="3" eb="5">
      <t>バンゴウ</t>
    </rPh>
    <phoneticPr fontId="2"/>
  </si>
  <si>
    <t>選択セル名</t>
    <rPh sb="0" eb="2">
      <t>センタク</t>
    </rPh>
    <rPh sb="4" eb="5">
      <t>メイ</t>
    </rPh>
    <phoneticPr fontId="2"/>
  </si>
  <si>
    <t>【モード制御】</t>
    <rPh sb="4" eb="6">
      <t>セイギョ</t>
    </rPh>
    <phoneticPr fontId="2"/>
  </si>
  <si>
    <t>モード制御</t>
    <rPh sb="3" eb="5">
      <t>セイギョ</t>
    </rPh>
    <phoneticPr fontId="2"/>
  </si>
  <si>
    <t>【保存IF】</t>
    <rPh sb="1" eb="3">
      <t>ホゾン</t>
    </rPh>
    <phoneticPr fontId="2"/>
  </si>
  <si>
    <t>【保存対象】</t>
    <rPh sb="1" eb="3">
      <t>ホゾン</t>
    </rPh>
    <rPh sb="3" eb="5">
      <t>タイショウ</t>
    </rPh>
    <phoneticPr fontId="2"/>
  </si>
  <si>
    <t>入力チェック</t>
    <rPh sb="0" eb="2">
      <t>ニュウリョク</t>
    </rPh>
    <phoneticPr fontId="2"/>
  </si>
  <si>
    <t>【保存結果】</t>
    <rPh sb="1" eb="3">
      <t>ホゾン</t>
    </rPh>
    <rPh sb="3" eb="5">
      <t>ケッカ</t>
    </rPh>
    <phoneticPr fontId="2"/>
  </si>
  <si>
    <t>保存処理結果</t>
    <rPh sb="0" eb="2">
      <t>ホゾン</t>
    </rPh>
    <rPh sb="2" eb="4">
      <t>ショリ</t>
    </rPh>
    <rPh sb="4" eb="6">
      <t>ケッカ</t>
    </rPh>
    <phoneticPr fontId="2"/>
  </si>
  <si>
    <t>保存処理結果メッセージ</t>
    <rPh sb="0" eb="2">
      <t>ホゾン</t>
    </rPh>
    <rPh sb="2" eb="4">
      <t>ショリ</t>
    </rPh>
    <rPh sb="4" eb="6">
      <t>ケッカ</t>
    </rPh>
    <phoneticPr fontId="2"/>
  </si>
  <si>
    <t>保存エラー判定</t>
    <rPh sb="0" eb="2">
      <t>ホゾン</t>
    </rPh>
    <rPh sb="5" eb="7">
      <t>ハンテイ</t>
    </rPh>
    <phoneticPr fontId="2"/>
  </si>
  <si>
    <t>エラーメッセージ</t>
    <phoneticPr fontId="2"/>
  </si>
  <si>
    <t>UNMT0020_IF_ACTIVE_SHEET</t>
  </si>
  <si>
    <t>UNMT0020_IF_ACTIVE_ROW</t>
  </si>
  <si>
    <t>UNMT0020_IF_ACTIVE_COLUMN</t>
  </si>
  <si>
    <t>UNMT0020_IF_ACTIVE_CELL_NAME</t>
  </si>
  <si>
    <t>UNMT0020_IF_SAVE_INPUT_CHECK</t>
  </si>
  <si>
    <t>UNMT0020_IF_SAVE_RESULT_CD</t>
  </si>
  <si>
    <t>UNMT0020_IF_SAVE_RESULT_MESSAGE</t>
  </si>
  <si>
    <t>UNMT0020_IF_SAVE_ERROR_CHECK</t>
  </si>
  <si>
    <t>UNMT0020_IF_SAVE_ERROR_MESSAGE</t>
  </si>
  <si>
    <t>ON:1</t>
    <phoneticPr fontId="2"/>
  </si>
  <si>
    <t>OFF:1以外</t>
    <rPh sb="5" eb="7">
      <t>イガイ</t>
    </rPh>
    <phoneticPr fontId="2"/>
  </si>
  <si>
    <t>1:新規</t>
    <rPh sb="2" eb="4">
      <t>シンキ</t>
    </rPh>
    <phoneticPr fontId="2"/>
  </si>
  <si>
    <t>2:修正</t>
  </si>
  <si>
    <t>0:参照</t>
  </si>
  <si>
    <t>UNMT0020_IF_DATA_SEARCH_FLG</t>
    <phoneticPr fontId="2"/>
  </si>
  <si>
    <t>行区分</t>
  </si>
  <si>
    <t>行区分</t>
    <rPh sb="0" eb="1">
      <t>ギョウ</t>
    </rPh>
    <rPh sb="1" eb="3">
      <t>クブン</t>
    </rPh>
    <phoneticPr fontId="2"/>
  </si>
  <si>
    <t>値引率</t>
  </si>
  <si>
    <t>値引率</t>
    <rPh sb="0" eb="2">
      <t>ネビキ</t>
    </rPh>
    <rPh sb="2" eb="3">
      <t>リツ</t>
    </rPh>
    <phoneticPr fontId="2"/>
  </si>
  <si>
    <t>小計範囲</t>
    <rPh sb="0" eb="2">
      <t>ショウケイ</t>
    </rPh>
    <rPh sb="2" eb="4">
      <t>ハンイ</t>
    </rPh>
    <phoneticPr fontId="2"/>
  </si>
  <si>
    <t>見積詳細ヘッダ読込SQL</t>
    <rPh sb="0" eb="2">
      <t>ミツ</t>
    </rPh>
    <rPh sb="2" eb="4">
      <t>ショウサイ</t>
    </rPh>
    <rPh sb="7" eb="9">
      <t>ヨミコミ</t>
    </rPh>
    <phoneticPr fontId="2"/>
  </si>
  <si>
    <t>見積詳細ボディ読込SQL</t>
    <rPh sb="0" eb="2">
      <t>ミツ</t>
    </rPh>
    <rPh sb="2" eb="4">
      <t>ショウサイ</t>
    </rPh>
    <rPh sb="7" eb="9">
      <t>ヨミコミ</t>
    </rPh>
    <phoneticPr fontId="2"/>
  </si>
  <si>
    <t>UNMT0020_SQL_SELECT_MITSU_H</t>
    <phoneticPr fontId="2"/>
  </si>
  <si>
    <t>見積No.</t>
  </si>
  <si>
    <t>見積No.</t>
    <rPh sb="0" eb="2">
      <t>ミツ</t>
    </rPh>
    <phoneticPr fontId="2"/>
  </si>
  <si>
    <t>SELECT</t>
    <phoneticPr fontId="2"/>
  </si>
  <si>
    <t>条件</t>
    <rPh sb="0" eb="2">
      <t>ジョウケン</t>
    </rPh>
    <phoneticPr fontId="2"/>
  </si>
  <si>
    <t>ORDER</t>
    <phoneticPr fontId="2"/>
  </si>
  <si>
    <t>ヘッダ部</t>
    <rPh sb="3" eb="4">
      <t>ブ</t>
    </rPh>
    <phoneticPr fontId="2"/>
  </si>
  <si>
    <t>モード</t>
  </si>
  <si>
    <t>見積日</t>
  </si>
  <si>
    <t>入力者CD</t>
  </si>
  <si>
    <t>取引分類</t>
  </si>
  <si>
    <t>行No.</t>
  </si>
  <si>
    <t>商品CD</t>
  </si>
  <si>
    <t>商品名</t>
  </si>
  <si>
    <t>数量</t>
  </si>
  <si>
    <t>単位</t>
  </si>
  <si>
    <t>単価</t>
  </si>
  <si>
    <t>金額</t>
  </si>
  <si>
    <t>摘要</t>
  </si>
  <si>
    <t>原単価</t>
  </si>
  <si>
    <t>原価</t>
  </si>
  <si>
    <t>粗利率</t>
  </si>
  <si>
    <t>粗利益</t>
  </si>
  <si>
    <t>定価</t>
  </si>
  <si>
    <t>仕入先CD</t>
  </si>
  <si>
    <t>削除フラグ</t>
  </si>
  <si>
    <t>ボディ</t>
    <phoneticPr fontId="2"/>
  </si>
  <si>
    <t>参照元見積No.</t>
  </si>
  <si>
    <t>西暦和暦区分</t>
  </si>
  <si>
    <t>請求先CD</t>
  </si>
  <si>
    <t>請求先名</t>
  </si>
  <si>
    <t>先方担当者名</t>
  </si>
  <si>
    <t>敬称</t>
  </si>
  <si>
    <t>件名</t>
  </si>
  <si>
    <t>営業担当者CD</t>
  </si>
  <si>
    <t>受渡期日</t>
  </si>
  <si>
    <t>受渡場所</t>
  </si>
  <si>
    <t>取引条件</t>
  </si>
  <si>
    <t>有効期限</t>
  </si>
  <si>
    <t>担当者印フラグ</t>
  </si>
  <si>
    <t>代表者名フラグ</t>
  </si>
  <si>
    <t>会社角印フラグ</t>
  </si>
  <si>
    <t>承認印欄フラグ</t>
  </si>
  <si>
    <t>税込印刷フラグ</t>
  </si>
  <si>
    <t>税率</t>
  </si>
  <si>
    <t>税抜合計</t>
  </si>
  <si>
    <t>消費税</t>
  </si>
  <si>
    <t>税込合計</t>
  </si>
  <si>
    <t>原価合計</t>
  </si>
  <si>
    <t>利益率</t>
  </si>
  <si>
    <t>展開開始位置</t>
    <rPh sb="0" eb="2">
      <t>テンカイ</t>
    </rPh>
    <rPh sb="2" eb="4">
      <t>カイシ</t>
    </rPh>
    <rPh sb="4" eb="6">
      <t>イチ</t>
    </rPh>
    <phoneticPr fontId="2"/>
  </si>
  <si>
    <t>UNMT0020_IF_SAVE_COPY_START</t>
    <phoneticPr fontId="2"/>
  </si>
  <si>
    <t>保存判定用領域</t>
    <rPh sb="0" eb="2">
      <t>ホゾン</t>
    </rPh>
    <rPh sb="2" eb="4">
      <t>ハンテイ</t>
    </rPh>
    <rPh sb="4" eb="5">
      <t>ヨウ</t>
    </rPh>
    <rPh sb="5" eb="7">
      <t>リョウイキ</t>
    </rPh>
    <phoneticPr fontId="2"/>
  </si>
  <si>
    <t>ステータス</t>
    <phoneticPr fontId="2"/>
  </si>
  <si>
    <t>ヘッダ</t>
    <phoneticPr fontId="2"/>
  </si>
  <si>
    <t>入力行数</t>
    <rPh sb="0" eb="2">
      <t>ニュウリョク</t>
    </rPh>
    <rPh sb="2" eb="4">
      <t>ギョウスウ</t>
    </rPh>
    <phoneticPr fontId="2"/>
  </si>
  <si>
    <t>UNMT0020_B_GYO_INCREMENT</t>
    <phoneticPr fontId="2"/>
  </si>
  <si>
    <t>UNMT0020_B_GYO_DECREMENT</t>
    <phoneticPr fontId="2"/>
  </si>
  <si>
    <t>UNMT0020_B_GYO_COUNT</t>
    <phoneticPr fontId="2"/>
  </si>
  <si>
    <t>入力行数_減算分</t>
    <rPh sb="0" eb="2">
      <t>ニュウリョク</t>
    </rPh>
    <rPh sb="2" eb="4">
      <t>ギョウスウ</t>
    </rPh>
    <rPh sb="5" eb="7">
      <t>ゲンサン</t>
    </rPh>
    <rPh sb="7" eb="8">
      <t>ブン</t>
    </rPh>
    <phoneticPr fontId="2"/>
  </si>
  <si>
    <t>入力行数_加算分</t>
    <rPh sb="0" eb="2">
      <t>ニュウリョク</t>
    </rPh>
    <rPh sb="2" eb="4">
      <t>ギョウスウ</t>
    </rPh>
    <rPh sb="5" eb="7">
      <t>カサン</t>
    </rPh>
    <rPh sb="7" eb="8">
      <t>ブン</t>
    </rPh>
    <phoneticPr fontId="2"/>
  </si>
  <si>
    <t>1:エラー / 2:正常終了</t>
    <rPh sb="10" eb="12">
      <t>セイジョウ</t>
    </rPh>
    <rPh sb="12" eb="14">
      <t>シュウリョウ</t>
    </rPh>
    <phoneticPr fontId="2"/>
  </si>
  <si>
    <t>ユーザーID</t>
  </si>
  <si>
    <t>シリアル値</t>
    <rPh sb="4" eb="5">
      <t>アタイ</t>
    </rPh>
    <phoneticPr fontId="2"/>
  </si>
  <si>
    <t>行番号</t>
    <rPh sb="0" eb="3">
      <t>ギョウバンゴウ</t>
    </rPh>
    <phoneticPr fontId="2"/>
  </si>
  <si>
    <t>処理モード</t>
    <rPh sb="0" eb="2">
      <t>ショリ</t>
    </rPh>
    <phoneticPr fontId="2"/>
  </si>
  <si>
    <t>【ワークテーブル用】</t>
    <rPh sb="8" eb="9">
      <t>ヨウ</t>
    </rPh>
    <phoneticPr fontId="2"/>
  </si>
  <si>
    <t>UNMT0020_IF_SAVE_W_USER_ID</t>
  </si>
  <si>
    <t>UNMT0020_IF_SAVE_W_SERIAL</t>
  </si>
  <si>
    <t>UNMT0020_IF_SAVE_W_MODE</t>
  </si>
  <si>
    <t>ワーク</t>
    <phoneticPr fontId="2"/>
  </si>
  <si>
    <t>保存判定列</t>
    <rPh sb="0" eb="2">
      <t>ホゾン</t>
    </rPh>
    <rPh sb="2" eb="4">
      <t>ハンテイ</t>
    </rPh>
    <rPh sb="4" eb="5">
      <t>レツ</t>
    </rPh>
    <phoneticPr fontId="2"/>
  </si>
  <si>
    <t>UNMT0020_IF_SAVE_INPUT_CHECK_COLUMN</t>
  </si>
  <si>
    <t>保存判定列</t>
    <rPh sb="0" eb="2">
      <t>ホゾン</t>
    </rPh>
    <rPh sb="2" eb="4">
      <t>ハンテイ</t>
    </rPh>
    <rPh sb="4" eb="5">
      <t>レツ</t>
    </rPh>
    <phoneticPr fontId="2"/>
  </si>
  <si>
    <t>保存数式コピー元</t>
    <rPh sb="0" eb="2">
      <t>ホゾン</t>
    </rPh>
    <rPh sb="2" eb="4">
      <t>スウシキ</t>
    </rPh>
    <rPh sb="7" eb="8">
      <t>モト</t>
    </rPh>
    <phoneticPr fontId="2"/>
  </si>
  <si>
    <t>UNMT0020_IF_SAVE_COPY_MOTO</t>
    <phoneticPr fontId="2"/>
  </si>
  <si>
    <t>【保存数式】</t>
    <rPh sb="1" eb="3">
      <t>ホゾン</t>
    </rPh>
    <rPh sb="3" eb="5">
      <t>スウシキ</t>
    </rPh>
    <phoneticPr fontId="2"/>
  </si>
  <si>
    <t>保存数式コピー先</t>
    <rPh sb="0" eb="2">
      <t>ホゾン</t>
    </rPh>
    <rPh sb="2" eb="4">
      <t>スウシキ</t>
    </rPh>
    <rPh sb="7" eb="8">
      <t>サキ</t>
    </rPh>
    <phoneticPr fontId="2"/>
  </si>
  <si>
    <t>UNMT0020_IF_SAVE_COPY_SAKI</t>
    <phoneticPr fontId="2"/>
  </si>
  <si>
    <t>消費税率</t>
    <rPh sb="0" eb="2">
      <t>ショウヒ</t>
    </rPh>
    <rPh sb="2" eb="3">
      <t>ゼイ</t>
    </rPh>
    <rPh sb="3" eb="4">
      <t>リツ</t>
    </rPh>
    <phoneticPr fontId="2"/>
  </si>
  <si>
    <t>リスト名</t>
    <rPh sb="3" eb="4">
      <t>メイ</t>
    </rPh>
    <phoneticPr fontId="2"/>
  </si>
  <si>
    <t>件数</t>
    <rPh sb="0" eb="2">
      <t>ケンスウ</t>
    </rPh>
    <phoneticPr fontId="2"/>
  </si>
  <si>
    <t>【ドロップリスト定義】</t>
    <rPh sb="8" eb="10">
      <t>テイギ</t>
    </rPh>
    <phoneticPr fontId="2"/>
  </si>
  <si>
    <t>名称</t>
    <rPh sb="0" eb="2">
      <t>メイショウ</t>
    </rPh>
    <phoneticPr fontId="2"/>
  </si>
  <si>
    <t>コード</t>
    <phoneticPr fontId="2"/>
  </si>
  <si>
    <t>UNMT0020_IF_LIST_STS_START</t>
    <phoneticPr fontId="2"/>
  </si>
  <si>
    <t>UNMT0020_IF_LIST_STS</t>
    <phoneticPr fontId="2"/>
  </si>
  <si>
    <t>「=OFFSET(UNMT0020_IF_LIST_STS_START,,,IF(UNMT0020_IF_LIST_STS_KENSU=0,1,UNMT0020_IF_LIST_STS_KENSU),1)」</t>
    <phoneticPr fontId="2"/>
  </si>
  <si>
    <t>敬称</t>
    <rPh sb="0" eb="2">
      <t>ケイショウ</t>
    </rPh>
    <phoneticPr fontId="2"/>
  </si>
  <si>
    <t>UNMT0020_IF_LIST_KEISHO</t>
    <phoneticPr fontId="2"/>
  </si>
  <si>
    <t>UNMT0020_IF_LIST_KEISHO_START</t>
    <phoneticPr fontId="2"/>
  </si>
  <si>
    <t>「=OFFSET(UNMT0020_IF_LIST_KEISHO_START,,,IF(UNMT0020_IF_LIST_KEISHO_KENSU=0,1,UNMT0020_IF_LIST_KEISHO_KENSU),1)」</t>
    <phoneticPr fontId="2"/>
  </si>
  <si>
    <t>リスト展開開始位置</t>
    <rPh sb="3" eb="5">
      <t>テンカイ</t>
    </rPh>
    <rPh sb="5" eb="7">
      <t>カイシ</t>
    </rPh>
    <rPh sb="7" eb="9">
      <t>イチ</t>
    </rPh>
    <phoneticPr fontId="2"/>
  </si>
  <si>
    <t>UNMT0020_B_LIST_START</t>
    <phoneticPr fontId="2"/>
  </si>
  <si>
    <t>仕入先CD展開位置</t>
    <rPh sb="0" eb="2">
      <t>シイレ</t>
    </rPh>
    <rPh sb="2" eb="3">
      <t>サキ</t>
    </rPh>
    <rPh sb="5" eb="7">
      <t>テンカイ</t>
    </rPh>
    <rPh sb="7" eb="9">
      <t>イチ</t>
    </rPh>
    <phoneticPr fontId="2"/>
  </si>
  <si>
    <t>商品CD展開位置</t>
    <rPh sb="0" eb="2">
      <t>ショウヒン</t>
    </rPh>
    <rPh sb="4" eb="6">
      <t>テンカイ</t>
    </rPh>
    <rPh sb="6" eb="8">
      <t>イチ</t>
    </rPh>
    <phoneticPr fontId="2"/>
  </si>
  <si>
    <t>UNMT0020_H_TAX_RATE</t>
  </si>
  <si>
    <t>【ボタン名】</t>
    <rPh sb="4" eb="5">
      <t>メイ</t>
    </rPh>
    <phoneticPr fontId="2"/>
  </si>
  <si>
    <t>修正/参照ボタン</t>
    <rPh sb="0" eb="2">
      <t>シュウセイ</t>
    </rPh>
    <rPh sb="3" eb="5">
      <t>サンショウ</t>
    </rPh>
    <phoneticPr fontId="2"/>
  </si>
  <si>
    <t>登録ボタン</t>
    <rPh sb="0" eb="2">
      <t>トウロク</t>
    </rPh>
    <phoneticPr fontId="2"/>
  </si>
  <si>
    <t>【ボタン文字色】</t>
    <rPh sb="4" eb="6">
      <t>モジ</t>
    </rPh>
    <rPh sb="6" eb="7">
      <t>イロ</t>
    </rPh>
    <phoneticPr fontId="2"/>
  </si>
  <si>
    <t>【ボタン制御】</t>
    <rPh sb="4" eb="6">
      <t>セイギョ</t>
    </rPh>
    <phoneticPr fontId="2"/>
  </si>
  <si>
    <t>参照作成ボタン</t>
    <rPh sb="0" eb="2">
      <t>サンショウ</t>
    </rPh>
    <rPh sb="2" eb="4">
      <t>サクセイ</t>
    </rPh>
    <phoneticPr fontId="2"/>
  </si>
  <si>
    <t>削除ボタン</t>
    <rPh sb="0" eb="2">
      <t>サクジョ</t>
    </rPh>
    <phoneticPr fontId="2"/>
  </si>
  <si>
    <t>キャンセルボタン</t>
    <phoneticPr fontId="2"/>
  </si>
  <si>
    <t>モード制御参照</t>
    <rPh sb="3" eb="5">
      <t>セイギョ</t>
    </rPh>
    <rPh sb="5" eb="7">
      <t>サンショウ</t>
    </rPh>
    <phoneticPr fontId="2"/>
  </si>
  <si>
    <t>-</t>
    <phoneticPr fontId="2"/>
  </si>
  <si>
    <t>参照</t>
    <phoneticPr fontId="2"/>
  </si>
  <si>
    <t>修正</t>
    <phoneticPr fontId="2"/>
  </si>
  <si>
    <t>保存</t>
  </si>
  <si>
    <t>白(5)</t>
    <rPh sb="0" eb="1">
      <t>シロ</t>
    </rPh>
    <phoneticPr fontId="2"/>
  </si>
  <si>
    <t>黒(0)</t>
    <phoneticPr fontId="2"/>
  </si>
  <si>
    <t>無効(2)</t>
  </si>
  <si>
    <t>有効(1)</t>
  </si>
  <si>
    <t>通常/単価モードボタン</t>
    <rPh sb="0" eb="2">
      <t>ツウジョウ</t>
    </rPh>
    <rPh sb="3" eb="5">
      <t>タンカ</t>
    </rPh>
    <phoneticPr fontId="2"/>
  </si>
  <si>
    <t>-</t>
    <phoneticPr fontId="2"/>
  </si>
  <si>
    <t>通常/単価</t>
    <rPh sb="0" eb="1">
      <t>ツウジョウ</t>
    </rPh>
    <rPh sb="2" eb="4">
      <t>タンカ</t>
    </rPh>
    <phoneticPr fontId="2"/>
  </si>
  <si>
    <t>見積モード</t>
    <rPh sb="0" eb="2">
      <t>ミツモ</t>
    </rPh>
    <phoneticPr fontId="2"/>
  </si>
  <si>
    <t>UNMT0020_IF_MITSU_MODE</t>
    <phoneticPr fontId="2"/>
  </si>
  <si>
    <t>1:通常</t>
    <rPh sb="2" eb="4">
      <t>ツウジョウ</t>
    </rPh>
    <phoneticPr fontId="2"/>
  </si>
  <si>
    <t>2:単価</t>
    <rPh sb="2" eb="4">
      <t>タンカ</t>
    </rPh>
    <phoneticPr fontId="2"/>
  </si>
  <si>
    <t>訂正履歴表示ボタン</t>
    <rPh sb="0" eb="2">
      <t>テイセイ</t>
    </rPh>
    <rPh sb="2" eb="4">
      <t>リレキ</t>
    </rPh>
    <rPh sb="4" eb="6">
      <t>ヒョウジ</t>
    </rPh>
    <phoneticPr fontId="2"/>
  </si>
  <si>
    <t>明細行追加ボタン</t>
    <rPh sb="0" eb="2">
      <t>メイサイ</t>
    </rPh>
    <rPh sb="2" eb="3">
      <t>ギョウ</t>
    </rPh>
    <rPh sb="3" eb="5">
      <t>ツイカ</t>
    </rPh>
    <phoneticPr fontId="2"/>
  </si>
  <si>
    <t>コメント行追加ボタン</t>
    <rPh sb="4" eb="5">
      <t>ギョウ</t>
    </rPh>
    <rPh sb="5" eb="7">
      <t>ツイカ</t>
    </rPh>
    <phoneticPr fontId="2"/>
  </si>
  <si>
    <t>小計行追加ボタン</t>
    <rPh sb="0" eb="2">
      <t>ショウケイ</t>
    </rPh>
    <rPh sb="2" eb="3">
      <t>ギョウ</t>
    </rPh>
    <rPh sb="3" eb="5">
      <t>ツイカ</t>
    </rPh>
    <phoneticPr fontId="2"/>
  </si>
  <si>
    <t>値引行追加ボタン</t>
    <rPh sb="0" eb="2">
      <t>ネビ</t>
    </rPh>
    <rPh sb="2" eb="3">
      <t>ギョウ</t>
    </rPh>
    <rPh sb="3" eb="5">
      <t>ツイカ</t>
    </rPh>
    <phoneticPr fontId="2"/>
  </si>
  <si>
    <t>行削除ボタン</t>
    <rPh sb="0" eb="3">
      <t>ギョウサクジョ</t>
    </rPh>
    <phoneticPr fontId="2"/>
  </si>
  <si>
    <t>分析受注接続ボタン</t>
    <rPh sb="0" eb="2">
      <t>ブンセキ</t>
    </rPh>
    <rPh sb="2" eb="4">
      <t>ジュチュウ</t>
    </rPh>
    <rPh sb="4" eb="6">
      <t>セツゾク</t>
    </rPh>
    <phoneticPr fontId="2"/>
  </si>
  <si>
    <t>販売受注接続ボタン</t>
    <rPh sb="0" eb="2">
      <t>ハンバイ</t>
    </rPh>
    <rPh sb="2" eb="4">
      <t>ジュチュウ</t>
    </rPh>
    <rPh sb="4" eb="6">
      <t>セツゾク</t>
    </rPh>
    <phoneticPr fontId="2"/>
  </si>
  <si>
    <t>見積書Excelボタン</t>
    <rPh sb="0" eb="3">
      <t>ミツモリショ</t>
    </rPh>
    <phoneticPr fontId="2"/>
  </si>
  <si>
    <t>見積書印刷ボタン</t>
    <rPh sb="0" eb="3">
      <t>ミツモリショ</t>
    </rPh>
    <rPh sb="3" eb="5">
      <t>インサツ</t>
    </rPh>
    <phoneticPr fontId="2"/>
  </si>
  <si>
    <t>見積書PDFボタン</t>
    <rPh sb="0" eb="3">
      <t>ミツモリショ</t>
    </rPh>
    <phoneticPr fontId="2"/>
  </si>
  <si>
    <t>UNMT0020_IF_BUTTON_05_HYOJI</t>
  </si>
  <si>
    <t>UNMT0020_IF_BUTTON_06_HYOJI</t>
  </si>
  <si>
    <t>UNMT0020_IF_BUTTON_07_HYOJI</t>
  </si>
  <si>
    <t>UNMT0020_IF_BUTTON_08_HYOJI</t>
  </si>
  <si>
    <t>UNMT0020_IF_BUTTON_09_HYOJI</t>
  </si>
  <si>
    <t>UNMT0020_IF_BUTTON_10_HYOJI</t>
  </si>
  <si>
    <t>UNMT0020_IF_BUTTON_11_HYOJI</t>
  </si>
  <si>
    <t>UNMT0020_IF_BUTTON_12_HYOJI</t>
  </si>
  <si>
    <t>UNMT0020_IF_BUTTON_13_HYOJI</t>
  </si>
  <si>
    <t>UNMT0020_IF_BUTTON_14_HYOJI</t>
  </si>
  <si>
    <t>UNMT0020_IF_BUTTON_15_HYOJI</t>
  </si>
  <si>
    <t>UNMT0020_IF_BUTTON_16_HYOJI</t>
  </si>
  <si>
    <t>UNMT0020_IF_BUTTON_17_HYOJI</t>
  </si>
  <si>
    <t>UNMT0020_IF_BUTTON_18_HYOJI</t>
  </si>
  <si>
    <t>UNMT0020_IF_BUTTON_19_HYOJI</t>
  </si>
  <si>
    <t>UNMT0020_IF_BUTTON_20_HYOJI</t>
  </si>
  <si>
    <t>UNMT0020_IF_BUTTON_06_NAME</t>
    <phoneticPr fontId="2"/>
  </si>
  <si>
    <t>UNMT0020_IF_BUTTON_10_NAME</t>
    <phoneticPr fontId="2"/>
  </si>
  <si>
    <t>UNMT0020_IF_BUTTON_08_NAME</t>
    <phoneticPr fontId="2"/>
  </si>
  <si>
    <t>UNMT0020_IF_BUTTON_06_FONTCOLOR</t>
    <phoneticPr fontId="2"/>
  </si>
  <si>
    <t>UNMT0020_IF_BUTTON_10_FONTCOLOR</t>
    <phoneticPr fontId="2"/>
  </si>
  <si>
    <t>UNMT0020_IF_BUTTON_04_HYOJI</t>
    <phoneticPr fontId="2"/>
  </si>
  <si>
    <t>UNMT0020_B_SHOHIN_CD_TENKAI</t>
    <phoneticPr fontId="2"/>
  </si>
  <si>
    <t>UNMT0020_B_SHIIRESAKI_CD_TENKAI</t>
    <phoneticPr fontId="2"/>
  </si>
  <si>
    <t>【修正】</t>
    <rPh sb="1" eb="3">
      <t>シュウセイ</t>
    </rPh>
    <phoneticPr fontId="2"/>
  </si>
  <si>
    <t>【通常】</t>
    <rPh sb="1" eb="3">
      <t>ツウジョウ</t>
    </rPh>
    <phoneticPr fontId="2"/>
  </si>
  <si>
    <t>【単価】</t>
    <rPh sb="1" eb="3">
      <t>タンカ</t>
    </rPh>
    <phoneticPr fontId="2"/>
  </si>
  <si>
    <t>【参照】</t>
    <rPh sb="1" eb="3">
      <t>サンショウ</t>
    </rPh>
    <phoneticPr fontId="2"/>
  </si>
  <si>
    <t>UNMT0020_IF_COPY_H_TANKA_SHINKI</t>
  </si>
  <si>
    <t>UNMT0020_IF_COPY_H_TANKA_SHUSEI</t>
  </si>
  <si>
    <t>UNMT0020_IF_COPY_H_TANKA_SANSHO</t>
  </si>
  <si>
    <t>UNMT0020_IF_COPY_H_NORMAL_SHINKI</t>
  </si>
  <si>
    <t>UNMT0020_IF_COPY_H_NORMAL_SHUSEI</t>
  </si>
  <si>
    <t>UNMT0020_IF_COPY_H_NORMAL_SANSHO</t>
  </si>
  <si>
    <t>【ボディコピー元書式】</t>
    <rPh sb="7" eb="8">
      <t>モト</t>
    </rPh>
    <rPh sb="8" eb="10">
      <t>ショシキ</t>
    </rPh>
    <phoneticPr fontId="2"/>
  </si>
  <si>
    <t>【新規】</t>
    <rPh sb="1" eb="3">
      <t>シンキ</t>
    </rPh>
    <phoneticPr fontId="2"/>
  </si>
  <si>
    <t>【明細行】</t>
    <rPh sb="1" eb="3">
      <t>メイサイ</t>
    </rPh>
    <rPh sb="3" eb="4">
      <t>ギョウ</t>
    </rPh>
    <phoneticPr fontId="2"/>
  </si>
  <si>
    <t>【コメント行】</t>
    <rPh sb="5" eb="6">
      <t>ギョウ</t>
    </rPh>
    <phoneticPr fontId="2"/>
  </si>
  <si>
    <t>【値引行】</t>
    <rPh sb="1" eb="3">
      <t>ネビ</t>
    </rPh>
    <rPh sb="3" eb="4">
      <t>ギョウ</t>
    </rPh>
    <phoneticPr fontId="2"/>
  </si>
  <si>
    <t>【小計行】</t>
    <rPh sb="1" eb="3">
      <t>ショウケイ</t>
    </rPh>
    <rPh sb="3" eb="4">
      <t>ギョウ</t>
    </rPh>
    <phoneticPr fontId="2"/>
  </si>
  <si>
    <t>UNMT0020_IF_COPY_B_MEISAI_SHINKI</t>
    <phoneticPr fontId="2"/>
  </si>
  <si>
    <t>UNMT0020_IF_COPY_B_MEISAI_SHUSEI</t>
    <phoneticPr fontId="2"/>
  </si>
  <si>
    <t>UNMT0020_IF_COPY_B_MEISAI_SANSHO</t>
    <phoneticPr fontId="2"/>
  </si>
  <si>
    <t>UNMT0020_IF_COPY_B_COMMENT_SHINKI</t>
    <phoneticPr fontId="2"/>
  </si>
  <si>
    <t>UNMT0020_IF_COPY_B_SUBTOTAL_SHINKI</t>
    <phoneticPr fontId="2"/>
  </si>
  <si>
    <t>UNMT0020_IF_COPY_B_COMMENT_SHUSEI</t>
    <phoneticPr fontId="2"/>
  </si>
  <si>
    <t>UNMT0020_IF_COPY_B_SUBTOTAL_SHUSEI</t>
    <phoneticPr fontId="2"/>
  </si>
  <si>
    <t>UNMT0020_IF_COPY_B_COMMENT_SANSHO</t>
    <phoneticPr fontId="2"/>
  </si>
  <si>
    <t>UNMT0020_IF_COPY_B_SUBTOTAL_SANSHO</t>
    <phoneticPr fontId="2"/>
  </si>
  <si>
    <t>nebiki_dir</t>
    <phoneticPr fontId="2"/>
  </si>
  <si>
    <t>クリア範囲</t>
    <rPh sb="3" eb="5">
      <t>ハンイ</t>
    </rPh>
    <phoneticPr fontId="2"/>
  </si>
  <si>
    <t>UNMT0020_B_LIST_CLEAR_AREA</t>
    <phoneticPr fontId="2"/>
  </si>
  <si>
    <t>【削除】</t>
    <rPh sb="1" eb="3">
      <t>サクジョ</t>
    </rPh>
    <phoneticPr fontId="2"/>
  </si>
  <si>
    <t>【共通】</t>
    <rPh sb="1" eb="3">
      <t>キョウツウ</t>
    </rPh>
    <phoneticPr fontId="2"/>
  </si>
  <si>
    <t>UNMT0020_IF_COPY_B_LIST_CLEAR</t>
    <phoneticPr fontId="2"/>
  </si>
  <si>
    <t>UNMT0020_SQL_SELECT_MITSU_B</t>
    <phoneticPr fontId="2"/>
  </si>
  <si>
    <t>UNMT0020_B_LIST_INSERT_AREA</t>
    <phoneticPr fontId="2"/>
  </si>
  <si>
    <t>UNMT0020_IF_COPY_H_SHINKI</t>
    <phoneticPr fontId="2"/>
  </si>
  <si>
    <t>新規コピー元範囲</t>
    <rPh sb="0" eb="2">
      <t>シンキ</t>
    </rPh>
    <rPh sb="5" eb="6">
      <t>モト</t>
    </rPh>
    <rPh sb="6" eb="8">
      <t>ハンイ</t>
    </rPh>
    <phoneticPr fontId="2"/>
  </si>
  <si>
    <t>修正コピー元範囲</t>
    <rPh sb="0" eb="2">
      <t>シュウセイ</t>
    </rPh>
    <rPh sb="5" eb="6">
      <t>モト</t>
    </rPh>
    <rPh sb="6" eb="8">
      <t>ハンイ</t>
    </rPh>
    <phoneticPr fontId="2"/>
  </si>
  <si>
    <t>参照コピー元範囲</t>
    <rPh sb="0" eb="2">
      <t>サンショウ</t>
    </rPh>
    <rPh sb="5" eb="6">
      <t>モト</t>
    </rPh>
    <rPh sb="6" eb="8">
      <t>ハンイ</t>
    </rPh>
    <phoneticPr fontId="2"/>
  </si>
  <si>
    <t>UNMT0020_IF_COPY_H_SHUSEI</t>
    <phoneticPr fontId="2"/>
  </si>
  <si>
    <t>UNMT0020_IF_COPY_H_SANSHO</t>
    <phoneticPr fontId="2"/>
  </si>
  <si>
    <t>明細書式コピー先</t>
    <rPh sb="0" eb="2">
      <t>メイサイ</t>
    </rPh>
    <rPh sb="2" eb="4">
      <t>ショシキ</t>
    </rPh>
    <rPh sb="7" eb="8">
      <t>サキ</t>
    </rPh>
    <phoneticPr fontId="2"/>
  </si>
  <si>
    <t>コメント書式コピー先</t>
    <rPh sb="4" eb="6">
      <t>ショシキ</t>
    </rPh>
    <rPh sb="9" eb="10">
      <t>サキ</t>
    </rPh>
    <phoneticPr fontId="2"/>
  </si>
  <si>
    <t>値引(%ﾚｽ)書式コピー先</t>
    <rPh sb="0" eb="2">
      <t>ネビキ</t>
    </rPh>
    <rPh sb="7" eb="9">
      <t>ショシキ</t>
    </rPh>
    <rPh sb="12" eb="13">
      <t>サキ</t>
    </rPh>
    <phoneticPr fontId="2"/>
  </si>
  <si>
    <t>行数式コピー先</t>
    <rPh sb="0" eb="1">
      <t>ギョウ</t>
    </rPh>
    <rPh sb="1" eb="3">
      <t>スウシキ</t>
    </rPh>
    <rPh sb="6" eb="7">
      <t>サキ</t>
    </rPh>
    <phoneticPr fontId="2"/>
  </si>
  <si>
    <t>明細金額数式コピー先</t>
    <rPh sb="0" eb="2">
      <t>メイサイ</t>
    </rPh>
    <rPh sb="2" eb="4">
      <t>キンガク</t>
    </rPh>
    <rPh sb="4" eb="6">
      <t>スウシキ</t>
    </rPh>
    <rPh sb="9" eb="10">
      <t>サキ</t>
    </rPh>
    <phoneticPr fontId="2"/>
  </si>
  <si>
    <t>明細粗利数式コピー先</t>
    <rPh sb="0" eb="2">
      <t>メイサイ</t>
    </rPh>
    <rPh sb="2" eb="4">
      <t>アラリ</t>
    </rPh>
    <rPh sb="4" eb="6">
      <t>スウシキ</t>
    </rPh>
    <rPh sb="9" eb="10">
      <t>サキ</t>
    </rPh>
    <phoneticPr fontId="2"/>
  </si>
  <si>
    <t>値引(直接)書式コピー先</t>
    <rPh sb="0" eb="2">
      <t>ネビキ</t>
    </rPh>
    <rPh sb="3" eb="5">
      <t>チョクセツ</t>
    </rPh>
    <rPh sb="6" eb="8">
      <t>ショシキ</t>
    </rPh>
    <rPh sb="11" eb="12">
      <t>サキ</t>
    </rPh>
    <phoneticPr fontId="2"/>
  </si>
  <si>
    <t>UNMT0020_B_COPY_MEISAI_SHOSHIKI</t>
    <phoneticPr fontId="2"/>
  </si>
  <si>
    <t>UNMT0020_B_COPY_MEISAI_KINGAKU_SUSHIKI</t>
    <phoneticPr fontId="2"/>
  </si>
  <si>
    <t>UNMT0020_B_COPY_MEISAI_ARARI_SUSHIKI</t>
    <phoneticPr fontId="2"/>
  </si>
  <si>
    <t>UNMT0020_B_COPY_NEBIKI_PER_SHOSHIKI</t>
    <phoneticPr fontId="2"/>
  </si>
  <si>
    <t>値引(%ﾚｽ)数式コピー先</t>
    <rPh sb="0" eb="2">
      <t>ネビキ</t>
    </rPh>
    <rPh sb="7" eb="9">
      <t>スウシキ</t>
    </rPh>
    <rPh sb="12" eb="13">
      <t>サキ</t>
    </rPh>
    <phoneticPr fontId="2"/>
  </si>
  <si>
    <t>UNMT0020_B_COPY_NEBIKI_PER_SUSHIKI</t>
    <phoneticPr fontId="2"/>
  </si>
  <si>
    <t>値引(直接)数式コピー先</t>
    <rPh sb="0" eb="2">
      <t>ネビキ</t>
    </rPh>
    <rPh sb="3" eb="5">
      <t>チョクセツ</t>
    </rPh>
    <rPh sb="6" eb="8">
      <t>スウシキ</t>
    </rPh>
    <rPh sb="11" eb="12">
      <t>サキ</t>
    </rPh>
    <phoneticPr fontId="2"/>
  </si>
  <si>
    <t>UNMT0020_B_COPY_NEBIKI_DIR_SHOSHIKI</t>
    <phoneticPr fontId="2"/>
  </si>
  <si>
    <t>UNMT0020_B_COPY_NEBIKI_DIR_SUSHIKI</t>
    <phoneticPr fontId="2"/>
  </si>
  <si>
    <t>UNMT0020_B_COPY_SHOKEI_SHOSHIKI</t>
    <phoneticPr fontId="2"/>
  </si>
  <si>
    <t>小計書式コピー先</t>
    <rPh sb="0" eb="2">
      <t>ショウケイ</t>
    </rPh>
    <rPh sb="2" eb="4">
      <t>ショシキ</t>
    </rPh>
    <rPh sb="7" eb="8">
      <t>サキ</t>
    </rPh>
    <phoneticPr fontId="2"/>
  </si>
  <si>
    <t>UNMT0020_B_COPY_GYO_SUSHIKI</t>
    <phoneticPr fontId="2"/>
  </si>
  <si>
    <t>UNMT0020_IF_COPY_B_MEISAI_KINGAKU_SUSHIKI</t>
    <phoneticPr fontId="2"/>
  </si>
  <si>
    <t>UNMT0020_IF_COPY_B_MEISAI_ARARI_SUSHIKI</t>
    <phoneticPr fontId="2"/>
  </si>
  <si>
    <t>UNMT0020_B_COPY_COMMENT_SHOSHIKI</t>
    <phoneticPr fontId="2"/>
  </si>
  <si>
    <t>明細行数</t>
    <rPh sb="0" eb="2">
      <t>メイサイ</t>
    </rPh>
    <rPh sb="2" eb="4">
      <t>ギョウスウ</t>
    </rPh>
    <phoneticPr fontId="2"/>
  </si>
  <si>
    <t>コメント行数</t>
    <rPh sb="4" eb="6">
      <t>ギョウスウ</t>
    </rPh>
    <phoneticPr fontId="2"/>
  </si>
  <si>
    <t>値引(%ﾚｽ)行数</t>
    <rPh sb="0" eb="2">
      <t>ネビキ</t>
    </rPh>
    <rPh sb="7" eb="9">
      <t>ギョウスウ</t>
    </rPh>
    <phoneticPr fontId="2"/>
  </si>
  <si>
    <t>値引(直接)行数</t>
    <rPh sb="0" eb="2">
      <t>ネビキ</t>
    </rPh>
    <rPh sb="3" eb="5">
      <t>チョクセツ</t>
    </rPh>
    <rPh sb="6" eb="8">
      <t>ギョウスウ</t>
    </rPh>
    <phoneticPr fontId="2"/>
  </si>
  <si>
    <t>小計行数</t>
    <rPh sb="0" eb="2">
      <t>ショウケイ</t>
    </rPh>
    <rPh sb="2" eb="4">
      <t>ギョウスウ</t>
    </rPh>
    <phoneticPr fontId="2"/>
  </si>
  <si>
    <t>UNMT0020_B_MEISAI_GYO_SU</t>
    <phoneticPr fontId="2"/>
  </si>
  <si>
    <t>UNMT0020_B_COMMENT_GYO_SU</t>
    <phoneticPr fontId="2"/>
  </si>
  <si>
    <t>UNMT0020_B_NEBIKI_PER_GYO_SU</t>
    <phoneticPr fontId="2"/>
  </si>
  <si>
    <t>UNMT0020_B_NEBIKI_DIR_GYO_SU</t>
    <phoneticPr fontId="2"/>
  </si>
  <si>
    <t>UNMT0020_B_SHOKEI_GYO_SU</t>
    <phoneticPr fontId="2"/>
  </si>
  <si>
    <t>UNMT0020_IF_COPY_B_NEBIKI_PER_SUSHIKI</t>
    <phoneticPr fontId="2"/>
  </si>
  <si>
    <t>UNMT0020_IF_COPY_B_NEBIKI_DIR_SUSHIKI</t>
    <phoneticPr fontId="2"/>
  </si>
  <si>
    <t>並べ替え範囲</t>
    <rPh sb="0" eb="1">
      <t>ナラ</t>
    </rPh>
    <rPh sb="2" eb="3">
      <t>カ</t>
    </rPh>
    <rPh sb="4" eb="6">
      <t>ハンイ</t>
    </rPh>
    <phoneticPr fontId="2"/>
  </si>
  <si>
    <t>UNMT0020_B_SORT_AREA</t>
    <phoneticPr fontId="2"/>
  </si>
  <si>
    <t>行番号</t>
    <rPh sb="0" eb="1">
      <t>ギョウ</t>
    </rPh>
    <rPh sb="1" eb="3">
      <t>バンゴウ</t>
    </rPh>
    <phoneticPr fontId="2"/>
  </si>
  <si>
    <t>UNMT0020_IF_COPY_B_GYO_SUSHIKI</t>
    <phoneticPr fontId="2"/>
  </si>
  <si>
    <t>SELECT(参照作成)</t>
    <rPh sb="7" eb="9">
      <t>サンショウ</t>
    </rPh>
    <rPh sb="9" eb="11">
      <t>サクセイ</t>
    </rPh>
    <phoneticPr fontId="2"/>
  </si>
  <si>
    <t>参照作成フラグ</t>
    <rPh sb="0" eb="2">
      <t>サンショウ</t>
    </rPh>
    <rPh sb="2" eb="4">
      <t>サクセイ</t>
    </rPh>
    <phoneticPr fontId="2"/>
  </si>
  <si>
    <t>UNMT0020_IF_SANSHO_FLG</t>
    <phoneticPr fontId="2"/>
  </si>
  <si>
    <t xml:space="preserve">SELECT *
  FROM V_MITSU_SHOSAI_H
</t>
    <phoneticPr fontId="2"/>
  </si>
  <si>
    <t xml:space="preserve">SELECT *
  FROM V_MITSU_SHOSAI_B
</t>
    <phoneticPr fontId="2"/>
  </si>
  <si>
    <t xml:space="preserve">SELECT *
  FROM V_MITSU_SHOSAI_H_SANSHO
</t>
    <phoneticPr fontId="2"/>
  </si>
  <si>
    <t>条件(参照作成）</t>
    <rPh sb="0" eb="2">
      <t>ジョウケン</t>
    </rPh>
    <rPh sb="3" eb="5">
      <t>サンショウ</t>
    </rPh>
    <rPh sb="5" eb="7">
      <t>サクセイ</t>
    </rPh>
    <phoneticPr fontId="2"/>
  </si>
  <si>
    <t>行挿入範囲</t>
    <rPh sb="0" eb="1">
      <t>ギョウ</t>
    </rPh>
    <rPh sb="1" eb="3">
      <t>ソウニュウ</t>
    </rPh>
    <rPh sb="3" eb="5">
      <t>ハンイ</t>
    </rPh>
    <phoneticPr fontId="2"/>
  </si>
  <si>
    <t>行削除範囲</t>
    <rPh sb="0" eb="1">
      <t>ギョウ</t>
    </rPh>
    <rPh sb="1" eb="3">
      <t>サクジョ</t>
    </rPh>
    <rPh sb="3" eb="5">
      <t>ハンイ</t>
    </rPh>
    <phoneticPr fontId="2"/>
  </si>
  <si>
    <t>UNMT0020_B_LIST_DELETE_AREA</t>
    <phoneticPr fontId="2"/>
  </si>
  <si>
    <t>値引選択用SQL</t>
    <rPh sb="0" eb="2">
      <t>ネビキ</t>
    </rPh>
    <rPh sb="2" eb="4">
      <t>センタク</t>
    </rPh>
    <rPh sb="4" eb="5">
      <t>ヨウ</t>
    </rPh>
    <phoneticPr fontId="2"/>
  </si>
  <si>
    <t>UNMT0020_SQL_SELECT_NEBIKI_POPUP</t>
    <phoneticPr fontId="2"/>
  </si>
  <si>
    <t>【書式展開用】</t>
    <rPh sb="1" eb="3">
      <t>ショシキ</t>
    </rPh>
    <rPh sb="3" eb="5">
      <t>テンカイ</t>
    </rPh>
    <rPh sb="5" eb="6">
      <t>ヨウ</t>
    </rPh>
    <phoneticPr fontId="2"/>
  </si>
  <si>
    <t>値引方法</t>
    <rPh sb="0" eb="2">
      <t>ネビキ</t>
    </rPh>
    <rPh sb="2" eb="4">
      <t>ホウホウ</t>
    </rPh>
    <phoneticPr fontId="2"/>
  </si>
  <si>
    <t>UNMT0020_B_NEBIKI_TYPE</t>
    <phoneticPr fontId="2"/>
  </si>
  <si>
    <t>UNMT0020_IF_COPY_B_NEBIKI_PER_SHUSEI</t>
    <phoneticPr fontId="2"/>
  </si>
  <si>
    <t>UNMT0020_IF_COPY_B_NEBIKI_PER_SANSHO</t>
    <phoneticPr fontId="2"/>
  </si>
  <si>
    <t>UNMT0020_IF_COPY_B_NEBIKI_DIR_SANSHO</t>
    <phoneticPr fontId="2"/>
  </si>
  <si>
    <t>UNMT0020_IF_COPY_B_NEBIKI_DIR_SHUSEI</t>
    <phoneticPr fontId="2"/>
  </si>
  <si>
    <t>UNMT0020_IF_COPY_B_NEBIKI_DIR_SHINKI</t>
    <phoneticPr fontId="2"/>
  </si>
  <si>
    <t>UNMT0020_IF_COPY_B_NEBIKI_PER_SHINKI</t>
    <phoneticPr fontId="2"/>
  </si>
  <si>
    <t>見積モード切替判定</t>
    <rPh sb="0" eb="2">
      <t>ミツモリ</t>
    </rPh>
    <rPh sb="5" eb="7">
      <t>キリカエ</t>
    </rPh>
    <rPh sb="7" eb="9">
      <t>ハンテイ</t>
    </rPh>
    <phoneticPr fontId="2"/>
  </si>
  <si>
    <t>UNMT0020_IF_MITSU_MODE_CHANGE_CHECK</t>
    <phoneticPr fontId="2"/>
  </si>
  <si>
    <t>1:エラー</t>
    <phoneticPr fontId="2"/>
  </si>
  <si>
    <t>0:OK</t>
    <phoneticPr fontId="2"/>
  </si>
  <si>
    <t>値引行・小計行がある場合、単価見積切替は不可</t>
    <rPh sb="0" eb="2">
      <t>ネビキ</t>
    </rPh>
    <rPh sb="2" eb="3">
      <t>ギョウ</t>
    </rPh>
    <rPh sb="4" eb="6">
      <t>ショウケイ</t>
    </rPh>
    <rPh sb="6" eb="7">
      <t>ギョウ</t>
    </rPh>
    <rPh sb="10" eb="12">
      <t>バアイ</t>
    </rPh>
    <rPh sb="13" eb="15">
      <t>タンカ</t>
    </rPh>
    <rPh sb="15" eb="17">
      <t>ミツモリ</t>
    </rPh>
    <rPh sb="17" eb="19">
      <t>キリカエ</t>
    </rPh>
    <rPh sb="20" eb="22">
      <t>フカ</t>
    </rPh>
    <phoneticPr fontId="2"/>
  </si>
  <si>
    <t>UNMT0020_IF_COPY_B_NEBIKI_TAN_SHINKI</t>
    <phoneticPr fontId="2"/>
  </si>
  <si>
    <t>nebiki_tan</t>
    <phoneticPr fontId="2"/>
  </si>
  <si>
    <t>UNMT0020_IF_COPY_B_NEBIKI_TAN_SHUSEI</t>
    <phoneticPr fontId="2"/>
  </si>
  <si>
    <t>UNMT0020_IF_COPY_B_NEBIKI_TAN_SANSHO</t>
    <phoneticPr fontId="2"/>
  </si>
  <si>
    <t>値引(単価)行数</t>
    <rPh sb="0" eb="2">
      <t>ネビキ</t>
    </rPh>
    <rPh sb="3" eb="5">
      <t>タンカ</t>
    </rPh>
    <rPh sb="6" eb="8">
      <t>ギョウスウ</t>
    </rPh>
    <phoneticPr fontId="2"/>
  </si>
  <si>
    <t>UNMT0020_B_NEBIKI_TAN_GYO_SU</t>
    <phoneticPr fontId="2"/>
  </si>
  <si>
    <t>値引(単価)書式コピー先</t>
    <rPh sb="0" eb="2">
      <t>ネビキ</t>
    </rPh>
    <rPh sb="3" eb="5">
      <t>タンカ</t>
    </rPh>
    <rPh sb="6" eb="8">
      <t>ショシキ</t>
    </rPh>
    <rPh sb="11" eb="12">
      <t>サキ</t>
    </rPh>
    <phoneticPr fontId="2"/>
  </si>
  <si>
    <t>値引(単価)数式コピー先</t>
    <rPh sb="0" eb="2">
      <t>ネビキ</t>
    </rPh>
    <rPh sb="3" eb="5">
      <t>タンカ</t>
    </rPh>
    <rPh sb="6" eb="8">
      <t>スウシキ</t>
    </rPh>
    <rPh sb="11" eb="12">
      <t>サキ</t>
    </rPh>
    <phoneticPr fontId="2"/>
  </si>
  <si>
    <t>UNMT0020_B_COPY_NEBIKI_TAN_SHOSHIKI</t>
    <phoneticPr fontId="2"/>
  </si>
  <si>
    <t>UNMT0020_IF_COPY_B_MEISAI_TAN_SUSHIKI</t>
    <phoneticPr fontId="2"/>
  </si>
  <si>
    <t>保存開始位置</t>
    <rPh sb="0" eb="2">
      <t>ホゾン</t>
    </rPh>
    <rPh sb="2" eb="4">
      <t>カイシ</t>
    </rPh>
    <rPh sb="4" eb="6">
      <t>イチ</t>
    </rPh>
    <phoneticPr fontId="2"/>
  </si>
  <si>
    <t>UNMT0020_IF_SAVE_START</t>
    <phoneticPr fontId="2"/>
  </si>
  <si>
    <t>消費税率取得</t>
    <rPh sb="0" eb="3">
      <t>ショウヒゼイ</t>
    </rPh>
    <rPh sb="3" eb="4">
      <t>リツ</t>
    </rPh>
    <rPh sb="4" eb="6">
      <t>シュトク</t>
    </rPh>
    <phoneticPr fontId="2"/>
  </si>
  <si>
    <t>UNMT0020_SQL_SELECT_TAX_RATE</t>
    <phoneticPr fontId="2"/>
  </si>
  <si>
    <t>見積ステータス取得</t>
    <rPh sb="0" eb="2">
      <t>ミツモリ</t>
    </rPh>
    <rPh sb="7" eb="9">
      <t>シュトク</t>
    </rPh>
    <phoneticPr fontId="2"/>
  </si>
  <si>
    <t>UNMT0020_SQL_SELECT_MITSU_STS</t>
    <phoneticPr fontId="2"/>
  </si>
  <si>
    <t>UNMT0020_SQL_SELECT_KEISHO</t>
    <phoneticPr fontId="2"/>
  </si>
  <si>
    <t>敬称取得</t>
    <rPh sb="0" eb="2">
      <t>ケイショウ</t>
    </rPh>
    <rPh sb="2" eb="4">
      <t>シュトク</t>
    </rPh>
    <phoneticPr fontId="2"/>
  </si>
  <si>
    <t>SELECT M_MEISHO_B.DATA_1
  FROM M_MEISHO_B
 WHERE M_MEISHO_B.MEISHO_KBN =  'K011'</t>
    <phoneticPr fontId="2"/>
  </si>
  <si>
    <t>商品CD</t>
    <rPh sb="0" eb="2">
      <t>ショウヒン</t>
    </rPh>
    <phoneticPr fontId="2"/>
  </si>
  <si>
    <t>仕入先CD</t>
    <rPh sb="0" eb="2">
      <t>シイレ</t>
    </rPh>
    <rPh sb="2" eb="3">
      <t>サキ</t>
    </rPh>
    <phoneticPr fontId="2"/>
  </si>
  <si>
    <t>商品名展開位置</t>
    <rPh sb="0" eb="2">
      <t>ショウヒン</t>
    </rPh>
    <rPh sb="2" eb="3">
      <t>メイ</t>
    </rPh>
    <rPh sb="3" eb="5">
      <t>テンカイ</t>
    </rPh>
    <rPh sb="5" eb="7">
      <t>イチ</t>
    </rPh>
    <phoneticPr fontId="2"/>
  </si>
  <si>
    <t>仕入先名展開位置</t>
    <rPh sb="0" eb="2">
      <t>シイレ</t>
    </rPh>
    <rPh sb="2" eb="3">
      <t>サキ</t>
    </rPh>
    <rPh sb="3" eb="4">
      <t>メイ</t>
    </rPh>
    <rPh sb="4" eb="6">
      <t>テンカイ</t>
    </rPh>
    <rPh sb="6" eb="8">
      <t>イチ</t>
    </rPh>
    <phoneticPr fontId="2"/>
  </si>
  <si>
    <t>UNMT0020_B_SHOHIN_MEI_TENKAI</t>
    <phoneticPr fontId="2"/>
  </si>
  <si>
    <t>UNMT0020_B_SHIIRESAKI_MEI_TENKAI</t>
    <phoneticPr fontId="2"/>
  </si>
  <si>
    <t>御　見　積　書</t>
    <rPh sb="0" eb="1">
      <t>オ</t>
    </rPh>
    <rPh sb="2" eb="3">
      <t>ミ</t>
    </rPh>
    <rPh sb="4" eb="5">
      <t>セキ</t>
    </rPh>
    <rPh sb="6" eb="7">
      <t>ショ</t>
    </rPh>
    <phoneticPr fontId="2"/>
  </si>
  <si>
    <t>件　　名</t>
    <rPh sb="0" eb="1">
      <t>ケン</t>
    </rPh>
    <rPh sb="3" eb="4">
      <t>メイ</t>
    </rPh>
    <phoneticPr fontId="2"/>
  </si>
  <si>
    <t>承認</t>
    <rPh sb="0" eb="2">
      <t>ショウニン</t>
    </rPh>
    <phoneticPr fontId="2"/>
  </si>
  <si>
    <t>担当</t>
    <rPh sb="0" eb="2">
      <t>タントウ</t>
    </rPh>
    <phoneticPr fontId="2"/>
  </si>
  <si>
    <t>見積合計金額</t>
    <rPh sb="0" eb="2">
      <t>ミツモリ</t>
    </rPh>
    <rPh sb="2" eb="4">
      <t>ゴウケイ</t>
    </rPh>
    <rPh sb="4" eb="6">
      <t>キンガク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</si>
  <si>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</si>
  <si>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料金</t>
    <rPh sb="0" eb="2">
      <t>リョウキン</t>
    </rPh>
    <phoneticPr fontId="2"/>
  </si>
  <si>
    <t>代表者名</t>
    <rPh sb="0" eb="3">
      <t>ダイヒョウシャ</t>
    </rPh>
    <rPh sb="3" eb="4">
      <t>メイ</t>
    </rPh>
    <phoneticPr fontId="2"/>
  </si>
  <si>
    <t>代表者名フラグ</t>
    <rPh sb="0" eb="2">
      <t>ダイヒョウ</t>
    </rPh>
    <rPh sb="2" eb="3">
      <t>シャ</t>
    </rPh>
    <rPh sb="3" eb="4">
      <t>メイ</t>
    </rPh>
    <phoneticPr fontId="2"/>
  </si>
  <si>
    <t>帳票書式コピー元</t>
    <rPh sb="0" eb="2">
      <t>チョウヒョウ</t>
    </rPh>
    <rPh sb="2" eb="4">
      <t>ショシキ</t>
    </rPh>
    <rPh sb="7" eb="8">
      <t>モト</t>
    </rPh>
    <phoneticPr fontId="2"/>
  </si>
  <si>
    <t>UNMT0020_IF_SHEET_BODY_COPY_MOTO</t>
    <phoneticPr fontId="2"/>
  </si>
  <si>
    <t>明細書式コピー元</t>
    <rPh sb="0" eb="2">
      <t>メイサイ</t>
    </rPh>
    <rPh sb="2" eb="4">
      <t>ショシキ</t>
    </rPh>
    <rPh sb="7" eb="8">
      <t>モト</t>
    </rPh>
    <phoneticPr fontId="2"/>
  </si>
  <si>
    <t>値引書式コピー元</t>
    <rPh sb="0" eb="2">
      <t>ネビキ</t>
    </rPh>
    <rPh sb="2" eb="4">
      <t>ショシキ</t>
    </rPh>
    <rPh sb="7" eb="8">
      <t>モト</t>
    </rPh>
    <phoneticPr fontId="2"/>
  </si>
  <si>
    <t>コメント書式コピー元</t>
    <rPh sb="4" eb="6">
      <t>ショシキ</t>
    </rPh>
    <rPh sb="9" eb="10">
      <t>モト</t>
    </rPh>
    <phoneticPr fontId="2"/>
  </si>
  <si>
    <t>小計書式コピー元</t>
    <rPh sb="0" eb="2">
      <t>ショウケイ</t>
    </rPh>
    <rPh sb="2" eb="4">
      <t>ショシキ</t>
    </rPh>
    <rPh sb="7" eb="8">
      <t>モト</t>
    </rPh>
    <phoneticPr fontId="2"/>
  </si>
  <si>
    <t>UNMT0020_IF_SHEET_MEISAI_COPY_MOTO</t>
    <phoneticPr fontId="2"/>
  </si>
  <si>
    <t>UNMT0020_IF_SHEET_COMMENT_COPY_MOTO</t>
    <phoneticPr fontId="2"/>
  </si>
  <si>
    <t>UNMT0020_IF_SHEET_NEBIKI_COPY_MOTO</t>
    <phoneticPr fontId="2"/>
  </si>
  <si>
    <t>UNMT0020_IF_SHEET_SHOKEI_COPY_MOTO</t>
    <phoneticPr fontId="2"/>
  </si>
  <si>
    <t>印刷範囲</t>
    <rPh sb="0" eb="2">
      <t>インサツ</t>
    </rPh>
    <rPh sb="2" eb="4">
      <t>ハンイ</t>
    </rPh>
    <phoneticPr fontId="2"/>
  </si>
  <si>
    <t>クリア範囲</t>
    <rPh sb="3" eb="5">
      <t>ハンイ</t>
    </rPh>
    <phoneticPr fontId="2"/>
  </si>
  <si>
    <t>UNMT0020_REPORT_DAIHYO_MEI</t>
    <phoneticPr fontId="2"/>
  </si>
  <si>
    <t>UNMT0020_REPORT_CLEAR_AREA</t>
    <phoneticPr fontId="2"/>
  </si>
  <si>
    <t>ページ数</t>
    <rPh sb="3" eb="4">
      <t>スウ</t>
    </rPh>
    <phoneticPr fontId="2"/>
  </si>
  <si>
    <t>UNMT0020_REPORT_PAGE_SU</t>
    <phoneticPr fontId="2"/>
  </si>
  <si>
    <t>展開済フラグ</t>
    <rPh sb="0" eb="2">
      <t>テンカイ</t>
    </rPh>
    <rPh sb="2" eb="3">
      <t>ス</t>
    </rPh>
    <phoneticPr fontId="2"/>
  </si>
  <si>
    <t>UNMT0020_REPORT_TENKAI_FLG</t>
    <phoneticPr fontId="2"/>
  </si>
  <si>
    <t>非表示行</t>
    <rPh sb="0" eb="3">
      <t>ヒヒョウジ</t>
    </rPh>
    <rPh sb="3" eb="4">
      <t>ギョウ</t>
    </rPh>
    <phoneticPr fontId="2"/>
  </si>
  <si>
    <t>非表示列</t>
    <rPh sb="0" eb="3">
      <t>ヒヒョウジ</t>
    </rPh>
    <rPh sb="3" eb="4">
      <t>レツ</t>
    </rPh>
    <phoneticPr fontId="2"/>
  </si>
  <si>
    <t>UNMT0020_B_HIDE_ROW</t>
    <phoneticPr fontId="2"/>
  </si>
  <si>
    <t>UNMT0020_B_HIDE_COLUMN</t>
    <phoneticPr fontId="2"/>
  </si>
  <si>
    <t>UNMT0020_H_HIDE_ROW</t>
    <phoneticPr fontId="2"/>
  </si>
  <si>
    <t>UNMT0020_H_HIDE_COLUMN</t>
    <phoneticPr fontId="2"/>
  </si>
  <si>
    <t>ウィンドウ固定位置</t>
    <rPh sb="5" eb="7">
      <t>コテイ</t>
    </rPh>
    <rPh sb="7" eb="9">
      <t>イチ</t>
    </rPh>
    <phoneticPr fontId="2"/>
  </si>
  <si>
    <t>UNMT0020_B_SCROLL_LOCK</t>
    <phoneticPr fontId="2"/>
  </si>
  <si>
    <t>UNMT0020_H_TANTO_MARK_FLG</t>
    <phoneticPr fontId="2"/>
  </si>
  <si>
    <t>行挿入元範囲</t>
    <rPh sb="0" eb="1">
      <t>ギョウ</t>
    </rPh>
    <rPh sb="1" eb="3">
      <t>ソウニュウ</t>
    </rPh>
    <rPh sb="3" eb="4">
      <t>モト</t>
    </rPh>
    <rPh sb="4" eb="6">
      <t>ハンイ</t>
    </rPh>
    <phoneticPr fontId="2"/>
  </si>
  <si>
    <t>UNMT0020_B_LIST_INSERT_COPY_AREA</t>
    <phoneticPr fontId="2"/>
  </si>
  <si>
    <t>挿入行区分</t>
    <rPh sb="0" eb="2">
      <t>ソウニュウ</t>
    </rPh>
    <rPh sb="2" eb="3">
      <t>ギョウ</t>
    </rPh>
    <rPh sb="3" eb="5">
      <t>クブン</t>
    </rPh>
    <phoneticPr fontId="2"/>
  </si>
  <si>
    <t>UNMT0020_B_LIST_INSERT_TYPE</t>
    <phoneticPr fontId="2"/>
  </si>
  <si>
    <t>1:%ﾚｽ / 2:直接 3:/単価</t>
    <rPh sb="10" eb="12">
      <t>チョクセツ</t>
    </rPh>
    <rPh sb="16" eb="18">
      <t>タンカ</t>
    </rPh>
    <phoneticPr fontId="2"/>
  </si>
  <si>
    <t>1:明細 / 2:コメント / 3:値引 / 4:小計</t>
    <rPh sb="2" eb="4">
      <t>メイサイ</t>
    </rPh>
    <rPh sb="18" eb="20">
      <t>ネビキ</t>
    </rPh>
    <rPh sb="25" eb="27">
      <t>ショウケイ</t>
    </rPh>
    <phoneticPr fontId="2"/>
  </si>
  <si>
    <t>UNMT0020_H_KOYOMI_KBN</t>
    <phoneticPr fontId="2"/>
  </si>
  <si>
    <t>【コード検索】(暫定）</t>
    <rPh sb="4" eb="6">
      <t>ケンサク</t>
    </rPh>
    <rPh sb="8" eb="10">
      <t>ザンテイ</t>
    </rPh>
    <phoneticPr fontId="2"/>
  </si>
  <si>
    <t>入力者名/営業担当者</t>
    <rPh sb="3" eb="4">
      <t>メイ</t>
    </rPh>
    <rPh sb="5" eb="7">
      <t>エイギョウ</t>
    </rPh>
    <rPh sb="7" eb="10">
      <t>タントウシャ</t>
    </rPh>
    <phoneticPr fontId="2"/>
  </si>
  <si>
    <t>保存見積No.</t>
    <rPh sb="0" eb="2">
      <t>ホゾン</t>
    </rPh>
    <rPh sb="2" eb="4">
      <t>ミツモリ</t>
    </rPh>
    <phoneticPr fontId="2"/>
  </si>
  <si>
    <t>UNMT0020_IF_SAVE_RESULT_MITSU_NO</t>
    <phoneticPr fontId="2"/>
  </si>
  <si>
    <t>【対象見積No.】</t>
    <rPh sb="1" eb="3">
      <t>タイショウ</t>
    </rPh>
    <rPh sb="3" eb="5">
      <t>ミツモリ</t>
    </rPh>
    <phoneticPr fontId="2"/>
  </si>
  <si>
    <t>対象見積No.</t>
    <rPh sb="0" eb="2">
      <t>タイショウ</t>
    </rPh>
    <rPh sb="2" eb="4">
      <t>ミツモリ</t>
    </rPh>
    <phoneticPr fontId="2"/>
  </si>
  <si>
    <t>UNMT0020_IF_MITSU_NO</t>
    <phoneticPr fontId="2"/>
  </si>
  <si>
    <t>小計</t>
    <rPh sb="0" eb="2">
      <t>ショウケイ</t>
    </rPh>
    <phoneticPr fontId="2"/>
  </si>
  <si>
    <t>参照作成フラグがONの場合、参照作成用ビューからデータを取得する</t>
    <rPh sb="0" eb="2">
      <t>サンショウ</t>
    </rPh>
    <rPh sb="2" eb="4">
      <t>サクセイ</t>
    </rPh>
    <rPh sb="11" eb="13">
      <t>バアイ</t>
    </rPh>
    <rPh sb="14" eb="16">
      <t>サンショウ</t>
    </rPh>
    <rPh sb="16" eb="18">
      <t>サクセイ</t>
    </rPh>
    <rPh sb="18" eb="19">
      <t>ヨウ</t>
    </rPh>
    <rPh sb="28" eb="30">
      <t>シュトク</t>
    </rPh>
    <phoneticPr fontId="2"/>
  </si>
  <si>
    <t>UNMT0020_IF_MODE</t>
    <phoneticPr fontId="2"/>
  </si>
  <si>
    <t>UNMT0020_IF_COPY_B_SUBTOTAL_SHOSHIKI_SHINKI</t>
    <phoneticPr fontId="2"/>
  </si>
  <si>
    <t>UNMT0020_IF_COPY_B_SUBTOTAL_SHOSHIKI_SHUSEI</t>
    <phoneticPr fontId="2"/>
  </si>
  <si>
    <t>UNMT0020_IF_COPY_B_SUBTOTAL_SHOSHIKI_SANSHO</t>
    <phoneticPr fontId="2"/>
  </si>
  <si>
    <t>UNMT0020_B_COPY_NEBIKI_TAN_SUSHIKI</t>
    <phoneticPr fontId="2"/>
  </si>
  <si>
    <t>UNMT0020_REPORT_PRINT_AREA</t>
    <phoneticPr fontId="2"/>
  </si>
  <si>
    <t>保存ボタン</t>
    <rPh sb="0" eb="2">
      <t>ホゾン</t>
    </rPh>
    <phoneticPr fontId="2"/>
  </si>
  <si>
    <t>単価モードの場合、無効(2)</t>
    <rPh sb="0" eb="2">
      <t>タンカ</t>
    </rPh>
    <rPh sb="6" eb="8">
      <t>バアイ</t>
    </rPh>
    <rPh sb="9" eb="11">
      <t>ムコウ</t>
    </rPh>
    <phoneticPr fontId="2"/>
  </si>
  <si>
    <t>【制御IF】</t>
    <rPh sb="1" eb="3">
      <t>セイギョ</t>
    </rPh>
    <phoneticPr fontId="2"/>
  </si>
  <si>
    <t>【コピー元IF】</t>
    <rPh sb="4" eb="5">
      <t>モト</t>
    </rPh>
    <phoneticPr fontId="2"/>
  </si>
  <si>
    <t>【帳票ＩＦ】</t>
    <rPh sb="1" eb="3">
      <t>チョウヒョウ</t>
    </rPh>
    <phoneticPr fontId="2"/>
  </si>
  <si>
    <t>【Excel保存】</t>
    <rPh sb="6" eb="8">
      <t>ホゾン</t>
    </rPh>
    <phoneticPr fontId="2"/>
  </si>
  <si>
    <t>Excel保存ファイル名</t>
    <rPh sb="5" eb="7">
      <t>ホゾン</t>
    </rPh>
    <rPh sb="11" eb="12">
      <t>メイ</t>
    </rPh>
    <phoneticPr fontId="2"/>
  </si>
  <si>
    <t>UNMT0020_SQL_SHOHIN_SEARCH</t>
    <phoneticPr fontId="2"/>
  </si>
  <si>
    <t>UNMT0020_SQL_SHIIRE_SEARCH</t>
    <phoneticPr fontId="2"/>
  </si>
  <si>
    <t>UNMT0020_SQL_SHAIN_SEARCH</t>
    <phoneticPr fontId="2"/>
  </si>
  <si>
    <t>UNMT0020_SQL_TORIHIKI_BUNRUI_SEARCH</t>
    <phoneticPr fontId="2"/>
  </si>
  <si>
    <t>UNMT0020_SQL_SEIKYU_SEARCH</t>
    <phoneticPr fontId="2"/>
  </si>
  <si>
    <t>原価</t>
    <rPh sb="0" eb="2">
      <t>ゲンカ</t>
    </rPh>
    <phoneticPr fontId="2"/>
  </si>
  <si>
    <t>売価</t>
    <rPh sb="0" eb="2">
      <t>バイカ</t>
    </rPh>
    <phoneticPr fontId="2"/>
  </si>
  <si>
    <t>入数単位</t>
    <rPh sb="0" eb="1">
      <t>イ</t>
    </rPh>
    <rPh sb="1" eb="4">
      <t>スウタンイ</t>
    </rPh>
    <phoneticPr fontId="2"/>
  </si>
  <si>
    <t>UNMT0020_B_GENKA_TENKAI</t>
    <phoneticPr fontId="2"/>
  </si>
  <si>
    <t>UNMT0020_B_BAIKA_TENKAI</t>
    <phoneticPr fontId="2"/>
  </si>
  <si>
    <t>UNMT0020_B_IRISU_TANI_TENKAI</t>
    <phoneticPr fontId="2"/>
  </si>
  <si>
    <t>UNMT0010_H_SANKO_STS</t>
    <phoneticPr fontId="2"/>
  </si>
  <si>
    <t>白地ステータス</t>
    <rPh sb="0" eb="2">
      <t>シロジ</t>
    </rPh>
    <phoneticPr fontId="2"/>
  </si>
  <si>
    <t>UNMT0010_H_SHIROJI_STS</t>
  </si>
  <si>
    <t>仕掛ステータス</t>
    <rPh sb="0" eb="2">
      <t>シカカリ</t>
    </rPh>
    <phoneticPr fontId="2"/>
  </si>
  <si>
    <t>UNMT0010_H_SHIKAKARI_STS</t>
  </si>
  <si>
    <t>見込ステータス</t>
    <rPh sb="0" eb="2">
      <t>ミコ</t>
    </rPh>
    <phoneticPr fontId="2"/>
  </si>
  <si>
    <t>UNMT0010_H_MIKOMI_STS</t>
  </si>
  <si>
    <t>受注済ステータス</t>
    <rPh sb="0" eb="2">
      <t>ジュチュウ</t>
    </rPh>
    <rPh sb="2" eb="3">
      <t>スミ</t>
    </rPh>
    <phoneticPr fontId="2"/>
  </si>
  <si>
    <t>UNMT0010_H_JUCHUSUMI_STS</t>
  </si>
  <si>
    <t>UNMT0010_H_SEIKYUSAKI_MEI</t>
  </si>
  <si>
    <t>削除済表示フラグ</t>
    <rPh sb="0" eb="2">
      <t>サクジョ</t>
    </rPh>
    <rPh sb="2" eb="3">
      <t>ス</t>
    </rPh>
    <rPh sb="3" eb="5">
      <t>ヒョウジ</t>
    </rPh>
    <phoneticPr fontId="2"/>
  </si>
  <si>
    <t>UNMT0010_H_DEL_HYOJI_FLG</t>
  </si>
  <si>
    <t>フリーワード検索条件</t>
    <rPh sb="6" eb="8">
      <t>ケンサク</t>
    </rPh>
    <rPh sb="8" eb="10">
      <t>ジョウケン</t>
    </rPh>
    <phoneticPr fontId="2"/>
  </si>
  <si>
    <t>UNMT0010_H_FREEWD_KBN</t>
    <phoneticPr fontId="2"/>
  </si>
  <si>
    <t>参考ステータス</t>
    <rPh sb="0" eb="2">
      <t>サンコウ</t>
    </rPh>
    <phoneticPr fontId="2"/>
  </si>
  <si>
    <t>【処理用判定】</t>
    <rPh sb="1" eb="4">
      <t>ショリヨウ</t>
    </rPh>
    <rPh sb="4" eb="6">
      <t>ハンテイ</t>
    </rPh>
    <phoneticPr fontId="2"/>
  </si>
  <si>
    <t>UNMT0010_IF_DATA_SEARCH_FLG</t>
    <phoneticPr fontId="2"/>
  </si>
  <si>
    <t>UNMM0011_H</t>
  </si>
  <si>
    <t>UNMM0011_H_SHAIN_CD</t>
  </si>
  <si>
    <t>UNMT0010_IF_ACTIVE_SHEET</t>
    <phoneticPr fontId="2"/>
  </si>
  <si>
    <t>UNMT0010_IF_ACTIVE_ROW</t>
    <phoneticPr fontId="2"/>
  </si>
  <si>
    <t>UNMT0010_IF_ACTIVE_COLUMN</t>
    <phoneticPr fontId="2"/>
  </si>
  <si>
    <t>UNMT0010_IF_ACTIVE_CELL_NAME</t>
    <phoneticPr fontId="2"/>
  </si>
  <si>
    <t>ON:1/OFF:1以外</t>
    <phoneticPr fontId="2"/>
  </si>
  <si>
    <t>■ 定義</t>
    <rPh sb="2" eb="4">
      <t>テイギ</t>
    </rPh>
    <phoneticPr fontId="2"/>
  </si>
  <si>
    <t>最大行数</t>
    <rPh sb="0" eb="2">
      <t>サイダイ</t>
    </rPh>
    <rPh sb="2" eb="4">
      <t>ギョウスウ</t>
    </rPh>
    <phoneticPr fontId="2"/>
  </si>
  <si>
    <t>■表示用変数</t>
    <rPh sb="1" eb="4">
      <t>ヒョウジヨウ</t>
    </rPh>
    <rPh sb="4" eb="6">
      <t>ヘンスウ</t>
    </rPh>
    <phoneticPr fontId="2"/>
  </si>
  <si>
    <t>検索件数</t>
    <rPh sb="0" eb="2">
      <t>ケンサク</t>
    </rPh>
    <rPh sb="2" eb="4">
      <t>ケンスウ</t>
    </rPh>
    <phoneticPr fontId="2"/>
  </si>
  <si>
    <t>ページ番号</t>
    <rPh sb="3" eb="5">
      <t>バンゴウ</t>
    </rPh>
    <phoneticPr fontId="2"/>
  </si>
  <si>
    <t>総ページ数</t>
    <rPh sb="0" eb="1">
      <t>ソウ</t>
    </rPh>
    <rPh sb="4" eb="5">
      <t>スウ</t>
    </rPh>
    <phoneticPr fontId="2"/>
  </si>
  <si>
    <t>表示件数</t>
    <rPh sb="0" eb="2">
      <t>ヒョウジ</t>
    </rPh>
    <rPh sb="2" eb="4">
      <t>ケンスウ</t>
    </rPh>
    <phoneticPr fontId="2"/>
  </si>
  <si>
    <t>リスト書式コピー先</t>
    <rPh sb="3" eb="5">
      <t>ショシキ</t>
    </rPh>
    <rPh sb="8" eb="9">
      <t>サキ</t>
    </rPh>
    <phoneticPr fontId="2"/>
  </si>
  <si>
    <t>■ページ移動用変数</t>
    <rPh sb="4" eb="6">
      <t>イドウ</t>
    </rPh>
    <rPh sb="6" eb="7">
      <t>ヨウ</t>
    </rPh>
    <rPh sb="7" eb="9">
      <t>ヘンスウ</t>
    </rPh>
    <phoneticPr fontId="2"/>
  </si>
  <si>
    <t>リストクリア範囲</t>
    <rPh sb="6" eb="8">
      <t>ハンイ</t>
    </rPh>
    <phoneticPr fontId="2"/>
  </si>
  <si>
    <t>1:あり / 2:なし</t>
  </si>
  <si>
    <t>次ページ移動判断</t>
    <rPh sb="0" eb="1">
      <t>ツギ</t>
    </rPh>
    <rPh sb="4" eb="6">
      <t>イドウ</t>
    </rPh>
    <rPh sb="6" eb="8">
      <t>ハンダン</t>
    </rPh>
    <phoneticPr fontId="2"/>
  </si>
  <si>
    <t>前ページ移動判断</t>
    <rPh sb="0" eb="1">
      <t>マエ</t>
    </rPh>
    <rPh sb="4" eb="6">
      <t>イドウ</t>
    </rPh>
    <rPh sb="6" eb="8">
      <t>ハンダン</t>
    </rPh>
    <phoneticPr fontId="2"/>
  </si>
  <si>
    <t>次ページ番号</t>
    <rPh sb="0" eb="1">
      <t>ツギ</t>
    </rPh>
    <rPh sb="4" eb="6">
      <t>バンゴウ</t>
    </rPh>
    <phoneticPr fontId="2"/>
  </si>
  <si>
    <t>■商品マスタメンテ遷移用変数</t>
    <rPh sb="1" eb="3">
      <t>ショウヒン</t>
    </rPh>
    <rPh sb="9" eb="11">
      <t>センイ</t>
    </rPh>
    <rPh sb="11" eb="12">
      <t>ヨウ</t>
    </rPh>
    <rPh sb="12" eb="14">
      <t>ヘンスウ</t>
    </rPh>
    <phoneticPr fontId="2"/>
  </si>
  <si>
    <t>前ページ番号</t>
    <rPh sb="0" eb="1">
      <t>マエ</t>
    </rPh>
    <rPh sb="4" eb="6">
      <t>バンゴウ</t>
    </rPh>
    <phoneticPr fontId="2"/>
  </si>
  <si>
    <t>選択行番号</t>
    <rPh sb="0" eb="2">
      <t>センタク</t>
    </rPh>
    <rPh sb="2" eb="5">
      <t>ギョウバンゴウ</t>
    </rPh>
    <phoneticPr fontId="2"/>
  </si>
  <si>
    <t>UNMT0010_B_CTRL_HYOJI_GYO_SU</t>
    <phoneticPr fontId="2"/>
  </si>
  <si>
    <t>UNMT0010_B_KENSAKU_KENSU</t>
    <phoneticPr fontId="2"/>
  </si>
  <si>
    <t>UNMT0010_B_PAGE_NO</t>
    <phoneticPr fontId="2"/>
  </si>
  <si>
    <t>UNMT0010_B_ALL_PAGE_SU</t>
    <phoneticPr fontId="2"/>
  </si>
  <si>
    <t>UNMT0010_B_HYOJI_KENSU</t>
    <phoneticPr fontId="2"/>
  </si>
  <si>
    <t>UNMT0010_B_LIST_START</t>
    <phoneticPr fontId="2"/>
  </si>
  <si>
    <t>UNMT0010_B_COPY_SAKI</t>
    <phoneticPr fontId="2"/>
  </si>
  <si>
    <t>UNMT0010_B_LIST_CLEAR</t>
    <phoneticPr fontId="2"/>
  </si>
  <si>
    <t>UNMT0010_B_EXIST_NEXT_PAGE</t>
    <phoneticPr fontId="2"/>
  </si>
  <si>
    <t>UNMT0010_B_EXIST_PREV_PAGE</t>
    <phoneticPr fontId="2"/>
  </si>
  <si>
    <t>UNMT0010_B_NEXT_PAGE_NO</t>
    <phoneticPr fontId="2"/>
  </si>
  <si>
    <t>UNMT0010_B_PREV_PAGE_NO</t>
    <phoneticPr fontId="2"/>
  </si>
  <si>
    <t>UNMT0010_B_SELECT_GYO_NO</t>
    <phoneticPr fontId="2"/>
  </si>
  <si>
    <t>UNMT0010_B_HIDE_ROW</t>
    <phoneticPr fontId="2"/>
  </si>
  <si>
    <t>UNMT0010_B_HIDE_COLUMN</t>
    <phoneticPr fontId="2"/>
  </si>
  <si>
    <t>UNMT0010_B_SCROLL_LOCK</t>
    <phoneticPr fontId="2"/>
  </si>
  <si>
    <t>■画面初期化マクロ用</t>
    <rPh sb="1" eb="3">
      <t>ガメン</t>
    </rPh>
    <rPh sb="3" eb="6">
      <t>ショキカ</t>
    </rPh>
    <rPh sb="9" eb="10">
      <t>ヨウ</t>
    </rPh>
    <phoneticPr fontId="2"/>
  </si>
  <si>
    <t>選択見積No.</t>
    <rPh sb="0" eb="2">
      <t>センタク</t>
    </rPh>
    <rPh sb="2" eb="4">
      <t>ミツモリ</t>
    </rPh>
    <phoneticPr fontId="2"/>
  </si>
  <si>
    <t>UNMT0010_B_SELECT_MITUSMORI_NO</t>
    <phoneticPr fontId="2"/>
  </si>
  <si>
    <t xml:space="preserve">【コピー元】   </t>
    <rPh sb="4" eb="5">
      <t>モト</t>
    </rPh>
    <phoneticPr fontId="2"/>
  </si>
  <si>
    <t>リスト初期書式コピー範囲</t>
    <rPh sb="3" eb="5">
      <t>ショキ</t>
    </rPh>
    <rPh sb="5" eb="7">
      <t>ショシキ</t>
    </rPh>
    <rPh sb="10" eb="12">
      <t>ハンイ</t>
    </rPh>
    <phoneticPr fontId="2"/>
  </si>
  <si>
    <t>リスト書式コピー元範囲</t>
    <rPh sb="3" eb="5">
      <t>ショシキ</t>
    </rPh>
    <rPh sb="8" eb="9">
      <t>モト</t>
    </rPh>
    <rPh sb="9" eb="11">
      <t>ハンイ</t>
    </rPh>
    <phoneticPr fontId="2"/>
  </si>
  <si>
    <t>＞</t>
  </si>
  <si>
    <t>UNMT0010_IF_B_LIST_DEFAULT</t>
    <phoneticPr fontId="2"/>
  </si>
  <si>
    <t>並べ替え</t>
    <rPh sb="0" eb="1">
      <t>ナラ</t>
    </rPh>
    <rPh sb="2" eb="3">
      <t>カ</t>
    </rPh>
    <phoneticPr fontId="2"/>
  </si>
  <si>
    <t>ページング</t>
  </si>
  <si>
    <t>UNMT0010_SQL_INIT_SORT</t>
    <phoneticPr fontId="2"/>
  </si>
  <si>
    <t>UNMT0010_SQL_SORT</t>
    <phoneticPr fontId="2"/>
  </si>
  <si>
    <t>■フォーム制御用</t>
    <rPh sb="5" eb="7">
      <t>セイギョ</t>
    </rPh>
    <rPh sb="7" eb="8">
      <t>ヨウ</t>
    </rPh>
    <phoneticPr fontId="2"/>
  </si>
  <si>
    <t>UNMT0010_H_HIDE_COLUMN</t>
    <phoneticPr fontId="2"/>
  </si>
  <si>
    <t>UNMT_COMMON_SQL_SHAIN_SEARCH</t>
    <phoneticPr fontId="2"/>
  </si>
  <si>
    <t>UNMT_COMMON_SQL_TORIHIKI_BUNRUI_SEARCH</t>
    <phoneticPr fontId="2"/>
  </si>
  <si>
    <t>UNMT_COMMON_SQL_SEIKYU_SEARCH</t>
    <phoneticPr fontId="2"/>
  </si>
  <si>
    <t>UNMT_COMMON_SQL_SHOHIN_SEARCH</t>
    <phoneticPr fontId="2"/>
  </si>
  <si>
    <t>UNMT_COMMON_SQL_SHIIRE_SEARCH</t>
    <phoneticPr fontId="2"/>
  </si>
  <si>
    <t>表示行数取得</t>
    <rPh sb="0" eb="2">
      <t>ヒョウジ</t>
    </rPh>
    <rPh sb="2" eb="4">
      <t>ギョウスウ</t>
    </rPh>
    <rPh sb="4" eb="6">
      <t>シュトク</t>
    </rPh>
    <phoneticPr fontId="2"/>
  </si>
  <si>
    <t>UNMM_COMMON_SQL_SELECT_CTRL_HYOJI_GYO_SU</t>
  </si>
  <si>
    <t>社員検索</t>
    <rPh sb="0" eb="2">
      <t>シャイン</t>
    </rPh>
    <rPh sb="2" eb="4">
      <t>ケンサク</t>
    </rPh>
    <phoneticPr fontId="2"/>
  </si>
  <si>
    <t>■ポップアップ表示用SQL</t>
    <rPh sb="7" eb="9">
      <t>ヒョウジ</t>
    </rPh>
    <rPh sb="9" eb="10">
      <t>ヨウ</t>
    </rPh>
    <phoneticPr fontId="2"/>
  </si>
  <si>
    <t>取引分類検索</t>
    <rPh sb="0" eb="2">
      <t>トリヒキ</t>
    </rPh>
    <rPh sb="2" eb="4">
      <t>ブンルイ</t>
    </rPh>
    <rPh sb="4" eb="6">
      <t>ケンサク</t>
    </rPh>
    <phoneticPr fontId="2"/>
  </si>
  <si>
    <t>請求先検索</t>
    <rPh sb="0" eb="2">
      <t>セイキュウ</t>
    </rPh>
    <rPh sb="2" eb="3">
      <t>サキ</t>
    </rPh>
    <rPh sb="3" eb="5">
      <t>ケンサク</t>
    </rPh>
    <phoneticPr fontId="2"/>
  </si>
  <si>
    <t>商品検索</t>
    <rPh sb="0" eb="2">
      <t>ショウヒン</t>
    </rPh>
    <rPh sb="2" eb="4">
      <t>ケンサク</t>
    </rPh>
    <phoneticPr fontId="2"/>
  </si>
  <si>
    <t>仕入先検索</t>
    <rPh sb="0" eb="2">
      <t>シイレ</t>
    </rPh>
    <rPh sb="2" eb="3">
      <t>サキ</t>
    </rPh>
    <rPh sb="3" eb="5">
      <t>ケンサク</t>
    </rPh>
    <phoneticPr fontId="2"/>
  </si>
  <si>
    <t>受渡期日検索</t>
    <rPh sb="0" eb="2">
      <t>ウケワタシ</t>
    </rPh>
    <rPh sb="2" eb="4">
      <t>キジツ</t>
    </rPh>
    <rPh sb="4" eb="6">
      <t>ケンサク</t>
    </rPh>
    <phoneticPr fontId="2"/>
  </si>
  <si>
    <t>UNMT_COMMON_SQL_YUKOKIGEN_SEARCH</t>
    <phoneticPr fontId="2"/>
  </si>
  <si>
    <t>UNMT_COMMON_SQL_UKEWATASHI_DATE_SEARCH</t>
    <phoneticPr fontId="2"/>
  </si>
  <si>
    <t>UNMT_COMMON_SQL_UKEWATASHI_BASHO_SEARCH</t>
    <phoneticPr fontId="2"/>
  </si>
  <si>
    <t>UNMT_COMMON_SQL_TORIHIKI_JOKEN_SEARCH</t>
    <phoneticPr fontId="2"/>
  </si>
  <si>
    <t>受渡場所検索</t>
    <rPh sb="0" eb="2">
      <t>ウケワタシ</t>
    </rPh>
    <rPh sb="2" eb="4">
      <t>バショ</t>
    </rPh>
    <rPh sb="4" eb="6">
      <t>ケンサク</t>
    </rPh>
    <phoneticPr fontId="2"/>
  </si>
  <si>
    <t>取引条件検索</t>
    <rPh sb="0" eb="2">
      <t>トリヒキ</t>
    </rPh>
    <rPh sb="2" eb="4">
      <t>ジョウケン</t>
    </rPh>
    <rPh sb="4" eb="6">
      <t>ケンサク</t>
    </rPh>
    <phoneticPr fontId="2"/>
  </si>
  <si>
    <t>有効期限検索</t>
    <rPh sb="0" eb="2">
      <t>ユウコウ</t>
    </rPh>
    <rPh sb="2" eb="4">
      <t>キゲン</t>
    </rPh>
    <rPh sb="4" eb="6">
      <t>ケンサク</t>
    </rPh>
    <phoneticPr fontId="2"/>
  </si>
  <si>
    <t>SELECT HYOJI_GYO_SU
  FROM M_CONTROL
 WHERE CTRL_KEY = 1</t>
    <phoneticPr fontId="2"/>
  </si>
  <si>
    <t>【コンボボックス】</t>
  </si>
  <si>
    <t>UNMT0010_SQL_SELECT_MITSUMORI_LIST</t>
    <phoneticPr fontId="2"/>
  </si>
  <si>
    <t>UNMT0010_SQL_SELECT_MITSUMORI_LIST_CNT</t>
    <phoneticPr fontId="2"/>
  </si>
  <si>
    <t>通常</t>
    <phoneticPr fontId="2"/>
  </si>
  <si>
    <t>LIST_SYUBETSU</t>
    <phoneticPr fontId="2"/>
  </si>
  <si>
    <t>【ヘッダ初期化用】</t>
    <rPh sb="4" eb="7">
      <t>ショキカ</t>
    </rPh>
    <rPh sb="7" eb="8">
      <t>ヨウ</t>
    </rPh>
    <phoneticPr fontId="2"/>
  </si>
  <si>
    <t>データ初期化用</t>
    <rPh sb="3" eb="6">
      <t>ショキカ</t>
    </rPh>
    <rPh sb="6" eb="7">
      <t>ヨウ</t>
    </rPh>
    <phoneticPr fontId="2"/>
  </si>
  <si>
    <t>UNMT0010_IF_INIT_HEADER_COPY_MOTO</t>
    <phoneticPr fontId="2"/>
  </si>
  <si>
    <t>フラグデータ初期化用</t>
    <rPh sb="6" eb="9">
      <t>ショキカ</t>
    </rPh>
    <rPh sb="9" eb="10">
      <t>ヨウ</t>
    </rPh>
    <phoneticPr fontId="2"/>
  </si>
  <si>
    <t>UNMT0010_IF_INIT_HEADER_FLG_COPY_MOTO</t>
    <phoneticPr fontId="2"/>
  </si>
  <si>
    <t>入力者CD</t>
    <rPh sb="0" eb="2">
      <t>ニュウリョク</t>
    </rPh>
    <rPh sb="2" eb="3">
      <t>シャ</t>
    </rPh>
    <phoneticPr fontId="2"/>
  </si>
  <si>
    <t>営業担当者CD</t>
    <rPh sb="0" eb="2">
      <t>エイギョウ</t>
    </rPh>
    <rPh sb="2" eb="5">
      <t>タントウシャ</t>
    </rPh>
    <phoneticPr fontId="2"/>
  </si>
  <si>
    <t>取引分類CD</t>
    <rPh sb="0" eb="2">
      <t>トリヒキ</t>
    </rPh>
    <rPh sb="2" eb="4">
      <t>ブンルイ</t>
    </rPh>
    <phoneticPr fontId="2"/>
  </si>
  <si>
    <t>UNMT0010_B_FORMAT_COPY_FLG</t>
    <phoneticPr fontId="2"/>
  </si>
  <si>
    <t>検索件数0時のエラー回避用</t>
    <rPh sb="0" eb="2">
      <t>ケンサク</t>
    </rPh>
    <rPh sb="2" eb="4">
      <t>ケンスウ</t>
    </rPh>
    <rPh sb="5" eb="6">
      <t>ジ</t>
    </rPh>
    <rPh sb="10" eb="12">
      <t>カイヒ</t>
    </rPh>
    <rPh sb="12" eb="13">
      <t>ヨウ</t>
    </rPh>
    <phoneticPr fontId="2"/>
  </si>
  <si>
    <t>※種別(MODE)は要素固定</t>
    <rPh sb="1" eb="3">
      <t>シュベツ</t>
    </rPh>
    <rPh sb="10" eb="12">
      <t>ヨウソ</t>
    </rPh>
    <rPh sb="12" eb="14">
      <t>コテイ</t>
    </rPh>
    <phoneticPr fontId="2"/>
  </si>
  <si>
    <t>条件（ステータス）</t>
    <rPh sb="0" eb="2">
      <t>ジョウケン</t>
    </rPh>
    <phoneticPr fontId="2"/>
  </si>
  <si>
    <t>条件(取引分類)</t>
    <rPh sb="0" eb="2">
      <t>ジョウケン</t>
    </rPh>
    <rPh sb="3" eb="5">
      <t>トリヒキ</t>
    </rPh>
    <rPh sb="5" eb="7">
      <t>ブンルイ</t>
    </rPh>
    <phoneticPr fontId="2"/>
  </si>
  <si>
    <t>条件(見積No)</t>
    <rPh sb="0" eb="2">
      <t>ジョウケン</t>
    </rPh>
    <rPh sb="3" eb="5">
      <t>ミツモリ</t>
    </rPh>
    <phoneticPr fontId="2"/>
  </si>
  <si>
    <t>条件(請求先）</t>
    <rPh sb="0" eb="2">
      <t>ジョウケン</t>
    </rPh>
    <rPh sb="3" eb="5">
      <t>セイキュウ</t>
    </rPh>
    <rPh sb="5" eb="6">
      <t>サキ</t>
    </rPh>
    <phoneticPr fontId="2"/>
  </si>
  <si>
    <t>条件(見積日)</t>
    <rPh sb="0" eb="2">
      <t>ジョウケン</t>
    </rPh>
    <rPh sb="3" eb="5">
      <t>ミツモリ</t>
    </rPh>
    <rPh sb="5" eb="6">
      <t>ビ</t>
    </rPh>
    <phoneticPr fontId="2"/>
  </si>
  <si>
    <t>条件(入力者)</t>
    <rPh sb="0" eb="2">
      <t>ジョウケン</t>
    </rPh>
    <rPh sb="3" eb="5">
      <t>ニュウリョク</t>
    </rPh>
    <rPh sb="5" eb="6">
      <t>シャ</t>
    </rPh>
    <phoneticPr fontId="2"/>
  </si>
  <si>
    <t>条件(営業担当者)</t>
    <rPh sb="0" eb="2">
      <t>ジョウケン</t>
    </rPh>
    <rPh sb="3" eb="5">
      <t>エイギョウ</t>
    </rPh>
    <rPh sb="5" eb="8">
      <t>タントウシャ</t>
    </rPh>
    <phoneticPr fontId="2"/>
  </si>
  <si>
    <t>条件(商品)</t>
    <rPh sb="0" eb="2">
      <t>ジョウケン</t>
    </rPh>
    <rPh sb="3" eb="5">
      <t>ショウヒン</t>
    </rPh>
    <phoneticPr fontId="2"/>
  </si>
  <si>
    <t>条件(種別)</t>
    <rPh sb="0" eb="2">
      <t>ジョウケン</t>
    </rPh>
    <rPh sb="3" eb="5">
      <t>シュベツ</t>
    </rPh>
    <phoneticPr fontId="2"/>
  </si>
  <si>
    <t>　├　参考</t>
    <rPh sb="3" eb="5">
      <t>サンコウ</t>
    </rPh>
    <phoneticPr fontId="2"/>
  </si>
  <si>
    <t>　├　白地</t>
    <rPh sb="3" eb="5">
      <t>シロジ</t>
    </rPh>
    <phoneticPr fontId="2"/>
  </si>
  <si>
    <t>　├　仕掛</t>
    <rPh sb="3" eb="5">
      <t>シカ</t>
    </rPh>
    <phoneticPr fontId="2"/>
  </si>
  <si>
    <t>　├　見込</t>
    <rPh sb="3" eb="5">
      <t>ミコ</t>
    </rPh>
    <phoneticPr fontId="2"/>
  </si>
  <si>
    <t>　└　受注</t>
    <rPh sb="3" eb="5">
      <t>ジュチュウ</t>
    </rPh>
    <phoneticPr fontId="2"/>
  </si>
  <si>
    <t>条件(フリーワード）</t>
    <rPh sb="0" eb="2">
      <t>ジョウケン</t>
    </rPh>
    <phoneticPr fontId="2"/>
  </si>
  <si>
    <t>見積リスト
行数カウントSQL</t>
    <rPh sb="0" eb="2">
      <t>ミツモリ</t>
    </rPh>
    <rPh sb="6" eb="8">
      <t>ギョウスウ</t>
    </rPh>
    <phoneticPr fontId="2"/>
  </si>
  <si>
    <t>見積リスト
読込みSQL</t>
    <rPh sb="0" eb="2">
      <t>ミツモリ</t>
    </rPh>
    <rPh sb="6" eb="8">
      <t>ヨミコ</t>
    </rPh>
    <phoneticPr fontId="2"/>
  </si>
  <si>
    <t>初期ORDER句
取得用SQL</t>
    <rPh sb="0" eb="2">
      <t>ショキ</t>
    </rPh>
    <rPh sb="7" eb="8">
      <t>ク</t>
    </rPh>
    <rPh sb="9" eb="11">
      <t>シュトク</t>
    </rPh>
    <rPh sb="11" eb="12">
      <t>ヨウ</t>
    </rPh>
    <phoneticPr fontId="2"/>
  </si>
  <si>
    <t xml:space="preserve">SELECT *
  FROM V_MITSUMORI_LIST
  WHERE 1=1
</t>
    <phoneticPr fontId="2"/>
  </si>
  <si>
    <t xml:space="preserve">SELECT COUNT(*) AS CNT
  FROM V_MITSUMORI_LIST
  WHERE 1=1
</t>
    <phoneticPr fontId="2"/>
  </si>
  <si>
    <t xml:space="preserve"> ├ フリーワード1</t>
    <phoneticPr fontId="2"/>
  </si>
  <si>
    <t xml:space="preserve"> ├ フリーワード2</t>
  </si>
  <si>
    <t xml:space="preserve"> └ フリーワード3</t>
    <phoneticPr fontId="2"/>
  </si>
  <si>
    <t>UNMT0010_SQL_FREEWORD1</t>
    <phoneticPr fontId="2"/>
  </si>
  <si>
    <t>UNMT0010_SQL_FREEWORD2</t>
  </si>
  <si>
    <t>UNMT0010_SQL_FREEWORD3</t>
  </si>
  <si>
    <t>条件：</t>
    <rPh sb="0" eb="2">
      <t>ジョウケン</t>
    </rPh>
    <phoneticPr fontId="2"/>
  </si>
  <si>
    <t>STATUS_KBN</t>
    <phoneticPr fontId="2"/>
  </si>
  <si>
    <t>取引分類KBN</t>
    <rPh sb="0" eb="2">
      <t>トリヒキ</t>
    </rPh>
    <rPh sb="2" eb="4">
      <t>ブンルイ</t>
    </rPh>
    <phoneticPr fontId="2"/>
  </si>
  <si>
    <t>営業担当者CD</t>
    <rPh sb="0" eb="2">
      <t>エイギョウ</t>
    </rPh>
    <rPh sb="2" eb="5">
      <t>タントウシャ</t>
    </rPh>
    <phoneticPr fontId="2"/>
  </si>
  <si>
    <t>入力者CD</t>
    <rPh sb="0" eb="2">
      <t>ニュウリョク</t>
    </rPh>
    <rPh sb="2" eb="3">
      <t>シャ</t>
    </rPh>
    <phoneticPr fontId="2"/>
  </si>
  <si>
    <t>種別KBN</t>
    <rPh sb="0" eb="2">
      <t>シュベツ</t>
    </rPh>
    <phoneticPr fontId="2"/>
  </si>
  <si>
    <t>見積日</t>
    <rPh sb="0" eb="2">
      <t>ミツモリ</t>
    </rPh>
    <rPh sb="2" eb="3">
      <t>ビ</t>
    </rPh>
    <phoneticPr fontId="2"/>
  </si>
  <si>
    <t>UNMT0010_H_EIGYO_TANTO_CD</t>
    <phoneticPr fontId="2"/>
  </si>
  <si>
    <t>種別KBN</t>
    <rPh sb="0" eb="2">
      <t>シュベツ</t>
    </rPh>
    <phoneticPr fontId="2"/>
  </si>
  <si>
    <t>LIST_SYUBETSU_SEARCH_AREA</t>
    <phoneticPr fontId="2"/>
  </si>
  <si>
    <t>■検索範囲制御</t>
    <rPh sb="1" eb="3">
      <t>ケンサク</t>
    </rPh>
    <rPh sb="3" eb="5">
      <t>ハンイ</t>
    </rPh>
    <rPh sb="5" eb="7">
      <t>セイギョ</t>
    </rPh>
    <phoneticPr fontId="2"/>
  </si>
  <si>
    <t>見積Noスタート</t>
    <rPh sb="0" eb="2">
      <t>ミツモリ</t>
    </rPh>
    <phoneticPr fontId="2"/>
  </si>
  <si>
    <t>見積Noエンド</t>
    <rPh sb="0" eb="2">
      <t>ミツモリ</t>
    </rPh>
    <phoneticPr fontId="2"/>
  </si>
  <si>
    <t>UNMT0010_H_MITSUMORI_NO_MIN</t>
    <phoneticPr fontId="2"/>
  </si>
  <si>
    <t>UNMT0010_H_MITSUMORI_NO_MAX</t>
    <phoneticPr fontId="2"/>
  </si>
  <si>
    <t>UNMT0010_H_MITSUMORI_NO_START_NUM</t>
    <phoneticPr fontId="2"/>
  </si>
  <si>
    <t>UNMT0010_H_MITSUMORI_NO_END_NUM</t>
    <phoneticPr fontId="2"/>
  </si>
  <si>
    <t>見積No最小範囲</t>
    <rPh sb="0" eb="2">
      <t>ミツモリ</t>
    </rPh>
    <rPh sb="4" eb="6">
      <t>サイショウ</t>
    </rPh>
    <rPh sb="6" eb="8">
      <t>ハンイ</t>
    </rPh>
    <phoneticPr fontId="2"/>
  </si>
  <si>
    <t>見積No最大範囲</t>
    <rPh sb="0" eb="2">
      <t>ミツモリ</t>
    </rPh>
    <rPh sb="4" eb="6">
      <t>サイダイ</t>
    </rPh>
    <rPh sb="6" eb="8">
      <t>ハンイ</t>
    </rPh>
    <phoneticPr fontId="2"/>
  </si>
  <si>
    <t>UNMT0010_H_INIT_HEADER_FLG_COPY_SAKI</t>
    <phoneticPr fontId="2"/>
  </si>
  <si>
    <t>見積検索結果並べ替え
ORDER句取得用SQL</t>
    <rPh sb="0" eb="2">
      <t>ミツモリ</t>
    </rPh>
    <rPh sb="2" eb="4">
      <t>ケンサク</t>
    </rPh>
    <rPh sb="4" eb="6">
      <t>ケッカ</t>
    </rPh>
    <rPh sb="6" eb="7">
      <t>ナラ</t>
    </rPh>
    <rPh sb="8" eb="9">
      <t>カ</t>
    </rPh>
    <rPh sb="16" eb="17">
      <t>ク</t>
    </rPh>
    <rPh sb="17" eb="19">
      <t>シュトク</t>
    </rPh>
    <rPh sb="19" eb="20">
      <t>ヨウ</t>
    </rPh>
    <phoneticPr fontId="2"/>
  </si>
  <si>
    <t>UNMT0010_SQL_RESULT_SORT</t>
    <phoneticPr fontId="2"/>
  </si>
  <si>
    <t>削除済み</t>
    <rPh sb="0" eb="2">
      <t>サクジョ</t>
    </rPh>
    <rPh sb="2" eb="3">
      <t>ズ</t>
    </rPh>
    <phoneticPr fontId="2"/>
  </si>
  <si>
    <t>UNMT0040_IF_ACTIVE_SHEET</t>
    <phoneticPr fontId="2"/>
  </si>
  <si>
    <t>UNMT0040_IF_DATA_SEARCH_FLG</t>
    <phoneticPr fontId="2"/>
  </si>
  <si>
    <t>UNMT0040_IF_ACTIVE_ROW</t>
    <phoneticPr fontId="2"/>
  </si>
  <si>
    <t>UNMT0040_IF_ACTIVE_COLUMN</t>
    <phoneticPr fontId="2"/>
  </si>
  <si>
    <t>UNMT0040_IF_ACTIVE_CELL_NAME</t>
    <phoneticPr fontId="2"/>
  </si>
  <si>
    <t>【初期化用データ】</t>
    <rPh sb="1" eb="3">
      <t>ショキ</t>
    </rPh>
    <rPh sb="3" eb="4">
      <t>カ</t>
    </rPh>
    <rPh sb="4" eb="5">
      <t>ヨウ</t>
    </rPh>
    <phoneticPr fontId="2"/>
  </si>
  <si>
    <t>見積No控え</t>
    <rPh sb="0" eb="2">
      <t>ミツモリ</t>
    </rPh>
    <rPh sb="4" eb="5">
      <t>ヒカ</t>
    </rPh>
    <phoneticPr fontId="2"/>
  </si>
  <si>
    <t>UNMT0040_CTRL_HYOJI_GYO_SU</t>
    <phoneticPr fontId="2"/>
  </si>
  <si>
    <t>UNMT0040_KENSAKU_KENSU</t>
    <phoneticPr fontId="2"/>
  </si>
  <si>
    <t>UNMT0040_PAGE_NO</t>
    <phoneticPr fontId="2"/>
  </si>
  <si>
    <t>UNMT0040_ALL_PAGE_SU</t>
    <phoneticPr fontId="2"/>
  </si>
  <si>
    <t>UNMT0040_HYOJI_KENSU</t>
    <phoneticPr fontId="2"/>
  </si>
  <si>
    <t>UNMT0040_LIST_START</t>
    <phoneticPr fontId="2"/>
  </si>
  <si>
    <t>UNMT0040_COPY_SAKI</t>
    <phoneticPr fontId="2"/>
  </si>
  <si>
    <t>UNMT0040_LIST_CLEAR</t>
    <phoneticPr fontId="2"/>
  </si>
  <si>
    <t>UNMT0040_FORMAT_COPY_FLG</t>
    <phoneticPr fontId="2"/>
  </si>
  <si>
    <t>UNMT0040_EXIST_NEXT_PAGE</t>
    <phoneticPr fontId="2"/>
  </si>
  <si>
    <t>UNMT0040_EXIST_PREV_PAGE</t>
    <phoneticPr fontId="2"/>
  </si>
  <si>
    <t>UNMT0040_NEXT_PAGE_NO</t>
    <phoneticPr fontId="2"/>
  </si>
  <si>
    <t>UNMT0040_PREV_PAGE_NO</t>
    <phoneticPr fontId="2"/>
  </si>
  <si>
    <t>UNMT0040_SELECT_GYO_NO</t>
    <phoneticPr fontId="2"/>
  </si>
  <si>
    <t>UNMT0040_SELECT_MITUSMORI_NO</t>
    <phoneticPr fontId="2"/>
  </si>
  <si>
    <t>UNMT0040_HIDE_COLUMN</t>
    <phoneticPr fontId="2"/>
  </si>
  <si>
    <t>UNMT0010_IF_B_LIST_COPY_MOTO</t>
    <phoneticPr fontId="2"/>
  </si>
  <si>
    <t>UNMT0040_IF_LIST_COPY_MOTO</t>
  </si>
  <si>
    <t>UNMT0040_IF_LIST_DEFAULT</t>
    <phoneticPr fontId="2"/>
  </si>
  <si>
    <t>UNMT0040_IF_MITSU_NO</t>
    <phoneticPr fontId="2"/>
  </si>
  <si>
    <t>【遷移元画面】仮</t>
    <rPh sb="1" eb="3">
      <t>センイ</t>
    </rPh>
    <rPh sb="3" eb="4">
      <t>モト</t>
    </rPh>
    <rPh sb="4" eb="6">
      <t>ガメン</t>
    </rPh>
    <rPh sb="7" eb="8">
      <t>カリ</t>
    </rPh>
    <phoneticPr fontId="2"/>
  </si>
  <si>
    <t>見積訂正履歴一覧
読込みSQL</t>
    <rPh sb="0" eb="2">
      <t>ミツモリ</t>
    </rPh>
    <rPh sb="2" eb="4">
      <t>テイセイ</t>
    </rPh>
    <rPh sb="4" eb="6">
      <t>リレキ</t>
    </rPh>
    <rPh sb="6" eb="8">
      <t>イチラン</t>
    </rPh>
    <rPh sb="9" eb="11">
      <t>ヨミコ</t>
    </rPh>
    <phoneticPr fontId="2"/>
  </si>
  <si>
    <t>見積訂正履歴一覧
行数カウントSQL</t>
    <rPh sb="0" eb="2">
      <t>ミツモリ</t>
    </rPh>
    <rPh sb="2" eb="4">
      <t>テイセイ</t>
    </rPh>
    <rPh sb="4" eb="6">
      <t>リレキ</t>
    </rPh>
    <rPh sb="6" eb="8">
      <t>イチラン</t>
    </rPh>
    <rPh sb="9" eb="11">
      <t>ギョウスウ</t>
    </rPh>
    <phoneticPr fontId="2"/>
  </si>
  <si>
    <t>見積訂正履歴ヘッダ部分
読込みSQL</t>
    <rPh sb="0" eb="2">
      <t>ミツモリ</t>
    </rPh>
    <rPh sb="2" eb="4">
      <t>テイセイ</t>
    </rPh>
    <rPh sb="4" eb="6">
      <t>リレキ</t>
    </rPh>
    <rPh sb="9" eb="11">
      <t>ブブン</t>
    </rPh>
    <rPh sb="12" eb="14">
      <t>ヨミコ</t>
    </rPh>
    <phoneticPr fontId="2"/>
  </si>
  <si>
    <t>見積リスト読込みSQL
ベースコード</t>
    <rPh sb="0" eb="2">
      <t>ミツ</t>
    </rPh>
    <rPh sb="5" eb="7">
      <t>ヨミコ</t>
    </rPh>
    <phoneticPr fontId="2"/>
  </si>
  <si>
    <t>見積リスト
行数カウント
SQLベース</t>
    <rPh sb="0" eb="2">
      <t>ミツモリ</t>
    </rPh>
    <rPh sb="6" eb="8">
      <t>ギョウスウ</t>
    </rPh>
    <phoneticPr fontId="2"/>
  </si>
  <si>
    <t xml:space="preserve">SELECT * 
  FROM V_MITSU_R_LIST
  WHERE 1=1
</t>
    <phoneticPr fontId="2"/>
  </si>
  <si>
    <t xml:space="preserve">SELECT COUNT(*) AS CNT 
  FROM V_MITSU_R_LIST
  WHERE 1=1
</t>
    <phoneticPr fontId="2"/>
  </si>
  <si>
    <t>UNMT0040_SQL_SELECT_MITSU_R_LIST</t>
    <phoneticPr fontId="2"/>
  </si>
  <si>
    <t>UNMT0040_SQL_SELECT_MITSU_R_LIST_CNT</t>
    <phoneticPr fontId="2"/>
  </si>
  <si>
    <t>UNMT0040_SQL_SELECT_MITSU_R_H</t>
    <phoneticPr fontId="2"/>
  </si>
  <si>
    <t>前画面データ</t>
    <rPh sb="0" eb="1">
      <t>マエ</t>
    </rPh>
    <rPh sb="1" eb="3">
      <t>ガメン</t>
    </rPh>
    <phoneticPr fontId="2"/>
  </si>
  <si>
    <t>UNMT0040_IF_PREV_GAMEN</t>
    <phoneticPr fontId="2"/>
  </si>
  <si>
    <t>検索:1/入力:2</t>
    <rPh sb="0" eb="2">
      <t>ケンサク</t>
    </rPh>
    <rPh sb="5" eb="7">
      <t>ニュウリョク</t>
    </rPh>
    <phoneticPr fontId="2"/>
  </si>
  <si>
    <t>1:件数1以上 / 2:件数0</t>
    <rPh sb="2" eb="4">
      <t>ケンスウ</t>
    </rPh>
    <rPh sb="5" eb="7">
      <t>イジョウ</t>
    </rPh>
    <rPh sb="12" eb="14">
      <t>ケンスウ</t>
    </rPh>
    <phoneticPr fontId="2"/>
  </si>
  <si>
    <t>見積No</t>
    <rPh sb="0" eb="2">
      <t>ミツモリ</t>
    </rPh>
    <phoneticPr fontId="2"/>
  </si>
  <si>
    <t>履歴No</t>
    <rPh sb="0" eb="2">
      <t>リレキ</t>
    </rPh>
    <phoneticPr fontId="2"/>
  </si>
  <si>
    <t>履歴データ取得判定</t>
    <rPh sb="0" eb="2">
      <t>リレキ</t>
    </rPh>
    <rPh sb="5" eb="7">
      <t>シュトク</t>
    </rPh>
    <rPh sb="7" eb="9">
      <t>ハンテイ</t>
    </rPh>
    <phoneticPr fontId="2"/>
  </si>
  <si>
    <t>UNMT0020_IF_MITSU_RIREKI</t>
    <phoneticPr fontId="2"/>
  </si>
  <si>
    <t>1以外:見積</t>
    <rPh sb="1" eb="3">
      <t>イガイ</t>
    </rPh>
    <rPh sb="4" eb="6">
      <t>ミツモリ</t>
    </rPh>
    <phoneticPr fontId="2"/>
  </si>
  <si>
    <t>1:履歴</t>
    <rPh sb="2" eb="4">
      <t>リレキ</t>
    </rPh>
    <phoneticPr fontId="2"/>
  </si>
  <si>
    <t>見積詳細(履歴)ヘッダ読込SQL</t>
    <rPh sb="0" eb="2">
      <t>ミツ</t>
    </rPh>
    <rPh sb="2" eb="4">
      <t>ショウサイ</t>
    </rPh>
    <rPh sb="5" eb="7">
      <t>リレキ</t>
    </rPh>
    <rPh sb="11" eb="13">
      <t>ヨミコミ</t>
    </rPh>
    <phoneticPr fontId="2"/>
  </si>
  <si>
    <t>見積詳細(履歴)ボディ読込SQL</t>
    <rPh sb="0" eb="2">
      <t>ミツ</t>
    </rPh>
    <rPh sb="2" eb="4">
      <t>ショウサイ</t>
    </rPh>
    <rPh sb="5" eb="7">
      <t>リレキ</t>
    </rPh>
    <rPh sb="11" eb="13">
      <t>ヨミコミ</t>
    </rPh>
    <phoneticPr fontId="2"/>
  </si>
  <si>
    <t>UNMT0020_SQL_SELECT_MITSU_H_R</t>
    <phoneticPr fontId="2"/>
  </si>
  <si>
    <t>UNMT0020_SQL_SELECT_MITSU_B_R</t>
    <phoneticPr fontId="2"/>
  </si>
  <si>
    <t xml:space="preserve">SELECT *
  FROM V_MITSU_SHOSAI_H_R
</t>
    <phoneticPr fontId="2"/>
  </si>
  <si>
    <t xml:space="preserve">SELECT *
  FROM V_MITSU_SHOSAI_B_R
</t>
    <phoneticPr fontId="2"/>
  </si>
  <si>
    <t>フリーワード</t>
    <phoneticPr fontId="2"/>
  </si>
  <si>
    <t>UNMT0010_SQL_SANKO_STS</t>
    <phoneticPr fontId="2"/>
  </si>
  <si>
    <t>UNMT0010_SQL_SHIROJI_STS</t>
    <phoneticPr fontId="2"/>
  </si>
  <si>
    <t>UNMT0010_SQL_SHIKAKARI_STS</t>
    <phoneticPr fontId="2"/>
  </si>
  <si>
    <t>UNMT0010_SQL_MIKOMI_STS</t>
    <phoneticPr fontId="2"/>
  </si>
  <si>
    <t>UNMT0010_SQL_JUCHUSUMI_STS</t>
    <phoneticPr fontId="2"/>
  </si>
  <si>
    <t>UNMT0010_SQL_DEL_HYOJI_FLG</t>
    <phoneticPr fontId="2"/>
  </si>
  <si>
    <t>UNMT0010_SQL_FREEWD_KBN</t>
    <phoneticPr fontId="2"/>
  </si>
  <si>
    <t>UNMT0010_H_TORIHIKI_BUNRUI_CD</t>
    <phoneticPr fontId="2"/>
  </si>
  <si>
    <t>UNMT0010_SQL_SHOHIN_CD</t>
    <phoneticPr fontId="2"/>
  </si>
  <si>
    <t>UNMT0010_SQL_EIGYO_TANTO_CD</t>
    <phoneticPr fontId="2"/>
  </si>
  <si>
    <t>UNMT0010_SQL_NYURYOKUSHA_CD</t>
    <phoneticPr fontId="2"/>
  </si>
  <si>
    <t>UNMT0010_SQL_MITSUMORI_DATE_END</t>
    <phoneticPr fontId="2"/>
  </si>
  <si>
    <t>UNMT0010_SQL_MITSUMORI_DATE_START</t>
    <phoneticPr fontId="2"/>
  </si>
  <si>
    <t>UNMT0010_SQL_FREEWD_3</t>
    <phoneticPr fontId="2"/>
  </si>
  <si>
    <t>UNMT0010_SQL_FREEWD_2</t>
    <phoneticPr fontId="2"/>
  </si>
  <si>
    <t>UNMT0010_SQL_TORIHIKI_BUNRUI_CD</t>
    <phoneticPr fontId="2"/>
  </si>
  <si>
    <t>UNMT0010_SQL_MITSUMORI_START</t>
    <phoneticPr fontId="2"/>
  </si>
  <si>
    <t>UNMT0010_SQL_MITSUMORI_END</t>
    <phoneticPr fontId="2"/>
  </si>
  <si>
    <t>UNMT0010_SQL_SEIKYUSAKI_CD</t>
    <phoneticPr fontId="2"/>
  </si>
  <si>
    <t>UNMT0010_SQL_FREEWD_1</t>
    <phoneticPr fontId="2"/>
  </si>
  <si>
    <t>■検索条件</t>
    <rPh sb="1" eb="3">
      <t>ケンサク</t>
    </rPh>
    <rPh sb="3" eb="5">
      <t>ジョウケン</t>
    </rPh>
    <phoneticPr fontId="2"/>
  </si>
  <si>
    <t>UNMT0010_H_SHUBETSU_NUM</t>
    <phoneticPr fontId="2"/>
  </si>
  <si>
    <t/>
  </si>
  <si>
    <t>UNMT0010_SQL_SHUBETSU_NUM</t>
    <phoneticPr fontId="2"/>
  </si>
  <si>
    <t>UNMT0010_SQL_JOKEN_COPY_MOTO</t>
    <phoneticPr fontId="2"/>
  </si>
  <si>
    <t>UNMT0010_SQL_JOKEN_COPU_SAKI</t>
    <phoneticPr fontId="2"/>
  </si>
  <si>
    <t>履歴No</t>
    <rPh sb="0" eb="2">
      <t>リレキ</t>
    </rPh>
    <phoneticPr fontId="2"/>
  </si>
  <si>
    <t>対象履歴No.</t>
    <rPh sb="0" eb="2">
      <t>タイショウ</t>
    </rPh>
    <rPh sb="2" eb="4">
      <t>リレキ</t>
    </rPh>
    <phoneticPr fontId="2"/>
  </si>
  <si>
    <t>UNMT0020_IF_RIREKI_NO</t>
    <phoneticPr fontId="2"/>
  </si>
  <si>
    <t xml:space="preserve">SELECT *
  FROM V_MITSU_SHOSAI_H_R_SANSHO
</t>
    <phoneticPr fontId="2"/>
  </si>
  <si>
    <t>選択履歴No.</t>
    <rPh sb="0" eb="2">
      <t>センタク</t>
    </rPh>
    <rPh sb="2" eb="4">
      <t>リレキ</t>
    </rPh>
    <phoneticPr fontId="2"/>
  </si>
  <si>
    <t>UNMT0040_SELECT_RIREKI_NO</t>
    <phoneticPr fontId="2"/>
  </si>
  <si>
    <t>UNMT0040_SQL_SORT</t>
    <phoneticPr fontId="2"/>
  </si>
  <si>
    <t>UNMT0040_SQL_INIT_SORT</t>
    <phoneticPr fontId="2"/>
  </si>
  <si>
    <t>UNMT0040_SQL_RESULT_SORT</t>
    <phoneticPr fontId="2"/>
  </si>
  <si>
    <t>UNMT0010_IF_PRINT_LIST_START</t>
    <phoneticPr fontId="2"/>
  </si>
  <si>
    <t>UNMT0010_IF_PRINT_COPY_SAKI</t>
    <phoneticPr fontId="2"/>
  </si>
  <si>
    <t>見積リスト
Excel出力SQL</t>
    <rPh sb="0" eb="2">
      <t>ミツモリ</t>
    </rPh>
    <rPh sb="11" eb="13">
      <t>シュツリョク</t>
    </rPh>
    <phoneticPr fontId="2"/>
  </si>
  <si>
    <t>UNMT0010_SQL_PRINT_MITSUMORI_LIST</t>
    <phoneticPr fontId="2"/>
  </si>
  <si>
    <t>UNMT0010_IF_EXCEL_FILE_NAME</t>
    <phoneticPr fontId="2"/>
  </si>
  <si>
    <t>UNMT0010_IF_PRINT_KENSAKU_KENSU</t>
    <phoneticPr fontId="2"/>
  </si>
  <si>
    <t>---------</t>
    <phoneticPr fontId="2"/>
  </si>
  <si>
    <t>--------</t>
    <phoneticPr fontId="2"/>
  </si>
  <si>
    <t>会社角印</t>
    <rPh sb="0" eb="2">
      <t>カイシャ</t>
    </rPh>
    <rPh sb="2" eb="3">
      <t>カク</t>
    </rPh>
    <rPh sb="3" eb="4">
      <t>イン</t>
    </rPh>
    <phoneticPr fontId="2"/>
  </si>
  <si>
    <t>UNMT0020_IF_KAISHA_MARK</t>
    <phoneticPr fontId="2"/>
  </si>
  <si>
    <t>UNMT0020_IF_TANTO_MARK</t>
    <phoneticPr fontId="2"/>
  </si>
  <si>
    <t>担当者印</t>
    <rPh sb="0" eb="2">
      <t>タントウ</t>
    </rPh>
    <rPh sb="2" eb="3">
      <t>シャ</t>
    </rPh>
    <rPh sb="3" eb="4">
      <t>ジルシ</t>
    </rPh>
    <phoneticPr fontId="2"/>
  </si>
  <si>
    <t>代表者名タイトル</t>
    <rPh sb="0" eb="3">
      <t>ダイヒョウシャ</t>
    </rPh>
    <rPh sb="3" eb="4">
      <t>メイ</t>
    </rPh>
    <phoneticPr fontId="2"/>
  </si>
  <si>
    <t>UNMT0020_REPORT_DAIHYO_MEI_TITLE</t>
    <phoneticPr fontId="2"/>
  </si>
  <si>
    <t>【帳票】</t>
    <rPh sb="1" eb="3">
      <t>チョウヒョウ</t>
    </rPh>
    <phoneticPr fontId="2"/>
  </si>
  <si>
    <t>会社角印パス</t>
    <rPh sb="0" eb="2">
      <t>カイシャ</t>
    </rPh>
    <rPh sb="2" eb="3">
      <t>カク</t>
    </rPh>
    <rPh sb="3" eb="4">
      <t>イン</t>
    </rPh>
    <phoneticPr fontId="2"/>
  </si>
  <si>
    <t>担当者印パス</t>
    <rPh sb="0" eb="2">
      <t>タントウ</t>
    </rPh>
    <rPh sb="2" eb="3">
      <t>シャ</t>
    </rPh>
    <rPh sb="3" eb="4">
      <t>イン</t>
    </rPh>
    <phoneticPr fontId="2"/>
  </si>
  <si>
    <t>代表者名</t>
    <rPh sb="0" eb="2">
      <t>ダイヒョウ</t>
    </rPh>
    <rPh sb="2" eb="3">
      <t>シャ</t>
    </rPh>
    <rPh sb="3" eb="4">
      <t>メイ</t>
    </rPh>
    <phoneticPr fontId="2"/>
  </si>
  <si>
    <t>UNMT0020_IF_KAISHA_MARK_PATH</t>
    <phoneticPr fontId="2"/>
  </si>
  <si>
    <t>UNMT0020_IF_TANTO_MARK_PATH</t>
    <phoneticPr fontId="2"/>
  </si>
  <si>
    <t>UNMT0020_IF_DAIHYO_MEI</t>
    <phoneticPr fontId="2"/>
  </si>
  <si>
    <t>【帳票用定義】</t>
    <rPh sb="1" eb="3">
      <t>チョウヒョウ</t>
    </rPh>
    <rPh sb="3" eb="4">
      <t>ヨウ</t>
    </rPh>
    <rPh sb="4" eb="6">
      <t>テイギ</t>
    </rPh>
    <phoneticPr fontId="2"/>
  </si>
  <si>
    <t>会社角印パス取得</t>
    <rPh sb="0" eb="2">
      <t>カイシャ</t>
    </rPh>
    <rPh sb="2" eb="3">
      <t>カド</t>
    </rPh>
    <rPh sb="3" eb="4">
      <t>イン</t>
    </rPh>
    <rPh sb="6" eb="8">
      <t>シュトク</t>
    </rPh>
    <phoneticPr fontId="2"/>
  </si>
  <si>
    <t>担当者印パス取得</t>
    <rPh sb="0" eb="3">
      <t>タントウシャ</t>
    </rPh>
    <rPh sb="3" eb="4">
      <t>イン</t>
    </rPh>
    <rPh sb="6" eb="8">
      <t>シュトク</t>
    </rPh>
    <phoneticPr fontId="2"/>
  </si>
  <si>
    <t>代表社名取得</t>
    <rPh sb="0" eb="2">
      <t>ダイヒョウ</t>
    </rPh>
    <rPh sb="2" eb="4">
      <t>シャメイ</t>
    </rPh>
    <rPh sb="4" eb="6">
      <t>シュトク</t>
    </rPh>
    <phoneticPr fontId="2"/>
  </si>
  <si>
    <t>UNMT0020_SQL_SELECT_KAISHA_MARK_PATH</t>
    <phoneticPr fontId="2"/>
  </si>
  <si>
    <t>UNMT0020_SQL_SELECT_TANTO_MARK_PATH</t>
    <phoneticPr fontId="2"/>
  </si>
  <si>
    <t>UNMT0020_SQL_SELECT_DAIHYO_MEI</t>
    <phoneticPr fontId="2"/>
  </si>
  <si>
    <t>SELECT M_CONTROL.KAISHA_MARK_PATH
  FROM M_CONTROL
 WHERE M_CONTROL.CTRL_KEY = 1</t>
    <phoneticPr fontId="2"/>
  </si>
  <si>
    <t>SELECT M_CONTROL.DAIHYO_MEI
  FROM M_CONTROL
 WHERE M_CONTROL.CTRL_KEY = 1</t>
    <phoneticPr fontId="2"/>
  </si>
  <si>
    <t>会社角印パスDL判定</t>
    <rPh sb="0" eb="2">
      <t>カイシャ</t>
    </rPh>
    <rPh sb="2" eb="3">
      <t>カク</t>
    </rPh>
    <rPh sb="3" eb="4">
      <t>イン</t>
    </rPh>
    <rPh sb="8" eb="10">
      <t>ハンテイ</t>
    </rPh>
    <phoneticPr fontId="2"/>
  </si>
  <si>
    <t>担当者印パスDL判定</t>
    <rPh sb="0" eb="2">
      <t>タントウ</t>
    </rPh>
    <rPh sb="2" eb="3">
      <t>シャ</t>
    </rPh>
    <rPh sb="3" eb="4">
      <t>イン</t>
    </rPh>
    <rPh sb="8" eb="10">
      <t>ハンテイ</t>
    </rPh>
    <phoneticPr fontId="2"/>
  </si>
  <si>
    <t>UNMT0020_IF_KAISHA_MARK_PATH_CHECK</t>
    <phoneticPr fontId="2"/>
  </si>
  <si>
    <t>UNMT0020_IF_TANTO_MARK_PATH_CHECK</t>
    <phoneticPr fontId="2"/>
  </si>
  <si>
    <t>1:有効 / 2:無効</t>
    <rPh sb="2" eb="4">
      <t>ユウコウ</t>
    </rPh>
    <rPh sb="9" eb="11">
      <t>ムコウ</t>
    </rPh>
    <phoneticPr fontId="2"/>
  </si>
  <si>
    <t>SELECT M_MEISHO_B.DATA_2   AS ORDER句
   FROM M_MEISHO_B
 WHERE M_MEISHO_B.MEISHO_KBN = 'O202'
   AND M_MEISHO_B.MEISHO_CD='02'</t>
    <rPh sb="35" eb="36">
      <t>ク</t>
    </rPh>
    <phoneticPr fontId="2"/>
  </si>
  <si>
    <t>ORDER BY V_MITSU_R_LIST.UPDATE_DATE DESC</t>
    <phoneticPr fontId="2"/>
  </si>
  <si>
    <t>画面遷移確認メッセージ表示判定</t>
    <rPh sb="0" eb="2">
      <t>ガメン</t>
    </rPh>
    <rPh sb="2" eb="4">
      <t>センイ</t>
    </rPh>
    <rPh sb="4" eb="6">
      <t>カクニン</t>
    </rPh>
    <rPh sb="11" eb="13">
      <t>ヒョウジ</t>
    </rPh>
    <rPh sb="13" eb="15">
      <t>ハンテイ</t>
    </rPh>
    <phoneticPr fontId="2"/>
  </si>
  <si>
    <t>UNMT_COMMON_CHANGE_CHECK</t>
    <phoneticPr fontId="2"/>
  </si>
  <si>
    <t>UNMT_COMMON_ACTIVE_SHEET_NAME</t>
    <phoneticPr fontId="2"/>
  </si>
  <si>
    <t>表示中シート名</t>
    <rPh sb="0" eb="3">
      <t>ヒョウジチュウ</t>
    </rPh>
    <rPh sb="6" eb="7">
      <t>メイ</t>
    </rPh>
    <phoneticPr fontId="2"/>
  </si>
  <si>
    <t>かつ参照モード以外の場合、メッセージ表示</t>
    <rPh sb="2" eb="4">
      <t>サンショウ</t>
    </rPh>
    <rPh sb="7" eb="9">
      <t>イガイ</t>
    </rPh>
    <rPh sb="10" eb="12">
      <t>バアイ</t>
    </rPh>
    <rPh sb="18" eb="20">
      <t>ヒョウジ</t>
    </rPh>
    <phoneticPr fontId="2"/>
  </si>
  <si>
    <t>表示中シートがUNMT0020</t>
    <rPh sb="0" eb="3">
      <t>ヒョウジチュウ</t>
    </rPh>
    <phoneticPr fontId="2"/>
  </si>
  <si>
    <t>商品名</t>
    <rPh sb="0" eb="3">
      <t>ショウヒンメイ</t>
    </rPh>
    <phoneticPr fontId="2"/>
  </si>
  <si>
    <t>相手先商品名</t>
    <rPh sb="0" eb="3">
      <t>アイテサキ</t>
    </rPh>
    <rPh sb="3" eb="6">
      <t>ショウヒンメイ</t>
    </rPh>
    <phoneticPr fontId="2"/>
  </si>
  <si>
    <t>表示商品名</t>
    <rPh sb="0" eb="2">
      <t>ヒョウジ</t>
    </rPh>
    <rPh sb="2" eb="5">
      <t>ショウヒンメイ</t>
    </rPh>
    <phoneticPr fontId="2"/>
  </si>
  <si>
    <t>UNMT0020_B_SHOHIN_MEI_BUF</t>
    <phoneticPr fontId="2"/>
  </si>
  <si>
    <t>UNMT0020_B_AITE_SHOHIN_MEI_BUF</t>
    <phoneticPr fontId="2"/>
  </si>
  <si>
    <t>UNMT0020_B_HYOJI_SHOHIN_MEI</t>
    <phoneticPr fontId="2"/>
  </si>
  <si>
    <t>商品CD未入力</t>
    <rPh sb="0" eb="2">
      <t>ショウヒン</t>
    </rPh>
    <rPh sb="4" eb="7">
      <t>ミニュウリョク</t>
    </rPh>
    <phoneticPr fontId="2"/>
  </si>
  <si>
    <t>商品CD未入力表示フラグ</t>
    <rPh sb="0" eb="2">
      <t>ショウヒン</t>
    </rPh>
    <rPh sb="4" eb="7">
      <t>ミニュウリョク</t>
    </rPh>
    <rPh sb="7" eb="9">
      <t>ヒョウジ</t>
    </rPh>
    <phoneticPr fontId="2"/>
  </si>
  <si>
    <t>UNMT0010_H_NO_SHOHIN_CD_HYOJI_FLG</t>
    <phoneticPr fontId="2"/>
  </si>
  <si>
    <t>商品コード未入力</t>
    <rPh sb="0" eb="2">
      <t>ショウヒン</t>
    </rPh>
    <rPh sb="5" eb="8">
      <t>ミニュウリョク</t>
    </rPh>
    <phoneticPr fontId="2"/>
  </si>
  <si>
    <t>UNMT0010_SQL_NO_SHOHIN_CD_HYOJI_FLG</t>
    <phoneticPr fontId="2"/>
  </si>
  <si>
    <t>端数処理区分</t>
    <rPh sb="0" eb="2">
      <t>ハスウ</t>
    </rPh>
    <rPh sb="2" eb="4">
      <t>ショリ</t>
    </rPh>
    <rPh sb="4" eb="6">
      <t>クブン</t>
    </rPh>
    <phoneticPr fontId="2"/>
  </si>
  <si>
    <t>UNMT0020_H_SEIKYUSAKI_HASU</t>
    <phoneticPr fontId="2"/>
  </si>
  <si>
    <t>1:切捨/2:切上/3:四捨五入</t>
    <rPh sb="2" eb="4">
      <t>キリス</t>
    </rPh>
    <rPh sb="7" eb="9">
      <t>キリア</t>
    </rPh>
    <rPh sb="12" eb="16">
      <t>シシャゴニュウ</t>
    </rPh>
    <phoneticPr fontId="2"/>
  </si>
  <si>
    <t>←保護対象範囲（UNMT0020_H_PROTECT_AREA）</t>
    <rPh sb="1" eb="3">
      <t>ホゴ</t>
    </rPh>
    <rPh sb="3" eb="5">
      <t>タイショウ</t>
    </rPh>
    <rPh sb="5" eb="7">
      <t>ハンイ</t>
    </rPh>
    <phoneticPr fontId="2"/>
  </si>
  <si>
    <t>←フラグコピー先（UNMT0020_H_FLG_COPY_SAKI）</t>
    <rPh sb="7" eb="8">
      <t>サキ</t>
    </rPh>
    <phoneticPr fontId="2"/>
  </si>
  <si>
    <t>【フラグコピー元】</t>
    <rPh sb="7" eb="8">
      <t>モト</t>
    </rPh>
    <phoneticPr fontId="2"/>
  </si>
  <si>
    <t>UNMT0020_IF_COPY_H_FLG_COPY_MOTO</t>
    <phoneticPr fontId="2"/>
  </si>
  <si>
    <t>定価</t>
    <rPh sb="0" eb="2">
      <t>テイカ</t>
    </rPh>
    <phoneticPr fontId="2"/>
  </si>
  <si>
    <t>UNMT0020_B_TEIKA_TENKAI</t>
    <phoneticPr fontId="2"/>
  </si>
  <si>
    <t>値引</t>
    <rPh sb="0" eb="2">
      <t>ネビキ</t>
    </rPh>
    <phoneticPr fontId="2"/>
  </si>
  <si>
    <t>単価値引</t>
    <rPh sb="0" eb="2">
      <t>タンカ</t>
    </rPh>
    <rPh sb="2" eb="4">
      <t>ネビキ</t>
    </rPh>
    <phoneticPr fontId="2"/>
  </si>
  <si>
    <t>見積No取得用SQL</t>
    <rPh sb="0" eb="2">
      <t>ミツモリ</t>
    </rPh>
    <rPh sb="4" eb="6">
      <t>シュトク</t>
    </rPh>
    <rPh sb="6" eb="7">
      <t>ヨウ</t>
    </rPh>
    <phoneticPr fontId="2"/>
  </si>
  <si>
    <t>UNMT_COMMON_SQL_MITSU_NO_SEARCH</t>
    <phoneticPr fontId="2"/>
  </si>
  <si>
    <t>見積No.▽</t>
    <rPh sb="0" eb="2">
      <t>ミツモリ</t>
    </rPh>
    <phoneticPr fontId="2"/>
  </si>
  <si>
    <t>1:表示する / 2:表示しない</t>
    <rPh sb="2" eb="4">
      <t>ヒョウジ</t>
    </rPh>
    <rPh sb="11" eb="13">
      <t>ヒョウジ</t>
    </rPh>
    <phoneticPr fontId="2"/>
  </si>
  <si>
    <t>敬称▽</t>
    <rPh sb="0" eb="2">
      <t>ケイショウ</t>
    </rPh>
    <phoneticPr fontId="2"/>
  </si>
  <si>
    <t xml:space="preserve">SELECT MEISHO_CD
      ,DATA_1       AS 値引方法
  FROM M_MEISHO_B
 WHERE MEISHO_KBN = 'K028'
</t>
    <phoneticPr fontId="2"/>
  </si>
  <si>
    <t>nebiki_per</t>
    <phoneticPr fontId="2"/>
  </si>
  <si>
    <t>参考</t>
    <phoneticPr fontId="2"/>
  </si>
  <si>
    <t>白地</t>
    <phoneticPr fontId="2"/>
  </si>
  <si>
    <t>仕掛</t>
    <phoneticPr fontId="2"/>
  </si>
  <si>
    <t>見込</t>
    <phoneticPr fontId="2"/>
  </si>
  <si>
    <t xml:space="preserve">
 ORDER BY
       V_MITSU_SHOSAI_B_R.GYO_NO ASC
</t>
    <phoneticPr fontId="2"/>
  </si>
  <si>
    <t xml:space="preserve">
 ORDER BY
       V_MITSU_SHOSAI_B.GYO_NO ASC
</t>
    <phoneticPr fontId="2"/>
  </si>
  <si>
    <t>【ボタンエラー判定】</t>
    <rPh sb="7" eb="9">
      <t>ハンテイ</t>
    </rPh>
    <phoneticPr fontId="2"/>
  </si>
  <si>
    <t>UNMT0020_IF_BUTTON_15_ERROR</t>
    <phoneticPr fontId="2"/>
  </si>
  <si>
    <t xml:space="preserve">SELECT M_MEISHO_B.DATA_1        AS 並べ替え
      ,M_MEISHO_B.DATA_2        AS ORDER句
  FROM M_MEISHO_B
 WHERE M_MEISHO_B.MEISHO_KBN = 'O201'
 ORDER BY M_MEISHO_B.SORT_NO ASC
      ,CAST(M_MEISHO_B.MEISHO_CD AS INT) ASC
</t>
    <phoneticPr fontId="2"/>
  </si>
  <si>
    <t xml:space="preserve">SELECT M_MEISHO_B.DATA_1            AS 取引分類 
      ,M_MEISHO_B.MEISHO_CD         AS 取引分類CD
  FROM M_MEISHO_B
 WHERE M_MEISHO_B.MEISHO_KBN = 'K010'
 ORDER BY M_MEISHO_B.SORT_NO ASC
      ,CAST(M_MEISHO_B.MEISHO_CD AS INT) ASC
</t>
    <phoneticPr fontId="2"/>
  </si>
  <si>
    <t xml:space="preserve">SELECT M_MEISHO_B.DATA_1        AS 並べ替え
      ,M_MEISHO_B.DATA_2        AS ORDER句
  FROM M_MEISHO_B
 WHERE M_MEISHO_B.MEISHO_KBN = 'O202'
 ORDER BY M_MEISHO_B.SORT_NO ASC
      ,CAST(M_MEISHO_B.MEISHO_CD AS INT) ASC
</t>
    <phoneticPr fontId="2"/>
  </si>
  <si>
    <t>御中</t>
    <rPh sb="0" eb="2">
      <t>オンチュウ</t>
    </rPh>
    <phoneticPr fontId="2"/>
  </si>
  <si>
    <t>見込</t>
    <rPh sb="0" eb="2">
      <t>ミコ</t>
    </rPh>
    <phoneticPr fontId="2"/>
  </si>
  <si>
    <t>御中</t>
    <phoneticPr fontId="2"/>
  </si>
  <si>
    <t>見込</t>
    <phoneticPr fontId="2"/>
  </si>
  <si>
    <t>UNMT0020_IF_SHEET_YOHAKU_COPY_MOTO</t>
    <phoneticPr fontId="2"/>
  </si>
  <si>
    <t>余白書式コピー元</t>
    <rPh sb="0" eb="2">
      <t>ヨハク</t>
    </rPh>
    <rPh sb="2" eb="4">
      <t>ショシキ</t>
    </rPh>
    <rPh sb="7" eb="8">
      <t>モト</t>
    </rPh>
    <phoneticPr fontId="2"/>
  </si>
  <si>
    <t>白地</t>
  </si>
  <si>
    <t>UNMT0010_H_SHOHIN_MEI</t>
    <phoneticPr fontId="2"/>
  </si>
  <si>
    <t>UNMT0010_H_NYURYOKUSHA_CD</t>
    <phoneticPr fontId="2"/>
  </si>
  <si>
    <t>見積検索 入力者初期値</t>
    <rPh sb="0" eb="2">
      <t>ミツモリ</t>
    </rPh>
    <rPh sb="2" eb="4">
      <t>ケンサク</t>
    </rPh>
    <rPh sb="5" eb="7">
      <t>ニュウリョク</t>
    </rPh>
    <rPh sb="7" eb="8">
      <t>シャ</t>
    </rPh>
    <rPh sb="8" eb="10">
      <t>ショキ</t>
    </rPh>
    <rPh sb="10" eb="11">
      <t>チ</t>
    </rPh>
    <phoneticPr fontId="2"/>
  </si>
  <si>
    <t>UNMT0020_SQL_NYURYOKUSHA</t>
    <phoneticPr fontId="2"/>
  </si>
  <si>
    <t>商品コードない場合、無効(2)</t>
    <rPh sb="0" eb="2">
      <t>ショウヒン</t>
    </rPh>
    <rPh sb="7" eb="9">
      <t>バアイ</t>
    </rPh>
    <rPh sb="10" eb="12">
      <t>ムコウ</t>
    </rPh>
    <phoneticPr fontId="2"/>
  </si>
  <si>
    <t>商品名空白チェック</t>
    <rPh sb="3" eb="5">
      <t>クウハク</t>
    </rPh>
    <phoneticPr fontId="2"/>
  </si>
  <si>
    <t>商品コード範囲</t>
    <rPh sb="5" eb="7">
      <t>ハンイ</t>
    </rPh>
    <phoneticPr fontId="2"/>
  </si>
  <si>
    <t>UNMT0020_B_SHOHIN_CD_AREA</t>
    <phoneticPr fontId="2"/>
  </si>
  <si>
    <t>【PDF保存】</t>
    <rPh sb="4" eb="6">
      <t>ホゾン</t>
    </rPh>
    <phoneticPr fontId="2"/>
  </si>
  <si>
    <t>見積リスト
Excel出力SQLベース</t>
    <phoneticPr fontId="2"/>
  </si>
  <si>
    <t>【Excel出力用】</t>
    <rPh sb="6" eb="8">
      <t>シュツリョク</t>
    </rPh>
    <rPh sb="8" eb="9">
      <t>ヨウ</t>
    </rPh>
    <phoneticPr fontId="2"/>
  </si>
  <si>
    <t>UNMT0010_IF_PRINT_COPY_MOTO</t>
    <phoneticPr fontId="2"/>
  </si>
  <si>
    <t>商品複数選択用SQL</t>
    <rPh sb="0" eb="2">
      <t>ショウヒン</t>
    </rPh>
    <rPh sb="2" eb="4">
      <t>フクスウ</t>
    </rPh>
    <rPh sb="4" eb="6">
      <t>センタク</t>
    </rPh>
    <rPh sb="6" eb="7">
      <t>ヨウ</t>
    </rPh>
    <phoneticPr fontId="2"/>
  </si>
  <si>
    <t>UNMT0020_SQL_MULTI_SELECT</t>
    <phoneticPr fontId="2"/>
  </si>
  <si>
    <t>【複数商品追加】</t>
    <rPh sb="1" eb="3">
      <t>フクスウ</t>
    </rPh>
    <rPh sb="3" eb="5">
      <t>ショウヒン</t>
    </rPh>
    <rPh sb="5" eb="7">
      <t>ツイカ</t>
    </rPh>
    <phoneticPr fontId="2"/>
  </si>
  <si>
    <t>複数商品選択件数</t>
    <rPh sb="0" eb="2">
      <t>フクスウ</t>
    </rPh>
    <rPh sb="2" eb="4">
      <t>ショウヒン</t>
    </rPh>
    <rPh sb="4" eb="6">
      <t>センタク</t>
    </rPh>
    <rPh sb="6" eb="8">
      <t>ケンスウ</t>
    </rPh>
    <phoneticPr fontId="2"/>
  </si>
  <si>
    <t>展開件数</t>
    <rPh sb="0" eb="2">
      <t>テンカイ</t>
    </rPh>
    <rPh sb="2" eb="4">
      <t>ケンスウ</t>
    </rPh>
    <phoneticPr fontId="2"/>
  </si>
  <si>
    <t>展開処理実行判定</t>
    <rPh sb="0" eb="2">
      <t>テンカイ</t>
    </rPh>
    <rPh sb="2" eb="4">
      <t>ショリ</t>
    </rPh>
    <rPh sb="4" eb="6">
      <t>ジッコウ</t>
    </rPh>
    <rPh sb="6" eb="8">
      <t>ハンテイ</t>
    </rPh>
    <phoneticPr fontId="2"/>
  </si>
  <si>
    <t>展開後件数</t>
    <rPh sb="0" eb="2">
      <t>テンカイ</t>
    </rPh>
    <rPh sb="2" eb="3">
      <t>ゴ</t>
    </rPh>
    <rPh sb="3" eb="5">
      <t>ケンスウ</t>
    </rPh>
    <phoneticPr fontId="2"/>
  </si>
  <si>
    <t>書式コピー先</t>
    <rPh sb="0" eb="2">
      <t>ショシキ</t>
    </rPh>
    <rPh sb="5" eb="6">
      <t>サキ</t>
    </rPh>
    <phoneticPr fontId="2"/>
  </si>
  <si>
    <t>行数式コピー先</t>
    <rPh sb="0" eb="2">
      <t>ギョウスウ</t>
    </rPh>
    <rPh sb="2" eb="3">
      <t>シキ</t>
    </rPh>
    <rPh sb="6" eb="7">
      <t>サキ</t>
    </rPh>
    <phoneticPr fontId="2"/>
  </si>
  <si>
    <t>金額数式コピー先</t>
    <rPh sb="0" eb="2">
      <t>キンガク</t>
    </rPh>
    <rPh sb="2" eb="4">
      <t>スウシキ</t>
    </rPh>
    <rPh sb="7" eb="8">
      <t>サキ</t>
    </rPh>
    <phoneticPr fontId="2"/>
  </si>
  <si>
    <t>原価・粗利数式コピー先</t>
    <rPh sb="0" eb="2">
      <t>ゲンカ</t>
    </rPh>
    <rPh sb="3" eb="5">
      <t>アラリ</t>
    </rPh>
    <rPh sb="5" eb="7">
      <t>スウシキ</t>
    </rPh>
    <rPh sb="10" eb="11">
      <t>サキ</t>
    </rPh>
    <phoneticPr fontId="2"/>
  </si>
  <si>
    <t>コピー元</t>
    <rPh sb="3" eb="4">
      <t>モト</t>
    </rPh>
    <phoneticPr fontId="2"/>
  </si>
  <si>
    <t>複数商品選択展開開始位置</t>
    <rPh sb="0" eb="2">
      <t>フクスウ</t>
    </rPh>
    <rPh sb="2" eb="4">
      <t>ショウヒン</t>
    </rPh>
    <rPh sb="4" eb="6">
      <t>センタク</t>
    </rPh>
    <rPh sb="6" eb="8">
      <t>テンカイ</t>
    </rPh>
    <rPh sb="8" eb="10">
      <t>カイシ</t>
    </rPh>
    <rPh sb="10" eb="12">
      <t>イチ</t>
    </rPh>
    <phoneticPr fontId="2"/>
  </si>
  <si>
    <t>UNMT0020_IF_MULTI_SELECT_TENKAI_START</t>
    <phoneticPr fontId="2"/>
  </si>
  <si>
    <t>UNMT0020_IF_MULTI_SELECT_KENSU</t>
  </si>
  <si>
    <t>UNMT0020_IF_MULTI_SELECT_GYO_SUSHIKI_COPY_SAKI</t>
  </si>
  <si>
    <t>UNMT0020_IF_MULTI_SELECT_KINGAKU_SUSHIKI_COPY_SAKI</t>
  </si>
  <si>
    <t>UNMT0020_IF_MULTI_SELECT_GENKA_SUSHIKI_COPY_SAKI</t>
  </si>
  <si>
    <t>UNMT0020_IF_MULTI_SELECT_COPY_MOTO</t>
  </si>
  <si>
    <t>UNMT0020_IF_MULTI_SELECT_LIST_KINGAKU</t>
    <phoneticPr fontId="2"/>
  </si>
  <si>
    <t>UNMT0020_IF_MULTI_SELECT_LIST_ARARI_AREA</t>
    <phoneticPr fontId="2"/>
  </si>
  <si>
    <t>UNMT0020_IF_MULTI_SELECT_SHOSHIKI_COPY_SAKI</t>
    <phoneticPr fontId="2"/>
  </si>
  <si>
    <t>UNMT0020_IF_MULTI_SELECT_LIST_GYO</t>
    <phoneticPr fontId="2"/>
  </si>
  <si>
    <t>複数商品選択フラグ</t>
    <rPh sb="0" eb="2">
      <t>フクスウ</t>
    </rPh>
    <rPh sb="2" eb="4">
      <t>ショウヒン</t>
    </rPh>
    <rPh sb="4" eb="6">
      <t>センタク</t>
    </rPh>
    <phoneticPr fontId="2"/>
  </si>
  <si>
    <t>ON:1</t>
  </si>
  <si>
    <t>OFF:2</t>
  </si>
  <si>
    <t>UNMT0020_IF_MULTI_SELECT_FLG</t>
    <phoneticPr fontId="2"/>
  </si>
  <si>
    <t>複数選択コピー先</t>
    <rPh sb="0" eb="2">
      <t>フクスウ</t>
    </rPh>
    <rPh sb="2" eb="4">
      <t>センタク</t>
    </rPh>
    <rPh sb="7" eb="8">
      <t>サキ</t>
    </rPh>
    <phoneticPr fontId="2"/>
  </si>
  <si>
    <t>UNMT0020_B_MULTI_SELECT_COPY_SAKI</t>
    <phoneticPr fontId="2"/>
  </si>
  <si>
    <t>UNMT0020_IF_MULTI_SELECT_GYO_INCREMENT</t>
    <phoneticPr fontId="2"/>
  </si>
  <si>
    <t>UNMT0020_IF_MULTI_SELECT_TENKAI_KENSU</t>
    <phoneticPr fontId="2"/>
  </si>
  <si>
    <t>UNMT0020_IF_MULTI_SELECT_CHECK</t>
    <phoneticPr fontId="2"/>
  </si>
  <si>
    <t>行番号</t>
  </si>
  <si>
    <t>展開商品名</t>
  </si>
  <si>
    <t>受注数量</t>
  </si>
  <si>
    <t>入数単位</t>
  </si>
  <si>
    <t>売価</t>
  </si>
  <si>
    <t>販売金額</t>
  </si>
  <si>
    <t>原価金額</t>
  </si>
  <si>
    <t>仕入先名</t>
  </si>
  <si>
    <t>相手先商品名</t>
  </si>
  <si>
    <t>毒</t>
  </si>
  <si>
    <t>試薬</t>
  </si>
  <si>
    <t>ステータス</t>
  </si>
  <si>
    <t>備考</t>
  </si>
  <si>
    <t>入数</t>
  </si>
  <si>
    <t>仕入入数</t>
  </si>
  <si>
    <t>原価数量</t>
  </si>
  <si>
    <t>仕入入数単位</t>
  </si>
  <si>
    <t>総数</t>
  </si>
  <si>
    <t>バラ単位</t>
  </si>
  <si>
    <t>メーカーCD</t>
  </si>
  <si>
    <t>メーカー名</t>
  </si>
  <si>
    <t>履歴の場合、無効(2)</t>
    <rPh sb="0" eb="2">
      <t>リレキ</t>
    </rPh>
    <rPh sb="3" eb="5">
      <t>バアイ</t>
    </rPh>
    <rPh sb="6" eb="8">
      <t>ムコウ</t>
    </rPh>
    <phoneticPr fontId="2"/>
  </si>
  <si>
    <t>UNMT0020_B_SHOHIN_CD_BLANK_CHECK</t>
    <phoneticPr fontId="2"/>
  </si>
  <si>
    <t>単価モード時、無効(2)</t>
    <rPh sb="0" eb="2">
      <t>タンカ</t>
    </rPh>
    <rPh sb="5" eb="6">
      <t>ジ</t>
    </rPh>
    <rPh sb="7" eb="9">
      <t>ムコウ</t>
    </rPh>
    <phoneticPr fontId="2"/>
  </si>
  <si>
    <t>1:通常 2:単価</t>
    <phoneticPr fontId="2"/>
  </si>
  <si>
    <t>PDF保存ファイル名</t>
    <rPh sb="3" eb="5">
      <t>ホゾン</t>
    </rPh>
    <rPh sb="9" eb="10">
      <t>メイ</t>
    </rPh>
    <phoneticPr fontId="2"/>
  </si>
  <si>
    <t>UNMT0020_IF_EXCEL_FILE_NAME</t>
    <phoneticPr fontId="2"/>
  </si>
  <si>
    <t>UNMT0020_IF_PDF_FILE_NAME</t>
    <phoneticPr fontId="2"/>
  </si>
  <si>
    <t>除外行</t>
    <rPh sb="0" eb="2">
      <t>ジョガイ</t>
    </rPh>
    <rPh sb="2" eb="3">
      <t>ギョウ</t>
    </rPh>
    <phoneticPr fontId="2"/>
  </si>
  <si>
    <t>必須情報</t>
    <rPh sb="0" eb="2">
      <t>ヒッス</t>
    </rPh>
    <rPh sb="2" eb="4">
      <t>ジョウホウ</t>
    </rPh>
    <phoneticPr fontId="2"/>
  </si>
  <si>
    <t>必須チェック設定</t>
    <rPh sb="0" eb="2">
      <t>ヒッス</t>
    </rPh>
    <rPh sb="6" eb="8">
      <t>セッテイ</t>
    </rPh>
    <phoneticPr fontId="2"/>
  </si>
  <si>
    <t>結果出力先シート名</t>
    <rPh sb="0" eb="2">
      <t>ケッカ</t>
    </rPh>
    <rPh sb="2" eb="5">
      <t>シュツリョクサキ</t>
    </rPh>
    <rPh sb="8" eb="9">
      <t>メイ</t>
    </rPh>
    <phoneticPr fontId="2"/>
  </si>
  <si>
    <t>結果出力先セル</t>
    <rPh sb="0" eb="2">
      <t>ケッカ</t>
    </rPh>
    <rPh sb="2" eb="5">
      <t>シュツリョクサキ</t>
    </rPh>
    <phoneticPr fontId="2"/>
  </si>
  <si>
    <t>項目名</t>
    <rPh sb="0" eb="3">
      <t>コウモクメイ</t>
    </rPh>
    <phoneticPr fontId="2"/>
  </si>
  <si>
    <t>情報</t>
    <rPh sb="0" eb="2">
      <t>ジョウホウ</t>
    </rPh>
    <phoneticPr fontId="2"/>
  </si>
  <si>
    <t>シート名</t>
    <rPh sb="3" eb="4">
      <t>メイ</t>
    </rPh>
    <phoneticPr fontId="2"/>
  </si>
  <si>
    <t>入力チェックセル名</t>
    <rPh sb="0" eb="2">
      <t>ニュウリョク</t>
    </rPh>
    <rPh sb="8" eb="9">
      <t>メイ</t>
    </rPh>
    <phoneticPr fontId="2"/>
  </si>
  <si>
    <t>入力チェックセル項目名</t>
    <rPh sb="0" eb="2">
      <t>ニュウリョク</t>
    </rPh>
    <rPh sb="8" eb="11">
      <t>コウモクメイ</t>
    </rPh>
    <phoneticPr fontId="2"/>
  </si>
  <si>
    <t>入力チェック・リスト</t>
    <rPh sb="0" eb="2">
      <t>ニュウリョク</t>
    </rPh>
    <phoneticPr fontId="2"/>
  </si>
  <si>
    <t>開始位置</t>
    <rPh sb="0" eb="2">
      <t>カイシ</t>
    </rPh>
    <rPh sb="2" eb="4">
      <t>イチ</t>
    </rPh>
    <phoneticPr fontId="2"/>
  </si>
  <si>
    <t>横幅（列数）</t>
    <rPh sb="0" eb="2">
      <t>ヨコハバ</t>
    </rPh>
    <rPh sb="3" eb="4">
      <t>レツ</t>
    </rPh>
    <rPh sb="4" eb="5">
      <t>スウ</t>
    </rPh>
    <phoneticPr fontId="2"/>
  </si>
  <si>
    <t>縦幅（行数）</t>
    <rPh sb="0" eb="2">
      <t>タテハバ</t>
    </rPh>
    <rPh sb="3" eb="5">
      <t>ギョウスウ</t>
    </rPh>
    <phoneticPr fontId="2"/>
  </si>
  <si>
    <t>項目名リスト</t>
    <rPh sb="0" eb="2">
      <t>コウモク</t>
    </rPh>
    <rPh sb="2" eb="3">
      <t>メイ</t>
    </rPh>
    <phoneticPr fontId="2"/>
  </si>
  <si>
    <t>除外セル(アドレス)</t>
    <rPh sb="0" eb="2">
      <t>ジョガイ</t>
    </rPh>
    <phoneticPr fontId="2"/>
  </si>
  <si>
    <t>除外列リスト(列数)</t>
    <rPh sb="0" eb="2">
      <t>ジョガイ</t>
    </rPh>
    <rPh sb="2" eb="3">
      <t>レツ</t>
    </rPh>
    <rPh sb="7" eb="8">
      <t>レツ</t>
    </rPh>
    <rPh sb="8" eb="9">
      <t>スウ</t>
    </rPh>
    <phoneticPr fontId="2"/>
  </si>
  <si>
    <t>除外行リスト(行数)</t>
    <rPh sb="0" eb="2">
      <t>ジョガイ</t>
    </rPh>
    <rPh sb="2" eb="3">
      <t>ギョウ</t>
    </rPh>
    <rPh sb="7" eb="9">
      <t>ギョウスウ</t>
    </rPh>
    <phoneticPr fontId="2"/>
  </si>
  <si>
    <t>※エラー結果をExcelシートに出力</t>
    <rPh sb="4" eb="6">
      <t>ケッカ</t>
    </rPh>
    <rPh sb="16" eb="18">
      <t>シュツリョク</t>
    </rPh>
    <phoneticPr fontId="2"/>
  </si>
  <si>
    <t>リスト：行番号、項目名</t>
    <rPh sb="8" eb="11">
      <t>コウモクメイ</t>
    </rPh>
    <phoneticPr fontId="2"/>
  </si>
  <si>
    <t>個別：行番号はゼロ、項目名</t>
    <rPh sb="0" eb="2">
      <t>コベツ</t>
    </rPh>
    <rPh sb="10" eb="13">
      <t>コウモクメイ</t>
    </rPh>
    <phoneticPr fontId="2"/>
  </si>
  <si>
    <t>開始位置が無い場合はリストチェックをしない</t>
    <rPh sb="0" eb="2">
      <t>カイシ</t>
    </rPh>
    <rPh sb="2" eb="4">
      <t>イチ</t>
    </rPh>
    <rPh sb="5" eb="6">
      <t>ナ</t>
    </rPh>
    <rPh sb="7" eb="9">
      <t>バアイ</t>
    </rPh>
    <phoneticPr fontId="2"/>
  </si>
  <si>
    <t>【必須チェック】</t>
    <rPh sb="1" eb="3">
      <t>ヒッス</t>
    </rPh>
    <phoneticPr fontId="2"/>
  </si>
  <si>
    <t>必須チェック結果出力先</t>
    <rPh sb="0" eb="2">
      <t>ヒッス</t>
    </rPh>
    <rPh sb="6" eb="8">
      <t>ケッカ</t>
    </rPh>
    <rPh sb="8" eb="10">
      <t>シュツリョク</t>
    </rPh>
    <rPh sb="10" eb="11">
      <t>サキ</t>
    </rPh>
    <phoneticPr fontId="2"/>
  </si>
  <si>
    <t>UNMT0020_IF</t>
  </si>
  <si>
    <t>UNMT0020_IF_INPUT_ERROR_MESSAGE</t>
    <phoneticPr fontId="2"/>
  </si>
  <si>
    <t>UNMT0020_IF_SAVE_CHECK_RESULT</t>
    <phoneticPr fontId="2"/>
  </si>
  <si>
    <t>UNMT0020_IF_SAVE_CHECK_ERROR_KOMOKU</t>
    <phoneticPr fontId="2"/>
  </si>
  <si>
    <t>エラーメッセージ</t>
    <phoneticPr fontId="2"/>
  </si>
  <si>
    <t>UNMT0020_H</t>
    <phoneticPr fontId="2"/>
  </si>
  <si>
    <t>必須チェック開始位置</t>
    <rPh sb="0" eb="2">
      <t>ヒッス</t>
    </rPh>
    <rPh sb="6" eb="8">
      <t>カイシ</t>
    </rPh>
    <rPh sb="8" eb="10">
      <t>イチ</t>
    </rPh>
    <phoneticPr fontId="2"/>
  </si>
  <si>
    <t>ステータス▼</t>
    <phoneticPr fontId="2"/>
  </si>
  <si>
    <t>UNMT0020_H_MITSUMORI_DATE,UNMT0020_H_STS,UNMT0020_H_NYURYOKUSHA_MEI,UNMT0020_H_TORIHIKIBUNRUI,UNMT0020_H_SEIKYUSAKI_MEI,UNMT0020_H_EIGYO_TANTO_MEI</t>
    <phoneticPr fontId="2"/>
  </si>
  <si>
    <t>見積日,ステータス,入力者名,取引分類,請求先名,営業担当者名</t>
    <phoneticPr fontId="2"/>
  </si>
  <si>
    <t>商品名,数量,単位,単価</t>
    <phoneticPr fontId="2"/>
  </si>
  <si>
    <t>SELECT M_MEISHO_B.DATA_2   AS ORDER句
   FROM M_MEISHO_B
 WHERE M_MEISHO_B.MEISHO_KBN = 'O201'
   AND M_MEISHO_B.MEISHO_CD='2'</t>
    <rPh sb="35" eb="36">
      <t>ク</t>
    </rPh>
    <phoneticPr fontId="2"/>
  </si>
  <si>
    <t>SELECT M_MEISHO_B.DATA_1
      ,M_MEISHO_B.MEISHO_CD
  FROM M_MEISHO_B
 WHERE M_MEISHO_B.MEISHO_KBN =  'S002'</t>
    <phoneticPr fontId="2"/>
  </si>
  <si>
    <t>-----------以下余白-----------</t>
    <phoneticPr fontId="2"/>
  </si>
  <si>
    <t>挿入後セル位置</t>
    <rPh sb="0" eb="2">
      <t>ソウニュウ</t>
    </rPh>
    <rPh sb="2" eb="3">
      <t>ゴ</t>
    </rPh>
    <rPh sb="5" eb="7">
      <t>イチ</t>
    </rPh>
    <phoneticPr fontId="2"/>
  </si>
  <si>
    <t>UNMT0020_B_LIST_INSERT_SELECT_CELL</t>
    <phoneticPr fontId="2"/>
  </si>
  <si>
    <t>諸経費</t>
    <rPh sb="0" eb="3">
      <t>ショケイヒ</t>
    </rPh>
    <phoneticPr fontId="2"/>
  </si>
  <si>
    <t xml:space="preserve">SELECT M_SHAIN.SHAIN_CD     AS 社員CD
      ,M_MEISHO_B.DATA_1    AS 所属部署
      ,M_SHAIN.SHIMEI       AS 氏名
  FROM M_SHAIN
  LEFT JOIN
       M_MEISHO_B
    ON M_MEISHO_B.MEISHO_KBN = 'M001'
   AND M_MEISHO_B.MEISHO_CD  = M_SHAIN.BUSHO_CD
 WHERE M_SHAIN.MISHIYO_FLG = 'False'
 ORDER BY
       CAST(M_SHAIN.SHAIN_CD AS INT) ASC
</t>
    <phoneticPr fontId="2"/>
  </si>
  <si>
    <t>SELECT M_AITESAKI.AITE_CD           AS 請求先CD
      ,M_AITESAKI.AITE_MEI          AS 請求先名
      ,R_SHAIN.SHIMEI               AS 営業担当者名
      ,M_AITESAKI.TEL               AS TEL
      ,M_AITESAKI.BUSHO_MEI         AS 相手先部署名
      ,M_AITESAKI.TANTO_MEI         AS 相手先担当者
      ,R_BUNRUI.DATA_1    AS 分類
      ,M_AITESAKI.SEIKYU_CHUKI      AS 注記   
  FROM M_AITESAKI
 LEFT JOIN M_SHAIN      AS R_SHAIN
   ON R_SHAIN.SHAIN_CD = M_AITESAKI.EIGYO_TANTO_CD
 LEFT JOIN M_MEISHO_B   AS R_BUNRUI
   ON R_BUNRUI.MEISHO_KBN = 'K001'
  AND M_AITESAKI.SEIKYU_BUNRUI = R_BUNRUI.MEISHO_CD
   WHERE M_AITESAKI.SEIKYU_FLG = 'True'
   AND M_AITESAKI.MISHIYO_FLG = 'False'
 ORDER BY AITE_CD ASC</t>
    <phoneticPr fontId="2"/>
  </si>
  <si>
    <t>SELECT M_AITESAKI.AITE_CD           AS 仕入先CD
      ,M_AITESAKI.AITE_MEI          AS 仕入先名
      ,M_AITESAKI.BUSHO_MEI         AS 相手先部署名
      ,M_AITESAKI.TANTO_MEI         AS 相手先担当名
      ,R_SHIHARAIHOHO.DATA_1        AS 支払方法
      ,M_AITESAKI.SHIIRE_CHUKI      AS 注記
  FROM M_AITESAKI    
  LEFT JOIN M_MEISHO_B      AS R_SHIHARAIHOHO
    ON R_SHIHARAIHOHO.MEISHO_KBN = 'K006'
   AND M_AITESAKI.SHIHARAIHOHO_KBN = R_SHIHARAIHOHO.MEISHO_CD 
 WHERE M_AITESAKI.SHIRE_FLG = 'True'
   AND M_AITESAKI.MISHIYO_FLG = 'False'
 ORDER BY AITE_CD ASC</t>
    <phoneticPr fontId="2"/>
  </si>
  <si>
    <t>SELECT M_SHOHIN.SHOHIN_CD               AS 商品CD
      ,M_SHOHIN.SHOHIN_MEI              AS 商品名
      ,M_SHOHIN.AITE_SHOHIN_MEI         AS 相手先商品名
      ,M_SHOHIN.IRISU                   AS 入数
      ,M_SHOHIN.IRISU_TANI              AS 入数単位
      ,M_SHOHIN.GENKA                   AS 原価
      ,M_SHOHIN.BAIKA                   AS 売価
      ,CASE M_SHOHIN.DOKU_FLG
       WHEN 'True' THEN '×'
       ELSE NULL
       END                              AS 毒             
      ,CASE M_SHOHIN.CHOSEI_SHIYAKU_FLG      
       WHEN 'True' THEN '×'
       ELSE NULL
       END                              AS 試薬
      ,R_STATUS.DATA_1                  AS ステータス
      ,M_SHOHIN.BIKO                    AS 備考
      ,M_SHOHIN.SHIIRE_CD               AS 仕入先CD
      ,R_SHIIRE_SAKI.AITE_MEI           AS 相手先名
  FROM M_SHOHIN
  LEFT JOIN M_AITESAKI        AS R_SHIIRE_SAKI
    ON M_SHOHIN.SHIIRE_CD = R_SHIIRE_SAKI.AITE_CD
  LEFT JOIN M_MEISHO_B          AS R_STATUS
    ON M_SHOHIN.SHOHIN_STS = R_STATUS.MEISHO_CD
   AND R_STATUS.MEISHO_KBN = 'S001'
 WHERE M_SHOHIN.MISHIYO_FLG = 'False'
 ORDER BY SHOHIN_CD ASC</t>
    <phoneticPr fontId="2"/>
  </si>
  <si>
    <t xml:space="preserve">SELECT T_MITSU_H.MITSU_NO        AS '見積No.'
      ,T_MITSU_H.MITSU_DATE      AS '見積日'
      ,STATUS.DATA_1             AS 'ステータス'
      ,NYURYOKU.SHIMEI           AS '入力者名'
      ,TORIHIKI_BUNRUI.DATA_1    AS '取引分類'
      ,T_MITSU_H.SEIKYU_MEI      AS '請求先名'
      ,EIGYO.SHIMEI              AS '営業担当者名'
      ,T_MITSU_H.KENMEI          AS '件名'
  FROM T_MITSU_H
  LEFT JOIN
       M_MEISHO_B   AS STATUS
    ON STATUS.MEISHO_KBN = 'S002'
   AND STATUS.MEISHO_CD  = T_MITSU_H.MITSU_STS
  LEFT JOIN
       M_MEISHO_B   AS TORIHIKI_BUNRUI
    ON TORIHIKI_BUNRUI.MEISHO_KBN = 'K010'
   AND TORIHIKI_BUNRUI.MEISHO_CD  = T_MITSU_H.TORIHIKI_BUNRUI
  LEFT JOIN
       M_SHAIN      AS EIGYO
    ON EIGYO.SHAIN_CD = T_MITSU_H.EIGYO_TANTO_CD
  LEFT JOIN
       M_SHAIN      AS NYURYOKU
    ON NYURYOKU.SHAIN_CD = T_MITSU_H.NYURYOKUSHA_CD
 ORDER BY T_MITSU_H.MITSU_NO ASC
</t>
    <phoneticPr fontId="2"/>
  </si>
  <si>
    <t>UNMT0010_H_HIDE_ROW</t>
    <phoneticPr fontId="2"/>
  </si>
  <si>
    <t>UNMT0040_HIDE_ROW</t>
    <phoneticPr fontId="2"/>
  </si>
  <si>
    <t>見積日▼</t>
  </si>
  <si>
    <t>取引分類▼</t>
  </si>
  <si>
    <t>入力者名▼</t>
  </si>
  <si>
    <t>営業担当者名▼</t>
  </si>
  <si>
    <t>見積入力（通常）</t>
  </si>
  <si>
    <t>【参照モード】</t>
  </si>
  <si>
    <t>ステータス▼</t>
  </si>
  <si>
    <t>西暦和暦表示：</t>
  </si>
  <si>
    <t>見積No.：</t>
  </si>
  <si>
    <t>参照元見積No.：</t>
  </si>
  <si>
    <t>請求先CD▼</t>
  </si>
  <si>
    <t>件名：</t>
  </si>
  <si>
    <t>請求先名：</t>
  </si>
  <si>
    <t>先方担当者名：</t>
  </si>
  <si>
    <t>敬称▽</t>
  </si>
  <si>
    <t>御中</t>
  </si>
  <si>
    <t>担当者印：</t>
  </si>
  <si>
    <t>受渡期日▽</t>
  </si>
  <si>
    <t>取引条件▽</t>
  </si>
  <si>
    <t>代表者名：</t>
  </si>
  <si>
    <t>受渡場所▽</t>
  </si>
  <si>
    <t>有効期限▽</t>
  </si>
  <si>
    <t>会社角印：</t>
  </si>
  <si>
    <t>承認印欄：</t>
  </si>
  <si>
    <t>税率％</t>
  </si>
  <si>
    <t>利益率％</t>
  </si>
  <si>
    <t>税込印刷：</t>
  </si>
  <si>
    <t>行</t>
  </si>
  <si>
    <t>小計範囲</t>
  </si>
  <si>
    <t>諸経費</t>
    <rPh sb="0" eb="3">
      <t>ショケイヒ</t>
    </rPh>
    <phoneticPr fontId="2"/>
  </si>
  <si>
    <t xml:space="preserve">SELECT M_AITESAKI.AITE_CD           AS 請求先CD
      ,M_AITESAKI.AITE_MEI          AS 請求先名
      ,M_AITESAKI.EIGYO_TANTO_CD    AS 営業担当者CD
      ,R_SHAIN.SHIMEI               AS 営業担当者名
      ,M_AITESAKI.ADDRESS_1+M_AITESAKI.ADDRESS_2
                                    AS 住所
      ,M_AITESAKI.TEL               AS TEL
      ,M_AITESAKI.BUSHO_MEI         AS 相手先部署名
      ,M_AITESAKI.TANTO_MEI         AS 相手先担当者
      ,R_BUNRUI.DATA_1              AS 分類
      ,M_AITESAKI.SEIKYU_CHUKI      AS 注記
      ,SEIKYU_HASU_KBN              AS 請求先端数処理区分
  FROM M_AITESAKI
  LEFT JOIN M_SHAIN      AS R_SHAIN
    ON R_SHAIN.SHAIN_CD = M_AITESAKI.EIGYO_TANTO_CD
  LEFT JOIN M_MEISHO_B   AS R_BUNRUI
    ON R_BUNRUI.MEISHO_KBN = 'K001'
   AND M_AITESAKI.SEIKYU_BUNRUI = R_BUNRUI.MEISHO_CD
 WHERE M_AITESAKI.SEIKYU_FLG = 'True'
   AND M_AITESAKI.MISHIYO_FLG = 'False'
 ORDER BY AITE_CD ASC
</t>
    <phoneticPr fontId="2"/>
  </si>
  <si>
    <t>種別</t>
  </si>
  <si>
    <t>見積ステータスCD</t>
  </si>
  <si>
    <t>見積ステータス名</t>
  </si>
  <si>
    <t>入力者名</t>
  </si>
  <si>
    <t>取引分類CD</t>
  </si>
  <si>
    <t>取引分類名</t>
  </si>
  <si>
    <t>営業担当者名</t>
  </si>
  <si>
    <t xml:space="preserve">SELECT V_MITSU_EXCEL.*
  FROM V_MITSUMORI_LIST
  LEFT JOIN
       V_MITSU_EXCEL
    ON V_MITSU_EXCEL.MITSU_NO = V_MITSUMORI_LIST.MITSU_NO
 WHERE 1=1
</t>
    <phoneticPr fontId="2"/>
  </si>
  <si>
    <t xml:space="preserve">SELECT
       T_MITSU_H.UKE_KIJITSU            AS 受渡期日
      ,COUNT(*)                         AS 使用数
      ,MAX(T_MITSU_H.MITSU_DATE)        AS 最終見積日
  FROM T_MITSU_H
 WHERE ISNULL(T_MITSU_H.UKE_KIJITSU,'') &lt;&gt;''
 GROUP BY T_MITSU_H.UKE_KIJITSU
 ORDER BY 使用数 DESC
</t>
  </si>
  <si>
    <t xml:space="preserve">SELECT
       T_MITSU_H.UKE_BASHO              AS 受渡場所
      ,COUNT(*)                         AS 使用数
      ,MAX(T_MITSU_H.MITSU_DATE)        AS 最終見積日
  FROM T_MITSU_H
 WHERE ISNULL(T_MITSU_H.UKE_BASHO,'') &lt;&gt;''
 GROUP BY T_MITSU_H.UKE_BASHO
 ORDER BY 使用数 DESC
</t>
  </si>
  <si>
    <t xml:space="preserve">SELECT
       T_MITSU_H.TORI_JOKEN             AS 取引条件
      ,COUNT(*)                         AS 使用数
      ,MAX(T_MITSU_H.MITSU_DATE)        AS 最終見積日
  FROM T_MITSU_H
 WHERE ISNULL(T_MITSU_H.TORI_JOKEN,'') &lt;&gt;''
 GROUP BY T_MITSU_H.TORI_JOKEN
 ORDER BY 使用数 DESC
</t>
  </si>
  <si>
    <t xml:space="preserve">SELECT
       T_MITSU_H.YUKO_KIGEN             AS 有効期限
      ,COUNT(*)                         AS 使用数
      ,MAX(T_MITSU_H.MITSU_DATE)        AS 最終見積日
  FROM T_MITSU_H
 WHERE ISNULL(T_MITSU_H.YUKO_KIGEN,'') &lt;&gt;''
 GROUP BY T_MITSU_H.YUKO_KIGEN
 ORDER BY 使用数 DESC
</t>
  </si>
  <si>
    <t>SELECT(参照作成)</t>
    <phoneticPr fontId="2"/>
  </si>
  <si>
    <t>条件(参照作成)</t>
    <rPh sb="0" eb="2">
      <t>ジョウケン</t>
    </rPh>
    <phoneticPr fontId="2"/>
  </si>
  <si>
    <t xml:space="preserve">SELECT *
  FROM V_MITSU_SHOSAI_B_SANSHO
</t>
    <phoneticPr fontId="2"/>
  </si>
  <si>
    <t xml:space="preserve">SELECT *
  FROM V_MITSU_SHOSAI_B_R_SANSHO
</t>
    <phoneticPr fontId="2"/>
  </si>
  <si>
    <t>ORDER(参照作成)</t>
    <phoneticPr fontId="2"/>
  </si>
  <si>
    <t xml:space="preserve">
 ORDER BY
       V_MITSU_SHOSAI_B_SANSHO.GYO_NO ASC
</t>
    <phoneticPr fontId="2"/>
  </si>
  <si>
    <t xml:space="preserve">
 ORDER BY
       V_MITSU_SHOSAI_B_R_SANSHO.GYO_NO ASC
</t>
    <phoneticPr fontId="2"/>
  </si>
  <si>
    <t xml:space="preserve">SELECT
       NULL                             AS 行番号
      ,1                                AS 行区分
      ,M_SHOHIN.SHOHIN_CD               AS 商品CD
      ,CASE M_SHOHIN.AITE_SHOHIN_MEI
       WHEN '' THEN
            M_SHOHIN.SHOHIN_MEI
       ELSE
            M_SHOHIN.AITE_SHOHIN_MEI
       END                              AS 展開商品名
      ,NULL                             AS 受注数量
      ,M_SHOHIN.IRISU_TANI              AS 入数単位
      ,M_SHOHIN.BAIKA                   AS 売価
      ,NULL                             AS 販売金額
      ,NULL                             AS 摘要
      ,M_SHOHIN.TEIKA                   AS 定価
      ,M_SHOHIN.GENKA                   AS 原価
      ,NULL                             AS 原価金額
      ,NULL                             AS 粗利率
      ,NULL                             AS 粗利益
      ,M_SHOHIN.SHIIRE_CD               AS 仕入先CD
      ,R_SHIIRE_SAKI.AITE_MEI           AS 仕入先名
      --表示用
      ,M_SHOHIN.SHOHIN_MEI              AS 商品名
      ,M_SHOHIN.AITE_SHOHIN_MEI         AS 相手先商品名
      ,CASE M_SHOHIN.DOKU_FLG
       WHEN 'True' THEN '×'
       ELSE NULL
       END                              AS 毒
      ,CASE M_SHOHIN.CHOSEI_SHIYAKU_FLG
       WHEN 'True' THEN '×'
       ELSE NULL
       END                              AS 試薬
      ,CASE M_SHOHIN.SHOKEIHI_FLG
       WHEN 'True' THEN '×'
       ELSE NULL
       END                              AS 諸経費
      ,R_STATUS.DATA_1                  AS ステータス
      ,M_SHOHIN.BIKO                    AS 備考
      ,M_SHOHIN.IRISU                   AS 入数
      ,M_SHOHIN.SHIIRE_IRISU            AS 仕入入数
      ,NULL                             AS 原価数量
      ,M_SHOHIN.SHIIRE_IRISU_TANI       AS 仕入入数単位
      ,NULL                             AS 総数
      ,M_SHOHIN.BARA_TANI               AS バラ単位
      ,M_SHOHIN.MAKER_CD                AS メーカーCD
      ,R_MAKER.AITE_MEI                 AS メーカー名
  FROM M_SHOHIN
  LEFT JOIN M_AITESAKI        AS R_SHIIRE_SAKI
    ON M_SHOHIN.SHIIRE_CD = R_SHIIRE_SAKI.AITE_CD
  LEFT JOIN M_AITESAKI        AS R_MAKER
    ON M_SHOHIN.MAKER_CD = R_MAKER.AITE_CD
  LEFT JOIN M_MEISHO_B          AS R_STATUS
    ON M_SHOHIN.SHOHIN_STS = R_STATUS.MEISHO_CD
   AND R_STATUS.MEISHO_KBN = 'S001'
 WHERE M_SHOHIN.SHOHIN_STS = '1'
   AND (
           M_SHOHIN.BUNSEKI_FLG = 'True'
        OR M_SHOHIN.SHOHIN_FLG  = 'True'
       )
</t>
    <phoneticPr fontId="2"/>
  </si>
  <si>
    <t>SELECT M_SHOHIN.SHOHIN_CD               AS 商品CD
      ,M_SHOHIN.SHOHIN_MEI              AS 商品名
      ,M_SHOHIN.AITE_SHOHIN_MEI         AS 相手先商品名
      ,M_SHOHIN.IRISU                   AS 入数
      ,M_SHOHIN.IRISU_TANI              AS 入数単位
      ,M_SHOHIN.GENKA                   AS 原価
      ,M_SHOHIN.BAIKA                   AS 売価
      ,CASE M_SHOHIN.DOKU_FLG
       WHEN 'True' THEN '×'
       ELSE NULL
       END                              AS 毒
      ,CASE M_SHOHIN.CHOSEI_SHIYAKU_FLG
       WHEN 'True' THEN '×'
       ELSE NULL
       END                              AS 試薬
      ,CASE M_SHOHIN.SHOKEIHI_FLG
       WHEN 'True' THEN '×'
       ELSE NULL
       END                              AS 諸経費
      ,R_STATUS.DATA_1                  AS ステータス
      ,M_SHOHIN.BIKO                    AS 備考
      ,M_SHOHIN.TEIKA                   AS 定価
      ,M_SHOHIN.SHIIRE_IRISU            AS 仕入入数
      ,M_SHOHIN.SHIIRE_IRISU_TANI       AS 仕入入数単位
      ,M_SHOHIN.BARA_TANI               AS バラ単位
      ,M_SHOHIN.SHIIRE_CD               AS 仕入先CD
      ,R_SHIIRE_SAKI.AITE_MEI           AS 仕入先名
      ,M_SHOHIN.MAKER_CD                AS メーカーCD
      ,R_MAKER.AITE_MEI                 AS メーカー名
      ,CASE M_SHOHIN.AITE_SHOHIN_MEI
       WHEN '' THEN
            M_SHOHIN.SHOHIN_MEI
       ELSE
            M_SHOHIN.AITE_SHOHIN_MEI
       END                              AS 展開商品名
  FROM M_SHOHIN
  LEFT JOIN M_AITESAKI        AS R_SHIIRE_SAKI
    ON M_SHOHIN.SHIIRE_CD = R_SHIIRE_SAKI.AITE_CD
  LEFT JOIN M_AITESAKI        AS R_MAKER
    ON M_SHOHIN.MAKER_CD  = R_MAKER.AITE_CD
  LEFT JOIN M_MEISHO_B          AS R_STATUS
    ON M_SHOHIN.SHOHIN_STS = R_STATUS.MEISHO_CD
   AND R_STATUS.MEISHO_KBN = 'S001'
 WHERE M_SHOHIN.SHOHIN_STS = '1'
   AND (
           M_SHOHIN.BUNSEKI_FLG = 'True'
        OR M_SHOHIN.SHOHIN_FLG  = 'True'
       )
  AND M_SHOHIN.MISHIYO_FLG = 'False'
 ORDER BY SHOHIN_CD ASC</t>
    <phoneticPr fontId="2"/>
  </si>
  <si>
    <t>見積日▽</t>
    <rPh sb="0" eb="2">
      <t>ミツモリ</t>
    </rPh>
    <rPh sb="2" eb="3">
      <t>ビ</t>
    </rPh>
    <phoneticPr fontId="2"/>
  </si>
  <si>
    <t>メモ：</t>
    <phoneticPr fontId="2"/>
  </si>
  <si>
    <t>メモ</t>
    <phoneticPr fontId="2"/>
  </si>
  <si>
    <t>メモ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</si>
</sst>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#,##0_ ;[Red]\-#,##0\ "/>
    <numFmt numFmtId="177" formatCode="0_ "/>
    <numFmt numFmtId="178" formatCode="yyyy/mm/dd"/>
    <numFmt numFmtId="179" formatCode="0.0%"/>
    <numFmt numFmtId="180" formatCode="yyyymmdd"/>
    <numFmt numFmtId="181" formatCode="0.000_ "/>
    <numFmt numFmtId="182" formatCode="ggge&quot;年&quot;m&quot;月&quot;d&quot;日&quot;"/>
    <numFmt numFmtId="183" formatCode="0_);[Red]\(0\)"/>
    <numFmt numFmtId="184" formatCode="yyyy/mm/dd\ hh:mm:ss;"/>
    <numFmt numFmtId="185" formatCode="#,##0.00_ "/>
    <numFmt numFmtId="186" formatCode="#,##0.00_ ;[Red]\-#,##0.00\ "/>
    <numFmt numFmtId="187" formatCode="#,##0.00_);[Red]\(#,##0.00\)"/>
    <numFmt numFmtId="188" formatCode="0.00_ "/>
    <numFmt numFmtId="189" formatCode="yyyy/mm/dd;@"/>
  </numFmts>
  <fonts count="59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8"/>
      <color theme="3" tint="-0.499984740745262"/>
      <name val="メイリオ"/>
      <family val="3"/>
      <charset val="128"/>
    </font>
    <font>
      <sz val="11"/>
      <color theme="3" tint="-0.499984740745262"/>
      <name val="メイリオ"/>
      <family val="3"/>
      <charset val="128"/>
    </font>
    <font>
      <sz val="10"/>
      <color theme="3" tint="-0.499984740745262"/>
      <name val="メイリオ"/>
      <family val="3"/>
      <charset val="128"/>
    </font>
    <font>
      <b/>
      <sz val="12"/>
      <color theme="0"/>
      <name val="メイリオ"/>
      <family val="3"/>
      <charset val="128"/>
    </font>
    <font>
      <sz val="10"/>
      <color theme="1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9"/>
      <color rgb="FF000000"/>
      <name val="Meiryo UI"/>
      <family val="3"/>
      <charset val="128"/>
    </font>
    <font>
      <b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0"/>
      <color theme="0" tint="-0.14999847407452621"/>
      <name val="メイリオ"/>
      <family val="3"/>
      <charset val="128"/>
    </font>
    <font>
      <sz val="20"/>
      <color theme="1"/>
      <name val="メイリオ"/>
      <family val="3"/>
      <charset val="128"/>
    </font>
    <font>
      <u/>
      <sz val="20"/>
      <color theme="1"/>
      <name val="メイリオ"/>
      <family val="3"/>
      <charset val="128"/>
    </font>
    <font>
      <u/>
      <sz val="16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b/>
      <sz val="10"/>
      <color theme="3" tint="-0.499984740745262"/>
      <name val="メイリオ"/>
      <family val="3"/>
      <charset val="128"/>
    </font>
    <font>
      <b/>
      <sz val="11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theme="3" tint="-0.499984740745262"/>
      <name val="ＭＳ Ｐゴシック"/>
      <family val="3"/>
      <charset val="128"/>
      <scheme val="minor"/>
    </font>
    <font>
      <b/>
      <sz val="8"/>
      <color theme="3" tint="-0.499984740745262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b/>
      <sz val="9"/>
      <color theme="3" tint="-0.499984740745262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3" tint="-0.499984740745262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2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"/>
      <color theme="0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u/>
      <sz val="20"/>
      <color theme="1"/>
      <name val="ＭＳ Ｐゴシック"/>
      <family val="3"/>
      <charset val="128"/>
    </font>
    <font>
      <u/>
      <sz val="16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u/>
      <sz val="18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  <scheme val="major"/>
    </font>
  </fonts>
  <fills count="5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/>
      <right style="dashDotDot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dotted">
        <color auto="1"/>
      </bottom>
      <diagonal/>
    </border>
    <border>
      <left/>
      <right style="dashDotDot">
        <color auto="1"/>
      </right>
      <top style="dashDot">
        <color auto="1"/>
      </top>
      <bottom style="dashDot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mediumDashDot">
        <color auto="1"/>
      </top>
      <bottom style="mediumDashDot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mediumDashDot">
        <color auto="1"/>
      </bottom>
      <diagonal/>
    </border>
    <border>
      <left/>
      <right/>
      <top style="mediumDashDot">
        <color auto="1"/>
      </top>
      <bottom style="thin">
        <color theme="0" tint="-0.24994659260841701"/>
      </bottom>
      <diagonal/>
    </border>
    <border>
      <left style="dotted">
        <color auto="1"/>
      </left>
      <right style="dotted">
        <color auto="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4">
    <xf numFmtId="0" fontId="0" fillId="0" borderId="0">
      <alignment vertical="center"/>
    </xf>
    <xf numFmtId="0" fontId="1" fillId="0" borderId="0"/>
    <xf numFmtId="0" fontId="18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60" applyNumberFormat="0" applyFill="0" applyAlignment="0" applyProtection="0">
      <alignment vertical="center"/>
    </xf>
    <xf numFmtId="0" fontId="35" fillId="0" borderId="61" applyNumberFormat="0" applyFill="0" applyAlignment="0" applyProtection="0">
      <alignment vertical="center"/>
    </xf>
    <xf numFmtId="0" fontId="36" fillId="0" borderId="62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9" fillId="20" borderId="0" applyNumberFormat="0" applyBorder="0" applyAlignment="0" applyProtection="0">
      <alignment vertical="center"/>
    </xf>
    <xf numFmtId="0" fontId="40" fillId="21" borderId="63" applyNumberFormat="0" applyAlignment="0" applyProtection="0">
      <alignment vertical="center"/>
    </xf>
    <xf numFmtId="0" fontId="41" fillId="22" borderId="64" applyNumberFormat="0" applyAlignment="0" applyProtection="0">
      <alignment vertical="center"/>
    </xf>
    <xf numFmtId="0" fontId="42" fillId="22" borderId="63" applyNumberFormat="0" applyAlignment="0" applyProtection="0">
      <alignment vertical="center"/>
    </xf>
    <xf numFmtId="0" fontId="43" fillId="0" borderId="65" applyNumberFormat="0" applyFill="0" applyAlignment="0" applyProtection="0">
      <alignment vertical="center"/>
    </xf>
    <xf numFmtId="0" fontId="44" fillId="23" borderId="6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2" fillId="24" borderId="6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0" fillId="0" borderId="68" applyNumberFormat="0" applyFill="0" applyAlignment="0" applyProtection="0">
      <alignment vertical="center"/>
    </xf>
    <xf numFmtId="0" fontId="47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47" fillId="28" borderId="0" applyNumberFormat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47" fillId="32" borderId="0" applyNumberFormat="0" applyBorder="0" applyAlignment="0" applyProtection="0">
      <alignment vertical="center"/>
    </xf>
    <xf numFmtId="0" fontId="47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32" fillId="46" borderId="0" applyNumberFormat="0" applyBorder="0" applyAlignment="0" applyProtection="0">
      <alignment vertical="center"/>
    </xf>
    <xf numFmtId="0" fontId="32" fillId="47" borderId="0" applyNumberFormat="0" applyBorder="0" applyAlignment="0" applyProtection="0">
      <alignment vertical="center"/>
    </xf>
    <xf numFmtId="0" fontId="47" fillId="48" borderId="0" applyNumberFormat="0" applyBorder="0" applyAlignment="0" applyProtection="0">
      <alignment vertical="center"/>
    </xf>
  </cellStyleXfs>
  <cellXfs count="612">
    <xf numFmtId="0" fontId="0" fillId="0" borderId="0" xfId="0">
      <alignment vertical="center"/>
    </xf>
    <xf numFmtId="0" fontId="4" fillId="0" borderId="0" xfId="0" applyFont="1" applyAlignment="1">
      <alignment vertical="center"/>
    </xf>
    <xf numFmtId="0" fontId="6" fillId="3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horizontal="right" vertical="center"/>
    </xf>
    <xf numFmtId="0" fontId="7" fillId="4" borderId="0" xfId="0" applyFont="1" applyFill="1" applyBorder="1" applyAlignment="1">
      <alignment horizontal="center" vertical="center"/>
    </xf>
    <xf numFmtId="0" fontId="4" fillId="0" borderId="0" xfId="1" applyFont="1" applyBorder="1" applyAlignment="1">
      <alignment horizontal="left" vertical="center"/>
    </xf>
    <xf numFmtId="14" fontId="4" fillId="0" borderId="0" xfId="1" applyNumberFormat="1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4" borderId="11" xfId="0" applyFont="1" applyFill="1" applyBorder="1" applyAlignment="1">
      <alignment vertical="center"/>
    </xf>
    <xf numFmtId="0" fontId="7" fillId="4" borderId="0" xfId="0" applyFont="1" applyFill="1" applyBorder="1" applyAlignment="1">
      <alignment horizontal="center" vertical="center" shrinkToFit="1"/>
    </xf>
    <xf numFmtId="0" fontId="7" fillId="4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vertical="center"/>
    </xf>
    <xf numFmtId="0" fontId="7" fillId="4" borderId="1" xfId="0" applyFont="1" applyFill="1" applyBorder="1" applyAlignment="1">
      <alignment vertical="center" shrinkToFit="1"/>
    </xf>
    <xf numFmtId="0" fontId="7" fillId="4" borderId="9" xfId="0" applyFont="1" applyFill="1" applyBorder="1" applyAlignment="1">
      <alignment vertical="center"/>
    </xf>
    <xf numFmtId="0" fontId="7" fillId="4" borderId="10" xfId="0" applyFont="1" applyFill="1" applyBorder="1" applyAlignment="1">
      <alignment vertical="center"/>
    </xf>
    <xf numFmtId="0" fontId="7" fillId="8" borderId="11" xfId="0" applyFont="1" applyFill="1" applyBorder="1" applyAlignment="1">
      <alignment vertical="center"/>
    </xf>
    <xf numFmtId="0" fontId="7" fillId="8" borderId="10" xfId="0" applyFont="1" applyFill="1" applyBorder="1" applyAlignment="1">
      <alignment vertical="center"/>
    </xf>
    <xf numFmtId="0" fontId="7" fillId="8" borderId="9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right" vertical="center"/>
    </xf>
    <xf numFmtId="0" fontId="7" fillId="4" borderId="1" xfId="0" applyFont="1" applyFill="1" applyBorder="1" applyAlignment="1">
      <alignment horizontal="center" vertical="center" shrinkToFit="1"/>
    </xf>
    <xf numFmtId="0" fontId="7" fillId="4" borderId="16" xfId="0" applyFont="1" applyFill="1" applyBorder="1" applyAlignment="1">
      <alignment vertical="center"/>
    </xf>
    <xf numFmtId="0" fontId="7" fillId="4" borderId="17" xfId="0" applyFont="1" applyFill="1" applyBorder="1" applyAlignment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10" borderId="0" xfId="0" applyFill="1">
      <alignment vertical="center"/>
    </xf>
    <xf numFmtId="0" fontId="9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 applyAlignment="1">
      <alignment vertical="center" shrinkToFit="1"/>
    </xf>
    <xf numFmtId="0" fontId="12" fillId="0" borderId="0" xfId="0" applyFont="1">
      <alignment vertical="center"/>
    </xf>
    <xf numFmtId="0" fontId="12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0" fillId="0" borderId="0" xfId="0" applyAlignment="1">
      <alignment vertical="center" wrapText="1" shrinkToFit="1"/>
    </xf>
    <xf numFmtId="0" fontId="0" fillId="0" borderId="0" xfId="0" applyFill="1" applyAlignment="1">
      <alignment vertical="center" shrinkToFit="1"/>
    </xf>
    <xf numFmtId="181" fontId="0" fillId="0" borderId="0" xfId="0" applyNumberFormat="1" applyAlignment="1">
      <alignment vertical="center" shrinkToFit="1"/>
    </xf>
    <xf numFmtId="0" fontId="0" fillId="10" borderId="0" xfId="0" applyNumberFormat="1" applyFill="1">
      <alignment vertical="center"/>
    </xf>
    <xf numFmtId="9" fontId="7" fillId="4" borderId="1" xfId="0" applyNumberFormat="1" applyFont="1" applyFill="1" applyBorder="1" applyAlignment="1">
      <alignment horizontal="center" vertical="center"/>
    </xf>
    <xf numFmtId="176" fontId="7" fillId="4" borderId="1" xfId="0" quotePrefix="1" applyNumberFormat="1" applyFont="1" applyFill="1" applyBorder="1" applyAlignment="1">
      <alignment horizontal="center" vertical="center"/>
    </xf>
    <xf numFmtId="179" fontId="7" fillId="4" borderId="1" xfId="0" applyNumberFormat="1" applyFont="1" applyFill="1" applyBorder="1" applyAlignment="1">
      <alignment horizontal="center" vertical="center"/>
    </xf>
    <xf numFmtId="0" fontId="0" fillId="10" borderId="0" xfId="0" applyFill="1" applyAlignment="1">
      <alignment vertical="center" shrinkToFit="1"/>
    </xf>
    <xf numFmtId="181" fontId="0" fillId="10" borderId="0" xfId="0" applyNumberFormat="1" applyFill="1" applyAlignment="1">
      <alignment vertical="center" shrinkToFit="1"/>
    </xf>
    <xf numFmtId="0" fontId="0" fillId="0" borderId="0" xfId="0" applyFill="1">
      <alignment vertical="center"/>
    </xf>
    <xf numFmtId="181" fontId="0" fillId="0" borderId="0" xfId="0" applyNumberFormat="1" applyFill="1" applyAlignment="1">
      <alignment vertical="center" shrinkToFit="1"/>
    </xf>
    <xf numFmtId="0" fontId="0" fillId="0" borderId="1" xfId="0" applyBorder="1">
      <alignment vertical="center"/>
    </xf>
    <xf numFmtId="0" fontId="0" fillId="10" borderId="1" xfId="0" applyFill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vertical="center" shrinkToFit="1"/>
      <protection locked="0"/>
    </xf>
    <xf numFmtId="0" fontId="0" fillId="0" borderId="0" xfId="0" quotePrefix="1">
      <alignment vertical="center"/>
    </xf>
    <xf numFmtId="178" fontId="7" fillId="9" borderId="1" xfId="0" applyNumberFormat="1" applyFont="1" applyFill="1" applyBorder="1" applyAlignment="1" applyProtection="1">
      <alignment horizontal="center" vertical="center" shrinkToFit="1"/>
      <protection locked="0"/>
    </xf>
    <xf numFmtId="0" fontId="7" fillId="9" borderId="1" xfId="0" applyFont="1" applyFill="1" applyBorder="1" applyAlignment="1" applyProtection="1">
      <alignment vertical="center" shrinkToFit="1"/>
      <protection locked="0"/>
    </xf>
    <xf numFmtId="0" fontId="7" fillId="0" borderId="1" xfId="0" applyFont="1" applyFill="1" applyBorder="1" applyAlignment="1" applyProtection="1">
      <alignment vertical="center"/>
      <protection locked="0"/>
    </xf>
    <xf numFmtId="0" fontId="7" fillId="9" borderId="12" xfId="0" applyFont="1" applyFill="1" applyBorder="1" applyAlignment="1" applyProtection="1">
      <alignment vertical="center" shrinkToFit="1"/>
      <protection locked="0"/>
    </xf>
    <xf numFmtId="0" fontId="7" fillId="0" borderId="1" xfId="0" applyFont="1" applyFill="1" applyBorder="1" applyAlignment="1" applyProtection="1">
      <alignment vertical="center"/>
    </xf>
    <xf numFmtId="178" fontId="7" fillId="4" borderId="1" xfId="0" applyNumberFormat="1" applyFont="1" applyFill="1" applyBorder="1" applyAlignment="1">
      <alignment horizontal="center" vertical="center" shrinkToFit="1"/>
    </xf>
    <xf numFmtId="0" fontId="7" fillId="4" borderId="1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vertical="center" shrinkToFit="1"/>
    </xf>
    <xf numFmtId="0" fontId="13" fillId="4" borderId="0" xfId="0" applyFont="1" applyFill="1" applyBorder="1" applyAlignment="1">
      <alignment horizontal="center" vertical="center"/>
    </xf>
    <xf numFmtId="9" fontId="13" fillId="4" borderId="0" xfId="0" applyNumberFormat="1" applyFont="1" applyFill="1" applyBorder="1" applyAlignment="1">
      <alignment horizontal="center" vertical="center"/>
    </xf>
    <xf numFmtId="179" fontId="13" fillId="4" borderId="0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shrinkToFit="1"/>
    </xf>
    <xf numFmtId="0" fontId="8" fillId="2" borderId="1" xfId="0" applyFont="1" applyFill="1" applyBorder="1" applyAlignment="1">
      <alignment horizontal="center" vertical="center" shrinkToFit="1"/>
    </xf>
    <xf numFmtId="0" fontId="7" fillId="4" borderId="1" xfId="0" applyFont="1" applyFill="1" applyBorder="1" applyAlignment="1" applyProtection="1">
      <alignment vertical="center"/>
    </xf>
    <xf numFmtId="0" fontId="7" fillId="4" borderId="1" xfId="0" applyFont="1" applyFill="1" applyBorder="1" applyAlignment="1" applyProtection="1">
      <alignment vertical="center" shrinkToFit="1"/>
    </xf>
    <xf numFmtId="0" fontId="12" fillId="10" borderId="0" xfId="0" applyFont="1" applyFill="1" applyAlignment="1">
      <alignment vertical="center" wrapText="1"/>
    </xf>
    <xf numFmtId="0" fontId="15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right" vertical="center"/>
    </xf>
    <xf numFmtId="0" fontId="7" fillId="4" borderId="5" xfId="0" applyFont="1" applyFill="1" applyBorder="1" applyAlignment="1">
      <alignment vertical="center"/>
    </xf>
    <xf numFmtId="0" fontId="7" fillId="10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181" fontId="7" fillId="10" borderId="0" xfId="0" applyNumberFormat="1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 shrinkToFit="1"/>
      <protection locked="0"/>
    </xf>
    <xf numFmtId="180" fontId="0" fillId="0" borderId="0" xfId="0" applyNumberFormat="1" applyFill="1" applyBorder="1" applyAlignment="1">
      <alignment vertical="center" shrinkToFit="1"/>
    </xf>
    <xf numFmtId="0" fontId="7" fillId="2" borderId="1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3" fillId="0" borderId="0" xfId="1" applyFont="1" applyBorder="1" applyAlignment="1">
      <alignment vertical="center" shrinkToFit="1"/>
    </xf>
    <xf numFmtId="0" fontId="3" fillId="0" borderId="0" xfId="1" applyFont="1" applyBorder="1" applyAlignment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4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4" borderId="7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7" fillId="0" borderId="0" xfId="0" applyFont="1" applyFill="1" applyBorder="1" applyAlignment="1" applyProtection="1">
      <alignment vertical="center" shrinkToFit="1"/>
    </xf>
    <xf numFmtId="0" fontId="8" fillId="0" borderId="0" xfId="0" applyFont="1" applyFill="1" applyBorder="1" applyAlignment="1" applyProtection="1">
      <alignment vertical="center" shrinkToFit="1"/>
    </xf>
    <xf numFmtId="0" fontId="19" fillId="0" borderId="0" xfId="1" applyFont="1" applyBorder="1" applyAlignment="1">
      <alignment vertical="center"/>
    </xf>
    <xf numFmtId="0" fontId="0" fillId="0" borderId="0" xfId="0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10" borderId="0" xfId="0" applyFill="1">
      <alignment vertical="center"/>
    </xf>
    <xf numFmtId="0" fontId="0" fillId="0" borderId="0" xfId="0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>
      <alignment vertical="center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vertical="center" shrinkToFit="1"/>
    </xf>
    <xf numFmtId="0" fontId="7" fillId="0" borderId="0" xfId="0" applyFont="1" applyFill="1" applyBorder="1" applyAlignment="1" applyProtection="1">
      <alignment vertical="center" shrinkToFit="1"/>
      <protection locked="0"/>
    </xf>
    <xf numFmtId="0" fontId="7" fillId="1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10" borderId="0" xfId="0" applyFont="1" applyFill="1" applyBorder="1" applyAlignment="1" applyProtection="1">
      <alignment vertical="center"/>
    </xf>
    <xf numFmtId="0" fontId="8" fillId="0" borderId="0" xfId="0" applyFont="1" applyFill="1" applyBorder="1" applyAlignment="1">
      <alignment vertical="center"/>
    </xf>
    <xf numFmtId="0" fontId="7" fillId="8" borderId="0" xfId="0" applyFont="1" applyFill="1" applyBorder="1" applyAlignment="1">
      <alignment vertical="center"/>
    </xf>
    <xf numFmtId="0" fontId="0" fillId="0" borderId="0" xfId="0">
      <alignment vertical="center"/>
    </xf>
    <xf numFmtId="0" fontId="7" fillId="4" borderId="0" xfId="0" applyFont="1" applyFill="1" applyBorder="1" applyAlignment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0" fontId="7" fillId="12" borderId="0" xfId="0" applyFont="1" applyFill="1" applyBorder="1" applyAlignment="1">
      <alignment horizontal="center" vertical="center"/>
    </xf>
    <xf numFmtId="0" fontId="7" fillId="12" borderId="0" xfId="0" applyFont="1" applyFill="1" applyBorder="1" applyAlignment="1">
      <alignment vertical="center"/>
    </xf>
    <xf numFmtId="0" fontId="7" fillId="10" borderId="0" xfId="0" applyFont="1" applyFill="1" applyBorder="1" applyAlignment="1" applyProtection="1">
      <alignment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vertical="center" shrinkToFit="1"/>
    </xf>
    <xf numFmtId="0" fontId="7" fillId="4" borderId="3" xfId="0" quotePrefix="1" applyFont="1" applyFill="1" applyBorder="1" applyAlignment="1">
      <alignment vertical="center" shrinkToFit="1"/>
    </xf>
    <xf numFmtId="0" fontId="7" fillId="4" borderId="3" xfId="0" applyFont="1" applyFill="1" applyBorder="1" applyAlignment="1">
      <alignment horizontal="right" vertical="center" shrinkToFit="1"/>
    </xf>
    <xf numFmtId="0" fontId="7" fillId="4" borderId="3" xfId="0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vertical="center" shrinkToFit="1"/>
    </xf>
    <xf numFmtId="0" fontId="12" fillId="0" borderId="34" xfId="0" applyFont="1" applyBorder="1" applyAlignment="1">
      <alignment vertical="center" shrinkToFit="1"/>
    </xf>
    <xf numFmtId="0" fontId="12" fillId="10" borderId="34" xfId="0" applyFont="1" applyFill="1" applyBorder="1" applyAlignment="1">
      <alignment vertical="center" wrapText="1"/>
    </xf>
    <xf numFmtId="0" fontId="0" fillId="0" borderId="34" xfId="0" applyBorder="1">
      <alignment vertical="center"/>
    </xf>
    <xf numFmtId="0" fontId="9" fillId="0" borderId="0" xfId="0" applyFont="1">
      <alignment vertical="center"/>
    </xf>
    <xf numFmtId="0" fontId="12" fillId="0" borderId="0" xfId="0" applyFont="1" applyAlignment="1">
      <alignment vertical="center" shrinkToFit="1"/>
    </xf>
    <xf numFmtId="0" fontId="12" fillId="10" borderId="0" xfId="0" applyFont="1" applyFill="1" applyAlignment="1">
      <alignment vertical="center" wrapText="1"/>
    </xf>
    <xf numFmtId="0" fontId="12" fillId="0" borderId="0" xfId="0" applyFont="1">
      <alignment vertical="center"/>
    </xf>
    <xf numFmtId="0" fontId="0" fillId="0" borderId="0" xfId="0" applyFont="1">
      <alignment vertical="center"/>
    </xf>
    <xf numFmtId="0" fontId="0" fillId="0" borderId="34" xfId="0" applyFont="1" applyBorder="1">
      <alignment vertical="center"/>
    </xf>
    <xf numFmtId="0" fontId="12" fillId="0" borderId="0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9" fillId="0" borderId="0" xfId="0" applyFont="1">
      <alignment vertical="center"/>
    </xf>
    <xf numFmtId="0" fontId="0" fillId="0" borderId="1" xfId="0" applyBorder="1">
      <alignment vertical="center"/>
    </xf>
    <xf numFmtId="0" fontId="0" fillId="10" borderId="1" xfId="0" applyFill="1" applyBorder="1" applyAlignment="1">
      <alignment horizontal="center" vertical="center"/>
    </xf>
    <xf numFmtId="0" fontId="7" fillId="10" borderId="35" xfId="0" applyFont="1" applyFill="1" applyBorder="1" applyAlignment="1" applyProtection="1">
      <alignment vertical="center"/>
      <protection locked="0"/>
    </xf>
    <xf numFmtId="0" fontId="7" fillId="10" borderId="36" xfId="0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vertical="center" shrinkToFit="1"/>
    </xf>
    <xf numFmtId="0" fontId="8" fillId="0" borderId="0" xfId="0" applyFont="1" applyFill="1" applyBorder="1" applyAlignment="1">
      <alignment vertical="center"/>
    </xf>
    <xf numFmtId="0" fontId="7" fillId="0" borderId="0" xfId="0" applyFont="1" applyFill="1" applyBorder="1" applyAlignment="1" applyProtection="1">
      <alignment vertical="center"/>
    </xf>
    <xf numFmtId="49" fontId="7" fillId="12" borderId="0" xfId="0" applyNumberFormat="1" applyFont="1" applyFill="1" applyBorder="1" applyAlignment="1">
      <alignment vertical="center"/>
    </xf>
    <xf numFmtId="49" fontId="7" fillId="4" borderId="0" xfId="0" applyNumberFormat="1" applyFont="1" applyFill="1" applyBorder="1" applyAlignment="1">
      <alignment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7" fillId="4" borderId="3" xfId="0" applyNumberFormat="1" applyFont="1" applyFill="1" applyBorder="1" applyAlignment="1">
      <alignment vertical="center" shrinkToFit="1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11" xfId="0" applyFont="1" applyFill="1" applyBorder="1" applyAlignment="1" applyProtection="1">
      <alignment horizontal="center" vertical="center"/>
    </xf>
    <xf numFmtId="49" fontId="7" fillId="2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0" borderId="0" xfId="0" applyFont="1" applyAlignment="1">
      <alignment vertical="center" wrapText="1" shrinkToFit="1"/>
    </xf>
    <xf numFmtId="0" fontId="0" fillId="7" borderId="34" xfId="0" applyFill="1" applyBorder="1">
      <alignment vertical="center"/>
    </xf>
    <xf numFmtId="0" fontId="0" fillId="0" borderId="0" xfId="0" applyAlignment="1">
      <alignment horizontal="left" vertical="top" wrapText="1"/>
    </xf>
    <xf numFmtId="0" fontId="7" fillId="0" borderId="0" xfId="0" applyFont="1" applyFill="1" applyBorder="1" applyAlignment="1">
      <alignment vertical="center"/>
    </xf>
    <xf numFmtId="0" fontId="7" fillId="4" borderId="1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9" fillId="0" borderId="34" xfId="0" applyFont="1" applyBorder="1" applyAlignment="1">
      <alignment vertical="center" wrapText="1" shrinkToFit="1"/>
    </xf>
    <xf numFmtId="0" fontId="0" fillId="0" borderId="34" xfId="0" applyBorder="1" applyAlignment="1">
      <alignment vertical="center" shrinkToFit="1"/>
    </xf>
    <xf numFmtId="0" fontId="20" fillId="0" borderId="34" xfId="0" applyFont="1" applyBorder="1" applyAlignment="1">
      <alignment vertical="center" wrapText="1" shrinkToFit="1"/>
    </xf>
    <xf numFmtId="0" fontId="20" fillId="0" borderId="34" xfId="0" applyFont="1" applyBorder="1" applyAlignment="1">
      <alignment vertical="center" shrinkToFit="1"/>
    </xf>
    <xf numFmtId="0" fontId="0" fillId="0" borderId="34" xfId="0" applyBorder="1" applyAlignment="1">
      <alignment horizontal="left" vertical="center"/>
    </xf>
    <xf numFmtId="0" fontId="9" fillId="0" borderId="34" xfId="0" applyFont="1" applyBorder="1" applyAlignment="1">
      <alignment horizontal="left" vertical="center"/>
    </xf>
    <xf numFmtId="0" fontId="0" fillId="0" borderId="34" xfId="0" applyBorder="1" applyAlignment="1">
      <alignment horizontal="right" vertical="center"/>
    </xf>
    <xf numFmtId="0" fontId="0" fillId="7" borderId="34" xfId="0" applyFill="1" applyBorder="1" applyAlignment="1">
      <alignment horizontal="center" vertical="center"/>
    </xf>
    <xf numFmtId="0" fontId="21" fillId="0" borderId="34" xfId="0" applyFont="1" applyFill="1" applyBorder="1" applyAlignment="1">
      <alignment horizontal="left" vertical="top"/>
    </xf>
    <xf numFmtId="0" fontId="21" fillId="7" borderId="34" xfId="0" applyFont="1" applyFill="1" applyBorder="1" applyAlignment="1">
      <alignment horizontal="left" vertical="top" wrapText="1"/>
    </xf>
    <xf numFmtId="0" fontId="11" fillId="0" borderId="34" xfId="0" applyFont="1" applyBorder="1" applyAlignment="1">
      <alignment vertical="center" shrinkToFit="1"/>
    </xf>
    <xf numFmtId="183" fontId="6" fillId="0" borderId="0" xfId="0" applyNumberFormat="1" applyFont="1" applyFill="1" applyBorder="1" applyAlignment="1">
      <alignment vertical="center"/>
    </xf>
    <xf numFmtId="183" fontId="7" fillId="0" borderId="0" xfId="0" applyNumberFormat="1" applyFont="1" applyFill="1" applyBorder="1" applyAlignment="1">
      <alignment vertical="center"/>
    </xf>
    <xf numFmtId="183" fontId="0" fillId="0" borderId="0" xfId="0" applyNumberFormat="1" applyAlignment="1">
      <alignment vertical="center" shrinkToFit="1"/>
    </xf>
    <xf numFmtId="183" fontId="7" fillId="10" borderId="0" xfId="0" applyNumberFormat="1" applyFont="1" applyFill="1" applyBorder="1" applyAlignment="1" applyProtection="1">
      <alignment vertical="center"/>
      <protection locked="0"/>
    </xf>
    <xf numFmtId="183" fontId="3" fillId="10" borderId="0" xfId="1" applyNumberFormat="1" applyFont="1" applyFill="1" applyBorder="1" applyAlignment="1" applyProtection="1">
      <alignment vertical="center"/>
      <protection locked="0"/>
    </xf>
    <xf numFmtId="183" fontId="3" fillId="10" borderId="0" xfId="1" applyNumberFormat="1" applyFont="1" applyFill="1" applyBorder="1" applyAlignment="1">
      <alignment vertical="center"/>
    </xf>
    <xf numFmtId="183" fontId="3" fillId="0" borderId="0" xfId="1" applyNumberFormat="1" applyFont="1" applyBorder="1" applyAlignment="1">
      <alignment vertical="center"/>
    </xf>
    <xf numFmtId="183" fontId="22" fillId="10" borderId="0" xfId="0" applyNumberFormat="1" applyFont="1" applyFill="1" applyBorder="1" applyAlignment="1">
      <alignment vertical="center"/>
    </xf>
    <xf numFmtId="183" fontId="23" fillId="10" borderId="0" xfId="1" applyNumberFormat="1" applyFont="1" applyFill="1" applyBorder="1" applyAlignment="1">
      <alignment vertical="center"/>
    </xf>
    <xf numFmtId="49" fontId="22" fillId="10" borderId="0" xfId="0" applyNumberFormat="1" applyFont="1" applyFill="1" applyBorder="1" applyAlignment="1">
      <alignment vertical="center"/>
    </xf>
    <xf numFmtId="178" fontId="7" fillId="0" borderId="0" xfId="0" applyNumberFormat="1" applyFont="1" applyFill="1" applyBorder="1" applyAlignment="1">
      <alignment vertical="center"/>
    </xf>
    <xf numFmtId="0" fontId="5" fillId="10" borderId="36" xfId="1" applyFont="1" applyFill="1" applyBorder="1" applyAlignment="1" applyProtection="1">
      <alignment vertical="center"/>
      <protection locked="0"/>
    </xf>
    <xf numFmtId="183" fontId="7" fillId="10" borderId="37" xfId="0" applyNumberFormat="1" applyFont="1" applyFill="1" applyBorder="1" applyAlignment="1" applyProtection="1">
      <alignment horizontal="center" vertical="center"/>
      <protection locked="0"/>
    </xf>
    <xf numFmtId="0" fontId="9" fillId="0" borderId="39" xfId="0" applyFont="1" applyBorder="1" applyAlignment="1">
      <alignment horizontal="left" vertical="center"/>
    </xf>
    <xf numFmtId="0" fontId="0" fillId="0" borderId="39" xfId="0" applyBorder="1" applyAlignment="1">
      <alignment vertical="center" shrinkToFit="1"/>
    </xf>
    <xf numFmtId="0" fontId="0" fillId="0" borderId="39" xfId="0" applyBorder="1" applyAlignment="1">
      <alignment horizontal="left" vertical="center"/>
    </xf>
    <xf numFmtId="0" fontId="0" fillId="7" borderId="39" xfId="0" applyFill="1" applyBorder="1" applyAlignment="1">
      <alignment horizontal="left" vertical="top" wrapText="1"/>
    </xf>
    <xf numFmtId="0" fontId="0" fillId="0" borderId="39" xfId="0" applyBorder="1">
      <alignment vertical="center"/>
    </xf>
    <xf numFmtId="0" fontId="9" fillId="0" borderId="40" xfId="0" applyFont="1" applyBorder="1" applyAlignment="1">
      <alignment horizontal="left" vertical="center"/>
    </xf>
    <xf numFmtId="0" fontId="0" fillId="0" borderId="40" xfId="0" applyBorder="1" applyAlignment="1">
      <alignment vertical="center" shrinkToFit="1"/>
    </xf>
    <xf numFmtId="0" fontId="0" fillId="0" borderId="40" xfId="0" applyBorder="1" applyAlignment="1">
      <alignment horizontal="left" vertical="center"/>
    </xf>
    <xf numFmtId="0" fontId="0" fillId="7" borderId="40" xfId="0" applyFill="1" applyBorder="1" applyAlignment="1">
      <alignment horizontal="left" vertical="top" wrapText="1"/>
    </xf>
    <xf numFmtId="0" fontId="0" fillId="0" borderId="40" xfId="0" applyBorder="1">
      <alignment vertical="center"/>
    </xf>
    <xf numFmtId="0" fontId="9" fillId="0" borderId="41" xfId="0" applyFont="1" applyBorder="1" applyAlignment="1">
      <alignment horizontal="left" vertical="center"/>
    </xf>
    <xf numFmtId="0" fontId="0" fillId="0" borderId="41" xfId="0" applyBorder="1" applyAlignment="1">
      <alignment vertical="center" shrinkToFit="1"/>
    </xf>
    <xf numFmtId="0" fontId="0" fillId="0" borderId="41" xfId="0" applyBorder="1" applyAlignment="1">
      <alignment horizontal="left" vertical="center"/>
    </xf>
    <xf numFmtId="0" fontId="0" fillId="7" borderId="41" xfId="0" applyFill="1" applyBorder="1" applyAlignment="1">
      <alignment horizontal="left" vertical="top" wrapText="1"/>
    </xf>
    <xf numFmtId="0" fontId="0" fillId="0" borderId="41" xfId="0" applyBorder="1">
      <alignment vertical="center"/>
    </xf>
    <xf numFmtId="0" fontId="7" fillId="4" borderId="0" xfId="0" applyFont="1" applyFill="1" applyBorder="1" applyAlignment="1">
      <alignment vertical="center" shrinkToFit="1"/>
    </xf>
    <xf numFmtId="0" fontId="7" fillId="4" borderId="0" xfId="0" quotePrefix="1" applyFont="1" applyFill="1" applyBorder="1" applyAlignment="1">
      <alignment vertical="center" shrinkToFit="1"/>
    </xf>
    <xf numFmtId="0" fontId="7" fillId="4" borderId="0" xfId="0" applyFont="1" applyFill="1" applyBorder="1" applyAlignment="1">
      <alignment horizontal="right" vertical="center" shrinkToFit="1"/>
    </xf>
    <xf numFmtId="0" fontId="24" fillId="0" borderId="0" xfId="1" applyFont="1" applyBorder="1" applyAlignment="1">
      <alignment vertical="center"/>
    </xf>
    <xf numFmtId="0" fontId="9" fillId="0" borderId="0" xfId="0" applyFont="1" applyAlignment="1">
      <alignment vertical="center" wrapText="1"/>
    </xf>
    <xf numFmtId="0" fontId="9" fillId="0" borderId="40" xfId="0" applyFont="1" applyBorder="1" applyAlignment="1">
      <alignment vertical="center" wrapText="1" shrinkToFit="1"/>
    </xf>
    <xf numFmtId="0" fontId="20" fillId="0" borderId="40" xfId="0" applyFont="1" applyBorder="1" applyAlignment="1">
      <alignment vertical="center" wrapText="1" shrinkToFit="1"/>
    </xf>
    <xf numFmtId="0" fontId="20" fillId="0" borderId="40" xfId="0" applyFont="1" applyBorder="1" applyAlignment="1">
      <alignment vertical="center" shrinkToFit="1"/>
    </xf>
    <xf numFmtId="0" fontId="11" fillId="0" borderId="40" xfId="0" applyFont="1" applyBorder="1" applyAlignment="1">
      <alignment vertical="center" shrinkToFit="1"/>
    </xf>
    <xf numFmtId="0" fontId="12" fillId="0" borderId="40" xfId="0" applyFont="1" applyBorder="1" applyAlignment="1">
      <alignment vertical="center" shrinkToFit="1"/>
    </xf>
    <xf numFmtId="0" fontId="11" fillId="0" borderId="40" xfId="0" applyFont="1" applyBorder="1" applyAlignment="1">
      <alignment vertical="center" wrapText="1" shrinkToFit="1"/>
    </xf>
    <xf numFmtId="0" fontId="9" fillId="0" borderId="40" xfId="0" applyFont="1" applyBorder="1" applyAlignment="1">
      <alignment vertical="center" wrapText="1"/>
    </xf>
    <xf numFmtId="49" fontId="7" fillId="4" borderId="13" xfId="0" applyNumberFormat="1" applyFont="1" applyFill="1" applyBorder="1" applyAlignment="1">
      <alignment horizontal="center" vertical="center" shrinkToFit="1"/>
    </xf>
    <xf numFmtId="49" fontId="7" fillId="4" borderId="13" xfId="0" applyNumberFormat="1" applyFont="1" applyFill="1" applyBorder="1" applyAlignment="1">
      <alignment vertical="center" shrinkToFit="1"/>
    </xf>
    <xf numFmtId="0" fontId="3" fillId="4" borderId="0" xfId="1" applyFont="1" applyFill="1" applyBorder="1" applyAlignment="1">
      <alignment vertical="center"/>
    </xf>
    <xf numFmtId="0" fontId="3" fillId="4" borderId="0" xfId="1" applyFont="1" applyFill="1" applyBorder="1" applyAlignment="1">
      <alignment vertical="center" shrinkToFit="1"/>
    </xf>
    <xf numFmtId="0" fontId="0" fillId="0" borderId="0" xfId="0" applyFont="1" applyFill="1" applyAlignment="1">
      <alignment vertical="center" shrinkToFit="1"/>
    </xf>
    <xf numFmtId="0" fontId="0" fillId="0" borderId="0" xfId="0" applyFont="1" applyFill="1" applyAlignment="1">
      <alignment horizontal="left" vertical="center"/>
    </xf>
    <xf numFmtId="0" fontId="0" fillId="0" borderId="0" xfId="0" applyFont="1" applyFill="1">
      <alignment vertical="center"/>
    </xf>
    <xf numFmtId="0" fontId="0" fillId="0" borderId="0" xfId="0" applyFont="1" applyAlignment="1">
      <alignment horizontal="left" vertical="center"/>
    </xf>
    <xf numFmtId="0" fontId="3" fillId="0" borderId="0" xfId="1" applyFont="1" applyFill="1" applyBorder="1" applyAlignment="1">
      <alignment vertical="center" shrinkToFit="1"/>
    </xf>
    <xf numFmtId="0" fontId="26" fillId="0" borderId="0" xfId="0" applyFont="1" applyFill="1" applyBorder="1" applyAlignment="1">
      <alignment vertical="center"/>
    </xf>
    <xf numFmtId="0" fontId="27" fillId="0" borderId="0" xfId="1" applyFont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9" fillId="0" borderId="43" xfId="0" applyFont="1" applyBorder="1" applyAlignment="1">
      <alignment vertical="center" wrapText="1" shrinkToFit="1"/>
    </xf>
    <xf numFmtId="0" fontId="0" fillId="0" borderId="43" xfId="0" applyBorder="1" applyAlignment="1">
      <alignment vertical="center" shrinkToFit="1"/>
    </xf>
    <xf numFmtId="0" fontId="0" fillId="0" borderId="43" xfId="0" applyBorder="1">
      <alignment vertical="center"/>
    </xf>
    <xf numFmtId="0" fontId="0" fillId="0" borderId="44" xfId="0" applyFont="1" applyFill="1" applyBorder="1">
      <alignment vertical="center"/>
    </xf>
    <xf numFmtId="0" fontId="25" fillId="0" borderId="44" xfId="0" applyFont="1" applyFill="1" applyBorder="1" applyAlignment="1">
      <alignment vertical="center"/>
    </xf>
    <xf numFmtId="0" fontId="0" fillId="0" borderId="44" xfId="0" applyFont="1" applyFill="1" applyBorder="1" applyAlignment="1">
      <alignment vertical="center" shrinkToFit="1"/>
    </xf>
    <xf numFmtId="0" fontId="0" fillId="0" borderId="44" xfId="0" applyBorder="1" applyAlignment="1">
      <alignment horizontal="left" vertical="center"/>
    </xf>
    <xf numFmtId="0" fontId="0" fillId="0" borderId="44" xfId="0" applyBorder="1" applyAlignment="1">
      <alignment horizontal="left" vertical="top" wrapText="1"/>
    </xf>
    <xf numFmtId="0" fontId="0" fillId="0" borderId="44" xfId="0" applyBorder="1">
      <alignment vertical="center"/>
    </xf>
    <xf numFmtId="0" fontId="0" fillId="0" borderId="45" xfId="0" applyFont="1" applyFill="1" applyBorder="1" applyAlignment="1">
      <alignment horizontal="center" vertical="center"/>
    </xf>
    <xf numFmtId="0" fontId="0" fillId="0" borderId="45" xfId="0" applyFont="1" applyBorder="1" applyAlignment="1">
      <alignment horizontal="center" vertical="center"/>
    </xf>
    <xf numFmtId="0" fontId="9" fillId="14" borderId="47" xfId="0" applyFont="1" applyFill="1" applyBorder="1">
      <alignment vertical="center"/>
    </xf>
    <xf numFmtId="0" fontId="0" fillId="14" borderId="47" xfId="0" applyFill="1" applyBorder="1">
      <alignment vertical="center"/>
    </xf>
    <xf numFmtId="0" fontId="0" fillId="14" borderId="47" xfId="0" applyFill="1" applyBorder="1" applyAlignment="1">
      <alignment vertical="center" shrinkToFit="1"/>
    </xf>
    <xf numFmtId="0" fontId="0" fillId="14" borderId="47" xfId="0" applyFill="1" applyBorder="1" applyAlignment="1">
      <alignment horizontal="left" vertical="center"/>
    </xf>
    <xf numFmtId="0" fontId="0" fillId="14" borderId="47" xfId="0" applyFill="1" applyBorder="1" applyAlignment="1">
      <alignment horizontal="center" vertical="center"/>
    </xf>
    <xf numFmtId="0" fontId="0" fillId="15" borderId="0" xfId="0" applyFont="1" applyFill="1" applyBorder="1">
      <alignment vertical="center"/>
    </xf>
    <xf numFmtId="0" fontId="26" fillId="15" borderId="0" xfId="0" applyFont="1" applyFill="1" applyBorder="1" applyAlignment="1">
      <alignment vertical="center"/>
    </xf>
    <xf numFmtId="0" fontId="7" fillId="15" borderId="0" xfId="0" applyFont="1" applyFill="1" applyBorder="1" applyAlignment="1">
      <alignment vertical="center" shrinkToFit="1"/>
    </xf>
    <xf numFmtId="0" fontId="0" fillId="15" borderId="0" xfId="0" applyFont="1" applyFill="1" applyBorder="1" applyAlignment="1">
      <alignment horizontal="left" vertical="center"/>
    </xf>
    <xf numFmtId="0" fontId="0" fillId="15" borderId="45" xfId="0" applyFont="1" applyFill="1" applyBorder="1" applyAlignment="1">
      <alignment horizontal="center" vertical="center"/>
    </xf>
    <xf numFmtId="0" fontId="0" fillId="15" borderId="0" xfId="0" applyFont="1" applyFill="1">
      <alignment vertical="center"/>
    </xf>
    <xf numFmtId="0" fontId="27" fillId="15" borderId="0" xfId="1" applyFont="1" applyFill="1" applyBorder="1" applyAlignment="1">
      <alignment vertical="center"/>
    </xf>
    <xf numFmtId="0" fontId="3" fillId="15" borderId="0" xfId="1" applyFont="1" applyFill="1" applyBorder="1" applyAlignment="1">
      <alignment vertical="center" shrinkToFit="1"/>
    </xf>
    <xf numFmtId="0" fontId="0" fillId="15" borderId="0" xfId="0" applyFont="1" applyFill="1" applyAlignment="1">
      <alignment horizontal="left" vertical="center"/>
    </xf>
    <xf numFmtId="0" fontId="26" fillId="15" borderId="0" xfId="0" applyFont="1" applyFill="1" applyBorder="1" applyAlignment="1">
      <alignment horizontal="left" vertical="center"/>
    </xf>
    <xf numFmtId="0" fontId="0" fillId="15" borderId="0" xfId="0" applyFont="1" applyFill="1" applyAlignment="1">
      <alignment vertical="center" shrinkToFit="1"/>
    </xf>
    <xf numFmtId="0" fontId="0" fillId="15" borderId="0" xfId="0" applyFont="1" applyFill="1" applyAlignment="1">
      <alignment horizontal="left" vertical="top" wrapText="1"/>
    </xf>
    <xf numFmtId="0" fontId="28" fillId="15" borderId="48" xfId="0" applyFont="1" applyFill="1" applyBorder="1" applyAlignment="1">
      <alignment horizontal="center" vertical="center"/>
    </xf>
    <xf numFmtId="0" fontId="28" fillId="0" borderId="45" xfId="0" applyFont="1" applyFill="1" applyBorder="1" applyAlignment="1">
      <alignment horizontal="center" vertical="center"/>
    </xf>
    <xf numFmtId="0" fontId="28" fillId="15" borderId="45" xfId="0" applyFont="1" applyFill="1" applyBorder="1" applyAlignment="1">
      <alignment horizontal="center" vertical="center"/>
    </xf>
    <xf numFmtId="0" fontId="28" fillId="8" borderId="45" xfId="0" applyFont="1" applyFill="1" applyBorder="1" applyAlignment="1">
      <alignment horizontal="center" vertical="center"/>
    </xf>
    <xf numFmtId="0" fontId="28" fillId="15" borderId="45" xfId="0" applyFont="1" applyFill="1" applyBorder="1" applyAlignment="1">
      <alignment horizontal="center" vertical="top" wrapText="1"/>
    </xf>
    <xf numFmtId="0" fontId="28" fillId="0" borderId="45" xfId="0" applyFont="1" applyFill="1" applyBorder="1" applyAlignment="1">
      <alignment horizontal="center" vertical="top" wrapText="1"/>
    </xf>
    <xf numFmtId="183" fontId="29" fillId="15" borderId="45" xfId="1" applyNumberFormat="1" applyFont="1" applyFill="1" applyBorder="1" applyAlignment="1" applyProtection="1">
      <alignment horizontal="center" vertical="center"/>
    </xf>
    <xf numFmtId="0" fontId="7" fillId="4" borderId="11" xfId="0" applyFont="1" applyFill="1" applyBorder="1" applyAlignment="1">
      <alignment vertical="center" shrinkToFit="1"/>
    </xf>
    <xf numFmtId="0" fontId="7" fillId="4" borderId="11" xfId="0" applyFont="1" applyFill="1" applyBorder="1" applyAlignment="1">
      <alignment horizontal="left"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45" xfId="0" quotePrefix="1" applyFont="1" applyFill="1" applyBorder="1" applyAlignment="1">
      <alignment horizontal="center" vertical="center"/>
    </xf>
    <xf numFmtId="0" fontId="0" fillId="15" borderId="45" xfId="0" quotePrefix="1" applyFont="1" applyFill="1" applyBorder="1" applyAlignment="1">
      <alignment horizontal="center" vertical="center"/>
    </xf>
    <xf numFmtId="0" fontId="7" fillId="4" borderId="9" xfId="0" applyFont="1" applyFill="1" applyBorder="1" applyAlignment="1" applyProtection="1">
      <alignment vertical="center"/>
    </xf>
    <xf numFmtId="0" fontId="7" fillId="4" borderId="0" xfId="0" applyFont="1" applyFill="1" applyBorder="1" applyAlignment="1" applyProtection="1">
      <alignment vertical="center"/>
    </xf>
    <xf numFmtId="0" fontId="7" fillId="4" borderId="10" xfId="0" applyFont="1" applyFill="1" applyBorder="1" applyAlignment="1" applyProtection="1">
      <alignment vertical="center"/>
    </xf>
    <xf numFmtId="0" fontId="7" fillId="0" borderId="10" xfId="0" applyFont="1" applyBorder="1" applyAlignment="1" applyProtection="1">
      <alignment vertical="center" shrinkToFit="1"/>
      <protection locked="0"/>
    </xf>
    <xf numFmtId="179" fontId="7" fillId="4" borderId="10" xfId="0" applyNumberFormat="1" applyFont="1" applyFill="1" applyBorder="1" applyAlignment="1">
      <alignment horizontal="right" vertical="center" shrinkToFit="1"/>
    </xf>
    <xf numFmtId="0" fontId="7" fillId="9" borderId="10" xfId="0" applyFont="1" applyFill="1" applyBorder="1" applyAlignment="1" applyProtection="1">
      <alignment vertical="center" shrinkToFit="1"/>
      <protection locked="0"/>
    </xf>
    <xf numFmtId="0" fontId="7" fillId="4" borderId="11" xfId="0" applyFont="1" applyFill="1" applyBorder="1" applyAlignment="1" applyProtection="1">
      <alignment vertical="center"/>
    </xf>
    <xf numFmtId="0" fontId="0" fillId="4" borderId="0" xfId="0" applyFill="1" applyBorder="1">
      <alignment vertical="center"/>
    </xf>
    <xf numFmtId="0" fontId="7" fillId="8" borderId="10" xfId="0" applyFont="1" applyFill="1" applyBorder="1" applyAlignment="1" applyProtection="1">
      <alignment vertical="center"/>
    </xf>
    <xf numFmtId="0" fontId="7" fillId="8" borderId="11" xfId="0" applyFont="1" applyFill="1" applyBorder="1" applyAlignment="1" applyProtection="1">
      <alignment vertical="center"/>
    </xf>
    <xf numFmtId="0" fontId="7" fillId="12" borderId="10" xfId="0" applyFont="1" applyFill="1" applyBorder="1" applyAlignment="1" applyProtection="1">
      <alignment vertical="center"/>
    </xf>
    <xf numFmtId="0" fontId="7" fillId="0" borderId="24" xfId="0" applyFont="1" applyFill="1" applyBorder="1" applyAlignment="1">
      <alignment vertical="center"/>
    </xf>
    <xf numFmtId="0" fontId="0" fillId="0" borderId="24" xfId="0" applyBorder="1">
      <alignment vertical="center"/>
    </xf>
    <xf numFmtId="0" fontId="0" fillId="0" borderId="19" xfId="0" applyBorder="1">
      <alignment vertical="center"/>
    </xf>
    <xf numFmtId="0" fontId="0" fillId="0" borderId="51" xfId="0" applyBorder="1">
      <alignment vertical="center"/>
    </xf>
    <xf numFmtId="0" fontId="12" fillId="0" borderId="0" xfId="0" applyFont="1" applyFill="1" applyAlignment="1">
      <alignment vertical="center" wrapText="1"/>
    </xf>
    <xf numFmtId="0" fontId="7" fillId="16" borderId="1" xfId="0" applyFont="1" applyFill="1" applyBorder="1" applyAlignment="1" applyProtection="1">
      <alignment horizontal="center" vertical="center"/>
    </xf>
    <xf numFmtId="0" fontId="7" fillId="4" borderId="11" xfId="0" applyFont="1" applyFill="1" applyBorder="1" applyAlignment="1">
      <alignment vertical="center" shrinkToFit="1"/>
    </xf>
    <xf numFmtId="176" fontId="13" fillId="4" borderId="0" xfId="0" quotePrefix="1" applyNumberFormat="1" applyFont="1" applyFill="1" applyBorder="1" applyAlignment="1">
      <alignment horizontal="center" vertical="center"/>
    </xf>
    <xf numFmtId="0" fontId="27" fillId="0" borderId="0" xfId="1" applyFont="1" applyFill="1" applyBorder="1" applyAlignment="1">
      <alignment vertical="center"/>
    </xf>
    <xf numFmtId="183" fontId="29" fillId="0" borderId="45" xfId="1" applyNumberFormat="1" applyFont="1" applyFill="1" applyBorder="1" applyAlignment="1" applyProtection="1">
      <alignment horizontal="center" vertical="center"/>
    </xf>
    <xf numFmtId="0" fontId="26" fillId="15" borderId="0" xfId="0" applyFont="1" applyFill="1" applyBorder="1" applyAlignment="1" applyProtection="1">
      <alignment vertical="center" shrinkToFit="1"/>
    </xf>
    <xf numFmtId="0" fontId="7" fillId="15" borderId="0" xfId="0" applyFont="1" applyFill="1" applyBorder="1" applyAlignment="1" applyProtection="1">
      <alignment vertical="center" shrinkToFit="1"/>
    </xf>
    <xf numFmtId="183" fontId="28" fillId="15" borderId="45" xfId="0" applyNumberFormat="1" applyFont="1" applyFill="1" applyBorder="1" applyAlignment="1" applyProtection="1">
      <alignment horizontal="center" vertical="center"/>
    </xf>
    <xf numFmtId="0" fontId="25" fillId="0" borderId="0" xfId="0" applyFont="1" applyFill="1" applyBorder="1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46" xfId="0" applyFill="1" applyBorder="1" applyAlignment="1">
      <alignment horizontal="left" vertical="top" wrapText="1"/>
    </xf>
    <xf numFmtId="0" fontId="0" fillId="0" borderId="46" xfId="0" applyFill="1" applyBorder="1">
      <alignment vertical="center"/>
    </xf>
    <xf numFmtId="0" fontId="7" fillId="13" borderId="0" xfId="0" applyFont="1" applyFill="1" applyBorder="1" applyAlignment="1" applyProtection="1">
      <alignment vertical="center"/>
      <protection locked="0"/>
    </xf>
    <xf numFmtId="0" fontId="7" fillId="13" borderId="0" xfId="0" applyFont="1" applyFill="1" applyBorder="1" applyAlignment="1" applyProtection="1">
      <alignment vertical="center" shrinkToFit="1"/>
      <protection locked="0"/>
    </xf>
    <xf numFmtId="0" fontId="7" fillId="7" borderId="0" xfId="0" applyFont="1" applyFill="1" applyBorder="1" applyAlignment="1" applyProtection="1">
      <alignment vertical="center"/>
      <protection locked="0"/>
    </xf>
    <xf numFmtId="0" fontId="7" fillId="10" borderId="57" xfId="0" applyFont="1" applyFill="1" applyBorder="1" applyAlignment="1" applyProtection="1">
      <alignment vertical="center"/>
      <protection locked="0"/>
    </xf>
    <xf numFmtId="0" fontId="7" fillId="10" borderId="58" xfId="0" applyFont="1" applyFill="1" applyBorder="1" applyAlignment="1" applyProtection="1">
      <alignment vertical="center"/>
      <protection locked="0"/>
    </xf>
    <xf numFmtId="0" fontId="7" fillId="10" borderId="59" xfId="0" applyFont="1" applyFill="1" applyBorder="1" applyAlignment="1" applyProtection="1">
      <alignment vertical="center"/>
      <protection locked="0"/>
    </xf>
    <xf numFmtId="186" fontId="7" fillId="0" borderId="10" xfId="0" quotePrefix="1" applyNumberFormat="1" applyFont="1" applyBorder="1" applyAlignment="1" applyProtection="1">
      <alignment horizontal="right" vertical="center" shrinkToFit="1"/>
      <protection locked="0"/>
    </xf>
    <xf numFmtId="186" fontId="7" fillId="4" borderId="10" xfId="0" quotePrefix="1" applyNumberFormat="1" applyFont="1" applyFill="1" applyBorder="1" applyAlignment="1">
      <alignment horizontal="right" vertical="center" shrinkToFit="1"/>
    </xf>
    <xf numFmtId="186" fontId="7" fillId="4" borderId="10" xfId="0" quotePrefix="1" applyNumberFormat="1" applyFont="1" applyFill="1" applyBorder="1" applyAlignment="1" applyProtection="1">
      <alignment horizontal="right" vertical="center" shrinkToFit="1"/>
    </xf>
    <xf numFmtId="188" fontId="0" fillId="10" borderId="0" xfId="0" applyNumberFormat="1" applyFill="1" applyAlignment="1">
      <alignment vertical="center" shrinkToFit="1"/>
    </xf>
    <xf numFmtId="0" fontId="7" fillId="4" borderId="0" xfId="0" applyFont="1" applyFill="1" applyBorder="1" applyAlignment="1" applyProtection="1">
      <alignment horizontal="right" vertical="center"/>
    </xf>
    <xf numFmtId="186" fontId="7" fillId="0" borderId="10" xfId="0" quotePrefix="1" applyNumberFormat="1" applyFont="1" applyFill="1" applyBorder="1" applyAlignment="1" applyProtection="1">
      <alignment horizontal="right" vertical="center" shrinkToFit="1"/>
      <protection locked="0"/>
    </xf>
    <xf numFmtId="186" fontId="7" fillId="0" borderId="10" xfId="0" quotePrefix="1" applyNumberFormat="1" applyFont="1" applyFill="1" applyBorder="1" applyAlignment="1" applyProtection="1">
      <alignment horizontal="right" vertical="center" shrinkToFit="1"/>
    </xf>
    <xf numFmtId="0" fontId="7" fillId="0" borderId="10" xfId="0" applyFont="1" applyFill="1" applyBorder="1" applyAlignment="1" applyProtection="1">
      <alignment vertical="center"/>
    </xf>
    <xf numFmtId="0" fontId="7" fillId="0" borderId="10" xfId="0" applyFont="1" applyFill="1" applyBorder="1" applyAlignment="1" applyProtection="1">
      <alignment vertical="center" shrinkToFit="1"/>
    </xf>
    <xf numFmtId="178" fontId="0" fillId="10" borderId="0" xfId="0" applyNumberFormat="1" applyFill="1" applyAlignment="1">
      <alignment vertical="center" shrinkToFit="1"/>
    </xf>
    <xf numFmtId="0" fontId="0" fillId="4" borderId="0" xfId="0" applyFill="1" applyAlignment="1" applyProtection="1">
      <alignment vertical="center" shrinkToFit="1"/>
    </xf>
    <xf numFmtId="178" fontId="0" fillId="4" borderId="0" xfId="0" applyNumberFormat="1" applyFill="1" applyAlignment="1" applyProtection="1">
      <alignment vertical="center" shrinkToFit="1"/>
    </xf>
    <xf numFmtId="0" fontId="7" fillId="4" borderId="1" xfId="0" applyFont="1" applyFill="1" applyBorder="1" applyAlignment="1" applyProtection="1">
      <alignment horizontal="left" vertical="center"/>
    </xf>
    <xf numFmtId="186" fontId="7" fillId="4" borderId="1" xfId="0" quotePrefix="1" applyNumberFormat="1" applyFont="1" applyFill="1" applyBorder="1" applyAlignment="1" applyProtection="1">
      <alignment horizontal="right" vertical="center" shrinkToFit="1"/>
    </xf>
    <xf numFmtId="0" fontId="7" fillId="12" borderId="0" xfId="0" applyFont="1" applyFill="1" applyBorder="1" applyAlignment="1">
      <alignment horizontal="center" vertical="center" shrinkToFit="1"/>
    </xf>
    <xf numFmtId="0" fontId="7" fillId="12" borderId="0" xfId="0" applyFont="1" applyFill="1" applyBorder="1" applyAlignment="1">
      <alignment vertical="center" shrinkToFit="1"/>
    </xf>
    <xf numFmtId="0" fontId="7" fillId="8" borderId="13" xfId="0" applyFont="1" applyFill="1" applyBorder="1" applyAlignment="1" applyProtection="1">
      <alignment horizontal="center" vertical="center" shrinkToFit="1"/>
      <protection locked="0"/>
    </xf>
    <xf numFmtId="0" fontId="7" fillId="12" borderId="11" xfId="0" applyFont="1" applyFill="1" applyBorder="1" applyAlignment="1" applyProtection="1">
      <alignment vertical="center"/>
    </xf>
    <xf numFmtId="0" fontId="7" fillId="0" borderId="13" xfId="0" applyFont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Fill="1" applyBorder="1" applyAlignment="1" applyProtection="1">
      <alignment vertical="center"/>
    </xf>
    <xf numFmtId="0" fontId="7" fillId="0" borderId="3" xfId="0" applyFont="1" applyBorder="1" applyAlignment="1">
      <alignment vertical="center"/>
    </xf>
    <xf numFmtId="0" fontId="14" fillId="0" borderId="3" xfId="0" applyFont="1" applyBorder="1" applyAlignment="1">
      <alignment vertical="center"/>
    </xf>
    <xf numFmtId="0" fontId="31" fillId="0" borderId="20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7" fillId="0" borderId="0" xfId="0" applyFont="1" applyBorder="1" applyAlignment="1"/>
    <xf numFmtId="186" fontId="7" fillId="0" borderId="10" xfId="0" quotePrefix="1" applyNumberFormat="1" applyFont="1" applyBorder="1" applyAlignment="1" applyProtection="1">
      <alignment horizontal="right" vertical="center" shrinkToFit="1"/>
    </xf>
    <xf numFmtId="0" fontId="7" fillId="17" borderId="0" xfId="0" applyFont="1" applyFill="1" applyBorder="1" applyAlignment="1" applyProtection="1">
      <alignment vertical="center"/>
      <protection locked="0"/>
    </xf>
    <xf numFmtId="0" fontId="7" fillId="17" borderId="0" xfId="0" applyFont="1" applyFill="1" applyBorder="1" applyAlignment="1" applyProtection="1">
      <alignment vertical="center" shrinkToFit="1"/>
      <protection locked="0"/>
    </xf>
    <xf numFmtId="0" fontId="7" fillId="17" borderId="0" xfId="0" applyFont="1" applyFill="1" applyBorder="1" applyAlignment="1" applyProtection="1">
      <alignment vertical="center"/>
    </xf>
    <xf numFmtId="0" fontId="17" fillId="13" borderId="34" xfId="0" applyFont="1" applyFill="1" applyBorder="1" applyAlignment="1">
      <alignment horizontal="left" vertical="center" wrapText="1"/>
    </xf>
    <xf numFmtId="176" fontId="13" fillId="4" borderId="0" xfId="0" quotePrefix="1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0" fontId="18" fillId="0" borderId="0" xfId="2" applyFont="1" applyFill="1" applyBorder="1" applyAlignment="1">
      <alignment vertical="center"/>
    </xf>
    <xf numFmtId="0" fontId="0" fillId="0" borderId="0" xfId="0" applyAlignment="1">
      <alignment vertical="center" shrinkToFit="1"/>
    </xf>
    <xf numFmtId="0" fontId="9" fillId="0" borderId="0" xfId="0" applyFont="1">
      <alignment vertical="center"/>
    </xf>
    <xf numFmtId="0" fontId="0" fillId="10" borderId="0" xfId="0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9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8" fillId="2" borderId="1" xfId="0" applyFont="1" applyFill="1" applyBorder="1" applyAlignment="1">
      <alignment horizontal="center" vertical="center" shrinkToFit="1"/>
    </xf>
    <xf numFmtId="0" fontId="0" fillId="10" borderId="0" xfId="0" applyFill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10" borderId="0" xfId="0" applyFill="1">
      <alignment vertical="center"/>
    </xf>
    <xf numFmtId="0" fontId="0" fillId="0" borderId="0" xfId="0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0" fillId="10" borderId="0" xfId="0" applyFill="1">
      <alignment vertical="center"/>
    </xf>
    <xf numFmtId="0" fontId="0" fillId="0" borderId="0" xfId="0" applyAlignment="1">
      <alignment vertical="center" shrinkToFit="1"/>
    </xf>
    <xf numFmtId="0" fontId="0" fillId="10" borderId="0" xfId="0" applyFill="1" applyAlignment="1">
      <alignment vertical="center" shrinkToFit="1"/>
    </xf>
    <xf numFmtId="0" fontId="7" fillId="0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/>
    </xf>
    <xf numFmtId="0" fontId="7" fillId="0" borderId="0" xfId="0" applyFont="1" applyFill="1" applyBorder="1" applyAlignment="1" applyProtection="1">
      <alignment vertical="center" shrinkToFit="1"/>
      <protection locked="0"/>
    </xf>
    <xf numFmtId="0" fontId="7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vertical="center" shrinkToFit="1"/>
    </xf>
    <xf numFmtId="0" fontId="7" fillId="0" borderId="1" xfId="0" applyFont="1" applyFill="1" applyBorder="1" applyAlignment="1">
      <alignment horizontal="left" vertical="center" shrinkToFit="1"/>
    </xf>
    <xf numFmtId="0" fontId="7" fillId="0" borderId="1" xfId="0" applyFont="1" applyFill="1" applyBorder="1" applyAlignment="1">
      <alignment vertical="center" shrinkToFit="1"/>
    </xf>
    <xf numFmtId="14" fontId="7" fillId="0" borderId="0" xfId="0" applyNumberFormat="1" applyFont="1" applyFill="1" applyBorder="1" applyAlignment="1">
      <alignment vertical="center"/>
    </xf>
    <xf numFmtId="14" fontId="7" fillId="0" borderId="0" xfId="0" applyNumberFormat="1" applyFont="1" applyFill="1" applyBorder="1" applyAlignment="1">
      <alignment vertical="center" shrinkToFit="1"/>
    </xf>
    <xf numFmtId="184" fontId="7" fillId="4" borderId="13" xfId="0" applyNumberFormat="1" applyFont="1" applyFill="1" applyBorder="1" applyAlignment="1">
      <alignment horizontal="center" vertical="center" shrinkToFit="1"/>
    </xf>
    <xf numFmtId="178" fontId="7" fillId="4" borderId="13" xfId="0" applyNumberFormat="1" applyFont="1" applyFill="1" applyBorder="1" applyAlignment="1">
      <alignment horizontal="center" vertical="center" shrinkToFit="1"/>
    </xf>
    <xf numFmtId="176" fontId="7" fillId="4" borderId="13" xfId="0" quotePrefix="1" applyNumberFormat="1" applyFont="1" applyFill="1" applyBorder="1" applyAlignment="1">
      <alignment vertical="center" shrinkToFit="1"/>
    </xf>
    <xf numFmtId="179" fontId="7" fillId="4" borderId="13" xfId="0" applyNumberFormat="1" applyFont="1" applyFill="1" applyBorder="1" applyAlignment="1">
      <alignment horizontal="right" vertical="center" shrinkToFit="1"/>
    </xf>
    <xf numFmtId="0" fontId="7" fillId="4" borderId="13" xfId="0" applyFont="1" applyFill="1" applyBorder="1" applyAlignment="1" applyProtection="1">
      <alignment horizontal="center" vertical="center" shrinkToFit="1"/>
    </xf>
    <xf numFmtId="178" fontId="7" fillId="4" borderId="13" xfId="0" applyNumberFormat="1" applyFont="1" applyFill="1" applyBorder="1" applyAlignment="1" applyProtection="1">
      <alignment horizontal="center" vertical="center" shrinkToFit="1"/>
    </xf>
    <xf numFmtId="0" fontId="7" fillId="4" borderId="13" xfId="0" applyFont="1" applyFill="1" applyBorder="1" applyAlignment="1" applyProtection="1">
      <alignment horizontal="left" vertical="center" shrinkToFit="1"/>
    </xf>
    <xf numFmtId="185" fontId="7" fillId="4" borderId="13" xfId="0" applyNumberFormat="1" applyFont="1" applyFill="1" applyBorder="1" applyAlignment="1" applyProtection="1">
      <alignment horizontal="center" vertical="center" shrinkToFit="1"/>
    </xf>
    <xf numFmtId="179" fontId="7" fillId="4" borderId="13" xfId="0" applyNumberFormat="1" applyFont="1" applyFill="1" applyBorder="1" applyAlignment="1" applyProtection="1">
      <alignment horizontal="center" vertical="center" shrinkToFit="1"/>
    </xf>
    <xf numFmtId="0" fontId="16" fillId="0" borderId="0" xfId="0" applyFont="1" applyBorder="1" applyAlignment="1">
      <alignment shrinkToFit="1"/>
    </xf>
    <xf numFmtId="0" fontId="4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vertical="center"/>
    </xf>
    <xf numFmtId="0" fontId="0" fillId="49" borderId="1" xfId="0" applyFill="1" applyBorder="1">
      <alignment vertical="center"/>
    </xf>
    <xf numFmtId="0" fontId="0" fillId="49" borderId="1" xfId="0" applyFill="1" applyBorder="1" applyAlignment="1">
      <alignment vertical="center" wrapText="1" shrinkToFit="1"/>
    </xf>
    <xf numFmtId="0" fontId="9" fillId="49" borderId="1" xfId="0" applyFont="1" applyFill="1" applyBorder="1" applyAlignment="1">
      <alignment vertical="center" wrapText="1" shrinkToFit="1"/>
    </xf>
    <xf numFmtId="49" fontId="7" fillId="0" borderId="10" xfId="0" applyNumberFormat="1" applyFont="1" applyBorder="1" applyAlignment="1" applyProtection="1">
      <alignment vertical="center" shrinkToFit="1"/>
      <protection locked="0"/>
    </xf>
    <xf numFmtId="49" fontId="7" fillId="4" borderId="10" xfId="0" applyNumberFormat="1" applyFont="1" applyFill="1" applyBorder="1" applyAlignment="1" applyProtection="1">
      <alignment vertical="center"/>
    </xf>
    <xf numFmtId="49" fontId="7" fillId="8" borderId="10" xfId="0" applyNumberFormat="1" applyFont="1" applyFill="1" applyBorder="1" applyAlignment="1" applyProtection="1">
      <alignment vertical="center"/>
    </xf>
    <xf numFmtId="49" fontId="7" fillId="4" borderId="1" xfId="0" applyNumberFormat="1" applyFont="1" applyFill="1" applyBorder="1" applyAlignment="1" applyProtection="1">
      <alignment vertical="center" shrinkToFit="1"/>
    </xf>
    <xf numFmtId="49" fontId="7" fillId="12" borderId="10" xfId="0" applyNumberFormat="1" applyFont="1" applyFill="1" applyBorder="1" applyAlignment="1" applyProtection="1">
      <alignment vertical="center"/>
    </xf>
    <xf numFmtId="49" fontId="7" fillId="4" borderId="10" xfId="0" applyNumberFormat="1" applyFont="1" applyFill="1" applyBorder="1" applyAlignment="1" applyProtection="1">
      <alignment vertical="center" shrinkToFit="1"/>
    </xf>
    <xf numFmtId="49" fontId="7" fillId="2" borderId="1" xfId="0" applyNumberFormat="1" applyFont="1" applyFill="1" applyBorder="1" applyAlignment="1">
      <alignment horizontal="center" vertical="center" shrinkToFit="1"/>
    </xf>
    <xf numFmtId="49" fontId="7" fillId="4" borderId="0" xfId="0" applyNumberFormat="1" applyFont="1" applyFill="1" applyBorder="1" applyAlignment="1" applyProtection="1">
      <alignment vertical="center"/>
    </xf>
    <xf numFmtId="0" fontId="49" fillId="0" borderId="0" xfId="0" applyFont="1" applyBorder="1" applyAlignment="1">
      <alignment vertical="center"/>
    </xf>
    <xf numFmtId="0" fontId="51" fillId="0" borderId="0" xfId="0" applyFont="1" applyBorder="1" applyAlignment="1">
      <alignment horizontal="center" vertical="center"/>
    </xf>
    <xf numFmtId="0" fontId="52" fillId="0" borderId="0" xfId="0" applyFont="1" applyBorder="1" applyAlignment="1">
      <alignment horizontal="center" vertical="center"/>
    </xf>
    <xf numFmtId="0" fontId="50" fillId="0" borderId="7" xfId="0" applyFont="1" applyBorder="1" applyAlignment="1"/>
    <xf numFmtId="0" fontId="49" fillId="0" borderId="0" xfId="0" applyFont="1" applyBorder="1" applyAlignment="1">
      <alignment horizontal="right" vertical="center"/>
    </xf>
    <xf numFmtId="0" fontId="54" fillId="0" borderId="0" xfId="0" applyFont="1" applyBorder="1" applyAlignment="1">
      <alignment horizontal="center" vertical="center"/>
    </xf>
    <xf numFmtId="0" fontId="56" fillId="0" borderId="0" xfId="0" applyFont="1" applyBorder="1" applyAlignment="1">
      <alignment vertical="center"/>
    </xf>
    <xf numFmtId="0" fontId="56" fillId="0" borderId="20" xfId="0" applyFont="1" applyBorder="1" applyAlignment="1">
      <alignment horizontal="center" vertical="center"/>
    </xf>
    <xf numFmtId="0" fontId="56" fillId="0" borderId="19" xfId="0" applyFont="1" applyBorder="1" applyAlignment="1">
      <alignment horizontal="center" vertical="center"/>
    </xf>
    <xf numFmtId="0" fontId="56" fillId="0" borderId="21" xfId="0" applyFont="1" applyBorder="1" applyAlignment="1">
      <alignment horizontal="center" vertical="center"/>
    </xf>
    <xf numFmtId="0" fontId="56" fillId="0" borderId="52" xfId="0" applyFont="1" applyBorder="1" applyAlignment="1">
      <alignment vertical="center"/>
    </xf>
    <xf numFmtId="0" fontId="56" fillId="0" borderId="51" xfId="0" applyFont="1" applyBorder="1" applyAlignment="1">
      <alignment vertical="center"/>
    </xf>
    <xf numFmtId="0" fontId="56" fillId="0" borderId="53" xfId="0" quotePrefix="1" applyFont="1" applyBorder="1" applyAlignment="1">
      <alignment horizontal="right" vertical="center"/>
    </xf>
    <xf numFmtId="0" fontId="56" fillId="0" borderId="51" xfId="0" applyFont="1" applyBorder="1" applyAlignment="1">
      <alignment horizontal="right" vertical="center"/>
    </xf>
    <xf numFmtId="0" fontId="56" fillId="0" borderId="54" xfId="0" quotePrefix="1" applyFont="1" applyBorder="1" applyAlignment="1">
      <alignment horizontal="right" vertical="center"/>
    </xf>
    <xf numFmtId="0" fontId="56" fillId="0" borderId="51" xfId="0" quotePrefix="1" applyFont="1" applyBorder="1" applyAlignment="1">
      <alignment horizontal="right" vertical="center"/>
    </xf>
    <xf numFmtId="0" fontId="56" fillId="0" borderId="55" xfId="0" applyFont="1" applyBorder="1" applyAlignment="1">
      <alignment horizontal="left" vertical="center"/>
    </xf>
    <xf numFmtId="0" fontId="56" fillId="0" borderId="51" xfId="0" applyFont="1" applyBorder="1" applyAlignment="1">
      <alignment horizontal="centerContinuous" vertical="center" shrinkToFit="1"/>
    </xf>
    <xf numFmtId="0" fontId="56" fillId="0" borderId="56" xfId="0" applyFont="1" applyBorder="1" applyAlignment="1">
      <alignment horizontal="centerContinuous" vertical="center" shrinkToFit="1"/>
    </xf>
    <xf numFmtId="0" fontId="56" fillId="0" borderId="24" xfId="0" applyFont="1" applyBorder="1" applyAlignment="1">
      <alignment vertical="center"/>
    </xf>
    <xf numFmtId="0" fontId="56" fillId="0" borderId="25" xfId="0" applyFont="1" applyBorder="1" applyAlignment="1">
      <alignment vertical="center"/>
    </xf>
    <xf numFmtId="0" fontId="56" fillId="0" borderId="26" xfId="0" applyFont="1" applyBorder="1" applyAlignment="1">
      <alignment vertical="center"/>
    </xf>
    <xf numFmtId="0" fontId="56" fillId="0" borderId="4" xfId="0" applyFont="1" applyBorder="1" applyAlignment="1">
      <alignment vertical="center"/>
    </xf>
    <xf numFmtId="0" fontId="56" fillId="0" borderId="27" xfId="0" applyFont="1" applyBorder="1" applyAlignment="1">
      <alignment vertical="center"/>
    </xf>
    <xf numFmtId="0" fontId="56" fillId="0" borderId="0" xfId="0" applyFont="1" applyBorder="1" applyAlignment="1">
      <alignment horizontal="right" vertical="center"/>
    </xf>
    <xf numFmtId="0" fontId="56" fillId="0" borderId="26" xfId="0" quotePrefix="1" applyFont="1" applyBorder="1" applyAlignment="1">
      <alignment horizontal="right" vertical="center"/>
    </xf>
    <xf numFmtId="0" fontId="56" fillId="0" borderId="0" xfId="0" quotePrefix="1" applyFont="1" applyBorder="1" applyAlignment="1">
      <alignment horizontal="right" vertical="center"/>
    </xf>
    <xf numFmtId="0" fontId="56" fillId="0" borderId="28" xfId="0" applyFont="1" applyBorder="1" applyAlignment="1">
      <alignment vertical="center"/>
    </xf>
    <xf numFmtId="0" fontId="56" fillId="0" borderId="29" xfId="0" applyFont="1" applyBorder="1" applyAlignment="1">
      <alignment vertical="center"/>
    </xf>
    <xf numFmtId="0" fontId="56" fillId="0" borderId="30" xfId="0" applyFont="1" applyBorder="1" applyAlignment="1">
      <alignment vertical="center"/>
    </xf>
    <xf numFmtId="0" fontId="56" fillId="0" borderId="31" xfId="0" applyFont="1" applyBorder="1" applyAlignment="1">
      <alignment vertical="center"/>
    </xf>
    <xf numFmtId="0" fontId="56" fillId="0" borderId="32" xfId="0" applyFont="1" applyBorder="1" applyAlignment="1">
      <alignment vertical="center"/>
    </xf>
    <xf numFmtId="0" fontId="56" fillId="0" borderId="33" xfId="0" applyFont="1" applyBorder="1" applyAlignment="1">
      <alignment vertical="center"/>
    </xf>
    <xf numFmtId="0" fontId="49" fillId="0" borderId="52" xfId="0" applyFont="1" applyBorder="1" applyAlignment="1">
      <alignment vertical="center"/>
    </xf>
    <xf numFmtId="0" fontId="49" fillId="0" borderId="51" xfId="0" applyFont="1" applyBorder="1" applyAlignment="1">
      <alignment vertical="center"/>
    </xf>
    <xf numFmtId="0" fontId="49" fillId="0" borderId="53" xfId="0" quotePrefix="1" applyFont="1" applyBorder="1" applyAlignment="1">
      <alignment horizontal="right" vertical="center"/>
    </xf>
    <xf numFmtId="0" fontId="49" fillId="0" borderId="51" xfId="0" applyFont="1" applyBorder="1" applyAlignment="1">
      <alignment horizontal="right" vertical="center"/>
    </xf>
    <xf numFmtId="0" fontId="49" fillId="0" borderId="54" xfId="0" quotePrefix="1" applyFont="1" applyBorder="1" applyAlignment="1">
      <alignment horizontal="right" vertical="center"/>
    </xf>
    <xf numFmtId="0" fontId="49" fillId="0" borderId="51" xfId="0" quotePrefix="1" applyFont="1" applyBorder="1" applyAlignment="1">
      <alignment horizontal="right" vertical="center"/>
    </xf>
    <xf numFmtId="0" fontId="49" fillId="0" borderId="55" xfId="0" applyFont="1" applyBorder="1" applyAlignment="1">
      <alignment horizontal="left" vertical="center"/>
    </xf>
    <xf numFmtId="0" fontId="49" fillId="0" borderId="51" xfId="0" applyFont="1" applyBorder="1" applyAlignment="1">
      <alignment horizontal="centerContinuous" vertical="center" shrinkToFit="1"/>
    </xf>
    <xf numFmtId="0" fontId="49" fillId="0" borderId="56" xfId="0" applyFont="1" applyBorder="1" applyAlignment="1">
      <alignment horizontal="centerContinuous" vertical="center" shrinkToFit="1"/>
    </xf>
    <xf numFmtId="0" fontId="49" fillId="0" borderId="24" xfId="0" applyFont="1" applyBorder="1" applyAlignment="1">
      <alignment vertical="center"/>
    </xf>
    <xf numFmtId="0" fontId="49" fillId="0" borderId="25" xfId="0" applyFont="1" applyBorder="1" applyAlignment="1">
      <alignment vertical="center"/>
    </xf>
    <xf numFmtId="0" fontId="49" fillId="0" borderId="26" xfId="0" applyFont="1" applyBorder="1" applyAlignment="1">
      <alignment vertical="center"/>
    </xf>
    <xf numFmtId="0" fontId="49" fillId="0" borderId="4" xfId="0" applyFont="1" applyBorder="1" applyAlignment="1">
      <alignment vertical="center"/>
    </xf>
    <xf numFmtId="0" fontId="49" fillId="0" borderId="27" xfId="0" applyFont="1" applyBorder="1" applyAlignment="1">
      <alignment vertical="center"/>
    </xf>
    <xf numFmtId="0" fontId="49" fillId="0" borderId="26" xfId="0" quotePrefix="1" applyFont="1" applyBorder="1" applyAlignment="1">
      <alignment horizontal="right" vertical="center"/>
    </xf>
    <xf numFmtId="0" fontId="49" fillId="0" borderId="0" xfId="0" quotePrefix="1" applyFont="1" applyBorder="1" applyAlignment="1">
      <alignment horizontal="right" vertical="center"/>
    </xf>
    <xf numFmtId="0" fontId="49" fillId="0" borderId="28" xfId="0" applyFont="1" applyBorder="1" applyAlignment="1">
      <alignment vertical="center"/>
    </xf>
    <xf numFmtId="0" fontId="49" fillId="0" borderId="29" xfId="0" applyFont="1" applyBorder="1" applyAlignment="1">
      <alignment vertical="center"/>
    </xf>
    <xf numFmtId="0" fontId="49" fillId="0" borderId="30" xfId="0" applyFont="1" applyBorder="1" applyAlignment="1">
      <alignment vertical="center"/>
    </xf>
    <xf numFmtId="0" fontId="49" fillId="0" borderId="31" xfId="0" applyFont="1" applyBorder="1" applyAlignment="1">
      <alignment vertical="center"/>
    </xf>
    <xf numFmtId="0" fontId="49" fillId="0" borderId="32" xfId="0" applyFont="1" applyBorder="1" applyAlignment="1">
      <alignment vertical="center"/>
    </xf>
    <xf numFmtId="0" fontId="49" fillId="0" borderId="33" xfId="0" applyFont="1" applyBorder="1" applyAlignment="1">
      <alignment vertical="center"/>
    </xf>
    <xf numFmtId="0" fontId="49" fillId="0" borderId="25" xfId="0" quotePrefix="1" applyFont="1" applyBorder="1" applyAlignment="1">
      <alignment horizontal="right" vertical="center"/>
    </xf>
    <xf numFmtId="0" fontId="49" fillId="0" borderId="4" xfId="0" applyFont="1" applyBorder="1" applyAlignment="1">
      <alignment horizontal="left" vertical="center"/>
    </xf>
    <xf numFmtId="0" fontId="49" fillId="0" borderId="0" xfId="0" applyFont="1" applyBorder="1" applyAlignment="1">
      <alignment horizontal="centerContinuous" vertical="center" shrinkToFit="1"/>
    </xf>
    <xf numFmtId="0" fontId="49" fillId="0" borderId="27" xfId="0" applyFont="1" applyBorder="1" applyAlignment="1">
      <alignment horizontal="centerContinuous" vertical="center" shrinkToFit="1"/>
    </xf>
    <xf numFmtId="187" fontId="57" fillId="0" borderId="25" xfId="0" quotePrefix="1" applyNumberFormat="1" applyFont="1" applyBorder="1" applyAlignment="1">
      <alignment horizontal="right" vertical="center" shrinkToFit="1"/>
    </xf>
    <xf numFmtId="0" fontId="57" fillId="0" borderId="0" xfId="0" applyNumberFormat="1" applyFont="1" applyBorder="1" applyAlignment="1">
      <alignment horizontal="center" vertical="center" shrinkToFit="1"/>
    </xf>
    <xf numFmtId="187" fontId="57" fillId="0" borderId="26" xfId="0" quotePrefix="1" applyNumberFormat="1" applyFont="1" applyBorder="1" applyAlignment="1">
      <alignment horizontal="right" vertical="center" shrinkToFit="1"/>
    </xf>
    <xf numFmtId="187" fontId="57" fillId="0" borderId="0" xfId="0" quotePrefix="1" applyNumberFormat="1" applyFont="1" applyBorder="1" applyAlignment="1">
      <alignment horizontal="right" vertical="center" shrinkToFit="1"/>
    </xf>
    <xf numFmtId="0" fontId="57" fillId="0" borderId="25" xfId="0" applyFont="1" applyBorder="1" applyAlignment="1">
      <alignment vertical="center"/>
    </xf>
    <xf numFmtId="0" fontId="57" fillId="0" borderId="0" xfId="0" applyFont="1" applyBorder="1" applyAlignment="1">
      <alignment vertical="center"/>
    </xf>
    <xf numFmtId="0" fontId="57" fillId="0" borderId="26" xfId="0" quotePrefix="1" applyFont="1" applyBorder="1" applyAlignment="1">
      <alignment horizontal="right" vertical="center"/>
    </xf>
    <xf numFmtId="0" fontId="58" fillId="0" borderId="24" xfId="0" applyFont="1" applyBorder="1">
      <alignment vertical="center"/>
    </xf>
    <xf numFmtId="0" fontId="57" fillId="0" borderId="0" xfId="0" applyFont="1">
      <alignment vertical="center"/>
    </xf>
    <xf numFmtId="0" fontId="57" fillId="0" borderId="0" xfId="0" quotePrefix="1" applyFont="1">
      <alignment vertical="center"/>
    </xf>
    <xf numFmtId="0" fontId="57" fillId="0" borderId="0" xfId="0" applyFont="1" applyBorder="1">
      <alignment vertical="center"/>
    </xf>
    <xf numFmtId="0" fontId="57" fillId="0" borderId="27" xfId="0" applyFont="1" applyBorder="1">
      <alignment vertical="center"/>
    </xf>
    <xf numFmtId="49" fontId="7" fillId="4" borderId="7" xfId="0" applyNumberFormat="1" applyFont="1" applyFill="1" applyBorder="1" applyAlignment="1">
      <alignment vertical="center"/>
    </xf>
    <xf numFmtId="49" fontId="8" fillId="2" borderId="1" xfId="0" applyNumberFormat="1" applyFont="1" applyFill="1" applyBorder="1" applyAlignment="1">
      <alignment horizontal="center" vertical="center" shrinkToFit="1"/>
    </xf>
    <xf numFmtId="49" fontId="7" fillId="0" borderId="9" xfId="0" applyNumberFormat="1" applyFont="1" applyBorder="1" applyAlignment="1" applyProtection="1">
      <alignment vertical="center" shrinkToFit="1"/>
      <protection locked="0"/>
    </xf>
    <xf numFmtId="49" fontId="7" fillId="8" borderId="9" xfId="0" applyNumberFormat="1" applyFont="1" applyFill="1" applyBorder="1" applyAlignment="1" applyProtection="1">
      <alignment vertical="center"/>
      <protection locked="0"/>
    </xf>
    <xf numFmtId="49" fontId="7" fillId="4" borderId="9" xfId="0" applyNumberFormat="1" applyFont="1" applyFill="1" applyBorder="1" applyAlignment="1" applyProtection="1">
      <alignment vertical="center" shrinkToFit="1"/>
    </xf>
    <xf numFmtId="49" fontId="7" fillId="4" borderId="9" xfId="0" applyNumberFormat="1" applyFont="1" applyFill="1" applyBorder="1" applyAlignment="1" applyProtection="1">
      <alignment vertical="center"/>
    </xf>
    <xf numFmtId="49" fontId="21" fillId="0" borderId="69" xfId="0" applyNumberFormat="1" applyFont="1" applyBorder="1">
      <alignment vertical="center"/>
    </xf>
    <xf numFmtId="0" fontId="21" fillId="0" borderId="69" xfId="0" applyFont="1" applyBorder="1">
      <alignment vertical="center"/>
    </xf>
    <xf numFmtId="0" fontId="21" fillId="0" borderId="69" xfId="0" applyFont="1" applyBorder="1" applyAlignment="1">
      <alignment horizontal="right" vertical="center"/>
    </xf>
    <xf numFmtId="1" fontId="21" fillId="0" borderId="69" xfId="0" applyNumberFormat="1" applyFont="1" applyBorder="1" applyAlignment="1">
      <alignment horizontal="right" vertical="center"/>
    </xf>
    <xf numFmtId="189" fontId="21" fillId="0" borderId="69" xfId="0" applyNumberFormat="1" applyFont="1" applyBorder="1">
      <alignment vertical="center"/>
    </xf>
    <xf numFmtId="189" fontId="0" fillId="0" borderId="0" xfId="0" applyNumberFormat="1">
      <alignment vertical="center"/>
    </xf>
    <xf numFmtId="189" fontId="7" fillId="2" borderId="1" xfId="0" applyNumberFormat="1" applyFont="1" applyFill="1" applyBorder="1" applyAlignment="1">
      <alignment horizontal="center" vertical="center"/>
    </xf>
    <xf numFmtId="189" fontId="0" fillId="0" borderId="3" xfId="0" applyNumberFormat="1" applyBorder="1">
      <alignment vertical="center"/>
    </xf>
    <xf numFmtId="189" fontId="0" fillId="0" borderId="0" xfId="0" applyNumberFormat="1" applyBorder="1">
      <alignment vertical="center"/>
    </xf>
    <xf numFmtId="0" fontId="7" fillId="11" borderId="1" xfId="0" applyFont="1" applyFill="1" applyBorder="1" applyAlignment="1">
      <alignment horizontal="center" vertical="center"/>
    </xf>
    <xf numFmtId="0" fontId="57" fillId="0" borderId="24" xfId="0" applyFont="1" applyBorder="1" applyAlignment="1">
      <alignment vertical="center"/>
    </xf>
    <xf numFmtId="0" fontId="57" fillId="0" borderId="5" xfId="0" applyFont="1" applyBorder="1" applyAlignment="1">
      <alignment vertical="center"/>
    </xf>
    <xf numFmtId="187" fontId="57" fillId="0" borderId="25" xfId="0" quotePrefix="1" applyNumberFormat="1" applyFont="1" applyBorder="1" applyAlignment="1">
      <alignment horizontal="right" vertical="center"/>
    </xf>
    <xf numFmtId="0" fontId="57" fillId="0" borderId="0" xfId="0" applyNumberFormat="1" applyFont="1" applyBorder="1" applyAlignment="1">
      <alignment horizontal="center" vertical="center"/>
    </xf>
    <xf numFmtId="187" fontId="57" fillId="0" borderId="26" xfId="0" quotePrefix="1" applyNumberFormat="1" applyFont="1" applyBorder="1" applyAlignment="1">
      <alignment horizontal="right" vertical="center"/>
    </xf>
    <xf numFmtId="187" fontId="57" fillId="0" borderId="0" xfId="0" quotePrefix="1" applyNumberFormat="1" applyFont="1" applyBorder="1" applyAlignment="1">
      <alignment horizontal="right" vertical="center"/>
    </xf>
    <xf numFmtId="0" fontId="57" fillId="0" borderId="4" xfId="0" applyFont="1" applyBorder="1" applyAlignment="1">
      <alignment vertical="center"/>
    </xf>
    <xf numFmtId="0" fontId="57" fillId="0" borderId="27" xfId="0" applyFont="1" applyBorder="1" applyAlignment="1">
      <alignment vertical="center"/>
    </xf>
    <xf numFmtId="0" fontId="7" fillId="12" borderId="0" xfId="0" applyFont="1" applyFill="1" applyBorder="1" applyAlignment="1" applyProtection="1">
      <alignment horizontal="left" vertical="center" shrinkToFit="1"/>
      <protection locked="0"/>
    </xf>
    <xf numFmtId="0" fontId="7" fillId="12" borderId="0" xfId="0" applyFont="1" applyFill="1" applyBorder="1" applyAlignment="1">
      <alignment horizontal="right" vertical="center"/>
    </xf>
    <xf numFmtId="0" fontId="7" fillId="12" borderId="0" xfId="0" applyFont="1" applyFill="1" applyBorder="1" applyAlignment="1" applyProtection="1">
      <alignment vertical="center"/>
      <protection locked="0"/>
    </xf>
    <xf numFmtId="0" fontId="8" fillId="12" borderId="0" xfId="0" applyFont="1" applyFill="1" applyBorder="1" applyAlignment="1">
      <alignment horizontal="right" vertical="center"/>
    </xf>
    <xf numFmtId="0" fontId="7" fillId="12" borderId="0" xfId="0" applyFont="1" applyFill="1" applyBorder="1" applyAlignment="1" applyProtection="1">
      <alignment vertical="center" shrinkToFit="1"/>
      <protection locked="0"/>
    </xf>
    <xf numFmtId="0" fontId="0" fillId="12" borderId="0" xfId="0" applyFill="1">
      <alignment vertical="center"/>
    </xf>
    <xf numFmtId="0" fontId="7" fillId="4" borderId="0" xfId="0" applyFont="1" applyFill="1" applyBorder="1" applyAlignment="1">
      <alignment horizontal="left" vertical="center" shrinkToFit="1"/>
    </xf>
    <xf numFmtId="0" fontId="28" fillId="49" borderId="1" xfId="0" applyFont="1" applyFill="1" applyBorder="1" applyAlignment="1">
      <alignment vertical="center" wrapText="1" shrinkToFit="1"/>
    </xf>
    <xf numFmtId="0" fontId="7" fillId="0" borderId="9" xfId="0" applyFont="1" applyFill="1" applyBorder="1" applyAlignment="1" applyProtection="1">
      <alignment horizontal="center" vertical="center" shrinkToFit="1"/>
      <protection locked="0"/>
    </xf>
    <xf numFmtId="0" fontId="7" fillId="0" borderId="11" xfId="0" applyFont="1" applyFill="1" applyBorder="1" applyAlignment="1" applyProtection="1">
      <alignment horizontal="center" vertical="center" shrinkToFit="1"/>
      <protection locked="0"/>
    </xf>
    <xf numFmtId="0" fontId="7" fillId="9" borderId="9" xfId="0" applyFont="1" applyFill="1" applyBorder="1" applyAlignment="1" applyProtection="1">
      <alignment horizontal="center" vertical="center" shrinkToFit="1"/>
      <protection locked="0"/>
    </xf>
    <xf numFmtId="0" fontId="7" fillId="9" borderId="10" xfId="0" applyFont="1" applyFill="1" applyBorder="1" applyAlignment="1" applyProtection="1">
      <alignment horizontal="center" vertical="center" shrinkToFit="1"/>
      <protection locked="0"/>
    </xf>
    <xf numFmtId="0" fontId="7" fillId="9" borderId="11" xfId="0" applyFont="1" applyFill="1" applyBorder="1" applyAlignment="1" applyProtection="1">
      <alignment horizontal="center" vertical="center" shrinkToFit="1"/>
      <protection locked="0"/>
    </xf>
    <xf numFmtId="177" fontId="7" fillId="6" borderId="9" xfId="0" applyNumberFormat="1" applyFont="1" applyFill="1" applyBorder="1" applyAlignment="1" applyProtection="1">
      <alignment horizontal="center" vertical="center" shrinkToFit="1"/>
      <protection locked="0"/>
    </xf>
    <xf numFmtId="177" fontId="7" fillId="6" borderId="10" xfId="0" applyNumberFormat="1" applyFont="1" applyFill="1" applyBorder="1" applyAlignment="1" applyProtection="1">
      <alignment horizontal="center" vertical="center" shrinkToFit="1"/>
      <protection locked="0"/>
    </xf>
    <xf numFmtId="177" fontId="7" fillId="6" borderId="11" xfId="0" applyNumberFormat="1" applyFont="1" applyFill="1" applyBorder="1" applyAlignment="1" applyProtection="1">
      <alignment horizontal="center" vertical="center" shrinkToFit="1"/>
      <protection locked="0"/>
    </xf>
    <xf numFmtId="178" fontId="7" fillId="6" borderId="9" xfId="0" applyNumberFormat="1" applyFont="1" applyFill="1" applyBorder="1" applyAlignment="1" applyProtection="1">
      <alignment horizontal="center" vertical="center" shrinkToFit="1"/>
      <protection locked="0"/>
    </xf>
    <xf numFmtId="178" fontId="0" fillId="6" borderId="10" xfId="0" applyNumberFormat="1" applyFill="1" applyBorder="1" applyAlignment="1" applyProtection="1">
      <alignment horizontal="center" vertical="center" shrinkToFit="1"/>
      <protection locked="0"/>
    </xf>
    <xf numFmtId="178" fontId="0" fillId="6" borderId="11" xfId="0" applyNumberFormat="1" applyFill="1" applyBorder="1" applyAlignment="1" applyProtection="1">
      <alignment horizontal="center" vertical="center" shrinkToFit="1"/>
      <protection locked="0"/>
    </xf>
    <xf numFmtId="0" fontId="7" fillId="4" borderId="9" xfId="0" applyFont="1" applyFill="1" applyBorder="1" applyAlignment="1">
      <alignment vertical="center" shrinkToFit="1"/>
    </xf>
    <xf numFmtId="0" fontId="7" fillId="4" borderId="10" xfId="0" applyFont="1" applyFill="1" applyBorder="1" applyAlignment="1">
      <alignment vertical="center" shrinkToFit="1"/>
    </xf>
    <xf numFmtId="0" fontId="7" fillId="4" borderId="11" xfId="0" applyFont="1" applyFill="1" applyBorder="1" applyAlignment="1">
      <alignment vertical="center" shrinkToFit="1"/>
    </xf>
    <xf numFmtId="0" fontId="0" fillId="9" borderId="10" xfId="0" applyFill="1" applyBorder="1" applyAlignment="1" applyProtection="1">
      <alignment horizontal="center" vertical="center" shrinkToFit="1"/>
      <protection locked="0"/>
    </xf>
    <xf numFmtId="0" fontId="0" fillId="9" borderId="11" xfId="0" applyFill="1" applyBorder="1" applyAlignment="1" applyProtection="1">
      <alignment horizontal="center" vertical="center" shrinkToFit="1"/>
      <protection locked="0"/>
    </xf>
    <xf numFmtId="0" fontId="7" fillId="0" borderId="9" xfId="0" applyFont="1" applyFill="1" applyBorder="1" applyAlignment="1" applyProtection="1">
      <alignment horizontal="left" vertical="center" shrinkToFit="1"/>
      <protection locked="0"/>
    </xf>
    <xf numFmtId="0" fontId="7" fillId="0" borderId="10" xfId="0" applyFont="1" applyFill="1" applyBorder="1" applyAlignment="1" applyProtection="1">
      <alignment horizontal="left" vertical="center" shrinkToFit="1"/>
      <protection locked="0"/>
    </xf>
    <xf numFmtId="0" fontId="7" fillId="0" borderId="11" xfId="0" applyFont="1" applyFill="1" applyBorder="1" applyAlignment="1" applyProtection="1">
      <alignment horizontal="left" vertical="center" shrinkToFit="1"/>
      <protection locked="0"/>
    </xf>
    <xf numFmtId="0" fontId="17" fillId="10" borderId="43" xfId="0" applyFont="1" applyFill="1" applyBorder="1" applyAlignment="1">
      <alignment horizontal="left" vertical="center" wrapText="1"/>
    </xf>
    <xf numFmtId="0" fontId="17" fillId="10" borderId="34" xfId="0" applyFont="1" applyFill="1" applyBorder="1" applyAlignment="1">
      <alignment horizontal="left" vertical="center" wrapText="1"/>
    </xf>
    <xf numFmtId="0" fontId="17" fillId="13" borderId="34" xfId="0" applyFont="1" applyFill="1" applyBorder="1" applyAlignment="1">
      <alignment horizontal="left" vertical="top" wrapText="1"/>
    </xf>
    <xf numFmtId="0" fontId="17" fillId="13" borderId="34" xfId="0" applyFont="1" applyFill="1" applyBorder="1" applyAlignment="1">
      <alignment horizontal="left" vertical="center" wrapText="1"/>
    </xf>
    <xf numFmtId="0" fontId="0" fillId="13" borderId="34" xfId="0" applyFill="1" applyBorder="1" applyAlignment="1">
      <alignment horizontal="left" vertical="top" wrapText="1"/>
    </xf>
    <xf numFmtId="0" fontId="17" fillId="10" borderId="34" xfId="0" applyFont="1" applyFill="1" applyBorder="1" applyAlignment="1">
      <alignment horizontal="left" vertical="top" wrapText="1"/>
    </xf>
    <xf numFmtId="0" fontId="17" fillId="13" borderId="38" xfId="0" applyFont="1" applyFill="1" applyBorder="1" applyAlignment="1">
      <alignment horizontal="left" vertical="top" wrapText="1"/>
    </xf>
    <xf numFmtId="0" fontId="17" fillId="10" borderId="0" xfId="0" applyFont="1" applyFill="1" applyBorder="1" applyAlignment="1">
      <alignment horizontal="left" vertical="center" wrapText="1"/>
    </xf>
    <xf numFmtId="0" fontId="21" fillId="13" borderId="34" xfId="0" applyFont="1" applyFill="1" applyBorder="1" applyAlignment="1">
      <alignment horizontal="left" vertical="top" wrapText="1"/>
    </xf>
    <xf numFmtId="0" fontId="0" fillId="10" borderId="0" xfId="0" applyFill="1" applyAlignment="1">
      <alignment horizontal="left" vertical="center" wrapText="1"/>
    </xf>
    <xf numFmtId="0" fontId="0" fillId="10" borderId="0" xfId="0" applyFill="1" applyAlignment="1">
      <alignment horizontal="left" vertical="center"/>
    </xf>
    <xf numFmtId="0" fontId="21" fillId="13" borderId="34" xfId="0" applyFont="1" applyFill="1" applyBorder="1" applyAlignment="1">
      <alignment horizontal="left" vertical="top"/>
    </xf>
    <xf numFmtId="0" fontId="4" fillId="4" borderId="9" xfId="1" applyFont="1" applyFill="1" applyBorder="1" applyAlignment="1">
      <alignment horizontal="center" vertical="center" shrinkToFit="1"/>
    </xf>
    <xf numFmtId="0" fontId="4" fillId="4" borderId="10" xfId="1" applyFont="1" applyFill="1" applyBorder="1" applyAlignment="1">
      <alignment horizontal="center" vertical="center" shrinkToFit="1"/>
    </xf>
    <xf numFmtId="0" fontId="4" fillId="4" borderId="11" xfId="1" applyFont="1" applyFill="1" applyBorder="1" applyAlignment="1">
      <alignment horizontal="center" vertical="center" shrinkToFit="1"/>
    </xf>
    <xf numFmtId="0" fontId="4" fillId="5" borderId="9" xfId="1" applyFont="1" applyFill="1" applyBorder="1" applyAlignment="1">
      <alignment horizontal="center" vertical="center" shrinkToFit="1"/>
    </xf>
    <xf numFmtId="0" fontId="4" fillId="5" borderId="10" xfId="1" applyFont="1" applyFill="1" applyBorder="1" applyAlignment="1">
      <alignment horizontal="center" vertical="center" shrinkToFit="1"/>
    </xf>
    <xf numFmtId="0" fontId="4" fillId="5" borderId="11" xfId="1" applyFont="1" applyFill="1" applyBorder="1" applyAlignment="1">
      <alignment horizontal="center" vertical="center" shrinkToFit="1"/>
    </xf>
    <xf numFmtId="0" fontId="7" fillId="6" borderId="9" xfId="0" applyFont="1" applyFill="1" applyBorder="1" applyAlignment="1" applyProtection="1">
      <alignment horizontal="left" vertical="center" shrinkToFit="1"/>
      <protection locked="0"/>
    </xf>
    <xf numFmtId="0" fontId="7" fillId="6" borderId="11" xfId="0" applyFont="1" applyFill="1" applyBorder="1" applyAlignment="1" applyProtection="1">
      <alignment horizontal="left" vertical="center" shrinkToFit="1"/>
      <protection locked="0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176" fontId="7" fillId="4" borderId="9" xfId="0" quotePrefix="1" applyNumberFormat="1" applyFont="1" applyFill="1" applyBorder="1" applyAlignment="1">
      <alignment horizontal="center" vertical="center"/>
    </xf>
    <xf numFmtId="176" fontId="7" fillId="4" borderId="11" xfId="0" quotePrefix="1" applyNumberFormat="1" applyFont="1" applyFill="1" applyBorder="1" applyAlignment="1">
      <alignment horizontal="center" vertical="center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11" xfId="0" applyFont="1" applyFill="1" applyBorder="1" applyAlignment="1" applyProtection="1">
      <alignment horizontal="left" vertical="center"/>
      <protection locked="0"/>
    </xf>
    <xf numFmtId="0" fontId="7" fillId="9" borderId="9" xfId="0" applyFont="1" applyFill="1" applyBorder="1" applyAlignment="1" applyProtection="1">
      <alignment horizontal="left" vertical="center" shrinkToFit="1"/>
      <protection locked="0"/>
    </xf>
    <xf numFmtId="0" fontId="7" fillId="9" borderId="11" xfId="0" applyFont="1" applyFill="1" applyBorder="1" applyAlignment="1" applyProtection="1">
      <alignment horizontal="left" vertical="center" shrinkToFit="1"/>
      <protection locked="0"/>
    </xf>
    <xf numFmtId="0" fontId="7" fillId="0" borderId="2" xfId="0" applyFont="1" applyFill="1" applyBorder="1" applyAlignment="1" applyProtection="1">
      <alignment horizontal="left" vertical="top" wrapText="1"/>
      <protection locked="0"/>
    </xf>
    <xf numFmtId="0" fontId="7" fillId="0" borderId="3" xfId="0" applyFont="1" applyFill="1" applyBorder="1" applyAlignment="1" applyProtection="1">
      <alignment horizontal="left" vertical="top" wrapText="1"/>
      <protection locked="0"/>
    </xf>
    <xf numFmtId="0" fontId="7" fillId="0" borderId="15" xfId="0" applyFont="1" applyFill="1" applyBorder="1" applyAlignment="1" applyProtection="1">
      <alignment horizontal="left" vertical="top" wrapText="1"/>
      <protection locked="0"/>
    </xf>
    <xf numFmtId="0" fontId="7" fillId="0" borderId="6" xfId="0" applyFont="1" applyFill="1" applyBorder="1" applyAlignment="1" applyProtection="1">
      <alignment horizontal="left" vertical="top" wrapText="1"/>
      <protection locked="0"/>
    </xf>
    <xf numFmtId="0" fontId="7" fillId="0" borderId="7" xfId="0" applyFont="1" applyFill="1" applyBorder="1" applyAlignment="1" applyProtection="1">
      <alignment horizontal="left" vertical="top" wrapText="1"/>
      <protection locked="0"/>
    </xf>
    <xf numFmtId="0" fontId="7" fillId="0" borderId="8" xfId="0" applyFont="1" applyFill="1" applyBorder="1" applyAlignment="1" applyProtection="1">
      <alignment horizontal="left" vertical="top" wrapText="1"/>
      <protection locked="0"/>
    </xf>
    <xf numFmtId="178" fontId="7" fillId="6" borderId="9" xfId="0" applyNumberFormat="1" applyFont="1" applyFill="1" applyBorder="1" applyAlignment="1" applyProtection="1">
      <alignment horizontal="left" vertical="center" shrinkToFit="1"/>
      <protection locked="0"/>
    </xf>
    <xf numFmtId="178" fontId="7" fillId="6" borderId="11" xfId="0" applyNumberFormat="1" applyFont="1" applyFill="1" applyBorder="1" applyAlignment="1" applyProtection="1">
      <alignment horizontal="left" vertical="center" shrinkToFit="1"/>
      <protection locked="0"/>
    </xf>
    <xf numFmtId="49" fontId="7" fillId="0" borderId="2" xfId="0" applyNumberFormat="1" applyFont="1" applyFill="1" applyBorder="1" applyAlignment="1" applyProtection="1">
      <alignment vertical="top" wrapText="1"/>
      <protection locked="0"/>
    </xf>
    <xf numFmtId="49" fontId="0" fillId="0" borderId="3" xfId="0" applyNumberFormat="1" applyFill="1" applyBorder="1" applyAlignment="1" applyProtection="1">
      <alignment vertical="top" wrapText="1"/>
      <protection locked="0"/>
    </xf>
    <xf numFmtId="49" fontId="0" fillId="0" borderId="15" xfId="0" applyNumberFormat="1" applyFill="1" applyBorder="1" applyAlignment="1" applyProtection="1">
      <alignment vertical="top" wrapText="1"/>
      <protection locked="0"/>
    </xf>
    <xf numFmtId="49" fontId="0" fillId="0" borderId="6" xfId="0" applyNumberFormat="1" applyFill="1" applyBorder="1" applyAlignment="1" applyProtection="1">
      <alignment vertical="top" wrapText="1"/>
      <protection locked="0"/>
    </xf>
    <xf numFmtId="49" fontId="0" fillId="0" borderId="7" xfId="0" applyNumberFormat="1" applyFill="1" applyBorder="1" applyAlignment="1" applyProtection="1">
      <alignment vertical="top" wrapText="1"/>
      <protection locked="0"/>
    </xf>
    <xf numFmtId="49" fontId="0" fillId="0" borderId="8" xfId="0" applyNumberFormat="1" applyFill="1" applyBorder="1" applyAlignment="1" applyProtection="1">
      <alignment vertical="top" wrapText="1"/>
      <protection locked="0"/>
    </xf>
    <xf numFmtId="0" fontId="13" fillId="4" borderId="0" xfId="0" applyFont="1" applyFill="1" applyBorder="1" applyAlignment="1">
      <alignment horizontal="center" vertical="center"/>
    </xf>
    <xf numFmtId="176" fontId="13" fillId="4" borderId="0" xfId="0" quotePrefix="1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 shrinkToFit="1"/>
    </xf>
    <xf numFmtId="0" fontId="7" fillId="4" borderId="2" xfId="0" applyFont="1" applyFill="1" applyBorder="1" applyAlignment="1">
      <alignment horizontal="left" vertical="top" wrapText="1"/>
    </xf>
    <xf numFmtId="0" fontId="7" fillId="4" borderId="3" xfId="0" applyFont="1" applyFill="1" applyBorder="1" applyAlignment="1">
      <alignment horizontal="left" vertical="top" wrapText="1"/>
    </xf>
    <xf numFmtId="0" fontId="7" fillId="4" borderId="15" xfId="0" applyFont="1" applyFill="1" applyBorder="1" applyAlignment="1">
      <alignment horizontal="left" vertical="top" wrapText="1"/>
    </xf>
    <xf numFmtId="0" fontId="7" fillId="4" borderId="6" xfId="0" applyFont="1" applyFill="1" applyBorder="1" applyAlignment="1">
      <alignment horizontal="left" vertical="top" wrapText="1"/>
    </xf>
    <xf numFmtId="0" fontId="7" fillId="4" borderId="7" xfId="0" applyFont="1" applyFill="1" applyBorder="1" applyAlignment="1">
      <alignment horizontal="left" vertical="top" wrapText="1"/>
    </xf>
    <xf numFmtId="0" fontId="7" fillId="4" borderId="8" xfId="0" applyFont="1" applyFill="1" applyBorder="1" applyAlignment="1">
      <alignment horizontal="left" vertical="top" wrapText="1"/>
    </xf>
    <xf numFmtId="0" fontId="7" fillId="4" borderId="9" xfId="0" applyFont="1" applyFill="1" applyBorder="1" applyAlignment="1" applyProtection="1">
      <alignment horizontal="left" vertical="center" shrinkToFit="1"/>
    </xf>
    <xf numFmtId="0" fontId="7" fillId="4" borderId="10" xfId="0" applyFont="1" applyFill="1" applyBorder="1" applyAlignment="1" applyProtection="1">
      <alignment horizontal="left" vertical="center" shrinkToFit="1"/>
    </xf>
    <xf numFmtId="0" fontId="7" fillId="4" borderId="11" xfId="0" applyFont="1" applyFill="1" applyBorder="1" applyAlignment="1" applyProtection="1">
      <alignment horizontal="left" vertical="center" shrinkToFit="1"/>
    </xf>
    <xf numFmtId="49" fontId="7" fillId="6" borderId="9" xfId="0" applyNumberFormat="1" applyFont="1" applyFill="1" applyBorder="1" applyAlignment="1" applyProtection="1">
      <alignment horizontal="left" vertical="center" shrinkToFit="1"/>
      <protection locked="0"/>
    </xf>
    <xf numFmtId="49" fontId="7" fillId="6" borderId="11" xfId="0" applyNumberFormat="1" applyFont="1" applyFill="1" applyBorder="1" applyAlignment="1" applyProtection="1">
      <alignment horizontal="left" vertical="center" shrinkToFit="1"/>
      <protection locked="0"/>
    </xf>
    <xf numFmtId="0" fontId="7" fillId="4" borderId="9" xfId="0" applyFont="1" applyFill="1" applyBorder="1" applyAlignment="1">
      <alignment horizontal="left" vertical="center" shrinkToFit="1"/>
    </xf>
    <xf numFmtId="0" fontId="7" fillId="4" borderId="11" xfId="0" applyFont="1" applyFill="1" applyBorder="1" applyAlignment="1">
      <alignment horizontal="left" vertical="center" shrinkToFit="1"/>
    </xf>
    <xf numFmtId="49" fontId="7" fillId="4" borderId="9" xfId="0" applyNumberFormat="1" applyFont="1" applyFill="1" applyBorder="1" applyAlignment="1" applyProtection="1">
      <alignment horizontal="left" vertical="center" shrinkToFit="1"/>
    </xf>
    <xf numFmtId="49" fontId="7" fillId="4" borderId="11" xfId="0" applyNumberFormat="1" applyFont="1" applyFill="1" applyBorder="1" applyAlignment="1" applyProtection="1">
      <alignment horizontal="left" vertical="center" shrinkToFit="1"/>
    </xf>
    <xf numFmtId="49" fontId="7" fillId="12" borderId="2" xfId="0" applyNumberFormat="1" applyFont="1" applyFill="1" applyBorder="1" applyAlignment="1" applyProtection="1">
      <alignment vertical="top" wrapText="1"/>
    </xf>
    <xf numFmtId="49" fontId="0" fillId="12" borderId="3" xfId="0" applyNumberFormat="1" applyFill="1" applyBorder="1" applyAlignment="1" applyProtection="1">
      <alignment vertical="top" wrapText="1"/>
    </xf>
    <xf numFmtId="49" fontId="0" fillId="12" borderId="15" xfId="0" applyNumberFormat="1" applyFill="1" applyBorder="1" applyAlignment="1" applyProtection="1">
      <alignment vertical="top" wrapText="1"/>
    </xf>
    <xf numFmtId="49" fontId="0" fillId="12" borderId="6" xfId="0" applyNumberFormat="1" applyFill="1" applyBorder="1" applyAlignment="1" applyProtection="1">
      <alignment vertical="top" wrapText="1"/>
    </xf>
    <xf numFmtId="49" fontId="0" fillId="12" borderId="7" xfId="0" applyNumberFormat="1" applyFill="1" applyBorder="1" applyAlignment="1" applyProtection="1">
      <alignment vertical="top" wrapText="1"/>
    </xf>
    <xf numFmtId="49" fontId="0" fillId="12" borderId="8" xfId="0" applyNumberFormat="1" applyFill="1" applyBorder="1" applyAlignment="1" applyProtection="1">
      <alignment vertical="top" wrapText="1"/>
    </xf>
    <xf numFmtId="0" fontId="7" fillId="0" borderId="1" xfId="0" applyFont="1" applyFill="1" applyBorder="1" applyAlignment="1" applyProtection="1">
      <alignment horizontal="left" vertical="center"/>
      <protection locked="0"/>
    </xf>
    <xf numFmtId="0" fontId="7" fillId="9" borderId="1" xfId="0" applyFont="1" applyFill="1" applyBorder="1" applyAlignment="1" applyProtection="1">
      <alignment horizontal="left" vertical="center" shrinkToFit="1"/>
      <protection locked="0"/>
    </xf>
    <xf numFmtId="0" fontId="7" fillId="2" borderId="1" xfId="0" applyFont="1" applyFill="1" applyBorder="1" applyAlignment="1">
      <alignment horizontal="left" vertical="center" shrinkToFit="1"/>
    </xf>
    <xf numFmtId="187" fontId="57" fillId="0" borderId="24" xfId="0" applyNumberFormat="1" applyFont="1" applyBorder="1" applyAlignment="1">
      <alignment horizontal="right" vertical="center" shrinkToFit="1"/>
    </xf>
    <xf numFmtId="0" fontId="57" fillId="0" borderId="0" xfId="0" applyFont="1" applyBorder="1" applyAlignment="1">
      <alignment horizontal="right" vertical="center" shrinkToFit="1"/>
    </xf>
    <xf numFmtId="0" fontId="57" fillId="0" borderId="5" xfId="0" applyFont="1" applyBorder="1" applyAlignment="1">
      <alignment horizontal="right" vertical="center" shrinkToFit="1"/>
    </xf>
    <xf numFmtId="0" fontId="57" fillId="0" borderId="50" xfId="0" applyFont="1" applyBorder="1" applyAlignment="1">
      <alignment horizontal="left" vertical="center" shrinkToFit="1"/>
    </xf>
    <xf numFmtId="0" fontId="57" fillId="0" borderId="49" xfId="0" applyFont="1" applyBorder="1" applyAlignment="1">
      <alignment horizontal="left" vertical="center" shrinkToFit="1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57" fillId="0" borderId="24" xfId="0" applyFont="1" applyBorder="1" applyAlignment="1">
      <alignment horizontal="left" vertical="center" shrinkToFit="1"/>
    </xf>
    <xf numFmtId="0" fontId="57" fillId="0" borderId="0" xfId="0" applyFont="1" applyBorder="1" applyAlignment="1">
      <alignment horizontal="left" vertical="center" shrinkToFit="1"/>
    </xf>
    <xf numFmtId="0" fontId="57" fillId="0" borderId="5" xfId="0" applyFont="1" applyBorder="1" applyAlignment="1">
      <alignment horizontal="left" vertical="center" shrinkToFit="1"/>
    </xf>
    <xf numFmtId="0" fontId="53" fillId="0" borderId="0" xfId="0" applyFont="1" applyBorder="1" applyAlignment="1">
      <alignment horizontal="left" shrinkToFit="1"/>
    </xf>
    <xf numFmtId="0" fontId="56" fillId="0" borderId="18" xfId="0" applyFont="1" applyBorder="1" applyAlignment="1">
      <alignment horizontal="center" vertical="center"/>
    </xf>
    <xf numFmtId="0" fontId="56" fillId="0" borderId="19" xfId="0" applyFont="1" applyBorder="1" applyAlignment="1">
      <alignment horizontal="center" vertical="center"/>
    </xf>
    <xf numFmtId="182" fontId="50" fillId="0" borderId="0" xfId="0" applyNumberFormat="1" applyFont="1" applyBorder="1" applyAlignment="1">
      <alignment horizontal="right" vertical="center" shrinkToFit="1"/>
    </xf>
    <xf numFmtId="0" fontId="7" fillId="0" borderId="0" xfId="0" applyFont="1" applyBorder="1" applyAlignment="1">
      <alignment horizontal="center" vertical="center" shrinkToFit="1"/>
    </xf>
    <xf numFmtId="0" fontId="56" fillId="0" borderId="22" xfId="0" applyFont="1" applyBorder="1" applyAlignment="1">
      <alignment horizontal="center" vertical="center"/>
    </xf>
    <xf numFmtId="0" fontId="56" fillId="0" borderId="23" xfId="0" applyFont="1" applyBorder="1" applyAlignment="1">
      <alignment horizontal="center" vertical="center"/>
    </xf>
    <xf numFmtId="0" fontId="50" fillId="0" borderId="7" xfId="0" applyFont="1" applyBorder="1" applyAlignment="1">
      <alignment horizontal="left" shrinkToFit="1"/>
    </xf>
    <xf numFmtId="0" fontId="50" fillId="0" borderId="7" xfId="0" applyNumberFormat="1" applyFont="1" applyBorder="1" applyAlignment="1">
      <alignment horizontal="left" wrapText="1" shrinkToFit="1"/>
    </xf>
    <xf numFmtId="0" fontId="50" fillId="0" borderId="7" xfId="0" applyNumberFormat="1" applyFont="1" applyBorder="1" applyAlignment="1">
      <alignment horizontal="left" shrinkToFit="1"/>
    </xf>
    <xf numFmtId="49" fontId="50" fillId="0" borderId="7" xfId="0" applyNumberFormat="1" applyFont="1" applyBorder="1" applyAlignment="1">
      <alignment horizontal="center" shrinkToFit="1"/>
    </xf>
    <xf numFmtId="0" fontId="55" fillId="0" borderId="3" xfId="0" applyFont="1" applyBorder="1" applyAlignment="1">
      <alignment horizontal="right" vertical="center" shrinkToFit="1"/>
    </xf>
    <xf numFmtId="0" fontId="55" fillId="0" borderId="0" xfId="0" applyNumberFormat="1" applyFont="1" applyBorder="1" applyAlignment="1">
      <alignment horizontal="left" vertical="center" shrinkToFit="1"/>
    </xf>
    <xf numFmtId="0" fontId="7" fillId="4" borderId="0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0" fillId="10" borderId="40" xfId="0" applyFill="1" applyBorder="1" applyAlignment="1">
      <alignment horizontal="left" vertical="center" wrapText="1"/>
    </xf>
    <xf numFmtId="0" fontId="0" fillId="10" borderId="40" xfId="0" applyFill="1" applyBorder="1" applyAlignment="1">
      <alignment horizontal="left" vertical="center"/>
    </xf>
    <xf numFmtId="0" fontId="17" fillId="10" borderId="40" xfId="0" applyFont="1" applyFill="1" applyBorder="1" applyAlignment="1">
      <alignment horizontal="left" vertical="center" wrapText="1"/>
    </xf>
    <xf numFmtId="0" fontId="17" fillId="13" borderId="40" xfId="0" applyFont="1" applyFill="1" applyBorder="1" applyAlignment="1">
      <alignment horizontal="left" vertical="top" wrapText="1"/>
    </xf>
    <xf numFmtId="0" fontId="17" fillId="13" borderId="42" xfId="0" applyFont="1" applyFill="1" applyBorder="1" applyAlignment="1">
      <alignment horizontal="left" vertical="top" wrapText="1"/>
    </xf>
    <xf numFmtId="0" fontId="17" fillId="13" borderId="40" xfId="0" applyFont="1" applyFill="1" applyBorder="1" applyAlignment="1">
      <alignment horizontal="left" vertical="center" wrapText="1"/>
    </xf>
    <xf numFmtId="0" fontId="0" fillId="13" borderId="40" xfId="0" applyFill="1" applyBorder="1" applyAlignment="1">
      <alignment horizontal="left" vertical="top" wrapText="1"/>
    </xf>
  </cellXfs>
  <cellStyles count="44">
    <cellStyle name="20% - アクセント 1" xfId="21" builtinId="30" customBuiltin="1"/>
    <cellStyle name="20% - アクセント 2" xfId="25" builtinId="34" customBuiltin="1"/>
    <cellStyle name="20% - アクセント 3" xfId="29" builtinId="38" customBuiltin="1"/>
    <cellStyle name="20% - アクセント 4" xfId="33" builtinId="42" customBuiltin="1"/>
    <cellStyle name="20% - アクセント 5" xfId="37" builtinId="46" customBuiltin="1"/>
    <cellStyle name="20% - アクセント 6" xfId="41" builtinId="50" customBuiltin="1"/>
    <cellStyle name="40% - アクセント 1" xfId="22" builtinId="31" customBuiltin="1"/>
    <cellStyle name="40% - アクセント 2" xfId="26" builtinId="35" customBuiltin="1"/>
    <cellStyle name="40% - アクセント 3" xfId="30" builtinId="39" customBuiltin="1"/>
    <cellStyle name="40% - アクセント 4" xfId="34" builtinId="43" customBuiltin="1"/>
    <cellStyle name="40% - アクセント 5" xfId="38" builtinId="47" customBuiltin="1"/>
    <cellStyle name="40% - アクセント 6" xfId="42" builtinId="51" customBuiltin="1"/>
    <cellStyle name="60% - アクセント 1" xfId="23" builtinId="32" customBuiltin="1"/>
    <cellStyle name="60% - アクセント 2" xfId="27" builtinId="36" customBuiltin="1"/>
    <cellStyle name="60% - アクセント 3" xfId="31" builtinId="40" customBuiltin="1"/>
    <cellStyle name="60% - アクセント 4" xfId="35" builtinId="44" customBuiltin="1"/>
    <cellStyle name="60% - アクセント 5" xfId="39" builtinId="48" customBuiltin="1"/>
    <cellStyle name="60% - アクセント 6" xfId="43" builtinId="52" customBuiltin="1"/>
    <cellStyle name="アクセント 1" xfId="20" builtinId="29" customBuiltin="1"/>
    <cellStyle name="アクセント 2" xfId="24" builtinId="33" customBuiltin="1"/>
    <cellStyle name="アクセント 3" xfId="28" builtinId="37" customBuiltin="1"/>
    <cellStyle name="アクセント 4" xfId="32" builtinId="41" customBuiltin="1"/>
    <cellStyle name="アクセント 5" xfId="36" builtinId="45" customBuiltin="1"/>
    <cellStyle name="アクセント 6" xfId="40" builtinId="49" customBuiltin="1"/>
    <cellStyle name="タイトル" xfId="3" builtinId="15" customBuiltin="1"/>
    <cellStyle name="チェック セル" xfId="15" builtinId="23" customBuiltin="1"/>
    <cellStyle name="どちらでもない" xfId="10" builtinId="28" customBuiltin="1"/>
    <cellStyle name="メモ" xfId="17" builtinId="10" customBuiltin="1"/>
    <cellStyle name="リンク セル" xfId="14" builtinId="24" customBuiltin="1"/>
    <cellStyle name="悪い" xfId="9" builtinId="27" customBuiltin="1"/>
    <cellStyle name="計算" xfId="13" builtinId="22" customBuiltin="1"/>
    <cellStyle name="警告文" xfId="16" builtinId="11" customBuiltin="1"/>
    <cellStyle name="見出し 1" xfId="4" builtinId="16" customBuiltin="1"/>
    <cellStyle name="見出し 2" xfId="5" builtinId="17" customBuiltin="1"/>
    <cellStyle name="見出し 3" xfId="6" builtinId="18" customBuiltin="1"/>
    <cellStyle name="見出し 4" xfId="7" builtinId="19" customBuiltin="1"/>
    <cellStyle name="集計" xfId="19" builtinId="25" customBuiltin="1"/>
    <cellStyle name="出力" xfId="12" builtinId="21" customBuiltin="1"/>
    <cellStyle name="説明文" xfId="18" builtinId="53" customBuiltin="1"/>
    <cellStyle name="入力" xfId="11" builtinId="20" customBuiltin="1"/>
    <cellStyle name="標準" xfId="0" builtinId="0"/>
    <cellStyle name="標準 2" xfId="2"/>
    <cellStyle name="標準_外部一覧" xfId="1"/>
    <cellStyle name="良い" xfId="8" builtinId="26" customBuiltin="1"/>
  </cellStyles>
  <dxfs count="121">
    <dxf>
      <fill>
        <patternFill>
          <bgColor rgb="FFFFFF66"/>
        </patternFill>
      </fill>
    </dxf>
    <dxf>
      <numFmt numFmtId="190" formatCode="yyyy&quot;年&quot;m&quot;月&quot;d&quot;日&quot;;@"/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numFmt numFmtId="176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FF00"/>
        </patternFill>
      </fill>
    </dxf>
    <dxf>
      <numFmt numFmtId="176" formatCode="#,##0_ ;[Red]\-#,##0\ "/>
    </dxf>
    <dxf>
      <fill>
        <patternFill>
          <bgColor rgb="FFFFFF66"/>
        </patternFill>
      </fill>
    </dxf>
  </dxfs>
  <tableStyles count="0" defaultTableStyle="TableStyleMedium9" defaultPivotStyle="PivotStyleLight16"/>
  <colors>
    <mruColors>
      <color rgb="FFCCFFCC"/>
      <color rgb="FFFFFF99"/>
      <color rgb="FFFFFF66"/>
      <color rgb="FF8DB4E2"/>
      <color rgb="FF0033CC"/>
      <color rgb="FF00FF00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UNMT0010_H_SANKO_STS" lockText="1" noThreeD="1"/>
</file>

<file path=xl/ctrlProps/ctrlProp2.xml><?xml version="1.0" encoding="utf-8"?>
<formControlPr xmlns="http://schemas.microsoft.com/office/spreadsheetml/2009/9/main" objectType="CheckBox" checked="Checked" fmlaLink="UNMT0010_H_SHIROJI_STS" lockText="1" noThreeD="1"/>
</file>

<file path=xl/ctrlProps/ctrlProp3.xml><?xml version="1.0" encoding="utf-8"?>
<formControlPr xmlns="http://schemas.microsoft.com/office/spreadsheetml/2009/9/main" objectType="CheckBox" checked="Checked" fmlaLink="UNMT0010_H_SHIKAKARI_STS" lockText="1" noThreeD="1"/>
</file>

<file path=xl/ctrlProps/ctrlProp4.xml><?xml version="1.0" encoding="utf-8"?>
<formControlPr xmlns="http://schemas.microsoft.com/office/spreadsheetml/2009/9/main" objectType="CheckBox" checked="Checked" fmlaLink="UNMT0010_H_MIKOMI_STS" lockText="1" noThreeD="1"/>
</file>

<file path=xl/ctrlProps/ctrlProp5.xml><?xml version="1.0" encoding="utf-8"?>
<formControlPr xmlns="http://schemas.microsoft.com/office/spreadsheetml/2009/9/main" objectType="CheckBox" checked="Checked" fmlaLink="UNMT0010_H_JUCHUSUMI_STS" lockText="1" noThreeD="1"/>
</file>

<file path=xl/ctrlProps/ctrlProp6.xml><?xml version="1.0" encoding="utf-8"?>
<formControlPr xmlns="http://schemas.microsoft.com/office/spreadsheetml/2009/9/main" objectType="Radio" checked="Checked" firstButton="1" fmlaLink="UNMT0010_H_FREEWD_KBN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fmlaLink="UNMT0010_H_DEL_HYOJI_FLG" lockText="1" noThreeD="1"/>
</file>

<file path=xl/ctrlProps/ctrlProp10.xml><?xml version="1.0" encoding="utf-8"?>
<formControlPr xmlns="http://schemas.microsoft.com/office/spreadsheetml/2009/9/main" objectType="CheckBox" checked="Checked" fmlaLink="UNMT0010_H_NO_SHOHIN_CD_HYOJI_FLG" lockText="1" noThreeD="1"/>
</file>

<file path=xl/ctrlProps/ctrlProp11.xml><?xml version="1.0" encoding="utf-8"?>
<formControlPr xmlns="http://schemas.microsoft.com/office/spreadsheetml/2009/9/main" objectType="Radio" checked="Checked" firstButton="1" fmlaLink="UNMT0020_H_KOYOMI_KBN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CheckBox" checked="Checked" fmlaLink="UNMT0020_H_TANTO_MARK_FLG" lockText="1" noThreeD="1"/>
</file>

<file path=xl/ctrlProps/ctrlProp15.xml><?xml version="1.0" encoding="utf-8"?>
<formControlPr xmlns="http://schemas.microsoft.com/office/spreadsheetml/2009/9/main" objectType="CheckBox" fmlaLink="UNMT0020_H_DAIHYO_MEI_FLG" lockText="1" noThreeD="1"/>
</file>

<file path=xl/ctrlProps/ctrlProp16.xml><?xml version="1.0" encoding="utf-8"?>
<formControlPr xmlns="http://schemas.microsoft.com/office/spreadsheetml/2009/9/main" objectType="CheckBox" checked="Checked" fmlaLink="UNMT0020_H_KAISHA_MARK_FLG" lockText="1" noThreeD="1"/>
</file>

<file path=xl/ctrlProps/ctrlProp17.xml><?xml version="1.0" encoding="utf-8"?>
<formControlPr xmlns="http://schemas.microsoft.com/office/spreadsheetml/2009/9/main" objectType="CheckBox" fmlaLink="UNMT0020_H_SHONIN_RAN_FLG" lockText="1" noThreeD="1"/>
</file>

<file path=xl/ctrlProps/ctrlProp18.xml><?xml version="1.0" encoding="utf-8"?>
<formControlPr xmlns="http://schemas.microsoft.com/office/spreadsheetml/2009/9/main" objectType="CheckBox" fmlaLink="UNMT0020_H_ZEIKOMI_PRINT_FLG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</xdr:row>
          <xdr:rowOff>28575</xdr:rowOff>
        </xdr:from>
        <xdr:to>
          <xdr:col>11</xdr:col>
          <xdr:colOff>133350</xdr:colOff>
          <xdr:row>2</xdr:row>
          <xdr:rowOff>171450</xdr:rowOff>
        </xdr:to>
        <xdr:sp macro="" textlink="">
          <xdr:nvSpPr>
            <xdr:cNvPr id="276481" name="Check Box 1" hidden="1">
              <a:extLst>
                <a:ext uri="{63B3BB69-23CF-44E3-9099-C40C66FF867C}">
                  <a14:compatExt spid="_x0000_s276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</xdr:row>
          <xdr:rowOff>28575</xdr:rowOff>
        </xdr:from>
        <xdr:to>
          <xdr:col>14</xdr:col>
          <xdr:colOff>142875</xdr:colOff>
          <xdr:row>2</xdr:row>
          <xdr:rowOff>171450</xdr:rowOff>
        </xdr:to>
        <xdr:sp macro="" textlink="">
          <xdr:nvSpPr>
            <xdr:cNvPr id="276482" name="Check Box 2" hidden="1">
              <a:extLst>
                <a:ext uri="{63B3BB69-23CF-44E3-9099-C40C66FF867C}">
                  <a14:compatExt spid="_x0000_s276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</xdr:row>
          <xdr:rowOff>28575</xdr:rowOff>
        </xdr:from>
        <xdr:to>
          <xdr:col>17</xdr:col>
          <xdr:colOff>95250</xdr:colOff>
          <xdr:row>2</xdr:row>
          <xdr:rowOff>171450</xdr:rowOff>
        </xdr:to>
        <xdr:sp macro="" textlink="">
          <xdr:nvSpPr>
            <xdr:cNvPr id="276483" name="Check Box 3" hidden="1">
              <a:extLst>
                <a:ext uri="{63B3BB69-23CF-44E3-9099-C40C66FF867C}">
                  <a14:compatExt spid="_x0000_s276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2</xdr:row>
          <xdr:rowOff>28575</xdr:rowOff>
        </xdr:from>
        <xdr:to>
          <xdr:col>20</xdr:col>
          <xdr:colOff>104775</xdr:colOff>
          <xdr:row>2</xdr:row>
          <xdr:rowOff>171450</xdr:rowOff>
        </xdr:to>
        <xdr:sp macro="" textlink="">
          <xdr:nvSpPr>
            <xdr:cNvPr id="276484" name="Check Box 4" hidden="1">
              <a:extLst>
                <a:ext uri="{63B3BB69-23CF-44E3-9099-C40C66FF867C}">
                  <a14:compatExt spid="_x0000_s276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28575</xdr:rowOff>
        </xdr:from>
        <xdr:to>
          <xdr:col>24</xdr:col>
          <xdr:colOff>0</xdr:colOff>
          <xdr:row>2</xdr:row>
          <xdr:rowOff>171450</xdr:rowOff>
        </xdr:to>
        <xdr:sp macro="" textlink="">
          <xdr:nvSpPr>
            <xdr:cNvPr id="276485" name="Check Box 5" hidden="1">
              <a:extLst>
                <a:ext uri="{63B3BB69-23CF-44E3-9099-C40C66FF867C}">
                  <a14:compatExt spid="_x0000_s276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6</xdr:row>
          <xdr:rowOff>0</xdr:rowOff>
        </xdr:from>
        <xdr:to>
          <xdr:col>25</xdr:col>
          <xdr:colOff>0</xdr:colOff>
          <xdr:row>7</xdr:row>
          <xdr:rowOff>19050</xdr:rowOff>
        </xdr:to>
        <xdr:sp macro="" textlink="">
          <xdr:nvSpPr>
            <xdr:cNvPr id="276486" name="Option Button 6" hidden="1">
              <a:extLst>
                <a:ext uri="{63B3BB69-23CF-44E3-9099-C40C66FF867C}">
                  <a14:compatExt spid="_x0000_s276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257175</xdr:colOff>
          <xdr:row>6</xdr:row>
          <xdr:rowOff>0</xdr:rowOff>
        </xdr:from>
        <xdr:to>
          <xdr:col>26</xdr:col>
          <xdr:colOff>180975</xdr:colOff>
          <xdr:row>7</xdr:row>
          <xdr:rowOff>19050</xdr:rowOff>
        </xdr:to>
        <xdr:sp macro="" textlink="">
          <xdr:nvSpPr>
            <xdr:cNvPr id="276487" name="Option Button 7" hidden="1">
              <a:extLst>
                <a:ext uri="{63B3BB69-23CF-44E3-9099-C40C66FF867C}">
                  <a14:compatExt spid="_x0000_s276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142875</xdr:colOff>
          <xdr:row>6</xdr:row>
          <xdr:rowOff>0</xdr:rowOff>
        </xdr:from>
        <xdr:to>
          <xdr:col>29</xdr:col>
          <xdr:colOff>104775</xdr:colOff>
          <xdr:row>7</xdr:row>
          <xdr:rowOff>19050</xdr:rowOff>
        </xdr:to>
        <xdr:sp macro="" textlink="">
          <xdr:nvSpPr>
            <xdr:cNvPr id="276488" name="Option Button 8" hidden="1">
              <a:extLst>
                <a:ext uri="{63B3BB69-23CF-44E3-9099-C40C66FF867C}">
                  <a14:compatExt spid="_x0000_s276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NAND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5</xdr:row>
          <xdr:rowOff>190500</xdr:rowOff>
        </xdr:from>
        <xdr:to>
          <xdr:col>33</xdr:col>
          <xdr:colOff>66675</xdr:colOff>
          <xdr:row>6</xdr:row>
          <xdr:rowOff>200025</xdr:rowOff>
        </xdr:to>
        <xdr:sp macro="" textlink="">
          <xdr:nvSpPr>
            <xdr:cNvPr id="276489" name="Check Box 9" hidden="1">
              <a:extLst>
                <a:ext uri="{63B3BB69-23CF-44E3-9099-C40C66FF867C}">
                  <a14:compatExt spid="_x0000_s276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76200</xdr:colOff>
          <xdr:row>5</xdr:row>
          <xdr:rowOff>200025</xdr:rowOff>
        </xdr:from>
        <xdr:to>
          <xdr:col>37</xdr:col>
          <xdr:colOff>95250</xdr:colOff>
          <xdr:row>7</xdr:row>
          <xdr:rowOff>0</xdr:rowOff>
        </xdr:to>
        <xdr:sp macro="" textlink="">
          <xdr:nvSpPr>
            <xdr:cNvPr id="276490" name="Check Box 10" hidden="1">
              <a:extLst>
                <a:ext uri="{63B3BB69-23CF-44E3-9099-C40C66FF867C}">
                  <a14:compatExt spid="_x0000_s276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</xdr:row>
          <xdr:rowOff>19050</xdr:rowOff>
        </xdr:from>
        <xdr:to>
          <xdr:col>20</xdr:col>
          <xdr:colOff>485775</xdr:colOff>
          <xdr:row>2</xdr:row>
          <xdr:rowOff>190500</xdr:rowOff>
        </xdr:to>
        <xdr:sp macro="" textlink="">
          <xdr:nvSpPr>
            <xdr:cNvPr id="245761" name="Option Button 1" hidden="1">
              <a:extLst>
                <a:ext uri="{63B3BB69-23CF-44E3-9099-C40C66FF867C}">
                  <a14:compatExt spid="_x0000_s245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西暦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</xdr:rowOff>
        </xdr:from>
        <xdr:to>
          <xdr:col>20</xdr:col>
          <xdr:colOff>952500</xdr:colOff>
          <xdr:row>2</xdr:row>
          <xdr:rowOff>200025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和暦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866775</xdr:colOff>
          <xdr:row>1</xdr:row>
          <xdr:rowOff>114300</xdr:rowOff>
        </xdr:from>
        <xdr:to>
          <xdr:col>21</xdr:col>
          <xdr:colOff>47625</xdr:colOff>
          <xdr:row>3</xdr:row>
          <xdr:rowOff>28575</xdr:rowOff>
        </xdr:to>
        <xdr:sp macro="" textlink="">
          <xdr:nvSpPr>
            <xdr:cNvPr id="245764" name="Group Box 4" hidden="1">
              <a:extLst>
                <a:ext uri="{63B3BB69-23CF-44E3-9099-C40C66FF867C}">
                  <a14:compatExt spid="_x0000_s245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8</xdr:row>
          <xdr:rowOff>28575</xdr:rowOff>
        </xdr:from>
        <xdr:to>
          <xdr:col>20</xdr:col>
          <xdr:colOff>733425</xdr:colOff>
          <xdr:row>8</xdr:row>
          <xdr:rowOff>200025</xdr:rowOff>
        </xdr:to>
        <xdr:sp macro="" textlink="">
          <xdr:nvSpPr>
            <xdr:cNvPr id="245765" name="Check Box 5" hidden="1">
              <a:extLst>
                <a:ext uri="{63B3BB69-23CF-44E3-9099-C40C66FF867C}">
                  <a14:compatExt spid="_x0000_s245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印字する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9</xdr:row>
          <xdr:rowOff>19050</xdr:rowOff>
        </xdr:from>
        <xdr:to>
          <xdr:col>20</xdr:col>
          <xdr:colOff>733425</xdr:colOff>
          <xdr:row>9</xdr:row>
          <xdr:rowOff>190500</xdr:rowOff>
        </xdr:to>
        <xdr:sp macro="" textlink="">
          <xdr:nvSpPr>
            <xdr:cNvPr id="245766" name="Check Box 6" hidden="1">
              <a:extLst>
                <a:ext uri="{63B3BB69-23CF-44E3-9099-C40C66FF867C}">
                  <a14:compatExt spid="_x0000_s245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印字する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10</xdr:row>
          <xdr:rowOff>19050</xdr:rowOff>
        </xdr:from>
        <xdr:to>
          <xdr:col>20</xdr:col>
          <xdr:colOff>733425</xdr:colOff>
          <xdr:row>10</xdr:row>
          <xdr:rowOff>190500</xdr:rowOff>
        </xdr:to>
        <xdr:sp macro="" textlink="">
          <xdr:nvSpPr>
            <xdr:cNvPr id="245767" name="Check Box 7" hidden="1">
              <a:extLst>
                <a:ext uri="{63B3BB69-23CF-44E3-9099-C40C66FF867C}">
                  <a14:compatExt spid="_x0000_s245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印字する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11</xdr:row>
          <xdr:rowOff>19050</xdr:rowOff>
        </xdr:from>
        <xdr:to>
          <xdr:col>20</xdr:col>
          <xdr:colOff>733425</xdr:colOff>
          <xdr:row>11</xdr:row>
          <xdr:rowOff>190500</xdr:rowOff>
        </xdr:to>
        <xdr:sp macro="" textlink="">
          <xdr:nvSpPr>
            <xdr:cNvPr id="245768" name="Check Box 8" hidden="1">
              <a:extLst>
                <a:ext uri="{63B3BB69-23CF-44E3-9099-C40C66FF867C}">
                  <a14:compatExt spid="_x0000_s245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印字する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12</xdr:row>
          <xdr:rowOff>28575</xdr:rowOff>
        </xdr:from>
        <xdr:to>
          <xdr:col>20</xdr:col>
          <xdr:colOff>733425</xdr:colOff>
          <xdr:row>12</xdr:row>
          <xdr:rowOff>190500</xdr:rowOff>
        </xdr:to>
        <xdr:sp macro="" textlink="">
          <xdr:nvSpPr>
            <xdr:cNvPr id="245769" name="Check Box 9" hidden="1">
              <a:extLst>
                <a:ext uri="{63B3BB69-23CF-44E3-9099-C40C66FF867C}">
                  <a14:compatExt spid="_x0000_s245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する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9</xdr:row>
          <xdr:rowOff>114300</xdr:rowOff>
        </xdr:from>
        <xdr:to>
          <xdr:col>109</xdr:col>
          <xdr:colOff>390525</xdr:colOff>
          <xdr:row>11</xdr:row>
          <xdr:rowOff>28575</xdr:rowOff>
        </xdr:to>
        <xdr:sp macro="" textlink="">
          <xdr:nvSpPr>
            <xdr:cNvPr id="247811" name="Group Box 3" hidden="1">
              <a:extLst>
                <a:ext uri="{63B3BB69-23CF-44E3-9099-C40C66FF867C}">
                  <a14:compatExt spid="_x0000_s247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9</xdr:row>
          <xdr:rowOff>114300</xdr:rowOff>
        </xdr:from>
        <xdr:to>
          <xdr:col>109</xdr:col>
          <xdr:colOff>390525</xdr:colOff>
          <xdr:row>11</xdr:row>
          <xdr:rowOff>28575</xdr:rowOff>
        </xdr:to>
        <xdr:sp macro="" textlink="">
          <xdr:nvSpPr>
            <xdr:cNvPr id="247814" name="Group Box 6" hidden="1">
              <a:extLst>
                <a:ext uri="{63B3BB69-23CF-44E3-9099-C40C66FF867C}">
                  <a14:compatExt spid="_x0000_s24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26</xdr:row>
          <xdr:rowOff>114300</xdr:rowOff>
        </xdr:from>
        <xdr:to>
          <xdr:col>109</xdr:col>
          <xdr:colOff>390525</xdr:colOff>
          <xdr:row>28</xdr:row>
          <xdr:rowOff>57150</xdr:rowOff>
        </xdr:to>
        <xdr:sp macro="" textlink="">
          <xdr:nvSpPr>
            <xdr:cNvPr id="247820" name="Group Box 12" hidden="1">
              <a:extLst>
                <a:ext uri="{63B3BB69-23CF-44E3-9099-C40C66FF867C}">
                  <a14:compatExt spid="_x0000_s24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26</xdr:row>
          <xdr:rowOff>114300</xdr:rowOff>
        </xdr:from>
        <xdr:to>
          <xdr:col>109</xdr:col>
          <xdr:colOff>390525</xdr:colOff>
          <xdr:row>28</xdr:row>
          <xdr:rowOff>57150</xdr:rowOff>
        </xdr:to>
        <xdr:sp macro="" textlink="">
          <xdr:nvSpPr>
            <xdr:cNvPr id="247821" name="Group Box 13" hidden="1">
              <a:extLst>
                <a:ext uri="{63B3BB69-23CF-44E3-9099-C40C66FF867C}">
                  <a14:compatExt spid="_x0000_s24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43</xdr:row>
          <xdr:rowOff>114300</xdr:rowOff>
        </xdr:from>
        <xdr:to>
          <xdr:col>109</xdr:col>
          <xdr:colOff>390525</xdr:colOff>
          <xdr:row>45</xdr:row>
          <xdr:rowOff>76200</xdr:rowOff>
        </xdr:to>
        <xdr:sp macro="" textlink="">
          <xdr:nvSpPr>
            <xdr:cNvPr id="247823" name="Group Box 15" hidden="1">
              <a:extLst>
                <a:ext uri="{63B3BB69-23CF-44E3-9099-C40C66FF867C}">
                  <a14:compatExt spid="_x0000_s247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43</xdr:row>
          <xdr:rowOff>114300</xdr:rowOff>
        </xdr:from>
        <xdr:to>
          <xdr:col>109</xdr:col>
          <xdr:colOff>390525</xdr:colOff>
          <xdr:row>45</xdr:row>
          <xdr:rowOff>76200</xdr:rowOff>
        </xdr:to>
        <xdr:sp macro="" textlink="">
          <xdr:nvSpPr>
            <xdr:cNvPr id="247824" name="Group Box 16" hidden="1">
              <a:extLst>
                <a:ext uri="{63B3BB69-23CF-44E3-9099-C40C66FF867C}">
                  <a14:compatExt spid="_x0000_s247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26</xdr:row>
          <xdr:rowOff>114300</xdr:rowOff>
        </xdr:from>
        <xdr:to>
          <xdr:col>109</xdr:col>
          <xdr:colOff>390525</xdr:colOff>
          <xdr:row>28</xdr:row>
          <xdr:rowOff>57150</xdr:rowOff>
        </xdr:to>
        <xdr:sp macro="" textlink="">
          <xdr:nvSpPr>
            <xdr:cNvPr id="247825" name="Group Box 17" hidden="1">
              <a:extLst>
                <a:ext uri="{63B3BB69-23CF-44E3-9099-C40C66FF867C}">
                  <a14:compatExt spid="_x0000_s24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26</xdr:row>
          <xdr:rowOff>114300</xdr:rowOff>
        </xdr:from>
        <xdr:to>
          <xdr:col>109</xdr:col>
          <xdr:colOff>390525</xdr:colOff>
          <xdr:row>28</xdr:row>
          <xdr:rowOff>57150</xdr:rowOff>
        </xdr:to>
        <xdr:sp macro="" textlink="">
          <xdr:nvSpPr>
            <xdr:cNvPr id="247826" name="Group Box 18" hidden="1">
              <a:extLst>
                <a:ext uri="{63B3BB69-23CF-44E3-9099-C40C66FF867C}">
                  <a14:compatExt spid="_x0000_s24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60</xdr:row>
          <xdr:rowOff>114300</xdr:rowOff>
        </xdr:from>
        <xdr:to>
          <xdr:col>109</xdr:col>
          <xdr:colOff>390525</xdr:colOff>
          <xdr:row>62</xdr:row>
          <xdr:rowOff>95250</xdr:rowOff>
        </xdr:to>
        <xdr:sp macro="" textlink="">
          <xdr:nvSpPr>
            <xdr:cNvPr id="247827" name="Group Box 19" hidden="1">
              <a:extLst>
                <a:ext uri="{63B3BB69-23CF-44E3-9099-C40C66FF867C}">
                  <a14:compatExt spid="_x0000_s24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60</xdr:row>
          <xdr:rowOff>114300</xdr:rowOff>
        </xdr:from>
        <xdr:to>
          <xdr:col>109</xdr:col>
          <xdr:colOff>390525</xdr:colOff>
          <xdr:row>62</xdr:row>
          <xdr:rowOff>95250</xdr:rowOff>
        </xdr:to>
        <xdr:sp macro="" textlink="">
          <xdr:nvSpPr>
            <xdr:cNvPr id="247828" name="Group Box 20" hidden="1">
              <a:extLst>
                <a:ext uri="{63B3BB69-23CF-44E3-9099-C40C66FF867C}">
                  <a14:compatExt spid="_x0000_s24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77</xdr:row>
          <xdr:rowOff>114300</xdr:rowOff>
        </xdr:from>
        <xdr:to>
          <xdr:col>109</xdr:col>
          <xdr:colOff>390525</xdr:colOff>
          <xdr:row>79</xdr:row>
          <xdr:rowOff>85725</xdr:rowOff>
        </xdr:to>
        <xdr:sp macro="" textlink="">
          <xdr:nvSpPr>
            <xdr:cNvPr id="247829" name="Group Box 21" hidden="1">
              <a:extLst>
                <a:ext uri="{63B3BB69-23CF-44E3-9099-C40C66FF867C}">
                  <a14:compatExt spid="_x0000_s24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77</xdr:row>
          <xdr:rowOff>114300</xdr:rowOff>
        </xdr:from>
        <xdr:to>
          <xdr:col>109</xdr:col>
          <xdr:colOff>390525</xdr:colOff>
          <xdr:row>79</xdr:row>
          <xdr:rowOff>85725</xdr:rowOff>
        </xdr:to>
        <xdr:sp macro="" textlink="">
          <xdr:nvSpPr>
            <xdr:cNvPr id="247830" name="Group Box 22" hidden="1">
              <a:extLst>
                <a:ext uri="{63B3BB69-23CF-44E3-9099-C40C66FF867C}">
                  <a14:compatExt spid="_x0000_s24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94</xdr:row>
          <xdr:rowOff>114300</xdr:rowOff>
        </xdr:from>
        <xdr:to>
          <xdr:col>109</xdr:col>
          <xdr:colOff>390525</xdr:colOff>
          <xdr:row>96</xdr:row>
          <xdr:rowOff>85725</xdr:rowOff>
        </xdr:to>
        <xdr:sp macro="" textlink="">
          <xdr:nvSpPr>
            <xdr:cNvPr id="247831" name="Group Box 23" hidden="1">
              <a:extLst>
                <a:ext uri="{63B3BB69-23CF-44E3-9099-C40C66FF867C}">
                  <a14:compatExt spid="_x0000_s24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94</xdr:row>
          <xdr:rowOff>114300</xdr:rowOff>
        </xdr:from>
        <xdr:to>
          <xdr:col>109</xdr:col>
          <xdr:colOff>390525</xdr:colOff>
          <xdr:row>96</xdr:row>
          <xdr:rowOff>85725</xdr:rowOff>
        </xdr:to>
        <xdr:sp macro="" textlink="">
          <xdr:nvSpPr>
            <xdr:cNvPr id="247832" name="Group Box 24" hidden="1">
              <a:extLst>
                <a:ext uri="{63B3BB69-23CF-44E3-9099-C40C66FF867C}">
                  <a14:compatExt spid="_x0000_s24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77</xdr:row>
          <xdr:rowOff>114300</xdr:rowOff>
        </xdr:from>
        <xdr:to>
          <xdr:col>109</xdr:col>
          <xdr:colOff>390525</xdr:colOff>
          <xdr:row>79</xdr:row>
          <xdr:rowOff>85725</xdr:rowOff>
        </xdr:to>
        <xdr:sp macro="" textlink="">
          <xdr:nvSpPr>
            <xdr:cNvPr id="247833" name="Group Box 25" hidden="1">
              <a:extLst>
                <a:ext uri="{63B3BB69-23CF-44E3-9099-C40C66FF867C}">
                  <a14:compatExt spid="_x0000_s24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77</xdr:row>
          <xdr:rowOff>114300</xdr:rowOff>
        </xdr:from>
        <xdr:to>
          <xdr:col>109</xdr:col>
          <xdr:colOff>390525</xdr:colOff>
          <xdr:row>79</xdr:row>
          <xdr:rowOff>85725</xdr:rowOff>
        </xdr:to>
        <xdr:sp macro="" textlink="">
          <xdr:nvSpPr>
            <xdr:cNvPr id="247834" name="Group Box 26" hidden="1">
              <a:extLst>
                <a:ext uri="{63B3BB69-23CF-44E3-9099-C40C66FF867C}">
                  <a14:compatExt spid="_x0000_s247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77</xdr:row>
          <xdr:rowOff>114300</xdr:rowOff>
        </xdr:from>
        <xdr:to>
          <xdr:col>109</xdr:col>
          <xdr:colOff>390525</xdr:colOff>
          <xdr:row>79</xdr:row>
          <xdr:rowOff>85725</xdr:rowOff>
        </xdr:to>
        <xdr:sp macro="" textlink="">
          <xdr:nvSpPr>
            <xdr:cNvPr id="247835" name="Group Box 27" hidden="1">
              <a:extLst>
                <a:ext uri="{63B3BB69-23CF-44E3-9099-C40C66FF867C}">
                  <a14:compatExt spid="_x0000_s24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866775</xdr:colOff>
          <xdr:row>77</xdr:row>
          <xdr:rowOff>114300</xdr:rowOff>
        </xdr:from>
        <xdr:to>
          <xdr:col>109</xdr:col>
          <xdr:colOff>390525</xdr:colOff>
          <xdr:row>79</xdr:row>
          <xdr:rowOff>85725</xdr:rowOff>
        </xdr:to>
        <xdr:sp macro="" textlink="">
          <xdr:nvSpPr>
            <xdr:cNvPr id="247836" name="Group Box 28" hidden="1">
              <a:extLst>
                <a:ext uri="{63B3BB69-23CF-44E3-9099-C40C66FF867C}">
                  <a14:compatExt spid="_x0000_s24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暦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432170</xdr:colOff>
          <xdr:row>5</xdr:row>
          <xdr:rowOff>91330</xdr:rowOff>
        </xdr:from>
        <xdr:to>
          <xdr:col>12</xdr:col>
          <xdr:colOff>336897</xdr:colOff>
          <xdr:row>13</xdr:row>
          <xdr:rowOff>93915</xdr:rowOff>
        </xdr:to>
        <xdr:pic>
          <xdr:nvPicPr>
            <xdr:cNvPr id="5" name="図 4"/>
            <xdr:cNvPicPr>
              <a:picLocks noChangeAspect="1" noChangeArrowheads="1"/>
              <a:extLst>
                <a:ext uri="{84589F7E-364E-4C9E-8A38-B11213B215E9}">
                  <a14:cameraTool cellRange="UNMT0020_IF!$A$1" spid="_x0000_s5050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617817" y="1189506"/>
              <a:ext cx="1271845" cy="12688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clientData/>
      </xdr:twoCellAnchor>
    </mc:Choice>
    <mc:Fallback/>
  </mc:AlternateContent>
  <xdr:twoCellAnchor>
    <xdr:from>
      <xdr:col>9</xdr:col>
      <xdr:colOff>440391</xdr:colOff>
      <xdr:row>11</xdr:row>
      <xdr:rowOff>181840</xdr:rowOff>
    </xdr:from>
    <xdr:to>
      <xdr:col>14</xdr:col>
      <xdr:colOff>170008</xdr:colOff>
      <xdr:row>15</xdr:row>
      <xdr:rowOff>193217</xdr:rowOff>
    </xdr:to>
    <xdr:sp macro="" textlink="">
      <xdr:nvSpPr>
        <xdr:cNvPr id="2" name="正方形/長方形 1"/>
        <xdr:cNvSpPr/>
      </xdr:nvSpPr>
      <xdr:spPr>
        <a:xfrm>
          <a:off x="5740773" y="2277340"/>
          <a:ext cx="3125000" cy="616495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rtlCol="0" anchor="ctr"/>
        <a:lstStyle/>
        <a:p>
          <a:pPr algn="l"/>
          <a:r>
            <a:rPr lang="ja-JP" altLang="en-US" sz="1000">
              <a:solidFill>
                <a:schemeClr val="dk1"/>
              </a:solidFill>
              <a:effectLst/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〒</a:t>
          </a:r>
          <a:r>
            <a:rPr lang="en-US" altLang="ja-JP" sz="1000">
              <a:solidFill>
                <a:schemeClr val="dk1"/>
              </a:solidFill>
              <a:effectLst/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456-0034</a:t>
          </a:r>
        </a:p>
        <a:p>
          <a:pPr algn="l"/>
          <a:r>
            <a:rPr lang="ja-JP" altLang="en-US" sz="1100"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名古屋市熱田区伝馬一丁目１１番１号</a:t>
          </a:r>
          <a:endParaRPr lang="en-US" altLang="ja-JP" sz="1100">
            <a:latin typeface="HGS明朝E" panose="02020900000000000000" pitchFamily="18" charset="-128"/>
            <a:ea typeface="HGS明朝E" panose="02020900000000000000" pitchFamily="18" charset="-128"/>
            <a:cs typeface="メイリオ" panose="020B0604030504040204" pitchFamily="50" charset="-128"/>
          </a:endParaRPr>
        </a:p>
        <a:p>
          <a:pPr algn="l"/>
          <a:r>
            <a:rPr lang="en-US" altLang="ja-JP" sz="900"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TEL</a:t>
          </a:r>
          <a:r>
            <a:rPr lang="ja-JP" altLang="en-US" sz="900"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：</a:t>
          </a:r>
          <a:r>
            <a:rPr lang="en-US" altLang="ja-JP" sz="900"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052-682-5619</a:t>
          </a:r>
          <a:r>
            <a:rPr lang="ja-JP" altLang="en-US" sz="900" baseline="0"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    </a:t>
          </a:r>
          <a:r>
            <a:rPr lang="en-US" altLang="ja-JP" sz="900"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FAX</a:t>
          </a:r>
          <a:r>
            <a:rPr lang="ja-JP" altLang="en-US" sz="900"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：</a:t>
          </a:r>
          <a:r>
            <a:rPr lang="en-US" altLang="ja-JP" sz="900"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052-679-6281</a:t>
          </a:r>
          <a:endParaRPr kumimoji="1" lang="ja-JP" altLang="en-US" sz="900">
            <a:solidFill>
              <a:schemeClr val="dk1"/>
            </a:solidFill>
            <a:effectLst/>
            <a:latin typeface="HGS明朝E" panose="02020900000000000000" pitchFamily="18" charset="-128"/>
            <a:ea typeface="HGS明朝E" panose="02020900000000000000" pitchFamily="18" charset="-128"/>
            <a:cs typeface="メイリオ" panose="020B0604030504040204" pitchFamily="50" charset="-128"/>
          </a:endParaRPr>
        </a:p>
      </xdr:txBody>
    </xdr:sp>
    <xdr:clientData/>
  </xdr:twoCellAnchor>
  <xdr:twoCellAnchor editAs="oneCell">
    <xdr:from>
      <xdr:col>9</xdr:col>
      <xdr:colOff>768383</xdr:colOff>
      <xdr:row>7</xdr:row>
      <xdr:rowOff>62664</xdr:rowOff>
    </xdr:from>
    <xdr:to>
      <xdr:col>13</xdr:col>
      <xdr:colOff>154634</xdr:colOff>
      <xdr:row>9</xdr:row>
      <xdr:rowOff>189248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8765" y="1564252"/>
          <a:ext cx="2210134" cy="406731"/>
        </a:xfrm>
        <a:prstGeom prst="rect">
          <a:avLst/>
        </a:prstGeom>
      </xdr:spPr>
    </xdr:pic>
    <xdr:clientData/>
  </xdr:twoCellAnchor>
  <xdr:twoCellAnchor>
    <xdr:from>
      <xdr:col>9</xdr:col>
      <xdr:colOff>414616</xdr:colOff>
      <xdr:row>4</xdr:row>
      <xdr:rowOff>183993</xdr:rowOff>
    </xdr:from>
    <xdr:to>
      <xdr:col>14</xdr:col>
      <xdr:colOff>87213</xdr:colOff>
      <xdr:row>7</xdr:row>
      <xdr:rowOff>17066</xdr:rowOff>
    </xdr:to>
    <xdr:sp macro="" textlink="">
      <xdr:nvSpPr>
        <xdr:cNvPr id="6" name="正方形/長方形 5"/>
        <xdr:cNvSpPr/>
      </xdr:nvSpPr>
      <xdr:spPr>
        <a:xfrm>
          <a:off x="5714998" y="968405"/>
          <a:ext cx="3067980" cy="550249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000">
              <a:solidFill>
                <a:schemeClr val="dk1"/>
              </a:solidFill>
              <a:effectLst/>
              <a:latin typeface="HG明朝E" panose="02020909000000000000" pitchFamily="17" charset="-128"/>
              <a:ea typeface="HG明朝E" panose="02020909000000000000" pitchFamily="17" charset="-128"/>
              <a:cs typeface="メイリオ" panose="020B0604030504040204" pitchFamily="50" charset="-128"/>
            </a:rPr>
            <a:t>理化学分析・試験・調査・受託研究</a:t>
          </a:r>
          <a:endParaRPr kumimoji="1" lang="en-US" altLang="ja-JP" sz="1000">
            <a:solidFill>
              <a:schemeClr val="dk1"/>
            </a:solidFill>
            <a:effectLst/>
            <a:latin typeface="HG明朝E" panose="02020909000000000000" pitchFamily="17" charset="-128"/>
            <a:ea typeface="HG明朝E" panose="02020909000000000000" pitchFamily="17" charset="-128"/>
            <a:cs typeface="メイリオ" panose="020B0604030504040204" pitchFamily="50" charset="-128"/>
          </a:endParaRPr>
        </a:p>
        <a:p>
          <a:pPr algn="ctr"/>
          <a:r>
            <a:rPr kumimoji="1" lang="ja-JP" altLang="en-US" sz="1000">
              <a:solidFill>
                <a:schemeClr val="dk1"/>
              </a:solidFill>
              <a:effectLst/>
              <a:latin typeface="HG明朝E" panose="02020909000000000000" pitchFamily="17" charset="-128"/>
              <a:ea typeface="HG明朝E" panose="02020909000000000000" pitchFamily="17" charset="-128"/>
              <a:cs typeface="メイリオ" panose="020B0604030504040204" pitchFamily="50" charset="-128"/>
            </a:rPr>
            <a:t>環境</a:t>
          </a:r>
          <a:r>
            <a:rPr kumimoji="1" lang="ja-JP" altLang="en-US" sz="1000">
              <a:solidFill>
                <a:schemeClr val="dk1"/>
              </a:solidFill>
              <a:effectLst/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rPr>
            <a:t>計量</a:t>
          </a:r>
          <a:r>
            <a:rPr kumimoji="1" lang="ja-JP" altLang="en-US" sz="1000">
              <a:solidFill>
                <a:schemeClr val="dk1"/>
              </a:solidFill>
              <a:effectLst/>
              <a:latin typeface="HG明朝E" panose="02020909000000000000" pitchFamily="17" charset="-128"/>
              <a:ea typeface="HG明朝E" panose="02020909000000000000" pitchFamily="17" charset="-128"/>
              <a:cs typeface="メイリオ" panose="020B0604030504040204" pitchFamily="50" charset="-128"/>
            </a:rPr>
            <a:t>証明事業所・作業環境測定機関</a:t>
          </a:r>
          <a:endParaRPr kumimoji="1" lang="en-US" altLang="ja-JP" sz="1000">
            <a:solidFill>
              <a:schemeClr val="dk1"/>
            </a:solidFill>
            <a:effectLst/>
            <a:latin typeface="HG明朝E" panose="02020909000000000000" pitchFamily="17" charset="-128"/>
            <a:ea typeface="HG明朝E" panose="02020909000000000000" pitchFamily="17" charset="-128"/>
            <a:cs typeface="メイリオ" panose="020B0604030504040204" pitchFamily="50" charset="-128"/>
          </a:endParaRPr>
        </a:p>
        <a:p>
          <a:pPr algn="ctr"/>
          <a:r>
            <a:rPr kumimoji="1" lang="ja-JP" altLang="en-US" sz="1000">
              <a:solidFill>
                <a:schemeClr val="dk1"/>
              </a:solidFill>
              <a:effectLst/>
              <a:latin typeface="HG明朝E" panose="02020909000000000000" pitchFamily="17" charset="-128"/>
              <a:ea typeface="HG明朝E" panose="02020909000000000000" pitchFamily="17" charset="-128"/>
              <a:cs typeface="メイリオ" panose="020B0604030504040204" pitchFamily="50" charset="-128"/>
            </a:rPr>
            <a:t>厚生省指定飲料水水質検査機関</a:t>
          </a:r>
        </a:p>
      </xdr:txBody>
    </xdr:sp>
    <xdr:clientData/>
  </xdr:twoCellAnchor>
  <xdr:twoCellAnchor>
    <xdr:from>
      <xdr:col>9</xdr:col>
      <xdr:colOff>579784</xdr:colOff>
      <xdr:row>10</xdr:row>
      <xdr:rowOff>18117</xdr:rowOff>
    </xdr:from>
    <xdr:to>
      <xdr:col>10</xdr:col>
      <xdr:colOff>584775</xdr:colOff>
      <xdr:row>11</xdr:row>
      <xdr:rowOff>202871</xdr:rowOff>
    </xdr:to>
    <xdr:sp macro="" textlink="UNMT0020_REPORT_DAIHYO_MEI_TITLE">
      <xdr:nvSpPr>
        <xdr:cNvPr id="8" name="正方形/長方形 7"/>
        <xdr:cNvSpPr/>
      </xdr:nvSpPr>
      <xdr:spPr>
        <a:xfrm>
          <a:off x="5888936" y="2047356"/>
          <a:ext cx="891230" cy="251015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lIns="0" tIns="0" rIns="0" bIns="0" rtlCol="0" anchor="ctr"/>
        <a:lstStyle/>
        <a:p>
          <a:pPr algn="ctr"/>
          <a:fld id="{1C3586C5-2C60-4D6A-9450-423CD0EFAAA9}" type="TxLink">
            <a:rPr kumimoji="1" lang="en-US" altLang="en-US" sz="1100" b="0" i="0" u="none" strike="noStrike">
              <a:solidFill>
                <a:srgbClr val="000000"/>
              </a:solidFill>
              <a:effectLst/>
              <a:latin typeface="HG正楷書体-PRO" panose="03000600000000000000" pitchFamily="66" charset="-128"/>
              <a:ea typeface="HG正楷書体-PRO" panose="03000600000000000000" pitchFamily="66" charset="-128"/>
              <a:cs typeface="メイリオ"/>
            </a:rPr>
            <a:pPr algn="ctr"/>
            <a:t> </a:t>
          </a:fld>
          <a:endParaRPr kumimoji="1" lang="ja-JP" altLang="en-US" sz="1400">
            <a:solidFill>
              <a:schemeClr val="dk1"/>
            </a:solidFill>
            <a:effectLst/>
            <a:latin typeface="HG正楷書体-PRO" panose="03000600000000000000" pitchFamily="66" charset="-128"/>
            <a:ea typeface="HG正楷書体-PRO" panose="03000600000000000000" pitchFamily="66" charset="-128"/>
            <a:cs typeface="メイリオ" panose="020B0604030504040204" pitchFamily="50" charset="-128"/>
          </a:endParaRPr>
        </a:p>
      </xdr:txBody>
    </xdr:sp>
    <xdr:clientData/>
  </xdr:twoCellAnchor>
  <xdr:twoCellAnchor>
    <xdr:from>
      <xdr:col>10</xdr:col>
      <xdr:colOff>615417</xdr:colOff>
      <xdr:row>9</xdr:row>
      <xdr:rowOff>175920</xdr:rowOff>
    </xdr:from>
    <xdr:to>
      <xdr:col>14</xdr:col>
      <xdr:colOff>166085</xdr:colOff>
      <xdr:row>11</xdr:row>
      <xdr:rowOff>227038</xdr:rowOff>
    </xdr:to>
    <xdr:sp macro="" textlink="UNMT0020_REPORT_DAIHYO_MEI">
      <xdr:nvSpPr>
        <xdr:cNvPr id="9" name="正方形/長方形 8"/>
        <xdr:cNvSpPr/>
      </xdr:nvSpPr>
      <xdr:spPr>
        <a:xfrm>
          <a:off x="6801064" y="1968861"/>
          <a:ext cx="2060786" cy="353677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lIns="0" tIns="0" rIns="0" bIns="0" rtlCol="0" anchor="ctr"/>
        <a:lstStyle/>
        <a:p>
          <a:pPr algn="l"/>
          <a:fld id="{6B876410-EAE5-4057-973B-0C3463F3BD0F}" type="TxLink">
            <a:rPr kumimoji="1" lang="en-US" altLang="en-US" sz="2000" b="1" i="0" u="none" strike="noStrike">
              <a:solidFill>
                <a:srgbClr val="000000"/>
              </a:solidFill>
              <a:effectLst/>
              <a:latin typeface="HG正楷書体-PRO" panose="03000600000000000000" pitchFamily="66" charset="-128"/>
              <a:ea typeface="HG正楷書体-PRO" panose="03000600000000000000" pitchFamily="66" charset="-128"/>
              <a:cs typeface="メイリオ" panose="020B0604030504040204" pitchFamily="50" charset="-128"/>
            </a:rPr>
            <a:pPr algn="l"/>
            <a:t> </a:t>
          </a:fld>
          <a:endParaRPr kumimoji="1" lang="ja-JP" altLang="en-US" sz="1400" b="1">
            <a:solidFill>
              <a:schemeClr val="dk1"/>
            </a:solidFill>
            <a:effectLst/>
            <a:latin typeface="HG正楷書体-PRO" panose="03000600000000000000" pitchFamily="66" charset="-128"/>
            <a:ea typeface="HG正楷書体-PRO" panose="03000600000000000000" pitchFamily="66" charset="-128"/>
            <a:cs typeface="メイリオ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38977</xdr:colOff>
          <xdr:row>18</xdr:row>
          <xdr:rowOff>23199</xdr:rowOff>
        </xdr:from>
        <xdr:to>
          <xdr:col>13</xdr:col>
          <xdr:colOff>520197</xdr:colOff>
          <xdr:row>18</xdr:row>
          <xdr:rowOff>560253</xdr:rowOff>
        </xdr:to>
        <xdr:pic>
          <xdr:nvPicPr>
            <xdr:cNvPr id="10" name="図 9"/>
            <xdr:cNvPicPr>
              <a:picLocks noChangeAspect="1" noChangeArrowheads="1"/>
              <a:extLst>
                <a:ext uri="{84589F7E-364E-4C9E-8A38-B11213B215E9}">
                  <a14:cameraTool cellRange="UNMT0020_IF!$B$1" spid="_x0000_s5050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129624" y="3015170"/>
              <a:ext cx="509795" cy="53705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4</xdr:row>
          <xdr:rowOff>685800</xdr:rowOff>
        </xdr:from>
        <xdr:to>
          <xdr:col>7</xdr:col>
          <xdr:colOff>523875</xdr:colOff>
          <xdr:row>6</xdr:row>
          <xdr:rowOff>114300</xdr:rowOff>
        </xdr:to>
        <xdr:sp macro="" textlink="">
          <xdr:nvSpPr>
            <xdr:cNvPr id="491521" name="Button 1" hidden="1">
              <a:extLst>
                <a:ext uri="{63B3BB69-23CF-44E3-9099-C40C66FF867C}">
                  <a14:compatExt spid="_x0000_s49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4</xdr:row>
          <xdr:rowOff>676275</xdr:rowOff>
        </xdr:from>
        <xdr:to>
          <xdr:col>9</xdr:col>
          <xdr:colOff>28575</xdr:colOff>
          <xdr:row>6</xdr:row>
          <xdr:rowOff>133350</xdr:rowOff>
        </xdr:to>
        <xdr:sp macro="" textlink="">
          <xdr:nvSpPr>
            <xdr:cNvPr id="491522" name="Button 2" hidden="1">
              <a:extLst>
                <a:ext uri="{63B3BB69-23CF-44E3-9099-C40C66FF867C}">
                  <a14:compatExt spid="_x0000_s49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AR33"/>
  <sheetViews>
    <sheetView showGridLines="0" showRowColHeaders="0" topLeftCell="F1" zoomScaleNormal="100" workbookViewId="0">
      <selection activeCell="AD3" sqref="AD3:AG3"/>
    </sheetView>
  </sheetViews>
  <sheetFormatPr defaultColWidth="3.375" defaultRowHeight="16.5"/>
  <cols>
    <col min="1" max="1" width="2.25" style="5" hidden="1" customWidth="1"/>
    <col min="2" max="2" width="18.25" style="5" hidden="1" customWidth="1"/>
    <col min="3" max="3" width="37.5" style="5" hidden="1" customWidth="1"/>
    <col min="4" max="4" width="14.25" style="174" hidden="1" customWidth="1"/>
    <col min="5" max="5" width="1.25" style="5" hidden="1" customWidth="1"/>
    <col min="6" max="7" width="3.375" style="112" customWidth="1"/>
    <col min="8" max="9" width="3.375" style="112"/>
    <col min="10" max="10" width="3.5" style="112" customWidth="1"/>
    <col min="11" max="16384" width="3.375" style="112"/>
  </cols>
  <sheetData>
    <row r="1" spans="1:44" s="2" customFormat="1" ht="19.5">
      <c r="A1" s="79"/>
      <c r="B1" s="79"/>
      <c r="C1" s="79"/>
      <c r="D1" s="173"/>
      <c r="E1" s="79"/>
      <c r="F1" s="2" t="s">
        <v>12</v>
      </c>
    </row>
    <row r="2" spans="1:44" s="3" customFormat="1">
      <c r="A2" s="5"/>
      <c r="B2" s="5"/>
      <c r="C2" s="5"/>
      <c r="D2" s="174"/>
      <c r="E2" s="5"/>
    </row>
    <row r="3" spans="1:44" s="3" customFormat="1">
      <c r="A3" s="109" t="s">
        <v>593</v>
      </c>
      <c r="B3" s="5"/>
      <c r="C3" s="5"/>
      <c r="D3" s="175" t="s">
        <v>678</v>
      </c>
      <c r="E3" s="5"/>
      <c r="I3" s="6" t="s">
        <v>70</v>
      </c>
      <c r="J3" s="22"/>
      <c r="K3" s="21" t="s">
        <v>13</v>
      </c>
      <c r="L3" s="21"/>
      <c r="M3" s="21"/>
      <c r="N3" s="21" t="s">
        <v>14</v>
      </c>
      <c r="O3" s="21"/>
      <c r="P3" s="21"/>
      <c r="Q3" s="21" t="s">
        <v>15</v>
      </c>
      <c r="R3" s="21"/>
      <c r="S3" s="21"/>
      <c r="T3" s="21" t="s">
        <v>16</v>
      </c>
      <c r="U3" s="21"/>
      <c r="V3" s="21"/>
      <c r="W3" s="21" t="s">
        <v>17</v>
      </c>
      <c r="X3" s="20"/>
      <c r="Y3" s="112"/>
      <c r="Z3" s="112"/>
      <c r="AA3" s="112"/>
      <c r="AB3" s="112"/>
      <c r="AC3" s="6" t="s">
        <v>1034</v>
      </c>
      <c r="AD3" s="497"/>
      <c r="AE3" s="498"/>
      <c r="AF3" s="498"/>
      <c r="AG3" s="499"/>
      <c r="AH3" s="7" t="s">
        <v>18</v>
      </c>
      <c r="AI3" s="497"/>
      <c r="AJ3" s="498"/>
      <c r="AK3" s="498"/>
      <c r="AL3" s="499"/>
      <c r="AM3" s="112"/>
      <c r="AN3" s="112"/>
      <c r="AO3" s="112"/>
      <c r="AP3" s="112"/>
      <c r="AQ3" s="112"/>
      <c r="AR3" s="112"/>
    </row>
    <row r="4" spans="1:44" s="3" customFormat="1">
      <c r="A4" s="101"/>
      <c r="B4" s="87" t="s">
        <v>538</v>
      </c>
      <c r="C4" s="82" t="s">
        <v>524</v>
      </c>
      <c r="D4" s="176" t="b">
        <v>1</v>
      </c>
      <c r="E4" s="5"/>
      <c r="I4" s="6" t="s">
        <v>69</v>
      </c>
      <c r="J4" s="491"/>
      <c r="K4" s="492"/>
      <c r="L4" s="492"/>
      <c r="M4" s="493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6" t="s">
        <v>97</v>
      </c>
      <c r="AD4" s="491"/>
      <c r="AE4" s="503"/>
      <c r="AF4" s="503"/>
      <c r="AG4" s="504"/>
      <c r="AH4" s="112"/>
      <c r="AI4" s="112"/>
      <c r="AJ4" s="112"/>
      <c r="AK4" s="112"/>
      <c r="AL4" s="112"/>
      <c r="AM4" s="112"/>
      <c r="AN4" s="6" t="s">
        <v>93</v>
      </c>
      <c r="AO4" s="491"/>
      <c r="AP4" s="503"/>
      <c r="AQ4" s="503"/>
      <c r="AR4" s="504"/>
    </row>
    <row r="5" spans="1:44" s="3" customFormat="1">
      <c r="A5" s="101"/>
      <c r="B5" s="90" t="s">
        <v>525</v>
      </c>
      <c r="C5" s="80" t="s">
        <v>526</v>
      </c>
      <c r="D5" s="176" t="b">
        <v>1</v>
      </c>
      <c r="E5" s="5"/>
      <c r="I5" s="6" t="s">
        <v>839</v>
      </c>
      <c r="J5" s="494"/>
      <c r="K5" s="495"/>
      <c r="L5" s="495"/>
      <c r="M5" s="496"/>
      <c r="N5" s="7" t="s">
        <v>18</v>
      </c>
      <c r="O5" s="494"/>
      <c r="P5" s="495"/>
      <c r="Q5" s="495"/>
      <c r="R5" s="496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6" t="s">
        <v>68</v>
      </c>
      <c r="AD5" s="491"/>
      <c r="AE5" s="492"/>
      <c r="AF5" s="492"/>
      <c r="AG5" s="493"/>
      <c r="AH5" s="500" t="str">
        <f>IF(UNMT0010_H_SHOHIN_CD="","",UNMT0010_H_SHOHIN_MEI)</f>
        <v/>
      </c>
      <c r="AI5" s="501"/>
      <c r="AJ5" s="501"/>
      <c r="AK5" s="501"/>
      <c r="AL5" s="501"/>
      <c r="AM5" s="501"/>
      <c r="AN5" s="501"/>
      <c r="AO5" s="501"/>
      <c r="AP5" s="501"/>
      <c r="AQ5" s="501"/>
      <c r="AR5" s="502"/>
    </row>
    <row r="6" spans="1:44" s="3" customFormat="1">
      <c r="A6" s="101"/>
      <c r="B6" s="90" t="s">
        <v>527</v>
      </c>
      <c r="C6" s="80" t="s">
        <v>528</v>
      </c>
      <c r="D6" s="176" t="b">
        <v>1</v>
      </c>
      <c r="E6" s="5"/>
      <c r="I6" s="6" t="s">
        <v>71</v>
      </c>
      <c r="J6" s="491"/>
      <c r="K6" s="492"/>
      <c r="L6" s="492"/>
      <c r="M6" s="493"/>
      <c r="N6" s="500" t="str">
        <f>IF(UNMT0010_H_SEIKYUSAKI_CD="","",UNMT0010_H_SEIKYUSAKI_MEI)</f>
        <v/>
      </c>
      <c r="O6" s="501"/>
      <c r="P6" s="501"/>
      <c r="Q6" s="501"/>
      <c r="R6" s="501"/>
      <c r="S6" s="501"/>
      <c r="T6" s="501"/>
      <c r="U6" s="501"/>
      <c r="V6" s="501"/>
      <c r="W6" s="501"/>
      <c r="X6" s="50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6" t="s">
        <v>67</v>
      </c>
      <c r="AO6" s="489"/>
      <c r="AP6" s="490"/>
      <c r="AQ6" s="112"/>
      <c r="AR6" s="112"/>
    </row>
    <row r="7" spans="1:44" s="3" customFormat="1">
      <c r="A7" s="101"/>
      <c r="B7" s="90" t="s">
        <v>529</v>
      </c>
      <c r="C7" s="80" t="s">
        <v>530</v>
      </c>
      <c r="D7" s="176" t="b">
        <v>1</v>
      </c>
      <c r="E7" s="5"/>
      <c r="I7" s="6" t="s">
        <v>20</v>
      </c>
      <c r="J7" s="505"/>
      <c r="K7" s="506"/>
      <c r="L7" s="506"/>
      <c r="M7" s="507"/>
      <c r="N7" s="13" t="str">
        <f>IF(UNMT0010_H_FREEWD_KBN=1,"AND",IF(UNMT0010_H_FREEWD_KBN=2,"OR","NAND"))</f>
        <v>AND</v>
      </c>
      <c r="O7" s="505"/>
      <c r="P7" s="506"/>
      <c r="Q7" s="506"/>
      <c r="R7" s="507"/>
      <c r="S7" s="13" t="str">
        <f>IF(UNMT0010_H_FREEWD_KBN=1,"AND",IF(UNMT0010_H_FREEWD_KBN=2,"OR","NAND"))</f>
        <v>AND</v>
      </c>
      <c r="T7" s="505"/>
      <c r="U7" s="506"/>
      <c r="V7" s="506"/>
      <c r="W7" s="507"/>
      <c r="X7" s="112"/>
      <c r="Y7" s="112"/>
      <c r="Z7" s="112"/>
      <c r="AA7" s="112"/>
      <c r="AB7" s="112"/>
      <c r="AC7" s="112"/>
      <c r="AD7" s="112"/>
      <c r="AE7" s="112" t="s">
        <v>88</v>
      </c>
      <c r="AF7" s="112"/>
      <c r="AG7" s="6"/>
      <c r="AH7" s="112"/>
      <c r="AI7" s="112" t="s">
        <v>821</v>
      </c>
      <c r="AJ7" s="112"/>
      <c r="AK7" s="112"/>
      <c r="AL7" s="112"/>
      <c r="AM7" s="112"/>
      <c r="AN7" s="112"/>
      <c r="AO7" s="112"/>
      <c r="AP7" s="112"/>
      <c r="AQ7" s="112"/>
      <c r="AR7" s="112"/>
    </row>
    <row r="8" spans="1:44" s="3" customFormat="1">
      <c r="A8" s="101"/>
      <c r="B8" s="90" t="s">
        <v>531</v>
      </c>
      <c r="C8" s="80" t="s">
        <v>532</v>
      </c>
      <c r="D8" s="176" t="b">
        <v>1</v>
      </c>
      <c r="E8" s="5"/>
    </row>
    <row r="9" spans="1:44">
      <c r="A9" s="101"/>
      <c r="B9" s="90" t="s">
        <v>534</v>
      </c>
      <c r="C9" s="80" t="s">
        <v>535</v>
      </c>
      <c r="D9" s="177" t="b">
        <v>0</v>
      </c>
    </row>
    <row r="10" spans="1:44">
      <c r="A10" s="159"/>
      <c r="B10" s="90" t="s">
        <v>822</v>
      </c>
      <c r="C10" s="80" t="s">
        <v>823</v>
      </c>
      <c r="D10" s="177" t="b">
        <v>1</v>
      </c>
      <c r="E10" s="159"/>
    </row>
    <row r="11" spans="1:44">
      <c r="A11" s="101"/>
      <c r="B11" s="89" t="s">
        <v>536</v>
      </c>
      <c r="C11" s="88" t="s">
        <v>537</v>
      </c>
      <c r="D11" s="176">
        <v>1</v>
      </c>
    </row>
    <row r="12" spans="1:44">
      <c r="A12" s="101"/>
      <c r="F12" s="215"/>
    </row>
    <row r="13" spans="1:44">
      <c r="A13" s="101"/>
      <c r="B13" s="90" t="s">
        <v>26</v>
      </c>
      <c r="C13" s="80" t="s">
        <v>533</v>
      </c>
      <c r="D13" s="176"/>
      <c r="E13" s="81"/>
      <c r="F13" s="215"/>
    </row>
    <row r="14" spans="1:44">
      <c r="A14" s="101"/>
      <c r="B14" s="90" t="s">
        <v>50</v>
      </c>
      <c r="C14" s="80" t="s">
        <v>862</v>
      </c>
      <c r="D14" s="177"/>
      <c r="E14" s="81"/>
      <c r="F14" s="215"/>
      <c r="H14" s="216"/>
      <c r="I14" s="216"/>
      <c r="J14" s="216"/>
      <c r="K14" s="216"/>
      <c r="L14" s="216"/>
    </row>
    <row r="15" spans="1:44">
      <c r="A15" s="101"/>
      <c r="E15" s="81"/>
      <c r="F15" s="215"/>
      <c r="H15" s="216"/>
      <c r="I15" s="216"/>
      <c r="J15" s="216"/>
      <c r="K15" s="216"/>
      <c r="L15" s="216"/>
      <c r="M15" s="216"/>
    </row>
    <row r="16" spans="1:44">
      <c r="B16" s="161" t="s">
        <v>629</v>
      </c>
      <c r="C16" s="80" t="s">
        <v>744</v>
      </c>
      <c r="D16" s="178"/>
      <c r="E16" s="81"/>
      <c r="F16" s="215"/>
      <c r="H16" s="216"/>
      <c r="I16" s="216"/>
      <c r="J16" s="216"/>
      <c r="K16" s="216"/>
      <c r="L16" s="216"/>
      <c r="M16" s="216"/>
    </row>
    <row r="17" spans="1:13">
      <c r="A17" s="144"/>
      <c r="B17" s="204" t="s">
        <v>627</v>
      </c>
      <c r="C17" s="80" t="s">
        <v>863</v>
      </c>
      <c r="D17" s="178"/>
      <c r="E17" s="81"/>
      <c r="F17" s="215"/>
      <c r="H17" s="216"/>
      <c r="I17" s="216"/>
      <c r="J17" s="216"/>
      <c r="K17" s="216"/>
      <c r="L17" s="216"/>
      <c r="M17" s="216"/>
    </row>
    <row r="18" spans="1:13">
      <c r="A18" s="144"/>
      <c r="B18" s="204" t="s">
        <v>628</v>
      </c>
      <c r="C18" s="80" t="s">
        <v>666</v>
      </c>
      <c r="D18" s="178"/>
      <c r="E18" s="81"/>
      <c r="F18" s="215"/>
      <c r="H18" s="216"/>
      <c r="I18" s="216"/>
      <c r="J18" s="216"/>
      <c r="K18" s="216"/>
      <c r="L18" s="216"/>
      <c r="M18" s="216"/>
    </row>
    <row r="19" spans="1:13">
      <c r="A19" s="144"/>
      <c r="B19" s="204" t="s">
        <v>667</v>
      </c>
      <c r="C19" s="80" t="s">
        <v>758</v>
      </c>
      <c r="D19" s="178" t="str">
        <f>IF(UNMT0010_H_SHUBETSU="","",VLOOKUP(UNMT0010_H_SHUBETSU,LIST_SHUBETSU_SEARCH_AREA,2,FALSE))</f>
        <v/>
      </c>
      <c r="E19" s="81"/>
      <c r="F19" s="215"/>
      <c r="H19" s="216"/>
      <c r="I19" s="216"/>
      <c r="J19" s="216"/>
      <c r="K19" s="216"/>
      <c r="L19" s="216"/>
      <c r="M19" s="216"/>
    </row>
    <row r="20" spans="1:13">
      <c r="B20" s="81"/>
      <c r="C20" s="81"/>
      <c r="D20" s="179"/>
      <c r="E20" s="81"/>
      <c r="F20" s="215"/>
      <c r="H20" s="216"/>
      <c r="I20" s="216"/>
      <c r="J20" s="216"/>
      <c r="K20" s="216"/>
      <c r="L20" s="216"/>
      <c r="M20" s="216"/>
    </row>
    <row r="21" spans="1:13">
      <c r="A21" s="109" t="s">
        <v>581</v>
      </c>
      <c r="B21" s="101"/>
      <c r="C21" s="101"/>
      <c r="E21" s="81"/>
      <c r="F21" s="215"/>
      <c r="H21" s="216"/>
      <c r="I21" s="216"/>
      <c r="J21" s="216"/>
      <c r="K21" s="216"/>
      <c r="L21" s="216"/>
      <c r="M21" s="216"/>
    </row>
    <row r="22" spans="1:13">
      <c r="A22" s="101"/>
      <c r="B22" s="102" t="s">
        <v>475</v>
      </c>
      <c r="C22" s="356" t="s">
        <v>980</v>
      </c>
      <c r="D22" s="176"/>
      <c r="E22" s="81"/>
      <c r="F22" s="215"/>
      <c r="H22" s="216"/>
      <c r="I22" s="216"/>
      <c r="J22" s="216"/>
      <c r="K22" s="216"/>
      <c r="L22" s="216"/>
      <c r="M22" s="216"/>
    </row>
    <row r="23" spans="1:13">
      <c r="B23" s="102" t="s">
        <v>476</v>
      </c>
      <c r="C23" s="105" t="s">
        <v>594</v>
      </c>
      <c r="D23" s="176" t="str">
        <f>ADDRESS(ROW(A1),COLUMN(A1))&amp;":"&amp;ADDRESS(ROW(UNMT0010_H_FORM_ORIGIN),COLUMN(UNMT0010_H_FORM_ORIGIN)-1)</f>
        <v>$A$1:$E$1</v>
      </c>
      <c r="E23" s="81"/>
      <c r="F23" s="215"/>
      <c r="H23" s="216"/>
      <c r="I23" s="216"/>
      <c r="J23" s="216"/>
      <c r="K23" s="216"/>
      <c r="L23" s="216"/>
      <c r="M23" s="216"/>
    </row>
    <row r="24" spans="1:13">
      <c r="A24" s="161" t="s">
        <v>669</v>
      </c>
      <c r="D24" s="179"/>
      <c r="E24" s="81"/>
      <c r="F24" s="215"/>
      <c r="H24" s="216"/>
      <c r="I24" s="216"/>
      <c r="J24" s="216"/>
      <c r="K24" s="216"/>
      <c r="L24" s="216"/>
      <c r="M24" s="216"/>
    </row>
    <row r="25" spans="1:13">
      <c r="E25" s="81"/>
      <c r="F25" s="215"/>
      <c r="H25" s="216"/>
      <c r="I25" s="216"/>
      <c r="J25" s="216"/>
      <c r="K25" s="216"/>
      <c r="L25" s="216"/>
      <c r="M25" s="216"/>
    </row>
    <row r="26" spans="1:13">
      <c r="B26" s="5" t="s">
        <v>670</v>
      </c>
      <c r="C26" s="5" t="s">
        <v>674</v>
      </c>
      <c r="D26" s="180" t="str">
        <f>IFERROR(
    VALUE(
        MID(UNMT0010_H_MITSUMORI_START,
            FIND("M",UNMT0010_H_MITSUMORI_START)+1,
            2)
        &amp;MID(UNMT0010_H_MITSUMORI_START,
            FIND("-",UNMT0010_H_MITSUMORI_START)+1,
            LEN(UNMT0010_H_MITSUMORI_START))
    ),
  ""
  )</f>
        <v/>
      </c>
      <c r="E26" s="81"/>
      <c r="F26" s="215"/>
      <c r="H26" s="216"/>
      <c r="I26" s="216"/>
      <c r="J26" s="216"/>
      <c r="K26" s="216"/>
      <c r="L26" s="216"/>
      <c r="M26" s="216"/>
    </row>
    <row r="27" spans="1:13">
      <c r="B27" s="159" t="s">
        <v>671</v>
      </c>
      <c r="C27" s="159" t="s">
        <v>675</v>
      </c>
      <c r="D27" s="181" t="str">
        <f>IFERROR(
    VALUE(
        MID(UNMT0010_H_MITSUMORI_END,
            FIND("M",UNMT0010_H_MITSUMORI_END)+1,
            2)
        &amp;MID(UNMT0010_H_MITSUMORI_END,
            FIND("-",UNMT0010_H_MITSUMORI_END)+1,
            LEN(UNMT0010_H_MITSUMORI_END))
    ),
  ""
  )</f>
        <v/>
      </c>
      <c r="E27" s="81"/>
      <c r="F27" s="215"/>
      <c r="H27" s="216"/>
      <c r="I27" s="216"/>
      <c r="J27" s="216"/>
      <c r="K27" s="216"/>
      <c r="L27" s="216"/>
      <c r="M27" s="216"/>
    </row>
    <row r="28" spans="1:13">
      <c r="B28" s="5" t="s">
        <v>676</v>
      </c>
      <c r="C28" s="159" t="s">
        <v>672</v>
      </c>
      <c r="D28" s="182">
        <f>IF(OR(UNMT0010_H_MITSUMORI_NO_START_NUM="",UNMT0010_H_MITSUMORI_NO_END_NUM=""),UNMT0010_H_MITSUMORI_START,TEXT(MIN(UNMT0010_H_MITSUMORI_NO_START_NUM:UNMT0010_H_MITSUMORI_NO_END_NUM),"!M##!-######"))</f>
        <v>0</v>
      </c>
      <c r="E28" s="81"/>
      <c r="H28" s="216"/>
      <c r="I28" s="216"/>
      <c r="J28" s="216"/>
      <c r="K28" s="216"/>
      <c r="L28" s="216"/>
      <c r="M28" s="216"/>
    </row>
    <row r="29" spans="1:13">
      <c r="B29" s="5" t="s">
        <v>677</v>
      </c>
      <c r="C29" s="159" t="s">
        <v>673</v>
      </c>
      <c r="D29" s="182">
        <f>IF(OR(UNMT0010_H_MITSUMORI_NO_START_NUM="",UNMT0010_H_MITSUMORI_NO_END_NUM=""),UNMT0010_H_MITSUMORI_END,TEXT(MAX(UNMT0010_H_MITSUMORI_NO_START_NUM:UNMT0010_H_MITSUMORI_NO_END_NUM),"!M##!-######"))</f>
        <v>0</v>
      </c>
      <c r="H29" s="216"/>
      <c r="I29" s="216"/>
      <c r="J29" s="216"/>
      <c r="K29" s="216"/>
      <c r="L29" s="216"/>
      <c r="M29" s="216"/>
    </row>
    <row r="30" spans="1:13">
      <c r="H30" s="216"/>
      <c r="I30" s="216"/>
      <c r="J30" s="216"/>
      <c r="K30" s="216"/>
      <c r="L30" s="216"/>
      <c r="M30" s="216"/>
    </row>
    <row r="31" spans="1:13">
      <c r="H31" s="216"/>
      <c r="I31" s="216"/>
      <c r="J31" s="216"/>
      <c r="K31" s="216"/>
      <c r="L31" s="216"/>
      <c r="M31" s="216"/>
    </row>
    <row r="32" spans="1:13">
      <c r="H32" s="216"/>
      <c r="I32" s="216"/>
      <c r="J32" s="216"/>
      <c r="K32" s="216"/>
      <c r="L32" s="216"/>
      <c r="M32" s="216"/>
    </row>
    <row r="33" spans="4:13">
      <c r="D33" s="183"/>
      <c r="H33" s="216"/>
      <c r="I33" s="216"/>
      <c r="J33" s="216"/>
      <c r="K33" s="216"/>
      <c r="L33" s="216"/>
      <c r="M33" s="216"/>
    </row>
  </sheetData>
  <sheetProtection sheet="1" objects="1" scenarios="1" selectLockedCells="1"/>
  <mergeCells count="15">
    <mergeCell ref="J7:M7"/>
    <mergeCell ref="O7:R7"/>
    <mergeCell ref="T7:W7"/>
    <mergeCell ref="J6:M6"/>
    <mergeCell ref="AD5:AG5"/>
    <mergeCell ref="N6:X6"/>
    <mergeCell ref="AO6:AP6"/>
    <mergeCell ref="J4:M4"/>
    <mergeCell ref="J5:M5"/>
    <mergeCell ref="O5:R5"/>
    <mergeCell ref="AD3:AG3"/>
    <mergeCell ref="AI3:AL3"/>
    <mergeCell ref="AH5:AR5"/>
    <mergeCell ref="AD4:AG4"/>
    <mergeCell ref="AO4:AR4"/>
  </mergeCells>
  <phoneticPr fontId="2"/>
  <dataValidations count="4">
    <dataValidation type="list" allowBlank="1" showInputMessage="1" showErrorMessage="1" sqref="AO6:AP6">
      <formula1>LIST_SHUBETSU</formula1>
    </dataValidation>
    <dataValidation type="custom" allowBlank="1" showInputMessage="1" showErrorMessage="1" error="Myy-mmzzzzの形で入力してください。" sqref="J5:M5">
      <formula1>AND(LEN(UNMT0010_H_MITSUMORI_START)=LENB(UNMT0010_H_MITSUMORI_START),LEN(UNMT0010_H_MITSUMORI_START)=10)</formula1>
    </dataValidation>
    <dataValidation type="custom" allowBlank="1" showInputMessage="1" showErrorMessage="1" sqref="O5:R5">
      <formula1>AND(LEN(UNMT0010_H_MITSUMORI_END)=LENB(UNMT0010_H_MITSUMORI_END),LEN(UNMT0010_H_MITSUMORI_END)=10)</formula1>
    </dataValidation>
    <dataValidation type="date" allowBlank="1" showInputMessage="1" showErrorMessage="1" sqref="AD3:AG3 AI3:AL3">
      <formula1>36526</formula1>
      <formula2>73415</formula2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81" r:id="rId4" name="Check Box 1">
              <controlPr defaultSize="0" autoFill="0" autoLine="0" autoPict="0">
                <anchor moveWithCells="1">
                  <from>
                    <xdr:col>9</xdr:col>
                    <xdr:colOff>38100</xdr:colOff>
                    <xdr:row>2</xdr:row>
                    <xdr:rowOff>28575</xdr:rowOff>
                  </from>
                  <to>
                    <xdr:col>11</xdr:col>
                    <xdr:colOff>133350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2" r:id="rId5" name="Check Box 2">
              <controlPr defaultSize="0" autoFill="0" autoLine="0" autoPict="0">
                <anchor moveWithCells="1">
                  <from>
                    <xdr:col>12</xdr:col>
                    <xdr:colOff>19050</xdr:colOff>
                    <xdr:row>2</xdr:row>
                    <xdr:rowOff>28575</xdr:rowOff>
                  </from>
                  <to>
                    <xdr:col>14</xdr:col>
                    <xdr:colOff>142875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3" r:id="rId6" name="Check Box 3">
              <controlPr defaultSize="0" autoFill="0" autoLine="0" autoPict="0">
                <anchor moveWithCells="1">
                  <from>
                    <xdr:col>15</xdr:col>
                    <xdr:colOff>47625</xdr:colOff>
                    <xdr:row>2</xdr:row>
                    <xdr:rowOff>28575</xdr:rowOff>
                  </from>
                  <to>
                    <xdr:col>17</xdr:col>
                    <xdr:colOff>95250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4" r:id="rId7" name="Check Box 4">
              <controlPr defaultSize="0" autoFill="0" autoLine="0" autoPict="0">
                <anchor moveWithCells="1">
                  <from>
                    <xdr:col>18</xdr:col>
                    <xdr:colOff>47625</xdr:colOff>
                    <xdr:row>2</xdr:row>
                    <xdr:rowOff>28575</xdr:rowOff>
                  </from>
                  <to>
                    <xdr:col>20</xdr:col>
                    <xdr:colOff>104775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5" r:id="rId8" name="Check Box 5">
              <controlPr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28575</xdr:rowOff>
                  </from>
                  <to>
                    <xdr:col>24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6" r:id="rId9" name="Option Button 6">
              <controlPr defaultSize="0" autoFill="0" autoLine="0" autoPict="0">
                <anchor moveWithCells="1">
                  <from>
                    <xdr:col>23</xdr:col>
                    <xdr:colOff>38100</xdr:colOff>
                    <xdr:row>6</xdr:row>
                    <xdr:rowOff>0</xdr:rowOff>
                  </from>
                  <to>
                    <xdr:col>25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7" r:id="rId10" name="Option Button 7">
              <controlPr defaultSize="0" autoFill="0" autoLine="0" autoPict="0">
                <anchor moveWithCells="1">
                  <from>
                    <xdr:col>24</xdr:col>
                    <xdr:colOff>257175</xdr:colOff>
                    <xdr:row>6</xdr:row>
                    <xdr:rowOff>0</xdr:rowOff>
                  </from>
                  <to>
                    <xdr:col>26</xdr:col>
                    <xdr:colOff>180975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8" r:id="rId11" name="Option Button 8">
              <controlPr defaultSize="0" autoFill="0" autoLine="0" autoPict="0">
                <anchor moveWithCells="1">
                  <from>
                    <xdr:col>26</xdr:col>
                    <xdr:colOff>142875</xdr:colOff>
                    <xdr:row>6</xdr:row>
                    <xdr:rowOff>0</xdr:rowOff>
                  </from>
                  <to>
                    <xdr:col>29</xdr:col>
                    <xdr:colOff>104775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9" r:id="rId12" name="Check Box 9">
              <controlPr defaultSize="0" autoFill="0" autoLine="0" autoPict="0">
                <anchor moveWithCells="1">
                  <from>
                    <xdr:col>29</xdr:col>
                    <xdr:colOff>47625</xdr:colOff>
                    <xdr:row>5</xdr:row>
                    <xdr:rowOff>190500</xdr:rowOff>
                  </from>
                  <to>
                    <xdr:col>33</xdr:col>
                    <xdr:colOff>66675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90" r:id="rId13" name="Check Box 10">
              <controlPr defaultSize="0" autoFill="0" autoLine="0" autoPict="0">
                <anchor moveWithCells="1">
                  <from>
                    <xdr:col>33</xdr:col>
                    <xdr:colOff>76200</xdr:colOff>
                    <xdr:row>5</xdr:row>
                    <xdr:rowOff>200025</xdr:rowOff>
                  </from>
                  <to>
                    <xdr:col>37</xdr:col>
                    <xdr:colOff>95250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AC47"/>
  <sheetViews>
    <sheetView showGridLines="0" showRowColHeaders="0" topLeftCell="F11" zoomScaleNormal="100" workbookViewId="0">
      <selection sqref="A1:E1 W12:AC12"/>
    </sheetView>
  </sheetViews>
  <sheetFormatPr defaultRowHeight="16.5"/>
  <cols>
    <col min="1" max="1" width="2" style="84" hidden="1" customWidth="1"/>
    <col min="2" max="2" width="16.625" style="84" hidden="1" customWidth="1"/>
    <col min="3" max="3" width="20.875" style="84" hidden="1" customWidth="1"/>
    <col min="4" max="4" width="14" style="84" hidden="1" customWidth="1"/>
    <col min="5" max="5" width="9" style="84" hidden="1" customWidth="1"/>
    <col min="6" max="6" width="3.375" style="112" customWidth="1"/>
    <col min="7" max="7" width="5" style="112" bestFit="1" customWidth="1"/>
    <col min="8" max="8" width="13.25" style="112" customWidth="1"/>
    <col min="9" max="9" width="12.375" style="112" customWidth="1"/>
    <col min="10" max="10" width="12.625" style="112" bestFit="1" customWidth="1"/>
    <col min="11" max="11" width="12.5" style="149" bestFit="1" customWidth="1"/>
    <col min="12" max="12" width="11.375" style="112" bestFit="1" customWidth="1"/>
    <col min="13" max="14" width="32.125" style="112" customWidth="1"/>
    <col min="15" max="16" width="14.5" style="112" customWidth="1"/>
    <col min="17" max="19" width="9.625" style="112" customWidth="1"/>
    <col min="20" max="20" width="4.75" style="7" bestFit="1" customWidth="1"/>
    <col min="21" max="21" width="6.375" style="7" bestFit="1" customWidth="1"/>
    <col min="22" max="22" width="4.75" style="7" customWidth="1"/>
    <col min="23" max="28" width="17.625" style="112" hidden="1" customWidth="1"/>
    <col min="29" max="29" width="9" style="112" hidden="1" customWidth="1"/>
    <col min="30" max="16384" width="9" style="112"/>
  </cols>
  <sheetData>
    <row r="1" spans="1:29" hidden="1">
      <c r="A1" s="101"/>
      <c r="B1" s="101"/>
      <c r="C1" s="101"/>
      <c r="D1" s="101"/>
      <c r="E1" s="101"/>
      <c r="F1" s="117"/>
      <c r="G1" s="117"/>
      <c r="H1" s="117"/>
      <c r="I1" s="117"/>
      <c r="J1" s="117"/>
      <c r="K1" s="148"/>
      <c r="L1" s="117"/>
      <c r="M1" s="117"/>
      <c r="N1" s="117"/>
      <c r="O1" s="117"/>
      <c r="P1" s="117"/>
      <c r="Q1" s="117"/>
      <c r="R1" s="117"/>
      <c r="S1" s="117"/>
      <c r="T1" s="116"/>
      <c r="U1" s="116"/>
      <c r="V1" s="116"/>
      <c r="W1" s="117"/>
      <c r="X1" s="117"/>
      <c r="Y1" s="117"/>
      <c r="Z1" s="117"/>
      <c r="AA1" s="117"/>
      <c r="AB1" s="117"/>
      <c r="AC1" s="117"/>
    </row>
    <row r="2" spans="1:29" hidden="1">
      <c r="A2" s="101"/>
      <c r="B2" s="101"/>
      <c r="C2" s="101"/>
      <c r="D2" s="101"/>
      <c r="E2" s="101"/>
      <c r="F2" s="117"/>
      <c r="G2" s="117"/>
      <c r="H2" s="117"/>
      <c r="I2" s="117"/>
      <c r="J2" s="117"/>
      <c r="K2" s="148"/>
      <c r="L2" s="117"/>
      <c r="M2" s="117"/>
      <c r="N2" s="117"/>
      <c r="O2" s="117"/>
      <c r="P2" s="117"/>
      <c r="Q2" s="117"/>
      <c r="R2" s="117"/>
      <c r="S2" s="117"/>
      <c r="T2" s="116"/>
      <c r="U2" s="116"/>
      <c r="V2" s="116"/>
      <c r="W2" s="117"/>
      <c r="X2" s="117"/>
      <c r="Y2" s="117"/>
      <c r="Z2" s="117"/>
      <c r="AA2" s="117"/>
      <c r="AB2" s="117"/>
      <c r="AC2" s="117"/>
    </row>
    <row r="3" spans="1:29" hidden="1">
      <c r="A3" s="101"/>
      <c r="B3" s="101"/>
      <c r="C3" s="101"/>
      <c r="D3" s="101"/>
      <c r="E3" s="101"/>
      <c r="F3" s="117"/>
      <c r="G3" s="117"/>
      <c r="H3" s="117"/>
      <c r="I3" s="117"/>
      <c r="J3" s="117"/>
      <c r="K3" s="148"/>
      <c r="L3" s="117"/>
      <c r="M3" s="117"/>
      <c r="N3" s="117"/>
      <c r="O3" s="117"/>
      <c r="P3" s="117"/>
      <c r="Q3" s="117"/>
      <c r="R3" s="117"/>
      <c r="S3" s="117"/>
      <c r="T3" s="116"/>
      <c r="U3" s="116"/>
      <c r="V3" s="116"/>
      <c r="W3" s="117"/>
      <c r="X3" s="117"/>
      <c r="Y3" s="117"/>
      <c r="Z3" s="117"/>
      <c r="AA3" s="117"/>
      <c r="AB3" s="117"/>
      <c r="AC3" s="117"/>
    </row>
    <row r="4" spans="1:29" hidden="1">
      <c r="A4" s="101"/>
      <c r="B4" s="101"/>
      <c r="C4" s="101"/>
      <c r="D4" s="101"/>
      <c r="E4" s="101"/>
      <c r="F4" s="117"/>
      <c r="G4" s="117"/>
      <c r="H4" s="117"/>
      <c r="I4" s="117"/>
      <c r="J4" s="117"/>
      <c r="K4" s="148"/>
      <c r="L4" s="117"/>
      <c r="M4" s="117"/>
      <c r="N4" s="117"/>
      <c r="O4" s="117"/>
      <c r="P4" s="117"/>
      <c r="Q4" s="117"/>
      <c r="R4" s="117"/>
      <c r="S4" s="117"/>
      <c r="T4" s="116"/>
      <c r="U4" s="116"/>
      <c r="V4" s="116"/>
      <c r="W4" s="117"/>
      <c r="X4" s="117"/>
      <c r="Y4" s="117"/>
      <c r="Z4" s="117"/>
      <c r="AA4" s="117"/>
      <c r="AB4" s="117"/>
      <c r="AC4" s="117"/>
    </row>
    <row r="5" spans="1:29" hidden="1">
      <c r="A5" s="101"/>
      <c r="B5" s="101"/>
      <c r="C5" s="101"/>
      <c r="D5" s="101"/>
      <c r="E5" s="101"/>
      <c r="F5" s="117"/>
      <c r="G5" s="117"/>
      <c r="H5" s="117"/>
      <c r="I5" s="117"/>
      <c r="J5" s="117"/>
      <c r="K5" s="148"/>
      <c r="L5" s="117"/>
      <c r="M5" s="117"/>
      <c r="N5" s="117"/>
      <c r="O5" s="117"/>
      <c r="P5" s="117"/>
      <c r="Q5" s="117"/>
      <c r="R5" s="117"/>
      <c r="S5" s="117"/>
      <c r="T5" s="116"/>
      <c r="U5" s="116"/>
      <c r="V5" s="116"/>
      <c r="W5" s="117"/>
      <c r="X5" s="117"/>
      <c r="Y5" s="117"/>
      <c r="Z5" s="117"/>
      <c r="AA5" s="117"/>
      <c r="AB5" s="117"/>
      <c r="AC5" s="117"/>
    </row>
    <row r="6" spans="1:29" hidden="1">
      <c r="A6" s="101"/>
      <c r="B6" s="101"/>
      <c r="C6" s="101"/>
      <c r="D6" s="101"/>
      <c r="E6" s="101"/>
      <c r="F6" s="117"/>
      <c r="G6" s="117"/>
      <c r="H6" s="117"/>
      <c r="I6" s="117"/>
      <c r="J6" s="117"/>
      <c r="K6" s="148"/>
      <c r="L6" s="117"/>
      <c r="M6" s="117"/>
      <c r="N6" s="117"/>
      <c r="O6" s="117"/>
      <c r="P6" s="117"/>
      <c r="Q6" s="117"/>
      <c r="R6" s="117"/>
      <c r="S6" s="117"/>
      <c r="T6" s="116"/>
      <c r="U6" s="116"/>
      <c r="V6" s="116"/>
      <c r="W6" s="117"/>
      <c r="X6" s="117"/>
      <c r="Y6" s="117"/>
      <c r="Z6" s="117"/>
      <c r="AA6" s="117"/>
      <c r="AB6" s="117"/>
      <c r="AC6" s="117"/>
    </row>
    <row r="7" spans="1:29" hidden="1">
      <c r="A7" s="101"/>
      <c r="B7" s="101"/>
      <c r="C7" s="101"/>
      <c r="D7" s="101"/>
      <c r="E7" s="101"/>
      <c r="F7" s="117"/>
      <c r="G7" s="117"/>
      <c r="H7" s="117"/>
      <c r="I7" s="117"/>
      <c r="J7" s="117"/>
      <c r="K7" s="148"/>
      <c r="L7" s="117"/>
      <c r="M7" s="117"/>
      <c r="N7" s="117"/>
      <c r="O7" s="117"/>
      <c r="P7" s="117"/>
      <c r="Q7" s="117"/>
      <c r="R7" s="117"/>
      <c r="S7" s="117"/>
      <c r="T7" s="116"/>
      <c r="U7" s="116"/>
      <c r="V7" s="116"/>
      <c r="W7" s="117"/>
      <c r="X7" s="117"/>
      <c r="Y7" s="117"/>
      <c r="Z7" s="117"/>
      <c r="AA7" s="117"/>
      <c r="AB7" s="117"/>
      <c r="AC7" s="117"/>
    </row>
    <row r="8" spans="1:29" hidden="1">
      <c r="A8" s="101"/>
      <c r="B8" s="101"/>
      <c r="C8" s="101"/>
      <c r="D8" s="101"/>
      <c r="E8" s="101"/>
      <c r="F8" s="117"/>
      <c r="G8" s="117"/>
      <c r="H8" s="117"/>
      <c r="I8" s="117"/>
      <c r="J8" s="117"/>
      <c r="K8" s="148"/>
      <c r="L8" s="117"/>
      <c r="M8" s="117"/>
      <c r="N8" s="117"/>
      <c r="O8" s="117"/>
      <c r="P8" s="117"/>
      <c r="Q8" s="117"/>
      <c r="R8" s="117"/>
      <c r="S8" s="117"/>
      <c r="T8" s="116"/>
      <c r="U8" s="116"/>
      <c r="V8" s="116"/>
      <c r="W8" s="117"/>
      <c r="X8" s="117"/>
      <c r="Y8" s="117"/>
      <c r="Z8" s="117"/>
      <c r="AA8" s="117"/>
      <c r="AB8" s="117"/>
      <c r="AC8" s="117"/>
    </row>
    <row r="9" spans="1:29" hidden="1">
      <c r="A9" s="101"/>
      <c r="B9" s="101"/>
      <c r="C9" s="101"/>
      <c r="D9" s="101"/>
      <c r="E9" s="101"/>
      <c r="F9" s="117"/>
      <c r="G9" s="117"/>
      <c r="H9" s="117"/>
      <c r="I9" s="117"/>
      <c r="J9" s="117"/>
      <c r="K9" s="148"/>
      <c r="L9" s="117"/>
      <c r="M9" s="117"/>
      <c r="N9" s="117"/>
      <c r="O9" s="117"/>
      <c r="P9" s="117"/>
      <c r="Q9" s="117"/>
      <c r="R9" s="117"/>
      <c r="S9" s="117"/>
      <c r="T9" s="116"/>
      <c r="U9" s="116"/>
      <c r="V9" s="116"/>
      <c r="W9" s="117"/>
      <c r="X9" s="117"/>
      <c r="Y9" s="117"/>
      <c r="Z9" s="117"/>
      <c r="AA9" s="117"/>
      <c r="AB9" s="117"/>
      <c r="AC9" s="117"/>
    </row>
    <row r="10" spans="1:29" hidden="1">
      <c r="A10" s="101"/>
      <c r="B10" s="101"/>
      <c r="C10" s="101"/>
      <c r="D10" s="101"/>
      <c r="E10" s="101"/>
      <c r="F10" s="117"/>
      <c r="G10" s="117"/>
      <c r="H10" s="117"/>
      <c r="I10" s="117"/>
      <c r="J10" s="117"/>
      <c r="K10" s="148"/>
      <c r="L10" s="117"/>
      <c r="M10" s="117"/>
      <c r="N10" s="117"/>
      <c r="O10" s="117"/>
      <c r="P10" s="117"/>
      <c r="Q10" s="117"/>
      <c r="R10" s="117"/>
      <c r="S10" s="117"/>
      <c r="T10" s="116"/>
      <c r="U10" s="116"/>
      <c r="V10" s="116"/>
      <c r="W10" s="117"/>
      <c r="X10" s="117"/>
      <c r="Y10" s="117"/>
      <c r="Z10" s="117"/>
      <c r="AA10" s="117"/>
      <c r="AB10" s="117"/>
      <c r="AC10" s="117"/>
    </row>
    <row r="11" spans="1:29">
      <c r="F11" s="3" t="str">
        <f>IF(UNMT0010_B_PAGE_NO=0,"","("&amp;UNMT0010_B_PAGE_NO&amp;"/"&amp;UNMT0010_B_ALL_PAGE_SU&amp;")")</f>
        <v>(1/1)</v>
      </c>
      <c r="G11" s="85"/>
      <c r="H11" s="3"/>
      <c r="I11" s="3"/>
      <c r="J11" s="3"/>
      <c r="L11" s="3"/>
      <c r="M11" s="3"/>
      <c r="N11" s="3"/>
      <c r="O11" s="3"/>
      <c r="P11" s="3"/>
      <c r="Q11" s="3"/>
      <c r="R11" s="3"/>
      <c r="S11" s="3"/>
      <c r="W11" s="3"/>
      <c r="X11" s="3"/>
      <c r="Y11" s="3"/>
      <c r="Z11" s="3"/>
      <c r="AA11" s="3"/>
      <c r="AB11" s="3"/>
      <c r="AC11" s="3"/>
    </row>
    <row r="12" spans="1:29">
      <c r="A12" s="109" t="s">
        <v>548</v>
      </c>
      <c r="B12" s="101"/>
      <c r="C12" s="107"/>
      <c r="D12" s="101"/>
      <c r="F12" s="83"/>
      <c r="G12" s="86" t="s">
        <v>0</v>
      </c>
      <c r="H12" s="78" t="s">
        <v>21</v>
      </c>
      <c r="I12" s="78" t="s">
        <v>22</v>
      </c>
      <c r="J12" s="86" t="s">
        <v>23</v>
      </c>
      <c r="K12" s="150" t="s">
        <v>24</v>
      </c>
      <c r="L12" s="86" t="s">
        <v>25</v>
      </c>
      <c r="M12" s="86" t="s">
        <v>26</v>
      </c>
      <c r="N12" s="86" t="s">
        <v>27</v>
      </c>
      <c r="O12" s="86" t="s">
        <v>94</v>
      </c>
      <c r="P12" s="86" t="s">
        <v>98</v>
      </c>
      <c r="Q12" s="86" t="s">
        <v>28</v>
      </c>
      <c r="R12" s="86" t="s">
        <v>29</v>
      </c>
      <c r="S12" s="86" t="s">
        <v>30</v>
      </c>
      <c r="T12" s="86" t="s">
        <v>31</v>
      </c>
      <c r="U12" s="86" t="s">
        <v>1011</v>
      </c>
      <c r="V12" s="86" t="s">
        <v>34</v>
      </c>
      <c r="W12" s="160" t="s">
        <v>665</v>
      </c>
      <c r="X12" s="160" t="s">
        <v>660</v>
      </c>
      <c r="Y12" s="160" t="s">
        <v>661</v>
      </c>
      <c r="Z12" s="160" t="s">
        <v>662</v>
      </c>
      <c r="AA12" s="160" t="s">
        <v>663</v>
      </c>
      <c r="AB12" s="160" t="s">
        <v>664</v>
      </c>
      <c r="AC12" s="160" t="s">
        <v>736</v>
      </c>
    </row>
    <row r="13" spans="1:29">
      <c r="A13" s="101"/>
      <c r="B13" s="101" t="s">
        <v>549</v>
      </c>
      <c r="C13" s="107" t="s">
        <v>565</v>
      </c>
      <c r="D13" s="106">
        <v>2</v>
      </c>
      <c r="F13" s="3"/>
      <c r="G13" s="119"/>
      <c r="H13" s="120"/>
      <c r="I13" s="120"/>
      <c r="J13" s="120"/>
      <c r="K13" s="151"/>
      <c r="L13" s="120"/>
      <c r="M13" s="120"/>
      <c r="N13" s="120"/>
      <c r="O13" s="120"/>
      <c r="P13" s="120"/>
      <c r="Q13" s="121"/>
      <c r="R13" s="121"/>
      <c r="S13" s="122"/>
      <c r="T13" s="123"/>
      <c r="U13" s="123"/>
      <c r="V13" s="123"/>
      <c r="W13" s="3"/>
      <c r="X13" s="3"/>
      <c r="Y13" s="3"/>
      <c r="Z13" s="3"/>
      <c r="AA13" s="3"/>
      <c r="AB13" s="3"/>
      <c r="AC13" s="3"/>
    </row>
    <row r="14" spans="1:29">
      <c r="A14" s="101"/>
      <c r="B14" s="101"/>
      <c r="C14" s="107"/>
      <c r="D14" s="101"/>
      <c r="F14" s="3"/>
      <c r="G14" s="7"/>
      <c r="W14" s="3"/>
      <c r="X14" s="3"/>
      <c r="Y14" s="3"/>
      <c r="Z14" s="3"/>
      <c r="AA14" s="3"/>
      <c r="AB14" s="3"/>
      <c r="AC14" s="3"/>
    </row>
    <row r="15" spans="1:29">
      <c r="A15" s="109" t="s">
        <v>550</v>
      </c>
      <c r="B15" s="101"/>
      <c r="C15" s="107"/>
      <c r="D15" s="101"/>
      <c r="F15" s="3"/>
      <c r="G15" s="7"/>
      <c r="W15" s="3"/>
      <c r="X15" s="3"/>
      <c r="Y15" s="3"/>
      <c r="Z15" s="3"/>
      <c r="AA15" s="3"/>
      <c r="AB15" s="3"/>
      <c r="AC15" s="3"/>
    </row>
    <row r="16" spans="1:29">
      <c r="A16" s="101"/>
      <c r="B16" s="101" t="s">
        <v>551</v>
      </c>
      <c r="C16" s="107" t="s">
        <v>566</v>
      </c>
      <c r="D16" s="106"/>
      <c r="F16" s="3"/>
      <c r="G16" s="7"/>
      <c r="W16" s="3"/>
      <c r="X16" s="3"/>
      <c r="Y16" s="3"/>
      <c r="Z16" s="3"/>
      <c r="AA16" s="3"/>
      <c r="AB16" s="3"/>
      <c r="AC16" s="3"/>
    </row>
    <row r="17" spans="1:29">
      <c r="A17" s="101"/>
      <c r="B17" s="101" t="s">
        <v>552</v>
      </c>
      <c r="C17" s="107" t="s">
        <v>567</v>
      </c>
      <c r="D17" s="103">
        <v>1</v>
      </c>
      <c r="F17" s="3"/>
      <c r="G17" s="7"/>
      <c r="W17" s="3"/>
      <c r="X17" s="3"/>
      <c r="Y17" s="3"/>
      <c r="Z17" s="3"/>
      <c r="AA17" s="3"/>
      <c r="AB17" s="3"/>
      <c r="AC17" s="3"/>
    </row>
    <row r="18" spans="1:29">
      <c r="A18" s="101"/>
      <c r="B18" s="101" t="s">
        <v>553</v>
      </c>
      <c r="C18" s="107" t="s">
        <v>568</v>
      </c>
      <c r="D18" s="108">
        <f>IF(OR(UNMT0010_B_KENSAKU_KENSU=0,UNMT0010_B_CTRL_HYOJI_GYO_SU=0),1,ROUNDUP(UNMT0010_B_KENSAKU_KENSU/UNMT0010_B_CTRL_HYOJI_GYO_SU,0))</f>
        <v>1</v>
      </c>
      <c r="F18" s="3"/>
      <c r="G18" s="7"/>
      <c r="W18" s="3"/>
      <c r="X18" s="3"/>
      <c r="Y18" s="3"/>
      <c r="Z18" s="3"/>
      <c r="AA18" s="3"/>
      <c r="AB18" s="3"/>
      <c r="AC18" s="3"/>
    </row>
    <row r="19" spans="1:29">
      <c r="A19" s="101"/>
      <c r="B19" s="101" t="s">
        <v>554</v>
      </c>
      <c r="C19" s="107" t="s">
        <v>569</v>
      </c>
      <c r="D19" s="106"/>
      <c r="F19" s="3"/>
      <c r="G19" s="7"/>
      <c r="W19" s="3"/>
      <c r="X19" s="3"/>
      <c r="Y19" s="3"/>
      <c r="Z19" s="3"/>
      <c r="AA19" s="3"/>
      <c r="AB19" s="3"/>
      <c r="AC19" s="3"/>
    </row>
    <row r="20" spans="1:29">
      <c r="A20" s="101"/>
      <c r="B20" s="101"/>
      <c r="C20" s="107"/>
      <c r="D20" s="101"/>
      <c r="F20" s="3"/>
      <c r="G20" s="7"/>
      <c r="W20" s="3"/>
      <c r="X20" s="3"/>
      <c r="Y20" s="3"/>
      <c r="Z20" s="3"/>
      <c r="AA20" s="3"/>
      <c r="AB20" s="3"/>
      <c r="AC20" s="3"/>
    </row>
    <row r="21" spans="1:29">
      <c r="A21" s="101"/>
      <c r="B21" s="101" t="s">
        <v>256</v>
      </c>
      <c r="C21" s="107" t="s">
        <v>570</v>
      </c>
      <c r="D21" s="106" t="str">
        <f>ADDRESS(ROW(UNMT0010_B_SENTAKU)+1, COLUMN(UNMT0010_B_SENTAKU))</f>
        <v>$G$13</v>
      </c>
      <c r="F21" s="3"/>
      <c r="G21" s="7"/>
      <c r="W21" s="3"/>
      <c r="X21" s="3"/>
      <c r="Y21" s="3"/>
      <c r="Z21" s="3"/>
      <c r="AA21" s="3"/>
      <c r="AB21" s="3"/>
      <c r="AC21" s="3"/>
    </row>
    <row r="22" spans="1:29">
      <c r="A22" s="101"/>
      <c r="B22" s="101" t="s">
        <v>555</v>
      </c>
      <c r="C22" s="107" t="s">
        <v>571</v>
      </c>
      <c r="D22" s="106" t="str">
        <f ca="1">IF(UNMT0010_B_HYOJI_KENSU=0,"",UNMT0010_B_LIST_START&amp;":"&amp;
ADDRESS(ROW(INDIRECT(UNMT0010_B_LIST_START))+UNMT0010_B_HYOJI_KENSU-1,COLUMN(INDIRECT(UNMT0010_B_LIST_START))+COLUMNS(UNMT0010_IF_B_LIST_COPY_MOTO)-1))</f>
        <v/>
      </c>
      <c r="F22" s="117"/>
      <c r="G22" s="117"/>
      <c r="H22" s="117"/>
      <c r="I22" s="117"/>
      <c r="J22" s="117"/>
      <c r="K22" s="148"/>
      <c r="L22" s="117"/>
      <c r="M22" s="117"/>
      <c r="N22" s="117"/>
      <c r="O22" s="117"/>
      <c r="P22" s="117"/>
      <c r="Q22" s="117"/>
      <c r="R22" s="117"/>
      <c r="S22" s="117"/>
      <c r="T22" s="116"/>
      <c r="U22" s="116"/>
      <c r="V22" s="116"/>
      <c r="W22" s="117"/>
      <c r="X22" s="117"/>
      <c r="Y22" s="117"/>
      <c r="Z22" s="117"/>
      <c r="AA22" s="117"/>
      <c r="AB22" s="117"/>
      <c r="AC22" s="117"/>
    </row>
    <row r="23" spans="1:29">
      <c r="B23" s="101" t="s">
        <v>557</v>
      </c>
      <c r="C23" s="107" t="s">
        <v>572</v>
      </c>
      <c r="D23" s="108" t="str">
        <f ca="1">ADDRESS(ROW(INDIRECT(UNMT0010_B_LIST_START)),COLUMN(INDIRECT(UNMT0010_B_LIST_START)))&amp;":"&amp;
ADDRESS(ROW(INDIRECT(UNMT0010_B_LIST_START))+UNMT0010_B_CTRL_HYOJI_GYO_SU-1,COLUMN(INDIRECT(UNMT0010_B_LIST_START))+COLUMNS(UNMT0010_IF_B_LIST_COPY_MOTO)-1)</f>
        <v>$G$13:$AC$14</v>
      </c>
      <c r="F23" s="117"/>
      <c r="G23" s="117"/>
      <c r="H23" s="117"/>
      <c r="I23" s="117"/>
      <c r="J23" s="117"/>
      <c r="K23" s="148"/>
      <c r="L23" s="117"/>
      <c r="M23" s="117"/>
      <c r="N23" s="117"/>
      <c r="O23" s="117"/>
      <c r="P23" s="117"/>
      <c r="Q23" s="117"/>
      <c r="R23" s="117"/>
      <c r="S23" s="117"/>
      <c r="T23" s="116"/>
      <c r="U23" s="116"/>
      <c r="V23" s="116"/>
      <c r="W23" s="117"/>
      <c r="X23" s="117"/>
      <c r="Y23" s="117"/>
      <c r="Z23" s="117"/>
      <c r="AA23" s="117"/>
      <c r="AB23" s="117"/>
      <c r="AC23" s="117"/>
    </row>
    <row r="24" spans="1:29">
      <c r="A24" s="144"/>
      <c r="B24" s="144"/>
      <c r="C24" s="115"/>
      <c r="D24" s="159" t="s">
        <v>723</v>
      </c>
      <c r="E24" s="144"/>
      <c r="F24" s="117"/>
      <c r="G24" s="117"/>
      <c r="H24" s="117"/>
      <c r="I24" s="117"/>
      <c r="J24" s="117"/>
      <c r="K24" s="148"/>
      <c r="L24" s="117"/>
      <c r="M24" s="117"/>
      <c r="N24" s="117"/>
      <c r="O24" s="117"/>
      <c r="P24" s="117"/>
      <c r="Q24" s="117"/>
      <c r="R24" s="117"/>
      <c r="S24" s="117"/>
      <c r="T24" s="116"/>
      <c r="U24" s="116"/>
      <c r="V24" s="116"/>
      <c r="W24" s="117"/>
      <c r="X24" s="117"/>
      <c r="Y24" s="117"/>
      <c r="Z24" s="117"/>
      <c r="AA24" s="117"/>
      <c r="AB24" s="117"/>
      <c r="AC24" s="117"/>
    </row>
    <row r="25" spans="1:29">
      <c r="A25" s="144"/>
      <c r="B25" s="144" t="s">
        <v>631</v>
      </c>
      <c r="C25" s="144" t="s">
        <v>630</v>
      </c>
      <c r="D25" s="118">
        <f>IF(UNMT0010_B_HYOJI_KENSU=0,2,1)</f>
        <v>2</v>
      </c>
      <c r="E25" s="144"/>
      <c r="F25" s="117"/>
      <c r="G25" s="117"/>
      <c r="H25" s="117"/>
      <c r="I25" s="117"/>
      <c r="J25" s="117"/>
      <c r="K25" s="148"/>
      <c r="L25" s="117"/>
      <c r="M25" s="117"/>
      <c r="N25" s="117"/>
      <c r="O25" s="117"/>
      <c r="P25" s="117"/>
      <c r="Q25" s="117"/>
      <c r="R25" s="117"/>
      <c r="S25" s="117"/>
      <c r="T25" s="116"/>
      <c r="U25" s="116"/>
      <c r="V25" s="116"/>
      <c r="W25" s="117"/>
      <c r="X25" s="117"/>
      <c r="Y25" s="117"/>
      <c r="Z25" s="117"/>
      <c r="AA25" s="117"/>
      <c r="AB25" s="117"/>
      <c r="AC25" s="117"/>
    </row>
    <row r="26" spans="1:29">
      <c r="A26" s="101"/>
      <c r="B26" s="101"/>
      <c r="C26" s="107"/>
      <c r="D26" s="101"/>
      <c r="F26" s="117"/>
      <c r="G26" s="117"/>
      <c r="H26" s="117"/>
      <c r="I26" s="117"/>
      <c r="J26" s="117"/>
      <c r="K26" s="148"/>
      <c r="L26" s="117"/>
      <c r="M26" s="117"/>
      <c r="N26" s="117"/>
      <c r="O26" s="117"/>
      <c r="P26" s="117"/>
      <c r="Q26" s="117"/>
      <c r="R26" s="117"/>
      <c r="S26" s="117"/>
      <c r="T26" s="116"/>
      <c r="U26" s="116"/>
      <c r="V26" s="116"/>
      <c r="W26" s="117"/>
      <c r="X26" s="117"/>
      <c r="Y26" s="117"/>
      <c r="Z26" s="117"/>
      <c r="AA26" s="117"/>
      <c r="AB26" s="117"/>
      <c r="AC26" s="117"/>
    </row>
    <row r="27" spans="1:29">
      <c r="A27" s="109" t="s">
        <v>556</v>
      </c>
      <c r="B27" s="101"/>
      <c r="C27" s="107"/>
      <c r="D27" s="101" t="s">
        <v>558</v>
      </c>
      <c r="F27" s="117"/>
      <c r="G27" s="117"/>
      <c r="H27" s="117"/>
      <c r="I27" s="117"/>
      <c r="J27" s="117"/>
      <c r="K27" s="148"/>
      <c r="L27" s="117"/>
      <c r="M27" s="117"/>
      <c r="N27" s="117"/>
      <c r="O27" s="117"/>
      <c r="P27" s="117"/>
      <c r="Q27" s="117"/>
      <c r="R27" s="117"/>
      <c r="S27" s="117"/>
      <c r="T27" s="116"/>
      <c r="U27" s="116"/>
      <c r="V27" s="116"/>
      <c r="W27" s="117"/>
      <c r="X27" s="117"/>
      <c r="Y27" s="117"/>
      <c r="Z27" s="117"/>
      <c r="AA27" s="117"/>
      <c r="AB27" s="117"/>
      <c r="AC27" s="117"/>
    </row>
    <row r="28" spans="1:29">
      <c r="A28" s="101"/>
      <c r="B28" s="101" t="s">
        <v>559</v>
      </c>
      <c r="C28" s="107" t="s">
        <v>573</v>
      </c>
      <c r="D28" s="106">
        <f>IF(UNMT0010_B_ALL_PAGE_SU&gt;UNMT0010_B_PAGE_NO,1,2)</f>
        <v>2</v>
      </c>
      <c r="F28" s="117"/>
      <c r="G28" s="117"/>
      <c r="H28" s="117"/>
      <c r="I28" s="117"/>
      <c r="J28" s="117"/>
      <c r="K28" s="148"/>
      <c r="L28" s="117"/>
      <c r="M28" s="117"/>
      <c r="N28" s="117"/>
      <c r="O28" s="117"/>
      <c r="P28" s="117"/>
      <c r="Q28" s="117"/>
      <c r="R28" s="117"/>
      <c r="S28" s="117"/>
      <c r="T28" s="116"/>
      <c r="U28" s="116"/>
      <c r="V28" s="116"/>
      <c r="W28" s="117"/>
      <c r="X28" s="117"/>
      <c r="Y28" s="117"/>
      <c r="Z28" s="117"/>
      <c r="AA28" s="117"/>
      <c r="AB28" s="117"/>
      <c r="AC28" s="117"/>
    </row>
    <row r="29" spans="1:29">
      <c r="A29" s="101"/>
      <c r="B29" s="101" t="s">
        <v>560</v>
      </c>
      <c r="C29" s="107" t="s">
        <v>574</v>
      </c>
      <c r="D29" s="106">
        <f>IF(UNMT0010_B_PAGE_NO&gt;1,1,2)</f>
        <v>2</v>
      </c>
      <c r="F29" s="117"/>
      <c r="G29" s="117"/>
      <c r="H29" s="117"/>
      <c r="I29" s="117"/>
      <c r="J29" s="117"/>
      <c r="K29" s="148"/>
      <c r="L29" s="117"/>
      <c r="M29" s="117"/>
      <c r="N29" s="117"/>
      <c r="O29" s="117"/>
      <c r="P29" s="117"/>
      <c r="Q29" s="117"/>
      <c r="R29" s="117"/>
      <c r="S29" s="117"/>
      <c r="T29" s="116"/>
      <c r="U29" s="116"/>
      <c r="V29" s="116"/>
      <c r="W29" s="117"/>
      <c r="X29" s="117"/>
      <c r="Y29" s="117"/>
      <c r="Z29" s="117"/>
      <c r="AA29" s="117"/>
      <c r="AB29" s="117"/>
      <c r="AC29" s="117"/>
    </row>
    <row r="30" spans="1:29">
      <c r="A30" s="101"/>
      <c r="B30" s="101"/>
      <c r="C30" s="107"/>
      <c r="D30" s="110"/>
      <c r="F30" s="117"/>
      <c r="G30" s="117"/>
      <c r="H30" s="117"/>
      <c r="I30" s="117"/>
      <c r="J30" s="117"/>
      <c r="K30" s="148"/>
      <c r="L30" s="117"/>
      <c r="M30" s="117"/>
      <c r="N30" s="117"/>
      <c r="O30" s="117"/>
      <c r="P30" s="117"/>
      <c r="Q30" s="117"/>
      <c r="R30" s="117"/>
      <c r="S30" s="117"/>
      <c r="T30" s="116"/>
      <c r="U30" s="116"/>
      <c r="V30" s="116"/>
      <c r="W30" s="117"/>
      <c r="X30" s="117"/>
      <c r="Y30" s="117"/>
      <c r="Z30" s="117"/>
      <c r="AA30" s="117"/>
      <c r="AB30" s="117"/>
      <c r="AC30" s="117"/>
    </row>
    <row r="31" spans="1:29">
      <c r="A31" s="101"/>
      <c r="B31" s="101" t="s">
        <v>561</v>
      </c>
      <c r="C31" s="107" t="s">
        <v>575</v>
      </c>
      <c r="D31" s="106">
        <f>UNMT0010_B_PAGE_NO+1</f>
        <v>2</v>
      </c>
      <c r="F31" s="117"/>
      <c r="G31" s="117"/>
      <c r="H31" s="117"/>
      <c r="I31" s="117"/>
      <c r="J31" s="117"/>
      <c r="K31" s="148"/>
      <c r="L31" s="117"/>
      <c r="M31" s="117"/>
      <c r="N31" s="117"/>
      <c r="O31" s="117"/>
      <c r="P31" s="117"/>
      <c r="Q31" s="117"/>
      <c r="R31" s="117"/>
      <c r="S31" s="117"/>
      <c r="T31" s="116"/>
      <c r="U31" s="116"/>
      <c r="V31" s="116"/>
      <c r="W31" s="117"/>
      <c r="X31" s="117"/>
      <c r="Y31" s="117"/>
      <c r="Z31" s="117"/>
      <c r="AA31" s="117"/>
      <c r="AB31" s="117"/>
      <c r="AC31" s="117"/>
    </row>
    <row r="32" spans="1:29">
      <c r="A32" s="101"/>
      <c r="B32" s="101" t="s">
        <v>563</v>
      </c>
      <c r="C32" s="107" t="s">
        <v>576</v>
      </c>
      <c r="D32" s="106">
        <f>UNMT0010_B_PAGE_NO-1</f>
        <v>0</v>
      </c>
      <c r="E32" s="101"/>
      <c r="F32" s="117"/>
      <c r="G32" s="117"/>
      <c r="H32" s="117"/>
      <c r="I32" s="117"/>
      <c r="J32" s="117"/>
      <c r="K32" s="148"/>
      <c r="L32" s="117"/>
      <c r="M32" s="117"/>
      <c r="N32" s="117"/>
      <c r="O32" s="117"/>
      <c r="P32" s="117"/>
      <c r="Q32" s="117"/>
      <c r="R32" s="117"/>
      <c r="S32" s="117"/>
      <c r="T32" s="116"/>
      <c r="U32" s="116"/>
      <c r="V32" s="116"/>
      <c r="W32" s="117"/>
      <c r="X32" s="117"/>
      <c r="Y32" s="117"/>
      <c r="Z32" s="117"/>
      <c r="AA32" s="117"/>
      <c r="AB32" s="117"/>
      <c r="AC32" s="117"/>
    </row>
    <row r="33" spans="1:29">
      <c r="B33" s="5"/>
      <c r="C33" s="5"/>
      <c r="D33" s="5"/>
      <c r="F33" s="117"/>
      <c r="G33" s="117"/>
      <c r="H33" s="117"/>
      <c r="I33" s="117"/>
      <c r="J33" s="117"/>
      <c r="K33" s="148"/>
      <c r="L33" s="117"/>
      <c r="M33" s="117"/>
      <c r="N33" s="117"/>
      <c r="O33" s="117"/>
      <c r="P33" s="117"/>
      <c r="Q33" s="117"/>
      <c r="R33" s="117"/>
      <c r="S33" s="117"/>
      <c r="T33" s="116"/>
      <c r="U33" s="116"/>
      <c r="V33" s="116"/>
      <c r="W33" s="117"/>
      <c r="X33" s="117"/>
      <c r="Y33" s="117"/>
      <c r="Z33" s="117"/>
      <c r="AA33" s="117"/>
      <c r="AB33" s="117"/>
      <c r="AC33" s="117"/>
    </row>
    <row r="34" spans="1:29">
      <c r="A34" s="109" t="s">
        <v>562</v>
      </c>
      <c r="B34" s="101"/>
      <c r="C34" s="107"/>
      <c r="D34" s="101"/>
      <c r="F34" s="117"/>
      <c r="G34" s="117"/>
      <c r="H34" s="117"/>
      <c r="I34" s="117"/>
      <c r="J34" s="117"/>
      <c r="K34" s="148"/>
      <c r="L34" s="117"/>
      <c r="M34" s="117"/>
      <c r="N34" s="117"/>
      <c r="O34" s="117"/>
      <c r="P34" s="117"/>
      <c r="Q34" s="117"/>
      <c r="R34" s="117"/>
      <c r="S34" s="117"/>
      <c r="T34" s="116"/>
      <c r="U34" s="116"/>
      <c r="V34" s="116"/>
      <c r="W34" s="117"/>
      <c r="X34" s="117"/>
      <c r="Y34" s="117"/>
      <c r="Z34" s="117"/>
      <c r="AA34" s="117"/>
      <c r="AB34" s="117"/>
      <c r="AC34" s="117"/>
    </row>
    <row r="35" spans="1:29">
      <c r="A35" s="101"/>
      <c r="B35" s="101" t="s">
        <v>564</v>
      </c>
      <c r="C35" s="107" t="s">
        <v>577</v>
      </c>
      <c r="D35" s="106">
        <v>5</v>
      </c>
      <c r="F35" s="117"/>
      <c r="G35" s="117"/>
      <c r="H35" s="117"/>
      <c r="I35" s="117"/>
      <c r="J35" s="117"/>
      <c r="K35" s="148"/>
      <c r="L35" s="117"/>
      <c r="M35" s="117"/>
      <c r="N35" s="117"/>
      <c r="O35" s="117"/>
      <c r="P35" s="117"/>
      <c r="Q35" s="117"/>
      <c r="R35" s="117"/>
      <c r="S35" s="117"/>
      <c r="T35" s="116"/>
      <c r="U35" s="116"/>
      <c r="V35" s="116"/>
      <c r="W35" s="117"/>
      <c r="X35" s="117"/>
      <c r="Y35" s="117"/>
      <c r="Z35" s="117"/>
      <c r="AA35" s="117"/>
      <c r="AB35" s="117"/>
      <c r="AC35" s="117"/>
    </row>
    <row r="36" spans="1:29">
      <c r="A36" s="101"/>
      <c r="B36" s="101" t="s">
        <v>582</v>
      </c>
      <c r="C36" s="107" t="s">
        <v>583</v>
      </c>
      <c r="D36" s="106">
        <f ca="1">IF(UNMT0010_B_SELECT_GYO_NO=0,0,INDIRECT(ADDRESS(UNMT0010_B_SELECT_GYO_NO,COLUMN(UNMT0010_B_MITUSMORI_NO))))</f>
        <v>0</v>
      </c>
      <c r="F36" s="117"/>
      <c r="G36" s="117"/>
      <c r="H36" s="117"/>
      <c r="I36" s="117"/>
      <c r="J36" s="117"/>
      <c r="K36" s="148"/>
      <c r="L36" s="117"/>
      <c r="M36" s="117"/>
      <c r="N36" s="117"/>
      <c r="O36" s="117"/>
      <c r="P36" s="117"/>
      <c r="Q36" s="117"/>
      <c r="R36" s="117"/>
      <c r="S36" s="117"/>
      <c r="T36" s="116"/>
      <c r="U36" s="116"/>
      <c r="V36" s="116"/>
      <c r="W36" s="117"/>
      <c r="X36" s="117"/>
      <c r="Y36" s="117"/>
      <c r="Z36" s="117"/>
      <c r="AA36" s="117"/>
      <c r="AB36" s="117"/>
      <c r="AC36" s="117"/>
    </row>
    <row r="37" spans="1:29">
      <c r="A37" s="101"/>
      <c r="B37" s="101"/>
      <c r="C37" s="107"/>
      <c r="D37" s="101"/>
      <c r="E37" s="101"/>
      <c r="F37" s="117"/>
      <c r="G37" s="117"/>
      <c r="H37" s="117"/>
      <c r="I37" s="117"/>
      <c r="J37" s="117"/>
      <c r="K37" s="148"/>
      <c r="L37" s="117"/>
      <c r="M37" s="117"/>
      <c r="N37" s="117"/>
      <c r="O37" s="117"/>
      <c r="P37" s="117"/>
      <c r="Q37" s="117"/>
      <c r="R37" s="117"/>
      <c r="S37" s="117"/>
      <c r="T37" s="116"/>
      <c r="U37" s="116"/>
      <c r="V37" s="116"/>
      <c r="W37" s="117"/>
      <c r="X37" s="117"/>
      <c r="Y37" s="117"/>
      <c r="Z37" s="117"/>
      <c r="AA37" s="117"/>
      <c r="AB37" s="117"/>
      <c r="AC37" s="117"/>
    </row>
    <row r="38" spans="1:29">
      <c r="A38" s="109" t="s">
        <v>581</v>
      </c>
      <c r="B38" s="101"/>
      <c r="C38" s="101"/>
      <c r="D38" s="101"/>
      <c r="F38" s="117"/>
      <c r="G38" s="117"/>
      <c r="H38" s="117"/>
      <c r="I38" s="117"/>
      <c r="J38" s="117"/>
      <c r="K38" s="148"/>
      <c r="L38" s="117"/>
      <c r="M38" s="117"/>
      <c r="N38" s="117"/>
      <c r="O38" s="117"/>
      <c r="P38" s="117"/>
      <c r="Q38" s="117"/>
      <c r="R38" s="117"/>
      <c r="S38" s="117"/>
      <c r="T38" s="116"/>
      <c r="U38" s="116"/>
      <c r="V38" s="116"/>
      <c r="W38" s="117"/>
      <c r="X38" s="117"/>
      <c r="Y38" s="117"/>
      <c r="Z38" s="117"/>
      <c r="AA38" s="117"/>
      <c r="AB38" s="117"/>
      <c r="AC38" s="117"/>
    </row>
    <row r="39" spans="1:29">
      <c r="A39" s="101"/>
      <c r="B39" s="102" t="s">
        <v>475</v>
      </c>
      <c r="C39" s="105" t="s">
        <v>578</v>
      </c>
      <c r="D39" s="118" t="str">
        <f>ROW($A$1)&amp;":"&amp;(ROW(UNMT0010_B_VIEW_CURRENT_PAGE)-1)</f>
        <v>1:10</v>
      </c>
      <c r="F39" s="117"/>
      <c r="G39" s="117"/>
      <c r="H39" s="117"/>
      <c r="I39" s="117"/>
      <c r="J39" s="117"/>
      <c r="K39" s="148"/>
      <c r="L39" s="117"/>
      <c r="M39" s="117"/>
      <c r="N39" s="117"/>
      <c r="O39" s="117"/>
      <c r="P39" s="117"/>
      <c r="Q39" s="117"/>
      <c r="R39" s="117"/>
      <c r="S39" s="117"/>
      <c r="T39" s="116"/>
      <c r="U39" s="116"/>
      <c r="V39" s="116"/>
      <c r="W39" s="117"/>
      <c r="X39" s="117"/>
      <c r="Y39" s="117"/>
      <c r="Z39" s="117"/>
      <c r="AA39" s="117"/>
      <c r="AB39" s="117"/>
      <c r="AC39" s="117"/>
    </row>
    <row r="40" spans="1:29">
      <c r="A40" s="101"/>
      <c r="B40" s="102" t="s">
        <v>476</v>
      </c>
      <c r="C40" s="105" t="s">
        <v>579</v>
      </c>
      <c r="D40" s="118" t="str">
        <f>ADDRESS(ROW($A$1),COLUMN($A$1))&amp;":"&amp;ADDRESS(ROW($A$1),COLUMN(UNMT0010_B_VIEW_CURRENT_PAGE)-1)
   &amp;"," &amp; ADDRESS(ROW(UNMT0010_B_MITSU_DATE),COLUMN(UNMT0010_B_MITSU_DATE)) &amp;":" &amp;
   ADDRESS(ROW(UNMT0010_B_MODE_KBN),COLUMN(UNMT0010_B_MODE_KBN)+1)</f>
        <v>$A$1:$E$1,$W$12:$AC$12</v>
      </c>
      <c r="F40" s="117"/>
      <c r="G40" s="117"/>
      <c r="H40" s="117"/>
      <c r="I40" s="117"/>
      <c r="J40" s="117"/>
      <c r="K40" s="148"/>
      <c r="L40" s="117"/>
      <c r="M40" s="117"/>
      <c r="N40" s="117"/>
      <c r="O40" s="117"/>
      <c r="P40" s="117"/>
      <c r="Q40" s="117"/>
      <c r="R40" s="117"/>
      <c r="S40" s="117"/>
      <c r="T40" s="116"/>
      <c r="U40" s="116"/>
      <c r="V40" s="116"/>
      <c r="W40" s="117"/>
      <c r="X40" s="117"/>
      <c r="Y40" s="117"/>
      <c r="Z40" s="117"/>
      <c r="AA40" s="117"/>
      <c r="AB40" s="117"/>
      <c r="AC40" s="117"/>
    </row>
    <row r="41" spans="1:29">
      <c r="A41" s="101"/>
      <c r="B41" s="102"/>
      <c r="C41" s="102"/>
      <c r="D41" s="102"/>
      <c r="F41" s="117"/>
      <c r="G41" s="117"/>
      <c r="H41" s="117"/>
      <c r="I41" s="117"/>
      <c r="J41" s="117"/>
      <c r="K41" s="148"/>
      <c r="L41" s="117"/>
      <c r="M41" s="117"/>
      <c r="N41" s="117"/>
      <c r="O41" s="117"/>
      <c r="P41" s="117"/>
      <c r="Q41" s="117"/>
      <c r="R41" s="117"/>
      <c r="S41" s="117"/>
      <c r="T41" s="116"/>
      <c r="U41" s="116"/>
      <c r="V41" s="116"/>
      <c r="W41" s="117"/>
      <c r="X41" s="117"/>
      <c r="Y41" s="117"/>
      <c r="Z41" s="117"/>
      <c r="AA41" s="117"/>
      <c r="AB41" s="117"/>
      <c r="AC41" s="117"/>
    </row>
    <row r="42" spans="1:29">
      <c r="A42" s="101"/>
      <c r="B42" s="102" t="s">
        <v>481</v>
      </c>
      <c r="C42" s="105" t="s">
        <v>580</v>
      </c>
      <c r="D42" s="118" t="str">
        <f ca="1">ADDRESS(ROW(INDIRECT(UNMT0010_B_LIST_START)),COLUMN(UNMT0010_B_STS))</f>
        <v>$H$13</v>
      </c>
      <c r="F42" s="117"/>
      <c r="G42" s="117"/>
      <c r="H42" s="117"/>
      <c r="I42" s="117"/>
      <c r="J42" s="117"/>
      <c r="K42" s="148"/>
      <c r="L42" s="117"/>
      <c r="M42" s="117"/>
      <c r="N42" s="117"/>
      <c r="O42" s="117"/>
      <c r="P42" s="117"/>
      <c r="Q42" s="117"/>
      <c r="R42" s="117"/>
      <c r="S42" s="117"/>
      <c r="T42" s="116"/>
      <c r="U42" s="116"/>
      <c r="V42" s="116"/>
      <c r="W42" s="117"/>
      <c r="X42" s="117"/>
      <c r="Y42" s="117"/>
      <c r="Z42" s="117"/>
      <c r="AA42" s="117"/>
      <c r="AB42" s="117"/>
      <c r="AC42" s="117"/>
    </row>
    <row r="43" spans="1:29">
      <c r="F43" s="117"/>
      <c r="G43" s="117"/>
      <c r="H43" s="117"/>
      <c r="I43" s="117"/>
      <c r="J43" s="117"/>
      <c r="K43" s="148"/>
      <c r="L43" s="117"/>
      <c r="M43" s="117"/>
      <c r="N43" s="117"/>
      <c r="O43" s="117"/>
      <c r="P43" s="117"/>
      <c r="Q43" s="117"/>
      <c r="R43" s="117"/>
      <c r="S43" s="117"/>
      <c r="T43" s="116"/>
      <c r="U43" s="116"/>
      <c r="V43" s="116"/>
      <c r="W43" s="117"/>
      <c r="X43" s="117"/>
      <c r="Y43" s="117"/>
      <c r="Z43" s="117"/>
      <c r="AA43" s="117"/>
      <c r="AB43" s="117"/>
      <c r="AC43" s="117"/>
    </row>
    <row r="44" spans="1:29">
      <c r="F44" s="117"/>
      <c r="G44" s="117"/>
      <c r="H44" s="117"/>
      <c r="I44" s="117"/>
      <c r="J44" s="117"/>
      <c r="K44" s="148"/>
      <c r="L44" s="117"/>
      <c r="M44" s="117"/>
      <c r="N44" s="117"/>
      <c r="O44" s="117"/>
      <c r="P44" s="117"/>
      <c r="Q44" s="117"/>
      <c r="R44" s="117"/>
      <c r="S44" s="117"/>
      <c r="T44" s="116"/>
      <c r="U44" s="116"/>
      <c r="V44" s="116"/>
      <c r="W44" s="117"/>
      <c r="X44" s="117"/>
      <c r="Y44" s="117"/>
      <c r="Z44" s="117"/>
      <c r="AA44" s="117"/>
      <c r="AB44" s="117"/>
      <c r="AC44" s="117"/>
    </row>
    <row r="45" spans="1:29">
      <c r="F45" s="117"/>
      <c r="G45" s="117"/>
      <c r="H45" s="117"/>
      <c r="I45" s="117"/>
      <c r="J45" s="117"/>
      <c r="K45" s="148"/>
      <c r="L45" s="117"/>
      <c r="M45" s="117"/>
      <c r="N45" s="117"/>
      <c r="O45" s="117"/>
      <c r="P45" s="117"/>
      <c r="Q45" s="117"/>
      <c r="R45" s="117"/>
      <c r="S45" s="117"/>
      <c r="T45" s="116"/>
      <c r="U45" s="116"/>
      <c r="V45" s="116"/>
      <c r="W45" s="117"/>
      <c r="X45" s="117"/>
      <c r="Y45" s="117"/>
      <c r="Z45" s="117"/>
      <c r="AA45" s="117"/>
      <c r="AB45" s="117"/>
      <c r="AC45" s="117"/>
    </row>
    <row r="46" spans="1:29">
      <c r="B46" s="115"/>
      <c r="F46" s="117"/>
      <c r="G46" s="117"/>
      <c r="H46" s="117"/>
      <c r="I46" s="117"/>
      <c r="J46" s="117"/>
      <c r="K46" s="148"/>
      <c r="L46" s="117"/>
      <c r="M46" s="117"/>
      <c r="N46" s="117"/>
      <c r="O46" s="117"/>
      <c r="P46" s="117"/>
      <c r="Q46" s="117"/>
      <c r="R46" s="117"/>
      <c r="S46" s="117"/>
      <c r="T46" s="116"/>
      <c r="U46" s="116"/>
      <c r="V46" s="116"/>
      <c r="W46" s="117"/>
      <c r="X46" s="117"/>
      <c r="Y46" s="117"/>
      <c r="Z46" s="117"/>
      <c r="AA46" s="117"/>
      <c r="AB46" s="117"/>
      <c r="AC46" s="117"/>
    </row>
    <row r="47" spans="1:29">
      <c r="F47" s="117"/>
      <c r="G47" s="117"/>
      <c r="H47" s="117"/>
      <c r="I47" s="117"/>
      <c r="J47" s="117"/>
      <c r="K47" s="148"/>
      <c r="L47" s="117"/>
      <c r="M47" s="117"/>
      <c r="N47" s="117"/>
      <c r="O47" s="117"/>
      <c r="P47" s="117"/>
      <c r="Q47" s="117"/>
      <c r="R47" s="117"/>
      <c r="S47" s="117"/>
      <c r="T47" s="116"/>
      <c r="U47" s="116"/>
      <c r="V47" s="116"/>
      <c r="W47" s="117"/>
      <c r="X47" s="117"/>
      <c r="Y47" s="117"/>
      <c r="Z47" s="117"/>
      <c r="AA47" s="117"/>
      <c r="AB47" s="117"/>
      <c r="AC47" s="117"/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2:DT23"/>
  <sheetViews>
    <sheetView tabSelected="1" zoomScale="85" zoomScaleNormal="85" workbookViewId="0"/>
  </sheetViews>
  <sheetFormatPr defaultRowHeight="13.5"/>
  <cols>
    <col min="1" max="1" width="3" customWidth="1"/>
    <col min="2" max="2" width="16.75" customWidth="1"/>
    <col min="3" max="3" width="18.625" customWidth="1"/>
    <col min="4" max="4" width="14.75" customWidth="1"/>
    <col min="5" max="5" width="14.125" style="97" customWidth="1"/>
    <col min="6" max="6" width="5.5" style="97" customWidth="1"/>
    <col min="14" max="14" width="9" customWidth="1"/>
    <col min="18" max="18" width="9" style="349"/>
    <col min="20" max="26" width="9" style="349"/>
    <col min="28" max="28" width="3.125" customWidth="1"/>
    <col min="29" max="29" width="14.625" customWidth="1"/>
    <col min="30" max="30" width="14.875" style="143" customWidth="1"/>
    <col min="31" max="31" width="2.375" customWidth="1"/>
    <col min="32" max="65" width="2.25" customWidth="1"/>
    <col min="68" max="68" width="9" style="143"/>
    <col min="69" max="69" width="30.625" style="143" customWidth="1"/>
    <col min="70" max="70" width="18.625" style="143" customWidth="1"/>
    <col min="71" max="71" width="9" style="143"/>
    <col min="72" max="73" width="8.375" customWidth="1"/>
    <col min="74" max="74" width="8.375" style="468" customWidth="1"/>
    <col min="75" max="78" width="8.375" customWidth="1"/>
    <col min="79" max="103" width="8.375" style="349" customWidth="1"/>
    <col min="104" max="124" width="8.375" customWidth="1"/>
  </cols>
  <sheetData>
    <row r="2" spans="1:124" s="100" customFormat="1">
      <c r="A2" s="113" t="s">
        <v>584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R2" s="349"/>
      <c r="T2" s="349"/>
      <c r="U2" s="349"/>
      <c r="V2" s="349"/>
      <c r="W2" s="349"/>
      <c r="X2" s="349"/>
      <c r="Y2" s="349"/>
      <c r="Z2" s="349"/>
      <c r="AB2" s="138" t="s">
        <v>622</v>
      </c>
      <c r="AD2" s="143"/>
      <c r="BP2" s="138" t="s">
        <v>872</v>
      </c>
      <c r="BQ2" s="143"/>
      <c r="BR2" s="143"/>
      <c r="BS2" s="334" t="s">
        <v>873</v>
      </c>
      <c r="BT2" s="463"/>
      <c r="BU2" s="463"/>
      <c r="BV2" s="467"/>
      <c r="BW2" s="463"/>
      <c r="BX2" s="463"/>
      <c r="BY2" s="463"/>
      <c r="BZ2" s="463"/>
      <c r="CA2" s="463"/>
      <c r="CB2" s="464"/>
      <c r="CC2" s="463"/>
      <c r="CD2" s="463"/>
      <c r="CE2" s="463"/>
      <c r="CF2" s="464"/>
      <c r="CG2" s="463"/>
      <c r="CH2" s="463"/>
      <c r="CI2" s="463"/>
      <c r="CJ2" s="463"/>
      <c r="CK2" s="463"/>
      <c r="CL2" s="463"/>
      <c r="CM2" s="463"/>
      <c r="CN2" s="463"/>
      <c r="CO2" s="463"/>
      <c r="CP2" s="463"/>
      <c r="CQ2" s="463"/>
      <c r="CR2" s="463"/>
      <c r="CS2" s="463"/>
      <c r="CT2" s="463"/>
      <c r="CU2" s="463"/>
      <c r="CV2" s="465"/>
      <c r="CW2" s="465"/>
      <c r="CX2" s="465"/>
      <c r="CY2" s="465"/>
      <c r="CZ2" s="465"/>
      <c r="DA2" s="465"/>
      <c r="DB2" s="465"/>
      <c r="DC2" s="466"/>
      <c r="DD2" s="463"/>
      <c r="DE2" s="463"/>
      <c r="DF2" s="463"/>
      <c r="DG2" s="465"/>
      <c r="DH2" s="463"/>
      <c r="DI2" s="465"/>
      <c r="DJ2" s="465"/>
      <c r="DK2" s="463"/>
      <c r="DL2" s="464"/>
      <c r="DM2" s="465"/>
      <c r="DN2" s="465"/>
      <c r="DO2" s="465"/>
      <c r="DP2" s="464"/>
      <c r="DQ2" s="463"/>
      <c r="DR2" s="464"/>
      <c r="DS2" s="464"/>
      <c r="DT2" s="463"/>
    </row>
    <row r="3" spans="1:124" s="100" customFormat="1" ht="16.5">
      <c r="A3" s="111"/>
      <c r="B3" s="111"/>
      <c r="C3" s="111"/>
      <c r="D3" s="282" t="s">
        <v>0</v>
      </c>
      <c r="E3" s="153" t="s">
        <v>21</v>
      </c>
      <c r="F3" s="153" t="s">
        <v>22</v>
      </c>
      <c r="G3" s="152" t="s">
        <v>23</v>
      </c>
      <c r="H3" s="154" t="s">
        <v>24</v>
      </c>
      <c r="I3" s="152" t="s">
        <v>25</v>
      </c>
      <c r="J3" s="152" t="s">
        <v>26</v>
      </c>
      <c r="K3" s="152" t="s">
        <v>27</v>
      </c>
      <c r="L3" s="152" t="s">
        <v>94</v>
      </c>
      <c r="M3" s="152" t="s">
        <v>98</v>
      </c>
      <c r="N3" s="152" t="s">
        <v>28</v>
      </c>
      <c r="O3" s="152" t="s">
        <v>29</v>
      </c>
      <c r="P3" s="152" t="s">
        <v>30</v>
      </c>
      <c r="Q3" s="152" t="s">
        <v>31</v>
      </c>
      <c r="R3" s="152" t="s">
        <v>1011</v>
      </c>
      <c r="S3" s="152" t="s">
        <v>34</v>
      </c>
      <c r="T3" s="160" t="s">
        <v>24</v>
      </c>
      <c r="U3" s="160" t="s">
        <v>660</v>
      </c>
      <c r="V3" s="160" t="s">
        <v>661</v>
      </c>
      <c r="W3" s="160" t="s">
        <v>104</v>
      </c>
      <c r="X3" s="160" t="s">
        <v>103</v>
      </c>
      <c r="Y3" s="160" t="s">
        <v>664</v>
      </c>
      <c r="Z3" s="160" t="s">
        <v>736</v>
      </c>
      <c r="AC3" s="143" t="s">
        <v>623</v>
      </c>
      <c r="AD3" s="143"/>
      <c r="BP3" s="143"/>
      <c r="BQ3" s="143" t="s">
        <v>777</v>
      </c>
      <c r="BR3" s="94">
        <v>1</v>
      </c>
      <c r="BS3" s="143"/>
      <c r="BT3" s="143"/>
      <c r="BU3" s="143"/>
      <c r="BV3" s="468"/>
      <c r="BW3" s="143"/>
      <c r="BX3" s="143"/>
      <c r="BY3" s="143"/>
      <c r="BZ3" s="143"/>
      <c r="CA3" s="349"/>
      <c r="CB3" s="349"/>
      <c r="CC3" s="349"/>
      <c r="CD3" s="349"/>
      <c r="CE3" s="349"/>
      <c r="CF3" s="349"/>
      <c r="CG3" s="349"/>
      <c r="CH3" s="349"/>
      <c r="CI3" s="349"/>
      <c r="CJ3" s="349"/>
      <c r="CK3" s="349"/>
      <c r="CL3" s="349"/>
      <c r="CM3" s="349"/>
      <c r="CN3" s="349"/>
      <c r="CO3" s="349"/>
      <c r="CP3" s="349"/>
      <c r="CQ3" s="349"/>
      <c r="CR3" s="349"/>
      <c r="CS3" s="349"/>
      <c r="CT3" s="349"/>
      <c r="CU3" s="349"/>
      <c r="CV3" s="349"/>
      <c r="CW3" s="349"/>
      <c r="CX3" s="349"/>
      <c r="CY3" s="349"/>
      <c r="CZ3" s="143"/>
      <c r="DA3" s="143"/>
      <c r="DB3" s="143"/>
      <c r="DC3" s="143"/>
      <c r="DD3" s="143"/>
      <c r="DE3" s="143"/>
      <c r="DF3" s="143"/>
      <c r="DG3" s="143"/>
      <c r="DH3" s="143"/>
      <c r="DI3" s="143"/>
      <c r="DJ3" s="143"/>
      <c r="DK3" s="143"/>
      <c r="DL3" s="143"/>
      <c r="DM3" s="143"/>
      <c r="DN3" s="143"/>
      <c r="DO3" s="143"/>
      <c r="DP3" s="143"/>
      <c r="DQ3" s="143"/>
      <c r="DR3" s="143"/>
      <c r="DS3" s="143"/>
      <c r="DT3" s="143"/>
    </row>
    <row r="4" spans="1:124" s="100" customFormat="1" ht="16.5">
      <c r="A4" s="111"/>
      <c r="B4" s="114" t="s">
        <v>585</v>
      </c>
      <c r="C4" s="114" t="s">
        <v>588</v>
      </c>
      <c r="D4" s="310"/>
      <c r="E4" s="310"/>
      <c r="F4" s="310"/>
      <c r="G4" s="310"/>
      <c r="H4" s="311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310"/>
      <c r="Z4" s="310"/>
      <c r="AC4" s="145" t="s">
        <v>624</v>
      </c>
      <c r="AD4" s="145"/>
      <c r="AE4" s="22"/>
      <c r="AF4" s="21" t="s">
        <v>13</v>
      </c>
      <c r="AG4" s="21"/>
      <c r="AH4" s="21"/>
      <c r="AI4" s="21" t="s">
        <v>14</v>
      </c>
      <c r="AJ4" s="21"/>
      <c r="AK4" s="21"/>
      <c r="AL4" s="21" t="s">
        <v>15</v>
      </c>
      <c r="AM4" s="21"/>
      <c r="AN4" s="21"/>
      <c r="AO4" s="21" t="s">
        <v>16</v>
      </c>
      <c r="AP4" s="21"/>
      <c r="AQ4" s="21"/>
      <c r="AR4" s="21" t="s">
        <v>17</v>
      </c>
      <c r="AS4" s="20"/>
      <c r="AT4" s="112"/>
      <c r="AU4" s="112"/>
      <c r="AV4" s="112"/>
      <c r="AW4" s="112"/>
      <c r="AX4" s="6" t="s">
        <v>1034</v>
      </c>
      <c r="AY4" s="497"/>
      <c r="AZ4" s="498"/>
      <c r="BA4" s="498"/>
      <c r="BB4" s="499"/>
      <c r="BC4" s="7" t="s">
        <v>18</v>
      </c>
      <c r="BD4" s="497"/>
      <c r="BE4" s="498"/>
      <c r="BF4" s="498"/>
      <c r="BG4" s="499"/>
      <c r="BH4" s="112"/>
      <c r="BI4" s="112"/>
      <c r="BJ4" s="112"/>
      <c r="BK4" s="112"/>
      <c r="BL4" s="112"/>
      <c r="BM4" s="112"/>
      <c r="BP4" s="143"/>
      <c r="BQ4" s="143" t="s">
        <v>772</v>
      </c>
      <c r="BR4" s="94" t="str">
        <f>ADDRESS(ROW(UNMT0010_IF_PRINT_MITSU_NO)+1,COLUMN(UNMT0010_IF_PRINT_MITSU_NO))</f>
        <v>$BT$5</v>
      </c>
      <c r="BS4" s="143"/>
      <c r="BT4" s="86" t="s">
        <v>165</v>
      </c>
      <c r="BU4" s="86" t="s">
        <v>1013</v>
      </c>
      <c r="BV4" s="469" t="s">
        <v>172</v>
      </c>
      <c r="BW4" s="86" t="s">
        <v>1014</v>
      </c>
      <c r="BX4" s="86" t="s">
        <v>1015</v>
      </c>
      <c r="BY4" s="86" t="s">
        <v>173</v>
      </c>
      <c r="BZ4" s="86" t="s">
        <v>1016</v>
      </c>
      <c r="CA4" s="86" t="s">
        <v>1017</v>
      </c>
      <c r="CB4" s="86" t="s">
        <v>1018</v>
      </c>
      <c r="CC4" s="86" t="s">
        <v>191</v>
      </c>
      <c r="CD4" s="86" t="s">
        <v>192</v>
      </c>
      <c r="CE4" s="86" t="s">
        <v>193</v>
      </c>
      <c r="CF4" s="86" t="s">
        <v>194</v>
      </c>
      <c r="CG4" s="86" t="s">
        <v>195</v>
      </c>
      <c r="CH4" s="86" t="s">
        <v>196</v>
      </c>
      <c r="CI4" s="86" t="s">
        <v>197</v>
      </c>
      <c r="CJ4" s="86" t="s">
        <v>198</v>
      </c>
      <c r="CK4" s="86" t="s">
        <v>1019</v>
      </c>
      <c r="CL4" s="86" t="s">
        <v>1037</v>
      </c>
      <c r="CM4" s="86" t="s">
        <v>199</v>
      </c>
      <c r="CN4" s="86" t="s">
        <v>200</v>
      </c>
      <c r="CO4" s="86" t="s">
        <v>201</v>
      </c>
      <c r="CP4" s="86" t="s">
        <v>202</v>
      </c>
      <c r="CQ4" s="86" t="s">
        <v>203</v>
      </c>
      <c r="CR4" s="86" t="s">
        <v>204</v>
      </c>
      <c r="CS4" s="86" t="s">
        <v>205</v>
      </c>
      <c r="CT4" s="86" t="s">
        <v>206</v>
      </c>
      <c r="CU4" s="86" t="s">
        <v>207</v>
      </c>
      <c r="CV4" s="86" t="s">
        <v>208</v>
      </c>
      <c r="CW4" s="86" t="s">
        <v>209</v>
      </c>
      <c r="CX4" s="86" t="s">
        <v>210</v>
      </c>
      <c r="CY4" s="86" t="s">
        <v>211</v>
      </c>
      <c r="CZ4" s="86" t="s">
        <v>212</v>
      </c>
      <c r="DA4" s="86" t="s">
        <v>186</v>
      </c>
      <c r="DB4" s="86" t="s">
        <v>185</v>
      </c>
      <c r="DC4" s="472" t="s">
        <v>175</v>
      </c>
      <c r="DD4" s="472" t="s">
        <v>157</v>
      </c>
      <c r="DE4" s="472" t="s">
        <v>176</v>
      </c>
      <c r="DF4" s="472" t="s">
        <v>177</v>
      </c>
      <c r="DG4" s="472" t="s">
        <v>178</v>
      </c>
      <c r="DH4" s="472" t="s">
        <v>179</v>
      </c>
      <c r="DI4" s="472" t="s">
        <v>180</v>
      </c>
      <c r="DJ4" s="472" t="s">
        <v>181</v>
      </c>
      <c r="DK4" s="472" t="s">
        <v>182</v>
      </c>
      <c r="DL4" s="472" t="s">
        <v>183</v>
      </c>
      <c r="DM4" s="472" t="s">
        <v>184</v>
      </c>
      <c r="DN4" s="472" t="s">
        <v>185</v>
      </c>
      <c r="DO4" s="472" t="s">
        <v>186</v>
      </c>
      <c r="DP4" s="472" t="s">
        <v>187</v>
      </c>
      <c r="DQ4" s="472" t="s">
        <v>188</v>
      </c>
      <c r="DR4" s="472" t="s">
        <v>913</v>
      </c>
      <c r="DS4" s="472" t="s">
        <v>159</v>
      </c>
      <c r="DT4" s="472" t="s">
        <v>189</v>
      </c>
    </row>
    <row r="5" spans="1:124" s="100" customFormat="1" ht="16.5">
      <c r="A5" s="111"/>
      <c r="B5" s="114" t="s">
        <v>586</v>
      </c>
      <c r="C5" s="114" t="s">
        <v>705</v>
      </c>
      <c r="D5" s="318" t="s">
        <v>587</v>
      </c>
      <c r="E5" s="367"/>
      <c r="F5" s="367"/>
      <c r="G5" s="367"/>
      <c r="H5" s="368"/>
      <c r="I5" s="367"/>
      <c r="J5" s="369"/>
      <c r="K5" s="369"/>
      <c r="L5" s="367"/>
      <c r="M5" s="367"/>
      <c r="N5" s="370"/>
      <c r="O5" s="370"/>
      <c r="P5" s="371"/>
      <c r="Q5" s="367"/>
      <c r="R5" s="367"/>
      <c r="S5" s="367"/>
      <c r="T5" s="267"/>
      <c r="U5" s="267"/>
      <c r="V5" s="267"/>
      <c r="W5" s="267"/>
      <c r="X5" s="267"/>
      <c r="Y5" s="267"/>
      <c r="Z5" s="267"/>
      <c r="AD5" s="143"/>
      <c r="AE5" s="491"/>
      <c r="AF5" s="492"/>
      <c r="AG5" s="492"/>
      <c r="AH5" s="493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6" t="s">
        <v>97</v>
      </c>
      <c r="AY5" s="491"/>
      <c r="AZ5" s="503"/>
      <c r="BA5" s="503"/>
      <c r="BB5" s="504"/>
      <c r="BC5" s="112"/>
      <c r="BD5" s="112"/>
      <c r="BE5" s="112"/>
      <c r="BF5" s="112"/>
      <c r="BG5" s="112"/>
      <c r="BH5" s="112"/>
      <c r="BI5" s="6" t="s">
        <v>93</v>
      </c>
      <c r="BJ5" s="491"/>
      <c r="BK5" s="503"/>
      <c r="BL5" s="503"/>
      <c r="BM5" s="504"/>
      <c r="BP5" s="143"/>
      <c r="BQ5" s="143" t="s">
        <v>773</v>
      </c>
      <c r="BR5" s="94" t="str">
        <f ca="1">IF(UNMT0010_IF_PRINT_KENSAKU_KENSU=0,"",UNMT0010_IF_PRINT_LIST_START &amp;":" &amp; ADDRESS(ROW(INDIRECT(UNMT0010_IF_PRINT_LIST_START))+UNMT0010_IF_PRINT_KENSAKU_KENSU,COLUMN(INDIRECT(UNMT0010_IF_PRINT_LIST_START))+COLUMNS(UNMT0010_IF_PRINT_COPY_MOTO)-1))</f>
        <v>$BT$5:$DT$6</v>
      </c>
      <c r="BS5" s="143"/>
      <c r="BT5" s="262"/>
      <c r="BU5" s="262"/>
      <c r="BV5" s="470"/>
      <c r="BW5" s="262"/>
      <c r="BX5" s="262"/>
      <c r="BY5" s="262"/>
      <c r="BZ5" s="262"/>
      <c r="CA5" s="262"/>
      <c r="CB5" s="262"/>
      <c r="CC5" s="262"/>
      <c r="CD5" s="262"/>
      <c r="CE5" s="262"/>
      <c r="CF5" s="262"/>
      <c r="CG5" s="262"/>
      <c r="CH5" s="262"/>
      <c r="CI5" s="262"/>
      <c r="CJ5" s="262"/>
      <c r="CK5" s="262"/>
      <c r="CL5" s="262"/>
      <c r="CM5" s="262"/>
      <c r="CN5" s="262"/>
      <c r="CO5" s="262"/>
      <c r="CP5" s="262"/>
      <c r="CQ5" s="262"/>
      <c r="CR5" s="262"/>
      <c r="CS5" s="262"/>
      <c r="CT5" s="262"/>
      <c r="CU5" s="262"/>
      <c r="CV5" s="262"/>
      <c r="CW5" s="262"/>
      <c r="CX5" s="262"/>
      <c r="CY5" s="262"/>
      <c r="CZ5" s="262"/>
      <c r="DA5" s="262"/>
      <c r="DB5" s="262"/>
      <c r="DC5" s="262"/>
      <c r="DD5" s="262"/>
      <c r="DE5" s="262"/>
      <c r="DF5" s="262"/>
      <c r="DG5" s="262"/>
    </row>
    <row r="6" spans="1:124" s="100" customFormat="1" ht="16.5">
      <c r="E6" s="104"/>
      <c r="F6" s="104"/>
      <c r="R6" s="349"/>
      <c r="T6" s="349"/>
      <c r="U6" s="349"/>
      <c r="V6" s="349"/>
      <c r="W6" s="349"/>
      <c r="X6" s="349"/>
      <c r="Y6" s="349"/>
      <c r="Z6" s="349"/>
      <c r="AD6" s="143"/>
      <c r="AE6" s="494"/>
      <c r="AF6" s="495"/>
      <c r="AG6" s="495"/>
      <c r="AH6" s="496"/>
      <c r="AI6" s="7" t="s">
        <v>18</v>
      </c>
      <c r="AJ6" s="494"/>
      <c r="AK6" s="495"/>
      <c r="AL6" s="495"/>
      <c r="AM6" s="496"/>
      <c r="AN6" s="112"/>
      <c r="AO6" s="112"/>
      <c r="AP6" s="112"/>
      <c r="AQ6" s="112"/>
      <c r="AR6" s="112"/>
      <c r="AS6" s="112"/>
      <c r="AT6" s="112"/>
      <c r="AU6" s="112"/>
      <c r="AV6" s="112"/>
      <c r="AW6" s="112"/>
      <c r="AX6" s="6" t="s">
        <v>68</v>
      </c>
      <c r="AY6" s="491"/>
      <c r="AZ6" s="492"/>
      <c r="BA6" s="492"/>
      <c r="BB6" s="493"/>
      <c r="BC6" s="500" t="str">
        <f>IF(UNMT0010_H_SHOHIN_CD="","",UNMT0010_H_SHOHIN_MEI)</f>
        <v/>
      </c>
      <c r="BD6" s="501"/>
      <c r="BE6" s="501"/>
      <c r="BF6" s="501"/>
      <c r="BG6" s="501"/>
      <c r="BH6" s="501"/>
      <c r="BI6" s="501"/>
      <c r="BJ6" s="501"/>
      <c r="BK6" s="501"/>
      <c r="BL6" s="501"/>
      <c r="BM6" s="502"/>
      <c r="BP6" s="143"/>
      <c r="BQ6" s="143" t="s">
        <v>776</v>
      </c>
      <c r="BR6" s="94" t="str">
        <f ca="1">"見積検索画面" &amp;"_"&amp;TEXT(NOW(),"YYYYMMDD!_hhmmss")</f>
        <v>見積検索画面_20170927_134105</v>
      </c>
      <c r="BS6" s="143"/>
      <c r="BT6" s="263"/>
      <c r="BU6" s="263"/>
      <c r="BV6" s="471"/>
      <c r="BW6" s="263"/>
      <c r="BX6" s="263"/>
      <c r="BY6" s="263"/>
      <c r="BZ6" s="263"/>
      <c r="CA6" s="263"/>
      <c r="CB6" s="263"/>
      <c r="CC6" s="263"/>
      <c r="CD6" s="263"/>
      <c r="CE6" s="263"/>
      <c r="CF6" s="263"/>
      <c r="CG6" s="263"/>
      <c r="CH6" s="263"/>
      <c r="CI6" s="263"/>
      <c r="CJ6" s="263"/>
      <c r="CK6" s="263"/>
      <c r="CL6" s="263"/>
      <c r="CM6" s="263"/>
      <c r="CN6" s="263"/>
      <c r="CO6" s="263"/>
      <c r="CP6" s="263"/>
      <c r="CQ6" s="263"/>
      <c r="CR6" s="263"/>
      <c r="CS6" s="263"/>
      <c r="CT6" s="263"/>
      <c r="CU6" s="263"/>
      <c r="CV6" s="263"/>
      <c r="CW6" s="263"/>
      <c r="CX6" s="263"/>
      <c r="CY6" s="263"/>
      <c r="CZ6" s="263"/>
      <c r="DA6" s="263"/>
      <c r="DB6" s="263"/>
      <c r="DC6" s="263"/>
      <c r="DD6" s="263"/>
      <c r="DE6" s="263"/>
      <c r="DF6" s="263"/>
      <c r="DG6" s="263"/>
    </row>
    <row r="7" spans="1:124" ht="16.5">
      <c r="A7" s="92" t="s">
        <v>539</v>
      </c>
      <c r="B7" s="91"/>
      <c r="C7" s="91"/>
      <c r="D7" s="91"/>
      <c r="AE7" s="491"/>
      <c r="AF7" s="492"/>
      <c r="AG7" s="492"/>
      <c r="AH7" s="493"/>
      <c r="AI7" s="500" t="str">
        <f>IF(UNMT0010_H_SEIKYUSAKI_CD="","",UNMT0010_H_SEIKYUSAKI_MEI)</f>
        <v/>
      </c>
      <c r="AJ7" s="501"/>
      <c r="AK7" s="501"/>
      <c r="AL7" s="501"/>
      <c r="AM7" s="501"/>
      <c r="AN7" s="501"/>
      <c r="AO7" s="501"/>
      <c r="AP7" s="501"/>
      <c r="AQ7" s="501"/>
      <c r="AR7" s="501"/>
      <c r="AS7" s="50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6" t="s">
        <v>67</v>
      </c>
      <c r="BJ7" s="489"/>
      <c r="BK7" s="490"/>
      <c r="BL7" s="112"/>
      <c r="BM7" s="112"/>
      <c r="BT7" s="263"/>
      <c r="BU7" s="263"/>
      <c r="BV7" s="471"/>
      <c r="BW7" s="263"/>
      <c r="BX7" s="263"/>
      <c r="BY7" s="263"/>
      <c r="BZ7" s="263"/>
      <c r="CA7" s="263"/>
      <c r="CB7" s="263"/>
      <c r="CC7" s="263"/>
      <c r="CD7" s="263"/>
      <c r="CE7" s="263"/>
      <c r="CF7" s="263"/>
      <c r="CG7" s="263"/>
      <c r="CH7" s="263"/>
      <c r="CI7" s="263"/>
      <c r="CJ7" s="263"/>
      <c r="CK7" s="263"/>
      <c r="CL7" s="263"/>
      <c r="CM7" s="263"/>
      <c r="CN7" s="263"/>
      <c r="CO7" s="263"/>
      <c r="CP7" s="263"/>
      <c r="CQ7" s="263"/>
      <c r="CR7" s="263"/>
      <c r="CS7" s="263"/>
      <c r="CT7" s="263"/>
      <c r="CU7" s="263"/>
      <c r="CV7" s="263"/>
      <c r="CW7" s="263"/>
      <c r="CX7" s="263"/>
      <c r="CY7" s="263"/>
      <c r="CZ7" s="263"/>
      <c r="DA7" s="263"/>
      <c r="DB7" s="263"/>
      <c r="DC7" s="263"/>
      <c r="DD7" s="263"/>
      <c r="DE7" s="263"/>
      <c r="DF7" s="263"/>
      <c r="DG7" s="263"/>
    </row>
    <row r="8" spans="1:124" ht="16.5">
      <c r="A8" s="91"/>
      <c r="B8" s="93" t="s">
        <v>126</v>
      </c>
      <c r="C8" s="93" t="s">
        <v>540</v>
      </c>
      <c r="D8" s="94"/>
      <c r="E8" s="97" t="s">
        <v>547</v>
      </c>
      <c r="AE8" s="505"/>
      <c r="AF8" s="506"/>
      <c r="AG8" s="506"/>
      <c r="AH8" s="507"/>
      <c r="AI8" s="13" t="str">
        <f>IF(UNMT0010_H_FREEWD_KBN=1,"AND",IF(UNMT0010_H_FREEWD_KBN=2,"OR","NAND"))</f>
        <v>AND</v>
      </c>
      <c r="AJ8" s="505"/>
      <c r="AK8" s="506"/>
      <c r="AL8" s="506"/>
      <c r="AM8" s="507"/>
      <c r="AN8" s="13" t="str">
        <f>IF(UNMT0010_H_FREEWD_KBN=1,"AND",IF(UNMT0010_H_FREEWD_KBN=2,"OR","NAND"))</f>
        <v>AND</v>
      </c>
      <c r="AO8" s="505"/>
      <c r="AP8" s="506"/>
      <c r="AQ8" s="506"/>
      <c r="AR8" s="507"/>
      <c r="AS8" s="112"/>
      <c r="AT8" s="112"/>
      <c r="AU8" s="112"/>
      <c r="AV8" s="112"/>
      <c r="AW8" s="112"/>
      <c r="AX8" s="112"/>
      <c r="AY8" s="112"/>
      <c r="AZ8" s="112" t="s">
        <v>88</v>
      </c>
      <c r="BA8" s="112"/>
      <c r="BB8" s="6"/>
      <c r="BC8" s="112"/>
      <c r="BD8" s="112" t="s">
        <v>821</v>
      </c>
      <c r="BE8" s="112"/>
      <c r="BF8" s="112"/>
      <c r="BG8" s="112"/>
      <c r="BH8" s="112"/>
      <c r="BI8" s="112"/>
      <c r="BJ8" s="112"/>
      <c r="BK8" s="112"/>
      <c r="BL8" s="112"/>
      <c r="BM8" s="112"/>
    </row>
    <row r="10" spans="1:124">
      <c r="AC10" t="s">
        <v>625</v>
      </c>
    </row>
    <row r="11" spans="1:124">
      <c r="A11" s="96" t="s">
        <v>127</v>
      </c>
      <c r="B11" s="95"/>
      <c r="C11" s="99"/>
      <c r="D11" s="95"/>
      <c r="AC11" s="143"/>
      <c r="AD11" s="145" t="s">
        <v>626</v>
      </c>
    </row>
    <row r="12" spans="1:124" ht="16.5">
      <c r="A12" s="95"/>
      <c r="B12" s="95" t="s">
        <v>128</v>
      </c>
      <c r="C12" s="97" t="s">
        <v>543</v>
      </c>
      <c r="D12" s="98" t="s">
        <v>541</v>
      </c>
      <c r="AC12" s="146" t="s">
        <v>538</v>
      </c>
      <c r="AD12" s="141" t="b">
        <v>1</v>
      </c>
    </row>
    <row r="13" spans="1:124" ht="16.5">
      <c r="A13" s="95"/>
      <c r="B13" s="95" t="s">
        <v>129</v>
      </c>
      <c r="C13" s="97" t="s">
        <v>544</v>
      </c>
      <c r="D13" s="98">
        <v>3</v>
      </c>
      <c r="AC13" s="90" t="s">
        <v>525</v>
      </c>
      <c r="AD13" s="142" t="b">
        <v>1</v>
      </c>
    </row>
    <row r="14" spans="1:124" ht="16.5">
      <c r="A14" s="95"/>
      <c r="B14" s="95" t="s">
        <v>130</v>
      </c>
      <c r="C14" s="97" t="s">
        <v>545</v>
      </c>
      <c r="D14" s="98">
        <v>9</v>
      </c>
      <c r="AC14" s="90" t="s">
        <v>527</v>
      </c>
      <c r="AD14" s="142" t="b">
        <v>1</v>
      </c>
    </row>
    <row r="15" spans="1:124" ht="16.5">
      <c r="AC15" s="90" t="s">
        <v>529</v>
      </c>
      <c r="AD15" s="142" t="b">
        <v>1</v>
      </c>
    </row>
    <row r="16" spans="1:124" ht="16.5">
      <c r="A16" s="95"/>
      <c r="B16" s="95" t="s">
        <v>131</v>
      </c>
      <c r="C16" s="97" t="s">
        <v>546</v>
      </c>
      <c r="D16" s="98" t="s">
        <v>542</v>
      </c>
      <c r="AC16" s="90" t="s">
        <v>531</v>
      </c>
      <c r="AD16" s="142" t="b">
        <v>1</v>
      </c>
    </row>
    <row r="17" spans="1:103" s="143" customFormat="1" ht="16.5">
      <c r="C17" s="145"/>
      <c r="D17" s="155"/>
      <c r="E17" s="145"/>
      <c r="F17" s="145"/>
      <c r="R17" s="349"/>
      <c r="T17" s="349"/>
      <c r="U17" s="349"/>
      <c r="V17" s="349"/>
      <c r="W17" s="349"/>
      <c r="X17" s="349"/>
      <c r="Y17" s="349"/>
      <c r="Z17" s="349"/>
      <c r="AC17" s="90" t="s">
        <v>534</v>
      </c>
      <c r="AD17" s="184" t="b">
        <v>0</v>
      </c>
      <c r="BV17" s="468"/>
      <c r="CA17" s="349"/>
      <c r="CB17" s="349"/>
      <c r="CC17" s="349"/>
      <c r="CD17" s="349"/>
      <c r="CE17" s="349"/>
      <c r="CF17" s="349"/>
      <c r="CG17" s="349"/>
      <c r="CH17" s="349"/>
      <c r="CI17" s="349"/>
      <c r="CJ17" s="349"/>
      <c r="CK17" s="349"/>
      <c r="CL17" s="349"/>
      <c r="CM17" s="349"/>
      <c r="CN17" s="349"/>
      <c r="CO17" s="349"/>
      <c r="CP17" s="349"/>
      <c r="CQ17" s="349"/>
      <c r="CR17" s="349"/>
      <c r="CS17" s="349"/>
      <c r="CT17" s="349"/>
      <c r="CU17" s="349"/>
      <c r="CV17" s="349"/>
      <c r="CW17" s="349"/>
      <c r="CX17" s="349"/>
      <c r="CY17" s="349"/>
    </row>
    <row r="18" spans="1:103" ht="16.5">
      <c r="AC18" s="90" t="s">
        <v>822</v>
      </c>
      <c r="AD18" s="184" t="b">
        <v>1</v>
      </c>
    </row>
    <row r="19" spans="1:103" ht="16.5">
      <c r="A19" s="138" t="s">
        <v>617</v>
      </c>
      <c r="AC19" s="89" t="s">
        <v>536</v>
      </c>
      <c r="AD19" s="185">
        <v>1</v>
      </c>
    </row>
    <row r="20" spans="1:103">
      <c r="B20" t="s">
        <v>632</v>
      </c>
    </row>
    <row r="21" spans="1:103" s="137" customFormat="1">
      <c r="B21" s="137" t="s">
        <v>621</v>
      </c>
      <c r="C21" s="137" t="s">
        <v>668</v>
      </c>
      <c r="E21" s="136"/>
      <c r="F21" s="136"/>
      <c r="R21" s="349"/>
      <c r="T21" s="349"/>
      <c r="U21" s="349"/>
      <c r="V21" s="349"/>
      <c r="W21" s="349"/>
      <c r="X21" s="349"/>
      <c r="Y21" s="349"/>
      <c r="Z21" s="349"/>
      <c r="AC21"/>
      <c r="AD21" s="143"/>
      <c r="BP21" s="143"/>
      <c r="BQ21" s="143"/>
      <c r="BR21" s="143"/>
      <c r="BS21" s="143"/>
      <c r="BV21" s="468"/>
      <c r="CA21" s="349"/>
      <c r="CB21" s="349"/>
      <c r="CC21" s="349"/>
      <c r="CD21" s="349"/>
      <c r="CE21" s="349"/>
      <c r="CF21" s="349"/>
      <c r="CG21" s="349"/>
      <c r="CH21" s="349"/>
      <c r="CI21" s="349"/>
      <c r="CJ21" s="349"/>
      <c r="CK21" s="349"/>
      <c r="CL21" s="349"/>
      <c r="CM21" s="349"/>
      <c r="CN21" s="349"/>
      <c r="CO21" s="349"/>
      <c r="CP21" s="349"/>
      <c r="CQ21" s="349"/>
      <c r="CR21" s="349"/>
      <c r="CS21" s="349"/>
      <c r="CT21" s="349"/>
      <c r="CU21" s="349"/>
      <c r="CV21" s="349"/>
      <c r="CW21" s="349"/>
      <c r="CX21" s="349"/>
      <c r="CY21" s="349"/>
    </row>
    <row r="22" spans="1:103">
      <c r="B22" s="140" t="s">
        <v>620</v>
      </c>
      <c r="C22" s="139">
        <v>1</v>
      </c>
      <c r="AC22" s="143"/>
      <c r="AE22" s="143"/>
    </row>
    <row r="23" spans="1:103">
      <c r="B23" s="140" t="s">
        <v>33</v>
      </c>
      <c r="C23" s="139">
        <v>2</v>
      </c>
      <c r="AD23"/>
      <c r="AE23" s="143"/>
    </row>
  </sheetData>
  <sheetProtection selectLockedCells="1" selectUnlockedCells="1"/>
  <mergeCells count="15">
    <mergeCell ref="AE6:AH6"/>
    <mergeCell ref="AJ6:AM6"/>
    <mergeCell ref="AY6:BB6"/>
    <mergeCell ref="BC6:BM6"/>
    <mergeCell ref="AY4:BB4"/>
    <mergeCell ref="BD4:BG4"/>
    <mergeCell ref="AE5:AH5"/>
    <mergeCell ref="AY5:BB5"/>
    <mergeCell ref="BJ5:BM5"/>
    <mergeCell ref="AE7:AH7"/>
    <mergeCell ref="AI7:AS7"/>
    <mergeCell ref="BJ7:BK7"/>
    <mergeCell ref="AE8:AH8"/>
    <mergeCell ref="AJ8:AM8"/>
    <mergeCell ref="AO8:AR8"/>
  </mergeCells>
  <phoneticPr fontId="2"/>
  <conditionalFormatting sqref="D5:S5">
    <cfRule type="expression" dxfId="120" priority="1">
      <formula>CELL("row")=ROW()</formula>
    </cfRule>
  </conditionalFormatting>
  <conditionalFormatting sqref="N5:O5">
    <cfRule type="expression" dxfId="119" priority="2">
      <formula>INDIRECT(ADDRESS(ROW(),COLUMN()))=TRUNC(INDIRECT(ADDRESS(ROW(),COLUMN())))</formula>
    </cfRule>
  </conditionalFormatting>
  <dataValidations count="4">
    <dataValidation type="list" allowBlank="1" showInputMessage="1" showErrorMessage="1" sqref="BJ7:BK7">
      <formula1>LIST_SHUBETSU</formula1>
    </dataValidation>
    <dataValidation type="custom" allowBlank="1" showInputMessage="1" showErrorMessage="1" error="Myy-mmzzzzの形で入力してください。" sqref="AE6:AH6">
      <formula1>AND(LEN(UNMT0010_H_MITSUMORI_START)=LENB(UNMT0010_H_MITSUMORI_START),LEN(UNMT0010_H_MITSUMORI_START)=10)</formula1>
    </dataValidation>
    <dataValidation type="custom" allowBlank="1" showInputMessage="1" showErrorMessage="1" sqref="AJ6:AM6">
      <formula1>AND(LEN(UNMT0010_H_MITSUMORI_END)=LENB(UNMT0010_H_MITSUMORI_END),LEN(UNMT0010_H_MITSUMORI_END)=10)</formula1>
    </dataValidation>
    <dataValidation type="date" allowBlank="1" showInputMessage="1" showErrorMessage="1" sqref="AY4:BB4 BD4:BG4">
      <formula1>36526</formula1>
      <formula2>73415</formula2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K60"/>
  <sheetViews>
    <sheetView topLeftCell="A25" zoomScaleNormal="100" workbookViewId="0">
      <selection activeCell="D28" sqref="D28:F28"/>
    </sheetView>
  </sheetViews>
  <sheetFormatPr defaultRowHeight="26.25" customHeight="1"/>
  <cols>
    <col min="1" max="1" width="3.125" customWidth="1"/>
    <col min="2" max="2" width="22" bestFit="1" customWidth="1"/>
    <col min="3" max="3" width="26.75" style="145" customWidth="1"/>
    <col min="4" max="5" width="1.125" style="124" customWidth="1"/>
    <col min="6" max="6" width="52.625" style="158" customWidth="1"/>
    <col min="7" max="7" width="31.125" customWidth="1"/>
    <col min="8" max="8" width="13" customWidth="1"/>
  </cols>
  <sheetData>
    <row r="1" spans="1:10" s="143" customFormat="1" ht="26.25" customHeight="1" thickBot="1">
      <c r="C1" s="145"/>
      <c r="D1" s="124"/>
      <c r="E1" s="124"/>
      <c r="F1" s="158"/>
    </row>
    <row r="2" spans="1:10" s="237" customFormat="1" ht="26.25" customHeight="1">
      <c r="A2" s="236" t="s">
        <v>757</v>
      </c>
      <c r="C2" s="238"/>
      <c r="D2" s="239"/>
      <c r="E2" s="239"/>
      <c r="F2" s="240" t="s">
        <v>762</v>
      </c>
      <c r="G2" s="237" t="s">
        <v>761</v>
      </c>
    </row>
    <row r="3" spans="1:10" s="241" customFormat="1" ht="26.25" customHeight="1">
      <c r="B3" s="242" t="s">
        <v>538</v>
      </c>
      <c r="C3" s="243" t="s">
        <v>737</v>
      </c>
      <c r="D3" s="244"/>
      <c r="E3" s="244"/>
      <c r="F3" s="245" t="b">
        <v>0</v>
      </c>
      <c r="G3" s="253" t="b">
        <f>UNMT0010_H_SANKO_STS</f>
        <v>1</v>
      </c>
    </row>
    <row r="4" spans="1:10" s="219" customFormat="1" ht="26.25" customHeight="1">
      <c r="B4" s="223" t="s">
        <v>525</v>
      </c>
      <c r="C4" s="80" t="s">
        <v>738</v>
      </c>
      <c r="D4" s="218"/>
      <c r="E4" s="218"/>
      <c r="F4" s="234" t="b">
        <v>0</v>
      </c>
      <c r="G4" s="254" t="b">
        <f>UNMT0010_H_SHIROJI_STS</f>
        <v>1</v>
      </c>
    </row>
    <row r="5" spans="1:10" s="246" customFormat="1" ht="26.25" customHeight="1">
      <c r="B5" s="247" t="s">
        <v>527</v>
      </c>
      <c r="C5" s="248" t="s">
        <v>739</v>
      </c>
      <c r="D5" s="249"/>
      <c r="E5" s="249"/>
      <c r="F5" s="245" t="b">
        <v>0</v>
      </c>
      <c r="G5" s="255" t="b">
        <f>UNMT0010_H_SHIKAKARI_STS</f>
        <v>1</v>
      </c>
    </row>
    <row r="6" spans="1:10" s="219" customFormat="1" ht="26.25" customHeight="1">
      <c r="B6" s="223" t="s">
        <v>529</v>
      </c>
      <c r="C6" s="80" t="s">
        <v>740</v>
      </c>
      <c r="D6" s="218"/>
      <c r="E6" s="218"/>
      <c r="F6" s="234" t="b">
        <v>0</v>
      </c>
      <c r="G6" s="254" t="b">
        <f>UNMT0010_H_MIKOMI_STS</f>
        <v>1</v>
      </c>
    </row>
    <row r="7" spans="1:10" s="246" customFormat="1" ht="26.25" customHeight="1">
      <c r="B7" s="247" t="s">
        <v>531</v>
      </c>
      <c r="C7" s="248" t="s">
        <v>741</v>
      </c>
      <c r="D7" s="249"/>
      <c r="E7" s="249"/>
      <c r="F7" s="245" t="b">
        <v>0</v>
      </c>
      <c r="G7" s="255" t="b">
        <f>UNMT0010_H_JUCHUSUMI_STS</f>
        <v>1</v>
      </c>
    </row>
    <row r="8" spans="1:10" s="219" customFormat="1" ht="26.25" customHeight="1">
      <c r="B8" s="222" t="s">
        <v>102</v>
      </c>
      <c r="C8" s="221" t="s">
        <v>752</v>
      </c>
      <c r="F8" s="264" t="s">
        <v>778</v>
      </c>
      <c r="G8" s="254" t="str">
        <f>IF(OR(UNMT0010_H_TORIHIKI_BUNRUI_CD="",UNMT0010_H_TORIHIKIBUNRUI=""),"",UNMT0010_H_TORIHIKI_BUNRUI_CD)</f>
        <v/>
      </c>
    </row>
    <row r="9" spans="1:10" s="246" customFormat="1" ht="26.25" customHeight="1">
      <c r="B9" s="250" t="s">
        <v>724</v>
      </c>
      <c r="C9" s="251" t="s">
        <v>753</v>
      </c>
      <c r="F9" s="265" t="s">
        <v>779</v>
      </c>
      <c r="G9" s="255" t="str">
        <f>IF(UNMT0010_H_MITSUMORI_NO_MIN=0,"",UNMT0010_H_MITSUMORI_NO_MIN)</f>
        <v/>
      </c>
    </row>
    <row r="10" spans="1:10" s="133" customFormat="1" ht="26.25" customHeight="1">
      <c r="A10" s="219"/>
      <c r="B10" s="224"/>
      <c r="C10" s="217" t="s">
        <v>754</v>
      </c>
      <c r="D10" s="220"/>
      <c r="E10" s="220"/>
      <c r="F10" s="235" t="s">
        <v>759</v>
      </c>
      <c r="G10" s="256" t="str">
        <f>IF(UNMT0010_H_MITSUMORI_NO_MAX=0,"",UNMT0010_H_MITSUMORI_NO_MAX)</f>
        <v/>
      </c>
    </row>
    <row r="11" spans="1:10" s="246" customFormat="1" ht="26.25" customHeight="1">
      <c r="B11" s="242" t="s">
        <v>25</v>
      </c>
      <c r="C11" s="251" t="s">
        <v>755</v>
      </c>
      <c r="D11" s="249"/>
      <c r="E11" s="249"/>
      <c r="F11" s="245" t="s">
        <v>759</v>
      </c>
      <c r="G11" s="257" t="str">
        <f>IF(UNMT0010_H_SEIKYUSAKI_CD = "","",UNMT0010_H_SEIKYUSAKI_CD )</f>
        <v/>
      </c>
      <c r="I11" s="249"/>
      <c r="J11" s="249"/>
    </row>
    <row r="12" spans="1:10" s="133" customFormat="1" ht="26.25" customHeight="1">
      <c r="A12" s="219"/>
      <c r="B12" s="222" t="s">
        <v>736</v>
      </c>
      <c r="C12" s="217" t="s">
        <v>756</v>
      </c>
      <c r="D12" s="220"/>
      <c r="E12" s="220"/>
      <c r="F12" s="235" t="s">
        <v>759</v>
      </c>
      <c r="G12" s="258" t="str">
        <f>IF(UNMT0010_H_FREEWD_1="","",UNMT0010_H_FREEWD_1)</f>
        <v/>
      </c>
    </row>
    <row r="13" spans="1:10" s="246" customFormat="1" ht="26.25" customHeight="1">
      <c r="B13" s="242"/>
      <c r="C13" s="251" t="s">
        <v>751</v>
      </c>
      <c r="D13" s="249"/>
      <c r="E13" s="249"/>
      <c r="F13" s="245" t="s">
        <v>759</v>
      </c>
      <c r="G13" s="257" t="str">
        <f>IF(UNMT0010_H_FREEWD_2="","",UNMT0010_H_FREEWD_2)</f>
        <v/>
      </c>
    </row>
    <row r="14" spans="1:10" s="133" customFormat="1" ht="26.25" customHeight="1">
      <c r="A14" s="219"/>
      <c r="B14" s="222"/>
      <c r="C14" s="217" t="s">
        <v>750</v>
      </c>
      <c r="D14" s="220"/>
      <c r="E14" s="220"/>
      <c r="F14" s="235" t="s">
        <v>759</v>
      </c>
      <c r="G14" s="258" t="str">
        <f>IF(UNMT0010_H_FREEWD_3="","",UNMT0010_H_FREEWD_3)</f>
        <v/>
      </c>
    </row>
    <row r="15" spans="1:10" s="246" customFormat="1" ht="26.25" customHeight="1">
      <c r="B15" s="242" t="s">
        <v>24</v>
      </c>
      <c r="C15" s="251" t="s">
        <v>749</v>
      </c>
      <c r="D15" s="249"/>
      <c r="E15" s="249"/>
      <c r="F15" s="245" t="s">
        <v>759</v>
      </c>
      <c r="G15" s="257" t="str">
        <f>IF(UNMT0010_H_MITSUMORI_DATE_START="",
     "",
     TEXT(
         MIN(UNMT0010_H_MITSUMORI_DATE_START,
               UNMT0010_H_MITSUMORI_DATE_END
         ),
         "YYYY/MM/DD"
     )
  )</f>
        <v/>
      </c>
    </row>
    <row r="16" spans="1:10" s="133" customFormat="1" ht="26.25" customHeight="1">
      <c r="A16" s="219"/>
      <c r="B16" s="222"/>
      <c r="C16" s="217" t="s">
        <v>748</v>
      </c>
      <c r="D16" s="220"/>
      <c r="E16" s="220"/>
      <c r="F16" s="235" t="s">
        <v>759</v>
      </c>
      <c r="G16" s="258" t="str">
        <f>IF(UNMT0010_H_MITSUMORI_DATE_START="",
     "",
     TEXT(
         MAX(UNMT0010_H_MITSUMORI_DATE_START,
               UNMT0010_H_MITSUMORI_DATE_END
         ),
         "YYYY/MM/DD"
     )
  )</f>
        <v/>
      </c>
    </row>
    <row r="17" spans="1:11" s="246" customFormat="1" ht="26.25" customHeight="1">
      <c r="B17" s="247" t="s">
        <v>103</v>
      </c>
      <c r="C17" s="248" t="s">
        <v>747</v>
      </c>
      <c r="D17" s="249"/>
      <c r="E17" s="249"/>
      <c r="F17" s="245" t="s">
        <v>759</v>
      </c>
      <c r="G17" s="257" t="str">
        <f>IF(OR(UNMT0010_H_NYURYOKUSHA_MEI = "",UNMT0010_H_NYURYOKUSHA_CD = ""),"",
UNMT0010_H_NYURYOKUSHA_CD)</f>
        <v/>
      </c>
      <c r="H17" s="251"/>
      <c r="I17" s="249"/>
      <c r="J17" s="249"/>
      <c r="K17" s="252"/>
    </row>
    <row r="18" spans="1:11" s="133" customFormat="1" ht="26.25" customHeight="1">
      <c r="A18" s="219"/>
      <c r="B18" s="223" t="s">
        <v>104</v>
      </c>
      <c r="C18" s="80" t="s">
        <v>746</v>
      </c>
      <c r="D18" s="220"/>
      <c r="E18" s="220"/>
      <c r="F18" s="235" t="s">
        <v>759</v>
      </c>
      <c r="G18" s="258" t="str">
        <f>IF(OR(UNMT0010_H_EIGYO_TANTOSHA_MEI = "",UNMT0010_H_EIGYO_TANTO_CD = ""),"",UNMT0010_H_EIGYO_TANTO_CD)</f>
        <v/>
      </c>
    </row>
    <row r="19" spans="1:11" s="246" customFormat="1" ht="26.25" customHeight="1">
      <c r="B19" s="247" t="s">
        <v>664</v>
      </c>
      <c r="C19" s="248" t="s">
        <v>760</v>
      </c>
      <c r="D19" s="249"/>
      <c r="E19" s="249"/>
      <c r="F19" s="245" t="s">
        <v>759</v>
      </c>
      <c r="G19" s="257" t="str">
        <f>IF(UNMT0010_H_SHUBETSU = "","",UNMT0010_H_SHUBETSU_NUM)</f>
        <v/>
      </c>
    </row>
    <row r="20" spans="1:11" s="133" customFormat="1" ht="26.25" customHeight="1">
      <c r="A20" s="219"/>
      <c r="B20" s="224" t="s">
        <v>65</v>
      </c>
      <c r="C20" s="217" t="s">
        <v>745</v>
      </c>
      <c r="D20" s="220"/>
      <c r="E20" s="220"/>
      <c r="F20" s="235">
        <v>1</v>
      </c>
      <c r="G20" s="258" t="str">
        <f>IF(UNMT0010_H_SHOHIN_CD="","",UNMT0010_H_SHOHIN_CD)</f>
        <v/>
      </c>
    </row>
    <row r="21" spans="1:11" s="246" customFormat="1" ht="26.25" customHeight="1">
      <c r="B21" s="247" t="s">
        <v>534</v>
      </c>
      <c r="C21" s="248" t="s">
        <v>742</v>
      </c>
      <c r="D21" s="249"/>
      <c r="E21" s="249"/>
      <c r="F21" s="245" t="b">
        <v>0</v>
      </c>
      <c r="G21" s="259" t="b">
        <f>UNMT0010_H_DEL_HYOJI_FLG</f>
        <v>0</v>
      </c>
    </row>
    <row r="22" spans="1:11" s="219" customFormat="1" ht="26.25" customHeight="1">
      <c r="B22" s="285" t="s">
        <v>822</v>
      </c>
      <c r="C22" s="221" t="s">
        <v>825</v>
      </c>
      <c r="D22" s="218"/>
      <c r="E22" s="218"/>
      <c r="F22" s="234" t="b">
        <v>0</v>
      </c>
      <c r="G22" s="286" t="b">
        <f>UNMT0010_H_NO_SHOHIN_CD_HYOJI_FLG</f>
        <v>1</v>
      </c>
    </row>
    <row r="23" spans="1:11" s="246" customFormat="1" ht="26.25" customHeight="1">
      <c r="B23" s="287" t="s">
        <v>536</v>
      </c>
      <c r="C23" s="288" t="s">
        <v>743</v>
      </c>
      <c r="D23" s="249"/>
      <c r="E23" s="249"/>
      <c r="F23" s="245">
        <v>3</v>
      </c>
      <c r="G23" s="289">
        <f>IF(UNMT0010_H_FREEWD_KBN="","",UNMT0010_H_FREEWD_KBN)</f>
        <v>1</v>
      </c>
    </row>
    <row r="24" spans="1:11" s="46" customFormat="1" ht="26.25" customHeight="1" thickBot="1">
      <c r="A24" s="219"/>
      <c r="B24" s="290"/>
      <c r="C24" s="217"/>
      <c r="D24" s="291"/>
      <c r="E24" s="291"/>
      <c r="F24" s="292"/>
      <c r="G24" s="293"/>
    </row>
    <row r="25" spans="1:11" s="233" customFormat="1" ht="26.25" customHeight="1" thickBot="1">
      <c r="A25" s="228"/>
      <c r="B25" s="229"/>
      <c r="C25" s="230"/>
      <c r="D25" s="231"/>
      <c r="E25" s="231"/>
      <c r="F25" s="232"/>
    </row>
    <row r="26" spans="1:11" s="227" customFormat="1" ht="26.25" customHeight="1">
      <c r="A26" s="219"/>
      <c r="B26" s="225" t="s">
        <v>649</v>
      </c>
      <c r="C26" s="226" t="s">
        <v>618</v>
      </c>
      <c r="D26" s="508" t="str">
        <f>E29&amp;E32&amp;E33&amp;E34&amp;E35&amp;E36&amp;E37&amp;E38&amp;E39&amp;E40&amp;E46&amp;E50&amp;E51&amp;E52&amp;E53</f>
        <v>SELECT *
  FROM V_MITSUMORI_LIST
  WHERE 1=1
AND V_MITSUMORI_LIST.MITSU_NO &gt;= '--------'
AND  V_MITSUMORI_LIST.MITSU_NO = ANY
       (
             SELECT  T_MITSU_B.MITSU_NO
               FROM T_MITSU_B
              WHERE T_MITSU_B.SHOHIN_CD = '1'
    )AND (1!=1 
)
   AND(
        1=1
    )
  AND V_MITSUMORI_LIST.DEL_FLG IS NULL  
  AND V_MITSUMORI_LIST.MITSU_NO NOT IN
       (
             SELECT  T_MITSU_B.MITSU_NO
               FROM T_MITSU_B
              WHERE T_MITSU_B.SHOHIN_CD = ''
       )
  OFFSET 0*2 ROWS
 FETCH NEXT 2 ROWS ONLY</v>
      </c>
      <c r="E26" s="508"/>
      <c r="F26" s="508"/>
    </row>
    <row r="27" spans="1:11" s="128" customFormat="1" ht="26.25" customHeight="1">
      <c r="A27" s="133"/>
      <c r="B27" s="162" t="s">
        <v>648</v>
      </c>
      <c r="C27" s="163" t="s">
        <v>619</v>
      </c>
      <c r="D27" s="509" t="str">
        <f>E30&amp;E32&amp;E33&amp;E34&amp;E35&amp;E36&amp;E37&amp;E38&amp;E39&amp;E40&amp;E46&amp;E50&amp;E51</f>
        <v>SELECT COUNT(*) AS CNT
  FROM V_MITSUMORI_LIST
  WHERE 1=1
AND V_MITSUMORI_LIST.MITSU_NO &gt;= '--------'
AND  V_MITSUMORI_LIST.MITSU_NO = ANY
       (
             SELECT  T_MITSU_B.MITSU_NO
               FROM T_MITSU_B
              WHERE T_MITSU_B.SHOHIN_CD = '1'
    )AND (1!=1 
)
   AND(
        1=1
    )
  AND V_MITSUMORI_LIST.DEL_FLG IS NULL  
  AND V_MITSUMORI_LIST.MITSU_NO NOT IN
       (
             SELECT  T_MITSU_B.MITSU_NO
               FROM T_MITSU_B
              WHERE T_MITSU_B.SHOHIN_CD = ''
       )</v>
      </c>
      <c r="E27" s="509"/>
      <c r="F27" s="509"/>
    </row>
    <row r="28" spans="1:11" s="128" customFormat="1" ht="26.25" customHeight="1">
      <c r="A28" s="133"/>
      <c r="B28" s="162" t="s">
        <v>774</v>
      </c>
      <c r="C28" s="163" t="s">
        <v>775</v>
      </c>
      <c r="D28" s="513" t="str">
        <f>F31&amp;E32&amp;E33&amp;E34&amp;E35&amp;E36&amp;E37&amp;E38&amp;E39&amp;E40&amp;E46&amp;E50&amp;E51&amp;E52</f>
        <v>SELECT V_MITSU_EXCEL.*
  FROM V_MITSUMORI_LIST
  LEFT JOIN
       V_MITSU_EXCEL
    ON V_MITSU_EXCEL.MITSU_NO = V_MITSUMORI_LIST.MITSU_NO
 WHERE 1=1
AND V_MITSUMORI_LIST.MITSU_NO &gt;= '--------'
AND  V_MITSUMORI_LIST.MITSU_NO = ANY
       (
             SELECT  T_MITSU_B.MITSU_NO
               FROM T_MITSU_B
              WHERE T_MITSU_B.SHOHIN_CD = '1'
    )AND (1!=1 
)
   AND(
        1=1
    )
  AND V_MITSUMORI_LIST.DEL_FLG IS NULL  
  AND V_MITSUMORI_LIST.MITSU_NO NOT IN
       (
             SELECT  T_MITSU_B.MITSU_NO
               FROM T_MITSU_B
              WHERE T_MITSU_B.SHOHIN_CD = ''
       )</v>
      </c>
      <c r="E28" s="513"/>
      <c r="F28" s="513"/>
    </row>
    <row r="29" spans="1:11" s="128" customFormat="1" ht="26.25" customHeight="1">
      <c r="A29" s="133"/>
      <c r="B29" s="162" t="s">
        <v>713</v>
      </c>
      <c r="C29" s="163"/>
      <c r="E29" s="510" t="s">
        <v>651</v>
      </c>
      <c r="F29" s="510"/>
    </row>
    <row r="30" spans="1:11" s="128" customFormat="1" ht="26.25" customHeight="1">
      <c r="A30" s="133"/>
      <c r="B30" s="164" t="s">
        <v>714</v>
      </c>
      <c r="C30" s="163"/>
      <c r="E30" s="511" t="s">
        <v>652</v>
      </c>
      <c r="F30" s="511"/>
    </row>
    <row r="31" spans="1:11" s="128" customFormat="1" ht="26.25" customHeight="1">
      <c r="A31" s="133"/>
      <c r="B31" s="164" t="s">
        <v>871</v>
      </c>
      <c r="C31" s="163"/>
      <c r="E31" s="332"/>
      <c r="F31" s="332" t="s">
        <v>1020</v>
      </c>
    </row>
    <row r="32" spans="1:11" s="128" customFormat="1" ht="26.25" customHeight="1">
      <c r="A32" s="133"/>
      <c r="B32" s="165" t="s">
        <v>634</v>
      </c>
      <c r="C32" s="163"/>
      <c r="D32" s="166"/>
      <c r="E32" s="512" t="str">
        <f>IF(OR(UNMT0010_H_TORIHIKIBUNRUI = "",UNMT0010_H_TORIHIKI_BUNRUI_CD = ""),"","
AND V_MITSUMORI_LIST.TORIHIKI_BUNRUI_KBN = "
&amp;UNMT0010_H_TORIHIKI_BUNRUI_CD)</f>
        <v/>
      </c>
      <c r="F32" s="512"/>
    </row>
    <row r="33" spans="1:9" s="128" customFormat="1" ht="26.25" customHeight="1">
      <c r="A33" s="133"/>
      <c r="B33" s="165" t="s">
        <v>635</v>
      </c>
      <c r="C33" s="163"/>
      <c r="D33" s="166"/>
      <c r="E33" s="512" t="str">
        <f>IF(UNMT0010_SQL_MITSUMORI_START="","",
  "AND V_MITSUMORI_LIST.MITSU_NO &gt;= " &amp;"'" &amp;UNMT0010_SQL_MITSUMORI_START &amp;"'
") &amp;IF(UNMT0010_SQL_MITSUMORI_END="","",
  "AND V_MITSUMORI_LIST.MITSU_NO &lt;= " &amp;"'" &amp;UNMT0010_SQL_MITSUMORI_END &amp;"'
")</f>
        <v xml:space="preserve">AND V_MITSUMORI_LIST.MITSU_NO &gt;= '--------'
</v>
      </c>
      <c r="F33" s="512"/>
    </row>
    <row r="34" spans="1:9" s="128" customFormat="1" ht="26.25" customHeight="1">
      <c r="A34" s="143"/>
      <c r="B34" s="165" t="s">
        <v>636</v>
      </c>
      <c r="C34" s="163"/>
      <c r="D34" s="166"/>
      <c r="E34" s="512" t="str">
        <f>IF(UNMT0010_SQL_SEIKYUSAKI_CD = "","","
AND V_MITSUMORI_LIST.SEIKYU_CD = " &amp;"'"
&amp;UNMT0010_SQL_SEIKYUSAKI_CD &amp;"'")</f>
        <v/>
      </c>
      <c r="F34" s="512"/>
    </row>
    <row r="35" spans="1:9" s="128" customFormat="1" ht="26.25" customHeight="1">
      <c r="B35" s="165" t="s">
        <v>637</v>
      </c>
      <c r="C35" s="163"/>
      <c r="D35" s="166"/>
      <c r="E35" s="512" t="str">
        <f>IF(UNMT0010_SQL_MITSUMORI_DATE_START="","",
"AND V_MITSUMORI_LIST.MITSU_DATE &gt;= "&amp;"'"
&amp;UNMT0010_SQL_MITSUMORI_DATE_START
&amp;"'
")
&amp;IF(UNMT0010_SQL_MITSUMORI_DATE_END="","",
"AND V_MITSUMORI_LIST.MITSU_DATE &lt;= "&amp;"'"
&amp;UNMT0010_SQL_MITSUMORI_DATE_END &amp;"'")</f>
        <v/>
      </c>
      <c r="F35" s="512"/>
    </row>
    <row r="36" spans="1:9" s="128" customFormat="1" ht="26.25" customHeight="1">
      <c r="B36" s="165" t="s">
        <v>638</v>
      </c>
      <c r="C36" s="163"/>
      <c r="D36" s="166"/>
      <c r="E36" s="512" t="str">
        <f>IF(UNMT0010_SQL_NYURYOKUSHA_CD = "","","
AND V_MITSUMORI_LIST.NYURYOKUSSHA_CD = " &amp;"'"
&amp;UNMT0010_SQL_NYURYOKUSHA_CD&amp;"'")</f>
        <v/>
      </c>
      <c r="F36" s="512"/>
    </row>
    <row r="37" spans="1:9" s="128" customFormat="1" ht="26.25" customHeight="1">
      <c r="B37" s="165" t="s">
        <v>639</v>
      </c>
      <c r="C37" s="163"/>
      <c r="D37" s="166"/>
      <c r="E37" s="512" t="str">
        <f>IF(UNMT0010_SQL_EIGYO_TANTO_CD = "","","
AND V_MITSUMORI_LIST.EIGYO_TANTO_CD = " &amp;"'"
&amp;UNMT0010_SQL_EIGYO_TANTO_CD&amp;"'")</f>
        <v/>
      </c>
      <c r="F37" s="512"/>
    </row>
    <row r="38" spans="1:9" s="128" customFormat="1" ht="26.25" customHeight="1">
      <c r="B38" s="165" t="s">
        <v>640</v>
      </c>
      <c r="C38" s="163"/>
      <c r="D38" s="166"/>
      <c r="E38" s="512" t="str">
        <f xml:space="preserve"> IF(UNMT0010_SQL_SHOHIN_CD="","", "AND  V_MITSUMORI_LIST.MITSU_NO = ANY
       (
             SELECT  T_MITSU_B.MITSU_NO
               FROM T_MITSU_B
              WHERE T_MITSU_B.SHOHIN_CD = " &amp;"'" &amp;
                         UNMT0010_SQL_SHOHIN_CD &amp;"'"&amp;"
    )")</f>
        <v>AND  V_MITSUMORI_LIST.MITSU_NO = ANY
       (
             SELECT  T_MITSU_B.MITSU_NO
               FROM T_MITSU_B
              WHERE T_MITSU_B.SHOHIN_CD = '1'
    )</v>
      </c>
      <c r="F38" s="512"/>
    </row>
    <row r="39" spans="1:9" s="128" customFormat="1" ht="26.25" customHeight="1">
      <c r="B39" s="165" t="s">
        <v>641</v>
      </c>
      <c r="C39" s="163"/>
      <c r="D39" s="166"/>
      <c r="E39" s="512" t="str">
        <f>IF(UNMT0010_SQL_SHUBETSU_NUM = "","","
AND V_MITSUMORI_LIST.MODE_KBN = " &amp;"'"
&amp;UNMT0010_SQL_SHUBETSU_NUM&amp;"'
")</f>
        <v/>
      </c>
      <c r="F39" s="512"/>
    </row>
    <row r="40" spans="1:9" s="128" customFormat="1" ht="26.25" customHeight="1">
      <c r="B40" s="165" t="s">
        <v>633</v>
      </c>
      <c r="C40" s="163"/>
      <c r="E40" s="510" t="str">
        <f>"AND (1!=1 "&amp;F41&amp;F42&amp;F43&amp;F44&amp;F45 &amp;"
)
"</f>
        <v xml:space="preserve">AND (1!=1 
)
</v>
      </c>
      <c r="F40" s="510"/>
    </row>
    <row r="41" spans="1:9" s="190" customFormat="1" ht="26.25" customHeight="1">
      <c r="A41" s="128"/>
      <c r="B41" s="186" t="s">
        <v>642</v>
      </c>
      <c r="C41" s="187"/>
      <c r="D41" s="188"/>
      <c r="E41" s="188"/>
      <c r="F41" s="189" t="str">
        <f xml:space="preserve"> IF(UNMT0010_SQL_SANKO_STS=FALSE,"","
        OR V_MITSUMORI_LIST.STATUS_NUM = 1")</f>
        <v/>
      </c>
    </row>
    <row r="42" spans="1:9" s="195" customFormat="1" ht="26.25" customHeight="1">
      <c r="A42" s="128"/>
      <c r="B42" s="191" t="s">
        <v>643</v>
      </c>
      <c r="C42" s="192"/>
      <c r="D42" s="193"/>
      <c r="E42" s="193"/>
      <c r="F42" s="194" t="str">
        <f xml:space="preserve"> IF(UNMT0010_SQL_SHIROJI_STS=FALSE,"","
        OR V_MITSUMORI_LIST.STATUS_NUM = 2")</f>
        <v/>
      </c>
    </row>
    <row r="43" spans="1:9" s="195" customFormat="1" ht="26.25" customHeight="1">
      <c r="A43" s="128"/>
      <c r="B43" s="191" t="s">
        <v>644</v>
      </c>
      <c r="C43" s="192"/>
      <c r="D43" s="193"/>
      <c r="E43" s="193"/>
      <c r="F43" s="194" t="str">
        <f xml:space="preserve"> IF(UNMT0010_SQL_SHIKAKARI_STS=FALSE,"","
        OR V_MITSUMORI_LIST.STATUS_NUM = 3")</f>
        <v/>
      </c>
    </row>
    <row r="44" spans="1:9" s="195" customFormat="1" ht="26.25" customHeight="1">
      <c r="A44" s="128"/>
      <c r="B44" s="191" t="s">
        <v>645</v>
      </c>
      <c r="C44" s="192"/>
      <c r="D44" s="193"/>
      <c r="E44" s="193"/>
      <c r="F44" s="194" t="str">
        <f xml:space="preserve"> IF(UNMT0010_SQL_MIKOMI_STS=FALSE,"","
        OR V_MITSUMORI_LIST.STATUS_NUM = 4")</f>
        <v/>
      </c>
    </row>
    <row r="45" spans="1:9" s="200" customFormat="1" ht="26.25" customHeight="1">
      <c r="A45" s="128"/>
      <c r="B45" s="196" t="s">
        <v>646</v>
      </c>
      <c r="C45" s="197"/>
      <c r="D45" s="198"/>
      <c r="E45" s="198"/>
      <c r="F45" s="199" t="str">
        <f xml:space="preserve"> IF(UNMT0010_SQL_JUCHUSUMI_STS=FALSE,"","
        OR V_MITSUMORI_LIST.STATUS_NUM = 5")</f>
        <v/>
      </c>
    </row>
    <row r="46" spans="1:9" s="128" customFormat="1" ht="26.25" customHeight="1">
      <c r="B46" s="167" t="s">
        <v>647</v>
      </c>
      <c r="C46" s="163"/>
      <c r="D46" s="166"/>
      <c r="E46" s="516" t="str">
        <f>"   AND(
        " &amp;IF(AND(UNMT0010_SQL_FREEWD_1="",
                      UNMT0010_SQL_FREEWD_2="",
                      UNMT0010_SQL_FREEWD_3=""), "1=1",
                IF(UNMT0010_SQL_FREEWD_KBN=1,"1=1","1!=1") ) &amp;"
"
                &amp;UNMT0010_SQL_FREEWORD1
                &amp;UNMT0010_SQL_FREEWORD2
                &amp;UNMT0010_SQL_FREEWORD3 &amp;"
    )"</f>
        <v xml:space="preserve">   AND(
        1=1
    )</v>
      </c>
      <c r="F46" s="516"/>
      <c r="H46" s="168" t="s">
        <v>659</v>
      </c>
      <c r="I46" s="169" t="str">
        <f>LOOKUP(UNMT0010_SQL_FREEWD_KBN,{1,2,3;"AND","OR","OR"})</f>
        <v>OR</v>
      </c>
    </row>
    <row r="47" spans="1:9" s="128" customFormat="1" ht="26.25" customHeight="1">
      <c r="B47" s="167" t="s">
        <v>653</v>
      </c>
      <c r="C47" s="163" t="s">
        <v>656</v>
      </c>
      <c r="D47" s="166"/>
      <c r="E47" s="170"/>
      <c r="F47" s="171" t="str">
        <f xml:space="preserve">  IF(UNMT0010_SQL_FREEWD_1="", "",
  "      " &amp; $I$46&amp;"   V_MITSUMORI_LIST.FREEWD "
 &amp;IF(UNMT0010_SQL_FREEWD_KBN=3," NOT ", "") &amp;" LIKE " &amp;"'%" &amp;UNMT0010_SQL_FREEWD_1 &amp;"%'  
")</f>
        <v/>
      </c>
      <c r="H47" s="168"/>
      <c r="I47" s="157"/>
    </row>
    <row r="48" spans="1:9" s="128" customFormat="1" ht="26.25" customHeight="1">
      <c r="A48" s="190"/>
      <c r="B48" s="167" t="s">
        <v>654</v>
      </c>
      <c r="C48" s="163" t="s">
        <v>657</v>
      </c>
      <c r="D48" s="166"/>
      <c r="E48" s="170"/>
      <c r="F48" s="171" t="str">
        <f xml:space="preserve">  IF(UNMT0010_SQL_FREEWD_2="", "",
  "      " &amp; $I$46&amp;"   V_MITSUMORI_LIST.FREEWD "
 &amp;IF(UNMT0010_SQL_FREEWD_KBN=3," NOT ", "") &amp;" LIKE " &amp;"'%" &amp;UNMT0010_SQL_FREEWD_2 &amp;"%'  
")</f>
        <v/>
      </c>
    </row>
    <row r="49" spans="1:6" s="128" customFormat="1" ht="26.25" customHeight="1">
      <c r="A49" s="195"/>
      <c r="B49" s="167" t="s">
        <v>655</v>
      </c>
      <c r="C49" s="163" t="s">
        <v>658</v>
      </c>
      <c r="D49" s="166"/>
      <c r="E49" s="170"/>
      <c r="F49" s="171" t="str">
        <f xml:space="preserve">  IF(UNMT0010_SQL_FREEWD_3="", "",
  "      " &amp; $I$46&amp;"   V_MITSUMORI_LIST.FREEWD "
 &amp;IF(UNMT0010_SQL_FREEWD_KBN=3," NOT ", "") &amp;" LIKE " &amp;"'%" &amp;UNMT0010_SQL_FREEWD_3 &amp;"%'  
")</f>
        <v/>
      </c>
    </row>
    <row r="50" spans="1:6" s="128" customFormat="1" ht="26.25" customHeight="1">
      <c r="A50" s="195"/>
      <c r="B50" s="167" t="s">
        <v>681</v>
      </c>
      <c r="C50" s="163"/>
      <c r="D50" s="166"/>
      <c r="E50" s="519" t="str">
        <f>IF(UNMT0010_SQL_DEL_HYOJI_FLG=TRUE,"","
  AND V_MITSUMORI_LIST.DEL_FLG IS NULL  ")</f>
        <v xml:space="preserve">
  AND V_MITSUMORI_LIST.DEL_FLG IS NULL  </v>
      </c>
      <c r="F50" s="519"/>
    </row>
    <row r="51" spans="1:6" s="128" customFormat="1" ht="26.25" customHeight="1">
      <c r="A51" s="195"/>
      <c r="B51" s="167" t="s">
        <v>824</v>
      </c>
      <c r="C51" s="163"/>
      <c r="D51" s="166"/>
      <c r="E51" s="519" t="str">
        <f>IF(UNMT0010_SQL_NO_SHOHIN_CD_HYOJI_FLG=TRUE,"","
  AND V_MITSUMORI_LIST.MITSU_NO NOT IN
       (
             SELECT  T_MITSU_B.MITSU_NO
               FROM T_MITSU_B
              WHERE T_MITSU_B.SHOHIN_CD = ''
       )")</f>
        <v xml:space="preserve">
  AND V_MITSUMORI_LIST.MITSU_NO NOT IN
       (
             SELECT  T_MITSU_B.MITSU_NO
               FROM T_MITSU_B
              WHERE T_MITSU_B.SHOHIN_CD = ''
       )</v>
      </c>
      <c r="F51" s="519"/>
    </row>
    <row r="52" spans="1:6" s="128" customFormat="1" ht="26.25" customHeight="1">
      <c r="A52" s="195"/>
      <c r="B52" s="172" t="s">
        <v>589</v>
      </c>
      <c r="C52" s="126" t="s">
        <v>592</v>
      </c>
      <c r="E52" s="510"/>
      <c r="F52" s="514"/>
    </row>
    <row r="53" spans="1:6" s="128" customFormat="1" ht="26.25" customHeight="1">
      <c r="A53" s="200"/>
      <c r="B53" s="172" t="s">
        <v>590</v>
      </c>
      <c r="C53" s="126"/>
      <c r="E53" s="511" t="str">
        <f xml:space="preserve"> "
  OFFSET "&amp;(UNMT0010_B_PAGE_NO-1)&amp;"*"&amp;UNMT0010_B_CTRL_HYOJI_GYO_SU&amp;" ROWS
 FETCH NEXT "&amp;UNMT0010_B_CTRL_HYOJI_GYO_SU&amp;" ROWS ONLY"</f>
        <v xml:space="preserve">
  OFFSET 0*2 ROWS
 FETCH NEXT 2 ROWS ONLY</v>
      </c>
      <c r="F53" s="511"/>
    </row>
    <row r="54" spans="1:6" ht="26.25" customHeight="1">
      <c r="A54" s="128"/>
      <c r="B54" s="156" t="s">
        <v>650</v>
      </c>
      <c r="C54" s="135" t="s">
        <v>591</v>
      </c>
      <c r="D54" s="515" t="s">
        <v>969</v>
      </c>
      <c r="E54" s="515"/>
      <c r="F54" s="515"/>
    </row>
    <row r="55" spans="1:6" ht="26.25" customHeight="1">
      <c r="A55" s="128"/>
      <c r="B55" s="205" t="s">
        <v>679</v>
      </c>
      <c r="C55" s="145" t="s">
        <v>680</v>
      </c>
      <c r="D55" s="517" t="s">
        <v>852</v>
      </c>
      <c r="E55" s="518"/>
      <c r="F55" s="518"/>
    </row>
    <row r="56" spans="1:6" ht="26.25" customHeight="1">
      <c r="A56" s="128"/>
      <c r="B56" s="125"/>
      <c r="D56" s="320"/>
      <c r="E56" s="319"/>
      <c r="F56" s="319"/>
    </row>
    <row r="57" spans="1:6" ht="26.25" customHeight="1">
      <c r="A57" s="128"/>
    </row>
    <row r="58" spans="1:6" ht="26.25" customHeight="1">
      <c r="A58" s="128"/>
    </row>
    <row r="59" spans="1:6" ht="26.25" customHeight="1">
      <c r="A59" s="128"/>
    </row>
    <row r="60" spans="1:6" ht="26.25" customHeight="1">
      <c r="A60" s="128"/>
    </row>
  </sheetData>
  <mergeCells count="21">
    <mergeCell ref="E52:F52"/>
    <mergeCell ref="E53:F53"/>
    <mergeCell ref="D54:F54"/>
    <mergeCell ref="E46:F46"/>
    <mergeCell ref="D55:F55"/>
    <mergeCell ref="E50:F50"/>
    <mergeCell ref="E51:F51"/>
    <mergeCell ref="D26:F26"/>
    <mergeCell ref="D27:F27"/>
    <mergeCell ref="E40:F40"/>
    <mergeCell ref="E29:F29"/>
    <mergeCell ref="E30:F30"/>
    <mergeCell ref="E32:F32"/>
    <mergeCell ref="E34:F34"/>
    <mergeCell ref="E33:F33"/>
    <mergeCell ref="E35:F35"/>
    <mergeCell ref="E36:F36"/>
    <mergeCell ref="E37:F37"/>
    <mergeCell ref="E38:F38"/>
    <mergeCell ref="E39:F39"/>
    <mergeCell ref="D28:F28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T8"/>
  <sheetViews>
    <sheetView workbookViewId="0">
      <selection activeCell="AD22" sqref="AD22"/>
    </sheetView>
  </sheetViews>
  <sheetFormatPr defaultColWidth="3.5" defaultRowHeight="18.75"/>
  <cols>
    <col min="1" max="16384" width="3.5" style="1"/>
  </cols>
  <sheetData>
    <row r="1" spans="1:46" ht="18.75" customHeight="1">
      <c r="A1" s="8" t="s">
        <v>1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9"/>
      <c r="AH1" s="9"/>
      <c r="AI1" s="9"/>
      <c r="AJ1" s="10"/>
      <c r="AL1" s="10"/>
      <c r="AM1" s="10"/>
      <c r="AN1" s="10"/>
      <c r="AO1" s="10"/>
      <c r="AP1" s="10"/>
      <c r="AQ1" s="9"/>
      <c r="AR1" s="10"/>
      <c r="AS1" s="10"/>
      <c r="AT1" s="10"/>
    </row>
    <row r="2" spans="1:46" ht="4.5" customHeight="1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9"/>
      <c r="AH2" s="9"/>
      <c r="AI2" s="9"/>
      <c r="AJ2" s="10"/>
      <c r="AK2" s="10"/>
      <c r="AL2" s="10"/>
      <c r="AM2" s="10"/>
      <c r="AN2" s="10"/>
      <c r="AO2" s="10"/>
      <c r="AP2" s="10"/>
      <c r="AQ2" s="9"/>
      <c r="AR2" s="10"/>
      <c r="AS2" s="10"/>
      <c r="AT2" s="10"/>
    </row>
    <row r="3" spans="1:46" ht="18.75" customHeight="1">
      <c r="A3" s="8"/>
      <c r="B3" s="520" t="s">
        <v>2</v>
      </c>
      <c r="C3" s="521"/>
      <c r="D3" s="522"/>
      <c r="E3" s="8"/>
      <c r="F3" s="523" t="s">
        <v>3</v>
      </c>
      <c r="G3" s="524"/>
      <c r="H3" s="525"/>
      <c r="J3" s="520" t="s">
        <v>4</v>
      </c>
      <c r="K3" s="521"/>
      <c r="L3" s="522"/>
      <c r="M3" s="8"/>
      <c r="N3" s="520"/>
      <c r="O3" s="521"/>
      <c r="P3" s="522"/>
      <c r="Q3" s="8"/>
      <c r="R3" s="520" t="s">
        <v>89</v>
      </c>
      <c r="S3" s="521"/>
      <c r="T3" s="522"/>
      <c r="U3" s="8"/>
      <c r="V3" s="520"/>
      <c r="W3" s="521"/>
      <c r="X3" s="522"/>
      <c r="Y3" s="8"/>
      <c r="Z3" s="520"/>
      <c r="AA3" s="521"/>
      <c r="AB3" s="522"/>
      <c r="AC3" s="9"/>
      <c r="AD3" s="520"/>
      <c r="AE3" s="521"/>
      <c r="AF3" s="522"/>
      <c r="AH3" s="520" t="s">
        <v>5</v>
      </c>
      <c r="AI3" s="521"/>
      <c r="AJ3" s="522"/>
      <c r="AL3" s="520" t="s">
        <v>6</v>
      </c>
      <c r="AM3" s="521"/>
      <c r="AN3" s="522"/>
      <c r="AQ3" s="9"/>
      <c r="AR3" s="10"/>
      <c r="AS3" s="10"/>
      <c r="AT3" s="10"/>
    </row>
    <row r="4" spans="1:46" ht="4.5" customHeight="1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9"/>
      <c r="AB4" s="9"/>
      <c r="AC4" s="9"/>
      <c r="AD4" s="10"/>
      <c r="AE4" s="10"/>
      <c r="AF4" s="10"/>
      <c r="AH4" s="10"/>
      <c r="AI4" s="10"/>
      <c r="AJ4" s="10"/>
      <c r="AL4" s="10"/>
      <c r="AM4" s="10"/>
      <c r="AN4" s="10"/>
      <c r="AQ4" s="9"/>
      <c r="AR4" s="10"/>
      <c r="AS4" s="10"/>
      <c r="AT4" s="10"/>
    </row>
    <row r="5" spans="1:46" ht="18.75" customHeight="1">
      <c r="A5" s="8"/>
      <c r="B5" s="520" t="s">
        <v>7</v>
      </c>
      <c r="C5" s="521"/>
      <c r="D5" s="522"/>
      <c r="E5" s="8"/>
      <c r="F5" s="520" t="s">
        <v>8</v>
      </c>
      <c r="G5" s="521"/>
      <c r="H5" s="522"/>
      <c r="I5" s="8"/>
      <c r="J5" s="520" t="s">
        <v>9</v>
      </c>
      <c r="K5" s="521"/>
      <c r="L5" s="522"/>
      <c r="M5" s="8"/>
      <c r="N5" s="520"/>
      <c r="O5" s="521"/>
      <c r="P5" s="522"/>
      <c r="Q5" s="8"/>
      <c r="R5" s="520"/>
      <c r="S5" s="521"/>
      <c r="T5" s="522"/>
      <c r="U5" s="8"/>
      <c r="V5" s="520" t="s">
        <v>10</v>
      </c>
      <c r="W5" s="521"/>
      <c r="X5" s="522"/>
      <c r="Y5" s="8"/>
      <c r="Z5" s="520"/>
      <c r="AA5" s="521"/>
      <c r="AB5" s="522"/>
      <c r="AC5" s="9"/>
      <c r="AD5" s="520"/>
      <c r="AE5" s="521"/>
      <c r="AF5" s="522"/>
      <c r="AG5" s="8"/>
      <c r="AH5" s="520"/>
      <c r="AI5" s="521"/>
      <c r="AJ5" s="522"/>
      <c r="AK5" s="8"/>
      <c r="AL5" s="520" t="s">
        <v>11</v>
      </c>
      <c r="AM5" s="521"/>
      <c r="AN5" s="522"/>
      <c r="AQ5" s="9"/>
      <c r="AR5" s="10"/>
      <c r="AS5" s="10"/>
      <c r="AT5" s="10"/>
    </row>
    <row r="6" spans="1:46" ht="4.5" customHeight="1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9"/>
      <c r="AH6" s="9"/>
      <c r="AI6" s="9"/>
      <c r="AJ6" s="10"/>
      <c r="AK6" s="10"/>
      <c r="AL6" s="10"/>
      <c r="AM6" s="10"/>
      <c r="AN6" s="10"/>
      <c r="AO6" s="10"/>
      <c r="AP6" s="10"/>
      <c r="AQ6" s="9"/>
      <c r="AR6" s="10"/>
      <c r="AS6" s="10"/>
      <c r="AT6" s="10"/>
    </row>
    <row r="7" spans="1:46">
      <c r="AQ7" s="10"/>
      <c r="AR7" s="10"/>
      <c r="AS7" s="10"/>
      <c r="AT7" s="10"/>
    </row>
    <row r="8" spans="1:46">
      <c r="AQ8" s="10"/>
      <c r="AR8" s="10"/>
      <c r="AS8" s="10"/>
      <c r="AT8" s="10"/>
    </row>
  </sheetData>
  <mergeCells count="20">
    <mergeCell ref="V5:X5"/>
    <mergeCell ref="B3:D3"/>
    <mergeCell ref="F3:H3"/>
    <mergeCell ref="J3:L3"/>
    <mergeCell ref="N3:P3"/>
    <mergeCell ref="R3:T3"/>
    <mergeCell ref="V3:X3"/>
    <mergeCell ref="B5:D5"/>
    <mergeCell ref="F5:H5"/>
    <mergeCell ref="J5:L5"/>
    <mergeCell ref="N5:P5"/>
    <mergeCell ref="R5:T5"/>
    <mergeCell ref="Z5:AB5"/>
    <mergeCell ref="AD5:AF5"/>
    <mergeCell ref="AH5:AJ5"/>
    <mergeCell ref="AL5:AN5"/>
    <mergeCell ref="Z3:AB3"/>
    <mergeCell ref="AD3:AF3"/>
    <mergeCell ref="AH3:AJ3"/>
    <mergeCell ref="AL3:AN3"/>
  </mergeCells>
  <phoneticPr fontId="2"/>
  <pageMargins left="0.70866141732283472" right="0.70866141732283472" top="0.74803149606299213" bottom="0.6692913385826772" header="0.31496062992125984" footer="0.31496062992125984"/>
  <pageSetup paperSize="8" orientation="landscape" r:id="rId1"/>
  <headerFooter>
    <oddFooter xml:space="preserve">&amp;C&amp;P/&amp;N&amp;ROA Promotion Center.Co.,Ltd.All Rights Reserved.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</sheetPr>
  <dimension ref="A1:U25"/>
  <sheetViews>
    <sheetView showGridLines="0" showRowColHeaders="0" topLeftCell="H1" zoomScaleNormal="100" workbookViewId="0">
      <selection activeCell="J3" sqref="J3"/>
    </sheetView>
  </sheetViews>
  <sheetFormatPr defaultRowHeight="16.5"/>
  <cols>
    <col min="1" max="1" width="4.625" style="159" hidden="1" customWidth="1"/>
    <col min="2" max="2" width="16.75" style="51" hidden="1" customWidth="1"/>
    <col min="3" max="3" width="31.75" style="51" hidden="1" customWidth="1"/>
    <col min="4" max="4" width="18.125" style="51" hidden="1" customWidth="1"/>
    <col min="5" max="5" width="9" style="51" hidden="1" customWidth="1"/>
    <col min="6" max="6" width="9" style="102" hidden="1" customWidth="1"/>
    <col min="7" max="7" width="5.5" style="51" hidden="1" customWidth="1"/>
    <col min="8" max="8" width="3.375" style="3" customWidth="1"/>
    <col min="9" max="12" width="11.75" style="3" customWidth="1"/>
    <col min="13" max="16" width="6" style="3" customWidth="1"/>
    <col min="17" max="20" width="11.75" style="3" customWidth="1"/>
    <col min="21" max="21" width="13.125" style="3" bestFit="1" customWidth="1"/>
    <col min="22" max="22" width="3.625" style="3" customWidth="1"/>
    <col min="23" max="16384" width="9" style="3"/>
  </cols>
  <sheetData>
    <row r="1" spans="1:21" s="2" customFormat="1" ht="19.5">
      <c r="A1" s="321"/>
      <c r="B1" s="51"/>
      <c r="C1" s="51"/>
      <c r="D1" s="51"/>
      <c r="E1" s="74"/>
      <c r="F1" s="74"/>
      <c r="G1" s="74"/>
      <c r="H1" s="2" t="str">
        <f>"見積入力（"&amp;IF(UNMT0020_H_MODE_KBN=2,"単価","通常")&amp;"）"</f>
        <v>見積入力（通常）</v>
      </c>
      <c r="K1" s="2" t="str">
        <f>"【"&amp;IF(UNMT0020_IF_MODE=1,"新規登録",IF(UNMT0020_IF_MODE=2,"修正","参照"))&amp;"モード】"</f>
        <v>【参照モード】</v>
      </c>
    </row>
    <row r="3" spans="1:21">
      <c r="B3" s="51" t="s">
        <v>100</v>
      </c>
      <c r="C3" s="51" t="s">
        <v>114</v>
      </c>
      <c r="D3" s="51" t="str">
        <f>ADDRESS(ROW(I3),COLUMN(I3))&amp;":"&amp;ADDRESS(ROW(U14),COLUMN(U14))</f>
        <v>$I$3:$U$14</v>
      </c>
      <c r="I3" s="23" t="s">
        <v>99</v>
      </c>
      <c r="J3" s="54">
        <f ca="1">DATE(YEAR(TODAY()),MONTH(TODAY()),DAY(TODAY()))</f>
        <v>43005</v>
      </c>
      <c r="K3" s="112"/>
      <c r="L3" s="23" t="s">
        <v>965</v>
      </c>
      <c r="M3" s="532" t="s">
        <v>861</v>
      </c>
      <c r="N3" s="533"/>
      <c r="O3" s="112"/>
      <c r="P3" s="112"/>
      <c r="Q3" s="23" t="s">
        <v>69</v>
      </c>
      <c r="R3" s="55"/>
      <c r="S3" s="112"/>
      <c r="T3" s="6" t="s">
        <v>36</v>
      </c>
      <c r="U3" s="56"/>
    </row>
    <row r="4" spans="1:21">
      <c r="I4" s="6" t="s">
        <v>19</v>
      </c>
      <c r="J4" s="17"/>
      <c r="K4" s="112"/>
      <c r="L4" s="23" t="s">
        <v>97</v>
      </c>
      <c r="M4" s="534"/>
      <c r="N4" s="535"/>
      <c r="O4" s="112"/>
      <c r="P4" s="112"/>
      <c r="Q4" s="6" t="s">
        <v>37</v>
      </c>
      <c r="R4" s="17"/>
      <c r="S4" s="112"/>
      <c r="T4" s="112"/>
      <c r="U4" s="112"/>
    </row>
    <row r="5" spans="1:21">
      <c r="B5" s="51" t="s">
        <v>105</v>
      </c>
      <c r="C5" s="51" t="s">
        <v>115</v>
      </c>
      <c r="D5" s="73">
        <v>1</v>
      </c>
      <c r="E5" s="51" t="s">
        <v>930</v>
      </c>
      <c r="I5" s="6"/>
      <c r="J5" s="112"/>
      <c r="K5" s="112"/>
      <c r="L5" s="112"/>
      <c r="M5" s="112"/>
      <c r="N5" s="112"/>
      <c r="O5" s="112"/>
      <c r="P5" s="112"/>
      <c r="Q5" s="6"/>
      <c r="R5" s="112"/>
      <c r="S5" s="112"/>
      <c r="T5" s="112"/>
      <c r="U5" s="112"/>
    </row>
    <row r="6" spans="1:21" ht="16.5" customHeight="1">
      <c r="B6" s="51" t="s">
        <v>101</v>
      </c>
      <c r="C6" s="51" t="s">
        <v>116</v>
      </c>
      <c r="D6" s="73">
        <f ca="1">IF(UNMT0020_H_STS="","",VLOOKUP(UNMT0020_H_STS,OFFSET(UNMT0020_IF_LIST_STS_START,,,IF(UNMT0020_IF_LIST_STS_KENSU=0,1,UNMT0020_IF_LIST_STS_KENSU),2),2,0))</f>
        <v>2</v>
      </c>
      <c r="I6" s="6" t="s">
        <v>73</v>
      </c>
      <c r="J6" s="57"/>
      <c r="K6" s="112"/>
      <c r="L6" s="112"/>
      <c r="M6" s="112"/>
      <c r="N6" s="112"/>
      <c r="O6" s="112"/>
      <c r="P6" s="112"/>
      <c r="Q6" s="6" t="s">
        <v>38</v>
      </c>
      <c r="R6" s="536"/>
      <c r="S6" s="537"/>
      <c r="T6" s="537"/>
      <c r="U6" s="538"/>
    </row>
    <row r="7" spans="1:21">
      <c r="B7" s="51" t="s">
        <v>103</v>
      </c>
      <c r="C7" s="51" t="s">
        <v>117</v>
      </c>
      <c r="D7" s="73"/>
      <c r="I7" s="23" t="s">
        <v>39</v>
      </c>
      <c r="J7" s="505"/>
      <c r="K7" s="506"/>
      <c r="L7" s="506"/>
      <c r="M7" s="506"/>
      <c r="N7" s="507"/>
      <c r="O7" s="112"/>
      <c r="P7" s="112"/>
      <c r="Q7" s="6"/>
      <c r="R7" s="539"/>
      <c r="S7" s="540"/>
      <c r="T7" s="540"/>
      <c r="U7" s="541"/>
    </row>
    <row r="8" spans="1:21">
      <c r="B8" s="51" t="s">
        <v>102</v>
      </c>
      <c r="C8" s="51" t="s">
        <v>118</v>
      </c>
      <c r="D8" s="73"/>
      <c r="I8" s="6" t="s">
        <v>95</v>
      </c>
      <c r="J8" s="505"/>
      <c r="K8" s="507"/>
      <c r="L8" s="112"/>
      <c r="M8" s="6" t="s">
        <v>841</v>
      </c>
      <c r="N8" s="56" t="s">
        <v>855</v>
      </c>
      <c r="O8" s="112"/>
      <c r="P8" s="112"/>
      <c r="Q8" s="23" t="s">
        <v>93</v>
      </c>
      <c r="R8" s="55"/>
      <c r="S8" s="112"/>
      <c r="T8" s="112"/>
      <c r="U8" s="112"/>
    </row>
    <row r="9" spans="1:21">
      <c r="B9" s="51" t="s">
        <v>104</v>
      </c>
      <c r="C9" s="51" t="s">
        <v>119</v>
      </c>
      <c r="D9" s="73"/>
      <c r="I9" s="6"/>
      <c r="J9" s="112"/>
      <c r="K9" s="112"/>
      <c r="L9" s="112"/>
      <c r="M9" s="112"/>
      <c r="N9" s="112"/>
      <c r="O9" s="112"/>
      <c r="P9" s="112"/>
      <c r="Q9" s="6"/>
      <c r="R9" s="112"/>
      <c r="S9" s="112"/>
      <c r="T9" s="6" t="s">
        <v>40</v>
      </c>
      <c r="U9" s="58"/>
    </row>
    <row r="10" spans="1:21">
      <c r="B10" s="51" t="s">
        <v>106</v>
      </c>
      <c r="C10" s="51" t="s">
        <v>490</v>
      </c>
      <c r="D10" s="297">
        <v>1</v>
      </c>
      <c r="E10" s="294" t="s">
        <v>829</v>
      </c>
      <c r="F10" s="296" t="s">
        <v>830</v>
      </c>
      <c r="H10" s="112"/>
      <c r="I10" s="6" t="s">
        <v>1035</v>
      </c>
      <c r="J10" s="544"/>
      <c r="K10" s="545"/>
      <c r="L10" s="545"/>
      <c r="M10" s="545"/>
      <c r="N10" s="545"/>
      <c r="O10" s="545"/>
      <c r="P10" s="545"/>
      <c r="Q10" s="545"/>
      <c r="R10" s="545"/>
      <c r="S10" s="546"/>
      <c r="T10" s="6" t="s">
        <v>41</v>
      </c>
      <c r="U10" s="11"/>
    </row>
    <row r="11" spans="1:21">
      <c r="B11" s="51" t="s">
        <v>107</v>
      </c>
      <c r="C11" s="51" t="s">
        <v>483</v>
      </c>
      <c r="D11" s="298" t="b">
        <v>1</v>
      </c>
      <c r="E11" s="295"/>
      <c r="F11" s="296"/>
      <c r="H11" s="112"/>
      <c r="I11" s="6"/>
      <c r="J11" s="547"/>
      <c r="K11" s="548"/>
      <c r="L11" s="548"/>
      <c r="M11" s="548"/>
      <c r="N11" s="548"/>
      <c r="O11" s="548"/>
      <c r="P11" s="548"/>
      <c r="Q11" s="548"/>
      <c r="R11" s="548"/>
      <c r="S11" s="549"/>
      <c r="T11" s="6" t="s">
        <v>42</v>
      </c>
      <c r="U11" s="11"/>
    </row>
    <row r="12" spans="1:21">
      <c r="B12" s="51" t="s">
        <v>456</v>
      </c>
      <c r="C12" s="51" t="s">
        <v>120</v>
      </c>
      <c r="D12" s="298" t="b">
        <v>0</v>
      </c>
      <c r="E12" s="294"/>
      <c r="F12" s="296"/>
      <c r="H12" s="112"/>
      <c r="I12" s="6"/>
      <c r="J12" s="112"/>
      <c r="K12" s="112"/>
      <c r="L12" s="112"/>
      <c r="M12" s="112"/>
      <c r="N12" s="112"/>
      <c r="O12" s="112"/>
      <c r="P12" s="112"/>
      <c r="Q12" s="6"/>
      <c r="R12" s="112"/>
      <c r="S12" s="112"/>
      <c r="T12" s="6" t="s">
        <v>43</v>
      </c>
      <c r="U12" s="11"/>
    </row>
    <row r="13" spans="1:21">
      <c r="B13" s="51" t="s">
        <v>108</v>
      </c>
      <c r="C13" s="51" t="s">
        <v>121</v>
      </c>
      <c r="D13" s="298" t="b">
        <v>1</v>
      </c>
      <c r="E13" s="294"/>
      <c r="F13" s="296"/>
      <c r="I13" s="6" t="s">
        <v>74</v>
      </c>
      <c r="J13" s="542"/>
      <c r="K13" s="543"/>
      <c r="L13" s="112"/>
      <c r="M13" s="112"/>
      <c r="N13" s="112"/>
      <c r="O13" s="112"/>
      <c r="P13" s="112"/>
      <c r="Q13" s="6" t="s">
        <v>76</v>
      </c>
      <c r="R13" s="526"/>
      <c r="S13" s="527"/>
      <c r="T13" s="6" t="s">
        <v>48</v>
      </c>
      <c r="U13" s="11"/>
    </row>
    <row r="14" spans="1:21">
      <c r="B14" s="51" t="s">
        <v>109</v>
      </c>
      <c r="C14" s="51" t="s">
        <v>122</v>
      </c>
      <c r="D14" s="298" t="b">
        <v>0</v>
      </c>
      <c r="E14" s="294"/>
      <c r="F14" s="296"/>
      <c r="I14" s="6" t="s">
        <v>75</v>
      </c>
      <c r="J14" s="526"/>
      <c r="K14" s="527"/>
      <c r="L14" s="112"/>
      <c r="M14" s="112"/>
      <c r="N14" s="112"/>
      <c r="O14" s="112"/>
      <c r="P14" s="112"/>
      <c r="Q14" s="6" t="s">
        <v>77</v>
      </c>
      <c r="R14" s="526"/>
      <c r="S14" s="527"/>
      <c r="T14" s="112"/>
      <c r="U14" s="112"/>
    </row>
    <row r="15" spans="1:21">
      <c r="B15" s="51" t="s">
        <v>110</v>
      </c>
      <c r="C15" s="51" t="s">
        <v>123</v>
      </c>
      <c r="D15" s="298" t="b">
        <v>0</v>
      </c>
      <c r="E15" s="294" t="s">
        <v>829</v>
      </c>
      <c r="F15" s="296"/>
      <c r="I15" s="112"/>
      <c r="J15" s="7"/>
      <c r="K15" s="112"/>
      <c r="L15" s="112"/>
      <c r="M15" s="112"/>
      <c r="N15" s="112"/>
      <c r="O15" s="112"/>
      <c r="P15" s="112"/>
      <c r="Q15" s="112"/>
      <c r="R15" s="112"/>
      <c r="S15" s="112"/>
    </row>
    <row r="16" spans="1:21">
      <c r="B16" s="51" t="s">
        <v>826</v>
      </c>
      <c r="C16" s="102" t="s">
        <v>827</v>
      </c>
      <c r="D16" s="299">
        <v>3</v>
      </c>
      <c r="F16" s="296" t="s">
        <v>830</v>
      </c>
      <c r="I16" s="112"/>
      <c r="J16" s="86" t="s">
        <v>78</v>
      </c>
      <c r="K16" s="86" t="s">
        <v>28</v>
      </c>
      <c r="L16" s="86" t="s">
        <v>44</v>
      </c>
      <c r="M16" s="528" t="s">
        <v>45</v>
      </c>
      <c r="N16" s="529"/>
      <c r="O16" s="528" t="s">
        <v>46</v>
      </c>
      <c r="P16" s="529"/>
      <c r="Q16" s="86" t="s">
        <v>29</v>
      </c>
      <c r="R16" s="86" t="s">
        <v>47</v>
      </c>
      <c r="S16" s="112"/>
    </row>
    <row r="17" spans="2:19">
      <c r="D17" s="51" t="s">
        <v>828</v>
      </c>
      <c r="I17" s="112"/>
      <c r="J17" s="41">
        <f>UNMT0020_H_TAX_RATE</f>
        <v>0</v>
      </c>
      <c r="K17" s="42">
        <f ca="1">IF(UNMT0020_B_GYO_COUNT=0,0,
IF(UNMT0020_H_SEIKYUSAKI_HASU=1,ROUNDDOWN(SUMIF(OFFSET(UNMT0020_B_SHOHIN_CD,1,0,UNMT0020_B_GYO_COUNT),"&lt;&gt;subtotal",OFFSET(UNMT0020_B_KINGAKU,1,0,UNMT0020_B_GYO_COUNT)),0),
IF(UNMT0020_H_SEIKYUSAKI_HASU=2,ROUNDUP(SUMIF(OFFSET(UNMT0020_B_SHOHIN_CD,1,0,UNMT0020_B_GYO_COUNT),"&lt;&gt;subtotal",OFFSET(UNMT0020_B_KINGAKU,1,0,UNMT0020_B_GYO_COUNT)),0),
ROUND(SUMIF(OFFSET(UNMT0020_B_SHOHIN_CD,1,0,UNMT0020_B_GYO_COUNT),"&lt;&gt;subtotal",OFFSET(UNMT0020_B_KINGAKU,1,0,UNMT0020_B_GYO_COUNT)),0))))</f>
        <v>0</v>
      </c>
      <c r="L17" s="42">
        <f>IF(UNMT0020_B_GYO_COUNT=0,0,ROUNDDOWN(UNMT0020_H_NUKI_TOTAL*UNMT0020_H_TAX_RATE,0))</f>
        <v>0</v>
      </c>
      <c r="M17" s="530">
        <f>IF(UNMT0020_B_GYO_COUNT=0,0,UNMT0020_H_NUKI_TOTAL+UNMT0020_H_TAX)</f>
        <v>0</v>
      </c>
      <c r="N17" s="531"/>
      <c r="O17" s="530">
        <f ca="1">IF(UNMT0020_B_GYO_COUNT=0,0,ROUND(SUMIF(OFFSET(UNMT0020_B_SHOHIN_CD,1,0,UNMT0020_B_GYO_COUNT),"&lt;&gt;subtotal",OFFSET(UNMT0020_B_GENKA,1,0,UNMT0020_B_GYO_COUNT)),0))</f>
        <v>0</v>
      </c>
      <c r="P17" s="531"/>
      <c r="Q17" s="42">
        <f>IF(UNMT0020_B_GYO_COUNT=0,0,UNMT0020_H_NUKI_TOTAL-UNMT0020_H_GENKA_TOTAL)</f>
        <v>0</v>
      </c>
      <c r="R17" s="43">
        <f>IF(UNMT0020_B_GYO_COUNT=0,0,IF(ISERROR(UNMT0020_H_ARARIEKI/UNMT0020_H_NUKI_TOTAL)=TRUE,0,UNMT0020_H_ARARIEKI/UNMT0020_H_NUKI_TOTAL))</f>
        <v>0</v>
      </c>
      <c r="S17" s="112"/>
    </row>
    <row r="18" spans="2:19" ht="17.25" customHeight="1"/>
    <row r="19" spans="2:19">
      <c r="B19" s="51" t="s">
        <v>243</v>
      </c>
      <c r="C19" s="51" t="s">
        <v>260</v>
      </c>
      <c r="D19" s="75"/>
    </row>
    <row r="20" spans="2:19">
      <c r="B20" s="51" t="s">
        <v>111</v>
      </c>
      <c r="C20" s="51" t="s">
        <v>124</v>
      </c>
      <c r="D20" s="73"/>
    </row>
    <row r="24" spans="2:19">
      <c r="B24" s="51" t="s">
        <v>475</v>
      </c>
      <c r="C24" s="52" t="s">
        <v>479</v>
      </c>
      <c r="D24" s="73"/>
    </row>
    <row r="25" spans="2:19">
      <c r="B25" s="51" t="s">
        <v>476</v>
      </c>
      <c r="C25" s="52" t="s">
        <v>480</v>
      </c>
      <c r="D25" s="73" t="str">
        <f>ADDRESS(ROW(A1),COLUMN(A1))&amp;":"&amp;ADDRESS(ROW(G1),COLUMN(G1))</f>
        <v>$A$1:$G$1</v>
      </c>
    </row>
  </sheetData>
  <sheetProtection sheet="1" objects="1" scenarios="1" selectLockedCells="1"/>
  <mergeCells count="14">
    <mergeCell ref="M3:N3"/>
    <mergeCell ref="M4:N4"/>
    <mergeCell ref="R6:U7"/>
    <mergeCell ref="J8:K8"/>
    <mergeCell ref="J13:K13"/>
    <mergeCell ref="R13:S13"/>
    <mergeCell ref="J7:N7"/>
    <mergeCell ref="J10:S11"/>
    <mergeCell ref="J14:K14"/>
    <mergeCell ref="R14:S14"/>
    <mergeCell ref="M16:N16"/>
    <mergeCell ref="O16:P16"/>
    <mergeCell ref="M17:N17"/>
    <mergeCell ref="O17:P17"/>
  </mergeCells>
  <phoneticPr fontId="2"/>
  <conditionalFormatting sqref="H1:XFD1">
    <cfRule type="expression" dxfId="118" priority="1">
      <formula>UNMT0020_IF_MODE=2</formula>
    </cfRule>
  </conditionalFormatting>
  <dataValidations count="8">
    <dataValidation type="custom" allowBlank="1" showInputMessage="1" showErrorMessage="1" sqref="R6:U7">
      <formula1>LENB(R6)&lt;=100</formula1>
    </dataValidation>
    <dataValidation type="custom" allowBlank="1" showInputMessage="1" showErrorMessage="1" sqref="J6">
      <formula1>AND(LEN(J6)=LENB(J6),LEN(J6)&lt;=10)</formula1>
    </dataValidation>
    <dataValidation type="custom" allowBlank="1" showInputMessage="1" showErrorMessage="1" sqref="J7:N7">
      <formula1>LEN(J7)&lt;=50</formula1>
    </dataValidation>
    <dataValidation type="custom" allowBlank="1" showInputMessage="1" showErrorMessage="1" sqref="J8:K8">
      <formula1>LENB(J7)&lt;=40</formula1>
    </dataValidation>
    <dataValidation type="date" operator="greaterThanOrEqual" allowBlank="1" showInputMessage="1" showErrorMessage="1" sqref="J3">
      <formula1>1</formula1>
    </dataValidation>
    <dataValidation type="custom" allowBlank="1" showInputMessage="1" showErrorMessage="1" sqref="R13:S14 J13:K14">
      <formula1>LENB(J13)&lt;=40</formula1>
    </dataValidation>
    <dataValidation type="list" allowBlank="1" showInputMessage="1" showErrorMessage="1" sqref="M3:N3">
      <formula1>UNMT0020_IF_LIST_STS</formula1>
    </dataValidation>
    <dataValidation type="list" allowBlank="1" showInputMessage="1" sqref="N8">
      <formula1>UNMT0020_IF_LIST_KEISHO</formula1>
    </dataValidation>
  </dataValidations>
  <pageMargins left="0.7" right="0.7" top="0.75" bottom="0.75" header="0.3" footer="0.3"/>
  <pageSetup paperSize="9" scale="64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Option Button 1">
              <controlPr defaultSize="0" autoFill="0" autoLine="0" autoPict="0">
                <anchor moveWithCells="1">
                  <from>
                    <xdr:col>20</xdr:col>
                    <xdr:colOff>19050</xdr:colOff>
                    <xdr:row>2</xdr:row>
                    <xdr:rowOff>19050</xdr:rowOff>
                  </from>
                  <to>
                    <xdr:col>20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5" name="Option Button 3">
              <controlPr defaultSize="0" autoFill="0" autoLine="0" autoPict="0">
                <anchor moveWithCells="1">
                  <from>
                    <xdr:col>20</xdr:col>
                    <xdr:colOff>514350</xdr:colOff>
                    <xdr:row>2</xdr:row>
                    <xdr:rowOff>9525</xdr:rowOff>
                  </from>
                  <to>
                    <xdr:col>20</xdr:col>
                    <xdr:colOff>952500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4" r:id="rId6" name="Group Box 4">
              <controlPr defaultSize="0" autoFill="0" autoPict="0">
                <anchor moveWithCells="1">
                  <from>
                    <xdr:col>19</xdr:col>
                    <xdr:colOff>866775</xdr:colOff>
                    <xdr:row>1</xdr:row>
                    <xdr:rowOff>114300</xdr:rowOff>
                  </from>
                  <to>
                    <xdr:col>21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5" r:id="rId7" name="Check Box 5">
              <controlPr defaultSize="0" autoFill="0" autoLine="0" autoPict="0">
                <anchor moveWithCells="1">
                  <from>
                    <xdr:col>20</xdr:col>
                    <xdr:colOff>19050</xdr:colOff>
                    <xdr:row>8</xdr:row>
                    <xdr:rowOff>28575</xdr:rowOff>
                  </from>
                  <to>
                    <xdr:col>20</xdr:col>
                    <xdr:colOff>733425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6" r:id="rId8" name="Check Box 6">
              <controlPr defaultSize="0" autoFill="0" autoLine="0" autoPict="0">
                <anchor moveWithCells="1">
                  <from>
                    <xdr:col>20</xdr:col>
                    <xdr:colOff>19050</xdr:colOff>
                    <xdr:row>9</xdr:row>
                    <xdr:rowOff>19050</xdr:rowOff>
                  </from>
                  <to>
                    <xdr:col>20</xdr:col>
                    <xdr:colOff>733425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7" r:id="rId9" name="Check Box 7">
              <controlPr defaultSize="0" autoFill="0" autoLine="0" autoPict="0">
                <anchor moveWithCells="1">
                  <from>
                    <xdr:col>20</xdr:col>
                    <xdr:colOff>19050</xdr:colOff>
                    <xdr:row>10</xdr:row>
                    <xdr:rowOff>19050</xdr:rowOff>
                  </from>
                  <to>
                    <xdr:col>20</xdr:col>
                    <xdr:colOff>733425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8" r:id="rId10" name="Check Box 8">
              <controlPr defaultSize="0" autoFill="0" autoLine="0" autoPict="0">
                <anchor moveWithCells="1">
                  <from>
                    <xdr:col>20</xdr:col>
                    <xdr:colOff>19050</xdr:colOff>
                    <xdr:row>11</xdr:row>
                    <xdr:rowOff>19050</xdr:rowOff>
                  </from>
                  <to>
                    <xdr:col>20</xdr:col>
                    <xdr:colOff>733425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9" r:id="rId11" name="Check Box 9">
              <controlPr defaultSize="0" autoFill="0" autoLine="0" autoPict="0">
                <anchor moveWithCells="1">
                  <from>
                    <xdr:col>20</xdr:col>
                    <xdr:colOff>19050</xdr:colOff>
                    <xdr:row>12</xdr:row>
                    <xdr:rowOff>28575</xdr:rowOff>
                  </from>
                  <to>
                    <xdr:col>20</xdr:col>
                    <xdr:colOff>733425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C000"/>
  </sheetPr>
  <dimension ref="A1:AN72"/>
  <sheetViews>
    <sheetView showGridLines="0" showRowColHeaders="0" topLeftCell="K17" zoomScaleNormal="100" zoomScaleSheetLayoutView="85" workbookViewId="0">
      <selection sqref="A1:J1 M17 AB17:AD17"/>
    </sheetView>
  </sheetViews>
  <sheetFormatPr defaultRowHeight="16.5"/>
  <cols>
    <col min="1" max="1" width="9" style="51" hidden="1" customWidth="1"/>
    <col min="2" max="2" width="17.375" style="51" hidden="1" customWidth="1"/>
    <col min="3" max="3" width="16.875" style="51" hidden="1" customWidth="1"/>
    <col min="4" max="5" width="9" style="51" hidden="1" customWidth="1"/>
    <col min="6" max="6" width="17.375" style="51" hidden="1" customWidth="1"/>
    <col min="7" max="7" width="14.75" style="51" hidden="1" customWidth="1"/>
    <col min="8" max="10" width="9" style="51" hidden="1" customWidth="1"/>
    <col min="11" max="12" width="3.375" style="3" customWidth="1"/>
    <col min="13" max="13" width="6.375" style="3" hidden="1" customWidth="1"/>
    <col min="14" max="14" width="12.25" style="3" customWidth="1"/>
    <col min="15" max="15" width="28.25" style="149" customWidth="1"/>
    <col min="16" max="16" width="9" style="3" customWidth="1"/>
    <col min="17" max="17" width="7.125" style="3" customWidth="1"/>
    <col min="18" max="18" width="10.5" style="3" bestFit="1" customWidth="1"/>
    <col min="19" max="19" width="11.75" style="3" customWidth="1"/>
    <col min="20" max="20" width="26.5" style="149" customWidth="1"/>
    <col min="21" max="21" width="10.5" style="3" bestFit="1" customWidth="1"/>
    <col min="22" max="22" width="9" style="3" customWidth="1"/>
    <col min="23" max="23" width="11.75" style="3" customWidth="1"/>
    <col min="24" max="24" width="7.75" style="3" customWidth="1"/>
    <col min="25" max="25" width="11.75" style="3" customWidth="1"/>
    <col min="26" max="26" width="13" style="3" bestFit="1" customWidth="1"/>
    <col min="27" max="27" width="45.625" style="3" bestFit="1" customWidth="1"/>
    <col min="28" max="28" width="7.625" style="3" hidden="1" customWidth="1"/>
    <col min="29" max="30" width="8" style="3" hidden="1" customWidth="1"/>
    <col min="31" max="16384" width="9" style="3"/>
  </cols>
  <sheetData>
    <row r="1" spans="1:15" hidden="1"/>
    <row r="2" spans="1:15" hidden="1"/>
    <row r="3" spans="1:15" hidden="1"/>
    <row r="4" spans="1:15" hidden="1">
      <c r="B4" s="51" t="s">
        <v>256</v>
      </c>
      <c r="C4" s="52" t="s">
        <v>257</v>
      </c>
      <c r="D4" s="73" t="str">
        <f>ADDRESS(ROW(UNMT0020_B_GYO)+1,COLUMN(UNMT0020_B_GYO))</f>
        <v>$L$18</v>
      </c>
      <c r="F4" s="51" t="s">
        <v>475</v>
      </c>
      <c r="G4" s="52" t="s">
        <v>477</v>
      </c>
      <c r="H4" s="73" t="str">
        <f>ROW(A1)&amp;":"&amp;ROW(A16)</f>
        <v>1:16</v>
      </c>
    </row>
    <row r="5" spans="1:15" hidden="1">
      <c r="F5" s="51" t="s">
        <v>476</v>
      </c>
      <c r="G5" s="52" t="s">
        <v>478</v>
      </c>
      <c r="H5" s="73" t="str">
        <f>ADDRESS(ROW(A1),COLUMN(A1))&amp;":"&amp;ADDRESS(ROW(J1),COLUMN(J1))&amp;","&amp;ADDRESS(ROW(UNMT0020_B_ROW_KBN),COLUMN(UNMT0020_B_ROW_KBN))&amp;","&amp;ADDRESS(ROW(UNMT0020_B_MITSU_NO),COLUMN(UNMT0020_B_MITSU_NO))&amp;":"&amp;ADDRESS(ROW(UNMT0020_B_SUBTOTAL_AREA),COLUMN(UNMT0020_B_SUBTOTAL_AREA))</f>
        <v>$A$1:$J$1,$M$17,$AB$17:$AD$17</v>
      </c>
    </row>
    <row r="6" spans="1:15" hidden="1">
      <c r="B6" s="51" t="s">
        <v>219</v>
      </c>
      <c r="C6" s="52" t="s">
        <v>222</v>
      </c>
      <c r="D6" s="73"/>
    </row>
    <row r="7" spans="1:15" hidden="1">
      <c r="B7" s="51" t="s">
        <v>224</v>
      </c>
      <c r="C7" s="52" t="s">
        <v>220</v>
      </c>
      <c r="D7" s="73">
        <f>IF(D6="",1,D6+1)</f>
        <v>1</v>
      </c>
      <c r="F7" s="51" t="s">
        <v>481</v>
      </c>
      <c r="G7" s="52" t="s">
        <v>482</v>
      </c>
      <c r="H7" s="73" t="str">
        <f ca="1">ADDRESS(ROW(INDIRECT(UNMT0020_B_LIST_START)),COLUMN(UNMT0020_B_SURYO))</f>
        <v>$P$18</v>
      </c>
    </row>
    <row r="8" spans="1:15" hidden="1">
      <c r="B8" s="51" t="s">
        <v>223</v>
      </c>
      <c r="C8" s="52" t="s">
        <v>221</v>
      </c>
      <c r="D8" s="73">
        <f>D6-1</f>
        <v>-1</v>
      </c>
    </row>
    <row r="9" spans="1:15" hidden="1"/>
    <row r="10" spans="1:15" hidden="1">
      <c r="B10" s="51" t="s">
        <v>259</v>
      </c>
      <c r="C10" s="52" t="s">
        <v>318</v>
      </c>
      <c r="D10" s="118" t="str">
        <f>IF(UNMT0020_IF_ACTIVE_ROW="","",ADDRESS(UNMT0020_IF_ACTIVE_ROW,COLUMN(UNMT0020_B_SHOHIN_CD)))</f>
        <v/>
      </c>
    </row>
    <row r="11" spans="1:15" hidden="1">
      <c r="B11" s="329" t="s">
        <v>815</v>
      </c>
      <c r="C11" s="330" t="s">
        <v>818</v>
      </c>
      <c r="D11" s="331"/>
    </row>
    <row r="12" spans="1:15" hidden="1">
      <c r="A12" s="102"/>
      <c r="B12" s="329" t="s">
        <v>816</v>
      </c>
      <c r="C12" s="330" t="s">
        <v>819</v>
      </c>
      <c r="D12" s="331"/>
      <c r="E12" s="102"/>
      <c r="I12" s="102"/>
      <c r="J12" s="102"/>
    </row>
    <row r="13" spans="1:15" hidden="1">
      <c r="A13" s="102"/>
      <c r="B13" s="329" t="s">
        <v>817</v>
      </c>
      <c r="C13" s="330" t="s">
        <v>820</v>
      </c>
      <c r="D13" s="331">
        <f>IF(UNMT0020_B_AITE_SHOHIN_MEI_BUF&lt;&gt;"",UNMT0020_B_AITE_SHOHIN_MEI_BUF,UNMT0020_B_SHOHIN_MEI_BUF)</f>
        <v>0</v>
      </c>
      <c r="E13" s="102"/>
      <c r="F13" s="102"/>
      <c r="G13" s="102"/>
      <c r="H13" s="102"/>
      <c r="I13" s="102"/>
      <c r="J13" s="102"/>
    </row>
    <row r="14" spans="1:15" hidden="1">
      <c r="A14" s="102"/>
      <c r="B14" s="51" t="s">
        <v>444</v>
      </c>
      <c r="C14" s="52" t="s">
        <v>446</v>
      </c>
      <c r="D14" s="118" t="str">
        <f>IF(UNMT0020_IF_ACTIVE_ROW="","",ADDRESS(UNMT0020_IF_ACTIVE_ROW,COLUMN(UNMT0020_B_SHOHIN_MEI)))</f>
        <v/>
      </c>
      <c r="E14" s="102"/>
      <c r="F14" s="102"/>
      <c r="G14" s="102"/>
      <c r="H14" s="102"/>
      <c r="I14" s="102"/>
      <c r="J14" s="102"/>
    </row>
    <row r="15" spans="1:15" hidden="1">
      <c r="B15" s="51" t="s">
        <v>518</v>
      </c>
      <c r="C15" s="52" t="s">
        <v>521</v>
      </c>
      <c r="D15" s="73" t="str">
        <f>IF(UNMT0020_IF_ACTIVE_ROW="","",ADDRESS(UNMT0020_IF_ACTIVE_ROW,COLUMN(UNMT0020_B_GENTANKA)))</f>
        <v/>
      </c>
    </row>
    <row r="16" spans="1:15" hidden="1">
      <c r="B16" s="51" t="s">
        <v>519</v>
      </c>
      <c r="C16" s="52" t="s">
        <v>522</v>
      </c>
      <c r="D16" s="73" t="str">
        <f>IF(UNMT0020_IF_ACTIVE_ROW="","",ADDRESS(UNMT0020_IF_ACTIVE_ROW,COLUMN(UNMT0020_B_TANKA)))</f>
        <v/>
      </c>
      <c r="O16" s="457"/>
    </row>
    <row r="17" spans="1:40">
      <c r="A17" s="102"/>
      <c r="B17" s="102" t="s">
        <v>833</v>
      </c>
      <c r="C17" s="105" t="s">
        <v>834</v>
      </c>
      <c r="D17" s="103" t="str">
        <f>IF(UNMT0020_IF_ACTIVE_ROW="","",ADDRESS(UNMT0020_IF_ACTIVE_ROW,COLUMN(UNMT0020_B_TEIKA)))</f>
        <v/>
      </c>
      <c r="E17" s="102"/>
      <c r="F17" s="102"/>
      <c r="G17" s="102"/>
      <c r="H17" s="102"/>
      <c r="I17" s="102"/>
      <c r="J17" s="102"/>
      <c r="K17" s="72"/>
      <c r="L17" s="65" t="s">
        <v>49</v>
      </c>
      <c r="M17" s="76" t="s">
        <v>158</v>
      </c>
      <c r="N17" s="65" t="s">
        <v>65</v>
      </c>
      <c r="O17" s="458" t="s">
        <v>50</v>
      </c>
      <c r="P17" s="66" t="s">
        <v>81</v>
      </c>
      <c r="Q17" s="65" t="s">
        <v>51</v>
      </c>
      <c r="R17" s="66" t="s">
        <v>33</v>
      </c>
      <c r="S17" s="65" t="s">
        <v>52</v>
      </c>
      <c r="T17" s="384" t="s">
        <v>53</v>
      </c>
      <c r="U17" s="65" t="s">
        <v>57</v>
      </c>
      <c r="V17" s="65" t="s">
        <v>54</v>
      </c>
      <c r="W17" s="65" t="s">
        <v>55</v>
      </c>
      <c r="X17" s="65" t="s">
        <v>56</v>
      </c>
      <c r="Y17" s="65" t="s">
        <v>29</v>
      </c>
      <c r="Z17" s="65" t="s">
        <v>58</v>
      </c>
      <c r="AA17" s="65" t="s">
        <v>59</v>
      </c>
      <c r="AB17" s="76" t="s">
        <v>23</v>
      </c>
      <c r="AC17" s="76" t="s">
        <v>160</v>
      </c>
      <c r="AD17" s="76" t="s">
        <v>161</v>
      </c>
    </row>
    <row r="18" spans="1:40">
      <c r="B18" s="51" t="s">
        <v>520</v>
      </c>
      <c r="C18" s="52" t="s">
        <v>523</v>
      </c>
      <c r="D18" s="73" t="str">
        <f>IF(UNMT0020_IF_ACTIVE_ROW="","",ADDRESS(UNMT0020_IF_ACTIVE_ROW,COLUMN(UNMT0020_B_TANI)))</f>
        <v/>
      </c>
      <c r="L18" s="112"/>
      <c r="M18" s="112"/>
      <c r="N18" s="112"/>
      <c r="P18" s="112"/>
      <c r="Q18" s="112"/>
      <c r="R18" s="112"/>
      <c r="S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</row>
    <row r="19" spans="1:40">
      <c r="B19" s="51" t="s">
        <v>258</v>
      </c>
      <c r="C19" s="52" t="s">
        <v>319</v>
      </c>
      <c r="D19" s="73" t="str">
        <f>IF(UNMT0020_IF_ACTIVE_ROW="","",ADDRESS(UNMT0020_IF_ACTIVE_ROW,COLUMN(UNMT0020_B_SHIIRESAKI_CD)))</f>
        <v/>
      </c>
      <c r="K19" s="112"/>
      <c r="L19" s="267"/>
      <c r="M19" s="267"/>
      <c r="N19" s="267"/>
      <c r="O19" s="385"/>
      <c r="P19" s="267"/>
      <c r="Q19" s="267"/>
      <c r="R19" s="267"/>
      <c r="S19" s="267"/>
      <c r="T19" s="385"/>
      <c r="U19" s="267"/>
      <c r="V19" s="267"/>
      <c r="W19" s="267"/>
      <c r="X19" s="267"/>
      <c r="Y19" s="267"/>
      <c r="Z19" s="267"/>
      <c r="AA19" s="267"/>
      <c r="AB19" s="267"/>
      <c r="AC19" s="267"/>
      <c r="AD19" s="267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</row>
    <row r="20" spans="1:40">
      <c r="B20" s="51" t="s">
        <v>445</v>
      </c>
      <c r="C20" s="52" t="s">
        <v>447</v>
      </c>
      <c r="D20" s="73" t="str">
        <f>IF(UNMT0020_IF_ACTIVE_ROW="","",ADDRESS(UNMT0020_IF_ACTIVE_ROW,COLUMN(UNMT0020_B_SHIIRESAKI_MEI)))</f>
        <v/>
      </c>
      <c r="K20" s="112"/>
      <c r="L20" s="267"/>
      <c r="M20" s="267"/>
      <c r="N20" s="267"/>
      <c r="O20" s="385"/>
      <c r="P20" s="267"/>
      <c r="Q20" s="267"/>
      <c r="R20" s="267"/>
      <c r="S20" s="267"/>
      <c r="T20" s="385"/>
      <c r="U20" s="267"/>
      <c r="V20" s="267"/>
      <c r="W20" s="267"/>
      <c r="X20" s="267"/>
      <c r="Y20" s="267"/>
      <c r="Z20" s="267"/>
      <c r="AA20" s="267"/>
      <c r="AB20" s="267"/>
      <c r="AC20" s="267"/>
      <c r="AD20" s="267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</row>
    <row r="21" spans="1:40">
      <c r="K21" s="112"/>
      <c r="L21" s="267"/>
      <c r="M21" s="267"/>
      <c r="N21" s="267"/>
      <c r="O21" s="385"/>
      <c r="P21" s="267"/>
      <c r="Q21" s="267"/>
      <c r="R21" s="267"/>
      <c r="S21" s="267"/>
      <c r="T21" s="385"/>
      <c r="U21" s="267"/>
      <c r="V21" s="267"/>
      <c r="W21" s="267"/>
      <c r="X21" s="267"/>
      <c r="Y21" s="267"/>
      <c r="Z21" s="267"/>
      <c r="AA21" s="267"/>
      <c r="AB21" s="267"/>
      <c r="AC21" s="267"/>
      <c r="AD21" s="267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</row>
    <row r="22" spans="1:40">
      <c r="B22" s="51" t="s">
        <v>346</v>
      </c>
      <c r="C22" s="52" t="s">
        <v>347</v>
      </c>
      <c r="D22" s="73" t="str">
        <f ca="1">"UNMT0020_B!"&amp;ADDRESS(ROW(INDIRECT(UNMT0020_B_LIST_START)),COLUMN(INDIRECT(UNMT0020_B_LIST_START)))&amp;":"&amp;ADDRESS(ROW(INDIRECT(UNMT0020_B_LIST_START))+IF(UNMT0020_B_GYO_COUNT=0,UNMT0020_B_GYO_COUNT,UNMT0020_B_GYO_COUNT-1),COLUMN(INDIRECT(UNMT0020_B_LIST_START))+COLUMNS(UNMT0020_IF_COPY_B_LIST_CLEAR)-1)</f>
        <v>UNMT0020_B!$L$18:$AD$18</v>
      </c>
      <c r="K22" s="112"/>
      <c r="L22" s="267"/>
      <c r="M22" s="267"/>
      <c r="N22" s="267"/>
      <c r="O22" s="385"/>
      <c r="P22" s="267"/>
      <c r="Q22" s="267"/>
      <c r="R22" s="267"/>
      <c r="S22" s="267"/>
      <c r="T22" s="385"/>
      <c r="U22" s="267"/>
      <c r="V22" s="267"/>
      <c r="W22" s="267"/>
      <c r="X22" s="267"/>
      <c r="Y22" s="267"/>
      <c r="Z22" s="267"/>
      <c r="AA22" s="267"/>
      <c r="AB22" s="267"/>
      <c r="AC22" s="267"/>
      <c r="AD22" s="267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</row>
    <row r="23" spans="1:40">
      <c r="B23" s="102" t="s">
        <v>868</v>
      </c>
      <c r="C23" s="105" t="s">
        <v>869</v>
      </c>
      <c r="D23" s="103" t="str">
        <f>ADDRESS(ROW(UNMT0020_B_SHOHIN_CD)+1,COLUMN(UNMT0020_B_SHOHIN_CD))&amp;":"&amp;ADDRESS(ROW(UNMT0020_B_SHOHIN_CD)+IF(UNMT0020_B_GYO_COUNT=0,1,UNMT0020_B_GYO_COUNT),COLUMN(UNMT0020_B_SHOHIN_CD))</f>
        <v>$N$18:$N$18</v>
      </c>
      <c r="K23" s="112"/>
      <c r="L23" s="267"/>
      <c r="M23" s="267"/>
      <c r="N23" s="267"/>
      <c r="O23" s="385"/>
      <c r="P23" s="267"/>
      <c r="Q23" s="267"/>
      <c r="R23" s="267"/>
      <c r="S23" s="267"/>
      <c r="T23" s="385"/>
      <c r="U23" s="267"/>
      <c r="V23" s="267"/>
      <c r="W23" s="267"/>
      <c r="X23" s="267"/>
      <c r="Y23" s="267"/>
      <c r="Z23" s="267"/>
      <c r="AA23" s="267"/>
      <c r="AB23" s="267"/>
      <c r="AC23" s="267"/>
      <c r="AD23" s="267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</row>
    <row r="24" spans="1:40">
      <c r="B24" s="102" t="s">
        <v>867</v>
      </c>
      <c r="C24" s="105" t="s">
        <v>928</v>
      </c>
      <c r="D24" s="103">
        <f ca="1">IF(COUNTIF(INDIRECT(UNMT0020_B_SHOHIN_CD_AREA),"")=0,1,2)</f>
        <v>2</v>
      </c>
      <c r="K24" s="112"/>
      <c r="L24" s="267"/>
      <c r="M24" s="267"/>
      <c r="N24" s="267"/>
      <c r="O24" s="385"/>
      <c r="P24" s="267"/>
      <c r="Q24" s="267"/>
      <c r="R24" s="267"/>
      <c r="S24" s="267"/>
      <c r="T24" s="385"/>
      <c r="U24" s="267"/>
      <c r="V24" s="267"/>
      <c r="W24" s="267"/>
      <c r="X24" s="267"/>
      <c r="Y24" s="267"/>
      <c r="Z24" s="267"/>
      <c r="AA24" s="267"/>
      <c r="AB24" s="267"/>
      <c r="AC24" s="267"/>
      <c r="AD24" s="267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</row>
    <row r="25" spans="1:40">
      <c r="K25" s="112"/>
      <c r="L25" s="267"/>
      <c r="M25" s="267"/>
      <c r="N25" s="267"/>
      <c r="O25" s="385"/>
      <c r="P25" s="267"/>
      <c r="Q25" s="267"/>
      <c r="R25" s="267"/>
      <c r="S25" s="267"/>
      <c r="T25" s="385"/>
      <c r="U25" s="267"/>
      <c r="V25" s="267"/>
      <c r="W25" s="267"/>
      <c r="X25" s="267"/>
      <c r="Y25" s="267"/>
      <c r="Z25" s="267"/>
      <c r="AA25" s="267"/>
      <c r="AB25" s="267"/>
      <c r="AC25" s="267"/>
      <c r="AD25" s="267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</row>
    <row r="26" spans="1:40">
      <c r="K26" s="112"/>
      <c r="L26" s="267"/>
      <c r="M26" s="267"/>
      <c r="N26" s="267"/>
      <c r="O26" s="385"/>
      <c r="P26" s="267"/>
      <c r="Q26" s="267"/>
      <c r="R26" s="267"/>
      <c r="S26" s="267"/>
      <c r="T26" s="385"/>
      <c r="U26" s="267"/>
      <c r="V26" s="267"/>
      <c r="W26" s="267"/>
      <c r="X26" s="267"/>
      <c r="Y26" s="267"/>
      <c r="Z26" s="267"/>
      <c r="AA26" s="267"/>
      <c r="AB26" s="267"/>
      <c r="AC26" s="267"/>
      <c r="AD26" s="267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</row>
    <row r="27" spans="1:40">
      <c r="B27" s="51" t="s">
        <v>486</v>
      </c>
      <c r="C27" s="52" t="s">
        <v>487</v>
      </c>
      <c r="D27" s="73">
        <v>1</v>
      </c>
      <c r="E27" s="51" t="s">
        <v>489</v>
      </c>
      <c r="K27" s="112"/>
      <c r="L27" s="267"/>
      <c r="M27" s="267"/>
      <c r="N27" s="267"/>
      <c r="O27" s="385"/>
      <c r="P27" s="267"/>
      <c r="Q27" s="267"/>
      <c r="R27" s="267"/>
      <c r="S27" s="267"/>
      <c r="T27" s="385"/>
      <c r="U27" s="267"/>
      <c r="V27" s="267"/>
      <c r="W27" s="267"/>
      <c r="X27" s="267"/>
      <c r="Y27" s="267"/>
      <c r="Z27" s="267"/>
      <c r="AA27" s="267"/>
      <c r="AB27" s="267"/>
      <c r="AC27" s="267"/>
      <c r="AD27" s="267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</row>
    <row r="28" spans="1:40">
      <c r="B28" s="51" t="s">
        <v>410</v>
      </c>
      <c r="C28" s="52" t="s">
        <v>411</v>
      </c>
      <c r="D28" s="73">
        <v>3</v>
      </c>
      <c r="E28" s="51" t="s">
        <v>488</v>
      </c>
      <c r="K28" s="112"/>
      <c r="L28" s="267"/>
      <c r="M28" s="267"/>
      <c r="N28" s="267"/>
      <c r="O28" s="385"/>
      <c r="P28" s="267"/>
      <c r="Q28" s="267"/>
      <c r="R28" s="267"/>
      <c r="S28" s="267"/>
      <c r="T28" s="385"/>
      <c r="U28" s="267"/>
      <c r="V28" s="267"/>
      <c r="W28" s="267"/>
      <c r="X28" s="267"/>
      <c r="Y28" s="267"/>
      <c r="Z28" s="267"/>
      <c r="AA28" s="267"/>
      <c r="AB28" s="267"/>
      <c r="AC28" s="267"/>
      <c r="AD28" s="267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</row>
    <row r="29" spans="1:40">
      <c r="B29" s="51" t="s">
        <v>484</v>
      </c>
      <c r="C29" s="52" t="s">
        <v>485</v>
      </c>
      <c r="D29" s="73" t="str">
        <f>"UNMT0020_IF!"&amp;
IF(UNMT0020_B_LIST_INSERT_TYPE=1,ADDRESS(ROW(UNMT0020_IF_COPY_B_MEISAI_SHINKI),COLUMN(UNMT0020_IF_COPY_B_MEISAI_SHINKI))&amp;":"&amp;ADDRESS(ROW(UNMT0020_IF_COPY_B_MEISAI_SHINKI),COLUMN(UNMT0020_IF_COPY_B_MEISAI_SHINKI)+COLUMNS(UNMT0020_IF_COPY_B_MEISAI_SHINKI)-1),
IF(UNMT0020_B_LIST_INSERT_TYPE=2,ADDRESS(ROW(UNMT0020_IF_COPY_B_COMMENT_SHINKI),COLUMN(UNMT0020_IF_COPY_B_COMMENT_SHINKI))&amp;":"&amp;ADDRESS(ROW(UNMT0020_IF_COPY_B_COMMENT_SHINKI),COLUMN(UNMT0020_IF_COPY_B_COMMENT_SHINKI)+COLUMNS(UNMT0020_IF_COPY_B_COMMENT_SHINKI)-1),
IF(UNMT0020_B_LIST_INSERT_TYPE=3,
    IF(UNMT0020_B_NEBIKI_TYPE=1,
          ADDRESS(ROW(UNMT0020_IF_COPY_B_NEBIKI_PER_SHINKI),COLUMN(UNMT0020_IF_COPY_B_NEBIKI_PER_SHINKI))&amp;":"&amp;ADDRESS(ROW(UNMT0020_IF_COPY_B_NEBIKI_PER_SHINKI),
          COLUMN(UNMT0020_IF_COPY_B_NEBIKI_PER_SHINKI)+COLUMNS(UNMT0020_IF_COPY_B_NEBIKI_PER_SHINKI)-1),
       IF(UNMT0020_B_NEBIKI_TYPE=2,
             ADDRESS(ROW(UNMT0020_IF_COPY_B_NEBIKI_DIR_SHINKI),COLUMN(UNMT0020_IF_COPY_B_NEBIKI_DIR_SHINKI))&amp;":"&amp;ADDRESS(ROW(UNMT0020_IF_COPY_B_NEBIKI_DIR_SHINKI),
             COLUMN(UNMT0020_IF_COPY_B_NEBIKI_DIR_SHINKI)+COLUMNS(UNMT0020_IF_COPY_B_NEBIKI_DIR_SHINKI)-1),
       ADDRESS(ROW(UNMT0020_IF_COPY_B_NEBIKI_TAN_SHINKI),COLUMN(UNMT0020_IF_COPY_B_NEBIKI_TAN_SHINKI))&amp;":"&amp;ADDRESS(ROW(UNMT0020_IF_COPY_B_NEBIKI_TAN_SHINKI),
       COLUMN(UNMT0020_IF_COPY_B_NEBIKI_TAN_SHINKI)+COLUMNS(UNMT0020_IF_COPY_B_NEBIKI_TAN_SHINKI)-1))),
IF(UNMT0020_B_LIST_INSERT_TYPE=4,ADDRESS(ROW(UNMT0020_IF_COPY_B_SUBTOTAL_SHINKI),COLUMN(UNMT0020_IF_COPY_B_SUBTOTAL_SHINKI))&amp;":"&amp;ADDRESS(ROW(UNMT0020_IF_COPY_B_SUBTOTAL_SHINKI),COLUMN(UNMT0020_IF_COPY_B_SUBTOTAL_SHINKI)+COLUMNS(UNMT0020_IF_COPY_B_SUBTOTAL_SHINKI)-1),""))))</f>
        <v>UNMT0020_IF!$DJ$5:$EB$5</v>
      </c>
      <c r="K29" s="112"/>
      <c r="L29" s="267"/>
      <c r="M29" s="267"/>
      <c r="N29" s="267"/>
      <c r="O29" s="385"/>
      <c r="P29" s="267"/>
      <c r="Q29" s="267"/>
      <c r="R29" s="267"/>
      <c r="S29" s="267"/>
      <c r="T29" s="385"/>
      <c r="U29" s="267"/>
      <c r="V29" s="267"/>
      <c r="W29" s="267"/>
      <c r="X29" s="267"/>
      <c r="Y29" s="267"/>
      <c r="Z29" s="267"/>
      <c r="AA29" s="267"/>
      <c r="AB29" s="267"/>
      <c r="AC29" s="267"/>
      <c r="AD29" s="267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</row>
    <row r="30" spans="1:40">
      <c r="B30" s="51" t="s">
        <v>404</v>
      </c>
      <c r="C30" s="52" t="s">
        <v>352</v>
      </c>
      <c r="D30" s="73" t="str">
        <f ca="1">IF(OR(UNMT0020_B_GYO_COUNT=0,UNMT0020_IF_ACTIVE_ROW&lt;ROW(INDIRECT(UNMT0020_B_LIST_START))),
"UNMT0020_B!"&amp;ADDRESS(ROW(INDIRECT(UNMT0020_B_LIST_START)),COLUMN(INDIRECT(UNMT0020_B_LIST_START)))&amp;":"&amp;ADDRESS(ROW(INDIRECT(UNMT0020_B_LIST_START)),COLUMN(INDIRECT(UNMT0020_B_LIST_START))+COLUMNS(UNMT0020_IF_COPY_B_MEISAI_SHINKI)-1),
ADDRESS(UNMT0020_IF_ACTIVE_ROW+1,COLUMN(INDIRECT(UNMT0020_B_LIST_START)))&amp;":"&amp;ADDRESS(UNMT0020_IF_ACTIVE_ROW+1,COLUMN(INDIRECT(UNMT0020_B_LIST_START))+COLUMNS(UNMT0020_IF_COPY_B_MEISAI_SHINKI)-1))</f>
        <v>UNMT0020_B!$L$18:$AD$18</v>
      </c>
      <c r="K30" s="112"/>
      <c r="L30" s="267"/>
      <c r="M30" s="267"/>
      <c r="N30" s="267"/>
      <c r="O30" s="385"/>
      <c r="P30" s="267"/>
      <c r="Q30" s="267"/>
      <c r="R30" s="267"/>
      <c r="S30" s="267"/>
      <c r="T30" s="385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</row>
    <row r="31" spans="1:40">
      <c r="B31" s="51" t="s">
        <v>405</v>
      </c>
      <c r="C31" s="52" t="s">
        <v>406</v>
      </c>
      <c r="D31" s="73" t="str">
        <f ca="1">IF(OR(UNMT0020_B_GYO_COUNT=0,UNMT0020_IF_ACTIVE_ROW&lt;ROW(INDIRECT(UNMT0020_B_LIST_START))),
"",
"UNMT0020_B!"&amp;ADDRESS(UNMT0020_IF_ACTIVE_ROW,COLUMN(INDIRECT(UNMT0020_B_LIST_START)))&amp;":"&amp;ADDRESS(UNMT0020_IF_ACTIVE_ROW,COLUMN(INDIRECT(UNMT0020_B_LIST_START))+COLUMNS(UNMT0020_IF_COPY_B_MEISAI_SHINKI)-1))</f>
        <v/>
      </c>
      <c r="K31" s="112"/>
      <c r="L31" s="267"/>
      <c r="M31" s="267"/>
      <c r="N31" s="267"/>
      <c r="O31" s="385"/>
      <c r="P31" s="267"/>
      <c r="Q31" s="267"/>
      <c r="R31" s="267"/>
      <c r="S31" s="267"/>
      <c r="T31" s="385"/>
      <c r="U31" s="267"/>
      <c r="V31" s="267"/>
      <c r="W31" s="267"/>
      <c r="X31" s="267"/>
      <c r="Y31" s="267"/>
      <c r="Z31" s="267"/>
      <c r="AA31" s="267"/>
      <c r="AB31" s="267"/>
      <c r="AC31" s="267"/>
      <c r="AD31" s="267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</row>
    <row r="32" spans="1:40">
      <c r="B32" s="51" t="s">
        <v>972</v>
      </c>
      <c r="C32" s="356" t="s">
        <v>973</v>
      </c>
      <c r="D32" s="103" t="str">
        <f ca="1">"UNMT0020_B!"&amp;ADDRESS(ROW(INDIRECT(UNMT0020_B_LIST_INSERT_AREA)),COLUMN(UNMT0020_B_SHOHIN_CD))</f>
        <v>UNMT0020_B!$N$18</v>
      </c>
      <c r="K32" s="112"/>
      <c r="L32" s="267"/>
      <c r="M32" s="267"/>
      <c r="N32" s="267"/>
      <c r="O32" s="385"/>
      <c r="P32" s="267"/>
      <c r="Q32" s="267"/>
      <c r="R32" s="267"/>
      <c r="S32" s="267"/>
      <c r="T32" s="385"/>
      <c r="U32" s="267"/>
      <c r="V32" s="267"/>
      <c r="W32" s="267"/>
      <c r="X32" s="267"/>
      <c r="Y32" s="267"/>
      <c r="Z32" s="267"/>
      <c r="AA32" s="267"/>
      <c r="AB32" s="267"/>
      <c r="AC32" s="267"/>
      <c r="AD32" s="267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</row>
    <row r="33" spans="1:40">
      <c r="A33" s="102"/>
      <c r="B33" s="102"/>
      <c r="C33" s="356"/>
      <c r="D33" s="356"/>
      <c r="E33" s="102"/>
      <c r="F33" s="102"/>
      <c r="G33" s="102"/>
      <c r="H33" s="102"/>
      <c r="I33" s="102"/>
      <c r="J33" s="102"/>
      <c r="K33" s="112"/>
      <c r="L33" s="267"/>
      <c r="M33" s="267"/>
      <c r="N33" s="267"/>
      <c r="O33" s="385"/>
      <c r="P33" s="267"/>
      <c r="Q33" s="267"/>
      <c r="R33" s="267"/>
      <c r="S33" s="267"/>
      <c r="T33" s="385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</row>
    <row r="34" spans="1:40">
      <c r="A34" s="51" t="s">
        <v>409</v>
      </c>
      <c r="K34" s="112"/>
      <c r="L34" s="267"/>
      <c r="M34" s="267"/>
      <c r="N34" s="267"/>
      <c r="O34" s="385"/>
      <c r="P34" s="267"/>
      <c r="Q34" s="267"/>
      <c r="R34" s="267"/>
      <c r="S34" s="267"/>
      <c r="T34" s="385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</row>
    <row r="35" spans="1:40">
      <c r="B35" s="51" t="s">
        <v>381</v>
      </c>
      <c r="C35" s="52" t="s">
        <v>386</v>
      </c>
      <c r="D35" s="73">
        <f ca="1">IF(UNMT0020_B_GYO_COUNT=0,0,COUNTIF(OFFSET(UNMT0020_B_ROW_KBN,1,0,UNMT0020_B_GYO_COUNT),1))</f>
        <v>0</v>
      </c>
      <c r="K35" s="112"/>
      <c r="L35" s="267"/>
      <c r="M35" s="267"/>
      <c r="N35" s="267"/>
      <c r="O35" s="385"/>
      <c r="P35" s="267"/>
      <c r="Q35" s="267"/>
      <c r="R35" s="267"/>
      <c r="S35" s="267"/>
      <c r="T35" s="385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</row>
    <row r="36" spans="1:40">
      <c r="B36" s="51" t="s">
        <v>382</v>
      </c>
      <c r="C36" s="52" t="s">
        <v>387</v>
      </c>
      <c r="D36" s="73">
        <f ca="1">IF(UNMT0020_B_GYO_COUNT=0,0,COUNTIF(OFFSET(UNMT0020_B_ROW_KBN,1,0,UNMT0020_B_GYO_COUNT),2))</f>
        <v>0</v>
      </c>
      <c r="K36" s="112"/>
      <c r="L36" s="267"/>
      <c r="M36" s="267"/>
      <c r="N36" s="267"/>
      <c r="O36" s="385"/>
      <c r="P36" s="267"/>
      <c r="Q36" s="267"/>
      <c r="R36" s="267"/>
      <c r="S36" s="267"/>
      <c r="T36" s="385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</row>
    <row r="37" spans="1:40">
      <c r="B37" s="51" t="s">
        <v>383</v>
      </c>
      <c r="C37" s="52" t="s">
        <v>388</v>
      </c>
      <c r="D37" s="73">
        <f ca="1">IF(UNMT0020_B_GYO_COUNT=0,0,COUNTIF(OFFSET(UNMT0020_B_SHOHIN_CD,1,0,UNMT0020_B_GYO_COUNT),"nebiki_per"))</f>
        <v>0</v>
      </c>
      <c r="K37" s="112"/>
      <c r="L37" s="267"/>
      <c r="M37" s="267"/>
      <c r="N37" s="267"/>
      <c r="O37" s="385"/>
      <c r="P37" s="267"/>
      <c r="Q37" s="267"/>
      <c r="R37" s="267"/>
      <c r="S37" s="267"/>
      <c r="T37" s="385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</row>
    <row r="38" spans="1:40">
      <c r="B38" s="51" t="s">
        <v>384</v>
      </c>
      <c r="C38" s="52" t="s">
        <v>389</v>
      </c>
      <c r="D38" s="73">
        <f ca="1">IF(UNMT0020_B_GYO_COUNT=0,0,COUNTIF(OFFSET(UNMT0020_B_SHOHIN_CD,1,0,UNMT0020_B_GYO_COUNT),"nebiki_dir"))</f>
        <v>0</v>
      </c>
      <c r="K38" s="112"/>
      <c r="L38" s="267"/>
      <c r="M38" s="267"/>
      <c r="N38" s="267"/>
      <c r="O38" s="385"/>
      <c r="P38" s="267"/>
      <c r="Q38" s="267"/>
      <c r="R38" s="267"/>
      <c r="S38" s="267"/>
      <c r="T38" s="385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</row>
    <row r="39" spans="1:40">
      <c r="B39" s="51" t="s">
        <v>427</v>
      </c>
      <c r="C39" s="52" t="s">
        <v>428</v>
      </c>
      <c r="D39" s="73">
        <f ca="1">IF(UNMT0020_B_GYO_COUNT=0,0,COUNTIF(OFFSET(UNMT0020_B_SHOHIN_CD,1,0,UNMT0020_B_GYO_COUNT),"nebiki_tan"))</f>
        <v>0</v>
      </c>
      <c r="K39" s="112"/>
      <c r="L39" s="267"/>
      <c r="M39" s="267"/>
      <c r="N39" s="267"/>
      <c r="O39" s="385"/>
      <c r="P39" s="267"/>
      <c r="Q39" s="267"/>
      <c r="R39" s="267"/>
      <c r="S39" s="267"/>
      <c r="T39" s="385"/>
      <c r="U39" s="267"/>
      <c r="V39" s="267"/>
      <c r="W39" s="267"/>
      <c r="X39" s="267"/>
      <c r="Y39" s="267"/>
      <c r="Z39" s="267"/>
      <c r="AA39" s="267"/>
      <c r="AB39" s="267"/>
      <c r="AC39" s="267"/>
      <c r="AD39" s="267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</row>
    <row r="40" spans="1:40">
      <c r="B40" s="51" t="s">
        <v>385</v>
      </c>
      <c r="C40" s="52" t="s">
        <v>390</v>
      </c>
      <c r="D40" s="73">
        <f ca="1">IF(UNMT0020_B_GYO_COUNT=0,0,COUNTIF(OFFSET(UNMT0020_B_ROW_KBN,1,0,UNMT0020_B_GYO_COUNT),4))</f>
        <v>0</v>
      </c>
      <c r="K40" s="112"/>
      <c r="L40" s="267"/>
      <c r="M40" s="267"/>
      <c r="N40" s="267"/>
      <c r="O40" s="385"/>
      <c r="P40" s="267"/>
      <c r="Q40" s="267"/>
      <c r="R40" s="267"/>
      <c r="S40" s="267"/>
      <c r="T40" s="385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</row>
    <row r="41" spans="1:40">
      <c r="K41" s="112"/>
      <c r="L41" s="267"/>
      <c r="M41" s="267"/>
      <c r="N41" s="267"/>
      <c r="O41" s="385"/>
      <c r="P41" s="267"/>
      <c r="Q41" s="267"/>
      <c r="R41" s="267"/>
      <c r="S41" s="267"/>
      <c r="T41" s="385"/>
      <c r="U41" s="267"/>
      <c r="V41" s="267"/>
      <c r="W41" s="267"/>
      <c r="X41" s="267"/>
      <c r="Y41" s="267"/>
      <c r="Z41" s="267"/>
      <c r="AA41" s="267"/>
      <c r="AB41" s="267"/>
      <c r="AC41" s="267"/>
      <c r="AD41" s="267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</row>
    <row r="42" spans="1:40">
      <c r="B42" s="51" t="s">
        <v>359</v>
      </c>
      <c r="C42" s="52" t="s">
        <v>366</v>
      </c>
      <c r="D42" s="73" t="str">
        <f ca="1">IF(UNMT0020_B_MEISAI_GYO_SU=0,"",
ADDRESS(ROW(INDIRECT(UNMT0020_B_LIST_START)),COLUMN(UNMT0020_B_GYO))&amp;":"&amp;
ADDRESS(ROW(INDIRECT(UNMT0020_B_LIST_START))+UNMT0020_B_MEISAI_GYO_SU-1,COLUMN(UNMT0020_B_GYO)+COLUMNS(UNMT0020_IF_COPY_B_MEISAI_SHINKI)-1))</f>
        <v/>
      </c>
      <c r="K42" s="112"/>
      <c r="L42" s="267"/>
      <c r="M42" s="267"/>
      <c r="N42" s="267"/>
      <c r="O42" s="385"/>
      <c r="P42" s="267"/>
      <c r="Q42" s="267"/>
      <c r="R42" s="267"/>
      <c r="S42" s="267"/>
      <c r="T42" s="385"/>
      <c r="U42" s="267"/>
      <c r="V42" s="267"/>
      <c r="W42" s="267"/>
      <c r="X42" s="267"/>
      <c r="Y42" s="267"/>
      <c r="Z42" s="267"/>
      <c r="AA42" s="267"/>
      <c r="AB42" s="267"/>
      <c r="AC42" s="267"/>
      <c r="AD42" s="267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</row>
    <row r="43" spans="1:40">
      <c r="B43" s="51" t="s">
        <v>363</v>
      </c>
      <c r="C43" s="52" t="s">
        <v>367</v>
      </c>
      <c r="D43" s="73" t="str">
        <f ca="1">IF(UNMT0020_B_MEISAI_GYO_SU=0,"",
ADDRESS(ROW(INDIRECT(UNMT0020_B_LIST_START)),COLUMN(UNMT0020_B_KINGAKU))&amp;":"&amp;
ADDRESS(ROW(INDIRECT(UNMT0020_B_LIST_START))+UNMT0020_B_MEISAI_GYO_SU-1,COLUMN(UNMT0020_B_KINGAKU)))</f>
        <v/>
      </c>
      <c r="K43" s="112"/>
      <c r="L43" s="267"/>
      <c r="M43" s="267"/>
      <c r="N43" s="267"/>
      <c r="O43" s="385"/>
      <c r="P43" s="267"/>
      <c r="Q43" s="267"/>
      <c r="R43" s="267"/>
      <c r="S43" s="267"/>
      <c r="T43" s="385"/>
      <c r="U43" s="267"/>
      <c r="V43" s="267"/>
      <c r="W43" s="267"/>
      <c r="X43" s="267"/>
      <c r="Y43" s="267"/>
      <c r="Z43" s="267"/>
      <c r="AA43" s="267"/>
      <c r="AB43" s="267"/>
      <c r="AC43" s="267"/>
      <c r="AD43" s="267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</row>
    <row r="44" spans="1:40">
      <c r="B44" s="51" t="s">
        <v>364</v>
      </c>
      <c r="C44" s="52" t="s">
        <v>368</v>
      </c>
      <c r="D44" s="73" t="str">
        <f ca="1">IF(UNMT0020_B_MEISAI_GYO_SU=0,"",
ADDRESS(ROW(INDIRECT(UNMT0020_B_LIST_START)),COLUMN(UNMT0020_B_GENKA))&amp;":"&amp;
ADDRESS(ROW(INDIRECT(UNMT0020_B_LIST_START))+UNMT0020_B_MEISAI_GYO_SU-1,COLUMN(UNMT0020_B_GENKA)+COLUMNS(UNMT0020_IF!DU5:DW5)-1))</f>
        <v/>
      </c>
      <c r="K44" s="112"/>
      <c r="L44" s="267"/>
      <c r="M44" s="267"/>
      <c r="N44" s="267"/>
      <c r="O44" s="385"/>
      <c r="P44" s="267"/>
      <c r="Q44" s="267"/>
      <c r="R44" s="267"/>
      <c r="S44" s="267"/>
      <c r="T44" s="385"/>
      <c r="U44" s="267"/>
      <c r="V44" s="267"/>
      <c r="W44" s="267"/>
      <c r="X44" s="267"/>
      <c r="Y44" s="267"/>
      <c r="Z44" s="267"/>
      <c r="AA44" s="267"/>
      <c r="AB44" s="267"/>
      <c r="AC44" s="267"/>
      <c r="AD44" s="267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</row>
    <row r="45" spans="1:40">
      <c r="K45" s="112"/>
      <c r="L45" s="267"/>
      <c r="M45" s="267"/>
      <c r="N45" s="267"/>
      <c r="O45" s="385"/>
      <c r="P45" s="267"/>
      <c r="Q45" s="267"/>
      <c r="R45" s="267"/>
      <c r="S45" s="267"/>
      <c r="T45" s="385"/>
      <c r="U45" s="267"/>
      <c r="V45" s="267"/>
      <c r="W45" s="267"/>
      <c r="X45" s="267"/>
      <c r="Y45" s="267"/>
      <c r="Z45" s="267"/>
      <c r="AA45" s="267"/>
      <c r="AB45" s="267"/>
      <c r="AC45" s="267"/>
      <c r="AD45" s="267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</row>
    <row r="46" spans="1:40">
      <c r="B46" s="51" t="s">
        <v>360</v>
      </c>
      <c r="C46" s="52" t="s">
        <v>380</v>
      </c>
      <c r="D46" s="73" t="str">
        <f ca="1">IF(UNMT0020_B_COMMENT_GYO_SU=0,"",
ADDRESS(ROW(INDIRECT(UNMT0020_B_LIST_START))+UNMT0020_B_MEISAI_GYO_SU,COLUMN(UNMT0020_B_GYO))&amp;":"&amp;
ADDRESS(ROW(INDIRECT(UNMT0020_B_LIST_START))+UNMT0020_B_MEISAI_GYO_SU+UNMT0020_B_COMMENT_GYO_SU-1,COLUMN(UNMT0020_B_GYO)+COLUMNS(UNMT0020_IF_COPY_B_MEISAI_SHINKI)-1))</f>
        <v/>
      </c>
      <c r="K46" s="112"/>
      <c r="L46" s="267"/>
      <c r="M46" s="267"/>
      <c r="N46" s="267"/>
      <c r="O46" s="385"/>
      <c r="P46" s="267"/>
      <c r="Q46" s="267"/>
      <c r="R46" s="267"/>
      <c r="S46" s="267"/>
      <c r="T46" s="385"/>
      <c r="U46" s="267"/>
      <c r="V46" s="267"/>
      <c r="W46" s="267"/>
      <c r="X46" s="267"/>
      <c r="Y46" s="267"/>
      <c r="Z46" s="267"/>
      <c r="AA46" s="267"/>
      <c r="AB46" s="267"/>
      <c r="AC46" s="267"/>
      <c r="AD46" s="267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</row>
    <row r="47" spans="1:40">
      <c r="K47" s="112"/>
      <c r="L47" s="267"/>
      <c r="M47" s="267"/>
      <c r="N47" s="267"/>
      <c r="O47" s="385"/>
      <c r="P47" s="267"/>
      <c r="Q47" s="267"/>
      <c r="R47" s="267"/>
      <c r="S47" s="267"/>
      <c r="T47" s="385"/>
      <c r="U47" s="267"/>
      <c r="V47" s="267"/>
      <c r="W47" s="267"/>
      <c r="X47" s="267"/>
      <c r="Y47" s="267"/>
      <c r="Z47" s="267"/>
      <c r="AA47" s="267"/>
      <c r="AB47" s="267"/>
      <c r="AC47" s="267"/>
      <c r="AD47" s="267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</row>
    <row r="48" spans="1:40">
      <c r="B48" s="51" t="s">
        <v>361</v>
      </c>
      <c r="C48" s="52" t="s">
        <v>369</v>
      </c>
      <c r="D48" s="73" t="str">
        <f ca="1">IF(UNMT0020_B_NEBIKI_PER_GYO_SU=0,"",
ADDRESS(ROW(INDIRECT(UNMT0020_B_LIST_START))+UNMT0020_B_MEISAI_GYO_SU+UNMT0020_B_COMMENT_GYO_SU,COLUMN(UNMT0020_B_GYO))&amp;":"&amp;
ADDRESS(ROW(INDIRECT(UNMT0020_B_LIST_START))+UNMT0020_B_MEISAI_GYO_SU+UNMT0020_B_COMMENT_GYO_SU+UNMT0020_B_NEBIKI_PER_GYO_SU-1,COLUMN(UNMT0020_B_GYO)+COLUMNS(UNMT0020_IF_COPY_B_MEISAI_SHINKI)-1))</f>
        <v/>
      </c>
      <c r="K48" s="112"/>
      <c r="L48" s="267"/>
      <c r="M48" s="267"/>
      <c r="N48" s="267"/>
      <c r="O48" s="385"/>
      <c r="P48" s="267"/>
      <c r="Q48" s="267"/>
      <c r="R48" s="267"/>
      <c r="S48" s="267"/>
      <c r="T48" s="385"/>
      <c r="U48" s="267"/>
      <c r="V48" s="267"/>
      <c r="W48" s="267"/>
      <c r="X48" s="267"/>
      <c r="Y48" s="267"/>
      <c r="Z48" s="267"/>
      <c r="AA48" s="267"/>
      <c r="AB48" s="267"/>
      <c r="AC48" s="267"/>
      <c r="AD48" s="267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</row>
    <row r="49" spans="2:40">
      <c r="B49" s="51" t="s">
        <v>370</v>
      </c>
      <c r="C49" s="52" t="s">
        <v>371</v>
      </c>
      <c r="D49" s="73" t="str">
        <f ca="1">IF(UNMT0020_B_NEBIKI_PER_GYO_SU=0,"",
ADDRESS(ROW(INDIRECT(UNMT0020_B_LIST_START))+UNMT0020_B_MEISAI_GYO_SU+UNMT0020_B_COMMENT_GYO_SU,COLUMN(UNMT0020_B_TANI))&amp;":"&amp;
ADDRESS(ROW(INDIRECT(UNMT0020_B_LIST_START))+UNMT0020_B_MEISAI_GYO_SU+UNMT0020_B_COMMENT_GYO_SU+UNMT0020_B_NEBIKI_PER_GYO_SU-1,COLUMN(UNMT0020_B_TANI)+COLUMNS(UNMT0020_IF_COPY_B_NEBIKI_PER_SUSHIKI)-1))</f>
        <v/>
      </c>
      <c r="K49" s="112"/>
      <c r="L49" s="267"/>
      <c r="M49" s="267"/>
      <c r="N49" s="267"/>
      <c r="O49" s="385"/>
      <c r="P49" s="267"/>
      <c r="Q49" s="267"/>
      <c r="R49" s="267"/>
      <c r="S49" s="267"/>
      <c r="T49" s="385"/>
      <c r="U49" s="267"/>
      <c r="V49" s="267"/>
      <c r="W49" s="267"/>
      <c r="X49" s="267"/>
      <c r="Y49" s="267"/>
      <c r="Z49" s="267"/>
      <c r="AA49" s="267"/>
      <c r="AB49" s="267"/>
      <c r="AC49" s="267"/>
      <c r="AD49" s="267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</row>
    <row r="50" spans="2:40">
      <c r="K50" s="112"/>
      <c r="L50" s="267"/>
      <c r="M50" s="267"/>
      <c r="N50" s="267"/>
      <c r="O50" s="385"/>
      <c r="P50" s="267"/>
      <c r="Q50" s="267"/>
      <c r="R50" s="267"/>
      <c r="S50" s="267"/>
      <c r="T50" s="385"/>
      <c r="U50" s="267"/>
      <c r="V50" s="267"/>
      <c r="W50" s="267"/>
      <c r="X50" s="267"/>
      <c r="Y50" s="267"/>
      <c r="Z50" s="267"/>
      <c r="AA50" s="267"/>
      <c r="AB50" s="267"/>
      <c r="AC50" s="267"/>
      <c r="AD50" s="267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</row>
    <row r="51" spans="2:40">
      <c r="B51" s="51" t="s">
        <v>365</v>
      </c>
      <c r="C51" s="52" t="s">
        <v>373</v>
      </c>
      <c r="D51" s="73" t="str">
        <f ca="1">IF(UNMT0020_B_NEBIKI_PER_GYO_SU=0,"",
ADDRESS(ROW(INDIRECT(UNMT0020_B_LIST_START))+UNMT0020_B_MEISAI_GYO_SU+UNMT0020_B_COMMENT_GYO_SU+UNMT0020_B_NEBIKI_PER_GYO_SU,COLUMN(UNMT0020_B_GYO))&amp;":"&amp;
ADDRESS(ROW(INDIRECT(UNMT0020_B_LIST_START))+UNMT0020_B_MEISAI_GYO_SU+UNMT0020_B_COMMENT_GYO_SU+UNMT0020_B_NEBIKI_PER_GYO_SU+UNMT0020_B_NEBIKI_DIR_GYO_SU-1,COLUMN(UNMT0020_B_GYO)+COLUMNS(UNMT0020_IF_COPY_B_MEISAI_SHINKI)-1))</f>
        <v/>
      </c>
      <c r="K51" s="112"/>
      <c r="L51" s="267"/>
      <c r="M51" s="267"/>
      <c r="N51" s="267"/>
      <c r="O51" s="385"/>
      <c r="P51" s="267"/>
      <c r="Q51" s="267"/>
      <c r="R51" s="267"/>
      <c r="S51" s="267"/>
      <c r="T51" s="385"/>
      <c r="U51" s="267"/>
      <c r="V51" s="267"/>
      <c r="W51" s="267"/>
      <c r="X51" s="267"/>
      <c r="Y51" s="267"/>
      <c r="Z51" s="267"/>
      <c r="AA51" s="267"/>
      <c r="AB51" s="267"/>
      <c r="AC51" s="267"/>
      <c r="AD51" s="267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</row>
    <row r="52" spans="2:40">
      <c r="B52" s="51" t="s">
        <v>372</v>
      </c>
      <c r="C52" s="52" t="s">
        <v>374</v>
      </c>
      <c r="D52" s="73" t="str">
        <f ca="1">IF(UNMT0020_B_NEBIKI_PER_GYO_SU=0,"",
ADDRESS(ROW(INDIRECT(UNMT0020_B_LIST_START))+UNMT0020_B_MEISAI_GYO_SU+UNMT0020_B_COMMENT_GYO_SU+UNMT0020_B_NEBIKI_PER_GYO_SU,COLUMN(UNMT0020_B_TANI))&amp;":"&amp;
ADDRESS(ROW(INDIRECT(UNMT0020_B_LIST_START))+UNMT0020_B_MEISAI_GYO_SU+UNMT0020_B_COMMENT_GYO_SU+UNMT0020_B_NEBIKI_PER_GYO_SU+UNMT0020_B_NEBIKI_DIR_GYO_SU-1,COLUMN(UNMT0020_B_TANI)+COLUMNS(UNMT0020_IF_COPY_B_NEBIKI_DIR_SUSHIKI)-1))</f>
        <v/>
      </c>
      <c r="K52" s="112"/>
      <c r="L52" s="267"/>
      <c r="M52" s="267"/>
      <c r="N52" s="267"/>
      <c r="O52" s="385"/>
      <c r="P52" s="267"/>
      <c r="Q52" s="267"/>
      <c r="R52" s="267"/>
      <c r="S52" s="267"/>
      <c r="T52" s="385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</row>
    <row r="53" spans="2:40">
      <c r="K53" s="112"/>
      <c r="L53" s="267"/>
      <c r="M53" s="267"/>
      <c r="N53" s="267"/>
      <c r="O53" s="385"/>
      <c r="P53" s="267"/>
      <c r="Q53" s="267"/>
      <c r="R53" s="267"/>
      <c r="S53" s="267"/>
      <c r="T53" s="385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</row>
    <row r="54" spans="2:40">
      <c r="B54" s="51" t="s">
        <v>429</v>
      </c>
      <c r="C54" s="52" t="s">
        <v>431</v>
      </c>
      <c r="D54" s="73" t="str">
        <f ca="1">IF(UNMT0020_B_NEBIKI_TAN_GYO_SU=0,"",
ADDRESS(ROW(INDIRECT(UNMT0020_B_LIST_START))+UNMT0020_B_MEISAI_GYO_SU+UNMT0020_B_COMMENT_GYO_SU+UNMT0020_B_NEBIKI_PER_GYO_SU+UNMT0020_B_NEBIKI_DIR_GYO_SU,COLUMN(UNMT0020_B_GYO))&amp;":"&amp;
ADDRESS(ROW(INDIRECT(UNMT0020_B_LIST_START))+UNMT0020_B_MEISAI_GYO_SU+UNMT0020_B_COMMENT_GYO_SU+UNMT0020_B_NEBIKI_PER_GYO_SU+UNMT0020_B_NEBIKI_DIR_GYO_SU+UNMT0020_B_NEBIKI_TAN_GYO_SU-1,COLUMN(UNMT0020_B_GYO)+COLUMNS(UNMT0020_IF_COPY_B_MEISAI_SHINKI)-1))</f>
        <v/>
      </c>
      <c r="K54" s="112"/>
      <c r="L54" s="267"/>
      <c r="M54" s="267"/>
      <c r="N54" s="267"/>
      <c r="O54" s="385"/>
      <c r="P54" s="267"/>
      <c r="Q54" s="267"/>
      <c r="R54" s="267"/>
      <c r="S54" s="267"/>
      <c r="T54" s="385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</row>
    <row r="55" spans="2:40">
      <c r="B55" s="51" t="s">
        <v>430</v>
      </c>
      <c r="C55" s="52" t="s">
        <v>504</v>
      </c>
      <c r="D55" s="73" t="str">
        <f ca="1">IF(UNMT0020_B_NEBIKI_TAN_GYO_SU=0,"",
ADDRESS(ROW(INDIRECT(UNMT0020_B_LIST_START))+UNMT0020_B_MEISAI_GYO_SU+UNMT0020_B_COMMENT_GYO_SU+UNMT0020_B_NEBIKI_PER_GYO_SU+UNMT0020_B_NEBIKI_DIR_GYO_SU,COLUMN(UNMT0020_B_KINGAKU))&amp;":"&amp;
ADDRESS(ROW(INDIRECT(UNMT0020_B_LIST_START))+UNMT0020_B_MEISAI_GYO_SU+UNMT0020_B_COMMENT_GYO_SU+UNMT0020_B_NEBIKI_PER_GYO_SU+UNMT0020_B_NEBIKI_DIR_GYO_SU+UNMT0020_B_NEBIKI_TAN_GYO_SU-1,COLUMN(UNMT0020_B_KINGAKU)))</f>
        <v/>
      </c>
      <c r="K55" s="112"/>
      <c r="L55" s="267"/>
      <c r="M55" s="267"/>
      <c r="N55" s="267"/>
      <c r="O55" s="385"/>
      <c r="P55" s="267"/>
      <c r="Q55" s="267"/>
      <c r="R55" s="267"/>
      <c r="S55" s="267"/>
      <c r="T55" s="385"/>
      <c r="U55" s="267"/>
      <c r="V55" s="267"/>
      <c r="W55" s="267"/>
      <c r="X55" s="267"/>
      <c r="Y55" s="267"/>
      <c r="Z55" s="267"/>
      <c r="AA55" s="267"/>
      <c r="AB55" s="267"/>
      <c r="AC55" s="267"/>
      <c r="AD55" s="267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</row>
    <row r="56" spans="2:40">
      <c r="K56" s="112"/>
      <c r="L56" s="267"/>
      <c r="M56" s="267"/>
      <c r="N56" s="267"/>
      <c r="O56" s="385"/>
      <c r="P56" s="267"/>
      <c r="Q56" s="267"/>
      <c r="R56" s="267"/>
      <c r="S56" s="267"/>
      <c r="T56" s="385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</row>
    <row r="57" spans="2:40">
      <c r="B57" s="51" t="s">
        <v>376</v>
      </c>
      <c r="C57" s="52" t="s">
        <v>375</v>
      </c>
      <c r="D57" s="73" t="str">
        <f ca="1">IF(UNMT0020_B_SHOKEI_GYO_SU=0,"",
ADDRESS(ROW(INDIRECT(UNMT0020_B_LIST_START))+UNMT0020_B_MEISAI_GYO_SU+UNMT0020_B_COMMENT_GYO_SU+UNMT0020_B_NEBIKI_PER_GYO_SU+UNMT0020_B_NEBIKI_DIR_GYO_SU+UNMT0020_B_NEBIKI_TAN_GYO_SU,COLUMN(UNMT0020_B_ROW_KBN))&amp;":"&amp;
ADDRESS(ROW(INDIRECT(UNMT0020_B_LIST_START))+UNMT0020_B_MEISAI_GYO_SU+UNMT0020_B_COMMENT_GYO_SU+UNMT0020_B_NEBIKI_PER_GYO_SU+UNMT0020_B_NEBIKI_DIR_GYO_SU+UNMT0020_B_NEBIKI_TAN_GYO_SU+UNMT0020_B_SHOKEI_GYO_SU-1,COLUMN(UNMT0020_B_GYO)+COLUMNS(UNMT0020_IF_COPY_B_MEISAI_SHINKI)-1))</f>
        <v/>
      </c>
      <c r="K57" s="112"/>
      <c r="L57" s="267"/>
      <c r="M57" s="267"/>
      <c r="N57" s="267"/>
      <c r="O57" s="385"/>
      <c r="P57" s="267"/>
      <c r="Q57" s="267"/>
      <c r="R57" s="267"/>
      <c r="S57" s="267"/>
      <c r="T57" s="385"/>
      <c r="U57" s="267"/>
      <c r="V57" s="267"/>
      <c r="W57" s="267"/>
      <c r="X57" s="267"/>
      <c r="Y57" s="267"/>
      <c r="Z57" s="267"/>
      <c r="AA57" s="267"/>
      <c r="AB57" s="267"/>
      <c r="AC57" s="267"/>
      <c r="AD57" s="267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</row>
    <row r="58" spans="2:40">
      <c r="K58" s="112"/>
      <c r="L58" s="267"/>
      <c r="M58" s="267"/>
      <c r="N58" s="267"/>
      <c r="O58" s="385"/>
      <c r="P58" s="267"/>
      <c r="Q58" s="267"/>
      <c r="R58" s="267"/>
      <c r="S58" s="267"/>
      <c r="T58" s="385"/>
      <c r="U58" s="267"/>
      <c r="V58" s="267"/>
      <c r="W58" s="267"/>
      <c r="X58" s="267"/>
      <c r="Y58" s="267"/>
      <c r="Z58" s="267"/>
      <c r="AA58" s="267"/>
      <c r="AB58" s="267"/>
      <c r="AC58" s="267"/>
      <c r="AD58" s="267"/>
      <c r="AE58" s="112"/>
      <c r="AF58" s="112"/>
      <c r="AG58" s="112"/>
      <c r="AH58" s="112"/>
      <c r="AI58" s="112"/>
      <c r="AJ58" s="112"/>
      <c r="AK58" s="112"/>
      <c r="AL58" s="112"/>
      <c r="AM58" s="112"/>
      <c r="AN58" s="112"/>
    </row>
    <row r="59" spans="2:40">
      <c r="B59" s="51" t="s">
        <v>393</v>
      </c>
      <c r="C59" s="52" t="s">
        <v>394</v>
      </c>
      <c r="D59" s="73" t="str">
        <f ca="1">IF(UNMT0020_B_GYO_COUNT=0,"",
"UNMT0020_B!"&amp;ADDRESS(ROW(INDIRECT(UNMT0020_B_LIST_START)),COLUMN(UNMT0020_B_GYO))&amp;":"&amp;
ADDRESS(ROW(INDIRECT(UNMT0020_B_LIST_START))+UNMT0020_B_GYO_COUNT-1,COLUMN(UNMT0020_B_GYO)+COLUMNS(UNMT0020_IF_COPY_B_MEISAI_SHINKI)-1))</f>
        <v/>
      </c>
      <c r="K59" s="112"/>
      <c r="L59" s="267"/>
      <c r="M59" s="267"/>
      <c r="N59" s="267"/>
      <c r="O59" s="385"/>
      <c r="P59" s="267"/>
      <c r="Q59" s="267"/>
      <c r="R59" s="267"/>
      <c r="S59" s="267"/>
      <c r="T59" s="385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112"/>
      <c r="AF59" s="112"/>
      <c r="AG59" s="112"/>
      <c r="AH59" s="112"/>
      <c r="AI59" s="112"/>
      <c r="AJ59" s="112"/>
      <c r="AK59" s="112"/>
      <c r="AL59" s="112"/>
      <c r="AM59" s="112"/>
      <c r="AN59" s="112"/>
    </row>
    <row r="60" spans="2:40">
      <c r="K60" s="112"/>
      <c r="L60" s="273"/>
      <c r="M60" s="273"/>
      <c r="N60" s="112"/>
      <c r="P60" s="112"/>
      <c r="Q60" s="112"/>
      <c r="R60" s="112"/>
      <c r="S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  <c r="AN60" s="112"/>
    </row>
    <row r="61" spans="2:40">
      <c r="B61" s="51" t="s">
        <v>362</v>
      </c>
      <c r="C61" s="52" t="s">
        <v>377</v>
      </c>
      <c r="D61" s="73" t="str">
        <f ca="1">IF(UNMT0020_B_GYO_COUNT=0,"",
ADDRESS(ROW(INDIRECT(UNMT0020_B_LIST_START)),COLUMN(UNMT0020_B_GYO))&amp;":"&amp;
ADDRESS(ROW(INDIRECT(UNMT0020_B_LIST_START))+UNMT0020_B_GYO_COUNT-1,COLUMN(UNMT0020_B_GYO)))</f>
        <v/>
      </c>
      <c r="K61" s="112"/>
      <c r="L61" s="267"/>
      <c r="M61" s="267"/>
      <c r="N61" s="112"/>
      <c r="P61" s="112"/>
      <c r="Q61" s="112"/>
      <c r="R61" s="112"/>
      <c r="S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  <c r="AN61" s="112"/>
    </row>
    <row r="62" spans="2:40">
      <c r="K62" s="112"/>
      <c r="L62" s="273"/>
      <c r="M62" s="273"/>
      <c r="N62" s="112"/>
      <c r="P62" s="112"/>
      <c r="Q62" s="112"/>
      <c r="R62" s="112"/>
      <c r="S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</row>
    <row r="63" spans="2:40">
      <c r="B63" s="354" t="s">
        <v>901</v>
      </c>
      <c r="C63" s="356" t="s">
        <v>902</v>
      </c>
      <c r="D63" s="355" t="str">
        <f ca="1">"UNMT0020_B!"&amp;
ADDRESS(ROW(INDIRECT(UNMT0020_B_LIST_START))+UNMT0020_B_GYO_COUNT,COLUMN(UNMT0020_B_GYO))
&amp;":"&amp;ADDRESS(ROW(INDIRECT(UNMT0020_B_LIST_START))+UNMT0020_B_GYO_COUNT+UNMT0020_IF_MULTI_SELECT_TENKAI_KENSU-1,COLUMN(UNMT0020_B_GYO)+COLUMNS(UNMT0020_IF_COPY_B_MEISAI_SHINKI)-1)</f>
        <v>UNMT0020_B!$L$18:$AD$116</v>
      </c>
      <c r="K63" s="112"/>
      <c r="L63" s="267"/>
      <c r="M63" s="267"/>
      <c r="N63" s="112"/>
      <c r="P63" s="112"/>
      <c r="Q63" s="112"/>
      <c r="R63" s="112"/>
      <c r="S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  <c r="AN63" s="112"/>
    </row>
    <row r="64" spans="2:40">
      <c r="K64" s="112"/>
      <c r="L64" s="273"/>
      <c r="M64" s="273"/>
      <c r="N64" s="112"/>
      <c r="P64" s="112"/>
      <c r="Q64" s="112"/>
      <c r="R64" s="112"/>
      <c r="S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</row>
    <row r="65" spans="11:40">
      <c r="K65" s="112"/>
      <c r="L65" s="273"/>
      <c r="M65" s="273"/>
      <c r="N65" s="112"/>
      <c r="P65" s="112"/>
      <c r="Q65" s="112"/>
      <c r="R65" s="112"/>
      <c r="S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  <c r="AN65" s="112"/>
    </row>
    <row r="66" spans="11:40">
      <c r="K66" s="112"/>
      <c r="L66" s="267"/>
      <c r="M66" s="267"/>
      <c r="N66" s="112"/>
      <c r="P66" s="112"/>
      <c r="Q66" s="112"/>
      <c r="R66" s="112"/>
      <c r="S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  <c r="AN66" s="112"/>
    </row>
    <row r="67" spans="11:40">
      <c r="K67" s="112"/>
      <c r="L67" s="273"/>
      <c r="M67" s="267"/>
      <c r="N67" s="112"/>
      <c r="P67" s="112"/>
      <c r="Q67" s="112"/>
      <c r="R67" s="112"/>
      <c r="S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  <c r="AN67" s="112"/>
    </row>
    <row r="68" spans="11:40">
      <c r="K68" s="112"/>
      <c r="L68" s="112"/>
      <c r="M68" s="112"/>
      <c r="N68" s="112"/>
      <c r="P68" s="112"/>
      <c r="Q68" s="112"/>
      <c r="R68" s="112"/>
      <c r="S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  <c r="AN68" s="112"/>
    </row>
    <row r="69" spans="11:40">
      <c r="K69" s="112"/>
      <c r="L69" s="112"/>
      <c r="M69" s="112"/>
      <c r="N69" s="112"/>
      <c r="P69" s="112"/>
      <c r="Q69" s="112"/>
      <c r="R69" s="112"/>
      <c r="S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  <c r="AN69" s="112"/>
    </row>
    <row r="70" spans="11:40">
      <c r="K70" s="112"/>
      <c r="L70" s="112"/>
      <c r="M70" s="112"/>
      <c r="N70" s="112"/>
      <c r="P70" s="112"/>
      <c r="Q70" s="112"/>
      <c r="R70" s="112"/>
      <c r="S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</row>
    <row r="71" spans="11:40">
      <c r="P71" s="112"/>
      <c r="Q71" s="112"/>
      <c r="R71" s="112"/>
      <c r="S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</row>
    <row r="72" spans="11:40">
      <c r="P72" s="112"/>
      <c r="Q72" s="112"/>
      <c r="R72" s="112"/>
      <c r="S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</row>
  </sheetData>
  <sheetProtection sheet="1" objects="1" scenarios="1" selectLockedCells="1"/>
  <phoneticPr fontId="2"/>
  <dataValidations disablePrompts="1" count="2">
    <dataValidation type="whole" allowBlank="1" showInputMessage="1" showErrorMessage="1" sqref="S61 R63">
      <formula1>-9999999</formula1>
      <formula2>9999999</formula2>
    </dataValidation>
    <dataValidation type="custom" allowBlank="1" showInputMessage="1" showErrorMessage="1" sqref="T63 O61 O63 T61">
      <formula1>LENB(O61)&lt;=50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GF110"/>
  <sheetViews>
    <sheetView topLeftCell="CJ40" zoomScale="115" zoomScaleNormal="115" workbookViewId="0">
      <selection activeCell="CT52" activeCellId="5" sqref="CT18:DC19 CT35:DC36 CT69:DC70 CT86:DC87 CT103:DC104 CT52:DC53"/>
    </sheetView>
  </sheetViews>
  <sheetFormatPr defaultRowHeight="13.5"/>
  <cols>
    <col min="1" max="2" width="16.25" customWidth="1"/>
    <col min="3" max="3" width="7.25" style="143" customWidth="1"/>
    <col min="6" max="6" width="17.375" bestFit="1" customWidth="1"/>
    <col min="7" max="7" width="31.625" bestFit="1" customWidth="1"/>
    <col min="13" max="13" width="11.125" customWidth="1"/>
    <col min="14" max="14" width="12.25" customWidth="1"/>
    <col min="15" max="15" width="21.25" customWidth="1"/>
    <col min="16" max="20" width="12.25" customWidth="1"/>
    <col min="23" max="23" width="21.75" bestFit="1" customWidth="1"/>
    <col min="24" max="24" width="36.125" bestFit="1" customWidth="1"/>
    <col min="25" max="25" width="16.125" bestFit="1" customWidth="1"/>
    <col min="26" max="26" width="11.625" bestFit="1" customWidth="1"/>
    <col min="27" max="27" width="22.625" customWidth="1"/>
    <col min="28" max="28" width="22.625" style="349" customWidth="1"/>
    <col min="29" max="29" width="17.375" style="349" customWidth="1"/>
    <col min="30" max="30" width="8.125" style="349" customWidth="1"/>
    <col min="31" max="31" width="16.375" bestFit="1" customWidth="1"/>
    <col min="32" max="32" width="31.5" bestFit="1" customWidth="1"/>
    <col min="33" max="33" width="9.375" customWidth="1"/>
    <col min="34" max="34" width="6.5" customWidth="1"/>
    <col min="35" max="35" width="6.875" bestFit="1" customWidth="1"/>
    <col min="36" max="36" width="6.875" style="349" customWidth="1"/>
    <col min="37" max="37" width="6.875" customWidth="1"/>
    <col min="38" max="38" width="16.375" customWidth="1"/>
    <col min="39" max="39" width="6.875" customWidth="1"/>
    <col min="40" max="40" width="10.5" bestFit="1" customWidth="1"/>
    <col min="41" max="41" width="10.125" bestFit="1" customWidth="1"/>
    <col min="42" max="42" width="10.875" bestFit="1" customWidth="1"/>
    <col min="43" max="43" width="12.25" style="50" bestFit="1" customWidth="1"/>
    <col min="44" max="44" width="14.375" bestFit="1" customWidth="1"/>
    <col min="45" max="45" width="18.125" bestFit="1" customWidth="1"/>
    <col min="46" max="46" width="15.875" bestFit="1" customWidth="1"/>
    <col min="47" max="47" width="14.25" bestFit="1" customWidth="1"/>
    <col min="48" max="48" width="13.375" customWidth="1"/>
    <col min="49" max="49" width="10.875" bestFit="1" customWidth="1"/>
    <col min="50" max="50" width="11.25" bestFit="1" customWidth="1"/>
    <col min="51" max="51" width="18.375" bestFit="1" customWidth="1"/>
    <col min="52" max="53" width="8" bestFit="1" customWidth="1"/>
    <col min="54" max="54" width="17.125" bestFit="1" customWidth="1"/>
    <col min="55" max="55" width="17.125" style="349" customWidth="1"/>
    <col min="56" max="56" width="12.375" bestFit="1" customWidth="1"/>
    <col min="57" max="57" width="11.75" bestFit="1" customWidth="1"/>
    <col min="58" max="58" width="12.25" bestFit="1" customWidth="1"/>
    <col min="59" max="59" width="12.375" bestFit="1" customWidth="1"/>
    <col min="60" max="60" width="17.625" bestFit="1" customWidth="1"/>
    <col min="61" max="61" width="15.875" bestFit="1" customWidth="1"/>
    <col min="62" max="62" width="17.75" bestFit="1" customWidth="1"/>
    <col min="63" max="63" width="16.5" bestFit="1" customWidth="1"/>
    <col min="64" max="64" width="18.875" bestFit="1" customWidth="1"/>
    <col min="65" max="65" width="10.125" bestFit="1" customWidth="1"/>
    <col min="66" max="66" width="12.25" bestFit="1" customWidth="1"/>
    <col min="67" max="67" width="7.5" bestFit="1" customWidth="1"/>
    <col min="68" max="68" width="12.5" bestFit="1" customWidth="1"/>
    <col min="69" max="69" width="14.25" bestFit="1" customWidth="1"/>
    <col min="70" max="70" width="9.25" bestFit="1" customWidth="1"/>
    <col min="71" max="71" width="11" bestFit="1" customWidth="1"/>
    <col min="72" max="72" width="10.125" bestFit="1" customWidth="1"/>
    <col min="73" max="89" width="10.125" customWidth="1"/>
    <col min="90" max="95" width="2.5" customWidth="1"/>
    <col min="96" max="96" width="19.625" customWidth="1"/>
    <col min="97" max="97" width="9" customWidth="1"/>
    <col min="135" max="135" width="19" bestFit="1" customWidth="1"/>
    <col min="136" max="136" width="38.5" bestFit="1" customWidth="1"/>
    <col min="152" max="152" width="21.625" bestFit="1" customWidth="1"/>
    <col min="153" max="153" width="34.125" customWidth="1"/>
    <col min="154" max="154" width="25.625" bestFit="1" customWidth="1"/>
    <col min="156" max="156" width="12.375" customWidth="1"/>
    <col min="157" max="157" width="15.375" customWidth="1"/>
  </cols>
  <sheetData>
    <row r="1" spans="1:188" ht="97.5" customHeight="1" thickBot="1">
      <c r="A1" s="50"/>
      <c r="B1" s="46"/>
      <c r="C1" s="46"/>
      <c r="D1" s="27" t="s">
        <v>508</v>
      </c>
      <c r="M1" s="27" t="s">
        <v>246</v>
      </c>
      <c r="V1" s="27" t="s">
        <v>134</v>
      </c>
      <c r="CR1" s="27" t="s">
        <v>509</v>
      </c>
      <c r="EE1" s="27" t="s">
        <v>510</v>
      </c>
      <c r="EU1" s="340" t="s">
        <v>876</v>
      </c>
    </row>
    <row r="2" spans="1:188" ht="20.25" thickBot="1">
      <c r="A2" s="46" t="s">
        <v>780</v>
      </c>
      <c r="B2" s="46" t="s">
        <v>783</v>
      </c>
      <c r="C2" s="46"/>
      <c r="E2" s="27" t="s">
        <v>495</v>
      </c>
      <c r="W2" s="27"/>
      <c r="X2" s="27"/>
      <c r="Y2" s="27"/>
      <c r="Z2" s="27"/>
      <c r="AE2" t="s">
        <v>238</v>
      </c>
      <c r="AF2" s="28" t="s">
        <v>239</v>
      </c>
      <c r="AG2" s="29" t="b">
        <f ca="1">OR(AH2,AI2)</f>
        <v>1</v>
      </c>
      <c r="AH2" s="44" t="b">
        <f ca="1">IF(OR(AQ2="",AR2="",AS2="",AT2="",AX2="",BB2=""),TRUE,FALSE)</f>
        <v>1</v>
      </c>
      <c r="AI2" s="44" t="b">
        <f ca="1">IF(BV2=2,IF(OR(AND(BV2=1,BY2=""),AND(BV2=1,CA2=""),AND(BV2=3,CB2=0)),TRUE,FALSE),IF(OR(BX2="",AND(BV2=1,BY2=""),AND(BV2=1,CA2=""),AND(BV2=3,CB2=0)),TRUE,FALSE))</f>
        <v>1</v>
      </c>
      <c r="AJ2" s="353" t="str">
        <f ca="1">IF(BV2&gt;1,ROW(),"")</f>
        <v/>
      </c>
      <c r="AK2" s="44">
        <f>UNMT0020_IF_SAVE_W_USER_ID</f>
        <v>0</v>
      </c>
      <c r="AL2" s="44">
        <f>UNMT0020_IF_SAVE_W_SERIAL</f>
        <v>0</v>
      </c>
      <c r="AM2" s="44">
        <f>1+ROW()-ROW(UNMT0020_IF_SAVE_COPY_START)</f>
        <v>-3</v>
      </c>
      <c r="AN2" s="44">
        <f>UNMT0020_IF_SAVE_W_MODE</f>
        <v>1</v>
      </c>
      <c r="AO2" s="44" t="str">
        <f>IF(UNMT0020_H_MITSUMORI_NO=0,"",UNMT0020_H_MITSUMORI_NO)</f>
        <v/>
      </c>
      <c r="AP2" s="44">
        <f>IF(UNMT0020_H_MODE_KBN=0,"",UNMT0020_H_MODE_KBN)</f>
        <v>1</v>
      </c>
      <c r="AQ2" s="309">
        <f ca="1">IF(UNMT0020_H_MITSUMORI_DATE=0,"",UNMT0020_H_MITSUMORI_DATE)</f>
        <v>43005</v>
      </c>
      <c r="AR2" s="44">
        <f ca="1">IF(UNMT0020_H_STS_CD=0,1,UNMT0020_H_STS_CD)</f>
        <v>2</v>
      </c>
      <c r="AS2" s="44" t="str">
        <f>IF(UNMT0020_H_NYURYOKUSHA_CD=0,"",UNMT0020_H_NYURYOKUSHA_CD)</f>
        <v/>
      </c>
      <c r="AT2" s="44" t="str">
        <f>IF(UNMT0020_H_TORIHIKI_BUNRUI_CD=0,"",UNMT0020_H_TORIHIKI_BUNRUI_CD)</f>
        <v/>
      </c>
      <c r="AU2" s="44" t="str">
        <f>IF(UNMT0020_H_SANSHO_MITSUMORI_NO=0,"",UNMT0020_H_SANSHO_MITSUMORI_NO)</f>
        <v/>
      </c>
      <c r="AV2" s="44">
        <f>IF(UNMT0020_H_KOYOMI_KBN=1,1,2)</f>
        <v>1</v>
      </c>
      <c r="AW2" s="44" t="str">
        <f>IF(UNMT0020_H_SEIKYUSAKI_CD=0,"",UNMT0020_H_SEIKYUSAKI_CD)</f>
        <v/>
      </c>
      <c r="AX2" s="44" t="str">
        <f>IF(UNMT0020_H_SEIKYUSAKI_MEI=0,"",UNMT0020_H_SEIKYUSAKI_MEI)</f>
        <v/>
      </c>
      <c r="AY2" s="44" t="str">
        <f>IF(UNMT0020_H_SEMPOTANTOSHA_MEI=0,"",UNMT0020_H_SEMPOTANTOSHA_MEI)</f>
        <v/>
      </c>
      <c r="AZ2" s="44" t="str">
        <f>IF(UNMT0020_H_KESHO=0,"",UNMT0020_H_KESHO)</f>
        <v>御中</v>
      </c>
      <c r="BA2" s="44" t="str">
        <f>IF(UNMT0020_H_KENMEI=0,"",UNMT0020_H_KENMEI)</f>
        <v/>
      </c>
      <c r="BB2" s="44" t="str">
        <f>IF(UNMT0020_H_EIGYO_TANTO_CD=0,"",UNMT0020_H_EIGYO_TANTO_CD)</f>
        <v/>
      </c>
      <c r="BC2" s="353" t="str">
        <f>IF(UNMT0020_H_MEMO=0,"",UNMT0020_H_MEMO)</f>
        <v/>
      </c>
      <c r="BD2" s="44" t="str">
        <f>IF(UNMT0020_H_UKEWATASHI_DATE=0,"",UNMT0020_H_UKEWATASHI_DATE)</f>
        <v/>
      </c>
      <c r="BE2" s="44" t="str">
        <f>IF(UNMT0020_H_UKEWATASHI_BASHO=0,"",UNMT0020_H_UKEWATASHI_BASHO)</f>
        <v/>
      </c>
      <c r="BF2" s="44" t="str">
        <f>IF(UNMT0020_H_TORIHIKI_JOKEN=0,"",UNMT0020_H_TORIHIKI_JOKEN)</f>
        <v/>
      </c>
      <c r="BG2" s="44" t="str">
        <f>IF(UNMT0020_H_YUKOKIGEN=0,"",UNMT0020_H_YUKOKIGEN)</f>
        <v/>
      </c>
      <c r="BH2" s="44" t="b">
        <f>IF(UNMT0020_H_TANTO_MARK_FLG=TRUE,TRUE,FALSE)</f>
        <v>1</v>
      </c>
      <c r="BI2" s="44" t="b">
        <f>IF(UNMT0020_H_DAIHYO_MEI_FLG=TRUE,TRUE,FALSE)</f>
        <v>0</v>
      </c>
      <c r="BJ2" s="44" t="b">
        <f>IF(UNMT0020_H_KAISHA_MARK_FLG=TRUE,TRUE,FALSE)</f>
        <v>1</v>
      </c>
      <c r="BK2" s="44" t="b">
        <f>IF(UNMT0020_H_SHONIN_RAN_FLG=TRUE,TRUE,FALSE)</f>
        <v>0</v>
      </c>
      <c r="BL2" s="44" t="b">
        <f>IF(UNMT0020_H_ZEIKOMI_PRINT_FLG=TRUE,TRUE,FALSE)</f>
        <v>0</v>
      </c>
      <c r="BM2" s="45">
        <f>UNMT0020_H_TAX_RATE</f>
        <v>0</v>
      </c>
      <c r="BN2" s="44">
        <f ca="1">UNMT0020_H_NUKI_TOTAL</f>
        <v>0</v>
      </c>
      <c r="BO2" s="44">
        <f>UNMT0020_H_TAX</f>
        <v>0</v>
      </c>
      <c r="BP2" s="44">
        <f>UNMT0020_H_KOMI_TOTAL</f>
        <v>0</v>
      </c>
      <c r="BQ2" s="44">
        <f ca="1">UNMT0020_H_GENKA_TOTAL</f>
        <v>0</v>
      </c>
      <c r="BR2" s="44">
        <f>UNMT0020_H_ARARIEKI</f>
        <v>0</v>
      </c>
      <c r="BS2" s="45">
        <f>UNMT0020_H_RIEKI_RATE</f>
        <v>0</v>
      </c>
      <c r="BT2" s="44" t="b">
        <v>0</v>
      </c>
      <c r="BU2" s="44">
        <f>1+ROW()-ROW(UNMT0020_IF_SAVE_COPY_START)</f>
        <v>-3</v>
      </c>
      <c r="BV2" s="44">
        <f ca="1">IF(OFFSET(UNMT0020_B_ROW_KBN,1+ROW()-ROW(UNMT0020_IF_SAVE_COPY_START),0)=0,1,OFFSET(UNMT0020_B_ROW_KBN,1+ROW()-ROW(UNMT0020_IF_SAVE_COPY_START),0))</f>
        <v>1</v>
      </c>
      <c r="BW2" s="44" t="str">
        <f ca="1">IF(OFFSET(UNMT0020_B_SHOHIN_CD,1+ROW()-ROW(UNMT0020_IF_SAVE_COPY_START),0)=0,"",OFFSET(UNMT0020_B_SHOHIN_CD,1+ROW()-ROW(UNMT0020_IF_SAVE_COPY_START),0))</f>
        <v/>
      </c>
      <c r="BX2" s="44" t="str">
        <f ca="1">IF(OFFSET(UNMT0020_B_SHOHIN_MEI,1+ROW()-ROW(UNMT0020_IF_SAVE_COPY_START),0)=0,"",OFFSET(UNMT0020_B_SHOHIN_MEI,1+ROW()-ROW(UNMT0020_IF_SAVE_COPY_START),0))</f>
        <v/>
      </c>
      <c r="BY2" s="303" t="str">
        <f ca="1">IF(OFFSET(UNMT0020_B_SURYO,1+ROW()-ROW(UNMT0020_IF_SAVE_COPY_START),0)=0,"",OFFSET(UNMT0020_B_SURYO,1+ROW()-ROW(UNMT0020_IF_SAVE_COPY_START),0))</f>
        <v/>
      </c>
      <c r="BZ2" s="44" t="str">
        <f ca="1">IF(OFFSET(UNMT0020_B_TANI,1+ROW()-ROW(UNMT0020_IF_SAVE_COPY_START),0)=0,"",OFFSET(UNMT0020_B_TANI,1+ROW()-ROW(UNMT0020_IF_SAVE_COPY_START),0))</f>
        <v/>
      </c>
      <c r="CA2" s="303" t="str">
        <f ca="1">IF(OFFSET(UNMT0020_B_TANKA,1+ROW()-ROW(UNMT0020_IF_SAVE_COPY_START),0)="","",OFFSET(UNMT0020_B_TANKA,1+ROW()-ROW(UNMT0020_IF_SAVE_COPY_START),0))</f>
        <v/>
      </c>
      <c r="CB2" s="303" t="str">
        <f ca="1">IF(OFFSET(UNMT0020_B_KINGAKU,1+ROW()-ROW(UNMT0020_IF_SAVE_COPY_START),0)="","",OFFSET(UNMT0020_B_KINGAKU,1+ROW()-ROW(UNMT0020_IF_SAVE_COPY_START),0))</f>
        <v/>
      </c>
      <c r="CC2" s="44" t="str">
        <f ca="1">IF(OFFSET(UNMT0020_B_TEKIYO,1+ROW()-ROW(UNMT0020_IF_SAVE_COPY_START),0)=0,"",OFFSET(UNMT0020_B_TEKIYO,1+ROW()-ROW(UNMT0020_IF_SAVE_COPY_START),0))</f>
        <v/>
      </c>
      <c r="CD2" s="303" t="str">
        <f ca="1">IF(OFFSET(UNMT0020_B_GENTANKA,1+ROW()-ROW(UNMT0020_IF_SAVE_COPY_START),0)="","",OFFSET(UNMT0020_B_GENTANKA,1+ROW()-ROW(UNMT0020_IF_SAVE_COPY_START),0))</f>
        <v/>
      </c>
      <c r="CE2" s="303" t="str">
        <f ca="1">IF(OFFSET(UNMT0020_B_GENKA,1+ROW()-ROW(UNMT0020_IF_SAVE_COPY_START),0)="","",OFFSET(UNMT0020_B_GENKA,1+ROW()-ROW(UNMT0020_IF_SAVE_COPY_START),0))</f>
        <v/>
      </c>
      <c r="CF2" s="45" t="str">
        <f ca="1">IF(OFFSET(UNMT0020_B_ARARIRITSU,1+ROW()-ROW(UNMT0020_IF_SAVE_COPY_START),0)="","",OFFSET(UNMT0020_B_ARARIRITSU,1+ROW()-ROW(UNMT0020_IF_SAVE_COPY_START),0))</f>
        <v/>
      </c>
      <c r="CG2" s="303" t="str">
        <f ca="1">IF(OFFSET(UNMT0020_B_ARARIEKI,1+ROW()-ROW(UNMT0020_IF_SAVE_COPY_START),0)="","",OFFSET(UNMT0020_B_ARARIEKI,1+ROW()-ROW(UNMT0020_IF_SAVE_COPY_START),0))</f>
        <v/>
      </c>
      <c r="CH2" s="303" t="str">
        <f ca="1">IF(OFFSET(UNMT0020_B_TEIKA,1+ROW()-ROW(UNMT0020_IF_SAVE_COPY_START),0)="","",OFFSET(UNMT0020_B_TEIKA,1+ROW()-ROW(UNMT0020_IF_SAVE_COPY_START),0))</f>
        <v/>
      </c>
      <c r="CI2" s="44" t="str">
        <f ca="1">IF(OFFSET(UNMT0020_B_SHIIRESAKI_CD,1+ROW()-ROW(UNMT0020_IF_SAVE_COPY_START),0)=0,"",OFFSET(UNMT0020_B_SHIIRESAKI_CD,1+ROW()-ROW(UNMT0020_IF_SAVE_COPY_START),0))</f>
        <v/>
      </c>
      <c r="CJ2" s="44"/>
      <c r="CK2" s="44" t="b">
        <v>0</v>
      </c>
      <c r="CL2" s="28"/>
      <c r="CM2" s="28"/>
      <c r="CN2" s="28"/>
      <c r="CO2" s="28"/>
      <c r="CP2" s="28"/>
      <c r="CQ2" s="28"/>
      <c r="CR2" s="27" t="s">
        <v>112</v>
      </c>
      <c r="CY2" s="138" t="s">
        <v>831</v>
      </c>
      <c r="DA2" t="s">
        <v>832</v>
      </c>
      <c r="DG2" s="27" t="s">
        <v>330</v>
      </c>
      <c r="DJ2" s="65" t="s">
        <v>49</v>
      </c>
      <c r="DK2" s="24" t="s">
        <v>158</v>
      </c>
      <c r="DL2" s="65" t="s">
        <v>65</v>
      </c>
      <c r="DM2" s="66" t="s">
        <v>50</v>
      </c>
      <c r="DN2" s="66" t="s">
        <v>81</v>
      </c>
      <c r="DO2" s="65" t="s">
        <v>51</v>
      </c>
      <c r="DP2" s="66" t="s">
        <v>33</v>
      </c>
      <c r="DQ2" s="65" t="s">
        <v>52</v>
      </c>
      <c r="DR2" s="65" t="s">
        <v>53</v>
      </c>
      <c r="DS2" s="65" t="s">
        <v>57</v>
      </c>
      <c r="DT2" s="65" t="s">
        <v>54</v>
      </c>
      <c r="DU2" s="65" t="s">
        <v>55</v>
      </c>
      <c r="DV2" s="65" t="s">
        <v>56</v>
      </c>
      <c r="DW2" s="65" t="s">
        <v>29</v>
      </c>
      <c r="DX2" s="65" t="s">
        <v>58</v>
      </c>
      <c r="DY2" s="65" t="s">
        <v>59</v>
      </c>
      <c r="DZ2" s="24" t="s">
        <v>23</v>
      </c>
      <c r="EA2" s="24" t="s">
        <v>160</v>
      </c>
      <c r="EB2" s="24" t="s">
        <v>161</v>
      </c>
      <c r="EE2" s="27"/>
      <c r="EF2" s="27"/>
      <c r="EG2" s="583" t="s">
        <v>50</v>
      </c>
      <c r="EH2" s="584"/>
      <c r="EI2" s="584"/>
      <c r="EJ2" s="584"/>
      <c r="EK2" s="584"/>
      <c r="EL2" s="584"/>
      <c r="EM2" s="324" t="s">
        <v>81</v>
      </c>
      <c r="EN2" s="325" t="s">
        <v>51</v>
      </c>
      <c r="EO2" s="326" t="s">
        <v>33</v>
      </c>
      <c r="EP2" s="325" t="s">
        <v>454</v>
      </c>
      <c r="EQ2" s="585" t="s">
        <v>53</v>
      </c>
      <c r="ER2" s="584"/>
      <c r="ES2" s="586"/>
      <c r="EV2" s="341" t="s">
        <v>877</v>
      </c>
      <c r="EW2" s="347" t="s">
        <v>888</v>
      </c>
      <c r="EX2" s="345">
        <v>100</v>
      </c>
      <c r="FB2" s="335" t="s">
        <v>906</v>
      </c>
      <c r="FC2" s="335" t="s">
        <v>157</v>
      </c>
      <c r="FD2" s="335" t="s">
        <v>176</v>
      </c>
      <c r="FE2" s="335" t="s">
        <v>907</v>
      </c>
      <c r="FF2" s="335" t="s">
        <v>908</v>
      </c>
      <c r="FG2" s="335" t="s">
        <v>909</v>
      </c>
      <c r="FH2" s="335" t="s">
        <v>910</v>
      </c>
      <c r="FI2" s="335" t="s">
        <v>911</v>
      </c>
      <c r="FJ2" s="335" t="s">
        <v>182</v>
      </c>
      <c r="FK2" s="335" t="s">
        <v>187</v>
      </c>
      <c r="FL2" s="335" t="s">
        <v>184</v>
      </c>
      <c r="FM2" s="335" t="s">
        <v>912</v>
      </c>
      <c r="FN2" s="335" t="s">
        <v>185</v>
      </c>
      <c r="FO2" s="335" t="s">
        <v>186</v>
      </c>
      <c r="FP2" s="335" t="s">
        <v>188</v>
      </c>
      <c r="FQ2" s="335" t="s">
        <v>913</v>
      </c>
      <c r="FR2" s="335" t="s">
        <v>177</v>
      </c>
      <c r="FS2" s="335" t="s">
        <v>914</v>
      </c>
      <c r="FT2" s="335" t="s">
        <v>915</v>
      </c>
      <c r="FU2" s="335" t="s">
        <v>916</v>
      </c>
      <c r="FV2" s="335" t="s">
        <v>974</v>
      </c>
      <c r="FW2" s="335" t="s">
        <v>917</v>
      </c>
      <c r="FX2" s="335" t="s">
        <v>918</v>
      </c>
      <c r="FY2" s="335" t="s">
        <v>919</v>
      </c>
      <c r="FZ2" s="335" t="s">
        <v>920</v>
      </c>
      <c r="GA2" s="335" t="s">
        <v>921</v>
      </c>
      <c r="GB2" s="335" t="s">
        <v>922</v>
      </c>
      <c r="GC2" s="335" t="s">
        <v>923</v>
      </c>
      <c r="GD2" s="335" t="s">
        <v>924</v>
      </c>
      <c r="GE2" s="335" t="s">
        <v>925</v>
      </c>
      <c r="GF2" s="335" t="s">
        <v>926</v>
      </c>
    </row>
    <row r="3" spans="1:188" ht="17.25" thickBot="1">
      <c r="A3" t="s">
        <v>781</v>
      </c>
      <c r="B3" s="143" t="s">
        <v>782</v>
      </c>
      <c r="F3" t="s">
        <v>496</v>
      </c>
      <c r="G3" s="28" t="s">
        <v>497</v>
      </c>
      <c r="H3" s="29"/>
      <c r="N3" s="48" t="s">
        <v>244</v>
      </c>
      <c r="O3" s="48" t="s">
        <v>217</v>
      </c>
      <c r="Q3" s="48" t="s">
        <v>244</v>
      </c>
      <c r="R3" s="48" t="s">
        <v>252</v>
      </c>
      <c r="V3" s="27"/>
      <c r="W3" t="s">
        <v>230</v>
      </c>
      <c r="AK3" t="s">
        <v>234</v>
      </c>
      <c r="AO3" t="s">
        <v>170</v>
      </c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352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S3" t="s">
        <v>354</v>
      </c>
      <c r="CT3" t="s">
        <v>353</v>
      </c>
      <c r="CU3" s="29" t="str">
        <f>IF(UNMT0020_IF_MITSU_MODE=1,
ADDRESS(ROW(UNMT0020_IF_COPY_H_NORMAL_SHINKI),COLUMN(UNMT0020_IF_COPY_H_NORMAL_SHINKI))&amp;":"&amp;ADDRESS(ROW(UNMT0020_IF_COPY_H_NORMAL_SHINKI)+ROWS(UNMT0020_IF_COPY_H_NORMAL_SHINKI)-1,COLUMN(UNMT0020_IF_COPY_H_NORMAL_SHINKI)+COLUMNS(UNMT0020_IF_COPY_H_NORMAL_SHINKI)-1),
ADDRESS(ROW(UNMT0020_IF_COPY_H_TANKA_SHINKI),COLUMN(UNMT0020_IF_COPY_H_TANKA_SHINKI))&amp;":"&amp;ADDRESS(ROW(UNMT0020_IF_COPY_H_TANKA_SHINKI)+ROWS(UNMT0020_IF_COPY_H_TANKA_SHINKI)-1,COLUMN(UNMT0020_IF_COPY_H_TANKA_SHINKI)+COLUMNS(UNMT0020_IF_COPY_H_TANKA_SHINKI)-1))</f>
        <v>$CS$11:$DE$25</v>
      </c>
      <c r="CY3" s="102"/>
      <c r="CZ3" s="102" t="s">
        <v>106</v>
      </c>
      <c r="DA3" s="297">
        <v>2</v>
      </c>
      <c r="DH3" t="s">
        <v>331</v>
      </c>
      <c r="EG3" s="279"/>
      <c r="EH3" s="279"/>
      <c r="EI3" s="279"/>
      <c r="EJ3" s="279"/>
      <c r="EK3" s="279"/>
      <c r="EL3" s="279"/>
      <c r="EM3" s="279"/>
      <c r="EN3" s="279"/>
      <c r="EO3" s="279"/>
      <c r="EP3" s="279"/>
      <c r="EQ3" s="279"/>
      <c r="ER3" s="279"/>
      <c r="ES3" s="279"/>
      <c r="EV3" s="341"/>
      <c r="EW3" s="341"/>
      <c r="EX3" s="342"/>
      <c r="FB3" s="351" t="s">
        <v>896</v>
      </c>
      <c r="FC3" s="346"/>
      <c r="FD3" s="346"/>
      <c r="FE3" s="346"/>
      <c r="FF3" s="346"/>
      <c r="FG3" s="346"/>
      <c r="FH3" s="346"/>
      <c r="FI3" s="348" t="s">
        <v>893</v>
      </c>
      <c r="FJ3" s="346"/>
      <c r="FK3" s="346"/>
      <c r="FL3" s="346"/>
      <c r="FM3" s="348" t="s">
        <v>894</v>
      </c>
      <c r="FN3" s="348"/>
      <c r="FO3" s="348"/>
      <c r="FP3" s="346"/>
      <c r="FQ3" s="346"/>
      <c r="FR3" s="346"/>
      <c r="FS3" s="346"/>
      <c r="FT3" s="346"/>
    </row>
    <row r="4" spans="1:188" ht="16.5">
      <c r="F4" t="s">
        <v>764</v>
      </c>
      <c r="G4" t="s">
        <v>765</v>
      </c>
      <c r="H4" s="94"/>
      <c r="N4" s="48" t="s">
        <v>245</v>
      </c>
      <c r="O4" s="49">
        <v>4</v>
      </c>
      <c r="Q4" s="48" t="s">
        <v>245</v>
      </c>
      <c r="R4" s="49">
        <v>2</v>
      </c>
      <c r="W4" t="s">
        <v>226</v>
      </c>
      <c r="X4" t="s">
        <v>231</v>
      </c>
      <c r="Y4" s="29">
        <v>0</v>
      </c>
      <c r="AA4" s="354" t="s">
        <v>935</v>
      </c>
      <c r="AB4" s="354"/>
      <c r="AF4" t="s">
        <v>135</v>
      </c>
      <c r="AG4" t="s">
        <v>216</v>
      </c>
      <c r="AK4" t="s">
        <v>433</v>
      </c>
      <c r="AL4" t="s">
        <v>434</v>
      </c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352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 t="s">
        <v>190</v>
      </c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S4" t="s">
        <v>355</v>
      </c>
      <c r="CT4" t="s">
        <v>357</v>
      </c>
      <c r="CU4" s="29" t="str">
        <f>IF(UNMT0020_IF_MITSU_MODE=1,
ADDRESS(ROW(UNMT0020_IF_COPY_H_NORMAL_SHUSEI),COLUMN(UNMT0020_IF_COPY_H_NORMAL_SHUSEI))&amp;":"&amp;ADDRESS(ROW(UNMT0020_IF_COPY_H_NORMAL_SHUSEI)+ROWS(UNMT0020_IF_COPY_H_NORMAL_SHUSEI)-1,COLUMN(UNMT0020_IF_COPY_H_NORMAL_SHUSEI)+COLUMNS(UNMT0020_IF_COPY_H_NORMAL_SHUSEI)-1),
ADDRESS(ROW(UNMT0020_IF_COPY_H_TANKA_SHUSEI),COLUMN(UNMT0020_IF_COPY_H_TANKA_SHUSEI))&amp;":"&amp;ADDRESS(ROW(UNMT0020_IF_COPY_H_TANKA_SHUSEI)+ROWS(UNMT0020_IF_COPY_H_TANKA_SHUSEI)-1,COLUMN(UNMT0020_IF_COPY_H_TANKA_SHUSEI)+COLUMNS(UNMT0020_IF_COPY_H_TANKA_SHUSEI)-1))</f>
        <v>$CS$28:$DE$42</v>
      </c>
      <c r="CY4" s="102"/>
      <c r="CZ4" s="102" t="s">
        <v>107</v>
      </c>
      <c r="DA4" s="298" t="b">
        <v>1</v>
      </c>
      <c r="DI4" t="s">
        <v>332</v>
      </c>
      <c r="DJ4" t="s">
        <v>336</v>
      </c>
      <c r="DQ4" s="29" t="s">
        <v>378</v>
      </c>
      <c r="DU4" s="29" t="s">
        <v>379</v>
      </c>
      <c r="DV4" s="29"/>
      <c r="DW4" s="29"/>
      <c r="EE4" t="s">
        <v>457</v>
      </c>
      <c r="EF4" t="s">
        <v>458</v>
      </c>
      <c r="EG4" s="396"/>
      <c r="EH4" s="397"/>
      <c r="EI4" s="397"/>
      <c r="EJ4" s="397"/>
      <c r="EK4" s="397"/>
      <c r="EL4" s="397"/>
      <c r="EM4" s="398"/>
      <c r="EN4" s="399"/>
      <c r="EO4" s="400"/>
      <c r="EP4" s="401"/>
      <c r="EQ4" s="402"/>
      <c r="ER4" s="403"/>
      <c r="ES4" s="404"/>
      <c r="EV4" s="341" t="s">
        <v>878</v>
      </c>
      <c r="EW4" s="347" t="s">
        <v>904</v>
      </c>
      <c r="EX4" s="345">
        <f>IF(UNMT0020_IF_MULTI_SELECT_KENSU+UNMT0020_B_GYO_COUNT&gt;99,99-UNMT0020_B_GYO_COUNT,UNMT0020_IF_MULTI_SELECT_KENSU)</f>
        <v>99</v>
      </c>
      <c r="FB4" s="350" t="s">
        <v>49</v>
      </c>
      <c r="FC4" s="76" t="s">
        <v>158</v>
      </c>
      <c r="FD4" s="343" t="s">
        <v>65</v>
      </c>
      <c r="FE4" s="344" t="s">
        <v>50</v>
      </c>
      <c r="FF4" s="344" t="s">
        <v>81</v>
      </c>
      <c r="FG4" s="343" t="s">
        <v>51</v>
      </c>
      <c r="FH4" s="344" t="s">
        <v>33</v>
      </c>
      <c r="FI4" s="343" t="s">
        <v>52</v>
      </c>
      <c r="FJ4" s="343" t="s">
        <v>53</v>
      </c>
      <c r="FK4" s="343" t="s">
        <v>57</v>
      </c>
      <c r="FL4" s="343" t="s">
        <v>54</v>
      </c>
      <c r="FM4" s="343" t="s">
        <v>55</v>
      </c>
      <c r="FN4" s="343" t="s">
        <v>56</v>
      </c>
      <c r="FO4" s="343" t="s">
        <v>29</v>
      </c>
      <c r="FP4" s="343" t="s">
        <v>58</v>
      </c>
      <c r="FQ4" s="343" t="s">
        <v>59</v>
      </c>
      <c r="FR4" s="76" t="s">
        <v>23</v>
      </c>
      <c r="FS4" s="76" t="s">
        <v>160</v>
      </c>
      <c r="FT4" s="76" t="s">
        <v>161</v>
      </c>
    </row>
    <row r="5" spans="1:188" ht="16.5">
      <c r="F5" s="352" t="s">
        <v>897</v>
      </c>
      <c r="G5" s="352" t="s">
        <v>900</v>
      </c>
      <c r="H5" s="353"/>
      <c r="I5" s="352" t="s">
        <v>898</v>
      </c>
      <c r="J5" s="352" t="s">
        <v>899</v>
      </c>
      <c r="N5" s="48" t="s">
        <v>250</v>
      </c>
      <c r="O5" s="48" t="s">
        <v>251</v>
      </c>
      <c r="Q5" s="48" t="s">
        <v>253</v>
      </c>
      <c r="R5" s="48" t="s">
        <v>255</v>
      </c>
      <c r="W5" t="s">
        <v>227</v>
      </c>
      <c r="X5" t="s">
        <v>232</v>
      </c>
      <c r="Y5" s="40">
        <v>0</v>
      </c>
      <c r="AA5" s="357" t="s">
        <v>936</v>
      </c>
      <c r="AB5" s="357"/>
      <c r="AE5" t="s">
        <v>237</v>
      </c>
      <c r="AF5" t="s">
        <v>236</v>
      </c>
      <c r="AG5" s="375" t="s">
        <v>235</v>
      </c>
      <c r="AH5" s="375" t="s">
        <v>218</v>
      </c>
      <c r="AI5" s="375" t="s">
        <v>190</v>
      </c>
      <c r="AJ5" s="375" t="s">
        <v>934</v>
      </c>
      <c r="AK5" s="375" t="s">
        <v>226</v>
      </c>
      <c r="AL5" s="375" t="s">
        <v>227</v>
      </c>
      <c r="AM5" s="375" t="s">
        <v>228</v>
      </c>
      <c r="AN5" s="375" t="s">
        <v>229</v>
      </c>
      <c r="AO5" s="376" t="s">
        <v>165</v>
      </c>
      <c r="AP5" s="376" t="s">
        <v>171</v>
      </c>
      <c r="AQ5" s="377" t="s">
        <v>172</v>
      </c>
      <c r="AR5" s="377" t="s">
        <v>217</v>
      </c>
      <c r="AS5" s="377" t="s">
        <v>173</v>
      </c>
      <c r="AT5" s="377" t="s">
        <v>174</v>
      </c>
      <c r="AU5" s="376" t="s">
        <v>191</v>
      </c>
      <c r="AV5" s="376" t="s">
        <v>192</v>
      </c>
      <c r="AW5" s="376" t="s">
        <v>193</v>
      </c>
      <c r="AX5" s="377" t="s">
        <v>194</v>
      </c>
      <c r="AY5" s="376" t="s">
        <v>195</v>
      </c>
      <c r="AZ5" s="376" t="s">
        <v>196</v>
      </c>
      <c r="BA5" s="376" t="s">
        <v>197</v>
      </c>
      <c r="BB5" s="377" t="s">
        <v>198</v>
      </c>
      <c r="BC5" s="488" t="s">
        <v>1036</v>
      </c>
      <c r="BD5" s="376" t="s">
        <v>199</v>
      </c>
      <c r="BE5" s="376" t="s">
        <v>200</v>
      </c>
      <c r="BF5" s="376" t="s">
        <v>201</v>
      </c>
      <c r="BG5" s="376" t="s">
        <v>202</v>
      </c>
      <c r="BH5" s="376" t="s">
        <v>203</v>
      </c>
      <c r="BI5" s="376" t="s">
        <v>204</v>
      </c>
      <c r="BJ5" s="376" t="s">
        <v>205</v>
      </c>
      <c r="BK5" s="376" t="s">
        <v>206</v>
      </c>
      <c r="BL5" s="376" t="s">
        <v>207</v>
      </c>
      <c r="BM5" s="376" t="s">
        <v>208</v>
      </c>
      <c r="BN5" s="376" t="s">
        <v>209</v>
      </c>
      <c r="BO5" s="376" t="s">
        <v>210</v>
      </c>
      <c r="BP5" s="376" t="s">
        <v>211</v>
      </c>
      <c r="BQ5" s="376" t="s">
        <v>212</v>
      </c>
      <c r="BR5" s="376" t="s">
        <v>186</v>
      </c>
      <c r="BS5" s="376" t="s">
        <v>213</v>
      </c>
      <c r="BT5" s="376" t="s">
        <v>189</v>
      </c>
      <c r="BU5" s="376" t="s">
        <v>175</v>
      </c>
      <c r="BV5" s="376" t="s">
        <v>157</v>
      </c>
      <c r="BW5" s="376" t="s">
        <v>176</v>
      </c>
      <c r="BX5" s="377" t="s">
        <v>177</v>
      </c>
      <c r="BY5" s="377" t="s">
        <v>178</v>
      </c>
      <c r="BZ5" s="376" t="s">
        <v>179</v>
      </c>
      <c r="CA5" s="377" t="s">
        <v>180</v>
      </c>
      <c r="CB5" s="376" t="s">
        <v>181</v>
      </c>
      <c r="CC5" s="376" t="s">
        <v>182</v>
      </c>
      <c r="CD5" s="376" t="s">
        <v>183</v>
      </c>
      <c r="CE5" s="376" t="s">
        <v>184</v>
      </c>
      <c r="CF5" s="376" t="s">
        <v>185</v>
      </c>
      <c r="CG5" s="376" t="s">
        <v>186</v>
      </c>
      <c r="CH5" s="376" t="s">
        <v>187</v>
      </c>
      <c r="CI5" s="376" t="s">
        <v>188</v>
      </c>
      <c r="CJ5" s="376" t="s">
        <v>159</v>
      </c>
      <c r="CK5" s="376" t="s">
        <v>189</v>
      </c>
      <c r="CL5" s="37"/>
      <c r="CM5" s="37"/>
      <c r="CN5" s="37"/>
      <c r="CO5" s="37"/>
      <c r="CP5" s="37"/>
      <c r="CQ5" s="37"/>
      <c r="CS5" t="s">
        <v>356</v>
      </c>
      <c r="CT5" t="s">
        <v>358</v>
      </c>
      <c r="CU5" s="29" t="str">
        <f>IF(UNMT0020_IF_MITSU_MODE=1,
ADDRESS(ROW(UNMT0020_IF_COPY_H_NORMAL_SANSHO),COLUMN(UNMT0020_IF_COPY_H_NORMAL_SANSHO))&amp;":"&amp;ADDRESS(ROW(UNMT0020_IF_COPY_H_NORMAL_SANSHO)+ROWS(UNMT0020_IF_COPY_H_NORMAL_SANSHO)-1,COLUMN(UNMT0020_IF_COPY_H_NORMAL_SANSHO)+COLUMNS(UNMT0020_IF_COPY_H_NORMAL_SANSHO)-1),
ADDRESS(ROW(UNMT0020_IF_COPY_H_TANKA_SANSHO),COLUMN(UNMT0020_IF_COPY_H_TANKA_SANSHO))&amp;":"&amp;ADDRESS(ROW(UNMT0020_IF_COPY_H_TANKA_SANSHO)+ROWS(UNMT0020_IF_COPY_H_TANKA_SANSHO)-1,COLUMN(UNMT0020_IF_COPY_H_TANKA_SANSHO)+COLUMNS(UNMT0020_IF_COPY_H_TANKA_SANSHO)-1))</f>
        <v>$CS$45:$DE$59</v>
      </c>
      <c r="CY5" s="102"/>
      <c r="CZ5" s="102" t="s">
        <v>456</v>
      </c>
      <c r="DA5" s="298" t="b">
        <v>0</v>
      </c>
      <c r="DH5" t="s">
        <v>395</v>
      </c>
      <c r="DI5" s="345" t="s">
        <v>396</v>
      </c>
      <c r="DJ5" s="14">
        <f ca="1">1+ROW()-ROW(INDIRECT(UNMT0020_B_LIST_START))</f>
        <v>-12</v>
      </c>
      <c r="DK5" s="14">
        <v>1</v>
      </c>
      <c r="DL5" s="55"/>
      <c r="DM5" s="459"/>
      <c r="DN5" s="300"/>
      <c r="DO5" s="269"/>
      <c r="DP5" s="300"/>
      <c r="DQ5" s="301">
        <f>IF(DN5=0,1,DN5)*DP5</f>
        <v>0</v>
      </c>
      <c r="DR5" s="378"/>
      <c r="DS5" s="301"/>
      <c r="DT5" s="300"/>
      <c r="DU5" s="302">
        <f>DT5*IF(DN5=0,1,DN5)</f>
        <v>0</v>
      </c>
      <c r="DV5" s="270">
        <f>IF(ISERROR(DW5/DQ5)=TRUE,0,
IF(DQ5&lt;DU5,DW5/DU5,
DW5/DQ5))</f>
        <v>0</v>
      </c>
      <c r="DW5" s="301">
        <f>IF(DU5=0,0,DQ5-DU5)</f>
        <v>0</v>
      </c>
      <c r="DX5" s="271"/>
      <c r="DY5" s="260"/>
      <c r="DZ5" s="260"/>
      <c r="EA5" s="17"/>
      <c r="EB5" s="17"/>
      <c r="EG5" s="405"/>
      <c r="EH5" s="392"/>
      <c r="EI5" s="392"/>
      <c r="EJ5" s="392"/>
      <c r="EK5" s="392"/>
      <c r="EL5" s="392"/>
      <c r="EM5" s="406"/>
      <c r="EN5" s="392"/>
      <c r="EO5" s="407"/>
      <c r="EP5" s="392"/>
      <c r="EQ5" s="408"/>
      <c r="ER5" s="392"/>
      <c r="ES5" s="409"/>
      <c r="EV5" s="341" t="s">
        <v>879</v>
      </c>
      <c r="EW5" s="347" t="s">
        <v>905</v>
      </c>
      <c r="EX5" s="345">
        <f>IF(UNMT0020_IF_MULTI_SELECT_KENSU&gt;0,1,2)</f>
        <v>1</v>
      </c>
      <c r="EZ5" s="346" t="s">
        <v>886</v>
      </c>
      <c r="FA5" s="346" t="s">
        <v>887</v>
      </c>
      <c r="FB5" s="348"/>
    </row>
    <row r="6" spans="1:188" ht="16.5">
      <c r="N6" s="48" t="s">
        <v>247</v>
      </c>
      <c r="O6" s="48" t="s">
        <v>248</v>
      </c>
      <c r="Q6" s="48" t="s">
        <v>247</v>
      </c>
      <c r="R6" s="48"/>
      <c r="W6" t="s">
        <v>229</v>
      </c>
      <c r="X6" t="s">
        <v>233</v>
      </c>
      <c r="Y6" s="29">
        <v>1</v>
      </c>
      <c r="AA6" s="11" t="s">
        <v>937</v>
      </c>
      <c r="AB6" s="11" t="s">
        <v>958</v>
      </c>
      <c r="AE6" t="s">
        <v>214</v>
      </c>
      <c r="AF6" s="28" t="s">
        <v>215</v>
      </c>
      <c r="AG6" s="29"/>
      <c r="AH6" s="38"/>
      <c r="AI6" s="38"/>
      <c r="AJ6" s="38"/>
      <c r="AK6" s="44"/>
      <c r="AL6" s="38"/>
      <c r="AM6" s="28"/>
      <c r="AN6" s="38"/>
      <c r="AO6" s="38"/>
      <c r="AP6" s="28"/>
      <c r="AQ6" s="77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352"/>
      <c r="BD6" s="28"/>
      <c r="BE6" s="28"/>
      <c r="BF6" s="28"/>
      <c r="BG6" s="28"/>
      <c r="BH6" s="28"/>
      <c r="BI6" s="28"/>
      <c r="BJ6" s="28"/>
      <c r="BK6" s="28"/>
      <c r="BL6" s="28"/>
      <c r="BM6" s="39"/>
      <c r="BN6" s="28"/>
      <c r="BO6" s="28"/>
      <c r="BP6" s="28"/>
      <c r="BQ6" s="28"/>
      <c r="BR6" s="28"/>
      <c r="BS6" s="39"/>
      <c r="BT6" s="28"/>
      <c r="BU6" s="28"/>
      <c r="BV6" s="28"/>
      <c r="BW6" s="28"/>
      <c r="BX6" s="353" t="s">
        <v>964</v>
      </c>
      <c r="BY6" s="28"/>
      <c r="BZ6" s="28"/>
      <c r="CA6" s="28"/>
      <c r="CB6" s="28"/>
      <c r="CC6" s="28"/>
      <c r="CD6" s="28"/>
      <c r="CE6" s="28"/>
      <c r="CF6" s="39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Y6" s="102"/>
      <c r="CZ6" s="102" t="s">
        <v>108</v>
      </c>
      <c r="DA6" s="298" t="b">
        <v>1</v>
      </c>
      <c r="EG6" s="405"/>
      <c r="EH6" s="392"/>
      <c r="EI6" s="392"/>
      <c r="EJ6" s="392"/>
      <c r="EK6" s="392"/>
      <c r="EL6" s="392"/>
      <c r="EM6" s="406"/>
      <c r="EN6" s="392"/>
      <c r="EO6" s="407"/>
      <c r="EP6" s="392"/>
      <c r="EQ6" s="408"/>
      <c r="ER6" s="392"/>
      <c r="ES6" s="409"/>
      <c r="EV6" s="341" t="s">
        <v>880</v>
      </c>
      <c r="EW6" s="347" t="s">
        <v>903</v>
      </c>
      <c r="EX6" s="345">
        <f>UNMT0020_B_GYO_COUNT+UNMT0020_IF!EX4</f>
        <v>99</v>
      </c>
    </row>
    <row r="7" spans="1:188" ht="16.5">
      <c r="E7" s="27" t="s">
        <v>125</v>
      </c>
      <c r="G7" s="28"/>
      <c r="M7" t="s">
        <v>249</v>
      </c>
      <c r="N7" s="29" t="s">
        <v>844</v>
      </c>
      <c r="O7" s="50">
        <v>1</v>
      </c>
      <c r="P7" t="s">
        <v>254</v>
      </c>
      <c r="Q7" s="29"/>
      <c r="AA7" s="11" t="s">
        <v>938</v>
      </c>
      <c r="AB7" s="11" t="str">
        <f>ADDRESS(ROW(UNMT0020_IF_SAVE_CHECK_RESULT),COLUMN(UNMT0020_IF_SAVE_CHECK_RESULT))</f>
        <v>$AB$31</v>
      </c>
      <c r="AG7" s="46"/>
      <c r="AH7" s="38"/>
      <c r="AI7" s="38"/>
      <c r="AJ7" s="38"/>
      <c r="AK7" s="38"/>
      <c r="AL7" s="38"/>
      <c r="AM7" s="38"/>
      <c r="AN7" s="38"/>
      <c r="AO7" s="38"/>
      <c r="AP7" s="38"/>
      <c r="AQ7" s="77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47"/>
      <c r="BN7" s="38"/>
      <c r="BO7" s="38"/>
      <c r="BP7" s="38"/>
      <c r="BQ7" s="38"/>
      <c r="BR7" s="38"/>
      <c r="BS7" s="47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47"/>
      <c r="CG7" s="38"/>
      <c r="CH7" s="38"/>
      <c r="CI7" s="38"/>
      <c r="CJ7" s="38"/>
      <c r="CK7" s="38"/>
      <c r="CL7" s="28"/>
      <c r="CM7" s="28"/>
      <c r="CN7" s="28"/>
      <c r="CO7" s="28"/>
      <c r="CP7" s="28"/>
      <c r="CQ7" s="28"/>
      <c r="CY7" s="102"/>
      <c r="CZ7" s="102" t="s">
        <v>109</v>
      </c>
      <c r="DA7" s="298" t="b">
        <v>0</v>
      </c>
      <c r="DI7" t="s">
        <v>333</v>
      </c>
      <c r="DJ7" t="s">
        <v>339</v>
      </c>
      <c r="EG7" s="405"/>
      <c r="EH7" s="392"/>
      <c r="EI7" s="392"/>
      <c r="EJ7" s="392"/>
      <c r="EK7" s="410"/>
      <c r="EL7" s="392"/>
      <c r="EM7" s="406"/>
      <c r="EN7" s="392"/>
      <c r="EO7" s="411"/>
      <c r="EP7" s="412"/>
      <c r="EQ7" s="408"/>
      <c r="ER7" s="392"/>
      <c r="ES7" s="409"/>
      <c r="EV7" s="341"/>
      <c r="EW7" s="341"/>
      <c r="EX7" s="342"/>
    </row>
    <row r="8" spans="1:188" ht="16.5">
      <c r="F8" t="s">
        <v>126</v>
      </c>
      <c r="G8" s="28" t="s">
        <v>156</v>
      </c>
      <c r="H8" s="29"/>
      <c r="I8" t="s">
        <v>151</v>
      </c>
      <c r="J8" t="s">
        <v>152</v>
      </c>
      <c r="N8" s="50" t="s">
        <v>845</v>
      </c>
      <c r="O8" s="50">
        <v>2</v>
      </c>
      <c r="Q8" s="50"/>
      <c r="W8" t="s">
        <v>240</v>
      </c>
      <c r="AA8" s="357" t="s">
        <v>939</v>
      </c>
      <c r="AB8" s="357" t="s">
        <v>940</v>
      </c>
      <c r="AG8" s="46"/>
      <c r="AH8" s="38"/>
      <c r="AI8" s="38"/>
      <c r="AJ8" s="38"/>
      <c r="AK8" s="38"/>
      <c r="AL8" s="38"/>
      <c r="AM8" s="38"/>
      <c r="AN8" s="38"/>
      <c r="AO8" s="38"/>
      <c r="AP8" s="38"/>
      <c r="AQ8" s="77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47"/>
      <c r="BN8" s="38"/>
      <c r="BO8" s="38"/>
      <c r="BP8" s="38"/>
      <c r="BQ8" s="38"/>
      <c r="BR8" s="38"/>
      <c r="BS8" s="47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47"/>
      <c r="CG8" s="38"/>
      <c r="CH8" s="38"/>
      <c r="CI8" s="38"/>
      <c r="CJ8" s="38"/>
      <c r="CK8" s="38"/>
      <c r="CL8" s="28"/>
      <c r="CM8" s="28"/>
      <c r="CN8" s="28"/>
      <c r="CO8" s="28"/>
      <c r="CP8" s="28"/>
      <c r="CQ8" s="28"/>
      <c r="CR8" s="143"/>
      <c r="CS8" s="143"/>
      <c r="CT8" s="143"/>
      <c r="CU8" s="143"/>
      <c r="CV8" s="143"/>
      <c r="CW8" s="143"/>
      <c r="CX8" s="143"/>
      <c r="CY8" s="102"/>
      <c r="CZ8" s="102" t="s">
        <v>110</v>
      </c>
      <c r="DA8" s="298" t="b">
        <v>0</v>
      </c>
      <c r="DB8" s="143"/>
      <c r="DC8" s="143"/>
      <c r="DD8" s="143"/>
      <c r="DE8" s="143"/>
      <c r="DF8" s="143"/>
      <c r="DJ8" s="14">
        <f ca="1">1+ROW()-ROW(INDIRECT(UNMT0020_B_LIST_START))</f>
        <v>-9</v>
      </c>
      <c r="DK8" s="14">
        <v>2</v>
      </c>
      <c r="DL8" s="18" t="s">
        <v>60</v>
      </c>
      <c r="DM8" s="460"/>
      <c r="DN8" s="306"/>
      <c r="DO8" s="308"/>
      <c r="DP8" s="328"/>
      <c r="DQ8" s="306"/>
      <c r="DR8" s="378"/>
      <c r="DS8" s="306"/>
      <c r="DT8" s="306"/>
      <c r="DU8" s="306"/>
      <c r="DV8" s="307"/>
      <c r="DW8" s="306"/>
      <c r="DX8" s="274"/>
      <c r="DY8" s="275"/>
      <c r="DZ8" s="261"/>
      <c r="EA8" s="31"/>
      <c r="EB8" s="31"/>
      <c r="EG8" s="405"/>
      <c r="EH8" s="392"/>
      <c r="EI8" s="392"/>
      <c r="EJ8" s="392"/>
      <c r="EK8" s="410"/>
      <c r="EL8" s="392"/>
      <c r="EM8" s="406"/>
      <c r="EN8" s="392"/>
      <c r="EO8" s="407"/>
      <c r="EP8" s="412"/>
      <c r="EQ8" s="408"/>
      <c r="ER8" s="392"/>
      <c r="ES8" s="409"/>
      <c r="EV8" s="341" t="s">
        <v>881</v>
      </c>
      <c r="EW8" s="347" t="s">
        <v>895</v>
      </c>
      <c r="EX8" s="345" t="str">
        <f>"UNMT0020_IF!"&amp;
ADDRESS(ROW(UNMT0020_IF_MULTI_SELECT_TENKAI_START),COLUMN(UNMT0020_IF_MULTI_SELECT_TENKAI_START))
&amp;":"&amp;ADDRESS(ROW(UNMT0020_IF_MULTI_SELECT_TENKAI_START)+UNMT0020_IF_MULTI_SELECT_KENSU-1,COLUMN(UNMT0020_IF_MULTI_SELECT_TENKAI_START)+COLUMNS(UNMT0020_IF_COPY_B_MEISAI_SHINKI)-1)</f>
        <v>UNMT0020_IF!$FB$5:$FT$104</v>
      </c>
    </row>
    <row r="9" spans="1:188" ht="16.5">
      <c r="F9" t="s">
        <v>398</v>
      </c>
      <c r="G9" s="28" t="s">
        <v>399</v>
      </c>
      <c r="H9" s="29"/>
      <c r="I9" t="s">
        <v>151</v>
      </c>
      <c r="J9" t="s">
        <v>152</v>
      </c>
      <c r="N9" s="50" t="s">
        <v>846</v>
      </c>
      <c r="O9" s="50">
        <v>3</v>
      </c>
      <c r="W9" t="s">
        <v>241</v>
      </c>
      <c r="X9" s="28" t="s">
        <v>242</v>
      </c>
      <c r="Y9" s="29" t="str">
        <f>ADDRESS(ROW(UNMT0020_IF_SAVE_COPY_START),COLUMN(UNMT0020_IF_SAVE_COPY_START))&amp;":"
&amp;ADDRESS(ROW(UNMT0020_IF_SAVE_COPY_START)+IF(UNMT0020_B_GYO_COUNT=0,UNMT0020_B_GYO_COUNT,UNMT0020_B_GYO_COUNT-1),COLUMN(UNMT0020_IF_SAVE_COPY_START)+COLUMNS(UNMT0020_IF_SAVE_COPY_MOTO)-1)</f>
        <v>$AG$6:$CK$6</v>
      </c>
      <c r="AA9" s="11" t="s">
        <v>941</v>
      </c>
      <c r="AB9" s="11" t="s">
        <v>963</v>
      </c>
      <c r="AG9" s="46"/>
      <c r="AH9" s="38"/>
      <c r="AI9" s="38"/>
      <c r="AJ9" s="38"/>
      <c r="AK9" s="38"/>
      <c r="AL9" s="38"/>
      <c r="AM9" s="38"/>
      <c r="AN9" s="38"/>
      <c r="AO9" s="38"/>
      <c r="AP9" s="38"/>
      <c r="AQ9" s="77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47"/>
      <c r="BN9" s="38"/>
      <c r="BO9" s="38"/>
      <c r="BP9" s="38"/>
      <c r="BQ9" s="38"/>
      <c r="BR9" s="38"/>
      <c r="BS9" s="47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47"/>
      <c r="CG9" s="38"/>
      <c r="CH9" s="38"/>
      <c r="CI9" s="38"/>
      <c r="CJ9" s="38"/>
      <c r="CK9" s="38"/>
      <c r="CL9" s="28"/>
      <c r="CM9" s="28"/>
      <c r="CN9" s="28"/>
      <c r="CO9" s="28"/>
      <c r="CP9" s="28"/>
      <c r="CQ9" s="28"/>
      <c r="CY9" s="102"/>
      <c r="CZ9" s="102" t="s">
        <v>826</v>
      </c>
      <c r="DA9" s="299">
        <v>3</v>
      </c>
      <c r="EG9" s="405"/>
      <c r="EH9" s="392"/>
      <c r="EI9" s="392"/>
      <c r="EJ9" s="392"/>
      <c r="EK9" s="410"/>
      <c r="EL9" s="392"/>
      <c r="EM9" s="406"/>
      <c r="EN9" s="392"/>
      <c r="EO9" s="407"/>
      <c r="EP9" s="412"/>
      <c r="EQ9" s="408"/>
      <c r="ER9" s="392"/>
      <c r="ES9" s="409"/>
      <c r="EV9" s="341" t="s">
        <v>882</v>
      </c>
      <c r="EW9" s="347" t="s">
        <v>889</v>
      </c>
      <c r="EX9" s="348" t="str">
        <f>"UNMT0020_IF!"&amp;
ADDRESS(ROW(UNMT0020_IF_MULTI_SELECT_TENKAI_START),COLUMN(UNMT0020_IF_MULTI_SELECT_LIST_GYO))
&amp;":"&amp;ADDRESS(ROW(UNMT0020_IF_MULTI_SELECT_TENKAI_START)+UNMT0020_IF_MULTI_SELECT_KENSU-1,COLUMN(UNMT0020_IF_MULTI_SELECT_LIST_GYO)+COLUMNS(UNMT0020_IF_COPY_B_GYO_SUSHIKI)-1)</f>
        <v>UNMT0020_IF!$FB$5:$FB$104</v>
      </c>
      <c r="FC9" s="349"/>
      <c r="FD9" s="349"/>
      <c r="FE9" s="349"/>
    </row>
    <row r="10" spans="1:188" ht="16.5">
      <c r="G10" s="28"/>
      <c r="H10" s="28"/>
      <c r="N10" t="s">
        <v>847</v>
      </c>
      <c r="O10">
        <v>4</v>
      </c>
      <c r="AA10" s="11" t="s">
        <v>942</v>
      </c>
      <c r="AB10" s="358" t="s">
        <v>966</v>
      </c>
      <c r="AG10" s="46"/>
      <c r="AH10" s="38"/>
      <c r="AI10" s="38"/>
      <c r="AJ10" s="38"/>
      <c r="AK10" s="38"/>
      <c r="AL10" s="38"/>
      <c r="AM10" s="38"/>
      <c r="AN10" s="38"/>
      <c r="AO10" s="38"/>
      <c r="AP10" s="38"/>
      <c r="AQ10" s="77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47"/>
      <c r="BN10" s="38"/>
      <c r="BO10" s="38"/>
      <c r="BP10" s="38"/>
      <c r="BQ10" s="38"/>
      <c r="BR10" s="38"/>
      <c r="BS10" s="47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47"/>
      <c r="CG10" s="38"/>
      <c r="CH10" s="38"/>
      <c r="CI10" s="38"/>
      <c r="CJ10" s="38"/>
      <c r="CK10" s="38"/>
      <c r="CL10" s="28"/>
      <c r="CM10" s="28"/>
      <c r="CN10" s="28"/>
      <c r="CO10" s="28"/>
      <c r="CP10" s="28"/>
      <c r="CQ10" s="28"/>
      <c r="CR10" s="27" t="s">
        <v>321</v>
      </c>
      <c r="CS10" t="s">
        <v>113</v>
      </c>
      <c r="CT10" t="s">
        <v>327</v>
      </c>
      <c r="DI10" t="s">
        <v>334</v>
      </c>
      <c r="DJ10" t="s">
        <v>417</v>
      </c>
      <c r="DO10" s="29" t="s">
        <v>391</v>
      </c>
      <c r="DP10" s="29"/>
      <c r="DQ10" s="29"/>
      <c r="EG10" s="405"/>
      <c r="EH10" s="392"/>
      <c r="EI10" s="392"/>
      <c r="EJ10" s="392"/>
      <c r="EK10" s="410"/>
      <c r="EL10" s="392"/>
      <c r="EM10" s="406"/>
      <c r="EN10" s="392"/>
      <c r="EO10" s="407"/>
      <c r="EP10" s="412"/>
      <c r="EQ10" s="408"/>
      <c r="ER10" s="392"/>
      <c r="ES10" s="409"/>
      <c r="EV10" s="341" t="s">
        <v>883</v>
      </c>
      <c r="EW10" s="347" t="s">
        <v>890</v>
      </c>
      <c r="EX10" s="348" t="str">
        <f>"UNMT0020_IF!"&amp;
ADDRESS(ROW(UNMT0020_IF_MULTI_SELECT_TENKAI_START),COLUMN(UNMT0020_IF_MULTI_SELECT_LIST_KINGAKU))
&amp;":"&amp;ADDRESS(ROW(UNMT0020_IF_MULTI_SELECT_TENKAI_START)+UNMT0020_IF_MULTI_SELECT_KENSU-1,COLUMN(UNMT0020_IF_MULTI_SELECT_LIST_KINGAKU)+COLUMNS(UNMT0020_IF_COPY_B_MEISAI_KINGAKU_SUSHIKI)-1)</f>
        <v>UNMT0020_IF!$FI$5:$FI$104</v>
      </c>
      <c r="FC10" s="349"/>
      <c r="FD10" s="349"/>
      <c r="FE10" s="349"/>
    </row>
    <row r="11" spans="1:188" ht="16.5">
      <c r="X11" s="28"/>
      <c r="Z11" s="27"/>
      <c r="AA11" s="11" t="s">
        <v>943</v>
      </c>
      <c r="AB11" s="358" t="s">
        <v>967</v>
      </c>
      <c r="AG11" s="46"/>
      <c r="AH11" s="38"/>
      <c r="AI11" s="38"/>
      <c r="AJ11" s="38"/>
      <c r="AK11" s="38"/>
      <c r="AL11" s="38"/>
      <c r="AM11" s="38"/>
      <c r="AN11" s="38"/>
      <c r="AO11" s="38"/>
      <c r="AP11" s="38"/>
      <c r="AQ11" s="77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47"/>
      <c r="BN11" s="38"/>
      <c r="BO11" s="38"/>
      <c r="BP11" s="38"/>
      <c r="BQ11" s="38"/>
      <c r="BR11" s="38"/>
      <c r="BS11" s="47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47"/>
      <c r="CG11" s="38"/>
      <c r="CH11" s="38"/>
      <c r="CI11" s="38"/>
      <c r="CJ11" s="38"/>
      <c r="CK11" s="38"/>
      <c r="CL11" s="28"/>
      <c r="CM11" s="28"/>
      <c r="CN11" s="28"/>
      <c r="CO11" s="28"/>
      <c r="CP11" s="28"/>
      <c r="CQ11" s="28"/>
      <c r="CS11" s="23" t="s">
        <v>99</v>
      </c>
      <c r="CT11" s="54">
        <f ca="1">DATE(YEAR(TODAY()),MONTH(TODAY()),DAY(TODAY()))</f>
        <v>43005</v>
      </c>
      <c r="CU11" s="3"/>
      <c r="CV11" s="23" t="s">
        <v>72</v>
      </c>
      <c r="CW11" s="575" t="s">
        <v>856</v>
      </c>
      <c r="CX11" s="575"/>
      <c r="CY11" s="3"/>
      <c r="CZ11" s="3"/>
      <c r="DA11" s="23" t="s">
        <v>69</v>
      </c>
      <c r="DB11" s="55"/>
      <c r="DC11" s="3"/>
      <c r="DD11" s="6" t="s">
        <v>36</v>
      </c>
      <c r="DE11" s="58"/>
      <c r="DJ11" s="14">
        <f ca="1">1+ROW()-ROW(INDIRECT(UNMT0020_B_LIST_START))</f>
        <v>-6</v>
      </c>
      <c r="DK11" s="14">
        <v>3</v>
      </c>
      <c r="DL11" s="14" t="s">
        <v>843</v>
      </c>
      <c r="DM11" s="459" t="s">
        <v>835</v>
      </c>
      <c r="DN11" s="305"/>
      <c r="DO11" s="19" t="s">
        <v>61</v>
      </c>
      <c r="DP11" s="302"/>
      <c r="DQ11" s="301">
        <f ca="1">-INDIRECT(ADDRESS(ROW()-1,COLUMN()))*(DN11/100)</f>
        <v>0</v>
      </c>
      <c r="DR11" s="378"/>
      <c r="DS11" s="302"/>
      <c r="DT11" s="302"/>
      <c r="DU11" s="302"/>
      <c r="DV11" s="268"/>
      <c r="DW11" s="302"/>
      <c r="DX11" s="19"/>
      <c r="DY11" s="12"/>
      <c r="DZ11" s="14"/>
      <c r="EA11" s="14"/>
      <c r="EB11" s="14"/>
      <c r="EG11" s="405"/>
      <c r="EH11" s="392"/>
      <c r="EI11" s="392"/>
      <c r="EJ11" s="392"/>
      <c r="EK11" s="410"/>
      <c r="EL11" s="392"/>
      <c r="EM11" s="406"/>
      <c r="EN11" s="392"/>
      <c r="EO11" s="407"/>
      <c r="EP11" s="412"/>
      <c r="EQ11" s="408"/>
      <c r="ER11" s="392"/>
      <c r="ES11" s="409"/>
      <c r="EV11" s="341" t="s">
        <v>884</v>
      </c>
      <c r="EW11" s="347" t="s">
        <v>891</v>
      </c>
      <c r="EX11" s="348" t="str">
        <f>"UNMT0020_IF!"&amp;
ADDRESS(ROW(UNMT0020_IF_MULTI_SELECT_TENKAI_START),COLUMN(UNMT0020_IF_MULTI_SELECT_LIST_ARARI_AREA))
&amp;":"&amp;ADDRESS(ROW(UNMT0020_IF_MULTI_SELECT_TENKAI_START)+UNMT0020_IF_MULTI_SELECT_KENSU-1,COLUMN(UNMT0020_IF_MULTI_SELECT_LIST_ARARI_AREA)+COLUMNS(UNMT0020_IF_COPY_B_MEISAI_ARARI_SUSHIKI)-1)</f>
        <v>UNMT0020_IF!$FM$5:$FO$104</v>
      </c>
      <c r="FC11" s="349"/>
      <c r="FD11" s="349"/>
      <c r="FE11" s="349"/>
    </row>
    <row r="12" spans="1:188" ht="16.5">
      <c r="E12" s="27" t="s">
        <v>127</v>
      </c>
      <c r="G12" s="28"/>
      <c r="M12" s="30"/>
      <c r="N12" s="30"/>
      <c r="O12" s="30"/>
      <c r="P12" s="30"/>
      <c r="Q12" s="30"/>
      <c r="R12" s="30"/>
      <c r="S12" s="30"/>
      <c r="T12" s="30"/>
      <c r="AA12" s="577" t="s">
        <v>944</v>
      </c>
      <c r="AB12" s="577"/>
      <c r="AG12" s="46"/>
      <c r="AH12" s="38"/>
      <c r="AI12" s="38"/>
      <c r="AJ12" s="38"/>
      <c r="AK12" s="38"/>
      <c r="AL12" s="38"/>
      <c r="AM12" s="38"/>
      <c r="AN12" s="38"/>
      <c r="AO12" s="38"/>
      <c r="AP12" s="38"/>
      <c r="AQ12" s="77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47"/>
      <c r="BN12" s="38"/>
      <c r="BO12" s="38"/>
      <c r="BP12" s="38"/>
      <c r="BQ12" s="38"/>
      <c r="BR12" s="38"/>
      <c r="BS12" s="47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47"/>
      <c r="CG12" s="38"/>
      <c r="CH12" s="38"/>
      <c r="CI12" s="38"/>
      <c r="CJ12" s="38"/>
      <c r="CK12" s="38"/>
      <c r="CL12" s="28"/>
      <c r="CM12" s="28"/>
      <c r="CN12" s="28"/>
      <c r="CO12" s="28"/>
      <c r="CP12" s="28"/>
      <c r="CQ12" s="28"/>
      <c r="CS12" s="6" t="s">
        <v>19</v>
      </c>
      <c r="CT12" s="17"/>
      <c r="CU12" s="3"/>
      <c r="CV12" s="23" t="s">
        <v>97</v>
      </c>
      <c r="CW12" s="576" t="str">
        <f>IF(UNMT0020_H_NYURYOKUSHA_MEI="","",UNMT0020_H_NYURYOKUSHA_MEI)</f>
        <v/>
      </c>
      <c r="CX12" s="576"/>
      <c r="CY12" s="3"/>
      <c r="CZ12" s="3"/>
      <c r="DA12" s="6" t="s">
        <v>37</v>
      </c>
      <c r="DB12" s="17"/>
      <c r="DC12" s="3"/>
      <c r="DD12" s="3"/>
      <c r="DE12" s="3"/>
      <c r="DJ12" t="s">
        <v>416</v>
      </c>
      <c r="DN12" s="29" t="s">
        <v>392</v>
      </c>
      <c r="DO12" s="29"/>
      <c r="DP12" s="29"/>
      <c r="DS12" s="46"/>
      <c r="DT12" s="46"/>
      <c r="EG12" s="405"/>
      <c r="EH12" s="392"/>
      <c r="EI12" s="392"/>
      <c r="EJ12" s="392"/>
      <c r="EK12" s="410"/>
      <c r="EL12" s="392"/>
      <c r="EM12" s="406"/>
      <c r="EN12" s="392"/>
      <c r="EO12" s="407"/>
      <c r="EP12" s="412"/>
      <c r="EQ12" s="408"/>
      <c r="ER12" s="392"/>
      <c r="ES12" s="409"/>
      <c r="FC12" s="349"/>
      <c r="FD12" s="349"/>
      <c r="FE12" s="349"/>
      <c r="FF12" s="349"/>
    </row>
    <row r="13" spans="1:188" ht="16.5">
      <c r="F13" t="s">
        <v>128</v>
      </c>
      <c r="G13" s="28" t="s">
        <v>142</v>
      </c>
      <c r="H13" s="29"/>
      <c r="AA13" s="359" t="s">
        <v>941</v>
      </c>
      <c r="AB13" s="11" t="s">
        <v>958</v>
      </c>
      <c r="AG13" s="46"/>
      <c r="AH13" s="38"/>
      <c r="AI13" s="38"/>
      <c r="AJ13" s="38"/>
      <c r="AK13" s="38"/>
      <c r="AL13" s="38"/>
      <c r="AM13" s="38"/>
      <c r="AN13" s="38"/>
      <c r="AO13" s="38"/>
      <c r="AP13" s="38"/>
      <c r="AQ13" s="77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47"/>
      <c r="BN13" s="38"/>
      <c r="BO13" s="38"/>
      <c r="BP13" s="38"/>
      <c r="BQ13" s="38"/>
      <c r="BR13" s="38"/>
      <c r="BS13" s="47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47"/>
      <c r="CG13" s="38"/>
      <c r="CH13" s="38"/>
      <c r="CI13" s="38"/>
      <c r="CJ13" s="38"/>
      <c r="CK13" s="38"/>
      <c r="CL13" s="28"/>
      <c r="CM13" s="28"/>
      <c r="CN13" s="28"/>
      <c r="CO13" s="28"/>
      <c r="CP13" s="28"/>
      <c r="CQ13" s="28"/>
      <c r="CS13" s="6"/>
      <c r="CT13" s="3"/>
      <c r="CU13" s="3"/>
      <c r="CV13" s="3"/>
      <c r="CW13" s="3"/>
      <c r="CX13" s="3"/>
      <c r="CY13" s="3"/>
      <c r="CZ13" s="3"/>
      <c r="DA13" s="6"/>
      <c r="DB13" s="3"/>
      <c r="DC13" s="3"/>
      <c r="DD13" s="3"/>
      <c r="DE13" s="3"/>
      <c r="DJ13" s="14">
        <f ca="1">1+ROW()-ROW(INDIRECT(UNMT0020_B_LIST_START))</f>
        <v>-4</v>
      </c>
      <c r="DK13" s="14">
        <v>3</v>
      </c>
      <c r="DL13" s="14" t="s">
        <v>345</v>
      </c>
      <c r="DM13" s="459" t="s">
        <v>835</v>
      </c>
      <c r="DN13" s="302"/>
      <c r="DO13" s="19"/>
      <c r="DP13" s="302"/>
      <c r="DQ13" s="305"/>
      <c r="DR13" s="378"/>
      <c r="DS13" s="302"/>
      <c r="DT13" s="302"/>
      <c r="DU13" s="302"/>
      <c r="DV13" s="268"/>
      <c r="DW13" s="302"/>
      <c r="DX13" s="19"/>
      <c r="DY13" s="12"/>
      <c r="DZ13" s="14"/>
      <c r="EA13" s="14"/>
      <c r="EB13" s="14"/>
      <c r="EG13" s="405"/>
      <c r="EH13" s="392"/>
      <c r="EI13" s="392"/>
      <c r="EJ13" s="392"/>
      <c r="EK13" s="410"/>
      <c r="EL13" s="392"/>
      <c r="EM13" s="406"/>
      <c r="EN13" s="392"/>
      <c r="EO13" s="407"/>
      <c r="EP13" s="412"/>
      <c r="EQ13" s="408"/>
      <c r="ER13" s="392"/>
      <c r="ES13" s="409"/>
      <c r="EV13" s="341" t="s">
        <v>885</v>
      </c>
      <c r="EW13" s="347" t="s">
        <v>892</v>
      </c>
      <c r="EX13" s="351" t="str">
        <f>"UNMT0020_IF!"&amp;
ADDRESS(ROW(UNMT0020_IF_MULTI_SELECT_TENKAI_START),COLUMN(UNMT0020_IF_MULTI_SELECT_TENKAI_START))
&amp;":"&amp;ADDRESS(ROW(UNMT0020_IF_MULTI_SELECT_TENKAI_START)+UNMT0020_IF_MULTI_SELECT_TENKAI_KENSU-1,COLUMN(UNMT0020_IF_MULTI_SELECT_TENKAI_START)+COLUMNS(UNMT0020_IF_COPY_B_MEISAI_SHINKI)-1)</f>
        <v>UNMT0020_IF!$FB$5:$FT$103</v>
      </c>
    </row>
    <row r="14" spans="1:188" ht="16.5">
      <c r="F14" t="s">
        <v>129</v>
      </c>
      <c r="G14" s="28" t="s">
        <v>143</v>
      </c>
      <c r="H14" s="29"/>
      <c r="W14" t="s">
        <v>137</v>
      </c>
      <c r="AA14" s="360" t="s">
        <v>945</v>
      </c>
      <c r="AB14" s="11" t="str">
        <f>ADDRESS(ROW(UNMT0020_IF_SAVE_CHECK_START),COLUMN(UNMT0020_IF_SAVE_CHECK_START))</f>
        <v>$BX$6</v>
      </c>
      <c r="AG14" s="46"/>
      <c r="AH14" s="38"/>
      <c r="AI14" s="38"/>
      <c r="AJ14" s="38"/>
      <c r="AK14" s="38"/>
      <c r="AL14" s="38"/>
      <c r="AM14" s="38"/>
      <c r="AN14" s="38"/>
      <c r="AO14" s="38"/>
      <c r="AP14" s="38"/>
      <c r="AQ14" s="77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47"/>
      <c r="BN14" s="38"/>
      <c r="BO14" s="38"/>
      <c r="BP14" s="38"/>
      <c r="BQ14" s="38"/>
      <c r="BR14" s="38"/>
      <c r="BS14" s="47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47"/>
      <c r="CG14" s="38"/>
      <c r="CH14" s="38"/>
      <c r="CI14" s="38"/>
      <c r="CJ14" s="38"/>
      <c r="CK14" s="38"/>
      <c r="CS14" s="6" t="s">
        <v>73</v>
      </c>
      <c r="CT14" s="57"/>
      <c r="CU14" s="3"/>
      <c r="CV14" s="3"/>
      <c r="CW14" s="3"/>
      <c r="CX14" s="3"/>
      <c r="CY14" s="3"/>
      <c r="CZ14" s="3"/>
      <c r="DA14" s="6" t="s">
        <v>38</v>
      </c>
      <c r="DB14" s="536"/>
      <c r="DC14" s="537"/>
      <c r="DD14" s="537"/>
      <c r="DE14" s="538"/>
      <c r="DJ14" t="s">
        <v>423</v>
      </c>
      <c r="DQ14" s="29" t="s">
        <v>432</v>
      </c>
      <c r="DS14" s="46"/>
      <c r="DT14" s="46"/>
      <c r="EG14" s="405"/>
      <c r="EH14" s="392"/>
      <c r="EI14" s="392"/>
      <c r="EJ14" s="392"/>
      <c r="EK14" s="410"/>
      <c r="EL14" s="392"/>
      <c r="EM14" s="406"/>
      <c r="EN14" s="392"/>
      <c r="EO14" s="407"/>
      <c r="EP14" s="412"/>
      <c r="EQ14" s="408"/>
      <c r="ER14" s="392"/>
      <c r="ES14" s="409"/>
    </row>
    <row r="15" spans="1:188" ht="16.5">
      <c r="F15" t="s">
        <v>130</v>
      </c>
      <c r="G15" s="28" t="s">
        <v>144</v>
      </c>
      <c r="H15" s="29"/>
      <c r="W15" t="s">
        <v>493</v>
      </c>
      <c r="X15" s="28" t="s">
        <v>494</v>
      </c>
      <c r="Y15" s="29"/>
      <c r="AA15" s="360" t="s">
        <v>946</v>
      </c>
      <c r="AB15" s="360">
        <v>4</v>
      </c>
      <c r="AG15" s="46"/>
      <c r="AH15" s="38"/>
      <c r="AI15" s="38"/>
      <c r="AJ15" s="38"/>
      <c r="AK15" s="38"/>
      <c r="AL15" s="38"/>
      <c r="AM15" s="38"/>
      <c r="AN15" s="38"/>
      <c r="AO15" s="38"/>
      <c r="AP15" s="38"/>
      <c r="AQ15" s="77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47"/>
      <c r="BN15" s="38"/>
      <c r="BO15" s="38"/>
      <c r="BP15" s="38"/>
      <c r="BQ15" s="38"/>
      <c r="BR15" s="38"/>
      <c r="BS15" s="47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47"/>
      <c r="CG15" s="38"/>
      <c r="CH15" s="38"/>
      <c r="CI15" s="38"/>
      <c r="CJ15" s="38"/>
      <c r="CK15" s="38"/>
      <c r="CS15" s="23" t="s">
        <v>39</v>
      </c>
      <c r="CT15" s="505"/>
      <c r="CU15" s="506"/>
      <c r="CV15" s="506"/>
      <c r="CW15" s="506"/>
      <c r="CX15" s="507"/>
      <c r="CY15" s="3"/>
      <c r="CZ15" s="3"/>
      <c r="DA15" s="6"/>
      <c r="DB15" s="539"/>
      <c r="DC15" s="540"/>
      <c r="DD15" s="540"/>
      <c r="DE15" s="541"/>
      <c r="DJ15" s="14">
        <f ca="1">1+ROW()-ROW(INDIRECT(UNMT0020_B_LIST_START))</f>
        <v>-2</v>
      </c>
      <c r="DK15" s="14">
        <v>3</v>
      </c>
      <c r="DL15" s="14" t="s">
        <v>424</v>
      </c>
      <c r="DM15" s="459" t="s">
        <v>836</v>
      </c>
      <c r="DN15" s="302"/>
      <c r="DO15" s="19"/>
      <c r="DP15" s="300"/>
      <c r="DQ15" s="301">
        <f>IF(DN15=0,1,DN15)*DP15</f>
        <v>0</v>
      </c>
      <c r="DR15" s="378"/>
      <c r="DS15" s="302"/>
      <c r="DT15" s="302"/>
      <c r="DU15" s="302"/>
      <c r="DV15" s="268"/>
      <c r="DW15" s="302"/>
      <c r="DX15" s="19"/>
      <c r="DY15" s="12"/>
      <c r="DZ15" s="14"/>
      <c r="EA15" s="14"/>
      <c r="EB15" s="14"/>
      <c r="EG15" s="405"/>
      <c r="EH15" s="392"/>
      <c r="EI15" s="392"/>
      <c r="EJ15" s="392"/>
      <c r="EK15" s="410"/>
      <c r="EL15" s="392"/>
      <c r="EM15" s="406"/>
      <c r="EN15" s="392"/>
      <c r="EO15" s="407"/>
      <c r="EP15" s="412"/>
      <c r="EQ15" s="408"/>
      <c r="ER15" s="392"/>
      <c r="ES15" s="409"/>
    </row>
    <row r="16" spans="1:188" ht="16.5">
      <c r="F16" t="s">
        <v>131</v>
      </c>
      <c r="G16" s="28" t="s">
        <v>145</v>
      </c>
      <c r="H16" s="29"/>
      <c r="W16" t="s">
        <v>138</v>
      </c>
      <c r="X16" s="28" t="s">
        <v>147</v>
      </c>
      <c r="Y16" s="29"/>
      <c r="AA16" s="360" t="s">
        <v>947</v>
      </c>
      <c r="AB16" s="360">
        <f>IF(UNMT0020_B_GYO_COUNT=0,1,UNMT0020_B_GYO_COUNT)</f>
        <v>1</v>
      </c>
      <c r="AG16" s="46"/>
      <c r="AH16" s="38"/>
      <c r="AI16" s="38"/>
      <c r="AJ16" s="38"/>
      <c r="AK16" s="38"/>
      <c r="AL16" s="38"/>
      <c r="AM16" s="38"/>
      <c r="AN16" s="38"/>
      <c r="AO16" s="38"/>
      <c r="AP16" s="38"/>
      <c r="AQ16" s="77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47"/>
      <c r="BN16" s="38"/>
      <c r="BO16" s="38"/>
      <c r="BP16" s="38"/>
      <c r="BQ16" s="38"/>
      <c r="BR16" s="38"/>
      <c r="BS16" s="47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47"/>
      <c r="CG16" s="38"/>
      <c r="CH16" s="38"/>
      <c r="CI16" s="38"/>
      <c r="CJ16" s="38"/>
      <c r="CK16" s="38"/>
      <c r="CS16" s="6" t="s">
        <v>95</v>
      </c>
      <c r="CT16" s="505"/>
      <c r="CU16" s="507"/>
      <c r="CV16" s="3"/>
      <c r="CW16" s="6" t="s">
        <v>841</v>
      </c>
      <c r="CX16" s="56" t="s">
        <v>855</v>
      </c>
      <c r="CY16" s="3"/>
      <c r="CZ16" s="3"/>
      <c r="DA16" s="23" t="s">
        <v>93</v>
      </c>
      <c r="DB16" s="55"/>
      <c r="DC16" s="3"/>
      <c r="DD16" s="3"/>
      <c r="DE16" s="3"/>
      <c r="EG16" s="405"/>
      <c r="EH16" s="392"/>
      <c r="EI16" s="392"/>
      <c r="EJ16" s="392"/>
      <c r="EK16" s="410"/>
      <c r="EL16" s="392"/>
      <c r="EM16" s="406"/>
      <c r="EN16" s="392"/>
      <c r="EO16" s="407"/>
      <c r="EP16" s="412"/>
      <c r="EQ16" s="408"/>
      <c r="ER16" s="392"/>
      <c r="ES16" s="409"/>
    </row>
    <row r="17" spans="5:149" ht="16.5">
      <c r="W17" t="s">
        <v>139</v>
      </c>
      <c r="X17" s="28" t="s">
        <v>148</v>
      </c>
      <c r="Y17" s="29"/>
      <c r="AA17" s="360" t="s">
        <v>948</v>
      </c>
      <c r="AB17" s="360" t="s">
        <v>968</v>
      </c>
      <c r="AG17" s="46"/>
      <c r="AH17" s="38"/>
      <c r="AI17" s="38"/>
      <c r="AJ17" s="38"/>
      <c r="AK17" s="38"/>
      <c r="AL17" s="38"/>
      <c r="AM17" s="38"/>
      <c r="AN17" s="38"/>
      <c r="AO17" s="38"/>
      <c r="AP17" s="38"/>
      <c r="AQ17" s="77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47"/>
      <c r="BN17" s="38"/>
      <c r="BO17" s="38"/>
      <c r="BP17" s="38"/>
      <c r="BQ17" s="38"/>
      <c r="BR17" s="38"/>
      <c r="BS17" s="47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47"/>
      <c r="CG17" s="38"/>
      <c r="CH17" s="38"/>
      <c r="CI17" s="38"/>
      <c r="CJ17" s="38"/>
      <c r="CK17" s="38"/>
      <c r="CS17" s="6"/>
      <c r="CT17" s="481"/>
      <c r="CU17" s="481"/>
      <c r="CV17" s="117"/>
      <c r="CW17" s="482"/>
      <c r="CX17" s="483"/>
      <c r="CY17" s="117"/>
      <c r="CZ17" s="117"/>
      <c r="DA17" s="484"/>
      <c r="DB17" s="485"/>
      <c r="DC17" s="117"/>
      <c r="DD17" s="6" t="s">
        <v>40</v>
      </c>
      <c r="DE17" s="58"/>
      <c r="DI17" t="s">
        <v>335</v>
      </c>
      <c r="DJ17" t="s">
        <v>340</v>
      </c>
      <c r="DK17" s="29" t="s">
        <v>501</v>
      </c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G17" s="405"/>
      <c r="EH17" s="392"/>
      <c r="EI17" s="392"/>
      <c r="EJ17" s="392"/>
      <c r="EK17" s="410"/>
      <c r="EL17" s="392"/>
      <c r="EM17" s="406"/>
      <c r="EN17" s="392"/>
      <c r="EO17" s="407"/>
      <c r="EP17" s="412"/>
      <c r="EQ17" s="408"/>
      <c r="ER17" s="392"/>
      <c r="ES17" s="409"/>
    </row>
    <row r="18" spans="5:149" ht="16.5">
      <c r="E18" s="27" t="s">
        <v>132</v>
      </c>
      <c r="G18" s="28"/>
      <c r="W18" t="s">
        <v>140</v>
      </c>
      <c r="X18" s="28" t="s">
        <v>149</v>
      </c>
      <c r="Y18" s="29">
        <f>IF(UNMT0020_IF_SAVE_RESULT_CD=0,2,1)</f>
        <v>2</v>
      </c>
      <c r="Z18" t="s">
        <v>225</v>
      </c>
      <c r="AA18" s="360" t="s">
        <v>949</v>
      </c>
      <c r="AB18" s="360"/>
      <c r="AG18" s="46"/>
      <c r="AH18" s="38"/>
      <c r="AI18" s="38"/>
      <c r="AJ18" s="38"/>
      <c r="AK18" s="38"/>
      <c r="AL18" s="38"/>
      <c r="AM18" s="38"/>
      <c r="AN18" s="38"/>
      <c r="AO18" s="38"/>
      <c r="AP18" s="38"/>
      <c r="AQ18" s="77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47"/>
      <c r="BN18" s="38"/>
      <c r="BO18" s="38"/>
      <c r="BP18" s="38"/>
      <c r="BQ18" s="38"/>
      <c r="BR18" s="38"/>
      <c r="BS18" s="47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47"/>
      <c r="CG18" s="38"/>
      <c r="CH18" s="38"/>
      <c r="CI18" s="38"/>
      <c r="CJ18" s="38"/>
      <c r="CK18" s="38"/>
      <c r="CS18" s="6" t="s">
        <v>1035</v>
      </c>
      <c r="CT18" s="544"/>
      <c r="CU18" s="545"/>
      <c r="CV18" s="545"/>
      <c r="CW18" s="545"/>
      <c r="CX18" s="545"/>
      <c r="CY18" s="545"/>
      <c r="CZ18" s="545"/>
      <c r="DA18" s="545"/>
      <c r="DB18" s="545"/>
      <c r="DC18" s="546"/>
      <c r="DD18" s="6" t="s">
        <v>41</v>
      </c>
      <c r="DE18" s="11"/>
      <c r="DJ18" s="14">
        <f ca="1">1+ROW()-ROW(INDIRECT(UNMT0020_B_LIST_START))</f>
        <v>1</v>
      </c>
      <c r="DK18" s="14">
        <v>4</v>
      </c>
      <c r="DL18" s="14" t="s">
        <v>62</v>
      </c>
      <c r="DM18" s="459" t="s">
        <v>498</v>
      </c>
      <c r="DN18" s="302"/>
      <c r="DO18" s="268"/>
      <c r="DP18" s="302"/>
      <c r="DQ18" s="302">
        <f ca="1">IF(ISERROR(SUM(INDIRECT(EB18)))=TRUE,0,SUM(INDIRECT(EB18)))</f>
        <v>0</v>
      </c>
      <c r="DR18" s="379"/>
      <c r="DS18" s="302"/>
      <c r="DT18" s="302"/>
      <c r="DU18" s="302"/>
      <c r="DV18" s="19"/>
      <c r="DW18" s="301"/>
      <c r="DX18" s="19"/>
      <c r="DY18" s="12"/>
      <c r="DZ18" s="14"/>
      <c r="EA18" s="14"/>
      <c r="EB18" s="14" t="str">
        <f ca="1">IF(OR(INDIRECT(ADDRESS(ROW()-1,COLUMN(UNMT0020_B_SHOHIN_CD)))="subtotal",ROW()-ROW(UNMT0020_B_SHOHIN_CD)=1),"",
IF(COUNTIF(OFFSET(UNMT0020_B_SHOHIN_CD,1,0,ROW()-ROW(UNMT0020_B_SHOHIN_CD)),"subtotal")&lt;=1,
ADDRESS(ROW(UNMT0020_B_KINGAKU)+1,COLUMN(UNMT0020_B_KINGAKU)),
ADDRESS(MATCH(COUNTIF(OFFSET(UNMT0020_B_SHOHIN_CD,1,0,ROW()-ROW(UNMT0020_B_SHOHIN_CD)),"subtotal")-1,
INDEX(COUNTIF(OFFSET(UNMT0020_B_SHOHIN_CD,1-ROW(UNMT0020_B_SHOHIN_CD),0,
ROW(OFFSET(UNMT0020_B_SHOHIN_CD,0,0,ROW()-ROW(UNMT0020_B_SHOHIN_CD),))),"subtotal"),,),0)+ROW(UNMT0020_B_SHOHIN_CD),
COLUMN(UNMT0020_B_KINGAKU),4))
&amp;":"&amp;ADDRESS(ROW()-1,COLUMN(UNMT0020_B_KINGAKU)))</f>
        <v/>
      </c>
      <c r="EG18" s="405"/>
      <c r="EH18" s="392"/>
      <c r="EI18" s="392"/>
      <c r="EJ18" s="392"/>
      <c r="EK18" s="410"/>
      <c r="EL18" s="392"/>
      <c r="EM18" s="406"/>
      <c r="EN18" s="392"/>
      <c r="EO18" s="407"/>
      <c r="EP18" s="412"/>
      <c r="EQ18" s="408"/>
      <c r="ER18" s="392"/>
      <c r="ES18" s="409"/>
    </row>
    <row r="19" spans="5:149" ht="16.5">
      <c r="F19" t="s">
        <v>133</v>
      </c>
      <c r="G19" s="28" t="s">
        <v>500</v>
      </c>
      <c r="H19" s="29">
        <v>0</v>
      </c>
      <c r="I19" s="30" t="s">
        <v>153</v>
      </c>
      <c r="J19" s="30" t="s">
        <v>154</v>
      </c>
      <c r="K19" s="30" t="s">
        <v>155</v>
      </c>
      <c r="L19" s="30"/>
      <c r="W19" t="s">
        <v>141</v>
      </c>
      <c r="X19" s="28" t="s">
        <v>150</v>
      </c>
      <c r="Y19" s="29" t="str">
        <f>IF(UNMT0020_IF_SAVE_W_MODE=3,"削除に失敗しました。","保存に失敗しました。入力内容を確認してください。")</f>
        <v>保存に失敗しました。入力内容を確認してください。</v>
      </c>
      <c r="AA19" s="360" t="s">
        <v>950</v>
      </c>
      <c r="AB19" s="360">
        <f>COLUMN(BZ5)</f>
        <v>78</v>
      </c>
      <c r="AQ19" s="77"/>
      <c r="CS19" s="6"/>
      <c r="CT19" s="547"/>
      <c r="CU19" s="548"/>
      <c r="CV19" s="548"/>
      <c r="CW19" s="548"/>
      <c r="CX19" s="548"/>
      <c r="CY19" s="548"/>
      <c r="CZ19" s="548"/>
      <c r="DA19" s="548"/>
      <c r="DB19" s="548"/>
      <c r="DC19" s="549"/>
      <c r="DD19" s="6" t="s">
        <v>42</v>
      </c>
      <c r="DE19" s="11"/>
      <c r="EG19" s="405"/>
      <c r="EH19" s="392"/>
      <c r="EI19" s="392"/>
      <c r="EJ19" s="392"/>
      <c r="EK19" s="392"/>
      <c r="EL19" s="392"/>
      <c r="EM19" s="406"/>
      <c r="EN19" s="392"/>
      <c r="EO19" s="407"/>
      <c r="EP19" s="392"/>
      <c r="EQ19" s="408"/>
      <c r="ER19" s="392"/>
      <c r="ES19" s="409"/>
    </row>
    <row r="20" spans="5:149" ht="16.5">
      <c r="F20" t="s">
        <v>281</v>
      </c>
      <c r="G20" s="28" t="s">
        <v>282</v>
      </c>
      <c r="H20" s="29">
        <f>UNMT0020_H_MODE_KBN</f>
        <v>1</v>
      </c>
      <c r="I20" s="30" t="s">
        <v>283</v>
      </c>
      <c r="J20" s="30" t="s">
        <v>284</v>
      </c>
      <c r="AA20" s="360" t="s">
        <v>951</v>
      </c>
      <c r="AB20" s="360" t="str">
        <f ca="1">func_文字列連結(OFFSET(UNMT0020_IF_SAVE_JOGAI_GYO,1,0,IF(UNMT0020_B_GYO_COUNT=0,1,UNMT0020_B_GYO_COUNT)),",")</f>
        <v/>
      </c>
      <c r="AQ20" s="77"/>
      <c r="CS20" s="6"/>
      <c r="CT20" s="3"/>
      <c r="CU20" s="3"/>
      <c r="CV20" s="3"/>
      <c r="CW20" s="3"/>
      <c r="CX20" s="3"/>
      <c r="CY20" s="3"/>
      <c r="CZ20" s="3"/>
      <c r="DA20" s="6"/>
      <c r="DB20" s="3"/>
      <c r="DC20" s="3"/>
      <c r="DD20" s="6" t="s">
        <v>43</v>
      </c>
      <c r="DE20" s="11"/>
      <c r="DH20" t="s">
        <v>320</v>
      </c>
      <c r="EG20" s="405"/>
      <c r="EH20" s="392"/>
      <c r="EI20" s="392"/>
      <c r="EJ20" s="392"/>
      <c r="EK20" s="392"/>
      <c r="EL20" s="392"/>
      <c r="EM20" s="406"/>
      <c r="EN20" s="392"/>
      <c r="EO20" s="407"/>
      <c r="EP20" s="392"/>
      <c r="EQ20" s="408"/>
      <c r="ER20" s="392"/>
      <c r="ES20" s="409"/>
    </row>
    <row r="21" spans="5:149" ht="16.5">
      <c r="F21" s="5" t="s">
        <v>418</v>
      </c>
      <c r="G21" s="28" t="s">
        <v>419</v>
      </c>
      <c r="H21" s="29">
        <f ca="1">IF(UNMT0020_B_GYO_COUNT=0,0,IF(COUNTIF(OFFSET(UNMT0020_B_ROW_KBN,1,0,UNMT0020_B_GYO_COUNT),3)
+COUNTIF(OFFSET(UNMT0020_B_ROW_KBN,1,0,UNMT0020_B_GYO_COUNT),4)
&gt;=1,1,0))</f>
        <v>0</v>
      </c>
      <c r="I21" s="30" t="s">
        <v>420</v>
      </c>
      <c r="J21" s="30" t="s">
        <v>421</v>
      </c>
      <c r="K21" t="s">
        <v>422</v>
      </c>
      <c r="AA21" s="354" t="s">
        <v>952</v>
      </c>
      <c r="AB21" s="115"/>
      <c r="AQ21" s="77"/>
      <c r="CS21" s="6" t="s">
        <v>74</v>
      </c>
      <c r="CT21" s="563"/>
      <c r="CU21" s="564"/>
      <c r="CV21" s="3"/>
      <c r="CW21" s="3"/>
      <c r="CX21" s="3"/>
      <c r="CY21" s="3"/>
      <c r="CZ21" s="3"/>
      <c r="DA21" s="6" t="s">
        <v>76</v>
      </c>
      <c r="DB21" s="563"/>
      <c r="DC21" s="564"/>
      <c r="DD21" s="6" t="s">
        <v>48</v>
      </c>
      <c r="DE21" s="11"/>
      <c r="DI21" t="s">
        <v>332</v>
      </c>
      <c r="DJ21" t="s">
        <v>337</v>
      </c>
      <c r="EG21" s="405"/>
      <c r="EH21" s="392"/>
      <c r="EI21" s="392"/>
      <c r="EJ21" s="392"/>
      <c r="EK21" s="392"/>
      <c r="EL21" s="392"/>
      <c r="EM21" s="406"/>
      <c r="EN21" s="392"/>
      <c r="EO21" s="407"/>
      <c r="EP21" s="392"/>
      <c r="EQ21" s="408"/>
      <c r="ER21" s="392"/>
      <c r="ES21" s="409"/>
    </row>
    <row r="22" spans="5:149" ht="16.5">
      <c r="E22" s="143"/>
      <c r="F22" s="159" t="s">
        <v>726</v>
      </c>
      <c r="G22" s="145" t="s">
        <v>727</v>
      </c>
      <c r="H22" s="94">
        <v>0</v>
      </c>
      <c r="I22" s="30" t="s">
        <v>729</v>
      </c>
      <c r="J22" s="30" t="s">
        <v>728</v>
      </c>
      <c r="K22" s="143"/>
      <c r="L22" s="143"/>
      <c r="N22" s="143"/>
      <c r="O22" s="143"/>
      <c r="AA22" s="361" t="s">
        <v>953</v>
      </c>
      <c r="AB22" s="362"/>
      <c r="AQ22" s="77"/>
      <c r="CS22" s="6" t="s">
        <v>75</v>
      </c>
      <c r="CT22" s="563"/>
      <c r="CU22" s="564"/>
      <c r="CV22" s="3"/>
      <c r="CW22" s="3"/>
      <c r="CX22" s="3"/>
      <c r="CY22" s="3"/>
      <c r="CZ22" s="3"/>
      <c r="DA22" s="6" t="s">
        <v>77</v>
      </c>
      <c r="DB22" s="563"/>
      <c r="DC22" s="564"/>
      <c r="DD22" s="486"/>
      <c r="DE22" s="486"/>
      <c r="DJ22" s="160">
        <f ca="1">1+ROW()-ROW(INDIRECT(UNMT0020_B_LIST_START))</f>
        <v>5</v>
      </c>
      <c r="DK22" s="160">
        <v>1</v>
      </c>
      <c r="DL22" s="55"/>
      <c r="DM22" s="459"/>
      <c r="DN22" s="300"/>
      <c r="DO22" s="269"/>
      <c r="DP22" s="300"/>
      <c r="DQ22" s="301">
        <f>IF(DN22=0,1,DN22)*DP22</f>
        <v>0</v>
      </c>
      <c r="DR22" s="378"/>
      <c r="DS22" s="301"/>
      <c r="DT22" s="300"/>
      <c r="DU22" s="302">
        <f>DT22*IF(DN22=0,1,DN22)</f>
        <v>0</v>
      </c>
      <c r="DV22" s="270">
        <f>IF(ISERROR(DW22/DQ22)=TRUE,0,
IF(DQ22&lt;DU22,DW22/DU22,
DW22/DQ22))</f>
        <v>0</v>
      </c>
      <c r="DW22" s="301">
        <f>IF(DU22=0,0,DQ22-DU22)</f>
        <v>0</v>
      </c>
      <c r="DX22" s="271"/>
      <c r="DY22" s="283"/>
      <c r="DZ22" s="283"/>
      <c r="EA22" s="17"/>
      <c r="EB22" s="17"/>
      <c r="EG22" s="405"/>
      <c r="EH22" s="392"/>
      <c r="EI22" s="392"/>
      <c r="EJ22" s="392"/>
      <c r="EK22" s="392"/>
      <c r="EL22" s="392"/>
      <c r="EM22" s="406"/>
      <c r="EN22" s="392"/>
      <c r="EO22" s="407"/>
      <c r="EP22" s="392"/>
      <c r="EQ22" s="408"/>
      <c r="ER22" s="392"/>
      <c r="ES22" s="409"/>
    </row>
    <row r="23" spans="5:149" ht="16.5">
      <c r="F23" s="5"/>
      <c r="G23" s="52"/>
      <c r="AA23" s="361" t="s">
        <v>954</v>
      </c>
      <c r="AB23" s="362"/>
      <c r="AQ23" s="77"/>
      <c r="CS23" s="3"/>
      <c r="CT23" s="7"/>
      <c r="CU23" s="3"/>
      <c r="CV23" s="3"/>
      <c r="CW23" s="3"/>
      <c r="CX23" s="3"/>
      <c r="CY23" s="3"/>
      <c r="CZ23" s="3"/>
      <c r="DA23" s="3"/>
      <c r="DB23" s="3"/>
      <c r="DC23" s="3"/>
      <c r="DD23" s="486"/>
      <c r="DE23" s="486"/>
      <c r="EG23" s="405"/>
      <c r="EH23" s="392"/>
      <c r="EI23" s="392"/>
      <c r="EJ23" s="392"/>
      <c r="EK23" s="392"/>
      <c r="EL23" s="392"/>
      <c r="EM23" s="406"/>
      <c r="EN23" s="392"/>
      <c r="EO23" s="407"/>
      <c r="EP23" s="392"/>
      <c r="EQ23" s="408"/>
      <c r="ER23" s="392"/>
      <c r="ES23" s="409"/>
    </row>
    <row r="24" spans="5:149" ht="16.5">
      <c r="E24" s="27" t="s">
        <v>261</v>
      </c>
      <c r="G24" s="28"/>
      <c r="I24" s="27" t="s">
        <v>269</v>
      </c>
      <c r="AA24" s="354" t="s">
        <v>955</v>
      </c>
      <c r="AB24" s="115"/>
      <c r="AQ24" s="77"/>
      <c r="CS24" s="3"/>
      <c r="CT24" s="15" t="s">
        <v>78</v>
      </c>
      <c r="CU24" s="15" t="s">
        <v>28</v>
      </c>
      <c r="CV24" s="15" t="s">
        <v>44</v>
      </c>
      <c r="CW24" s="528" t="s">
        <v>45</v>
      </c>
      <c r="CX24" s="529"/>
      <c r="CY24" s="528" t="s">
        <v>46</v>
      </c>
      <c r="CZ24" s="529"/>
      <c r="DA24" s="15" t="s">
        <v>29</v>
      </c>
      <c r="DB24" s="15" t="s">
        <v>47</v>
      </c>
      <c r="DC24" s="3"/>
      <c r="DD24" s="486"/>
      <c r="DE24" s="486"/>
      <c r="DI24" t="s">
        <v>333</v>
      </c>
      <c r="DJ24" t="s">
        <v>341</v>
      </c>
      <c r="EG24" s="405"/>
      <c r="EH24" s="392"/>
      <c r="EI24" s="392"/>
      <c r="EJ24" s="392"/>
      <c r="EK24" s="392"/>
      <c r="EL24" s="392"/>
      <c r="EM24" s="406"/>
      <c r="EN24" s="392"/>
      <c r="EO24" s="407"/>
      <c r="EP24" s="392"/>
      <c r="EQ24" s="408"/>
      <c r="ER24" s="392"/>
      <c r="ES24" s="409"/>
    </row>
    <row r="25" spans="5:149" ht="16.5">
      <c r="F25" t="s">
        <v>262</v>
      </c>
      <c r="G25" s="28" t="s">
        <v>312</v>
      </c>
      <c r="H25" s="29" t="str">
        <f>IF(UNMT0020_IF_MODE=1,"-",IF(UNMT0020_IF_MODE=2,"修正キャンセル","修正"))</f>
        <v>修正</v>
      </c>
      <c r="I25" s="53" t="s">
        <v>270</v>
      </c>
      <c r="J25" t="s">
        <v>271</v>
      </c>
      <c r="K25" t="s">
        <v>272</v>
      </c>
      <c r="AA25" s="349"/>
      <c r="AQ25" s="77"/>
      <c r="CS25" s="3"/>
      <c r="CT25" s="41">
        <f>UNMT0020_H_TAX_RATE</f>
        <v>0</v>
      </c>
      <c r="CU25" s="42">
        <f ca="1">IF(UNMT0020_B_GYO_COUNT=0,0,
IF(UNMT0020_H_SEIKYUSAKI_HASU=1,ROUNDDOWN(SUMIF(OFFSET(UNMT0020_B_SHOHIN_CD,1,0,UNMT0020_B_GYO_COUNT),"&lt;&gt;subtotal",OFFSET(UNMT0020_B_KINGAKU,1,0,UNMT0020_B_GYO_COUNT)),0),
IF(UNMT0020_H_SEIKYUSAKI_HASU=2,ROUNDUP(SUMIF(OFFSET(UNMT0020_B_SHOHIN_CD,1,0,UNMT0020_B_GYO_COUNT),"&lt;&gt;subtotal",OFFSET(UNMT0020_B_KINGAKU,1,0,UNMT0020_B_GYO_COUNT)),0),
ROUND(SUMIF(OFFSET(UNMT0020_B_SHOHIN_CD,1,0,UNMT0020_B_GYO_COUNT),"&lt;&gt;subtotal",OFFSET(UNMT0020_B_KINGAKU,1,0,UNMT0020_B_GYO_COUNT)),0))))</f>
        <v>0</v>
      </c>
      <c r="CV25" s="42">
        <f>IF(UNMT0020_B_GYO_COUNT=0,0,ROUNDDOWN(UNMT0020_H_NUKI_TOTAL*UNMT0020_H_TAX_RATE,0))</f>
        <v>0</v>
      </c>
      <c r="CW25" s="530">
        <f>IF(UNMT0020_B_GYO_COUNT=0,0,UNMT0020_H_NUKI_TOTAL+UNMT0020_H_TAX)</f>
        <v>0</v>
      </c>
      <c r="CX25" s="531"/>
      <c r="CY25" s="530">
        <f ca="1">IF(UNMT0020_B_GYO_COUNT=0,0,ROUND(SUMIF(OFFSET(UNMT0020_B_SHOHIN_CD,1,0,UNMT0020_B_GYO_COUNT),"&lt;&gt;subtotal",OFFSET(UNMT0020_B_GENKA,1,0,UNMT0020_B_GYO_COUNT)),0))</f>
        <v>0</v>
      </c>
      <c r="CZ25" s="531"/>
      <c r="DA25" s="42">
        <f>IF(UNMT0020_B_GYO_COUNT=0,0,UNMT0020_H_NUKI_TOTAL-UNMT0020_H_GENKA_TOTAL)</f>
        <v>0</v>
      </c>
      <c r="DB25" s="43">
        <f>IF(UNMT0020_B_GYO_COUNT=0,0,IF(ISERROR(UNMT0020_H_ARARIEKI/UNMT0020_H_NUKI_TOTAL)=TRUE,0,UNMT0020_H_ARARIEKI/UNMT0020_H_NUKI_TOTAL))</f>
        <v>0</v>
      </c>
      <c r="DC25" s="3"/>
      <c r="DD25" s="3"/>
      <c r="DE25" s="3"/>
      <c r="DJ25" s="14">
        <f ca="1">1+ROW()-ROW(INDIRECT(UNMT0020_B_LIST_START))</f>
        <v>8</v>
      </c>
      <c r="DK25" s="14">
        <v>2</v>
      </c>
      <c r="DL25" s="14" t="s">
        <v>60</v>
      </c>
      <c r="DM25" s="460"/>
      <c r="DN25" s="274"/>
      <c r="DO25" s="274"/>
      <c r="DP25" s="328"/>
      <c r="DQ25" s="274"/>
      <c r="DR25" s="380"/>
      <c r="DS25" s="274"/>
      <c r="DT25" s="274"/>
      <c r="DU25" s="274"/>
      <c r="DV25" s="274"/>
      <c r="DW25" s="274"/>
      <c r="DX25" s="274"/>
      <c r="DY25" s="275"/>
      <c r="DZ25" s="60"/>
      <c r="EA25" s="31"/>
      <c r="EB25" s="31"/>
      <c r="EG25" s="405"/>
      <c r="EH25" s="392"/>
      <c r="EI25" s="392"/>
      <c r="EJ25" s="392"/>
      <c r="EK25" s="392"/>
      <c r="EL25" s="392"/>
      <c r="EM25" s="406"/>
      <c r="EN25" s="392"/>
      <c r="EO25" s="407"/>
      <c r="EP25" s="392"/>
      <c r="EQ25" s="408"/>
      <c r="ER25" s="392"/>
      <c r="ES25" s="409"/>
    </row>
    <row r="26" spans="5:149" ht="14.25">
      <c r="F26" t="s">
        <v>263</v>
      </c>
      <c r="G26" s="28" t="s">
        <v>313</v>
      </c>
      <c r="H26" s="29" t="str">
        <f>IF(UNMT0020_IF_MODE=1,"新規登録",IF(UNMT0020_IF_MODE=2,"保存","-"))</f>
        <v>-</v>
      </c>
      <c r="I26" t="s">
        <v>35</v>
      </c>
      <c r="J26" t="s">
        <v>273</v>
      </c>
      <c r="K26" s="53" t="s">
        <v>270</v>
      </c>
      <c r="L26" s="53"/>
      <c r="AA26" s="349" t="s">
        <v>956</v>
      </c>
      <c r="AQ26" s="77"/>
      <c r="EG26" s="405"/>
      <c r="EH26" s="392"/>
      <c r="EI26" s="392"/>
      <c r="EJ26" s="392"/>
      <c r="EK26" s="392"/>
      <c r="EL26" s="392"/>
      <c r="EM26" s="406"/>
      <c r="EN26" s="392"/>
      <c r="EO26" s="407"/>
      <c r="EP26" s="392"/>
      <c r="EQ26" s="408"/>
      <c r="ER26" s="392"/>
      <c r="ES26" s="409"/>
    </row>
    <row r="27" spans="5:149" ht="14.25">
      <c r="G27" s="28"/>
      <c r="K27" s="53"/>
      <c r="L27" s="53"/>
      <c r="AA27" t="s">
        <v>136</v>
      </c>
      <c r="AB27" s="28" t="s">
        <v>146</v>
      </c>
      <c r="AC27" s="29">
        <f>IF(ISBLANK(UNMT0020_IF_SAVE_CHECK_RESULT)=TRUE,2,1)</f>
        <v>2</v>
      </c>
      <c r="AD27" s="349" t="s">
        <v>225</v>
      </c>
      <c r="AQ27" s="77"/>
      <c r="CS27" t="s">
        <v>320</v>
      </c>
      <c r="CT27" t="s">
        <v>328</v>
      </c>
      <c r="DI27" t="s">
        <v>334</v>
      </c>
      <c r="DJ27" t="s">
        <v>412</v>
      </c>
      <c r="EG27" s="405"/>
      <c r="EH27" s="392"/>
      <c r="EI27" s="392"/>
      <c r="EJ27" s="392"/>
      <c r="EK27" s="392"/>
      <c r="EL27" s="392"/>
      <c r="EM27" s="406"/>
      <c r="EN27" s="392"/>
      <c r="EO27" s="407"/>
      <c r="EP27" s="392"/>
      <c r="EQ27" s="408"/>
      <c r="ER27" s="392"/>
      <c r="ES27" s="409"/>
    </row>
    <row r="28" spans="5:149" ht="16.5">
      <c r="F28" t="s">
        <v>278</v>
      </c>
      <c r="G28" s="28" t="s">
        <v>314</v>
      </c>
      <c r="H28" s="29" t="str">
        <f>IF(UNMT0020_IF_MITSU_MODE=1,"単価モード","通常モード")</f>
        <v>単価モード</v>
      </c>
      <c r="I28" t="s">
        <v>270</v>
      </c>
      <c r="J28" t="s">
        <v>279</v>
      </c>
      <c r="K28" s="53" t="s">
        <v>280</v>
      </c>
      <c r="L28" s="53"/>
      <c r="AA28" s="349" t="s">
        <v>962</v>
      </c>
      <c r="AB28" s="352" t="s">
        <v>959</v>
      </c>
      <c r="AC28" s="351" t="str">
        <f>"以下の項目が入力されていません。"&amp;
IF(UNMT0020_IF_SAVE_CHECK_RESULT&gt;=1,"
行番号："&amp;UNMT0020_IF_SAVE_CHECK_RESULT-ROW(UNMT0020_IF_SAVE_CHECK_START)+1,"")&amp;
"
項目名："&amp;UNMT0020_IF_SAVE_CHECK_ERROR_KOMOKU</f>
        <v>以下の項目が入力されていません。
項目名：</v>
      </c>
      <c r="AQ28" s="77"/>
      <c r="CS28" s="23" t="s">
        <v>99</v>
      </c>
      <c r="CT28" s="54"/>
      <c r="CU28" s="3"/>
      <c r="CV28" s="23" t="s">
        <v>72</v>
      </c>
      <c r="CW28" s="575"/>
      <c r="CX28" s="575"/>
      <c r="CY28" s="3"/>
      <c r="CZ28" s="3"/>
      <c r="DA28" s="23" t="s">
        <v>69</v>
      </c>
      <c r="DB28" s="55"/>
      <c r="DC28" s="3"/>
      <c r="DD28" s="6" t="s">
        <v>36</v>
      </c>
      <c r="DE28" s="58"/>
      <c r="DJ28" s="160">
        <f ca="1">1+ROW()-ROW(INDIRECT(UNMT0020_B_LIST_START))</f>
        <v>11</v>
      </c>
      <c r="DK28" s="160">
        <v>3</v>
      </c>
      <c r="DL28" s="160" t="s">
        <v>843</v>
      </c>
      <c r="DM28" s="459" t="s">
        <v>835</v>
      </c>
      <c r="DN28" s="305"/>
      <c r="DO28" s="19" t="s">
        <v>61</v>
      </c>
      <c r="DP28" s="302"/>
      <c r="DQ28" s="301">
        <f ca="1">-INDIRECT(ADDRESS(ROW()-1,COLUMN()))*(DN28/100)</f>
        <v>0</v>
      </c>
      <c r="DR28" s="378"/>
      <c r="DS28" s="302"/>
      <c r="DT28" s="302"/>
      <c r="DU28" s="302"/>
      <c r="DV28" s="268"/>
      <c r="DW28" s="302"/>
      <c r="DX28" s="19"/>
      <c r="DY28" s="12"/>
      <c r="DZ28" s="160"/>
      <c r="EA28" s="160"/>
      <c r="EB28" s="160"/>
      <c r="EG28" s="405"/>
      <c r="EH28" s="392"/>
      <c r="EI28" s="392"/>
      <c r="EJ28" s="392"/>
      <c r="EK28" s="392"/>
      <c r="EL28" s="392"/>
      <c r="EM28" s="406"/>
      <c r="EN28" s="392"/>
      <c r="EO28" s="407"/>
      <c r="EP28" s="392"/>
      <c r="EQ28" s="408"/>
      <c r="ER28" s="392"/>
      <c r="ES28" s="409"/>
    </row>
    <row r="29" spans="5:149" ht="16.5">
      <c r="G29" s="28"/>
      <c r="AA29" s="352"/>
      <c r="AB29" s="352"/>
      <c r="AQ29" s="77"/>
      <c r="CS29" s="6" t="s">
        <v>19</v>
      </c>
      <c r="CT29" s="17"/>
      <c r="CU29" s="3"/>
      <c r="CV29" s="23" t="s">
        <v>97</v>
      </c>
      <c r="CW29" s="576"/>
      <c r="CX29" s="576"/>
      <c r="CY29" s="3"/>
      <c r="CZ29" s="3"/>
      <c r="DA29" s="6" t="s">
        <v>37</v>
      </c>
      <c r="DB29" s="17"/>
      <c r="DC29" s="3"/>
      <c r="DD29" s="3"/>
      <c r="DE29" s="3"/>
      <c r="DJ29" t="s">
        <v>415</v>
      </c>
      <c r="EG29" s="405"/>
      <c r="EH29" s="392"/>
      <c r="EI29" s="392"/>
      <c r="EJ29" s="392"/>
      <c r="EK29" s="392"/>
      <c r="EL29" s="392"/>
      <c r="EM29" s="406"/>
      <c r="EN29" s="392"/>
      <c r="EO29" s="407"/>
      <c r="EP29" s="392"/>
      <c r="EQ29" s="408"/>
      <c r="ER29" s="392"/>
      <c r="ES29" s="409"/>
    </row>
    <row r="30" spans="5:149" ht="16.5">
      <c r="E30" s="27" t="s">
        <v>264</v>
      </c>
      <c r="G30" s="28"/>
      <c r="I30" s="27" t="s">
        <v>269</v>
      </c>
      <c r="AA30" s="349"/>
      <c r="AB30" s="352" t="s">
        <v>960</v>
      </c>
      <c r="AC30" s="352" t="s">
        <v>961</v>
      </c>
      <c r="AQ30" s="77"/>
      <c r="CS30" s="6"/>
      <c r="CT30" s="3"/>
      <c r="CU30" s="3"/>
      <c r="CV30" s="3"/>
      <c r="CW30" s="3"/>
      <c r="CX30" s="3"/>
      <c r="CY30" s="3"/>
      <c r="CZ30" s="3"/>
      <c r="DA30" s="6"/>
      <c r="DB30" s="3"/>
      <c r="DC30" s="3"/>
      <c r="DD30" s="3"/>
      <c r="DE30" s="3"/>
      <c r="DJ30" s="160">
        <f ca="1">1+ROW()-ROW(INDIRECT(UNMT0020_B_LIST_START))</f>
        <v>13</v>
      </c>
      <c r="DK30" s="160">
        <v>3</v>
      </c>
      <c r="DL30" s="160" t="s">
        <v>345</v>
      </c>
      <c r="DM30" s="459" t="s">
        <v>835</v>
      </c>
      <c r="DN30" s="302"/>
      <c r="DO30" s="19"/>
      <c r="DP30" s="302"/>
      <c r="DQ30" s="305"/>
      <c r="DR30" s="378"/>
      <c r="DS30" s="302"/>
      <c r="DT30" s="302"/>
      <c r="DU30" s="302"/>
      <c r="DV30" s="268"/>
      <c r="DW30" s="302"/>
      <c r="DX30" s="19"/>
      <c r="DY30" s="12"/>
      <c r="DZ30" s="160"/>
      <c r="EA30" s="160"/>
      <c r="EB30" s="160"/>
      <c r="EG30" s="405"/>
      <c r="EH30" s="392"/>
      <c r="EI30" s="392"/>
      <c r="EJ30" s="392"/>
      <c r="EK30" s="392"/>
      <c r="EL30" s="392"/>
      <c r="EM30" s="406"/>
      <c r="EN30" s="392"/>
      <c r="EO30" s="407"/>
      <c r="EP30" s="392"/>
      <c r="EQ30" s="408"/>
      <c r="ER30" s="392"/>
      <c r="ES30" s="409"/>
    </row>
    <row r="31" spans="5:149" ht="16.5">
      <c r="F31" t="s">
        <v>262</v>
      </c>
      <c r="G31" s="28" t="s">
        <v>315</v>
      </c>
      <c r="H31" s="29">
        <f>IF(UNMT0020_IF_MODE=1,5,IF(UNMT0020_IF_MODE=2,0,0))</f>
        <v>0</v>
      </c>
      <c r="I31" t="s">
        <v>274</v>
      </c>
      <c r="J31" t="s">
        <v>275</v>
      </c>
      <c r="K31" t="s">
        <v>275</v>
      </c>
      <c r="AA31" s="349" t="s">
        <v>957</v>
      </c>
      <c r="AB31" s="351"/>
      <c r="AC31" s="351"/>
      <c r="AQ31" s="77"/>
      <c r="CS31" s="6" t="s">
        <v>73</v>
      </c>
      <c r="CT31" s="57"/>
      <c r="CU31" s="3"/>
      <c r="CV31" s="3"/>
      <c r="CW31" s="3"/>
      <c r="CX31" s="3"/>
      <c r="CY31" s="3"/>
      <c r="CZ31" s="3"/>
      <c r="DA31" s="6" t="s">
        <v>38</v>
      </c>
      <c r="DB31" s="536"/>
      <c r="DC31" s="537"/>
      <c r="DD31" s="537"/>
      <c r="DE31" s="538"/>
      <c r="DJ31" t="s">
        <v>425</v>
      </c>
      <c r="EG31" s="405"/>
      <c r="EH31" s="392"/>
      <c r="EI31" s="392"/>
      <c r="EJ31" s="392"/>
      <c r="EK31" s="392"/>
      <c r="EL31" s="392"/>
      <c r="EM31" s="406"/>
      <c r="EN31" s="392"/>
      <c r="EO31" s="407"/>
      <c r="EP31" s="392"/>
      <c r="EQ31" s="408"/>
      <c r="ER31" s="392"/>
      <c r="ES31" s="409"/>
    </row>
    <row r="32" spans="5:149" ht="16.5">
      <c r="F32" t="s">
        <v>263</v>
      </c>
      <c r="G32" s="28" t="s">
        <v>316</v>
      </c>
      <c r="H32" s="29">
        <f>IF(UNMT0020_IF_MODE=1,0,IF(UNMT0020_IF_MODE=2,0,5))</f>
        <v>5</v>
      </c>
      <c r="I32" t="s">
        <v>275</v>
      </c>
      <c r="J32" t="s">
        <v>275</v>
      </c>
      <c r="K32" t="s">
        <v>274</v>
      </c>
      <c r="AQ32" s="77"/>
      <c r="CS32" s="23" t="s">
        <v>39</v>
      </c>
      <c r="CT32" s="505"/>
      <c r="CU32" s="506"/>
      <c r="CV32" s="506"/>
      <c r="CW32" s="506"/>
      <c r="CX32" s="507"/>
      <c r="CY32" s="3"/>
      <c r="CZ32" s="3"/>
      <c r="DA32" s="6"/>
      <c r="DB32" s="539"/>
      <c r="DC32" s="540"/>
      <c r="DD32" s="540"/>
      <c r="DE32" s="541"/>
      <c r="DJ32" s="160">
        <f ca="1">1+ROW()-ROW(INDIRECT(UNMT0020_B_LIST_START))</f>
        <v>15</v>
      </c>
      <c r="DK32" s="160">
        <v>3</v>
      </c>
      <c r="DL32" s="160" t="s">
        <v>424</v>
      </c>
      <c r="DM32" s="459" t="s">
        <v>836</v>
      </c>
      <c r="DN32" s="302"/>
      <c r="DO32" s="19"/>
      <c r="DP32" s="300"/>
      <c r="DQ32" s="301">
        <f>IF(DN32=0,1,DN32)*DP32</f>
        <v>0</v>
      </c>
      <c r="DR32" s="378"/>
      <c r="DS32" s="302"/>
      <c r="DT32" s="302"/>
      <c r="DU32" s="302"/>
      <c r="DV32" s="268"/>
      <c r="DW32" s="302"/>
      <c r="DX32" s="19"/>
      <c r="DY32" s="12"/>
      <c r="DZ32" s="160"/>
      <c r="EA32" s="160"/>
      <c r="EB32" s="160"/>
      <c r="EG32" s="405"/>
      <c r="EH32" s="392"/>
      <c r="EI32" s="392"/>
      <c r="EJ32" s="392"/>
      <c r="EK32" s="392"/>
      <c r="EL32" s="392"/>
      <c r="EM32" s="406"/>
      <c r="EN32" s="392"/>
      <c r="EO32" s="407"/>
      <c r="EP32" s="392"/>
      <c r="EQ32" s="408"/>
      <c r="ER32" s="392"/>
      <c r="ES32" s="409"/>
    </row>
    <row r="33" spans="5:150" ht="17.25" thickBot="1">
      <c r="G33" s="28"/>
      <c r="AQ33" s="77"/>
      <c r="CS33" s="6" t="s">
        <v>95</v>
      </c>
      <c r="CT33" s="505"/>
      <c r="CU33" s="507"/>
      <c r="CV33" s="3"/>
      <c r="CW33" s="6" t="s">
        <v>841</v>
      </c>
      <c r="CX33" s="56"/>
      <c r="CY33" s="3"/>
      <c r="CZ33" s="3"/>
      <c r="DA33" s="23" t="s">
        <v>93</v>
      </c>
      <c r="DB33" s="55"/>
      <c r="DC33" s="3"/>
      <c r="DD33" s="3"/>
      <c r="DE33" s="3"/>
      <c r="EG33" s="413"/>
      <c r="EH33" s="414"/>
      <c r="EI33" s="414"/>
      <c r="EJ33" s="414"/>
      <c r="EK33" s="414"/>
      <c r="EL33" s="414"/>
      <c r="EM33" s="415"/>
      <c r="EN33" s="414"/>
      <c r="EO33" s="416"/>
      <c r="EP33" s="414"/>
      <c r="EQ33" s="417"/>
      <c r="ER33" s="414"/>
      <c r="ES33" s="418"/>
    </row>
    <row r="34" spans="5:150" ht="16.5">
      <c r="E34" s="27" t="s">
        <v>265</v>
      </c>
      <c r="G34" s="28"/>
      <c r="I34" s="27" t="s">
        <v>269</v>
      </c>
      <c r="AQ34" s="77"/>
      <c r="CS34" s="6"/>
      <c r="CT34" s="481"/>
      <c r="CU34" s="481"/>
      <c r="CV34" s="117"/>
      <c r="CW34" s="482"/>
      <c r="CX34" s="483"/>
      <c r="CY34" s="117"/>
      <c r="CZ34" s="117"/>
      <c r="DA34" s="484"/>
      <c r="DB34" s="485"/>
      <c r="DC34" s="112"/>
      <c r="DD34" s="6" t="s">
        <v>40</v>
      </c>
      <c r="DE34" s="58"/>
      <c r="DI34" t="s">
        <v>335</v>
      </c>
      <c r="DJ34" t="s">
        <v>342</v>
      </c>
      <c r="DK34" s="29" t="s">
        <v>502</v>
      </c>
      <c r="DL34" s="29"/>
      <c r="DM34" s="29"/>
      <c r="DN34" s="29"/>
      <c r="DO34" s="29"/>
      <c r="DP34" s="29"/>
      <c r="DQ34" s="29"/>
      <c r="DR34" s="29"/>
      <c r="DS34" s="29"/>
      <c r="DT34" s="29"/>
      <c r="DU34" s="29"/>
      <c r="DV34" s="29"/>
      <c r="DW34" s="29"/>
      <c r="DX34" s="29"/>
      <c r="DY34" s="29"/>
      <c r="DZ34" s="29"/>
      <c r="EA34" s="29"/>
      <c r="EB34" s="29"/>
      <c r="EG34" s="280"/>
      <c r="EH34" s="280"/>
      <c r="EI34" s="280"/>
      <c r="EJ34" s="280"/>
      <c r="EK34" s="280"/>
      <c r="EL34" s="280"/>
      <c r="EM34" s="280"/>
      <c r="EN34" s="280"/>
      <c r="EO34" s="280"/>
      <c r="EP34" s="280"/>
      <c r="EQ34" s="280"/>
      <c r="ER34" s="280"/>
      <c r="ES34" s="280"/>
    </row>
    <row r="35" spans="5:150" ht="16.5">
      <c r="F35" t="s">
        <v>266</v>
      </c>
      <c r="G35" s="28" t="s">
        <v>317</v>
      </c>
      <c r="H35" s="29">
        <f>IF(UNMT0020_IF_MODE=1,2,IF(UNMT0020_IF_MODE=2,2,1))</f>
        <v>1</v>
      </c>
      <c r="I35" t="s">
        <v>276</v>
      </c>
      <c r="J35" t="s">
        <v>276</v>
      </c>
      <c r="K35" t="s">
        <v>277</v>
      </c>
      <c r="AQ35" s="77"/>
      <c r="CS35" s="6" t="s">
        <v>1035</v>
      </c>
      <c r="CT35" s="544"/>
      <c r="CU35" s="545"/>
      <c r="CV35" s="545"/>
      <c r="CW35" s="545"/>
      <c r="CX35" s="545"/>
      <c r="CY35" s="545"/>
      <c r="CZ35" s="545"/>
      <c r="DA35" s="545"/>
      <c r="DB35" s="545"/>
      <c r="DC35" s="546"/>
      <c r="DD35" s="6" t="s">
        <v>41</v>
      </c>
      <c r="DE35" s="11"/>
      <c r="DJ35" s="14">
        <f ca="1">1+ROW()-ROW(INDIRECT(UNMT0020_B_LIST_START))</f>
        <v>18</v>
      </c>
      <c r="DK35" s="14">
        <v>4</v>
      </c>
      <c r="DL35" s="14" t="s">
        <v>62</v>
      </c>
      <c r="DM35" s="459" t="s">
        <v>498</v>
      </c>
      <c r="DN35" s="302"/>
      <c r="DO35" s="268"/>
      <c r="DP35" s="302"/>
      <c r="DQ35" s="302">
        <f ca="1">IF(ISERROR(SUM(INDIRECT(EB35)))=TRUE,0,SUM(INDIRECT(EB35)))</f>
        <v>0</v>
      </c>
      <c r="DR35" s="379"/>
      <c r="DS35" s="302"/>
      <c r="DT35" s="302"/>
      <c r="DU35" s="302"/>
      <c r="DV35" s="19"/>
      <c r="DW35" s="301"/>
      <c r="DX35" s="19"/>
      <c r="DY35" s="12"/>
      <c r="DZ35" s="160"/>
      <c r="EA35" s="160"/>
      <c r="EB35" s="160" t="str">
        <f ca="1">IF(OR(INDIRECT(ADDRESS(ROW()-1,COLUMN(UNMT0020_B_SHOHIN_CD)))="subtotal",ROW()-ROW(UNMT0020_B_SHOHIN_CD)=1),"",
IF(COUNTIF(OFFSET(UNMT0020_B_SHOHIN_CD,1,0,ROW()-ROW(UNMT0020_B_SHOHIN_CD)),"subtotal")&lt;=1,
ADDRESS(ROW(UNMT0020_B_KINGAKU)+1,COLUMN(UNMT0020_B_KINGAKU)),
ADDRESS(MATCH(COUNTIF(OFFSET(UNMT0020_B_SHOHIN_CD,1,0,ROW()-ROW(UNMT0020_B_SHOHIN_CD)),"subtotal")-1,
INDEX(COUNTIF(OFFSET(UNMT0020_B_SHOHIN_CD,1-ROW(UNMT0020_B_SHOHIN_CD),0,
ROW(OFFSET(UNMT0020_B_SHOHIN_CD,0,0,ROW()-ROW(UNMT0020_B_SHOHIN_CD),))),"subtotal"),,),0)+ROW(UNMT0020_B_SHOHIN_CD),
COLUMN(UNMT0020_B_KINGAKU),4))
&amp;":"&amp;ADDRESS(ROW()-1,COLUMN(UNMT0020_B_KINGAKU)))</f>
        <v>$S$18:$S$34</v>
      </c>
    </row>
    <row r="36" spans="5:150" ht="16.5">
      <c r="F36" t="s">
        <v>285</v>
      </c>
      <c r="G36" s="28" t="s">
        <v>296</v>
      </c>
      <c r="H36" s="29">
        <f>IF(UNMT0020_IF_MODE=1,2,IF(UNMT0020_IF_MODE=2,2,1))</f>
        <v>1</v>
      </c>
      <c r="I36" t="s">
        <v>276</v>
      </c>
      <c r="J36" t="s">
        <v>276</v>
      </c>
      <c r="K36" t="s">
        <v>277</v>
      </c>
      <c r="AQ36" s="77"/>
      <c r="CS36" s="6"/>
      <c r="CT36" s="547"/>
      <c r="CU36" s="548"/>
      <c r="CV36" s="548"/>
      <c r="CW36" s="548"/>
      <c r="CX36" s="548"/>
      <c r="CY36" s="548"/>
      <c r="CZ36" s="548"/>
      <c r="DA36" s="548"/>
      <c r="DB36" s="548"/>
      <c r="DC36" s="549"/>
      <c r="DD36" s="6" t="s">
        <v>42</v>
      </c>
      <c r="DE36" s="11"/>
    </row>
    <row r="37" spans="5:150" ht="16.5">
      <c r="F37" t="s">
        <v>262</v>
      </c>
      <c r="G37" s="28" t="s">
        <v>297</v>
      </c>
      <c r="H37" s="29">
        <f>IF(UNMT0020_IF_MODE=1,2,IF(UNMT0020_IF_MODE=2,1,1))</f>
        <v>1</v>
      </c>
      <c r="I37" t="s">
        <v>276</v>
      </c>
      <c r="J37" t="s">
        <v>277</v>
      </c>
      <c r="K37" t="s">
        <v>277</v>
      </c>
      <c r="AQ37" s="77"/>
      <c r="CS37" s="6"/>
      <c r="CT37" s="3"/>
      <c r="CU37" s="3"/>
      <c r="CV37" s="3"/>
      <c r="CW37" s="3"/>
      <c r="CX37" s="3"/>
      <c r="CY37" s="3"/>
      <c r="CZ37" s="3"/>
      <c r="DA37" s="6"/>
      <c r="DB37" s="3"/>
      <c r="DC37" s="3"/>
      <c r="DD37" s="6" t="s">
        <v>43</v>
      </c>
      <c r="DE37" s="11"/>
      <c r="DH37" t="s">
        <v>323</v>
      </c>
      <c r="EE37" t="s">
        <v>459</v>
      </c>
      <c r="EF37" t="s">
        <v>463</v>
      </c>
      <c r="EG37" s="587" t="str">
        <f ca="1">IF(OFFSET(UNMT0020_B_SHOHIN_MEI,ROW()-ROW(UNMT0020_REPORT_SHOHIN_MEI),0)="","",OFFSET(UNMT0020_B_SHOHIN_MEI,ROW()-ROW(UNMT0020_REPORT_SHOHIN_MEI),0))</f>
        <v/>
      </c>
      <c r="EH37" s="588"/>
      <c r="EI37" s="588"/>
      <c r="EJ37" s="588"/>
      <c r="EK37" s="588"/>
      <c r="EL37" s="589"/>
      <c r="EM37" s="445" t="str">
        <f ca="1">IF(OFFSET(UNMT0020_B_SURYO,ROW()-ROW(UNMT0020_REPORT_SURYO),0)="","",OFFSET(UNMT0020_B_SURYO,ROW()-ROW(UNMT0020_REPORT_SURYO),0))</f>
        <v/>
      </c>
      <c r="EN37" s="446" t="str">
        <f ca="1">IF(OFFSET(UNMT0020_B_TANI,ROW()-ROW(UNMT0020_REPORT_TANI),0)="","",OFFSET(UNMT0020_B_TANI,ROW()-ROW(UNMT0020_REPORT_TANI),0))</f>
        <v/>
      </c>
      <c r="EO37" s="447" t="str">
        <f ca="1">IF(OFFSET(UNMT0020_B_TANKA,ROW()-ROW(UNMT0020_REPORT_TANKA),0)="","",OFFSET(UNMT0020_B_TANKA,ROW()-ROW(UNMT0020_REPORT_TANKA),0))</f>
        <v/>
      </c>
      <c r="EP37" s="448" t="str">
        <f ca="1">IF(OFFSET(UNMT0020_B_KINGAKU,ROW()-ROW(UNMT0020_REPORT_KINGAKU),0)="","",OFFSET(UNMT0020_B_KINGAKU,ROW()-ROW(UNMT0020_REPORT_KINGAKU),0))</f>
        <v/>
      </c>
      <c r="EQ37" s="581" t="str">
        <f ca="1">IF(OFFSET(UNMT0020_B_TEKIYO,ROW()-ROW(UNMT0020_REPORT_TEKIYO),0)="","",OFFSET(UNMT0020_B_TEKIYO,ROW()-ROW(UNMT0020_REPORT_TEKIYO),0))</f>
        <v/>
      </c>
      <c r="ER37" s="582"/>
      <c r="ES37" s="582"/>
      <c r="ET37" s="278"/>
    </row>
    <row r="38" spans="5:150" ht="16.5">
      <c r="F38" t="s">
        <v>267</v>
      </c>
      <c r="G38" s="28" t="s">
        <v>298</v>
      </c>
      <c r="H38" s="29">
        <f>IF(UNMT0020_IF_MODE=1,2,IF(UNMT0020_IF_MODE=2,1,2))</f>
        <v>2</v>
      </c>
      <c r="I38" t="s">
        <v>276</v>
      </c>
      <c r="J38" t="s">
        <v>277</v>
      </c>
      <c r="K38" t="s">
        <v>276</v>
      </c>
      <c r="AQ38" s="77"/>
      <c r="CS38" s="6" t="s">
        <v>74</v>
      </c>
      <c r="CT38" s="563"/>
      <c r="CU38" s="564"/>
      <c r="CV38" s="3"/>
      <c r="CW38" s="3"/>
      <c r="CX38" s="3"/>
      <c r="CY38" s="3"/>
      <c r="CZ38" s="3"/>
      <c r="DA38" s="6" t="s">
        <v>76</v>
      </c>
      <c r="DB38" s="563"/>
      <c r="DC38" s="564"/>
      <c r="DD38" s="6" t="s">
        <v>48</v>
      </c>
      <c r="DE38" s="11"/>
      <c r="DI38" t="s">
        <v>332</v>
      </c>
      <c r="DJ38" t="s">
        <v>338</v>
      </c>
    </row>
    <row r="39" spans="5:150" ht="16.5">
      <c r="F39" t="s">
        <v>278</v>
      </c>
      <c r="G39" s="28" t="s">
        <v>299</v>
      </c>
      <c r="H39" s="29">
        <f>IF(UNMT0020_IF_MODE=1,1,IF(UNMT0020_IF_MODE=2,1,2))</f>
        <v>2</v>
      </c>
      <c r="I39" s="143" t="s">
        <v>277</v>
      </c>
      <c r="J39" s="143" t="s">
        <v>277</v>
      </c>
      <c r="K39" s="143" t="s">
        <v>276</v>
      </c>
      <c r="AQ39" s="77"/>
      <c r="CS39" s="6" t="s">
        <v>75</v>
      </c>
      <c r="CT39" s="563"/>
      <c r="CU39" s="564"/>
      <c r="CV39" s="3"/>
      <c r="CW39" s="3"/>
      <c r="CX39" s="3"/>
      <c r="CY39" s="3"/>
      <c r="CZ39" s="3"/>
      <c r="DA39" s="6" t="s">
        <v>77</v>
      </c>
      <c r="DB39" s="563"/>
      <c r="DC39" s="564"/>
      <c r="DD39" s="486"/>
      <c r="DE39" s="486"/>
      <c r="DJ39" s="67">
        <f ca="1">1+ROW()-ROW(INDIRECT(UNMT0020_B_LIST_START))</f>
        <v>22</v>
      </c>
      <c r="DK39" s="67">
        <v>1</v>
      </c>
      <c r="DL39" s="68"/>
      <c r="DM39" s="461"/>
      <c r="DN39" s="313"/>
      <c r="DO39" s="68"/>
      <c r="DP39" s="313"/>
      <c r="DQ39" s="313">
        <f>IF(DN39=0,1,DN39)*DP39</f>
        <v>0</v>
      </c>
      <c r="DR39" s="381"/>
      <c r="DS39" s="313"/>
      <c r="DT39" s="313"/>
      <c r="DU39" s="313">
        <f>DT39*IF(DN39=0,1,DN39)</f>
        <v>0</v>
      </c>
      <c r="DV39" s="270">
        <f>IF(ISERROR(DW39/DQ39)=TRUE,0,
IF(DQ39&lt;DU39,DW39/DU39,
DW39/DQ39))</f>
        <v>0</v>
      </c>
      <c r="DW39" s="313">
        <f>IF(DU39=0,0,DQ39-DU39)</f>
        <v>0</v>
      </c>
      <c r="DX39" s="68"/>
      <c r="DY39" s="68"/>
      <c r="DZ39" s="68"/>
      <c r="EA39" s="68"/>
      <c r="EB39" s="68"/>
      <c r="EE39" t="s">
        <v>461</v>
      </c>
      <c r="EF39" t="s">
        <v>464</v>
      </c>
      <c r="EG39" s="473" t="str">
        <f ca="1">IF(OFFSET(UNMT0020_B_SHOHIN_MEI,ROW()-ROW(UNMT0020_REPORT_SHOHIN_MEI),0)="","",OFFSET(UNMT0020_B_SHOHIN_MEI,ROW()-ROW(UNMT0020_REPORT_SHOHIN_MEI),0))</f>
        <v/>
      </c>
      <c r="EH39" s="450"/>
      <c r="EI39" s="450"/>
      <c r="EJ39" s="450"/>
      <c r="EK39" s="450"/>
      <c r="EL39" s="474"/>
      <c r="EM39" s="475"/>
      <c r="EN39" s="476"/>
      <c r="EO39" s="477"/>
      <c r="EP39" s="478"/>
      <c r="EQ39" s="479"/>
      <c r="ER39" s="450"/>
      <c r="ES39" s="480"/>
      <c r="ET39" s="278"/>
    </row>
    <row r="40" spans="5:150" ht="16.5">
      <c r="F40" t="s">
        <v>268</v>
      </c>
      <c r="G40" s="28" t="s">
        <v>300</v>
      </c>
      <c r="H40" s="29">
        <f t="shared" ref="H40:H46" si="0">IF(UNMT0020_IF_MODE=1,1,IF(UNMT0020_IF_MODE=2,1,2))</f>
        <v>2</v>
      </c>
      <c r="I40" t="s">
        <v>277</v>
      </c>
      <c r="J40" t="s">
        <v>277</v>
      </c>
      <c r="K40" t="s">
        <v>276</v>
      </c>
      <c r="AQ40" s="77"/>
      <c r="CS40" s="3"/>
      <c r="CT40" s="7"/>
      <c r="CU40" s="3"/>
      <c r="CV40" s="3"/>
      <c r="CW40" s="3"/>
      <c r="CX40" s="3"/>
      <c r="CY40" s="3"/>
      <c r="CZ40" s="3"/>
      <c r="DA40" s="3"/>
      <c r="DB40" s="3"/>
      <c r="DC40" s="3"/>
      <c r="DD40" s="486"/>
      <c r="DE40" s="486"/>
    </row>
    <row r="41" spans="5:150" ht="16.5">
      <c r="F41" t="s">
        <v>506</v>
      </c>
      <c r="G41" s="28" t="s">
        <v>301</v>
      </c>
      <c r="H41" s="29">
        <f t="shared" si="0"/>
        <v>2</v>
      </c>
      <c r="I41" t="s">
        <v>277</v>
      </c>
      <c r="J41" t="s">
        <v>277</v>
      </c>
      <c r="K41" t="s">
        <v>276</v>
      </c>
      <c r="AQ41" s="77"/>
      <c r="CS41" s="3"/>
      <c r="CT41" s="15" t="s">
        <v>78</v>
      </c>
      <c r="CU41" s="15" t="s">
        <v>28</v>
      </c>
      <c r="CV41" s="15" t="s">
        <v>44</v>
      </c>
      <c r="CW41" s="528" t="s">
        <v>45</v>
      </c>
      <c r="CX41" s="529"/>
      <c r="CY41" s="528" t="s">
        <v>46</v>
      </c>
      <c r="CZ41" s="529"/>
      <c r="DA41" s="15" t="s">
        <v>29</v>
      </c>
      <c r="DB41" s="15" t="s">
        <v>47</v>
      </c>
      <c r="DC41" s="3"/>
      <c r="DD41" s="486"/>
      <c r="DE41" s="486"/>
      <c r="DI41" t="s">
        <v>333</v>
      </c>
      <c r="DJ41" t="s">
        <v>343</v>
      </c>
      <c r="EE41" t="s">
        <v>460</v>
      </c>
      <c r="EF41" t="s">
        <v>465</v>
      </c>
      <c r="EG41" s="578" t="str">
        <f ca="1">IF(OFFSET(UNMT0020_B_SHOHIN_MEI,ROW()-ROW(UNMT0020_REPORT_SHOHIN_MEI),0)="","",OFFSET(UNMT0020_B_SHOHIN_MEI,ROW()-ROW(UNMT0020_REPORT_SHOHIN_MEI),0)&amp;"　")</f>
        <v/>
      </c>
      <c r="EH41" s="579"/>
      <c r="EI41" s="579"/>
      <c r="EJ41" s="579"/>
      <c r="EK41" s="579"/>
      <c r="EL41" s="580"/>
      <c r="EM41" s="445" t="str">
        <f ca="1">IF(OFFSET(UNMT0020_B_SURYO,ROW()-ROW(UNMT0020_REPORT_SURYO),0)="","",OFFSET(UNMT0020_B_SURYO,ROW()-ROW(UNMT0020_REPORT_SURYO),0))</f>
        <v/>
      </c>
      <c r="EN41" s="446" t="str">
        <f ca="1">IF(OFFSET(UNMT0020_B_TANI,ROW()-ROW(UNMT0020_REPORT_TANI),0)="","",OFFSET(UNMT0020_B_TANI,ROW()-ROW(UNMT0020_REPORT_TANI),0))</f>
        <v/>
      </c>
      <c r="EO41" s="447" t="str">
        <f ca="1">IF(OFFSET(UNMT0020_B_TANKA,ROW()-ROW(UNMT0020_REPORT_TANKA),0)="","",OFFSET(UNMT0020_B_TANKA,ROW()-ROW(UNMT0020_REPORT_TANKA),0))</f>
        <v/>
      </c>
      <c r="EP41" s="448" t="str">
        <f ca="1">IF(OFFSET(UNMT0020_B_KINGAKU,ROW()-ROW(UNMT0020_REPORT_KINGAKU),0)="","",OFFSET(UNMT0020_B_KINGAKU,ROW()-ROW(UNMT0020_REPORT_KINGAKU),0))</f>
        <v/>
      </c>
      <c r="EQ41" s="581" t="str">
        <f ca="1">IF(OFFSET(UNMT0020_B_TEKIYO,ROW()-ROW(UNMT0020_REPORT_TEKIYO),0)="","",OFFSET(UNMT0020_B_TEKIYO,ROW()-ROW(UNMT0020_REPORT_TEKIYO),0))</f>
        <v/>
      </c>
      <c r="ER41" s="582"/>
      <c r="ES41" s="582"/>
      <c r="ET41" s="278"/>
    </row>
    <row r="42" spans="5:150" ht="16.5">
      <c r="F42" t="s">
        <v>286</v>
      </c>
      <c r="G42" s="28" t="s">
        <v>302</v>
      </c>
      <c r="H42" s="29">
        <f t="shared" si="0"/>
        <v>2</v>
      </c>
      <c r="I42" t="s">
        <v>277</v>
      </c>
      <c r="J42" t="s">
        <v>277</v>
      </c>
      <c r="K42" t="s">
        <v>276</v>
      </c>
      <c r="AQ42" s="77"/>
      <c r="CS42" s="3"/>
      <c r="CT42" s="41">
        <f>UNMT0020_H_TAX_RATE</f>
        <v>0</v>
      </c>
      <c r="CU42" s="42">
        <f ca="1">IF(UNMT0020_B_GYO_COUNT=0,0,
IF(UNMT0020_H_SEIKYUSAKI_HASU=1,ROUNDDOWN(SUMIF(OFFSET(UNMT0020_B_SHOHIN_CD,1,0,UNMT0020_B_GYO_COUNT),"&lt;&gt;subtotal",OFFSET(UNMT0020_B_KINGAKU,1,0,UNMT0020_B_GYO_COUNT)),0),
IF(UNMT0020_H_SEIKYUSAKI_HASU=2,ROUNDUP(SUMIF(OFFSET(UNMT0020_B_SHOHIN_CD,1,0,UNMT0020_B_GYO_COUNT),"&lt;&gt;subtotal",OFFSET(UNMT0020_B_KINGAKU,1,0,UNMT0020_B_GYO_COUNT)),0),
ROUND(SUMIF(OFFSET(UNMT0020_B_SHOHIN_CD,1,0,UNMT0020_B_GYO_COUNT),"&lt;&gt;subtotal",OFFSET(UNMT0020_B_KINGAKU,1,0,UNMT0020_B_GYO_COUNT)),0))))</f>
        <v>0</v>
      </c>
      <c r="CV42" s="42">
        <f>IF(UNMT0020_B_GYO_COUNT=0,0,ROUNDDOWN(UNMT0020_H_NUKI_TOTAL*UNMT0020_H_TAX_RATE,0))</f>
        <v>0</v>
      </c>
      <c r="CW42" s="530">
        <f>IF(UNMT0020_B_GYO_COUNT=0,0,UNMT0020_H_NUKI_TOTAL+UNMT0020_H_TAX)</f>
        <v>0</v>
      </c>
      <c r="CX42" s="531"/>
      <c r="CY42" s="530">
        <f ca="1">IF(UNMT0020_B_GYO_COUNT=0,0,ROUND(SUMIF(OFFSET(UNMT0020_B_SHOHIN_CD,1,0,UNMT0020_B_GYO_COUNT),"&lt;&gt;subtotal",OFFSET(UNMT0020_B_GENKA,1,0,UNMT0020_B_GYO_COUNT)),0))</f>
        <v>0</v>
      </c>
      <c r="CZ42" s="531"/>
      <c r="DA42" s="42">
        <f>IF(UNMT0020_B_GYO_COUNT=0,0,UNMT0020_H_NUKI_TOTAL-UNMT0020_H_GENKA_TOTAL)</f>
        <v>0</v>
      </c>
      <c r="DB42" s="43">
        <f>IF(UNMT0020_B_GYO_COUNT=0,0,IF(ISERROR(UNMT0020_H_ARARIEKI/UNMT0020_H_NUKI_TOTAL)=TRUE,0,UNMT0020_H_ARARIEKI/UNMT0020_H_NUKI_TOTAL))</f>
        <v>0</v>
      </c>
      <c r="DC42" s="3"/>
      <c r="DD42" s="3"/>
      <c r="DE42" s="3"/>
      <c r="DJ42" s="67">
        <f ca="1">1+ROW()-ROW(INDIRECT(UNMT0020_B_LIST_START))</f>
        <v>25</v>
      </c>
      <c r="DK42" s="67">
        <v>2</v>
      </c>
      <c r="DL42" s="266" t="s">
        <v>60</v>
      </c>
      <c r="DM42" s="462"/>
      <c r="DN42" s="276"/>
      <c r="DO42" s="276"/>
      <c r="DP42" s="276"/>
      <c r="DQ42" s="276"/>
      <c r="DR42" s="382"/>
      <c r="DS42" s="276"/>
      <c r="DT42" s="276"/>
      <c r="DU42" s="276"/>
      <c r="DV42" s="276"/>
      <c r="DW42" s="276"/>
      <c r="DX42" s="276"/>
      <c r="DY42" s="317"/>
      <c r="DZ42" s="312"/>
      <c r="EA42" s="312"/>
      <c r="EB42" s="312"/>
    </row>
    <row r="43" spans="5:150" ht="14.25">
      <c r="F43" t="s">
        <v>287</v>
      </c>
      <c r="G43" s="28" t="s">
        <v>303</v>
      </c>
      <c r="H43" s="29">
        <f t="shared" si="0"/>
        <v>2</v>
      </c>
      <c r="I43" t="s">
        <v>277</v>
      </c>
      <c r="J43" t="s">
        <v>277</v>
      </c>
      <c r="K43" t="s">
        <v>276</v>
      </c>
      <c r="AQ43" s="77"/>
      <c r="EE43" t="s">
        <v>462</v>
      </c>
      <c r="EF43" t="s">
        <v>466</v>
      </c>
      <c r="EG43" s="578" t="str">
        <f ca="1">IF(OFFSET(UNMT0020_B_SHOHIN_MEI,ROW()-ROW(UNMT0020_REPORT_SHOHIN_MEI),0)="","",OFFSET(UNMT0020_B_SHOHIN_MEI,ROW()-ROW(UNMT0020_REPORT_SHOHIN_MEI),0)&amp;"　")</f>
        <v/>
      </c>
      <c r="EH43" s="579"/>
      <c r="EI43" s="579"/>
      <c r="EJ43" s="579"/>
      <c r="EK43" s="579"/>
      <c r="EL43" s="580"/>
      <c r="EM43" s="449"/>
      <c r="EN43" s="450"/>
      <c r="EO43" s="451"/>
      <c r="EP43" s="448" t="str">
        <f ca="1">IF(OFFSET(UNMT0020_B_KINGAKU,ROW()-ROW(UNMT0020_REPORT_KINGAKU),0)="","",OFFSET(UNMT0020_B_KINGAKU,ROW()-ROW(UNMT0020_REPORT_KINGAKU),0))</f>
        <v/>
      </c>
      <c r="EQ43" s="581" t="str">
        <f ca="1">IF(OFFSET(UNMT0020_B_TEKIYO,ROW()-ROW(UNMT0020_REPORT_TEKIYO),0)="","",OFFSET(UNMT0020_B_TEKIYO,ROW()-ROW(UNMT0020_REPORT_TEKIYO),0))</f>
        <v/>
      </c>
      <c r="ER43" s="582"/>
      <c r="ES43" s="582"/>
      <c r="ET43" s="278"/>
    </row>
    <row r="44" spans="5:150">
      <c r="F44" t="s">
        <v>289</v>
      </c>
      <c r="G44" s="28" t="s">
        <v>304</v>
      </c>
      <c r="H44" s="29">
        <f t="shared" si="0"/>
        <v>2</v>
      </c>
      <c r="I44" t="s">
        <v>277</v>
      </c>
      <c r="J44" t="s">
        <v>277</v>
      </c>
      <c r="K44" t="s">
        <v>276</v>
      </c>
      <c r="AQ44" s="77"/>
      <c r="CS44" t="s">
        <v>323</v>
      </c>
      <c r="CT44" t="s">
        <v>329</v>
      </c>
      <c r="DI44" t="s">
        <v>334</v>
      </c>
      <c r="DJ44" t="s">
        <v>413</v>
      </c>
    </row>
    <row r="45" spans="5:150" ht="16.5">
      <c r="F45" t="s">
        <v>288</v>
      </c>
      <c r="G45" s="28" t="s">
        <v>305</v>
      </c>
      <c r="H45" s="29">
        <f>IF(UNMT0020_IF_MITSU_MODE=2,2,IF(UNMT0020_IF_MODE=1,1,IF(UNMT0020_IF_MODE=2,1,2)))</f>
        <v>2</v>
      </c>
      <c r="I45" t="s">
        <v>277</v>
      </c>
      <c r="J45" t="s">
        <v>277</v>
      </c>
      <c r="K45" t="s">
        <v>276</v>
      </c>
      <c r="L45" t="s">
        <v>507</v>
      </c>
      <c r="AQ45" s="77"/>
      <c r="CS45" s="23" t="s">
        <v>99</v>
      </c>
      <c r="CT45" s="59"/>
      <c r="CU45" s="3"/>
      <c r="CV45" s="23" t="s">
        <v>72</v>
      </c>
      <c r="CW45" s="552"/>
      <c r="CX45" s="552"/>
      <c r="CY45" s="3"/>
      <c r="CZ45" s="3"/>
      <c r="DA45" s="23" t="s">
        <v>69</v>
      </c>
      <c r="DB45" s="17"/>
      <c r="DC45" s="3"/>
      <c r="DD45" s="6" t="s">
        <v>36</v>
      </c>
      <c r="DE45" s="14"/>
      <c r="DJ45" s="67">
        <f ca="1">1+ROW()-ROW(INDIRECT(UNMT0020_B_LIST_START))</f>
        <v>28</v>
      </c>
      <c r="DK45" s="67">
        <v>3</v>
      </c>
      <c r="DL45" s="160" t="s">
        <v>843</v>
      </c>
      <c r="DM45" s="461" t="s">
        <v>835</v>
      </c>
      <c r="DN45" s="302"/>
      <c r="DO45" s="268" t="s">
        <v>61</v>
      </c>
      <c r="DP45" s="302"/>
      <c r="DQ45" s="302">
        <f ca="1">-INDIRECT(ADDRESS(ROW()-1,COLUMN()))*(DN45/100)</f>
        <v>0</v>
      </c>
      <c r="DR45" s="383"/>
      <c r="DS45" s="302"/>
      <c r="DT45" s="302"/>
      <c r="DU45" s="302"/>
      <c r="DV45" s="268"/>
      <c r="DW45" s="302"/>
      <c r="DX45" s="268"/>
      <c r="DY45" s="272"/>
      <c r="DZ45" s="67"/>
      <c r="EA45" s="67"/>
      <c r="EB45" s="67"/>
      <c r="EE45" t="s">
        <v>860</v>
      </c>
      <c r="EF45" t="s">
        <v>859</v>
      </c>
      <c r="EG45" s="452"/>
      <c r="EH45" s="453"/>
      <c r="EI45" s="453"/>
      <c r="EJ45" s="453"/>
      <c r="EK45" s="453"/>
      <c r="EL45" s="454" t="s">
        <v>971</v>
      </c>
      <c r="EM45" s="454"/>
      <c r="EN45" s="453"/>
      <c r="EO45" s="453"/>
      <c r="EP45" s="455"/>
      <c r="EQ45" s="453"/>
      <c r="ER45" s="453"/>
      <c r="ES45" s="456"/>
    </row>
    <row r="46" spans="5:150" ht="16.5">
      <c r="F46" t="s">
        <v>290</v>
      </c>
      <c r="G46" s="28" t="s">
        <v>306</v>
      </c>
      <c r="H46" s="29">
        <f t="shared" si="0"/>
        <v>2</v>
      </c>
      <c r="I46" t="s">
        <v>277</v>
      </c>
      <c r="J46" t="s">
        <v>277</v>
      </c>
      <c r="K46" t="s">
        <v>276</v>
      </c>
      <c r="AQ46" s="77"/>
      <c r="CS46" s="6" t="s">
        <v>19</v>
      </c>
      <c r="CT46" s="17"/>
      <c r="CU46" s="3"/>
      <c r="CV46" s="23" t="s">
        <v>97</v>
      </c>
      <c r="CW46" s="553"/>
      <c r="CX46" s="553"/>
      <c r="CY46" s="3"/>
      <c r="CZ46" s="3"/>
      <c r="DA46" s="6" t="s">
        <v>37</v>
      </c>
      <c r="DB46" s="17"/>
      <c r="DC46" s="3"/>
      <c r="DD46" s="3"/>
      <c r="DE46" s="3"/>
      <c r="DJ46" t="s">
        <v>414</v>
      </c>
    </row>
    <row r="47" spans="5:150" ht="16.5">
      <c r="F47" t="s">
        <v>291</v>
      </c>
      <c r="G47" s="28" t="s">
        <v>307</v>
      </c>
      <c r="H47" s="29">
        <f ca="1">IF(UNMT0020_IF_MITSU_RIREKI=1,2,IF(UNMT0020_H_MODE_KBN=2,2,IF(UNMT0020_IF_MODE=1,2,IF(UNMT0020_IF_MODE=2,2,UNMT0020_B_SHOHIN_CD_BLANK_CHECK))))</f>
        <v>2</v>
      </c>
      <c r="I47" t="s">
        <v>276</v>
      </c>
      <c r="J47" t="s">
        <v>276</v>
      </c>
      <c r="K47" t="s">
        <v>277</v>
      </c>
      <c r="L47" t="s">
        <v>866</v>
      </c>
      <c r="M47" s="349" t="s">
        <v>927</v>
      </c>
      <c r="N47" t="s">
        <v>929</v>
      </c>
      <c r="AQ47" s="77"/>
      <c r="CS47" s="6"/>
      <c r="CT47" s="3"/>
      <c r="CU47" s="3"/>
      <c r="CV47" s="3"/>
      <c r="CW47" s="3"/>
      <c r="CX47" s="3"/>
      <c r="CY47" s="3"/>
      <c r="CZ47" s="3"/>
      <c r="DA47" s="6"/>
      <c r="DB47" s="3"/>
      <c r="DC47" s="3"/>
      <c r="DD47" s="3"/>
      <c r="DE47" s="3"/>
      <c r="DJ47" s="67">
        <f ca="1">1+ROW()-ROW(INDIRECT(UNMT0020_B_LIST_START))</f>
        <v>30</v>
      </c>
      <c r="DK47" s="67">
        <v>3</v>
      </c>
      <c r="DL47" s="67" t="s">
        <v>345</v>
      </c>
      <c r="DM47" s="461" t="s">
        <v>835</v>
      </c>
      <c r="DN47" s="302"/>
      <c r="DO47" s="268"/>
      <c r="DP47" s="302"/>
      <c r="DQ47" s="302"/>
      <c r="DR47" s="383"/>
      <c r="DS47" s="302"/>
      <c r="DT47" s="302"/>
      <c r="DU47" s="302"/>
      <c r="DV47" s="268"/>
      <c r="DW47" s="302"/>
      <c r="DX47" s="268"/>
      <c r="DY47" s="272"/>
      <c r="DZ47" s="67"/>
      <c r="EA47" s="67"/>
      <c r="EB47" s="67"/>
    </row>
    <row r="48" spans="5:150" ht="16.5">
      <c r="F48" t="s">
        <v>292</v>
      </c>
      <c r="G48" s="28" t="s">
        <v>308</v>
      </c>
      <c r="H48" s="29">
        <f ca="1">IF(UNMT0020_IF_MITSU_RIREKI=1,2,IF(UNMT0020_H_MODE_KBN=2,2,IF(UNMT0020_IF_MODE=1,2,IF(UNMT0020_IF_MODE=2,2,UNMT0020_B_SHOHIN_CD_BLANK_CHECK))))</f>
        <v>2</v>
      </c>
      <c r="I48" t="s">
        <v>276</v>
      </c>
      <c r="J48" t="s">
        <v>276</v>
      </c>
      <c r="K48" t="s">
        <v>277</v>
      </c>
      <c r="L48" s="143" t="s">
        <v>866</v>
      </c>
      <c r="M48" t="s">
        <v>927</v>
      </c>
      <c r="N48" s="349" t="s">
        <v>929</v>
      </c>
      <c r="AQ48" s="77"/>
      <c r="CS48" s="6" t="s">
        <v>73</v>
      </c>
      <c r="CT48" s="61"/>
      <c r="CU48" s="3"/>
      <c r="CV48" s="3"/>
      <c r="CW48" s="3"/>
      <c r="CX48" s="3"/>
      <c r="CY48" s="3"/>
      <c r="CZ48" s="3"/>
      <c r="DA48" s="6" t="s">
        <v>38</v>
      </c>
      <c r="DB48" s="554"/>
      <c r="DC48" s="555"/>
      <c r="DD48" s="555"/>
      <c r="DE48" s="556"/>
      <c r="DJ48" t="s">
        <v>426</v>
      </c>
    </row>
    <row r="49" spans="5:132" ht="16.5">
      <c r="F49" t="s">
        <v>294</v>
      </c>
      <c r="G49" s="28" t="s">
        <v>309</v>
      </c>
      <c r="H49" s="29">
        <f>IF(UNMT0020_IF_MODE=1,2,IF(UNMT0020_IF_MODE=2,2,1))</f>
        <v>1</v>
      </c>
      <c r="I49" t="s">
        <v>276</v>
      </c>
      <c r="J49" t="s">
        <v>276</v>
      </c>
      <c r="K49" t="s">
        <v>277</v>
      </c>
      <c r="AQ49" s="77"/>
      <c r="CS49" s="23" t="s">
        <v>39</v>
      </c>
      <c r="CT49" s="560"/>
      <c r="CU49" s="561"/>
      <c r="CV49" s="561"/>
      <c r="CW49" s="561"/>
      <c r="CX49" s="562"/>
      <c r="CY49" s="3"/>
      <c r="CZ49" s="3"/>
      <c r="DA49" s="6"/>
      <c r="DB49" s="557"/>
      <c r="DC49" s="558"/>
      <c r="DD49" s="558"/>
      <c r="DE49" s="559"/>
      <c r="DJ49" s="67">
        <f ca="1">1+ROW()-ROW(INDIRECT(UNMT0020_B_LIST_START))</f>
        <v>32</v>
      </c>
      <c r="DK49" s="67">
        <v>3</v>
      </c>
      <c r="DL49" s="67" t="s">
        <v>424</v>
      </c>
      <c r="DM49" s="461" t="s">
        <v>836</v>
      </c>
      <c r="DN49" s="302"/>
      <c r="DO49" s="268"/>
      <c r="DP49" s="302"/>
      <c r="DQ49" s="302">
        <f>IF(DN49=0,1,DN49)*DP49</f>
        <v>0</v>
      </c>
      <c r="DR49" s="383"/>
      <c r="DS49" s="302"/>
      <c r="DT49" s="302"/>
      <c r="DU49" s="302"/>
      <c r="DV49" s="268"/>
      <c r="DW49" s="302"/>
      <c r="DX49" s="268"/>
      <c r="DY49" s="272"/>
      <c r="DZ49" s="67"/>
      <c r="EA49" s="67"/>
      <c r="EB49" s="67"/>
    </row>
    <row r="50" spans="5:132" ht="16.5">
      <c r="F50" t="s">
        <v>295</v>
      </c>
      <c r="G50" s="28" t="s">
        <v>310</v>
      </c>
      <c r="H50" s="29">
        <f>IF(UNMT0020_IF_MODE=1,2,IF(UNMT0020_IF_MODE=2,2,1))</f>
        <v>1</v>
      </c>
      <c r="I50" t="s">
        <v>276</v>
      </c>
      <c r="J50" t="s">
        <v>276</v>
      </c>
      <c r="K50" t="s">
        <v>277</v>
      </c>
      <c r="AQ50" s="77"/>
      <c r="CS50" s="6" t="s">
        <v>95</v>
      </c>
      <c r="CT50" s="565"/>
      <c r="CU50" s="566"/>
      <c r="CV50" s="3"/>
      <c r="CW50" s="6" t="s">
        <v>841</v>
      </c>
      <c r="CX50" s="67"/>
      <c r="CY50" s="3"/>
      <c r="CZ50" s="3"/>
      <c r="DA50" s="23" t="s">
        <v>93</v>
      </c>
      <c r="DB50" s="17"/>
      <c r="DC50" s="3"/>
      <c r="DD50" s="3"/>
      <c r="DE50" s="3"/>
    </row>
    <row r="51" spans="5:132" ht="16.5">
      <c r="F51" t="s">
        <v>293</v>
      </c>
      <c r="G51" s="28" t="s">
        <v>311</v>
      </c>
      <c r="H51" s="29">
        <f>IF(UNMT0020_IF_MODE=1,2,IF(UNMT0020_IF_MODE=2,2,1))</f>
        <v>1</v>
      </c>
      <c r="I51" t="s">
        <v>276</v>
      </c>
      <c r="J51" t="s">
        <v>276</v>
      </c>
      <c r="K51" t="s">
        <v>277</v>
      </c>
      <c r="AQ51" s="77"/>
      <c r="CS51" s="6"/>
      <c r="CT51" s="487"/>
      <c r="CU51" s="487"/>
      <c r="CV51" s="112"/>
      <c r="CW51" s="6"/>
      <c r="CX51" s="267"/>
      <c r="CY51" s="112"/>
      <c r="CZ51" s="112"/>
      <c r="DA51" s="23"/>
      <c r="DB51" s="201"/>
      <c r="DC51" s="112"/>
      <c r="DD51" s="6" t="s">
        <v>40</v>
      </c>
      <c r="DE51" s="14"/>
      <c r="DI51" t="s">
        <v>335</v>
      </c>
      <c r="DJ51" t="s">
        <v>344</v>
      </c>
      <c r="DK51" s="29" t="s">
        <v>503</v>
      </c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</row>
    <row r="52" spans="5:132" ht="16.5">
      <c r="AQ52" s="77"/>
      <c r="CR52" s="27" t="s">
        <v>322</v>
      </c>
      <c r="CS52" s="6" t="s">
        <v>1035</v>
      </c>
      <c r="CT52" s="569"/>
      <c r="CU52" s="570"/>
      <c r="CV52" s="570"/>
      <c r="CW52" s="570"/>
      <c r="CX52" s="570"/>
      <c r="CY52" s="570"/>
      <c r="CZ52" s="570"/>
      <c r="DA52" s="570"/>
      <c r="DB52" s="570"/>
      <c r="DC52" s="571"/>
      <c r="DD52" s="6" t="s">
        <v>41</v>
      </c>
      <c r="DE52" s="14"/>
      <c r="DJ52" s="67">
        <f ca="1">1+ROW()-ROW(INDIRECT(UNMT0020_B_LIST_START))</f>
        <v>35</v>
      </c>
      <c r="DK52" s="67">
        <v>4</v>
      </c>
      <c r="DL52" s="67" t="s">
        <v>62</v>
      </c>
      <c r="DM52" s="462" t="s">
        <v>63</v>
      </c>
      <c r="DN52" s="302"/>
      <c r="DO52" s="268"/>
      <c r="DP52" s="302"/>
      <c r="DQ52" s="302">
        <f ca="1">IF(ISERROR(SUM(INDIRECT(EB52)))=TRUE,0,SUM(INDIRECT(EB52)))</f>
        <v>0</v>
      </c>
      <c r="DR52" s="379"/>
      <c r="DS52" s="302"/>
      <c r="DT52" s="302"/>
      <c r="DU52" s="302"/>
      <c r="DV52" s="19"/>
      <c r="DW52" s="301"/>
      <c r="DX52" s="19"/>
      <c r="DY52" s="12"/>
      <c r="DZ52" s="160"/>
      <c r="EA52" s="160"/>
      <c r="EB52" s="160" t="str">
        <f ca="1">IF(OR(INDIRECT(ADDRESS(ROW()-1,COLUMN(UNMT0020_B_SHOHIN_CD)))="subtotal",ROW()-ROW(UNMT0020_B_SHOHIN_CD)=1),"",
IF(COUNTIF(OFFSET(UNMT0020_B_SHOHIN_CD,1,0,ROW()-ROW(UNMT0020_B_SHOHIN_CD)),"subtotal")&lt;=1,
ADDRESS(ROW(UNMT0020_B_KINGAKU)+1,COLUMN(UNMT0020_B_KINGAKU)),
ADDRESS(MATCH(COUNTIF(OFFSET(UNMT0020_B_SHOHIN_CD,1,0,ROW()-ROW(UNMT0020_B_SHOHIN_CD)),"subtotal")-1,
INDEX(COUNTIF(OFFSET(UNMT0020_B_SHOHIN_CD,1-ROW(UNMT0020_B_SHOHIN_CD),0,
ROW(OFFSET(UNMT0020_B_SHOHIN_CD,0,0,ROW()-ROW(UNMT0020_B_SHOHIN_CD),))),"subtotal"),,),0)+ROW(UNMT0020_B_SHOHIN_CD),
COLUMN(UNMT0020_B_KINGAKU),4))
&amp;":"&amp;ADDRESS(ROW()-1,COLUMN(UNMT0020_B_KINGAKU)))</f>
        <v>$S$18:$S$51</v>
      </c>
    </row>
    <row r="53" spans="5:132" ht="16.5">
      <c r="E53" s="138" t="s">
        <v>850</v>
      </c>
      <c r="F53" s="143"/>
      <c r="G53" s="143"/>
      <c r="H53" s="143"/>
      <c r="I53" s="143"/>
      <c r="J53" s="143"/>
      <c r="K53" s="143"/>
      <c r="L53" s="143"/>
      <c r="AQ53" s="77"/>
      <c r="CS53" s="6"/>
      <c r="CT53" s="572"/>
      <c r="CU53" s="573"/>
      <c r="CV53" s="573"/>
      <c r="CW53" s="573"/>
      <c r="CX53" s="573"/>
      <c r="CY53" s="573"/>
      <c r="CZ53" s="573"/>
      <c r="DA53" s="573"/>
      <c r="DB53" s="573"/>
      <c r="DC53" s="574"/>
      <c r="DD53" s="6" t="s">
        <v>42</v>
      </c>
      <c r="DE53" s="14"/>
    </row>
    <row r="54" spans="5:132" ht="16.5">
      <c r="E54" s="143"/>
      <c r="F54" s="143" t="s">
        <v>290</v>
      </c>
      <c r="G54" s="145" t="s">
        <v>851</v>
      </c>
      <c r="H54" s="94">
        <f>IF(UNMT0020_IF_ACTIVE_ROW&lt;=ROW(UNMT0020_B_GYO),1,0)</f>
        <v>1</v>
      </c>
      <c r="I54" s="30" t="s">
        <v>420</v>
      </c>
      <c r="J54" s="30" t="s">
        <v>421</v>
      </c>
      <c r="K54" s="143"/>
      <c r="L54" s="143"/>
      <c r="AQ54" s="77"/>
      <c r="CS54" s="6"/>
      <c r="CT54" s="3"/>
      <c r="CU54" s="3"/>
      <c r="CV54" s="3"/>
      <c r="CW54" s="3"/>
      <c r="CX54" s="3"/>
      <c r="CY54" s="3"/>
      <c r="CZ54" s="3"/>
      <c r="DA54" s="6"/>
      <c r="DB54" s="3"/>
      <c r="DC54" s="3"/>
      <c r="DD54" s="6" t="s">
        <v>43</v>
      </c>
      <c r="DE54" s="14"/>
    </row>
    <row r="55" spans="5:132" ht="16.5">
      <c r="E55" s="143"/>
      <c r="F55" s="143"/>
      <c r="G55" s="143"/>
      <c r="H55" s="143"/>
      <c r="I55" s="143"/>
      <c r="J55" s="143"/>
      <c r="K55" s="143"/>
      <c r="L55" s="143"/>
      <c r="AQ55" s="77"/>
      <c r="CS55" s="6" t="s">
        <v>74</v>
      </c>
      <c r="CT55" s="565"/>
      <c r="CU55" s="566"/>
      <c r="CV55" s="3"/>
      <c r="CW55" s="3"/>
      <c r="CX55" s="3"/>
      <c r="CY55" s="3"/>
      <c r="CZ55" s="3"/>
      <c r="DA55" s="6" t="s">
        <v>76</v>
      </c>
      <c r="DB55" s="565"/>
      <c r="DC55" s="566"/>
      <c r="DD55" s="6" t="s">
        <v>48</v>
      </c>
      <c r="DE55" s="14"/>
      <c r="DH55" t="s">
        <v>348</v>
      </c>
      <c r="DI55" t="s">
        <v>349</v>
      </c>
      <c r="DJ55" t="s">
        <v>350</v>
      </c>
    </row>
    <row r="56" spans="5:132" ht="16.5">
      <c r="E56" s="138" t="s">
        <v>511</v>
      </c>
      <c r="AQ56" s="77"/>
      <c r="CS56" s="6" t="s">
        <v>75</v>
      </c>
      <c r="CT56" s="565"/>
      <c r="CU56" s="566"/>
      <c r="CV56" s="3"/>
      <c r="CW56" s="3"/>
      <c r="CX56" s="3"/>
      <c r="CY56" s="3"/>
      <c r="CZ56" s="3"/>
      <c r="DA56" s="6" t="s">
        <v>77</v>
      </c>
      <c r="DB56" s="565"/>
      <c r="DC56" s="566"/>
      <c r="DD56" s="486"/>
      <c r="DE56" s="486"/>
      <c r="DJ56" s="3"/>
      <c r="DK56" s="3"/>
      <c r="DL56" s="3"/>
      <c r="DM56" s="149"/>
      <c r="DN56" s="3"/>
      <c r="DO56" s="3"/>
      <c r="DP56" s="3"/>
      <c r="DQ56" s="3"/>
      <c r="DR56" s="149"/>
      <c r="DS56" s="3"/>
      <c r="DT56" s="3"/>
      <c r="DU56" s="3"/>
      <c r="DV56" s="3"/>
      <c r="DW56" s="3"/>
      <c r="DX56" s="3"/>
      <c r="DY56" s="3"/>
      <c r="DZ56" s="3"/>
      <c r="EA56" s="3"/>
      <c r="EB56" s="3"/>
    </row>
    <row r="57" spans="5:132" ht="16.5">
      <c r="F57" t="s">
        <v>512</v>
      </c>
      <c r="G57" s="28" t="s">
        <v>932</v>
      </c>
      <c r="H57" s="29" t="str">
        <f ca="1">"見積入力画面_"&amp;UNMT0020_IF_MITSU_NO&amp;"_"&amp;TEXT(NOW(),"YYYYMMDD")</f>
        <v>見積入力画面__20170927</v>
      </c>
      <c r="AQ57" s="77"/>
      <c r="CS57" s="3"/>
      <c r="CT57" s="7"/>
      <c r="CU57" s="3"/>
      <c r="CV57" s="3"/>
      <c r="CW57" s="3"/>
      <c r="CX57" s="3"/>
      <c r="CY57" s="3"/>
      <c r="CZ57" s="3"/>
      <c r="DA57" s="3"/>
      <c r="DB57" s="3"/>
      <c r="DC57" s="3"/>
      <c r="DD57" s="486"/>
      <c r="DE57" s="486"/>
    </row>
    <row r="58" spans="5:132" ht="16.5">
      <c r="AQ58" s="77"/>
      <c r="CS58" s="3"/>
      <c r="CT58" s="86" t="s">
        <v>78</v>
      </c>
      <c r="CU58" s="86" t="s">
        <v>28</v>
      </c>
      <c r="CV58" s="86" t="s">
        <v>44</v>
      </c>
      <c r="CW58" s="528" t="s">
        <v>45</v>
      </c>
      <c r="CX58" s="529"/>
      <c r="CY58" s="528" t="s">
        <v>46</v>
      </c>
      <c r="CZ58" s="529"/>
      <c r="DA58" s="86" t="s">
        <v>29</v>
      </c>
      <c r="DB58" s="86" t="s">
        <v>47</v>
      </c>
      <c r="DC58" s="3"/>
      <c r="DD58" s="486"/>
      <c r="DE58" s="486"/>
    </row>
    <row r="59" spans="5:132" s="143" customFormat="1" ht="16.5">
      <c r="E59" s="138" t="s">
        <v>870</v>
      </c>
      <c r="AB59" s="349"/>
      <c r="AC59" s="349"/>
      <c r="AD59" s="349"/>
      <c r="AJ59" s="349"/>
      <c r="AQ59" s="77"/>
      <c r="BC59" s="349"/>
      <c r="CR59"/>
      <c r="CS59" s="3"/>
      <c r="CT59" s="41">
        <f>UNMT0020_H_TAX_RATE</f>
        <v>0</v>
      </c>
      <c r="CU59" s="42">
        <f ca="1">IF(UNMT0020_B_GYO_COUNT=0,0,
IF(UNMT0020_H_SEIKYUSAKI_HASU=1,ROUNDDOWN(SUMIF(OFFSET(UNMT0020_B_SHOHIN_CD,1,0,UNMT0020_B_GYO_COUNT),"&lt;&gt;subtotal",OFFSET(UNMT0020_B_KINGAKU,1,0,UNMT0020_B_GYO_COUNT)),0),
IF(UNMT0020_H_SEIKYUSAKI_HASU=2,ROUNDUP(SUMIF(OFFSET(UNMT0020_B_SHOHIN_CD,1,0,UNMT0020_B_GYO_COUNT),"&lt;&gt;subtotal",OFFSET(UNMT0020_B_KINGAKU,1,0,UNMT0020_B_GYO_COUNT)),0),
ROUND(SUMIF(OFFSET(UNMT0020_B_SHOHIN_CD,1,0,UNMT0020_B_GYO_COUNT),"&lt;&gt;subtotal",OFFSET(UNMT0020_B_KINGAKU,1,0,UNMT0020_B_GYO_COUNT)),0))))</f>
        <v>0</v>
      </c>
      <c r="CV59" s="42">
        <f>IF(UNMT0020_B_GYO_COUNT=0,0,ROUNDDOWN(UNMT0020_H_NUKI_TOTAL*UNMT0020_H_TAX_RATE,0))</f>
        <v>0</v>
      </c>
      <c r="CW59" s="530">
        <f>IF(UNMT0020_B_GYO_COUNT=0,0,UNMT0020_H_NUKI_TOTAL+UNMT0020_H_TAX)</f>
        <v>0</v>
      </c>
      <c r="CX59" s="531"/>
      <c r="CY59" s="530">
        <f ca="1">IF(UNMT0020_B_GYO_COUNT=0,0,ROUND(SUMIF(OFFSET(UNMT0020_B_SHOHIN_CD,1,0,UNMT0020_B_GYO_COUNT),"&lt;&gt;subtotal",OFFSET(UNMT0020_B_GENKA,1,0,UNMT0020_B_GYO_COUNT)),0))</f>
        <v>0</v>
      </c>
      <c r="CZ59" s="531"/>
      <c r="DA59" s="42">
        <f>IF(UNMT0020_B_GYO_COUNT=0,0,UNMT0020_H_NUKI_TOTAL-UNMT0020_H_GENKA_TOTAL)</f>
        <v>0</v>
      </c>
      <c r="DB59" s="43">
        <f>IF(UNMT0020_B_GYO_COUNT=0,0,IF(ISERROR(UNMT0020_H_ARARIEKI/UNMT0020_H_NUKI_TOTAL)=TRUE,0,UNMT0020_H_ARARIEKI/UNMT0020_H_NUKI_TOTAL))</f>
        <v>0</v>
      </c>
      <c r="DC59" s="3"/>
      <c r="DD59" s="3"/>
      <c r="DE59" s="3"/>
      <c r="DF59"/>
    </row>
    <row r="60" spans="5:132" s="143" customFormat="1">
      <c r="F60" s="143" t="s">
        <v>931</v>
      </c>
      <c r="G60" s="145" t="s">
        <v>933</v>
      </c>
      <c r="H60" s="94" t="str">
        <f>UNMT0020_IF_MITSU_NO&amp;"-"&amp;UNMT0020_H_SEIKYUSAKI_MEI&amp;
IF(TRIM(UNMT0020_H_SEMPOTANTOSHA_MEI)="","","-"&amp;UNMT0020_H_SEMPOTANTOSHA_MEI)&amp;"-"&amp;UNMT0020_H_KESHO&amp;".pdf"</f>
        <v>--御中.pdf</v>
      </c>
      <c r="AB60" s="349"/>
      <c r="AC60" s="349"/>
      <c r="AD60" s="349"/>
      <c r="AJ60" s="349"/>
      <c r="AQ60" s="77"/>
      <c r="BC60" s="349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</row>
    <row r="61" spans="5:132" s="143" customFormat="1">
      <c r="AB61" s="349"/>
      <c r="AC61" s="349"/>
      <c r="AD61" s="349"/>
      <c r="AJ61" s="349"/>
      <c r="AQ61" s="77"/>
      <c r="BC61" s="349"/>
      <c r="CR61"/>
      <c r="CS61" t="s">
        <v>113</v>
      </c>
      <c r="CT61" t="s">
        <v>324</v>
      </c>
      <c r="CU61"/>
      <c r="CV61"/>
      <c r="CW61"/>
      <c r="CX61"/>
      <c r="CY61"/>
      <c r="CZ61"/>
      <c r="DA61"/>
      <c r="DB61"/>
      <c r="DC61"/>
      <c r="DD61"/>
      <c r="DE61"/>
      <c r="DF61"/>
    </row>
    <row r="62" spans="5:132" ht="16.5">
      <c r="E62" s="138" t="s">
        <v>786</v>
      </c>
      <c r="AQ62" s="77"/>
      <c r="CS62" s="23" t="s">
        <v>99</v>
      </c>
      <c r="CT62" s="54">
        <f ca="1">DATE(YEAR(TODAY()),MONTH(TODAY()),DAY(TODAY()))</f>
        <v>43005</v>
      </c>
      <c r="CU62" s="3"/>
      <c r="CV62" s="23" t="s">
        <v>72</v>
      </c>
      <c r="CW62" s="575" t="s">
        <v>858</v>
      </c>
      <c r="CX62" s="575"/>
      <c r="CY62" s="3"/>
      <c r="CZ62" s="3"/>
      <c r="DA62" s="23" t="s">
        <v>69</v>
      </c>
      <c r="DB62" s="55"/>
      <c r="DC62" s="3"/>
      <c r="DD62" s="6" t="s">
        <v>36</v>
      </c>
      <c r="DE62" s="58"/>
    </row>
    <row r="63" spans="5:132" ht="16.5">
      <c r="F63" s="143" t="s">
        <v>787</v>
      </c>
      <c r="G63" s="143" t="s">
        <v>790</v>
      </c>
      <c r="H63" s="94"/>
      <c r="I63" s="143"/>
      <c r="AQ63" s="77"/>
      <c r="CS63" s="6" t="s">
        <v>19</v>
      </c>
      <c r="CT63" s="17"/>
      <c r="CU63" s="3"/>
      <c r="CV63" s="23" t="s">
        <v>97</v>
      </c>
      <c r="CW63" s="576" t="str">
        <f>IF(UNMT0020_H_NYURYOKUSHA_MEI="","",UNMT0020_H_NYURYOKUSHA_MEI)</f>
        <v/>
      </c>
      <c r="CX63" s="576"/>
      <c r="CY63" s="3"/>
      <c r="CZ63" s="3"/>
      <c r="DA63" s="6" t="s">
        <v>37</v>
      </c>
      <c r="DB63" s="17"/>
      <c r="DC63" s="3"/>
      <c r="DD63" s="3"/>
      <c r="DE63" s="3"/>
    </row>
    <row r="64" spans="5:132" ht="16.5">
      <c r="F64" t="s">
        <v>788</v>
      </c>
      <c r="G64" s="143" t="s">
        <v>791</v>
      </c>
      <c r="H64" s="94"/>
      <c r="I64" s="143"/>
      <c r="J64" s="143"/>
      <c r="AQ64" s="77"/>
      <c r="CS64" s="6"/>
      <c r="CT64" s="3"/>
      <c r="CU64" s="3"/>
      <c r="CV64" s="3"/>
      <c r="CW64" s="3"/>
      <c r="CX64" s="3"/>
      <c r="CY64" s="3"/>
      <c r="CZ64" s="3"/>
      <c r="DA64" s="6"/>
      <c r="DB64" s="3"/>
      <c r="DC64" s="3"/>
      <c r="DD64" s="3"/>
      <c r="DE64" s="3"/>
    </row>
    <row r="65" spans="6:109" ht="16.5">
      <c r="F65" t="s">
        <v>789</v>
      </c>
      <c r="G65" s="145" t="s">
        <v>792</v>
      </c>
      <c r="H65" s="94"/>
      <c r="I65" s="143"/>
      <c r="J65" s="143"/>
      <c r="AQ65" s="77"/>
      <c r="CS65" s="6" t="s">
        <v>73</v>
      </c>
      <c r="CT65" s="57"/>
      <c r="CU65" s="3"/>
      <c r="CV65" s="3"/>
      <c r="CW65" s="3"/>
      <c r="CX65" s="3"/>
      <c r="CY65" s="3"/>
      <c r="CZ65" s="3"/>
      <c r="DA65" s="6" t="s">
        <v>38</v>
      </c>
      <c r="DB65" s="536"/>
      <c r="DC65" s="537"/>
      <c r="DD65" s="537"/>
      <c r="DE65" s="538"/>
    </row>
    <row r="66" spans="6:109" ht="16.5">
      <c r="F66" s="143" t="s">
        <v>802</v>
      </c>
      <c r="G66" s="143" t="s">
        <v>804</v>
      </c>
      <c r="H66" s="94">
        <f>IF(UNMT0020_IF_KAISHA_MARK_PATH="",2,1)</f>
        <v>2</v>
      </c>
      <c r="I66" s="143" t="s">
        <v>806</v>
      </c>
      <c r="J66" s="143"/>
      <c r="AQ66" s="77"/>
      <c r="CS66" s="23" t="s">
        <v>39</v>
      </c>
      <c r="CT66" s="505"/>
      <c r="CU66" s="506"/>
      <c r="CV66" s="506"/>
      <c r="CW66" s="506"/>
      <c r="CX66" s="507"/>
      <c r="CY66" s="3"/>
      <c r="CZ66" s="3"/>
      <c r="DA66" s="6"/>
      <c r="DB66" s="539"/>
      <c r="DC66" s="540"/>
      <c r="DD66" s="540"/>
      <c r="DE66" s="541"/>
    </row>
    <row r="67" spans="6:109" ht="16.5">
      <c r="F67" s="143" t="s">
        <v>803</v>
      </c>
      <c r="G67" s="143" t="s">
        <v>805</v>
      </c>
      <c r="H67" s="94">
        <f>IF(UNMT0020_IF_TANTO_MARK_PATH="",2,1)</f>
        <v>2</v>
      </c>
      <c r="I67" s="143" t="s">
        <v>806</v>
      </c>
      <c r="J67" s="143"/>
      <c r="AQ67" s="77"/>
      <c r="CS67" s="6" t="s">
        <v>95</v>
      </c>
      <c r="CT67" s="505"/>
      <c r="CU67" s="507"/>
      <c r="CV67" s="3"/>
      <c r="CW67" s="6" t="s">
        <v>841</v>
      </c>
      <c r="CX67" s="56" t="s">
        <v>857</v>
      </c>
      <c r="CY67" s="3"/>
      <c r="CZ67" s="3"/>
      <c r="DA67" s="23" t="s">
        <v>93</v>
      </c>
      <c r="DB67" s="55"/>
      <c r="DC67" s="3"/>
      <c r="DD67" s="3"/>
      <c r="DE67" s="3"/>
    </row>
    <row r="68" spans="6:109" ht="16.5">
      <c r="I68" s="143"/>
      <c r="J68" s="143"/>
      <c r="AQ68" s="77"/>
      <c r="CS68" s="6"/>
      <c r="CT68" s="481"/>
      <c r="CU68" s="481"/>
      <c r="CV68" s="117"/>
      <c r="CW68" s="482"/>
      <c r="CX68" s="483"/>
      <c r="CY68" s="117"/>
      <c r="CZ68" s="117"/>
      <c r="DA68" s="484"/>
      <c r="DB68" s="485"/>
      <c r="DC68" s="112"/>
      <c r="DD68" s="6" t="s">
        <v>40</v>
      </c>
      <c r="DE68" s="58"/>
    </row>
    <row r="69" spans="6:109" ht="16.5">
      <c r="AQ69" s="77"/>
      <c r="CS69" s="6" t="s">
        <v>1035</v>
      </c>
      <c r="CT69" s="544"/>
      <c r="CU69" s="545"/>
      <c r="CV69" s="545"/>
      <c r="CW69" s="545"/>
      <c r="CX69" s="545"/>
      <c r="CY69" s="545"/>
      <c r="CZ69" s="545"/>
      <c r="DA69" s="545"/>
      <c r="DB69" s="545"/>
      <c r="DC69" s="546"/>
      <c r="DD69" s="6" t="s">
        <v>41</v>
      </c>
      <c r="DE69" s="11"/>
    </row>
    <row r="70" spans="6:109" ht="16.5">
      <c r="AQ70" s="77"/>
      <c r="CS70" s="6"/>
      <c r="CT70" s="547"/>
      <c r="CU70" s="548"/>
      <c r="CV70" s="548"/>
      <c r="CW70" s="548"/>
      <c r="CX70" s="548"/>
      <c r="CY70" s="548"/>
      <c r="CZ70" s="548"/>
      <c r="DA70" s="548"/>
      <c r="DB70" s="548"/>
      <c r="DC70" s="549"/>
      <c r="DD70" s="6" t="s">
        <v>42</v>
      </c>
      <c r="DE70" s="11"/>
    </row>
    <row r="71" spans="6:109" ht="16.5">
      <c r="AQ71" s="77"/>
      <c r="CS71" s="6"/>
      <c r="CT71" s="3"/>
      <c r="CU71" s="3"/>
      <c r="CV71" s="3"/>
      <c r="CW71" s="3"/>
      <c r="CX71" s="3"/>
      <c r="CY71" s="3"/>
      <c r="CZ71" s="3"/>
      <c r="DA71" s="6"/>
      <c r="DB71" s="3"/>
      <c r="DC71" s="3"/>
      <c r="DD71" s="6" t="s">
        <v>43</v>
      </c>
      <c r="DE71" s="11"/>
    </row>
    <row r="72" spans="6:109" ht="16.5">
      <c r="AQ72" s="77"/>
      <c r="CS72" s="6" t="s">
        <v>74</v>
      </c>
      <c r="CT72" s="563"/>
      <c r="CU72" s="564"/>
      <c r="CV72" s="3"/>
      <c r="CW72" s="3"/>
      <c r="CX72" s="3"/>
      <c r="CY72" s="3"/>
      <c r="CZ72" s="3"/>
      <c r="DA72" s="6" t="s">
        <v>76</v>
      </c>
      <c r="DB72" s="563"/>
      <c r="DC72" s="564"/>
      <c r="DD72" s="6" t="s">
        <v>48</v>
      </c>
      <c r="DE72" s="11"/>
    </row>
    <row r="73" spans="6:109" ht="16.5">
      <c r="AQ73" s="77"/>
      <c r="CS73" s="6" t="s">
        <v>75</v>
      </c>
      <c r="CT73" s="563"/>
      <c r="CU73" s="564"/>
      <c r="CV73" s="3"/>
      <c r="CW73" s="3"/>
      <c r="CX73" s="3"/>
      <c r="CY73" s="3"/>
      <c r="CZ73" s="3"/>
      <c r="DA73" s="6" t="s">
        <v>77</v>
      </c>
      <c r="DB73" s="563"/>
      <c r="DC73" s="564"/>
      <c r="DD73" s="486"/>
      <c r="DE73" s="486"/>
    </row>
    <row r="74" spans="6:109" ht="16.5">
      <c r="AQ74" s="77"/>
      <c r="CS74" s="3"/>
      <c r="CT74" s="7"/>
      <c r="CU74" s="3"/>
      <c r="CV74" s="3"/>
      <c r="CW74" s="3"/>
      <c r="CX74" s="3"/>
      <c r="CY74" s="3"/>
      <c r="CZ74" s="3"/>
      <c r="DA74" s="3"/>
      <c r="DB74" s="3"/>
      <c r="DC74" s="3"/>
      <c r="DD74" s="486"/>
      <c r="DE74" s="486"/>
    </row>
    <row r="75" spans="6:109" ht="16.5">
      <c r="AQ75" s="77"/>
      <c r="CS75" s="3"/>
      <c r="CT75" s="62" t="s">
        <v>78</v>
      </c>
      <c r="CU75" s="62" t="s">
        <v>28</v>
      </c>
      <c r="CV75" s="62" t="s">
        <v>44</v>
      </c>
      <c r="CW75" s="550" t="s">
        <v>45</v>
      </c>
      <c r="CX75" s="550"/>
      <c r="CY75" s="550" t="s">
        <v>46</v>
      </c>
      <c r="CZ75" s="550"/>
      <c r="DA75" s="62" t="s">
        <v>29</v>
      </c>
      <c r="DB75" s="62" t="s">
        <v>47</v>
      </c>
      <c r="DC75" s="3"/>
      <c r="DD75" s="486"/>
      <c r="DE75" s="486"/>
    </row>
    <row r="76" spans="6:109" ht="16.5">
      <c r="AQ76" s="77"/>
      <c r="CS76" s="3"/>
      <c r="CT76" s="63">
        <f>UNMT0020_H_TAX_RATE</f>
        <v>0</v>
      </c>
      <c r="CU76" s="333">
        <f ca="1">IF(UNMT0020_B_GYO_COUNT=0,0,
IF(UNMT0020_H_SEIKYUSAKI_HASU=1,ROUNDDOWN(SUMIF(OFFSET(UNMT0020_B_SHOHIN_CD,1,0,UNMT0020_B_GYO_COUNT),"&lt;&gt;subtotal",OFFSET(UNMT0020_B_KINGAKU,1,0,UNMT0020_B_GYO_COUNT)),0),
IF(UNMT0020_H_SEIKYUSAKI_HASU=2,ROUNDUP(SUMIF(OFFSET(UNMT0020_B_SHOHIN_CD,1,0,UNMT0020_B_GYO_COUNT),"&lt;&gt;subtotal",OFFSET(UNMT0020_B_KINGAKU,1,0,UNMT0020_B_GYO_COUNT)),0),
ROUND(SUMIF(OFFSET(UNMT0020_B_SHOHIN_CD,1,0,UNMT0020_B_GYO_COUNT),"&lt;&gt;subtotal",OFFSET(UNMT0020_B_KINGAKU,1,0,UNMT0020_B_GYO_COUNT)),0))))</f>
        <v>0</v>
      </c>
      <c r="CV76" s="333">
        <f>IF(UNMT0020_B_GYO_COUNT=0,0,ROUNDDOWN(UNMT0020_H_NUKI_TOTAL*UNMT0020_H_TAX_RATE,0))</f>
        <v>0</v>
      </c>
      <c r="CW76" s="551">
        <f>IF(UNMT0020_B_GYO_COUNT=0,0,UNMT0020_H_NUKI_TOTAL+UNMT0020_H_TAX)</f>
        <v>0</v>
      </c>
      <c r="CX76" s="551"/>
      <c r="CY76" s="551">
        <f ca="1">IF(UNMT0020_B_GYO_COUNT=0,0,ROUND(SUMIF(OFFSET(UNMT0020_B_SHOHIN_CD,1,0,UNMT0020_B_GYO_COUNT),"&lt;&gt;subtotal",OFFSET(UNMT0020_B_GENKA,1,0,UNMT0020_B_GYO_COUNT)),0))</f>
        <v>0</v>
      </c>
      <c r="CZ76" s="551"/>
      <c r="DA76" s="333">
        <f>IF(UNMT0020_B_GYO_COUNT=0,0,UNMT0020_H_NUKI_TOTAL-UNMT0020_H_GENKA_TOTAL)</f>
        <v>0</v>
      </c>
      <c r="DB76" s="64">
        <f>IF(UNMT0020_B_GYO_COUNT=0,0,IF(ISERROR(UNMT0020_H_ARARIEKI/UNMT0020_H_NUKI_TOTAL)=TRUE,0,UNMT0020_H_ARARIEKI/UNMT0020_H_NUKI_TOTAL))</f>
        <v>0</v>
      </c>
      <c r="DC76" s="3"/>
      <c r="DD76" s="3"/>
      <c r="DE76" s="3"/>
    </row>
    <row r="77" spans="6:109">
      <c r="AQ77" s="77"/>
    </row>
    <row r="78" spans="6:109">
      <c r="AQ78" s="77"/>
      <c r="CS78" t="s">
        <v>320</v>
      </c>
      <c r="CT78" t="s">
        <v>325</v>
      </c>
    </row>
    <row r="79" spans="6:109" ht="16.5">
      <c r="AQ79" s="77"/>
      <c r="CS79" s="23" t="s">
        <v>99</v>
      </c>
      <c r="CT79" s="54"/>
      <c r="CU79" s="3"/>
      <c r="CV79" s="23" t="s">
        <v>72</v>
      </c>
      <c r="CW79" s="575"/>
      <c r="CX79" s="575"/>
      <c r="CY79" s="3"/>
      <c r="CZ79" s="3"/>
      <c r="DA79" s="23" t="s">
        <v>69</v>
      </c>
      <c r="DB79" s="55"/>
      <c r="DC79" s="3"/>
      <c r="DD79" s="6" t="s">
        <v>36</v>
      </c>
      <c r="DE79" s="58"/>
    </row>
    <row r="80" spans="6:109" ht="16.5">
      <c r="AQ80" s="77"/>
      <c r="CS80" s="6" t="s">
        <v>19</v>
      </c>
      <c r="CT80" s="17"/>
      <c r="CU80" s="3"/>
      <c r="CV80" s="23" t="s">
        <v>97</v>
      </c>
      <c r="CW80" s="576"/>
      <c r="CX80" s="576"/>
      <c r="CY80" s="3"/>
      <c r="CZ80" s="3"/>
      <c r="DA80" s="6" t="s">
        <v>37</v>
      </c>
      <c r="DB80" s="17"/>
      <c r="DC80" s="3"/>
      <c r="DD80" s="3"/>
      <c r="DE80" s="3"/>
    </row>
    <row r="81" spans="43:109" ht="16.5">
      <c r="AQ81" s="77"/>
      <c r="CS81" s="6"/>
      <c r="CT81" s="3"/>
      <c r="CU81" s="3"/>
      <c r="CV81" s="3"/>
      <c r="CW81" s="3"/>
      <c r="CX81" s="3"/>
      <c r="CY81" s="3"/>
      <c r="CZ81" s="3"/>
      <c r="DA81" s="6"/>
      <c r="DB81" s="3"/>
      <c r="DC81" s="3"/>
      <c r="DD81" s="3"/>
      <c r="DE81" s="3"/>
    </row>
    <row r="82" spans="43:109" ht="16.5">
      <c r="AQ82" s="77"/>
      <c r="CS82" s="6" t="s">
        <v>73</v>
      </c>
      <c r="CT82" s="57"/>
      <c r="CU82" s="3"/>
      <c r="CV82" s="3"/>
      <c r="CW82" s="3"/>
      <c r="CX82" s="3"/>
      <c r="CY82" s="3"/>
      <c r="CZ82" s="3"/>
      <c r="DA82" s="6" t="s">
        <v>38</v>
      </c>
      <c r="DB82" s="536"/>
      <c r="DC82" s="537"/>
      <c r="DD82" s="537"/>
      <c r="DE82" s="538"/>
    </row>
    <row r="83" spans="43:109" ht="16.5">
      <c r="AQ83" s="77"/>
      <c r="CS83" s="23" t="s">
        <v>39</v>
      </c>
      <c r="CT83" s="505"/>
      <c r="CU83" s="506"/>
      <c r="CV83" s="506"/>
      <c r="CW83" s="506"/>
      <c r="CX83" s="507"/>
      <c r="CY83" s="3"/>
      <c r="CZ83" s="3"/>
      <c r="DA83" s="6"/>
      <c r="DB83" s="539"/>
      <c r="DC83" s="540"/>
      <c r="DD83" s="540"/>
      <c r="DE83" s="541"/>
    </row>
    <row r="84" spans="43:109" ht="16.5">
      <c r="AQ84" s="77"/>
      <c r="CS84" s="6" t="s">
        <v>95</v>
      </c>
      <c r="CT84" s="505"/>
      <c r="CU84" s="507"/>
      <c r="CV84" s="3"/>
      <c r="CW84" s="6" t="s">
        <v>841</v>
      </c>
      <c r="CX84" s="56"/>
      <c r="CY84" s="3"/>
      <c r="CZ84" s="3"/>
      <c r="DA84" s="23" t="s">
        <v>93</v>
      </c>
      <c r="DB84" s="55"/>
      <c r="DC84" s="3"/>
      <c r="DD84" s="3"/>
      <c r="DE84" s="3"/>
    </row>
    <row r="85" spans="43:109" ht="16.5">
      <c r="AQ85" s="77"/>
      <c r="CS85" s="6"/>
      <c r="CT85" s="481"/>
      <c r="CU85" s="481"/>
      <c r="CV85" s="117"/>
      <c r="CW85" s="482"/>
      <c r="CX85" s="483"/>
      <c r="CY85" s="117"/>
      <c r="CZ85" s="117"/>
      <c r="DA85" s="484"/>
      <c r="DB85" s="485"/>
      <c r="DC85" s="112"/>
      <c r="DD85" s="6" t="s">
        <v>40</v>
      </c>
      <c r="DE85" s="58"/>
    </row>
    <row r="86" spans="43:109" ht="16.5">
      <c r="AQ86" s="77"/>
      <c r="CS86" s="6" t="s">
        <v>1035</v>
      </c>
      <c r="CT86" s="544"/>
      <c r="CU86" s="545"/>
      <c r="CV86" s="545"/>
      <c r="CW86" s="545"/>
      <c r="CX86" s="545"/>
      <c r="CY86" s="545"/>
      <c r="CZ86" s="545"/>
      <c r="DA86" s="545"/>
      <c r="DB86" s="545"/>
      <c r="DC86" s="546"/>
      <c r="DD86" s="6" t="s">
        <v>41</v>
      </c>
      <c r="DE86" s="11"/>
    </row>
    <row r="87" spans="43:109" ht="16.5">
      <c r="AQ87" s="77"/>
      <c r="CS87" s="6"/>
      <c r="CT87" s="547"/>
      <c r="CU87" s="548"/>
      <c r="CV87" s="548"/>
      <c r="CW87" s="548"/>
      <c r="CX87" s="548"/>
      <c r="CY87" s="548"/>
      <c r="CZ87" s="548"/>
      <c r="DA87" s="548"/>
      <c r="DB87" s="548"/>
      <c r="DC87" s="549"/>
      <c r="DD87" s="6" t="s">
        <v>42</v>
      </c>
      <c r="DE87" s="11"/>
    </row>
    <row r="88" spans="43:109" ht="16.5">
      <c r="AQ88" s="77"/>
      <c r="CS88" s="6"/>
      <c r="CT88" s="3"/>
      <c r="CU88" s="3"/>
      <c r="CV88" s="3"/>
      <c r="CW88" s="3"/>
      <c r="CX88" s="3"/>
      <c r="CY88" s="3"/>
      <c r="CZ88" s="3"/>
      <c r="DA88" s="6"/>
      <c r="DB88" s="3"/>
      <c r="DC88" s="3"/>
      <c r="DD88" s="6" t="s">
        <v>43</v>
      </c>
      <c r="DE88" s="11"/>
    </row>
    <row r="89" spans="43:109" ht="16.5">
      <c r="AQ89" s="77"/>
      <c r="CS89" s="6" t="s">
        <v>74</v>
      </c>
      <c r="CT89" s="563"/>
      <c r="CU89" s="564"/>
      <c r="CV89" s="3"/>
      <c r="CW89" s="3"/>
      <c r="CX89" s="3"/>
      <c r="CY89" s="3"/>
      <c r="CZ89" s="3"/>
      <c r="DA89" s="6" t="s">
        <v>76</v>
      </c>
      <c r="DB89" s="563"/>
      <c r="DC89" s="564"/>
      <c r="DD89" s="6" t="s">
        <v>48</v>
      </c>
      <c r="DE89" s="11"/>
    </row>
    <row r="90" spans="43:109" ht="16.5">
      <c r="AQ90" s="77"/>
      <c r="CS90" s="6" t="s">
        <v>75</v>
      </c>
      <c r="CT90" s="563"/>
      <c r="CU90" s="564"/>
      <c r="CV90" s="3"/>
      <c r="CW90" s="3"/>
      <c r="CX90" s="3"/>
      <c r="CY90" s="3"/>
      <c r="CZ90" s="3"/>
      <c r="DA90" s="6" t="s">
        <v>77</v>
      </c>
      <c r="DB90" s="563"/>
      <c r="DC90" s="564"/>
      <c r="DD90" s="486"/>
      <c r="DE90" s="486"/>
    </row>
    <row r="91" spans="43:109" ht="16.5">
      <c r="AQ91" s="77"/>
      <c r="CS91" s="3"/>
      <c r="CT91" s="7"/>
      <c r="CU91" s="3"/>
      <c r="CV91" s="3"/>
      <c r="CW91" s="3"/>
      <c r="CX91" s="3"/>
      <c r="CY91" s="3"/>
      <c r="CZ91" s="3"/>
      <c r="DA91" s="3"/>
      <c r="DB91" s="3"/>
      <c r="DC91" s="3"/>
      <c r="DD91" s="486"/>
      <c r="DE91" s="486"/>
    </row>
    <row r="92" spans="43:109" ht="16.5">
      <c r="AQ92" s="77"/>
      <c r="CS92" s="3"/>
      <c r="CT92" s="62" t="s">
        <v>78</v>
      </c>
      <c r="CU92" s="62" t="s">
        <v>28</v>
      </c>
      <c r="CV92" s="62" t="s">
        <v>44</v>
      </c>
      <c r="CW92" s="550" t="s">
        <v>45</v>
      </c>
      <c r="CX92" s="550"/>
      <c r="CY92" s="550" t="s">
        <v>46</v>
      </c>
      <c r="CZ92" s="550"/>
      <c r="DA92" s="62" t="s">
        <v>29</v>
      </c>
      <c r="DB92" s="62" t="s">
        <v>47</v>
      </c>
      <c r="DC92" s="3"/>
      <c r="DD92" s="486"/>
      <c r="DE92" s="486"/>
    </row>
    <row r="93" spans="43:109" ht="16.5">
      <c r="AQ93" s="77"/>
      <c r="CS93" s="3"/>
      <c r="CT93" s="63">
        <f>UNMT0020_H_TAX_RATE</f>
        <v>0</v>
      </c>
      <c r="CU93" s="284">
        <f ca="1">IF(UNMT0020_B_GYO_COUNT=0,0,
IF(UNMT0020_H_SEIKYUSAKI_HASU=1,ROUNDDOWN(SUMIF(OFFSET(UNMT0020_B_SHOHIN_CD,1,0,UNMT0020_B_GYO_COUNT),"&lt;&gt;subtotal",OFFSET(UNMT0020_B_KINGAKU,1,0,UNMT0020_B_GYO_COUNT)),0),
IF(UNMT0020_H_SEIKYUSAKI_HASU=2,ROUNDUP(SUMIF(OFFSET(UNMT0020_B_SHOHIN_CD,1,0,UNMT0020_B_GYO_COUNT),"&lt;&gt;subtotal",OFFSET(UNMT0020_B_KINGAKU,1,0,UNMT0020_B_GYO_COUNT)),0),
ROUND(SUMIF(OFFSET(UNMT0020_B_SHOHIN_CD,1,0,UNMT0020_B_GYO_COUNT),"&lt;&gt;subtotal",OFFSET(UNMT0020_B_KINGAKU,1,0,UNMT0020_B_GYO_COUNT)),0))))</f>
        <v>0</v>
      </c>
      <c r="CV93" s="284">
        <f>IF(UNMT0020_B_GYO_COUNT=0,0,ROUNDDOWN(UNMT0020_H_NUKI_TOTAL*UNMT0020_H_TAX_RATE,0))</f>
        <v>0</v>
      </c>
      <c r="CW93" s="551">
        <f>IF(UNMT0020_B_GYO_COUNT=0,0,UNMT0020_H_NUKI_TOTAL+UNMT0020_H_TAX)</f>
        <v>0</v>
      </c>
      <c r="CX93" s="551"/>
      <c r="CY93" s="551">
        <f ca="1">IF(UNMT0020_B_GYO_COUNT=0,0,ROUND(SUMIF(OFFSET(UNMT0020_B_SHOHIN_CD,1,0,UNMT0020_B_GYO_COUNT),"&lt;&gt;subtotal",OFFSET(UNMT0020_B_GENKA,1,0,UNMT0020_B_GYO_COUNT)),0))</f>
        <v>0</v>
      </c>
      <c r="CZ93" s="551"/>
      <c r="DA93" s="284">
        <f>IF(UNMT0020_B_GYO_COUNT=0,0,UNMT0020_H_NUKI_TOTAL-UNMT0020_H_GENKA_TOTAL)</f>
        <v>0</v>
      </c>
      <c r="DB93" s="64">
        <f>IF(UNMT0020_B_GYO_COUNT=0,0,IF(ISERROR(UNMT0020_H_ARARIEKI/UNMT0020_H_NUKI_TOTAL)=TRUE,0,UNMT0020_H_ARARIEKI/UNMT0020_H_NUKI_TOTAL))</f>
        <v>0</v>
      </c>
      <c r="DC93" s="3"/>
      <c r="DD93" s="3"/>
      <c r="DE93" s="3"/>
    </row>
    <row r="94" spans="43:109">
      <c r="AQ94" s="77"/>
    </row>
    <row r="95" spans="43:109">
      <c r="AQ95" s="77"/>
      <c r="CS95" t="s">
        <v>323</v>
      </c>
      <c r="CT95" t="s">
        <v>326</v>
      </c>
    </row>
    <row r="96" spans="43:109" ht="16.5">
      <c r="AQ96" s="77"/>
      <c r="CS96" s="23" t="s">
        <v>99</v>
      </c>
      <c r="CT96" s="59"/>
      <c r="CU96" s="3"/>
      <c r="CV96" s="23" t="s">
        <v>72</v>
      </c>
      <c r="CW96" s="552"/>
      <c r="CX96" s="552"/>
      <c r="CY96" s="3"/>
      <c r="CZ96" s="3"/>
      <c r="DA96" s="23" t="s">
        <v>69</v>
      </c>
      <c r="DB96" s="17"/>
      <c r="DC96" s="3"/>
      <c r="DD96" s="6" t="s">
        <v>36</v>
      </c>
      <c r="DE96" s="14"/>
    </row>
    <row r="97" spans="43:109" ht="16.5">
      <c r="AQ97" s="77"/>
      <c r="CS97" s="6" t="s">
        <v>19</v>
      </c>
      <c r="CT97" s="17"/>
      <c r="CU97" s="3"/>
      <c r="CV97" s="23" t="s">
        <v>97</v>
      </c>
      <c r="CW97" s="553"/>
      <c r="CX97" s="553"/>
      <c r="CY97" s="3"/>
      <c r="CZ97" s="3"/>
      <c r="DA97" s="6" t="s">
        <v>37</v>
      </c>
      <c r="DB97" s="17"/>
      <c r="DC97" s="3"/>
      <c r="DD97" s="3"/>
      <c r="DE97" s="3"/>
    </row>
    <row r="98" spans="43:109" ht="16.5">
      <c r="AQ98" s="77"/>
      <c r="CS98" s="6"/>
      <c r="CT98" s="3"/>
      <c r="CU98" s="3"/>
      <c r="CV98" s="3"/>
      <c r="CW98" s="3"/>
      <c r="CX98" s="3"/>
      <c r="CY98" s="3"/>
      <c r="CZ98" s="3"/>
      <c r="DA98" s="6"/>
      <c r="DB98" s="3"/>
      <c r="DC98" s="3"/>
      <c r="DD98" s="3"/>
      <c r="DE98" s="3"/>
    </row>
    <row r="99" spans="43:109" ht="16.5">
      <c r="AQ99" s="77"/>
      <c r="CS99" s="6" t="s">
        <v>73</v>
      </c>
      <c r="CT99" s="61"/>
      <c r="CU99" s="3"/>
      <c r="CV99" s="3"/>
      <c r="CW99" s="3"/>
      <c r="CX99" s="3"/>
      <c r="CY99" s="3"/>
      <c r="CZ99" s="3"/>
      <c r="DA99" s="6" t="s">
        <v>38</v>
      </c>
      <c r="DB99" s="554"/>
      <c r="DC99" s="555"/>
      <c r="DD99" s="555"/>
      <c r="DE99" s="556"/>
    </row>
    <row r="100" spans="43:109" ht="16.5">
      <c r="AQ100" s="77"/>
      <c r="CS100" s="23" t="s">
        <v>39</v>
      </c>
      <c r="CT100" s="560"/>
      <c r="CU100" s="561"/>
      <c r="CV100" s="561"/>
      <c r="CW100" s="561"/>
      <c r="CX100" s="562"/>
      <c r="CY100" s="3"/>
      <c r="CZ100" s="3"/>
      <c r="DA100" s="6"/>
      <c r="DB100" s="557"/>
      <c r="DC100" s="558"/>
      <c r="DD100" s="558"/>
      <c r="DE100" s="559"/>
    </row>
    <row r="101" spans="43:109" ht="16.5">
      <c r="CS101" s="6" t="s">
        <v>95</v>
      </c>
      <c r="CT101" s="565"/>
      <c r="CU101" s="566"/>
      <c r="CV101" s="3"/>
      <c r="CW101" s="6" t="s">
        <v>841</v>
      </c>
      <c r="CX101" s="67"/>
      <c r="CY101" s="3"/>
      <c r="CZ101" s="3"/>
      <c r="DA101" s="23" t="s">
        <v>93</v>
      </c>
      <c r="DB101" s="17"/>
      <c r="DC101" s="3"/>
      <c r="DD101" s="3"/>
      <c r="DE101" s="3"/>
    </row>
    <row r="102" spans="43:109" ht="16.5">
      <c r="CS102" s="6"/>
      <c r="CT102" s="487"/>
      <c r="CU102" s="487"/>
      <c r="CV102" s="112"/>
      <c r="CW102" s="6"/>
      <c r="CX102" s="267"/>
      <c r="CY102" s="112"/>
      <c r="CZ102" s="112"/>
      <c r="DA102" s="23"/>
      <c r="DB102" s="201"/>
      <c r="DC102" s="112"/>
      <c r="DD102" s="6" t="s">
        <v>40</v>
      </c>
      <c r="DE102" s="14"/>
    </row>
    <row r="103" spans="43:109" ht="16.5">
      <c r="CS103" s="6" t="s">
        <v>1035</v>
      </c>
      <c r="CT103" s="569"/>
      <c r="CU103" s="570"/>
      <c r="CV103" s="570"/>
      <c r="CW103" s="570"/>
      <c r="CX103" s="570"/>
      <c r="CY103" s="570"/>
      <c r="CZ103" s="570"/>
      <c r="DA103" s="570"/>
      <c r="DB103" s="570"/>
      <c r="DC103" s="571"/>
      <c r="DD103" s="6" t="s">
        <v>41</v>
      </c>
      <c r="DE103" s="14"/>
    </row>
    <row r="104" spans="43:109" ht="16.5">
      <c r="CS104" s="6"/>
      <c r="CT104" s="572"/>
      <c r="CU104" s="573"/>
      <c r="CV104" s="573"/>
      <c r="CW104" s="573"/>
      <c r="CX104" s="573"/>
      <c r="CY104" s="573"/>
      <c r="CZ104" s="573"/>
      <c r="DA104" s="573"/>
      <c r="DB104" s="573"/>
      <c r="DC104" s="574"/>
      <c r="DD104" s="6" t="s">
        <v>42</v>
      </c>
      <c r="DE104" s="14"/>
    </row>
    <row r="105" spans="43:109" ht="16.5">
      <c r="CS105" s="6"/>
      <c r="CT105" s="3"/>
      <c r="CU105" s="3"/>
      <c r="CV105" s="3"/>
      <c r="CW105" s="3"/>
      <c r="CX105" s="3"/>
      <c r="CY105" s="3"/>
      <c r="CZ105" s="3"/>
      <c r="DA105" s="6"/>
      <c r="DB105" s="3"/>
      <c r="DC105" s="3"/>
      <c r="DD105" s="6" t="s">
        <v>43</v>
      </c>
      <c r="DE105" s="14"/>
    </row>
    <row r="106" spans="43:109" ht="16.5">
      <c r="CS106" s="6" t="s">
        <v>74</v>
      </c>
      <c r="CT106" s="567"/>
      <c r="CU106" s="568"/>
      <c r="CV106" s="267"/>
      <c r="CW106" s="267"/>
      <c r="CX106" s="267"/>
      <c r="CY106" s="267"/>
      <c r="CZ106" s="267"/>
      <c r="DA106" s="304" t="s">
        <v>76</v>
      </c>
      <c r="DB106" s="567"/>
      <c r="DC106" s="568"/>
      <c r="DD106" s="6" t="s">
        <v>48</v>
      </c>
      <c r="DE106" s="14"/>
    </row>
    <row r="107" spans="43:109" ht="16.5">
      <c r="CS107" s="6" t="s">
        <v>75</v>
      </c>
      <c r="CT107" s="567"/>
      <c r="CU107" s="568"/>
      <c r="CV107" s="267"/>
      <c r="CW107" s="267"/>
      <c r="CX107" s="267"/>
      <c r="CY107" s="267"/>
      <c r="CZ107" s="267"/>
      <c r="DA107" s="304" t="s">
        <v>77</v>
      </c>
      <c r="DB107" s="567"/>
      <c r="DC107" s="568"/>
      <c r="DD107" s="486"/>
      <c r="DE107" s="486"/>
    </row>
    <row r="108" spans="43:109" ht="16.5">
      <c r="CS108" s="3"/>
      <c r="CT108" s="7"/>
      <c r="CU108" s="3"/>
      <c r="CV108" s="3"/>
      <c r="CW108" s="3"/>
      <c r="CX108" s="3"/>
      <c r="CY108" s="3"/>
      <c r="CZ108" s="3"/>
      <c r="DA108" s="3"/>
      <c r="DB108" s="3"/>
      <c r="DC108" s="3"/>
      <c r="DD108" s="486"/>
      <c r="DE108" s="486"/>
    </row>
    <row r="109" spans="43:109" ht="16.5">
      <c r="CS109" s="3"/>
      <c r="CT109" s="62" t="s">
        <v>78</v>
      </c>
      <c r="CU109" s="62" t="s">
        <v>28</v>
      </c>
      <c r="CV109" s="62" t="s">
        <v>44</v>
      </c>
      <c r="CW109" s="550" t="s">
        <v>45</v>
      </c>
      <c r="CX109" s="550"/>
      <c r="CY109" s="550" t="s">
        <v>46</v>
      </c>
      <c r="CZ109" s="550"/>
      <c r="DA109" s="62" t="s">
        <v>29</v>
      </c>
      <c r="DB109" s="62" t="s">
        <v>47</v>
      </c>
      <c r="DC109" s="3"/>
      <c r="DD109" s="486"/>
      <c r="DE109" s="486"/>
    </row>
    <row r="110" spans="43:109" ht="16.5">
      <c r="CS110" s="3"/>
      <c r="CT110" s="63">
        <f>UNMT0020_H_TAX_RATE</f>
        <v>0</v>
      </c>
      <c r="CU110" s="284">
        <f ca="1">IF(UNMT0020_B_GYO_COUNT=0,0,
IF(UNMT0020_H_SEIKYUSAKI_HASU=1,ROUNDDOWN(SUMIF(OFFSET(UNMT0020_B_SHOHIN_CD,1,0,UNMT0020_B_GYO_COUNT),"&lt;&gt;subtotal",OFFSET(UNMT0020_B_KINGAKU,1,0,UNMT0020_B_GYO_COUNT)),0),
IF(UNMT0020_H_SEIKYUSAKI_HASU=2,ROUNDUP(SUMIF(OFFSET(UNMT0020_B_SHOHIN_CD,1,0,UNMT0020_B_GYO_COUNT),"&lt;&gt;subtotal",OFFSET(UNMT0020_B_KINGAKU,1,0,UNMT0020_B_GYO_COUNT)),0),
ROUND(SUMIF(OFFSET(UNMT0020_B_SHOHIN_CD,1,0,UNMT0020_B_GYO_COUNT),"&lt;&gt;subtotal",OFFSET(UNMT0020_B_KINGAKU,1,0,UNMT0020_B_GYO_COUNT)),0))))</f>
        <v>0</v>
      </c>
      <c r="CV110" s="284">
        <f>IF(UNMT0020_B_GYO_COUNT=0,0,ROUNDDOWN(UNMT0020_H_NUKI_TOTAL*UNMT0020_H_TAX_RATE,0))</f>
        <v>0</v>
      </c>
      <c r="CW110" s="551">
        <f>IF(UNMT0020_B_GYO_COUNT=0,0,UNMT0020_H_NUKI_TOTAL+UNMT0020_H_TAX)</f>
        <v>0</v>
      </c>
      <c r="CX110" s="551"/>
      <c r="CY110" s="551">
        <f ca="1">IF(UNMT0020_B_GYO_COUNT=0,0,ROUND(SUMIF(OFFSET(UNMT0020_B_SHOHIN_CD,1,0,UNMT0020_B_GYO_COUNT),"&lt;&gt;subtotal",OFFSET(UNMT0020_B_GENKA,1,0,UNMT0020_B_GYO_COUNT)),0))</f>
        <v>0</v>
      </c>
      <c r="CZ110" s="551"/>
      <c r="DA110" s="284">
        <f>IF(UNMT0020_B_GYO_COUNT=0,0,UNMT0020_H_NUKI_TOTAL-UNMT0020_H_GENKA_TOTAL)</f>
        <v>0</v>
      </c>
      <c r="DB110" s="64">
        <f>IF(UNMT0020_B_GYO_COUNT=0,0,IF(ISERROR(UNMT0020_H_ARARIEKI/UNMT0020_H_NUKI_TOTAL)=TRUE,0,UNMT0020_H_ARARIEKI/UNMT0020_H_NUKI_TOTAL))</f>
        <v>0</v>
      </c>
      <c r="DC110" s="3"/>
      <c r="DD110" s="3"/>
      <c r="DE110" s="3"/>
    </row>
  </sheetData>
  <dataConsolidate/>
  <mergeCells count="93">
    <mergeCell ref="CT18:DC19"/>
    <mergeCell ref="CT35:DC36"/>
    <mergeCell ref="CT52:DC53"/>
    <mergeCell ref="CT69:DC70"/>
    <mergeCell ref="CT86:DC87"/>
    <mergeCell ref="CT22:CU22"/>
    <mergeCell ref="DB22:DC22"/>
    <mergeCell ref="CW24:CX24"/>
    <mergeCell ref="CY24:CZ24"/>
    <mergeCell ref="CW25:CX25"/>
    <mergeCell ref="CY25:CZ25"/>
    <mergeCell ref="CW28:CX28"/>
    <mergeCell ref="CW29:CX29"/>
    <mergeCell ref="DB31:DE32"/>
    <mergeCell ref="CT32:CX32"/>
    <mergeCell ref="CT33:CU33"/>
    <mergeCell ref="AA12:AB12"/>
    <mergeCell ref="EG43:EL43"/>
    <mergeCell ref="EQ43:ES43"/>
    <mergeCell ref="EG2:EL2"/>
    <mergeCell ref="EQ2:ES2"/>
    <mergeCell ref="EG37:EL37"/>
    <mergeCell ref="EQ37:ES37"/>
    <mergeCell ref="EG41:EL41"/>
    <mergeCell ref="EQ41:ES41"/>
    <mergeCell ref="CT21:CU21"/>
    <mergeCell ref="DB21:DC21"/>
    <mergeCell ref="CW11:CX11"/>
    <mergeCell ref="CW12:CX12"/>
    <mergeCell ref="DB14:DE15"/>
    <mergeCell ref="CT15:CX15"/>
    <mergeCell ref="CT16:CU16"/>
    <mergeCell ref="CT38:CU38"/>
    <mergeCell ref="DB38:DC38"/>
    <mergeCell ref="CT39:CU39"/>
    <mergeCell ref="DB39:DC39"/>
    <mergeCell ref="CW41:CX41"/>
    <mergeCell ref="CY41:CZ41"/>
    <mergeCell ref="CW42:CX42"/>
    <mergeCell ref="CY42:CZ42"/>
    <mergeCell ref="CW45:CX45"/>
    <mergeCell ref="CW46:CX46"/>
    <mergeCell ref="DB48:DE49"/>
    <mergeCell ref="CT49:CX49"/>
    <mergeCell ref="CT50:CU50"/>
    <mergeCell ref="CT55:CU55"/>
    <mergeCell ref="DB55:DC55"/>
    <mergeCell ref="CT56:CU56"/>
    <mergeCell ref="DB56:DC56"/>
    <mergeCell ref="CW58:CX58"/>
    <mergeCell ref="CY58:CZ58"/>
    <mergeCell ref="CW59:CX59"/>
    <mergeCell ref="CY59:CZ59"/>
    <mergeCell ref="CW62:CX62"/>
    <mergeCell ref="CW63:CX63"/>
    <mergeCell ref="DB65:DE66"/>
    <mergeCell ref="CT66:CX66"/>
    <mergeCell ref="CT67:CU67"/>
    <mergeCell ref="CT72:CU72"/>
    <mergeCell ref="DB72:DC72"/>
    <mergeCell ref="CT73:CU73"/>
    <mergeCell ref="DB73:DC73"/>
    <mergeCell ref="CW75:CX75"/>
    <mergeCell ref="CY75:CZ75"/>
    <mergeCell ref="CW76:CX76"/>
    <mergeCell ref="CY76:CZ76"/>
    <mergeCell ref="CW79:CX79"/>
    <mergeCell ref="CW80:CX80"/>
    <mergeCell ref="DB82:DE83"/>
    <mergeCell ref="CT83:CX83"/>
    <mergeCell ref="CT84:CU84"/>
    <mergeCell ref="CT101:CU101"/>
    <mergeCell ref="CT106:CU106"/>
    <mergeCell ref="DB106:DC106"/>
    <mergeCell ref="CT107:CU107"/>
    <mergeCell ref="DB107:DC107"/>
    <mergeCell ref="CT103:DC104"/>
    <mergeCell ref="DB99:DE100"/>
    <mergeCell ref="CT100:CX100"/>
    <mergeCell ref="CT89:CU89"/>
    <mergeCell ref="DB89:DC89"/>
    <mergeCell ref="CT90:CU90"/>
    <mergeCell ref="DB90:DC90"/>
    <mergeCell ref="CW92:CX92"/>
    <mergeCell ref="CY92:CZ92"/>
    <mergeCell ref="CW109:CX109"/>
    <mergeCell ref="CY109:CZ109"/>
    <mergeCell ref="CW110:CX110"/>
    <mergeCell ref="CY110:CZ110"/>
    <mergeCell ref="CW93:CX93"/>
    <mergeCell ref="CY93:CZ93"/>
    <mergeCell ref="CW96:CX96"/>
    <mergeCell ref="CW97:CX97"/>
  </mergeCells>
  <phoneticPr fontId="2"/>
  <conditionalFormatting sqref="DM52 DM35 DM5:DY5 DW22:DY22 DS22 DW39:DY39 DS39 DM18:DY18 DM25:DY25 DM42:DY42 DM8:DY8 DM11:DY11 DM13:DY13 DM15:DY15">
    <cfRule type="expression" dxfId="117" priority="136">
      <formula>INDIRECT(ADDRESS(ROW(),COLUMN(UNMT0020_B_ROW_KBN)))&lt;&gt;2</formula>
    </cfRule>
  </conditionalFormatting>
  <conditionalFormatting sqref="DN5 DP5:DQ5 DW5 DS5:DU5 DW22 DS22 DW39 DS39">
    <cfRule type="expression" dxfId="116" priority="137">
      <formula>INDIRECT(ADDRESS(ROW(),COLUMN()))=TRUNC(INDIRECT(ADDRESS(ROW(),COLUMN())))</formula>
    </cfRule>
  </conditionalFormatting>
  <conditionalFormatting sqref="DQ13">
    <cfRule type="expression" dxfId="115" priority="135">
      <formula>INDIRECT(ADDRESS(ROW(),COLUMN()))=TRUNC(INDIRECT(ADDRESS(ROW(),COLUMN())))</formula>
    </cfRule>
  </conditionalFormatting>
  <conditionalFormatting sqref="DP15">
    <cfRule type="expression" dxfId="114" priority="134">
      <formula>INDIRECT(ADDRESS(ROW(),COLUMN()))=TRUNC(INDIRECT(ADDRESS(ROW(),COLUMN())))</formula>
    </cfRule>
  </conditionalFormatting>
  <conditionalFormatting sqref="DQ11">
    <cfRule type="expression" dxfId="113" priority="133">
      <formula>INDIRECT(ADDRESS(ROW(),COLUMN()))=TRUNC(INDIRECT(ADDRESS(ROW(),COLUMN())))</formula>
    </cfRule>
  </conditionalFormatting>
  <conditionalFormatting sqref="DQ15">
    <cfRule type="expression" dxfId="112" priority="132">
      <formula>INDIRECT(ADDRESS(ROW(),COLUMN()))=TRUNC(INDIRECT(ADDRESS(ROW(),COLUMN())))</formula>
    </cfRule>
  </conditionalFormatting>
  <conditionalFormatting sqref="DQ18">
    <cfRule type="expression" dxfId="111" priority="131">
      <formula>INDIRECT(ADDRESS(ROW(),COLUMN()))=TRUNC(INDIRECT(ADDRESS(ROW(),COLUMN())))</formula>
    </cfRule>
  </conditionalFormatting>
  <conditionalFormatting sqref="DN22:DO22 DT22:DU22 DQ22:DR22">
    <cfRule type="expression" dxfId="110" priority="129">
      <formula>INDIRECT(ADDRESS(ROW(),COLUMN(UNMT0020_B_ROW_KBN)))&lt;&gt;2</formula>
    </cfRule>
  </conditionalFormatting>
  <conditionalFormatting sqref="DN22 DQ22 DT22:DU22">
    <cfRule type="expression" dxfId="109" priority="130">
      <formula>INDIRECT(ADDRESS(ROW(),COLUMN()))=TRUNC(INDIRECT(ADDRESS(ROW(),COLUMN())))</formula>
    </cfRule>
  </conditionalFormatting>
  <conditionalFormatting sqref="DN39:DR39 DT39:DU39">
    <cfRule type="expression" dxfId="108" priority="119">
      <formula>INDIRECT(ADDRESS(ROW(),COLUMN(UNMT0020_B_ROW_KBN)))&lt;&gt;2</formula>
    </cfRule>
  </conditionalFormatting>
  <conditionalFormatting sqref="DN39 DP39:DQ39 DT39:DU39">
    <cfRule type="expression" dxfId="107" priority="120">
      <formula>INDIRECT(ADDRESS(ROW(),COLUMN()))=TRUNC(INDIRECT(ADDRESS(ROW(),COLUMN())))</formula>
    </cfRule>
  </conditionalFormatting>
  <conditionalFormatting sqref="EM37 EM41 EO37:EP37 EO41:EP41">
    <cfRule type="expression" dxfId="106" priority="110">
      <formula>INDIRECT(ADDRESS(ROW(),COLUMN()))=TRUNC(INDIRECT(ADDRESS(ROW(),COLUMN())))</formula>
    </cfRule>
  </conditionalFormatting>
  <conditionalFormatting sqref="EP43">
    <cfRule type="expression" dxfId="105" priority="109">
      <formula>INDIRECT(ADDRESS(ROW(),COLUMN()))=TRUNC(INDIRECT(ADDRESS(ROW(),COLUMN())))</formula>
    </cfRule>
  </conditionalFormatting>
  <conditionalFormatting sqref="DN18">
    <cfRule type="expression" dxfId="104" priority="106">
      <formula>INDIRECT(ADDRESS(ROW(),COLUMN()))=TRUNC(INDIRECT(ADDRESS(ROW(),COLUMN())))</formula>
    </cfRule>
  </conditionalFormatting>
  <conditionalFormatting sqref="DP18">
    <cfRule type="expression" dxfId="103" priority="105">
      <formula>INDIRECT(ADDRESS(ROW(),COLUMN()))=TRUNC(INDIRECT(ADDRESS(ROW(),COLUMN())))</formula>
    </cfRule>
  </conditionalFormatting>
  <conditionalFormatting sqref="DS18:DU18">
    <cfRule type="expression" dxfId="102" priority="104">
      <formula>INDIRECT(ADDRESS(ROW(),COLUMN()))=TRUNC(INDIRECT(ADDRESS(ROW(),COLUMN())))</formula>
    </cfRule>
  </conditionalFormatting>
  <conditionalFormatting sqref="DW18">
    <cfRule type="expression" dxfId="101" priority="103">
      <formula>INDIRECT(ADDRESS(ROW(),COLUMN()))=TRUNC(INDIRECT(ADDRESS(ROW(),COLUMN())))</formula>
    </cfRule>
  </conditionalFormatting>
  <conditionalFormatting sqref="DN35:DY35">
    <cfRule type="expression" dxfId="100" priority="102">
      <formula>INDIRECT(ADDRESS(ROW(),COLUMN(UNMT0020_B_ROW_KBN)))&lt;&gt;2</formula>
    </cfRule>
  </conditionalFormatting>
  <conditionalFormatting sqref="DQ35">
    <cfRule type="expression" dxfId="99" priority="101">
      <formula>INDIRECT(ADDRESS(ROW(),COLUMN()))=TRUNC(INDIRECT(ADDRESS(ROW(),COLUMN())))</formula>
    </cfRule>
  </conditionalFormatting>
  <conditionalFormatting sqref="DN35">
    <cfRule type="expression" dxfId="98" priority="100">
      <formula>INDIRECT(ADDRESS(ROW(),COLUMN()))=TRUNC(INDIRECT(ADDRESS(ROW(),COLUMN())))</formula>
    </cfRule>
  </conditionalFormatting>
  <conditionalFormatting sqref="DP35">
    <cfRule type="expression" dxfId="97" priority="99">
      <formula>INDIRECT(ADDRESS(ROW(),COLUMN()))=TRUNC(INDIRECT(ADDRESS(ROW(),COLUMN())))</formula>
    </cfRule>
  </conditionalFormatting>
  <conditionalFormatting sqref="DS35:DU35">
    <cfRule type="expression" dxfId="96" priority="98">
      <formula>INDIRECT(ADDRESS(ROW(),COLUMN()))=TRUNC(INDIRECT(ADDRESS(ROW(),COLUMN())))</formula>
    </cfRule>
  </conditionalFormatting>
  <conditionalFormatting sqref="DW35">
    <cfRule type="expression" dxfId="95" priority="97">
      <formula>INDIRECT(ADDRESS(ROW(),COLUMN()))=TRUNC(INDIRECT(ADDRESS(ROW(),COLUMN())))</formula>
    </cfRule>
  </conditionalFormatting>
  <conditionalFormatting sqref="DN52:DY52">
    <cfRule type="expression" dxfId="94" priority="96">
      <formula>INDIRECT(ADDRESS(ROW(),COLUMN(UNMT0020_B_ROW_KBN)))&lt;&gt;2</formula>
    </cfRule>
  </conditionalFormatting>
  <conditionalFormatting sqref="DQ52">
    <cfRule type="expression" dxfId="93" priority="95">
      <formula>INDIRECT(ADDRESS(ROW(),COLUMN()))=TRUNC(INDIRECT(ADDRESS(ROW(),COLUMN())))</formula>
    </cfRule>
  </conditionalFormatting>
  <conditionalFormatting sqref="DN52">
    <cfRule type="expression" dxfId="92" priority="94">
      <formula>INDIRECT(ADDRESS(ROW(),COLUMN()))=TRUNC(INDIRECT(ADDRESS(ROW(),COLUMN())))</formula>
    </cfRule>
  </conditionalFormatting>
  <conditionalFormatting sqref="DP52">
    <cfRule type="expression" dxfId="91" priority="93">
      <formula>INDIRECT(ADDRESS(ROW(),COLUMN()))=TRUNC(INDIRECT(ADDRESS(ROW(),COLUMN())))</formula>
    </cfRule>
  </conditionalFormatting>
  <conditionalFormatting sqref="DS52:DU52">
    <cfRule type="expression" dxfId="90" priority="92">
      <formula>INDIRECT(ADDRESS(ROW(),COLUMN()))=TRUNC(INDIRECT(ADDRESS(ROW(),COLUMN())))</formula>
    </cfRule>
  </conditionalFormatting>
  <conditionalFormatting sqref="DW52">
    <cfRule type="expression" dxfId="89" priority="91">
      <formula>INDIRECT(ADDRESS(ROW(),COLUMN()))=TRUNC(INDIRECT(ADDRESS(ROW(),COLUMN())))</formula>
    </cfRule>
  </conditionalFormatting>
  <conditionalFormatting sqref="DN8 DP8:DQ8 DS8:DU8">
    <cfRule type="expression" dxfId="88" priority="90">
      <formula>INDIRECT(ADDRESS(ROW(),COLUMN()))=TRUNC(INDIRECT(ADDRESS(ROW(),COLUMN())))</formula>
    </cfRule>
  </conditionalFormatting>
  <conditionalFormatting sqref="DW8">
    <cfRule type="expression" dxfId="87" priority="89">
      <formula>INDIRECT(ADDRESS(ROW(),COLUMN()))=TRUNC(INDIRECT(ADDRESS(ROW(),COLUMN())))</formula>
    </cfRule>
  </conditionalFormatting>
  <conditionalFormatting sqref="DN11">
    <cfRule type="expression" dxfId="86" priority="88">
      <formula>INDIRECT(ADDRESS(ROW(),COLUMN()))=TRUNC(INDIRECT(ADDRESS(ROW(),COLUMN())))</formula>
    </cfRule>
  </conditionalFormatting>
  <conditionalFormatting sqref="DN13">
    <cfRule type="expression" dxfId="85" priority="87">
      <formula>INDIRECT(ADDRESS(ROW(),COLUMN()))=TRUNC(INDIRECT(ADDRESS(ROW(),COLUMN())))</formula>
    </cfRule>
  </conditionalFormatting>
  <conditionalFormatting sqref="DN15">
    <cfRule type="expression" dxfId="84" priority="86">
      <formula>INDIRECT(ADDRESS(ROW(),COLUMN()))=TRUNC(INDIRECT(ADDRESS(ROW(),COLUMN())))</formula>
    </cfRule>
  </conditionalFormatting>
  <conditionalFormatting sqref="DP15 DP13 DP11">
    <cfRule type="expression" dxfId="83" priority="85">
      <formula>INDIRECT(ADDRESS(ROW(),COLUMN()))=TRUNC(INDIRECT(ADDRESS(ROW(),COLUMN())))</formula>
    </cfRule>
  </conditionalFormatting>
  <conditionalFormatting sqref="DQ13">
    <cfRule type="expression" dxfId="82" priority="84">
      <formula>INDIRECT(ADDRESS(ROW(),COLUMN()))=TRUNC(INDIRECT(ADDRESS(ROW(),COLUMN())))</formula>
    </cfRule>
  </conditionalFormatting>
  <conditionalFormatting sqref="DQ13">
    <cfRule type="expression" dxfId="81" priority="83">
      <formula>INDIRECT(ADDRESS(ROW(),COLUMN()))=TRUNC(INDIRECT(ADDRESS(ROW(),COLUMN())))</formula>
    </cfRule>
  </conditionalFormatting>
  <conditionalFormatting sqref="DS11">
    <cfRule type="expression" dxfId="80" priority="82">
      <formula>INDIRECT(ADDRESS(ROW(),COLUMN()))=TRUNC(INDIRECT(ADDRESS(ROW(),COLUMN())))</formula>
    </cfRule>
  </conditionalFormatting>
  <conditionalFormatting sqref="DS13">
    <cfRule type="expression" dxfId="79" priority="81">
      <formula>INDIRECT(ADDRESS(ROW(),COLUMN()))=TRUNC(INDIRECT(ADDRESS(ROW(),COLUMN())))</formula>
    </cfRule>
  </conditionalFormatting>
  <conditionalFormatting sqref="DS15">
    <cfRule type="expression" dxfId="78" priority="80">
      <formula>INDIRECT(ADDRESS(ROW(),COLUMN()))=TRUNC(INDIRECT(ADDRESS(ROW(),COLUMN())))</formula>
    </cfRule>
  </conditionalFormatting>
  <conditionalFormatting sqref="DS11:DU11">
    <cfRule type="expression" dxfId="77" priority="79">
      <formula>INDIRECT(ADDRESS(ROW(),COLUMN()))=TRUNC(INDIRECT(ADDRESS(ROW(),COLUMN())))</formula>
    </cfRule>
  </conditionalFormatting>
  <conditionalFormatting sqref="DS13:DU13">
    <cfRule type="expression" dxfId="76" priority="78">
      <formula>INDIRECT(ADDRESS(ROW(),COLUMN()))=TRUNC(INDIRECT(ADDRESS(ROW(),COLUMN())))</formula>
    </cfRule>
  </conditionalFormatting>
  <conditionalFormatting sqref="DS15:DU15">
    <cfRule type="expression" dxfId="75" priority="77">
      <formula>INDIRECT(ADDRESS(ROW(),COLUMN()))=TRUNC(INDIRECT(ADDRESS(ROW(),COLUMN())))</formula>
    </cfRule>
  </conditionalFormatting>
  <conditionalFormatting sqref="DW11">
    <cfRule type="expression" dxfId="74" priority="76">
      <formula>INDIRECT(ADDRESS(ROW(),COLUMN()))=TRUNC(INDIRECT(ADDRESS(ROW(),COLUMN())))</formula>
    </cfRule>
  </conditionalFormatting>
  <conditionalFormatting sqref="DW13">
    <cfRule type="expression" dxfId="73" priority="75">
      <formula>INDIRECT(ADDRESS(ROW(),COLUMN()))=TRUNC(INDIRECT(ADDRESS(ROW(),COLUMN())))</formula>
    </cfRule>
  </conditionalFormatting>
  <conditionalFormatting sqref="DW15">
    <cfRule type="expression" dxfId="72" priority="74">
      <formula>INDIRECT(ADDRESS(ROW(),COLUMN()))=TRUNC(INDIRECT(ADDRESS(ROW(),COLUMN())))</formula>
    </cfRule>
  </conditionalFormatting>
  <conditionalFormatting sqref="DQ11">
    <cfRule type="expression" dxfId="71" priority="73">
      <formula>INDIRECT(ADDRESS(ROW(),COLUMN()))=TRUNC(INDIRECT(ADDRESS(ROW(),COLUMN())))</formula>
    </cfRule>
  </conditionalFormatting>
  <conditionalFormatting sqref="DQ15">
    <cfRule type="expression" dxfId="70" priority="72">
      <formula>INDIRECT(ADDRESS(ROW(),COLUMN()))=TRUNC(INDIRECT(ADDRESS(ROW(),COLUMN())))</formula>
    </cfRule>
  </conditionalFormatting>
  <conditionalFormatting sqref="DQ15">
    <cfRule type="expression" dxfId="69" priority="71">
      <formula>INDIRECT(ADDRESS(ROW(),COLUMN()))=TRUNC(INDIRECT(ADDRESS(ROW(),COLUMN())))</formula>
    </cfRule>
  </conditionalFormatting>
  <conditionalFormatting sqref="DM28:DY28">
    <cfRule type="expression" dxfId="68" priority="70">
      <formula>INDIRECT(ADDRESS(ROW(),COLUMN(UNMT0020_B_ROW_KBN)))&lt;&gt;2</formula>
    </cfRule>
  </conditionalFormatting>
  <conditionalFormatting sqref="DQ28">
    <cfRule type="expression" dxfId="67" priority="69">
      <formula>INDIRECT(ADDRESS(ROW(),COLUMN()))=TRUNC(INDIRECT(ADDRESS(ROW(),COLUMN())))</formula>
    </cfRule>
  </conditionalFormatting>
  <conditionalFormatting sqref="DN28">
    <cfRule type="expression" dxfId="66" priority="68">
      <formula>INDIRECT(ADDRESS(ROW(),COLUMN()))=TRUNC(INDIRECT(ADDRESS(ROW(),COLUMN())))</formula>
    </cfRule>
  </conditionalFormatting>
  <conditionalFormatting sqref="DP28">
    <cfRule type="expression" dxfId="65" priority="67">
      <formula>INDIRECT(ADDRESS(ROW(),COLUMN()))=TRUNC(INDIRECT(ADDRESS(ROW(),COLUMN())))</formula>
    </cfRule>
  </conditionalFormatting>
  <conditionalFormatting sqref="DS28">
    <cfRule type="expression" dxfId="64" priority="66">
      <formula>INDIRECT(ADDRESS(ROW(),COLUMN()))=TRUNC(INDIRECT(ADDRESS(ROW(),COLUMN())))</formula>
    </cfRule>
  </conditionalFormatting>
  <conditionalFormatting sqref="DS28:DU28">
    <cfRule type="expression" dxfId="63" priority="65">
      <formula>INDIRECT(ADDRESS(ROW(),COLUMN()))=TRUNC(INDIRECT(ADDRESS(ROW(),COLUMN())))</formula>
    </cfRule>
  </conditionalFormatting>
  <conditionalFormatting sqref="DW28">
    <cfRule type="expression" dxfId="62" priority="64">
      <formula>INDIRECT(ADDRESS(ROW(),COLUMN()))=TRUNC(INDIRECT(ADDRESS(ROW(),COLUMN())))</formula>
    </cfRule>
  </conditionalFormatting>
  <conditionalFormatting sqref="DQ28">
    <cfRule type="expression" dxfId="61" priority="63">
      <formula>INDIRECT(ADDRESS(ROW(),COLUMN()))=TRUNC(INDIRECT(ADDRESS(ROW(),COLUMN())))</formula>
    </cfRule>
  </conditionalFormatting>
  <conditionalFormatting sqref="DM30:DP30 DR30:DY30">
    <cfRule type="expression" dxfId="60" priority="62">
      <formula>INDIRECT(ADDRESS(ROW(),COLUMN(UNMT0020_B_ROW_KBN)))&lt;&gt;2</formula>
    </cfRule>
  </conditionalFormatting>
  <conditionalFormatting sqref="DN30">
    <cfRule type="expression" dxfId="59" priority="60">
      <formula>INDIRECT(ADDRESS(ROW(),COLUMN()))=TRUNC(INDIRECT(ADDRESS(ROW(),COLUMN())))</formula>
    </cfRule>
  </conditionalFormatting>
  <conditionalFormatting sqref="DP30">
    <cfRule type="expression" dxfId="58" priority="59">
      <formula>INDIRECT(ADDRESS(ROW(),COLUMN()))=TRUNC(INDIRECT(ADDRESS(ROW(),COLUMN())))</formula>
    </cfRule>
  </conditionalFormatting>
  <conditionalFormatting sqref="DS30">
    <cfRule type="expression" dxfId="57" priority="56">
      <formula>INDIRECT(ADDRESS(ROW(),COLUMN()))=TRUNC(INDIRECT(ADDRESS(ROW(),COLUMN())))</formula>
    </cfRule>
  </conditionalFormatting>
  <conditionalFormatting sqref="DS30:DU30">
    <cfRule type="expression" dxfId="56" priority="55">
      <formula>INDIRECT(ADDRESS(ROW(),COLUMN()))=TRUNC(INDIRECT(ADDRESS(ROW(),COLUMN())))</formula>
    </cfRule>
  </conditionalFormatting>
  <conditionalFormatting sqref="DW30">
    <cfRule type="expression" dxfId="55" priority="54">
      <formula>INDIRECT(ADDRESS(ROW(),COLUMN()))=TRUNC(INDIRECT(ADDRESS(ROW(),COLUMN())))</formula>
    </cfRule>
  </conditionalFormatting>
  <conditionalFormatting sqref="DM32:DO32 DQ32:DY32">
    <cfRule type="expression" dxfId="54" priority="53">
      <formula>INDIRECT(ADDRESS(ROW(),COLUMN(UNMT0020_B_ROW_KBN)))&lt;&gt;2</formula>
    </cfRule>
  </conditionalFormatting>
  <conditionalFormatting sqref="DN32">
    <cfRule type="expression" dxfId="53" priority="50">
      <formula>INDIRECT(ADDRESS(ROW(),COLUMN()))=TRUNC(INDIRECT(ADDRESS(ROW(),COLUMN())))</formula>
    </cfRule>
  </conditionalFormatting>
  <conditionalFormatting sqref="DQ32">
    <cfRule type="expression" dxfId="52" priority="51">
      <formula>INDIRECT(ADDRESS(ROW(),COLUMN()))=TRUNC(INDIRECT(ADDRESS(ROW(),COLUMN())))</formula>
    </cfRule>
  </conditionalFormatting>
  <conditionalFormatting sqref="DS32:DU32">
    <cfRule type="expression" dxfId="51" priority="47">
      <formula>INDIRECT(ADDRESS(ROW(),COLUMN()))=TRUNC(INDIRECT(ADDRESS(ROW(),COLUMN())))</formula>
    </cfRule>
  </conditionalFormatting>
  <conditionalFormatting sqref="DS32">
    <cfRule type="expression" dxfId="50" priority="48">
      <formula>INDIRECT(ADDRESS(ROW(),COLUMN()))=TRUNC(INDIRECT(ADDRESS(ROW(),COLUMN())))</formula>
    </cfRule>
  </conditionalFormatting>
  <conditionalFormatting sqref="DW32">
    <cfRule type="expression" dxfId="49" priority="46">
      <formula>INDIRECT(ADDRESS(ROW(),COLUMN()))=TRUNC(INDIRECT(ADDRESS(ROW(),COLUMN())))</formula>
    </cfRule>
  </conditionalFormatting>
  <conditionalFormatting sqref="DQ32">
    <cfRule type="expression" dxfId="48" priority="45">
      <formula>INDIRECT(ADDRESS(ROW(),COLUMN()))=TRUNC(INDIRECT(ADDRESS(ROW(),COLUMN())))</formula>
    </cfRule>
  </conditionalFormatting>
  <conditionalFormatting sqref="DQ32">
    <cfRule type="expression" dxfId="47" priority="44">
      <formula>INDIRECT(ADDRESS(ROW(),COLUMN()))=TRUNC(INDIRECT(ADDRESS(ROW(),COLUMN())))</formula>
    </cfRule>
  </conditionalFormatting>
  <conditionalFormatting sqref="DM45:DY45">
    <cfRule type="expression" dxfId="46" priority="43">
      <formula>INDIRECT(ADDRESS(ROW(),COLUMN(UNMT0020_B_ROW_KBN)))&lt;&gt;2</formula>
    </cfRule>
  </conditionalFormatting>
  <conditionalFormatting sqref="DQ45">
    <cfRule type="expression" dxfId="45" priority="42">
      <formula>INDIRECT(ADDRESS(ROW(),COLUMN()))=TRUNC(INDIRECT(ADDRESS(ROW(),COLUMN())))</formula>
    </cfRule>
  </conditionalFormatting>
  <conditionalFormatting sqref="DN45">
    <cfRule type="expression" dxfId="44" priority="41">
      <formula>INDIRECT(ADDRESS(ROW(),COLUMN()))=TRUNC(INDIRECT(ADDRESS(ROW(),COLUMN())))</formula>
    </cfRule>
  </conditionalFormatting>
  <conditionalFormatting sqref="DP45">
    <cfRule type="expression" dxfId="43" priority="40">
      <formula>INDIRECT(ADDRESS(ROW(),COLUMN()))=TRUNC(INDIRECT(ADDRESS(ROW(),COLUMN())))</formula>
    </cfRule>
  </conditionalFormatting>
  <conditionalFormatting sqref="DS45">
    <cfRule type="expression" dxfId="42" priority="39">
      <formula>INDIRECT(ADDRESS(ROW(),COLUMN()))=TRUNC(INDIRECT(ADDRESS(ROW(),COLUMN())))</formula>
    </cfRule>
  </conditionalFormatting>
  <conditionalFormatting sqref="DS45:DU45">
    <cfRule type="expression" dxfId="41" priority="38">
      <formula>INDIRECT(ADDRESS(ROW(),COLUMN()))=TRUNC(INDIRECT(ADDRESS(ROW(),COLUMN())))</formula>
    </cfRule>
  </conditionalFormatting>
  <conditionalFormatting sqref="DW45">
    <cfRule type="expression" dxfId="40" priority="37">
      <formula>INDIRECT(ADDRESS(ROW(),COLUMN()))=TRUNC(INDIRECT(ADDRESS(ROW(),COLUMN())))</formula>
    </cfRule>
  </conditionalFormatting>
  <conditionalFormatting sqref="DQ45">
    <cfRule type="expression" dxfId="39" priority="36">
      <formula>INDIRECT(ADDRESS(ROW(),COLUMN()))=TRUNC(INDIRECT(ADDRESS(ROW(),COLUMN())))</formula>
    </cfRule>
  </conditionalFormatting>
  <conditionalFormatting sqref="DM47:DY47">
    <cfRule type="expression" dxfId="38" priority="35">
      <formula>INDIRECT(ADDRESS(ROW(),COLUMN(UNMT0020_B_ROW_KBN)))&lt;&gt;2</formula>
    </cfRule>
  </conditionalFormatting>
  <conditionalFormatting sqref="DQ47">
    <cfRule type="expression" dxfId="37" priority="34">
      <formula>INDIRECT(ADDRESS(ROW(),COLUMN()))=TRUNC(INDIRECT(ADDRESS(ROW(),COLUMN())))</formula>
    </cfRule>
  </conditionalFormatting>
  <conditionalFormatting sqref="DN47">
    <cfRule type="expression" dxfId="36" priority="33">
      <formula>INDIRECT(ADDRESS(ROW(),COLUMN()))=TRUNC(INDIRECT(ADDRESS(ROW(),COLUMN())))</formula>
    </cfRule>
  </conditionalFormatting>
  <conditionalFormatting sqref="DP47">
    <cfRule type="expression" dxfId="35" priority="32">
      <formula>INDIRECT(ADDRESS(ROW(),COLUMN()))=TRUNC(INDIRECT(ADDRESS(ROW(),COLUMN())))</formula>
    </cfRule>
  </conditionalFormatting>
  <conditionalFormatting sqref="DQ47">
    <cfRule type="expression" dxfId="34" priority="31">
      <formula>INDIRECT(ADDRESS(ROW(),COLUMN()))=TRUNC(INDIRECT(ADDRESS(ROW(),COLUMN())))</formula>
    </cfRule>
  </conditionalFormatting>
  <conditionalFormatting sqref="DQ47">
    <cfRule type="expression" dxfId="33" priority="30">
      <formula>INDIRECT(ADDRESS(ROW(),COLUMN()))=TRUNC(INDIRECT(ADDRESS(ROW(),COLUMN())))</formula>
    </cfRule>
  </conditionalFormatting>
  <conditionalFormatting sqref="DS47">
    <cfRule type="expression" dxfId="32" priority="29">
      <formula>INDIRECT(ADDRESS(ROW(),COLUMN()))=TRUNC(INDIRECT(ADDRESS(ROW(),COLUMN())))</formula>
    </cfRule>
  </conditionalFormatting>
  <conditionalFormatting sqref="DS47:DU47">
    <cfRule type="expression" dxfId="31" priority="28">
      <formula>INDIRECT(ADDRESS(ROW(),COLUMN()))=TRUNC(INDIRECT(ADDRESS(ROW(),COLUMN())))</formula>
    </cfRule>
  </conditionalFormatting>
  <conditionalFormatting sqref="DW47">
    <cfRule type="expression" dxfId="30" priority="27">
      <formula>INDIRECT(ADDRESS(ROW(),COLUMN()))=TRUNC(INDIRECT(ADDRESS(ROW(),COLUMN())))</formula>
    </cfRule>
  </conditionalFormatting>
  <conditionalFormatting sqref="DM49:DY49">
    <cfRule type="expression" dxfId="29" priority="26">
      <formula>INDIRECT(ADDRESS(ROW(),COLUMN(UNMT0020_B_ROW_KBN)))&lt;&gt;2</formula>
    </cfRule>
  </conditionalFormatting>
  <conditionalFormatting sqref="DP49">
    <cfRule type="expression" dxfId="28" priority="25">
      <formula>INDIRECT(ADDRESS(ROW(),COLUMN()))=TRUNC(INDIRECT(ADDRESS(ROW(),COLUMN())))</formula>
    </cfRule>
  </conditionalFormatting>
  <conditionalFormatting sqref="DQ49">
    <cfRule type="expression" dxfId="27" priority="24">
      <formula>INDIRECT(ADDRESS(ROW(),COLUMN()))=TRUNC(INDIRECT(ADDRESS(ROW(),COLUMN())))</formula>
    </cfRule>
  </conditionalFormatting>
  <conditionalFormatting sqref="DN49">
    <cfRule type="expression" dxfId="26" priority="23">
      <formula>INDIRECT(ADDRESS(ROW(),COLUMN()))=TRUNC(INDIRECT(ADDRESS(ROW(),COLUMN())))</formula>
    </cfRule>
  </conditionalFormatting>
  <conditionalFormatting sqref="DP49">
    <cfRule type="expression" dxfId="25" priority="22">
      <formula>INDIRECT(ADDRESS(ROW(),COLUMN()))=TRUNC(INDIRECT(ADDRESS(ROW(),COLUMN())))</formula>
    </cfRule>
  </conditionalFormatting>
  <conditionalFormatting sqref="DS49">
    <cfRule type="expression" dxfId="24" priority="21">
      <formula>INDIRECT(ADDRESS(ROW(),COLUMN()))=TRUNC(INDIRECT(ADDRESS(ROW(),COLUMN())))</formula>
    </cfRule>
  </conditionalFormatting>
  <conditionalFormatting sqref="DS49:DU49">
    <cfRule type="expression" dxfId="23" priority="20">
      <formula>INDIRECT(ADDRESS(ROW(),COLUMN()))=TRUNC(INDIRECT(ADDRESS(ROW(),COLUMN())))</formula>
    </cfRule>
  </conditionalFormatting>
  <conditionalFormatting sqref="DW49">
    <cfRule type="expression" dxfId="22" priority="19">
      <formula>INDIRECT(ADDRESS(ROW(),COLUMN()))=TRUNC(INDIRECT(ADDRESS(ROW(),COLUMN())))</formula>
    </cfRule>
  </conditionalFormatting>
  <conditionalFormatting sqref="DQ49">
    <cfRule type="expression" dxfId="21" priority="18">
      <formula>INDIRECT(ADDRESS(ROW(),COLUMN()))=TRUNC(INDIRECT(ADDRESS(ROW(),COLUMN())))</formula>
    </cfRule>
  </conditionalFormatting>
  <conditionalFormatting sqref="DQ49">
    <cfRule type="expression" dxfId="20" priority="17">
      <formula>INDIRECT(ADDRESS(ROW(),COLUMN()))=TRUNC(INDIRECT(ADDRESS(ROW(),COLUMN())))</formula>
    </cfRule>
  </conditionalFormatting>
  <conditionalFormatting sqref="DQ30">
    <cfRule type="expression" dxfId="19" priority="16">
      <formula>INDIRECT(ADDRESS(ROW(),COLUMN(UNMT0020_B_ROW_KBN)))&lt;&gt;2</formula>
    </cfRule>
  </conditionalFormatting>
  <conditionalFormatting sqref="DQ30">
    <cfRule type="expression" dxfId="18" priority="15">
      <formula>INDIRECT(ADDRESS(ROW(),COLUMN()))=TRUNC(INDIRECT(ADDRESS(ROW(),COLUMN())))</formula>
    </cfRule>
  </conditionalFormatting>
  <conditionalFormatting sqref="DQ30">
    <cfRule type="expression" dxfId="17" priority="14">
      <formula>INDIRECT(ADDRESS(ROW(),COLUMN()))=TRUNC(INDIRECT(ADDRESS(ROW(),COLUMN())))</formula>
    </cfRule>
  </conditionalFormatting>
  <conditionalFormatting sqref="DQ30">
    <cfRule type="expression" dxfId="16" priority="13">
      <formula>INDIRECT(ADDRESS(ROW(),COLUMN()))=TRUNC(INDIRECT(ADDRESS(ROW(),COLUMN())))</formula>
    </cfRule>
  </conditionalFormatting>
  <conditionalFormatting sqref="DM22">
    <cfRule type="expression" dxfId="15" priority="12">
      <formula>INDIRECT(ADDRESS(ROW(),COLUMN(UNMT0020_B_ROW_KBN)))&lt;&gt;2</formula>
    </cfRule>
  </conditionalFormatting>
  <conditionalFormatting sqref="DM39">
    <cfRule type="expression" dxfId="14" priority="11">
      <formula>INDIRECT(ADDRESS(ROW(),COLUMN(UNMT0020_B_ROW_KBN)))&lt;&gt;2</formula>
    </cfRule>
  </conditionalFormatting>
  <conditionalFormatting sqref="DP8">
    <cfRule type="expression" dxfId="13" priority="10">
      <formula>INDIRECT(ADDRESS(ROW(),COLUMN()))=TRUNC(INDIRECT(ADDRESS(ROW(),COLUMN())))</formula>
    </cfRule>
  </conditionalFormatting>
  <conditionalFormatting sqref="DP15">
    <cfRule type="expression" dxfId="12" priority="9">
      <formula>INDIRECT(ADDRESS(ROW(),COLUMN()))=TRUNC(INDIRECT(ADDRESS(ROW(),COLUMN())))</formula>
    </cfRule>
  </conditionalFormatting>
  <conditionalFormatting sqref="DP22">
    <cfRule type="expression" dxfId="11" priority="7">
      <formula>INDIRECT(ADDRESS(ROW(),COLUMN(UNMT0020_B_ROW_KBN)))&lt;&gt;2</formula>
    </cfRule>
  </conditionalFormatting>
  <conditionalFormatting sqref="DP22">
    <cfRule type="expression" dxfId="10" priority="8">
      <formula>INDIRECT(ADDRESS(ROW(),COLUMN()))=TRUNC(INDIRECT(ADDRESS(ROW(),COLUMN())))</formula>
    </cfRule>
  </conditionalFormatting>
  <conditionalFormatting sqref="DP25">
    <cfRule type="expression" dxfId="9" priority="6">
      <formula>INDIRECT(ADDRESS(ROW(),COLUMN()))=TRUNC(INDIRECT(ADDRESS(ROW(),COLUMN())))</formula>
    </cfRule>
  </conditionalFormatting>
  <conditionalFormatting sqref="DP32">
    <cfRule type="expression" dxfId="8" priority="4">
      <formula>INDIRECT(ADDRESS(ROW(),COLUMN(UNMT0020_B_ROW_KBN)))&lt;&gt;2</formula>
    </cfRule>
  </conditionalFormatting>
  <conditionalFormatting sqref="DP32">
    <cfRule type="expression" dxfId="7" priority="5">
      <formula>INDIRECT(ADDRESS(ROW(),COLUMN()))=TRUNC(INDIRECT(ADDRESS(ROW(),COLUMN())))</formula>
    </cfRule>
  </conditionalFormatting>
  <conditionalFormatting sqref="DV22">
    <cfRule type="expression" dxfId="6" priority="3">
      <formula>INDIRECT(ADDRESS(ROW(),COLUMN(UNMT0020_B_ROW_KBN)))&lt;&gt;2</formula>
    </cfRule>
  </conditionalFormatting>
  <conditionalFormatting sqref="DV39">
    <cfRule type="expression" dxfId="5" priority="2">
      <formula>INDIRECT(ADDRESS(ROW(),COLUMN(UNMT0020_B_ROW_KBN)))&lt;&gt;2</formula>
    </cfRule>
  </conditionalFormatting>
  <conditionalFormatting sqref="EM39 EO39:EP39">
    <cfRule type="expression" dxfId="4" priority="1">
      <formula>INDIRECT(ADDRESS(ROW(),COLUMN()))=TRUNC(INDIRECT(ADDRESS(ROW(),COLUMN())))</formula>
    </cfRule>
  </conditionalFormatting>
  <dataValidations count="15">
    <dataValidation type="custom" allowBlank="1" showInputMessage="1" showErrorMessage="1" sqref="DB21:DC22 CT21:CU22 DB55:DC56 CT55:CU56 CT38:CU39 DB72:DC73 CT72:CU73 DB38:DC39 CT106:CU107 DB89:DC90 CT89:CU90 DB106:DC107">
      <formula1>LENB(CT21)&lt;=40</formula1>
    </dataValidation>
    <dataValidation type="date" operator="greaterThanOrEqual" allowBlank="1" showInputMessage="1" showErrorMessage="1" sqref="CT11 CT45 CT28 CT62 CT96 CT79">
      <formula1>1</formula1>
    </dataValidation>
    <dataValidation type="custom" allowBlank="1" showInputMessage="1" showErrorMessage="1" sqref="CT16:CU17 CT33:CU34 CT50:CU51 CT67:CU68 CT84:CU85 CT101:CU102">
      <formula1>LENB(CT15)&lt;=40</formula1>
    </dataValidation>
    <dataValidation type="custom" allowBlank="1" showInputMessage="1" showErrorMessage="1" sqref="DM49 DR47 DR49 DM47 DR45 DM45 DM32 DR13 DM15 DR30 DM30 DR8 DM11 DR22 DR32 DR39 DM28 DR11 DM13 DR5 DM35 DM18 DR28 DR15">
      <formula1>LENB(DM5)&lt;=50</formula1>
    </dataValidation>
    <dataValidation type="custom" allowBlank="1" showInputMessage="1" showErrorMessage="1" sqref="CT14 CT48 CT31 CT65 CT99 CT82">
      <formula1>AND(LEN(CT14)=LENB(CT14),LEN(CT14)&lt;=10)</formula1>
    </dataValidation>
    <dataValidation type="custom" allowBlank="1" showInputMessage="1" showErrorMessage="1" sqref="DB14:DE15 DB48:DE49 DB31:DE32 DB65:DE66 DB99:DE100 DB82:DE83">
      <formula1>LENB(DB14)&lt;=100</formula1>
    </dataValidation>
    <dataValidation type="list" allowBlank="1" showInputMessage="1" showErrorMessage="1" sqref="CW11:CX11 CW45:CX45 CW28:CX28 CW62:CX62 CW96:CX96 CW79:CX79">
      <formula1>UNMT0020_IF_LIST_STS</formula1>
    </dataValidation>
    <dataValidation type="custom" allowBlank="1" showInputMessage="1" showErrorMessage="1" sqref="DO5 DO22 DO39 DO8">
      <formula1>LENB(DO5)&lt;=10</formula1>
    </dataValidation>
    <dataValidation type="custom" allowBlank="1" showInputMessage="1" showErrorMessage="1" sqref="DN5 DN22 DN39 DN18 DN35 DN52 DN8 DN11 DN13 DN15 DN28 DN30 DN32 DN45 DN47 DN49">
      <formula1>AND(NOT(ISERROR(INT(DN5))),ROUND(DN5,2)=DN5,AND(DN5&lt;100000,DN5&gt;-100000))</formula1>
    </dataValidation>
    <dataValidation type="custom" allowBlank="1" showInputMessage="1" showErrorMessage="1" sqref="DT49 DT5 DT47 DT45 DT22 DT30 DP39 DT39 DP47 DP18 DT18 DP35 DT35 DP52 DT52 DP49 DT8 DP11 DP13 DT11 DT13 DT15 DP28 DT28 DP30 DP45 DT32">
      <formula1>AND(NOT(ISERROR(INT(DP5))),ROUND(DP5,2)=DP5,AND(DP5&lt;10000000,DP5&gt;-10000000))</formula1>
    </dataValidation>
    <dataValidation type="custom" allowBlank="1" showInputMessage="1" showErrorMessage="1" sqref="DQ13 DQ47 DQ30">
      <formula1>AND(NOT(ISERROR(INT(DQ13))),ROUND(DQ13,2)=DQ13,AND(DQ13&lt;1000000000,DQ13&gt;-1000000000))</formula1>
    </dataValidation>
    <dataValidation type="list" allowBlank="1" showInputMessage="1" sqref="CX16:CX17 CX33:CX34 CX50:CX51 CX67:CX68 CX84:CX85 CX101:CX102">
      <formula1>UNMT0020_IF_LIST_KEISHO</formula1>
    </dataValidation>
    <dataValidation type="custom" allowBlank="1" showInputMessage="1" showErrorMessage="1" sqref="CT15:CX15 CT32:CX32 CT66:CX66 CT49:CX49 CT83:CX83 CT100:CX100 DM5 DM22 DM39">
      <formula1>LEN(CT5)&lt;=50</formula1>
    </dataValidation>
    <dataValidation type="custom" allowBlank="1" showInputMessage="1" showErrorMessage="1" sqref="DP5 DP8 DP15 DP22 DP25 DP32">
      <formula1>AND(NOT(ISERROR(INT(DP5))),ROUND(DP5,2)=DP5,AND(DP5&lt;100000000,DP5&gt;-100000000))</formula1>
    </dataValidation>
    <dataValidation type="textLength" operator="lessThanOrEqual" allowBlank="1" showInputMessage="1" showErrorMessage="1" sqref="DM8 DM25 DM42">
      <formula1>50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11" r:id="rId4" name="Group Box 3">
              <controlPr defaultSize="0" autoFill="0" autoPict="0">
                <anchor moveWithCells="1">
                  <from>
                    <xdr:col>107</xdr:col>
                    <xdr:colOff>866775</xdr:colOff>
                    <xdr:row>9</xdr:row>
                    <xdr:rowOff>114300</xdr:rowOff>
                  </from>
                  <to>
                    <xdr:col>109</xdr:col>
                    <xdr:colOff>390525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4" r:id="rId5" name="Group Box 6">
              <controlPr defaultSize="0" autoFill="0" autoPict="0">
                <anchor moveWithCells="1">
                  <from>
                    <xdr:col>107</xdr:col>
                    <xdr:colOff>866775</xdr:colOff>
                    <xdr:row>9</xdr:row>
                    <xdr:rowOff>114300</xdr:rowOff>
                  </from>
                  <to>
                    <xdr:col>109</xdr:col>
                    <xdr:colOff>390525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0" r:id="rId6" name="Group Box 12">
              <controlPr defaultSize="0" autoFill="0" autoPict="0">
                <anchor moveWithCells="1">
                  <from>
                    <xdr:col>107</xdr:col>
                    <xdr:colOff>866775</xdr:colOff>
                    <xdr:row>26</xdr:row>
                    <xdr:rowOff>114300</xdr:rowOff>
                  </from>
                  <to>
                    <xdr:col>109</xdr:col>
                    <xdr:colOff>390525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1" r:id="rId7" name="Group Box 13">
              <controlPr defaultSize="0" autoFill="0" autoPict="0">
                <anchor moveWithCells="1">
                  <from>
                    <xdr:col>107</xdr:col>
                    <xdr:colOff>866775</xdr:colOff>
                    <xdr:row>26</xdr:row>
                    <xdr:rowOff>114300</xdr:rowOff>
                  </from>
                  <to>
                    <xdr:col>109</xdr:col>
                    <xdr:colOff>390525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3" r:id="rId8" name="Group Box 15">
              <controlPr defaultSize="0" autoFill="0" autoPict="0">
                <anchor moveWithCells="1">
                  <from>
                    <xdr:col>107</xdr:col>
                    <xdr:colOff>866775</xdr:colOff>
                    <xdr:row>43</xdr:row>
                    <xdr:rowOff>114300</xdr:rowOff>
                  </from>
                  <to>
                    <xdr:col>109</xdr:col>
                    <xdr:colOff>390525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4" r:id="rId9" name="Group Box 16">
              <controlPr defaultSize="0" autoFill="0" autoPict="0">
                <anchor moveWithCells="1">
                  <from>
                    <xdr:col>107</xdr:col>
                    <xdr:colOff>866775</xdr:colOff>
                    <xdr:row>43</xdr:row>
                    <xdr:rowOff>114300</xdr:rowOff>
                  </from>
                  <to>
                    <xdr:col>109</xdr:col>
                    <xdr:colOff>390525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5" r:id="rId10" name="Group Box 17">
              <controlPr defaultSize="0" autoFill="0" autoPict="0">
                <anchor moveWithCells="1">
                  <from>
                    <xdr:col>107</xdr:col>
                    <xdr:colOff>866775</xdr:colOff>
                    <xdr:row>26</xdr:row>
                    <xdr:rowOff>114300</xdr:rowOff>
                  </from>
                  <to>
                    <xdr:col>109</xdr:col>
                    <xdr:colOff>390525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6" r:id="rId11" name="Group Box 18">
              <controlPr defaultSize="0" autoFill="0" autoPict="0">
                <anchor moveWithCells="1">
                  <from>
                    <xdr:col>107</xdr:col>
                    <xdr:colOff>866775</xdr:colOff>
                    <xdr:row>26</xdr:row>
                    <xdr:rowOff>114300</xdr:rowOff>
                  </from>
                  <to>
                    <xdr:col>109</xdr:col>
                    <xdr:colOff>390525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7" r:id="rId12" name="Group Box 19">
              <controlPr defaultSize="0" autoFill="0" autoPict="0">
                <anchor moveWithCells="1">
                  <from>
                    <xdr:col>107</xdr:col>
                    <xdr:colOff>866775</xdr:colOff>
                    <xdr:row>60</xdr:row>
                    <xdr:rowOff>114300</xdr:rowOff>
                  </from>
                  <to>
                    <xdr:col>109</xdr:col>
                    <xdr:colOff>390525</xdr:colOff>
                    <xdr:row>62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8" r:id="rId13" name="Group Box 20">
              <controlPr defaultSize="0" autoFill="0" autoPict="0">
                <anchor moveWithCells="1">
                  <from>
                    <xdr:col>107</xdr:col>
                    <xdr:colOff>866775</xdr:colOff>
                    <xdr:row>60</xdr:row>
                    <xdr:rowOff>114300</xdr:rowOff>
                  </from>
                  <to>
                    <xdr:col>109</xdr:col>
                    <xdr:colOff>390525</xdr:colOff>
                    <xdr:row>62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9" r:id="rId14" name="Group Box 21">
              <controlPr defaultSize="0" autoFill="0" autoPict="0">
                <anchor moveWithCells="1">
                  <from>
                    <xdr:col>107</xdr:col>
                    <xdr:colOff>866775</xdr:colOff>
                    <xdr:row>77</xdr:row>
                    <xdr:rowOff>114300</xdr:rowOff>
                  </from>
                  <to>
                    <xdr:col>109</xdr:col>
                    <xdr:colOff>390525</xdr:colOff>
                    <xdr:row>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0" r:id="rId15" name="Group Box 22">
              <controlPr defaultSize="0" autoFill="0" autoPict="0">
                <anchor moveWithCells="1">
                  <from>
                    <xdr:col>107</xdr:col>
                    <xdr:colOff>866775</xdr:colOff>
                    <xdr:row>77</xdr:row>
                    <xdr:rowOff>114300</xdr:rowOff>
                  </from>
                  <to>
                    <xdr:col>109</xdr:col>
                    <xdr:colOff>390525</xdr:colOff>
                    <xdr:row>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1" r:id="rId16" name="Group Box 23">
              <controlPr defaultSize="0" autoFill="0" autoPict="0">
                <anchor moveWithCells="1">
                  <from>
                    <xdr:col>107</xdr:col>
                    <xdr:colOff>866775</xdr:colOff>
                    <xdr:row>94</xdr:row>
                    <xdr:rowOff>114300</xdr:rowOff>
                  </from>
                  <to>
                    <xdr:col>109</xdr:col>
                    <xdr:colOff>390525</xdr:colOff>
                    <xdr:row>96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2" r:id="rId17" name="Group Box 24">
              <controlPr defaultSize="0" autoFill="0" autoPict="0">
                <anchor moveWithCells="1">
                  <from>
                    <xdr:col>107</xdr:col>
                    <xdr:colOff>866775</xdr:colOff>
                    <xdr:row>94</xdr:row>
                    <xdr:rowOff>114300</xdr:rowOff>
                  </from>
                  <to>
                    <xdr:col>109</xdr:col>
                    <xdr:colOff>390525</xdr:colOff>
                    <xdr:row>96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3" r:id="rId18" name="Group Box 25">
              <controlPr defaultSize="0" autoFill="0" autoPict="0">
                <anchor moveWithCells="1">
                  <from>
                    <xdr:col>107</xdr:col>
                    <xdr:colOff>866775</xdr:colOff>
                    <xdr:row>77</xdr:row>
                    <xdr:rowOff>114300</xdr:rowOff>
                  </from>
                  <to>
                    <xdr:col>109</xdr:col>
                    <xdr:colOff>390525</xdr:colOff>
                    <xdr:row>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4" r:id="rId19" name="Group Box 26">
              <controlPr defaultSize="0" autoFill="0" autoPict="0">
                <anchor moveWithCells="1">
                  <from>
                    <xdr:col>107</xdr:col>
                    <xdr:colOff>866775</xdr:colOff>
                    <xdr:row>77</xdr:row>
                    <xdr:rowOff>114300</xdr:rowOff>
                  </from>
                  <to>
                    <xdr:col>109</xdr:col>
                    <xdr:colOff>390525</xdr:colOff>
                    <xdr:row>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5" r:id="rId20" name="Group Box 27">
              <controlPr defaultSize="0" autoFill="0" autoPict="0">
                <anchor moveWithCells="1">
                  <from>
                    <xdr:col>107</xdr:col>
                    <xdr:colOff>866775</xdr:colOff>
                    <xdr:row>77</xdr:row>
                    <xdr:rowOff>114300</xdr:rowOff>
                  </from>
                  <to>
                    <xdr:col>109</xdr:col>
                    <xdr:colOff>390525</xdr:colOff>
                    <xdr:row>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6" r:id="rId21" name="Group Box 28">
              <controlPr defaultSize="0" autoFill="0" autoPict="0">
                <anchor moveWithCells="1">
                  <from>
                    <xdr:col>107</xdr:col>
                    <xdr:colOff>866775</xdr:colOff>
                    <xdr:row>77</xdr:row>
                    <xdr:rowOff>114300</xdr:rowOff>
                  </from>
                  <to>
                    <xdr:col>109</xdr:col>
                    <xdr:colOff>390525</xdr:colOff>
                    <xdr:row>79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92"/>
  <sheetViews>
    <sheetView topLeftCell="A42" zoomScaleNormal="100" workbookViewId="0">
      <selection activeCell="D67" sqref="D67"/>
    </sheetView>
  </sheetViews>
  <sheetFormatPr defaultRowHeight="13.5"/>
  <cols>
    <col min="1" max="1" width="9" style="34"/>
    <col min="2" max="2" width="28.125" style="34" bestFit="1" customWidth="1"/>
    <col min="3" max="3" width="38.25" style="34" bestFit="1" customWidth="1"/>
    <col min="4" max="4" width="64.375" style="34" customWidth="1"/>
    <col min="5" max="16384" width="9" style="34"/>
  </cols>
  <sheetData>
    <row r="1" spans="2:5">
      <c r="C1" s="34" t="s">
        <v>166</v>
      </c>
      <c r="D1" s="34">
        <f>UNMT0020_IF_MITSU_NO</f>
        <v>0</v>
      </c>
    </row>
    <row r="2" spans="2:5" s="132" customFormat="1">
      <c r="C2" s="132" t="s">
        <v>763</v>
      </c>
      <c r="D2" s="132">
        <f>UNMT0020_IF_RIREKI_NO</f>
        <v>0</v>
      </c>
    </row>
    <row r="4" spans="2:5" ht="14.25" customHeight="1">
      <c r="B4" s="32" t="s">
        <v>162</v>
      </c>
      <c r="C4" s="33" t="s">
        <v>164</v>
      </c>
      <c r="D4" s="35" t="str">
        <f>IF(AND(UNMT0020_IF_MODE=1,UNMT0020_IF_SANSHO_FLG=1),D7&amp;D8,D5&amp;D6)</f>
        <v>SELECT *
  FROM V_MITSU_SHOSAI_H
 WHERE V_MITSU_SHOSAI_H.MITSU_NO = '0'</v>
      </c>
      <c r="E4" s="34" t="s">
        <v>499</v>
      </c>
    </row>
    <row r="5" spans="2:5" ht="14.25" customHeight="1">
      <c r="C5" s="33" t="s">
        <v>167</v>
      </c>
      <c r="D5" s="36" t="s">
        <v>400</v>
      </c>
    </row>
    <row r="6" spans="2:5" ht="14.25" customHeight="1">
      <c r="C6" s="33" t="s">
        <v>168</v>
      </c>
      <c r="D6" s="34" t="str">
        <f>"
 WHERE V_MITSU_SHOSAI_H.MITSU_NO = '"&amp;D1&amp;"'"</f>
        <v xml:space="preserve">
 WHERE V_MITSU_SHOSAI_H.MITSU_NO = '0'</v>
      </c>
    </row>
    <row r="7" spans="2:5" ht="14.25" customHeight="1">
      <c r="B7" s="32"/>
      <c r="C7" s="33" t="s">
        <v>397</v>
      </c>
      <c r="D7" s="36" t="s">
        <v>402</v>
      </c>
    </row>
    <row r="8" spans="2:5" ht="14.25" customHeight="1">
      <c r="C8" s="33" t="s">
        <v>403</v>
      </c>
      <c r="D8" s="34" t="str">
        <f>"
 WHERE V_MITSU_SHOSAI_H_SANSHO.REF_MITSU_NO = '"&amp;D1&amp;"'"</f>
        <v xml:space="preserve">
 WHERE V_MITSU_SHOSAI_H_SANSHO.REF_MITSU_NO = '0'</v>
      </c>
    </row>
    <row r="9" spans="2:5" ht="14.25" customHeight="1"/>
    <row r="10" spans="2:5" ht="14.25" customHeight="1"/>
    <row r="11" spans="2:5" ht="14.25" customHeight="1"/>
    <row r="12" spans="2:5" ht="14.25" customHeight="1"/>
    <row r="13" spans="2:5" ht="14.25" customHeight="1">
      <c r="B13" s="32" t="s">
        <v>163</v>
      </c>
      <c r="C13" s="33" t="s">
        <v>351</v>
      </c>
      <c r="D13" s="35" t="str">
        <f>IF(AND(UNMT0020_IF_MODE=1,UNMT0020_IF_SANSHO_FLG=1),D17&amp;D18&amp;D19,D14&amp;D15&amp;D16)</f>
        <v xml:space="preserve">SELECT *
  FROM V_MITSU_SHOSAI_B
 WHERE V_MITSU_SHOSAI_B.MITSU_NO = '0'
 ORDER BY
       V_MITSU_SHOSAI_B.GYO_NO ASC
</v>
      </c>
    </row>
    <row r="14" spans="2:5" ht="14.25" customHeight="1">
      <c r="C14" s="34" t="s">
        <v>167</v>
      </c>
      <c r="D14" s="36" t="s">
        <v>401</v>
      </c>
    </row>
    <row r="15" spans="2:5" ht="14.25" customHeight="1">
      <c r="C15" s="33" t="s">
        <v>168</v>
      </c>
      <c r="D15" s="34" t="str">
        <f>"
 WHERE V_MITSU_SHOSAI_B.MITSU_NO = '"&amp;D1&amp;"'
"</f>
        <v xml:space="preserve">
 WHERE V_MITSU_SHOSAI_B.MITSU_NO = '0'
</v>
      </c>
    </row>
    <row r="16" spans="2:5" ht="14.25" customHeight="1">
      <c r="C16" s="34" t="s">
        <v>169</v>
      </c>
      <c r="D16" s="36" t="s">
        <v>849</v>
      </c>
    </row>
    <row r="17" spans="2:5" s="132" customFormat="1" ht="14.25" customHeight="1">
      <c r="C17" s="132" t="s">
        <v>1025</v>
      </c>
      <c r="D17" s="36" t="s">
        <v>1027</v>
      </c>
    </row>
    <row r="18" spans="2:5" s="132" customFormat="1" ht="14.25" customHeight="1">
      <c r="C18" s="130" t="s">
        <v>1026</v>
      </c>
      <c r="D18" s="132" t="str">
        <f>"
 WHERE V_MITSU_SHOSAI_B_SANSHO.MITSU_NO = '"&amp;D1&amp;"'
"</f>
        <v xml:space="preserve">
 WHERE V_MITSU_SHOSAI_B_SANSHO.MITSU_NO = '0'
</v>
      </c>
    </row>
    <row r="19" spans="2:5" ht="14.25" customHeight="1">
      <c r="C19" s="132" t="s">
        <v>1029</v>
      </c>
      <c r="D19" s="36" t="s">
        <v>1030</v>
      </c>
    </row>
    <row r="20" spans="2:5" ht="14.25" customHeight="1"/>
    <row r="21" spans="2:5" ht="14.25" customHeight="1">
      <c r="C21" s="33"/>
    </row>
    <row r="22" spans="2:5" s="132" customFormat="1" ht="14.25" customHeight="1">
      <c r="C22" s="130"/>
    </row>
    <row r="23" spans="2:5" s="132" customFormat="1" ht="14.25" customHeight="1">
      <c r="B23" s="32" t="s">
        <v>730</v>
      </c>
      <c r="C23" s="130" t="s">
        <v>732</v>
      </c>
      <c r="D23" s="35" t="str">
        <f>IF(AND(UNMT0020_IF_MODE=1,UNMT0020_IF_SANSHO_FLG=1),D26&amp;D27,D24&amp;D25)</f>
        <v>SELECT *
  FROM V_MITSU_SHOSAI_H_R
 WHERE V_MITSU_SHOSAI_H_R.MITSU_NO = '0'
   AND V_MITSU_SHOSAI_H_R.RIREKI_NO = '0'</v>
      </c>
      <c r="E23" s="132" t="s">
        <v>499</v>
      </c>
    </row>
    <row r="24" spans="2:5" s="132" customFormat="1" ht="14.25" customHeight="1">
      <c r="C24" s="130" t="s">
        <v>167</v>
      </c>
      <c r="D24" s="36" t="s">
        <v>734</v>
      </c>
    </row>
    <row r="25" spans="2:5" s="132" customFormat="1" ht="14.25" customHeight="1">
      <c r="C25" s="130" t="s">
        <v>168</v>
      </c>
      <c r="D25" s="132" t="str">
        <f>"
 WHERE V_MITSU_SHOSAI_H_R.MITSU_NO = '"&amp;$D$1&amp;"'
   AND V_MITSU_SHOSAI_H_R.RIREKI_NO = '" &amp; $D$2 &amp;"'"</f>
        <v xml:space="preserve">
 WHERE V_MITSU_SHOSAI_H_R.MITSU_NO = '0'
   AND V_MITSU_SHOSAI_H_R.RIREKI_NO = '0'</v>
      </c>
    </row>
    <row r="26" spans="2:5" s="132" customFormat="1" ht="14.25" customHeight="1">
      <c r="B26" s="32"/>
      <c r="C26" s="130" t="s">
        <v>397</v>
      </c>
      <c r="D26" s="36" t="s">
        <v>766</v>
      </c>
    </row>
    <row r="27" spans="2:5" s="132" customFormat="1" ht="14.25" customHeight="1">
      <c r="C27" s="130" t="s">
        <v>403</v>
      </c>
      <c r="D27" s="132" t="str">
        <f>"
 WHERE V_MITSU_SHOSAI_H_R_SANSHO.REF_MITSU_NO = '"&amp;$D$1&amp;"'
   AND V_MITSU_SHOSAI_H_R_SANSHO.RIREKI_NO = '"&amp;$D$2 &amp;"'
"</f>
        <v xml:space="preserve">
 WHERE V_MITSU_SHOSAI_H_R_SANSHO.REF_MITSU_NO = '0'
   AND V_MITSU_SHOSAI_H_R_SANSHO.RIREKI_NO = '0'
</v>
      </c>
    </row>
    <row r="28" spans="2:5" s="132" customFormat="1" ht="14.25" customHeight="1"/>
    <row r="29" spans="2:5" s="132" customFormat="1" ht="14.25" customHeight="1"/>
    <row r="30" spans="2:5" s="132" customFormat="1" ht="14.25" customHeight="1"/>
    <row r="31" spans="2:5" s="132" customFormat="1" ht="14.25" customHeight="1"/>
    <row r="32" spans="2:5" s="132" customFormat="1" ht="14.25" customHeight="1">
      <c r="B32" s="32" t="s">
        <v>731</v>
      </c>
      <c r="C32" s="130" t="s">
        <v>733</v>
      </c>
      <c r="D32" s="35" t="str">
        <f>IF(AND(UNMT0020_IF_MODE=1,UNMT0020_IF_SANSHO_FLG=1),D36&amp;D37&amp;D38,D33&amp;D34&amp;D35)</f>
        <v xml:space="preserve">SELECT *
  FROM V_MITSU_SHOSAI_B_R
 WHERE V_MITSU_SHOSAI_B_R.MITSU_NO = '0'
   AND V_MITSU_SHOSAI_B_R.RIREKI_NO ='0'
 ORDER BY
       V_MITSU_SHOSAI_B_R.GYO_NO ASC
</v>
      </c>
    </row>
    <row r="33" spans="2:4" s="132" customFormat="1" ht="14.25" customHeight="1">
      <c r="C33" s="132" t="s">
        <v>167</v>
      </c>
      <c r="D33" s="36" t="s">
        <v>735</v>
      </c>
    </row>
    <row r="34" spans="2:4" s="132" customFormat="1" ht="14.25" customHeight="1">
      <c r="C34" s="130" t="s">
        <v>168</v>
      </c>
      <c r="D34" s="132" t="str">
        <f>"
 WHERE V_MITSU_SHOSAI_B_R.MITSU_NO = '"&amp;$D$1&amp;"'
   AND V_MITSU_SHOSAI_B_R.RIREKI_NO ='" &amp;$D$2&amp;"'"</f>
        <v xml:space="preserve">
 WHERE V_MITSU_SHOSAI_B_R.MITSU_NO = '0'
   AND V_MITSU_SHOSAI_B_R.RIREKI_NO ='0'</v>
      </c>
    </row>
    <row r="35" spans="2:4" s="132" customFormat="1" ht="14.25" customHeight="1">
      <c r="C35" s="132" t="s">
        <v>169</v>
      </c>
      <c r="D35" s="36" t="s">
        <v>848</v>
      </c>
    </row>
    <row r="36" spans="2:4" s="132" customFormat="1" ht="14.25" customHeight="1">
      <c r="C36" s="130" t="s">
        <v>397</v>
      </c>
      <c r="D36" s="36" t="s">
        <v>1028</v>
      </c>
    </row>
    <row r="37" spans="2:4" s="132" customFormat="1" ht="14.25" customHeight="1">
      <c r="C37" s="130" t="s">
        <v>403</v>
      </c>
      <c r="D37" s="132" t="str">
        <f>"
 WHERE V_MITSU_SHOSAI_B_R_SANSHO.MITSU_NO = '"&amp;$D$1&amp;"'
   AND V_MITSU_SHOSAI_B_R_SANSHO.RIREKI_NO ='" &amp;$D$2&amp;"'"</f>
        <v xml:space="preserve">
 WHERE V_MITSU_SHOSAI_B_R_SANSHO.MITSU_NO = '0'
   AND V_MITSU_SHOSAI_B_R_SANSHO.RIREKI_NO ='0'</v>
      </c>
    </row>
    <row r="38" spans="2:4" s="132" customFormat="1" ht="14.25" customHeight="1">
      <c r="C38" s="132" t="s">
        <v>1029</v>
      </c>
      <c r="D38" s="36" t="s">
        <v>1031</v>
      </c>
    </row>
    <row r="39" spans="2:4" s="132" customFormat="1" ht="14.25" customHeight="1">
      <c r="C39" s="130"/>
    </row>
    <row r="40" spans="2:4" s="132" customFormat="1" ht="14.25" customHeight="1">
      <c r="C40" s="130"/>
    </row>
    <row r="41" spans="2:4" s="132" customFormat="1" ht="14.25" customHeight="1">
      <c r="C41" s="130"/>
    </row>
    <row r="42" spans="2:4" ht="14.25" customHeight="1">
      <c r="C42" s="33"/>
    </row>
    <row r="43" spans="2:4" ht="14.25" customHeight="1">
      <c r="B43" s="32" t="s">
        <v>407</v>
      </c>
      <c r="C43" s="33" t="s">
        <v>408</v>
      </c>
      <c r="D43" s="69" t="s">
        <v>842</v>
      </c>
    </row>
    <row r="44" spans="2:4" ht="14.25" customHeight="1">
      <c r="C44" s="33"/>
    </row>
    <row r="45" spans="2:4" ht="14.25" customHeight="1">
      <c r="B45" s="32" t="s">
        <v>435</v>
      </c>
      <c r="C45" s="33" t="s">
        <v>436</v>
      </c>
      <c r="D45" s="69" t="str">
        <f ca="1">IF(UNMT0020_H_MITSUMORI_DATE="",
"SELECT CASE
       WHEN M_CONTROL.TAX_1_DATE &gt; M_CONTROL.TAX_2_DATE THEN
            CASE
            WHEN M_CONTROL.TAX_1_DATE &gt; CONVERT(VARCHAR(10), GETDATE(),111) THEN"&amp;"
                 M_CONTROL.TAX_2
            ELSE
                 M_CONTROL.TAX_1
            END"&amp;"
       ELSE
            CASE
            WHEN M_CONTROL.TAX_2_DATE &gt; CONVERT(VARCHAR(10), GETDATE(),111) THEN"&amp;"
                 M_CONTROL.TAX_1
            ELSE
                 M_CONTROL.TAX_2
            END
       END
  FROM M_CONTROL
 WHERE M_CONTROL.CTRL_KEY = 1",
"SELECT CASE
       WHEN M_CONTROL.TAX_1_DATE &gt; M_CONTROL.TAX_2_DATE THEN
            CASE
            WHEN M_CONTROL.TAX_1_DATE &gt; CONVERT(VARCHAR(10), '"&amp;TEXT(UNMT0020_H_MITSUMORI_DATE,"YYYY/MM/DD")&amp;"',111) THEN
                 M_CONTROL.TAX_2
            ELSE
                 M_CONTROL.TAX_1
            END"&amp;"
       ELSE
            CASE
            WHEN M_CONTROL.TAX_2_DATE &gt; CONVERT(VARCHAR(10), '"&amp;TEXT(UNMT0020_H_MITSUMORI_DATE,"YYYY/MM/DD")&amp;"',111) THEN
                 M_CONTROL.TAX_1
            ELSE
                 M_CONTROL.TAX_2
            END
       END
  FROM M_CONTROL
 WHERE M_CONTROL.CTRL_KEY = 1")</f>
        <v>SELECT CASE
       WHEN M_CONTROL.TAX_1_DATE &gt; M_CONTROL.TAX_2_DATE THEN
            CASE
            WHEN M_CONTROL.TAX_1_DATE &gt; CONVERT(VARCHAR(10), '2017/09/27',111) THEN
                 M_CONTROL.TAX_2
            ELSE
                 M_CONTROL.TAX_1
            END
       ELSE
            CASE
            WHEN M_CONTROL.TAX_2_DATE &gt; CONVERT(VARCHAR(10), '2017/09/27',111) THEN
                 M_CONTROL.TAX_1
            ELSE
                 M_CONTROL.TAX_2
            END
       END
  FROM M_CONTROL
 WHERE M_CONTROL.CTRL_KEY = 1</v>
      </c>
    </row>
    <row r="46" spans="2:4" ht="14.25" customHeight="1"/>
    <row r="47" spans="2:4" ht="14.25" customHeight="1">
      <c r="B47" s="32" t="s">
        <v>437</v>
      </c>
      <c r="C47" s="33" t="s">
        <v>438</v>
      </c>
      <c r="D47" s="69" t="s">
        <v>970</v>
      </c>
    </row>
    <row r="48" spans="2:4" ht="14.25" customHeight="1"/>
    <row r="49" spans="1:4" ht="14.25" customHeight="1">
      <c r="B49" s="32" t="s">
        <v>440</v>
      </c>
      <c r="C49" s="33" t="s">
        <v>439</v>
      </c>
      <c r="D49" s="69" t="s">
        <v>441</v>
      </c>
    </row>
    <row r="50" spans="1:4" ht="14.25" customHeight="1"/>
    <row r="51" spans="1:4" s="132" customFormat="1" ht="14.25" customHeight="1">
      <c r="A51" s="32" t="s">
        <v>793</v>
      </c>
    </row>
    <row r="52" spans="1:4" s="132" customFormat="1" ht="14.25" customHeight="1">
      <c r="B52" s="32" t="s">
        <v>794</v>
      </c>
      <c r="C52" s="130" t="s">
        <v>797</v>
      </c>
      <c r="D52" s="131" t="s">
        <v>800</v>
      </c>
    </row>
    <row r="53" spans="1:4" s="132" customFormat="1" ht="14.25" customHeight="1">
      <c r="B53" s="32" t="s">
        <v>795</v>
      </c>
      <c r="C53" s="130" t="s">
        <v>798</v>
      </c>
      <c r="D53" s="35" t="str">
        <f>"SELECT M_SHAIN.TANTO_MARK_PATH
  FROM M_SHAIN
 WHERE M_SHAIN.SHAIN_CD = '"&amp;UNMT0020_H_EIGYO_TANTO_CD&amp;"'"</f>
        <v>SELECT M_SHAIN.TANTO_MARK_PATH
  FROM M_SHAIN
 WHERE M_SHAIN.SHAIN_CD = ''</v>
      </c>
    </row>
    <row r="54" spans="1:4" s="132" customFormat="1" ht="14.25" customHeight="1">
      <c r="B54" s="32" t="s">
        <v>796</v>
      </c>
      <c r="C54" s="130" t="s">
        <v>799</v>
      </c>
      <c r="D54" s="131" t="s">
        <v>801</v>
      </c>
    </row>
    <row r="55" spans="1:4" s="132" customFormat="1" ht="14.25" customHeight="1"/>
    <row r="56" spans="1:4" s="132" customFormat="1" ht="14.25" customHeight="1"/>
    <row r="57" spans="1:4" s="132" customFormat="1" ht="14.25" customHeight="1"/>
    <row r="58" spans="1:4" s="132" customFormat="1" ht="14.25" customHeight="1"/>
    <row r="59" spans="1:4" s="132" customFormat="1" ht="14.25" customHeight="1"/>
    <row r="60" spans="1:4" s="132" customFormat="1" ht="14.25" customHeight="1"/>
    <row r="61" spans="1:4" s="132" customFormat="1" ht="14.25" customHeight="1"/>
    <row r="62" spans="1:4" s="132" customFormat="1" ht="14.25" customHeight="1"/>
    <row r="63" spans="1:4" ht="14.25" customHeight="1">
      <c r="B63" s="34" t="s">
        <v>491</v>
      </c>
    </row>
    <row r="64" spans="1:4" ht="14.25" customHeight="1">
      <c r="B64" s="34" t="s">
        <v>492</v>
      </c>
      <c r="C64" s="33" t="s">
        <v>515</v>
      </c>
      <c r="D64" s="69" t="s">
        <v>975</v>
      </c>
    </row>
    <row r="65" spans="1:6" ht="14.25" customHeight="1">
      <c r="B65" s="34" t="s">
        <v>22</v>
      </c>
      <c r="C65" s="33" t="s">
        <v>516</v>
      </c>
      <c r="D65" s="69" t="s">
        <v>853</v>
      </c>
    </row>
    <row r="66" spans="1:6" ht="14.25" customHeight="1">
      <c r="B66" s="34" t="s">
        <v>25</v>
      </c>
      <c r="C66" s="33" t="s">
        <v>517</v>
      </c>
      <c r="D66" s="69" t="s">
        <v>976</v>
      </c>
    </row>
    <row r="67" spans="1:6" ht="14.25" customHeight="1">
      <c r="B67" s="34" t="s">
        <v>442</v>
      </c>
      <c r="C67" s="33" t="s">
        <v>513</v>
      </c>
      <c r="D67" s="69" t="s">
        <v>978</v>
      </c>
    </row>
    <row r="68" spans="1:6" ht="14.25" customHeight="1">
      <c r="B68" s="34" t="s">
        <v>443</v>
      </c>
      <c r="C68" s="33" t="s">
        <v>514</v>
      </c>
      <c r="D68" s="69" t="s">
        <v>977</v>
      </c>
    </row>
    <row r="69" spans="1:6" ht="14.25" customHeight="1">
      <c r="A69" s="132"/>
      <c r="B69" s="125" t="s">
        <v>864</v>
      </c>
      <c r="C69" s="145" t="s">
        <v>865</v>
      </c>
      <c r="D69" s="338" t="str">
        <f>"SELECT M_SHAIN.SHAIN_CD     AS SHAIN_CD
      ,M_SHAIN.SHIMEI       AS SHIMEI 
  FROM M_SHAIN
WHERE M_SHAIN.SHAIN_CD ="  &amp; "'" &amp; UNMT0020_IF_SAVE_W_USER_ID &amp; "'"</f>
        <v>SELECT M_SHAIN.SHAIN_CD     AS SHAIN_CD
      ,M_SHAIN.SHIMEI       AS SHIMEI 
  FROM M_SHAIN
WHERE M_SHAIN.SHAIN_CD ='0'</v>
      </c>
      <c r="E69" s="320"/>
      <c r="F69" s="320"/>
    </row>
    <row r="70" spans="1:6" ht="14.25" customHeight="1"/>
    <row r="71" spans="1:6" ht="14.25" customHeight="1">
      <c r="B71" s="337" t="s">
        <v>874</v>
      </c>
      <c r="C71" s="336" t="s">
        <v>875</v>
      </c>
      <c r="D71" s="339" t="s">
        <v>1032</v>
      </c>
    </row>
    <row r="72" spans="1:6" ht="14.25" customHeight="1"/>
    <row r="73" spans="1:6" ht="14.25" customHeight="1"/>
    <row r="74" spans="1:6" ht="14.25" customHeight="1"/>
    <row r="75" spans="1:6" ht="14.25" customHeight="1"/>
    <row r="76" spans="1:6" ht="14.25" customHeight="1"/>
    <row r="77" spans="1:6" ht="14.25" customHeight="1"/>
    <row r="78" spans="1:6" ht="14.25" customHeight="1"/>
    <row r="79" spans="1:6" ht="14.25" customHeight="1"/>
    <row r="80" spans="1:6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9" tint="0.59999389629810485"/>
    <pageSetUpPr fitToPage="1"/>
  </sheetPr>
  <dimension ref="B1:U141"/>
  <sheetViews>
    <sheetView view="pageBreakPreview" zoomScale="115" zoomScaleNormal="85" zoomScaleSheetLayoutView="115" zoomScalePageLayoutView="70" workbookViewId="0">
      <selection activeCell="A2" sqref="A2"/>
    </sheetView>
  </sheetViews>
  <sheetFormatPr defaultRowHeight="21.75" customHeight="1"/>
  <cols>
    <col min="1" max="1" width="2.5" style="5" customWidth="1"/>
    <col min="2" max="2" width="2.625" style="386" customWidth="1"/>
    <col min="3" max="5" width="9" style="386"/>
    <col min="6" max="6" width="19.625" style="386" customWidth="1"/>
    <col min="7" max="7" width="4.25" style="386" customWidth="1"/>
    <col min="8" max="8" width="7.75" style="386" customWidth="1"/>
    <col min="9" max="9" width="5.875" style="386" customWidth="1"/>
    <col min="10" max="10" width="11.625" style="386" customWidth="1"/>
    <col min="11" max="11" width="15.25" style="386" customWidth="1"/>
    <col min="12" max="12" width="2.625" style="386" customWidth="1"/>
    <col min="13" max="14" width="7.5" style="386" customWidth="1"/>
    <col min="15" max="15" width="2.5" style="5" customWidth="1"/>
    <col min="16" max="19" width="9" style="5"/>
    <col min="20" max="20" width="33.125" style="5" bestFit="1" customWidth="1"/>
    <col min="21" max="16384" width="9" style="5"/>
  </cols>
  <sheetData>
    <row r="1" spans="2:21" ht="6.75" customHeight="1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2:21" ht="17.25" customHeight="1">
      <c r="B2" s="386" t="str">
        <f>"（見積No."&amp;UNMT0020_H_MITSUMORI_NO&amp;"）"</f>
        <v>（見積No.）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S2" s="5" t="s">
        <v>467</v>
      </c>
      <c r="T2" s="28" t="s">
        <v>505</v>
      </c>
      <c r="U2" s="5" t="str">
        <f>"UNMT0020_REPORT!"&amp;ADDRESS(ROW(UNMT0020_REPORT_PRINT_START),COLUMN(UNMT0020_REPORT_PRINT_START))&amp;":"&amp;
ADDRESS(ROW(UNMT0020_REPORT_PRINT_END)+ROW(UNMT0020_REPORT_SHOHIN_MEI)+ROWS(UNMT0020_IF_REPORT_BODY_COPY_MOTO)*UNMT0020_REPORT_PAGE_SU-1,COLUMN(UNMT0020_REPORT_PRINT_END))</f>
        <v>UNMT0020_REPORT!$A$1:$O$21</v>
      </c>
    </row>
    <row r="3" spans="2:21" ht="33">
      <c r="B3" s="4"/>
      <c r="C3" s="4"/>
      <c r="D3" s="4"/>
      <c r="E3" s="5"/>
      <c r="F3" s="387"/>
      <c r="G3" s="70"/>
      <c r="H3" s="388" t="s">
        <v>448</v>
      </c>
      <c r="I3" s="4"/>
      <c r="J3" s="5"/>
      <c r="K3" s="4"/>
      <c r="L3" s="4"/>
      <c r="M3" s="593">
        <f ca="1">UNMT0020_H_MITSUMORI_DATE</f>
        <v>43005</v>
      </c>
      <c r="N3" s="593"/>
      <c r="S3" s="5" t="s">
        <v>471</v>
      </c>
      <c r="T3" s="28" t="s">
        <v>472</v>
      </c>
      <c r="U3" s="5">
        <f>ROUNDUP(UNMT0020_B_GYO_COUNT/ROWS(UNMT0020_IF_REPORT_BODY_COPY_MOTO),0)</f>
        <v>0</v>
      </c>
    </row>
    <row r="4" spans="2:21" s="159" customFormat="1" ht="5.25" customHeight="1"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21" ht="24.75">
      <c r="B5" s="5"/>
      <c r="C5" s="590" t="str">
        <f>IF(UNMT0020_H_SEIKYUSAKI_MEI="","",UNMT0020_H_SEIKYUSAKI_MEI)&amp;
IF(TRIM(UNMT0020_H_SEMPOTANTOSHA_MEI)="","　"&amp;UNMT0020_H_KESHO,"")</f>
        <v>　御中</v>
      </c>
      <c r="D5" s="590"/>
      <c r="E5" s="590"/>
      <c r="F5" s="590"/>
      <c r="G5" s="590"/>
      <c r="H5" s="590"/>
      <c r="I5" s="590"/>
      <c r="J5" s="372"/>
      <c r="K5" s="5"/>
      <c r="L5" s="4"/>
      <c r="M5" s="4"/>
      <c r="N5" s="4"/>
      <c r="S5" s="5" t="s">
        <v>468</v>
      </c>
      <c r="T5" s="28" t="s">
        <v>470</v>
      </c>
      <c r="U5" s="5" t="str">
        <f>"UNMT0020_REPORT!"&amp;ADDRESS(ROW(UNMT0020_REPORT_SHOHIN_MEI)+1,COLUMN(UNMT0020_REPORT_SHOHIN_MEI))&amp;":"&amp;
ADDRESS(ROW(UNMT0020_REPORT_SHOHIN_MEI)+1+ROWS(UNMT0020_IF_REPORT_BODY_COPY_MOTO)*UNMT0020_REPORT_PAGE_SU-1,COLUMN(UNMT0020_REPORT_SHOHIN_MEI)+COLUMNS(UNMT0020_IF_REPORT_BODY_COPY_MOTO)-1)</f>
        <v>UNMT0020_REPORT!$B$22:$N$21</v>
      </c>
    </row>
    <row r="6" spans="2:21" ht="24.75">
      <c r="B6" s="4"/>
      <c r="C6" s="590" t="str">
        <f>IF(TRIM(UNMT0020_H_SEMPOTANTOSHA_MEI)="","",TRIM(UNMT0020_H_SEMPOTANTOSHA_MEI))&amp;
IF(TRIM(UNMT0020_H_SEMPOTANTOSHA_MEI)="","","　"&amp;UNMT0020_H_KESHO)</f>
        <v/>
      </c>
      <c r="D6" s="590"/>
      <c r="E6" s="590"/>
      <c r="F6" s="590"/>
      <c r="G6" s="590"/>
      <c r="H6" s="590"/>
      <c r="I6" s="590"/>
      <c r="J6" s="372"/>
      <c r="K6" s="4"/>
      <c r="L6" s="4"/>
      <c r="M6" s="4"/>
      <c r="N6" s="4"/>
    </row>
    <row r="7" spans="2:21" ht="6.75" customHeight="1">
      <c r="B7" s="5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8" spans="2:21" ht="18" customHeight="1">
      <c r="B8" s="4"/>
      <c r="C8" s="389" t="s">
        <v>449</v>
      </c>
      <c r="D8" s="597" t="str">
        <f>IF(ISERROR(SEARCH(CHAR(10),UNMT0020_H_KENMEI))=TRUE,LEFT(UNMT0020_H_KENMEI,25),
LEFT(UNMT0020_H_KENMEI,SEARCH(CHAR(10),UNMT0020_H_KENMEI)-1))</f>
        <v/>
      </c>
      <c r="E8" s="597"/>
      <c r="F8" s="597"/>
      <c r="G8" s="597"/>
      <c r="H8" s="597"/>
      <c r="I8" s="597"/>
      <c r="J8" s="4"/>
      <c r="K8" s="4"/>
      <c r="L8" s="4"/>
      <c r="M8" s="4"/>
      <c r="N8" s="4"/>
      <c r="S8" s="143" t="s">
        <v>784</v>
      </c>
      <c r="T8" s="145" t="s">
        <v>785</v>
      </c>
      <c r="U8" s="106" t="str">
        <f>IF(UNMT0020_H_DAIHYO_MEI_FLG=TRUE,"代表取締役","")</f>
        <v/>
      </c>
    </row>
    <row r="9" spans="2:21" s="159" customFormat="1" ht="4.5" customHeight="1">
      <c r="C9" s="4"/>
      <c r="D9" s="322"/>
      <c r="E9" s="322"/>
      <c r="F9" s="322"/>
      <c r="G9" s="322"/>
      <c r="H9" s="322"/>
      <c r="I9" s="322"/>
      <c r="J9" s="4"/>
      <c r="K9" s="4"/>
      <c r="L9" s="4"/>
      <c r="M9" s="4"/>
      <c r="N9" s="4"/>
    </row>
    <row r="10" spans="2:21" ht="18.75" customHeight="1">
      <c r="B10" s="4"/>
      <c r="C10" s="327"/>
      <c r="D10" s="598" t="str">
        <f>IF(ISERROR(SEARCH(CHAR(10),UNMT0020_H_KENMEI))=TRUE,IF(LEN(UNMT0020_H_KENMEI)-25&lt;0,"",RIGHT(UNMT0020_H_KENMEI,LEN(UNMT0020_H_KENMEI)-25)),
RIGHT(UNMT0020_H_KENMEI,LEN(UNMT0020_H_KENMEI)-SEARCH(CHAR(10),UNMT0020_H_KENMEI)))</f>
        <v/>
      </c>
      <c r="E10" s="599"/>
      <c r="F10" s="599"/>
      <c r="G10" s="599"/>
      <c r="H10" s="599"/>
      <c r="I10" s="599"/>
      <c r="J10" s="4"/>
      <c r="K10" s="4"/>
      <c r="L10" s="4"/>
      <c r="M10" s="4"/>
      <c r="N10" s="4"/>
      <c r="S10" t="s">
        <v>455</v>
      </c>
      <c r="T10" s="28" t="s">
        <v>469</v>
      </c>
      <c r="U10" s="106" t="str">
        <f>IF(UNMT0020_H_DAIHYO_MEI_FLG=TRUE,UNMT0020_IF_DAIHYO_MEI,"")</f>
        <v/>
      </c>
    </row>
    <row r="11" spans="2:21" ht="5.25" customHeight="1">
      <c r="B11" s="4"/>
      <c r="C11" s="4"/>
      <c r="D11" s="322"/>
      <c r="E11" s="323"/>
      <c r="F11" s="322"/>
      <c r="G11" s="322"/>
      <c r="H11" s="322"/>
      <c r="I11" s="4"/>
      <c r="J11" s="4"/>
      <c r="K11" s="4"/>
      <c r="L11" s="4"/>
      <c r="M11" s="5"/>
      <c r="N11" s="4"/>
    </row>
    <row r="12" spans="2:21" ht="16.5">
      <c r="B12" s="4"/>
      <c r="C12" s="389" t="s">
        <v>80</v>
      </c>
      <c r="D12" s="600" t="str">
        <f>IF(UNMT0020_H_UKEWATASHI_DATE="","",UNMT0020_H_UKEWATASHI_DATE)</f>
        <v/>
      </c>
      <c r="E12" s="600"/>
      <c r="F12" s="600"/>
      <c r="G12" s="600"/>
      <c r="H12" s="600"/>
      <c r="I12" s="4"/>
      <c r="J12" s="4"/>
      <c r="K12" s="4"/>
      <c r="L12" s="4"/>
      <c r="M12" s="4"/>
      <c r="N12" s="4"/>
    </row>
    <row r="13" spans="2:21" s="159" customFormat="1" ht="5.25" customHeight="1">
      <c r="B13" s="4"/>
      <c r="C13" s="4"/>
      <c r="D13" s="322"/>
      <c r="E13" s="323"/>
      <c r="F13" s="322"/>
      <c r="G13" s="322"/>
      <c r="H13" s="322"/>
      <c r="I13" s="4"/>
      <c r="J13" s="4"/>
      <c r="K13" s="4"/>
      <c r="L13" s="4"/>
      <c r="N13" s="4"/>
    </row>
    <row r="14" spans="2:21" ht="16.5">
      <c r="B14" s="4"/>
      <c r="C14" s="389" t="s">
        <v>79</v>
      </c>
      <c r="D14" s="600" t="str">
        <f>IF(UNMT0020_H_UKEWATASHI_BASHO="","",UNMT0020_H_UKEWATASHI_BASHO)</f>
        <v/>
      </c>
      <c r="E14" s="600"/>
      <c r="F14" s="600"/>
      <c r="G14" s="600"/>
      <c r="H14" s="600"/>
      <c r="I14" s="4"/>
      <c r="J14" s="4"/>
      <c r="K14" s="4"/>
      <c r="L14" s="71"/>
      <c r="M14" s="594"/>
      <c r="N14" s="594"/>
      <c r="S14" s="5" t="s">
        <v>473</v>
      </c>
      <c r="T14" s="28" t="s">
        <v>474</v>
      </c>
      <c r="U14" s="5">
        <v>0</v>
      </c>
    </row>
    <row r="15" spans="2:21" s="159" customFormat="1" ht="5.25" customHeight="1">
      <c r="B15" s="4"/>
      <c r="C15" s="4"/>
      <c r="D15" s="322"/>
      <c r="E15" s="323"/>
      <c r="F15" s="322"/>
      <c r="G15" s="322"/>
      <c r="H15" s="322"/>
      <c r="I15" s="4"/>
      <c r="J15" s="4"/>
      <c r="K15" s="4"/>
      <c r="L15" s="4"/>
      <c r="N15" s="4"/>
    </row>
    <row r="16" spans="2:21" ht="16.5">
      <c r="B16" s="4"/>
      <c r="C16" s="389" t="s">
        <v>64</v>
      </c>
      <c r="D16" s="600" t="str">
        <f>IF(UNMT0020_H_TORIHIKI_JOKEN="","",UNMT0020_H_TORIHIKI_JOKEN)</f>
        <v/>
      </c>
      <c r="E16" s="600"/>
      <c r="F16" s="600"/>
      <c r="G16" s="600"/>
      <c r="H16" s="600"/>
      <c r="I16" s="4"/>
      <c r="J16" s="4"/>
      <c r="K16" s="4"/>
      <c r="L16" s="4"/>
      <c r="M16" s="4"/>
      <c r="N16" s="4"/>
    </row>
    <row r="17" spans="2:15" s="159" customFormat="1" ht="5.25" customHeight="1">
      <c r="B17" s="4"/>
      <c r="C17" s="4"/>
      <c r="D17" s="322"/>
      <c r="E17" s="323"/>
      <c r="F17" s="322"/>
      <c r="G17" s="322"/>
      <c r="H17" s="322"/>
      <c r="I17" s="4"/>
      <c r="J17" s="4"/>
      <c r="K17" s="4"/>
      <c r="L17" s="4"/>
      <c r="N17" s="4"/>
    </row>
    <row r="18" spans="2:15" ht="16.5">
      <c r="B18" s="4"/>
      <c r="C18" s="389" t="s">
        <v>66</v>
      </c>
      <c r="D18" s="600" t="str">
        <f>IF(UNMT0020_H_YUKOKIGEN="","",UNMT0020_H_YUKOKIGEN)</f>
        <v/>
      </c>
      <c r="E18" s="600"/>
      <c r="F18" s="600"/>
      <c r="G18" s="600"/>
      <c r="H18" s="600"/>
      <c r="I18" s="5"/>
      <c r="J18" s="5"/>
      <c r="K18" s="5"/>
      <c r="L18" s="4"/>
      <c r="M18" s="373" t="s">
        <v>450</v>
      </c>
      <c r="N18" s="391" t="s">
        <v>451</v>
      </c>
    </row>
    <row r="19" spans="2:15" ht="45" customHeight="1">
      <c r="B19" s="4"/>
      <c r="C19" s="4"/>
      <c r="D19" s="4"/>
      <c r="E19" s="4"/>
      <c r="F19" s="601" t="s">
        <v>452</v>
      </c>
      <c r="G19" s="601"/>
      <c r="H19" s="601"/>
      <c r="I19" s="602" t="str">
        <f ca="1">IF(UNMT0020_H_MODE_KBN=2,"単価見積","\"&amp;IF(UNMT0020_H_ZEIKOMI_PRINT_FLG=TRUE,
TEXT(UNMT0020_H_KOMI_TOTAL,"#,##0")&amp;"(税込)",
TEXT(UNMT0020_H_NUKI_TOTAL,"#,##0")))</f>
        <v>\0</v>
      </c>
      <c r="J19" s="602"/>
      <c r="K19" s="602"/>
      <c r="L19" s="602"/>
      <c r="M19" s="374"/>
      <c r="N19" s="374"/>
    </row>
    <row r="20" spans="2:15" ht="17.25" thickBot="1">
      <c r="B20" s="392" t="s">
        <v>453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2:15" ht="17.25" thickBot="1">
      <c r="B21" s="591" t="s">
        <v>50</v>
      </c>
      <c r="C21" s="592"/>
      <c r="D21" s="592"/>
      <c r="E21" s="592"/>
      <c r="F21" s="592"/>
      <c r="G21" s="592"/>
      <c r="H21" s="393" t="s">
        <v>81</v>
      </c>
      <c r="I21" s="394" t="s">
        <v>51</v>
      </c>
      <c r="J21" s="395" t="s">
        <v>33</v>
      </c>
      <c r="K21" s="394" t="s">
        <v>454</v>
      </c>
      <c r="L21" s="595" t="s">
        <v>53</v>
      </c>
      <c r="M21" s="592"/>
      <c r="N21" s="596"/>
    </row>
    <row r="22" spans="2:15" ht="21.75" customHeight="1">
      <c r="B22" s="396"/>
      <c r="C22" s="397"/>
      <c r="D22" s="397"/>
      <c r="E22" s="397"/>
      <c r="F22" s="397"/>
      <c r="G22" s="397"/>
      <c r="H22" s="398"/>
      <c r="I22" s="399"/>
      <c r="J22" s="400"/>
      <c r="K22" s="401"/>
      <c r="L22" s="402"/>
      <c r="M22" s="403"/>
      <c r="N22" s="404"/>
    </row>
    <row r="23" spans="2:15" ht="21.75" customHeight="1">
      <c r="B23" s="405"/>
      <c r="C23" s="392"/>
      <c r="D23" s="392"/>
      <c r="E23" s="392"/>
      <c r="F23" s="392"/>
      <c r="G23" s="392"/>
      <c r="H23" s="406"/>
      <c r="I23" s="392"/>
      <c r="J23" s="407"/>
      <c r="K23" s="392"/>
      <c r="L23" s="408"/>
      <c r="M23" s="392"/>
      <c r="N23" s="409"/>
      <c r="O23" s="277"/>
    </row>
    <row r="24" spans="2:15" ht="21.75" customHeight="1">
      <c r="B24" s="405"/>
      <c r="C24" s="392"/>
      <c r="D24" s="392"/>
      <c r="E24" s="392"/>
      <c r="F24" s="392"/>
      <c r="G24" s="392"/>
      <c r="H24" s="406"/>
      <c r="I24" s="392"/>
      <c r="J24" s="407"/>
      <c r="K24" s="392"/>
      <c r="L24" s="408"/>
      <c r="M24" s="392"/>
      <c r="N24" s="409"/>
      <c r="O24" s="159"/>
    </row>
    <row r="25" spans="2:15" ht="21.75" customHeight="1">
      <c r="B25" s="405"/>
      <c r="C25" s="392"/>
      <c r="D25" s="392"/>
      <c r="E25" s="392"/>
      <c r="F25" s="410"/>
      <c r="G25" s="392"/>
      <c r="H25" s="406"/>
      <c r="I25" s="392"/>
      <c r="J25" s="411"/>
      <c r="K25" s="412"/>
      <c r="L25" s="408"/>
      <c r="M25" s="392"/>
      <c r="N25" s="409"/>
      <c r="O25" s="159"/>
    </row>
    <row r="26" spans="2:15" ht="21.75" customHeight="1">
      <c r="B26" s="405"/>
      <c r="C26" s="392"/>
      <c r="D26" s="392"/>
      <c r="E26" s="392"/>
      <c r="F26" s="410"/>
      <c r="G26" s="392"/>
      <c r="H26" s="406"/>
      <c r="I26" s="392"/>
      <c r="J26" s="407"/>
      <c r="K26" s="412"/>
      <c r="L26" s="408"/>
      <c r="M26" s="392"/>
      <c r="N26" s="409"/>
      <c r="O26" s="277"/>
    </row>
    <row r="27" spans="2:15" ht="21.75" customHeight="1">
      <c r="B27" s="405"/>
      <c r="C27" s="392"/>
      <c r="D27" s="392"/>
      <c r="E27" s="392"/>
      <c r="F27" s="410"/>
      <c r="G27" s="392"/>
      <c r="H27" s="406"/>
      <c r="I27" s="392"/>
      <c r="J27" s="407"/>
      <c r="K27" s="412"/>
      <c r="L27" s="408"/>
      <c r="M27" s="392"/>
      <c r="N27" s="409"/>
    </row>
    <row r="28" spans="2:15" ht="21.75" customHeight="1">
      <c r="B28" s="405"/>
      <c r="C28" s="392"/>
      <c r="D28" s="392"/>
      <c r="E28" s="392"/>
      <c r="F28" s="410"/>
      <c r="G28" s="392"/>
      <c r="H28" s="406"/>
      <c r="I28" s="392"/>
      <c r="J28" s="407"/>
      <c r="K28" s="412"/>
      <c r="L28" s="408"/>
      <c r="M28" s="392"/>
      <c r="N28" s="409"/>
    </row>
    <row r="29" spans="2:15" ht="21.75" customHeight="1">
      <c r="B29" s="405"/>
      <c r="C29" s="392"/>
      <c r="D29" s="392"/>
      <c r="E29" s="392"/>
      <c r="F29" s="410"/>
      <c r="G29" s="392"/>
      <c r="H29" s="406"/>
      <c r="I29" s="392"/>
      <c r="J29" s="407"/>
      <c r="K29" s="412"/>
      <c r="L29" s="408"/>
      <c r="M29" s="392"/>
      <c r="N29" s="409"/>
    </row>
    <row r="30" spans="2:15" ht="21.75" customHeight="1">
      <c r="B30" s="405"/>
      <c r="C30" s="392"/>
      <c r="D30" s="392"/>
      <c r="E30" s="392"/>
      <c r="F30" s="410"/>
      <c r="G30" s="392"/>
      <c r="H30" s="406"/>
      <c r="I30" s="392"/>
      <c r="J30" s="407"/>
      <c r="K30" s="412"/>
      <c r="L30" s="408"/>
      <c r="M30" s="392"/>
      <c r="N30" s="409"/>
    </row>
    <row r="31" spans="2:15" ht="21.75" customHeight="1">
      <c r="B31" s="405"/>
      <c r="C31" s="392"/>
      <c r="D31" s="392"/>
      <c r="E31" s="392"/>
      <c r="F31" s="410"/>
      <c r="G31" s="392"/>
      <c r="H31" s="406"/>
      <c r="I31" s="392"/>
      <c r="J31" s="407"/>
      <c r="K31" s="412"/>
      <c r="L31" s="408"/>
      <c r="M31" s="392"/>
      <c r="N31" s="409"/>
    </row>
    <row r="32" spans="2:15" ht="21.75" customHeight="1">
      <c r="B32" s="405"/>
      <c r="C32" s="392"/>
      <c r="D32" s="392"/>
      <c r="E32" s="392"/>
      <c r="F32" s="410"/>
      <c r="G32" s="392"/>
      <c r="H32" s="406"/>
      <c r="I32" s="392"/>
      <c r="J32" s="407"/>
      <c r="K32" s="412"/>
      <c r="L32" s="408"/>
      <c r="M32" s="392"/>
      <c r="N32" s="409"/>
    </row>
    <row r="33" spans="2:14" ht="21.75" customHeight="1">
      <c r="B33" s="405"/>
      <c r="C33" s="392"/>
      <c r="D33" s="392"/>
      <c r="E33" s="392"/>
      <c r="F33" s="410"/>
      <c r="G33" s="392"/>
      <c r="H33" s="406"/>
      <c r="I33" s="392"/>
      <c r="J33" s="407"/>
      <c r="K33" s="412"/>
      <c r="L33" s="408"/>
      <c r="M33" s="392"/>
      <c r="N33" s="409"/>
    </row>
    <row r="34" spans="2:14" ht="21.75" customHeight="1">
      <c r="B34" s="405"/>
      <c r="C34" s="392"/>
      <c r="D34" s="392"/>
      <c r="E34" s="392"/>
      <c r="F34" s="410"/>
      <c r="G34" s="392"/>
      <c r="H34" s="406"/>
      <c r="I34" s="392"/>
      <c r="J34" s="407"/>
      <c r="K34" s="412"/>
      <c r="L34" s="408"/>
      <c r="M34" s="392"/>
      <c r="N34" s="409"/>
    </row>
    <row r="35" spans="2:14" ht="21.75" customHeight="1">
      <c r="B35" s="405"/>
      <c r="C35" s="392"/>
      <c r="D35" s="392"/>
      <c r="E35" s="392"/>
      <c r="F35" s="410"/>
      <c r="G35" s="392"/>
      <c r="H35" s="406"/>
      <c r="I35" s="392"/>
      <c r="J35" s="407"/>
      <c r="K35" s="412"/>
      <c r="L35" s="408"/>
      <c r="M35" s="392"/>
      <c r="N35" s="409"/>
    </row>
    <row r="36" spans="2:14" ht="21.75" customHeight="1">
      <c r="B36" s="405"/>
      <c r="C36" s="392"/>
      <c r="D36" s="392"/>
      <c r="E36" s="392"/>
      <c r="F36" s="410"/>
      <c r="G36" s="392"/>
      <c r="H36" s="406"/>
      <c r="I36" s="392"/>
      <c r="J36" s="407"/>
      <c r="K36" s="412"/>
      <c r="L36" s="408"/>
      <c r="M36" s="392"/>
      <c r="N36" s="409"/>
    </row>
    <row r="37" spans="2:14" ht="21.75" customHeight="1">
      <c r="B37" s="405"/>
      <c r="C37" s="392"/>
      <c r="D37" s="392"/>
      <c r="E37" s="392"/>
      <c r="F37" s="392"/>
      <c r="G37" s="392"/>
      <c r="H37" s="406"/>
      <c r="I37" s="392"/>
      <c r="J37" s="407"/>
      <c r="K37" s="412"/>
      <c r="L37" s="408"/>
      <c r="M37" s="392"/>
      <c r="N37" s="409"/>
    </row>
    <row r="38" spans="2:14" ht="21.75" customHeight="1">
      <c r="B38" s="405"/>
      <c r="C38" s="392"/>
      <c r="D38" s="392"/>
      <c r="E38" s="392"/>
      <c r="F38" s="392"/>
      <c r="G38" s="392"/>
      <c r="H38" s="406"/>
      <c r="I38" s="392"/>
      <c r="J38" s="407"/>
      <c r="K38" s="392"/>
      <c r="L38" s="408"/>
      <c r="M38" s="392"/>
      <c r="N38" s="409"/>
    </row>
    <row r="39" spans="2:14" ht="21.75" customHeight="1">
      <c r="B39" s="405"/>
      <c r="C39" s="392"/>
      <c r="D39" s="392"/>
      <c r="E39" s="392"/>
      <c r="F39" s="392"/>
      <c r="G39" s="392"/>
      <c r="H39" s="406"/>
      <c r="I39" s="392"/>
      <c r="J39" s="407"/>
      <c r="K39" s="392"/>
      <c r="L39" s="408"/>
      <c r="M39" s="392"/>
      <c r="N39" s="409"/>
    </row>
    <row r="40" spans="2:14" ht="21.75" customHeight="1">
      <c r="B40" s="405"/>
      <c r="C40" s="392"/>
      <c r="D40" s="392"/>
      <c r="E40" s="392"/>
      <c r="F40" s="392"/>
      <c r="G40" s="392"/>
      <c r="H40" s="406"/>
      <c r="I40" s="392"/>
      <c r="J40" s="407"/>
      <c r="K40" s="392"/>
      <c r="L40" s="408"/>
      <c r="M40" s="392"/>
      <c r="N40" s="409"/>
    </row>
    <row r="41" spans="2:14" ht="21.75" customHeight="1">
      <c r="B41" s="405"/>
      <c r="C41" s="392"/>
      <c r="D41" s="392"/>
      <c r="E41" s="392"/>
      <c r="F41" s="392"/>
      <c r="G41" s="392"/>
      <c r="H41" s="406"/>
      <c r="I41" s="392"/>
      <c r="J41" s="407"/>
      <c r="K41" s="392"/>
      <c r="L41" s="408"/>
      <c r="M41" s="392"/>
      <c r="N41" s="409"/>
    </row>
    <row r="42" spans="2:14" ht="21.75" customHeight="1">
      <c r="B42" s="405"/>
      <c r="C42" s="392"/>
      <c r="D42" s="392"/>
      <c r="E42" s="392"/>
      <c r="F42" s="392"/>
      <c r="G42" s="392"/>
      <c r="H42" s="406"/>
      <c r="I42" s="392"/>
      <c r="J42" s="407"/>
      <c r="K42" s="392"/>
      <c r="L42" s="408"/>
      <c r="M42" s="392"/>
      <c r="N42" s="409"/>
    </row>
    <row r="43" spans="2:14" ht="21.75" customHeight="1">
      <c r="B43" s="405"/>
      <c r="C43" s="392"/>
      <c r="D43" s="392"/>
      <c r="E43" s="392"/>
      <c r="F43" s="392"/>
      <c r="G43" s="392"/>
      <c r="H43" s="406"/>
      <c r="I43" s="392"/>
      <c r="J43" s="407"/>
      <c r="K43" s="392"/>
      <c r="L43" s="408"/>
      <c r="M43" s="392"/>
      <c r="N43" s="409"/>
    </row>
    <row r="44" spans="2:14" ht="21.75" customHeight="1">
      <c r="B44" s="405"/>
      <c r="C44" s="392"/>
      <c r="D44" s="392"/>
      <c r="E44" s="392"/>
      <c r="F44" s="392"/>
      <c r="G44" s="392"/>
      <c r="H44" s="406"/>
      <c r="I44" s="392"/>
      <c r="J44" s="407"/>
      <c r="K44" s="392"/>
      <c r="L44" s="408"/>
      <c r="M44" s="392"/>
      <c r="N44" s="409"/>
    </row>
    <row r="45" spans="2:14" ht="21.75" customHeight="1">
      <c r="B45" s="405"/>
      <c r="C45" s="392"/>
      <c r="D45" s="392"/>
      <c r="E45" s="392"/>
      <c r="F45" s="392"/>
      <c r="G45" s="392"/>
      <c r="H45" s="406"/>
      <c r="I45" s="392"/>
      <c r="J45" s="407"/>
      <c r="K45" s="392"/>
      <c r="L45" s="408"/>
      <c r="M45" s="392"/>
      <c r="N45" s="409"/>
    </row>
    <row r="46" spans="2:14" ht="21.75" customHeight="1">
      <c r="B46" s="405"/>
      <c r="C46" s="392"/>
      <c r="D46" s="392"/>
      <c r="E46" s="392"/>
      <c r="F46" s="392"/>
      <c r="G46" s="392"/>
      <c r="H46" s="406"/>
      <c r="I46" s="392"/>
      <c r="J46" s="407"/>
      <c r="K46" s="392"/>
      <c r="L46" s="408"/>
      <c r="M46" s="392"/>
      <c r="N46" s="409"/>
    </row>
    <row r="47" spans="2:14" ht="21.75" customHeight="1">
      <c r="B47" s="405"/>
      <c r="C47" s="392"/>
      <c r="D47" s="392"/>
      <c r="E47" s="392"/>
      <c r="F47" s="392"/>
      <c r="G47" s="392"/>
      <c r="H47" s="406"/>
      <c r="I47" s="392"/>
      <c r="J47" s="407"/>
      <c r="K47" s="392"/>
      <c r="L47" s="408"/>
      <c r="M47" s="392"/>
      <c r="N47" s="409"/>
    </row>
    <row r="48" spans="2:14" ht="21.75" customHeight="1">
      <c r="B48" s="405"/>
      <c r="C48" s="392"/>
      <c r="D48" s="392"/>
      <c r="E48" s="392"/>
      <c r="F48" s="392"/>
      <c r="G48" s="392"/>
      <c r="H48" s="406"/>
      <c r="I48" s="392"/>
      <c r="J48" s="407"/>
      <c r="K48" s="392"/>
      <c r="L48" s="408"/>
      <c r="M48" s="392"/>
      <c r="N48" s="409"/>
    </row>
    <row r="49" spans="2:14" ht="21.75" customHeight="1">
      <c r="B49" s="405"/>
      <c r="C49" s="392"/>
      <c r="D49" s="392"/>
      <c r="E49" s="392"/>
      <c r="F49" s="392"/>
      <c r="G49" s="392"/>
      <c r="H49" s="406"/>
      <c r="I49" s="392"/>
      <c r="J49" s="407"/>
      <c r="K49" s="392"/>
      <c r="L49" s="408"/>
      <c r="M49" s="392"/>
      <c r="N49" s="409"/>
    </row>
    <row r="50" spans="2:14" ht="21.75" customHeight="1">
      <c r="B50" s="405"/>
      <c r="C50" s="392"/>
      <c r="D50" s="392"/>
      <c r="E50" s="392"/>
      <c r="F50" s="392"/>
      <c r="G50" s="392"/>
      <c r="H50" s="406"/>
      <c r="I50" s="392"/>
      <c r="J50" s="407"/>
      <c r="K50" s="392"/>
      <c r="L50" s="408"/>
      <c r="M50" s="392"/>
      <c r="N50" s="409"/>
    </row>
    <row r="51" spans="2:14" ht="21.75" customHeight="1" thickBot="1">
      <c r="B51" s="413"/>
      <c r="C51" s="414"/>
      <c r="D51" s="414"/>
      <c r="E51" s="414"/>
      <c r="F51" s="414"/>
      <c r="G51" s="414"/>
      <c r="H51" s="415"/>
      <c r="I51" s="414"/>
      <c r="J51" s="416"/>
      <c r="K51" s="414"/>
      <c r="L51" s="417"/>
      <c r="M51" s="414"/>
      <c r="N51" s="418"/>
    </row>
    <row r="52" spans="2:14" ht="21.75" customHeight="1">
      <c r="B52" s="419"/>
      <c r="C52" s="420"/>
      <c r="D52" s="420"/>
      <c r="E52" s="420"/>
      <c r="F52" s="420"/>
      <c r="G52" s="420"/>
      <c r="H52" s="421"/>
      <c r="I52" s="422"/>
      <c r="J52" s="423"/>
      <c r="K52" s="424"/>
      <c r="L52" s="425"/>
      <c r="M52" s="426"/>
      <c r="N52" s="427"/>
    </row>
    <row r="53" spans="2:14" ht="21.75" customHeight="1">
      <c r="B53" s="428"/>
      <c r="H53" s="429"/>
      <c r="J53" s="430"/>
      <c r="L53" s="431"/>
      <c r="N53" s="432"/>
    </row>
    <row r="54" spans="2:14" ht="21.75" customHeight="1">
      <c r="B54" s="428"/>
      <c r="H54" s="429"/>
      <c r="J54" s="430"/>
      <c r="L54" s="431"/>
      <c r="N54" s="432"/>
    </row>
    <row r="55" spans="2:14" ht="21.75" customHeight="1">
      <c r="B55" s="428"/>
      <c r="F55" s="390"/>
      <c r="H55" s="429"/>
      <c r="J55" s="433"/>
      <c r="K55" s="434"/>
      <c r="L55" s="431"/>
      <c r="N55" s="432"/>
    </row>
    <row r="56" spans="2:14" ht="21.75" customHeight="1">
      <c r="B56" s="428"/>
      <c r="F56" s="390"/>
      <c r="H56" s="429"/>
      <c r="J56" s="430"/>
      <c r="K56" s="434"/>
      <c r="L56" s="431"/>
      <c r="N56" s="432"/>
    </row>
    <row r="57" spans="2:14" ht="21.75" customHeight="1">
      <c r="B57" s="428"/>
      <c r="F57" s="390"/>
      <c r="H57" s="429"/>
      <c r="J57" s="430"/>
      <c r="K57" s="434"/>
      <c r="L57" s="431"/>
      <c r="N57" s="432"/>
    </row>
    <row r="58" spans="2:14" ht="21.75" customHeight="1">
      <c r="B58" s="428"/>
      <c r="F58" s="390"/>
      <c r="H58" s="429"/>
      <c r="J58" s="430"/>
      <c r="K58" s="434"/>
      <c r="L58" s="431"/>
      <c r="N58" s="432"/>
    </row>
    <row r="59" spans="2:14" ht="21.75" customHeight="1">
      <c r="B59" s="428"/>
      <c r="F59" s="390"/>
      <c r="H59" s="429"/>
      <c r="J59" s="430"/>
      <c r="K59" s="434"/>
      <c r="L59" s="431"/>
      <c r="N59" s="432"/>
    </row>
    <row r="60" spans="2:14" ht="21.75" customHeight="1">
      <c r="B60" s="428"/>
      <c r="F60" s="390"/>
      <c r="H60" s="429"/>
      <c r="J60" s="430"/>
      <c r="K60" s="434"/>
      <c r="L60" s="431"/>
      <c r="N60" s="432"/>
    </row>
    <row r="61" spans="2:14" ht="21.75" customHeight="1">
      <c r="B61" s="428"/>
      <c r="F61" s="390"/>
      <c r="H61" s="429"/>
      <c r="J61" s="430"/>
      <c r="K61" s="434"/>
      <c r="L61" s="431"/>
      <c r="N61" s="432"/>
    </row>
    <row r="62" spans="2:14" ht="21.75" customHeight="1">
      <c r="B62" s="428"/>
      <c r="F62" s="390"/>
      <c r="H62" s="429"/>
      <c r="J62" s="430"/>
      <c r="K62" s="434"/>
      <c r="L62" s="431"/>
      <c r="N62" s="432"/>
    </row>
    <row r="63" spans="2:14" ht="21.75" customHeight="1">
      <c r="B63" s="428"/>
      <c r="F63" s="390"/>
      <c r="H63" s="429"/>
      <c r="J63" s="430"/>
      <c r="K63" s="434"/>
      <c r="L63" s="431"/>
      <c r="N63" s="432"/>
    </row>
    <row r="64" spans="2:14" ht="21.75" customHeight="1">
      <c r="B64" s="428"/>
      <c r="F64" s="390"/>
      <c r="H64" s="429"/>
      <c r="J64" s="430"/>
      <c r="K64" s="434"/>
      <c r="L64" s="431"/>
      <c r="N64" s="432"/>
    </row>
    <row r="65" spans="2:14" ht="21.75" customHeight="1">
      <c r="B65" s="428"/>
      <c r="F65" s="390"/>
      <c r="H65" s="429"/>
      <c r="J65" s="430"/>
      <c r="K65" s="434"/>
      <c r="L65" s="431"/>
      <c r="N65" s="432"/>
    </row>
    <row r="66" spans="2:14" ht="21.75" customHeight="1">
      <c r="B66" s="428"/>
      <c r="F66" s="390"/>
      <c r="H66" s="429"/>
      <c r="J66" s="430"/>
      <c r="K66" s="434"/>
      <c r="L66" s="431"/>
      <c r="N66" s="432"/>
    </row>
    <row r="67" spans="2:14" ht="21.75" customHeight="1">
      <c r="B67" s="428"/>
      <c r="H67" s="429"/>
      <c r="J67" s="430"/>
      <c r="L67" s="431"/>
      <c r="N67" s="432"/>
    </row>
    <row r="68" spans="2:14" ht="21.75" customHeight="1">
      <c r="B68" s="428"/>
      <c r="H68" s="429"/>
      <c r="J68" s="430"/>
      <c r="L68" s="431"/>
      <c r="N68" s="432"/>
    </row>
    <row r="69" spans="2:14" ht="21.75" customHeight="1">
      <c r="B69" s="428"/>
      <c r="H69" s="429"/>
      <c r="J69" s="430"/>
      <c r="L69" s="431"/>
      <c r="N69" s="432"/>
    </row>
    <row r="70" spans="2:14" ht="21.75" customHeight="1">
      <c r="B70" s="428"/>
      <c r="H70" s="429"/>
      <c r="J70" s="430"/>
      <c r="L70" s="431"/>
      <c r="N70" s="432"/>
    </row>
    <row r="71" spans="2:14" ht="21.75" customHeight="1">
      <c r="B71" s="428"/>
      <c r="H71" s="429"/>
      <c r="J71" s="430"/>
      <c r="L71" s="431"/>
      <c r="N71" s="432"/>
    </row>
    <row r="72" spans="2:14" ht="21.75" customHeight="1">
      <c r="B72" s="428"/>
      <c r="H72" s="429"/>
      <c r="J72" s="430"/>
      <c r="L72" s="431"/>
      <c r="N72" s="432"/>
    </row>
    <row r="73" spans="2:14" ht="21.75" customHeight="1">
      <c r="B73" s="428"/>
      <c r="H73" s="429"/>
      <c r="J73" s="430"/>
      <c r="L73" s="431"/>
      <c r="N73" s="432"/>
    </row>
    <row r="74" spans="2:14" ht="21.75" customHeight="1">
      <c r="B74" s="428"/>
      <c r="H74" s="429"/>
      <c r="J74" s="430"/>
      <c r="L74" s="431"/>
      <c r="N74" s="432"/>
    </row>
    <row r="75" spans="2:14" ht="21.75" customHeight="1">
      <c r="B75" s="428"/>
      <c r="H75" s="429"/>
      <c r="J75" s="430"/>
      <c r="L75" s="431"/>
      <c r="N75" s="432"/>
    </row>
    <row r="76" spans="2:14" ht="21.75" customHeight="1">
      <c r="B76" s="428"/>
      <c r="H76" s="429"/>
      <c r="J76" s="430"/>
      <c r="L76" s="431"/>
      <c r="N76" s="432"/>
    </row>
    <row r="77" spans="2:14" ht="21.75" customHeight="1">
      <c r="B77" s="428"/>
      <c r="H77" s="429"/>
      <c r="J77" s="430"/>
      <c r="L77" s="431"/>
      <c r="N77" s="432"/>
    </row>
    <row r="78" spans="2:14" ht="21.75" customHeight="1">
      <c r="B78" s="428"/>
      <c r="H78" s="429"/>
      <c r="J78" s="430"/>
      <c r="L78" s="431"/>
      <c r="N78" s="432"/>
    </row>
    <row r="79" spans="2:14" ht="21.75" customHeight="1">
      <c r="B79" s="428"/>
      <c r="H79" s="429"/>
      <c r="J79" s="430"/>
      <c r="L79" s="431"/>
      <c r="N79" s="432"/>
    </row>
    <row r="80" spans="2:14" ht="21.75" customHeight="1">
      <c r="B80" s="428"/>
      <c r="H80" s="429"/>
      <c r="J80" s="430"/>
      <c r="L80" s="431"/>
      <c r="N80" s="432"/>
    </row>
    <row r="81" spans="2:14" ht="21.75" customHeight="1" thickBot="1">
      <c r="B81" s="435"/>
      <c r="C81" s="436"/>
      <c r="D81" s="436"/>
      <c r="E81" s="436"/>
      <c r="F81" s="436"/>
      <c r="G81" s="436"/>
      <c r="H81" s="437"/>
      <c r="I81" s="436"/>
      <c r="J81" s="438"/>
      <c r="K81" s="436"/>
      <c r="L81" s="439"/>
      <c r="M81" s="436"/>
      <c r="N81" s="440"/>
    </row>
    <row r="82" spans="2:14" ht="21.75" customHeight="1">
      <c r="B82" s="428"/>
      <c r="H82" s="441"/>
      <c r="I82" s="390"/>
      <c r="J82" s="433"/>
      <c r="K82" s="434"/>
      <c r="L82" s="442"/>
      <c r="M82" s="443"/>
      <c r="N82" s="444"/>
    </row>
    <row r="83" spans="2:14" ht="21.75" customHeight="1">
      <c r="B83" s="428"/>
      <c r="H83" s="429"/>
      <c r="J83" s="430"/>
      <c r="L83" s="431"/>
      <c r="N83" s="432"/>
    </row>
    <row r="84" spans="2:14" ht="21.75" customHeight="1">
      <c r="B84" s="428"/>
      <c r="H84" s="429"/>
      <c r="J84" s="430"/>
      <c r="L84" s="431"/>
      <c r="N84" s="432"/>
    </row>
    <row r="85" spans="2:14" ht="21.75" customHeight="1">
      <c r="B85" s="428"/>
      <c r="F85" s="390"/>
      <c r="H85" s="429"/>
      <c r="J85" s="433"/>
      <c r="K85" s="434"/>
      <c r="L85" s="431"/>
      <c r="N85" s="432"/>
    </row>
    <row r="86" spans="2:14" ht="21.75" customHeight="1">
      <c r="B86" s="428"/>
      <c r="F86" s="390"/>
      <c r="H86" s="429"/>
      <c r="J86" s="430"/>
      <c r="K86" s="434"/>
      <c r="L86" s="431"/>
      <c r="N86" s="432"/>
    </row>
    <row r="87" spans="2:14" ht="21.75" customHeight="1">
      <c r="B87" s="428"/>
      <c r="F87" s="390"/>
      <c r="H87" s="429"/>
      <c r="J87" s="430"/>
      <c r="K87" s="434"/>
      <c r="L87" s="431"/>
      <c r="N87" s="432"/>
    </row>
    <row r="88" spans="2:14" ht="21.75" customHeight="1">
      <c r="B88" s="428"/>
      <c r="F88" s="390"/>
      <c r="H88" s="429"/>
      <c r="J88" s="430"/>
      <c r="K88" s="434"/>
      <c r="L88" s="431"/>
      <c r="N88" s="432"/>
    </row>
    <row r="89" spans="2:14" ht="21.75" customHeight="1">
      <c r="B89" s="428"/>
      <c r="F89" s="390"/>
      <c r="H89" s="429"/>
      <c r="J89" s="430"/>
      <c r="K89" s="434"/>
      <c r="L89" s="431"/>
      <c r="N89" s="432"/>
    </row>
    <row r="90" spans="2:14" ht="21.75" customHeight="1">
      <c r="B90" s="428"/>
      <c r="F90" s="390"/>
      <c r="H90" s="429"/>
      <c r="J90" s="430"/>
      <c r="K90" s="434"/>
      <c r="L90" s="431"/>
      <c r="N90" s="432"/>
    </row>
    <row r="91" spans="2:14" ht="21.75" customHeight="1">
      <c r="B91" s="428"/>
      <c r="F91" s="390"/>
      <c r="H91" s="429"/>
      <c r="J91" s="430"/>
      <c r="K91" s="434"/>
      <c r="L91" s="431"/>
      <c r="N91" s="432"/>
    </row>
    <row r="92" spans="2:14" ht="21.75" customHeight="1">
      <c r="B92" s="428"/>
      <c r="F92" s="390"/>
      <c r="H92" s="429"/>
      <c r="J92" s="430"/>
      <c r="K92" s="434"/>
      <c r="L92" s="431"/>
      <c r="N92" s="432"/>
    </row>
    <row r="93" spans="2:14" ht="21.75" customHeight="1">
      <c r="B93" s="428"/>
      <c r="F93" s="390"/>
      <c r="H93" s="429"/>
      <c r="J93" s="430"/>
      <c r="K93" s="434"/>
      <c r="L93" s="431"/>
      <c r="N93" s="432"/>
    </row>
    <row r="94" spans="2:14" ht="21.75" customHeight="1">
      <c r="B94" s="428"/>
      <c r="F94" s="390"/>
      <c r="H94" s="429"/>
      <c r="J94" s="430"/>
      <c r="K94" s="434"/>
      <c r="L94" s="431"/>
      <c r="N94" s="432"/>
    </row>
    <row r="95" spans="2:14" ht="21.75" customHeight="1">
      <c r="B95" s="428"/>
      <c r="F95" s="390"/>
      <c r="H95" s="429"/>
      <c r="J95" s="430"/>
      <c r="K95" s="434"/>
      <c r="L95" s="431"/>
      <c r="N95" s="432"/>
    </row>
    <row r="96" spans="2:14" ht="21.75" customHeight="1">
      <c r="B96" s="428"/>
      <c r="F96" s="390"/>
      <c r="H96" s="429"/>
      <c r="J96" s="430"/>
      <c r="K96" s="434"/>
      <c r="L96" s="431"/>
      <c r="N96" s="432"/>
    </row>
    <row r="97" spans="2:14" ht="21.75" customHeight="1">
      <c r="B97" s="428"/>
      <c r="H97" s="429"/>
      <c r="J97" s="430"/>
      <c r="L97" s="431"/>
      <c r="N97" s="432"/>
    </row>
    <row r="98" spans="2:14" ht="21.75" customHeight="1">
      <c r="B98" s="428"/>
      <c r="H98" s="429"/>
      <c r="J98" s="430"/>
      <c r="L98" s="431"/>
      <c r="N98" s="432"/>
    </row>
    <row r="99" spans="2:14" ht="21.75" customHeight="1">
      <c r="B99" s="428"/>
      <c r="H99" s="429"/>
      <c r="J99" s="430"/>
      <c r="L99" s="431"/>
      <c r="N99" s="432"/>
    </row>
    <row r="100" spans="2:14" ht="21.75" customHeight="1">
      <c r="B100" s="428"/>
      <c r="H100" s="429"/>
      <c r="J100" s="430"/>
      <c r="L100" s="431"/>
      <c r="N100" s="432"/>
    </row>
    <row r="101" spans="2:14" ht="21.75" customHeight="1">
      <c r="B101" s="428"/>
      <c r="H101" s="429"/>
      <c r="J101" s="430"/>
      <c r="L101" s="431"/>
      <c r="N101" s="432"/>
    </row>
    <row r="102" spans="2:14" ht="21.75" customHeight="1">
      <c r="B102" s="428"/>
      <c r="H102" s="429"/>
      <c r="J102" s="430"/>
      <c r="L102" s="431"/>
      <c r="N102" s="432"/>
    </row>
    <row r="103" spans="2:14" ht="21.75" customHeight="1">
      <c r="B103" s="428"/>
      <c r="H103" s="429"/>
      <c r="J103" s="430"/>
      <c r="L103" s="431"/>
      <c r="N103" s="432"/>
    </row>
    <row r="104" spans="2:14" ht="21.75" customHeight="1">
      <c r="B104" s="428"/>
      <c r="H104" s="429"/>
      <c r="J104" s="430"/>
      <c r="L104" s="431"/>
      <c r="N104" s="432"/>
    </row>
    <row r="105" spans="2:14" ht="21.75" customHeight="1">
      <c r="B105" s="428"/>
      <c r="H105" s="429"/>
      <c r="J105" s="430"/>
      <c r="L105" s="431"/>
      <c r="N105" s="432"/>
    </row>
    <row r="106" spans="2:14" ht="21.75" customHeight="1">
      <c r="B106" s="428"/>
      <c r="H106" s="429"/>
      <c r="J106" s="430"/>
      <c r="L106" s="431"/>
      <c r="N106" s="432"/>
    </row>
    <row r="107" spans="2:14" ht="21.75" customHeight="1">
      <c r="B107" s="428"/>
      <c r="H107" s="429"/>
      <c r="J107" s="430"/>
      <c r="L107" s="431"/>
      <c r="N107" s="432"/>
    </row>
    <row r="108" spans="2:14" ht="21.75" customHeight="1">
      <c r="B108" s="428"/>
      <c r="H108" s="429"/>
      <c r="J108" s="430"/>
      <c r="L108" s="431"/>
      <c r="N108" s="432"/>
    </row>
    <row r="109" spans="2:14" ht="21.75" customHeight="1">
      <c r="B109" s="428"/>
      <c r="H109" s="429"/>
      <c r="J109" s="430"/>
      <c r="L109" s="431"/>
      <c r="N109" s="432"/>
    </row>
    <row r="110" spans="2:14" ht="21.75" customHeight="1">
      <c r="B110" s="428"/>
      <c r="H110" s="429"/>
      <c r="J110" s="430"/>
      <c r="L110" s="431"/>
      <c r="N110" s="432"/>
    </row>
    <row r="111" spans="2:14" ht="21.75" customHeight="1" thickBot="1">
      <c r="B111" s="435"/>
      <c r="C111" s="436"/>
      <c r="D111" s="436"/>
      <c r="E111" s="436"/>
      <c r="F111" s="436"/>
      <c r="G111" s="436"/>
      <c r="H111" s="437"/>
      <c r="I111" s="436"/>
      <c r="J111" s="438"/>
      <c r="K111" s="436"/>
      <c r="L111" s="439"/>
      <c r="M111" s="436"/>
      <c r="N111" s="440"/>
    </row>
    <row r="112" spans="2:14" ht="21.75" customHeight="1">
      <c r="B112" s="428"/>
      <c r="H112" s="441"/>
      <c r="I112" s="390"/>
      <c r="J112" s="433"/>
      <c r="K112" s="434"/>
      <c r="L112" s="442"/>
      <c r="M112" s="443"/>
      <c r="N112" s="444"/>
    </row>
    <row r="113" spans="2:14" ht="21.75" customHeight="1">
      <c r="B113" s="428"/>
      <c r="H113" s="429"/>
      <c r="J113" s="430"/>
      <c r="L113" s="431"/>
      <c r="N113" s="432"/>
    </row>
    <row r="114" spans="2:14" ht="21.75" customHeight="1">
      <c r="B114" s="428"/>
      <c r="H114" s="429"/>
      <c r="J114" s="430"/>
      <c r="L114" s="431"/>
      <c r="N114" s="432"/>
    </row>
    <row r="115" spans="2:14" ht="21.75" customHeight="1">
      <c r="B115" s="428"/>
      <c r="F115" s="390"/>
      <c r="H115" s="429"/>
      <c r="J115" s="433"/>
      <c r="K115" s="434"/>
      <c r="L115" s="431"/>
      <c r="N115" s="432"/>
    </row>
    <row r="116" spans="2:14" ht="21.75" customHeight="1">
      <c r="B116" s="428"/>
      <c r="F116" s="390"/>
      <c r="H116" s="429"/>
      <c r="J116" s="430"/>
      <c r="K116" s="434"/>
      <c r="L116" s="431"/>
      <c r="N116" s="432"/>
    </row>
    <row r="117" spans="2:14" ht="21.75" customHeight="1">
      <c r="B117" s="428"/>
      <c r="F117" s="390"/>
      <c r="H117" s="429"/>
      <c r="J117" s="430"/>
      <c r="K117" s="434"/>
      <c r="L117" s="431"/>
      <c r="N117" s="432"/>
    </row>
    <row r="118" spans="2:14" ht="21.75" customHeight="1">
      <c r="B118" s="428"/>
      <c r="F118" s="390"/>
      <c r="H118" s="429"/>
      <c r="J118" s="430"/>
      <c r="K118" s="434"/>
      <c r="L118" s="431"/>
      <c r="N118" s="432"/>
    </row>
    <row r="119" spans="2:14" ht="21.75" customHeight="1">
      <c r="B119" s="428"/>
      <c r="F119" s="390"/>
      <c r="H119" s="429"/>
      <c r="J119" s="430"/>
      <c r="K119" s="434"/>
      <c r="L119" s="431"/>
      <c r="N119" s="432"/>
    </row>
    <row r="120" spans="2:14" ht="21.75" customHeight="1">
      <c r="B120" s="428"/>
      <c r="F120" s="390"/>
      <c r="H120" s="429"/>
      <c r="J120" s="430"/>
      <c r="K120" s="434"/>
      <c r="L120" s="431"/>
      <c r="N120" s="432"/>
    </row>
    <row r="121" spans="2:14" ht="21.75" customHeight="1">
      <c r="B121" s="428"/>
      <c r="F121" s="390"/>
      <c r="H121" s="429"/>
      <c r="J121" s="430"/>
      <c r="K121" s="434"/>
      <c r="L121" s="431"/>
      <c r="N121" s="432"/>
    </row>
    <row r="122" spans="2:14" ht="21.75" customHeight="1">
      <c r="B122" s="428"/>
      <c r="F122" s="390"/>
      <c r="H122" s="429"/>
      <c r="J122" s="430"/>
      <c r="K122" s="434"/>
      <c r="L122" s="431"/>
      <c r="N122" s="432"/>
    </row>
    <row r="123" spans="2:14" ht="21.75" customHeight="1">
      <c r="B123" s="428"/>
      <c r="F123" s="390"/>
      <c r="H123" s="429"/>
      <c r="J123" s="430"/>
      <c r="K123" s="434"/>
      <c r="L123" s="431"/>
      <c r="N123" s="432"/>
    </row>
    <row r="124" spans="2:14" ht="21.75" customHeight="1">
      <c r="B124" s="428"/>
      <c r="F124" s="390"/>
      <c r="H124" s="429"/>
      <c r="J124" s="430"/>
      <c r="K124" s="434"/>
      <c r="L124" s="431"/>
      <c r="N124" s="432"/>
    </row>
    <row r="125" spans="2:14" ht="21.75" customHeight="1">
      <c r="B125" s="428"/>
      <c r="F125" s="390"/>
      <c r="H125" s="429"/>
      <c r="J125" s="430"/>
      <c r="K125" s="434"/>
      <c r="L125" s="431"/>
      <c r="N125" s="432"/>
    </row>
    <row r="126" spans="2:14" ht="21.75" customHeight="1">
      <c r="B126" s="428"/>
      <c r="F126" s="390"/>
      <c r="H126" s="429"/>
      <c r="J126" s="430"/>
      <c r="K126" s="434"/>
      <c r="L126" s="431"/>
      <c r="N126" s="432"/>
    </row>
    <row r="127" spans="2:14" ht="21.75" customHeight="1">
      <c r="B127" s="428"/>
      <c r="H127" s="429"/>
      <c r="J127" s="430"/>
      <c r="L127" s="431"/>
      <c r="N127" s="432"/>
    </row>
    <row r="128" spans="2:14" ht="21.75" customHeight="1">
      <c r="B128" s="428"/>
      <c r="H128" s="429"/>
      <c r="J128" s="430"/>
      <c r="L128" s="431"/>
      <c r="N128" s="432"/>
    </row>
    <row r="129" spans="2:14" ht="21.75" customHeight="1">
      <c r="B129" s="428"/>
      <c r="H129" s="429"/>
      <c r="J129" s="430"/>
      <c r="L129" s="431"/>
      <c r="N129" s="432"/>
    </row>
    <row r="130" spans="2:14" ht="21.75" customHeight="1">
      <c r="B130" s="428"/>
      <c r="H130" s="429"/>
      <c r="J130" s="430"/>
      <c r="L130" s="431"/>
      <c r="N130" s="432"/>
    </row>
    <row r="131" spans="2:14" ht="21.75" customHeight="1">
      <c r="B131" s="428"/>
      <c r="H131" s="429"/>
      <c r="J131" s="430"/>
      <c r="L131" s="431"/>
      <c r="N131" s="432"/>
    </row>
    <row r="132" spans="2:14" ht="21.75" customHeight="1">
      <c r="B132" s="428"/>
      <c r="H132" s="429"/>
      <c r="J132" s="430"/>
      <c r="L132" s="431"/>
      <c r="N132" s="432"/>
    </row>
    <row r="133" spans="2:14" ht="21.75" customHeight="1">
      <c r="B133" s="428"/>
      <c r="H133" s="429"/>
      <c r="J133" s="430"/>
      <c r="L133" s="431"/>
      <c r="N133" s="432"/>
    </row>
    <row r="134" spans="2:14" ht="21.75" customHeight="1">
      <c r="B134" s="428"/>
      <c r="H134" s="429"/>
      <c r="J134" s="430"/>
      <c r="L134" s="431"/>
      <c r="N134" s="432"/>
    </row>
    <row r="135" spans="2:14" ht="21.75" customHeight="1">
      <c r="B135" s="428"/>
      <c r="H135" s="429"/>
      <c r="J135" s="430"/>
      <c r="L135" s="431"/>
      <c r="N135" s="432"/>
    </row>
    <row r="136" spans="2:14" ht="21.75" customHeight="1">
      <c r="B136" s="428"/>
      <c r="H136" s="429"/>
      <c r="J136" s="430"/>
      <c r="L136" s="431"/>
      <c r="N136" s="432"/>
    </row>
    <row r="137" spans="2:14" ht="21.75" customHeight="1">
      <c r="B137" s="428"/>
      <c r="H137" s="429"/>
      <c r="J137" s="430"/>
      <c r="L137" s="431"/>
      <c r="N137" s="432"/>
    </row>
    <row r="138" spans="2:14" ht="21.75" customHeight="1">
      <c r="B138" s="428"/>
      <c r="H138" s="429"/>
      <c r="J138" s="430"/>
      <c r="L138" s="431"/>
      <c r="N138" s="432"/>
    </row>
    <row r="139" spans="2:14" ht="21.75" customHeight="1">
      <c r="B139" s="428"/>
      <c r="H139" s="429"/>
      <c r="J139" s="430"/>
      <c r="L139" s="431"/>
      <c r="N139" s="432"/>
    </row>
    <row r="140" spans="2:14" ht="21.75" customHeight="1">
      <c r="B140" s="428"/>
      <c r="H140" s="429"/>
      <c r="J140" s="430"/>
      <c r="L140" s="431"/>
      <c r="N140" s="432"/>
    </row>
    <row r="141" spans="2:14" ht="21.75" customHeight="1" thickBot="1">
      <c r="B141" s="435"/>
      <c r="C141" s="436"/>
      <c r="D141" s="436"/>
      <c r="E141" s="436"/>
      <c r="F141" s="436"/>
      <c r="G141" s="436"/>
      <c r="H141" s="437"/>
      <c r="I141" s="436"/>
      <c r="J141" s="438"/>
      <c r="K141" s="436"/>
      <c r="L141" s="439"/>
      <c r="M141" s="436"/>
      <c r="N141" s="440"/>
    </row>
  </sheetData>
  <mergeCells count="14">
    <mergeCell ref="C5:I5"/>
    <mergeCell ref="B21:G21"/>
    <mergeCell ref="M3:N3"/>
    <mergeCell ref="M14:N14"/>
    <mergeCell ref="L21:N21"/>
    <mergeCell ref="D8:I8"/>
    <mergeCell ref="D10:I10"/>
    <mergeCell ref="D12:H12"/>
    <mergeCell ref="D14:H14"/>
    <mergeCell ref="D16:H16"/>
    <mergeCell ref="D18:H18"/>
    <mergeCell ref="C6:I6"/>
    <mergeCell ref="F19:H19"/>
    <mergeCell ref="I19:L19"/>
  </mergeCells>
  <phoneticPr fontId="2"/>
  <conditionalFormatting sqref="M18:M19">
    <cfRule type="expression" dxfId="3" priority="2">
      <formula>UNMT0020_H_SHONIN_RAN_FLG=TRUE</formula>
    </cfRule>
  </conditionalFormatting>
  <conditionalFormatting sqref="N18:N19">
    <cfRule type="expression" dxfId="2" priority="1">
      <formula>UNMT0020_H_TANTO_MARK_FLG=TRUE</formula>
    </cfRule>
  </conditionalFormatting>
  <pageMargins left="0.47244094488188981" right="0.15748031496062992" top="0.39370078740157483" bottom="0.59055118110236227" header="0.19685039370078741" footer="0.19685039370078741"/>
  <pageSetup paperSize="9" scale="84" fitToHeight="0" orientation="portrait" errors="blank" r:id="rId1"/>
  <headerFooter>
    <oddHeader>&amp;R&amp;"ＭＳ Ｐゴシック,標準"No.&amp;P/&amp;N</oddHeader>
  </headerFooter>
  <rowBreaks count="3" manualBreakCount="3">
    <brk id="51" max="14" man="1"/>
    <brk id="81" max="14" man="1"/>
    <brk id="111" max="14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6EFE50F4-1CA2-4022-80E7-F579821E2698}">
            <xm:f>UNMT0020_H!$D$10=1</xm:f>
            <x14:dxf>
              <numFmt numFmtId="190" formatCode="yyyy&quot;年&quot;m&quot;月&quot;d&quot;日&quot;;@"/>
            </x14:dxf>
          </x14:cfRule>
          <xm:sqref>M3:N3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C000"/>
  </sheetPr>
  <dimension ref="A1:V31"/>
  <sheetViews>
    <sheetView showGridLines="0" showRowColHeaders="0" zoomScaleNormal="100" workbookViewId="0">
      <pane ySplit="7" topLeftCell="A8" activePane="bottomLeft" state="frozen"/>
      <selection pane="bottomLeft" sqref="A1:E1 U7:V7"/>
    </sheetView>
  </sheetViews>
  <sheetFormatPr defaultRowHeight="16.5"/>
  <cols>
    <col min="1" max="1" width="1.375" style="159" hidden="1" customWidth="1"/>
    <col min="2" max="2" width="14.125" style="159" hidden="1" customWidth="1"/>
    <col min="3" max="3" width="29.625" style="159" hidden="1" customWidth="1"/>
    <col min="4" max="4" width="12" style="159" hidden="1" customWidth="1"/>
    <col min="5" max="5" width="9" style="159" hidden="1" customWidth="1"/>
    <col min="6" max="6" width="5.625" style="112" customWidth="1"/>
    <col min="7" max="7" width="4.75" style="112" customWidth="1"/>
    <col min="8" max="8" width="21.875" style="112" bestFit="1" customWidth="1"/>
    <col min="9" max="9" width="6.125" style="112" customWidth="1"/>
    <col min="10" max="10" width="12.375" style="112" customWidth="1"/>
    <col min="11" max="11" width="30.625" style="112" customWidth="1"/>
    <col min="12" max="12" width="13.125" style="112" customWidth="1"/>
    <col min="13" max="15" width="9" style="112"/>
    <col min="16" max="19" width="13.5" style="112" customWidth="1"/>
    <col min="20" max="20" width="4.75" style="112" bestFit="1" customWidth="1"/>
    <col min="21" max="22" width="10.5" style="112" hidden="1" customWidth="1"/>
    <col min="23" max="16384" width="9" style="112"/>
  </cols>
  <sheetData>
    <row r="1" spans="1:22" s="2" customFormat="1" ht="19.5">
      <c r="A1" s="79"/>
      <c r="B1" s="79"/>
      <c r="C1" s="79"/>
      <c r="D1" s="79"/>
      <c r="E1" s="79"/>
      <c r="F1" s="2" t="s">
        <v>90</v>
      </c>
    </row>
    <row r="2" spans="1:22">
      <c r="A2" s="161" t="s">
        <v>548</v>
      </c>
      <c r="C2" s="115"/>
    </row>
    <row r="3" spans="1:22">
      <c r="B3" s="159" t="s">
        <v>549</v>
      </c>
      <c r="C3" s="115" t="s">
        <v>689</v>
      </c>
      <c r="D3" s="106">
        <v>2</v>
      </c>
      <c r="H3" s="6" t="s">
        <v>86</v>
      </c>
      <c r="I3" s="603"/>
      <c r="J3" s="603"/>
    </row>
    <row r="4" spans="1:22">
      <c r="C4" s="115"/>
      <c r="H4" s="6" t="s">
        <v>87</v>
      </c>
      <c r="I4" s="603"/>
      <c r="J4" s="603"/>
    </row>
    <row r="5" spans="1:22">
      <c r="A5" s="161" t="s">
        <v>550</v>
      </c>
      <c r="C5" s="115"/>
      <c r="H5" s="6" t="s">
        <v>39</v>
      </c>
      <c r="I5" s="603"/>
      <c r="J5" s="603"/>
      <c r="K5" s="603"/>
    </row>
    <row r="6" spans="1:22">
      <c r="B6" s="159" t="s">
        <v>551</v>
      </c>
      <c r="C6" s="115" t="s">
        <v>690</v>
      </c>
      <c r="D6" s="106">
        <v>0</v>
      </c>
      <c r="F6" s="112" t="str">
        <f>IF(UNMT0040_PAGE_NO=0,"","("&amp;UNMT0040_PAGE_NO&amp;"/"&amp;UNMT0040_ALL_PAGE_SU&amp;")")</f>
        <v>(1/1)</v>
      </c>
      <c r="H6" s="6" t="s">
        <v>96</v>
      </c>
      <c r="I6" s="604"/>
      <c r="J6" s="604"/>
      <c r="K6" s="604"/>
    </row>
    <row r="7" spans="1:22" s="16" customFormat="1">
      <c r="A7" s="159"/>
      <c r="B7" s="159" t="s">
        <v>552</v>
      </c>
      <c r="C7" s="115" t="s">
        <v>691</v>
      </c>
      <c r="D7" s="103">
        <v>1</v>
      </c>
      <c r="E7" s="159"/>
      <c r="F7" s="25"/>
      <c r="G7" s="86" t="s">
        <v>0</v>
      </c>
      <c r="H7" s="65" t="s">
        <v>91</v>
      </c>
      <c r="I7" s="65" t="s">
        <v>92</v>
      </c>
      <c r="J7" s="65" t="s">
        <v>24</v>
      </c>
      <c r="K7" s="65" t="s">
        <v>27</v>
      </c>
      <c r="L7" s="65" t="s">
        <v>98</v>
      </c>
      <c r="M7" s="65" t="s">
        <v>28</v>
      </c>
      <c r="N7" s="65" t="s">
        <v>29</v>
      </c>
      <c r="O7" s="65" t="s">
        <v>30</v>
      </c>
      <c r="P7" s="65" t="s">
        <v>82</v>
      </c>
      <c r="Q7" s="65" t="s">
        <v>83</v>
      </c>
      <c r="R7" s="65" t="s">
        <v>84</v>
      </c>
      <c r="S7" s="65" t="s">
        <v>85</v>
      </c>
      <c r="T7" s="65" t="s">
        <v>31</v>
      </c>
      <c r="U7" s="160" t="s">
        <v>724</v>
      </c>
      <c r="V7" s="160" t="s">
        <v>725</v>
      </c>
    </row>
    <row r="8" spans="1:22">
      <c r="B8" s="159" t="s">
        <v>553</v>
      </c>
      <c r="C8" s="115" t="s">
        <v>692</v>
      </c>
      <c r="D8" s="118">
        <f>IF(OR(UNMT0040_KENSAKU_KENSU=0,UNMT0040_CTRL_HYOJI_GYO_SU=0),1,ROUNDUP(UNMT0040_KENSAKU_KENSU/UNMT0040_CTRL_HYOJI_GYO_SU,0))</f>
        <v>1</v>
      </c>
      <c r="F8" s="26"/>
      <c r="G8" s="7"/>
      <c r="H8" s="201"/>
      <c r="I8" s="13"/>
      <c r="J8" s="201"/>
      <c r="K8" s="201"/>
      <c r="L8" s="201"/>
      <c r="M8" s="202"/>
      <c r="N8" s="202"/>
      <c r="O8" s="203"/>
      <c r="P8" s="201"/>
      <c r="Q8" s="201"/>
      <c r="R8" s="201"/>
      <c r="S8" s="201"/>
      <c r="T8" s="13"/>
    </row>
    <row r="9" spans="1:22">
      <c r="B9" s="159" t="s">
        <v>554</v>
      </c>
      <c r="C9" s="115" t="s">
        <v>693</v>
      </c>
      <c r="D9" s="106"/>
      <c r="G9" s="7"/>
      <c r="T9" s="7"/>
    </row>
    <row r="10" spans="1:22">
      <c r="C10" s="115"/>
      <c r="G10" s="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</row>
    <row r="11" spans="1:22">
      <c r="B11" s="159" t="s">
        <v>256</v>
      </c>
      <c r="C11" s="115" t="s">
        <v>694</v>
      </c>
      <c r="D11" s="106" t="str">
        <f>ADDRESS(ROW(UNMT0040_SENTAKU)+1, COLUMN(UNMT0040_SENTAKU))</f>
        <v>$G$8</v>
      </c>
      <c r="G11" s="7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</row>
    <row r="12" spans="1:22">
      <c r="B12" s="159" t="s">
        <v>555</v>
      </c>
      <c r="C12" s="115" t="s">
        <v>695</v>
      </c>
      <c r="D12" s="106" t="str">
        <f ca="1">IF(UNMT0040_HYOJI_KENSU=0,"",UNMT0040_LIST_START&amp;":"&amp;
ADDRESS(ROW(INDIRECT(UNMT0040_LIST_START))+UNMT0040_HYOJI_KENSU-1,COLUMN(INDIRECT(UNMT0040_LIST_START))+COLUMNS(UNMT0040_IF_LIST_COPY_MOTO)-1))</f>
        <v/>
      </c>
      <c r="G12" s="7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</row>
    <row r="13" spans="1:22">
      <c r="B13" s="159" t="s">
        <v>557</v>
      </c>
      <c r="C13" s="115" t="s">
        <v>696</v>
      </c>
      <c r="D13" s="118" t="str">
        <f ca="1">ADDRESS(ROW(INDIRECT(UNMT0040_LIST_START)),COLUMN(INDIRECT(UNMT0040_LIST_START)))&amp;":"&amp;
ADDRESS(ROW(INDIRECT(UNMT0040_LIST_START))+UNMT0040_CTRL_HYOJI_GYO_SU-1,COLUMN(INDIRECT(UNMT0040_LIST_START))+COLUMNS(UNMT0040_IF_LIST_COPY_MOTO)-1)</f>
        <v>$G$8:$T$9</v>
      </c>
      <c r="G13" s="7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</row>
    <row r="14" spans="1:22">
      <c r="C14" s="115"/>
      <c r="D14" s="147"/>
      <c r="G14" s="7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</row>
    <row r="15" spans="1:22">
      <c r="B15" s="159" t="s">
        <v>631</v>
      </c>
      <c r="C15" s="159" t="s">
        <v>697</v>
      </c>
      <c r="D15" s="118">
        <f>IF(UNMT0040_HYOJI_KENSU=0,2,1)</f>
        <v>2</v>
      </c>
      <c r="G15" s="7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</row>
    <row r="16" spans="1:22">
      <c r="C16" s="115"/>
      <c r="G16" s="7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</row>
    <row r="17" spans="1:4">
      <c r="A17" s="161" t="s">
        <v>556</v>
      </c>
      <c r="C17" s="115"/>
      <c r="D17" s="159" t="s">
        <v>558</v>
      </c>
    </row>
    <row r="18" spans="1:4">
      <c r="B18" s="159" t="s">
        <v>559</v>
      </c>
      <c r="C18" s="115" t="s">
        <v>698</v>
      </c>
      <c r="D18" s="106">
        <f>IF(UNMT0040_ALL_PAGE_SU&gt;UNMT0040_PAGE_NO,1,2)</f>
        <v>2</v>
      </c>
    </row>
    <row r="19" spans="1:4">
      <c r="B19" s="159" t="s">
        <v>560</v>
      </c>
      <c r="C19" s="115" t="s">
        <v>699</v>
      </c>
      <c r="D19" s="106">
        <f>IF(UNMT0040_PAGE_NO&gt;1,1,2)</f>
        <v>2</v>
      </c>
    </row>
    <row r="20" spans="1:4">
      <c r="C20" s="115"/>
      <c r="D20" s="110"/>
    </row>
    <row r="21" spans="1:4">
      <c r="B21" s="159" t="s">
        <v>561</v>
      </c>
      <c r="C21" s="115" t="s">
        <v>700</v>
      </c>
      <c r="D21" s="106">
        <f>UNMT0040_PAGE_NO+1</f>
        <v>2</v>
      </c>
    </row>
    <row r="22" spans="1:4">
      <c r="B22" s="159" t="s">
        <v>563</v>
      </c>
      <c r="C22" s="115" t="s">
        <v>701</v>
      </c>
      <c r="D22" s="106">
        <f>UNMT0040_PAGE_NO-1</f>
        <v>0</v>
      </c>
    </row>
    <row r="24" spans="1:4">
      <c r="A24" s="161" t="s">
        <v>562</v>
      </c>
      <c r="C24" s="115"/>
    </row>
    <row r="25" spans="1:4">
      <c r="B25" s="159" t="s">
        <v>564</v>
      </c>
      <c r="C25" s="115" t="s">
        <v>702</v>
      </c>
      <c r="D25" s="106">
        <v>5</v>
      </c>
    </row>
    <row r="26" spans="1:4">
      <c r="B26" s="159" t="s">
        <v>582</v>
      </c>
      <c r="C26" s="115" t="s">
        <v>703</v>
      </c>
      <c r="D26" s="106">
        <f ca="1">IF(UNMT0040_SELECT_GYO_NO=0,0,INDIRECT(ADDRESS(UNMT0040_SELECT_GYO_NO,COLUMN(UNMT0040_SEARCH_MITSUMORI_NO))))</f>
        <v>0</v>
      </c>
    </row>
    <row r="27" spans="1:4">
      <c r="B27" s="159" t="s">
        <v>767</v>
      </c>
      <c r="C27" s="115" t="s">
        <v>768</v>
      </c>
      <c r="D27" s="106">
        <f ca="1">IF(UNMT0040_SELECT_GYO_NO=0,0,INDIRECT(ADDRESS(UNMT0040_SELECT_GYO_NO,COLUMN(UNMT0040_SEARCH_RIREKI_NO))))</f>
        <v>0</v>
      </c>
    </row>
    <row r="28" spans="1:4">
      <c r="C28" s="115"/>
    </row>
    <row r="29" spans="1:4">
      <c r="A29" s="161" t="s">
        <v>581</v>
      </c>
    </row>
    <row r="30" spans="1:4">
      <c r="B30" s="102" t="s">
        <v>475</v>
      </c>
      <c r="C30" s="356" t="s">
        <v>981</v>
      </c>
      <c r="D30" s="118"/>
    </row>
    <row r="31" spans="1:4">
      <c r="B31" s="102" t="s">
        <v>476</v>
      </c>
      <c r="C31" s="105" t="s">
        <v>704</v>
      </c>
      <c r="D31" s="118" t="str">
        <f>ADDRESS(ROW($A$1),COLUMN($A$1))&amp;":"&amp;ADDRESS(1,COLUMN(UNMT0040_VIEW_CURRENT_PAGE)-1)&amp;"," &amp;ADDRESS(ROW(UNMT0040_SEARCH_MITSUMORI_NO),COLUMN(UNMT0040_SEARCH_MITSUMORI_NO))&amp;":"&amp;ADDRESS(ROW(UNMT0040_SEARCH_RIREKI_NO),COLUMN(UNMT0040_SEARCH_RIREKI_NO))</f>
        <v>$A$1:$E$1,$U$7:$V$7</v>
      </c>
    </row>
  </sheetData>
  <sheetProtection sheet="1" objects="1" scenarios="1" selectLockedCells="1"/>
  <mergeCells count="4">
    <mergeCell ref="I3:J3"/>
    <mergeCell ref="I4:J4"/>
    <mergeCell ref="I5:K5"/>
    <mergeCell ref="I6:K6"/>
  </mergeCells>
  <phoneticPr fontId="2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Q23"/>
  <sheetViews>
    <sheetView zoomScale="70" zoomScaleNormal="70" workbookViewId="0">
      <selection activeCell="S37" sqref="S37"/>
    </sheetView>
  </sheetViews>
  <sheetFormatPr defaultRowHeight="13.5"/>
  <cols>
    <col min="1" max="1" width="2" customWidth="1"/>
    <col min="2" max="2" width="16.125" customWidth="1"/>
    <col min="3" max="3" width="20.125" style="145" customWidth="1"/>
    <col min="4" max="4" width="19.125" customWidth="1"/>
    <col min="5" max="5" width="13.75" customWidth="1"/>
    <col min="6" max="17" width="4.125" customWidth="1"/>
  </cols>
  <sheetData>
    <row r="1" spans="1:17" s="143" customFormat="1">
      <c r="C1" s="145"/>
    </row>
    <row r="2" spans="1:17" s="143" customFormat="1">
      <c r="C2" s="145"/>
    </row>
    <row r="3" spans="1:17" s="143" customFormat="1">
      <c r="A3" s="138" t="s">
        <v>584</v>
      </c>
    </row>
    <row r="4" spans="1:17" s="143" customFormat="1" ht="16.5">
      <c r="D4" s="86" t="s">
        <v>0</v>
      </c>
      <c r="E4" s="65" t="s">
        <v>91</v>
      </c>
      <c r="F4" s="65" t="s">
        <v>92</v>
      </c>
      <c r="G4" s="65" t="s">
        <v>24</v>
      </c>
      <c r="H4" s="65" t="s">
        <v>27</v>
      </c>
      <c r="I4" s="65" t="s">
        <v>98</v>
      </c>
      <c r="J4" s="65" t="s">
        <v>28</v>
      </c>
      <c r="K4" s="65" t="s">
        <v>29</v>
      </c>
      <c r="L4" s="65" t="s">
        <v>30</v>
      </c>
      <c r="M4" s="65" t="s">
        <v>82</v>
      </c>
      <c r="N4" s="65" t="s">
        <v>83</v>
      </c>
      <c r="O4" s="65" t="s">
        <v>84</v>
      </c>
      <c r="P4" s="65" t="s">
        <v>85</v>
      </c>
      <c r="Q4" s="65" t="s">
        <v>31</v>
      </c>
    </row>
    <row r="5" spans="1:17" s="143" customFormat="1" ht="16.5">
      <c r="B5" s="145" t="s">
        <v>585</v>
      </c>
      <c r="C5" s="145" t="s">
        <v>707</v>
      </c>
      <c r="D5" s="314"/>
      <c r="E5" s="315"/>
      <c r="F5" s="315"/>
      <c r="G5" s="315"/>
      <c r="H5" s="315"/>
      <c r="I5" s="315"/>
      <c r="J5" s="315"/>
      <c r="K5" s="315"/>
      <c r="L5" s="315"/>
      <c r="M5" s="315"/>
      <c r="N5" s="315"/>
      <c r="O5" s="315"/>
      <c r="P5" s="315"/>
      <c r="Q5" s="314"/>
    </row>
    <row r="6" spans="1:17" s="143" customFormat="1" ht="16.5">
      <c r="B6" s="145" t="s">
        <v>586</v>
      </c>
      <c r="C6" s="145" t="s">
        <v>706</v>
      </c>
      <c r="D6" s="316" t="s">
        <v>32</v>
      </c>
      <c r="E6" s="363"/>
      <c r="F6" s="213"/>
      <c r="G6" s="364"/>
      <c r="H6" s="214"/>
      <c r="I6" s="213"/>
      <c r="J6" s="365"/>
      <c r="K6" s="365"/>
      <c r="L6" s="366"/>
      <c r="M6" s="214"/>
      <c r="N6" s="214"/>
      <c r="O6" s="214"/>
      <c r="P6" s="214"/>
      <c r="Q6" s="213"/>
    </row>
    <row r="7" spans="1:17" s="143" customFormat="1"/>
    <row r="8" spans="1:17">
      <c r="A8" s="138" t="s">
        <v>539</v>
      </c>
      <c r="B8" s="143"/>
      <c r="D8" s="143"/>
      <c r="E8" s="145"/>
    </row>
    <row r="9" spans="1:17">
      <c r="A9" s="143"/>
      <c r="B9" s="145" t="s">
        <v>126</v>
      </c>
      <c r="C9" s="145" t="s">
        <v>683</v>
      </c>
      <c r="D9" s="94"/>
      <c r="E9" s="145" t="s">
        <v>547</v>
      </c>
    </row>
    <row r="10" spans="1:17">
      <c r="A10" s="143"/>
      <c r="B10" s="143"/>
      <c r="D10" s="143"/>
      <c r="E10" s="145"/>
    </row>
    <row r="11" spans="1:17">
      <c r="A11" s="143"/>
      <c r="B11" s="143"/>
      <c r="D11" s="143"/>
      <c r="E11" s="145"/>
    </row>
    <row r="12" spans="1:17">
      <c r="A12" s="138" t="s">
        <v>127</v>
      </c>
      <c r="B12" s="143"/>
      <c r="C12" s="99"/>
      <c r="D12" s="143"/>
      <c r="E12" s="145"/>
    </row>
    <row r="13" spans="1:17">
      <c r="A13" s="143"/>
      <c r="B13" s="143" t="s">
        <v>128</v>
      </c>
      <c r="C13" s="145" t="s">
        <v>682</v>
      </c>
      <c r="D13" s="98" t="s">
        <v>541</v>
      </c>
      <c r="E13" s="145"/>
    </row>
    <row r="14" spans="1:17">
      <c r="A14" s="143"/>
      <c r="B14" s="143" t="s">
        <v>129</v>
      </c>
      <c r="C14" s="145" t="s">
        <v>684</v>
      </c>
      <c r="D14" s="98">
        <v>3</v>
      </c>
      <c r="E14" s="145"/>
    </row>
    <row r="15" spans="1:17">
      <c r="A15" s="143"/>
      <c r="B15" s="143" t="s">
        <v>130</v>
      </c>
      <c r="C15" s="145" t="s">
        <v>685</v>
      </c>
      <c r="D15" s="98">
        <v>9</v>
      </c>
      <c r="E15" s="145"/>
    </row>
    <row r="16" spans="1:17">
      <c r="A16" s="143"/>
      <c r="B16" s="143"/>
      <c r="D16" s="143"/>
      <c r="E16" s="145"/>
    </row>
    <row r="17" spans="1:14">
      <c r="A17" s="143"/>
      <c r="B17" s="143" t="s">
        <v>131</v>
      </c>
      <c r="C17" s="145" t="s">
        <v>686</v>
      </c>
      <c r="D17" s="98"/>
      <c r="E17" s="145"/>
    </row>
    <row r="18" spans="1:14">
      <c r="A18" s="143"/>
      <c r="B18" s="143"/>
      <c r="D18" s="155"/>
      <c r="E18" s="145"/>
    </row>
    <row r="19" spans="1:14" ht="16.5">
      <c r="A19" s="138" t="s">
        <v>687</v>
      </c>
      <c r="B19" s="159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</row>
    <row r="20" spans="1:14">
      <c r="B20" t="s">
        <v>688</v>
      </c>
      <c r="C20" s="145" t="s">
        <v>708</v>
      </c>
      <c r="D20" s="94"/>
    </row>
    <row r="22" spans="1:14">
      <c r="A22" s="138" t="s">
        <v>709</v>
      </c>
    </row>
    <row r="23" spans="1:14">
      <c r="B23" t="s">
        <v>720</v>
      </c>
      <c r="C23" s="145" t="s">
        <v>721</v>
      </c>
      <c r="D23" s="94"/>
      <c r="E23" t="s">
        <v>722</v>
      </c>
    </row>
  </sheetData>
  <phoneticPr fontId="2"/>
  <conditionalFormatting sqref="D6:Q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B1:F12"/>
  <sheetViews>
    <sheetView zoomScale="85" zoomScaleNormal="85" workbookViewId="0">
      <selection activeCell="G4" sqref="G4"/>
    </sheetView>
  </sheetViews>
  <sheetFormatPr defaultRowHeight="13.5"/>
  <cols>
    <col min="2" max="3" width="30.5" customWidth="1"/>
    <col min="4" max="5" width="0.875" customWidth="1"/>
    <col min="6" max="6" width="42.625" customWidth="1"/>
  </cols>
  <sheetData>
    <row r="1" spans="2:6">
      <c r="B1" s="132" t="s">
        <v>166</v>
      </c>
      <c r="C1" s="132">
        <f>UNMT0040_IF_MITSU_NO</f>
        <v>0</v>
      </c>
    </row>
    <row r="3" spans="2:6" s="195" customFormat="1" ht="150.75" customHeight="1">
      <c r="B3" s="206" t="s">
        <v>710</v>
      </c>
      <c r="C3" s="192" t="s">
        <v>717</v>
      </c>
      <c r="D3" s="607" t="str">
        <f>E6&amp;E8&amp;E9&amp;E10</f>
        <v>SELECT * 
  FROM V_MITSU_R_LIST
  WHERE 1=1
ORDER BY V_MITSU_R_LIST.UPDATE_DATE DESC
  OFFSET 0*2 ROWS
 FETCH NEXT 2 ROWS ONLY</v>
      </c>
      <c r="E3" s="607"/>
      <c r="F3" s="607"/>
    </row>
    <row r="4" spans="2:6" s="195" customFormat="1" ht="120.75" customHeight="1">
      <c r="B4" s="206" t="s">
        <v>711</v>
      </c>
      <c r="C4" s="192" t="s">
        <v>718</v>
      </c>
      <c r="D4" s="607" t="str">
        <f>E7&amp;E8</f>
        <v xml:space="preserve">SELECT COUNT(*) AS CNT 
  FROM V_MITSU_R_LIST
  WHERE 1=1
</v>
      </c>
      <c r="E4" s="607"/>
      <c r="F4" s="607"/>
    </row>
    <row r="5" spans="2:6" s="195" customFormat="1" ht="120.75" customHeight="1">
      <c r="B5" s="206" t="s">
        <v>712</v>
      </c>
      <c r="C5" s="192" t="s">
        <v>719</v>
      </c>
      <c r="D5" s="607" t="str">
        <f>IF($C$1=0,"",
"SELECT * 
  FROM V_MITSU_R_H
  WHERE 1=1" &amp;"AND V_MITSU_R_H.MITSU_NO = " &amp;"'" &amp;$C$1 &amp;"'"
)</f>
        <v/>
      </c>
      <c r="E5" s="607"/>
      <c r="F5" s="607"/>
    </row>
    <row r="6" spans="2:6" s="195" customFormat="1" ht="51.75" customHeight="1">
      <c r="B6" s="206" t="s">
        <v>713</v>
      </c>
      <c r="C6" s="192"/>
      <c r="E6" s="608" t="s">
        <v>715</v>
      </c>
      <c r="F6" s="608"/>
    </row>
    <row r="7" spans="2:6" s="195" customFormat="1" ht="51.75" customHeight="1">
      <c r="B7" s="207" t="s">
        <v>714</v>
      </c>
      <c r="C7" s="192"/>
      <c r="E7" s="610" t="s">
        <v>716</v>
      </c>
      <c r="F7" s="610"/>
    </row>
    <row r="8" spans="2:6" s="195" customFormat="1" ht="24.75" customHeight="1">
      <c r="B8" s="208" t="s">
        <v>635</v>
      </c>
      <c r="C8" s="192"/>
      <c r="D8" s="193"/>
      <c r="E8" s="611" t="str">
        <f>IF($C$1=0,"",
"AND V_MITSU_R_LIST.MITSU_NO = "&amp;"'"&amp;$C$1&amp;"'
")</f>
        <v/>
      </c>
      <c r="F8" s="611"/>
    </row>
    <row r="9" spans="2:6" s="195" customFormat="1" ht="18.75">
      <c r="B9" s="209" t="s">
        <v>589</v>
      </c>
      <c r="C9" s="210" t="s">
        <v>769</v>
      </c>
      <c r="E9" s="608" t="s">
        <v>808</v>
      </c>
      <c r="F9" s="609"/>
    </row>
    <row r="10" spans="2:6" s="195" customFormat="1" ht="18.75">
      <c r="B10" s="209" t="s">
        <v>590</v>
      </c>
      <c r="C10" s="210"/>
      <c r="E10" s="610" t="str">
        <f xml:space="preserve"> "
  OFFSET "&amp;(UNMT0040_PAGE_NO-1)&amp;"*"&amp;UNMT0040_CTRL_HYOJI_GYO_SU&amp;" ROWS
 FETCH NEXT "&amp;UNMT0040_CTRL_HYOJI_GYO_SU&amp;" ROWS ONLY"</f>
        <v xml:space="preserve">
  OFFSET 0*2 ROWS
 FETCH NEXT 2 ROWS ONLY</v>
      </c>
      <c r="F10" s="610"/>
    </row>
    <row r="11" spans="2:6" s="195" customFormat="1" ht="27">
      <c r="B11" s="211" t="s">
        <v>650</v>
      </c>
      <c r="C11" s="210" t="s">
        <v>770</v>
      </c>
      <c r="D11" s="607" t="s">
        <v>807</v>
      </c>
      <c r="E11" s="607"/>
      <c r="F11" s="607"/>
    </row>
    <row r="12" spans="2:6" s="195" customFormat="1" ht="27">
      <c r="B12" s="212" t="s">
        <v>679</v>
      </c>
      <c r="C12" s="192" t="s">
        <v>771</v>
      </c>
      <c r="D12" s="605" t="s">
        <v>854</v>
      </c>
      <c r="E12" s="606"/>
      <c r="F12" s="606"/>
    </row>
  </sheetData>
  <mergeCells count="10">
    <mergeCell ref="D3:F3"/>
    <mergeCell ref="D4:F4"/>
    <mergeCell ref="E6:F6"/>
    <mergeCell ref="E7:F7"/>
    <mergeCell ref="E8:F8"/>
    <mergeCell ref="D12:F12"/>
    <mergeCell ref="D5:F5"/>
    <mergeCell ref="E9:F9"/>
    <mergeCell ref="E10:F10"/>
    <mergeCell ref="D11:F11"/>
  </mergeCells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rgb="FF00B0F0"/>
  </sheetPr>
  <dimension ref="A2:E20"/>
  <sheetViews>
    <sheetView zoomScale="85" zoomScaleNormal="85" workbookViewId="0">
      <selection activeCell="D21" sqref="D21"/>
    </sheetView>
  </sheetViews>
  <sheetFormatPr defaultRowHeight="13.5"/>
  <cols>
    <col min="1" max="1" width="2.5" customWidth="1"/>
    <col min="2" max="2" width="19.875" style="133" customWidth="1"/>
    <col min="3" max="3" width="39.5" customWidth="1"/>
    <col min="4" max="4" width="71.875" customWidth="1"/>
  </cols>
  <sheetData>
    <row r="2" spans="1:5" ht="21.75" customHeight="1">
      <c r="B2" s="132" t="s">
        <v>600</v>
      </c>
      <c r="C2" s="130" t="s">
        <v>601</v>
      </c>
      <c r="D2" s="131" t="s">
        <v>616</v>
      </c>
    </row>
    <row r="4" spans="1:5" ht="24" customHeight="1">
      <c r="A4" s="129" t="s">
        <v>603</v>
      </c>
    </row>
    <row r="5" spans="1:5" s="128" customFormat="1" ht="20.25" customHeight="1">
      <c r="B5" s="134" t="s">
        <v>602</v>
      </c>
      <c r="C5" s="126" t="s">
        <v>595</v>
      </c>
      <c r="D5" s="127" t="s">
        <v>975</v>
      </c>
    </row>
    <row r="6" spans="1:5" s="128" customFormat="1" ht="20.25" customHeight="1">
      <c r="B6" s="134" t="s">
        <v>604</v>
      </c>
      <c r="C6" s="126" t="s">
        <v>596</v>
      </c>
      <c r="D6" s="127" t="s">
        <v>853</v>
      </c>
    </row>
    <row r="7" spans="1:5" s="128" customFormat="1" ht="20.25" customHeight="1">
      <c r="B7" s="134" t="s">
        <v>605</v>
      </c>
      <c r="C7" s="126" t="s">
        <v>597</v>
      </c>
      <c r="D7" s="127" t="s">
        <v>1012</v>
      </c>
    </row>
    <row r="8" spans="1:5" s="128" customFormat="1" ht="20.25" customHeight="1">
      <c r="B8" s="134" t="s">
        <v>606</v>
      </c>
      <c r="C8" s="126" t="s">
        <v>598</v>
      </c>
      <c r="D8" s="127" t="s">
        <v>1033</v>
      </c>
    </row>
    <row r="9" spans="1:5" s="128" customFormat="1" ht="20.25" customHeight="1">
      <c r="B9" s="134" t="s">
        <v>607</v>
      </c>
      <c r="C9" s="126" t="s">
        <v>599</v>
      </c>
      <c r="D9" s="127" t="s">
        <v>977</v>
      </c>
    </row>
    <row r="10" spans="1:5" s="128" customFormat="1" ht="20.25" customHeight="1">
      <c r="B10" s="134" t="s">
        <v>608</v>
      </c>
      <c r="C10" s="126" t="s">
        <v>610</v>
      </c>
      <c r="D10" s="127" t="s">
        <v>1021</v>
      </c>
      <c r="E10" s="349"/>
    </row>
    <row r="11" spans="1:5" s="128" customFormat="1" ht="20.25" customHeight="1">
      <c r="B11" s="134" t="s">
        <v>613</v>
      </c>
      <c r="C11" s="126" t="s">
        <v>611</v>
      </c>
      <c r="D11" s="127" t="s">
        <v>1022</v>
      </c>
      <c r="E11" s="349"/>
    </row>
    <row r="12" spans="1:5" s="128" customFormat="1" ht="20.25" customHeight="1">
      <c r="B12" s="134" t="s">
        <v>614</v>
      </c>
      <c r="C12" s="126" t="s">
        <v>612</v>
      </c>
      <c r="D12" s="127" t="s">
        <v>1023</v>
      </c>
      <c r="E12" s="349"/>
    </row>
    <row r="13" spans="1:5" s="128" customFormat="1" ht="20.25" customHeight="1">
      <c r="B13" s="134" t="s">
        <v>615</v>
      </c>
      <c r="C13" s="126" t="s">
        <v>609</v>
      </c>
      <c r="D13" s="127" t="s">
        <v>1024</v>
      </c>
      <c r="E13" s="349"/>
    </row>
    <row r="14" spans="1:5" s="128" customFormat="1" ht="20.25" customHeight="1">
      <c r="B14" s="126" t="s">
        <v>837</v>
      </c>
      <c r="C14" s="126" t="s">
        <v>838</v>
      </c>
      <c r="D14" s="127" t="s">
        <v>979</v>
      </c>
    </row>
    <row r="17" spans="2:4">
      <c r="B17" s="132"/>
      <c r="C17" s="130"/>
      <c r="D17" s="281"/>
    </row>
    <row r="18" spans="2:4">
      <c r="B18" s="132"/>
      <c r="C18" s="130"/>
      <c r="D18" s="281"/>
    </row>
    <row r="19" spans="2:4">
      <c r="B19" s="132"/>
      <c r="C19" s="130"/>
      <c r="D19" s="46"/>
    </row>
    <row r="20" spans="2:4">
      <c r="B20" s="132"/>
      <c r="C20" s="130"/>
      <c r="D20" s="281"/>
    </row>
  </sheetData>
  <phoneticPr fontId="2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21" r:id="rId4" name="Button 1">
              <controlPr defaultSize="0" print="0" autoFill="0" autoPict="0" macro="[0]!TestLock">
                <anchor moveWithCells="1">
                  <from>
                    <xdr:col>6</xdr:col>
                    <xdr:colOff>390525</xdr:colOff>
                    <xdr:row>4</xdr:row>
                    <xdr:rowOff>685800</xdr:rowOff>
                  </from>
                  <to>
                    <xdr:col>7</xdr:col>
                    <xdr:colOff>523875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22" r:id="rId5" name="Button 2">
              <controlPr defaultSize="0" print="0" autoFill="0" autoPict="0" macro="[0]!TestUnlock">
                <anchor moveWithCells="1">
                  <from>
                    <xdr:col>7</xdr:col>
                    <xdr:colOff>571500</xdr:colOff>
                    <xdr:row>4</xdr:row>
                    <xdr:rowOff>676275</xdr:rowOff>
                  </from>
                  <to>
                    <xdr:col>9</xdr:col>
                    <xdr:colOff>28575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B2:F4"/>
  <sheetViews>
    <sheetView workbookViewId="0">
      <selection activeCell="D3" sqref="D3"/>
    </sheetView>
  </sheetViews>
  <sheetFormatPr defaultRowHeight="13.5"/>
  <cols>
    <col min="1" max="1" width="9" style="145"/>
    <col min="2" max="2" width="30.125" style="145" bestFit="1" customWidth="1"/>
    <col min="3" max="3" width="31.5" style="145" bestFit="1" customWidth="1"/>
    <col min="4" max="4" width="29" style="145" customWidth="1"/>
    <col min="5" max="5" width="39.375" style="145" customWidth="1"/>
    <col min="6" max="6" width="23.625" style="145" bestFit="1" customWidth="1"/>
    <col min="7" max="16384" width="9" style="145"/>
  </cols>
  <sheetData>
    <row r="2" spans="2:6">
      <c r="B2" s="145" t="s">
        <v>809</v>
      </c>
      <c r="C2" s="145" t="s">
        <v>810</v>
      </c>
      <c r="D2" s="44">
        <f>IF(LEFT(UNMT_COMMON_ACTIVE_SHEET_NAME,8)="UNMT0020",IF(UNMT0020_IF_MODE&lt;&gt;0,1,2),2)</f>
        <v>2</v>
      </c>
      <c r="E2" s="145" t="s">
        <v>814</v>
      </c>
      <c r="F2" s="145" t="s">
        <v>840</v>
      </c>
    </row>
    <row r="3" spans="2:6">
      <c r="E3" s="145" t="s">
        <v>813</v>
      </c>
    </row>
    <row r="4" spans="2:6">
      <c r="B4" s="145" t="s">
        <v>812</v>
      </c>
      <c r="C4" s="145" t="s">
        <v>811</v>
      </c>
      <c r="D4" s="44"/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O15"/>
  <sheetViews>
    <sheetView workbookViewId="0">
      <selection activeCell="K29" sqref="K29"/>
    </sheetView>
  </sheetViews>
  <sheetFormatPr defaultRowHeight="13.5"/>
  <cols>
    <col min="1" max="1" width="3.375" customWidth="1"/>
    <col min="2" max="5" width="11.75" customWidth="1"/>
    <col min="6" max="9" width="6" customWidth="1"/>
    <col min="10" max="13" width="11.75" customWidth="1"/>
    <col min="14" max="14" width="13.125" bestFit="1" customWidth="1"/>
    <col min="15" max="15" width="3.625" customWidth="1"/>
  </cols>
  <sheetData>
    <row r="1" spans="1:15" ht="19.5">
      <c r="A1" s="2" t="s">
        <v>986</v>
      </c>
      <c r="B1" s="2"/>
      <c r="C1" s="2"/>
      <c r="D1" s="2" t="s">
        <v>987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ht="16.5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</row>
    <row r="3" spans="1:15" ht="16.5">
      <c r="A3" s="112"/>
      <c r="B3" s="23" t="s">
        <v>982</v>
      </c>
      <c r="C3" s="54">
        <v>42557</v>
      </c>
      <c r="D3" s="112"/>
      <c r="E3" s="23" t="s">
        <v>988</v>
      </c>
      <c r="F3" s="532" t="s">
        <v>861</v>
      </c>
      <c r="G3" s="533"/>
      <c r="H3" s="112"/>
      <c r="I3" s="112"/>
      <c r="J3" s="23" t="s">
        <v>983</v>
      </c>
      <c r="K3" s="55"/>
      <c r="L3" s="112"/>
      <c r="M3" s="6" t="s">
        <v>989</v>
      </c>
      <c r="N3" s="56"/>
      <c r="O3" s="112"/>
    </row>
    <row r="4" spans="1:15" ht="16.5">
      <c r="A4" s="112"/>
      <c r="B4" s="6" t="s">
        <v>990</v>
      </c>
      <c r="C4" s="17"/>
      <c r="D4" s="112"/>
      <c r="E4" s="23" t="s">
        <v>984</v>
      </c>
      <c r="F4" s="534"/>
      <c r="G4" s="535"/>
      <c r="H4" s="112"/>
      <c r="I4" s="112"/>
      <c r="J4" s="6" t="s">
        <v>991</v>
      </c>
      <c r="K4" s="17"/>
      <c r="L4" s="112"/>
      <c r="M4" s="112"/>
      <c r="N4" s="112"/>
      <c r="O4" s="112"/>
    </row>
    <row r="5" spans="1:15" ht="16.5">
      <c r="A5" s="112"/>
      <c r="B5" s="6"/>
      <c r="C5" s="112"/>
      <c r="D5" s="112"/>
      <c r="E5" s="112"/>
      <c r="F5" s="112"/>
      <c r="G5" s="112"/>
      <c r="H5" s="112"/>
      <c r="I5" s="112"/>
      <c r="J5" s="6"/>
      <c r="K5" s="112"/>
      <c r="L5" s="112"/>
      <c r="M5" s="112"/>
      <c r="N5" s="112"/>
      <c r="O5" s="112"/>
    </row>
    <row r="6" spans="1:15" ht="16.5">
      <c r="A6" s="112"/>
      <c r="B6" s="6" t="s">
        <v>992</v>
      </c>
      <c r="C6" s="57"/>
      <c r="D6" s="112"/>
      <c r="E6" s="112"/>
      <c r="F6" s="112"/>
      <c r="G6" s="112"/>
      <c r="H6" s="112"/>
      <c r="I6" s="112"/>
      <c r="J6" s="6" t="s">
        <v>993</v>
      </c>
      <c r="K6" s="536"/>
      <c r="L6" s="537"/>
      <c r="M6" s="537"/>
      <c r="N6" s="538"/>
      <c r="O6" s="112"/>
    </row>
    <row r="7" spans="1:15" ht="16.5">
      <c r="A7" s="112"/>
      <c r="B7" s="23" t="s">
        <v>994</v>
      </c>
      <c r="C7" s="505"/>
      <c r="D7" s="506"/>
      <c r="E7" s="506"/>
      <c r="F7" s="506"/>
      <c r="G7" s="507"/>
      <c r="H7" s="112"/>
      <c r="I7" s="112"/>
      <c r="J7" s="6"/>
      <c r="K7" s="539"/>
      <c r="L7" s="540"/>
      <c r="M7" s="540"/>
      <c r="N7" s="541"/>
      <c r="O7" s="112"/>
    </row>
    <row r="8" spans="1:15" ht="16.5">
      <c r="A8" s="112"/>
      <c r="B8" s="6" t="s">
        <v>995</v>
      </c>
      <c r="C8" s="505"/>
      <c r="D8" s="507"/>
      <c r="E8" s="112"/>
      <c r="F8" s="6" t="s">
        <v>996</v>
      </c>
      <c r="G8" s="56" t="s">
        <v>997</v>
      </c>
      <c r="H8" s="112"/>
      <c r="I8" s="112"/>
      <c r="J8" s="23" t="s">
        <v>985</v>
      </c>
      <c r="K8" s="55"/>
      <c r="L8" s="112"/>
      <c r="M8" s="112"/>
      <c r="N8" s="112"/>
      <c r="O8" s="112"/>
    </row>
    <row r="9" spans="1:15" ht="16.5">
      <c r="A9" s="112"/>
      <c r="B9" s="6"/>
      <c r="C9" s="112"/>
      <c r="D9" s="112"/>
      <c r="E9" s="112"/>
      <c r="F9" s="112"/>
      <c r="G9" s="112"/>
      <c r="H9" s="112"/>
      <c r="I9" s="112"/>
      <c r="J9" s="6"/>
      <c r="K9" s="112"/>
      <c r="L9" s="112"/>
      <c r="M9" s="6" t="s">
        <v>998</v>
      </c>
      <c r="N9" s="58"/>
      <c r="O9" s="112"/>
    </row>
    <row r="10" spans="1:15" ht="16.5">
      <c r="A10" s="112"/>
      <c r="B10" s="6" t="s">
        <v>999</v>
      </c>
      <c r="C10" s="542"/>
      <c r="D10" s="543"/>
      <c r="E10" s="112"/>
      <c r="F10" s="112"/>
      <c r="G10" s="112"/>
      <c r="H10" s="112"/>
      <c r="I10" s="112"/>
      <c r="J10" s="6" t="s">
        <v>1000</v>
      </c>
      <c r="K10" s="526"/>
      <c r="L10" s="527"/>
      <c r="M10" s="6" t="s">
        <v>1001</v>
      </c>
      <c r="N10" s="11"/>
      <c r="O10" s="112"/>
    </row>
    <row r="11" spans="1:15" ht="16.5">
      <c r="A11" s="112"/>
      <c r="B11" s="6" t="s">
        <v>1002</v>
      </c>
      <c r="C11" s="526"/>
      <c r="D11" s="527"/>
      <c r="E11" s="112"/>
      <c r="F11" s="112"/>
      <c r="G11" s="112"/>
      <c r="H11" s="112"/>
      <c r="I11" s="112"/>
      <c r="J11" s="6" t="s">
        <v>1003</v>
      </c>
      <c r="K11" s="526"/>
      <c r="L11" s="527"/>
      <c r="M11" s="6" t="s">
        <v>1004</v>
      </c>
      <c r="N11" s="11"/>
      <c r="O11" s="112"/>
    </row>
    <row r="12" spans="1:15" ht="16.5">
      <c r="A12" s="112"/>
      <c r="B12" s="112"/>
      <c r="C12" s="7"/>
      <c r="D12" s="112"/>
      <c r="E12" s="112"/>
      <c r="F12" s="112"/>
      <c r="G12" s="112"/>
      <c r="H12" s="112"/>
      <c r="I12" s="112"/>
      <c r="J12" s="112"/>
      <c r="K12" s="112"/>
      <c r="L12" s="112"/>
      <c r="M12" s="6" t="s">
        <v>1005</v>
      </c>
      <c r="N12" s="11"/>
      <c r="O12" s="112"/>
    </row>
    <row r="13" spans="1:15" ht="16.5">
      <c r="A13" s="112"/>
      <c r="B13" s="112"/>
      <c r="C13" s="86" t="s">
        <v>1006</v>
      </c>
      <c r="D13" s="86" t="s">
        <v>209</v>
      </c>
      <c r="E13" s="86" t="s">
        <v>210</v>
      </c>
      <c r="F13" s="528" t="s">
        <v>211</v>
      </c>
      <c r="G13" s="529"/>
      <c r="H13" s="528" t="s">
        <v>212</v>
      </c>
      <c r="I13" s="529"/>
      <c r="J13" s="86" t="s">
        <v>186</v>
      </c>
      <c r="K13" s="86" t="s">
        <v>1007</v>
      </c>
      <c r="L13" s="112"/>
      <c r="M13" s="6" t="s">
        <v>1008</v>
      </c>
      <c r="N13" s="11"/>
      <c r="O13" s="112"/>
    </row>
    <row r="14" spans="1:15" ht="16.5">
      <c r="A14" s="112"/>
      <c r="B14" s="112"/>
      <c r="C14" s="41">
        <v>0</v>
      </c>
      <c r="D14" s="42">
        <v>0</v>
      </c>
      <c r="E14" s="42">
        <v>0</v>
      </c>
      <c r="F14" s="530">
        <v>0</v>
      </c>
      <c r="G14" s="531"/>
      <c r="H14" s="530">
        <v>0</v>
      </c>
      <c r="I14" s="531"/>
      <c r="J14" s="42">
        <v>0</v>
      </c>
      <c r="K14" s="43">
        <v>0</v>
      </c>
      <c r="L14" s="112"/>
      <c r="M14" s="112"/>
      <c r="N14" s="112"/>
      <c r="O14" s="112"/>
    </row>
    <row r="15" spans="1:15" ht="16.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</row>
  </sheetData>
  <mergeCells count="13">
    <mergeCell ref="F3:G3"/>
    <mergeCell ref="F4:G4"/>
    <mergeCell ref="K6:N7"/>
    <mergeCell ref="C7:G7"/>
    <mergeCell ref="C8:D8"/>
    <mergeCell ref="F14:G14"/>
    <mergeCell ref="H14:I14"/>
    <mergeCell ref="C10:D10"/>
    <mergeCell ref="K10:L10"/>
    <mergeCell ref="C11:D11"/>
    <mergeCell ref="K11:L11"/>
    <mergeCell ref="F13:G13"/>
    <mergeCell ref="H13:I13"/>
  </mergeCells>
  <phoneticPr fontId="2"/>
  <dataValidations count="8">
    <dataValidation type="list" allowBlank="1" showInputMessage="1" sqref="G8">
      <formula1>UNMT0020_IF_LIST_KEISHO</formula1>
    </dataValidation>
    <dataValidation type="list" allowBlank="1" showInputMessage="1" showErrorMessage="1" sqref="F3:G3">
      <formula1>UNMT0020_IF_LIST_STS</formula1>
    </dataValidation>
    <dataValidation type="custom" allowBlank="1" showInputMessage="1" showErrorMessage="1" sqref="K10:L11 C10:D11">
      <formula1>LENB(C10)&lt;=40</formula1>
    </dataValidation>
    <dataValidation type="date" operator="greaterThanOrEqual" allowBlank="1" showInputMessage="1" showErrorMessage="1" sqref="C3">
      <formula1>1</formula1>
    </dataValidation>
    <dataValidation type="custom" allowBlank="1" showInputMessage="1" showErrorMessage="1" sqref="C8:D8">
      <formula1>LENB(C7)&lt;=40</formula1>
    </dataValidation>
    <dataValidation type="custom" allowBlank="1" showInputMessage="1" showErrorMessage="1" sqref="C7:G7">
      <formula1>LEN(C7)&lt;=50</formula1>
    </dataValidation>
    <dataValidation type="custom" allowBlank="1" showInputMessage="1" showErrorMessage="1" sqref="C6">
      <formula1>AND(LEN(C6)=LENB(C6),LEN(C6)&lt;=10)</formula1>
    </dataValidation>
    <dataValidation type="custom" allowBlank="1" showInputMessage="1" showErrorMessage="1" sqref="K6:N7">
      <formula1>LENB(K6)&lt;=100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S1"/>
  <sheetViews>
    <sheetView workbookViewId="0">
      <selection sqref="A1:S1"/>
    </sheetView>
  </sheetViews>
  <sheetFormatPr defaultRowHeight="13.5"/>
  <cols>
    <col min="1" max="1" width="3.375" customWidth="1"/>
    <col min="2" max="2" width="6.375" customWidth="1"/>
    <col min="3" max="3" width="12.25" customWidth="1"/>
    <col min="4" max="4" width="28.25" customWidth="1"/>
    <col min="5" max="5" width="9" customWidth="1"/>
    <col min="6" max="6" width="7.125" customWidth="1"/>
    <col min="7" max="7" width="10.5" bestFit="1" customWidth="1"/>
    <col min="8" max="8" width="11.75" customWidth="1"/>
    <col min="9" max="9" width="26.5" customWidth="1"/>
    <col min="10" max="10" width="10.5" bestFit="1" customWidth="1"/>
    <col min="11" max="11" width="9" customWidth="1"/>
    <col min="12" max="12" width="11.75" customWidth="1"/>
    <col min="13" max="13" width="7.75" customWidth="1"/>
    <col min="14" max="14" width="11.75" customWidth="1"/>
    <col min="15" max="15" width="13" bestFit="1" customWidth="1"/>
    <col min="16" max="16" width="45.625" bestFit="1" customWidth="1"/>
    <col min="17" max="17" width="7.625" customWidth="1"/>
    <col min="18" max="19" width="8" customWidth="1"/>
    <col min="20" max="47" width="8.375" customWidth="1"/>
  </cols>
  <sheetData>
    <row r="1" spans="1:19" ht="16.5">
      <c r="A1" s="350" t="s">
        <v>1009</v>
      </c>
      <c r="B1" s="76" t="s">
        <v>157</v>
      </c>
      <c r="C1" s="350" t="s">
        <v>176</v>
      </c>
      <c r="D1" s="344" t="s">
        <v>177</v>
      </c>
      <c r="E1" s="344" t="s">
        <v>178</v>
      </c>
      <c r="F1" s="350" t="s">
        <v>179</v>
      </c>
      <c r="G1" s="344" t="s">
        <v>180</v>
      </c>
      <c r="H1" s="350" t="s">
        <v>181</v>
      </c>
      <c r="I1" s="384" t="s">
        <v>182</v>
      </c>
      <c r="J1" s="350" t="s">
        <v>187</v>
      </c>
      <c r="K1" s="350" t="s">
        <v>183</v>
      </c>
      <c r="L1" s="350" t="s">
        <v>184</v>
      </c>
      <c r="M1" s="350" t="s">
        <v>185</v>
      </c>
      <c r="N1" s="350" t="s">
        <v>186</v>
      </c>
      <c r="O1" s="350" t="s">
        <v>188</v>
      </c>
      <c r="P1" s="350" t="s">
        <v>913</v>
      </c>
      <c r="Q1" s="76" t="s">
        <v>165</v>
      </c>
      <c r="R1" s="76" t="s">
        <v>159</v>
      </c>
      <c r="S1" s="76" t="s">
        <v>1010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459</vt:i4>
      </vt:variant>
    </vt:vector>
  </HeadingPairs>
  <TitlesOfParts>
    <vt:vector size="476" baseType="lpstr">
      <vt:lpstr>UNMT0010_H</vt:lpstr>
      <vt:lpstr>UNMT0010_B</vt:lpstr>
      <vt:lpstr>UNMT0010_IF</vt:lpstr>
      <vt:lpstr>UNMT0010_SQL</vt:lpstr>
      <vt:lpstr>見積検索_ボタン</vt:lpstr>
      <vt:lpstr>UNMT0020_H</vt:lpstr>
      <vt:lpstr>UNMT0020_B</vt:lpstr>
      <vt:lpstr>UNMT0020_IF</vt:lpstr>
      <vt:lpstr>UNMT0020_SQL</vt:lpstr>
      <vt:lpstr>UNMT0020_REPORT</vt:lpstr>
      <vt:lpstr>UNMT0040</vt:lpstr>
      <vt:lpstr>UNMT0040_IF</vt:lpstr>
      <vt:lpstr>UNMT0040_SQL</vt:lpstr>
      <vt:lpstr>UNMT_COMMON_SQL</vt:lpstr>
      <vt:lpstr>UNMT_COMMON</vt:lpstr>
      <vt:lpstr>Excel_Save_H</vt:lpstr>
      <vt:lpstr>Excel_Save_B</vt:lpstr>
      <vt:lpstr>LIST_SHUBETSU</vt:lpstr>
      <vt:lpstr>LIST_SHUBETSU_SEARCH_AREA</vt:lpstr>
      <vt:lpstr>UNMT0010_H!Print_Area</vt:lpstr>
      <vt:lpstr>UNMT0020_H!Print_Area</vt:lpstr>
      <vt:lpstr>UNMT0020_REPORT!Print_Area</vt:lpstr>
      <vt:lpstr>UNMT0020_REPORT!Print_Titles</vt:lpstr>
      <vt:lpstr>UNJC1030_IF_SAVE_CHECK_ERROR_KOMOKU</vt:lpstr>
      <vt:lpstr>UNJC1030_IF_SAVE_CHECK_RESULT</vt:lpstr>
      <vt:lpstr>UNJC1030_IF_SAVE_CHECK_START</vt:lpstr>
      <vt:lpstr>UNJC1030_IF_SAVE_JOGAI_GYO</vt:lpstr>
      <vt:lpstr>UNMM_COMMON_SQL_SELECT_CTRL_HYOJI_GYO_SU</vt:lpstr>
      <vt:lpstr>UNMT_COMMON_ACTIVE_SHEET_NAME</vt:lpstr>
      <vt:lpstr>UNMT_COMMON_CHANGE_CHECK</vt:lpstr>
      <vt:lpstr>UNMT_COMMON_SQL_MITSU_NO_SEARCH</vt:lpstr>
      <vt:lpstr>UNMT_COMMON_SQL_SEIKYU_SEARCH</vt:lpstr>
      <vt:lpstr>UNMT_COMMON_SQL_SHAIN_SEARCH</vt:lpstr>
      <vt:lpstr>UNMT_COMMON_SQL_SHIIRE_SEARCH</vt:lpstr>
      <vt:lpstr>UNMT_COMMON_SQL_SHOHIN_SEARCH</vt:lpstr>
      <vt:lpstr>UNMT_COMMON_SQL_TORIHIKI_BUNRUI_SEARCH</vt:lpstr>
      <vt:lpstr>UNMT_COMMON_SQL_TORIHIKI_JOKEN_SEARCH</vt:lpstr>
      <vt:lpstr>UNMT_COMMON_SQL_UKEWATASHI_BASHO_SEARCH</vt:lpstr>
      <vt:lpstr>UNMT_COMMON_SQL_UKEWATASHI_DATE_SEARCH</vt:lpstr>
      <vt:lpstr>UNMT_COMMON_SQL_YUKOKIGEN_SEARCH</vt:lpstr>
      <vt:lpstr>UNMT0010_B_ALL_PAGE_SU</vt:lpstr>
      <vt:lpstr>UNMT0010_B_ARARIEKI</vt:lpstr>
      <vt:lpstr>UNMT0010_B_ARARIRITSU</vt:lpstr>
      <vt:lpstr>UNMT0010_B_COPY_SAKI</vt:lpstr>
      <vt:lpstr>UNMT0010_B_CTRL_HYOJI_GYO_SU</vt:lpstr>
      <vt:lpstr>UNMT0010_B_DEL_FLG</vt:lpstr>
      <vt:lpstr>UNMT0010_B_EIGYO_UESR</vt:lpstr>
      <vt:lpstr>UNMT0010_B_EXIST_NEXT_PAGE</vt:lpstr>
      <vt:lpstr>UNMT0010_B_EXIST_PREV_PAGE</vt:lpstr>
      <vt:lpstr>UNMT0010_B_FORMAT_COPY_FLG</vt:lpstr>
      <vt:lpstr>UNMT0010_B_HIDE_COLUMN</vt:lpstr>
      <vt:lpstr>UNMT0010_B_HIDE_ROW</vt:lpstr>
      <vt:lpstr>UNMT0010_B_HYOJI_KENSU</vt:lpstr>
      <vt:lpstr>UNMT0010_B_KENMEI</vt:lpstr>
      <vt:lpstr>UNMT0010_B_KENSAKU_KENSU</vt:lpstr>
      <vt:lpstr>UNMT0010_B_LIST_CLEAR</vt:lpstr>
      <vt:lpstr>UNMT0010_B_LIST_START</vt:lpstr>
      <vt:lpstr>UNMT0010_B_MITSU_DATE</vt:lpstr>
      <vt:lpstr>UNMT0010_B_MITSUMORI_DATE</vt:lpstr>
      <vt:lpstr>UNMT0010_B_MITUSMORI_NO</vt:lpstr>
      <vt:lpstr>UNMT0010_B_MODE_KBN</vt:lpstr>
      <vt:lpstr>UNMT0010_B_NEXT_PAGE_NO</vt:lpstr>
      <vt:lpstr>UNMT0010_B_NYURYOKUSHA_MEI</vt:lpstr>
      <vt:lpstr>UNMT0010_B_PAGE_NO</vt:lpstr>
      <vt:lpstr>UNMT0010_B_PREV_PAGE_NO</vt:lpstr>
      <vt:lpstr>UNMT0010_B_SCROLL_LOCK</vt:lpstr>
      <vt:lpstr>UNMT0010_B_SEIKYUSAKI_CD</vt:lpstr>
      <vt:lpstr>UNMT0010_B_SEIKYUSAKI_MEI</vt:lpstr>
      <vt:lpstr>UNMT0010_B_SELECT_GYO_NO</vt:lpstr>
      <vt:lpstr>UNMT0010_B_SELECT_MITUSMORI_NO</vt:lpstr>
      <vt:lpstr>UNMT0010_B_SENTAKU</vt:lpstr>
      <vt:lpstr>UNMT0010_B_SHOKEIHI_FLG</vt:lpstr>
      <vt:lpstr>UNMT0010_B_SHUBETSU</vt:lpstr>
      <vt:lpstr>UNMT0010_B_STS</vt:lpstr>
      <vt:lpstr>UNMT0010_B_TORIHIKIBUNRUI</vt:lpstr>
      <vt:lpstr>UNMT0010_B_VIEW_CURRENT_PAGE</vt:lpstr>
      <vt:lpstr>UNMT0010_B_ZENUKI_TOTAL</vt:lpstr>
      <vt:lpstr>UNMT0010_H_DEL_HYOJI_FLG</vt:lpstr>
      <vt:lpstr>UNMT0010_H_EIGYO_TANTO_CD</vt:lpstr>
      <vt:lpstr>UNMT0010_H_EIGYO_TANTOSHA_MEI</vt:lpstr>
      <vt:lpstr>UNMT0010_H_FORM_ORIGIN</vt:lpstr>
      <vt:lpstr>UNMT0010_H_FREEWD_1</vt:lpstr>
      <vt:lpstr>UNMT0010_H_FREEWD_2</vt:lpstr>
      <vt:lpstr>UNMT0010_H_FREEWD_3</vt:lpstr>
      <vt:lpstr>UNMT0010_H_FREEWD_KBN</vt:lpstr>
      <vt:lpstr>UNMT0010_H_HIDE_COLUMN</vt:lpstr>
      <vt:lpstr>UNMT0010_H_HIDE_ROW</vt:lpstr>
      <vt:lpstr>UNMT0010_H_INIT_HEADER_COPY_SAKI</vt:lpstr>
      <vt:lpstr>UNMT0010_H_INIT_HEADER_FLG_COPY_SAKI</vt:lpstr>
      <vt:lpstr>UNMT0010_H_JUCHUSUMI_STS</vt:lpstr>
      <vt:lpstr>UNMT0010_H_MIKOMI_STS</vt:lpstr>
      <vt:lpstr>UNMT0010_H_MITSUMORI_DATE_END</vt:lpstr>
      <vt:lpstr>UNMT0010_H_MITSUMORI_DATE_START</vt:lpstr>
      <vt:lpstr>UNMT0010_H_MITSUMORI_END</vt:lpstr>
      <vt:lpstr>UNMT0010_H_MITSUMORI_NO_END_NUM</vt:lpstr>
      <vt:lpstr>UNMT0010_H_MITSUMORI_NO_MAX</vt:lpstr>
      <vt:lpstr>UNMT0010_H_MITSUMORI_NO_MIN</vt:lpstr>
      <vt:lpstr>UNMT0010_H_MITSUMORI_NO_START_NUM</vt:lpstr>
      <vt:lpstr>UNMT0010_H_MITSUMORI_START</vt:lpstr>
      <vt:lpstr>UNMT0010_H_NO_SHOHIN_CD_HYOJI_FLG</vt:lpstr>
      <vt:lpstr>UNMT0010_H_NYURYOKUSHA_CD</vt:lpstr>
      <vt:lpstr>UNMT0010_H_NYURYOKUSHA_MEI</vt:lpstr>
      <vt:lpstr>UNMT0010_H_SANKO_STS</vt:lpstr>
      <vt:lpstr>UNMT0010_H_SEIKYUSAKI_CD</vt:lpstr>
      <vt:lpstr>UNMT0010_H_SEIKYUSAKI_MEI</vt:lpstr>
      <vt:lpstr>UNMT0010_H_SHIKAKARI_STS</vt:lpstr>
      <vt:lpstr>UNMT0010_H_SHIROJI_STS</vt:lpstr>
      <vt:lpstr>UNMT0010_H_SHOHIN_CD</vt:lpstr>
      <vt:lpstr>UNMT0010_H_SHOHIN_MEI</vt:lpstr>
      <vt:lpstr>UNMT0010_H_SHUBETSU</vt:lpstr>
      <vt:lpstr>UNMT0010_H_SHUBETSU_NUM</vt:lpstr>
      <vt:lpstr>UNMT0010_H_TORIHIKI_BUNRUI_CD</vt:lpstr>
      <vt:lpstr>UNMT0010_H_TORIHIKIBUNRUI</vt:lpstr>
      <vt:lpstr>UNMT0010_IF_ACTIVE_CELL_NAME</vt:lpstr>
      <vt:lpstr>UNMT0010_IF_ACTIVE_COLUMN</vt:lpstr>
      <vt:lpstr>UNMT0010_IF_ACTIVE_ROW</vt:lpstr>
      <vt:lpstr>UNMT0010_IF_ACTIVE_SHEET</vt:lpstr>
      <vt:lpstr>UNMT0010_IF_B_LIST_COPY_MOTO</vt:lpstr>
      <vt:lpstr>UNMT0010_IF_B_LIST_DEFAULT</vt:lpstr>
      <vt:lpstr>UNMT0010_IF_DATA_SEARCH_FLG</vt:lpstr>
      <vt:lpstr>UNMT0010_IF_EXCEL_FILE_NAME</vt:lpstr>
      <vt:lpstr>UNMT0010_IF_INIT_HEADER_COPY_MOTO</vt:lpstr>
      <vt:lpstr>UNMT0010_IF_INIT_HEADER_FLG_COPY_MOTO</vt:lpstr>
      <vt:lpstr>UNMT0010_IF_PRINT_COPY_MOTO</vt:lpstr>
      <vt:lpstr>UNMT0010_IF_PRINT_COPY_SAKI</vt:lpstr>
      <vt:lpstr>UNMT0010_IF_PRINT_KENSAKU_KENSU</vt:lpstr>
      <vt:lpstr>UNMT0010_IF_PRINT_LIST_START</vt:lpstr>
      <vt:lpstr>UNMT0010_IF_PRINT_MITSU_NO</vt:lpstr>
      <vt:lpstr>UNMT0010_SQL_DEL_HYOJI_FLG</vt:lpstr>
      <vt:lpstr>UNMT0010_SQL_EIGYO_TANTO_CD</vt:lpstr>
      <vt:lpstr>UNMT0010_SQL_FREEWD_1</vt:lpstr>
      <vt:lpstr>UNMT0010_SQL_FREEWD_2</vt:lpstr>
      <vt:lpstr>UNMT0010_SQL_FREEWD_3</vt:lpstr>
      <vt:lpstr>UNMT0010_SQL_FREEWD_KBN</vt:lpstr>
      <vt:lpstr>UNMT0010_SQL_FREEWORD1</vt:lpstr>
      <vt:lpstr>UNMT0010_SQL_FREEWORD2</vt:lpstr>
      <vt:lpstr>UNMT0010_SQL_FREEWORD3</vt:lpstr>
      <vt:lpstr>UNMT0010_SQL_INIT_SORT</vt:lpstr>
      <vt:lpstr>UNMT0010_SQL_JOKEN_COPY_MOTO</vt:lpstr>
      <vt:lpstr>UNMT0010_SQL_JOKEN_COPY_SAKI</vt:lpstr>
      <vt:lpstr>UNMT0010_SQL_JUCHUSUMI_STS</vt:lpstr>
      <vt:lpstr>UNMT0010_SQL_MIKOMI_STS</vt:lpstr>
      <vt:lpstr>UNMT0010_SQL_MITSUMORI_DATE_END</vt:lpstr>
      <vt:lpstr>UNMT0010_SQL_MITSUMORI_DATE_START</vt:lpstr>
      <vt:lpstr>UNMT0010_SQL_MITSUMORI_END</vt:lpstr>
      <vt:lpstr>UNMT0010_SQL_MITSUMORI_START</vt:lpstr>
      <vt:lpstr>UNMT0010_SQL_NO_SHOHIN_CD_HYOJI_FLG</vt:lpstr>
      <vt:lpstr>UNMT0010_SQL_NYURYOKUSHA_CD</vt:lpstr>
      <vt:lpstr>UNMT0010_SQL_PRINT_MITSUMORI_LIST</vt:lpstr>
      <vt:lpstr>UNMT0010_SQL_RESULT_SORT</vt:lpstr>
      <vt:lpstr>UNMT0010_SQL_SANKO_STS</vt:lpstr>
      <vt:lpstr>UNMT0010_SQL_SEIKYUSAKI_CD</vt:lpstr>
      <vt:lpstr>UNMT0010_SQL_SELECT_MITSUMORI_LIST</vt:lpstr>
      <vt:lpstr>UNMT0010_SQL_SELECT_MITSUMORI_LIST_CNT</vt:lpstr>
      <vt:lpstr>UNMT0010_SQL_SHIKAKARI_STS</vt:lpstr>
      <vt:lpstr>UNMT0010_SQL_SHIROJI_STS</vt:lpstr>
      <vt:lpstr>UNMT0010_SQL_SHOHIN_CD</vt:lpstr>
      <vt:lpstr>UNMT0010_SQL_SHUBETSU_NUM</vt:lpstr>
      <vt:lpstr>UNMT0010_SQL_SORT</vt:lpstr>
      <vt:lpstr>UNMT0010_SQL_TORIHIKI_BUNRUI_CD</vt:lpstr>
      <vt:lpstr>UNMT0020_B_AITE_SHOHIN_MEI_BUF</vt:lpstr>
      <vt:lpstr>UNMT0020_B_ARARIEKI</vt:lpstr>
      <vt:lpstr>UNMT0020_B_ARARIRITSU</vt:lpstr>
      <vt:lpstr>UNMT0020_B_BAIKA_TENKAI</vt:lpstr>
      <vt:lpstr>UNMT0020_B_COMMENT_GYO_SU</vt:lpstr>
      <vt:lpstr>UNMT0020_B_COPY_COMMENT_SHOSHIKI</vt:lpstr>
      <vt:lpstr>UNMT0020_B_COPY_GYO_SUSHIKI</vt:lpstr>
      <vt:lpstr>UNMT0020_B_COPY_MEISAI_ARARI_SUSHIKI</vt:lpstr>
      <vt:lpstr>UNMT0020_B_COPY_MEISAI_KINGAKU_SUSHIKI</vt:lpstr>
      <vt:lpstr>UNMT0020_B_COPY_MEISAI_SHOSHIKI</vt:lpstr>
      <vt:lpstr>UNMT0020_B_COPY_NEBIKI_DIR_SHOSHIKI</vt:lpstr>
      <vt:lpstr>UNMT0020_B_COPY_NEBIKI_DIR_SUSHIKI</vt:lpstr>
      <vt:lpstr>UNMT0020_B_COPY_NEBIKI_PER_SHOSHIKI</vt:lpstr>
      <vt:lpstr>UNMT0020_B_COPY_NEBIKI_PER_SUSHIKI</vt:lpstr>
      <vt:lpstr>UNMT0020_B_COPY_NEBIKI_TAN_SHOSHIKI</vt:lpstr>
      <vt:lpstr>UNMT0020_B_COPY_NEBIKI_TAN_SUSHIKI</vt:lpstr>
      <vt:lpstr>UNMT0020_B_COPY_SHOKEI_SHOSHIKI</vt:lpstr>
      <vt:lpstr>UNMT0020_B_GENKA</vt:lpstr>
      <vt:lpstr>UNMT0020_B_GENKA_TENKAI</vt:lpstr>
      <vt:lpstr>UNMT0020_B_GENTANKA</vt:lpstr>
      <vt:lpstr>UNMT0020_B_GYO</vt:lpstr>
      <vt:lpstr>UNMT0020_B_GYO_COUNT</vt:lpstr>
      <vt:lpstr>UNMT0020_B_GYO_DECREMENT</vt:lpstr>
      <vt:lpstr>UNMT0020_B_GYO_INCREMENT</vt:lpstr>
      <vt:lpstr>UNMT0020_B_HIDE_COLUMN</vt:lpstr>
      <vt:lpstr>UNMT0020_B_HIDE_ROW</vt:lpstr>
      <vt:lpstr>UNMT0020_B_HYOJI_SHOHIN_MEI</vt:lpstr>
      <vt:lpstr>UNMT0020_B_IRISU_TANI_TENKAI</vt:lpstr>
      <vt:lpstr>UNMT0020_B_KINGAKU</vt:lpstr>
      <vt:lpstr>UNMT0020_B_LIST_CLEAR_AREA</vt:lpstr>
      <vt:lpstr>UNMT0020_B_LIST_DELETE_AREA</vt:lpstr>
      <vt:lpstr>UNMT0020_B_LIST_INSERT_AREA</vt:lpstr>
      <vt:lpstr>UNMT0020_B_LIST_INSERT_COPY_AREA</vt:lpstr>
      <vt:lpstr>UNMT0020_B_LIST_INSERT_SELECT_CELL</vt:lpstr>
      <vt:lpstr>UNMT0020_B_LIST_INSERT_TYPE</vt:lpstr>
      <vt:lpstr>UNMT0020_B_LIST_START</vt:lpstr>
      <vt:lpstr>UNMT0020_B_MEISAI_GYO_SU</vt:lpstr>
      <vt:lpstr>UNMT0020_B_MITSU_NO</vt:lpstr>
      <vt:lpstr>UNMT0020_B_MULTI_SELECT_COPY_SAKI</vt:lpstr>
      <vt:lpstr>UNMT0020_B_NEBIKI_DIR_GYO_SU</vt:lpstr>
      <vt:lpstr>UNMT0020_B_NEBIKI_PER_GYO_SU</vt:lpstr>
      <vt:lpstr>UNMT0020_B_NEBIKI_RITSU</vt:lpstr>
      <vt:lpstr>UNMT0020_B_NEBIKI_TAN_GYO_SU</vt:lpstr>
      <vt:lpstr>UNMT0020_B_NEBIKI_TYPE</vt:lpstr>
      <vt:lpstr>UNMT0020_B_ROW_KBN</vt:lpstr>
      <vt:lpstr>UNMT0020_B_SCROLL_LOCK</vt:lpstr>
      <vt:lpstr>UNMT0020_B_SHIIRESAKI_CD</vt:lpstr>
      <vt:lpstr>UNMT0020_B_SHIIRESAKI_CD_TENKAI</vt:lpstr>
      <vt:lpstr>UNMT0020_B_SHIIRESAKI_MEI</vt:lpstr>
      <vt:lpstr>UNMT0020_B_SHIIRESAKI_MEI_TENKAI</vt:lpstr>
      <vt:lpstr>UNMT0020_B_SHOHIN_CD</vt:lpstr>
      <vt:lpstr>UNMT0020_B_SHOHIN_CD_AREA</vt:lpstr>
      <vt:lpstr>UNMT0020_B_SHOHIN_CD_BLANK_CHECK</vt:lpstr>
      <vt:lpstr>UNMT0020_B_SHOHIN_CD_TENKAI</vt:lpstr>
      <vt:lpstr>UNMT0020_B_SHOHIN_MEI</vt:lpstr>
      <vt:lpstr>UNMT0020_B_SHOHIN_MEI_BUF</vt:lpstr>
      <vt:lpstr>UNMT0020_B_SHOHIN_MEI_TENKAI</vt:lpstr>
      <vt:lpstr>UNMT0020_B_SHOKEI_GYO_SU</vt:lpstr>
      <vt:lpstr>UNMT0020_B_SORT_AREA</vt:lpstr>
      <vt:lpstr>UNMT0020_B_SUBTOTAL_AREA</vt:lpstr>
      <vt:lpstr>UNMT0020_B_SURYO</vt:lpstr>
      <vt:lpstr>UNMT0020_B_TANI</vt:lpstr>
      <vt:lpstr>UNMT0020_B_TANKA</vt:lpstr>
      <vt:lpstr>UNMT0020_B_TEIKA</vt:lpstr>
      <vt:lpstr>UNMT0020_B_TEIKA_TENKAI</vt:lpstr>
      <vt:lpstr>UNMT0020_B_TEKIYO</vt:lpstr>
      <vt:lpstr>UNMT0020_H_ARARIEKI</vt:lpstr>
      <vt:lpstr>UNMT0020_H_DAIHYO_MEI_FLG</vt:lpstr>
      <vt:lpstr>UNMT0020_H_DEL_FLG</vt:lpstr>
      <vt:lpstr>UNMT0020_H_EIGYO_TANTO_CD</vt:lpstr>
      <vt:lpstr>UNMT0020_H_EIGYO_TANTO_MEI</vt:lpstr>
      <vt:lpstr>UNMT0020_H_FLG_COPY_SAKI</vt:lpstr>
      <vt:lpstr>UNMT0020_H_GENKA_TOTAL</vt:lpstr>
      <vt:lpstr>UNMT0020_H_HIDE_COLUMN</vt:lpstr>
      <vt:lpstr>UNMT0020_H_HIDE_ROW</vt:lpstr>
      <vt:lpstr>UNMT0020_H_KAISHA_MARK_FLG</vt:lpstr>
      <vt:lpstr>UNMT0020_H_KENMEI</vt:lpstr>
      <vt:lpstr>UNMT0020_H_KESHO</vt:lpstr>
      <vt:lpstr>UNMT0020_H_KOMI_TOTAL</vt:lpstr>
      <vt:lpstr>UNMT0020_H_KOYOMI_KBN</vt:lpstr>
      <vt:lpstr>UNMT0020_H_MEMO</vt:lpstr>
      <vt:lpstr>UNMT0020_H_MITSUMORI_DATE</vt:lpstr>
      <vt:lpstr>UNMT0020_H_MITSUMORI_NO</vt:lpstr>
      <vt:lpstr>UNMT0020_H_MODE_COPY_SAKI</vt:lpstr>
      <vt:lpstr>UNMT0020_H_MODE_KBN</vt:lpstr>
      <vt:lpstr>UNMT0020_H_NUKI_TOTAL</vt:lpstr>
      <vt:lpstr>UNMT0020_H_NYURYOKUSHA_CD</vt:lpstr>
      <vt:lpstr>UNMT0020_H_NYURYOKUSHA_MEI</vt:lpstr>
      <vt:lpstr>UNMT0020_H_PROTECT_AREA</vt:lpstr>
      <vt:lpstr>UNMT0020_H_RIEKI_RATE</vt:lpstr>
      <vt:lpstr>UNMT0020_H_SANSHO_MITSUMORI_NO</vt:lpstr>
      <vt:lpstr>UNMT0020_H_SEIKYUSAKI_CD</vt:lpstr>
      <vt:lpstr>UNMT0020_H_SEIKYUSAKI_HASU</vt:lpstr>
      <vt:lpstr>UNMT0020_H_SEIKYUSAKI_MEI</vt:lpstr>
      <vt:lpstr>UNMT0020_H_SEMPOTANTOSHA_MEI</vt:lpstr>
      <vt:lpstr>UNMT0020_H_SHONIN_RAN_FLG</vt:lpstr>
      <vt:lpstr>UNMT0020_H_STS</vt:lpstr>
      <vt:lpstr>UNMT0020_H_STS_CD</vt:lpstr>
      <vt:lpstr>UNMT0020_H_TANTO_MARK_FLG</vt:lpstr>
      <vt:lpstr>UNMT0020_H_TAX</vt:lpstr>
      <vt:lpstr>UNMT0020_H_TAX_RATE</vt:lpstr>
      <vt:lpstr>UNMT0020_H_TORIHIKI_BUNRUI_CD</vt:lpstr>
      <vt:lpstr>UNMT0020_H_TORIHIKI_JOKEN</vt:lpstr>
      <vt:lpstr>UNMT0020_H_TORIHIKIBUNRUI</vt:lpstr>
      <vt:lpstr>UNMT0020_H_UKEWATASHI_BASHO</vt:lpstr>
      <vt:lpstr>UNMT0020_H_UKEWATASHI_DATE</vt:lpstr>
      <vt:lpstr>UNMT0020_H_YUKOKIGEN</vt:lpstr>
      <vt:lpstr>UNMT0020_H_ZEIKOMI_PRINT_FLG</vt:lpstr>
      <vt:lpstr>UNMT0020_IF_ACTIVE_CELL_NAME</vt:lpstr>
      <vt:lpstr>UNMT0020_IF_ACTIVE_COLUMN</vt:lpstr>
      <vt:lpstr>UNMT0020_IF_ACTIVE_ROW</vt:lpstr>
      <vt:lpstr>UNMT0020_IF_ACTIVE_SHEET</vt:lpstr>
      <vt:lpstr>UNMT0020_IF_BUTTON_04_HYOJI</vt:lpstr>
      <vt:lpstr>UNMT0020_IF_BUTTON_05_HYOJI</vt:lpstr>
      <vt:lpstr>UNMT0020_IF_BUTTON_06_FONTCOLOR</vt:lpstr>
      <vt:lpstr>UNMT0020_IF_BUTTON_06_HYOJI</vt:lpstr>
      <vt:lpstr>UNMT0020_IF_BUTTON_06_NAME</vt:lpstr>
      <vt:lpstr>UNMT0020_IF_BUTTON_07_HYOJI</vt:lpstr>
      <vt:lpstr>UNMT0020_IF_BUTTON_08_HYOJI</vt:lpstr>
      <vt:lpstr>UNMT0020_IF_BUTTON_08_NAME</vt:lpstr>
      <vt:lpstr>UNMT0020_IF_BUTTON_09_HYOJI</vt:lpstr>
      <vt:lpstr>UNMT0020_IF_BUTTON_10_FONTCOLOR</vt:lpstr>
      <vt:lpstr>UNMT0020_IF_BUTTON_10_HYOJI</vt:lpstr>
      <vt:lpstr>UNMT0020_IF_BUTTON_10_NAME</vt:lpstr>
      <vt:lpstr>UNMT0020_IF_BUTTON_11_HYOJI</vt:lpstr>
      <vt:lpstr>UNMT0020_IF_BUTTON_12_HYOJI</vt:lpstr>
      <vt:lpstr>UNMT0020_IF_BUTTON_13_HYOJI</vt:lpstr>
      <vt:lpstr>UNMT0020_IF_BUTTON_14_HYOJI</vt:lpstr>
      <vt:lpstr>UNMT0020_IF_BUTTON_15_ERROR</vt:lpstr>
      <vt:lpstr>UNMT0020_IF_BUTTON_15_HYOJI</vt:lpstr>
      <vt:lpstr>UNMT0020_IF_BUTTON_16_HYOJI</vt:lpstr>
      <vt:lpstr>UNMT0020_IF_BUTTON_17_HYOJI</vt:lpstr>
      <vt:lpstr>UNMT0020_IF_BUTTON_18_HYOJI</vt:lpstr>
      <vt:lpstr>UNMT0020_IF_BUTTON_19_HYOJI</vt:lpstr>
      <vt:lpstr>UNMT0020_IF_BUTTON_20_HYOJI</vt:lpstr>
      <vt:lpstr>UNMT0020_IF_COPY_B_COMMENT_SANSHO</vt:lpstr>
      <vt:lpstr>UNMT0020_IF_COPY_B_COMMENT_SHINKI</vt:lpstr>
      <vt:lpstr>UNMT0020_IF_COPY_B_COMMENT_SHUSEI</vt:lpstr>
      <vt:lpstr>UNMT0020_IF_COPY_B_GYO_SUSHIKI</vt:lpstr>
      <vt:lpstr>UNMT0020_IF_COPY_B_LIST_CLEAR</vt:lpstr>
      <vt:lpstr>UNMT0020_IF_COPY_B_MEISAI_ARARI_SUSHIKI</vt:lpstr>
      <vt:lpstr>UNMT0020_IF_COPY_B_MEISAI_KINGAKU_SUSHIKI</vt:lpstr>
      <vt:lpstr>UNMT0020_IF_COPY_B_MEISAI_SANSHO</vt:lpstr>
      <vt:lpstr>UNMT0020_IF_COPY_B_MEISAI_SHINKI</vt:lpstr>
      <vt:lpstr>UNMT0020_IF_COPY_B_MEISAI_SHUSEI</vt:lpstr>
      <vt:lpstr>UNMT0020_IF_COPY_B_MEISAI_TAN_SUSHIKI</vt:lpstr>
      <vt:lpstr>UNMT0020_IF_COPY_B_NEBIKI_DIR_SANSHO</vt:lpstr>
      <vt:lpstr>UNMT0020_IF_COPY_B_NEBIKI_DIR_SHINKI</vt:lpstr>
      <vt:lpstr>UNMT0020_IF_COPY_B_NEBIKI_DIR_SHUSEI</vt:lpstr>
      <vt:lpstr>UNMT0020_IF_COPY_B_NEBIKI_DIR_SUSHIKI</vt:lpstr>
      <vt:lpstr>UNMT0020_IF_COPY_B_NEBIKI_PER_SANSHO</vt:lpstr>
      <vt:lpstr>UNMT0020_IF_COPY_B_NEBIKI_PER_SHINKI</vt:lpstr>
      <vt:lpstr>UNMT0020_IF_COPY_B_NEBIKI_PER_SHUSEI</vt:lpstr>
      <vt:lpstr>UNMT0020_IF_COPY_B_NEBIKI_PER_SUSHIKI</vt:lpstr>
      <vt:lpstr>UNMT0020_IF_COPY_B_NEBIKI_TAN_SANSHO</vt:lpstr>
      <vt:lpstr>UNMT0020_IF_COPY_B_NEBIKI_TAN_SHINKI</vt:lpstr>
      <vt:lpstr>UNMT0020_IF_COPY_B_NEBIKI_TAN_SHUSEI</vt:lpstr>
      <vt:lpstr>UNMT0020_IF_COPY_B_SUBTOTAL_SANSHO</vt:lpstr>
      <vt:lpstr>UNMT0020_IF_COPY_B_SUBTOTAL_SHINKI</vt:lpstr>
      <vt:lpstr>UNMT0020_IF_COPY_B_SUBTOTAL_SHOSHIKI_SANSHO</vt:lpstr>
      <vt:lpstr>UNMT0020_IF_COPY_B_SUBTOTAL_SHOSHIKI_SHINKI</vt:lpstr>
      <vt:lpstr>UNMT0020_IF_COPY_B_SUBTOTAL_SHOSHIKI_SHUSEI</vt:lpstr>
      <vt:lpstr>UNMT0020_IF_COPY_B_SUBTOTAL_SHUSEI</vt:lpstr>
      <vt:lpstr>UNMT0020_IF_COPY_H_FLG_COPY_MOTO</vt:lpstr>
      <vt:lpstr>UNMT0020_IF_COPY_H_NORMAL_SANSHO</vt:lpstr>
      <vt:lpstr>UNMT0020_IF_COPY_H_NORMAL_SHINKI</vt:lpstr>
      <vt:lpstr>UNMT0020_IF_COPY_H_NORMAL_SHUSEI</vt:lpstr>
      <vt:lpstr>UNMT0020_IF_COPY_H_SANSHO</vt:lpstr>
      <vt:lpstr>UNMT0020_IF_COPY_H_SHINKI</vt:lpstr>
      <vt:lpstr>UNMT0020_IF_COPY_H_SHUSEI</vt:lpstr>
      <vt:lpstr>UNMT0020_IF_COPY_H_TANKA_SANSHO</vt:lpstr>
      <vt:lpstr>UNMT0020_IF_COPY_H_TANKA_SHINKI</vt:lpstr>
      <vt:lpstr>UNMT0020_IF_COPY_H_TANKA_SHUSEI</vt:lpstr>
      <vt:lpstr>UNMT0020_IF_DAIHYO_MEI</vt:lpstr>
      <vt:lpstr>UNMT0020_IF_DATA_SEARCH_FLG</vt:lpstr>
      <vt:lpstr>UNMT0020_IF_EXCEL_FILE_NAME</vt:lpstr>
      <vt:lpstr>UNMT0020_IF_INPUT_ERROR_MESSAGE</vt:lpstr>
      <vt:lpstr>UNMT0020_IF_KAISHA_MARK</vt:lpstr>
      <vt:lpstr>UNMT0020_IF_KAISHA_MARK_PATH</vt:lpstr>
      <vt:lpstr>UNMT0020_IF_KAISHA_MARK_PATH_CHECK</vt:lpstr>
      <vt:lpstr>UNMT0020_IF_LIST_KEISHO_KENSU</vt:lpstr>
      <vt:lpstr>UNMT0020_IF_LIST_KEISHO_START</vt:lpstr>
      <vt:lpstr>UNMT0020_IF_LIST_STS_KENSU</vt:lpstr>
      <vt:lpstr>UNMT0020_IF_LIST_STS_START</vt:lpstr>
      <vt:lpstr>UNMT0020_IF_MITSU_MODE</vt:lpstr>
      <vt:lpstr>UNMT0020_IF_MITSU_MODE_CHANGE_CHECK</vt:lpstr>
      <vt:lpstr>UNMT0020_IF_MITSU_NO</vt:lpstr>
      <vt:lpstr>UNMT0020_IF_MITSU_RIREKI</vt:lpstr>
      <vt:lpstr>UNMT0020_IF_MODE</vt:lpstr>
      <vt:lpstr>UNMT0020_IF_MULTI_SELECT_CHECK</vt:lpstr>
      <vt:lpstr>UNMT0020_IF_MULTI_SELECT_COPY_MOTO</vt:lpstr>
      <vt:lpstr>UNMT0020_IF_MULTI_SELECT_FLG</vt:lpstr>
      <vt:lpstr>UNMT0020_IF_MULTI_SELECT_GENKA_SUSHIKI_COPY_SAKI</vt:lpstr>
      <vt:lpstr>UNMT0020_IF_MULTI_SELECT_GYO_INCREMENT</vt:lpstr>
      <vt:lpstr>UNMT0020_IF_MULTI_SELECT_GYO_SUSHIKI_COPY_SAKI</vt:lpstr>
      <vt:lpstr>UNMT0020_IF_MULTI_SELECT_KENSU</vt:lpstr>
      <vt:lpstr>UNMT0020_IF_MULTI_SELECT_KINGAKU_SUSHIKI_COPY_SAKI</vt:lpstr>
      <vt:lpstr>UNMT0020_IF_MULTI_SELECT_LIST_ARARI_AREA</vt:lpstr>
      <vt:lpstr>UNMT0020_IF_MULTI_SELECT_LIST_GYO</vt:lpstr>
      <vt:lpstr>UNMT0020_IF_MULTI_SELECT_LIST_KINGAKU</vt:lpstr>
      <vt:lpstr>UNMT0020_IF_MULTI_SELECT_SHOSHIKI_COPY_SAKI</vt:lpstr>
      <vt:lpstr>UNMT0020_IF_MULTI_SELECT_TENKAI_KENSU</vt:lpstr>
      <vt:lpstr>UNMT0020_IF_MULTI_SELECT_TENKAI_START</vt:lpstr>
      <vt:lpstr>UNMT0020_IF_PDF_FILE_NAME</vt:lpstr>
      <vt:lpstr>UNMT0020_IF_REPORT_BODY_COPY_MOTO</vt:lpstr>
      <vt:lpstr>UNMT0020_IF_RIREKI_NO</vt:lpstr>
      <vt:lpstr>UNMT0020_IF_SANSHO_FLG</vt:lpstr>
      <vt:lpstr>UNMT0020_IF_SAVE_CHECK_ERROR_KOMOKU</vt:lpstr>
      <vt:lpstr>UNMT0020_IF_SAVE_CHECK_RESULT</vt:lpstr>
      <vt:lpstr>UNMT0020_IF_SAVE_CHECK_START</vt:lpstr>
      <vt:lpstr>UNMT0020_IF_SAVE_COPY_MOTO</vt:lpstr>
      <vt:lpstr>UNMT0020_IF_SAVE_COPY_SAKI</vt:lpstr>
      <vt:lpstr>UNMT0020_IF_SAVE_COPY_START</vt:lpstr>
      <vt:lpstr>UNMT0020_IF_SAVE_ERROR_CHECK</vt:lpstr>
      <vt:lpstr>UNMT0020_IF_SAVE_ERROR_MESSAGE</vt:lpstr>
      <vt:lpstr>UNMT0020_IF_SAVE_INPUT_CHECK</vt:lpstr>
      <vt:lpstr>UNMT0020_IF_SAVE_INPUT_CHECK_COLUMN</vt:lpstr>
      <vt:lpstr>UNMT0020_IF_SAVE_JOGAI_GYO</vt:lpstr>
      <vt:lpstr>UNMT0020_IF_SAVE_RESULT_CD</vt:lpstr>
      <vt:lpstr>UNMT0020_IF_SAVE_RESULT_MESSAGE</vt:lpstr>
      <vt:lpstr>UNMT0020_IF_SAVE_RESULT_MITSU_NO</vt:lpstr>
      <vt:lpstr>UNMT0020_IF_SAVE_START</vt:lpstr>
      <vt:lpstr>UNMT0020_IF_SAVE_W_MODE</vt:lpstr>
      <vt:lpstr>UNMT0020_IF_SAVE_W_SERIAL</vt:lpstr>
      <vt:lpstr>UNMT0020_IF_SAVE_W_USER_ID</vt:lpstr>
      <vt:lpstr>UNMT0020_IF_SHEET_COMMENT_COPY_MOTO</vt:lpstr>
      <vt:lpstr>UNMT0020_IF_SHEET_MEISAI_COPY_MOTO</vt:lpstr>
      <vt:lpstr>UNMT0020_IF_SHEET_NEBIKI_COPY_MOTO</vt:lpstr>
      <vt:lpstr>UNMT0020_IF_SHEET_SHOKEI_COPY_MOTO</vt:lpstr>
      <vt:lpstr>UNMT0020_IF_SHEET_YOHAKU_COPY_MOTO</vt:lpstr>
      <vt:lpstr>UNMT0020_IF_TANTO_MARK</vt:lpstr>
      <vt:lpstr>UNMT0020_IF_TANTO_MARK_PATH</vt:lpstr>
      <vt:lpstr>UNMT0020_IF_TANTO_MARK_PATH_CHECK</vt:lpstr>
      <vt:lpstr>UNMT0020_REPORT_CLEAR_AREA</vt:lpstr>
      <vt:lpstr>UNMT0020_REPORT_DAIHYO_MEI</vt:lpstr>
      <vt:lpstr>UNMT0020_REPORT_DAIHYO_MEI_TITLE</vt:lpstr>
      <vt:lpstr>UNMT0020_REPORT_KINGAKU</vt:lpstr>
      <vt:lpstr>UNMT0020_REPORT_PAGE_SU</vt:lpstr>
      <vt:lpstr>UNMT0020_REPORT_PRINT_AREA</vt:lpstr>
      <vt:lpstr>UNMT0020_REPORT_PRINT_END</vt:lpstr>
      <vt:lpstr>UNMT0020_REPORT_PRINT_START</vt:lpstr>
      <vt:lpstr>UNMT0020_REPORT_SHOHIN_MEI</vt:lpstr>
      <vt:lpstr>UNMT0020_REPORT_SURYO</vt:lpstr>
      <vt:lpstr>UNMT0020_REPORT_TANI</vt:lpstr>
      <vt:lpstr>UNMT0020_REPORT_TANKA</vt:lpstr>
      <vt:lpstr>UNMT0020_REPORT_TEKIYO</vt:lpstr>
      <vt:lpstr>UNMT0020_REPORT_TENKAI_FLG</vt:lpstr>
      <vt:lpstr>UNMT0020_SQL_MULTI_SELECT</vt:lpstr>
      <vt:lpstr>UNMT0020_SQL_NYURYOKUSHA</vt:lpstr>
      <vt:lpstr>UNMT0020_SQL_SEIKYU_SEARCH</vt:lpstr>
      <vt:lpstr>UNMT0020_SQL_SELECT_DAIHYO_MEI</vt:lpstr>
      <vt:lpstr>UNMT0020_SQL_SELECT_KAISHA_MARK_PATH</vt:lpstr>
      <vt:lpstr>UNMT0020_SQL_SELECT_KEISHO</vt:lpstr>
      <vt:lpstr>UNMT0020_SQL_SELECT_MITSU_B</vt:lpstr>
      <vt:lpstr>UNMT0020_SQL_SELECT_MITSU_B_R</vt:lpstr>
      <vt:lpstr>UNMT0020_SQL_SELECT_MITSU_H</vt:lpstr>
      <vt:lpstr>UNMT0020_SQL_SELECT_MITSU_H_R</vt:lpstr>
      <vt:lpstr>UNMT0020_SQL_SELECT_MITSU_STS</vt:lpstr>
      <vt:lpstr>UNMT0020_SQL_SELECT_NEBIKI_POPUP</vt:lpstr>
      <vt:lpstr>UNMT0020_SQL_SELECT_TANTO_MARK_PATH</vt:lpstr>
      <vt:lpstr>UNMT0020_SQL_SELECT_TAX_RATE</vt:lpstr>
      <vt:lpstr>UNMT0020_SQL_SHAIN_SEARCH</vt:lpstr>
      <vt:lpstr>UNMT0020_SQL_SHIIRE_SEARCH</vt:lpstr>
      <vt:lpstr>UNMT0020_SQL_SHOHIN_SEARCH</vt:lpstr>
      <vt:lpstr>UNMT0020_SQL_TORIHIKI_BUNRUI_SEARCH</vt:lpstr>
      <vt:lpstr>UNMT0040_ALL_PAGE_SU</vt:lpstr>
      <vt:lpstr>UNMT0040_ARARIEKI</vt:lpstr>
      <vt:lpstr>UNMT0040_ARARIRITSU</vt:lpstr>
      <vt:lpstr>UNMT0040_COPY_SAKI</vt:lpstr>
      <vt:lpstr>UNMT0040_CTRL_HYOJI_GYO_SU</vt:lpstr>
      <vt:lpstr>UNMT0040_EIGYO_TANTOSHA_MEI</vt:lpstr>
      <vt:lpstr>UNMT0040_EXIST_NEXT_PAGE</vt:lpstr>
      <vt:lpstr>UNMT0040_EXIST_PREV_PAGE</vt:lpstr>
      <vt:lpstr>UNMT0040_FORM_ORIGIN</vt:lpstr>
      <vt:lpstr>UNMT0040_FORMAT_COPY_FLG</vt:lpstr>
      <vt:lpstr>UNMT0040_HIDE_COLUMN</vt:lpstr>
      <vt:lpstr>UNMT0040_HIDE_ROW</vt:lpstr>
      <vt:lpstr>UNMT0040_HYOJI_KENSU</vt:lpstr>
      <vt:lpstr>UNMT0040_IF_DATA_SEARCH_FLG</vt:lpstr>
      <vt:lpstr>UNMT0040_IF_LIST_COPY_MOTO</vt:lpstr>
      <vt:lpstr>UNMT0040_IF_LIST_DEFAULT</vt:lpstr>
      <vt:lpstr>UNMT0040_IF_MITSU_NO</vt:lpstr>
      <vt:lpstr>UNMT0040_IF_PREV_GAMEN</vt:lpstr>
      <vt:lpstr>UNMT0040_KENMEI</vt:lpstr>
      <vt:lpstr>UNMT0040_KENSAKU_KENSU</vt:lpstr>
      <vt:lpstr>UNMT0040_LIST_CLEAR</vt:lpstr>
      <vt:lpstr>UNMT0040_LIST_START</vt:lpstr>
      <vt:lpstr>UNMT0040_MITSUMORI_NO</vt:lpstr>
      <vt:lpstr>UNMT0040_MOD_DATE_TIME</vt:lpstr>
      <vt:lpstr>UNMT0040_NEXT_PAGE_NO</vt:lpstr>
      <vt:lpstr>UNMT0040_NYURYOKUSHA_MEI</vt:lpstr>
      <vt:lpstr>UNMT0040_PAGE_NO</vt:lpstr>
      <vt:lpstr>UNMT0040_PREV_PAGE_NO</vt:lpstr>
      <vt:lpstr>UNMT0040_SEARCH_MITSUMORI_NO</vt:lpstr>
      <vt:lpstr>UNMT0040_SEARCH_RIREKI_NO</vt:lpstr>
      <vt:lpstr>UNMT0040_SEIKYUSAKI_MEI</vt:lpstr>
      <vt:lpstr>UNMT0040_SELECT_GYO_NO</vt:lpstr>
      <vt:lpstr>UNMT0040_SELECT_MITUSMORI_NO</vt:lpstr>
      <vt:lpstr>UNMT0040_SELECT_RIREKI_NO</vt:lpstr>
      <vt:lpstr>UNMT0040_SENTAKU</vt:lpstr>
      <vt:lpstr>UNMT0040_SHORI_KBN</vt:lpstr>
      <vt:lpstr>UNMT0040_SHUBETSU</vt:lpstr>
      <vt:lpstr>UNMT0040_SQL_INIT_SORT</vt:lpstr>
      <vt:lpstr>UNMT0040_SQL_RESULT_SORT</vt:lpstr>
      <vt:lpstr>UNMT0040_SQL_SELECT_MITSU_R_H</vt:lpstr>
      <vt:lpstr>UNMT0040_SQL_SELECT_MITSU_R_LIST</vt:lpstr>
      <vt:lpstr>UNMT0040_SQL_SELECT_MITSU_R_LIST_CNT</vt:lpstr>
      <vt:lpstr>UNMT0040_SQL_SORT</vt:lpstr>
      <vt:lpstr>UNMT0040_TORIHIKI_BUNRUI</vt:lpstr>
      <vt:lpstr>UNMT0040_TORIHIKI_JOKEN</vt:lpstr>
      <vt:lpstr>UNMT0040_UKEWATASHI_BASHO</vt:lpstr>
      <vt:lpstr>UNMT0040_UKEWATASHI_DATE</vt:lpstr>
      <vt:lpstr>UNMT0040_VIEW_CURRENT_PAGE</vt:lpstr>
      <vt:lpstr>UNMT0040_YUKOKIGEN</vt:lpstr>
      <vt:lpstr>UNMT0040_ZENUKI_TOTAL</vt:lpstr>
      <vt:lpstr>UNMT0020_IF!必須チェック設定</vt:lpstr>
    </vt:vector>
  </TitlesOfParts>
  <Company>MouseComputer PC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k.yamamoto</dc:creator>
  <cp:lastModifiedBy>永坂 朋子</cp:lastModifiedBy>
  <cp:lastPrinted>2016-07-22T08:24:46Z</cp:lastPrinted>
  <dcterms:created xsi:type="dcterms:W3CDTF">2012-09-11T00:34:42Z</dcterms:created>
  <dcterms:modified xsi:type="dcterms:W3CDTF">2017-09-27T04:41:54Z</dcterms:modified>
</cp:coreProperties>
</file>